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uwnetid-my.sharepoint.com/personal/wrgg_uw_edu/Documents/02Work/WorldBank-Indonesia/uw-wb-indonesia-ncd/output_alignment/"/>
    </mc:Choice>
  </mc:AlternateContent>
  <xr:revisionPtr revIDLastSave="6" documentId="11_0A0A3D6366F75C1D072ABAFB07AC37E554CC7892" xr6:coauthVersionLast="47" xr6:coauthVersionMax="47" xr10:uidLastSave="{3800A38F-0B23-42A1-A96D-D447E4C968BB}"/>
  <bookViews>
    <workbookView xWindow="28680" yWindow="-120" windowWidth="29040" windowHeight="15720" firstSheet="11" activeTab="13" xr2:uid="{00000000-000D-0000-FFFF-FFFF00000000}"/>
  </bookViews>
  <sheets>
    <sheet name="README" sheetId="2" r:id="rId1"/>
    <sheet name="Run_Metadata" sheetId="3" r:id="rId2"/>
    <sheet name="Scenario_Hierarchy" sheetId="19" r:id="rId3"/>
    <sheet name="Selected_Interventions" sheetId="4" r:id="rId4"/>
    <sheet name="Blocked_Links" sheetId="5" r:id="rId5"/>
    <sheet name="Policy_Levers" sheetId="6" r:id="rId6"/>
    <sheet name="Exposure_Targets" sheetId="7" r:id="rId7"/>
    <sheet name="Effect_Parameters" sheetId="8" r:id="rId8"/>
    <sheet name="Risk_Response" sheetId="20" r:id="rId9"/>
    <sheet name="Cost_Components" sheetId="9" r:id="rId10"/>
    <sheet name="Annual_Mortality" sheetId="10" r:id="rId11"/>
    <sheet name="Annual_Cost" sheetId="11" r:id="rId12"/>
    <sheet name="Budget_Impact" sheetId="12" r:id="rId13"/>
    <sheet name="Cost_Effectiveness" sheetId="13" r:id="rId14"/>
    <sheet name="Child_Intervention_Summary" sheetId="21" r:id="rId15"/>
    <sheet name="Parent_Package_Summary" sheetId="22" r:id="rId16"/>
    <sheet name="Economic_Value" sheetId="14" r:id="rId17"/>
    <sheet name="QA_Checks" sheetId="15" r:id="rId18"/>
    <sheet name="Input_Diagnostic" sheetId="16" r:id="rId19"/>
    <sheet name="Methods_and_Sources" sheetId="17" r:id="rId20"/>
    <sheet name="Calculation_Assumptions" sheetId="1" r:id="rId21"/>
    <sheet name="Calculation_Map" sheetId="18" r:id="rId22"/>
  </sheets>
  <definedNames>
    <definedName name="_xlnm._FilterDatabase" localSheetId="10" hidden="1">Annual_Mortality!$A$1:$J$2731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3" l="1"/>
  <c r="N3" i="13"/>
  <c r="M4" i="13"/>
  <c r="N4" i="13"/>
  <c r="M5" i="13"/>
  <c r="N5" i="13"/>
  <c r="M6" i="13"/>
  <c r="N6" i="13"/>
  <c r="M7" i="13"/>
  <c r="N7" i="13"/>
  <c r="M8" i="13"/>
  <c r="N8" i="13"/>
  <c r="M9" i="13"/>
  <c r="N9" i="13"/>
  <c r="M10" i="13"/>
  <c r="N10" i="13"/>
  <c r="M11" i="13"/>
  <c r="N11" i="13"/>
  <c r="M12" i="13"/>
  <c r="N12" i="13"/>
  <c r="M13" i="13"/>
  <c r="N13" i="13"/>
  <c r="M14" i="13"/>
  <c r="N14" i="13"/>
  <c r="M15" i="13"/>
  <c r="N15" i="13"/>
  <c r="M16" i="13"/>
  <c r="N16" i="13"/>
  <c r="N2" i="13"/>
  <c r="M2" i="13"/>
  <c r="C20" i="15"/>
  <c r="D20" i="15" s="1"/>
  <c r="C19" i="15"/>
  <c r="D19" i="15" s="1"/>
  <c r="C18" i="15"/>
  <c r="D18" i="15" s="1"/>
  <c r="C17" i="15"/>
  <c r="D17" i="15" s="1"/>
  <c r="C9" i="15"/>
  <c r="D9" i="15" s="1"/>
  <c r="C8" i="15"/>
  <c r="D8" i="15" s="1"/>
  <c r="C7" i="15"/>
  <c r="D7" i="15" s="1"/>
  <c r="C6" i="15"/>
  <c r="D6" i="15" s="1"/>
  <c r="C5" i="15"/>
  <c r="D5" i="15" s="1"/>
  <c r="C4" i="15"/>
  <c r="D4" i="15" s="1"/>
  <c r="C3" i="15"/>
  <c r="D3" i="15" s="1"/>
  <c r="M4" i="22"/>
  <c r="L4" i="22"/>
  <c r="J4" i="22"/>
  <c r="I4" i="22"/>
  <c r="M3" i="22"/>
  <c r="L3" i="22"/>
  <c r="J3" i="22"/>
  <c r="I3" i="22"/>
  <c r="M2" i="22"/>
  <c r="L2" i="22"/>
  <c r="J2" i="22"/>
  <c r="I2" i="22"/>
  <c r="M13" i="21"/>
  <c r="L13" i="21"/>
  <c r="J13" i="21"/>
  <c r="I13" i="21"/>
  <c r="M12" i="21"/>
  <c r="L12" i="21"/>
  <c r="J12" i="21"/>
  <c r="I12" i="21"/>
  <c r="M11" i="21"/>
  <c r="L11" i="21"/>
  <c r="J11" i="21"/>
  <c r="I11" i="21"/>
  <c r="M10" i="21"/>
  <c r="L10" i="21"/>
  <c r="J10" i="21"/>
  <c r="I10" i="21"/>
  <c r="M9" i="21"/>
  <c r="L9" i="21"/>
  <c r="J9" i="21"/>
  <c r="I9" i="21"/>
  <c r="M8" i="21"/>
  <c r="L8" i="21"/>
  <c r="J8" i="21"/>
  <c r="I8" i="21"/>
  <c r="M7" i="21"/>
  <c r="L7" i="21"/>
  <c r="J7" i="21"/>
  <c r="I7" i="21"/>
  <c r="M6" i="21"/>
  <c r="L6" i="21"/>
  <c r="J6" i="21"/>
  <c r="I6" i="21"/>
  <c r="M5" i="21"/>
  <c r="L5" i="21"/>
  <c r="J5" i="21"/>
  <c r="I5" i="21"/>
  <c r="M4" i="21"/>
  <c r="L4" i="21"/>
  <c r="J4" i="21"/>
  <c r="I4" i="21"/>
  <c r="M3" i="21"/>
  <c r="L3" i="21"/>
  <c r="J3" i="21"/>
  <c r="I3" i="21"/>
  <c r="M2" i="21"/>
  <c r="L2" i="21"/>
  <c r="J2" i="21"/>
  <c r="I2" i="21"/>
  <c r="AA807" i="11"/>
  <c r="U807" i="11"/>
  <c r="T807" i="11"/>
  <c r="Q807" i="11"/>
  <c r="P807" i="11"/>
  <c r="O807" i="11"/>
  <c r="N807" i="11"/>
  <c r="R807" i="11" s="1"/>
  <c r="AA806" i="11"/>
  <c r="V806" i="11"/>
  <c r="T806" i="11"/>
  <c r="S806" i="11"/>
  <c r="W806" i="11" s="1"/>
  <c r="R806" i="11"/>
  <c r="P806" i="11"/>
  <c r="Q806" i="11" s="1"/>
  <c r="U806" i="11" s="1"/>
  <c r="O806" i="11"/>
  <c r="N806" i="11"/>
  <c r="AA805" i="11"/>
  <c r="T805" i="11"/>
  <c r="Q805" i="11"/>
  <c r="U805" i="11" s="1"/>
  <c r="P805" i="11"/>
  <c r="O805" i="11"/>
  <c r="N805" i="11"/>
  <c r="R805" i="11" s="1"/>
  <c r="AA804" i="11"/>
  <c r="T804" i="11"/>
  <c r="Q804" i="11"/>
  <c r="U804" i="11" s="1"/>
  <c r="P804" i="11"/>
  <c r="O804" i="11"/>
  <c r="R804" i="11" s="1"/>
  <c r="N804" i="11"/>
  <c r="AA803" i="11"/>
  <c r="T803" i="11"/>
  <c r="Q803" i="11"/>
  <c r="P803" i="11"/>
  <c r="O803" i="11"/>
  <c r="N803" i="11"/>
  <c r="R803" i="11" s="1"/>
  <c r="AA802" i="11"/>
  <c r="U802" i="11"/>
  <c r="T802" i="11"/>
  <c r="Q802" i="11"/>
  <c r="P802" i="11"/>
  <c r="O802" i="11"/>
  <c r="R802" i="11" s="1"/>
  <c r="N802" i="11"/>
  <c r="AA801" i="11"/>
  <c r="T801" i="11"/>
  <c r="P801" i="11"/>
  <c r="Q801" i="11" s="1"/>
  <c r="U801" i="11" s="1"/>
  <c r="O801" i="11"/>
  <c r="R801" i="11" s="1"/>
  <c r="N801" i="11"/>
  <c r="AA800" i="11"/>
  <c r="U800" i="11"/>
  <c r="T800" i="11"/>
  <c r="R800" i="11"/>
  <c r="V800" i="11" s="1"/>
  <c r="Q800" i="11"/>
  <c r="P800" i="11"/>
  <c r="O800" i="11"/>
  <c r="N800" i="11"/>
  <c r="AA799" i="11"/>
  <c r="V799" i="11"/>
  <c r="T799" i="11"/>
  <c r="R799" i="11"/>
  <c r="P799" i="11"/>
  <c r="Q799" i="11" s="1"/>
  <c r="O799" i="11"/>
  <c r="N799" i="11"/>
  <c r="AA798" i="11"/>
  <c r="T798" i="11"/>
  <c r="Q798" i="11"/>
  <c r="U798" i="11" s="1"/>
  <c r="P798" i="11"/>
  <c r="O798" i="11"/>
  <c r="R798" i="11" s="1"/>
  <c r="N798" i="11"/>
  <c r="AA797" i="11"/>
  <c r="V797" i="11"/>
  <c r="T797" i="11"/>
  <c r="P797" i="11"/>
  <c r="Q797" i="11" s="1"/>
  <c r="U797" i="11" s="1"/>
  <c r="O797" i="11"/>
  <c r="R797" i="11" s="1"/>
  <c r="N797" i="11"/>
  <c r="AA796" i="11"/>
  <c r="T796" i="11"/>
  <c r="Q796" i="11"/>
  <c r="U796" i="11" s="1"/>
  <c r="P796" i="11"/>
  <c r="O796" i="11"/>
  <c r="R796" i="11" s="1"/>
  <c r="N796" i="11"/>
  <c r="AA795" i="11"/>
  <c r="T795" i="11"/>
  <c r="R795" i="11"/>
  <c r="V795" i="11" s="1"/>
  <c r="P795" i="11"/>
  <c r="Q795" i="11" s="1"/>
  <c r="U795" i="11" s="1"/>
  <c r="O795" i="11"/>
  <c r="N795" i="11"/>
  <c r="AA794" i="11"/>
  <c r="T794" i="11"/>
  <c r="P794" i="11"/>
  <c r="Q794" i="11" s="1"/>
  <c r="U794" i="11" s="1"/>
  <c r="O794" i="11"/>
  <c r="R794" i="11" s="1"/>
  <c r="V794" i="11" s="1"/>
  <c r="N794" i="11"/>
  <c r="AA793" i="11"/>
  <c r="U793" i="11"/>
  <c r="T793" i="11"/>
  <c r="Q793" i="11"/>
  <c r="P793" i="11"/>
  <c r="O793" i="11"/>
  <c r="N793" i="11"/>
  <c r="R793" i="11" s="1"/>
  <c r="AA792" i="11"/>
  <c r="T792" i="11"/>
  <c r="P792" i="11"/>
  <c r="Q792" i="11" s="1"/>
  <c r="U792" i="11" s="1"/>
  <c r="O792" i="11"/>
  <c r="R792" i="11" s="1"/>
  <c r="V792" i="11" s="1"/>
  <c r="N792" i="11"/>
  <c r="AA791" i="11"/>
  <c r="T791" i="11"/>
  <c r="U791" i="11" s="1"/>
  <c r="Q791" i="11"/>
  <c r="P791" i="11"/>
  <c r="O791" i="11"/>
  <c r="R791" i="11" s="1"/>
  <c r="N791" i="11"/>
  <c r="AA790" i="11"/>
  <c r="T790" i="11"/>
  <c r="P790" i="11"/>
  <c r="Q790" i="11" s="1"/>
  <c r="U790" i="11" s="1"/>
  <c r="O790" i="11"/>
  <c r="R790" i="11" s="1"/>
  <c r="V790" i="11" s="1"/>
  <c r="N790" i="11"/>
  <c r="AA789" i="11"/>
  <c r="U789" i="11"/>
  <c r="T789" i="11"/>
  <c r="Q789" i="11"/>
  <c r="P789" i="11"/>
  <c r="O789" i="11"/>
  <c r="N789" i="11"/>
  <c r="R789" i="11" s="1"/>
  <c r="AA788" i="11"/>
  <c r="U788" i="11"/>
  <c r="T788" i="11"/>
  <c r="P788" i="11"/>
  <c r="Q788" i="11" s="1"/>
  <c r="O788" i="11"/>
  <c r="R788" i="11" s="1"/>
  <c r="N788" i="11"/>
  <c r="AA787" i="11"/>
  <c r="T787" i="11"/>
  <c r="P787" i="11"/>
  <c r="Q787" i="11" s="1"/>
  <c r="O787" i="11"/>
  <c r="R787" i="11" s="1"/>
  <c r="N787" i="11"/>
  <c r="AA786" i="11"/>
  <c r="V786" i="11"/>
  <c r="U786" i="11"/>
  <c r="T786" i="11"/>
  <c r="Q786" i="11"/>
  <c r="P786" i="11"/>
  <c r="O786" i="11"/>
  <c r="R786" i="11" s="1"/>
  <c r="S786" i="11" s="1"/>
  <c r="W786" i="11" s="1"/>
  <c r="N786" i="11"/>
  <c r="AA785" i="11"/>
  <c r="V785" i="11"/>
  <c r="T785" i="11"/>
  <c r="Q785" i="11"/>
  <c r="U785" i="11" s="1"/>
  <c r="P785" i="11"/>
  <c r="O785" i="11"/>
  <c r="R785" i="11" s="1"/>
  <c r="N785" i="11"/>
  <c r="AA784" i="11"/>
  <c r="U784" i="11"/>
  <c r="T784" i="11"/>
  <c r="R784" i="11"/>
  <c r="V784" i="11" s="1"/>
  <c r="Q784" i="11"/>
  <c r="P784" i="11"/>
  <c r="O784" i="11"/>
  <c r="N784" i="11"/>
  <c r="AA783" i="11"/>
  <c r="V783" i="11"/>
  <c r="T783" i="11"/>
  <c r="R783" i="11"/>
  <c r="P783" i="11"/>
  <c r="Q783" i="11" s="1"/>
  <c r="O783" i="11"/>
  <c r="N783" i="11"/>
  <c r="AA782" i="11"/>
  <c r="T782" i="11"/>
  <c r="R782" i="11"/>
  <c r="Q782" i="11"/>
  <c r="U782" i="11" s="1"/>
  <c r="P782" i="11"/>
  <c r="O782" i="11"/>
  <c r="N782" i="11"/>
  <c r="AA781" i="11"/>
  <c r="T781" i="11"/>
  <c r="R781" i="11"/>
  <c r="S781" i="11" s="1"/>
  <c r="W781" i="11" s="1"/>
  <c r="Q781" i="11"/>
  <c r="U781" i="11" s="1"/>
  <c r="P781" i="11"/>
  <c r="O781" i="11"/>
  <c r="N781" i="11"/>
  <c r="AA780" i="11"/>
  <c r="T780" i="11"/>
  <c r="Q780" i="11"/>
  <c r="U780" i="11" s="1"/>
  <c r="P780" i="11"/>
  <c r="O780" i="11"/>
  <c r="R780" i="11" s="1"/>
  <c r="N780" i="11"/>
  <c r="AA779" i="11"/>
  <c r="T779" i="11"/>
  <c r="R779" i="11"/>
  <c r="V779" i="11" s="1"/>
  <c r="P779" i="11"/>
  <c r="Q779" i="11" s="1"/>
  <c r="U779" i="11" s="1"/>
  <c r="O779" i="11"/>
  <c r="N779" i="11"/>
  <c r="AA778" i="11"/>
  <c r="T778" i="11"/>
  <c r="P778" i="11"/>
  <c r="Q778" i="11" s="1"/>
  <c r="U778" i="11" s="1"/>
  <c r="O778" i="11"/>
  <c r="N778" i="11"/>
  <c r="R778" i="11" s="1"/>
  <c r="V778" i="11" s="1"/>
  <c r="AA777" i="11"/>
  <c r="U777" i="11"/>
  <c r="T777" i="11"/>
  <c r="Q777" i="11"/>
  <c r="P777" i="11"/>
  <c r="O777" i="11"/>
  <c r="N777" i="11"/>
  <c r="R777" i="11" s="1"/>
  <c r="AA776" i="11"/>
  <c r="T776" i="11"/>
  <c r="P776" i="11"/>
  <c r="Q776" i="11" s="1"/>
  <c r="U776" i="11" s="1"/>
  <c r="O776" i="11"/>
  <c r="R776" i="11" s="1"/>
  <c r="V776" i="11" s="1"/>
  <c r="N776" i="11"/>
  <c r="AA775" i="11"/>
  <c r="T775" i="11"/>
  <c r="U775" i="11" s="1"/>
  <c r="Q775" i="11"/>
  <c r="P775" i="11"/>
  <c r="O775" i="11"/>
  <c r="R775" i="11" s="1"/>
  <c r="N775" i="11"/>
  <c r="AA774" i="11"/>
  <c r="T774" i="11"/>
  <c r="P774" i="11"/>
  <c r="Q774" i="11" s="1"/>
  <c r="U774" i="11" s="1"/>
  <c r="O774" i="11"/>
  <c r="R774" i="11" s="1"/>
  <c r="V774" i="11" s="1"/>
  <c r="N774" i="11"/>
  <c r="AA773" i="11"/>
  <c r="U773" i="11"/>
  <c r="T773" i="11"/>
  <c r="Q773" i="11"/>
  <c r="P773" i="11"/>
  <c r="O773" i="11"/>
  <c r="N773" i="11"/>
  <c r="R773" i="11" s="1"/>
  <c r="AA772" i="11"/>
  <c r="U772" i="11"/>
  <c r="T772" i="11"/>
  <c r="P772" i="11"/>
  <c r="Q772" i="11" s="1"/>
  <c r="O772" i="11"/>
  <c r="R772" i="11" s="1"/>
  <c r="N772" i="11"/>
  <c r="AA771" i="11"/>
  <c r="T771" i="11"/>
  <c r="P771" i="11"/>
  <c r="Q771" i="11" s="1"/>
  <c r="O771" i="11"/>
  <c r="R771" i="11" s="1"/>
  <c r="N771" i="11"/>
  <c r="AA770" i="11"/>
  <c r="V770" i="11"/>
  <c r="U770" i="11"/>
  <c r="T770" i="11"/>
  <c r="Q770" i="11"/>
  <c r="P770" i="11"/>
  <c r="O770" i="11"/>
  <c r="R770" i="11" s="1"/>
  <c r="S770" i="11" s="1"/>
  <c r="W770" i="11" s="1"/>
  <c r="N770" i="11"/>
  <c r="AA769" i="11"/>
  <c r="V769" i="11"/>
  <c r="T769" i="11"/>
  <c r="Q769" i="11"/>
  <c r="U769" i="11" s="1"/>
  <c r="P769" i="11"/>
  <c r="O769" i="11"/>
  <c r="R769" i="11" s="1"/>
  <c r="N769" i="11"/>
  <c r="AA768" i="11"/>
  <c r="U768" i="11"/>
  <c r="T768" i="11"/>
  <c r="R768" i="11"/>
  <c r="V768" i="11" s="1"/>
  <c r="Q768" i="11"/>
  <c r="P768" i="11"/>
  <c r="O768" i="11"/>
  <c r="N768" i="11"/>
  <c r="AA767" i="11"/>
  <c r="V767" i="11"/>
  <c r="T767" i="11"/>
  <c r="R767" i="11"/>
  <c r="P767" i="11"/>
  <c r="Q767" i="11" s="1"/>
  <c r="O767" i="11"/>
  <c r="N767" i="11"/>
  <c r="AA766" i="11"/>
  <c r="T766" i="11"/>
  <c r="R766" i="11"/>
  <c r="Q766" i="11"/>
  <c r="U766" i="11" s="1"/>
  <c r="P766" i="11"/>
  <c r="O766" i="11"/>
  <c r="N766" i="11"/>
  <c r="AA765" i="11"/>
  <c r="T765" i="11"/>
  <c r="R765" i="11"/>
  <c r="S765" i="11" s="1"/>
  <c r="W765" i="11" s="1"/>
  <c r="Q765" i="11"/>
  <c r="U765" i="11" s="1"/>
  <c r="P765" i="11"/>
  <c r="O765" i="11"/>
  <c r="N765" i="11"/>
  <c r="AA764" i="11"/>
  <c r="T764" i="11"/>
  <c r="Q764" i="11"/>
  <c r="U764" i="11" s="1"/>
  <c r="P764" i="11"/>
  <c r="O764" i="11"/>
  <c r="R764" i="11" s="1"/>
  <c r="N764" i="11"/>
  <c r="AA763" i="11"/>
  <c r="T763" i="11"/>
  <c r="R763" i="11"/>
  <c r="V763" i="11" s="1"/>
  <c r="P763" i="11"/>
  <c r="Q763" i="11" s="1"/>
  <c r="U763" i="11" s="1"/>
  <c r="O763" i="11"/>
  <c r="N763" i="11"/>
  <c r="AA762" i="11"/>
  <c r="T762" i="11"/>
  <c r="P762" i="11"/>
  <c r="Q762" i="11" s="1"/>
  <c r="U762" i="11" s="1"/>
  <c r="O762" i="11"/>
  <c r="N762" i="11"/>
  <c r="R762" i="11" s="1"/>
  <c r="V762" i="11" s="1"/>
  <c r="AA761" i="11"/>
  <c r="U761" i="11"/>
  <c r="T761" i="11"/>
  <c r="Q761" i="11"/>
  <c r="P761" i="11"/>
  <c r="O761" i="11"/>
  <c r="N761" i="11"/>
  <c r="R761" i="11" s="1"/>
  <c r="AA760" i="11"/>
  <c r="T760" i="11"/>
  <c r="P760" i="11"/>
  <c r="Q760" i="11" s="1"/>
  <c r="U760" i="11" s="1"/>
  <c r="O760" i="11"/>
  <c r="R760" i="11" s="1"/>
  <c r="V760" i="11" s="1"/>
  <c r="N760" i="11"/>
  <c r="AA759" i="11"/>
  <c r="T759" i="11"/>
  <c r="U759" i="11" s="1"/>
  <c r="Q759" i="11"/>
  <c r="P759" i="11"/>
  <c r="O759" i="11"/>
  <c r="R759" i="11" s="1"/>
  <c r="N759" i="11"/>
  <c r="AA758" i="11"/>
  <c r="T758" i="11"/>
  <c r="P758" i="11"/>
  <c r="Q758" i="11" s="1"/>
  <c r="U758" i="11" s="1"/>
  <c r="O758" i="11"/>
  <c r="R758" i="11" s="1"/>
  <c r="V758" i="11" s="1"/>
  <c r="N758" i="11"/>
  <c r="AA757" i="11"/>
  <c r="U757" i="11"/>
  <c r="T757" i="11"/>
  <c r="Q757" i="11"/>
  <c r="P757" i="11"/>
  <c r="O757" i="11"/>
  <c r="N757" i="11"/>
  <c r="R757" i="11" s="1"/>
  <c r="AA756" i="11"/>
  <c r="U756" i="11"/>
  <c r="T756" i="11"/>
  <c r="P756" i="11"/>
  <c r="Q756" i="11" s="1"/>
  <c r="O756" i="11"/>
  <c r="R756" i="11" s="1"/>
  <c r="N756" i="11"/>
  <c r="AA755" i="11"/>
  <c r="T755" i="11"/>
  <c r="P755" i="11"/>
  <c r="Q755" i="11" s="1"/>
  <c r="O755" i="11"/>
  <c r="R755" i="11" s="1"/>
  <c r="N755" i="11"/>
  <c r="AA754" i="11"/>
  <c r="V754" i="11"/>
  <c r="U754" i="11"/>
  <c r="T754" i="11"/>
  <c r="Q754" i="11"/>
  <c r="P754" i="11"/>
  <c r="O754" i="11"/>
  <c r="R754" i="11" s="1"/>
  <c r="S754" i="11" s="1"/>
  <c r="W754" i="11" s="1"/>
  <c r="N754" i="11"/>
  <c r="AA753" i="11"/>
  <c r="T753" i="11"/>
  <c r="Q753" i="11"/>
  <c r="U753" i="11" s="1"/>
  <c r="P753" i="11"/>
  <c r="O753" i="11"/>
  <c r="R753" i="11" s="1"/>
  <c r="N753" i="11"/>
  <c r="AA752" i="11"/>
  <c r="U752" i="11"/>
  <c r="T752" i="11"/>
  <c r="R752" i="11"/>
  <c r="V752" i="11" s="1"/>
  <c r="Q752" i="11"/>
  <c r="P752" i="11"/>
  <c r="O752" i="11"/>
  <c r="N752" i="11"/>
  <c r="AA751" i="11"/>
  <c r="V751" i="11"/>
  <c r="T751" i="11"/>
  <c r="R751" i="11"/>
  <c r="P751" i="11"/>
  <c r="Q751" i="11" s="1"/>
  <c r="O751" i="11"/>
  <c r="N751" i="11"/>
  <c r="AA750" i="11"/>
  <c r="T750" i="11"/>
  <c r="R750" i="11"/>
  <c r="Q750" i="11"/>
  <c r="U750" i="11" s="1"/>
  <c r="P750" i="11"/>
  <c r="O750" i="11"/>
  <c r="N750" i="11"/>
  <c r="AA749" i="11"/>
  <c r="T749" i="11"/>
  <c r="R749" i="11"/>
  <c r="S749" i="11" s="1"/>
  <c r="W749" i="11" s="1"/>
  <c r="Q749" i="11"/>
  <c r="U749" i="11" s="1"/>
  <c r="P749" i="11"/>
  <c r="O749" i="11"/>
  <c r="N749" i="11"/>
  <c r="AA748" i="11"/>
  <c r="T748" i="11"/>
  <c r="Q748" i="11"/>
  <c r="U748" i="11" s="1"/>
  <c r="P748" i="11"/>
  <c r="O748" i="11"/>
  <c r="R748" i="11" s="1"/>
  <c r="N748" i="11"/>
  <c r="AA747" i="11"/>
  <c r="T747" i="11"/>
  <c r="R747" i="11"/>
  <c r="V747" i="11" s="1"/>
  <c r="P747" i="11"/>
  <c r="Q747" i="11" s="1"/>
  <c r="U747" i="11" s="1"/>
  <c r="O747" i="11"/>
  <c r="N747" i="11"/>
  <c r="AA746" i="11"/>
  <c r="T746" i="11"/>
  <c r="P746" i="11"/>
  <c r="Q746" i="11" s="1"/>
  <c r="U746" i="11" s="1"/>
  <c r="O746" i="11"/>
  <c r="N746" i="11"/>
  <c r="R746" i="11" s="1"/>
  <c r="V746" i="11" s="1"/>
  <c r="AA745" i="11"/>
  <c r="U745" i="11"/>
  <c r="T745" i="11"/>
  <c r="Q745" i="11"/>
  <c r="P745" i="11"/>
  <c r="O745" i="11"/>
  <c r="N745" i="11"/>
  <c r="R745" i="11" s="1"/>
  <c r="AA744" i="11"/>
  <c r="T744" i="11"/>
  <c r="P744" i="11"/>
  <c r="Q744" i="11" s="1"/>
  <c r="U744" i="11" s="1"/>
  <c r="O744" i="11"/>
  <c r="R744" i="11" s="1"/>
  <c r="V744" i="11" s="1"/>
  <c r="N744" i="11"/>
  <c r="AA743" i="11"/>
  <c r="T743" i="11"/>
  <c r="U743" i="11" s="1"/>
  <c r="Q743" i="11"/>
  <c r="P743" i="11"/>
  <c r="O743" i="11"/>
  <c r="R743" i="11" s="1"/>
  <c r="N743" i="11"/>
  <c r="AA742" i="11"/>
  <c r="T742" i="11"/>
  <c r="P742" i="11"/>
  <c r="Q742" i="11" s="1"/>
  <c r="U742" i="11" s="1"/>
  <c r="O742" i="11"/>
  <c r="R742" i="11" s="1"/>
  <c r="V742" i="11" s="1"/>
  <c r="N742" i="11"/>
  <c r="AA741" i="11"/>
  <c r="U741" i="11"/>
  <c r="T741" i="11"/>
  <c r="Q741" i="11"/>
  <c r="P741" i="11"/>
  <c r="O741" i="11"/>
  <c r="N741" i="11"/>
  <c r="R741" i="11" s="1"/>
  <c r="AA740" i="11"/>
  <c r="U740" i="11"/>
  <c r="T740" i="11"/>
  <c r="P740" i="11"/>
  <c r="Q740" i="11" s="1"/>
  <c r="O740" i="11"/>
  <c r="R740" i="11" s="1"/>
  <c r="N740" i="11"/>
  <c r="AA739" i="11"/>
  <c r="T739" i="11"/>
  <c r="P739" i="11"/>
  <c r="Q739" i="11" s="1"/>
  <c r="O739" i="11"/>
  <c r="R739" i="11" s="1"/>
  <c r="N739" i="11"/>
  <c r="AA738" i="11"/>
  <c r="U738" i="11"/>
  <c r="T738" i="11"/>
  <c r="Q738" i="11"/>
  <c r="P738" i="11"/>
  <c r="O738" i="11"/>
  <c r="R738" i="11" s="1"/>
  <c r="S738" i="11" s="1"/>
  <c r="W738" i="11" s="1"/>
  <c r="N738" i="11"/>
  <c r="AA737" i="11"/>
  <c r="T737" i="11"/>
  <c r="Q737" i="11"/>
  <c r="U737" i="11" s="1"/>
  <c r="P737" i="11"/>
  <c r="O737" i="11"/>
  <c r="R737" i="11" s="1"/>
  <c r="N737" i="11"/>
  <c r="AA736" i="11"/>
  <c r="U736" i="11"/>
  <c r="T736" i="11"/>
  <c r="R736" i="11"/>
  <c r="V736" i="11" s="1"/>
  <c r="Q736" i="11"/>
  <c r="P736" i="11"/>
  <c r="O736" i="11"/>
  <c r="N736" i="11"/>
  <c r="AA735" i="11"/>
  <c r="V735" i="11"/>
  <c r="T735" i="11"/>
  <c r="R735" i="11"/>
  <c r="P735" i="11"/>
  <c r="Q735" i="11" s="1"/>
  <c r="O735" i="11"/>
  <c r="N735" i="11"/>
  <c r="AA734" i="11"/>
  <c r="T734" i="11"/>
  <c r="R734" i="11"/>
  <c r="Q734" i="11"/>
  <c r="U734" i="11" s="1"/>
  <c r="P734" i="11"/>
  <c r="O734" i="11"/>
  <c r="N734" i="11"/>
  <c r="AA733" i="11"/>
  <c r="T733" i="11"/>
  <c r="R733" i="11"/>
  <c r="S733" i="11" s="1"/>
  <c r="W733" i="11" s="1"/>
  <c r="Q733" i="11"/>
  <c r="U733" i="11" s="1"/>
  <c r="P733" i="11"/>
  <c r="O733" i="11"/>
  <c r="N733" i="11"/>
  <c r="AA732" i="11"/>
  <c r="T732" i="11"/>
  <c r="Q732" i="11"/>
  <c r="U732" i="11" s="1"/>
  <c r="P732" i="11"/>
  <c r="O732" i="11"/>
  <c r="N732" i="11"/>
  <c r="R732" i="11" s="1"/>
  <c r="AA731" i="11"/>
  <c r="T731" i="11"/>
  <c r="R731" i="11"/>
  <c r="V731" i="11" s="1"/>
  <c r="P731" i="11"/>
  <c r="Q731" i="11" s="1"/>
  <c r="U731" i="11" s="1"/>
  <c r="O731" i="11"/>
  <c r="N731" i="11"/>
  <c r="AA730" i="11"/>
  <c r="T730" i="11"/>
  <c r="P730" i="11"/>
  <c r="Q730" i="11" s="1"/>
  <c r="U730" i="11" s="1"/>
  <c r="O730" i="11"/>
  <c r="N730" i="11"/>
  <c r="R730" i="11" s="1"/>
  <c r="V730" i="11" s="1"/>
  <c r="AA729" i="11"/>
  <c r="U729" i="11"/>
  <c r="T729" i="11"/>
  <c r="Q729" i="11"/>
  <c r="P729" i="11"/>
  <c r="O729" i="11"/>
  <c r="N729" i="11"/>
  <c r="R729" i="11" s="1"/>
  <c r="AA728" i="11"/>
  <c r="T728" i="11"/>
  <c r="P728" i="11"/>
  <c r="Q728" i="11" s="1"/>
  <c r="U728" i="11" s="1"/>
  <c r="O728" i="11"/>
  <c r="R728" i="11" s="1"/>
  <c r="V728" i="11" s="1"/>
  <c r="N728" i="11"/>
  <c r="AA727" i="11"/>
  <c r="T727" i="11"/>
  <c r="U727" i="11" s="1"/>
  <c r="Q727" i="11"/>
  <c r="P727" i="11"/>
  <c r="O727" i="11"/>
  <c r="R727" i="11" s="1"/>
  <c r="N727" i="11"/>
  <c r="AA726" i="11"/>
  <c r="T726" i="11"/>
  <c r="P726" i="11"/>
  <c r="Q726" i="11" s="1"/>
  <c r="U726" i="11" s="1"/>
  <c r="O726" i="11"/>
  <c r="R726" i="11" s="1"/>
  <c r="V726" i="11" s="1"/>
  <c r="N726" i="11"/>
  <c r="AA725" i="11"/>
  <c r="U725" i="11"/>
  <c r="T725" i="11"/>
  <c r="Q725" i="11"/>
  <c r="P725" i="11"/>
  <c r="O725" i="11"/>
  <c r="N725" i="11"/>
  <c r="R725" i="11" s="1"/>
  <c r="AA724" i="11"/>
  <c r="U724" i="11"/>
  <c r="T724" i="11"/>
  <c r="P724" i="11"/>
  <c r="Q724" i="11" s="1"/>
  <c r="O724" i="11"/>
  <c r="R724" i="11" s="1"/>
  <c r="N724" i="11"/>
  <c r="AA723" i="11"/>
  <c r="T723" i="11"/>
  <c r="P723" i="11"/>
  <c r="Q723" i="11" s="1"/>
  <c r="O723" i="11"/>
  <c r="R723" i="11" s="1"/>
  <c r="N723" i="11"/>
  <c r="AA722" i="11"/>
  <c r="U722" i="11"/>
  <c r="T722" i="11"/>
  <c r="Q722" i="11"/>
  <c r="P722" i="11"/>
  <c r="O722" i="11"/>
  <c r="R722" i="11" s="1"/>
  <c r="S722" i="11" s="1"/>
  <c r="W722" i="11" s="1"/>
  <c r="N722" i="11"/>
  <c r="AA721" i="11"/>
  <c r="T721" i="11"/>
  <c r="Q721" i="11"/>
  <c r="U721" i="11" s="1"/>
  <c r="P721" i="11"/>
  <c r="O721" i="11"/>
  <c r="R721" i="11" s="1"/>
  <c r="N721" i="11"/>
  <c r="AA720" i="11"/>
  <c r="T720" i="11"/>
  <c r="Q720" i="11"/>
  <c r="U720" i="11" s="1"/>
  <c r="P720" i="11"/>
  <c r="O720" i="11"/>
  <c r="R720" i="11" s="1"/>
  <c r="N720" i="11"/>
  <c r="AA719" i="11"/>
  <c r="T719" i="11"/>
  <c r="P719" i="11"/>
  <c r="Q719" i="11" s="1"/>
  <c r="U719" i="11" s="1"/>
  <c r="O719" i="11"/>
  <c r="R719" i="11" s="1"/>
  <c r="V719" i="11" s="1"/>
  <c r="N719" i="11"/>
  <c r="AA718" i="11"/>
  <c r="T718" i="11"/>
  <c r="R718" i="11"/>
  <c r="Q718" i="11"/>
  <c r="U718" i="11" s="1"/>
  <c r="P718" i="11"/>
  <c r="O718" i="11"/>
  <c r="N718" i="11"/>
  <c r="AA717" i="11"/>
  <c r="T717" i="11"/>
  <c r="R717" i="11"/>
  <c r="S717" i="11" s="1"/>
  <c r="W717" i="11" s="1"/>
  <c r="Q717" i="11"/>
  <c r="U717" i="11" s="1"/>
  <c r="P717" i="11"/>
  <c r="O717" i="11"/>
  <c r="N717" i="11"/>
  <c r="AA716" i="11"/>
  <c r="T716" i="11"/>
  <c r="Q716" i="11"/>
  <c r="U716" i="11" s="1"/>
  <c r="P716" i="11"/>
  <c r="O716" i="11"/>
  <c r="N716" i="11"/>
  <c r="AA715" i="11"/>
  <c r="T715" i="11"/>
  <c r="Q715" i="11"/>
  <c r="U715" i="11" s="1"/>
  <c r="P715" i="11"/>
  <c r="O715" i="11"/>
  <c r="R715" i="11" s="1"/>
  <c r="N715" i="11"/>
  <c r="AA714" i="11"/>
  <c r="T714" i="11"/>
  <c r="P714" i="11"/>
  <c r="Q714" i="11" s="1"/>
  <c r="U714" i="11" s="1"/>
  <c r="O714" i="11"/>
  <c r="N714" i="11"/>
  <c r="R714" i="11" s="1"/>
  <c r="AA713" i="11"/>
  <c r="U713" i="11"/>
  <c r="T713" i="11"/>
  <c r="Q713" i="11"/>
  <c r="P713" i="11"/>
  <c r="O713" i="11"/>
  <c r="R713" i="11" s="1"/>
  <c r="N713" i="11"/>
  <c r="AA712" i="11"/>
  <c r="T712" i="11"/>
  <c r="S712" i="11"/>
  <c r="P712" i="11"/>
  <c r="Q712" i="11" s="1"/>
  <c r="O712" i="11"/>
  <c r="R712" i="11" s="1"/>
  <c r="N712" i="11"/>
  <c r="AA711" i="11"/>
  <c r="T711" i="11"/>
  <c r="U711" i="11" s="1"/>
  <c r="Q711" i="11"/>
  <c r="P711" i="11"/>
  <c r="O711" i="11"/>
  <c r="N711" i="11"/>
  <c r="AA710" i="11"/>
  <c r="T710" i="11"/>
  <c r="P710" i="11"/>
  <c r="Q710" i="11" s="1"/>
  <c r="U710" i="11" s="1"/>
  <c r="O710" i="11"/>
  <c r="N710" i="11"/>
  <c r="AA709" i="11"/>
  <c r="T709" i="11"/>
  <c r="P709" i="11"/>
  <c r="Q709" i="11" s="1"/>
  <c r="O709" i="11"/>
  <c r="N709" i="11"/>
  <c r="R709" i="11" s="1"/>
  <c r="AA708" i="11"/>
  <c r="T708" i="11"/>
  <c r="P708" i="11"/>
  <c r="Q708" i="11" s="1"/>
  <c r="U708" i="11" s="1"/>
  <c r="O708" i="11"/>
  <c r="N708" i="11"/>
  <c r="AA707" i="11"/>
  <c r="T707" i="11"/>
  <c r="V707" i="11" s="1"/>
  <c r="P707" i="11"/>
  <c r="Q707" i="11" s="1"/>
  <c r="O707" i="11"/>
  <c r="R707" i="11" s="1"/>
  <c r="N707" i="11"/>
  <c r="AA706" i="11"/>
  <c r="T706" i="11"/>
  <c r="Q706" i="11"/>
  <c r="U706" i="11" s="1"/>
  <c r="P706" i="11"/>
  <c r="O706" i="11"/>
  <c r="R706" i="11" s="1"/>
  <c r="N706" i="11"/>
  <c r="AA705" i="11"/>
  <c r="T705" i="11"/>
  <c r="Q705" i="11"/>
  <c r="U705" i="11" s="1"/>
  <c r="P705" i="11"/>
  <c r="O705" i="11"/>
  <c r="N705" i="11"/>
  <c r="AA704" i="11"/>
  <c r="T704" i="11"/>
  <c r="R704" i="11"/>
  <c r="P704" i="11"/>
  <c r="Q704" i="11" s="1"/>
  <c r="U704" i="11" s="1"/>
  <c r="O704" i="11"/>
  <c r="N704" i="11"/>
  <c r="AA703" i="11"/>
  <c r="T703" i="11"/>
  <c r="R703" i="11"/>
  <c r="V703" i="11" s="1"/>
  <c r="P703" i="11"/>
  <c r="Q703" i="11" s="1"/>
  <c r="U703" i="11" s="1"/>
  <c r="O703" i="11"/>
  <c r="N703" i="11"/>
  <c r="AA702" i="11"/>
  <c r="T702" i="11"/>
  <c r="R702" i="11"/>
  <c r="P702" i="11"/>
  <c r="Q702" i="11" s="1"/>
  <c r="U702" i="11" s="1"/>
  <c r="O702" i="11"/>
  <c r="N702" i="11"/>
  <c r="AA701" i="11"/>
  <c r="T701" i="11"/>
  <c r="Q701" i="11"/>
  <c r="U701" i="11" s="1"/>
  <c r="P701" i="11"/>
  <c r="O701" i="11"/>
  <c r="R701" i="11" s="1"/>
  <c r="N701" i="11"/>
  <c r="AA700" i="11"/>
  <c r="T700" i="11"/>
  <c r="Q700" i="11"/>
  <c r="U700" i="11" s="1"/>
  <c r="P700" i="11"/>
  <c r="O700" i="11"/>
  <c r="N700" i="11"/>
  <c r="AA699" i="11"/>
  <c r="T699" i="11"/>
  <c r="R699" i="11"/>
  <c r="V699" i="11" s="1"/>
  <c r="Q699" i="11"/>
  <c r="S699" i="11" s="1"/>
  <c r="W699" i="11" s="1"/>
  <c r="P699" i="11"/>
  <c r="O699" i="11"/>
  <c r="N699" i="11"/>
  <c r="AA698" i="11"/>
  <c r="V698" i="11"/>
  <c r="T698" i="11"/>
  <c r="R698" i="11"/>
  <c r="S698" i="11" s="1"/>
  <c r="W698" i="11" s="1"/>
  <c r="P698" i="11"/>
  <c r="Q698" i="11" s="1"/>
  <c r="U698" i="11" s="1"/>
  <c r="O698" i="11"/>
  <c r="N698" i="11"/>
  <c r="AA697" i="11"/>
  <c r="T697" i="11"/>
  <c r="P697" i="11"/>
  <c r="Q697" i="11" s="1"/>
  <c r="U697" i="11" s="1"/>
  <c r="O697" i="11"/>
  <c r="R697" i="11" s="1"/>
  <c r="N697" i="11"/>
  <c r="AA696" i="11"/>
  <c r="T696" i="11"/>
  <c r="Q696" i="11"/>
  <c r="U696" i="11" s="1"/>
  <c r="P696" i="11"/>
  <c r="O696" i="11"/>
  <c r="N696" i="11"/>
  <c r="R696" i="11" s="1"/>
  <c r="AA695" i="11"/>
  <c r="T695" i="11"/>
  <c r="Q695" i="11"/>
  <c r="U695" i="11" s="1"/>
  <c r="P695" i="11"/>
  <c r="O695" i="11"/>
  <c r="N695" i="11"/>
  <c r="AA694" i="11"/>
  <c r="V694" i="11"/>
  <c r="T694" i="11"/>
  <c r="R694" i="11"/>
  <c r="P694" i="11"/>
  <c r="Q694" i="11" s="1"/>
  <c r="U694" i="11" s="1"/>
  <c r="O694" i="11"/>
  <c r="N694" i="11"/>
  <c r="AA693" i="11"/>
  <c r="T693" i="11"/>
  <c r="R693" i="11"/>
  <c r="P693" i="11"/>
  <c r="Q693" i="11" s="1"/>
  <c r="O693" i="11"/>
  <c r="N693" i="11"/>
  <c r="AA692" i="11"/>
  <c r="T692" i="11"/>
  <c r="R692" i="11"/>
  <c r="V692" i="11" s="1"/>
  <c r="P692" i="11"/>
  <c r="Q692" i="11" s="1"/>
  <c r="U692" i="11" s="1"/>
  <c r="O692" i="11"/>
  <c r="N692" i="11"/>
  <c r="AA691" i="11"/>
  <c r="U691" i="11"/>
  <c r="T691" i="11"/>
  <c r="R691" i="11"/>
  <c r="S691" i="11" s="1"/>
  <c r="W691" i="11" s="1"/>
  <c r="Q691" i="11"/>
  <c r="P691" i="11"/>
  <c r="O691" i="11"/>
  <c r="N691" i="11"/>
  <c r="AA690" i="11"/>
  <c r="T690" i="11"/>
  <c r="Q690" i="11"/>
  <c r="U690" i="11" s="1"/>
  <c r="P690" i="11"/>
  <c r="O690" i="11"/>
  <c r="R690" i="11" s="1"/>
  <c r="N690" i="11"/>
  <c r="AA689" i="11"/>
  <c r="V689" i="11"/>
  <c r="T689" i="11"/>
  <c r="R689" i="11"/>
  <c r="S689" i="11" s="1"/>
  <c r="W689" i="11" s="1"/>
  <c r="Q689" i="11"/>
  <c r="U689" i="11" s="1"/>
  <c r="P689" i="11"/>
  <c r="O689" i="11"/>
  <c r="N689" i="11"/>
  <c r="AA688" i="11"/>
  <c r="U688" i="11"/>
  <c r="T688" i="11"/>
  <c r="R688" i="11"/>
  <c r="S688" i="11" s="1"/>
  <c r="W688" i="11" s="1"/>
  <c r="Q688" i="11"/>
  <c r="P688" i="11"/>
  <c r="O688" i="11"/>
  <c r="N688" i="11"/>
  <c r="AA687" i="11"/>
  <c r="T687" i="11"/>
  <c r="R687" i="11"/>
  <c r="V687" i="11" s="1"/>
  <c r="P687" i="11"/>
  <c r="Q687" i="11" s="1"/>
  <c r="O687" i="11"/>
  <c r="N687" i="11"/>
  <c r="AA686" i="11"/>
  <c r="T686" i="11"/>
  <c r="P686" i="11"/>
  <c r="Q686" i="11" s="1"/>
  <c r="U686" i="11" s="1"/>
  <c r="O686" i="11"/>
  <c r="N686" i="11"/>
  <c r="R686" i="11" s="1"/>
  <c r="AA685" i="11"/>
  <c r="T685" i="11"/>
  <c r="P685" i="11"/>
  <c r="Q685" i="11" s="1"/>
  <c r="U685" i="11" s="1"/>
  <c r="O685" i="11"/>
  <c r="N685" i="11"/>
  <c r="R685" i="11" s="1"/>
  <c r="AA684" i="11"/>
  <c r="T684" i="11"/>
  <c r="Q684" i="11"/>
  <c r="U684" i="11" s="1"/>
  <c r="P684" i="11"/>
  <c r="O684" i="11"/>
  <c r="R684" i="11" s="1"/>
  <c r="N684" i="11"/>
  <c r="AA683" i="11"/>
  <c r="T683" i="11"/>
  <c r="P683" i="11"/>
  <c r="Q683" i="11" s="1"/>
  <c r="U683" i="11" s="1"/>
  <c r="O683" i="11"/>
  <c r="R683" i="11" s="1"/>
  <c r="N683" i="11"/>
  <c r="AA682" i="11"/>
  <c r="T682" i="11"/>
  <c r="P682" i="11"/>
  <c r="Q682" i="11" s="1"/>
  <c r="U682" i="11" s="1"/>
  <c r="O682" i="11"/>
  <c r="R682" i="11" s="1"/>
  <c r="N682" i="11"/>
  <c r="AA681" i="11"/>
  <c r="T681" i="11"/>
  <c r="P681" i="11"/>
  <c r="Q681" i="11" s="1"/>
  <c r="U681" i="11" s="1"/>
  <c r="O681" i="11"/>
  <c r="R681" i="11" s="1"/>
  <c r="N681" i="11"/>
  <c r="AA680" i="11"/>
  <c r="T680" i="11"/>
  <c r="P680" i="11"/>
  <c r="Q680" i="11" s="1"/>
  <c r="U680" i="11" s="1"/>
  <c r="O680" i="11"/>
  <c r="R680" i="11" s="1"/>
  <c r="N680" i="11"/>
  <c r="AA679" i="11"/>
  <c r="T679" i="11"/>
  <c r="P679" i="11"/>
  <c r="Q679" i="11" s="1"/>
  <c r="U679" i="11" s="1"/>
  <c r="O679" i="11"/>
  <c r="R679" i="11" s="1"/>
  <c r="N679" i="11"/>
  <c r="AA678" i="11"/>
  <c r="T678" i="11"/>
  <c r="P678" i="11"/>
  <c r="Q678" i="11" s="1"/>
  <c r="U678" i="11" s="1"/>
  <c r="O678" i="11"/>
  <c r="R678" i="11" s="1"/>
  <c r="N678" i="11"/>
  <c r="AA677" i="11"/>
  <c r="T677" i="11"/>
  <c r="Q677" i="11"/>
  <c r="U677" i="11" s="1"/>
  <c r="P677" i="11"/>
  <c r="O677" i="11"/>
  <c r="R677" i="11" s="1"/>
  <c r="N677" i="11"/>
  <c r="AA676" i="11"/>
  <c r="U676" i="11"/>
  <c r="T676" i="11"/>
  <c r="Q676" i="11"/>
  <c r="P676" i="11"/>
  <c r="O676" i="11"/>
  <c r="R676" i="11" s="1"/>
  <c r="N676" i="11"/>
  <c r="AA675" i="11"/>
  <c r="T675" i="11"/>
  <c r="V675" i="11" s="1"/>
  <c r="R675" i="11"/>
  <c r="Q675" i="11"/>
  <c r="S675" i="11" s="1"/>
  <c r="W675" i="11" s="1"/>
  <c r="P675" i="11"/>
  <c r="O675" i="11"/>
  <c r="N675" i="11"/>
  <c r="AA674" i="11"/>
  <c r="T674" i="11"/>
  <c r="Q674" i="11"/>
  <c r="U674" i="11" s="1"/>
  <c r="P674" i="11"/>
  <c r="O674" i="11"/>
  <c r="R674" i="11" s="1"/>
  <c r="N674" i="11"/>
  <c r="AA673" i="11"/>
  <c r="V673" i="11"/>
  <c r="T673" i="11"/>
  <c r="R673" i="11"/>
  <c r="S673" i="11" s="1"/>
  <c r="W673" i="11" s="1"/>
  <c r="Q673" i="11"/>
  <c r="U673" i="11" s="1"/>
  <c r="P673" i="11"/>
  <c r="O673" i="11"/>
  <c r="N673" i="11"/>
  <c r="AA672" i="11"/>
  <c r="U672" i="11"/>
  <c r="T672" i="11"/>
  <c r="R672" i="11"/>
  <c r="S672" i="11" s="1"/>
  <c r="W672" i="11" s="1"/>
  <c r="Q672" i="11"/>
  <c r="P672" i="11"/>
  <c r="O672" i="11"/>
  <c r="N672" i="11"/>
  <c r="AA671" i="11"/>
  <c r="T671" i="11"/>
  <c r="S671" i="11"/>
  <c r="W671" i="11" s="1"/>
  <c r="R671" i="11"/>
  <c r="V671" i="11" s="1"/>
  <c r="P671" i="11"/>
  <c r="Q671" i="11" s="1"/>
  <c r="U671" i="11" s="1"/>
  <c r="O671" i="11"/>
  <c r="N671" i="11"/>
  <c r="AA670" i="11"/>
  <c r="T670" i="11"/>
  <c r="P670" i="11"/>
  <c r="Q670" i="11" s="1"/>
  <c r="U670" i="11" s="1"/>
  <c r="O670" i="11"/>
  <c r="N670" i="11"/>
  <c r="R670" i="11" s="1"/>
  <c r="AA669" i="11"/>
  <c r="T669" i="11"/>
  <c r="P669" i="11"/>
  <c r="Q669" i="11" s="1"/>
  <c r="U669" i="11" s="1"/>
  <c r="O669" i="11"/>
  <c r="N669" i="11"/>
  <c r="R669" i="11" s="1"/>
  <c r="AA668" i="11"/>
  <c r="T668" i="11"/>
  <c r="Q668" i="11"/>
  <c r="U668" i="11" s="1"/>
  <c r="P668" i="11"/>
  <c r="O668" i="11"/>
  <c r="R668" i="11" s="1"/>
  <c r="N668" i="11"/>
  <c r="AA667" i="11"/>
  <c r="T667" i="11"/>
  <c r="P667" i="11"/>
  <c r="Q667" i="11" s="1"/>
  <c r="U667" i="11" s="1"/>
  <c r="O667" i="11"/>
  <c r="R667" i="11" s="1"/>
  <c r="N667" i="11"/>
  <c r="AA666" i="11"/>
  <c r="T666" i="11"/>
  <c r="P666" i="11"/>
  <c r="Q666" i="11" s="1"/>
  <c r="U666" i="11" s="1"/>
  <c r="O666" i="11"/>
  <c r="R666" i="11" s="1"/>
  <c r="N666" i="11"/>
  <c r="AA665" i="11"/>
  <c r="U665" i="11"/>
  <c r="T665" i="11"/>
  <c r="P665" i="11"/>
  <c r="Q665" i="11" s="1"/>
  <c r="O665" i="11"/>
  <c r="R665" i="11" s="1"/>
  <c r="N665" i="11"/>
  <c r="AA664" i="11"/>
  <c r="T664" i="11"/>
  <c r="P664" i="11"/>
  <c r="Q664" i="11" s="1"/>
  <c r="U664" i="11" s="1"/>
  <c r="O664" i="11"/>
  <c r="R664" i="11" s="1"/>
  <c r="N664" i="11"/>
  <c r="AA663" i="11"/>
  <c r="T663" i="11"/>
  <c r="P663" i="11"/>
  <c r="Q663" i="11" s="1"/>
  <c r="U663" i="11" s="1"/>
  <c r="O663" i="11"/>
  <c r="R663" i="11" s="1"/>
  <c r="N663" i="11"/>
  <c r="AA662" i="11"/>
  <c r="T662" i="11"/>
  <c r="P662" i="11"/>
  <c r="Q662" i="11" s="1"/>
  <c r="U662" i="11" s="1"/>
  <c r="O662" i="11"/>
  <c r="R662" i="11" s="1"/>
  <c r="V662" i="11" s="1"/>
  <c r="N662" i="11"/>
  <c r="AA661" i="11"/>
  <c r="T661" i="11"/>
  <c r="Q661" i="11"/>
  <c r="U661" i="11" s="1"/>
  <c r="P661" i="11"/>
  <c r="O661" i="11"/>
  <c r="N661" i="11"/>
  <c r="AA660" i="11"/>
  <c r="U660" i="11"/>
  <c r="T660" i="11"/>
  <c r="Q660" i="11"/>
  <c r="P660" i="11"/>
  <c r="O660" i="11"/>
  <c r="R660" i="11" s="1"/>
  <c r="N660" i="11"/>
  <c r="AA659" i="11"/>
  <c r="T659" i="11"/>
  <c r="V659" i="11" s="1"/>
  <c r="R659" i="11"/>
  <c r="Q659" i="11"/>
  <c r="S659" i="11" s="1"/>
  <c r="W659" i="11" s="1"/>
  <c r="P659" i="11"/>
  <c r="O659" i="11"/>
  <c r="N659" i="11"/>
  <c r="AA658" i="11"/>
  <c r="T658" i="11"/>
  <c r="R658" i="11"/>
  <c r="Q658" i="11"/>
  <c r="U658" i="11" s="1"/>
  <c r="P658" i="11"/>
  <c r="O658" i="11"/>
  <c r="N658" i="11"/>
  <c r="AA657" i="11"/>
  <c r="V657" i="11"/>
  <c r="T657" i="11"/>
  <c r="R657" i="11"/>
  <c r="S657" i="11" s="1"/>
  <c r="W657" i="11" s="1"/>
  <c r="Q657" i="11"/>
  <c r="U657" i="11" s="1"/>
  <c r="P657" i="11"/>
  <c r="O657" i="11"/>
  <c r="N657" i="11"/>
  <c r="AA656" i="11"/>
  <c r="U656" i="11"/>
  <c r="T656" i="11"/>
  <c r="R656" i="11"/>
  <c r="S656" i="11" s="1"/>
  <c r="W656" i="11" s="1"/>
  <c r="Q656" i="11"/>
  <c r="P656" i="11"/>
  <c r="O656" i="11"/>
  <c r="N656" i="11"/>
  <c r="AA655" i="11"/>
  <c r="T655" i="11"/>
  <c r="R655" i="11"/>
  <c r="V655" i="11" s="1"/>
  <c r="P655" i="11"/>
  <c r="Q655" i="11" s="1"/>
  <c r="U655" i="11" s="1"/>
  <c r="O655" i="11"/>
  <c r="N655" i="11"/>
  <c r="AA654" i="11"/>
  <c r="T654" i="11"/>
  <c r="P654" i="11"/>
  <c r="Q654" i="11" s="1"/>
  <c r="U654" i="11" s="1"/>
  <c r="O654" i="11"/>
  <c r="N654" i="11"/>
  <c r="R654" i="11" s="1"/>
  <c r="AA653" i="11"/>
  <c r="T653" i="11"/>
  <c r="U653" i="11" s="1"/>
  <c r="S653" i="11"/>
  <c r="W653" i="11" s="1"/>
  <c r="Q653" i="11"/>
  <c r="P653" i="11"/>
  <c r="O653" i="11"/>
  <c r="N653" i="11"/>
  <c r="R653" i="11" s="1"/>
  <c r="V653" i="11" s="1"/>
  <c r="AA652" i="11"/>
  <c r="T652" i="11"/>
  <c r="Q652" i="11"/>
  <c r="U652" i="11" s="1"/>
  <c r="P652" i="11"/>
  <c r="O652" i="11"/>
  <c r="R652" i="11" s="1"/>
  <c r="N652" i="11"/>
  <c r="AA651" i="11"/>
  <c r="T651" i="11"/>
  <c r="P651" i="11"/>
  <c r="Q651" i="11" s="1"/>
  <c r="U651" i="11" s="1"/>
  <c r="O651" i="11"/>
  <c r="R651" i="11" s="1"/>
  <c r="N651" i="11"/>
  <c r="AA650" i="11"/>
  <c r="T650" i="11"/>
  <c r="P650" i="11"/>
  <c r="Q650" i="11" s="1"/>
  <c r="O650" i="11"/>
  <c r="R650" i="11" s="1"/>
  <c r="N650" i="11"/>
  <c r="AA649" i="11"/>
  <c r="U649" i="11"/>
  <c r="T649" i="11"/>
  <c r="R649" i="11"/>
  <c r="P649" i="11"/>
  <c r="Q649" i="11" s="1"/>
  <c r="O649" i="11"/>
  <c r="N649" i="11"/>
  <c r="AA648" i="11"/>
  <c r="T648" i="11"/>
  <c r="P648" i="11"/>
  <c r="Q648" i="11" s="1"/>
  <c r="U648" i="11" s="1"/>
  <c r="O648" i="11"/>
  <c r="R648" i="11" s="1"/>
  <c r="N648" i="11"/>
  <c r="AA647" i="11"/>
  <c r="T647" i="11"/>
  <c r="P647" i="11"/>
  <c r="Q647" i="11" s="1"/>
  <c r="U647" i="11" s="1"/>
  <c r="O647" i="11"/>
  <c r="R647" i="11" s="1"/>
  <c r="N647" i="11"/>
  <c r="AA646" i="11"/>
  <c r="V646" i="11"/>
  <c r="T646" i="11"/>
  <c r="S646" i="11"/>
  <c r="W646" i="11" s="1"/>
  <c r="P646" i="11"/>
  <c r="Q646" i="11" s="1"/>
  <c r="U646" i="11" s="1"/>
  <c r="O646" i="11"/>
  <c r="R646" i="11" s="1"/>
  <c r="N646" i="11"/>
  <c r="AA645" i="11"/>
  <c r="T645" i="11"/>
  <c r="Q645" i="11"/>
  <c r="U645" i="11" s="1"/>
  <c r="P645" i="11"/>
  <c r="O645" i="11"/>
  <c r="N645" i="11"/>
  <c r="R645" i="11" s="1"/>
  <c r="S645" i="11" s="1"/>
  <c r="W645" i="11" s="1"/>
  <c r="AA644" i="11"/>
  <c r="V644" i="11"/>
  <c r="T644" i="11"/>
  <c r="Q644" i="11"/>
  <c r="U644" i="11" s="1"/>
  <c r="P644" i="11"/>
  <c r="O644" i="11"/>
  <c r="R644" i="11" s="1"/>
  <c r="S644" i="11" s="1"/>
  <c r="W644" i="11" s="1"/>
  <c r="N644" i="11"/>
  <c r="AA643" i="11"/>
  <c r="T643" i="11"/>
  <c r="V643" i="11" s="1"/>
  <c r="R643" i="11"/>
  <c r="Q643" i="11"/>
  <c r="U643" i="11" s="1"/>
  <c r="P643" i="11"/>
  <c r="O643" i="11"/>
  <c r="N643" i="11"/>
  <c r="AA642" i="11"/>
  <c r="T642" i="11"/>
  <c r="Q642" i="11"/>
  <c r="U642" i="11" s="1"/>
  <c r="P642" i="11"/>
  <c r="O642" i="11"/>
  <c r="R642" i="11" s="1"/>
  <c r="N642" i="11"/>
  <c r="AA641" i="11"/>
  <c r="T641" i="11"/>
  <c r="R641" i="11"/>
  <c r="Q641" i="11"/>
  <c r="U641" i="11" s="1"/>
  <c r="P641" i="11"/>
  <c r="O641" i="11"/>
  <c r="N641" i="11"/>
  <c r="AA640" i="11"/>
  <c r="U640" i="11"/>
  <c r="T640" i="11"/>
  <c r="R640" i="11"/>
  <c r="Q640" i="11"/>
  <c r="P640" i="11"/>
  <c r="O640" i="11"/>
  <c r="N640" i="11"/>
  <c r="AA639" i="11"/>
  <c r="T639" i="11"/>
  <c r="R639" i="11"/>
  <c r="V639" i="11" s="1"/>
  <c r="P639" i="11"/>
  <c r="Q639" i="11" s="1"/>
  <c r="U639" i="11" s="1"/>
  <c r="O639" i="11"/>
  <c r="N639" i="11"/>
  <c r="AA638" i="11"/>
  <c r="T638" i="11"/>
  <c r="P638" i="11"/>
  <c r="Q638" i="11" s="1"/>
  <c r="U638" i="11" s="1"/>
  <c r="O638" i="11"/>
  <c r="N638" i="11"/>
  <c r="R638" i="11" s="1"/>
  <c r="AA637" i="11"/>
  <c r="T637" i="11"/>
  <c r="U637" i="11" s="1"/>
  <c r="R637" i="11"/>
  <c r="V637" i="11" s="1"/>
  <c r="Q637" i="11"/>
  <c r="P637" i="11"/>
  <c r="O637" i="11"/>
  <c r="N637" i="11"/>
  <c r="AA636" i="11"/>
  <c r="T636" i="11"/>
  <c r="Q636" i="11"/>
  <c r="P636" i="11"/>
  <c r="O636" i="11"/>
  <c r="R636" i="11" s="1"/>
  <c r="N636" i="11"/>
  <c r="AA635" i="11"/>
  <c r="T635" i="11"/>
  <c r="P635" i="11"/>
  <c r="Q635" i="11" s="1"/>
  <c r="O635" i="11"/>
  <c r="R635" i="11" s="1"/>
  <c r="V635" i="11" s="1"/>
  <c r="N635" i="11"/>
  <c r="AA634" i="11"/>
  <c r="T634" i="11"/>
  <c r="S634" i="11"/>
  <c r="W634" i="11" s="1"/>
  <c r="P634" i="11"/>
  <c r="Q634" i="11" s="1"/>
  <c r="U634" i="11" s="1"/>
  <c r="O634" i="11"/>
  <c r="R634" i="11" s="1"/>
  <c r="N634" i="11"/>
  <c r="AA633" i="11"/>
  <c r="U633" i="11"/>
  <c r="T633" i="11"/>
  <c r="P633" i="11"/>
  <c r="Q633" i="11" s="1"/>
  <c r="O633" i="11"/>
  <c r="R633" i="11" s="1"/>
  <c r="N633" i="11"/>
  <c r="AA632" i="11"/>
  <c r="U632" i="11"/>
  <c r="T632" i="11"/>
  <c r="P632" i="11"/>
  <c r="Q632" i="11" s="1"/>
  <c r="O632" i="11"/>
  <c r="R632" i="11" s="1"/>
  <c r="N632" i="11"/>
  <c r="AA631" i="11"/>
  <c r="U631" i="11"/>
  <c r="T631" i="11"/>
  <c r="P631" i="11"/>
  <c r="Q631" i="11" s="1"/>
  <c r="O631" i="11"/>
  <c r="R631" i="11" s="1"/>
  <c r="N631" i="11"/>
  <c r="AA630" i="11"/>
  <c r="U630" i="11"/>
  <c r="T630" i="11"/>
  <c r="S630" i="11"/>
  <c r="W630" i="11" s="1"/>
  <c r="P630" i="11"/>
  <c r="Q630" i="11" s="1"/>
  <c r="O630" i="11"/>
  <c r="R630" i="11" s="1"/>
  <c r="V630" i="11" s="1"/>
  <c r="N630" i="11"/>
  <c r="AA629" i="11"/>
  <c r="V629" i="11"/>
  <c r="U629" i="11"/>
  <c r="T629" i="11"/>
  <c r="Q629" i="11"/>
  <c r="P629" i="11"/>
  <c r="O629" i="11"/>
  <c r="N629" i="11"/>
  <c r="R629" i="11" s="1"/>
  <c r="S629" i="11" s="1"/>
  <c r="W629" i="11" s="1"/>
  <c r="AA628" i="11"/>
  <c r="T628" i="11"/>
  <c r="Q628" i="11"/>
  <c r="U628" i="11" s="1"/>
  <c r="P628" i="11"/>
  <c r="O628" i="11"/>
  <c r="R628" i="11" s="1"/>
  <c r="N628" i="11"/>
  <c r="AA627" i="11"/>
  <c r="V627" i="11"/>
  <c r="T627" i="11"/>
  <c r="R627" i="11"/>
  <c r="P627" i="11"/>
  <c r="Q627" i="11" s="1"/>
  <c r="U627" i="11" s="1"/>
  <c r="O627" i="11"/>
  <c r="N627" i="11"/>
  <c r="AA626" i="11"/>
  <c r="T626" i="11"/>
  <c r="Q626" i="11"/>
  <c r="U626" i="11" s="1"/>
  <c r="P626" i="11"/>
  <c r="O626" i="11"/>
  <c r="R626" i="11" s="1"/>
  <c r="N626" i="11"/>
  <c r="AA625" i="11"/>
  <c r="T625" i="11"/>
  <c r="R625" i="11"/>
  <c r="S625" i="11" s="1"/>
  <c r="W625" i="11" s="1"/>
  <c r="Q625" i="11"/>
  <c r="U625" i="11" s="1"/>
  <c r="P625" i="11"/>
  <c r="O625" i="11"/>
  <c r="N625" i="11"/>
  <c r="AA624" i="11"/>
  <c r="T624" i="11"/>
  <c r="R624" i="11"/>
  <c r="Q624" i="11"/>
  <c r="U624" i="11" s="1"/>
  <c r="P624" i="11"/>
  <c r="O624" i="11"/>
  <c r="N624" i="11"/>
  <c r="AA623" i="11"/>
  <c r="T623" i="11"/>
  <c r="S623" i="11"/>
  <c r="W623" i="11" s="1"/>
  <c r="R623" i="11"/>
  <c r="V623" i="11" s="1"/>
  <c r="P623" i="11"/>
  <c r="Q623" i="11" s="1"/>
  <c r="U623" i="11" s="1"/>
  <c r="O623" i="11"/>
  <c r="N623" i="11"/>
  <c r="AA622" i="11"/>
  <c r="T622" i="11"/>
  <c r="R622" i="11"/>
  <c r="V622" i="11" s="1"/>
  <c r="P622" i="11"/>
  <c r="Q622" i="11" s="1"/>
  <c r="U622" i="11" s="1"/>
  <c r="O622" i="11"/>
  <c r="N622" i="11"/>
  <c r="AA621" i="11"/>
  <c r="T621" i="11"/>
  <c r="U621" i="11" s="1"/>
  <c r="Q621" i="11"/>
  <c r="P621" i="11"/>
  <c r="O621" i="11"/>
  <c r="N621" i="11"/>
  <c r="R621" i="11" s="1"/>
  <c r="AA620" i="11"/>
  <c r="T620" i="11"/>
  <c r="Q620" i="11"/>
  <c r="U620" i="11" s="1"/>
  <c r="P620" i="11"/>
  <c r="O620" i="11"/>
  <c r="R620" i="11" s="1"/>
  <c r="V620" i="11" s="1"/>
  <c r="N620" i="11"/>
  <c r="AA619" i="11"/>
  <c r="T619" i="11"/>
  <c r="P619" i="11"/>
  <c r="Q619" i="11" s="1"/>
  <c r="U619" i="11" s="1"/>
  <c r="O619" i="11"/>
  <c r="N619" i="11"/>
  <c r="AA618" i="11"/>
  <c r="T618" i="11"/>
  <c r="P618" i="11"/>
  <c r="Q618" i="11" s="1"/>
  <c r="O618" i="11"/>
  <c r="N618" i="11"/>
  <c r="AA617" i="11"/>
  <c r="U617" i="11"/>
  <c r="T617" i="11"/>
  <c r="P617" i="11"/>
  <c r="Q617" i="11" s="1"/>
  <c r="O617" i="11"/>
  <c r="R617" i="11" s="1"/>
  <c r="N617" i="11"/>
  <c r="AA616" i="11"/>
  <c r="T616" i="11"/>
  <c r="U616" i="11" s="1"/>
  <c r="P616" i="11"/>
  <c r="Q616" i="11" s="1"/>
  <c r="O616" i="11"/>
  <c r="R616" i="11" s="1"/>
  <c r="N616" i="11"/>
  <c r="AA615" i="11"/>
  <c r="T615" i="11"/>
  <c r="P615" i="11"/>
  <c r="Q615" i="11" s="1"/>
  <c r="U615" i="11" s="1"/>
  <c r="O615" i="11"/>
  <c r="R615" i="11" s="1"/>
  <c r="N615" i="11"/>
  <c r="AA614" i="11"/>
  <c r="U614" i="11"/>
  <c r="T614" i="11"/>
  <c r="P614" i="11"/>
  <c r="Q614" i="11" s="1"/>
  <c r="O614" i="11"/>
  <c r="R614" i="11" s="1"/>
  <c r="V614" i="11" s="1"/>
  <c r="N614" i="11"/>
  <c r="AA613" i="11"/>
  <c r="T613" i="11"/>
  <c r="P613" i="11"/>
  <c r="Q613" i="11" s="1"/>
  <c r="U613" i="11" s="1"/>
  <c r="O613" i="11"/>
  <c r="N613" i="11"/>
  <c r="R613" i="11" s="1"/>
  <c r="V613" i="11" s="1"/>
  <c r="AA612" i="11"/>
  <c r="T612" i="11"/>
  <c r="P612" i="11"/>
  <c r="Q612" i="11" s="1"/>
  <c r="U612" i="11" s="1"/>
  <c r="O612" i="11"/>
  <c r="R612" i="11" s="1"/>
  <c r="N612" i="11"/>
  <c r="AA611" i="11"/>
  <c r="V611" i="11"/>
  <c r="T611" i="11"/>
  <c r="R611" i="11"/>
  <c r="Q611" i="11"/>
  <c r="U611" i="11" s="1"/>
  <c r="P611" i="11"/>
  <c r="O611" i="11"/>
  <c r="N611" i="11"/>
  <c r="AA610" i="11"/>
  <c r="T610" i="11"/>
  <c r="Q610" i="11"/>
  <c r="U610" i="11" s="1"/>
  <c r="P610" i="11"/>
  <c r="O610" i="11"/>
  <c r="R610" i="11" s="1"/>
  <c r="N610" i="11"/>
  <c r="AA609" i="11"/>
  <c r="T609" i="11"/>
  <c r="R609" i="11"/>
  <c r="S609" i="11" s="1"/>
  <c r="W609" i="11" s="1"/>
  <c r="Q609" i="11"/>
  <c r="U609" i="11" s="1"/>
  <c r="P609" i="11"/>
  <c r="O609" i="11"/>
  <c r="N609" i="11"/>
  <c r="AA608" i="11"/>
  <c r="T608" i="11"/>
  <c r="R608" i="11"/>
  <c r="Q608" i="11"/>
  <c r="U608" i="11" s="1"/>
  <c r="P608" i="11"/>
  <c r="O608" i="11"/>
  <c r="N608" i="11"/>
  <c r="AA607" i="11"/>
  <c r="W607" i="11"/>
  <c r="T607" i="11"/>
  <c r="S607" i="11"/>
  <c r="R607" i="11"/>
  <c r="V607" i="11" s="1"/>
  <c r="P607" i="11"/>
  <c r="Q607" i="11" s="1"/>
  <c r="U607" i="11" s="1"/>
  <c r="O607" i="11"/>
  <c r="N607" i="11"/>
  <c r="AA606" i="11"/>
  <c r="T606" i="11"/>
  <c r="R606" i="11"/>
  <c r="V606" i="11" s="1"/>
  <c r="P606" i="11"/>
  <c r="Q606" i="11" s="1"/>
  <c r="U606" i="11" s="1"/>
  <c r="O606" i="11"/>
  <c r="N606" i="11"/>
  <c r="AA605" i="11"/>
  <c r="V605" i="11"/>
  <c r="T605" i="11"/>
  <c r="U605" i="11" s="1"/>
  <c r="S605" i="11"/>
  <c r="W605" i="11" s="1"/>
  <c r="R605" i="11"/>
  <c r="Q605" i="11"/>
  <c r="P605" i="11"/>
  <c r="O605" i="11"/>
  <c r="N605" i="11"/>
  <c r="AA604" i="11"/>
  <c r="T604" i="11"/>
  <c r="Q604" i="11"/>
  <c r="U604" i="11" s="1"/>
  <c r="P604" i="11"/>
  <c r="O604" i="11"/>
  <c r="R604" i="11" s="1"/>
  <c r="N604" i="11"/>
  <c r="AA603" i="11"/>
  <c r="T603" i="11"/>
  <c r="S603" i="11"/>
  <c r="P603" i="11"/>
  <c r="Q603" i="11" s="1"/>
  <c r="O603" i="11"/>
  <c r="R603" i="11" s="1"/>
  <c r="N603" i="11"/>
  <c r="AA602" i="11"/>
  <c r="T602" i="11"/>
  <c r="P602" i="11"/>
  <c r="Q602" i="11" s="1"/>
  <c r="U602" i="11" s="1"/>
  <c r="O602" i="11"/>
  <c r="N602" i="11"/>
  <c r="AA601" i="11"/>
  <c r="T601" i="11"/>
  <c r="P601" i="11"/>
  <c r="Q601" i="11" s="1"/>
  <c r="U601" i="11" s="1"/>
  <c r="O601" i="11"/>
  <c r="R601" i="11" s="1"/>
  <c r="N601" i="11"/>
  <c r="AA600" i="11"/>
  <c r="T600" i="11"/>
  <c r="P600" i="11"/>
  <c r="Q600" i="11" s="1"/>
  <c r="U600" i="11" s="1"/>
  <c r="O600" i="11"/>
  <c r="R600" i="11" s="1"/>
  <c r="N600" i="11"/>
  <c r="AA599" i="11"/>
  <c r="T599" i="11"/>
  <c r="P599" i="11"/>
  <c r="Q599" i="11" s="1"/>
  <c r="U599" i="11" s="1"/>
  <c r="O599" i="11"/>
  <c r="R599" i="11" s="1"/>
  <c r="N599" i="11"/>
  <c r="AA598" i="11"/>
  <c r="V598" i="11"/>
  <c r="U598" i="11"/>
  <c r="T598" i="11"/>
  <c r="P598" i="11"/>
  <c r="Q598" i="11" s="1"/>
  <c r="O598" i="11"/>
  <c r="R598" i="11" s="1"/>
  <c r="S598" i="11" s="1"/>
  <c r="W598" i="11" s="1"/>
  <c r="N598" i="11"/>
  <c r="AA597" i="11"/>
  <c r="T597" i="11"/>
  <c r="Q597" i="11"/>
  <c r="U597" i="11" s="1"/>
  <c r="P597" i="11"/>
  <c r="O597" i="11"/>
  <c r="N597" i="11"/>
  <c r="R597" i="11" s="1"/>
  <c r="AA596" i="11"/>
  <c r="V596" i="11"/>
  <c r="U596" i="11"/>
  <c r="T596" i="11"/>
  <c r="Q596" i="11"/>
  <c r="P596" i="11"/>
  <c r="O596" i="11"/>
  <c r="R596" i="11" s="1"/>
  <c r="S596" i="11" s="1"/>
  <c r="W596" i="11" s="1"/>
  <c r="N596" i="11"/>
  <c r="AA595" i="11"/>
  <c r="V595" i="11"/>
  <c r="T595" i="11"/>
  <c r="R595" i="11"/>
  <c r="S595" i="11" s="1"/>
  <c r="W595" i="11" s="1"/>
  <c r="Q595" i="11"/>
  <c r="U595" i="11" s="1"/>
  <c r="P595" i="11"/>
  <c r="O595" i="11"/>
  <c r="N595" i="11"/>
  <c r="AA594" i="11"/>
  <c r="V594" i="11"/>
  <c r="T594" i="11"/>
  <c r="R594" i="11"/>
  <c r="Q594" i="11"/>
  <c r="U594" i="11" s="1"/>
  <c r="P594" i="11"/>
  <c r="O594" i="11"/>
  <c r="N594" i="11"/>
  <c r="AA593" i="11"/>
  <c r="V593" i="11"/>
  <c r="T593" i="11"/>
  <c r="R593" i="11"/>
  <c r="Q593" i="11"/>
  <c r="U593" i="11" s="1"/>
  <c r="P593" i="11"/>
  <c r="O593" i="11"/>
  <c r="N593" i="11"/>
  <c r="AA592" i="11"/>
  <c r="U592" i="11"/>
  <c r="T592" i="11"/>
  <c r="R592" i="11"/>
  <c r="Q592" i="11"/>
  <c r="P592" i="11"/>
  <c r="O592" i="11"/>
  <c r="N592" i="11"/>
  <c r="AA591" i="11"/>
  <c r="T591" i="11"/>
  <c r="R591" i="11"/>
  <c r="V591" i="11" s="1"/>
  <c r="P591" i="11"/>
  <c r="Q591" i="11" s="1"/>
  <c r="U591" i="11" s="1"/>
  <c r="O591" i="11"/>
  <c r="N591" i="11"/>
  <c r="AA590" i="11"/>
  <c r="T590" i="11"/>
  <c r="S590" i="11"/>
  <c r="W590" i="11" s="1"/>
  <c r="R590" i="11"/>
  <c r="V590" i="11" s="1"/>
  <c r="P590" i="11"/>
  <c r="Q590" i="11" s="1"/>
  <c r="U590" i="11" s="1"/>
  <c r="O590" i="11"/>
  <c r="N590" i="11"/>
  <c r="AA589" i="11"/>
  <c r="T589" i="11"/>
  <c r="U589" i="11" s="1"/>
  <c r="R589" i="11"/>
  <c r="V589" i="11" s="1"/>
  <c r="Q589" i="11"/>
  <c r="P589" i="11"/>
  <c r="O589" i="11"/>
  <c r="N589" i="11"/>
  <c r="AA588" i="11"/>
  <c r="T588" i="11"/>
  <c r="S588" i="11"/>
  <c r="Q588" i="11"/>
  <c r="P588" i="11"/>
  <c r="O588" i="11"/>
  <c r="R588" i="11" s="1"/>
  <c r="N588" i="11"/>
  <c r="AA587" i="11"/>
  <c r="T587" i="11"/>
  <c r="P587" i="11"/>
  <c r="Q587" i="11" s="1"/>
  <c r="O587" i="11"/>
  <c r="N587" i="11"/>
  <c r="AA586" i="11"/>
  <c r="T586" i="11"/>
  <c r="P586" i="11"/>
  <c r="Q586" i="11" s="1"/>
  <c r="U586" i="11" s="1"/>
  <c r="O586" i="11"/>
  <c r="R586" i="11" s="1"/>
  <c r="V586" i="11" s="1"/>
  <c r="N586" i="11"/>
  <c r="AA585" i="11"/>
  <c r="U585" i="11"/>
  <c r="T585" i="11"/>
  <c r="R585" i="11"/>
  <c r="P585" i="11"/>
  <c r="Q585" i="11" s="1"/>
  <c r="O585" i="11"/>
  <c r="N585" i="11"/>
  <c r="AA584" i="11"/>
  <c r="U584" i="11"/>
  <c r="T584" i="11"/>
  <c r="Q584" i="11"/>
  <c r="P584" i="11"/>
  <c r="O584" i="11"/>
  <c r="R584" i="11" s="1"/>
  <c r="N584" i="11"/>
  <c r="AA583" i="11"/>
  <c r="T583" i="11"/>
  <c r="P583" i="11"/>
  <c r="Q583" i="11" s="1"/>
  <c r="U583" i="11" s="1"/>
  <c r="O583" i="11"/>
  <c r="R583" i="11" s="1"/>
  <c r="N583" i="11"/>
  <c r="AA582" i="11"/>
  <c r="T582" i="11"/>
  <c r="S582" i="11"/>
  <c r="W582" i="11" s="1"/>
  <c r="P582" i="11"/>
  <c r="Q582" i="11" s="1"/>
  <c r="U582" i="11" s="1"/>
  <c r="O582" i="11"/>
  <c r="R582" i="11" s="1"/>
  <c r="V582" i="11" s="1"/>
  <c r="N582" i="11"/>
  <c r="AA581" i="11"/>
  <c r="V581" i="11"/>
  <c r="T581" i="11"/>
  <c r="R581" i="11"/>
  <c r="P581" i="11"/>
  <c r="Q581" i="11" s="1"/>
  <c r="U581" i="11" s="1"/>
  <c r="O581" i="11"/>
  <c r="N581" i="11"/>
  <c r="AA580" i="11"/>
  <c r="V580" i="11"/>
  <c r="U580" i="11"/>
  <c r="T580" i="11"/>
  <c r="Q580" i="11"/>
  <c r="P580" i="11"/>
  <c r="O580" i="11"/>
  <c r="R580" i="11" s="1"/>
  <c r="N580" i="11"/>
  <c r="AA579" i="11"/>
  <c r="T579" i="11"/>
  <c r="V579" i="11" s="1"/>
  <c r="R579" i="11"/>
  <c r="Q579" i="11"/>
  <c r="U579" i="11" s="1"/>
  <c r="P579" i="11"/>
  <c r="O579" i="11"/>
  <c r="N579" i="11"/>
  <c r="AA578" i="11"/>
  <c r="V578" i="11"/>
  <c r="T578" i="11"/>
  <c r="R578" i="11"/>
  <c r="Q578" i="11"/>
  <c r="U578" i="11" s="1"/>
  <c r="P578" i="11"/>
  <c r="O578" i="11"/>
  <c r="N578" i="11"/>
  <c r="AA577" i="11"/>
  <c r="T577" i="11"/>
  <c r="Q577" i="11"/>
  <c r="U577" i="11" s="1"/>
  <c r="P577" i="11"/>
  <c r="O577" i="11"/>
  <c r="N577" i="11"/>
  <c r="R577" i="11" s="1"/>
  <c r="AA576" i="11"/>
  <c r="U576" i="11"/>
  <c r="T576" i="11"/>
  <c r="R576" i="11"/>
  <c r="Q576" i="11"/>
  <c r="P576" i="11"/>
  <c r="O576" i="11"/>
  <c r="N576" i="11"/>
  <c r="AA575" i="11"/>
  <c r="T575" i="11"/>
  <c r="R575" i="11"/>
  <c r="V575" i="11" s="1"/>
  <c r="P575" i="11"/>
  <c r="Q575" i="11" s="1"/>
  <c r="U575" i="11" s="1"/>
  <c r="O575" i="11"/>
  <c r="N575" i="11"/>
  <c r="AA574" i="11"/>
  <c r="T574" i="11"/>
  <c r="P574" i="11"/>
  <c r="Q574" i="11" s="1"/>
  <c r="U574" i="11" s="1"/>
  <c r="O574" i="11"/>
  <c r="R574" i="11" s="1"/>
  <c r="N574" i="11"/>
  <c r="AA573" i="11"/>
  <c r="T573" i="11"/>
  <c r="U573" i="11" s="1"/>
  <c r="R573" i="11"/>
  <c r="V573" i="11" s="1"/>
  <c r="Q573" i="11"/>
  <c r="P573" i="11"/>
  <c r="O573" i="11"/>
  <c r="N573" i="11"/>
  <c r="AA572" i="11"/>
  <c r="T572" i="11"/>
  <c r="U572" i="11" s="1"/>
  <c r="Q572" i="11"/>
  <c r="P572" i="11"/>
  <c r="O572" i="11"/>
  <c r="N572" i="11"/>
  <c r="AA571" i="11"/>
  <c r="T571" i="11"/>
  <c r="P571" i="11"/>
  <c r="Q571" i="11" s="1"/>
  <c r="U571" i="11" s="1"/>
  <c r="O571" i="11"/>
  <c r="R571" i="11" s="1"/>
  <c r="V571" i="11" s="1"/>
  <c r="N571" i="11"/>
  <c r="AA570" i="11"/>
  <c r="T570" i="11"/>
  <c r="P570" i="11"/>
  <c r="Q570" i="11" s="1"/>
  <c r="U570" i="11" s="1"/>
  <c r="O570" i="11"/>
  <c r="N570" i="11"/>
  <c r="AA569" i="11"/>
  <c r="U569" i="11"/>
  <c r="T569" i="11"/>
  <c r="P569" i="11"/>
  <c r="Q569" i="11" s="1"/>
  <c r="O569" i="11"/>
  <c r="R569" i="11" s="1"/>
  <c r="N569" i="11"/>
  <c r="AA568" i="11"/>
  <c r="T568" i="11"/>
  <c r="P568" i="11"/>
  <c r="Q568" i="11" s="1"/>
  <c r="U568" i="11" s="1"/>
  <c r="O568" i="11"/>
  <c r="R568" i="11" s="1"/>
  <c r="N568" i="11"/>
  <c r="AA567" i="11"/>
  <c r="T567" i="11"/>
  <c r="P567" i="11"/>
  <c r="Q567" i="11" s="1"/>
  <c r="U567" i="11" s="1"/>
  <c r="O567" i="11"/>
  <c r="R567" i="11" s="1"/>
  <c r="N567" i="11"/>
  <c r="AA566" i="11"/>
  <c r="V566" i="11"/>
  <c r="U566" i="11"/>
  <c r="T566" i="11"/>
  <c r="P566" i="11"/>
  <c r="Q566" i="11" s="1"/>
  <c r="O566" i="11"/>
  <c r="R566" i="11" s="1"/>
  <c r="S566" i="11" s="1"/>
  <c r="W566" i="11" s="1"/>
  <c r="N566" i="11"/>
  <c r="AA565" i="11"/>
  <c r="U565" i="11"/>
  <c r="T565" i="11"/>
  <c r="R565" i="11"/>
  <c r="S565" i="11" s="1"/>
  <c r="W565" i="11" s="1"/>
  <c r="Q565" i="11"/>
  <c r="P565" i="11"/>
  <c r="O565" i="11"/>
  <c r="N565" i="11"/>
  <c r="AA564" i="11"/>
  <c r="T564" i="11"/>
  <c r="P564" i="11"/>
  <c r="Q564" i="11" s="1"/>
  <c r="U564" i="11" s="1"/>
  <c r="O564" i="11"/>
  <c r="R564" i="11" s="1"/>
  <c r="V564" i="11" s="1"/>
  <c r="N564" i="11"/>
  <c r="AA563" i="11"/>
  <c r="T563" i="11"/>
  <c r="V563" i="11" s="1"/>
  <c r="R563" i="11"/>
  <c r="P563" i="11"/>
  <c r="Q563" i="11" s="1"/>
  <c r="U563" i="11" s="1"/>
  <c r="O563" i="11"/>
  <c r="N563" i="11"/>
  <c r="AA562" i="11"/>
  <c r="T562" i="11"/>
  <c r="R562" i="11"/>
  <c r="V562" i="11" s="1"/>
  <c r="Q562" i="11"/>
  <c r="U562" i="11" s="1"/>
  <c r="P562" i="11"/>
  <c r="O562" i="11"/>
  <c r="N562" i="11"/>
  <c r="AA561" i="11"/>
  <c r="T561" i="11"/>
  <c r="R561" i="11"/>
  <c r="Q561" i="11"/>
  <c r="U561" i="11" s="1"/>
  <c r="P561" i="11"/>
  <c r="O561" i="11"/>
  <c r="N561" i="11"/>
  <c r="AA560" i="11"/>
  <c r="U560" i="11"/>
  <c r="T560" i="11"/>
  <c r="R560" i="11"/>
  <c r="Q560" i="11"/>
  <c r="P560" i="11"/>
  <c r="O560" i="11"/>
  <c r="N560" i="11"/>
  <c r="AA559" i="11"/>
  <c r="T559" i="11"/>
  <c r="S559" i="11"/>
  <c r="W559" i="11" s="1"/>
  <c r="R559" i="11"/>
  <c r="P559" i="11"/>
  <c r="Q559" i="11" s="1"/>
  <c r="O559" i="11"/>
  <c r="N559" i="11"/>
  <c r="AA558" i="11"/>
  <c r="T558" i="11"/>
  <c r="P558" i="11"/>
  <c r="Q558" i="11" s="1"/>
  <c r="U558" i="11" s="1"/>
  <c r="O558" i="11"/>
  <c r="R558" i="11" s="1"/>
  <c r="N558" i="11"/>
  <c r="AA557" i="11"/>
  <c r="T557" i="11"/>
  <c r="U557" i="11" s="1"/>
  <c r="Q557" i="11"/>
  <c r="P557" i="11"/>
  <c r="O557" i="11"/>
  <c r="N557" i="11"/>
  <c r="R557" i="11" s="1"/>
  <c r="AA556" i="11"/>
  <c r="T556" i="11"/>
  <c r="U556" i="11" s="1"/>
  <c r="S556" i="11"/>
  <c r="W556" i="11" s="1"/>
  <c r="Q556" i="11"/>
  <c r="P556" i="11"/>
  <c r="O556" i="11"/>
  <c r="R556" i="11" s="1"/>
  <c r="V556" i="11" s="1"/>
  <c r="N556" i="11"/>
  <c r="AA555" i="11"/>
  <c r="T555" i="11"/>
  <c r="S555" i="11"/>
  <c r="W555" i="11" s="1"/>
  <c r="Q555" i="11"/>
  <c r="P555" i="11"/>
  <c r="O555" i="11"/>
  <c r="R555" i="11" s="1"/>
  <c r="N555" i="11"/>
  <c r="AA554" i="11"/>
  <c r="T554" i="11"/>
  <c r="U554" i="11" s="1"/>
  <c r="P554" i="11"/>
  <c r="Q554" i="11" s="1"/>
  <c r="O554" i="11"/>
  <c r="R554" i="11" s="1"/>
  <c r="V554" i="11" s="1"/>
  <c r="N554" i="11"/>
  <c r="AA553" i="11"/>
  <c r="U553" i="11"/>
  <c r="T553" i="11"/>
  <c r="P553" i="11"/>
  <c r="Q553" i="11" s="1"/>
  <c r="O553" i="11"/>
  <c r="N553" i="11"/>
  <c r="R553" i="11" s="1"/>
  <c r="AA552" i="11"/>
  <c r="T552" i="11"/>
  <c r="P552" i="11"/>
  <c r="Q552" i="11" s="1"/>
  <c r="U552" i="11" s="1"/>
  <c r="O552" i="11"/>
  <c r="R552" i="11" s="1"/>
  <c r="N552" i="11"/>
  <c r="AA551" i="11"/>
  <c r="V551" i="11"/>
  <c r="U551" i="11"/>
  <c r="T551" i="11"/>
  <c r="P551" i="11"/>
  <c r="Q551" i="11" s="1"/>
  <c r="O551" i="11"/>
  <c r="R551" i="11" s="1"/>
  <c r="S551" i="11" s="1"/>
  <c r="N551" i="11"/>
  <c r="AA550" i="11"/>
  <c r="T550" i="11"/>
  <c r="Q550" i="11"/>
  <c r="U550" i="11" s="1"/>
  <c r="P550" i="11"/>
  <c r="O550" i="11"/>
  <c r="R550" i="11" s="1"/>
  <c r="V550" i="11" s="1"/>
  <c r="N550" i="11"/>
  <c r="AA549" i="11"/>
  <c r="V549" i="11"/>
  <c r="T549" i="11"/>
  <c r="R549" i="11"/>
  <c r="P549" i="11"/>
  <c r="Q549" i="11" s="1"/>
  <c r="O549" i="11"/>
  <c r="N549" i="11"/>
  <c r="AA548" i="11"/>
  <c r="T548" i="11"/>
  <c r="P548" i="11"/>
  <c r="Q548" i="11" s="1"/>
  <c r="U548" i="11" s="1"/>
  <c r="O548" i="11"/>
  <c r="R548" i="11" s="1"/>
  <c r="N548" i="11"/>
  <c r="AA547" i="11"/>
  <c r="T547" i="11"/>
  <c r="V547" i="11" s="1"/>
  <c r="R547" i="11"/>
  <c r="P547" i="11"/>
  <c r="Q547" i="11" s="1"/>
  <c r="U547" i="11" s="1"/>
  <c r="O547" i="11"/>
  <c r="N547" i="11"/>
  <c r="AA546" i="11"/>
  <c r="T546" i="11"/>
  <c r="S546" i="11"/>
  <c r="W546" i="11" s="1"/>
  <c r="R546" i="11"/>
  <c r="V546" i="11" s="1"/>
  <c r="Q546" i="11"/>
  <c r="U546" i="11" s="1"/>
  <c r="P546" i="11"/>
  <c r="O546" i="11"/>
  <c r="N546" i="11"/>
  <c r="AA545" i="11"/>
  <c r="T545" i="11"/>
  <c r="Q545" i="11"/>
  <c r="U545" i="11" s="1"/>
  <c r="P545" i="11"/>
  <c r="O545" i="11"/>
  <c r="R545" i="11" s="1"/>
  <c r="N545" i="11"/>
  <c r="AA544" i="11"/>
  <c r="V544" i="11"/>
  <c r="T544" i="11"/>
  <c r="R544" i="11"/>
  <c r="S544" i="11" s="1"/>
  <c r="W544" i="11" s="1"/>
  <c r="Q544" i="11"/>
  <c r="U544" i="11" s="1"/>
  <c r="P544" i="11"/>
  <c r="O544" i="11"/>
  <c r="N544" i="11"/>
  <c r="AA543" i="11"/>
  <c r="T543" i="11"/>
  <c r="R543" i="11"/>
  <c r="V543" i="11" s="1"/>
  <c r="Q543" i="11"/>
  <c r="U543" i="11" s="1"/>
  <c r="P543" i="11"/>
  <c r="O543" i="11"/>
  <c r="N543" i="11"/>
  <c r="AA542" i="11"/>
  <c r="T542" i="11"/>
  <c r="P542" i="11"/>
  <c r="Q542" i="11" s="1"/>
  <c r="U542" i="11" s="1"/>
  <c r="O542" i="11"/>
  <c r="R542" i="11" s="1"/>
  <c r="N542" i="11"/>
  <c r="AA541" i="11"/>
  <c r="T541" i="11"/>
  <c r="U541" i="11" s="1"/>
  <c r="S541" i="11"/>
  <c r="W541" i="11" s="1"/>
  <c r="R541" i="11"/>
  <c r="V541" i="11" s="1"/>
  <c r="Q541" i="11"/>
  <c r="P541" i="11"/>
  <c r="O541" i="11"/>
  <c r="N541" i="11"/>
  <c r="AA540" i="11"/>
  <c r="T540" i="11"/>
  <c r="R540" i="11"/>
  <c r="V540" i="11" s="1"/>
  <c r="Q540" i="11"/>
  <c r="U540" i="11" s="1"/>
  <c r="P540" i="11"/>
  <c r="O540" i="11"/>
  <c r="N540" i="11"/>
  <c r="AA539" i="11"/>
  <c r="T539" i="11"/>
  <c r="P539" i="11"/>
  <c r="Q539" i="11" s="1"/>
  <c r="U539" i="11" s="1"/>
  <c r="O539" i="11"/>
  <c r="N539" i="11"/>
  <c r="AA538" i="11"/>
  <c r="T538" i="11"/>
  <c r="U538" i="11" s="1"/>
  <c r="P538" i="11"/>
  <c r="Q538" i="11" s="1"/>
  <c r="O538" i="11"/>
  <c r="N538" i="11"/>
  <c r="AA537" i="11"/>
  <c r="T537" i="11"/>
  <c r="R537" i="11"/>
  <c r="V537" i="11" s="1"/>
  <c r="Q537" i="11"/>
  <c r="U537" i="11" s="1"/>
  <c r="P537" i="11"/>
  <c r="O537" i="11"/>
  <c r="N537" i="11"/>
  <c r="AA536" i="11"/>
  <c r="T536" i="11"/>
  <c r="R536" i="11"/>
  <c r="V536" i="11" s="1"/>
  <c r="Q536" i="11"/>
  <c r="U536" i="11" s="1"/>
  <c r="P536" i="11"/>
  <c r="O536" i="11"/>
  <c r="N536" i="11"/>
  <c r="AA535" i="11"/>
  <c r="U535" i="11"/>
  <c r="T535" i="11"/>
  <c r="P535" i="11"/>
  <c r="Q535" i="11" s="1"/>
  <c r="O535" i="11"/>
  <c r="R535" i="11" s="1"/>
  <c r="V535" i="11" s="1"/>
  <c r="N535" i="11"/>
  <c r="AA534" i="11"/>
  <c r="U534" i="11"/>
  <c r="T534" i="11"/>
  <c r="Q534" i="11"/>
  <c r="P534" i="11"/>
  <c r="O534" i="11"/>
  <c r="R534" i="11" s="1"/>
  <c r="N534" i="11"/>
  <c r="AA533" i="11"/>
  <c r="T533" i="11"/>
  <c r="P533" i="11"/>
  <c r="Q533" i="11" s="1"/>
  <c r="U533" i="11" s="1"/>
  <c r="O533" i="11"/>
  <c r="R533" i="11" s="1"/>
  <c r="N533" i="11"/>
  <c r="AA532" i="11"/>
  <c r="T532" i="11"/>
  <c r="P532" i="11"/>
  <c r="Q532" i="11" s="1"/>
  <c r="U532" i="11" s="1"/>
  <c r="O532" i="11"/>
  <c r="R532" i="11" s="1"/>
  <c r="N532" i="11"/>
  <c r="AA531" i="11"/>
  <c r="U531" i="11"/>
  <c r="T531" i="11"/>
  <c r="Q531" i="11"/>
  <c r="P531" i="11"/>
  <c r="O531" i="11"/>
  <c r="R531" i="11" s="1"/>
  <c r="N531" i="11"/>
  <c r="AA530" i="11"/>
  <c r="T530" i="11"/>
  <c r="P530" i="11"/>
  <c r="Q530" i="11" s="1"/>
  <c r="U530" i="11" s="1"/>
  <c r="O530" i="11"/>
  <c r="R530" i="11" s="1"/>
  <c r="N530" i="11"/>
  <c r="AA529" i="11"/>
  <c r="T529" i="11"/>
  <c r="P529" i="11"/>
  <c r="Q529" i="11" s="1"/>
  <c r="U529" i="11" s="1"/>
  <c r="O529" i="11"/>
  <c r="R529" i="11" s="1"/>
  <c r="N529" i="11"/>
  <c r="AA528" i="11"/>
  <c r="V528" i="11"/>
  <c r="T528" i="11"/>
  <c r="R528" i="11"/>
  <c r="P528" i="11"/>
  <c r="Q528" i="11" s="1"/>
  <c r="O528" i="11"/>
  <c r="N528" i="11"/>
  <c r="AA527" i="11"/>
  <c r="T527" i="11"/>
  <c r="Q527" i="11"/>
  <c r="U527" i="11" s="1"/>
  <c r="P527" i="11"/>
  <c r="O527" i="11"/>
  <c r="N527" i="11"/>
  <c r="R527" i="11" s="1"/>
  <c r="AA526" i="11"/>
  <c r="T526" i="11"/>
  <c r="P526" i="11"/>
  <c r="Q526" i="11" s="1"/>
  <c r="U526" i="11" s="1"/>
  <c r="O526" i="11"/>
  <c r="R526" i="11" s="1"/>
  <c r="N526" i="11"/>
  <c r="AA525" i="11"/>
  <c r="V525" i="11"/>
  <c r="T525" i="11"/>
  <c r="U525" i="11" s="1"/>
  <c r="R525" i="11"/>
  <c r="S525" i="11" s="1"/>
  <c r="W525" i="11" s="1"/>
  <c r="Q525" i="11"/>
  <c r="P525" i="11"/>
  <c r="O525" i="11"/>
  <c r="N525" i="11"/>
  <c r="AA524" i="11"/>
  <c r="T524" i="11"/>
  <c r="Q524" i="11"/>
  <c r="U524" i="11" s="1"/>
  <c r="P524" i="11"/>
  <c r="O524" i="11"/>
  <c r="N524" i="11"/>
  <c r="R524" i="11" s="1"/>
  <c r="AA523" i="11"/>
  <c r="T523" i="11"/>
  <c r="P523" i="11"/>
  <c r="Q523" i="11" s="1"/>
  <c r="U523" i="11" s="1"/>
  <c r="O523" i="11"/>
  <c r="N523" i="11"/>
  <c r="R523" i="11" s="1"/>
  <c r="AA522" i="11"/>
  <c r="V522" i="11"/>
  <c r="T522" i="11"/>
  <c r="R522" i="11"/>
  <c r="S522" i="11" s="1"/>
  <c r="W522" i="11" s="1"/>
  <c r="P522" i="11"/>
  <c r="Q522" i="11" s="1"/>
  <c r="U522" i="11" s="1"/>
  <c r="O522" i="11"/>
  <c r="N522" i="11"/>
  <c r="AA521" i="11"/>
  <c r="T521" i="11"/>
  <c r="R521" i="11"/>
  <c r="D391" i="12" s="1"/>
  <c r="P521" i="11"/>
  <c r="Q521" i="11" s="1"/>
  <c r="O521" i="11"/>
  <c r="N521" i="11"/>
  <c r="AA520" i="11"/>
  <c r="T520" i="11"/>
  <c r="P520" i="11"/>
  <c r="Q520" i="11" s="1"/>
  <c r="O520" i="11"/>
  <c r="N520" i="11"/>
  <c r="R520" i="11" s="1"/>
  <c r="AA519" i="11"/>
  <c r="V519" i="11"/>
  <c r="T519" i="11"/>
  <c r="R519" i="11"/>
  <c r="P519" i="11"/>
  <c r="Q519" i="11" s="1"/>
  <c r="O519" i="11"/>
  <c r="N519" i="11"/>
  <c r="AA518" i="11"/>
  <c r="T518" i="11"/>
  <c r="Q518" i="11"/>
  <c r="P518" i="11"/>
  <c r="O518" i="11"/>
  <c r="N518" i="11"/>
  <c r="R518" i="11" s="1"/>
  <c r="AA517" i="11"/>
  <c r="T517" i="11"/>
  <c r="Q517" i="11"/>
  <c r="C387" i="12" s="1"/>
  <c r="P517" i="11"/>
  <c r="O517" i="11"/>
  <c r="N517" i="11"/>
  <c r="AA516" i="11"/>
  <c r="T516" i="11"/>
  <c r="Q516" i="11"/>
  <c r="P516" i="11"/>
  <c r="O516" i="11"/>
  <c r="R516" i="11" s="1"/>
  <c r="N516" i="11"/>
  <c r="AA515" i="11"/>
  <c r="T515" i="11"/>
  <c r="R515" i="11"/>
  <c r="P515" i="11"/>
  <c r="Q515" i="11" s="1"/>
  <c r="O515" i="11"/>
  <c r="N515" i="11"/>
  <c r="AA514" i="11"/>
  <c r="T514" i="11"/>
  <c r="P514" i="11"/>
  <c r="Q514" i="11" s="1"/>
  <c r="O514" i="11"/>
  <c r="R514" i="11" s="1"/>
  <c r="N514" i="11"/>
  <c r="AA513" i="11"/>
  <c r="T513" i="11"/>
  <c r="R513" i="11"/>
  <c r="P513" i="11"/>
  <c r="Q513" i="11" s="1"/>
  <c r="O513" i="11"/>
  <c r="N513" i="11"/>
  <c r="AA512" i="11"/>
  <c r="U512" i="11"/>
  <c r="T512" i="11"/>
  <c r="P512" i="11"/>
  <c r="Q512" i="11" s="1"/>
  <c r="C382" i="12" s="1"/>
  <c r="O512" i="11"/>
  <c r="R512" i="11" s="1"/>
  <c r="N512" i="11"/>
  <c r="AA511" i="11"/>
  <c r="T511" i="11"/>
  <c r="P511" i="11"/>
  <c r="Q511" i="11" s="1"/>
  <c r="O511" i="11"/>
  <c r="N511" i="11"/>
  <c r="AA510" i="11"/>
  <c r="T510" i="11"/>
  <c r="P510" i="11"/>
  <c r="Q510" i="11" s="1"/>
  <c r="C380" i="12" s="1"/>
  <c r="O510" i="11"/>
  <c r="N510" i="11"/>
  <c r="AA509" i="11"/>
  <c r="T509" i="11"/>
  <c r="P509" i="11"/>
  <c r="Q509" i="11" s="1"/>
  <c r="O509" i="11"/>
  <c r="R509" i="11" s="1"/>
  <c r="V509" i="11" s="1"/>
  <c r="N509" i="11"/>
  <c r="AA508" i="11"/>
  <c r="T508" i="11"/>
  <c r="Q508" i="11"/>
  <c r="P508" i="11"/>
  <c r="O508" i="11"/>
  <c r="R508" i="11" s="1"/>
  <c r="N508" i="11"/>
  <c r="AA507" i="11"/>
  <c r="V507" i="11"/>
  <c r="T507" i="11"/>
  <c r="Q507" i="11"/>
  <c r="P507" i="11"/>
  <c r="O507" i="11"/>
  <c r="R507" i="11" s="1"/>
  <c r="N507" i="11"/>
  <c r="AA506" i="11"/>
  <c r="T506" i="11"/>
  <c r="Q506" i="11"/>
  <c r="C376" i="12" s="1"/>
  <c r="P506" i="11"/>
  <c r="O506" i="11"/>
  <c r="R506" i="11" s="1"/>
  <c r="N506" i="11"/>
  <c r="AA505" i="11"/>
  <c r="U505" i="11"/>
  <c r="T505" i="11"/>
  <c r="R505" i="11"/>
  <c r="P505" i="11"/>
  <c r="Q505" i="11" s="1"/>
  <c r="C375" i="12" s="1"/>
  <c r="O505" i="11"/>
  <c r="N505" i="11"/>
  <c r="AA504" i="11"/>
  <c r="T504" i="11"/>
  <c r="R504" i="11"/>
  <c r="P504" i="11"/>
  <c r="Q504" i="11" s="1"/>
  <c r="C374" i="12" s="1"/>
  <c r="O504" i="11"/>
  <c r="N504" i="11"/>
  <c r="AA503" i="11"/>
  <c r="T503" i="11"/>
  <c r="S503" i="11"/>
  <c r="R503" i="11"/>
  <c r="P503" i="11"/>
  <c r="Q503" i="11" s="1"/>
  <c r="O503" i="11"/>
  <c r="N503" i="11"/>
  <c r="AA502" i="11"/>
  <c r="V502" i="11"/>
  <c r="T502" i="11"/>
  <c r="Q502" i="11"/>
  <c r="P502" i="11"/>
  <c r="O502" i="11"/>
  <c r="N502" i="11"/>
  <c r="R502" i="11" s="1"/>
  <c r="AA501" i="11"/>
  <c r="T501" i="11"/>
  <c r="S501" i="11"/>
  <c r="Q501" i="11"/>
  <c r="P501" i="11"/>
  <c r="O501" i="11"/>
  <c r="R501" i="11" s="1"/>
  <c r="D371" i="12" s="1"/>
  <c r="N501" i="11"/>
  <c r="AA500" i="11"/>
  <c r="T500" i="11"/>
  <c r="Q500" i="11"/>
  <c r="P500" i="11"/>
  <c r="O500" i="11"/>
  <c r="N500" i="11"/>
  <c r="AA499" i="11"/>
  <c r="T499" i="11"/>
  <c r="P499" i="11"/>
  <c r="Q499" i="11" s="1"/>
  <c r="O499" i="11"/>
  <c r="N499" i="11"/>
  <c r="R499" i="11" s="1"/>
  <c r="AA498" i="11"/>
  <c r="T498" i="11"/>
  <c r="P498" i="11"/>
  <c r="Q498" i="11" s="1"/>
  <c r="O498" i="11"/>
  <c r="R498" i="11" s="1"/>
  <c r="N498" i="11"/>
  <c r="AA497" i="11"/>
  <c r="T497" i="11"/>
  <c r="U497" i="11" s="1"/>
  <c r="P497" i="11"/>
  <c r="Q497" i="11" s="1"/>
  <c r="C367" i="12" s="1"/>
  <c r="O497" i="11"/>
  <c r="R497" i="11" s="1"/>
  <c r="N497" i="11"/>
  <c r="AA496" i="11"/>
  <c r="U496" i="11"/>
  <c r="T496" i="11"/>
  <c r="S496" i="11"/>
  <c r="P496" i="11"/>
  <c r="Q496" i="11" s="1"/>
  <c r="C366" i="12" s="1"/>
  <c r="O496" i="11"/>
  <c r="R496" i="11" s="1"/>
  <c r="N496" i="11"/>
  <c r="AA495" i="11"/>
  <c r="T495" i="11"/>
  <c r="P495" i="11"/>
  <c r="Q495" i="11" s="1"/>
  <c r="U495" i="11" s="1"/>
  <c r="O495" i="11"/>
  <c r="N495" i="11"/>
  <c r="AA494" i="11"/>
  <c r="U494" i="11"/>
  <c r="T494" i="11"/>
  <c r="P494" i="11"/>
  <c r="Q494" i="11" s="1"/>
  <c r="O494" i="11"/>
  <c r="R494" i="11" s="1"/>
  <c r="V494" i="11" s="1"/>
  <c r="N494" i="11"/>
  <c r="AA493" i="11"/>
  <c r="T493" i="11"/>
  <c r="Q493" i="11"/>
  <c r="P493" i="11"/>
  <c r="O493" i="11"/>
  <c r="R493" i="11" s="1"/>
  <c r="S493" i="11" s="1"/>
  <c r="W493" i="11" s="1"/>
  <c r="N493" i="11"/>
  <c r="AA492" i="11"/>
  <c r="V492" i="11"/>
  <c r="T492" i="11"/>
  <c r="Q492" i="11"/>
  <c r="U492" i="11" s="1"/>
  <c r="P492" i="11"/>
  <c r="O492" i="11"/>
  <c r="R492" i="11" s="1"/>
  <c r="N492" i="11"/>
  <c r="AA491" i="11"/>
  <c r="T491" i="11"/>
  <c r="Q491" i="11"/>
  <c r="U491" i="11" s="1"/>
  <c r="P491" i="11"/>
  <c r="O491" i="11"/>
  <c r="R491" i="11" s="1"/>
  <c r="N491" i="11"/>
  <c r="AA490" i="11"/>
  <c r="T490" i="11"/>
  <c r="R490" i="11"/>
  <c r="Q490" i="11"/>
  <c r="U490" i="11" s="1"/>
  <c r="P490" i="11"/>
  <c r="O490" i="11"/>
  <c r="N490" i="11"/>
  <c r="AA489" i="11"/>
  <c r="T489" i="11"/>
  <c r="R489" i="11"/>
  <c r="P489" i="11"/>
  <c r="Q489" i="11" s="1"/>
  <c r="U489" i="11" s="1"/>
  <c r="O489" i="11"/>
  <c r="N489" i="11"/>
  <c r="AA488" i="11"/>
  <c r="U488" i="11"/>
  <c r="T488" i="11"/>
  <c r="R488" i="11"/>
  <c r="P488" i="11"/>
  <c r="Q488" i="11" s="1"/>
  <c r="O488" i="11"/>
  <c r="N488" i="11"/>
  <c r="AA487" i="11"/>
  <c r="T487" i="11"/>
  <c r="S487" i="11"/>
  <c r="W487" i="11" s="1"/>
  <c r="R487" i="11"/>
  <c r="V487" i="11" s="1"/>
  <c r="P487" i="11"/>
  <c r="Q487" i="11" s="1"/>
  <c r="U487" i="11" s="1"/>
  <c r="O487" i="11"/>
  <c r="N487" i="11"/>
  <c r="AA486" i="11"/>
  <c r="T486" i="11"/>
  <c r="S486" i="11"/>
  <c r="W486" i="11" s="1"/>
  <c r="Q486" i="11"/>
  <c r="U486" i="11" s="1"/>
  <c r="P486" i="11"/>
  <c r="O486" i="11"/>
  <c r="N486" i="11"/>
  <c r="R486" i="11" s="1"/>
  <c r="V486" i="11" s="1"/>
  <c r="AA485" i="11"/>
  <c r="T485" i="11"/>
  <c r="Q485" i="11"/>
  <c r="U485" i="11" s="1"/>
  <c r="P485" i="11"/>
  <c r="O485" i="11"/>
  <c r="R485" i="11" s="1"/>
  <c r="V485" i="11" s="1"/>
  <c r="N485" i="11"/>
  <c r="AA484" i="11"/>
  <c r="T484" i="11"/>
  <c r="S484" i="11"/>
  <c r="W484" i="11" s="1"/>
  <c r="Q484" i="11"/>
  <c r="U484" i="11" s="1"/>
  <c r="P484" i="11"/>
  <c r="O484" i="11"/>
  <c r="N484" i="11"/>
  <c r="R484" i="11" s="1"/>
  <c r="V484" i="11" s="1"/>
  <c r="AA483" i="11"/>
  <c r="T483" i="11"/>
  <c r="P483" i="11"/>
  <c r="Q483" i="11" s="1"/>
  <c r="U483" i="11" s="1"/>
  <c r="O483" i="11"/>
  <c r="R483" i="11" s="1"/>
  <c r="N483" i="11"/>
  <c r="AA482" i="11"/>
  <c r="T482" i="11"/>
  <c r="R482" i="11"/>
  <c r="P482" i="11"/>
  <c r="Q482" i="11" s="1"/>
  <c r="U482" i="11" s="1"/>
  <c r="O482" i="11"/>
  <c r="N482" i="11"/>
  <c r="AA481" i="11"/>
  <c r="T481" i="11"/>
  <c r="P481" i="11"/>
  <c r="Q481" i="11" s="1"/>
  <c r="U481" i="11" s="1"/>
  <c r="O481" i="11"/>
  <c r="R481" i="11" s="1"/>
  <c r="N481" i="11"/>
  <c r="AA480" i="11"/>
  <c r="T480" i="11"/>
  <c r="P480" i="11"/>
  <c r="Q480" i="11" s="1"/>
  <c r="U480" i="11" s="1"/>
  <c r="O480" i="11"/>
  <c r="R480" i="11" s="1"/>
  <c r="V480" i="11" s="1"/>
  <c r="N480" i="11"/>
  <c r="AA479" i="11"/>
  <c r="T479" i="11"/>
  <c r="P479" i="11"/>
  <c r="Q479" i="11" s="1"/>
  <c r="U479" i="11" s="1"/>
  <c r="O479" i="11"/>
  <c r="R479" i="11" s="1"/>
  <c r="V479" i="11" s="1"/>
  <c r="N479" i="11"/>
  <c r="AA478" i="11"/>
  <c r="T478" i="11"/>
  <c r="P478" i="11"/>
  <c r="Q478" i="11" s="1"/>
  <c r="U478" i="11" s="1"/>
  <c r="O478" i="11"/>
  <c r="R478" i="11" s="1"/>
  <c r="V478" i="11" s="1"/>
  <c r="N478" i="11"/>
  <c r="AA477" i="11"/>
  <c r="T477" i="11"/>
  <c r="Q477" i="11"/>
  <c r="U477" i="11" s="1"/>
  <c r="P477" i="11"/>
  <c r="O477" i="11"/>
  <c r="N477" i="11"/>
  <c r="AA476" i="11"/>
  <c r="T476" i="11"/>
  <c r="V476" i="11" s="1"/>
  <c r="R476" i="11"/>
  <c r="Q476" i="11"/>
  <c r="U476" i="11" s="1"/>
  <c r="P476" i="11"/>
  <c r="O476" i="11"/>
  <c r="N476" i="11"/>
  <c r="AA475" i="11"/>
  <c r="T475" i="11"/>
  <c r="Q475" i="11"/>
  <c r="U475" i="11" s="1"/>
  <c r="P475" i="11"/>
  <c r="O475" i="11"/>
  <c r="R475" i="11" s="1"/>
  <c r="N475" i="11"/>
  <c r="AA474" i="11"/>
  <c r="U474" i="11"/>
  <c r="T474" i="11"/>
  <c r="R474" i="11"/>
  <c r="S474" i="11" s="1"/>
  <c r="W474" i="11" s="1"/>
  <c r="Q474" i="11"/>
  <c r="P474" i="11"/>
  <c r="O474" i="11"/>
  <c r="N474" i="11"/>
  <c r="AA473" i="11"/>
  <c r="T473" i="11"/>
  <c r="R473" i="11"/>
  <c r="V473" i="11" s="1"/>
  <c r="P473" i="11"/>
  <c r="Q473" i="11" s="1"/>
  <c r="U473" i="11" s="1"/>
  <c r="O473" i="11"/>
  <c r="N473" i="11"/>
  <c r="AA472" i="11"/>
  <c r="T472" i="11"/>
  <c r="R472" i="11"/>
  <c r="P472" i="11"/>
  <c r="Q472" i="11" s="1"/>
  <c r="U472" i="11" s="1"/>
  <c r="O472" i="11"/>
  <c r="N472" i="11"/>
  <c r="AA471" i="11"/>
  <c r="T471" i="11"/>
  <c r="R471" i="11"/>
  <c r="V471" i="11" s="1"/>
  <c r="P471" i="11"/>
  <c r="Q471" i="11" s="1"/>
  <c r="U471" i="11" s="1"/>
  <c r="O471" i="11"/>
  <c r="N471" i="11"/>
  <c r="AA470" i="11"/>
  <c r="T470" i="11"/>
  <c r="Q470" i="11"/>
  <c r="P470" i="11"/>
  <c r="O470" i="11"/>
  <c r="N470" i="11"/>
  <c r="R470" i="11" s="1"/>
  <c r="AA469" i="11"/>
  <c r="T469" i="11"/>
  <c r="Q469" i="11"/>
  <c r="U469" i="11" s="1"/>
  <c r="P469" i="11"/>
  <c r="O469" i="11"/>
  <c r="R469" i="11" s="1"/>
  <c r="V469" i="11" s="1"/>
  <c r="N469" i="11"/>
  <c r="AA468" i="11"/>
  <c r="T468" i="11"/>
  <c r="Q468" i="11"/>
  <c r="P468" i="11"/>
  <c r="O468" i="11"/>
  <c r="N468" i="11"/>
  <c r="R468" i="11" s="1"/>
  <c r="V468" i="11" s="1"/>
  <c r="AA467" i="11"/>
  <c r="T467" i="11"/>
  <c r="P467" i="11"/>
  <c r="Q467" i="11" s="1"/>
  <c r="U467" i="11" s="1"/>
  <c r="O467" i="11"/>
  <c r="R467" i="11" s="1"/>
  <c r="N467" i="11"/>
  <c r="AA466" i="11"/>
  <c r="T466" i="11"/>
  <c r="P466" i="11"/>
  <c r="Q466" i="11" s="1"/>
  <c r="U466" i="11" s="1"/>
  <c r="O466" i="11"/>
  <c r="R466" i="11" s="1"/>
  <c r="N466" i="11"/>
  <c r="AA465" i="11"/>
  <c r="U465" i="11"/>
  <c r="T465" i="11"/>
  <c r="R465" i="11"/>
  <c r="P465" i="11"/>
  <c r="Q465" i="11" s="1"/>
  <c r="O465" i="11"/>
  <c r="N465" i="11"/>
  <c r="AA464" i="11"/>
  <c r="T464" i="11"/>
  <c r="U464" i="11" s="1"/>
  <c r="P464" i="11"/>
  <c r="Q464" i="11" s="1"/>
  <c r="O464" i="11"/>
  <c r="R464" i="11" s="1"/>
  <c r="S464" i="11" s="1"/>
  <c r="W464" i="11" s="1"/>
  <c r="N464" i="11"/>
  <c r="AA463" i="11"/>
  <c r="T463" i="11"/>
  <c r="P463" i="11"/>
  <c r="Q463" i="11" s="1"/>
  <c r="U463" i="11" s="1"/>
  <c r="O463" i="11"/>
  <c r="N463" i="11"/>
  <c r="AA462" i="11"/>
  <c r="U462" i="11"/>
  <c r="T462" i="11"/>
  <c r="P462" i="11"/>
  <c r="Q462" i="11" s="1"/>
  <c r="O462" i="11"/>
  <c r="N462" i="11"/>
  <c r="AA461" i="11"/>
  <c r="T461" i="11"/>
  <c r="Q461" i="11"/>
  <c r="U461" i="11" s="1"/>
  <c r="P461" i="11"/>
  <c r="O461" i="11"/>
  <c r="R461" i="11" s="1"/>
  <c r="S461" i="11" s="1"/>
  <c r="W461" i="11" s="1"/>
  <c r="N461" i="11"/>
  <c r="AA460" i="11"/>
  <c r="T460" i="11"/>
  <c r="P460" i="11"/>
  <c r="Q460" i="11" s="1"/>
  <c r="U460" i="11" s="1"/>
  <c r="O460" i="11"/>
  <c r="R460" i="11" s="1"/>
  <c r="N460" i="11"/>
  <c r="AA459" i="11"/>
  <c r="T459" i="11"/>
  <c r="Q459" i="11"/>
  <c r="U459" i="11" s="1"/>
  <c r="P459" i="11"/>
  <c r="O459" i="11"/>
  <c r="R459" i="11" s="1"/>
  <c r="S459" i="11" s="1"/>
  <c r="W459" i="11" s="1"/>
  <c r="N459" i="11"/>
  <c r="AA458" i="11"/>
  <c r="T458" i="11"/>
  <c r="Q458" i="11"/>
  <c r="U458" i="11" s="1"/>
  <c r="P458" i="11"/>
  <c r="O458" i="11"/>
  <c r="R458" i="11" s="1"/>
  <c r="N458" i="11"/>
  <c r="AA457" i="11"/>
  <c r="T457" i="11"/>
  <c r="R457" i="11"/>
  <c r="V457" i="11" s="1"/>
  <c r="P457" i="11"/>
  <c r="Q457" i="11" s="1"/>
  <c r="O457" i="11"/>
  <c r="N457" i="11"/>
  <c r="AA456" i="11"/>
  <c r="T456" i="11"/>
  <c r="P456" i="11"/>
  <c r="Q456" i="11" s="1"/>
  <c r="U456" i="11" s="1"/>
  <c r="O456" i="11"/>
  <c r="N456" i="11"/>
  <c r="R456" i="11" s="1"/>
  <c r="AA455" i="11"/>
  <c r="V455" i="11"/>
  <c r="T455" i="11"/>
  <c r="R455" i="11"/>
  <c r="S455" i="11" s="1"/>
  <c r="W455" i="11" s="1"/>
  <c r="P455" i="11"/>
  <c r="Q455" i="11" s="1"/>
  <c r="U455" i="11" s="1"/>
  <c r="O455" i="11"/>
  <c r="N455" i="11"/>
  <c r="AA454" i="11"/>
  <c r="T454" i="11"/>
  <c r="R454" i="11"/>
  <c r="V454" i="11" s="1"/>
  <c r="Q454" i="11"/>
  <c r="P454" i="11"/>
  <c r="O454" i="11"/>
  <c r="N454" i="11"/>
  <c r="AA453" i="11"/>
  <c r="T453" i="11"/>
  <c r="Q453" i="11"/>
  <c r="U453" i="11" s="1"/>
  <c r="P453" i="11"/>
  <c r="O453" i="11"/>
  <c r="N453" i="11"/>
  <c r="AA452" i="11"/>
  <c r="T452" i="11"/>
  <c r="S452" i="11"/>
  <c r="W452" i="11" s="1"/>
  <c r="Q452" i="11"/>
  <c r="P452" i="11"/>
  <c r="O452" i="11"/>
  <c r="N452" i="11"/>
  <c r="R452" i="11" s="1"/>
  <c r="AA451" i="11"/>
  <c r="T451" i="11"/>
  <c r="U451" i="11" s="1"/>
  <c r="P451" i="11"/>
  <c r="Q451" i="11" s="1"/>
  <c r="O451" i="11"/>
  <c r="R451" i="11" s="1"/>
  <c r="N451" i="11"/>
  <c r="AA450" i="11"/>
  <c r="T450" i="11"/>
  <c r="P450" i="11"/>
  <c r="Q450" i="11" s="1"/>
  <c r="O450" i="11"/>
  <c r="R450" i="11" s="1"/>
  <c r="N450" i="11"/>
  <c r="AA449" i="11"/>
  <c r="U449" i="11"/>
  <c r="T449" i="11"/>
  <c r="R449" i="11"/>
  <c r="P449" i="11"/>
  <c r="Q449" i="11" s="1"/>
  <c r="O449" i="11"/>
  <c r="N449" i="11"/>
  <c r="AA448" i="11"/>
  <c r="V448" i="11"/>
  <c r="U448" i="11"/>
  <c r="T448" i="11"/>
  <c r="S448" i="11"/>
  <c r="W448" i="11" s="1"/>
  <c r="P448" i="11"/>
  <c r="Q448" i="11" s="1"/>
  <c r="O448" i="11"/>
  <c r="R448" i="11" s="1"/>
  <c r="N448" i="11"/>
  <c r="AA447" i="11"/>
  <c r="T447" i="11"/>
  <c r="P447" i="11"/>
  <c r="Q447" i="11" s="1"/>
  <c r="O447" i="11"/>
  <c r="R447" i="11" s="1"/>
  <c r="V447" i="11" s="1"/>
  <c r="N447" i="11"/>
  <c r="AA446" i="11"/>
  <c r="U446" i="11"/>
  <c r="T446" i="11"/>
  <c r="P446" i="11"/>
  <c r="Q446" i="11" s="1"/>
  <c r="O446" i="11"/>
  <c r="N446" i="11"/>
  <c r="AA445" i="11"/>
  <c r="T445" i="11"/>
  <c r="Q445" i="11"/>
  <c r="U445" i="11" s="1"/>
  <c r="P445" i="11"/>
  <c r="O445" i="11"/>
  <c r="N445" i="11"/>
  <c r="AA444" i="11"/>
  <c r="T444" i="11"/>
  <c r="R444" i="11"/>
  <c r="P444" i="11"/>
  <c r="Q444" i="11" s="1"/>
  <c r="U444" i="11" s="1"/>
  <c r="O444" i="11"/>
  <c r="N444" i="11"/>
  <c r="AA443" i="11"/>
  <c r="T443" i="11"/>
  <c r="V443" i="11" s="1"/>
  <c r="Q443" i="11"/>
  <c r="U443" i="11" s="1"/>
  <c r="P443" i="11"/>
  <c r="O443" i="11"/>
  <c r="R443" i="11" s="1"/>
  <c r="N443" i="11"/>
  <c r="AA442" i="11"/>
  <c r="U442" i="11"/>
  <c r="T442" i="11"/>
  <c r="Q442" i="11"/>
  <c r="P442" i="11"/>
  <c r="O442" i="11"/>
  <c r="R442" i="11" s="1"/>
  <c r="N442" i="11"/>
  <c r="AA441" i="11"/>
  <c r="T441" i="11"/>
  <c r="R441" i="11"/>
  <c r="V441" i="11" s="1"/>
  <c r="Q441" i="11"/>
  <c r="U441" i="11" s="1"/>
  <c r="P441" i="11"/>
  <c r="O441" i="11"/>
  <c r="N441" i="11"/>
  <c r="AA440" i="11"/>
  <c r="T440" i="11"/>
  <c r="R440" i="11"/>
  <c r="P440" i="11"/>
  <c r="Q440" i="11" s="1"/>
  <c r="U440" i="11" s="1"/>
  <c r="O440" i="11"/>
  <c r="N440" i="11"/>
  <c r="AA439" i="11"/>
  <c r="T439" i="11"/>
  <c r="S439" i="11"/>
  <c r="W439" i="11" s="1"/>
  <c r="R439" i="11"/>
  <c r="V439" i="11" s="1"/>
  <c r="P439" i="11"/>
  <c r="Q439" i="11" s="1"/>
  <c r="U439" i="11" s="1"/>
  <c r="O439" i="11"/>
  <c r="N439" i="11"/>
  <c r="AA438" i="11"/>
  <c r="T438" i="11"/>
  <c r="S438" i="11"/>
  <c r="W438" i="11" s="1"/>
  <c r="R438" i="11"/>
  <c r="V438" i="11" s="1"/>
  <c r="Q438" i="11"/>
  <c r="P438" i="11"/>
  <c r="O438" i="11"/>
  <c r="N438" i="11"/>
  <c r="AA437" i="11"/>
  <c r="T437" i="11"/>
  <c r="Q437" i="11"/>
  <c r="U437" i="11" s="1"/>
  <c r="P437" i="11"/>
  <c r="O437" i="11"/>
  <c r="N437" i="11"/>
  <c r="AA436" i="11"/>
  <c r="T436" i="11"/>
  <c r="S436" i="11"/>
  <c r="W436" i="11" s="1"/>
  <c r="Q436" i="11"/>
  <c r="P436" i="11"/>
  <c r="O436" i="11"/>
  <c r="N436" i="11"/>
  <c r="R436" i="11" s="1"/>
  <c r="AA435" i="11"/>
  <c r="U435" i="11"/>
  <c r="T435" i="11"/>
  <c r="R435" i="11"/>
  <c r="V435" i="11" s="1"/>
  <c r="P435" i="11"/>
  <c r="Q435" i="11" s="1"/>
  <c r="O435" i="11"/>
  <c r="N435" i="11"/>
  <c r="AA434" i="11"/>
  <c r="T434" i="11"/>
  <c r="P434" i="11"/>
  <c r="Q434" i="11" s="1"/>
  <c r="O434" i="11"/>
  <c r="R434" i="11" s="1"/>
  <c r="N434" i="11"/>
  <c r="AA433" i="11"/>
  <c r="T433" i="11"/>
  <c r="P433" i="11"/>
  <c r="Q433" i="11" s="1"/>
  <c r="U433" i="11" s="1"/>
  <c r="O433" i="11"/>
  <c r="R433" i="11" s="1"/>
  <c r="N433" i="11"/>
  <c r="AA432" i="11"/>
  <c r="T432" i="11"/>
  <c r="V432" i="11" s="1"/>
  <c r="S432" i="11"/>
  <c r="P432" i="11"/>
  <c r="Q432" i="11" s="1"/>
  <c r="O432" i="11"/>
  <c r="R432" i="11" s="1"/>
  <c r="N432" i="11"/>
  <c r="AA431" i="11"/>
  <c r="T431" i="11"/>
  <c r="Q431" i="11"/>
  <c r="U431" i="11" s="1"/>
  <c r="P431" i="11"/>
  <c r="O431" i="11"/>
  <c r="R431" i="11" s="1"/>
  <c r="V431" i="11" s="1"/>
  <c r="N431" i="11"/>
  <c r="AA430" i="11"/>
  <c r="T430" i="11"/>
  <c r="U430" i="11" s="1"/>
  <c r="P430" i="11"/>
  <c r="Q430" i="11" s="1"/>
  <c r="O430" i="11"/>
  <c r="N430" i="11"/>
  <c r="AA429" i="11"/>
  <c r="T429" i="11"/>
  <c r="P429" i="11"/>
  <c r="Q429" i="11" s="1"/>
  <c r="U429" i="11" s="1"/>
  <c r="O429" i="11"/>
  <c r="N429" i="11"/>
  <c r="AA428" i="11"/>
  <c r="T428" i="11"/>
  <c r="R428" i="11"/>
  <c r="P428" i="11"/>
  <c r="Q428" i="11" s="1"/>
  <c r="U428" i="11" s="1"/>
  <c r="O428" i="11"/>
  <c r="N428" i="11"/>
  <c r="AA427" i="11"/>
  <c r="V427" i="11"/>
  <c r="T427" i="11"/>
  <c r="Q427" i="11"/>
  <c r="U427" i="11" s="1"/>
  <c r="P427" i="11"/>
  <c r="O427" i="11"/>
  <c r="R427" i="11" s="1"/>
  <c r="N427" i="11"/>
  <c r="AA426" i="11"/>
  <c r="T426" i="11"/>
  <c r="P426" i="11"/>
  <c r="Q426" i="11" s="1"/>
  <c r="U426" i="11" s="1"/>
  <c r="O426" i="11"/>
  <c r="R426" i="11" s="1"/>
  <c r="N426" i="11"/>
  <c r="AA425" i="11"/>
  <c r="T425" i="11"/>
  <c r="Q425" i="11"/>
  <c r="U425" i="11" s="1"/>
  <c r="P425" i="11"/>
  <c r="O425" i="11"/>
  <c r="N425" i="11"/>
  <c r="R425" i="11" s="1"/>
  <c r="AA424" i="11"/>
  <c r="T424" i="11"/>
  <c r="P424" i="11"/>
  <c r="Q424" i="11" s="1"/>
  <c r="U424" i="11" s="1"/>
  <c r="O424" i="11"/>
  <c r="R424" i="11" s="1"/>
  <c r="N424" i="11"/>
  <c r="AA423" i="11"/>
  <c r="T423" i="11"/>
  <c r="V423" i="11" s="1"/>
  <c r="R423" i="11"/>
  <c r="P423" i="11"/>
  <c r="Q423" i="11" s="1"/>
  <c r="O423" i="11"/>
  <c r="N423" i="11"/>
  <c r="AA422" i="11"/>
  <c r="T422" i="11"/>
  <c r="Q422" i="11"/>
  <c r="U422" i="11" s="1"/>
  <c r="P422" i="11"/>
  <c r="O422" i="11"/>
  <c r="R422" i="11" s="1"/>
  <c r="N422" i="11"/>
  <c r="AA421" i="11"/>
  <c r="T421" i="11"/>
  <c r="P421" i="11"/>
  <c r="Q421" i="11" s="1"/>
  <c r="U421" i="11" s="1"/>
  <c r="O421" i="11"/>
  <c r="R421" i="11" s="1"/>
  <c r="N421" i="11"/>
  <c r="AA420" i="11"/>
  <c r="T420" i="11"/>
  <c r="Q420" i="11"/>
  <c r="U420" i="11" s="1"/>
  <c r="P420" i="11"/>
  <c r="O420" i="11"/>
  <c r="N420" i="11"/>
  <c r="R420" i="11" s="1"/>
  <c r="AA419" i="11"/>
  <c r="T419" i="11"/>
  <c r="P419" i="11"/>
  <c r="Q419" i="11" s="1"/>
  <c r="U419" i="11" s="1"/>
  <c r="O419" i="11"/>
  <c r="N419" i="11"/>
  <c r="R419" i="11" s="1"/>
  <c r="AA418" i="11"/>
  <c r="T418" i="11"/>
  <c r="R418" i="11"/>
  <c r="P418" i="11"/>
  <c r="Q418" i="11" s="1"/>
  <c r="U418" i="11" s="1"/>
  <c r="O418" i="11"/>
  <c r="N418" i="11"/>
  <c r="AA417" i="11"/>
  <c r="U417" i="11"/>
  <c r="T417" i="11"/>
  <c r="R417" i="11"/>
  <c r="P417" i="11"/>
  <c r="Q417" i="11" s="1"/>
  <c r="O417" i="11"/>
  <c r="N417" i="11"/>
  <c r="AA416" i="11"/>
  <c r="T416" i="11"/>
  <c r="Q416" i="11"/>
  <c r="U416" i="11" s="1"/>
  <c r="P416" i="11"/>
  <c r="O416" i="11"/>
  <c r="N416" i="11"/>
  <c r="AA415" i="11"/>
  <c r="T415" i="11"/>
  <c r="Q415" i="11"/>
  <c r="C155" i="12" s="1"/>
  <c r="P415" i="11"/>
  <c r="O415" i="11"/>
  <c r="R415" i="11" s="1"/>
  <c r="N415" i="11"/>
  <c r="AA414" i="11"/>
  <c r="T414" i="11"/>
  <c r="P414" i="11"/>
  <c r="Q414" i="11" s="1"/>
  <c r="C154" i="12" s="1"/>
  <c r="O414" i="11"/>
  <c r="R414" i="11" s="1"/>
  <c r="V414" i="11" s="1"/>
  <c r="N414" i="11"/>
  <c r="AA413" i="11"/>
  <c r="T413" i="11"/>
  <c r="R413" i="11"/>
  <c r="Q413" i="11"/>
  <c r="C153" i="12" s="1"/>
  <c r="P413" i="11"/>
  <c r="O413" i="11"/>
  <c r="N413" i="11"/>
  <c r="AA412" i="11"/>
  <c r="T412" i="11"/>
  <c r="Q412" i="11"/>
  <c r="P412" i="11"/>
  <c r="O412" i="11"/>
  <c r="R412" i="11" s="1"/>
  <c r="N412" i="11"/>
  <c r="AA411" i="11"/>
  <c r="T411" i="11"/>
  <c r="Q411" i="11"/>
  <c r="U411" i="11" s="1"/>
  <c r="P411" i="11"/>
  <c r="O411" i="11"/>
  <c r="N411" i="11"/>
  <c r="R411" i="11" s="1"/>
  <c r="AA410" i="11"/>
  <c r="V410" i="11"/>
  <c r="T410" i="11"/>
  <c r="R410" i="11"/>
  <c r="P410" i="11"/>
  <c r="Q410" i="11" s="1"/>
  <c r="O410" i="11"/>
  <c r="N410" i="11"/>
  <c r="AA409" i="11"/>
  <c r="T409" i="11"/>
  <c r="R409" i="11"/>
  <c r="P409" i="11"/>
  <c r="Q409" i="11" s="1"/>
  <c r="O409" i="11"/>
  <c r="N409" i="11"/>
  <c r="AA408" i="11"/>
  <c r="V408" i="11"/>
  <c r="U408" i="11"/>
  <c r="T408" i="11"/>
  <c r="R408" i="11"/>
  <c r="P408" i="11"/>
  <c r="Q408" i="11" s="1"/>
  <c r="O408" i="11"/>
  <c r="N408" i="11"/>
  <c r="AA407" i="11"/>
  <c r="T407" i="11"/>
  <c r="Q407" i="11"/>
  <c r="P407" i="11"/>
  <c r="O407" i="11"/>
  <c r="N407" i="11"/>
  <c r="R407" i="11" s="1"/>
  <c r="AA406" i="11"/>
  <c r="T406" i="11"/>
  <c r="Q406" i="11"/>
  <c r="C146" i="12" s="1"/>
  <c r="P406" i="11"/>
  <c r="O406" i="11"/>
  <c r="R406" i="11" s="1"/>
  <c r="N406" i="11"/>
  <c r="AA405" i="11"/>
  <c r="T405" i="11"/>
  <c r="Q405" i="11"/>
  <c r="P405" i="11"/>
  <c r="O405" i="11"/>
  <c r="N405" i="11"/>
  <c r="AA404" i="11"/>
  <c r="T404" i="11"/>
  <c r="Q404" i="11"/>
  <c r="C144" i="12" s="1"/>
  <c r="P404" i="11"/>
  <c r="O404" i="11"/>
  <c r="R404" i="11" s="1"/>
  <c r="N404" i="11"/>
  <c r="AA403" i="11"/>
  <c r="T403" i="11"/>
  <c r="U403" i="11" s="1"/>
  <c r="P403" i="11"/>
  <c r="Q403" i="11" s="1"/>
  <c r="O403" i="11"/>
  <c r="N403" i="11"/>
  <c r="R403" i="11" s="1"/>
  <c r="AA402" i="11"/>
  <c r="U402" i="11"/>
  <c r="T402" i="11"/>
  <c r="Q402" i="11"/>
  <c r="P402" i="11"/>
  <c r="O402" i="11"/>
  <c r="R402" i="11" s="1"/>
  <c r="N402" i="11"/>
  <c r="AA401" i="11"/>
  <c r="T401" i="11"/>
  <c r="P401" i="11"/>
  <c r="Q401" i="11" s="1"/>
  <c r="U401" i="11" s="1"/>
  <c r="O401" i="11"/>
  <c r="R401" i="11" s="1"/>
  <c r="N401" i="11"/>
  <c r="AA400" i="11"/>
  <c r="T400" i="11"/>
  <c r="Q400" i="11"/>
  <c r="P400" i="11"/>
  <c r="O400" i="11"/>
  <c r="N400" i="11"/>
  <c r="AA399" i="11"/>
  <c r="T399" i="11"/>
  <c r="Q399" i="11"/>
  <c r="C139" i="12" s="1"/>
  <c r="P399" i="11"/>
  <c r="O399" i="11"/>
  <c r="R399" i="11" s="1"/>
  <c r="N399" i="11"/>
  <c r="AA398" i="11"/>
  <c r="T398" i="11"/>
  <c r="Q398" i="11"/>
  <c r="C138" i="12" s="1"/>
  <c r="P398" i="11"/>
  <c r="O398" i="11"/>
  <c r="N398" i="11"/>
  <c r="AA397" i="11"/>
  <c r="T397" i="11"/>
  <c r="P397" i="11"/>
  <c r="Q397" i="11" s="1"/>
  <c r="O397" i="11"/>
  <c r="R397" i="11" s="1"/>
  <c r="N397" i="11"/>
  <c r="AA396" i="11"/>
  <c r="T396" i="11"/>
  <c r="R396" i="11"/>
  <c r="Q396" i="11"/>
  <c r="P396" i="11"/>
  <c r="O396" i="11"/>
  <c r="N396" i="11"/>
  <c r="AA395" i="11"/>
  <c r="T395" i="11"/>
  <c r="U395" i="11" s="1"/>
  <c r="Q395" i="11"/>
  <c r="P395" i="11"/>
  <c r="O395" i="11"/>
  <c r="R395" i="11" s="1"/>
  <c r="N395" i="11"/>
  <c r="AA394" i="11"/>
  <c r="T394" i="11"/>
  <c r="Q394" i="11"/>
  <c r="C134" i="12" s="1"/>
  <c r="P394" i="11"/>
  <c r="O394" i="11"/>
  <c r="R394" i="11" s="1"/>
  <c r="N394" i="11"/>
  <c r="AA393" i="11"/>
  <c r="T393" i="11"/>
  <c r="Q393" i="11"/>
  <c r="P393" i="11"/>
  <c r="O393" i="11"/>
  <c r="N393" i="11"/>
  <c r="R393" i="11" s="1"/>
  <c r="AA392" i="11"/>
  <c r="T392" i="11"/>
  <c r="Q392" i="11"/>
  <c r="P392" i="11"/>
  <c r="O392" i="11"/>
  <c r="R392" i="11" s="1"/>
  <c r="N392" i="11"/>
  <c r="AA391" i="11"/>
  <c r="T391" i="11"/>
  <c r="S391" i="11"/>
  <c r="W391" i="11" s="1"/>
  <c r="P391" i="11"/>
  <c r="Q391" i="11" s="1"/>
  <c r="U391" i="11" s="1"/>
  <c r="O391" i="11"/>
  <c r="N391" i="11"/>
  <c r="R391" i="11" s="1"/>
  <c r="V391" i="11" s="1"/>
  <c r="AA390" i="11"/>
  <c r="T390" i="11"/>
  <c r="Q390" i="11"/>
  <c r="U390" i="11" s="1"/>
  <c r="P390" i="11"/>
  <c r="O390" i="11"/>
  <c r="R390" i="11" s="1"/>
  <c r="N390" i="11"/>
  <c r="AA389" i="11"/>
  <c r="T389" i="11"/>
  <c r="R389" i="11"/>
  <c r="V389" i="11" s="1"/>
  <c r="P389" i="11"/>
  <c r="Q389" i="11" s="1"/>
  <c r="U389" i="11" s="1"/>
  <c r="O389" i="11"/>
  <c r="N389" i="11"/>
  <c r="AA388" i="11"/>
  <c r="U388" i="11"/>
  <c r="T388" i="11"/>
  <c r="R388" i="11"/>
  <c r="Q388" i="11"/>
  <c r="P388" i="11"/>
  <c r="O388" i="11"/>
  <c r="N388" i="11"/>
  <c r="AA387" i="11"/>
  <c r="U387" i="11"/>
  <c r="T387" i="11"/>
  <c r="P387" i="11"/>
  <c r="Q387" i="11" s="1"/>
  <c r="O387" i="11"/>
  <c r="R387" i="11" s="1"/>
  <c r="N387" i="11"/>
  <c r="AA386" i="11"/>
  <c r="T386" i="11"/>
  <c r="P386" i="11"/>
  <c r="Q386" i="11" s="1"/>
  <c r="U386" i="11" s="1"/>
  <c r="O386" i="11"/>
  <c r="N386" i="11"/>
  <c r="R386" i="11" s="1"/>
  <c r="AA385" i="11"/>
  <c r="T385" i="11"/>
  <c r="P385" i="11"/>
  <c r="Q385" i="11" s="1"/>
  <c r="U385" i="11" s="1"/>
  <c r="O385" i="11"/>
  <c r="R385" i="11" s="1"/>
  <c r="V385" i="11" s="1"/>
  <c r="N385" i="11"/>
  <c r="AA384" i="11"/>
  <c r="T384" i="11"/>
  <c r="Q384" i="11"/>
  <c r="U384" i="11" s="1"/>
  <c r="P384" i="11"/>
  <c r="O384" i="11"/>
  <c r="R384" i="11" s="1"/>
  <c r="V384" i="11" s="1"/>
  <c r="N384" i="11"/>
  <c r="AA383" i="11"/>
  <c r="T383" i="11"/>
  <c r="P383" i="11"/>
  <c r="Q383" i="11" s="1"/>
  <c r="U383" i="11" s="1"/>
  <c r="O383" i="11"/>
  <c r="R383" i="11" s="1"/>
  <c r="V383" i="11" s="1"/>
  <c r="N383" i="11"/>
  <c r="AA382" i="11"/>
  <c r="T382" i="11"/>
  <c r="V382" i="11" s="1"/>
  <c r="P382" i="11"/>
  <c r="Q382" i="11" s="1"/>
  <c r="U382" i="11" s="1"/>
  <c r="O382" i="11"/>
  <c r="R382" i="11" s="1"/>
  <c r="N382" i="11"/>
  <c r="AA381" i="11"/>
  <c r="T381" i="11"/>
  <c r="Q381" i="11"/>
  <c r="U381" i="11" s="1"/>
  <c r="P381" i="11"/>
  <c r="O381" i="11"/>
  <c r="R381" i="11" s="1"/>
  <c r="N381" i="11"/>
  <c r="AA380" i="11"/>
  <c r="T380" i="11"/>
  <c r="R380" i="11"/>
  <c r="P380" i="11"/>
  <c r="Q380" i="11" s="1"/>
  <c r="U380" i="11" s="1"/>
  <c r="O380" i="11"/>
  <c r="N380" i="11"/>
  <c r="AA379" i="11"/>
  <c r="T379" i="11"/>
  <c r="P379" i="11"/>
  <c r="Q379" i="11" s="1"/>
  <c r="U379" i="11" s="1"/>
  <c r="O379" i="11"/>
  <c r="R379" i="11" s="1"/>
  <c r="N379" i="11"/>
  <c r="AA378" i="11"/>
  <c r="T378" i="11"/>
  <c r="Q378" i="11"/>
  <c r="U378" i="11" s="1"/>
  <c r="P378" i="11"/>
  <c r="O378" i="11"/>
  <c r="R378" i="11" s="1"/>
  <c r="N378" i="11"/>
  <c r="AA377" i="11"/>
  <c r="T377" i="11"/>
  <c r="R377" i="11"/>
  <c r="P377" i="11"/>
  <c r="Q377" i="11" s="1"/>
  <c r="U377" i="11" s="1"/>
  <c r="O377" i="11"/>
  <c r="N377" i="11"/>
  <c r="AA376" i="11"/>
  <c r="T376" i="11"/>
  <c r="P376" i="11"/>
  <c r="Q376" i="11" s="1"/>
  <c r="U376" i="11" s="1"/>
  <c r="O376" i="11"/>
  <c r="R376" i="11" s="1"/>
  <c r="N376" i="11"/>
  <c r="AA375" i="11"/>
  <c r="T375" i="11"/>
  <c r="R375" i="11"/>
  <c r="V375" i="11" s="1"/>
  <c r="Q375" i="11"/>
  <c r="U375" i="11" s="1"/>
  <c r="P375" i="11"/>
  <c r="O375" i="11"/>
  <c r="N375" i="11"/>
  <c r="AA374" i="11"/>
  <c r="U374" i="11"/>
  <c r="T374" i="11"/>
  <c r="R374" i="11"/>
  <c r="Q374" i="11"/>
  <c r="P374" i="11"/>
  <c r="O374" i="11"/>
  <c r="N374" i="11"/>
  <c r="AA373" i="11"/>
  <c r="T373" i="11"/>
  <c r="P373" i="11"/>
  <c r="Q373" i="11" s="1"/>
  <c r="U373" i="11" s="1"/>
  <c r="O373" i="11"/>
  <c r="R373" i="11" s="1"/>
  <c r="N373" i="11"/>
  <c r="AA372" i="11"/>
  <c r="T372" i="11"/>
  <c r="Q372" i="11"/>
  <c r="U372" i="11" s="1"/>
  <c r="P372" i="11"/>
  <c r="O372" i="11"/>
  <c r="N372" i="11"/>
  <c r="R372" i="11" s="1"/>
  <c r="AA371" i="11"/>
  <c r="T371" i="11"/>
  <c r="P371" i="11"/>
  <c r="Q371" i="11" s="1"/>
  <c r="U371" i="11" s="1"/>
  <c r="O371" i="11"/>
  <c r="N371" i="11"/>
  <c r="R371" i="11" s="1"/>
  <c r="AA370" i="11"/>
  <c r="T370" i="11"/>
  <c r="R370" i="11"/>
  <c r="P370" i="11"/>
  <c r="Q370" i="11" s="1"/>
  <c r="U370" i="11" s="1"/>
  <c r="O370" i="11"/>
  <c r="N370" i="11"/>
  <c r="AA369" i="11"/>
  <c r="T369" i="11"/>
  <c r="P369" i="11"/>
  <c r="Q369" i="11" s="1"/>
  <c r="O369" i="11"/>
  <c r="N369" i="11"/>
  <c r="R369" i="11" s="1"/>
  <c r="AA368" i="11"/>
  <c r="T368" i="11"/>
  <c r="V368" i="11" s="1"/>
  <c r="P368" i="11"/>
  <c r="Q368" i="11" s="1"/>
  <c r="U368" i="11" s="1"/>
  <c r="O368" i="11"/>
  <c r="R368" i="11" s="1"/>
  <c r="N368" i="11"/>
  <c r="AA367" i="11"/>
  <c r="T367" i="11"/>
  <c r="Q367" i="11"/>
  <c r="U367" i="11" s="1"/>
  <c r="P367" i="11"/>
  <c r="O367" i="11"/>
  <c r="R367" i="11" s="1"/>
  <c r="N367" i="11"/>
  <c r="AA366" i="11"/>
  <c r="U366" i="11"/>
  <c r="T366" i="11"/>
  <c r="Q366" i="11"/>
  <c r="P366" i="11"/>
  <c r="O366" i="11"/>
  <c r="N366" i="11"/>
  <c r="AA365" i="11"/>
  <c r="V365" i="11"/>
  <c r="T365" i="11"/>
  <c r="Q365" i="11"/>
  <c r="U365" i="11" s="1"/>
  <c r="P365" i="11"/>
  <c r="O365" i="11"/>
  <c r="N365" i="11"/>
  <c r="R365" i="11" s="1"/>
  <c r="S365" i="11" s="1"/>
  <c r="W365" i="11" s="1"/>
  <c r="AA364" i="11"/>
  <c r="V364" i="11"/>
  <c r="T364" i="11"/>
  <c r="S364" i="11"/>
  <c r="W364" i="11" s="1"/>
  <c r="R364" i="11"/>
  <c r="P364" i="11"/>
  <c r="Q364" i="11" s="1"/>
  <c r="U364" i="11" s="1"/>
  <c r="O364" i="11"/>
  <c r="N364" i="11"/>
  <c r="AA363" i="11"/>
  <c r="T363" i="11"/>
  <c r="R363" i="11"/>
  <c r="P363" i="11"/>
  <c r="Q363" i="11" s="1"/>
  <c r="U363" i="11" s="1"/>
  <c r="O363" i="11"/>
  <c r="N363" i="11"/>
  <c r="AA362" i="11"/>
  <c r="U362" i="11"/>
  <c r="T362" i="11"/>
  <c r="Q362" i="11"/>
  <c r="P362" i="11"/>
  <c r="O362" i="11"/>
  <c r="N362" i="11"/>
  <c r="R362" i="11" s="1"/>
  <c r="AA361" i="11"/>
  <c r="V361" i="11"/>
  <c r="T361" i="11"/>
  <c r="P361" i="11"/>
  <c r="Q361" i="11" s="1"/>
  <c r="U361" i="11" s="1"/>
  <c r="O361" i="11"/>
  <c r="N361" i="11"/>
  <c r="R361" i="11" s="1"/>
  <c r="S361" i="11" s="1"/>
  <c r="W361" i="11" s="1"/>
  <c r="AA360" i="11"/>
  <c r="T360" i="11"/>
  <c r="Q360" i="11"/>
  <c r="P360" i="11"/>
  <c r="O360" i="11"/>
  <c r="R360" i="11" s="1"/>
  <c r="N360" i="11"/>
  <c r="AA359" i="11"/>
  <c r="T359" i="11"/>
  <c r="P359" i="11"/>
  <c r="Q359" i="11" s="1"/>
  <c r="U359" i="11" s="1"/>
  <c r="O359" i="11"/>
  <c r="R359" i="11" s="1"/>
  <c r="N359" i="11"/>
  <c r="AA358" i="11"/>
  <c r="T358" i="11"/>
  <c r="Q358" i="11"/>
  <c r="U358" i="11" s="1"/>
  <c r="P358" i="11"/>
  <c r="O358" i="11"/>
  <c r="R358" i="11" s="1"/>
  <c r="N358" i="11"/>
  <c r="AA357" i="11"/>
  <c r="T357" i="11"/>
  <c r="P357" i="11"/>
  <c r="Q357" i="11" s="1"/>
  <c r="U357" i="11" s="1"/>
  <c r="O357" i="11"/>
  <c r="R357" i="11" s="1"/>
  <c r="N357" i="11"/>
  <c r="AA356" i="11"/>
  <c r="T356" i="11"/>
  <c r="P356" i="11"/>
  <c r="Q356" i="11" s="1"/>
  <c r="U356" i="11" s="1"/>
  <c r="O356" i="11"/>
  <c r="R356" i="11" s="1"/>
  <c r="N356" i="11"/>
  <c r="AA355" i="11"/>
  <c r="T355" i="11"/>
  <c r="R355" i="11"/>
  <c r="P355" i="11"/>
  <c r="Q355" i="11" s="1"/>
  <c r="U355" i="11" s="1"/>
  <c r="O355" i="11"/>
  <c r="N355" i="11"/>
  <c r="AA354" i="11"/>
  <c r="V354" i="11"/>
  <c r="T354" i="11"/>
  <c r="S354" i="11"/>
  <c r="W354" i="11" s="1"/>
  <c r="P354" i="11"/>
  <c r="Q354" i="11" s="1"/>
  <c r="U354" i="11" s="1"/>
  <c r="O354" i="11"/>
  <c r="R354" i="11" s="1"/>
  <c r="N354" i="11"/>
  <c r="AA353" i="11"/>
  <c r="T353" i="11"/>
  <c r="Q353" i="11"/>
  <c r="U353" i="11" s="1"/>
  <c r="P353" i="11"/>
  <c r="O353" i="11"/>
  <c r="R353" i="11" s="1"/>
  <c r="N353" i="11"/>
  <c r="AA352" i="11"/>
  <c r="T352" i="11"/>
  <c r="Q352" i="11"/>
  <c r="U352" i="11" s="1"/>
  <c r="P352" i="11"/>
  <c r="O352" i="11"/>
  <c r="R352" i="11" s="1"/>
  <c r="N352" i="11"/>
  <c r="AA351" i="11"/>
  <c r="T351" i="11"/>
  <c r="Q351" i="11"/>
  <c r="U351" i="11" s="1"/>
  <c r="P351" i="11"/>
  <c r="O351" i="11"/>
  <c r="R351" i="11" s="1"/>
  <c r="N351" i="11"/>
  <c r="AA350" i="11"/>
  <c r="U350" i="11"/>
  <c r="T350" i="11"/>
  <c r="R350" i="11"/>
  <c r="Q350" i="11"/>
  <c r="P350" i="11"/>
  <c r="O350" i="11"/>
  <c r="N350" i="11"/>
  <c r="AA349" i="11"/>
  <c r="T349" i="11"/>
  <c r="R349" i="11"/>
  <c r="P349" i="11"/>
  <c r="Q349" i="11" s="1"/>
  <c r="U349" i="11" s="1"/>
  <c r="O349" i="11"/>
  <c r="N349" i="11"/>
  <c r="AA348" i="11"/>
  <c r="T348" i="11"/>
  <c r="P348" i="11"/>
  <c r="Q348" i="11" s="1"/>
  <c r="U348" i="11" s="1"/>
  <c r="O348" i="11"/>
  <c r="R348" i="11" s="1"/>
  <c r="N348" i="11"/>
  <c r="AA347" i="11"/>
  <c r="V347" i="11"/>
  <c r="T347" i="11"/>
  <c r="R347" i="11"/>
  <c r="P347" i="11"/>
  <c r="Q347" i="11" s="1"/>
  <c r="U347" i="11" s="1"/>
  <c r="O347" i="11"/>
  <c r="N347" i="11"/>
  <c r="AA346" i="11"/>
  <c r="U346" i="11"/>
  <c r="T346" i="11"/>
  <c r="Q346" i="11"/>
  <c r="P346" i="11"/>
  <c r="O346" i="11"/>
  <c r="N346" i="11"/>
  <c r="R346" i="11" s="1"/>
  <c r="AA345" i="11"/>
  <c r="T345" i="11"/>
  <c r="P345" i="11"/>
  <c r="Q345" i="11" s="1"/>
  <c r="U345" i="11" s="1"/>
  <c r="O345" i="11"/>
  <c r="N345" i="11"/>
  <c r="R345" i="11" s="1"/>
  <c r="S345" i="11" s="1"/>
  <c r="W345" i="11" s="1"/>
  <c r="AA344" i="11"/>
  <c r="T344" i="11"/>
  <c r="Q344" i="11"/>
  <c r="U344" i="11" s="1"/>
  <c r="P344" i="11"/>
  <c r="O344" i="11"/>
  <c r="N344" i="11"/>
  <c r="AA343" i="11"/>
  <c r="V343" i="11"/>
  <c r="T343" i="11"/>
  <c r="P343" i="11"/>
  <c r="Q343" i="11" s="1"/>
  <c r="U343" i="11" s="1"/>
  <c r="O343" i="11"/>
  <c r="R343" i="11" s="1"/>
  <c r="N343" i="11"/>
  <c r="AA342" i="11"/>
  <c r="T342" i="11"/>
  <c r="Q342" i="11"/>
  <c r="U342" i="11" s="1"/>
  <c r="P342" i="11"/>
  <c r="O342" i="11"/>
  <c r="R342" i="11" s="1"/>
  <c r="N342" i="11"/>
  <c r="AA341" i="11"/>
  <c r="T341" i="11"/>
  <c r="P341" i="11"/>
  <c r="Q341" i="11" s="1"/>
  <c r="U341" i="11" s="1"/>
  <c r="O341" i="11"/>
  <c r="R341" i="11" s="1"/>
  <c r="N341" i="11"/>
  <c r="AA340" i="11"/>
  <c r="T340" i="11"/>
  <c r="P340" i="11"/>
  <c r="Q340" i="11" s="1"/>
  <c r="U340" i="11" s="1"/>
  <c r="O340" i="11"/>
  <c r="R340" i="11" s="1"/>
  <c r="V340" i="11" s="1"/>
  <c r="N340" i="11"/>
  <c r="AA339" i="11"/>
  <c r="T339" i="11"/>
  <c r="P339" i="11"/>
  <c r="Q339" i="11" s="1"/>
  <c r="C261" i="12" s="1"/>
  <c r="O339" i="11"/>
  <c r="N339" i="11"/>
  <c r="R339" i="11" s="1"/>
  <c r="AA338" i="11"/>
  <c r="V338" i="11"/>
  <c r="T338" i="11"/>
  <c r="S338" i="11"/>
  <c r="P338" i="11"/>
  <c r="Q338" i="11" s="1"/>
  <c r="O338" i="11"/>
  <c r="R338" i="11" s="1"/>
  <c r="D260" i="12" s="1"/>
  <c r="N338" i="11"/>
  <c r="AA337" i="11"/>
  <c r="T337" i="11"/>
  <c r="Q337" i="11"/>
  <c r="P337" i="11"/>
  <c r="O337" i="11"/>
  <c r="N337" i="11"/>
  <c r="AA336" i="11"/>
  <c r="V336" i="11"/>
  <c r="T336" i="11"/>
  <c r="S336" i="11"/>
  <c r="Q336" i="11"/>
  <c r="P336" i="11"/>
  <c r="O336" i="11"/>
  <c r="R336" i="11" s="1"/>
  <c r="D258" i="12" s="1"/>
  <c r="N336" i="11"/>
  <c r="AA335" i="11"/>
  <c r="T335" i="11"/>
  <c r="Q335" i="11"/>
  <c r="P335" i="11"/>
  <c r="O335" i="11"/>
  <c r="R335" i="11" s="1"/>
  <c r="N335" i="11"/>
  <c r="AA334" i="11"/>
  <c r="U334" i="11"/>
  <c r="T334" i="11"/>
  <c r="R334" i="11"/>
  <c r="Q334" i="11"/>
  <c r="P334" i="11"/>
  <c r="O334" i="11"/>
  <c r="N334" i="11"/>
  <c r="AA333" i="11"/>
  <c r="T333" i="11"/>
  <c r="R333" i="11"/>
  <c r="P333" i="11"/>
  <c r="Q333" i="11" s="1"/>
  <c r="O333" i="11"/>
  <c r="N333" i="11"/>
  <c r="AA332" i="11"/>
  <c r="U332" i="11"/>
  <c r="T332" i="11"/>
  <c r="P332" i="11"/>
  <c r="Q332" i="11" s="1"/>
  <c r="C254" i="12" s="1"/>
  <c r="O332" i="11"/>
  <c r="R332" i="11" s="1"/>
  <c r="N332" i="11"/>
  <c r="AA331" i="11"/>
  <c r="V331" i="11"/>
  <c r="T331" i="11"/>
  <c r="S331" i="11"/>
  <c r="R331" i="11"/>
  <c r="P331" i="11"/>
  <c r="Q331" i="11" s="1"/>
  <c r="O331" i="11"/>
  <c r="N331" i="11"/>
  <c r="AA330" i="11"/>
  <c r="T330" i="11"/>
  <c r="Q330" i="11"/>
  <c r="C252" i="12" s="1"/>
  <c r="P330" i="11"/>
  <c r="O330" i="11"/>
  <c r="N330" i="11"/>
  <c r="R330" i="11" s="1"/>
  <c r="S330" i="11" s="1"/>
  <c r="AA329" i="11"/>
  <c r="V329" i="11"/>
  <c r="T329" i="11"/>
  <c r="P329" i="11"/>
  <c r="Q329" i="11" s="1"/>
  <c r="O329" i="11"/>
  <c r="N329" i="11"/>
  <c r="R329" i="11" s="1"/>
  <c r="D251" i="12" s="1"/>
  <c r="AA328" i="11"/>
  <c r="T328" i="11"/>
  <c r="Q328" i="11"/>
  <c r="P328" i="11"/>
  <c r="O328" i="11"/>
  <c r="N328" i="11"/>
  <c r="AA327" i="11"/>
  <c r="T327" i="11"/>
  <c r="P327" i="11"/>
  <c r="Q327" i="11" s="1"/>
  <c r="O327" i="11"/>
  <c r="R327" i="11" s="1"/>
  <c r="N327" i="11"/>
  <c r="AA326" i="11"/>
  <c r="T326" i="11"/>
  <c r="Q326" i="11"/>
  <c r="P326" i="11"/>
  <c r="O326" i="11"/>
  <c r="R326" i="11" s="1"/>
  <c r="N326" i="11"/>
  <c r="AA325" i="11"/>
  <c r="U325" i="11"/>
  <c r="T325" i="11"/>
  <c r="R325" i="11"/>
  <c r="P325" i="11"/>
  <c r="Q325" i="11" s="1"/>
  <c r="C247" i="12" s="1"/>
  <c r="O325" i="11"/>
  <c r="N325" i="11"/>
  <c r="AA324" i="11"/>
  <c r="U324" i="11"/>
  <c r="T324" i="11"/>
  <c r="S324" i="11"/>
  <c r="P324" i="11"/>
  <c r="Q324" i="11" s="1"/>
  <c r="C246" i="12" s="1"/>
  <c r="O324" i="11"/>
  <c r="R324" i="11" s="1"/>
  <c r="N324" i="11"/>
  <c r="AA323" i="11"/>
  <c r="T323" i="11"/>
  <c r="R323" i="11"/>
  <c r="P323" i="11"/>
  <c r="Q323" i="11" s="1"/>
  <c r="C245" i="12" s="1"/>
  <c r="O323" i="11"/>
  <c r="N323" i="11"/>
  <c r="AA322" i="11"/>
  <c r="T322" i="11"/>
  <c r="P322" i="11"/>
  <c r="Q322" i="11" s="1"/>
  <c r="C244" i="12" s="1"/>
  <c r="O322" i="11"/>
  <c r="R322" i="11" s="1"/>
  <c r="N322" i="11"/>
  <c r="AA321" i="11"/>
  <c r="T321" i="11"/>
  <c r="Q321" i="11"/>
  <c r="P321" i="11"/>
  <c r="O321" i="11"/>
  <c r="R321" i="11" s="1"/>
  <c r="V321" i="11" s="1"/>
  <c r="N321" i="11"/>
  <c r="AA320" i="11"/>
  <c r="T320" i="11"/>
  <c r="Q320" i="11"/>
  <c r="P320" i="11"/>
  <c r="O320" i="11"/>
  <c r="R320" i="11" s="1"/>
  <c r="N320" i="11"/>
  <c r="AA319" i="11"/>
  <c r="T319" i="11"/>
  <c r="Q319" i="11"/>
  <c r="P319" i="11"/>
  <c r="O319" i="11"/>
  <c r="R319" i="11" s="1"/>
  <c r="V319" i="11" s="1"/>
  <c r="N319" i="11"/>
  <c r="AA318" i="11"/>
  <c r="U318" i="11"/>
  <c r="T318" i="11"/>
  <c r="Q318" i="11"/>
  <c r="C240" i="12" s="1"/>
  <c r="P318" i="11"/>
  <c r="O318" i="11"/>
  <c r="R318" i="11" s="1"/>
  <c r="N318" i="11"/>
  <c r="AA317" i="11"/>
  <c r="T317" i="11"/>
  <c r="R317" i="11"/>
  <c r="P317" i="11"/>
  <c r="Q317" i="11" s="1"/>
  <c r="O317" i="11"/>
  <c r="N317" i="11"/>
  <c r="AA316" i="11"/>
  <c r="U316" i="11"/>
  <c r="T316" i="11"/>
  <c r="P316" i="11"/>
  <c r="Q316" i="11" s="1"/>
  <c r="C238" i="12" s="1"/>
  <c r="O316" i="11"/>
  <c r="R316" i="11" s="1"/>
  <c r="N316" i="11"/>
  <c r="AA315" i="11"/>
  <c r="T315" i="11"/>
  <c r="R315" i="11"/>
  <c r="P315" i="11"/>
  <c r="Q315" i="11" s="1"/>
  <c r="O315" i="11"/>
  <c r="N315" i="11"/>
  <c r="AA314" i="11"/>
  <c r="T314" i="11"/>
  <c r="Q314" i="11"/>
  <c r="C236" i="12" s="1"/>
  <c r="P314" i="11"/>
  <c r="O314" i="11"/>
  <c r="N314" i="11"/>
  <c r="R314" i="11" s="1"/>
  <c r="AA313" i="11"/>
  <c r="T313" i="11"/>
  <c r="P313" i="11"/>
  <c r="Q313" i="11" s="1"/>
  <c r="O313" i="11"/>
  <c r="N313" i="11"/>
  <c r="R313" i="11" s="1"/>
  <c r="D209" i="12" s="1"/>
  <c r="AA312" i="11"/>
  <c r="T312" i="11"/>
  <c r="Q312" i="11"/>
  <c r="P312" i="11"/>
  <c r="O312" i="11"/>
  <c r="N312" i="11"/>
  <c r="AA311" i="11"/>
  <c r="T311" i="11"/>
  <c r="P311" i="11"/>
  <c r="Q311" i="11" s="1"/>
  <c r="O311" i="11"/>
  <c r="N311" i="11"/>
  <c r="R311" i="11" s="1"/>
  <c r="AA310" i="11"/>
  <c r="T310" i="11"/>
  <c r="Q310" i="11"/>
  <c r="P310" i="11"/>
  <c r="O310" i="11"/>
  <c r="R310" i="11" s="1"/>
  <c r="N310" i="11"/>
  <c r="AA309" i="11"/>
  <c r="U309" i="11"/>
  <c r="T309" i="11"/>
  <c r="P309" i="11"/>
  <c r="Q309" i="11" s="1"/>
  <c r="C205" i="12" s="1"/>
  <c r="O309" i="11"/>
  <c r="R309" i="11" s="1"/>
  <c r="N309" i="11"/>
  <c r="AA308" i="11"/>
  <c r="U308" i="11"/>
  <c r="T308" i="11"/>
  <c r="P308" i="11"/>
  <c r="Q308" i="11" s="1"/>
  <c r="C204" i="12" s="1"/>
  <c r="O308" i="11"/>
  <c r="R308" i="11" s="1"/>
  <c r="N308" i="11"/>
  <c r="AA307" i="11"/>
  <c r="U307" i="11"/>
  <c r="T307" i="11"/>
  <c r="P307" i="11"/>
  <c r="Q307" i="11" s="1"/>
  <c r="C203" i="12" s="1"/>
  <c r="O307" i="11"/>
  <c r="N307" i="11"/>
  <c r="AA306" i="11"/>
  <c r="T306" i="11"/>
  <c r="P306" i="11"/>
  <c r="Q306" i="11" s="1"/>
  <c r="C202" i="12" s="1"/>
  <c r="O306" i="11"/>
  <c r="N306" i="11"/>
  <c r="AA305" i="11"/>
  <c r="T305" i="11"/>
  <c r="P305" i="11"/>
  <c r="Q305" i="11" s="1"/>
  <c r="O305" i="11"/>
  <c r="N305" i="11"/>
  <c r="AA304" i="11"/>
  <c r="V304" i="11"/>
  <c r="T304" i="11"/>
  <c r="P304" i="11"/>
  <c r="Q304" i="11" s="1"/>
  <c r="O304" i="11"/>
  <c r="R304" i="11" s="1"/>
  <c r="D200" i="12" s="1"/>
  <c r="N304" i="11"/>
  <c r="AA303" i="11"/>
  <c r="T303" i="11"/>
  <c r="Q303" i="11"/>
  <c r="P303" i="11"/>
  <c r="O303" i="11"/>
  <c r="N303" i="11"/>
  <c r="AA302" i="11"/>
  <c r="T302" i="11"/>
  <c r="Q302" i="11"/>
  <c r="C198" i="12" s="1"/>
  <c r="P302" i="11"/>
  <c r="O302" i="11"/>
  <c r="R302" i="11" s="1"/>
  <c r="N302" i="11"/>
  <c r="AA301" i="11"/>
  <c r="T301" i="11"/>
  <c r="R301" i="11"/>
  <c r="Q301" i="11"/>
  <c r="P301" i="11"/>
  <c r="O301" i="11"/>
  <c r="N301" i="11"/>
  <c r="AA300" i="11"/>
  <c r="T300" i="11"/>
  <c r="P300" i="11"/>
  <c r="Q300" i="11" s="1"/>
  <c r="C196" i="12" s="1"/>
  <c r="O300" i="11"/>
  <c r="R300" i="11" s="1"/>
  <c r="N300" i="11"/>
  <c r="AA299" i="11"/>
  <c r="T299" i="11"/>
  <c r="P299" i="11"/>
  <c r="Q299" i="11" s="1"/>
  <c r="O299" i="11"/>
  <c r="N299" i="11"/>
  <c r="R299" i="11" s="1"/>
  <c r="AA298" i="11"/>
  <c r="T298" i="11"/>
  <c r="R298" i="11"/>
  <c r="D194" i="12" s="1"/>
  <c r="Q298" i="11"/>
  <c r="C194" i="12" s="1"/>
  <c r="P298" i="11"/>
  <c r="O298" i="11"/>
  <c r="N298" i="11"/>
  <c r="AA297" i="11"/>
  <c r="V297" i="11"/>
  <c r="T297" i="11"/>
  <c r="P297" i="11"/>
  <c r="Q297" i="11" s="1"/>
  <c r="O297" i="11"/>
  <c r="N297" i="11"/>
  <c r="R297" i="11" s="1"/>
  <c r="D193" i="12" s="1"/>
  <c r="AA296" i="11"/>
  <c r="T296" i="11"/>
  <c r="Q296" i="11"/>
  <c r="P296" i="11"/>
  <c r="O296" i="11"/>
  <c r="N296" i="11"/>
  <c r="AA295" i="11"/>
  <c r="T295" i="11"/>
  <c r="P295" i="11"/>
  <c r="Q295" i="11" s="1"/>
  <c r="O295" i="11"/>
  <c r="R295" i="11" s="1"/>
  <c r="N295" i="11"/>
  <c r="AA294" i="11"/>
  <c r="U294" i="11"/>
  <c r="T294" i="11"/>
  <c r="Q294" i="11"/>
  <c r="C190" i="12" s="1"/>
  <c r="P294" i="11"/>
  <c r="O294" i="11"/>
  <c r="R294" i="11" s="1"/>
  <c r="N294" i="11"/>
  <c r="AA293" i="11"/>
  <c r="T293" i="11"/>
  <c r="P293" i="11"/>
  <c r="Q293" i="11" s="1"/>
  <c r="C189" i="12" s="1"/>
  <c r="O293" i="11"/>
  <c r="N293" i="11"/>
  <c r="R293" i="11" s="1"/>
  <c r="AA292" i="11"/>
  <c r="U292" i="11"/>
  <c r="T292" i="11"/>
  <c r="P292" i="11"/>
  <c r="Q292" i="11" s="1"/>
  <c r="C188" i="12" s="1"/>
  <c r="O292" i="11"/>
  <c r="R292" i="11" s="1"/>
  <c r="N292" i="11"/>
  <c r="AA291" i="11"/>
  <c r="T291" i="11"/>
  <c r="P291" i="11"/>
  <c r="Q291" i="11" s="1"/>
  <c r="C187" i="12" s="1"/>
  <c r="O291" i="11"/>
  <c r="N291" i="11"/>
  <c r="AA290" i="11"/>
  <c r="T290" i="11"/>
  <c r="Q290" i="11"/>
  <c r="P290" i="11"/>
  <c r="O290" i="11"/>
  <c r="R290" i="11" s="1"/>
  <c r="D186" i="12" s="1"/>
  <c r="N290" i="11"/>
  <c r="AA289" i="11"/>
  <c r="T289" i="11"/>
  <c r="P289" i="11"/>
  <c r="Q289" i="11" s="1"/>
  <c r="O289" i="11"/>
  <c r="R289" i="11" s="1"/>
  <c r="N289" i="11"/>
  <c r="AA288" i="11"/>
  <c r="T288" i="11"/>
  <c r="V288" i="11" s="1"/>
  <c r="Q288" i="11"/>
  <c r="C184" i="12" s="1"/>
  <c r="P288" i="11"/>
  <c r="O288" i="11"/>
  <c r="R288" i="11" s="1"/>
  <c r="D184" i="12" s="1"/>
  <c r="N288" i="11"/>
  <c r="AA287" i="11"/>
  <c r="T287" i="11"/>
  <c r="U287" i="11" s="1"/>
  <c r="Q287" i="11"/>
  <c r="C235" i="12" s="1"/>
  <c r="P287" i="11"/>
  <c r="O287" i="11"/>
  <c r="R287" i="11" s="1"/>
  <c r="N287" i="11"/>
  <c r="AA286" i="11"/>
  <c r="T286" i="11"/>
  <c r="Q286" i="11"/>
  <c r="C234" i="12" s="1"/>
  <c r="P286" i="11"/>
  <c r="O286" i="11"/>
  <c r="R286" i="11" s="1"/>
  <c r="N286" i="11"/>
  <c r="AA285" i="11"/>
  <c r="T285" i="11"/>
  <c r="R285" i="11"/>
  <c r="P285" i="11"/>
  <c r="Q285" i="11" s="1"/>
  <c r="O285" i="11"/>
  <c r="N285" i="11"/>
  <c r="AA284" i="11"/>
  <c r="T284" i="11"/>
  <c r="Q284" i="11"/>
  <c r="C232" i="12" s="1"/>
  <c r="P284" i="11"/>
  <c r="O284" i="11"/>
  <c r="R284" i="11" s="1"/>
  <c r="N284" i="11"/>
  <c r="AA283" i="11"/>
  <c r="V283" i="11"/>
  <c r="T283" i="11"/>
  <c r="P283" i="11"/>
  <c r="Q283" i="11" s="1"/>
  <c r="O283" i="11"/>
  <c r="N283" i="11"/>
  <c r="R283" i="11" s="1"/>
  <c r="AA282" i="11"/>
  <c r="T282" i="11"/>
  <c r="R282" i="11"/>
  <c r="Q282" i="11"/>
  <c r="C230" i="12" s="1"/>
  <c r="P282" i="11"/>
  <c r="O282" i="11"/>
  <c r="N282" i="11"/>
  <c r="AA281" i="11"/>
  <c r="T281" i="11"/>
  <c r="R281" i="11"/>
  <c r="P281" i="11"/>
  <c r="Q281" i="11" s="1"/>
  <c r="O281" i="11"/>
  <c r="N281" i="11"/>
  <c r="AA280" i="11"/>
  <c r="T280" i="11"/>
  <c r="Q280" i="11"/>
  <c r="C228" i="12" s="1"/>
  <c r="P280" i="11"/>
  <c r="O280" i="11"/>
  <c r="R280" i="11" s="1"/>
  <c r="N280" i="11"/>
  <c r="AA279" i="11"/>
  <c r="T279" i="11"/>
  <c r="P279" i="11"/>
  <c r="Q279" i="11" s="1"/>
  <c r="O279" i="11"/>
  <c r="R279" i="11" s="1"/>
  <c r="N279" i="11"/>
  <c r="AA278" i="11"/>
  <c r="T278" i="11"/>
  <c r="U278" i="11" s="1"/>
  <c r="Q278" i="11"/>
  <c r="C226" i="12" s="1"/>
  <c r="P278" i="11"/>
  <c r="O278" i="11"/>
  <c r="R278" i="11" s="1"/>
  <c r="N278" i="11"/>
  <c r="AA277" i="11"/>
  <c r="T277" i="11"/>
  <c r="P277" i="11"/>
  <c r="Q277" i="11" s="1"/>
  <c r="O277" i="11"/>
  <c r="N277" i="11"/>
  <c r="R277" i="11" s="1"/>
  <c r="AA276" i="11"/>
  <c r="T276" i="11"/>
  <c r="Q276" i="11"/>
  <c r="P276" i="11"/>
  <c r="O276" i="11"/>
  <c r="R276" i="11" s="1"/>
  <c r="N276" i="11"/>
  <c r="AA275" i="11"/>
  <c r="U275" i="11"/>
  <c r="T275" i="11"/>
  <c r="P275" i="11"/>
  <c r="Q275" i="11" s="1"/>
  <c r="C223" i="12" s="1"/>
  <c r="O275" i="11"/>
  <c r="R275" i="11" s="1"/>
  <c r="N275" i="11"/>
  <c r="AA274" i="11"/>
  <c r="T274" i="11"/>
  <c r="P274" i="11"/>
  <c r="Q274" i="11" s="1"/>
  <c r="C222" i="12" s="1"/>
  <c r="O274" i="11"/>
  <c r="N274" i="11"/>
  <c r="AA273" i="11"/>
  <c r="V273" i="11"/>
  <c r="T273" i="11"/>
  <c r="R273" i="11"/>
  <c r="P273" i="11"/>
  <c r="Q273" i="11" s="1"/>
  <c r="O273" i="11"/>
  <c r="N273" i="11"/>
  <c r="AA272" i="11"/>
  <c r="T272" i="11"/>
  <c r="Q272" i="11"/>
  <c r="P272" i="11"/>
  <c r="O272" i="11"/>
  <c r="R272" i="11" s="1"/>
  <c r="N272" i="11"/>
  <c r="AA271" i="11"/>
  <c r="T271" i="11"/>
  <c r="R271" i="11"/>
  <c r="P271" i="11"/>
  <c r="Q271" i="11" s="1"/>
  <c r="O271" i="11"/>
  <c r="N271" i="11"/>
  <c r="AA270" i="11"/>
  <c r="U270" i="11"/>
  <c r="T270" i="11"/>
  <c r="R270" i="11"/>
  <c r="D218" i="12" s="1"/>
  <c r="P270" i="11"/>
  <c r="Q270" i="11" s="1"/>
  <c r="C218" i="12" s="1"/>
  <c r="O270" i="11"/>
  <c r="N270" i="11"/>
  <c r="AA269" i="11"/>
  <c r="T269" i="11"/>
  <c r="R269" i="11"/>
  <c r="P269" i="11"/>
  <c r="Q269" i="11" s="1"/>
  <c r="O269" i="11"/>
  <c r="N269" i="11"/>
  <c r="AA268" i="11"/>
  <c r="T268" i="11"/>
  <c r="S268" i="11"/>
  <c r="Q268" i="11"/>
  <c r="C216" i="12" s="1"/>
  <c r="P268" i="11"/>
  <c r="O268" i="11"/>
  <c r="R268" i="11" s="1"/>
  <c r="N268" i="11"/>
  <c r="AA267" i="11"/>
  <c r="T267" i="11"/>
  <c r="Q267" i="11"/>
  <c r="C215" i="12" s="1"/>
  <c r="P267" i="11"/>
  <c r="O267" i="11"/>
  <c r="N267" i="11"/>
  <c r="AA266" i="11"/>
  <c r="T266" i="11"/>
  <c r="Q266" i="11"/>
  <c r="P266" i="11"/>
  <c r="O266" i="11"/>
  <c r="N266" i="11"/>
  <c r="AA265" i="11"/>
  <c r="T265" i="11"/>
  <c r="P265" i="11"/>
  <c r="Q265" i="11" s="1"/>
  <c r="O265" i="11"/>
  <c r="N265" i="11"/>
  <c r="R265" i="11" s="1"/>
  <c r="AA264" i="11"/>
  <c r="T264" i="11"/>
  <c r="P264" i="11"/>
  <c r="Q264" i="11" s="1"/>
  <c r="O264" i="11"/>
  <c r="R264" i="11" s="1"/>
  <c r="N264" i="11"/>
  <c r="AA263" i="11"/>
  <c r="T263" i="11"/>
  <c r="P263" i="11"/>
  <c r="Q263" i="11" s="1"/>
  <c r="O263" i="11"/>
  <c r="R263" i="11" s="1"/>
  <c r="N263" i="11"/>
  <c r="AA262" i="11"/>
  <c r="U262" i="11"/>
  <c r="T262" i="11"/>
  <c r="S262" i="11"/>
  <c r="Q262" i="11"/>
  <c r="C210" i="12" s="1"/>
  <c r="P262" i="11"/>
  <c r="O262" i="11"/>
  <c r="R262" i="11" s="1"/>
  <c r="N262" i="11"/>
  <c r="AA261" i="11"/>
  <c r="U261" i="11"/>
  <c r="T261" i="11"/>
  <c r="P261" i="11"/>
  <c r="Q261" i="11" s="1"/>
  <c r="C79" i="12" s="1"/>
  <c r="O261" i="11"/>
  <c r="N261" i="11"/>
  <c r="AA260" i="11"/>
  <c r="U260" i="11"/>
  <c r="T260" i="11"/>
  <c r="S260" i="11"/>
  <c r="E78" i="12" s="1"/>
  <c r="P260" i="11"/>
  <c r="Q260" i="11" s="1"/>
  <c r="C78" i="12" s="1"/>
  <c r="O260" i="11"/>
  <c r="R260" i="11" s="1"/>
  <c r="N260" i="11"/>
  <c r="AA259" i="11"/>
  <c r="T259" i="11"/>
  <c r="P259" i="11"/>
  <c r="Q259" i="11" s="1"/>
  <c r="O259" i="11"/>
  <c r="N259" i="11"/>
  <c r="R259" i="11" s="1"/>
  <c r="AA258" i="11"/>
  <c r="T258" i="11"/>
  <c r="Q258" i="11"/>
  <c r="P258" i="11"/>
  <c r="O258" i="11"/>
  <c r="R258" i="11" s="1"/>
  <c r="N258" i="11"/>
  <c r="AA257" i="11"/>
  <c r="T257" i="11"/>
  <c r="Q257" i="11"/>
  <c r="P257" i="11"/>
  <c r="O257" i="11"/>
  <c r="R257" i="11" s="1"/>
  <c r="N257" i="11"/>
  <c r="AA256" i="11"/>
  <c r="U256" i="11"/>
  <c r="T256" i="11"/>
  <c r="Q256" i="11"/>
  <c r="C74" i="12" s="1"/>
  <c r="P256" i="11"/>
  <c r="O256" i="11"/>
  <c r="R256" i="11" s="1"/>
  <c r="N256" i="11"/>
  <c r="AA255" i="11"/>
  <c r="U255" i="11"/>
  <c r="T255" i="11"/>
  <c r="P255" i="11"/>
  <c r="Q255" i="11" s="1"/>
  <c r="C73" i="12" s="1"/>
  <c r="O255" i="11"/>
  <c r="N255" i="11"/>
  <c r="R255" i="11" s="1"/>
  <c r="AA254" i="11"/>
  <c r="U254" i="11"/>
  <c r="T254" i="11"/>
  <c r="R254" i="11"/>
  <c r="P254" i="11"/>
  <c r="Q254" i="11" s="1"/>
  <c r="C72" i="12" s="1"/>
  <c r="O254" i="11"/>
  <c r="N254" i="11"/>
  <c r="AA253" i="11"/>
  <c r="T253" i="11"/>
  <c r="R253" i="11"/>
  <c r="P253" i="11"/>
  <c r="Q253" i="11" s="1"/>
  <c r="O253" i="11"/>
  <c r="N253" i="11"/>
  <c r="AA252" i="11"/>
  <c r="V252" i="11"/>
  <c r="T252" i="11"/>
  <c r="Q252" i="11"/>
  <c r="P252" i="11"/>
  <c r="O252" i="11"/>
  <c r="R252" i="11" s="1"/>
  <c r="D70" i="12" s="1"/>
  <c r="N252" i="11"/>
  <c r="AA251" i="11"/>
  <c r="T251" i="11"/>
  <c r="Q251" i="11"/>
  <c r="P251" i="11"/>
  <c r="O251" i="11"/>
  <c r="N251" i="11"/>
  <c r="AA250" i="11"/>
  <c r="U250" i="11"/>
  <c r="T250" i="11"/>
  <c r="Q250" i="11"/>
  <c r="C68" i="12" s="1"/>
  <c r="P250" i="11"/>
  <c r="O250" i="11"/>
  <c r="R250" i="11" s="1"/>
  <c r="N250" i="11"/>
  <c r="AA249" i="11"/>
  <c r="T249" i="11"/>
  <c r="P249" i="11"/>
  <c r="Q249" i="11" s="1"/>
  <c r="O249" i="11"/>
  <c r="N249" i="11"/>
  <c r="R249" i="11" s="1"/>
  <c r="AA248" i="11"/>
  <c r="T248" i="11"/>
  <c r="P248" i="11"/>
  <c r="Q248" i="11" s="1"/>
  <c r="O248" i="11"/>
  <c r="R248" i="11" s="1"/>
  <c r="N248" i="11"/>
  <c r="AA247" i="11"/>
  <c r="T247" i="11"/>
  <c r="P247" i="11"/>
  <c r="Q247" i="11" s="1"/>
  <c r="O247" i="11"/>
  <c r="R247" i="11" s="1"/>
  <c r="N247" i="11"/>
  <c r="AA246" i="11"/>
  <c r="U246" i="11"/>
  <c r="T246" i="11"/>
  <c r="Q246" i="11"/>
  <c r="C64" i="12" s="1"/>
  <c r="P246" i="11"/>
  <c r="O246" i="11"/>
  <c r="R246" i="11" s="1"/>
  <c r="N246" i="11"/>
  <c r="AA245" i="11"/>
  <c r="U245" i="11"/>
  <c r="T245" i="11"/>
  <c r="P245" i="11"/>
  <c r="Q245" i="11" s="1"/>
  <c r="C63" i="12" s="1"/>
  <c r="O245" i="11"/>
  <c r="R245" i="11" s="1"/>
  <c r="N245" i="11"/>
  <c r="AA244" i="11"/>
  <c r="U244" i="11"/>
  <c r="T244" i="11"/>
  <c r="P244" i="11"/>
  <c r="Q244" i="11" s="1"/>
  <c r="C62" i="12" s="1"/>
  <c r="O244" i="11"/>
  <c r="N244" i="11"/>
  <c r="AA243" i="11"/>
  <c r="T243" i="11"/>
  <c r="P243" i="11"/>
  <c r="Q243" i="11" s="1"/>
  <c r="O243" i="11"/>
  <c r="N243" i="11"/>
  <c r="R243" i="11" s="1"/>
  <c r="AA242" i="11"/>
  <c r="T242" i="11"/>
  <c r="Q242" i="11"/>
  <c r="P242" i="11"/>
  <c r="O242" i="11"/>
  <c r="R242" i="11" s="1"/>
  <c r="V242" i="11" s="1"/>
  <c r="N242" i="11"/>
  <c r="AA241" i="11"/>
  <c r="T241" i="11"/>
  <c r="Q241" i="11"/>
  <c r="P241" i="11"/>
  <c r="O241" i="11"/>
  <c r="R241" i="11" s="1"/>
  <c r="N241" i="11"/>
  <c r="AA240" i="11"/>
  <c r="T240" i="11"/>
  <c r="Q240" i="11"/>
  <c r="P240" i="11"/>
  <c r="O240" i="11"/>
  <c r="R240" i="11" s="1"/>
  <c r="N240" i="11"/>
  <c r="AA239" i="11"/>
  <c r="U239" i="11"/>
  <c r="T239" i="11"/>
  <c r="R239" i="11"/>
  <c r="P239" i="11"/>
  <c r="Q239" i="11" s="1"/>
  <c r="C57" i="12" s="1"/>
  <c r="O239" i="11"/>
  <c r="N239" i="11"/>
  <c r="AA238" i="11"/>
  <c r="T238" i="11"/>
  <c r="R238" i="11"/>
  <c r="P238" i="11"/>
  <c r="Q238" i="11" s="1"/>
  <c r="C56" i="12" s="1"/>
  <c r="O238" i="11"/>
  <c r="N238" i="11"/>
  <c r="AA237" i="11"/>
  <c r="T237" i="11"/>
  <c r="R237" i="11"/>
  <c r="P237" i="11"/>
  <c r="Q237" i="11" s="1"/>
  <c r="O237" i="11"/>
  <c r="N237" i="11"/>
  <c r="AA236" i="11"/>
  <c r="V236" i="11"/>
  <c r="T236" i="11"/>
  <c r="Q236" i="11"/>
  <c r="P236" i="11"/>
  <c r="O236" i="11"/>
  <c r="R236" i="11" s="1"/>
  <c r="D54" i="12" s="1"/>
  <c r="N236" i="11"/>
  <c r="AA235" i="11"/>
  <c r="T235" i="11"/>
  <c r="S235" i="11"/>
  <c r="Q235" i="11"/>
  <c r="P235" i="11"/>
  <c r="O235" i="11"/>
  <c r="R235" i="11" s="1"/>
  <c r="D131" i="12" s="1"/>
  <c r="N235" i="11"/>
  <c r="AA234" i="11"/>
  <c r="T234" i="11"/>
  <c r="Q234" i="11"/>
  <c r="P234" i="11"/>
  <c r="O234" i="11"/>
  <c r="N234" i="11"/>
  <c r="AA233" i="11"/>
  <c r="T233" i="11"/>
  <c r="R233" i="11"/>
  <c r="P233" i="11"/>
  <c r="Q233" i="11" s="1"/>
  <c r="O233" i="11"/>
  <c r="N233" i="11"/>
  <c r="AA232" i="11"/>
  <c r="T232" i="11"/>
  <c r="P232" i="11"/>
  <c r="Q232" i="11" s="1"/>
  <c r="O232" i="11"/>
  <c r="R232" i="11" s="1"/>
  <c r="N232" i="11"/>
  <c r="AA231" i="11"/>
  <c r="T231" i="11"/>
  <c r="P231" i="11"/>
  <c r="Q231" i="11" s="1"/>
  <c r="O231" i="11"/>
  <c r="R231" i="11" s="1"/>
  <c r="N231" i="11"/>
  <c r="AA230" i="11"/>
  <c r="U230" i="11"/>
  <c r="T230" i="11"/>
  <c r="S230" i="11"/>
  <c r="Q230" i="11"/>
  <c r="C126" i="12" s="1"/>
  <c r="P230" i="11"/>
  <c r="O230" i="11"/>
  <c r="R230" i="11" s="1"/>
  <c r="N230" i="11"/>
  <c r="AA229" i="11"/>
  <c r="U229" i="11"/>
  <c r="T229" i="11"/>
  <c r="P229" i="11"/>
  <c r="Q229" i="11" s="1"/>
  <c r="C125" i="12" s="1"/>
  <c r="O229" i="11"/>
  <c r="R229" i="11" s="1"/>
  <c r="N229" i="11"/>
  <c r="AA228" i="11"/>
  <c r="T228" i="11"/>
  <c r="P228" i="11"/>
  <c r="Q228" i="11" s="1"/>
  <c r="C124" i="12" s="1"/>
  <c r="O228" i="11"/>
  <c r="N228" i="11"/>
  <c r="AA227" i="11"/>
  <c r="T227" i="11"/>
  <c r="R227" i="11"/>
  <c r="P227" i="11"/>
  <c r="Q227" i="11" s="1"/>
  <c r="O227" i="11"/>
  <c r="N227" i="11"/>
  <c r="AA226" i="11"/>
  <c r="T226" i="11"/>
  <c r="Q226" i="11"/>
  <c r="P226" i="11"/>
  <c r="O226" i="11"/>
  <c r="R226" i="11" s="1"/>
  <c r="N226" i="11"/>
  <c r="AA225" i="11"/>
  <c r="T225" i="11"/>
  <c r="Q225" i="11"/>
  <c r="P225" i="11"/>
  <c r="O225" i="11"/>
  <c r="R225" i="11" s="1"/>
  <c r="V225" i="11" s="1"/>
  <c r="N225" i="11"/>
  <c r="AA224" i="11"/>
  <c r="U224" i="11"/>
  <c r="T224" i="11"/>
  <c r="S224" i="11"/>
  <c r="E120" i="12" s="1"/>
  <c r="Q224" i="11"/>
  <c r="C120" i="12" s="1"/>
  <c r="P224" i="11"/>
  <c r="O224" i="11"/>
  <c r="R224" i="11" s="1"/>
  <c r="N224" i="11"/>
  <c r="AA223" i="11"/>
  <c r="U223" i="11"/>
  <c r="T223" i="11"/>
  <c r="Q223" i="11"/>
  <c r="C119" i="12" s="1"/>
  <c r="P223" i="11"/>
  <c r="O223" i="11"/>
  <c r="N223" i="11"/>
  <c r="R223" i="11" s="1"/>
  <c r="AA222" i="11"/>
  <c r="U222" i="11"/>
  <c r="T222" i="11"/>
  <c r="R222" i="11"/>
  <c r="P222" i="11"/>
  <c r="Q222" i="11" s="1"/>
  <c r="C118" i="12" s="1"/>
  <c r="O222" i="11"/>
  <c r="N222" i="11"/>
  <c r="AA221" i="11"/>
  <c r="T221" i="11"/>
  <c r="P221" i="11"/>
  <c r="Q221" i="11" s="1"/>
  <c r="O221" i="11"/>
  <c r="N221" i="11"/>
  <c r="R221" i="11" s="1"/>
  <c r="AA220" i="11"/>
  <c r="V220" i="11"/>
  <c r="T220" i="11"/>
  <c r="R220" i="11"/>
  <c r="D116" i="12" s="1"/>
  <c r="Q220" i="11"/>
  <c r="P220" i="11"/>
  <c r="O220" i="11"/>
  <c r="N220" i="11"/>
  <c r="AA219" i="11"/>
  <c r="T219" i="11"/>
  <c r="Q219" i="11"/>
  <c r="P219" i="11"/>
  <c r="O219" i="11"/>
  <c r="N219" i="11"/>
  <c r="AA218" i="11"/>
  <c r="U218" i="11"/>
  <c r="T218" i="11"/>
  <c r="Q218" i="11"/>
  <c r="C114" i="12" s="1"/>
  <c r="P218" i="11"/>
  <c r="O218" i="11"/>
  <c r="R218" i="11" s="1"/>
  <c r="N218" i="11"/>
  <c r="AA217" i="11"/>
  <c r="T217" i="11"/>
  <c r="P217" i="11"/>
  <c r="Q217" i="11" s="1"/>
  <c r="O217" i="11"/>
  <c r="N217" i="11"/>
  <c r="R217" i="11" s="1"/>
  <c r="AA216" i="11"/>
  <c r="T216" i="11"/>
  <c r="U216" i="11" s="1"/>
  <c r="P216" i="11"/>
  <c r="Q216" i="11" s="1"/>
  <c r="C112" i="12" s="1"/>
  <c r="O216" i="11"/>
  <c r="R216" i="11" s="1"/>
  <c r="N216" i="11"/>
  <c r="AA215" i="11"/>
  <c r="T215" i="11"/>
  <c r="P215" i="11"/>
  <c r="Q215" i="11" s="1"/>
  <c r="O215" i="11"/>
  <c r="R215" i="11" s="1"/>
  <c r="N215" i="11"/>
  <c r="AA214" i="11"/>
  <c r="T214" i="11"/>
  <c r="Q214" i="11"/>
  <c r="C110" i="12" s="1"/>
  <c r="P214" i="11"/>
  <c r="O214" i="11"/>
  <c r="R214" i="11" s="1"/>
  <c r="N214" i="11"/>
  <c r="AA213" i="11"/>
  <c r="U213" i="11"/>
  <c r="T213" i="11"/>
  <c r="Q213" i="11"/>
  <c r="C109" i="12" s="1"/>
  <c r="P213" i="11"/>
  <c r="O213" i="11"/>
  <c r="N213" i="11"/>
  <c r="AA212" i="11"/>
  <c r="T212" i="11"/>
  <c r="P212" i="11"/>
  <c r="Q212" i="11" s="1"/>
  <c r="O212" i="11"/>
  <c r="R212" i="11" s="1"/>
  <c r="N212" i="11"/>
  <c r="AA211" i="11"/>
  <c r="T211" i="11"/>
  <c r="R211" i="11"/>
  <c r="P211" i="11"/>
  <c r="Q211" i="11" s="1"/>
  <c r="C107" i="12" s="1"/>
  <c r="O211" i="11"/>
  <c r="N211" i="11"/>
  <c r="AA210" i="11"/>
  <c r="T210" i="11"/>
  <c r="R210" i="11"/>
  <c r="Q210" i="11"/>
  <c r="P210" i="11"/>
  <c r="O210" i="11"/>
  <c r="N210" i="11"/>
  <c r="AA209" i="11"/>
  <c r="V209" i="11"/>
  <c r="T209" i="11"/>
  <c r="R209" i="11"/>
  <c r="Q209" i="11"/>
  <c r="P209" i="11"/>
  <c r="O209" i="11"/>
  <c r="N209" i="11"/>
  <c r="AA208" i="11"/>
  <c r="V208" i="11"/>
  <c r="U208" i="11"/>
  <c r="T208" i="11"/>
  <c r="Q208" i="11"/>
  <c r="C104" i="12" s="1"/>
  <c r="P208" i="11"/>
  <c r="O208" i="11"/>
  <c r="R208" i="11" s="1"/>
  <c r="D104" i="12" s="1"/>
  <c r="N208" i="11"/>
  <c r="AA207" i="11"/>
  <c r="U207" i="11"/>
  <c r="T207" i="11"/>
  <c r="Q207" i="11"/>
  <c r="C103" i="12" s="1"/>
  <c r="P207" i="11"/>
  <c r="O207" i="11"/>
  <c r="N207" i="11"/>
  <c r="R207" i="11" s="1"/>
  <c r="AA206" i="11"/>
  <c r="U206" i="11"/>
  <c r="T206" i="11"/>
  <c r="P206" i="11"/>
  <c r="Q206" i="11" s="1"/>
  <c r="C102" i="12" s="1"/>
  <c r="O206" i="11"/>
  <c r="N206" i="11"/>
  <c r="R206" i="11" s="1"/>
  <c r="AA205" i="11"/>
  <c r="T205" i="11"/>
  <c r="P205" i="11"/>
  <c r="Q205" i="11" s="1"/>
  <c r="O205" i="11"/>
  <c r="N205" i="11"/>
  <c r="R205" i="11" s="1"/>
  <c r="AA204" i="11"/>
  <c r="T204" i="11"/>
  <c r="Q204" i="11"/>
  <c r="P204" i="11"/>
  <c r="O204" i="11"/>
  <c r="R204" i="11" s="1"/>
  <c r="N204" i="11"/>
  <c r="AA203" i="11"/>
  <c r="T203" i="11"/>
  <c r="V203" i="11" s="1"/>
  <c r="Q203" i="11"/>
  <c r="P203" i="11"/>
  <c r="O203" i="11"/>
  <c r="R203" i="11" s="1"/>
  <c r="D99" i="12" s="1"/>
  <c r="N203" i="11"/>
  <c r="AA202" i="11"/>
  <c r="U202" i="11"/>
  <c r="T202" i="11"/>
  <c r="S202" i="11"/>
  <c r="E98" i="12" s="1"/>
  <c r="Q202" i="11"/>
  <c r="C98" i="12" s="1"/>
  <c r="P202" i="11"/>
  <c r="O202" i="11"/>
  <c r="R202" i="11" s="1"/>
  <c r="N202" i="11"/>
  <c r="AA201" i="11"/>
  <c r="T201" i="11"/>
  <c r="S201" i="11"/>
  <c r="R201" i="11"/>
  <c r="P201" i="11"/>
  <c r="Q201" i="11" s="1"/>
  <c r="C97" i="12" s="1"/>
  <c r="O201" i="11"/>
  <c r="N201" i="11"/>
  <c r="AA200" i="11"/>
  <c r="U200" i="11"/>
  <c r="T200" i="11"/>
  <c r="R200" i="11"/>
  <c r="P200" i="11"/>
  <c r="Q200" i="11" s="1"/>
  <c r="C96" i="12" s="1"/>
  <c r="O200" i="11"/>
  <c r="N200" i="11"/>
  <c r="AA199" i="11"/>
  <c r="T199" i="11"/>
  <c r="R199" i="11"/>
  <c r="P199" i="11"/>
  <c r="Q199" i="11" s="1"/>
  <c r="O199" i="11"/>
  <c r="N199" i="11"/>
  <c r="AA198" i="11"/>
  <c r="T198" i="11"/>
  <c r="V198" i="11" s="1"/>
  <c r="Q198" i="11"/>
  <c r="C94" i="12" s="1"/>
  <c r="P198" i="11"/>
  <c r="O198" i="11"/>
  <c r="R198" i="11" s="1"/>
  <c r="D94" i="12" s="1"/>
  <c r="N198" i="11"/>
  <c r="AA197" i="11"/>
  <c r="T197" i="11"/>
  <c r="P197" i="11"/>
  <c r="Q197" i="11" s="1"/>
  <c r="O197" i="11"/>
  <c r="N197" i="11"/>
  <c r="AA196" i="11"/>
  <c r="T196" i="11"/>
  <c r="P196" i="11"/>
  <c r="Q196" i="11" s="1"/>
  <c r="O196" i="11"/>
  <c r="R196" i="11" s="1"/>
  <c r="N196" i="11"/>
  <c r="AA195" i="11"/>
  <c r="T195" i="11"/>
  <c r="P195" i="11"/>
  <c r="Q195" i="11" s="1"/>
  <c r="C91" i="12" s="1"/>
  <c r="O195" i="11"/>
  <c r="N195" i="11"/>
  <c r="R195" i="11" s="1"/>
  <c r="AA194" i="11"/>
  <c r="T194" i="11"/>
  <c r="P194" i="11"/>
  <c r="Q194" i="11" s="1"/>
  <c r="O194" i="11"/>
  <c r="R194" i="11" s="1"/>
  <c r="N194" i="11"/>
  <c r="AA193" i="11"/>
  <c r="V193" i="11"/>
  <c r="T193" i="11"/>
  <c r="R193" i="11"/>
  <c r="P193" i="11"/>
  <c r="Q193" i="11" s="1"/>
  <c r="O193" i="11"/>
  <c r="N193" i="11"/>
  <c r="AA192" i="11"/>
  <c r="V192" i="11"/>
  <c r="T192" i="11"/>
  <c r="Q192" i="11"/>
  <c r="P192" i="11"/>
  <c r="O192" i="11"/>
  <c r="R192" i="11" s="1"/>
  <c r="D88" i="12" s="1"/>
  <c r="N192" i="11"/>
  <c r="AA191" i="11"/>
  <c r="V191" i="11"/>
  <c r="T191" i="11"/>
  <c r="R191" i="11"/>
  <c r="D87" i="12" s="1"/>
  <c r="P191" i="11"/>
  <c r="Q191" i="11" s="1"/>
  <c r="O191" i="11"/>
  <c r="N191" i="11"/>
  <c r="AA190" i="11"/>
  <c r="T190" i="11"/>
  <c r="Q190" i="11"/>
  <c r="C86" i="12" s="1"/>
  <c r="P190" i="11"/>
  <c r="O190" i="11"/>
  <c r="N190" i="11"/>
  <c r="R190" i="11" s="1"/>
  <c r="AA189" i="11"/>
  <c r="T189" i="11"/>
  <c r="P189" i="11"/>
  <c r="Q189" i="11" s="1"/>
  <c r="O189" i="11"/>
  <c r="N189" i="11"/>
  <c r="R189" i="11" s="1"/>
  <c r="AA188" i="11"/>
  <c r="T188" i="11"/>
  <c r="Q188" i="11"/>
  <c r="P188" i="11"/>
  <c r="O188" i="11"/>
  <c r="R188" i="11" s="1"/>
  <c r="N188" i="11"/>
  <c r="AA187" i="11"/>
  <c r="T187" i="11"/>
  <c r="Q187" i="11"/>
  <c r="P187" i="11"/>
  <c r="O187" i="11"/>
  <c r="R187" i="11" s="1"/>
  <c r="N187" i="11"/>
  <c r="AA186" i="11"/>
  <c r="T186" i="11"/>
  <c r="Q186" i="11"/>
  <c r="C82" i="12" s="1"/>
  <c r="P186" i="11"/>
  <c r="O186" i="11"/>
  <c r="N186" i="11"/>
  <c r="AA185" i="11"/>
  <c r="T185" i="11"/>
  <c r="P185" i="11"/>
  <c r="Q185" i="11" s="1"/>
  <c r="C81" i="12" s="1"/>
  <c r="O185" i="11"/>
  <c r="N185" i="11"/>
  <c r="R185" i="11" s="1"/>
  <c r="AA184" i="11"/>
  <c r="T184" i="11"/>
  <c r="P184" i="11"/>
  <c r="Q184" i="11" s="1"/>
  <c r="C80" i="12" s="1"/>
  <c r="O184" i="11"/>
  <c r="R184" i="11" s="1"/>
  <c r="N184" i="11"/>
  <c r="AA183" i="11"/>
  <c r="V183" i="11"/>
  <c r="T183" i="11"/>
  <c r="P183" i="11"/>
  <c r="Q183" i="11" s="1"/>
  <c r="O183" i="11"/>
  <c r="N183" i="11"/>
  <c r="R183" i="11" s="1"/>
  <c r="AA182" i="11"/>
  <c r="T182" i="11"/>
  <c r="U182" i="11" s="1"/>
  <c r="Q182" i="11"/>
  <c r="C182" i="12" s="1"/>
  <c r="P182" i="11"/>
  <c r="O182" i="11"/>
  <c r="R182" i="11" s="1"/>
  <c r="D182" i="12" s="1"/>
  <c r="N182" i="11"/>
  <c r="AA181" i="11"/>
  <c r="T181" i="11"/>
  <c r="P181" i="11"/>
  <c r="Q181" i="11" s="1"/>
  <c r="O181" i="11"/>
  <c r="N181" i="11"/>
  <c r="AA180" i="11"/>
  <c r="T180" i="11"/>
  <c r="Q180" i="11"/>
  <c r="C180" i="12" s="1"/>
  <c r="P180" i="11"/>
  <c r="O180" i="11"/>
  <c r="N180" i="11"/>
  <c r="AA179" i="11"/>
  <c r="T179" i="11"/>
  <c r="P179" i="11"/>
  <c r="Q179" i="11" s="1"/>
  <c r="C179" i="12" s="1"/>
  <c r="O179" i="11"/>
  <c r="N179" i="11"/>
  <c r="R179" i="11" s="1"/>
  <c r="AA178" i="11"/>
  <c r="T178" i="11"/>
  <c r="Q178" i="11"/>
  <c r="P178" i="11"/>
  <c r="O178" i="11"/>
  <c r="R178" i="11" s="1"/>
  <c r="N178" i="11"/>
  <c r="AA177" i="11"/>
  <c r="T177" i="11"/>
  <c r="R177" i="11"/>
  <c r="P177" i="11"/>
  <c r="Q177" i="11" s="1"/>
  <c r="O177" i="11"/>
  <c r="N177" i="11"/>
  <c r="AA176" i="11"/>
  <c r="W176" i="11"/>
  <c r="F176" i="12" s="1"/>
  <c r="V176" i="11"/>
  <c r="T176" i="11"/>
  <c r="S176" i="11"/>
  <c r="E176" i="12" s="1"/>
  <c r="Q176" i="11"/>
  <c r="C176" i="12" s="1"/>
  <c r="P176" i="11"/>
  <c r="O176" i="11"/>
  <c r="R176" i="11" s="1"/>
  <c r="D176" i="12" s="1"/>
  <c r="N176" i="11"/>
  <c r="AA175" i="11"/>
  <c r="T175" i="11"/>
  <c r="Q175" i="11"/>
  <c r="C175" i="12" s="1"/>
  <c r="P175" i="11"/>
  <c r="O175" i="11"/>
  <c r="N175" i="11"/>
  <c r="R175" i="11" s="1"/>
  <c r="AA174" i="11"/>
  <c r="U174" i="11"/>
  <c r="T174" i="11"/>
  <c r="R174" i="11"/>
  <c r="Q174" i="11"/>
  <c r="C174" i="12" s="1"/>
  <c r="P174" i="11"/>
  <c r="O174" i="11"/>
  <c r="N174" i="11"/>
  <c r="AA173" i="11"/>
  <c r="T173" i="11"/>
  <c r="P173" i="11"/>
  <c r="Q173" i="11" s="1"/>
  <c r="O173" i="11"/>
  <c r="N173" i="11"/>
  <c r="R173" i="11" s="1"/>
  <c r="AA172" i="11"/>
  <c r="T172" i="11"/>
  <c r="Q172" i="11"/>
  <c r="P172" i="11"/>
  <c r="O172" i="11"/>
  <c r="R172" i="11" s="1"/>
  <c r="N172" i="11"/>
  <c r="AA171" i="11"/>
  <c r="T171" i="11"/>
  <c r="S171" i="11"/>
  <c r="R171" i="11"/>
  <c r="D171" i="12" s="1"/>
  <c r="Q171" i="11"/>
  <c r="P171" i="11"/>
  <c r="O171" i="11"/>
  <c r="N171" i="11"/>
  <c r="AA170" i="11"/>
  <c r="T170" i="11"/>
  <c r="Q170" i="11"/>
  <c r="C170" i="12" s="1"/>
  <c r="P170" i="11"/>
  <c r="O170" i="11"/>
  <c r="R170" i="11" s="1"/>
  <c r="N170" i="11"/>
  <c r="AA169" i="11"/>
  <c r="U169" i="11"/>
  <c r="T169" i="11"/>
  <c r="P169" i="11"/>
  <c r="Q169" i="11" s="1"/>
  <c r="C169" i="12" s="1"/>
  <c r="O169" i="11"/>
  <c r="N169" i="11"/>
  <c r="R169" i="11" s="1"/>
  <c r="AA168" i="11"/>
  <c r="T168" i="11"/>
  <c r="U168" i="11" s="1"/>
  <c r="P168" i="11"/>
  <c r="Q168" i="11" s="1"/>
  <c r="C168" i="12" s="1"/>
  <c r="O168" i="11"/>
  <c r="N168" i="11"/>
  <c r="R168" i="11" s="1"/>
  <c r="AA167" i="11"/>
  <c r="U167" i="11"/>
  <c r="T167" i="11"/>
  <c r="P167" i="11"/>
  <c r="Q167" i="11" s="1"/>
  <c r="C167" i="12" s="1"/>
  <c r="O167" i="11"/>
  <c r="R167" i="11" s="1"/>
  <c r="N167" i="11"/>
  <c r="AA166" i="11"/>
  <c r="T166" i="11"/>
  <c r="P166" i="11"/>
  <c r="Q166" i="11" s="1"/>
  <c r="O166" i="11"/>
  <c r="R166" i="11" s="1"/>
  <c r="N166" i="11"/>
  <c r="AA165" i="11"/>
  <c r="T165" i="11"/>
  <c r="Q165" i="11"/>
  <c r="C165" i="12" s="1"/>
  <c r="P165" i="11"/>
  <c r="O165" i="11"/>
  <c r="R165" i="11" s="1"/>
  <c r="D165" i="12" s="1"/>
  <c r="N165" i="11"/>
  <c r="AA164" i="11"/>
  <c r="V164" i="11"/>
  <c r="T164" i="11"/>
  <c r="S164" i="11"/>
  <c r="Q164" i="11"/>
  <c r="C164" i="12" s="1"/>
  <c r="P164" i="11"/>
  <c r="O164" i="11"/>
  <c r="R164" i="11" s="1"/>
  <c r="D164" i="12" s="1"/>
  <c r="N164" i="11"/>
  <c r="AA163" i="11"/>
  <c r="T163" i="11"/>
  <c r="P163" i="11"/>
  <c r="Q163" i="11" s="1"/>
  <c r="O163" i="11"/>
  <c r="R163" i="11" s="1"/>
  <c r="N163" i="11"/>
  <c r="AA162" i="11"/>
  <c r="T162" i="11"/>
  <c r="V162" i="11" s="1"/>
  <c r="R162" i="11"/>
  <c r="D162" i="12" s="1"/>
  <c r="P162" i="11"/>
  <c r="Q162" i="11" s="1"/>
  <c r="O162" i="11"/>
  <c r="N162" i="11"/>
  <c r="AA161" i="11"/>
  <c r="T161" i="11"/>
  <c r="Q161" i="11"/>
  <c r="P161" i="11"/>
  <c r="O161" i="11"/>
  <c r="R161" i="11" s="1"/>
  <c r="N161" i="11"/>
  <c r="AA160" i="11"/>
  <c r="T160" i="11"/>
  <c r="P160" i="11"/>
  <c r="Q160" i="11" s="1"/>
  <c r="O160" i="11"/>
  <c r="R160" i="11" s="1"/>
  <c r="N160" i="11"/>
  <c r="AA159" i="11"/>
  <c r="T159" i="11"/>
  <c r="P159" i="11"/>
  <c r="Q159" i="11" s="1"/>
  <c r="O159" i="11"/>
  <c r="N159" i="11"/>
  <c r="R159" i="11" s="1"/>
  <c r="AA158" i="11"/>
  <c r="U158" i="11"/>
  <c r="T158" i="11"/>
  <c r="R158" i="11"/>
  <c r="Q158" i="11"/>
  <c r="C158" i="12" s="1"/>
  <c r="P158" i="11"/>
  <c r="O158" i="11"/>
  <c r="N158" i="11"/>
  <c r="AA157" i="11"/>
  <c r="V157" i="11"/>
  <c r="T157" i="11"/>
  <c r="R157" i="11"/>
  <c r="D27" i="12" s="1"/>
  <c r="P157" i="11"/>
  <c r="Q157" i="11" s="1"/>
  <c r="O157" i="11"/>
  <c r="N157" i="11"/>
  <c r="AA156" i="11"/>
  <c r="T156" i="11"/>
  <c r="Q156" i="11"/>
  <c r="C26" i="12" s="1"/>
  <c r="P156" i="11"/>
  <c r="O156" i="11"/>
  <c r="N156" i="11"/>
  <c r="R156" i="11" s="1"/>
  <c r="AA155" i="11"/>
  <c r="T155" i="11"/>
  <c r="Q155" i="11"/>
  <c r="P155" i="11"/>
  <c r="O155" i="11"/>
  <c r="R155" i="11" s="1"/>
  <c r="N155" i="11"/>
  <c r="AA154" i="11"/>
  <c r="T154" i="11"/>
  <c r="U154" i="11" s="1"/>
  <c r="Q154" i="11"/>
  <c r="C24" i="12" s="1"/>
  <c r="P154" i="11"/>
  <c r="O154" i="11"/>
  <c r="N154" i="11"/>
  <c r="R154" i="11" s="1"/>
  <c r="AA153" i="11"/>
  <c r="V153" i="11"/>
  <c r="U153" i="11"/>
  <c r="T153" i="11"/>
  <c r="P153" i="11"/>
  <c r="Q153" i="11" s="1"/>
  <c r="C23" i="12" s="1"/>
  <c r="O153" i="11"/>
  <c r="R153" i="11" s="1"/>
  <c r="N153" i="11"/>
  <c r="AA152" i="11"/>
  <c r="T152" i="11"/>
  <c r="P152" i="11"/>
  <c r="Q152" i="11" s="1"/>
  <c r="O152" i="11"/>
  <c r="R152" i="11" s="1"/>
  <c r="N152" i="11"/>
  <c r="AA151" i="11"/>
  <c r="T151" i="11"/>
  <c r="P151" i="11"/>
  <c r="Q151" i="11" s="1"/>
  <c r="C21" i="12" s="1"/>
  <c r="O151" i="11"/>
  <c r="R151" i="11" s="1"/>
  <c r="N151" i="11"/>
  <c r="AA150" i="11"/>
  <c r="V150" i="11"/>
  <c r="T150" i="11"/>
  <c r="S150" i="11"/>
  <c r="Q150" i="11"/>
  <c r="C20" i="12" s="1"/>
  <c r="P150" i="11"/>
  <c r="O150" i="11"/>
  <c r="R150" i="11" s="1"/>
  <c r="D20" i="12" s="1"/>
  <c r="N150" i="11"/>
  <c r="AA149" i="11"/>
  <c r="T149" i="11"/>
  <c r="P149" i="11"/>
  <c r="Q149" i="11" s="1"/>
  <c r="O149" i="11"/>
  <c r="R149" i="11" s="1"/>
  <c r="N149" i="11"/>
  <c r="AA148" i="11"/>
  <c r="T148" i="11"/>
  <c r="V148" i="11" s="1"/>
  <c r="Q148" i="11"/>
  <c r="C18" i="12" s="1"/>
  <c r="P148" i="11"/>
  <c r="O148" i="11"/>
  <c r="R148" i="11" s="1"/>
  <c r="D18" i="12" s="1"/>
  <c r="N148" i="11"/>
  <c r="AA147" i="11"/>
  <c r="T147" i="11"/>
  <c r="P147" i="11"/>
  <c r="Q147" i="11" s="1"/>
  <c r="O147" i="11"/>
  <c r="R147" i="11" s="1"/>
  <c r="N147" i="11"/>
  <c r="AA146" i="11"/>
  <c r="V146" i="11"/>
  <c r="T146" i="11"/>
  <c r="R146" i="11"/>
  <c r="D16" i="12" s="1"/>
  <c r="Q146" i="11"/>
  <c r="C16" i="12" s="1"/>
  <c r="P146" i="11"/>
  <c r="O146" i="11"/>
  <c r="N146" i="11"/>
  <c r="AA145" i="11"/>
  <c r="V145" i="11"/>
  <c r="T145" i="11"/>
  <c r="R145" i="11"/>
  <c r="P145" i="11"/>
  <c r="Q145" i="11" s="1"/>
  <c r="O145" i="11"/>
  <c r="N145" i="11"/>
  <c r="AA144" i="11"/>
  <c r="T144" i="11"/>
  <c r="P144" i="11"/>
  <c r="Q144" i="11" s="1"/>
  <c r="O144" i="11"/>
  <c r="R144" i="11" s="1"/>
  <c r="N144" i="11"/>
  <c r="AA143" i="11"/>
  <c r="T143" i="11"/>
  <c r="R143" i="11"/>
  <c r="D13" i="12" s="1"/>
  <c r="Q143" i="11"/>
  <c r="C13" i="12" s="1"/>
  <c r="P143" i="11"/>
  <c r="O143" i="11"/>
  <c r="N143" i="11"/>
  <c r="AA142" i="11"/>
  <c r="V142" i="11"/>
  <c r="T142" i="11"/>
  <c r="Q142" i="11"/>
  <c r="C12" i="12" s="1"/>
  <c r="P142" i="11"/>
  <c r="O142" i="11"/>
  <c r="R142" i="11" s="1"/>
  <c r="N142" i="11"/>
  <c r="AA141" i="11"/>
  <c r="T141" i="11"/>
  <c r="P141" i="11"/>
  <c r="Q141" i="11" s="1"/>
  <c r="O141" i="11"/>
  <c r="N141" i="11"/>
  <c r="R141" i="11" s="1"/>
  <c r="AA140" i="11"/>
  <c r="T140" i="11"/>
  <c r="R140" i="11"/>
  <c r="D10" i="12" s="1"/>
  <c r="Q140" i="11"/>
  <c r="C10" i="12" s="1"/>
  <c r="P140" i="11"/>
  <c r="O140" i="11"/>
  <c r="N140" i="11"/>
  <c r="AA139" i="11"/>
  <c r="V139" i="11"/>
  <c r="T139" i="11"/>
  <c r="R139" i="11"/>
  <c r="D9" i="12" s="1"/>
  <c r="P139" i="11"/>
  <c r="Q139" i="11" s="1"/>
  <c r="O139" i="11"/>
  <c r="N139" i="11"/>
  <c r="AA138" i="11"/>
  <c r="U138" i="11"/>
  <c r="T138" i="11"/>
  <c r="Q138" i="11"/>
  <c r="C8" i="12" s="1"/>
  <c r="P138" i="11"/>
  <c r="O138" i="11"/>
  <c r="R138" i="11" s="1"/>
  <c r="N138" i="11"/>
  <c r="AA137" i="11"/>
  <c r="T137" i="11"/>
  <c r="P137" i="11"/>
  <c r="Q137" i="11" s="1"/>
  <c r="C7" i="12" s="1"/>
  <c r="O137" i="11"/>
  <c r="R137" i="11" s="1"/>
  <c r="N137" i="11"/>
  <c r="AA136" i="11"/>
  <c r="T136" i="11"/>
  <c r="P136" i="11"/>
  <c r="Q136" i="11" s="1"/>
  <c r="O136" i="11"/>
  <c r="N136" i="11"/>
  <c r="R136" i="11" s="1"/>
  <c r="AA135" i="11"/>
  <c r="T135" i="11"/>
  <c r="U135" i="11" s="1"/>
  <c r="P135" i="11"/>
  <c r="Q135" i="11" s="1"/>
  <c r="C5" i="12" s="1"/>
  <c r="O135" i="11"/>
  <c r="R135" i="11" s="1"/>
  <c r="N135" i="11"/>
  <c r="AA134" i="11"/>
  <c r="T134" i="11"/>
  <c r="V134" i="11" s="1"/>
  <c r="Q134" i="11"/>
  <c r="C4" i="12" s="1"/>
  <c r="P134" i="11"/>
  <c r="O134" i="11"/>
  <c r="R134" i="11" s="1"/>
  <c r="D4" i="12" s="1"/>
  <c r="N134" i="11"/>
  <c r="AA133" i="11"/>
  <c r="T133" i="11"/>
  <c r="P133" i="11"/>
  <c r="Q133" i="11" s="1"/>
  <c r="O133" i="11"/>
  <c r="R133" i="11" s="1"/>
  <c r="N133" i="11"/>
  <c r="AA132" i="11"/>
  <c r="T132" i="11"/>
  <c r="Q132" i="11"/>
  <c r="C2" i="12" s="1"/>
  <c r="P132" i="11"/>
  <c r="O132" i="11"/>
  <c r="N132" i="11"/>
  <c r="AA131" i="11"/>
  <c r="U131" i="11"/>
  <c r="T131" i="11"/>
  <c r="Q131" i="11"/>
  <c r="C313" i="12" s="1"/>
  <c r="P131" i="11"/>
  <c r="O131" i="11"/>
  <c r="R131" i="11" s="1"/>
  <c r="N131" i="11"/>
  <c r="AA130" i="11"/>
  <c r="U130" i="11"/>
  <c r="T130" i="11"/>
  <c r="Q130" i="11"/>
  <c r="C312" i="12" s="1"/>
  <c r="P130" i="11"/>
  <c r="O130" i="11"/>
  <c r="R130" i="11" s="1"/>
  <c r="N130" i="11"/>
  <c r="AA129" i="11"/>
  <c r="T129" i="11"/>
  <c r="P129" i="11"/>
  <c r="Q129" i="11" s="1"/>
  <c r="O129" i="11"/>
  <c r="R129" i="11" s="1"/>
  <c r="N129" i="11"/>
  <c r="AA128" i="11"/>
  <c r="T128" i="11"/>
  <c r="Q128" i="11"/>
  <c r="C310" i="12" s="1"/>
  <c r="P128" i="11"/>
  <c r="O128" i="11"/>
  <c r="R128" i="11" s="1"/>
  <c r="N128" i="11"/>
  <c r="AA127" i="11"/>
  <c r="V127" i="11"/>
  <c r="U127" i="11"/>
  <c r="T127" i="11"/>
  <c r="R127" i="11"/>
  <c r="D309" i="12" s="1"/>
  <c r="Q127" i="11"/>
  <c r="C309" i="12" s="1"/>
  <c r="P127" i="11"/>
  <c r="O127" i="11"/>
  <c r="N127" i="11"/>
  <c r="AA126" i="11"/>
  <c r="T126" i="11"/>
  <c r="Q126" i="11"/>
  <c r="C308" i="12" s="1"/>
  <c r="P126" i="11"/>
  <c r="O126" i="11"/>
  <c r="N126" i="11"/>
  <c r="R126" i="11" s="1"/>
  <c r="AA125" i="11"/>
  <c r="T125" i="11"/>
  <c r="Q125" i="11"/>
  <c r="P125" i="11"/>
  <c r="O125" i="11"/>
  <c r="N125" i="11"/>
  <c r="R125" i="11" s="1"/>
  <c r="AA124" i="11"/>
  <c r="U124" i="11"/>
  <c r="T124" i="11"/>
  <c r="Q124" i="11"/>
  <c r="C306" i="12" s="1"/>
  <c r="P124" i="11"/>
  <c r="O124" i="11"/>
  <c r="R124" i="11" s="1"/>
  <c r="N124" i="11"/>
  <c r="AA123" i="11"/>
  <c r="T123" i="11"/>
  <c r="P123" i="11"/>
  <c r="Q123" i="11" s="1"/>
  <c r="O123" i="11"/>
  <c r="R123" i="11" s="1"/>
  <c r="N123" i="11"/>
  <c r="AA122" i="11"/>
  <c r="U122" i="11"/>
  <c r="T122" i="11"/>
  <c r="Q122" i="11"/>
  <c r="C304" i="12" s="1"/>
  <c r="P122" i="11"/>
  <c r="O122" i="11"/>
  <c r="N122" i="11"/>
  <c r="R122" i="11" s="1"/>
  <c r="S122" i="11" s="1"/>
  <c r="AA121" i="11"/>
  <c r="U121" i="11"/>
  <c r="T121" i="11"/>
  <c r="P121" i="11"/>
  <c r="Q121" i="11" s="1"/>
  <c r="C303" i="12" s="1"/>
  <c r="O121" i="11"/>
  <c r="R121" i="11" s="1"/>
  <c r="N121" i="11"/>
  <c r="AA120" i="11"/>
  <c r="T120" i="11"/>
  <c r="P120" i="11"/>
  <c r="Q120" i="11" s="1"/>
  <c r="O120" i="11"/>
  <c r="N120" i="11"/>
  <c r="R120" i="11" s="1"/>
  <c r="AA119" i="11"/>
  <c r="T119" i="11"/>
  <c r="P119" i="11"/>
  <c r="Q119" i="11" s="1"/>
  <c r="O119" i="11"/>
  <c r="R119" i="11" s="1"/>
  <c r="N119" i="11"/>
  <c r="AA118" i="11"/>
  <c r="T118" i="11"/>
  <c r="Q118" i="11"/>
  <c r="C300" i="12" s="1"/>
  <c r="P118" i="11"/>
  <c r="O118" i="11"/>
  <c r="N118" i="11"/>
  <c r="AA117" i="11"/>
  <c r="T117" i="11"/>
  <c r="Q117" i="11"/>
  <c r="C299" i="12" s="1"/>
  <c r="P117" i="11"/>
  <c r="O117" i="11"/>
  <c r="R117" i="11" s="1"/>
  <c r="N117" i="11"/>
  <c r="AA116" i="11"/>
  <c r="T116" i="11"/>
  <c r="Q116" i="11"/>
  <c r="C298" i="12" s="1"/>
  <c r="P116" i="11"/>
  <c r="O116" i="11"/>
  <c r="N116" i="11"/>
  <c r="AA115" i="11"/>
  <c r="T115" i="11"/>
  <c r="Q115" i="11"/>
  <c r="C297" i="12" s="1"/>
  <c r="P115" i="11"/>
  <c r="O115" i="11"/>
  <c r="R115" i="11" s="1"/>
  <c r="N115" i="11"/>
  <c r="AA114" i="11"/>
  <c r="V114" i="11"/>
  <c r="T114" i="11"/>
  <c r="R114" i="11"/>
  <c r="D296" i="12" s="1"/>
  <c r="P114" i="11"/>
  <c r="Q114" i="11" s="1"/>
  <c r="S114" i="11" s="1"/>
  <c r="O114" i="11"/>
  <c r="N114" i="11"/>
  <c r="AA113" i="11"/>
  <c r="T113" i="11"/>
  <c r="P113" i="11"/>
  <c r="Q113" i="11" s="1"/>
  <c r="O113" i="11"/>
  <c r="R113" i="11" s="1"/>
  <c r="N113" i="11"/>
  <c r="AA112" i="11"/>
  <c r="U112" i="11"/>
  <c r="T112" i="11"/>
  <c r="Q112" i="11"/>
  <c r="C294" i="12" s="1"/>
  <c r="P112" i="11"/>
  <c r="O112" i="11"/>
  <c r="R112" i="11" s="1"/>
  <c r="N112" i="11"/>
  <c r="AA111" i="11"/>
  <c r="T111" i="11"/>
  <c r="P111" i="11"/>
  <c r="Q111" i="11" s="1"/>
  <c r="O111" i="11"/>
  <c r="N111" i="11"/>
  <c r="R111" i="11" s="1"/>
  <c r="AA110" i="11"/>
  <c r="U110" i="11"/>
  <c r="T110" i="11"/>
  <c r="Q110" i="11"/>
  <c r="C292" i="12" s="1"/>
  <c r="P110" i="11"/>
  <c r="O110" i="11"/>
  <c r="N110" i="11"/>
  <c r="R110" i="11" s="1"/>
  <c r="AA109" i="11"/>
  <c r="T109" i="11"/>
  <c r="Q109" i="11"/>
  <c r="P109" i="11"/>
  <c r="O109" i="11"/>
  <c r="N109" i="11"/>
  <c r="R109" i="11" s="1"/>
  <c r="AA108" i="11"/>
  <c r="U108" i="11"/>
  <c r="T108" i="11"/>
  <c r="Q108" i="11"/>
  <c r="C290" i="12" s="1"/>
  <c r="P108" i="11"/>
  <c r="O108" i="11"/>
  <c r="N108" i="11"/>
  <c r="R108" i="11" s="1"/>
  <c r="AA107" i="11"/>
  <c r="T107" i="11"/>
  <c r="P107" i="11"/>
  <c r="Q107" i="11" s="1"/>
  <c r="O107" i="11"/>
  <c r="R107" i="11" s="1"/>
  <c r="N107" i="11"/>
  <c r="AA106" i="11"/>
  <c r="T106" i="11"/>
  <c r="U106" i="11" s="1"/>
  <c r="Q106" i="11"/>
  <c r="C288" i="12" s="1"/>
  <c r="P106" i="11"/>
  <c r="O106" i="11"/>
  <c r="N106" i="11"/>
  <c r="R106" i="11" s="1"/>
  <c r="AA105" i="11"/>
  <c r="U105" i="11"/>
  <c r="T105" i="11"/>
  <c r="R105" i="11"/>
  <c r="P105" i="11"/>
  <c r="Q105" i="11" s="1"/>
  <c r="C365" i="12" s="1"/>
  <c r="O105" i="11"/>
  <c r="N105" i="11"/>
  <c r="AA104" i="11"/>
  <c r="T104" i="11"/>
  <c r="R104" i="11"/>
  <c r="Q104" i="11"/>
  <c r="C364" i="12" s="1"/>
  <c r="P104" i="11"/>
  <c r="O104" i="11"/>
  <c r="N104" i="11"/>
  <c r="AA103" i="11"/>
  <c r="U103" i="11"/>
  <c r="T103" i="11"/>
  <c r="R103" i="11"/>
  <c r="D363" i="12" s="1"/>
  <c r="P103" i="11"/>
  <c r="Q103" i="11" s="1"/>
  <c r="C363" i="12" s="1"/>
  <c r="O103" i="11"/>
  <c r="N103" i="11"/>
  <c r="AA102" i="11"/>
  <c r="T102" i="11"/>
  <c r="Q102" i="11"/>
  <c r="C362" i="12" s="1"/>
  <c r="P102" i="11"/>
  <c r="O102" i="11"/>
  <c r="N102" i="11"/>
  <c r="AA101" i="11"/>
  <c r="U101" i="11"/>
  <c r="T101" i="11"/>
  <c r="Q101" i="11"/>
  <c r="C361" i="12" s="1"/>
  <c r="P101" i="11"/>
  <c r="O101" i="11"/>
  <c r="R101" i="11" s="1"/>
  <c r="N101" i="11"/>
  <c r="AA100" i="11"/>
  <c r="T100" i="11"/>
  <c r="S100" i="11"/>
  <c r="Q100" i="11"/>
  <c r="C360" i="12" s="1"/>
  <c r="P100" i="11"/>
  <c r="O100" i="11"/>
  <c r="R100" i="11" s="1"/>
  <c r="D360" i="12" s="1"/>
  <c r="N100" i="11"/>
  <c r="AA99" i="11"/>
  <c r="T99" i="11"/>
  <c r="P99" i="11"/>
  <c r="Q99" i="11" s="1"/>
  <c r="O99" i="11"/>
  <c r="R99" i="11" s="1"/>
  <c r="N99" i="11"/>
  <c r="AA98" i="11"/>
  <c r="T98" i="11"/>
  <c r="V98" i="11" s="1"/>
  <c r="R98" i="11"/>
  <c r="D358" i="12" s="1"/>
  <c r="P98" i="11"/>
  <c r="Q98" i="11" s="1"/>
  <c r="O98" i="11"/>
  <c r="N98" i="11"/>
  <c r="AA97" i="11"/>
  <c r="T97" i="11"/>
  <c r="Q97" i="11"/>
  <c r="P97" i="11"/>
  <c r="O97" i="11"/>
  <c r="R97" i="11" s="1"/>
  <c r="N97" i="11"/>
  <c r="AA96" i="11"/>
  <c r="T96" i="11"/>
  <c r="P96" i="11"/>
  <c r="Q96" i="11" s="1"/>
  <c r="O96" i="11"/>
  <c r="R96" i="11" s="1"/>
  <c r="N96" i="11"/>
  <c r="AA95" i="11"/>
  <c r="T95" i="11"/>
  <c r="P95" i="11"/>
  <c r="Q95" i="11" s="1"/>
  <c r="O95" i="11"/>
  <c r="N95" i="11"/>
  <c r="R95" i="11" s="1"/>
  <c r="AA94" i="11"/>
  <c r="U94" i="11"/>
  <c r="T94" i="11"/>
  <c r="R94" i="11"/>
  <c r="Q94" i="11"/>
  <c r="C354" i="12" s="1"/>
  <c r="P94" i="11"/>
  <c r="O94" i="11"/>
  <c r="N94" i="11"/>
  <c r="AA93" i="11"/>
  <c r="T93" i="11"/>
  <c r="P93" i="11"/>
  <c r="Q93" i="11" s="1"/>
  <c r="O93" i="11"/>
  <c r="N93" i="11"/>
  <c r="R93" i="11" s="1"/>
  <c r="AA92" i="11"/>
  <c r="U92" i="11"/>
  <c r="T92" i="11"/>
  <c r="Q92" i="11"/>
  <c r="C352" i="12" s="1"/>
  <c r="P92" i="11"/>
  <c r="O92" i="11"/>
  <c r="R92" i="11" s="1"/>
  <c r="N92" i="11"/>
  <c r="AA91" i="11"/>
  <c r="T91" i="11"/>
  <c r="R91" i="11"/>
  <c r="Q91" i="11"/>
  <c r="P91" i="11"/>
  <c r="O91" i="11"/>
  <c r="N91" i="11"/>
  <c r="AA90" i="11"/>
  <c r="T90" i="11"/>
  <c r="Q90" i="11"/>
  <c r="C350" i="12" s="1"/>
  <c r="P90" i="11"/>
  <c r="O90" i="11"/>
  <c r="R90" i="11" s="1"/>
  <c r="N90" i="11"/>
  <c r="AA89" i="11"/>
  <c r="U89" i="11"/>
  <c r="T89" i="11"/>
  <c r="Q89" i="11"/>
  <c r="C349" i="12" s="1"/>
  <c r="P89" i="11"/>
  <c r="O89" i="11"/>
  <c r="R89" i="11" s="1"/>
  <c r="N89" i="11"/>
  <c r="AA88" i="11"/>
  <c r="U88" i="11"/>
  <c r="T88" i="11"/>
  <c r="R88" i="11"/>
  <c r="Q88" i="11"/>
  <c r="C348" i="12" s="1"/>
  <c r="P88" i="11"/>
  <c r="O88" i="11"/>
  <c r="N88" i="11"/>
  <c r="AA87" i="11"/>
  <c r="T87" i="11"/>
  <c r="P87" i="11"/>
  <c r="Q87" i="11" s="1"/>
  <c r="C347" i="12" s="1"/>
  <c r="O87" i="11"/>
  <c r="R87" i="11" s="1"/>
  <c r="N87" i="11"/>
  <c r="AA86" i="11"/>
  <c r="T86" i="11"/>
  <c r="P86" i="11"/>
  <c r="Q86" i="11" s="1"/>
  <c r="O86" i="11"/>
  <c r="N86" i="11"/>
  <c r="R86" i="11" s="1"/>
  <c r="AA85" i="11"/>
  <c r="T85" i="11"/>
  <c r="Q85" i="11"/>
  <c r="P85" i="11"/>
  <c r="O85" i="11"/>
  <c r="R85" i="11" s="1"/>
  <c r="N85" i="11"/>
  <c r="AA84" i="11"/>
  <c r="T84" i="11"/>
  <c r="P84" i="11"/>
  <c r="Q84" i="11" s="1"/>
  <c r="O84" i="11"/>
  <c r="R84" i="11" s="1"/>
  <c r="N84" i="11"/>
  <c r="AA83" i="11"/>
  <c r="T83" i="11"/>
  <c r="P83" i="11"/>
  <c r="Q83" i="11" s="1"/>
  <c r="O83" i="11"/>
  <c r="N83" i="11"/>
  <c r="R83" i="11" s="1"/>
  <c r="AA82" i="11"/>
  <c r="T82" i="11"/>
  <c r="R82" i="11"/>
  <c r="Q82" i="11"/>
  <c r="C342" i="12" s="1"/>
  <c r="P82" i="11"/>
  <c r="O82" i="11"/>
  <c r="N82" i="11"/>
  <c r="AA81" i="11"/>
  <c r="T81" i="11"/>
  <c r="P81" i="11"/>
  <c r="Q81" i="11" s="1"/>
  <c r="O81" i="11"/>
  <c r="R81" i="11" s="1"/>
  <c r="N81" i="11"/>
  <c r="AA80" i="11"/>
  <c r="U80" i="11"/>
  <c r="T80" i="11"/>
  <c r="Q80" i="11"/>
  <c r="C340" i="12" s="1"/>
  <c r="P80" i="11"/>
  <c r="O80" i="11"/>
  <c r="R80" i="11" s="1"/>
  <c r="N80" i="11"/>
  <c r="AA79" i="11"/>
  <c r="T79" i="11"/>
  <c r="S79" i="11"/>
  <c r="R79" i="11"/>
  <c r="D339" i="12" s="1"/>
  <c r="P79" i="11"/>
  <c r="Q79" i="11" s="1"/>
  <c r="O79" i="11"/>
  <c r="N79" i="11"/>
  <c r="AA78" i="11"/>
  <c r="U78" i="11"/>
  <c r="T78" i="11"/>
  <c r="Q78" i="11"/>
  <c r="C338" i="12" s="1"/>
  <c r="P78" i="11"/>
  <c r="O78" i="11"/>
  <c r="N78" i="11"/>
  <c r="R78" i="11" s="1"/>
  <c r="AA77" i="11"/>
  <c r="V77" i="11"/>
  <c r="T77" i="11"/>
  <c r="R77" i="11"/>
  <c r="D337" i="12" s="1"/>
  <c r="P77" i="11"/>
  <c r="Q77" i="11" s="1"/>
  <c r="O77" i="11"/>
  <c r="N77" i="11"/>
  <c r="AA76" i="11"/>
  <c r="T76" i="11"/>
  <c r="Q76" i="11"/>
  <c r="C336" i="12" s="1"/>
  <c r="P76" i="11"/>
  <c r="O76" i="11"/>
  <c r="R76" i="11" s="1"/>
  <c r="N76" i="11"/>
  <c r="AA75" i="11"/>
  <c r="U75" i="11"/>
  <c r="T75" i="11"/>
  <c r="Q75" i="11"/>
  <c r="C335" i="12" s="1"/>
  <c r="P75" i="11"/>
  <c r="O75" i="11"/>
  <c r="R75" i="11" s="1"/>
  <c r="N75" i="11"/>
  <c r="AA74" i="11"/>
  <c r="T74" i="11"/>
  <c r="Q74" i="11"/>
  <c r="C334" i="12" s="1"/>
  <c r="P74" i="11"/>
  <c r="O74" i="11"/>
  <c r="N74" i="11"/>
  <c r="R74" i="11" s="1"/>
  <c r="AA73" i="11"/>
  <c r="U73" i="11"/>
  <c r="T73" i="11"/>
  <c r="R73" i="11"/>
  <c r="D333" i="12" s="1"/>
  <c r="P73" i="11"/>
  <c r="Q73" i="11" s="1"/>
  <c r="C333" i="12" s="1"/>
  <c r="O73" i="11"/>
  <c r="N73" i="11"/>
  <c r="AA72" i="11"/>
  <c r="T72" i="11"/>
  <c r="P72" i="11"/>
  <c r="Q72" i="11" s="1"/>
  <c r="O72" i="11"/>
  <c r="R72" i="11" s="1"/>
  <c r="N72" i="11"/>
  <c r="AA71" i="11"/>
  <c r="T71" i="11"/>
  <c r="R71" i="11"/>
  <c r="D331" i="12" s="1"/>
  <c r="Q71" i="11"/>
  <c r="C331" i="12" s="1"/>
  <c r="P71" i="11"/>
  <c r="O71" i="11"/>
  <c r="N71" i="11"/>
  <c r="AA70" i="11"/>
  <c r="U70" i="11"/>
  <c r="T70" i="11"/>
  <c r="Q70" i="11"/>
  <c r="C330" i="12" s="1"/>
  <c r="P70" i="11"/>
  <c r="O70" i="11"/>
  <c r="R70" i="11" s="1"/>
  <c r="N70" i="11"/>
  <c r="AA69" i="11"/>
  <c r="T69" i="11"/>
  <c r="Q69" i="11"/>
  <c r="P69" i="11"/>
  <c r="O69" i="11"/>
  <c r="R69" i="11" s="1"/>
  <c r="N69" i="11"/>
  <c r="AA68" i="11"/>
  <c r="T68" i="11"/>
  <c r="P68" i="11"/>
  <c r="Q68" i="11" s="1"/>
  <c r="O68" i="11"/>
  <c r="R68" i="11" s="1"/>
  <c r="N68" i="11"/>
  <c r="AA67" i="11"/>
  <c r="T67" i="11"/>
  <c r="P67" i="11"/>
  <c r="Q67" i="11" s="1"/>
  <c r="O67" i="11"/>
  <c r="N67" i="11"/>
  <c r="R67" i="11" s="1"/>
  <c r="AA66" i="11"/>
  <c r="T66" i="11"/>
  <c r="R66" i="11"/>
  <c r="Q66" i="11"/>
  <c r="C326" i="12" s="1"/>
  <c r="P66" i="11"/>
  <c r="O66" i="11"/>
  <c r="N66" i="11"/>
  <c r="AA65" i="11"/>
  <c r="T65" i="11"/>
  <c r="P65" i="11"/>
  <c r="Q65" i="11" s="1"/>
  <c r="O65" i="11"/>
  <c r="R65" i="11" s="1"/>
  <c r="N65" i="11"/>
  <c r="AA64" i="11"/>
  <c r="U64" i="11"/>
  <c r="T64" i="11"/>
  <c r="Q64" i="11"/>
  <c r="C324" i="12" s="1"/>
  <c r="P64" i="11"/>
  <c r="O64" i="11"/>
  <c r="R64" i="11" s="1"/>
  <c r="N64" i="11"/>
  <c r="AA63" i="11"/>
  <c r="T63" i="11"/>
  <c r="S63" i="11"/>
  <c r="R63" i="11"/>
  <c r="D323" i="12" s="1"/>
  <c r="P63" i="11"/>
  <c r="Q63" i="11" s="1"/>
  <c r="O63" i="11"/>
  <c r="N63" i="11"/>
  <c r="AA62" i="11"/>
  <c r="U62" i="11"/>
  <c r="T62" i="11"/>
  <c r="Q62" i="11"/>
  <c r="C322" i="12" s="1"/>
  <c r="P62" i="11"/>
  <c r="O62" i="11"/>
  <c r="N62" i="11"/>
  <c r="R62" i="11" s="1"/>
  <c r="AA61" i="11"/>
  <c r="V61" i="11"/>
  <c r="T61" i="11"/>
  <c r="R61" i="11"/>
  <c r="D321" i="12" s="1"/>
  <c r="P61" i="11"/>
  <c r="Q61" i="11" s="1"/>
  <c r="O61" i="11"/>
  <c r="N61" i="11"/>
  <c r="AA60" i="11"/>
  <c r="T60" i="11"/>
  <c r="Q60" i="11"/>
  <c r="C320" i="12" s="1"/>
  <c r="P60" i="11"/>
  <c r="O60" i="11"/>
  <c r="R60" i="11" s="1"/>
  <c r="N60" i="11"/>
  <c r="AA59" i="11"/>
  <c r="U59" i="11"/>
  <c r="T59" i="11"/>
  <c r="Q59" i="11"/>
  <c r="C319" i="12" s="1"/>
  <c r="P59" i="11"/>
  <c r="O59" i="11"/>
  <c r="R59" i="11" s="1"/>
  <c r="N59" i="11"/>
  <c r="AA58" i="11"/>
  <c r="T58" i="11"/>
  <c r="Q58" i="11"/>
  <c r="C318" i="12" s="1"/>
  <c r="P58" i="11"/>
  <c r="O58" i="11"/>
  <c r="N58" i="11"/>
  <c r="R58" i="11" s="1"/>
  <c r="AA57" i="11"/>
  <c r="U57" i="11"/>
  <c r="T57" i="11"/>
  <c r="R57" i="11"/>
  <c r="D317" i="12" s="1"/>
  <c r="P57" i="11"/>
  <c r="Q57" i="11" s="1"/>
  <c r="C317" i="12" s="1"/>
  <c r="O57" i="11"/>
  <c r="N57" i="11"/>
  <c r="AA56" i="11"/>
  <c r="T56" i="11"/>
  <c r="P56" i="11"/>
  <c r="Q56" i="11" s="1"/>
  <c r="O56" i="11"/>
  <c r="R56" i="11" s="1"/>
  <c r="N56" i="11"/>
  <c r="AA55" i="11"/>
  <c r="T55" i="11"/>
  <c r="R55" i="11"/>
  <c r="D315" i="12" s="1"/>
  <c r="Q55" i="11"/>
  <c r="C315" i="12" s="1"/>
  <c r="P55" i="11"/>
  <c r="O55" i="11"/>
  <c r="N55" i="11"/>
  <c r="AA54" i="11"/>
  <c r="U54" i="11"/>
  <c r="T54" i="11"/>
  <c r="Q54" i="11"/>
  <c r="C314" i="12" s="1"/>
  <c r="P54" i="11"/>
  <c r="O54" i="11"/>
  <c r="R54" i="11" s="1"/>
  <c r="V54" i="11" s="1"/>
  <c r="N54" i="11"/>
  <c r="AA53" i="11"/>
  <c r="T53" i="11"/>
  <c r="Q53" i="11"/>
  <c r="P53" i="11"/>
  <c r="O53" i="11"/>
  <c r="R53" i="11" s="1"/>
  <c r="N53" i="11"/>
  <c r="AA52" i="11"/>
  <c r="T52" i="11"/>
  <c r="P52" i="11"/>
  <c r="Q52" i="11" s="1"/>
  <c r="O52" i="11"/>
  <c r="R52" i="11" s="1"/>
  <c r="N52" i="11"/>
  <c r="AA51" i="11"/>
  <c r="T51" i="11"/>
  <c r="P51" i="11"/>
  <c r="Q51" i="11" s="1"/>
  <c r="O51" i="11"/>
  <c r="N51" i="11"/>
  <c r="R51" i="11" s="1"/>
  <c r="AA50" i="11"/>
  <c r="T50" i="11"/>
  <c r="R50" i="11"/>
  <c r="Q50" i="11"/>
  <c r="C50" i="12" s="1"/>
  <c r="P50" i="11"/>
  <c r="O50" i="11"/>
  <c r="N50" i="11"/>
  <c r="AA49" i="11"/>
  <c r="T49" i="11"/>
  <c r="P49" i="11"/>
  <c r="Q49" i="11" s="1"/>
  <c r="O49" i="11"/>
  <c r="R49" i="11" s="1"/>
  <c r="N49" i="11"/>
  <c r="AA48" i="11"/>
  <c r="U48" i="11"/>
  <c r="T48" i="11"/>
  <c r="Q48" i="11"/>
  <c r="C48" i="12" s="1"/>
  <c r="P48" i="11"/>
  <c r="O48" i="11"/>
  <c r="R48" i="11" s="1"/>
  <c r="N48" i="11"/>
  <c r="AA47" i="11"/>
  <c r="T47" i="11"/>
  <c r="R47" i="11"/>
  <c r="D47" i="12" s="1"/>
  <c r="P47" i="11"/>
  <c r="Q47" i="11" s="1"/>
  <c r="O47" i="11"/>
  <c r="N47" i="11"/>
  <c r="AA46" i="11"/>
  <c r="U46" i="11"/>
  <c r="T46" i="11"/>
  <c r="Q46" i="11"/>
  <c r="C46" i="12" s="1"/>
  <c r="P46" i="11"/>
  <c r="O46" i="11"/>
  <c r="N46" i="11"/>
  <c r="R46" i="11" s="1"/>
  <c r="AA45" i="11"/>
  <c r="V45" i="11"/>
  <c r="T45" i="11"/>
  <c r="R45" i="11"/>
  <c r="D45" i="12" s="1"/>
  <c r="P45" i="11"/>
  <c r="Q45" i="11" s="1"/>
  <c r="O45" i="11"/>
  <c r="N45" i="11"/>
  <c r="AA44" i="11"/>
  <c r="T44" i="11"/>
  <c r="Q44" i="11"/>
  <c r="C44" i="12" s="1"/>
  <c r="P44" i="11"/>
  <c r="O44" i="11"/>
  <c r="R44" i="11" s="1"/>
  <c r="N44" i="11"/>
  <c r="AA43" i="11"/>
  <c r="U43" i="11"/>
  <c r="T43" i="11"/>
  <c r="Q43" i="11"/>
  <c r="C43" i="12" s="1"/>
  <c r="P43" i="11"/>
  <c r="O43" i="11"/>
  <c r="R43" i="11" s="1"/>
  <c r="N43" i="11"/>
  <c r="AA42" i="11"/>
  <c r="T42" i="11"/>
  <c r="Q42" i="11"/>
  <c r="C42" i="12" s="1"/>
  <c r="P42" i="11"/>
  <c r="O42" i="11"/>
  <c r="N42" i="11"/>
  <c r="R42" i="11" s="1"/>
  <c r="AA41" i="11"/>
  <c r="T41" i="11"/>
  <c r="R41" i="11"/>
  <c r="D41" i="12" s="1"/>
  <c r="P41" i="11"/>
  <c r="Q41" i="11" s="1"/>
  <c r="C41" i="12" s="1"/>
  <c r="O41" i="11"/>
  <c r="N41" i="11"/>
  <c r="AA40" i="11"/>
  <c r="T40" i="11"/>
  <c r="P40" i="11"/>
  <c r="Q40" i="11" s="1"/>
  <c r="O40" i="11"/>
  <c r="R40" i="11" s="1"/>
  <c r="N40" i="11"/>
  <c r="AA39" i="11"/>
  <c r="T39" i="11"/>
  <c r="R39" i="11"/>
  <c r="D39" i="12" s="1"/>
  <c r="Q39" i="11"/>
  <c r="C39" i="12" s="1"/>
  <c r="P39" i="11"/>
  <c r="O39" i="11"/>
  <c r="N39" i="11"/>
  <c r="AA38" i="11"/>
  <c r="U38" i="11"/>
  <c r="T38" i="11"/>
  <c r="Q38" i="11"/>
  <c r="C38" i="12" s="1"/>
  <c r="P38" i="11"/>
  <c r="O38" i="11"/>
  <c r="R38" i="11" s="1"/>
  <c r="N38" i="11"/>
  <c r="AA37" i="11"/>
  <c r="T37" i="11"/>
  <c r="Q37" i="11"/>
  <c r="P37" i="11"/>
  <c r="O37" i="11"/>
  <c r="R37" i="11" s="1"/>
  <c r="N37" i="11"/>
  <c r="AA36" i="11"/>
  <c r="T36" i="11"/>
  <c r="P36" i="11"/>
  <c r="Q36" i="11" s="1"/>
  <c r="O36" i="11"/>
  <c r="R36" i="11" s="1"/>
  <c r="N36" i="11"/>
  <c r="AA35" i="11"/>
  <c r="T35" i="11"/>
  <c r="P35" i="11"/>
  <c r="Q35" i="11" s="1"/>
  <c r="O35" i="11"/>
  <c r="N35" i="11"/>
  <c r="R35" i="11" s="1"/>
  <c r="AA34" i="11"/>
  <c r="T34" i="11"/>
  <c r="R34" i="11"/>
  <c r="Q34" i="11"/>
  <c r="C34" i="12" s="1"/>
  <c r="P34" i="11"/>
  <c r="O34" i="11"/>
  <c r="N34" i="11"/>
  <c r="AA33" i="11"/>
  <c r="T33" i="11"/>
  <c r="P33" i="11"/>
  <c r="Q33" i="11" s="1"/>
  <c r="O33" i="11"/>
  <c r="R33" i="11" s="1"/>
  <c r="N33" i="11"/>
  <c r="AA32" i="11"/>
  <c r="U32" i="11"/>
  <c r="T32" i="11"/>
  <c r="Q32" i="11"/>
  <c r="C32" i="12" s="1"/>
  <c r="P32" i="11"/>
  <c r="O32" i="11"/>
  <c r="R32" i="11" s="1"/>
  <c r="N32" i="11"/>
  <c r="AA31" i="11"/>
  <c r="T31" i="11"/>
  <c r="R31" i="11"/>
  <c r="D31" i="12" s="1"/>
  <c r="P31" i="11"/>
  <c r="Q31" i="11" s="1"/>
  <c r="O31" i="11"/>
  <c r="N31" i="11"/>
  <c r="AA30" i="11"/>
  <c r="U30" i="11"/>
  <c r="T30" i="11"/>
  <c r="Q30" i="11"/>
  <c r="C30" i="12" s="1"/>
  <c r="P30" i="11"/>
  <c r="O30" i="11"/>
  <c r="N30" i="11"/>
  <c r="R30" i="11" s="1"/>
  <c r="AA29" i="11"/>
  <c r="V29" i="11"/>
  <c r="T29" i="11"/>
  <c r="R29" i="11"/>
  <c r="D29" i="12" s="1"/>
  <c r="P29" i="11"/>
  <c r="Q29" i="11" s="1"/>
  <c r="O29" i="11"/>
  <c r="N29" i="11"/>
  <c r="AA28" i="11"/>
  <c r="T28" i="11"/>
  <c r="Q28" i="11"/>
  <c r="C28" i="12" s="1"/>
  <c r="P28" i="11"/>
  <c r="O28" i="11"/>
  <c r="R28" i="11" s="1"/>
  <c r="N28" i="11"/>
  <c r="AA27" i="11"/>
  <c r="V27" i="11"/>
  <c r="U27" i="11"/>
  <c r="T27" i="11"/>
  <c r="Q27" i="11"/>
  <c r="C287" i="12" s="1"/>
  <c r="P27" i="11"/>
  <c r="O27" i="11"/>
  <c r="R27" i="11" s="1"/>
  <c r="N27" i="11"/>
  <c r="AA26" i="11"/>
  <c r="T26" i="11"/>
  <c r="Q26" i="11"/>
  <c r="P26" i="11"/>
  <c r="O26" i="11"/>
  <c r="N26" i="11"/>
  <c r="R26" i="11" s="1"/>
  <c r="AA25" i="11"/>
  <c r="U25" i="11"/>
  <c r="T25" i="11"/>
  <c r="R25" i="11"/>
  <c r="D285" i="12" s="1"/>
  <c r="P25" i="11"/>
  <c r="Q25" i="11" s="1"/>
  <c r="C285" i="12" s="1"/>
  <c r="O25" i="11"/>
  <c r="N25" i="11"/>
  <c r="AA24" i="11"/>
  <c r="T24" i="11"/>
  <c r="P24" i="11"/>
  <c r="Q24" i="11" s="1"/>
  <c r="O24" i="11"/>
  <c r="R24" i="11" s="1"/>
  <c r="N24" i="11"/>
  <c r="AA23" i="11"/>
  <c r="T23" i="11"/>
  <c r="R23" i="11"/>
  <c r="Q23" i="11"/>
  <c r="C283" i="12" s="1"/>
  <c r="P23" i="11"/>
  <c r="O23" i="11"/>
  <c r="N23" i="11"/>
  <c r="AA22" i="11"/>
  <c r="U22" i="11"/>
  <c r="T22" i="11"/>
  <c r="Q22" i="11"/>
  <c r="C282" i="12" s="1"/>
  <c r="P22" i="11"/>
  <c r="O22" i="11"/>
  <c r="R22" i="11" s="1"/>
  <c r="V22" i="11" s="1"/>
  <c r="N22" i="11"/>
  <c r="AA21" i="11"/>
  <c r="T21" i="11"/>
  <c r="Q21" i="11"/>
  <c r="P21" i="11"/>
  <c r="O21" i="11"/>
  <c r="R21" i="11" s="1"/>
  <c r="N21" i="11"/>
  <c r="AA20" i="11"/>
  <c r="T20" i="11"/>
  <c r="P20" i="11"/>
  <c r="Q20" i="11" s="1"/>
  <c r="O20" i="11"/>
  <c r="R20" i="11" s="1"/>
  <c r="N20" i="11"/>
  <c r="AA19" i="11"/>
  <c r="T19" i="11"/>
  <c r="P19" i="11"/>
  <c r="Q19" i="11" s="1"/>
  <c r="O19" i="11"/>
  <c r="N19" i="11"/>
  <c r="R19" i="11" s="1"/>
  <c r="AA18" i="11"/>
  <c r="T18" i="11"/>
  <c r="R18" i="11"/>
  <c r="Q18" i="11"/>
  <c r="C278" i="12" s="1"/>
  <c r="P18" i="11"/>
  <c r="O18" i="11"/>
  <c r="N18" i="11"/>
  <c r="AA17" i="11"/>
  <c r="T17" i="11"/>
  <c r="P17" i="11"/>
  <c r="Q17" i="11" s="1"/>
  <c r="O17" i="11"/>
  <c r="R17" i="11" s="1"/>
  <c r="N17" i="11"/>
  <c r="AA16" i="11"/>
  <c r="U16" i="11"/>
  <c r="T16" i="11"/>
  <c r="Q16" i="11"/>
  <c r="C276" i="12" s="1"/>
  <c r="P16" i="11"/>
  <c r="O16" i="11"/>
  <c r="R16" i="11" s="1"/>
  <c r="N16" i="11"/>
  <c r="AA15" i="11"/>
  <c r="T15" i="11"/>
  <c r="S15" i="11"/>
  <c r="R15" i="11"/>
  <c r="D275" i="12" s="1"/>
  <c r="P15" i="11"/>
  <c r="Q15" i="11" s="1"/>
  <c r="O15" i="11"/>
  <c r="N15" i="11"/>
  <c r="AA14" i="11"/>
  <c r="U14" i="11"/>
  <c r="T14" i="11"/>
  <c r="Q14" i="11"/>
  <c r="C274" i="12" s="1"/>
  <c r="P14" i="11"/>
  <c r="O14" i="11"/>
  <c r="N14" i="11"/>
  <c r="R14" i="11" s="1"/>
  <c r="AA13" i="11"/>
  <c r="V13" i="11"/>
  <c r="T13" i="11"/>
  <c r="R13" i="11"/>
  <c r="D273" i="12" s="1"/>
  <c r="P13" i="11"/>
  <c r="Q13" i="11" s="1"/>
  <c r="O13" i="11"/>
  <c r="N13" i="11"/>
  <c r="AA12" i="11"/>
  <c r="T12" i="11"/>
  <c r="Q12" i="11"/>
  <c r="C272" i="12" s="1"/>
  <c r="P12" i="11"/>
  <c r="O12" i="11"/>
  <c r="R12" i="11" s="1"/>
  <c r="N12" i="11"/>
  <c r="AA11" i="11"/>
  <c r="U11" i="11"/>
  <c r="T11" i="11"/>
  <c r="Q11" i="11"/>
  <c r="C271" i="12" s="1"/>
  <c r="P11" i="11"/>
  <c r="O11" i="11"/>
  <c r="R11" i="11" s="1"/>
  <c r="N11" i="11"/>
  <c r="AA10" i="11"/>
  <c r="T10" i="11"/>
  <c r="Q10" i="11"/>
  <c r="P10" i="11"/>
  <c r="O10" i="11"/>
  <c r="N10" i="11"/>
  <c r="R10" i="11" s="1"/>
  <c r="AA9" i="11"/>
  <c r="T9" i="11"/>
  <c r="U9" i="11" s="1"/>
  <c r="R9" i="11"/>
  <c r="D269" i="12" s="1"/>
  <c r="P9" i="11"/>
  <c r="Q9" i="11" s="1"/>
  <c r="C269" i="12" s="1"/>
  <c r="O9" i="11"/>
  <c r="N9" i="11"/>
  <c r="AA8" i="11"/>
  <c r="T8" i="11"/>
  <c r="P8" i="11"/>
  <c r="Q8" i="11" s="1"/>
  <c r="O8" i="11"/>
  <c r="R8" i="11" s="1"/>
  <c r="N8" i="11"/>
  <c r="AA7" i="11"/>
  <c r="T7" i="11"/>
  <c r="R7" i="11"/>
  <c r="Q7" i="11"/>
  <c r="C267" i="12" s="1"/>
  <c r="P7" i="11"/>
  <c r="O7" i="11"/>
  <c r="N7" i="11"/>
  <c r="AA6" i="11"/>
  <c r="V6" i="11"/>
  <c r="U6" i="11"/>
  <c r="T6" i="11"/>
  <c r="Q6" i="11"/>
  <c r="C266" i="12" s="1"/>
  <c r="P6" i="11"/>
  <c r="O6" i="11"/>
  <c r="R6" i="11" s="1"/>
  <c r="D266" i="12" s="1"/>
  <c r="N6" i="11"/>
  <c r="AA5" i="11"/>
  <c r="T5" i="11"/>
  <c r="P5" i="11"/>
  <c r="Q5" i="11" s="1"/>
  <c r="O5" i="11"/>
  <c r="N5" i="11"/>
  <c r="AA4" i="11"/>
  <c r="T4" i="11"/>
  <c r="S4" i="11"/>
  <c r="P4" i="11"/>
  <c r="Q4" i="11" s="1"/>
  <c r="O4" i="11"/>
  <c r="R4" i="11" s="1"/>
  <c r="N4" i="11"/>
  <c r="AA3" i="11"/>
  <c r="V3" i="11"/>
  <c r="T3" i="11"/>
  <c r="P3" i="11"/>
  <c r="Q3" i="11" s="1"/>
  <c r="O3" i="11"/>
  <c r="N3" i="11"/>
  <c r="R3" i="11" s="1"/>
  <c r="AA2" i="11"/>
  <c r="T2" i="11"/>
  <c r="Q2" i="11"/>
  <c r="P2" i="11"/>
  <c r="O2" i="11"/>
  <c r="R2" i="11" s="1"/>
  <c r="N2" i="11"/>
  <c r="J2731" i="10"/>
  <c r="I2731" i="10"/>
  <c r="J2730" i="10"/>
  <c r="I2730" i="10"/>
  <c r="J2729" i="10"/>
  <c r="I2729" i="10"/>
  <c r="J2728" i="10"/>
  <c r="I2728" i="10"/>
  <c r="J2727" i="10"/>
  <c r="I2727" i="10"/>
  <c r="J2726" i="10"/>
  <c r="I2726" i="10"/>
  <c r="J2725" i="10"/>
  <c r="I2725" i="10"/>
  <c r="J2724" i="10"/>
  <c r="I2724" i="10"/>
  <c r="J2723" i="10"/>
  <c r="I2723" i="10"/>
  <c r="J2722" i="10"/>
  <c r="I2722" i="10"/>
  <c r="J2721" i="10"/>
  <c r="I2721" i="10"/>
  <c r="J2720" i="10"/>
  <c r="I2720" i="10"/>
  <c r="J2719" i="10"/>
  <c r="I2719" i="10"/>
  <c r="J2718" i="10"/>
  <c r="I2718" i="10"/>
  <c r="J2717" i="10"/>
  <c r="I2717" i="10"/>
  <c r="J2716" i="10"/>
  <c r="I2716" i="10"/>
  <c r="J2715" i="10"/>
  <c r="I2715" i="10"/>
  <c r="J2714" i="10"/>
  <c r="I2714" i="10"/>
  <c r="J2713" i="10"/>
  <c r="I2713" i="10"/>
  <c r="J2712" i="10"/>
  <c r="I2712" i="10"/>
  <c r="J2711" i="10"/>
  <c r="I2711" i="10"/>
  <c r="J2710" i="10"/>
  <c r="I2710" i="10"/>
  <c r="J2709" i="10"/>
  <c r="I2709" i="10"/>
  <c r="J2708" i="10"/>
  <c r="I2708" i="10"/>
  <c r="J2707" i="10"/>
  <c r="I2707" i="10"/>
  <c r="J2706" i="10"/>
  <c r="I2706" i="10"/>
  <c r="J2705" i="10"/>
  <c r="I2705" i="10"/>
  <c r="J2704" i="10"/>
  <c r="I2704" i="10"/>
  <c r="J2703" i="10"/>
  <c r="I2703" i="10"/>
  <c r="J2702" i="10"/>
  <c r="I2702" i="10"/>
  <c r="J2701" i="10"/>
  <c r="I2701" i="10"/>
  <c r="J2700" i="10"/>
  <c r="I2700" i="10"/>
  <c r="J2699" i="10"/>
  <c r="I2699" i="10"/>
  <c r="J2698" i="10"/>
  <c r="I2698" i="10"/>
  <c r="J2697" i="10"/>
  <c r="I2697" i="10"/>
  <c r="J2696" i="10"/>
  <c r="I2696" i="10"/>
  <c r="J2695" i="10"/>
  <c r="I2695" i="10"/>
  <c r="J2694" i="10"/>
  <c r="I2694" i="10"/>
  <c r="J2693" i="10"/>
  <c r="I2693" i="10"/>
  <c r="J2692" i="10"/>
  <c r="I2692" i="10"/>
  <c r="J2691" i="10"/>
  <c r="I2691" i="10"/>
  <c r="J2690" i="10"/>
  <c r="I2690" i="10"/>
  <c r="J2689" i="10"/>
  <c r="I2689" i="10"/>
  <c r="J2688" i="10"/>
  <c r="I2688" i="10"/>
  <c r="J2687" i="10"/>
  <c r="I2687" i="10"/>
  <c r="J2686" i="10"/>
  <c r="I2686" i="10"/>
  <c r="J2685" i="10"/>
  <c r="I2685" i="10"/>
  <c r="J2684" i="10"/>
  <c r="I2684" i="10"/>
  <c r="J2683" i="10"/>
  <c r="I2683" i="10"/>
  <c r="J2682" i="10"/>
  <c r="I2682" i="10"/>
  <c r="J2681" i="10"/>
  <c r="I2681" i="10"/>
  <c r="J2680" i="10"/>
  <c r="I2680" i="10"/>
  <c r="J2679" i="10"/>
  <c r="I2679" i="10"/>
  <c r="J2678" i="10"/>
  <c r="I2678" i="10"/>
  <c r="J2677" i="10"/>
  <c r="I2677" i="10"/>
  <c r="J2676" i="10"/>
  <c r="I2676" i="10"/>
  <c r="J2675" i="10"/>
  <c r="I2675" i="10"/>
  <c r="J2674" i="10"/>
  <c r="I2674" i="10"/>
  <c r="J2673" i="10"/>
  <c r="I2673" i="10"/>
  <c r="J2672" i="10"/>
  <c r="I2672" i="10"/>
  <c r="J2671" i="10"/>
  <c r="I2671" i="10"/>
  <c r="J2670" i="10"/>
  <c r="I2670" i="10"/>
  <c r="J2669" i="10"/>
  <c r="I2669" i="10"/>
  <c r="J2668" i="10"/>
  <c r="I2668" i="10"/>
  <c r="J2667" i="10"/>
  <c r="I2667" i="10"/>
  <c r="J2666" i="10"/>
  <c r="I2666" i="10"/>
  <c r="J2665" i="10"/>
  <c r="I2665" i="10"/>
  <c r="J2664" i="10"/>
  <c r="I2664" i="10"/>
  <c r="J2663" i="10"/>
  <c r="I2663" i="10"/>
  <c r="J2662" i="10"/>
  <c r="I2662" i="10"/>
  <c r="J2661" i="10"/>
  <c r="I2661" i="10"/>
  <c r="J2660" i="10"/>
  <c r="I2660" i="10"/>
  <c r="J2659" i="10"/>
  <c r="I2659" i="10"/>
  <c r="J2658" i="10"/>
  <c r="I2658" i="10"/>
  <c r="J2657" i="10"/>
  <c r="I2657" i="10"/>
  <c r="J2656" i="10"/>
  <c r="I2656" i="10"/>
  <c r="J2655" i="10"/>
  <c r="I2655" i="10"/>
  <c r="J2654" i="10"/>
  <c r="I2654" i="10"/>
  <c r="J2653" i="10"/>
  <c r="I2653" i="10"/>
  <c r="J2652" i="10"/>
  <c r="I2652" i="10"/>
  <c r="J2651" i="10"/>
  <c r="I2651" i="10"/>
  <c r="J2650" i="10"/>
  <c r="I2650" i="10"/>
  <c r="J2649" i="10"/>
  <c r="I2649" i="10"/>
  <c r="J2648" i="10"/>
  <c r="I2648" i="10"/>
  <c r="J2647" i="10"/>
  <c r="I2647" i="10"/>
  <c r="J2646" i="10"/>
  <c r="I2646" i="10"/>
  <c r="J2645" i="10"/>
  <c r="I2645" i="10"/>
  <c r="J2644" i="10"/>
  <c r="I2644" i="10"/>
  <c r="J2643" i="10"/>
  <c r="I2643" i="10"/>
  <c r="J2642" i="10"/>
  <c r="I2642" i="10"/>
  <c r="J2641" i="10"/>
  <c r="I2641" i="10"/>
  <c r="J2640" i="10"/>
  <c r="I2640" i="10"/>
  <c r="J2639" i="10"/>
  <c r="I2639" i="10"/>
  <c r="J2638" i="10"/>
  <c r="I2638" i="10"/>
  <c r="J2637" i="10"/>
  <c r="I2637" i="10"/>
  <c r="J2636" i="10"/>
  <c r="I2636" i="10"/>
  <c r="J2635" i="10"/>
  <c r="I2635" i="10"/>
  <c r="J2634" i="10"/>
  <c r="I2634" i="10"/>
  <c r="J2633" i="10"/>
  <c r="I2633" i="10"/>
  <c r="J2632" i="10"/>
  <c r="I2632" i="10"/>
  <c r="J2631" i="10"/>
  <c r="I2631" i="10"/>
  <c r="J2630" i="10"/>
  <c r="I2630" i="10"/>
  <c r="J2629" i="10"/>
  <c r="I2629" i="10"/>
  <c r="J2628" i="10"/>
  <c r="I2628" i="10"/>
  <c r="J2627" i="10"/>
  <c r="I2627" i="10"/>
  <c r="J2626" i="10"/>
  <c r="I2626" i="10"/>
  <c r="J2625" i="10"/>
  <c r="I2625" i="10"/>
  <c r="J2624" i="10"/>
  <c r="I2624" i="10"/>
  <c r="J2623" i="10"/>
  <c r="I2623" i="10"/>
  <c r="J2622" i="10"/>
  <c r="I2622" i="10"/>
  <c r="J2621" i="10"/>
  <c r="I2621" i="10"/>
  <c r="J2620" i="10"/>
  <c r="I2620" i="10"/>
  <c r="J2619" i="10"/>
  <c r="I2619" i="10"/>
  <c r="J2618" i="10"/>
  <c r="I2618" i="10"/>
  <c r="J2617" i="10"/>
  <c r="I2617" i="10"/>
  <c r="J2616" i="10"/>
  <c r="I2616" i="10"/>
  <c r="J2615" i="10"/>
  <c r="I2615" i="10"/>
  <c r="J2614" i="10"/>
  <c r="I2614" i="10"/>
  <c r="J2613" i="10"/>
  <c r="I2613" i="10"/>
  <c r="J2612" i="10"/>
  <c r="I2612" i="10"/>
  <c r="J2611" i="10"/>
  <c r="I2611" i="10"/>
  <c r="J2610" i="10"/>
  <c r="I2610" i="10"/>
  <c r="J2609" i="10"/>
  <c r="I2609" i="10"/>
  <c r="J2608" i="10"/>
  <c r="I2608" i="10"/>
  <c r="J2607" i="10"/>
  <c r="I2607" i="10"/>
  <c r="J2606" i="10"/>
  <c r="I2606" i="10"/>
  <c r="J2605" i="10"/>
  <c r="I2605" i="10"/>
  <c r="J2604" i="10"/>
  <c r="I2604" i="10"/>
  <c r="J2603" i="10"/>
  <c r="I2603" i="10"/>
  <c r="J2602" i="10"/>
  <c r="I2602" i="10"/>
  <c r="J2601" i="10"/>
  <c r="I2601" i="10"/>
  <c r="J2600" i="10"/>
  <c r="I2600" i="10"/>
  <c r="J2599" i="10"/>
  <c r="I2599" i="10"/>
  <c r="J2598" i="10"/>
  <c r="I2598" i="10"/>
  <c r="J2597" i="10"/>
  <c r="I2597" i="10"/>
  <c r="J2596" i="10"/>
  <c r="I2596" i="10"/>
  <c r="J2595" i="10"/>
  <c r="I2595" i="10"/>
  <c r="J2594" i="10"/>
  <c r="I2594" i="10"/>
  <c r="J2593" i="10"/>
  <c r="I2593" i="10"/>
  <c r="J2592" i="10"/>
  <c r="I2592" i="10"/>
  <c r="J2591" i="10"/>
  <c r="I2591" i="10"/>
  <c r="J2590" i="10"/>
  <c r="I2590" i="10"/>
  <c r="J2589" i="10"/>
  <c r="I2589" i="10"/>
  <c r="J2588" i="10"/>
  <c r="I2588" i="10"/>
  <c r="J2587" i="10"/>
  <c r="I2587" i="10"/>
  <c r="J2586" i="10"/>
  <c r="I2586" i="10"/>
  <c r="J2585" i="10"/>
  <c r="I2585" i="10"/>
  <c r="J2584" i="10"/>
  <c r="I2584" i="10"/>
  <c r="J2583" i="10"/>
  <c r="I2583" i="10"/>
  <c r="J2582" i="10"/>
  <c r="I2582" i="10"/>
  <c r="J2581" i="10"/>
  <c r="I2581" i="10"/>
  <c r="J2580" i="10"/>
  <c r="I2580" i="10"/>
  <c r="J2579" i="10"/>
  <c r="I2579" i="10"/>
  <c r="J2578" i="10"/>
  <c r="I2578" i="10"/>
  <c r="J2577" i="10"/>
  <c r="I2577" i="10"/>
  <c r="J2576" i="10"/>
  <c r="I2576" i="10"/>
  <c r="J2575" i="10"/>
  <c r="I2575" i="10"/>
  <c r="J2574" i="10"/>
  <c r="I2574" i="10"/>
  <c r="J2573" i="10"/>
  <c r="I2573" i="10"/>
  <c r="J2572" i="10"/>
  <c r="I2572" i="10"/>
  <c r="J2571" i="10"/>
  <c r="I2571" i="10"/>
  <c r="J2570" i="10"/>
  <c r="I2570" i="10"/>
  <c r="J2569" i="10"/>
  <c r="I2569" i="10"/>
  <c r="J2568" i="10"/>
  <c r="I2568" i="10"/>
  <c r="J2567" i="10"/>
  <c r="I2567" i="10"/>
  <c r="J2566" i="10"/>
  <c r="I2566" i="10"/>
  <c r="J2565" i="10"/>
  <c r="I2565" i="10"/>
  <c r="J2564" i="10"/>
  <c r="I2564" i="10"/>
  <c r="J2563" i="10"/>
  <c r="I2563" i="10"/>
  <c r="J2562" i="10"/>
  <c r="I2562" i="10"/>
  <c r="J2561" i="10"/>
  <c r="I2561" i="10"/>
  <c r="J2560" i="10"/>
  <c r="I2560" i="10"/>
  <c r="J2559" i="10"/>
  <c r="I2559" i="10"/>
  <c r="J2558" i="10"/>
  <c r="I2558" i="10"/>
  <c r="J2557" i="10"/>
  <c r="I2557" i="10"/>
  <c r="J2556" i="10"/>
  <c r="I2556" i="10"/>
  <c r="J2555" i="10"/>
  <c r="I2555" i="10"/>
  <c r="J2554" i="10"/>
  <c r="I2554" i="10"/>
  <c r="J2553" i="10"/>
  <c r="I2553" i="10"/>
  <c r="J2552" i="10"/>
  <c r="I2552" i="10"/>
  <c r="J2551" i="10"/>
  <c r="I2551" i="10"/>
  <c r="J2550" i="10"/>
  <c r="I2550" i="10"/>
  <c r="J2549" i="10"/>
  <c r="I2549" i="10"/>
  <c r="J2548" i="10"/>
  <c r="I2548" i="10"/>
  <c r="J2547" i="10"/>
  <c r="I2547" i="10"/>
  <c r="J2546" i="10"/>
  <c r="I2546" i="10"/>
  <c r="J2545" i="10"/>
  <c r="I2545" i="10"/>
  <c r="J2544" i="10"/>
  <c r="I2544" i="10"/>
  <c r="J2543" i="10"/>
  <c r="I2543" i="10"/>
  <c r="J2542" i="10"/>
  <c r="I2542" i="10"/>
  <c r="J2541" i="10"/>
  <c r="I2541" i="10"/>
  <c r="J2540" i="10"/>
  <c r="I2540" i="10"/>
  <c r="J2539" i="10"/>
  <c r="I2539" i="10"/>
  <c r="J2538" i="10"/>
  <c r="I2538" i="10"/>
  <c r="J2537" i="10"/>
  <c r="I2537" i="10"/>
  <c r="J2536" i="10"/>
  <c r="I2536" i="10"/>
  <c r="J2535" i="10"/>
  <c r="I2535" i="10"/>
  <c r="J2534" i="10"/>
  <c r="I2534" i="10"/>
  <c r="J2533" i="10"/>
  <c r="I2533" i="10"/>
  <c r="J2532" i="10"/>
  <c r="I2532" i="10"/>
  <c r="J2531" i="10"/>
  <c r="I2531" i="10"/>
  <c r="J2530" i="10"/>
  <c r="I2530" i="10"/>
  <c r="J2529" i="10"/>
  <c r="I2529" i="10"/>
  <c r="J2528" i="10"/>
  <c r="I2528" i="10"/>
  <c r="J2527" i="10"/>
  <c r="I2527" i="10"/>
  <c r="J2526" i="10"/>
  <c r="I2526" i="10"/>
  <c r="J2525" i="10"/>
  <c r="I2525" i="10"/>
  <c r="J2524" i="10"/>
  <c r="I2524" i="10"/>
  <c r="J2523" i="10"/>
  <c r="I2523" i="10"/>
  <c r="J2522" i="10"/>
  <c r="I2522" i="10"/>
  <c r="J2521" i="10"/>
  <c r="I2521" i="10"/>
  <c r="J2520" i="10"/>
  <c r="I2520" i="10"/>
  <c r="J2519" i="10"/>
  <c r="I2519" i="10"/>
  <c r="J2518" i="10"/>
  <c r="I2518" i="10"/>
  <c r="J2517" i="10"/>
  <c r="I2517" i="10"/>
  <c r="J2516" i="10"/>
  <c r="I2516" i="10"/>
  <c r="J2515" i="10"/>
  <c r="I2515" i="10"/>
  <c r="J2514" i="10"/>
  <c r="I2514" i="10"/>
  <c r="J2513" i="10"/>
  <c r="I2513" i="10"/>
  <c r="J2512" i="10"/>
  <c r="I2512" i="10"/>
  <c r="J2511" i="10"/>
  <c r="I2511" i="10"/>
  <c r="J2510" i="10"/>
  <c r="I2510" i="10"/>
  <c r="J2509" i="10"/>
  <c r="I2509" i="10"/>
  <c r="J2508" i="10"/>
  <c r="I2508" i="10"/>
  <c r="J2507" i="10"/>
  <c r="I2507" i="10"/>
  <c r="J2506" i="10"/>
  <c r="I2506" i="10"/>
  <c r="J2505" i="10"/>
  <c r="I2505" i="10"/>
  <c r="J2504" i="10"/>
  <c r="I2504" i="10"/>
  <c r="J2503" i="10"/>
  <c r="I2503" i="10"/>
  <c r="J2502" i="10"/>
  <c r="I2502" i="10"/>
  <c r="J2501" i="10"/>
  <c r="I2501" i="10"/>
  <c r="J2500" i="10"/>
  <c r="I2500" i="10"/>
  <c r="J2499" i="10"/>
  <c r="I2499" i="10"/>
  <c r="J2498" i="10"/>
  <c r="I2498" i="10"/>
  <c r="J2497" i="10"/>
  <c r="I2497" i="10"/>
  <c r="J2496" i="10"/>
  <c r="I2496" i="10"/>
  <c r="J2495" i="10"/>
  <c r="I2495" i="10"/>
  <c r="J2494" i="10"/>
  <c r="I2494" i="10"/>
  <c r="J2493" i="10"/>
  <c r="I2493" i="10"/>
  <c r="J2492" i="10"/>
  <c r="I2492" i="10"/>
  <c r="J2491" i="10"/>
  <c r="I2491" i="10"/>
  <c r="J2490" i="10"/>
  <c r="I2490" i="10"/>
  <c r="J2489" i="10"/>
  <c r="I2489" i="10"/>
  <c r="J2488" i="10"/>
  <c r="I2488" i="10"/>
  <c r="J2487" i="10"/>
  <c r="I2487" i="10"/>
  <c r="J2486" i="10"/>
  <c r="I2486" i="10"/>
  <c r="J2485" i="10"/>
  <c r="I2485" i="10"/>
  <c r="J2484" i="10"/>
  <c r="I2484" i="10"/>
  <c r="J2483" i="10"/>
  <c r="I2483" i="10"/>
  <c r="J2482" i="10"/>
  <c r="I2482" i="10"/>
  <c r="J2481" i="10"/>
  <c r="I2481" i="10"/>
  <c r="J2480" i="10"/>
  <c r="I2480" i="10"/>
  <c r="J2479" i="10"/>
  <c r="I2479" i="10"/>
  <c r="J2478" i="10"/>
  <c r="I2478" i="10"/>
  <c r="J2477" i="10"/>
  <c r="I2477" i="10"/>
  <c r="J2476" i="10"/>
  <c r="I2476" i="10"/>
  <c r="J2475" i="10"/>
  <c r="I2475" i="10"/>
  <c r="J2474" i="10"/>
  <c r="I2474" i="10"/>
  <c r="J2473" i="10"/>
  <c r="I2473" i="10"/>
  <c r="J2472" i="10"/>
  <c r="I2472" i="10"/>
  <c r="J2471" i="10"/>
  <c r="I2471" i="10"/>
  <c r="J2470" i="10"/>
  <c r="I2470" i="10"/>
  <c r="J2469" i="10"/>
  <c r="I2469" i="10"/>
  <c r="J2468" i="10"/>
  <c r="I2468" i="10"/>
  <c r="J2467" i="10"/>
  <c r="I2467" i="10"/>
  <c r="J2466" i="10"/>
  <c r="I2466" i="10"/>
  <c r="J2465" i="10"/>
  <c r="I2465" i="10"/>
  <c r="J2464" i="10"/>
  <c r="I2464" i="10"/>
  <c r="J2463" i="10"/>
  <c r="I2463" i="10"/>
  <c r="J2462" i="10"/>
  <c r="I2462" i="10"/>
  <c r="J2461" i="10"/>
  <c r="I2461" i="10"/>
  <c r="J2460" i="10"/>
  <c r="I2460" i="10"/>
  <c r="J2459" i="10"/>
  <c r="I2459" i="10"/>
  <c r="J2458" i="10"/>
  <c r="I2458" i="10"/>
  <c r="J2457" i="10"/>
  <c r="I2457" i="10"/>
  <c r="J2456" i="10"/>
  <c r="I2456" i="10"/>
  <c r="J2455" i="10"/>
  <c r="I2455" i="10"/>
  <c r="J2454" i="10"/>
  <c r="I2454" i="10"/>
  <c r="J2453" i="10"/>
  <c r="I2453" i="10"/>
  <c r="J2452" i="10"/>
  <c r="I2452" i="10"/>
  <c r="J2451" i="10"/>
  <c r="I2451" i="10"/>
  <c r="J2450" i="10"/>
  <c r="I2450" i="10"/>
  <c r="J2449" i="10"/>
  <c r="I2449" i="10"/>
  <c r="J2448" i="10"/>
  <c r="I2448" i="10"/>
  <c r="J2447" i="10"/>
  <c r="I2447" i="10"/>
  <c r="J2446" i="10"/>
  <c r="I2446" i="10"/>
  <c r="J2445" i="10"/>
  <c r="I2445" i="10"/>
  <c r="J2444" i="10"/>
  <c r="I2444" i="10"/>
  <c r="J2443" i="10"/>
  <c r="I2443" i="10"/>
  <c r="J2442" i="10"/>
  <c r="I2442" i="10"/>
  <c r="J2441" i="10"/>
  <c r="I2441" i="10"/>
  <c r="J2440" i="10"/>
  <c r="I2440" i="10"/>
  <c r="J2439" i="10"/>
  <c r="I2439" i="10"/>
  <c r="J2438" i="10"/>
  <c r="I2438" i="10"/>
  <c r="J2437" i="10"/>
  <c r="I2437" i="10"/>
  <c r="J2436" i="10"/>
  <c r="I2436" i="10"/>
  <c r="J2435" i="10"/>
  <c r="I2435" i="10"/>
  <c r="J2434" i="10"/>
  <c r="I2434" i="10"/>
  <c r="J2433" i="10"/>
  <c r="I2433" i="10"/>
  <c r="J2432" i="10"/>
  <c r="I2432" i="10"/>
  <c r="J2431" i="10"/>
  <c r="I2431" i="10"/>
  <c r="J2430" i="10"/>
  <c r="I2430" i="10"/>
  <c r="J2429" i="10"/>
  <c r="I2429" i="10"/>
  <c r="J2428" i="10"/>
  <c r="I2428" i="10"/>
  <c r="J2427" i="10"/>
  <c r="I2427" i="10"/>
  <c r="J2426" i="10"/>
  <c r="I2426" i="10"/>
  <c r="J2425" i="10"/>
  <c r="I2425" i="10"/>
  <c r="J2424" i="10"/>
  <c r="I2424" i="10"/>
  <c r="J2423" i="10"/>
  <c r="I2423" i="10"/>
  <c r="J2422" i="10"/>
  <c r="I2422" i="10"/>
  <c r="J2421" i="10"/>
  <c r="I2421" i="10"/>
  <c r="J2420" i="10"/>
  <c r="I2420" i="10"/>
  <c r="J2419" i="10"/>
  <c r="I2419" i="10"/>
  <c r="J2418" i="10"/>
  <c r="I2418" i="10"/>
  <c r="J2417" i="10"/>
  <c r="I2417" i="10"/>
  <c r="J2416" i="10"/>
  <c r="I2416" i="10"/>
  <c r="J2415" i="10"/>
  <c r="I2415" i="10"/>
  <c r="J2414" i="10"/>
  <c r="I2414" i="10"/>
  <c r="J2413" i="10"/>
  <c r="I2413" i="10"/>
  <c r="J2412" i="10"/>
  <c r="I2412" i="10"/>
  <c r="J2411" i="10"/>
  <c r="I2411" i="10"/>
  <c r="J2410" i="10"/>
  <c r="I2410" i="10"/>
  <c r="J2409" i="10"/>
  <c r="I2409" i="10"/>
  <c r="J2408" i="10"/>
  <c r="I2408" i="10"/>
  <c r="J2407" i="10"/>
  <c r="I2407" i="10"/>
  <c r="J2406" i="10"/>
  <c r="I2406" i="10"/>
  <c r="J2405" i="10"/>
  <c r="I2405" i="10"/>
  <c r="J2404" i="10"/>
  <c r="I2404" i="10"/>
  <c r="J2403" i="10"/>
  <c r="I2403" i="10"/>
  <c r="J2402" i="10"/>
  <c r="I2402" i="10"/>
  <c r="J2401" i="10"/>
  <c r="I2401" i="10"/>
  <c r="J2400" i="10"/>
  <c r="I2400" i="10"/>
  <c r="J2399" i="10"/>
  <c r="I2399" i="10"/>
  <c r="J2398" i="10"/>
  <c r="I2398" i="10"/>
  <c r="J2397" i="10"/>
  <c r="I2397" i="10"/>
  <c r="J2396" i="10"/>
  <c r="I2396" i="10"/>
  <c r="J2395" i="10"/>
  <c r="I2395" i="10"/>
  <c r="J2394" i="10"/>
  <c r="I2394" i="10"/>
  <c r="J2393" i="10"/>
  <c r="I2393" i="10"/>
  <c r="J2392" i="10"/>
  <c r="I2392" i="10"/>
  <c r="J2391" i="10"/>
  <c r="I2391" i="10"/>
  <c r="J2390" i="10"/>
  <c r="I2390" i="10"/>
  <c r="J2389" i="10"/>
  <c r="I2389" i="10"/>
  <c r="J2388" i="10"/>
  <c r="I2388" i="10"/>
  <c r="J2387" i="10"/>
  <c r="I2387" i="10"/>
  <c r="J2386" i="10"/>
  <c r="I2386" i="10"/>
  <c r="J2385" i="10"/>
  <c r="I2385" i="10"/>
  <c r="J2384" i="10"/>
  <c r="I2384" i="10"/>
  <c r="J2383" i="10"/>
  <c r="I2383" i="10"/>
  <c r="J2382" i="10"/>
  <c r="I2382" i="10"/>
  <c r="J2381" i="10"/>
  <c r="I2381" i="10"/>
  <c r="J2380" i="10"/>
  <c r="I2380" i="10"/>
  <c r="J2379" i="10"/>
  <c r="I2379" i="10"/>
  <c r="J2378" i="10"/>
  <c r="I2378" i="10"/>
  <c r="J2377" i="10"/>
  <c r="I2377" i="10"/>
  <c r="J2376" i="10"/>
  <c r="I2376" i="10"/>
  <c r="J2375" i="10"/>
  <c r="I2375" i="10"/>
  <c r="J2374" i="10"/>
  <c r="I2374" i="10"/>
  <c r="J2373" i="10"/>
  <c r="I2373" i="10"/>
  <c r="J2372" i="10"/>
  <c r="I2372" i="10"/>
  <c r="J2371" i="10"/>
  <c r="I2371" i="10"/>
  <c r="J2370" i="10"/>
  <c r="I2370" i="10"/>
  <c r="J2369" i="10"/>
  <c r="I2369" i="10"/>
  <c r="J2368" i="10"/>
  <c r="I2368" i="10"/>
  <c r="J2367" i="10"/>
  <c r="I2367" i="10"/>
  <c r="J2366" i="10"/>
  <c r="I2366" i="10"/>
  <c r="J2365" i="10"/>
  <c r="I2365" i="10"/>
  <c r="J2364" i="10"/>
  <c r="I2364" i="10"/>
  <c r="J2363" i="10"/>
  <c r="I2363" i="10"/>
  <c r="J2362" i="10"/>
  <c r="I2362" i="10"/>
  <c r="J2361" i="10"/>
  <c r="I2361" i="10"/>
  <c r="J2360" i="10"/>
  <c r="I2360" i="10"/>
  <c r="J2359" i="10"/>
  <c r="I2359" i="10"/>
  <c r="J2358" i="10"/>
  <c r="I2358" i="10"/>
  <c r="J2357" i="10"/>
  <c r="I2357" i="10"/>
  <c r="J2356" i="10"/>
  <c r="I2356" i="10"/>
  <c r="J2355" i="10"/>
  <c r="I2355" i="10"/>
  <c r="J2354" i="10"/>
  <c r="I2354" i="10"/>
  <c r="J2353" i="10"/>
  <c r="I2353" i="10"/>
  <c r="J2352" i="10"/>
  <c r="I2352" i="10"/>
  <c r="J2351" i="10"/>
  <c r="I2351" i="10"/>
  <c r="J2350" i="10"/>
  <c r="I2350" i="10"/>
  <c r="J2349" i="10"/>
  <c r="I2349" i="10"/>
  <c r="J2348" i="10"/>
  <c r="I2348" i="10"/>
  <c r="J2347" i="10"/>
  <c r="I2347" i="10"/>
  <c r="J2346" i="10"/>
  <c r="I2346" i="10"/>
  <c r="J2345" i="10"/>
  <c r="I2345" i="10"/>
  <c r="J2344" i="10"/>
  <c r="I2344" i="10"/>
  <c r="J2343" i="10"/>
  <c r="I2343" i="10"/>
  <c r="J2342" i="10"/>
  <c r="I2342" i="10"/>
  <c r="J2341" i="10"/>
  <c r="I2341" i="10"/>
  <c r="J2340" i="10"/>
  <c r="I2340" i="10"/>
  <c r="J2339" i="10"/>
  <c r="I2339" i="10"/>
  <c r="J2338" i="10"/>
  <c r="I2338" i="10"/>
  <c r="J2337" i="10"/>
  <c r="I2337" i="10"/>
  <c r="J2336" i="10"/>
  <c r="I2336" i="10"/>
  <c r="J2335" i="10"/>
  <c r="I2335" i="10"/>
  <c r="J2334" i="10"/>
  <c r="I2334" i="10"/>
  <c r="J2333" i="10"/>
  <c r="I2333" i="10"/>
  <c r="J2332" i="10"/>
  <c r="I2332" i="10"/>
  <c r="J2331" i="10"/>
  <c r="I2331" i="10"/>
  <c r="J2330" i="10"/>
  <c r="I2330" i="10"/>
  <c r="J2329" i="10"/>
  <c r="I2329" i="10"/>
  <c r="J2328" i="10"/>
  <c r="I2328" i="10"/>
  <c r="J2327" i="10"/>
  <c r="I2327" i="10"/>
  <c r="J2326" i="10"/>
  <c r="I2326" i="10"/>
  <c r="J2325" i="10"/>
  <c r="I2325" i="10"/>
  <c r="J2324" i="10"/>
  <c r="I2324" i="10"/>
  <c r="J2323" i="10"/>
  <c r="I2323" i="10"/>
  <c r="J2322" i="10"/>
  <c r="I2322" i="10"/>
  <c r="J2321" i="10"/>
  <c r="I2321" i="10"/>
  <c r="J2320" i="10"/>
  <c r="I2320" i="10"/>
  <c r="J2319" i="10"/>
  <c r="I2319" i="10"/>
  <c r="J2318" i="10"/>
  <c r="I2318" i="10"/>
  <c r="J2317" i="10"/>
  <c r="I2317" i="10"/>
  <c r="J2316" i="10"/>
  <c r="I2316" i="10"/>
  <c r="J2315" i="10"/>
  <c r="I2315" i="10"/>
  <c r="J2314" i="10"/>
  <c r="I2314" i="10"/>
  <c r="J2313" i="10"/>
  <c r="I2313" i="10"/>
  <c r="J2312" i="10"/>
  <c r="I2312" i="10"/>
  <c r="J2311" i="10"/>
  <c r="I2311" i="10"/>
  <c r="J2310" i="10"/>
  <c r="I2310" i="10"/>
  <c r="J2309" i="10"/>
  <c r="I2309" i="10"/>
  <c r="J2308" i="10"/>
  <c r="I2308" i="10"/>
  <c r="J2307" i="10"/>
  <c r="I2307" i="10"/>
  <c r="J2306" i="10"/>
  <c r="I2306" i="10"/>
  <c r="J2305" i="10"/>
  <c r="I2305" i="10"/>
  <c r="J2304" i="10"/>
  <c r="I2304" i="10"/>
  <c r="J2303" i="10"/>
  <c r="I2303" i="10"/>
  <c r="J2302" i="10"/>
  <c r="I2302" i="10"/>
  <c r="J2301" i="10"/>
  <c r="I2301" i="10"/>
  <c r="J2300" i="10"/>
  <c r="I2300" i="10"/>
  <c r="J2299" i="10"/>
  <c r="I2299" i="10"/>
  <c r="J2298" i="10"/>
  <c r="I2298" i="10"/>
  <c r="J2297" i="10"/>
  <c r="I2297" i="10"/>
  <c r="J2296" i="10"/>
  <c r="I2296" i="10"/>
  <c r="J2295" i="10"/>
  <c r="I2295" i="10"/>
  <c r="J2294" i="10"/>
  <c r="I2294" i="10"/>
  <c r="J2293" i="10"/>
  <c r="I2293" i="10"/>
  <c r="J2292" i="10"/>
  <c r="I2292" i="10"/>
  <c r="J2291" i="10"/>
  <c r="I2291" i="10"/>
  <c r="J2290" i="10"/>
  <c r="I2290" i="10"/>
  <c r="J2289" i="10"/>
  <c r="I2289" i="10"/>
  <c r="J2288" i="10"/>
  <c r="I2288" i="10"/>
  <c r="J2287" i="10"/>
  <c r="I2287" i="10"/>
  <c r="J2286" i="10"/>
  <c r="I2286" i="10"/>
  <c r="J2285" i="10"/>
  <c r="I2285" i="10"/>
  <c r="J2284" i="10"/>
  <c r="I2284" i="10"/>
  <c r="J2283" i="10"/>
  <c r="I2283" i="10"/>
  <c r="J2282" i="10"/>
  <c r="I2282" i="10"/>
  <c r="J2281" i="10"/>
  <c r="I2281" i="10"/>
  <c r="J2280" i="10"/>
  <c r="I2280" i="10"/>
  <c r="J2279" i="10"/>
  <c r="I2279" i="10"/>
  <c r="J2278" i="10"/>
  <c r="I2278" i="10"/>
  <c r="J2277" i="10"/>
  <c r="I2277" i="10"/>
  <c r="J2276" i="10"/>
  <c r="I2276" i="10"/>
  <c r="J2275" i="10"/>
  <c r="I2275" i="10"/>
  <c r="J2274" i="10"/>
  <c r="I2274" i="10"/>
  <c r="J2273" i="10"/>
  <c r="I2273" i="10"/>
  <c r="J2272" i="10"/>
  <c r="I2272" i="10"/>
  <c r="J2271" i="10"/>
  <c r="I2271" i="10"/>
  <c r="J2270" i="10"/>
  <c r="I2270" i="10"/>
  <c r="J2269" i="10"/>
  <c r="I2269" i="10"/>
  <c r="J2268" i="10"/>
  <c r="I2268" i="10"/>
  <c r="J2267" i="10"/>
  <c r="I2267" i="10"/>
  <c r="J2266" i="10"/>
  <c r="I2266" i="10"/>
  <c r="J2265" i="10"/>
  <c r="I2265" i="10"/>
  <c r="J2264" i="10"/>
  <c r="I2264" i="10"/>
  <c r="J2263" i="10"/>
  <c r="I2263" i="10"/>
  <c r="J2262" i="10"/>
  <c r="I2262" i="10"/>
  <c r="J2261" i="10"/>
  <c r="I2261" i="10"/>
  <c r="J2260" i="10"/>
  <c r="I2260" i="10"/>
  <c r="J2259" i="10"/>
  <c r="I2259" i="10"/>
  <c r="J2258" i="10"/>
  <c r="I2258" i="10"/>
  <c r="J2257" i="10"/>
  <c r="I2257" i="10"/>
  <c r="J2256" i="10"/>
  <c r="I2256" i="10"/>
  <c r="J2255" i="10"/>
  <c r="I2255" i="10"/>
  <c r="J2254" i="10"/>
  <c r="I2254" i="10"/>
  <c r="J2253" i="10"/>
  <c r="I2253" i="10"/>
  <c r="J2252" i="10"/>
  <c r="I2252" i="10"/>
  <c r="J2251" i="10"/>
  <c r="I2251" i="10"/>
  <c r="J2250" i="10"/>
  <c r="I2250" i="10"/>
  <c r="J2249" i="10"/>
  <c r="I2249" i="10"/>
  <c r="J2248" i="10"/>
  <c r="I2248" i="10"/>
  <c r="J2247" i="10"/>
  <c r="I2247" i="10"/>
  <c r="J2246" i="10"/>
  <c r="I2246" i="10"/>
  <c r="J2245" i="10"/>
  <c r="I2245" i="10"/>
  <c r="J2244" i="10"/>
  <c r="I2244" i="10"/>
  <c r="J2243" i="10"/>
  <c r="I2243" i="10"/>
  <c r="J2242" i="10"/>
  <c r="I2242" i="10"/>
  <c r="J2241" i="10"/>
  <c r="I2241" i="10"/>
  <c r="J2240" i="10"/>
  <c r="I2240" i="10"/>
  <c r="J2239" i="10"/>
  <c r="I2239" i="10"/>
  <c r="J2238" i="10"/>
  <c r="I2238" i="10"/>
  <c r="J2237" i="10"/>
  <c r="I2237" i="10"/>
  <c r="J2236" i="10"/>
  <c r="I2236" i="10"/>
  <c r="J2235" i="10"/>
  <c r="I2235" i="10"/>
  <c r="J2234" i="10"/>
  <c r="I2234" i="10"/>
  <c r="J2233" i="10"/>
  <c r="I2233" i="10"/>
  <c r="J2232" i="10"/>
  <c r="I2232" i="10"/>
  <c r="J2231" i="10"/>
  <c r="I2231" i="10"/>
  <c r="J2230" i="10"/>
  <c r="I2230" i="10"/>
  <c r="J2229" i="10"/>
  <c r="I2229" i="10"/>
  <c r="J2228" i="10"/>
  <c r="I2228" i="10"/>
  <c r="J2227" i="10"/>
  <c r="I2227" i="10"/>
  <c r="J2226" i="10"/>
  <c r="I2226" i="10"/>
  <c r="J2225" i="10"/>
  <c r="I2225" i="10"/>
  <c r="J2224" i="10"/>
  <c r="I2224" i="10"/>
  <c r="J2223" i="10"/>
  <c r="I2223" i="10"/>
  <c r="J2222" i="10"/>
  <c r="I2222" i="10"/>
  <c r="J2221" i="10"/>
  <c r="I2221" i="10"/>
  <c r="J2220" i="10"/>
  <c r="I2220" i="10"/>
  <c r="J2219" i="10"/>
  <c r="I2219" i="10"/>
  <c r="J2218" i="10"/>
  <c r="I2218" i="10"/>
  <c r="J2217" i="10"/>
  <c r="I2217" i="10"/>
  <c r="J2216" i="10"/>
  <c r="I2216" i="10"/>
  <c r="J2215" i="10"/>
  <c r="I2215" i="10"/>
  <c r="J2214" i="10"/>
  <c r="I2214" i="10"/>
  <c r="J2213" i="10"/>
  <c r="I2213" i="10"/>
  <c r="J2212" i="10"/>
  <c r="I2212" i="10"/>
  <c r="J2211" i="10"/>
  <c r="I2211" i="10"/>
  <c r="J2210" i="10"/>
  <c r="I2210" i="10"/>
  <c r="J2209" i="10"/>
  <c r="I2209" i="10"/>
  <c r="J2208" i="10"/>
  <c r="I2208" i="10"/>
  <c r="J2207" i="10"/>
  <c r="I2207" i="10"/>
  <c r="J2206" i="10"/>
  <c r="I2206" i="10"/>
  <c r="J2205" i="10"/>
  <c r="I2205" i="10"/>
  <c r="J2204" i="10"/>
  <c r="I2204" i="10"/>
  <c r="J2203" i="10"/>
  <c r="I2203" i="10"/>
  <c r="J2202" i="10"/>
  <c r="I2202" i="10"/>
  <c r="J2201" i="10"/>
  <c r="I2201" i="10"/>
  <c r="J2200" i="10"/>
  <c r="I2200" i="10"/>
  <c r="J2199" i="10"/>
  <c r="I2199" i="10"/>
  <c r="J2198" i="10"/>
  <c r="I2198" i="10"/>
  <c r="J2197" i="10"/>
  <c r="I2197" i="10"/>
  <c r="J2196" i="10"/>
  <c r="I2196" i="10"/>
  <c r="J2195" i="10"/>
  <c r="I2195" i="10"/>
  <c r="J2194" i="10"/>
  <c r="I2194" i="10"/>
  <c r="J2193" i="10"/>
  <c r="I2193" i="10"/>
  <c r="J2192" i="10"/>
  <c r="I2192" i="10"/>
  <c r="J2191" i="10"/>
  <c r="I2191" i="10"/>
  <c r="J2190" i="10"/>
  <c r="I2190" i="10"/>
  <c r="J2189" i="10"/>
  <c r="I2189" i="10"/>
  <c r="J2188" i="10"/>
  <c r="I2188" i="10"/>
  <c r="J2187" i="10"/>
  <c r="I2187" i="10"/>
  <c r="J2186" i="10"/>
  <c r="I2186" i="10"/>
  <c r="J2185" i="10"/>
  <c r="I2185" i="10"/>
  <c r="J2184" i="10"/>
  <c r="I2184" i="10"/>
  <c r="J2183" i="10"/>
  <c r="I2183" i="10"/>
  <c r="J2182" i="10"/>
  <c r="I2182" i="10"/>
  <c r="J2181" i="10"/>
  <c r="I2181" i="10"/>
  <c r="J2180" i="10"/>
  <c r="I2180" i="10"/>
  <c r="J2179" i="10"/>
  <c r="I2179" i="10"/>
  <c r="J2178" i="10"/>
  <c r="I2178" i="10"/>
  <c r="J2177" i="10"/>
  <c r="I2177" i="10"/>
  <c r="J2176" i="10"/>
  <c r="I2176" i="10"/>
  <c r="J2175" i="10"/>
  <c r="I2175" i="10"/>
  <c r="J2174" i="10"/>
  <c r="I2174" i="10"/>
  <c r="J2173" i="10"/>
  <c r="I2173" i="10"/>
  <c r="J2172" i="10"/>
  <c r="I2172" i="10"/>
  <c r="J2171" i="10"/>
  <c r="I2171" i="10"/>
  <c r="J2170" i="10"/>
  <c r="I2170" i="10"/>
  <c r="J2169" i="10"/>
  <c r="I2169" i="10"/>
  <c r="J2168" i="10"/>
  <c r="I2168" i="10"/>
  <c r="J2167" i="10"/>
  <c r="I2167" i="10"/>
  <c r="J2166" i="10"/>
  <c r="I2166" i="10"/>
  <c r="J2165" i="10"/>
  <c r="I2165" i="10"/>
  <c r="J2164" i="10"/>
  <c r="I2164" i="10"/>
  <c r="J2163" i="10"/>
  <c r="I2163" i="10"/>
  <c r="J2162" i="10"/>
  <c r="I2162" i="10"/>
  <c r="J2161" i="10"/>
  <c r="I2161" i="10"/>
  <c r="J2160" i="10"/>
  <c r="I2160" i="10"/>
  <c r="J2159" i="10"/>
  <c r="I2159" i="10"/>
  <c r="J2158" i="10"/>
  <c r="I2158" i="10"/>
  <c r="J2157" i="10"/>
  <c r="I2157" i="10"/>
  <c r="J2156" i="10"/>
  <c r="I2156" i="10"/>
  <c r="J2155" i="10"/>
  <c r="I2155" i="10"/>
  <c r="J2154" i="10"/>
  <c r="I2154" i="10"/>
  <c r="J2153" i="10"/>
  <c r="I2153" i="10"/>
  <c r="J2152" i="10"/>
  <c r="I2152" i="10"/>
  <c r="J2151" i="10"/>
  <c r="I2151" i="10"/>
  <c r="J2150" i="10"/>
  <c r="I2150" i="10"/>
  <c r="J2149" i="10"/>
  <c r="I2149" i="10"/>
  <c r="J2148" i="10"/>
  <c r="I2148" i="10"/>
  <c r="J2147" i="10"/>
  <c r="I2147" i="10"/>
  <c r="J2146" i="10"/>
  <c r="I2146" i="10"/>
  <c r="J2145" i="10"/>
  <c r="I2145" i="10"/>
  <c r="J2144" i="10"/>
  <c r="I2144" i="10"/>
  <c r="J2143" i="10"/>
  <c r="I2143" i="10"/>
  <c r="J2142" i="10"/>
  <c r="I2142" i="10"/>
  <c r="J2141" i="10"/>
  <c r="I2141" i="10"/>
  <c r="J2140" i="10"/>
  <c r="I2140" i="10"/>
  <c r="J2139" i="10"/>
  <c r="I2139" i="10"/>
  <c r="J2138" i="10"/>
  <c r="I2138" i="10"/>
  <c r="J2137" i="10"/>
  <c r="I2137" i="10"/>
  <c r="J2136" i="10"/>
  <c r="I2136" i="10"/>
  <c r="J2135" i="10"/>
  <c r="I2135" i="10"/>
  <c r="J2134" i="10"/>
  <c r="I2134" i="10"/>
  <c r="J2133" i="10"/>
  <c r="I2133" i="10"/>
  <c r="J2132" i="10"/>
  <c r="I2132" i="10"/>
  <c r="J2131" i="10"/>
  <c r="I2131" i="10"/>
  <c r="J2130" i="10"/>
  <c r="I2130" i="10"/>
  <c r="J2129" i="10"/>
  <c r="I2129" i="10"/>
  <c r="J2128" i="10"/>
  <c r="I2128" i="10"/>
  <c r="J2127" i="10"/>
  <c r="I2127" i="10"/>
  <c r="J2126" i="10"/>
  <c r="I2126" i="10"/>
  <c r="J2125" i="10"/>
  <c r="I2125" i="10"/>
  <c r="J2124" i="10"/>
  <c r="I2124" i="10"/>
  <c r="J2123" i="10"/>
  <c r="I2123" i="10"/>
  <c r="J2122" i="10"/>
  <c r="I2122" i="10"/>
  <c r="J2121" i="10"/>
  <c r="I2121" i="10"/>
  <c r="J2120" i="10"/>
  <c r="I2120" i="10"/>
  <c r="J2119" i="10"/>
  <c r="I2119" i="10"/>
  <c r="J2118" i="10"/>
  <c r="I2118" i="10"/>
  <c r="J2117" i="10"/>
  <c r="I2117" i="10"/>
  <c r="J2116" i="10"/>
  <c r="I2116" i="10"/>
  <c r="J2115" i="10"/>
  <c r="I2115" i="10"/>
  <c r="J2114" i="10"/>
  <c r="I2114" i="10"/>
  <c r="J2113" i="10"/>
  <c r="I2113" i="10"/>
  <c r="J2112" i="10"/>
  <c r="I2112" i="10"/>
  <c r="J2111" i="10"/>
  <c r="I2111" i="10"/>
  <c r="J2110" i="10"/>
  <c r="I2110" i="10"/>
  <c r="J2109" i="10"/>
  <c r="I2109" i="10"/>
  <c r="J2108" i="10"/>
  <c r="I2108" i="10"/>
  <c r="J2107" i="10"/>
  <c r="I2107" i="10"/>
  <c r="J2106" i="10"/>
  <c r="I2106" i="10"/>
  <c r="J2105" i="10"/>
  <c r="I2105" i="10"/>
  <c r="J2104" i="10"/>
  <c r="I2104" i="10"/>
  <c r="J2103" i="10"/>
  <c r="I2103" i="10"/>
  <c r="J2102" i="10"/>
  <c r="I2102" i="10"/>
  <c r="J2101" i="10"/>
  <c r="I2101" i="10"/>
  <c r="J2100" i="10"/>
  <c r="I2100" i="10"/>
  <c r="J2099" i="10"/>
  <c r="I2099" i="10"/>
  <c r="J2098" i="10"/>
  <c r="I2098" i="10"/>
  <c r="J2097" i="10"/>
  <c r="I2097" i="10"/>
  <c r="J2096" i="10"/>
  <c r="I2096" i="10"/>
  <c r="J2095" i="10"/>
  <c r="I2095" i="10"/>
  <c r="J2094" i="10"/>
  <c r="I2094" i="10"/>
  <c r="J2093" i="10"/>
  <c r="I2093" i="10"/>
  <c r="J2092" i="10"/>
  <c r="I2092" i="10"/>
  <c r="J2091" i="10"/>
  <c r="I2091" i="10"/>
  <c r="J2090" i="10"/>
  <c r="I2090" i="10"/>
  <c r="J2089" i="10"/>
  <c r="I2089" i="10"/>
  <c r="J2088" i="10"/>
  <c r="I2088" i="10"/>
  <c r="J2087" i="10"/>
  <c r="I2087" i="10"/>
  <c r="J2086" i="10"/>
  <c r="I2086" i="10"/>
  <c r="J2085" i="10"/>
  <c r="I2085" i="10"/>
  <c r="J2084" i="10"/>
  <c r="I2084" i="10"/>
  <c r="J2083" i="10"/>
  <c r="I2083" i="10"/>
  <c r="J2082" i="10"/>
  <c r="I2082" i="10"/>
  <c r="J2081" i="10"/>
  <c r="I2081" i="10"/>
  <c r="J2080" i="10"/>
  <c r="I2080" i="10"/>
  <c r="J2079" i="10"/>
  <c r="I2079" i="10"/>
  <c r="J2078" i="10"/>
  <c r="I2078" i="10"/>
  <c r="J2077" i="10"/>
  <c r="I2077" i="10"/>
  <c r="J2076" i="10"/>
  <c r="I2076" i="10"/>
  <c r="J2075" i="10"/>
  <c r="I2075" i="10"/>
  <c r="J2074" i="10"/>
  <c r="I2074" i="10"/>
  <c r="J2073" i="10"/>
  <c r="I2073" i="10"/>
  <c r="J2072" i="10"/>
  <c r="I2072" i="10"/>
  <c r="J2071" i="10"/>
  <c r="I2071" i="10"/>
  <c r="J2070" i="10"/>
  <c r="I2070" i="10"/>
  <c r="J2069" i="10"/>
  <c r="I2069" i="10"/>
  <c r="J2068" i="10"/>
  <c r="I2068" i="10"/>
  <c r="J2067" i="10"/>
  <c r="I2067" i="10"/>
  <c r="J2066" i="10"/>
  <c r="I2066" i="10"/>
  <c r="J2065" i="10"/>
  <c r="I2065" i="10"/>
  <c r="J2064" i="10"/>
  <c r="I2064" i="10"/>
  <c r="J2063" i="10"/>
  <c r="I2063" i="10"/>
  <c r="J2062" i="10"/>
  <c r="I2062" i="10"/>
  <c r="J2061" i="10"/>
  <c r="I2061" i="10"/>
  <c r="J2060" i="10"/>
  <c r="I2060" i="10"/>
  <c r="J2059" i="10"/>
  <c r="I2059" i="10"/>
  <c r="J2058" i="10"/>
  <c r="I2058" i="10"/>
  <c r="J2057" i="10"/>
  <c r="I2057" i="10"/>
  <c r="J2056" i="10"/>
  <c r="I2056" i="10"/>
  <c r="J2055" i="10"/>
  <c r="I2055" i="10"/>
  <c r="J2054" i="10"/>
  <c r="I2054" i="10"/>
  <c r="J2053" i="10"/>
  <c r="I2053" i="10"/>
  <c r="J2052" i="10"/>
  <c r="I2052" i="10"/>
  <c r="J2051" i="10"/>
  <c r="I2051" i="10"/>
  <c r="J2050" i="10"/>
  <c r="I2050" i="10"/>
  <c r="J2049" i="10"/>
  <c r="I2049" i="10"/>
  <c r="J2048" i="10"/>
  <c r="I2048" i="10"/>
  <c r="J2047" i="10"/>
  <c r="I2047" i="10"/>
  <c r="J2046" i="10"/>
  <c r="I2046" i="10"/>
  <c r="J2045" i="10"/>
  <c r="I2045" i="10"/>
  <c r="J2044" i="10"/>
  <c r="I2044" i="10"/>
  <c r="J2043" i="10"/>
  <c r="I2043" i="10"/>
  <c r="J2042" i="10"/>
  <c r="I2042" i="10"/>
  <c r="J2041" i="10"/>
  <c r="I2041" i="10"/>
  <c r="J2040" i="10"/>
  <c r="I2040" i="10"/>
  <c r="J2039" i="10"/>
  <c r="I2039" i="10"/>
  <c r="J2038" i="10"/>
  <c r="I2038" i="10"/>
  <c r="J2037" i="10"/>
  <c r="I2037" i="10"/>
  <c r="J2036" i="10"/>
  <c r="I2036" i="10"/>
  <c r="J2035" i="10"/>
  <c r="I2035" i="10"/>
  <c r="J2034" i="10"/>
  <c r="I2034" i="10"/>
  <c r="J2033" i="10"/>
  <c r="I2033" i="10"/>
  <c r="J2032" i="10"/>
  <c r="I2032" i="10"/>
  <c r="J2031" i="10"/>
  <c r="I2031" i="10"/>
  <c r="J2030" i="10"/>
  <c r="I2030" i="10"/>
  <c r="J2029" i="10"/>
  <c r="I2029" i="10"/>
  <c r="J2028" i="10"/>
  <c r="I2028" i="10"/>
  <c r="J2027" i="10"/>
  <c r="I2027" i="10"/>
  <c r="J2026" i="10"/>
  <c r="I2026" i="10"/>
  <c r="J2025" i="10"/>
  <c r="I2025" i="10"/>
  <c r="J2024" i="10"/>
  <c r="I2024" i="10"/>
  <c r="J2023" i="10"/>
  <c r="I2023" i="10"/>
  <c r="J2022" i="10"/>
  <c r="I2022" i="10"/>
  <c r="J2021" i="10"/>
  <c r="I2021" i="10"/>
  <c r="J2020" i="10"/>
  <c r="I2020" i="10"/>
  <c r="J2019" i="10"/>
  <c r="I2019" i="10"/>
  <c r="J2018" i="10"/>
  <c r="I2018" i="10"/>
  <c r="J2017" i="10"/>
  <c r="I2017" i="10"/>
  <c r="J2016" i="10"/>
  <c r="I2016" i="10"/>
  <c r="J2015" i="10"/>
  <c r="I2015" i="10"/>
  <c r="J2014" i="10"/>
  <c r="I2014" i="10"/>
  <c r="J2013" i="10"/>
  <c r="I2013" i="10"/>
  <c r="J2012" i="10"/>
  <c r="I2012" i="10"/>
  <c r="J2011" i="10"/>
  <c r="I2011" i="10"/>
  <c r="J2010" i="10"/>
  <c r="I2010" i="10"/>
  <c r="J2009" i="10"/>
  <c r="I2009" i="10"/>
  <c r="J2008" i="10"/>
  <c r="I2008" i="10"/>
  <c r="J2007" i="10"/>
  <c r="I2007" i="10"/>
  <c r="J2006" i="10"/>
  <c r="I2006" i="10"/>
  <c r="J2005" i="10"/>
  <c r="I2005" i="10"/>
  <c r="J2004" i="10"/>
  <c r="I2004" i="10"/>
  <c r="J2003" i="10"/>
  <c r="I2003" i="10"/>
  <c r="J2002" i="10"/>
  <c r="I2002" i="10"/>
  <c r="J2001" i="10"/>
  <c r="I2001" i="10"/>
  <c r="J2000" i="10"/>
  <c r="I2000" i="10"/>
  <c r="J1999" i="10"/>
  <c r="I1999" i="10"/>
  <c r="J1998" i="10"/>
  <c r="I1998" i="10"/>
  <c r="J1997" i="10"/>
  <c r="I1997" i="10"/>
  <c r="J1996" i="10"/>
  <c r="I1996" i="10"/>
  <c r="J1995" i="10"/>
  <c r="I1995" i="10"/>
  <c r="J1994" i="10"/>
  <c r="I1994" i="10"/>
  <c r="J1993" i="10"/>
  <c r="I1993" i="10"/>
  <c r="J1992" i="10"/>
  <c r="I1992" i="10"/>
  <c r="J1991" i="10"/>
  <c r="I1991" i="10"/>
  <c r="J1990" i="10"/>
  <c r="I1990" i="10"/>
  <c r="J1989" i="10"/>
  <c r="I1989" i="10"/>
  <c r="J1988" i="10"/>
  <c r="I1988" i="10"/>
  <c r="J1987" i="10"/>
  <c r="I1987" i="10"/>
  <c r="J1986" i="10"/>
  <c r="I1986" i="10"/>
  <c r="J1985" i="10"/>
  <c r="I1985" i="10"/>
  <c r="J1984" i="10"/>
  <c r="I1984" i="10"/>
  <c r="J1983" i="10"/>
  <c r="I1983" i="10"/>
  <c r="J1982" i="10"/>
  <c r="I1982" i="10"/>
  <c r="J1981" i="10"/>
  <c r="I1981" i="10"/>
  <c r="J1980" i="10"/>
  <c r="I1980" i="10"/>
  <c r="J1979" i="10"/>
  <c r="I1979" i="10"/>
  <c r="J1978" i="10"/>
  <c r="I1978" i="10"/>
  <c r="J1977" i="10"/>
  <c r="I1977" i="10"/>
  <c r="J1976" i="10"/>
  <c r="I1976" i="10"/>
  <c r="J1975" i="10"/>
  <c r="I1975" i="10"/>
  <c r="J1974" i="10"/>
  <c r="I1974" i="10"/>
  <c r="J1973" i="10"/>
  <c r="I1973" i="10"/>
  <c r="J1972" i="10"/>
  <c r="I1972" i="10"/>
  <c r="J1971" i="10"/>
  <c r="I1971" i="10"/>
  <c r="J1970" i="10"/>
  <c r="I1970" i="10"/>
  <c r="J1969" i="10"/>
  <c r="I1969" i="10"/>
  <c r="J1968" i="10"/>
  <c r="I1968" i="10"/>
  <c r="J1967" i="10"/>
  <c r="I1967" i="10"/>
  <c r="J1966" i="10"/>
  <c r="I1966" i="10"/>
  <c r="J1965" i="10"/>
  <c r="I1965" i="10"/>
  <c r="J1964" i="10"/>
  <c r="I1964" i="10"/>
  <c r="J1963" i="10"/>
  <c r="I1963" i="10"/>
  <c r="J1962" i="10"/>
  <c r="I1962" i="10"/>
  <c r="J1961" i="10"/>
  <c r="I1961" i="10"/>
  <c r="J1960" i="10"/>
  <c r="I1960" i="10"/>
  <c r="J1959" i="10"/>
  <c r="I1959" i="10"/>
  <c r="J1958" i="10"/>
  <c r="I1958" i="10"/>
  <c r="J1957" i="10"/>
  <c r="I1957" i="10"/>
  <c r="J1956" i="10"/>
  <c r="I1956" i="10"/>
  <c r="J1955" i="10"/>
  <c r="I1955" i="10"/>
  <c r="J1954" i="10"/>
  <c r="I1954" i="10"/>
  <c r="J1953" i="10"/>
  <c r="I1953" i="10"/>
  <c r="J1952" i="10"/>
  <c r="I1952" i="10"/>
  <c r="J1951" i="10"/>
  <c r="I1951" i="10"/>
  <c r="J1950" i="10"/>
  <c r="I1950" i="10"/>
  <c r="J1949" i="10"/>
  <c r="I1949" i="10"/>
  <c r="J1948" i="10"/>
  <c r="I1948" i="10"/>
  <c r="J1947" i="10"/>
  <c r="I1947" i="10"/>
  <c r="J1946" i="10"/>
  <c r="I1946" i="10"/>
  <c r="J1945" i="10"/>
  <c r="I1945" i="10"/>
  <c r="J1944" i="10"/>
  <c r="I1944" i="10"/>
  <c r="J1943" i="10"/>
  <c r="I1943" i="10"/>
  <c r="J1942" i="10"/>
  <c r="I1942" i="10"/>
  <c r="J1941" i="10"/>
  <c r="I1941" i="10"/>
  <c r="J1940" i="10"/>
  <c r="I1940" i="10"/>
  <c r="J1939" i="10"/>
  <c r="I1939" i="10"/>
  <c r="J1938" i="10"/>
  <c r="I1938" i="10"/>
  <c r="J1937" i="10"/>
  <c r="I1937" i="10"/>
  <c r="J1936" i="10"/>
  <c r="I1936" i="10"/>
  <c r="J1935" i="10"/>
  <c r="I1935" i="10"/>
  <c r="J1934" i="10"/>
  <c r="I1934" i="10"/>
  <c r="J1933" i="10"/>
  <c r="I1933" i="10"/>
  <c r="J1932" i="10"/>
  <c r="I1932" i="10"/>
  <c r="J1931" i="10"/>
  <c r="I1931" i="10"/>
  <c r="J1930" i="10"/>
  <c r="I1930" i="10"/>
  <c r="J1929" i="10"/>
  <c r="I1929" i="10"/>
  <c r="J1928" i="10"/>
  <c r="I1928" i="10"/>
  <c r="J1927" i="10"/>
  <c r="I1927" i="10"/>
  <c r="J1926" i="10"/>
  <c r="I1926" i="10"/>
  <c r="J1925" i="10"/>
  <c r="I1925" i="10"/>
  <c r="J1924" i="10"/>
  <c r="I1924" i="10"/>
  <c r="J1923" i="10"/>
  <c r="I1923" i="10"/>
  <c r="J1922" i="10"/>
  <c r="I1922" i="10"/>
  <c r="J1921" i="10"/>
  <c r="I1921" i="10"/>
  <c r="J1920" i="10"/>
  <c r="I1920" i="10"/>
  <c r="J1919" i="10"/>
  <c r="I1919" i="10"/>
  <c r="J1918" i="10"/>
  <c r="I1918" i="10"/>
  <c r="J1917" i="10"/>
  <c r="I1917" i="10"/>
  <c r="J1916" i="10"/>
  <c r="I1916" i="10"/>
  <c r="J1915" i="10"/>
  <c r="I1915" i="10"/>
  <c r="J1914" i="10"/>
  <c r="I1914" i="10"/>
  <c r="J1913" i="10"/>
  <c r="I1913" i="10"/>
  <c r="J1912" i="10"/>
  <c r="I1912" i="10"/>
  <c r="J1911" i="10"/>
  <c r="I1911" i="10"/>
  <c r="J1910" i="10"/>
  <c r="I1910" i="10"/>
  <c r="J1909" i="10"/>
  <c r="I1909" i="10"/>
  <c r="J1908" i="10"/>
  <c r="I1908" i="10"/>
  <c r="J1907" i="10"/>
  <c r="I1907" i="10"/>
  <c r="J1906" i="10"/>
  <c r="I1906" i="10"/>
  <c r="J1905" i="10"/>
  <c r="I1905" i="10"/>
  <c r="J1904" i="10"/>
  <c r="I1904" i="10"/>
  <c r="J1903" i="10"/>
  <c r="I1903" i="10"/>
  <c r="J1902" i="10"/>
  <c r="I1902" i="10"/>
  <c r="J1901" i="10"/>
  <c r="I1901" i="10"/>
  <c r="J1900" i="10"/>
  <c r="I1900" i="10"/>
  <c r="J1899" i="10"/>
  <c r="I1899" i="10"/>
  <c r="J1898" i="10"/>
  <c r="I1898" i="10"/>
  <c r="J1897" i="10"/>
  <c r="I1897" i="10"/>
  <c r="J1896" i="10"/>
  <c r="I1896" i="10"/>
  <c r="J1895" i="10"/>
  <c r="I1895" i="10"/>
  <c r="J1894" i="10"/>
  <c r="I1894" i="10"/>
  <c r="J1893" i="10"/>
  <c r="I1893" i="10"/>
  <c r="J1892" i="10"/>
  <c r="I1892" i="10"/>
  <c r="J1891" i="10"/>
  <c r="I1891" i="10"/>
  <c r="J1890" i="10"/>
  <c r="I1890" i="10"/>
  <c r="J1889" i="10"/>
  <c r="I1889" i="10"/>
  <c r="J1888" i="10"/>
  <c r="I1888" i="10"/>
  <c r="J1887" i="10"/>
  <c r="I1887" i="10"/>
  <c r="J1886" i="10"/>
  <c r="I1886" i="10"/>
  <c r="J1885" i="10"/>
  <c r="I1885" i="10"/>
  <c r="J1884" i="10"/>
  <c r="I1884" i="10"/>
  <c r="J1883" i="10"/>
  <c r="I1883" i="10"/>
  <c r="J1882" i="10"/>
  <c r="I1882" i="10"/>
  <c r="J1881" i="10"/>
  <c r="I1881" i="10"/>
  <c r="J1880" i="10"/>
  <c r="I1880" i="10"/>
  <c r="J1879" i="10"/>
  <c r="I1879" i="10"/>
  <c r="J1878" i="10"/>
  <c r="I1878" i="10"/>
  <c r="J1877" i="10"/>
  <c r="I1877" i="10"/>
  <c r="J1876" i="10"/>
  <c r="I1876" i="10"/>
  <c r="J1875" i="10"/>
  <c r="I1875" i="10"/>
  <c r="J1874" i="10"/>
  <c r="I1874" i="10"/>
  <c r="J1873" i="10"/>
  <c r="I1873" i="10"/>
  <c r="J1872" i="10"/>
  <c r="I1872" i="10"/>
  <c r="J1871" i="10"/>
  <c r="I1871" i="10"/>
  <c r="J1870" i="10"/>
  <c r="I1870" i="10"/>
  <c r="J1869" i="10"/>
  <c r="I1869" i="10"/>
  <c r="J1868" i="10"/>
  <c r="I1868" i="10"/>
  <c r="J1867" i="10"/>
  <c r="I1867" i="10"/>
  <c r="J1866" i="10"/>
  <c r="I1866" i="10"/>
  <c r="J1865" i="10"/>
  <c r="I1865" i="10"/>
  <c r="J1864" i="10"/>
  <c r="I1864" i="10"/>
  <c r="J1863" i="10"/>
  <c r="I1863" i="10"/>
  <c r="J1862" i="10"/>
  <c r="I1862" i="10"/>
  <c r="J1861" i="10"/>
  <c r="I1861" i="10"/>
  <c r="J1860" i="10"/>
  <c r="I1860" i="10"/>
  <c r="J1859" i="10"/>
  <c r="I1859" i="10"/>
  <c r="J1858" i="10"/>
  <c r="I1858" i="10"/>
  <c r="J1857" i="10"/>
  <c r="I1857" i="10"/>
  <c r="J1856" i="10"/>
  <c r="I1856" i="10"/>
  <c r="J1855" i="10"/>
  <c r="I1855" i="10"/>
  <c r="J1854" i="10"/>
  <c r="I1854" i="10"/>
  <c r="J1853" i="10"/>
  <c r="I1853" i="10"/>
  <c r="J1852" i="10"/>
  <c r="I1852" i="10"/>
  <c r="J1851" i="10"/>
  <c r="I1851" i="10"/>
  <c r="J1850" i="10"/>
  <c r="I1850" i="10"/>
  <c r="J1849" i="10"/>
  <c r="I1849" i="10"/>
  <c r="J1848" i="10"/>
  <c r="I1848" i="10"/>
  <c r="J1847" i="10"/>
  <c r="I1847" i="10"/>
  <c r="J1846" i="10"/>
  <c r="I1846" i="10"/>
  <c r="J1845" i="10"/>
  <c r="I1845" i="10"/>
  <c r="J1844" i="10"/>
  <c r="I1844" i="10"/>
  <c r="J1843" i="10"/>
  <c r="I1843" i="10"/>
  <c r="J1842" i="10"/>
  <c r="I1842" i="10"/>
  <c r="J1841" i="10"/>
  <c r="I1841" i="10"/>
  <c r="J1840" i="10"/>
  <c r="I1840" i="10"/>
  <c r="J1839" i="10"/>
  <c r="I1839" i="10"/>
  <c r="J1838" i="10"/>
  <c r="I1838" i="10"/>
  <c r="J1837" i="10"/>
  <c r="I1837" i="10"/>
  <c r="J1836" i="10"/>
  <c r="I1836" i="10"/>
  <c r="J1835" i="10"/>
  <c r="I1835" i="10"/>
  <c r="J1834" i="10"/>
  <c r="I1834" i="10"/>
  <c r="J1833" i="10"/>
  <c r="I1833" i="10"/>
  <c r="J1832" i="10"/>
  <c r="I1832" i="10"/>
  <c r="J1831" i="10"/>
  <c r="I1831" i="10"/>
  <c r="J1830" i="10"/>
  <c r="I1830" i="10"/>
  <c r="J1829" i="10"/>
  <c r="I1829" i="10"/>
  <c r="J1828" i="10"/>
  <c r="I1828" i="10"/>
  <c r="J1827" i="10"/>
  <c r="I1827" i="10"/>
  <c r="J1826" i="10"/>
  <c r="I1826" i="10"/>
  <c r="J1825" i="10"/>
  <c r="I1825" i="10"/>
  <c r="J1824" i="10"/>
  <c r="I1824" i="10"/>
  <c r="J1823" i="10"/>
  <c r="I1823" i="10"/>
  <c r="J1822" i="10"/>
  <c r="I1822" i="10"/>
  <c r="J1821" i="10"/>
  <c r="I1821" i="10"/>
  <c r="J1820" i="10"/>
  <c r="I1820" i="10"/>
  <c r="J1819" i="10"/>
  <c r="I1819" i="10"/>
  <c r="J1818" i="10"/>
  <c r="I1818" i="10"/>
  <c r="J1817" i="10"/>
  <c r="I1817" i="10"/>
  <c r="J1816" i="10"/>
  <c r="I1816" i="10"/>
  <c r="J1815" i="10"/>
  <c r="I1815" i="10"/>
  <c r="J1814" i="10"/>
  <c r="I1814" i="10"/>
  <c r="J1813" i="10"/>
  <c r="I1813" i="10"/>
  <c r="J1812" i="10"/>
  <c r="I1812" i="10"/>
  <c r="J1811" i="10"/>
  <c r="I1811" i="10"/>
  <c r="J1810" i="10"/>
  <c r="I1810" i="10"/>
  <c r="J1809" i="10"/>
  <c r="I1809" i="10"/>
  <c r="J1808" i="10"/>
  <c r="I1808" i="10"/>
  <c r="J1807" i="10"/>
  <c r="I1807" i="10"/>
  <c r="J1806" i="10"/>
  <c r="I1806" i="10"/>
  <c r="J1805" i="10"/>
  <c r="I1805" i="10"/>
  <c r="J1804" i="10"/>
  <c r="I1804" i="10"/>
  <c r="J1803" i="10"/>
  <c r="I1803" i="10"/>
  <c r="J1802" i="10"/>
  <c r="I1802" i="10"/>
  <c r="J1801" i="10"/>
  <c r="I1801" i="10"/>
  <c r="J1800" i="10"/>
  <c r="I1800" i="10"/>
  <c r="J1799" i="10"/>
  <c r="I1799" i="10"/>
  <c r="J1798" i="10"/>
  <c r="I1798" i="10"/>
  <c r="J1797" i="10"/>
  <c r="I1797" i="10"/>
  <c r="J1796" i="10"/>
  <c r="I1796" i="10"/>
  <c r="J1795" i="10"/>
  <c r="I1795" i="10"/>
  <c r="J1794" i="10"/>
  <c r="I1794" i="10"/>
  <c r="J1793" i="10"/>
  <c r="I1793" i="10"/>
  <c r="J1792" i="10"/>
  <c r="I1792" i="10"/>
  <c r="J1791" i="10"/>
  <c r="I1791" i="10"/>
  <c r="J1790" i="10"/>
  <c r="I1790" i="10"/>
  <c r="J1789" i="10"/>
  <c r="I1789" i="10"/>
  <c r="J1788" i="10"/>
  <c r="I1788" i="10"/>
  <c r="J1787" i="10"/>
  <c r="I1787" i="10"/>
  <c r="J1786" i="10"/>
  <c r="I1786" i="10"/>
  <c r="J1785" i="10"/>
  <c r="I1785" i="10"/>
  <c r="J1784" i="10"/>
  <c r="I1784" i="10"/>
  <c r="J1783" i="10"/>
  <c r="I1783" i="10"/>
  <c r="J1782" i="10"/>
  <c r="I1782" i="10"/>
  <c r="J1781" i="10"/>
  <c r="I1781" i="10"/>
  <c r="J1780" i="10"/>
  <c r="I1780" i="10"/>
  <c r="J1779" i="10"/>
  <c r="I1779" i="10"/>
  <c r="J1778" i="10"/>
  <c r="I1778" i="10"/>
  <c r="J1777" i="10"/>
  <c r="I1777" i="10"/>
  <c r="J1776" i="10"/>
  <c r="I1776" i="10"/>
  <c r="J1775" i="10"/>
  <c r="I1775" i="10"/>
  <c r="J1774" i="10"/>
  <c r="I1774" i="10"/>
  <c r="J1773" i="10"/>
  <c r="I1773" i="10"/>
  <c r="J1772" i="10"/>
  <c r="I1772" i="10"/>
  <c r="J1771" i="10"/>
  <c r="I1771" i="10"/>
  <c r="J1770" i="10"/>
  <c r="I1770" i="10"/>
  <c r="J1769" i="10"/>
  <c r="I1769" i="10"/>
  <c r="J1768" i="10"/>
  <c r="I1768" i="10"/>
  <c r="J1767" i="10"/>
  <c r="I1767" i="10"/>
  <c r="J1766" i="10"/>
  <c r="I1766" i="10"/>
  <c r="J1765" i="10"/>
  <c r="I1765" i="10"/>
  <c r="J1764" i="10"/>
  <c r="I1764" i="10"/>
  <c r="J1763" i="10"/>
  <c r="I1763" i="10"/>
  <c r="J1762" i="10"/>
  <c r="I1762" i="10"/>
  <c r="J1761" i="10"/>
  <c r="I1761" i="10"/>
  <c r="J1760" i="10"/>
  <c r="I1760" i="10"/>
  <c r="J1759" i="10"/>
  <c r="I1759" i="10"/>
  <c r="J1758" i="10"/>
  <c r="I1758" i="10"/>
  <c r="J1757" i="10"/>
  <c r="I1757" i="10"/>
  <c r="J1756" i="10"/>
  <c r="I1756" i="10"/>
  <c r="J1755" i="10"/>
  <c r="I1755" i="10"/>
  <c r="J1754" i="10"/>
  <c r="I1754" i="10"/>
  <c r="J1753" i="10"/>
  <c r="I1753" i="10"/>
  <c r="J1752" i="10"/>
  <c r="I1752" i="10"/>
  <c r="J1751" i="10"/>
  <c r="I1751" i="10"/>
  <c r="J1750" i="10"/>
  <c r="I1750" i="10"/>
  <c r="J1749" i="10"/>
  <c r="I1749" i="10"/>
  <c r="J1748" i="10"/>
  <c r="I1748" i="10"/>
  <c r="J1747" i="10"/>
  <c r="I1747" i="10"/>
  <c r="J1746" i="10"/>
  <c r="I1746" i="10"/>
  <c r="J1745" i="10"/>
  <c r="I1745" i="10"/>
  <c r="J1744" i="10"/>
  <c r="I1744" i="10"/>
  <c r="J1743" i="10"/>
  <c r="I1743" i="10"/>
  <c r="J1742" i="10"/>
  <c r="I1742" i="10"/>
  <c r="J1741" i="10"/>
  <c r="I1741" i="10"/>
  <c r="J1740" i="10"/>
  <c r="I1740" i="10"/>
  <c r="J1739" i="10"/>
  <c r="I1739" i="10"/>
  <c r="J1738" i="10"/>
  <c r="I1738" i="10"/>
  <c r="J1737" i="10"/>
  <c r="I1737" i="10"/>
  <c r="J1736" i="10"/>
  <c r="I1736" i="10"/>
  <c r="J1735" i="10"/>
  <c r="I1735" i="10"/>
  <c r="J1734" i="10"/>
  <c r="I1734" i="10"/>
  <c r="J1733" i="10"/>
  <c r="I1733" i="10"/>
  <c r="J1732" i="10"/>
  <c r="I1732" i="10"/>
  <c r="J1731" i="10"/>
  <c r="I1731" i="10"/>
  <c r="J1730" i="10"/>
  <c r="I1730" i="10"/>
  <c r="J1729" i="10"/>
  <c r="I1729" i="10"/>
  <c r="J1728" i="10"/>
  <c r="I1728" i="10"/>
  <c r="J1727" i="10"/>
  <c r="I1727" i="10"/>
  <c r="J1726" i="10"/>
  <c r="I1726" i="10"/>
  <c r="J1725" i="10"/>
  <c r="I1725" i="10"/>
  <c r="J1724" i="10"/>
  <c r="I1724" i="10"/>
  <c r="J1723" i="10"/>
  <c r="I1723" i="10"/>
  <c r="J1722" i="10"/>
  <c r="I1722" i="10"/>
  <c r="J1721" i="10"/>
  <c r="I1721" i="10"/>
  <c r="J1720" i="10"/>
  <c r="I1720" i="10"/>
  <c r="J1719" i="10"/>
  <c r="I1719" i="10"/>
  <c r="J1718" i="10"/>
  <c r="I1718" i="10"/>
  <c r="J1717" i="10"/>
  <c r="I1717" i="10"/>
  <c r="J1716" i="10"/>
  <c r="I1716" i="10"/>
  <c r="J1715" i="10"/>
  <c r="I1715" i="10"/>
  <c r="J1714" i="10"/>
  <c r="I1714" i="10"/>
  <c r="J1713" i="10"/>
  <c r="I1713" i="10"/>
  <c r="J1712" i="10"/>
  <c r="I1712" i="10"/>
  <c r="J1711" i="10"/>
  <c r="I1711" i="10"/>
  <c r="J1710" i="10"/>
  <c r="I1710" i="10"/>
  <c r="J1709" i="10"/>
  <c r="I1709" i="10"/>
  <c r="J1708" i="10"/>
  <c r="I1708" i="10"/>
  <c r="J1707" i="10"/>
  <c r="I1707" i="10"/>
  <c r="J1706" i="10"/>
  <c r="I1706" i="10"/>
  <c r="J1705" i="10"/>
  <c r="I1705" i="10"/>
  <c r="J1704" i="10"/>
  <c r="I1704" i="10"/>
  <c r="J1703" i="10"/>
  <c r="I1703" i="10"/>
  <c r="J1702" i="10"/>
  <c r="I1702" i="10"/>
  <c r="J1701" i="10"/>
  <c r="I1701" i="10"/>
  <c r="J1700" i="10"/>
  <c r="I1700" i="10"/>
  <c r="J1699" i="10"/>
  <c r="I1699" i="10"/>
  <c r="J1698" i="10"/>
  <c r="I1698" i="10"/>
  <c r="J1697" i="10"/>
  <c r="I1697" i="10"/>
  <c r="J1696" i="10"/>
  <c r="I1696" i="10"/>
  <c r="J1695" i="10"/>
  <c r="I1695" i="10"/>
  <c r="J1694" i="10"/>
  <c r="I1694" i="10"/>
  <c r="J1693" i="10"/>
  <c r="I1693" i="10"/>
  <c r="J1692" i="10"/>
  <c r="I1692" i="10"/>
  <c r="J1691" i="10"/>
  <c r="I1691" i="10"/>
  <c r="J1690" i="10"/>
  <c r="I1690" i="10"/>
  <c r="J1689" i="10"/>
  <c r="I1689" i="10"/>
  <c r="J1688" i="10"/>
  <c r="I1688" i="10"/>
  <c r="J1687" i="10"/>
  <c r="I1687" i="10"/>
  <c r="J1686" i="10"/>
  <c r="I1686" i="10"/>
  <c r="J1685" i="10"/>
  <c r="I1685" i="10"/>
  <c r="J1684" i="10"/>
  <c r="I1684" i="10"/>
  <c r="J1683" i="10"/>
  <c r="I1683" i="10"/>
  <c r="J1682" i="10"/>
  <c r="I1682" i="10"/>
  <c r="J1681" i="10"/>
  <c r="I1681" i="10"/>
  <c r="J1680" i="10"/>
  <c r="I1680" i="10"/>
  <c r="J1679" i="10"/>
  <c r="I1679" i="10"/>
  <c r="J1678" i="10"/>
  <c r="I1678" i="10"/>
  <c r="J1677" i="10"/>
  <c r="I1677" i="10"/>
  <c r="J1676" i="10"/>
  <c r="I1676" i="10"/>
  <c r="J1675" i="10"/>
  <c r="I1675" i="10"/>
  <c r="J1674" i="10"/>
  <c r="I1674" i="10"/>
  <c r="J1673" i="10"/>
  <c r="I1673" i="10"/>
  <c r="J1672" i="10"/>
  <c r="I1672" i="10"/>
  <c r="J1671" i="10"/>
  <c r="I1671" i="10"/>
  <c r="J1670" i="10"/>
  <c r="I1670" i="10"/>
  <c r="J1669" i="10"/>
  <c r="I1669" i="10"/>
  <c r="J1668" i="10"/>
  <c r="I1668" i="10"/>
  <c r="J1667" i="10"/>
  <c r="I1667" i="10"/>
  <c r="J1666" i="10"/>
  <c r="I1666" i="10"/>
  <c r="J1665" i="10"/>
  <c r="I1665" i="10"/>
  <c r="J1664" i="10"/>
  <c r="I1664" i="10"/>
  <c r="J1663" i="10"/>
  <c r="I1663" i="10"/>
  <c r="J1662" i="10"/>
  <c r="I1662" i="10"/>
  <c r="J1661" i="10"/>
  <c r="I1661" i="10"/>
  <c r="J1660" i="10"/>
  <c r="I1660" i="10"/>
  <c r="J1659" i="10"/>
  <c r="I1659" i="10"/>
  <c r="J1658" i="10"/>
  <c r="I1658" i="10"/>
  <c r="J1657" i="10"/>
  <c r="I1657" i="10"/>
  <c r="J1656" i="10"/>
  <c r="I1656" i="10"/>
  <c r="J1655" i="10"/>
  <c r="I1655" i="10"/>
  <c r="J1654" i="10"/>
  <c r="I1654" i="10"/>
  <c r="J1653" i="10"/>
  <c r="I1653" i="10"/>
  <c r="J1652" i="10"/>
  <c r="I1652" i="10"/>
  <c r="J1651" i="10"/>
  <c r="I1651" i="10"/>
  <c r="J1650" i="10"/>
  <c r="I1650" i="10"/>
  <c r="J1649" i="10"/>
  <c r="I1649" i="10"/>
  <c r="J1648" i="10"/>
  <c r="I1648" i="10"/>
  <c r="J1647" i="10"/>
  <c r="I1647" i="10"/>
  <c r="J1646" i="10"/>
  <c r="I1646" i="10"/>
  <c r="J1645" i="10"/>
  <c r="I1645" i="10"/>
  <c r="J1644" i="10"/>
  <c r="I1644" i="10"/>
  <c r="J1643" i="10"/>
  <c r="I1643" i="10"/>
  <c r="J1642" i="10"/>
  <c r="I1642" i="10"/>
  <c r="J1641" i="10"/>
  <c r="I1641" i="10"/>
  <c r="J1640" i="10"/>
  <c r="I1640" i="10"/>
  <c r="J1639" i="10"/>
  <c r="I1639" i="10"/>
  <c r="J1638" i="10"/>
  <c r="I1638" i="10"/>
  <c r="J1637" i="10"/>
  <c r="I1637" i="10"/>
  <c r="J1636" i="10"/>
  <c r="I1636" i="10"/>
  <c r="J1635" i="10"/>
  <c r="I1635" i="10"/>
  <c r="J1634" i="10"/>
  <c r="I1634" i="10"/>
  <c r="J1633" i="10"/>
  <c r="I1633" i="10"/>
  <c r="J1632" i="10"/>
  <c r="I1632" i="10"/>
  <c r="J1631" i="10"/>
  <c r="I1631" i="10"/>
  <c r="J1630" i="10"/>
  <c r="I1630" i="10"/>
  <c r="J1629" i="10"/>
  <c r="I1629" i="10"/>
  <c r="J1628" i="10"/>
  <c r="I1628" i="10"/>
  <c r="J1627" i="10"/>
  <c r="I1627" i="10"/>
  <c r="J1626" i="10"/>
  <c r="I1626" i="10"/>
  <c r="J1625" i="10"/>
  <c r="I1625" i="10"/>
  <c r="J1624" i="10"/>
  <c r="I1624" i="10"/>
  <c r="J1623" i="10"/>
  <c r="I1623" i="10"/>
  <c r="J1622" i="10"/>
  <c r="I1622" i="10"/>
  <c r="J1621" i="10"/>
  <c r="I1621" i="10"/>
  <c r="J1620" i="10"/>
  <c r="I1620" i="10"/>
  <c r="J1619" i="10"/>
  <c r="I1619" i="10"/>
  <c r="J1618" i="10"/>
  <c r="I1618" i="10"/>
  <c r="J1617" i="10"/>
  <c r="I1617" i="10"/>
  <c r="J1616" i="10"/>
  <c r="I1616" i="10"/>
  <c r="J1615" i="10"/>
  <c r="I1615" i="10"/>
  <c r="J1614" i="10"/>
  <c r="I1614" i="10"/>
  <c r="J1613" i="10"/>
  <c r="I1613" i="10"/>
  <c r="J1612" i="10"/>
  <c r="I1612" i="10"/>
  <c r="J1611" i="10"/>
  <c r="I1611" i="10"/>
  <c r="J1610" i="10"/>
  <c r="I1610" i="10"/>
  <c r="J1609" i="10"/>
  <c r="I1609" i="10"/>
  <c r="J1608" i="10"/>
  <c r="I1608" i="10"/>
  <c r="J1607" i="10"/>
  <c r="I1607" i="10"/>
  <c r="J1606" i="10"/>
  <c r="I1606" i="10"/>
  <c r="J1605" i="10"/>
  <c r="I1605" i="10"/>
  <c r="J1604" i="10"/>
  <c r="I1604" i="10"/>
  <c r="J1603" i="10"/>
  <c r="I1603" i="10"/>
  <c r="J1602" i="10"/>
  <c r="I1602" i="10"/>
  <c r="J1601" i="10"/>
  <c r="I1601" i="10"/>
  <c r="J1600" i="10"/>
  <c r="I1600" i="10"/>
  <c r="J1599" i="10"/>
  <c r="I1599" i="10"/>
  <c r="J1598" i="10"/>
  <c r="I1598" i="10"/>
  <c r="J1597" i="10"/>
  <c r="I1597" i="10"/>
  <c r="J1596" i="10"/>
  <c r="I1596" i="10"/>
  <c r="J1595" i="10"/>
  <c r="I1595" i="10"/>
  <c r="J1594" i="10"/>
  <c r="I1594" i="10"/>
  <c r="J1593" i="10"/>
  <c r="I1593" i="10"/>
  <c r="J1592" i="10"/>
  <c r="I1592" i="10"/>
  <c r="J1591" i="10"/>
  <c r="I1591" i="10"/>
  <c r="J1590" i="10"/>
  <c r="I1590" i="10"/>
  <c r="J1589" i="10"/>
  <c r="I1589" i="10"/>
  <c r="J1588" i="10"/>
  <c r="I1588" i="10"/>
  <c r="J1587" i="10"/>
  <c r="I1587" i="10"/>
  <c r="J1586" i="10"/>
  <c r="I1586" i="10"/>
  <c r="J1585" i="10"/>
  <c r="I1585" i="10"/>
  <c r="J1584" i="10"/>
  <c r="I1584" i="10"/>
  <c r="J1583" i="10"/>
  <c r="I1583" i="10"/>
  <c r="J1582" i="10"/>
  <c r="I1582" i="10"/>
  <c r="J1581" i="10"/>
  <c r="I1581" i="10"/>
  <c r="J1580" i="10"/>
  <c r="I1580" i="10"/>
  <c r="J1579" i="10"/>
  <c r="I1579" i="10"/>
  <c r="J1578" i="10"/>
  <c r="I1578" i="10"/>
  <c r="J1577" i="10"/>
  <c r="I1577" i="10"/>
  <c r="J1576" i="10"/>
  <c r="I1576" i="10"/>
  <c r="J1575" i="10"/>
  <c r="I1575" i="10"/>
  <c r="J1574" i="10"/>
  <c r="I1574" i="10"/>
  <c r="J1573" i="10"/>
  <c r="I1573" i="10"/>
  <c r="J1572" i="10"/>
  <c r="I1572" i="10"/>
  <c r="J1571" i="10"/>
  <c r="I1571" i="10"/>
  <c r="J1570" i="10"/>
  <c r="I1570" i="10"/>
  <c r="J1569" i="10"/>
  <c r="I1569" i="10"/>
  <c r="J1568" i="10"/>
  <c r="I1568" i="10"/>
  <c r="J1567" i="10"/>
  <c r="I1567" i="10"/>
  <c r="J1566" i="10"/>
  <c r="I1566" i="10"/>
  <c r="J1565" i="10"/>
  <c r="I1565" i="10"/>
  <c r="J1564" i="10"/>
  <c r="I1564" i="10"/>
  <c r="J1563" i="10"/>
  <c r="I1563" i="10"/>
  <c r="J1562" i="10"/>
  <c r="I1562" i="10"/>
  <c r="J1561" i="10"/>
  <c r="I1561" i="10"/>
  <c r="J1560" i="10"/>
  <c r="I1560" i="10"/>
  <c r="J1559" i="10"/>
  <c r="I1559" i="10"/>
  <c r="J1558" i="10"/>
  <c r="I1558" i="10"/>
  <c r="J1557" i="10"/>
  <c r="I1557" i="10"/>
  <c r="J1556" i="10"/>
  <c r="I1556" i="10"/>
  <c r="J1555" i="10"/>
  <c r="I1555" i="10"/>
  <c r="J1554" i="10"/>
  <c r="I1554" i="10"/>
  <c r="J1553" i="10"/>
  <c r="I1553" i="10"/>
  <c r="J1552" i="10"/>
  <c r="I1552" i="10"/>
  <c r="J1551" i="10"/>
  <c r="I1551" i="10"/>
  <c r="J1550" i="10"/>
  <c r="I1550" i="10"/>
  <c r="J1549" i="10"/>
  <c r="I1549" i="10"/>
  <c r="J1548" i="10"/>
  <c r="I1548" i="10"/>
  <c r="J1547" i="10"/>
  <c r="I1547" i="10"/>
  <c r="J1546" i="10"/>
  <c r="I1546" i="10"/>
  <c r="J1545" i="10"/>
  <c r="I1545" i="10"/>
  <c r="J1544" i="10"/>
  <c r="I1544" i="10"/>
  <c r="J1543" i="10"/>
  <c r="I1543" i="10"/>
  <c r="J1542" i="10"/>
  <c r="I1542" i="10"/>
  <c r="J1541" i="10"/>
  <c r="I1541" i="10"/>
  <c r="J1540" i="10"/>
  <c r="I1540" i="10"/>
  <c r="J1539" i="10"/>
  <c r="I1539" i="10"/>
  <c r="J1538" i="10"/>
  <c r="I1538" i="10"/>
  <c r="J1537" i="10"/>
  <c r="I1537" i="10"/>
  <c r="J1536" i="10"/>
  <c r="I1536" i="10"/>
  <c r="J1535" i="10"/>
  <c r="I1535" i="10"/>
  <c r="J1534" i="10"/>
  <c r="I1534" i="10"/>
  <c r="J1533" i="10"/>
  <c r="I1533" i="10"/>
  <c r="J1532" i="10"/>
  <c r="I1532" i="10"/>
  <c r="J1531" i="10"/>
  <c r="I1531" i="10"/>
  <c r="J1530" i="10"/>
  <c r="I1530" i="10"/>
  <c r="J1529" i="10"/>
  <c r="I1529" i="10"/>
  <c r="J1528" i="10"/>
  <c r="I1528" i="10"/>
  <c r="J1527" i="10"/>
  <c r="I1527" i="10"/>
  <c r="J1526" i="10"/>
  <c r="I1526" i="10"/>
  <c r="J1525" i="10"/>
  <c r="I1525" i="10"/>
  <c r="J1524" i="10"/>
  <c r="I1524" i="10"/>
  <c r="J1523" i="10"/>
  <c r="I1523" i="10"/>
  <c r="J1522" i="10"/>
  <c r="I1522" i="10"/>
  <c r="J1521" i="10"/>
  <c r="I1521" i="10"/>
  <c r="J1520" i="10"/>
  <c r="I1520" i="10"/>
  <c r="J1519" i="10"/>
  <c r="I1519" i="10"/>
  <c r="J1518" i="10"/>
  <c r="I1518" i="10"/>
  <c r="J1517" i="10"/>
  <c r="I1517" i="10"/>
  <c r="J1516" i="10"/>
  <c r="I1516" i="10"/>
  <c r="J1515" i="10"/>
  <c r="I1515" i="10"/>
  <c r="J1514" i="10"/>
  <c r="I1514" i="10"/>
  <c r="J1513" i="10"/>
  <c r="I1513" i="10"/>
  <c r="J1512" i="10"/>
  <c r="I1512" i="10"/>
  <c r="J1511" i="10"/>
  <c r="I1511" i="10"/>
  <c r="J1510" i="10"/>
  <c r="I1510" i="10"/>
  <c r="J1509" i="10"/>
  <c r="I1509" i="10"/>
  <c r="J1508" i="10"/>
  <c r="I1508" i="10"/>
  <c r="J1507" i="10"/>
  <c r="I1507" i="10"/>
  <c r="J1506" i="10"/>
  <c r="I1506" i="10"/>
  <c r="J1505" i="10"/>
  <c r="I1505" i="10"/>
  <c r="J1504" i="10"/>
  <c r="I1504" i="10"/>
  <c r="J1503" i="10"/>
  <c r="I1503" i="10"/>
  <c r="J1502" i="10"/>
  <c r="I1502" i="10"/>
  <c r="J1501" i="10"/>
  <c r="I1501" i="10"/>
  <c r="J1500" i="10"/>
  <c r="I1500" i="10"/>
  <c r="J1499" i="10"/>
  <c r="I1499" i="10"/>
  <c r="J1498" i="10"/>
  <c r="I1498" i="10"/>
  <c r="J1497" i="10"/>
  <c r="I1497" i="10"/>
  <c r="J1496" i="10"/>
  <c r="I1496" i="10"/>
  <c r="J1495" i="10"/>
  <c r="I1495" i="10"/>
  <c r="J1494" i="10"/>
  <c r="I1494" i="10"/>
  <c r="J1493" i="10"/>
  <c r="I1493" i="10"/>
  <c r="J1492" i="10"/>
  <c r="I1492" i="10"/>
  <c r="J1491" i="10"/>
  <c r="I1491" i="10"/>
  <c r="J1490" i="10"/>
  <c r="I1490" i="10"/>
  <c r="J1489" i="10"/>
  <c r="I1489" i="10"/>
  <c r="J1488" i="10"/>
  <c r="I1488" i="10"/>
  <c r="J1487" i="10"/>
  <c r="I1487" i="10"/>
  <c r="J1486" i="10"/>
  <c r="I1486" i="10"/>
  <c r="J1485" i="10"/>
  <c r="I1485" i="10"/>
  <c r="J1484" i="10"/>
  <c r="I1484" i="10"/>
  <c r="J1483" i="10"/>
  <c r="I1483" i="10"/>
  <c r="J1482" i="10"/>
  <c r="I1482" i="10"/>
  <c r="J1481" i="10"/>
  <c r="I1481" i="10"/>
  <c r="J1480" i="10"/>
  <c r="I1480" i="10"/>
  <c r="J1479" i="10"/>
  <c r="I1479" i="10"/>
  <c r="J1478" i="10"/>
  <c r="I1478" i="10"/>
  <c r="J1477" i="10"/>
  <c r="I1477" i="10"/>
  <c r="J1476" i="10"/>
  <c r="I1476" i="10"/>
  <c r="J1475" i="10"/>
  <c r="I1475" i="10"/>
  <c r="J1474" i="10"/>
  <c r="I1474" i="10"/>
  <c r="J1473" i="10"/>
  <c r="I1473" i="10"/>
  <c r="J1472" i="10"/>
  <c r="I1472" i="10"/>
  <c r="J1471" i="10"/>
  <c r="I1471" i="10"/>
  <c r="J1470" i="10"/>
  <c r="I1470" i="10"/>
  <c r="J1469" i="10"/>
  <c r="I1469" i="10"/>
  <c r="J1468" i="10"/>
  <c r="I1468" i="10"/>
  <c r="J1467" i="10"/>
  <c r="I1467" i="10"/>
  <c r="J1466" i="10"/>
  <c r="I1466" i="10"/>
  <c r="J1465" i="10"/>
  <c r="I1465" i="10"/>
  <c r="J1464" i="10"/>
  <c r="I1464" i="10"/>
  <c r="J1463" i="10"/>
  <c r="I1463" i="10"/>
  <c r="J1462" i="10"/>
  <c r="I1462" i="10"/>
  <c r="J1461" i="10"/>
  <c r="I1461" i="10"/>
  <c r="J1460" i="10"/>
  <c r="I1460" i="10"/>
  <c r="J1459" i="10"/>
  <c r="I1459" i="10"/>
  <c r="J1458" i="10"/>
  <c r="I1458" i="10"/>
  <c r="J1457" i="10"/>
  <c r="I1457" i="10"/>
  <c r="J1456" i="10"/>
  <c r="I1456" i="10"/>
  <c r="J1455" i="10"/>
  <c r="I1455" i="10"/>
  <c r="J1454" i="10"/>
  <c r="I1454" i="10"/>
  <c r="J1453" i="10"/>
  <c r="I1453" i="10"/>
  <c r="J1452" i="10"/>
  <c r="I1452" i="10"/>
  <c r="J1451" i="10"/>
  <c r="I1451" i="10"/>
  <c r="J1450" i="10"/>
  <c r="I1450" i="10"/>
  <c r="J1449" i="10"/>
  <c r="I1449" i="10"/>
  <c r="J1448" i="10"/>
  <c r="I1448" i="10"/>
  <c r="J1447" i="10"/>
  <c r="I1447" i="10"/>
  <c r="J1446" i="10"/>
  <c r="I1446" i="10"/>
  <c r="J1445" i="10"/>
  <c r="I1445" i="10"/>
  <c r="J1444" i="10"/>
  <c r="I1444" i="10"/>
  <c r="J1443" i="10"/>
  <c r="I1443" i="10"/>
  <c r="J1442" i="10"/>
  <c r="I1442" i="10"/>
  <c r="J1441" i="10"/>
  <c r="I1441" i="10"/>
  <c r="J1440" i="10"/>
  <c r="I1440" i="10"/>
  <c r="J1439" i="10"/>
  <c r="I1439" i="10"/>
  <c r="J1438" i="10"/>
  <c r="I1438" i="10"/>
  <c r="J1437" i="10"/>
  <c r="I1437" i="10"/>
  <c r="J1436" i="10"/>
  <c r="I1436" i="10"/>
  <c r="J1435" i="10"/>
  <c r="I1435" i="10"/>
  <c r="J1434" i="10"/>
  <c r="I1434" i="10"/>
  <c r="J1433" i="10"/>
  <c r="I1433" i="10"/>
  <c r="J1432" i="10"/>
  <c r="I1432" i="10"/>
  <c r="J1431" i="10"/>
  <c r="I1431" i="10"/>
  <c r="J1430" i="10"/>
  <c r="I1430" i="10"/>
  <c r="J1429" i="10"/>
  <c r="I1429" i="10"/>
  <c r="J1428" i="10"/>
  <c r="I1428" i="10"/>
  <c r="J1427" i="10"/>
  <c r="I1427" i="10"/>
  <c r="J1426" i="10"/>
  <c r="I1426" i="10"/>
  <c r="J1425" i="10"/>
  <c r="I1425" i="10"/>
  <c r="J1424" i="10"/>
  <c r="I1424" i="10"/>
  <c r="J1423" i="10"/>
  <c r="I1423" i="10"/>
  <c r="J1422" i="10"/>
  <c r="I1422" i="10"/>
  <c r="J1421" i="10"/>
  <c r="I1421" i="10"/>
  <c r="J1420" i="10"/>
  <c r="I1420" i="10"/>
  <c r="J1419" i="10"/>
  <c r="I1419" i="10"/>
  <c r="J1418" i="10"/>
  <c r="I1418" i="10"/>
  <c r="J1417" i="10"/>
  <c r="I1417" i="10"/>
  <c r="J1416" i="10"/>
  <c r="I1416" i="10"/>
  <c r="J1415" i="10"/>
  <c r="I1415" i="10"/>
  <c r="J1414" i="10"/>
  <c r="I1414" i="10"/>
  <c r="J1413" i="10"/>
  <c r="I1413" i="10"/>
  <c r="J1412" i="10"/>
  <c r="I1412" i="10"/>
  <c r="J1411" i="10"/>
  <c r="I1411" i="10"/>
  <c r="J1410" i="10"/>
  <c r="I1410" i="10"/>
  <c r="J1409" i="10"/>
  <c r="I1409" i="10"/>
  <c r="J1408" i="10"/>
  <c r="I1408" i="10"/>
  <c r="J1407" i="10"/>
  <c r="I1407" i="10"/>
  <c r="J1406" i="10"/>
  <c r="I1406" i="10"/>
  <c r="J1405" i="10"/>
  <c r="I1405" i="10"/>
  <c r="J1404" i="10"/>
  <c r="I1404" i="10"/>
  <c r="J1403" i="10"/>
  <c r="I1403" i="10"/>
  <c r="J1402" i="10"/>
  <c r="I1402" i="10"/>
  <c r="J1401" i="10"/>
  <c r="I1401" i="10"/>
  <c r="J1400" i="10"/>
  <c r="I1400" i="10"/>
  <c r="J1399" i="10"/>
  <c r="I1399" i="10"/>
  <c r="J1398" i="10"/>
  <c r="I1398" i="10"/>
  <c r="J1397" i="10"/>
  <c r="I1397" i="10"/>
  <c r="J1396" i="10"/>
  <c r="I1396" i="10"/>
  <c r="J1395" i="10"/>
  <c r="I1395" i="10"/>
  <c r="J1394" i="10"/>
  <c r="I1394" i="10"/>
  <c r="J1393" i="10"/>
  <c r="I1393" i="10"/>
  <c r="J1392" i="10"/>
  <c r="I1392" i="10"/>
  <c r="J1391" i="10"/>
  <c r="I1391" i="10"/>
  <c r="J1390" i="10"/>
  <c r="I1390" i="10"/>
  <c r="J1389" i="10"/>
  <c r="I1389" i="10"/>
  <c r="J1388" i="10"/>
  <c r="I1388" i="10"/>
  <c r="J1387" i="10"/>
  <c r="I1387" i="10"/>
  <c r="J1386" i="10"/>
  <c r="I1386" i="10"/>
  <c r="J1385" i="10"/>
  <c r="I1385" i="10"/>
  <c r="J1384" i="10"/>
  <c r="I1384" i="10"/>
  <c r="J1383" i="10"/>
  <c r="I1383" i="10"/>
  <c r="J1382" i="10"/>
  <c r="I1382" i="10"/>
  <c r="J1381" i="10"/>
  <c r="I1381" i="10"/>
  <c r="J1380" i="10"/>
  <c r="I1380" i="10"/>
  <c r="J1379" i="10"/>
  <c r="I1379" i="10"/>
  <c r="J1378" i="10"/>
  <c r="I1378" i="10"/>
  <c r="J1377" i="10"/>
  <c r="I1377" i="10"/>
  <c r="J1376" i="10"/>
  <c r="I1376" i="10"/>
  <c r="J1375" i="10"/>
  <c r="I1375" i="10"/>
  <c r="J1374" i="10"/>
  <c r="I1374" i="10"/>
  <c r="J1373" i="10"/>
  <c r="I1373" i="10"/>
  <c r="J1372" i="10"/>
  <c r="I1372" i="10"/>
  <c r="J1371" i="10"/>
  <c r="I1371" i="10"/>
  <c r="J1370" i="10"/>
  <c r="I1370" i="10"/>
  <c r="J1369" i="10"/>
  <c r="I1369" i="10"/>
  <c r="J1368" i="10"/>
  <c r="I1368" i="10"/>
  <c r="J1367" i="10"/>
  <c r="I1367" i="10"/>
  <c r="J1366" i="10"/>
  <c r="I1366" i="10"/>
  <c r="J1365" i="10"/>
  <c r="I1365" i="10"/>
  <c r="J1364" i="10"/>
  <c r="I1364" i="10"/>
  <c r="J1363" i="10"/>
  <c r="I1363" i="10"/>
  <c r="J1362" i="10"/>
  <c r="I1362" i="10"/>
  <c r="J1361" i="10"/>
  <c r="I1361" i="10"/>
  <c r="J1360" i="10"/>
  <c r="I1360" i="10"/>
  <c r="J1359" i="10"/>
  <c r="I1359" i="10"/>
  <c r="J1358" i="10"/>
  <c r="I1358" i="10"/>
  <c r="J1357" i="10"/>
  <c r="I1357" i="10"/>
  <c r="J1356" i="10"/>
  <c r="I1356" i="10"/>
  <c r="J1355" i="10"/>
  <c r="I1355" i="10"/>
  <c r="J1354" i="10"/>
  <c r="I1354" i="10"/>
  <c r="J1353" i="10"/>
  <c r="I1353" i="10"/>
  <c r="J1352" i="10"/>
  <c r="I1352" i="10"/>
  <c r="J1351" i="10"/>
  <c r="I1351" i="10"/>
  <c r="J1350" i="10"/>
  <c r="I1350" i="10"/>
  <c r="J1349" i="10"/>
  <c r="I1349" i="10"/>
  <c r="J1348" i="10"/>
  <c r="I1348" i="10"/>
  <c r="J1347" i="10"/>
  <c r="I1347" i="10"/>
  <c r="J1346" i="10"/>
  <c r="I1346" i="10"/>
  <c r="J1345" i="10"/>
  <c r="I1345" i="10"/>
  <c r="J1344" i="10"/>
  <c r="I1344" i="10"/>
  <c r="J1343" i="10"/>
  <c r="I1343" i="10"/>
  <c r="J1342" i="10"/>
  <c r="I1342" i="10"/>
  <c r="J1341" i="10"/>
  <c r="I1341" i="10"/>
  <c r="J1340" i="10"/>
  <c r="I1340" i="10"/>
  <c r="J1339" i="10"/>
  <c r="I1339" i="10"/>
  <c r="J1338" i="10"/>
  <c r="I1338" i="10"/>
  <c r="J1337" i="10"/>
  <c r="I1337" i="10"/>
  <c r="J1336" i="10"/>
  <c r="I1336" i="10"/>
  <c r="J1335" i="10"/>
  <c r="I1335" i="10"/>
  <c r="J1334" i="10"/>
  <c r="I1334" i="10"/>
  <c r="J1333" i="10"/>
  <c r="I1333" i="10"/>
  <c r="J1332" i="10"/>
  <c r="I1332" i="10"/>
  <c r="J1331" i="10"/>
  <c r="I1331" i="10"/>
  <c r="J1330" i="10"/>
  <c r="I1330" i="10"/>
  <c r="J1329" i="10"/>
  <c r="I1329" i="10"/>
  <c r="J1328" i="10"/>
  <c r="I1328" i="10"/>
  <c r="J1327" i="10"/>
  <c r="I1327" i="10"/>
  <c r="J1326" i="10"/>
  <c r="I1326" i="10"/>
  <c r="J1325" i="10"/>
  <c r="I1325" i="10"/>
  <c r="J1324" i="10"/>
  <c r="I1324" i="10"/>
  <c r="J1323" i="10"/>
  <c r="I1323" i="10"/>
  <c r="J1322" i="10"/>
  <c r="I1322" i="10"/>
  <c r="J1321" i="10"/>
  <c r="I1321" i="10"/>
  <c r="J1320" i="10"/>
  <c r="I1320" i="10"/>
  <c r="J1319" i="10"/>
  <c r="I1319" i="10"/>
  <c r="J1318" i="10"/>
  <c r="I1318" i="10"/>
  <c r="J1317" i="10"/>
  <c r="I1317" i="10"/>
  <c r="J1316" i="10"/>
  <c r="I1316" i="10"/>
  <c r="J1315" i="10"/>
  <c r="I1315" i="10"/>
  <c r="J1314" i="10"/>
  <c r="I1314" i="10"/>
  <c r="J1313" i="10"/>
  <c r="I1313" i="10"/>
  <c r="J1312" i="10"/>
  <c r="I1312" i="10"/>
  <c r="J1311" i="10"/>
  <c r="I1311" i="10"/>
  <c r="J1310" i="10"/>
  <c r="I1310" i="10"/>
  <c r="J1309" i="10"/>
  <c r="I1309" i="10"/>
  <c r="J1308" i="10"/>
  <c r="I1308" i="10"/>
  <c r="J1307" i="10"/>
  <c r="I1307" i="10"/>
  <c r="J1306" i="10"/>
  <c r="I1306" i="10"/>
  <c r="J1305" i="10"/>
  <c r="I1305" i="10"/>
  <c r="J1304" i="10"/>
  <c r="I1304" i="10"/>
  <c r="J1303" i="10"/>
  <c r="I1303" i="10"/>
  <c r="J1302" i="10"/>
  <c r="I1302" i="10"/>
  <c r="J1301" i="10"/>
  <c r="I1301" i="10"/>
  <c r="J1300" i="10"/>
  <c r="I1300" i="10"/>
  <c r="J1299" i="10"/>
  <c r="I1299" i="10"/>
  <c r="J1298" i="10"/>
  <c r="I1298" i="10"/>
  <c r="J1297" i="10"/>
  <c r="I1297" i="10"/>
  <c r="J1296" i="10"/>
  <c r="I1296" i="10"/>
  <c r="J1295" i="10"/>
  <c r="I1295" i="10"/>
  <c r="J1294" i="10"/>
  <c r="I1294" i="10"/>
  <c r="J1293" i="10"/>
  <c r="I1293" i="10"/>
  <c r="J1292" i="10"/>
  <c r="I1292" i="10"/>
  <c r="J1291" i="10"/>
  <c r="I1291" i="10"/>
  <c r="J1290" i="10"/>
  <c r="I1290" i="10"/>
  <c r="J1289" i="10"/>
  <c r="I1289" i="10"/>
  <c r="J1288" i="10"/>
  <c r="I1288" i="10"/>
  <c r="J1287" i="10"/>
  <c r="I1287" i="10"/>
  <c r="J1286" i="10"/>
  <c r="I1286" i="10"/>
  <c r="J1285" i="10"/>
  <c r="I1285" i="10"/>
  <c r="J1284" i="10"/>
  <c r="I1284" i="10"/>
  <c r="J1283" i="10"/>
  <c r="I1283" i="10"/>
  <c r="J1282" i="10"/>
  <c r="I1282" i="10"/>
  <c r="J1281" i="10"/>
  <c r="I1281" i="10"/>
  <c r="J1280" i="10"/>
  <c r="I1280" i="10"/>
  <c r="J1279" i="10"/>
  <c r="I1279" i="10"/>
  <c r="J1278" i="10"/>
  <c r="I1278" i="10"/>
  <c r="J1277" i="10"/>
  <c r="I1277" i="10"/>
  <c r="J1276" i="10"/>
  <c r="I1276" i="10"/>
  <c r="J1275" i="10"/>
  <c r="I1275" i="10"/>
  <c r="J1274" i="10"/>
  <c r="I1274" i="10"/>
  <c r="J1273" i="10"/>
  <c r="I1273" i="10"/>
  <c r="J1272" i="10"/>
  <c r="I1272" i="10"/>
  <c r="J1271" i="10"/>
  <c r="I1271" i="10"/>
  <c r="J1270" i="10"/>
  <c r="I1270" i="10"/>
  <c r="J1269" i="10"/>
  <c r="I1269" i="10"/>
  <c r="J1268" i="10"/>
  <c r="I1268" i="10"/>
  <c r="J1267" i="10"/>
  <c r="I1267" i="10"/>
  <c r="J1266" i="10"/>
  <c r="I1266" i="10"/>
  <c r="J1265" i="10"/>
  <c r="I1265" i="10"/>
  <c r="J1264" i="10"/>
  <c r="I1264" i="10"/>
  <c r="J1263" i="10"/>
  <c r="I1263" i="10"/>
  <c r="J1262" i="10"/>
  <c r="I1262" i="10"/>
  <c r="J1261" i="10"/>
  <c r="I1261" i="10"/>
  <c r="J1260" i="10"/>
  <c r="I1260" i="10"/>
  <c r="J1259" i="10"/>
  <c r="I1259" i="10"/>
  <c r="J1258" i="10"/>
  <c r="I1258" i="10"/>
  <c r="J1257" i="10"/>
  <c r="I1257" i="10"/>
  <c r="J1256" i="10"/>
  <c r="I1256" i="10"/>
  <c r="J1255" i="10"/>
  <c r="I1255" i="10"/>
  <c r="J1254" i="10"/>
  <c r="I1254" i="10"/>
  <c r="J1253" i="10"/>
  <c r="I1253" i="10"/>
  <c r="J1252" i="10"/>
  <c r="I1252" i="10"/>
  <c r="J1251" i="10"/>
  <c r="I1251" i="10"/>
  <c r="J1250" i="10"/>
  <c r="I1250" i="10"/>
  <c r="J1249" i="10"/>
  <c r="I1249" i="10"/>
  <c r="J1248" i="10"/>
  <c r="I1248" i="10"/>
  <c r="J1247" i="10"/>
  <c r="I1247" i="10"/>
  <c r="J1246" i="10"/>
  <c r="I1246" i="10"/>
  <c r="J1245" i="10"/>
  <c r="I1245" i="10"/>
  <c r="J1244" i="10"/>
  <c r="I1244" i="10"/>
  <c r="J1243" i="10"/>
  <c r="I1243" i="10"/>
  <c r="J1242" i="10"/>
  <c r="I1242" i="10"/>
  <c r="J1241" i="10"/>
  <c r="I1241" i="10"/>
  <c r="J1240" i="10"/>
  <c r="I1240" i="10"/>
  <c r="J1239" i="10"/>
  <c r="I1239" i="10"/>
  <c r="J1238" i="10"/>
  <c r="I1238" i="10"/>
  <c r="J1237" i="10"/>
  <c r="I1237" i="10"/>
  <c r="J1236" i="10"/>
  <c r="I1236" i="10"/>
  <c r="J1235" i="10"/>
  <c r="I1235" i="10"/>
  <c r="J1234" i="10"/>
  <c r="I1234" i="10"/>
  <c r="J1233" i="10"/>
  <c r="I1233" i="10"/>
  <c r="J1232" i="10"/>
  <c r="I1232" i="10"/>
  <c r="J1231" i="10"/>
  <c r="I1231" i="10"/>
  <c r="J1230" i="10"/>
  <c r="I1230" i="10"/>
  <c r="J1229" i="10"/>
  <c r="I1229" i="10"/>
  <c r="J1228" i="10"/>
  <c r="I1228" i="10"/>
  <c r="J1227" i="10"/>
  <c r="I1227" i="10"/>
  <c r="J1226" i="10"/>
  <c r="I1226" i="10"/>
  <c r="J1225" i="10"/>
  <c r="I1225" i="10"/>
  <c r="J1224" i="10"/>
  <c r="I1224" i="10"/>
  <c r="J1223" i="10"/>
  <c r="I1223" i="10"/>
  <c r="J1222" i="10"/>
  <c r="I1222" i="10"/>
  <c r="J1221" i="10"/>
  <c r="I1221" i="10"/>
  <c r="J1220" i="10"/>
  <c r="I1220" i="10"/>
  <c r="J1219" i="10"/>
  <c r="I1219" i="10"/>
  <c r="J1218" i="10"/>
  <c r="I1218" i="10"/>
  <c r="J1217" i="10"/>
  <c r="I1217" i="10"/>
  <c r="J1216" i="10"/>
  <c r="I1216" i="10"/>
  <c r="J1215" i="10"/>
  <c r="I1215" i="10"/>
  <c r="J1214" i="10"/>
  <c r="I1214" i="10"/>
  <c r="J1213" i="10"/>
  <c r="I1213" i="10"/>
  <c r="J1212" i="10"/>
  <c r="I1212" i="10"/>
  <c r="J1211" i="10"/>
  <c r="I1211" i="10"/>
  <c r="J1210" i="10"/>
  <c r="I1210" i="10"/>
  <c r="J1209" i="10"/>
  <c r="I1209" i="10"/>
  <c r="J1208" i="10"/>
  <c r="I1208" i="10"/>
  <c r="J1207" i="10"/>
  <c r="I1207" i="10"/>
  <c r="J1206" i="10"/>
  <c r="I1206" i="10"/>
  <c r="J1205" i="10"/>
  <c r="I1205" i="10"/>
  <c r="J1204" i="10"/>
  <c r="I1204" i="10"/>
  <c r="J1203" i="10"/>
  <c r="I1203" i="10"/>
  <c r="J1202" i="10"/>
  <c r="I1202" i="10"/>
  <c r="J1201" i="10"/>
  <c r="I1201" i="10"/>
  <c r="J1200" i="10"/>
  <c r="I1200" i="10"/>
  <c r="J1199" i="10"/>
  <c r="I1199" i="10"/>
  <c r="J1198" i="10"/>
  <c r="I1198" i="10"/>
  <c r="J1197" i="10"/>
  <c r="I1197" i="10"/>
  <c r="J1196" i="10"/>
  <c r="I1196" i="10"/>
  <c r="J1195" i="10"/>
  <c r="I1195" i="10"/>
  <c r="J1194" i="10"/>
  <c r="I1194" i="10"/>
  <c r="J1193" i="10"/>
  <c r="I1193" i="10"/>
  <c r="J1192" i="10"/>
  <c r="I1192" i="10"/>
  <c r="J1191" i="10"/>
  <c r="I1191" i="10"/>
  <c r="J1190" i="10"/>
  <c r="I1190" i="10"/>
  <c r="J1189" i="10"/>
  <c r="I1189" i="10"/>
  <c r="J1188" i="10"/>
  <c r="I1188" i="10"/>
  <c r="J1187" i="10"/>
  <c r="I1187" i="10"/>
  <c r="J1186" i="10"/>
  <c r="I1186" i="10"/>
  <c r="J1185" i="10"/>
  <c r="I1185" i="10"/>
  <c r="J1184" i="10"/>
  <c r="I1184" i="10"/>
  <c r="J1183" i="10"/>
  <c r="I1183" i="10"/>
  <c r="J1182" i="10"/>
  <c r="I1182" i="10"/>
  <c r="J1181" i="10"/>
  <c r="I1181" i="10"/>
  <c r="J1180" i="10"/>
  <c r="I1180" i="10"/>
  <c r="J1179" i="10"/>
  <c r="I1179" i="10"/>
  <c r="J1178" i="10"/>
  <c r="I1178" i="10"/>
  <c r="J1177" i="10"/>
  <c r="I1177" i="10"/>
  <c r="J1176" i="10"/>
  <c r="I1176" i="10"/>
  <c r="J1175" i="10"/>
  <c r="I1175" i="10"/>
  <c r="J1174" i="10"/>
  <c r="I1174" i="10"/>
  <c r="J1173" i="10"/>
  <c r="I1173" i="10"/>
  <c r="J1172" i="10"/>
  <c r="I1172" i="10"/>
  <c r="J1171" i="10"/>
  <c r="I1171" i="10"/>
  <c r="J1170" i="10"/>
  <c r="I1170" i="10"/>
  <c r="J1169" i="10"/>
  <c r="I1169" i="10"/>
  <c r="J1168" i="10"/>
  <c r="I1168" i="10"/>
  <c r="J1167" i="10"/>
  <c r="I1167" i="10"/>
  <c r="J1166" i="10"/>
  <c r="I1166" i="10"/>
  <c r="J1165" i="10"/>
  <c r="I1165" i="10"/>
  <c r="J1164" i="10"/>
  <c r="I1164" i="10"/>
  <c r="J1163" i="10"/>
  <c r="I1163" i="10"/>
  <c r="J1162" i="10"/>
  <c r="I1162" i="10"/>
  <c r="J1161" i="10"/>
  <c r="I1161" i="10"/>
  <c r="J1160" i="10"/>
  <c r="I1160" i="10"/>
  <c r="J1159" i="10"/>
  <c r="I1159" i="10"/>
  <c r="J1158" i="10"/>
  <c r="I1158" i="10"/>
  <c r="J1157" i="10"/>
  <c r="I1157" i="10"/>
  <c r="J1156" i="10"/>
  <c r="I1156" i="10"/>
  <c r="J1155" i="10"/>
  <c r="I1155" i="10"/>
  <c r="J1154" i="10"/>
  <c r="I1154" i="10"/>
  <c r="J1153" i="10"/>
  <c r="I1153" i="10"/>
  <c r="J1152" i="10"/>
  <c r="I1152" i="10"/>
  <c r="J1151" i="10"/>
  <c r="I1151" i="10"/>
  <c r="J1150" i="10"/>
  <c r="I1150" i="10"/>
  <c r="J1149" i="10"/>
  <c r="I1149" i="10"/>
  <c r="J1148" i="10"/>
  <c r="I1148" i="10"/>
  <c r="J1147" i="10"/>
  <c r="I1147" i="10"/>
  <c r="J1146" i="10"/>
  <c r="I1146" i="10"/>
  <c r="J1145" i="10"/>
  <c r="I1145" i="10"/>
  <c r="J1144" i="10"/>
  <c r="I1144" i="10"/>
  <c r="J1143" i="10"/>
  <c r="I1143" i="10"/>
  <c r="J1142" i="10"/>
  <c r="I1142" i="10"/>
  <c r="J1141" i="10"/>
  <c r="I1141" i="10"/>
  <c r="J1140" i="10"/>
  <c r="I1140" i="10"/>
  <c r="J1139" i="10"/>
  <c r="I1139" i="10"/>
  <c r="J1138" i="10"/>
  <c r="I1138" i="10"/>
  <c r="J1137" i="10"/>
  <c r="I1137" i="10"/>
  <c r="J1136" i="10"/>
  <c r="I1136" i="10"/>
  <c r="J1135" i="10"/>
  <c r="I1135" i="10"/>
  <c r="J1134" i="10"/>
  <c r="I1134" i="10"/>
  <c r="J1133" i="10"/>
  <c r="I1133" i="10"/>
  <c r="J1132" i="10"/>
  <c r="I1132" i="10"/>
  <c r="J1131" i="10"/>
  <c r="I1131" i="10"/>
  <c r="J1130" i="10"/>
  <c r="I1130" i="10"/>
  <c r="J1129" i="10"/>
  <c r="I1129" i="10"/>
  <c r="J1128" i="10"/>
  <c r="I1128" i="10"/>
  <c r="J1127" i="10"/>
  <c r="I1127" i="10"/>
  <c r="J1126" i="10"/>
  <c r="I1126" i="10"/>
  <c r="J1125" i="10"/>
  <c r="I1125" i="10"/>
  <c r="J1124" i="10"/>
  <c r="I1124" i="10"/>
  <c r="J1123" i="10"/>
  <c r="I1123" i="10"/>
  <c r="J1122" i="10"/>
  <c r="I1122" i="10"/>
  <c r="J1121" i="10"/>
  <c r="I1121" i="10"/>
  <c r="J1120" i="10"/>
  <c r="I1120" i="10"/>
  <c r="J1119" i="10"/>
  <c r="I1119" i="10"/>
  <c r="J1118" i="10"/>
  <c r="I1118" i="10"/>
  <c r="J1117" i="10"/>
  <c r="I1117" i="10"/>
  <c r="J1116" i="10"/>
  <c r="I1116" i="10"/>
  <c r="J1115" i="10"/>
  <c r="I1115" i="10"/>
  <c r="J1114" i="10"/>
  <c r="I1114" i="10"/>
  <c r="J1113" i="10"/>
  <c r="I1113" i="10"/>
  <c r="J1112" i="10"/>
  <c r="I1112" i="10"/>
  <c r="J1111" i="10"/>
  <c r="I1111" i="10"/>
  <c r="J1110" i="10"/>
  <c r="I1110" i="10"/>
  <c r="J1109" i="10"/>
  <c r="I1109" i="10"/>
  <c r="J1108" i="10"/>
  <c r="I1108" i="10"/>
  <c r="J1107" i="10"/>
  <c r="I1107" i="10"/>
  <c r="J1106" i="10"/>
  <c r="I1106" i="10"/>
  <c r="J1105" i="10"/>
  <c r="I1105" i="10"/>
  <c r="J1104" i="10"/>
  <c r="I1104" i="10"/>
  <c r="J1103" i="10"/>
  <c r="I1103" i="10"/>
  <c r="J1102" i="10"/>
  <c r="I1102" i="10"/>
  <c r="J1101" i="10"/>
  <c r="I1101" i="10"/>
  <c r="J1100" i="10"/>
  <c r="I1100" i="10"/>
  <c r="J1099" i="10"/>
  <c r="I1099" i="10"/>
  <c r="J1098" i="10"/>
  <c r="I1098" i="10"/>
  <c r="J1097" i="10"/>
  <c r="I1097" i="10"/>
  <c r="J1096" i="10"/>
  <c r="I1096" i="10"/>
  <c r="J1095" i="10"/>
  <c r="I1095" i="10"/>
  <c r="J1094" i="10"/>
  <c r="I1094" i="10"/>
  <c r="J1093" i="10"/>
  <c r="I1093" i="10"/>
  <c r="J1092" i="10"/>
  <c r="I1092" i="10"/>
  <c r="J1091" i="10"/>
  <c r="I1091" i="10"/>
  <c r="J1090" i="10"/>
  <c r="I1090" i="10"/>
  <c r="J1089" i="10"/>
  <c r="I1089" i="10"/>
  <c r="J1088" i="10"/>
  <c r="I1088" i="10"/>
  <c r="J1087" i="10"/>
  <c r="I1087" i="10"/>
  <c r="J1086" i="10"/>
  <c r="I1086" i="10"/>
  <c r="J1085" i="10"/>
  <c r="I1085" i="10"/>
  <c r="J1084" i="10"/>
  <c r="I1084" i="10"/>
  <c r="J1083" i="10"/>
  <c r="I1083" i="10"/>
  <c r="J1082" i="10"/>
  <c r="I1082" i="10"/>
  <c r="J1081" i="10"/>
  <c r="I1081" i="10"/>
  <c r="J1080" i="10"/>
  <c r="I1080" i="10"/>
  <c r="J1079" i="10"/>
  <c r="I1079" i="10"/>
  <c r="J1078" i="10"/>
  <c r="I1078" i="10"/>
  <c r="J1077" i="10"/>
  <c r="I1077" i="10"/>
  <c r="J1076" i="10"/>
  <c r="I1076" i="10"/>
  <c r="J1075" i="10"/>
  <c r="I1075" i="10"/>
  <c r="J1074" i="10"/>
  <c r="I1074" i="10"/>
  <c r="J1073" i="10"/>
  <c r="I1073" i="10"/>
  <c r="J1072" i="10"/>
  <c r="I1072" i="10"/>
  <c r="J1071" i="10"/>
  <c r="I1071" i="10"/>
  <c r="J1070" i="10"/>
  <c r="I1070" i="10"/>
  <c r="J1069" i="10"/>
  <c r="I1069" i="10"/>
  <c r="J1068" i="10"/>
  <c r="I1068" i="10"/>
  <c r="J1067" i="10"/>
  <c r="I1067" i="10"/>
  <c r="J1066" i="10"/>
  <c r="I1066" i="10"/>
  <c r="J1065" i="10"/>
  <c r="I1065" i="10"/>
  <c r="J1064" i="10"/>
  <c r="I1064" i="10"/>
  <c r="J1063" i="10"/>
  <c r="I1063" i="10"/>
  <c r="J1062" i="10"/>
  <c r="I1062" i="10"/>
  <c r="J1061" i="10"/>
  <c r="I1061" i="10"/>
  <c r="J1060" i="10"/>
  <c r="I1060" i="10"/>
  <c r="J1059" i="10"/>
  <c r="I1059" i="10"/>
  <c r="J1058" i="10"/>
  <c r="I1058" i="10"/>
  <c r="J1057" i="10"/>
  <c r="I1057" i="10"/>
  <c r="J1056" i="10"/>
  <c r="I1056" i="10"/>
  <c r="J1055" i="10"/>
  <c r="I1055" i="10"/>
  <c r="J1054" i="10"/>
  <c r="I1054" i="10"/>
  <c r="J1053" i="10"/>
  <c r="I1053" i="10"/>
  <c r="J1052" i="10"/>
  <c r="I1052" i="10"/>
  <c r="J1051" i="10"/>
  <c r="I1051" i="10"/>
  <c r="J1050" i="10"/>
  <c r="I1050" i="10"/>
  <c r="J1049" i="10"/>
  <c r="I1049" i="10"/>
  <c r="J1048" i="10"/>
  <c r="I1048" i="10"/>
  <c r="J1047" i="10"/>
  <c r="I1047" i="10"/>
  <c r="J1046" i="10"/>
  <c r="I1046" i="10"/>
  <c r="J1045" i="10"/>
  <c r="I1045" i="10"/>
  <c r="J1044" i="10"/>
  <c r="I1044" i="10"/>
  <c r="J1043" i="10"/>
  <c r="I1043" i="10"/>
  <c r="J1042" i="10"/>
  <c r="I1042" i="10"/>
  <c r="J1041" i="10"/>
  <c r="I1041" i="10"/>
  <c r="J1040" i="10"/>
  <c r="I1040" i="10"/>
  <c r="J1039" i="10"/>
  <c r="I1039" i="10"/>
  <c r="J1038" i="10"/>
  <c r="I1038" i="10"/>
  <c r="J1037" i="10"/>
  <c r="I1037" i="10"/>
  <c r="J1036" i="10"/>
  <c r="I1036" i="10"/>
  <c r="J1035" i="10"/>
  <c r="I1035" i="10"/>
  <c r="J1034" i="10"/>
  <c r="I1034" i="10"/>
  <c r="J1033" i="10"/>
  <c r="I1033" i="10"/>
  <c r="J1032" i="10"/>
  <c r="I1032" i="10"/>
  <c r="J1031" i="10"/>
  <c r="I1031" i="10"/>
  <c r="J1030" i="10"/>
  <c r="I1030" i="10"/>
  <c r="J1029" i="10"/>
  <c r="I1029" i="10"/>
  <c r="J1028" i="10"/>
  <c r="I1028" i="10"/>
  <c r="J1027" i="10"/>
  <c r="I1027" i="10"/>
  <c r="J1026" i="10"/>
  <c r="I1026" i="10"/>
  <c r="J1025" i="10"/>
  <c r="I1025" i="10"/>
  <c r="J1024" i="10"/>
  <c r="I1024" i="10"/>
  <c r="J1023" i="10"/>
  <c r="I1023" i="10"/>
  <c r="J1022" i="10"/>
  <c r="I1022" i="10"/>
  <c r="J1021" i="10"/>
  <c r="I1021" i="10"/>
  <c r="J1020" i="10"/>
  <c r="I1020" i="10"/>
  <c r="J1019" i="10"/>
  <c r="I1019" i="10"/>
  <c r="J1018" i="10"/>
  <c r="I1018" i="10"/>
  <c r="J1017" i="10"/>
  <c r="I1017" i="10"/>
  <c r="J1016" i="10"/>
  <c r="I1016" i="10"/>
  <c r="J1015" i="10"/>
  <c r="I1015" i="10"/>
  <c r="J1014" i="10"/>
  <c r="I1014" i="10"/>
  <c r="J1013" i="10"/>
  <c r="I1013" i="10"/>
  <c r="J1012" i="10"/>
  <c r="I1012" i="10"/>
  <c r="J1011" i="10"/>
  <c r="I1011" i="10"/>
  <c r="J1010" i="10"/>
  <c r="I1010" i="10"/>
  <c r="J1009" i="10"/>
  <c r="I1009" i="10"/>
  <c r="J1008" i="10"/>
  <c r="I1008" i="10"/>
  <c r="J1007" i="10"/>
  <c r="I1007" i="10"/>
  <c r="J1006" i="10"/>
  <c r="I1006" i="10"/>
  <c r="J1005" i="10"/>
  <c r="I1005" i="10"/>
  <c r="J1004" i="10"/>
  <c r="I1004" i="10"/>
  <c r="J1003" i="10"/>
  <c r="I1003" i="10"/>
  <c r="J1002" i="10"/>
  <c r="I1002" i="10"/>
  <c r="J1001" i="10"/>
  <c r="I1001" i="10"/>
  <c r="J1000" i="10"/>
  <c r="I1000" i="10"/>
  <c r="J999" i="10"/>
  <c r="I999" i="10"/>
  <c r="J998" i="10"/>
  <c r="I998" i="10"/>
  <c r="J997" i="10"/>
  <c r="I997" i="10"/>
  <c r="J996" i="10"/>
  <c r="I996" i="10"/>
  <c r="J995" i="10"/>
  <c r="I995" i="10"/>
  <c r="J994" i="10"/>
  <c r="I994" i="10"/>
  <c r="J993" i="10"/>
  <c r="I993" i="10"/>
  <c r="J992" i="10"/>
  <c r="I992" i="10"/>
  <c r="J991" i="10"/>
  <c r="I991" i="10"/>
  <c r="J990" i="10"/>
  <c r="I990" i="10"/>
  <c r="J989" i="10"/>
  <c r="I989" i="10"/>
  <c r="J988" i="10"/>
  <c r="I988" i="10"/>
  <c r="J987" i="10"/>
  <c r="I987" i="10"/>
  <c r="J986" i="10"/>
  <c r="I986" i="10"/>
  <c r="J985" i="10"/>
  <c r="I985" i="10"/>
  <c r="J984" i="10"/>
  <c r="I984" i="10"/>
  <c r="J983" i="10"/>
  <c r="I983" i="10"/>
  <c r="J982" i="10"/>
  <c r="I982" i="10"/>
  <c r="J981" i="10"/>
  <c r="I981" i="10"/>
  <c r="J980" i="10"/>
  <c r="I980" i="10"/>
  <c r="J979" i="10"/>
  <c r="I979" i="10"/>
  <c r="J978" i="10"/>
  <c r="I978" i="10"/>
  <c r="J977" i="10"/>
  <c r="I977" i="10"/>
  <c r="J976" i="10"/>
  <c r="I976" i="10"/>
  <c r="J975" i="10"/>
  <c r="I975" i="10"/>
  <c r="J974" i="10"/>
  <c r="I974" i="10"/>
  <c r="J973" i="10"/>
  <c r="I973" i="10"/>
  <c r="J972" i="10"/>
  <c r="I972" i="10"/>
  <c r="J971" i="10"/>
  <c r="I971" i="10"/>
  <c r="J970" i="10"/>
  <c r="I970" i="10"/>
  <c r="J969" i="10"/>
  <c r="I969" i="10"/>
  <c r="J968" i="10"/>
  <c r="I968" i="10"/>
  <c r="J967" i="10"/>
  <c r="I967" i="10"/>
  <c r="J966" i="10"/>
  <c r="I966" i="10"/>
  <c r="J965" i="10"/>
  <c r="I965" i="10"/>
  <c r="J964" i="10"/>
  <c r="I964" i="10"/>
  <c r="J963" i="10"/>
  <c r="I963" i="10"/>
  <c r="J962" i="10"/>
  <c r="I962" i="10"/>
  <c r="J961" i="10"/>
  <c r="I961" i="10"/>
  <c r="J960" i="10"/>
  <c r="I960" i="10"/>
  <c r="J959" i="10"/>
  <c r="I959" i="10"/>
  <c r="J958" i="10"/>
  <c r="I958" i="10"/>
  <c r="J957" i="10"/>
  <c r="I957" i="10"/>
  <c r="J956" i="10"/>
  <c r="I956" i="10"/>
  <c r="J955" i="10"/>
  <c r="I955" i="10"/>
  <c r="J954" i="10"/>
  <c r="I954" i="10"/>
  <c r="J953" i="10"/>
  <c r="I953" i="10"/>
  <c r="J952" i="10"/>
  <c r="I952" i="10"/>
  <c r="J951" i="10"/>
  <c r="I951" i="10"/>
  <c r="J950" i="10"/>
  <c r="I950" i="10"/>
  <c r="J949" i="10"/>
  <c r="I949" i="10"/>
  <c r="J948" i="10"/>
  <c r="I948" i="10"/>
  <c r="J947" i="10"/>
  <c r="I947" i="10"/>
  <c r="J946" i="10"/>
  <c r="I946" i="10"/>
  <c r="J945" i="10"/>
  <c r="I945" i="10"/>
  <c r="J944" i="10"/>
  <c r="I944" i="10"/>
  <c r="J943" i="10"/>
  <c r="I943" i="10"/>
  <c r="J942" i="10"/>
  <c r="I942" i="10"/>
  <c r="J941" i="10"/>
  <c r="I941" i="10"/>
  <c r="J940" i="10"/>
  <c r="I940" i="10"/>
  <c r="J939" i="10"/>
  <c r="I939" i="10"/>
  <c r="J938" i="10"/>
  <c r="I938" i="10"/>
  <c r="J937" i="10"/>
  <c r="I937" i="10"/>
  <c r="J936" i="10"/>
  <c r="I936" i="10"/>
  <c r="J935" i="10"/>
  <c r="I935" i="10"/>
  <c r="J934" i="10"/>
  <c r="I934" i="10"/>
  <c r="J933" i="10"/>
  <c r="I933" i="10"/>
  <c r="J932" i="10"/>
  <c r="I932" i="10"/>
  <c r="J931" i="10"/>
  <c r="I931" i="10"/>
  <c r="J930" i="10"/>
  <c r="I930" i="10"/>
  <c r="J929" i="10"/>
  <c r="I929" i="10"/>
  <c r="J928" i="10"/>
  <c r="I928" i="10"/>
  <c r="J927" i="10"/>
  <c r="I927" i="10"/>
  <c r="J926" i="10"/>
  <c r="I926" i="10"/>
  <c r="J925" i="10"/>
  <c r="I925" i="10"/>
  <c r="J924" i="10"/>
  <c r="I924" i="10"/>
  <c r="J923" i="10"/>
  <c r="I923" i="10"/>
  <c r="J922" i="10"/>
  <c r="I922" i="10"/>
  <c r="J921" i="10"/>
  <c r="I921" i="10"/>
  <c r="J920" i="10"/>
  <c r="I920" i="10"/>
  <c r="J919" i="10"/>
  <c r="I919" i="10"/>
  <c r="J918" i="10"/>
  <c r="I918" i="10"/>
  <c r="J917" i="10"/>
  <c r="I917" i="10"/>
  <c r="J916" i="10"/>
  <c r="I916" i="10"/>
  <c r="J915" i="10"/>
  <c r="I915" i="10"/>
  <c r="J914" i="10"/>
  <c r="I914" i="10"/>
  <c r="J913" i="10"/>
  <c r="I913" i="10"/>
  <c r="J912" i="10"/>
  <c r="I912" i="10"/>
  <c r="J911" i="10"/>
  <c r="I911" i="10"/>
  <c r="J910" i="10"/>
  <c r="I910" i="10"/>
  <c r="J909" i="10"/>
  <c r="I909" i="10"/>
  <c r="J908" i="10"/>
  <c r="I908" i="10"/>
  <c r="J907" i="10"/>
  <c r="I907" i="10"/>
  <c r="J906" i="10"/>
  <c r="I906" i="10"/>
  <c r="J905" i="10"/>
  <c r="I905" i="10"/>
  <c r="J904" i="10"/>
  <c r="I904" i="10"/>
  <c r="J903" i="10"/>
  <c r="I903" i="10"/>
  <c r="J902" i="10"/>
  <c r="I902" i="10"/>
  <c r="J901" i="10"/>
  <c r="I901" i="10"/>
  <c r="J900" i="10"/>
  <c r="I900" i="10"/>
  <c r="J899" i="10"/>
  <c r="I899" i="10"/>
  <c r="J898" i="10"/>
  <c r="I898" i="10"/>
  <c r="J897" i="10"/>
  <c r="I897" i="10"/>
  <c r="J896" i="10"/>
  <c r="I896" i="10"/>
  <c r="J895" i="10"/>
  <c r="I895" i="10"/>
  <c r="J894" i="10"/>
  <c r="I894" i="10"/>
  <c r="J893" i="10"/>
  <c r="I893" i="10"/>
  <c r="J892" i="10"/>
  <c r="I892" i="10"/>
  <c r="J891" i="10"/>
  <c r="I891" i="10"/>
  <c r="J890" i="10"/>
  <c r="I890" i="10"/>
  <c r="J889" i="10"/>
  <c r="I889" i="10"/>
  <c r="J888" i="10"/>
  <c r="I888" i="10"/>
  <c r="J887" i="10"/>
  <c r="I887" i="10"/>
  <c r="J886" i="10"/>
  <c r="I886" i="10"/>
  <c r="J885" i="10"/>
  <c r="I885" i="10"/>
  <c r="J884" i="10"/>
  <c r="I884" i="10"/>
  <c r="J883" i="10"/>
  <c r="I883" i="10"/>
  <c r="J882" i="10"/>
  <c r="I882" i="10"/>
  <c r="J881" i="10"/>
  <c r="I881" i="10"/>
  <c r="J880" i="10"/>
  <c r="I880" i="10"/>
  <c r="J879" i="10"/>
  <c r="I879" i="10"/>
  <c r="J878" i="10"/>
  <c r="I878" i="10"/>
  <c r="J877" i="10"/>
  <c r="I877" i="10"/>
  <c r="J876" i="10"/>
  <c r="I876" i="10"/>
  <c r="J875" i="10"/>
  <c r="I875" i="10"/>
  <c r="J874" i="10"/>
  <c r="I874" i="10"/>
  <c r="J873" i="10"/>
  <c r="I873" i="10"/>
  <c r="J872" i="10"/>
  <c r="I872" i="10"/>
  <c r="J871" i="10"/>
  <c r="I871" i="10"/>
  <c r="J870" i="10"/>
  <c r="I870" i="10"/>
  <c r="J869" i="10"/>
  <c r="I869" i="10"/>
  <c r="J868" i="10"/>
  <c r="I868" i="10"/>
  <c r="J867" i="10"/>
  <c r="I867" i="10"/>
  <c r="J866" i="10"/>
  <c r="I866" i="10"/>
  <c r="J865" i="10"/>
  <c r="I865" i="10"/>
  <c r="J864" i="10"/>
  <c r="I864" i="10"/>
  <c r="J863" i="10"/>
  <c r="I863" i="10"/>
  <c r="J862" i="10"/>
  <c r="I862" i="10"/>
  <c r="J861" i="10"/>
  <c r="I861" i="10"/>
  <c r="J860" i="10"/>
  <c r="I860" i="10"/>
  <c r="J859" i="10"/>
  <c r="I859" i="10"/>
  <c r="J858" i="10"/>
  <c r="I858" i="10"/>
  <c r="J857" i="10"/>
  <c r="I857" i="10"/>
  <c r="J856" i="10"/>
  <c r="I856" i="10"/>
  <c r="J855" i="10"/>
  <c r="I855" i="10"/>
  <c r="J854" i="10"/>
  <c r="I854" i="10"/>
  <c r="J853" i="10"/>
  <c r="I853" i="10"/>
  <c r="J852" i="10"/>
  <c r="I852" i="10"/>
  <c r="J851" i="10"/>
  <c r="I851" i="10"/>
  <c r="J850" i="10"/>
  <c r="I850" i="10"/>
  <c r="J849" i="10"/>
  <c r="I849" i="10"/>
  <c r="J848" i="10"/>
  <c r="I848" i="10"/>
  <c r="J847" i="10"/>
  <c r="I847" i="10"/>
  <c r="J846" i="10"/>
  <c r="I846" i="10"/>
  <c r="J845" i="10"/>
  <c r="I845" i="10"/>
  <c r="J844" i="10"/>
  <c r="I844" i="10"/>
  <c r="J843" i="10"/>
  <c r="I843" i="10"/>
  <c r="J842" i="10"/>
  <c r="I842" i="10"/>
  <c r="J841" i="10"/>
  <c r="I841" i="10"/>
  <c r="J840" i="10"/>
  <c r="I840" i="10"/>
  <c r="J839" i="10"/>
  <c r="I839" i="10"/>
  <c r="J838" i="10"/>
  <c r="I838" i="10"/>
  <c r="J837" i="10"/>
  <c r="I837" i="10"/>
  <c r="J836" i="10"/>
  <c r="I836" i="10"/>
  <c r="J835" i="10"/>
  <c r="I835" i="10"/>
  <c r="J834" i="10"/>
  <c r="I834" i="10"/>
  <c r="J833" i="10"/>
  <c r="I833" i="10"/>
  <c r="J832" i="10"/>
  <c r="I832" i="10"/>
  <c r="J831" i="10"/>
  <c r="I831" i="10"/>
  <c r="J830" i="10"/>
  <c r="I830" i="10"/>
  <c r="J829" i="10"/>
  <c r="I829" i="10"/>
  <c r="J828" i="10"/>
  <c r="I828" i="10"/>
  <c r="J827" i="10"/>
  <c r="I827" i="10"/>
  <c r="J826" i="10"/>
  <c r="I826" i="10"/>
  <c r="J825" i="10"/>
  <c r="I825" i="10"/>
  <c r="J824" i="10"/>
  <c r="I824" i="10"/>
  <c r="J823" i="10"/>
  <c r="I823" i="10"/>
  <c r="J822" i="10"/>
  <c r="I822" i="10"/>
  <c r="J821" i="10"/>
  <c r="I821" i="10"/>
  <c r="J820" i="10"/>
  <c r="I820" i="10"/>
  <c r="J819" i="10"/>
  <c r="I819" i="10"/>
  <c r="J818" i="10"/>
  <c r="I818" i="10"/>
  <c r="J817" i="10"/>
  <c r="I817" i="10"/>
  <c r="J816" i="10"/>
  <c r="I816" i="10"/>
  <c r="J815" i="10"/>
  <c r="I815" i="10"/>
  <c r="J814" i="10"/>
  <c r="I814" i="10"/>
  <c r="J813" i="10"/>
  <c r="I813" i="10"/>
  <c r="J812" i="10"/>
  <c r="I812" i="10"/>
  <c r="J811" i="10"/>
  <c r="I811" i="10"/>
  <c r="J810" i="10"/>
  <c r="I810" i="10"/>
  <c r="J809" i="10"/>
  <c r="I809" i="10"/>
  <c r="J808" i="10"/>
  <c r="I808" i="10"/>
  <c r="J807" i="10"/>
  <c r="I807" i="10"/>
  <c r="J806" i="10"/>
  <c r="I806" i="10"/>
  <c r="J805" i="10"/>
  <c r="I805" i="10"/>
  <c r="J804" i="10"/>
  <c r="I804" i="10"/>
  <c r="J803" i="10"/>
  <c r="I803" i="10"/>
  <c r="J802" i="10"/>
  <c r="I802" i="10"/>
  <c r="J801" i="10"/>
  <c r="I801" i="10"/>
  <c r="J800" i="10"/>
  <c r="I800" i="10"/>
  <c r="J799" i="10"/>
  <c r="I799" i="10"/>
  <c r="J798" i="10"/>
  <c r="I798" i="10"/>
  <c r="J797" i="10"/>
  <c r="I797" i="10"/>
  <c r="J796" i="10"/>
  <c r="I796" i="10"/>
  <c r="J795" i="10"/>
  <c r="I795" i="10"/>
  <c r="J794" i="10"/>
  <c r="I794" i="10"/>
  <c r="J793" i="10"/>
  <c r="I793" i="10"/>
  <c r="J792" i="10"/>
  <c r="I792" i="10"/>
  <c r="J791" i="10"/>
  <c r="I791" i="10"/>
  <c r="J790" i="10"/>
  <c r="I790" i="10"/>
  <c r="J789" i="10"/>
  <c r="I789" i="10"/>
  <c r="J788" i="10"/>
  <c r="I788" i="10"/>
  <c r="J787" i="10"/>
  <c r="I787" i="10"/>
  <c r="J786" i="10"/>
  <c r="I786" i="10"/>
  <c r="J785" i="10"/>
  <c r="I785" i="10"/>
  <c r="J784" i="10"/>
  <c r="I784" i="10"/>
  <c r="J783" i="10"/>
  <c r="I783" i="10"/>
  <c r="J782" i="10"/>
  <c r="I782" i="10"/>
  <c r="J781" i="10"/>
  <c r="I781" i="10"/>
  <c r="J780" i="10"/>
  <c r="I780" i="10"/>
  <c r="J779" i="10"/>
  <c r="I779" i="10"/>
  <c r="J778" i="10"/>
  <c r="I778" i="10"/>
  <c r="J777" i="10"/>
  <c r="I777" i="10"/>
  <c r="J776" i="10"/>
  <c r="I776" i="10"/>
  <c r="J775" i="10"/>
  <c r="I775" i="10"/>
  <c r="J774" i="10"/>
  <c r="I774" i="10"/>
  <c r="J773" i="10"/>
  <c r="I773" i="10"/>
  <c r="J772" i="10"/>
  <c r="I772" i="10"/>
  <c r="J771" i="10"/>
  <c r="I771" i="10"/>
  <c r="J770" i="10"/>
  <c r="I770" i="10"/>
  <c r="J769" i="10"/>
  <c r="I769" i="10"/>
  <c r="J768" i="10"/>
  <c r="I768" i="10"/>
  <c r="J767" i="10"/>
  <c r="I767" i="10"/>
  <c r="J766" i="10"/>
  <c r="I766" i="10"/>
  <c r="J765" i="10"/>
  <c r="I765" i="10"/>
  <c r="J764" i="10"/>
  <c r="I764" i="10"/>
  <c r="J763" i="10"/>
  <c r="I763" i="10"/>
  <c r="J762" i="10"/>
  <c r="I762" i="10"/>
  <c r="J761" i="10"/>
  <c r="I761" i="10"/>
  <c r="J760" i="10"/>
  <c r="I760" i="10"/>
  <c r="J759" i="10"/>
  <c r="I759" i="10"/>
  <c r="J758" i="10"/>
  <c r="I758" i="10"/>
  <c r="J757" i="10"/>
  <c r="I757" i="10"/>
  <c r="J756" i="10"/>
  <c r="I756" i="10"/>
  <c r="J755" i="10"/>
  <c r="I755" i="10"/>
  <c r="J754" i="10"/>
  <c r="I754" i="10"/>
  <c r="J753" i="10"/>
  <c r="I753" i="10"/>
  <c r="J752" i="10"/>
  <c r="I752" i="10"/>
  <c r="J751" i="10"/>
  <c r="I751" i="10"/>
  <c r="J750" i="10"/>
  <c r="I750" i="10"/>
  <c r="J749" i="10"/>
  <c r="I749" i="10"/>
  <c r="J748" i="10"/>
  <c r="I748" i="10"/>
  <c r="J747" i="10"/>
  <c r="I747" i="10"/>
  <c r="J746" i="10"/>
  <c r="I746" i="10"/>
  <c r="J745" i="10"/>
  <c r="I745" i="10"/>
  <c r="J744" i="10"/>
  <c r="I744" i="10"/>
  <c r="J743" i="10"/>
  <c r="I743" i="10"/>
  <c r="J742" i="10"/>
  <c r="I742" i="10"/>
  <c r="J741" i="10"/>
  <c r="I741" i="10"/>
  <c r="J740" i="10"/>
  <c r="I740" i="10"/>
  <c r="J739" i="10"/>
  <c r="I739" i="10"/>
  <c r="J738" i="10"/>
  <c r="I738" i="10"/>
  <c r="J737" i="10"/>
  <c r="I737" i="10"/>
  <c r="J736" i="10"/>
  <c r="I736" i="10"/>
  <c r="J735" i="10"/>
  <c r="I735" i="10"/>
  <c r="J734" i="10"/>
  <c r="I734" i="10"/>
  <c r="J733" i="10"/>
  <c r="I733" i="10"/>
  <c r="J732" i="10"/>
  <c r="I732" i="10"/>
  <c r="J731" i="10"/>
  <c r="I731" i="10"/>
  <c r="J730" i="10"/>
  <c r="I730" i="10"/>
  <c r="J729" i="10"/>
  <c r="I729" i="10"/>
  <c r="J728" i="10"/>
  <c r="I728" i="10"/>
  <c r="J727" i="10"/>
  <c r="I727" i="10"/>
  <c r="J726" i="10"/>
  <c r="I726" i="10"/>
  <c r="J725" i="10"/>
  <c r="I725" i="10"/>
  <c r="J724" i="10"/>
  <c r="I724" i="10"/>
  <c r="J723" i="10"/>
  <c r="I723" i="10"/>
  <c r="J722" i="10"/>
  <c r="I722" i="10"/>
  <c r="J721" i="10"/>
  <c r="I721" i="10"/>
  <c r="J720" i="10"/>
  <c r="I720" i="10"/>
  <c r="J719" i="10"/>
  <c r="I719" i="10"/>
  <c r="J718" i="10"/>
  <c r="I718" i="10"/>
  <c r="J717" i="10"/>
  <c r="I717" i="10"/>
  <c r="J716" i="10"/>
  <c r="I716" i="10"/>
  <c r="J715" i="10"/>
  <c r="I715" i="10"/>
  <c r="J714" i="10"/>
  <c r="I714" i="10"/>
  <c r="J713" i="10"/>
  <c r="I713" i="10"/>
  <c r="J712" i="10"/>
  <c r="I712" i="10"/>
  <c r="J711" i="10"/>
  <c r="I711" i="10"/>
  <c r="J710" i="10"/>
  <c r="I710" i="10"/>
  <c r="J709" i="10"/>
  <c r="I709" i="10"/>
  <c r="J708" i="10"/>
  <c r="I708" i="10"/>
  <c r="J707" i="10"/>
  <c r="I707" i="10"/>
  <c r="J706" i="10"/>
  <c r="I706" i="10"/>
  <c r="J705" i="10"/>
  <c r="I705" i="10"/>
  <c r="J704" i="10"/>
  <c r="I704" i="10"/>
  <c r="J703" i="10"/>
  <c r="I703" i="10"/>
  <c r="J702" i="10"/>
  <c r="I702" i="10"/>
  <c r="J701" i="10"/>
  <c r="I701" i="10"/>
  <c r="J700" i="10"/>
  <c r="I700" i="10"/>
  <c r="J699" i="10"/>
  <c r="I699" i="10"/>
  <c r="J698" i="10"/>
  <c r="I698" i="10"/>
  <c r="J697" i="10"/>
  <c r="I697" i="10"/>
  <c r="J696" i="10"/>
  <c r="I696" i="10"/>
  <c r="J695" i="10"/>
  <c r="I695" i="10"/>
  <c r="J694" i="10"/>
  <c r="I694" i="10"/>
  <c r="J693" i="10"/>
  <c r="I693" i="10"/>
  <c r="J692" i="10"/>
  <c r="I692" i="10"/>
  <c r="J691" i="10"/>
  <c r="I691" i="10"/>
  <c r="J690" i="10"/>
  <c r="I690" i="10"/>
  <c r="J689" i="10"/>
  <c r="I689" i="10"/>
  <c r="J688" i="10"/>
  <c r="I688" i="10"/>
  <c r="J687" i="10"/>
  <c r="I687" i="10"/>
  <c r="J686" i="10"/>
  <c r="I686" i="10"/>
  <c r="J685" i="10"/>
  <c r="I685" i="10"/>
  <c r="J684" i="10"/>
  <c r="I684" i="10"/>
  <c r="J683" i="10"/>
  <c r="I683" i="10"/>
  <c r="J682" i="10"/>
  <c r="I682" i="10"/>
  <c r="J681" i="10"/>
  <c r="I681" i="10"/>
  <c r="J680" i="10"/>
  <c r="I680" i="10"/>
  <c r="J679" i="10"/>
  <c r="I679" i="10"/>
  <c r="J678" i="10"/>
  <c r="I678" i="10"/>
  <c r="J677" i="10"/>
  <c r="I677" i="10"/>
  <c r="J676" i="10"/>
  <c r="I676" i="10"/>
  <c r="J675" i="10"/>
  <c r="I675" i="10"/>
  <c r="J674" i="10"/>
  <c r="I674" i="10"/>
  <c r="J673" i="10"/>
  <c r="I673" i="10"/>
  <c r="J672" i="10"/>
  <c r="I672" i="10"/>
  <c r="J671" i="10"/>
  <c r="I671" i="10"/>
  <c r="J670" i="10"/>
  <c r="I670" i="10"/>
  <c r="J669" i="10"/>
  <c r="I669" i="10"/>
  <c r="J668" i="10"/>
  <c r="I668" i="10"/>
  <c r="J667" i="10"/>
  <c r="I667" i="10"/>
  <c r="J666" i="10"/>
  <c r="I666" i="10"/>
  <c r="J665" i="10"/>
  <c r="I665" i="10"/>
  <c r="J664" i="10"/>
  <c r="I664" i="10"/>
  <c r="J663" i="10"/>
  <c r="I663" i="10"/>
  <c r="J662" i="10"/>
  <c r="I662" i="10"/>
  <c r="J661" i="10"/>
  <c r="I661" i="10"/>
  <c r="J660" i="10"/>
  <c r="I660" i="10"/>
  <c r="J659" i="10"/>
  <c r="I659" i="10"/>
  <c r="J658" i="10"/>
  <c r="I658" i="10"/>
  <c r="J657" i="10"/>
  <c r="I657" i="10"/>
  <c r="J656" i="10"/>
  <c r="I656" i="10"/>
  <c r="J655" i="10"/>
  <c r="I655" i="10"/>
  <c r="J654" i="10"/>
  <c r="I654" i="10"/>
  <c r="J653" i="10"/>
  <c r="I653" i="10"/>
  <c r="J652" i="10"/>
  <c r="I652" i="10"/>
  <c r="J651" i="10"/>
  <c r="I651" i="10"/>
  <c r="J650" i="10"/>
  <c r="I650" i="10"/>
  <c r="J649" i="10"/>
  <c r="I649" i="10"/>
  <c r="J648" i="10"/>
  <c r="I648" i="10"/>
  <c r="J647" i="10"/>
  <c r="I647" i="10"/>
  <c r="J646" i="10"/>
  <c r="I646" i="10"/>
  <c r="J645" i="10"/>
  <c r="I645" i="10"/>
  <c r="J644" i="10"/>
  <c r="I644" i="10"/>
  <c r="J643" i="10"/>
  <c r="I643" i="10"/>
  <c r="J642" i="10"/>
  <c r="I642" i="10"/>
  <c r="J641" i="10"/>
  <c r="I641" i="10"/>
  <c r="J640" i="10"/>
  <c r="I640" i="10"/>
  <c r="J639" i="10"/>
  <c r="I639" i="10"/>
  <c r="J638" i="10"/>
  <c r="I638" i="10"/>
  <c r="J637" i="10"/>
  <c r="I637" i="10"/>
  <c r="J636" i="10"/>
  <c r="I636" i="10"/>
  <c r="J635" i="10"/>
  <c r="I635" i="10"/>
  <c r="J634" i="10"/>
  <c r="I634" i="10"/>
  <c r="J633" i="10"/>
  <c r="I633" i="10"/>
  <c r="J632" i="10"/>
  <c r="I632" i="10"/>
  <c r="J631" i="10"/>
  <c r="I631" i="10"/>
  <c r="J630" i="10"/>
  <c r="I630" i="10"/>
  <c r="J629" i="10"/>
  <c r="I629" i="10"/>
  <c r="J628" i="10"/>
  <c r="I628" i="10"/>
  <c r="J627" i="10"/>
  <c r="I627" i="10"/>
  <c r="J626" i="10"/>
  <c r="I626" i="10"/>
  <c r="J625" i="10"/>
  <c r="I625" i="10"/>
  <c r="J624" i="10"/>
  <c r="I624" i="10"/>
  <c r="J623" i="10"/>
  <c r="I623" i="10"/>
  <c r="J622" i="10"/>
  <c r="I622" i="10"/>
  <c r="J621" i="10"/>
  <c r="I621" i="10"/>
  <c r="J620" i="10"/>
  <c r="I620" i="10"/>
  <c r="J619" i="10"/>
  <c r="I619" i="10"/>
  <c r="J618" i="10"/>
  <c r="I618" i="10"/>
  <c r="J617" i="10"/>
  <c r="I617" i="10"/>
  <c r="J616" i="10"/>
  <c r="I616" i="10"/>
  <c r="J615" i="10"/>
  <c r="I615" i="10"/>
  <c r="J614" i="10"/>
  <c r="I614" i="10"/>
  <c r="J613" i="10"/>
  <c r="I613" i="10"/>
  <c r="J612" i="10"/>
  <c r="I612" i="10"/>
  <c r="J611" i="10"/>
  <c r="I611" i="10"/>
  <c r="J610" i="10"/>
  <c r="I610" i="10"/>
  <c r="J609" i="10"/>
  <c r="I609" i="10"/>
  <c r="J608" i="10"/>
  <c r="I608" i="10"/>
  <c r="J607" i="10"/>
  <c r="I607" i="10"/>
  <c r="J606" i="10"/>
  <c r="I606" i="10"/>
  <c r="J605" i="10"/>
  <c r="I605" i="10"/>
  <c r="J604" i="10"/>
  <c r="I604" i="10"/>
  <c r="J603" i="10"/>
  <c r="I603" i="10"/>
  <c r="J602" i="10"/>
  <c r="I602" i="10"/>
  <c r="J601" i="10"/>
  <c r="I601" i="10"/>
  <c r="J600" i="10"/>
  <c r="I600" i="10"/>
  <c r="J599" i="10"/>
  <c r="I599" i="10"/>
  <c r="J598" i="10"/>
  <c r="I598" i="10"/>
  <c r="J597" i="10"/>
  <c r="I597" i="10"/>
  <c r="J596" i="10"/>
  <c r="I596" i="10"/>
  <c r="J595" i="10"/>
  <c r="I595" i="10"/>
  <c r="J594" i="10"/>
  <c r="I594" i="10"/>
  <c r="J593" i="10"/>
  <c r="I593" i="10"/>
  <c r="J592" i="10"/>
  <c r="I592" i="10"/>
  <c r="J591" i="10"/>
  <c r="I591" i="10"/>
  <c r="J590" i="10"/>
  <c r="I590" i="10"/>
  <c r="J589" i="10"/>
  <c r="I589" i="10"/>
  <c r="J588" i="10"/>
  <c r="I588" i="10"/>
  <c r="J587" i="10"/>
  <c r="I587" i="10"/>
  <c r="J586" i="10"/>
  <c r="I586" i="10"/>
  <c r="J585" i="10"/>
  <c r="I585" i="10"/>
  <c r="J584" i="10"/>
  <c r="I584" i="10"/>
  <c r="J583" i="10"/>
  <c r="I583" i="10"/>
  <c r="J582" i="10"/>
  <c r="I582" i="10"/>
  <c r="J581" i="10"/>
  <c r="I581" i="10"/>
  <c r="J580" i="10"/>
  <c r="I580" i="10"/>
  <c r="J579" i="10"/>
  <c r="I579" i="10"/>
  <c r="J578" i="10"/>
  <c r="I578" i="10"/>
  <c r="J577" i="10"/>
  <c r="I577" i="10"/>
  <c r="J576" i="10"/>
  <c r="I576" i="10"/>
  <c r="J575" i="10"/>
  <c r="I575" i="10"/>
  <c r="J574" i="10"/>
  <c r="I574" i="10"/>
  <c r="J573" i="10"/>
  <c r="I573" i="10"/>
  <c r="J572" i="10"/>
  <c r="I572" i="10"/>
  <c r="J571" i="10"/>
  <c r="I571" i="10"/>
  <c r="J570" i="10"/>
  <c r="I570" i="10"/>
  <c r="J569" i="10"/>
  <c r="I569" i="10"/>
  <c r="J568" i="10"/>
  <c r="I568" i="10"/>
  <c r="J567" i="10"/>
  <c r="I567" i="10"/>
  <c r="J566" i="10"/>
  <c r="I566" i="10"/>
  <c r="J565" i="10"/>
  <c r="I565" i="10"/>
  <c r="J564" i="10"/>
  <c r="I564" i="10"/>
  <c r="J563" i="10"/>
  <c r="I563" i="10"/>
  <c r="J562" i="10"/>
  <c r="I562" i="10"/>
  <c r="J561" i="10"/>
  <c r="I561" i="10"/>
  <c r="J560" i="10"/>
  <c r="I560" i="10"/>
  <c r="J559" i="10"/>
  <c r="I559" i="10"/>
  <c r="J558" i="10"/>
  <c r="I558" i="10"/>
  <c r="J557" i="10"/>
  <c r="I557" i="10"/>
  <c r="J556" i="10"/>
  <c r="I556" i="10"/>
  <c r="J555" i="10"/>
  <c r="I555" i="10"/>
  <c r="J554" i="10"/>
  <c r="I554" i="10"/>
  <c r="J553" i="10"/>
  <c r="I553" i="10"/>
  <c r="J552" i="10"/>
  <c r="I552" i="10"/>
  <c r="J551" i="10"/>
  <c r="I551" i="10"/>
  <c r="J550" i="10"/>
  <c r="I550" i="10"/>
  <c r="J549" i="10"/>
  <c r="I549" i="10"/>
  <c r="J548" i="10"/>
  <c r="I548" i="10"/>
  <c r="J547" i="10"/>
  <c r="I547" i="10"/>
  <c r="J546" i="10"/>
  <c r="I546" i="10"/>
  <c r="J545" i="10"/>
  <c r="I545" i="10"/>
  <c r="J544" i="10"/>
  <c r="I544" i="10"/>
  <c r="J543" i="10"/>
  <c r="I543" i="10"/>
  <c r="J542" i="10"/>
  <c r="I542" i="10"/>
  <c r="J541" i="10"/>
  <c r="I541" i="10"/>
  <c r="J540" i="10"/>
  <c r="I540" i="10"/>
  <c r="J539" i="10"/>
  <c r="I539" i="10"/>
  <c r="J538" i="10"/>
  <c r="I538" i="10"/>
  <c r="J537" i="10"/>
  <c r="I537" i="10"/>
  <c r="J536" i="10"/>
  <c r="I536" i="10"/>
  <c r="J535" i="10"/>
  <c r="I535" i="10"/>
  <c r="J534" i="10"/>
  <c r="I534" i="10"/>
  <c r="J533" i="10"/>
  <c r="I533" i="10"/>
  <c r="J532" i="10"/>
  <c r="I532" i="10"/>
  <c r="J531" i="10"/>
  <c r="I531" i="10"/>
  <c r="J530" i="10"/>
  <c r="I530" i="10"/>
  <c r="J529" i="10"/>
  <c r="I529" i="10"/>
  <c r="J528" i="10"/>
  <c r="I528" i="10"/>
  <c r="J527" i="10"/>
  <c r="I527" i="10"/>
  <c r="J526" i="10"/>
  <c r="I526" i="10"/>
  <c r="J525" i="10"/>
  <c r="I525" i="10"/>
  <c r="J524" i="10"/>
  <c r="I524" i="10"/>
  <c r="J523" i="10"/>
  <c r="I523" i="10"/>
  <c r="J522" i="10"/>
  <c r="I522" i="10"/>
  <c r="J521" i="10"/>
  <c r="I521" i="10"/>
  <c r="J520" i="10"/>
  <c r="I520" i="10"/>
  <c r="J519" i="10"/>
  <c r="I519" i="10"/>
  <c r="J518" i="10"/>
  <c r="I518" i="10"/>
  <c r="J517" i="10"/>
  <c r="I517" i="10"/>
  <c r="J516" i="10"/>
  <c r="I516" i="10"/>
  <c r="J515" i="10"/>
  <c r="I515" i="10"/>
  <c r="J514" i="10"/>
  <c r="I514" i="10"/>
  <c r="J513" i="10"/>
  <c r="I513" i="10"/>
  <c r="J512" i="10"/>
  <c r="I512" i="10"/>
  <c r="J511" i="10"/>
  <c r="I511" i="10"/>
  <c r="J510" i="10"/>
  <c r="I510" i="10"/>
  <c r="J509" i="10"/>
  <c r="I509" i="10"/>
  <c r="J508" i="10"/>
  <c r="I508" i="10"/>
  <c r="J507" i="10"/>
  <c r="I507" i="10"/>
  <c r="J506" i="10"/>
  <c r="I506" i="10"/>
  <c r="J505" i="10"/>
  <c r="I505" i="10"/>
  <c r="J504" i="10"/>
  <c r="I504" i="10"/>
  <c r="J503" i="10"/>
  <c r="I503" i="10"/>
  <c r="J502" i="10"/>
  <c r="I502" i="10"/>
  <c r="J501" i="10"/>
  <c r="I501" i="10"/>
  <c r="J500" i="10"/>
  <c r="I500" i="10"/>
  <c r="J499" i="10"/>
  <c r="I499" i="10"/>
  <c r="J498" i="10"/>
  <c r="I498" i="10"/>
  <c r="J497" i="10"/>
  <c r="I497" i="10"/>
  <c r="J496" i="10"/>
  <c r="I496" i="10"/>
  <c r="J495" i="10"/>
  <c r="I495" i="10"/>
  <c r="J494" i="10"/>
  <c r="I494" i="10"/>
  <c r="J493" i="10"/>
  <c r="I493" i="10"/>
  <c r="J492" i="10"/>
  <c r="I492" i="10"/>
  <c r="J491" i="10"/>
  <c r="I491" i="10"/>
  <c r="J490" i="10"/>
  <c r="I490" i="10"/>
  <c r="J489" i="10"/>
  <c r="I489" i="10"/>
  <c r="J488" i="10"/>
  <c r="I488" i="10"/>
  <c r="J487" i="10"/>
  <c r="I487" i="10"/>
  <c r="J486" i="10"/>
  <c r="I486" i="10"/>
  <c r="J485" i="10"/>
  <c r="I485" i="10"/>
  <c r="J484" i="10"/>
  <c r="I484" i="10"/>
  <c r="J483" i="10"/>
  <c r="I483" i="10"/>
  <c r="J482" i="10"/>
  <c r="I482" i="10"/>
  <c r="J481" i="10"/>
  <c r="I481" i="10"/>
  <c r="J480" i="10"/>
  <c r="I480" i="10"/>
  <c r="J479" i="10"/>
  <c r="I479" i="10"/>
  <c r="J478" i="10"/>
  <c r="I478" i="10"/>
  <c r="J477" i="10"/>
  <c r="I477" i="10"/>
  <c r="J476" i="10"/>
  <c r="I476" i="10"/>
  <c r="J475" i="10"/>
  <c r="I475" i="10"/>
  <c r="J474" i="10"/>
  <c r="I474" i="10"/>
  <c r="J473" i="10"/>
  <c r="I473" i="10"/>
  <c r="J472" i="10"/>
  <c r="I472" i="10"/>
  <c r="J471" i="10"/>
  <c r="I471" i="10"/>
  <c r="J470" i="10"/>
  <c r="I470" i="10"/>
  <c r="J469" i="10"/>
  <c r="I469" i="10"/>
  <c r="J468" i="10"/>
  <c r="I468" i="10"/>
  <c r="J467" i="10"/>
  <c r="I467" i="10"/>
  <c r="J466" i="10"/>
  <c r="I466" i="10"/>
  <c r="J465" i="10"/>
  <c r="I465" i="10"/>
  <c r="J464" i="10"/>
  <c r="I464" i="10"/>
  <c r="J463" i="10"/>
  <c r="I463" i="10"/>
  <c r="J462" i="10"/>
  <c r="I462" i="10"/>
  <c r="J461" i="10"/>
  <c r="I461" i="10"/>
  <c r="J460" i="10"/>
  <c r="I460" i="10"/>
  <c r="J459" i="10"/>
  <c r="I459" i="10"/>
  <c r="J458" i="10"/>
  <c r="I458" i="10"/>
  <c r="J457" i="10"/>
  <c r="I457" i="10"/>
  <c r="J456" i="10"/>
  <c r="I456" i="10"/>
  <c r="J455" i="10"/>
  <c r="I455" i="10"/>
  <c r="J454" i="10"/>
  <c r="I454" i="10"/>
  <c r="J453" i="10"/>
  <c r="I453" i="10"/>
  <c r="J452" i="10"/>
  <c r="I452" i="10"/>
  <c r="J451" i="10"/>
  <c r="I451" i="10"/>
  <c r="J450" i="10"/>
  <c r="I450" i="10"/>
  <c r="J449" i="10"/>
  <c r="I449" i="10"/>
  <c r="J448" i="10"/>
  <c r="I448" i="10"/>
  <c r="J447" i="10"/>
  <c r="I447" i="10"/>
  <c r="J446" i="10"/>
  <c r="I446" i="10"/>
  <c r="J445" i="10"/>
  <c r="I445" i="10"/>
  <c r="J444" i="10"/>
  <c r="I444" i="10"/>
  <c r="J443" i="10"/>
  <c r="I443" i="10"/>
  <c r="J442" i="10"/>
  <c r="I442" i="10"/>
  <c r="J441" i="10"/>
  <c r="I441" i="10"/>
  <c r="J440" i="10"/>
  <c r="I440" i="10"/>
  <c r="J439" i="10"/>
  <c r="I439" i="10"/>
  <c r="J438" i="10"/>
  <c r="I438" i="10"/>
  <c r="J437" i="10"/>
  <c r="I437" i="10"/>
  <c r="J436" i="10"/>
  <c r="I436" i="10"/>
  <c r="J435" i="10"/>
  <c r="I435" i="10"/>
  <c r="J434" i="10"/>
  <c r="I434" i="10"/>
  <c r="J433" i="10"/>
  <c r="I433" i="10"/>
  <c r="J432" i="10"/>
  <c r="I432" i="10"/>
  <c r="J431" i="10"/>
  <c r="I431" i="10"/>
  <c r="J430" i="10"/>
  <c r="I430" i="10"/>
  <c r="J429" i="10"/>
  <c r="I429" i="10"/>
  <c r="J428" i="10"/>
  <c r="I428" i="10"/>
  <c r="J427" i="10"/>
  <c r="I427" i="10"/>
  <c r="J426" i="10"/>
  <c r="I426" i="10"/>
  <c r="J425" i="10"/>
  <c r="I425" i="10"/>
  <c r="J424" i="10"/>
  <c r="I424" i="10"/>
  <c r="J423" i="10"/>
  <c r="I423" i="10"/>
  <c r="J422" i="10"/>
  <c r="I422" i="10"/>
  <c r="J421" i="10"/>
  <c r="I421" i="10"/>
  <c r="J420" i="10"/>
  <c r="I420" i="10"/>
  <c r="J419" i="10"/>
  <c r="I419" i="10"/>
  <c r="J418" i="10"/>
  <c r="I418" i="10"/>
  <c r="J417" i="10"/>
  <c r="I417" i="10"/>
  <c r="J416" i="10"/>
  <c r="I416" i="10"/>
  <c r="J415" i="10"/>
  <c r="I415" i="10"/>
  <c r="J414" i="10"/>
  <c r="I414" i="10"/>
  <c r="J413" i="10"/>
  <c r="I413" i="10"/>
  <c r="J412" i="10"/>
  <c r="I412" i="10"/>
  <c r="J411" i="10"/>
  <c r="I411" i="10"/>
  <c r="J410" i="10"/>
  <c r="I410" i="10"/>
  <c r="J409" i="10"/>
  <c r="I409" i="10"/>
  <c r="J408" i="10"/>
  <c r="I408" i="10"/>
  <c r="J407" i="10"/>
  <c r="I407" i="10"/>
  <c r="J406" i="10"/>
  <c r="I406" i="10"/>
  <c r="J405" i="10"/>
  <c r="I405" i="10"/>
  <c r="J404" i="10"/>
  <c r="I404" i="10"/>
  <c r="J403" i="10"/>
  <c r="I403" i="10"/>
  <c r="J402" i="10"/>
  <c r="I402" i="10"/>
  <c r="J401" i="10"/>
  <c r="I401" i="10"/>
  <c r="J400" i="10"/>
  <c r="I400" i="10"/>
  <c r="J399" i="10"/>
  <c r="I399" i="10"/>
  <c r="J398" i="10"/>
  <c r="I398" i="10"/>
  <c r="J397" i="10"/>
  <c r="I397" i="10"/>
  <c r="J396" i="10"/>
  <c r="I396" i="10"/>
  <c r="J395" i="10"/>
  <c r="I395" i="10"/>
  <c r="J394" i="10"/>
  <c r="I394" i="10"/>
  <c r="J393" i="10"/>
  <c r="I393" i="10"/>
  <c r="J392" i="10"/>
  <c r="I392" i="10"/>
  <c r="J391" i="10"/>
  <c r="I391" i="10"/>
  <c r="J390" i="10"/>
  <c r="I390" i="10"/>
  <c r="J389" i="10"/>
  <c r="I389" i="10"/>
  <c r="J388" i="10"/>
  <c r="I388" i="10"/>
  <c r="J387" i="10"/>
  <c r="I387" i="10"/>
  <c r="J386" i="10"/>
  <c r="I386" i="10"/>
  <c r="J385" i="10"/>
  <c r="I385" i="10"/>
  <c r="J384" i="10"/>
  <c r="I384" i="10"/>
  <c r="J383" i="10"/>
  <c r="I383" i="10"/>
  <c r="J382" i="10"/>
  <c r="I382" i="10"/>
  <c r="J381" i="10"/>
  <c r="I381" i="10"/>
  <c r="J380" i="10"/>
  <c r="I380" i="10"/>
  <c r="J379" i="10"/>
  <c r="I379" i="10"/>
  <c r="J378" i="10"/>
  <c r="I378" i="10"/>
  <c r="J377" i="10"/>
  <c r="I377" i="10"/>
  <c r="J376" i="10"/>
  <c r="I376" i="10"/>
  <c r="J375" i="10"/>
  <c r="I375" i="10"/>
  <c r="J374" i="10"/>
  <c r="I374" i="10"/>
  <c r="J373" i="10"/>
  <c r="I373" i="10"/>
  <c r="J372" i="10"/>
  <c r="I372" i="10"/>
  <c r="J371" i="10"/>
  <c r="I371" i="10"/>
  <c r="J370" i="10"/>
  <c r="I370" i="10"/>
  <c r="J369" i="10"/>
  <c r="I369" i="10"/>
  <c r="J368" i="10"/>
  <c r="I368" i="10"/>
  <c r="J367" i="10"/>
  <c r="I367" i="10"/>
  <c r="J366" i="10"/>
  <c r="I366" i="10"/>
  <c r="J365" i="10"/>
  <c r="I365" i="10"/>
  <c r="J364" i="10"/>
  <c r="I364" i="10"/>
  <c r="J363" i="10"/>
  <c r="I363" i="10"/>
  <c r="J362" i="10"/>
  <c r="I362" i="10"/>
  <c r="J361" i="10"/>
  <c r="I361" i="10"/>
  <c r="J360" i="10"/>
  <c r="I360" i="10"/>
  <c r="J359" i="10"/>
  <c r="I359" i="10"/>
  <c r="J358" i="10"/>
  <c r="I358" i="10"/>
  <c r="J357" i="10"/>
  <c r="I357" i="10"/>
  <c r="J356" i="10"/>
  <c r="I356" i="10"/>
  <c r="J355" i="10"/>
  <c r="I355" i="10"/>
  <c r="J354" i="10"/>
  <c r="I354" i="10"/>
  <c r="J353" i="10"/>
  <c r="I353" i="10"/>
  <c r="J352" i="10"/>
  <c r="I352" i="10"/>
  <c r="J351" i="10"/>
  <c r="I351" i="10"/>
  <c r="J350" i="10"/>
  <c r="I350" i="10"/>
  <c r="J349" i="10"/>
  <c r="I349" i="10"/>
  <c r="J348" i="10"/>
  <c r="I348" i="10"/>
  <c r="J347" i="10"/>
  <c r="I347" i="10"/>
  <c r="J346" i="10"/>
  <c r="I346" i="10"/>
  <c r="J345" i="10"/>
  <c r="I345" i="10"/>
  <c r="J344" i="10"/>
  <c r="I344" i="10"/>
  <c r="J343" i="10"/>
  <c r="I343" i="10"/>
  <c r="J342" i="10"/>
  <c r="I342" i="10"/>
  <c r="J341" i="10"/>
  <c r="I341" i="10"/>
  <c r="J340" i="10"/>
  <c r="I340" i="10"/>
  <c r="J339" i="10"/>
  <c r="I339" i="10"/>
  <c r="J338" i="10"/>
  <c r="I338" i="10"/>
  <c r="J337" i="10"/>
  <c r="I337" i="10"/>
  <c r="J336" i="10"/>
  <c r="I336" i="10"/>
  <c r="J335" i="10"/>
  <c r="I335" i="10"/>
  <c r="J334" i="10"/>
  <c r="I334" i="10"/>
  <c r="J333" i="10"/>
  <c r="I333" i="10"/>
  <c r="J332" i="10"/>
  <c r="I332" i="10"/>
  <c r="J331" i="10"/>
  <c r="I331" i="10"/>
  <c r="J330" i="10"/>
  <c r="I330" i="10"/>
  <c r="J329" i="10"/>
  <c r="I329" i="10"/>
  <c r="J328" i="10"/>
  <c r="I328" i="10"/>
  <c r="J327" i="10"/>
  <c r="I327" i="10"/>
  <c r="J326" i="10"/>
  <c r="I326" i="10"/>
  <c r="J325" i="10"/>
  <c r="I325" i="10"/>
  <c r="J324" i="10"/>
  <c r="I324" i="10"/>
  <c r="J323" i="10"/>
  <c r="I323" i="10"/>
  <c r="J322" i="10"/>
  <c r="I322" i="10"/>
  <c r="J321" i="10"/>
  <c r="I321" i="10"/>
  <c r="J320" i="10"/>
  <c r="I320" i="10"/>
  <c r="J319" i="10"/>
  <c r="I319" i="10"/>
  <c r="J318" i="10"/>
  <c r="I318" i="10"/>
  <c r="J317" i="10"/>
  <c r="I317" i="10"/>
  <c r="J316" i="10"/>
  <c r="I316" i="10"/>
  <c r="J315" i="10"/>
  <c r="I315" i="10"/>
  <c r="J314" i="10"/>
  <c r="I314" i="10"/>
  <c r="J313" i="10"/>
  <c r="I313" i="10"/>
  <c r="J312" i="10"/>
  <c r="I312" i="10"/>
  <c r="J311" i="10"/>
  <c r="I311" i="10"/>
  <c r="J310" i="10"/>
  <c r="I310" i="10"/>
  <c r="J309" i="10"/>
  <c r="I309" i="10"/>
  <c r="J308" i="10"/>
  <c r="I308" i="10"/>
  <c r="J307" i="10"/>
  <c r="I307" i="10"/>
  <c r="J306" i="10"/>
  <c r="I306" i="10"/>
  <c r="J305" i="10"/>
  <c r="I305" i="10"/>
  <c r="J304" i="10"/>
  <c r="I304" i="10"/>
  <c r="J303" i="10"/>
  <c r="I303" i="10"/>
  <c r="J302" i="10"/>
  <c r="I302" i="10"/>
  <c r="J301" i="10"/>
  <c r="I301" i="10"/>
  <c r="J300" i="10"/>
  <c r="I300" i="10"/>
  <c r="J299" i="10"/>
  <c r="I299" i="10"/>
  <c r="J298" i="10"/>
  <c r="I298" i="10"/>
  <c r="J297" i="10"/>
  <c r="I297" i="10"/>
  <c r="J296" i="10"/>
  <c r="I296" i="10"/>
  <c r="J295" i="10"/>
  <c r="I295" i="10"/>
  <c r="J294" i="10"/>
  <c r="I294" i="10"/>
  <c r="J293" i="10"/>
  <c r="I293" i="10"/>
  <c r="J292" i="10"/>
  <c r="I292" i="10"/>
  <c r="J291" i="10"/>
  <c r="I291" i="10"/>
  <c r="J290" i="10"/>
  <c r="I290" i="10"/>
  <c r="J289" i="10"/>
  <c r="I289" i="10"/>
  <c r="J288" i="10"/>
  <c r="I288" i="10"/>
  <c r="J287" i="10"/>
  <c r="I287" i="10"/>
  <c r="J286" i="10"/>
  <c r="I286" i="10"/>
  <c r="J285" i="10"/>
  <c r="I285" i="10"/>
  <c r="J284" i="10"/>
  <c r="I284" i="10"/>
  <c r="J283" i="10"/>
  <c r="I283" i="10"/>
  <c r="J282" i="10"/>
  <c r="I282" i="10"/>
  <c r="J281" i="10"/>
  <c r="I281" i="10"/>
  <c r="J280" i="10"/>
  <c r="I280" i="10"/>
  <c r="J279" i="10"/>
  <c r="I279" i="10"/>
  <c r="J278" i="10"/>
  <c r="I278" i="10"/>
  <c r="J277" i="10"/>
  <c r="I277" i="10"/>
  <c r="J276" i="10"/>
  <c r="I276" i="10"/>
  <c r="J275" i="10"/>
  <c r="I275" i="10"/>
  <c r="J274" i="10"/>
  <c r="I274" i="10"/>
  <c r="J273" i="10"/>
  <c r="I273" i="10"/>
  <c r="J272" i="10"/>
  <c r="I272" i="10"/>
  <c r="J271" i="10"/>
  <c r="I271" i="10"/>
  <c r="J270" i="10"/>
  <c r="I270" i="10"/>
  <c r="J269" i="10"/>
  <c r="I269" i="10"/>
  <c r="J268" i="10"/>
  <c r="I268" i="10"/>
  <c r="J267" i="10"/>
  <c r="I267" i="10"/>
  <c r="J266" i="10"/>
  <c r="I266" i="10"/>
  <c r="J265" i="10"/>
  <c r="I265" i="10"/>
  <c r="J264" i="10"/>
  <c r="I264" i="10"/>
  <c r="J263" i="10"/>
  <c r="I263" i="10"/>
  <c r="J262" i="10"/>
  <c r="I262" i="10"/>
  <c r="J261" i="10"/>
  <c r="I261" i="10"/>
  <c r="J260" i="10"/>
  <c r="I260" i="10"/>
  <c r="J259" i="10"/>
  <c r="I259" i="10"/>
  <c r="J258" i="10"/>
  <c r="I258" i="10"/>
  <c r="J257" i="10"/>
  <c r="I257" i="10"/>
  <c r="J256" i="10"/>
  <c r="I256" i="10"/>
  <c r="J255" i="10"/>
  <c r="I255" i="10"/>
  <c r="J254" i="10"/>
  <c r="I254" i="10"/>
  <c r="J253" i="10"/>
  <c r="I253" i="10"/>
  <c r="J252" i="10"/>
  <c r="I252" i="10"/>
  <c r="J251" i="10"/>
  <c r="I251" i="10"/>
  <c r="J250" i="10"/>
  <c r="I250" i="10"/>
  <c r="J249" i="10"/>
  <c r="I249" i="10"/>
  <c r="J248" i="10"/>
  <c r="I248" i="10"/>
  <c r="J247" i="10"/>
  <c r="I247" i="10"/>
  <c r="J246" i="10"/>
  <c r="I246" i="10"/>
  <c r="J245" i="10"/>
  <c r="I245" i="10"/>
  <c r="J244" i="10"/>
  <c r="I244" i="10"/>
  <c r="J243" i="10"/>
  <c r="I243" i="10"/>
  <c r="J242" i="10"/>
  <c r="I242" i="10"/>
  <c r="J241" i="10"/>
  <c r="I241" i="10"/>
  <c r="J240" i="10"/>
  <c r="I240" i="10"/>
  <c r="J239" i="10"/>
  <c r="I239" i="10"/>
  <c r="J238" i="10"/>
  <c r="I238" i="10"/>
  <c r="J237" i="10"/>
  <c r="I237" i="10"/>
  <c r="J236" i="10"/>
  <c r="I236" i="10"/>
  <c r="J235" i="10"/>
  <c r="I235" i="10"/>
  <c r="J234" i="10"/>
  <c r="I234" i="10"/>
  <c r="J233" i="10"/>
  <c r="I233" i="10"/>
  <c r="J232" i="10"/>
  <c r="I232" i="10"/>
  <c r="J231" i="10"/>
  <c r="I231" i="10"/>
  <c r="J230" i="10"/>
  <c r="I230" i="10"/>
  <c r="J229" i="10"/>
  <c r="I229" i="10"/>
  <c r="J228" i="10"/>
  <c r="I228" i="10"/>
  <c r="J227" i="10"/>
  <c r="I227" i="10"/>
  <c r="J226" i="10"/>
  <c r="I226" i="10"/>
  <c r="J225" i="10"/>
  <c r="I225" i="10"/>
  <c r="J224" i="10"/>
  <c r="I224" i="10"/>
  <c r="J223" i="10"/>
  <c r="I223" i="10"/>
  <c r="J222" i="10"/>
  <c r="I222" i="10"/>
  <c r="J221" i="10"/>
  <c r="I221" i="10"/>
  <c r="J220" i="10"/>
  <c r="I220" i="10"/>
  <c r="J219" i="10"/>
  <c r="I219" i="10"/>
  <c r="J218" i="10"/>
  <c r="I218" i="10"/>
  <c r="J217" i="10"/>
  <c r="I217" i="10"/>
  <c r="J216" i="10"/>
  <c r="I216" i="10"/>
  <c r="J215" i="10"/>
  <c r="I215" i="10"/>
  <c r="J214" i="10"/>
  <c r="I214" i="10"/>
  <c r="J213" i="10"/>
  <c r="I213" i="10"/>
  <c r="J212" i="10"/>
  <c r="I212" i="10"/>
  <c r="J211" i="10"/>
  <c r="I211" i="10"/>
  <c r="J210" i="10"/>
  <c r="I210" i="10"/>
  <c r="J209" i="10"/>
  <c r="I209" i="10"/>
  <c r="J208" i="10"/>
  <c r="I208" i="10"/>
  <c r="J207" i="10"/>
  <c r="I207" i="10"/>
  <c r="J206" i="10"/>
  <c r="I206" i="10"/>
  <c r="J205" i="10"/>
  <c r="I205" i="10"/>
  <c r="J204" i="10"/>
  <c r="I204" i="10"/>
  <c r="J203" i="10"/>
  <c r="I203" i="10"/>
  <c r="J202" i="10"/>
  <c r="I202" i="10"/>
  <c r="J201" i="10"/>
  <c r="I201" i="10"/>
  <c r="J200" i="10"/>
  <c r="I200" i="10"/>
  <c r="J199" i="10"/>
  <c r="I199" i="10"/>
  <c r="J198" i="10"/>
  <c r="I198" i="10"/>
  <c r="J197" i="10"/>
  <c r="I197" i="10"/>
  <c r="J196" i="10"/>
  <c r="I196" i="10"/>
  <c r="J195" i="10"/>
  <c r="I195" i="10"/>
  <c r="J194" i="10"/>
  <c r="I194" i="10"/>
  <c r="J193" i="10"/>
  <c r="I193" i="10"/>
  <c r="J192" i="10"/>
  <c r="I192" i="10"/>
  <c r="J191" i="10"/>
  <c r="I191" i="10"/>
  <c r="J190" i="10"/>
  <c r="I190" i="10"/>
  <c r="J189" i="10"/>
  <c r="I189" i="10"/>
  <c r="J188" i="10"/>
  <c r="I188" i="10"/>
  <c r="J187" i="10"/>
  <c r="I187" i="10"/>
  <c r="J186" i="10"/>
  <c r="I186" i="10"/>
  <c r="J185" i="10"/>
  <c r="I185" i="10"/>
  <c r="J184" i="10"/>
  <c r="I184" i="10"/>
  <c r="J183" i="10"/>
  <c r="I183" i="10"/>
  <c r="J182" i="10"/>
  <c r="I182" i="10"/>
  <c r="J181" i="10"/>
  <c r="I181" i="10"/>
  <c r="J180" i="10"/>
  <c r="I180" i="10"/>
  <c r="J179" i="10"/>
  <c r="I179" i="10"/>
  <c r="J178" i="10"/>
  <c r="I178" i="10"/>
  <c r="J177" i="10"/>
  <c r="I177" i="10"/>
  <c r="J176" i="10"/>
  <c r="I176" i="10"/>
  <c r="J175" i="10"/>
  <c r="I175" i="10"/>
  <c r="J174" i="10"/>
  <c r="I174" i="10"/>
  <c r="J173" i="10"/>
  <c r="I173" i="10"/>
  <c r="J172" i="10"/>
  <c r="I172" i="10"/>
  <c r="J171" i="10"/>
  <c r="I171" i="10"/>
  <c r="J170" i="10"/>
  <c r="I170" i="10"/>
  <c r="J169" i="10"/>
  <c r="I169" i="10"/>
  <c r="J168" i="10"/>
  <c r="I168" i="10"/>
  <c r="J167" i="10"/>
  <c r="I167" i="10"/>
  <c r="J166" i="10"/>
  <c r="I166" i="10"/>
  <c r="J165" i="10"/>
  <c r="I165" i="10"/>
  <c r="J164" i="10"/>
  <c r="I164" i="10"/>
  <c r="J163" i="10"/>
  <c r="I163" i="10"/>
  <c r="J162" i="10"/>
  <c r="I162" i="10"/>
  <c r="J161" i="10"/>
  <c r="I161" i="10"/>
  <c r="J160" i="10"/>
  <c r="I160" i="10"/>
  <c r="J159" i="10"/>
  <c r="I159" i="10"/>
  <c r="J158" i="10"/>
  <c r="I158" i="10"/>
  <c r="J157" i="10"/>
  <c r="I157" i="10"/>
  <c r="J156" i="10"/>
  <c r="I156" i="10"/>
  <c r="J155" i="10"/>
  <c r="I155" i="10"/>
  <c r="J154" i="10"/>
  <c r="I154" i="10"/>
  <c r="J153" i="10"/>
  <c r="I153" i="10"/>
  <c r="J152" i="10"/>
  <c r="I152" i="10"/>
  <c r="J151" i="10"/>
  <c r="I151" i="10"/>
  <c r="J150" i="10"/>
  <c r="I150" i="10"/>
  <c r="J149" i="10"/>
  <c r="I149" i="10"/>
  <c r="J148" i="10"/>
  <c r="I148" i="10"/>
  <c r="J147" i="10"/>
  <c r="I147" i="10"/>
  <c r="J146" i="10"/>
  <c r="I146" i="10"/>
  <c r="J145" i="10"/>
  <c r="I145" i="10"/>
  <c r="J144" i="10"/>
  <c r="I144" i="10"/>
  <c r="J143" i="10"/>
  <c r="I143" i="10"/>
  <c r="J142" i="10"/>
  <c r="I142" i="10"/>
  <c r="J141" i="10"/>
  <c r="I141" i="10"/>
  <c r="J140" i="10"/>
  <c r="I140" i="10"/>
  <c r="J139" i="10"/>
  <c r="I139" i="10"/>
  <c r="J138" i="10"/>
  <c r="I138" i="10"/>
  <c r="J137" i="10"/>
  <c r="I137" i="10"/>
  <c r="J136" i="10"/>
  <c r="I136" i="10"/>
  <c r="J135" i="10"/>
  <c r="I135" i="10"/>
  <c r="J134" i="10"/>
  <c r="I134" i="10"/>
  <c r="J133" i="10"/>
  <c r="I133" i="10"/>
  <c r="J132" i="10"/>
  <c r="I132" i="10"/>
  <c r="J131" i="10"/>
  <c r="I131" i="10"/>
  <c r="J130" i="10"/>
  <c r="I130" i="10"/>
  <c r="J129" i="10"/>
  <c r="I129" i="10"/>
  <c r="J128" i="10"/>
  <c r="I128" i="10"/>
  <c r="J127" i="10"/>
  <c r="I127" i="10"/>
  <c r="J126" i="10"/>
  <c r="I126" i="10"/>
  <c r="J125" i="10"/>
  <c r="I125" i="10"/>
  <c r="J124" i="10"/>
  <c r="I124" i="10"/>
  <c r="J123" i="10"/>
  <c r="I123" i="10"/>
  <c r="J122" i="10"/>
  <c r="I122" i="10"/>
  <c r="J121" i="10"/>
  <c r="I121" i="10"/>
  <c r="J120" i="10"/>
  <c r="I120" i="10"/>
  <c r="J119" i="10"/>
  <c r="I119" i="10"/>
  <c r="J118" i="10"/>
  <c r="I118" i="10"/>
  <c r="J117" i="10"/>
  <c r="I117" i="10"/>
  <c r="J116" i="10"/>
  <c r="I116" i="10"/>
  <c r="J115" i="10"/>
  <c r="I115" i="10"/>
  <c r="J114" i="10"/>
  <c r="I114" i="10"/>
  <c r="J113" i="10"/>
  <c r="I113" i="10"/>
  <c r="J112" i="10"/>
  <c r="I112" i="10"/>
  <c r="J111" i="10"/>
  <c r="I111" i="10"/>
  <c r="J110" i="10"/>
  <c r="I110" i="10"/>
  <c r="J109" i="10"/>
  <c r="I109" i="10"/>
  <c r="J108" i="10"/>
  <c r="I108" i="10"/>
  <c r="J107" i="10"/>
  <c r="I107" i="10"/>
  <c r="J106" i="10"/>
  <c r="I106" i="10"/>
  <c r="J105" i="10"/>
  <c r="I105" i="10"/>
  <c r="J104" i="10"/>
  <c r="I104" i="10"/>
  <c r="J103" i="10"/>
  <c r="I103" i="10"/>
  <c r="J102" i="10"/>
  <c r="I102" i="10"/>
  <c r="J101" i="10"/>
  <c r="I101" i="10"/>
  <c r="J100" i="10"/>
  <c r="I100" i="10"/>
  <c r="J99" i="10"/>
  <c r="I99" i="10"/>
  <c r="J98" i="10"/>
  <c r="I98" i="10"/>
  <c r="J97" i="10"/>
  <c r="I97" i="10"/>
  <c r="J96" i="10"/>
  <c r="I96" i="10"/>
  <c r="J95" i="10"/>
  <c r="I95" i="10"/>
  <c r="J94" i="10"/>
  <c r="I94" i="10"/>
  <c r="J93" i="10"/>
  <c r="I93" i="10"/>
  <c r="J92" i="10"/>
  <c r="I92" i="10"/>
  <c r="J91" i="10"/>
  <c r="I91" i="10"/>
  <c r="J90" i="10"/>
  <c r="I90" i="10"/>
  <c r="J89" i="10"/>
  <c r="I89" i="10"/>
  <c r="J88" i="10"/>
  <c r="I88" i="10"/>
  <c r="J87" i="10"/>
  <c r="I87" i="10"/>
  <c r="J86" i="10"/>
  <c r="I86" i="10"/>
  <c r="J85" i="10"/>
  <c r="I85" i="10"/>
  <c r="J84" i="10"/>
  <c r="I84" i="10"/>
  <c r="J83" i="10"/>
  <c r="I83" i="10"/>
  <c r="J82" i="10"/>
  <c r="I82" i="10"/>
  <c r="J81" i="10"/>
  <c r="I81" i="10"/>
  <c r="J80" i="10"/>
  <c r="I80" i="10"/>
  <c r="J79" i="10"/>
  <c r="I79" i="10"/>
  <c r="J78" i="10"/>
  <c r="I78" i="10"/>
  <c r="J77" i="10"/>
  <c r="I77" i="10"/>
  <c r="J76" i="10"/>
  <c r="I76" i="10"/>
  <c r="J75" i="10"/>
  <c r="I75" i="10"/>
  <c r="J74" i="10"/>
  <c r="I74" i="10"/>
  <c r="J73" i="10"/>
  <c r="I73" i="10"/>
  <c r="J72" i="10"/>
  <c r="I72" i="10"/>
  <c r="J71" i="10"/>
  <c r="I71" i="10"/>
  <c r="J70" i="10"/>
  <c r="I70" i="10"/>
  <c r="J69" i="10"/>
  <c r="I69" i="10"/>
  <c r="J68" i="10"/>
  <c r="I68" i="10"/>
  <c r="J67" i="10"/>
  <c r="I67" i="10"/>
  <c r="J66" i="10"/>
  <c r="I66" i="10"/>
  <c r="J65" i="10"/>
  <c r="I65" i="10"/>
  <c r="J64" i="10"/>
  <c r="I64" i="10"/>
  <c r="J63" i="10"/>
  <c r="I63" i="10"/>
  <c r="J62" i="10"/>
  <c r="I62" i="10"/>
  <c r="J61" i="10"/>
  <c r="I61" i="10"/>
  <c r="J60" i="10"/>
  <c r="I60" i="10"/>
  <c r="J59" i="10"/>
  <c r="I59" i="10"/>
  <c r="J58" i="10"/>
  <c r="I58" i="10"/>
  <c r="J57" i="10"/>
  <c r="I57" i="10"/>
  <c r="J56" i="10"/>
  <c r="I56" i="10"/>
  <c r="J55" i="10"/>
  <c r="I55" i="10"/>
  <c r="J54" i="10"/>
  <c r="I54" i="10"/>
  <c r="J53" i="10"/>
  <c r="I53" i="10"/>
  <c r="J52" i="10"/>
  <c r="I52" i="10"/>
  <c r="J51" i="10"/>
  <c r="I51" i="10"/>
  <c r="J50" i="10"/>
  <c r="I50" i="10"/>
  <c r="J49" i="10"/>
  <c r="I49" i="10"/>
  <c r="J48" i="10"/>
  <c r="I48" i="10"/>
  <c r="J47" i="10"/>
  <c r="I47" i="10"/>
  <c r="J46" i="10"/>
  <c r="I46" i="10"/>
  <c r="J45" i="10"/>
  <c r="I45" i="10"/>
  <c r="J44" i="10"/>
  <c r="I44" i="10"/>
  <c r="J43" i="10"/>
  <c r="I43" i="10"/>
  <c r="J42" i="10"/>
  <c r="I42" i="10"/>
  <c r="J41" i="10"/>
  <c r="I41" i="10"/>
  <c r="J40" i="10"/>
  <c r="I40" i="10"/>
  <c r="J39" i="10"/>
  <c r="I39" i="10"/>
  <c r="J38" i="10"/>
  <c r="I38" i="10"/>
  <c r="J37" i="10"/>
  <c r="I37" i="10"/>
  <c r="J36" i="10"/>
  <c r="I36" i="10"/>
  <c r="J35" i="10"/>
  <c r="I35" i="10"/>
  <c r="J34" i="10"/>
  <c r="I34" i="10"/>
  <c r="J33" i="10"/>
  <c r="I33" i="10"/>
  <c r="J32" i="10"/>
  <c r="I32" i="10"/>
  <c r="J31" i="10"/>
  <c r="I31" i="10"/>
  <c r="J30" i="10"/>
  <c r="I30" i="10"/>
  <c r="J29" i="10"/>
  <c r="I29" i="10"/>
  <c r="J28" i="10"/>
  <c r="I28" i="10"/>
  <c r="J27" i="10"/>
  <c r="I27" i="10"/>
  <c r="J26" i="10"/>
  <c r="I26" i="10"/>
  <c r="J25" i="10"/>
  <c r="I25" i="10"/>
  <c r="J24" i="10"/>
  <c r="I24" i="10"/>
  <c r="J23" i="10"/>
  <c r="I23" i="10"/>
  <c r="J22" i="10"/>
  <c r="I22" i="10"/>
  <c r="J21" i="10"/>
  <c r="I21" i="10"/>
  <c r="J20" i="10"/>
  <c r="I20" i="10"/>
  <c r="J19" i="10"/>
  <c r="I19" i="10"/>
  <c r="J18" i="10"/>
  <c r="I18" i="10"/>
  <c r="J17" i="10"/>
  <c r="I17" i="10"/>
  <c r="J16" i="10"/>
  <c r="I16" i="10"/>
  <c r="J15" i="10"/>
  <c r="I15" i="10"/>
  <c r="J14" i="10"/>
  <c r="I14" i="10"/>
  <c r="J13" i="10"/>
  <c r="I13" i="10"/>
  <c r="J12" i="10"/>
  <c r="I12" i="10"/>
  <c r="J11" i="10"/>
  <c r="I11" i="10"/>
  <c r="J10" i="10"/>
  <c r="I10" i="10"/>
  <c r="J9" i="10"/>
  <c r="I9" i="10"/>
  <c r="J8" i="10"/>
  <c r="I8" i="10"/>
  <c r="J7" i="10"/>
  <c r="I7" i="10"/>
  <c r="J6" i="10"/>
  <c r="I6" i="10"/>
  <c r="J5" i="10"/>
  <c r="I5" i="10"/>
  <c r="J4" i="10"/>
  <c r="I4" i="10"/>
  <c r="J3" i="10"/>
  <c r="I3" i="10"/>
  <c r="J2" i="10"/>
  <c r="I2" i="10"/>
  <c r="U13" i="9"/>
  <c r="P13" i="9"/>
  <c r="U12" i="9"/>
  <c r="P12" i="9"/>
  <c r="U11" i="9"/>
  <c r="P11" i="9"/>
  <c r="U10" i="9"/>
  <c r="P10" i="9"/>
  <c r="U9" i="9"/>
  <c r="P9" i="9"/>
  <c r="U8" i="9"/>
  <c r="P8" i="9"/>
  <c r="U7" i="9"/>
  <c r="P7" i="9"/>
  <c r="U6" i="9"/>
  <c r="P6" i="9"/>
  <c r="U5" i="9"/>
  <c r="P5" i="9"/>
  <c r="U4" i="9"/>
  <c r="P4" i="9"/>
  <c r="U3" i="9"/>
  <c r="P3" i="9"/>
  <c r="U2" i="9"/>
  <c r="P2" i="9"/>
  <c r="M49" i="8"/>
  <c r="M48" i="8"/>
  <c r="M47" i="8"/>
  <c r="M46" i="8"/>
  <c r="M45" i="8"/>
  <c r="M44" i="8"/>
  <c r="M43" i="8"/>
  <c r="M42" i="8"/>
  <c r="M41" i="8"/>
  <c r="M40" i="8"/>
  <c r="M39" i="8"/>
  <c r="M38" i="8"/>
  <c r="M37" i="8"/>
  <c r="M36" i="8"/>
  <c r="M35" i="8"/>
  <c r="M34" i="8"/>
  <c r="M33" i="8"/>
  <c r="M32" i="8"/>
  <c r="M31" i="8"/>
  <c r="M30" i="8"/>
  <c r="M29" i="8"/>
  <c r="M28" i="8"/>
  <c r="M27" i="8"/>
  <c r="M26" i="8"/>
  <c r="M25" i="8"/>
  <c r="M24" i="8"/>
  <c r="M23" i="8"/>
  <c r="M22" i="8"/>
  <c r="M21" i="8"/>
  <c r="M20" i="8"/>
  <c r="M19" i="8"/>
  <c r="M18" i="8"/>
  <c r="M17" i="8"/>
  <c r="M16" i="8"/>
  <c r="M15" i="8"/>
  <c r="M14" i="8"/>
  <c r="M13" i="8"/>
  <c r="M12" i="8"/>
  <c r="M11" i="8"/>
  <c r="M10" i="8"/>
  <c r="M9" i="8"/>
  <c r="M8" i="8"/>
  <c r="M7" i="8"/>
  <c r="M6" i="8"/>
  <c r="M5" i="8"/>
  <c r="M4" i="8"/>
  <c r="M3" i="8"/>
  <c r="M2" i="8"/>
  <c r="K13" i="7"/>
  <c r="I13" i="7"/>
  <c r="J13" i="7" s="1"/>
  <c r="J12" i="7"/>
  <c r="I12" i="7"/>
  <c r="K12" i="7" s="1"/>
  <c r="K11" i="7"/>
  <c r="I11" i="7"/>
  <c r="J11" i="7" s="1"/>
  <c r="K10" i="7"/>
  <c r="I10" i="7"/>
  <c r="J10" i="7" s="1"/>
  <c r="K9" i="7"/>
  <c r="J9" i="7"/>
  <c r="I9" i="7"/>
  <c r="K8" i="7"/>
  <c r="J8" i="7"/>
  <c r="I8" i="7"/>
  <c r="I7" i="7"/>
  <c r="J7" i="7" s="1"/>
  <c r="K6" i="7"/>
  <c r="J6" i="7"/>
  <c r="I6" i="7"/>
  <c r="K5" i="7"/>
  <c r="J5" i="7"/>
  <c r="I5" i="7"/>
  <c r="J4" i="7"/>
  <c r="I4" i="7"/>
  <c r="K4" i="7" s="1"/>
  <c r="J3" i="7"/>
  <c r="I3" i="7"/>
  <c r="K3" i="7" s="1"/>
  <c r="K2" i="7"/>
  <c r="J2" i="7"/>
  <c r="I2" i="7"/>
  <c r="Q13" i="6"/>
  <c r="P13" i="6"/>
  <c r="R13" i="6" s="1"/>
  <c r="O13" i="6"/>
  <c r="R12" i="6"/>
  <c r="Q12" i="6"/>
  <c r="P12" i="6"/>
  <c r="O12" i="6"/>
  <c r="Q11" i="6"/>
  <c r="P11" i="6"/>
  <c r="O11" i="6"/>
  <c r="R11" i="6" s="1"/>
  <c r="R10" i="6"/>
  <c r="Q10" i="6"/>
  <c r="P10" i="6"/>
  <c r="O10" i="6"/>
  <c r="R9" i="6"/>
  <c r="Q9" i="6"/>
  <c r="P9" i="6"/>
  <c r="O9" i="6"/>
  <c r="R8" i="6"/>
  <c r="Q8" i="6"/>
  <c r="P8" i="6"/>
  <c r="O8" i="6"/>
  <c r="Q7" i="6"/>
  <c r="P7" i="6"/>
  <c r="O7" i="6"/>
  <c r="R7" i="6" s="1"/>
  <c r="R6" i="6"/>
  <c r="Q6" i="6"/>
  <c r="P6" i="6"/>
  <c r="O6" i="6"/>
  <c r="R5" i="6"/>
  <c r="Q5" i="6"/>
  <c r="P5" i="6"/>
  <c r="O5" i="6"/>
  <c r="R4" i="6"/>
  <c r="Q4" i="6"/>
  <c r="P4" i="6"/>
  <c r="O4" i="6"/>
  <c r="Q3" i="6"/>
  <c r="P3" i="6" s="1"/>
  <c r="R3" i="6" s="1"/>
  <c r="O3" i="6"/>
  <c r="R2" i="6"/>
  <c r="Q2" i="6"/>
  <c r="P2" i="6"/>
  <c r="O2" i="6"/>
  <c r="V49" i="4"/>
  <c r="U49" i="4"/>
  <c r="R49" i="4"/>
  <c r="Q49" i="4"/>
  <c r="P49" i="4"/>
  <c r="V48" i="4"/>
  <c r="U48" i="4"/>
  <c r="R48" i="4"/>
  <c r="Q48" i="4"/>
  <c r="P48" i="4"/>
  <c r="U47" i="4"/>
  <c r="V47" i="4" s="1"/>
  <c r="R47" i="4"/>
  <c r="Q47" i="4"/>
  <c r="P47" i="4"/>
  <c r="U46" i="4"/>
  <c r="V46" i="4" s="1"/>
  <c r="R46" i="4"/>
  <c r="Q46" i="4"/>
  <c r="P46" i="4"/>
  <c r="U45" i="4"/>
  <c r="V45" i="4" s="1"/>
  <c r="R45" i="4"/>
  <c r="Q45" i="4"/>
  <c r="P45" i="4"/>
  <c r="V44" i="4"/>
  <c r="U44" i="4"/>
  <c r="R44" i="4"/>
  <c r="Q44" i="4"/>
  <c r="P44" i="4"/>
  <c r="V43" i="4"/>
  <c r="U43" i="4"/>
  <c r="R43" i="4"/>
  <c r="Q43" i="4"/>
  <c r="P43" i="4"/>
  <c r="U42" i="4"/>
  <c r="V42" i="4" s="1"/>
  <c r="R42" i="4"/>
  <c r="Q42" i="4"/>
  <c r="P42" i="4"/>
  <c r="U41" i="4"/>
  <c r="V41" i="4" s="1"/>
  <c r="R41" i="4"/>
  <c r="Q41" i="4"/>
  <c r="P41" i="4"/>
  <c r="U40" i="4"/>
  <c r="V40" i="4" s="1"/>
  <c r="R40" i="4"/>
  <c r="Q40" i="4"/>
  <c r="P40" i="4"/>
  <c r="V39" i="4"/>
  <c r="U39" i="4"/>
  <c r="R39" i="4"/>
  <c r="Q39" i="4"/>
  <c r="P39" i="4"/>
  <c r="U38" i="4"/>
  <c r="V38" i="4" s="1"/>
  <c r="R38" i="4"/>
  <c r="Q38" i="4"/>
  <c r="P38" i="4"/>
  <c r="V37" i="4"/>
  <c r="U37" i="4"/>
  <c r="R37" i="4"/>
  <c r="Q37" i="4"/>
  <c r="P37" i="4"/>
  <c r="U36" i="4"/>
  <c r="V36" i="4" s="1"/>
  <c r="R36" i="4"/>
  <c r="Q36" i="4"/>
  <c r="P36" i="4"/>
  <c r="U35" i="4"/>
  <c r="V35" i="4" s="1"/>
  <c r="R35" i="4"/>
  <c r="Q35" i="4"/>
  <c r="P35" i="4"/>
  <c r="V34" i="4"/>
  <c r="U34" i="4"/>
  <c r="R34" i="4"/>
  <c r="Q34" i="4"/>
  <c r="P34" i="4"/>
  <c r="V33" i="4"/>
  <c r="U33" i="4"/>
  <c r="R33" i="4"/>
  <c r="Q33" i="4"/>
  <c r="P33" i="4"/>
  <c r="V32" i="4"/>
  <c r="U32" i="4"/>
  <c r="R32" i="4"/>
  <c r="Q32" i="4"/>
  <c r="P32" i="4"/>
  <c r="U31" i="4"/>
  <c r="V31" i="4" s="1"/>
  <c r="R31" i="4"/>
  <c r="Q31" i="4"/>
  <c r="P31" i="4"/>
  <c r="U30" i="4"/>
  <c r="V30" i="4" s="1"/>
  <c r="R30" i="4"/>
  <c r="Q30" i="4"/>
  <c r="P30" i="4"/>
  <c r="U29" i="4"/>
  <c r="V29" i="4" s="1"/>
  <c r="R29" i="4"/>
  <c r="Q29" i="4"/>
  <c r="P29" i="4"/>
  <c r="V28" i="4"/>
  <c r="U28" i="4"/>
  <c r="R28" i="4"/>
  <c r="Q28" i="4"/>
  <c r="P28" i="4"/>
  <c r="V27" i="4"/>
  <c r="U27" i="4"/>
  <c r="R27" i="4"/>
  <c r="Q27" i="4"/>
  <c r="P27" i="4"/>
  <c r="U26" i="4"/>
  <c r="V26" i="4" s="1"/>
  <c r="R26" i="4"/>
  <c r="Q26" i="4"/>
  <c r="P26" i="4"/>
  <c r="U25" i="4"/>
  <c r="V25" i="4" s="1"/>
  <c r="R25" i="4"/>
  <c r="Q25" i="4"/>
  <c r="P25" i="4"/>
  <c r="U24" i="4"/>
  <c r="V24" i="4" s="1"/>
  <c r="R24" i="4"/>
  <c r="Q24" i="4"/>
  <c r="P24" i="4"/>
  <c r="V23" i="4"/>
  <c r="U23" i="4"/>
  <c r="R23" i="4"/>
  <c r="Q23" i="4"/>
  <c r="P23" i="4"/>
  <c r="U22" i="4"/>
  <c r="V22" i="4" s="1"/>
  <c r="R22" i="4"/>
  <c r="Q22" i="4"/>
  <c r="P22" i="4"/>
  <c r="V21" i="4"/>
  <c r="U21" i="4"/>
  <c r="R21" i="4"/>
  <c r="Q21" i="4"/>
  <c r="P21" i="4"/>
  <c r="U20" i="4"/>
  <c r="V20" i="4" s="1"/>
  <c r="R20" i="4"/>
  <c r="Q20" i="4"/>
  <c r="P20" i="4"/>
  <c r="U19" i="4"/>
  <c r="V19" i="4" s="1"/>
  <c r="R19" i="4"/>
  <c r="Q19" i="4"/>
  <c r="P19" i="4"/>
  <c r="V18" i="4"/>
  <c r="U18" i="4"/>
  <c r="R18" i="4"/>
  <c r="Q18" i="4"/>
  <c r="P18" i="4"/>
  <c r="V17" i="4"/>
  <c r="U17" i="4"/>
  <c r="R17" i="4"/>
  <c r="Q17" i="4"/>
  <c r="P17" i="4"/>
  <c r="V16" i="4"/>
  <c r="U16" i="4"/>
  <c r="R16" i="4"/>
  <c r="Q16" i="4"/>
  <c r="P16" i="4"/>
  <c r="V15" i="4"/>
  <c r="U15" i="4"/>
  <c r="R15" i="4"/>
  <c r="Q15" i="4"/>
  <c r="P15" i="4"/>
  <c r="U14" i="4"/>
  <c r="V14" i="4" s="1"/>
  <c r="R14" i="4"/>
  <c r="Q14" i="4"/>
  <c r="P14" i="4"/>
  <c r="U13" i="4"/>
  <c r="V13" i="4" s="1"/>
  <c r="R13" i="4"/>
  <c r="Q13" i="4"/>
  <c r="P13" i="4"/>
  <c r="V12" i="4"/>
  <c r="U12" i="4"/>
  <c r="R12" i="4"/>
  <c r="Q12" i="4"/>
  <c r="P12" i="4"/>
  <c r="V11" i="4"/>
  <c r="U11" i="4"/>
  <c r="R11" i="4"/>
  <c r="Q11" i="4"/>
  <c r="P11" i="4"/>
  <c r="V10" i="4"/>
  <c r="U10" i="4"/>
  <c r="R10" i="4"/>
  <c r="Q10" i="4"/>
  <c r="P10" i="4"/>
  <c r="U9" i="4"/>
  <c r="V9" i="4" s="1"/>
  <c r="R9" i="4"/>
  <c r="Q9" i="4"/>
  <c r="P9" i="4"/>
  <c r="U8" i="4"/>
  <c r="V8" i="4" s="1"/>
  <c r="R8" i="4"/>
  <c r="Q8" i="4"/>
  <c r="P8" i="4"/>
  <c r="U7" i="4"/>
  <c r="V7" i="4" s="1"/>
  <c r="R7" i="4"/>
  <c r="Q7" i="4"/>
  <c r="P7" i="4"/>
  <c r="U6" i="4"/>
  <c r="V6" i="4" s="1"/>
  <c r="R6" i="4"/>
  <c r="Q6" i="4"/>
  <c r="P6" i="4"/>
  <c r="V5" i="4"/>
  <c r="U5" i="4"/>
  <c r="R5" i="4"/>
  <c r="Q5" i="4"/>
  <c r="P5" i="4"/>
  <c r="V4" i="4"/>
  <c r="U4" i="4"/>
  <c r="R4" i="4"/>
  <c r="Q4" i="4"/>
  <c r="P4" i="4"/>
  <c r="U3" i="4"/>
  <c r="V3" i="4" s="1"/>
  <c r="R3" i="4"/>
  <c r="Q3" i="4"/>
  <c r="P3" i="4"/>
  <c r="V2" i="4"/>
  <c r="U2" i="4"/>
  <c r="R2" i="4"/>
  <c r="Q2" i="4"/>
  <c r="P2" i="4"/>
  <c r="B11" i="3"/>
  <c r="B9" i="3"/>
  <c r="B8" i="3"/>
  <c r="D262" i="12" l="1"/>
  <c r="V2" i="11"/>
  <c r="S2" i="11"/>
  <c r="C265" i="12"/>
  <c r="U5" i="11"/>
  <c r="E304" i="12"/>
  <c r="W122" i="11"/>
  <c r="F304" i="12" s="1"/>
  <c r="E296" i="12"/>
  <c r="W114" i="11"/>
  <c r="F296" i="12" s="1"/>
  <c r="D268" i="12"/>
  <c r="V8" i="11"/>
  <c r="S8" i="11"/>
  <c r="D280" i="12"/>
  <c r="V20" i="11"/>
  <c r="D34" i="12"/>
  <c r="V34" i="11"/>
  <c r="S34" i="11"/>
  <c r="D37" i="12"/>
  <c r="V37" i="11"/>
  <c r="S37" i="11"/>
  <c r="D42" i="12"/>
  <c r="V42" i="11"/>
  <c r="S42" i="11"/>
  <c r="D49" i="12"/>
  <c r="V49" i="11"/>
  <c r="S49" i="11"/>
  <c r="D324" i="12"/>
  <c r="V64" i="11"/>
  <c r="S64" i="11"/>
  <c r="C329" i="12"/>
  <c r="U69" i="11"/>
  <c r="D344" i="12"/>
  <c r="V84" i="11"/>
  <c r="S84" i="11"/>
  <c r="C15" i="12"/>
  <c r="U145" i="11"/>
  <c r="C25" i="12"/>
  <c r="U155" i="11"/>
  <c r="D160" i="12"/>
  <c r="V160" i="11"/>
  <c r="S160" i="11"/>
  <c r="D85" i="12"/>
  <c r="S189" i="11"/>
  <c r="V189" i="11"/>
  <c r="D66" i="12"/>
  <c r="V248" i="11"/>
  <c r="S248" i="11"/>
  <c r="C150" i="12"/>
  <c r="U410" i="11"/>
  <c r="S410" i="11"/>
  <c r="S442" i="11"/>
  <c r="W442" i="11" s="1"/>
  <c r="V442" i="11"/>
  <c r="U447" i="11"/>
  <c r="S447" i="11"/>
  <c r="W447" i="11" s="1"/>
  <c r="C2" i="15"/>
  <c r="D2" i="15" s="1"/>
  <c r="C268" i="12"/>
  <c r="U8" i="11"/>
  <c r="C275" i="12"/>
  <c r="U15" i="11"/>
  <c r="C280" i="12"/>
  <c r="U20" i="11"/>
  <c r="D32" i="12"/>
  <c r="V32" i="11"/>
  <c r="S32" i="11"/>
  <c r="C49" i="12"/>
  <c r="U49" i="11"/>
  <c r="D322" i="12"/>
  <c r="V62" i="11"/>
  <c r="S62" i="11"/>
  <c r="C339" i="12"/>
  <c r="U79" i="11"/>
  <c r="C344" i="12"/>
  <c r="U84" i="11"/>
  <c r="D347" i="12"/>
  <c r="V87" i="11"/>
  <c r="S87" i="11"/>
  <c r="D354" i="12"/>
  <c r="V94" i="11"/>
  <c r="S94" i="11"/>
  <c r="D357" i="12"/>
  <c r="S97" i="11"/>
  <c r="V97" i="11"/>
  <c r="D307" i="12"/>
  <c r="S125" i="11"/>
  <c r="V125" i="11"/>
  <c r="D23" i="12"/>
  <c r="S153" i="11"/>
  <c r="C160" i="12"/>
  <c r="U160" i="11"/>
  <c r="C173" i="12"/>
  <c r="U173" i="11"/>
  <c r="V341" i="11"/>
  <c r="S341" i="11"/>
  <c r="W341" i="11" s="1"/>
  <c r="K7" i="21"/>
  <c r="D14" i="13"/>
  <c r="K10" i="21"/>
  <c r="D16" i="13"/>
  <c r="K12" i="21"/>
  <c r="D7" i="13"/>
  <c r="K4" i="21"/>
  <c r="D11" i="13"/>
  <c r="S20" i="11"/>
  <c r="D30" i="12"/>
  <c r="V30" i="11"/>
  <c r="S30" i="11"/>
  <c r="C37" i="12"/>
  <c r="U37" i="11"/>
  <c r="D52" i="12"/>
  <c r="V52" i="11"/>
  <c r="S52" i="11"/>
  <c r="D327" i="12"/>
  <c r="V67" i="11"/>
  <c r="S67" i="11"/>
  <c r="D352" i="12"/>
  <c r="V92" i="11"/>
  <c r="S92" i="11"/>
  <c r="D289" i="12"/>
  <c r="V107" i="11"/>
  <c r="S107" i="11"/>
  <c r="D294" i="12"/>
  <c r="V112" i="11"/>
  <c r="S112" i="11"/>
  <c r="D299" i="12"/>
  <c r="S117" i="11"/>
  <c r="V117" i="11"/>
  <c r="D302" i="12"/>
  <c r="V120" i="11"/>
  <c r="S120" i="11"/>
  <c r="D312" i="12"/>
  <c r="V130" i="11"/>
  <c r="S130" i="11"/>
  <c r="D5" i="12"/>
  <c r="V135" i="11"/>
  <c r="S135" i="11"/>
  <c r="D8" i="12"/>
  <c r="V138" i="11"/>
  <c r="S138" i="11"/>
  <c r="E20" i="12"/>
  <c r="W150" i="11"/>
  <c r="F20" i="12" s="1"/>
  <c r="D163" i="12"/>
  <c r="S163" i="11"/>
  <c r="V163" i="11"/>
  <c r="D178" i="12"/>
  <c r="S178" i="11"/>
  <c r="V178" i="11"/>
  <c r="D90" i="12"/>
  <c r="S194" i="11"/>
  <c r="V194" i="11"/>
  <c r="D61" i="12"/>
  <c r="S243" i="11"/>
  <c r="V243" i="11"/>
  <c r="C200" i="12"/>
  <c r="U304" i="11"/>
  <c r="S304" i="11"/>
  <c r="W338" i="11"/>
  <c r="S6" i="11"/>
  <c r="D271" i="12"/>
  <c r="S11" i="11"/>
  <c r="C273" i="12"/>
  <c r="U13" i="11"/>
  <c r="E275" i="12"/>
  <c r="W15" i="11"/>
  <c r="F275" i="12" s="1"/>
  <c r="D35" i="12"/>
  <c r="V35" i="11"/>
  <c r="S35" i="11"/>
  <c r="C47" i="12"/>
  <c r="U47" i="11"/>
  <c r="C52" i="12"/>
  <c r="U52" i="11"/>
  <c r="D332" i="12"/>
  <c r="V72" i="11"/>
  <c r="S72" i="11"/>
  <c r="C337" i="12"/>
  <c r="U77" i="11"/>
  <c r="E339" i="12"/>
  <c r="W79" i="11"/>
  <c r="F339" i="12" s="1"/>
  <c r="C357" i="12"/>
  <c r="U97" i="11"/>
  <c r="C289" i="12"/>
  <c r="U107" i="11"/>
  <c r="D26" i="12"/>
  <c r="V156" i="11"/>
  <c r="S156" i="11"/>
  <c r="C163" i="12"/>
  <c r="U163" i="11"/>
  <c r="C90" i="12"/>
  <c r="U194" i="11"/>
  <c r="C93" i="12"/>
  <c r="U197" i="11"/>
  <c r="C58" i="12"/>
  <c r="U240" i="11"/>
  <c r="S240" i="11"/>
  <c r="D77" i="12"/>
  <c r="S259" i="11"/>
  <c r="V259" i="11"/>
  <c r="D195" i="12"/>
  <c r="V299" i="11"/>
  <c r="S299" i="11"/>
  <c r="D264" i="12"/>
  <c r="V4" i="11"/>
  <c r="C327" i="12"/>
  <c r="U67" i="11"/>
  <c r="D330" i="12"/>
  <c r="S70" i="11"/>
  <c r="C332" i="12"/>
  <c r="U72" i="11"/>
  <c r="D292" i="12"/>
  <c r="V110" i="11"/>
  <c r="S110" i="11"/>
  <c r="C302" i="12"/>
  <c r="U120" i="11"/>
  <c r="D169" i="12"/>
  <c r="V169" i="11"/>
  <c r="S169" i="11"/>
  <c r="C178" i="12"/>
  <c r="U178" i="11"/>
  <c r="C181" i="12"/>
  <c r="U181" i="11"/>
  <c r="D101" i="12"/>
  <c r="S205" i="11"/>
  <c r="V205" i="11"/>
  <c r="S212" i="11"/>
  <c r="D67" i="12"/>
  <c r="V249" i="11"/>
  <c r="S249" i="11"/>
  <c r="C264" i="12"/>
  <c r="U4" i="11"/>
  <c r="C35" i="12"/>
  <c r="U35" i="11"/>
  <c r="D40" i="12"/>
  <c r="V40" i="11"/>
  <c r="S40" i="11"/>
  <c r="C45" i="12"/>
  <c r="U45" i="11"/>
  <c r="S47" i="11"/>
  <c r="D320" i="12"/>
  <c r="S60" i="11"/>
  <c r="V60" i="11"/>
  <c r="D335" i="12"/>
  <c r="V75" i="11"/>
  <c r="S75" i="11"/>
  <c r="D345" i="12"/>
  <c r="V85" i="11"/>
  <c r="S85" i="11"/>
  <c r="D350" i="12"/>
  <c r="V90" i="11"/>
  <c r="S90" i="11"/>
  <c r="D355" i="12"/>
  <c r="V95" i="11"/>
  <c r="S95" i="11"/>
  <c r="D158" i="12"/>
  <c r="V158" i="11"/>
  <c r="S158" i="11"/>
  <c r="D161" i="12"/>
  <c r="S161" i="11"/>
  <c r="V161" i="11"/>
  <c r="D166" i="12"/>
  <c r="V166" i="11"/>
  <c r="S166" i="11"/>
  <c r="D80" i="12"/>
  <c r="V184" i="11"/>
  <c r="S184" i="11"/>
  <c r="D83" i="12"/>
  <c r="V187" i="11"/>
  <c r="S187" i="11"/>
  <c r="D86" i="12"/>
  <c r="V190" i="11"/>
  <c r="S190" i="11"/>
  <c r="C108" i="12"/>
  <c r="U212" i="11"/>
  <c r="D114" i="12"/>
  <c r="V218" i="11"/>
  <c r="S218" i="11"/>
  <c r="D119" i="12"/>
  <c r="V223" i="11"/>
  <c r="S223" i="11"/>
  <c r="C77" i="12"/>
  <c r="U259" i="11"/>
  <c r="D12" i="13"/>
  <c r="K13" i="21"/>
  <c r="E264" i="12"/>
  <c r="W4" i="11"/>
  <c r="F264" i="12" s="1"/>
  <c r="D278" i="12"/>
  <c r="V18" i="11"/>
  <c r="S18" i="11"/>
  <c r="D281" i="12"/>
  <c r="V21" i="11"/>
  <c r="S21" i="11"/>
  <c r="D28" i="12"/>
  <c r="S28" i="11"/>
  <c r="V28" i="11"/>
  <c r="D38" i="12"/>
  <c r="S38" i="11"/>
  <c r="C40" i="12"/>
  <c r="U40" i="11"/>
  <c r="D342" i="12"/>
  <c r="V82" i="11"/>
  <c r="S82" i="11"/>
  <c r="E360" i="12"/>
  <c r="W100" i="11"/>
  <c r="F360" i="12" s="1"/>
  <c r="D290" i="12"/>
  <c r="V108" i="11"/>
  <c r="D297" i="12"/>
  <c r="S115" i="11"/>
  <c r="V115" i="11"/>
  <c r="D305" i="12"/>
  <c r="V123" i="11"/>
  <c r="S123" i="11"/>
  <c r="D3" i="12"/>
  <c r="V133" i="11"/>
  <c r="S133" i="11"/>
  <c r="D6" i="12"/>
  <c r="V136" i="11"/>
  <c r="D11" i="12"/>
  <c r="V141" i="11"/>
  <c r="S141" i="11"/>
  <c r="C166" i="12"/>
  <c r="U166" i="11"/>
  <c r="E171" i="12"/>
  <c r="W171" i="11"/>
  <c r="F171" i="12" s="1"/>
  <c r="C88" i="12"/>
  <c r="U192" i="11"/>
  <c r="S192" i="11"/>
  <c r="D91" i="12"/>
  <c r="S195" i="11"/>
  <c r="V195" i="11"/>
  <c r="D111" i="12"/>
  <c r="S215" i="11"/>
  <c r="V215" i="11"/>
  <c r="D56" i="12"/>
  <c r="V238" i="11"/>
  <c r="S238" i="11"/>
  <c r="D276" i="12"/>
  <c r="V16" i="11"/>
  <c r="S16" i="11"/>
  <c r="D283" i="12"/>
  <c r="V23" i="11"/>
  <c r="S23" i="11"/>
  <c r="D286" i="12"/>
  <c r="V26" i="11"/>
  <c r="S26" i="11"/>
  <c r="D43" i="12"/>
  <c r="V43" i="11"/>
  <c r="S43" i="11"/>
  <c r="D53" i="12"/>
  <c r="V53" i="11"/>
  <c r="S53" i="11"/>
  <c r="D318" i="12"/>
  <c r="V58" i="11"/>
  <c r="S58" i="11"/>
  <c r="D325" i="12"/>
  <c r="V65" i="11"/>
  <c r="S65" i="11"/>
  <c r="D340" i="12"/>
  <c r="V80" i="11"/>
  <c r="S80" i="11"/>
  <c r="C345" i="12"/>
  <c r="U85" i="11"/>
  <c r="C355" i="12"/>
  <c r="U95" i="11"/>
  <c r="D365" i="12"/>
  <c r="V105" i="11"/>
  <c r="S105" i="11"/>
  <c r="C305" i="12"/>
  <c r="U123" i="11"/>
  <c r="D308" i="12"/>
  <c r="V126" i="11"/>
  <c r="S126" i="11"/>
  <c r="D310" i="12"/>
  <c r="S128" i="11"/>
  <c r="V128" i="11"/>
  <c r="C3" i="12"/>
  <c r="U133" i="11"/>
  <c r="D21" i="12"/>
  <c r="V151" i="11"/>
  <c r="S151" i="11"/>
  <c r="D24" i="12"/>
  <c r="V154" i="11"/>
  <c r="S154" i="11"/>
  <c r="C161" i="12"/>
  <c r="U161" i="11"/>
  <c r="D179" i="12"/>
  <c r="S179" i="11"/>
  <c r="V179" i="11"/>
  <c r="C83" i="12"/>
  <c r="U187" i="11"/>
  <c r="D226" i="12"/>
  <c r="V278" i="11"/>
  <c r="S278" i="11"/>
  <c r="K6" i="21"/>
  <c r="D13" i="13"/>
  <c r="C262" i="12"/>
  <c r="U2" i="11"/>
  <c r="V11" i="11"/>
  <c r="D274" i="12"/>
  <c r="V14" i="11"/>
  <c r="S14" i="11"/>
  <c r="C281" i="12"/>
  <c r="U21" i="11"/>
  <c r="D33" i="12"/>
  <c r="V33" i="11"/>
  <c r="S33" i="11"/>
  <c r="D50" i="12"/>
  <c r="V50" i="11"/>
  <c r="S50" i="11"/>
  <c r="C325" i="12"/>
  <c r="U65" i="11"/>
  <c r="D338" i="12"/>
  <c r="V78" i="11"/>
  <c r="S78" i="11"/>
  <c r="D353" i="12"/>
  <c r="V93" i="11"/>
  <c r="S93" i="11"/>
  <c r="C358" i="12"/>
  <c r="U98" i="11"/>
  <c r="D303" i="12"/>
  <c r="V121" i="11"/>
  <c r="S121" i="11"/>
  <c r="C6" i="12"/>
  <c r="U136" i="11"/>
  <c r="C11" i="12"/>
  <c r="U141" i="11"/>
  <c r="D213" i="12"/>
  <c r="V265" i="11"/>
  <c r="S265" i="11"/>
  <c r="N8" i="21"/>
  <c r="C4" i="13"/>
  <c r="C2" i="13"/>
  <c r="N4" i="22"/>
  <c r="D279" i="12"/>
  <c r="V19" i="11"/>
  <c r="S19" i="11"/>
  <c r="C33" i="12"/>
  <c r="U33" i="11"/>
  <c r="D48" i="12"/>
  <c r="V48" i="11"/>
  <c r="S48" i="11"/>
  <c r="C53" i="12"/>
  <c r="U53" i="11"/>
  <c r="D328" i="12"/>
  <c r="V68" i="11"/>
  <c r="S68" i="11"/>
  <c r="V70" i="11"/>
  <c r="D343" i="12"/>
  <c r="V83" i="11"/>
  <c r="S83" i="11"/>
  <c r="D348" i="12"/>
  <c r="V88" i="11"/>
  <c r="S88" i="11"/>
  <c r="D295" i="12"/>
  <c r="S113" i="11"/>
  <c r="V113" i="11"/>
  <c r="D313" i="12"/>
  <c r="S131" i="11"/>
  <c r="V131" i="11"/>
  <c r="S136" i="11"/>
  <c r="D159" i="12"/>
  <c r="V159" i="11"/>
  <c r="S159" i="11"/>
  <c r="D81" i="12"/>
  <c r="V185" i="11"/>
  <c r="S185" i="11"/>
  <c r="D102" i="12"/>
  <c r="V206" i="11"/>
  <c r="S206" i="11"/>
  <c r="D117" i="12"/>
  <c r="S221" i="11"/>
  <c r="V221" i="11"/>
  <c r="N11" i="21"/>
  <c r="C8" i="13"/>
  <c r="C5" i="13"/>
  <c r="N2" i="21"/>
  <c r="K7" i="7"/>
  <c r="R5" i="11"/>
  <c r="C286" i="12"/>
  <c r="U26" i="11"/>
  <c r="D36" i="12"/>
  <c r="V36" i="11"/>
  <c r="D46" i="12"/>
  <c r="V46" i="11"/>
  <c r="S46" i="11"/>
  <c r="C323" i="12"/>
  <c r="U63" i="11"/>
  <c r="C328" i="12"/>
  <c r="U68" i="11"/>
  <c r="D346" i="12"/>
  <c r="V86" i="11"/>
  <c r="S86" i="11"/>
  <c r="C353" i="12"/>
  <c r="U93" i="11"/>
  <c r="D361" i="12"/>
  <c r="V101" i="11"/>
  <c r="S101" i="11"/>
  <c r="S108" i="11"/>
  <c r="C295" i="12"/>
  <c r="U113" i="11"/>
  <c r="C9" i="12"/>
  <c r="U139" i="11"/>
  <c r="D14" i="12"/>
  <c r="V144" i="11"/>
  <c r="S144" i="11"/>
  <c r="D19" i="12"/>
  <c r="V149" i="11"/>
  <c r="S149" i="11"/>
  <c r="E164" i="12"/>
  <c r="W164" i="11"/>
  <c r="F164" i="12" s="1"/>
  <c r="D167" i="12"/>
  <c r="S167" i="11"/>
  <c r="V167" i="11"/>
  <c r="D172" i="12"/>
  <c r="V172" i="11"/>
  <c r="S172" i="11"/>
  <c r="D106" i="12"/>
  <c r="S210" i="11"/>
  <c r="V210" i="11"/>
  <c r="D127" i="12"/>
  <c r="S231" i="11"/>
  <c r="V231" i="11"/>
  <c r="D73" i="12"/>
  <c r="V255" i="11"/>
  <c r="S255" i="11"/>
  <c r="D6" i="13"/>
  <c r="K9" i="21"/>
  <c r="D272" i="12"/>
  <c r="V12" i="11"/>
  <c r="C279" i="12"/>
  <c r="U19" i="11"/>
  <c r="D284" i="12"/>
  <c r="V24" i="11"/>
  <c r="S24" i="11"/>
  <c r="C31" i="12"/>
  <c r="U31" i="11"/>
  <c r="C36" i="12"/>
  <c r="U36" i="11"/>
  <c r="V38" i="11"/>
  <c r="D51" i="12"/>
  <c r="V51" i="11"/>
  <c r="S51" i="11"/>
  <c r="C343" i="12"/>
  <c r="U83" i="11"/>
  <c r="D288" i="12"/>
  <c r="V106" i="11"/>
  <c r="S106" i="11"/>
  <c r="D293" i="12"/>
  <c r="V111" i="11"/>
  <c r="D306" i="12"/>
  <c r="V124" i="11"/>
  <c r="S124" i="11"/>
  <c r="C14" i="12"/>
  <c r="U144" i="11"/>
  <c r="C19" i="12"/>
  <c r="U149" i="11"/>
  <c r="C159" i="12"/>
  <c r="U159" i="11"/>
  <c r="D84" i="12"/>
  <c r="V188" i="11"/>
  <c r="S188" i="11"/>
  <c r="D112" i="12"/>
  <c r="V216" i="11"/>
  <c r="S216" i="11"/>
  <c r="D65" i="12"/>
  <c r="S247" i="11"/>
  <c r="V247" i="11"/>
  <c r="D263" i="12"/>
  <c r="S3" i="11"/>
  <c r="D267" i="12"/>
  <c r="V7" i="11"/>
  <c r="S7" i="11"/>
  <c r="D270" i="12"/>
  <c r="V10" i="11"/>
  <c r="S10" i="11"/>
  <c r="D282" i="12"/>
  <c r="S22" i="11"/>
  <c r="C284" i="12"/>
  <c r="U24" i="11"/>
  <c r="S36" i="11"/>
  <c r="D316" i="12"/>
  <c r="V56" i="11"/>
  <c r="S56" i="11"/>
  <c r="C321" i="12"/>
  <c r="U61" i="11"/>
  <c r="E323" i="12"/>
  <c r="W63" i="11"/>
  <c r="F323" i="12" s="1"/>
  <c r="D336" i="12"/>
  <c r="S76" i="11"/>
  <c r="V76" i="11"/>
  <c r="C346" i="12"/>
  <c r="U86" i="11"/>
  <c r="D356" i="12"/>
  <c r="V96" i="11"/>
  <c r="S96" i="11"/>
  <c r="D12" i="12"/>
  <c r="S142" i="11"/>
  <c r="D22" i="12"/>
  <c r="V152" i="11"/>
  <c r="S152" i="11"/>
  <c r="C27" i="12"/>
  <c r="U157" i="11"/>
  <c r="S157" i="11"/>
  <c r="C162" i="12"/>
  <c r="U162" i="11"/>
  <c r="D175" i="12"/>
  <c r="V175" i="11"/>
  <c r="S175" i="11"/>
  <c r="C89" i="12"/>
  <c r="U193" i="11"/>
  <c r="C130" i="12"/>
  <c r="U234" i="11"/>
  <c r="C29" i="12"/>
  <c r="U29" i="11"/>
  <c r="S31" i="11"/>
  <c r="C51" i="12"/>
  <c r="U51" i="11"/>
  <c r="D314" i="12"/>
  <c r="S54" i="11"/>
  <c r="C316" i="12"/>
  <c r="U56" i="11"/>
  <c r="C356" i="12"/>
  <c r="U96" i="11"/>
  <c r="C293" i="12"/>
  <c r="U111" i="11"/>
  <c r="D304" i="12"/>
  <c r="V122" i="11"/>
  <c r="D311" i="12"/>
  <c r="S129" i="11"/>
  <c r="V129" i="11"/>
  <c r="D7" i="12"/>
  <c r="V137" i="11"/>
  <c r="S137" i="11"/>
  <c r="C22" i="12"/>
  <c r="U152" i="11"/>
  <c r="C177" i="12"/>
  <c r="U177" i="11"/>
  <c r="E97" i="12"/>
  <c r="W201" i="11"/>
  <c r="F97" i="12" s="1"/>
  <c r="C263" i="12"/>
  <c r="U3" i="11"/>
  <c r="S12" i="11"/>
  <c r="D277" i="12"/>
  <c r="V17" i="11"/>
  <c r="S17" i="11"/>
  <c r="D287" i="12"/>
  <c r="S27" i="11"/>
  <c r="U41" i="11"/>
  <c r="D44" i="12"/>
  <c r="S44" i="11"/>
  <c r="V44" i="11"/>
  <c r="D319" i="12"/>
  <c r="V59" i="11"/>
  <c r="S59" i="11"/>
  <c r="D329" i="12"/>
  <c r="V69" i="11"/>
  <c r="S69" i="11"/>
  <c r="D334" i="12"/>
  <c r="V74" i="11"/>
  <c r="S74" i="11"/>
  <c r="D341" i="12"/>
  <c r="V81" i="11"/>
  <c r="S81" i="11"/>
  <c r="D349" i="12"/>
  <c r="V89" i="11"/>
  <c r="S89" i="11"/>
  <c r="D351" i="12"/>
  <c r="V91" i="11"/>
  <c r="S91" i="11"/>
  <c r="D359" i="12"/>
  <c r="S99" i="11"/>
  <c r="V99" i="11"/>
  <c r="D291" i="12"/>
  <c r="V109" i="11"/>
  <c r="S109" i="11"/>
  <c r="S111" i="11"/>
  <c r="D301" i="12"/>
  <c r="V119" i="11"/>
  <c r="S119" i="11"/>
  <c r="C311" i="12"/>
  <c r="U129" i="11"/>
  <c r="D17" i="12"/>
  <c r="S147" i="11"/>
  <c r="V147" i="11"/>
  <c r="D25" i="12"/>
  <c r="V155" i="11"/>
  <c r="S155" i="11"/>
  <c r="D183" i="12"/>
  <c r="S183" i="11"/>
  <c r="C87" i="12"/>
  <c r="U191" i="11"/>
  <c r="S191" i="11"/>
  <c r="C92" i="12"/>
  <c r="U196" i="11"/>
  <c r="C270" i="12"/>
  <c r="U10" i="11"/>
  <c r="C277" i="12"/>
  <c r="U17" i="11"/>
  <c r="D326" i="12"/>
  <c r="V66" i="11"/>
  <c r="S66" i="11"/>
  <c r="C341" i="12"/>
  <c r="U81" i="11"/>
  <c r="C359" i="12"/>
  <c r="U99" i="11"/>
  <c r="C296" i="12"/>
  <c r="U114" i="11"/>
  <c r="C301" i="12"/>
  <c r="U119" i="11"/>
  <c r="C17" i="12"/>
  <c r="U147" i="11"/>
  <c r="D168" i="12"/>
  <c r="V168" i="11"/>
  <c r="S168" i="11"/>
  <c r="D173" i="12"/>
  <c r="S173" i="11"/>
  <c r="V173" i="11"/>
  <c r="D95" i="12"/>
  <c r="S199" i="11"/>
  <c r="V199" i="11"/>
  <c r="D100" i="12"/>
  <c r="V204" i="11"/>
  <c r="S204" i="11"/>
  <c r="D103" i="12"/>
  <c r="V207" i="11"/>
  <c r="S207" i="11"/>
  <c r="D113" i="12"/>
  <c r="V217" i="11"/>
  <c r="S217" i="11"/>
  <c r="D128" i="12"/>
  <c r="V232" i="11"/>
  <c r="S232" i="11"/>
  <c r="C60" i="12"/>
  <c r="U242" i="11"/>
  <c r="D211" i="12"/>
  <c r="S263" i="11"/>
  <c r="V263" i="11"/>
  <c r="K11" i="21"/>
  <c r="D8" i="13"/>
  <c r="D4" i="13"/>
  <c r="K8" i="21"/>
  <c r="D5" i="13"/>
  <c r="K2" i="21"/>
  <c r="D2" i="13"/>
  <c r="K4" i="22"/>
  <c r="V9" i="11"/>
  <c r="U12" i="11"/>
  <c r="V25" i="11"/>
  <c r="U28" i="11"/>
  <c r="V41" i="11"/>
  <c r="U44" i="11"/>
  <c r="V57" i="11"/>
  <c r="U60" i="11"/>
  <c r="V73" i="11"/>
  <c r="U76" i="11"/>
  <c r="R102" i="11"/>
  <c r="V103" i="11"/>
  <c r="R116" i="11"/>
  <c r="U117" i="11"/>
  <c r="U128" i="11"/>
  <c r="U176" i="11"/>
  <c r="R180" i="11"/>
  <c r="U185" i="11"/>
  <c r="C99" i="12"/>
  <c r="U203" i="11"/>
  <c r="C101" i="12"/>
  <c r="U205" i="11"/>
  <c r="D110" i="12"/>
  <c r="V214" i="11"/>
  <c r="D126" i="12"/>
  <c r="V230" i="11"/>
  <c r="C128" i="12"/>
  <c r="U232" i="11"/>
  <c r="C54" i="12"/>
  <c r="U236" i="11"/>
  <c r="R251" i="11"/>
  <c r="D75" i="12"/>
  <c r="S257" i="11"/>
  <c r="C214" i="12"/>
  <c r="U266" i="11"/>
  <c r="C221" i="12"/>
  <c r="U273" i="11"/>
  <c r="C231" i="12"/>
  <c r="U283" i="11"/>
  <c r="R291" i="11"/>
  <c r="D190" i="12"/>
  <c r="V294" i="11"/>
  <c r="S294" i="11"/>
  <c r="V357" i="11"/>
  <c r="S357" i="11"/>
  <c r="W357" i="11" s="1"/>
  <c r="D132" i="12"/>
  <c r="V392" i="11"/>
  <c r="S392" i="11"/>
  <c r="D137" i="12"/>
  <c r="S397" i="11"/>
  <c r="V397" i="11"/>
  <c r="U100" i="11"/>
  <c r="U150" i="11"/>
  <c r="U164" i="11"/>
  <c r="V171" i="11"/>
  <c r="C85" i="12"/>
  <c r="U189" i="11"/>
  <c r="U201" i="11"/>
  <c r="S203" i="11"/>
  <c r="R228" i="11"/>
  <c r="S236" i="11"/>
  <c r="U238" i="11"/>
  <c r="C67" i="12"/>
  <c r="U249" i="11"/>
  <c r="C71" i="12"/>
  <c r="U253" i="11"/>
  <c r="E216" i="12"/>
  <c r="W268" i="11"/>
  <c r="F216" i="12" s="1"/>
  <c r="V15" i="11"/>
  <c r="U18" i="11"/>
  <c r="V31" i="11"/>
  <c r="U34" i="11"/>
  <c r="V47" i="11"/>
  <c r="U50" i="11"/>
  <c r="V63" i="11"/>
  <c r="U66" i="11"/>
  <c r="V79" i="11"/>
  <c r="U82" i="11"/>
  <c r="V100" i="11"/>
  <c r="D170" i="12"/>
  <c r="V170" i="11"/>
  <c r="D92" i="12"/>
  <c r="V196" i="11"/>
  <c r="C116" i="12"/>
  <c r="U220" i="11"/>
  <c r="C69" i="12"/>
  <c r="U251" i="11"/>
  <c r="D71" i="12"/>
  <c r="S253" i="11"/>
  <c r="C75" i="12"/>
  <c r="U257" i="11"/>
  <c r="D212" i="12"/>
  <c r="V264" i="11"/>
  <c r="S264" i="11"/>
  <c r="D234" i="12"/>
  <c r="S286" i="11"/>
  <c r="D198" i="12"/>
  <c r="S302" i="11"/>
  <c r="V302" i="11"/>
  <c r="C209" i="12"/>
  <c r="U313" i="11"/>
  <c r="D238" i="12"/>
  <c r="V316" i="11"/>
  <c r="S316" i="11"/>
  <c r="V352" i="11"/>
  <c r="S352" i="11"/>
  <c r="W352" i="11" s="1"/>
  <c r="N3" i="22"/>
  <c r="C3" i="13"/>
  <c r="N2" i="22"/>
  <c r="C9" i="13"/>
  <c r="N5" i="21"/>
  <c r="C10" i="13"/>
  <c r="S127" i="11"/>
  <c r="S214" i="11"/>
  <c r="D118" i="12"/>
  <c r="V222" i="11"/>
  <c r="D120" i="12"/>
  <c r="V224" i="11"/>
  <c r="D122" i="12"/>
  <c r="S226" i="11"/>
  <c r="E126" i="12"/>
  <c r="W230" i="11"/>
  <c r="F126" i="12" s="1"/>
  <c r="D63" i="12"/>
  <c r="V245" i="11"/>
  <c r="C65" i="12"/>
  <c r="U247" i="11"/>
  <c r="C212" i="12"/>
  <c r="U264" i="11"/>
  <c r="C229" i="12"/>
  <c r="U281" i="11"/>
  <c r="C243" i="12"/>
  <c r="U321" i="11"/>
  <c r="D261" i="12"/>
  <c r="V339" i="11"/>
  <c r="S339" i="11"/>
  <c r="N3" i="21"/>
  <c r="C15" i="13"/>
  <c r="D15" i="13"/>
  <c r="K3" i="21"/>
  <c r="K3" i="22"/>
  <c r="D3" i="13"/>
  <c r="D9" i="13"/>
  <c r="K2" i="22"/>
  <c r="K5" i="21"/>
  <c r="D10" i="13"/>
  <c r="R118" i="11"/>
  <c r="R132" i="11"/>
  <c r="R186" i="11"/>
  <c r="S220" i="11"/>
  <c r="S222" i="11"/>
  <c r="V253" i="11"/>
  <c r="V257" i="11"/>
  <c r="D210" i="12"/>
  <c r="V262" i="11"/>
  <c r="C219" i="12"/>
  <c r="U271" i="11"/>
  <c r="D229" i="12"/>
  <c r="V281" i="11"/>
  <c r="S281" i="11"/>
  <c r="C193" i="12"/>
  <c r="U297" i="11"/>
  <c r="S297" i="11"/>
  <c r="C11" i="15"/>
  <c r="D11" i="15" s="1"/>
  <c r="U102" i="11"/>
  <c r="U116" i="11"/>
  <c r="S170" i="11"/>
  <c r="U180" i="11"/>
  <c r="S182" i="11"/>
  <c r="S196" i="11"/>
  <c r="D98" i="12"/>
  <c r="V202" i="11"/>
  <c r="U214" i="11"/>
  <c r="C122" i="12"/>
  <c r="U226" i="11"/>
  <c r="U228" i="11"/>
  <c r="C61" i="12"/>
  <c r="U243" i="11"/>
  <c r="S245" i="11"/>
  <c r="D78" i="12"/>
  <c r="V260" i="11"/>
  <c r="D219" i="12"/>
  <c r="V271" i="11"/>
  <c r="S271" i="11"/>
  <c r="C224" i="12"/>
  <c r="U276" i="11"/>
  <c r="D227" i="12"/>
  <c r="V279" i="11"/>
  <c r="S279" i="11"/>
  <c r="D232" i="12"/>
  <c r="V284" i="11"/>
  <c r="D185" i="12"/>
  <c r="S289" i="11"/>
  <c r="V289" i="11"/>
  <c r="D188" i="12"/>
  <c r="V292" i="11"/>
  <c r="S292" i="11"/>
  <c r="C201" i="12"/>
  <c r="U305" i="11"/>
  <c r="D207" i="12"/>
  <c r="V311" i="11"/>
  <c r="S311" i="11"/>
  <c r="D254" i="12"/>
  <c r="V332" i="11"/>
  <c r="S332" i="11"/>
  <c r="D364" i="12"/>
  <c r="V104" i="11"/>
  <c r="C172" i="12"/>
  <c r="U172" i="11"/>
  <c r="U175" i="11"/>
  <c r="D96" i="12"/>
  <c r="V200" i="11"/>
  <c r="S200" i="11"/>
  <c r="C105" i="12"/>
  <c r="U209" i="11"/>
  <c r="D59" i="12"/>
  <c r="S241" i="11"/>
  <c r="R267" i="11"/>
  <c r="C217" i="12"/>
  <c r="U269" i="11"/>
  <c r="V286" i="11"/>
  <c r="C185" i="12"/>
  <c r="U289" i="11"/>
  <c r="D196" i="12"/>
  <c r="V300" i="11"/>
  <c r="S300" i="11"/>
  <c r="D249" i="12"/>
  <c r="S327" i="11"/>
  <c r="V327" i="11"/>
  <c r="W330" i="11"/>
  <c r="N7" i="21"/>
  <c r="C14" i="13"/>
  <c r="C16" i="13"/>
  <c r="N10" i="21"/>
  <c r="R10" i="21" s="1"/>
  <c r="C7" i="13"/>
  <c r="N12" i="21"/>
  <c r="C11" i="13"/>
  <c r="N4" i="21"/>
  <c r="S39" i="11"/>
  <c r="S55" i="11"/>
  <c r="S71" i="11"/>
  <c r="U87" i="11"/>
  <c r="U90" i="11"/>
  <c r="S104" i="11"/>
  <c r="S140" i="11"/>
  <c r="S143" i="11"/>
  <c r="S146" i="11"/>
  <c r="U170" i="11"/>
  <c r="U184" i="11"/>
  <c r="S198" i="11"/>
  <c r="D105" i="12"/>
  <c r="S209" i="11"/>
  <c r="D107" i="12"/>
  <c r="S211" i="11"/>
  <c r="R213" i="11"/>
  <c r="V226" i="11"/>
  <c r="C129" i="12"/>
  <c r="U233" i="11"/>
  <c r="C55" i="12"/>
  <c r="U237" i="11"/>
  <c r="D57" i="12"/>
  <c r="V239" i="11"/>
  <c r="S239" i="11"/>
  <c r="D68" i="12"/>
  <c r="V250" i="11"/>
  <c r="D74" i="12"/>
  <c r="V256" i="11"/>
  <c r="D76" i="12"/>
  <c r="S258" i="11"/>
  <c r="E210" i="12"/>
  <c r="W262" i="11"/>
  <c r="F210" i="12" s="1"/>
  <c r="D217" i="12"/>
  <c r="V269" i="11"/>
  <c r="S269" i="11"/>
  <c r="D191" i="12"/>
  <c r="V295" i="11"/>
  <c r="S295" i="11"/>
  <c r="C207" i="12"/>
  <c r="U311" i="11"/>
  <c r="C241" i="12"/>
  <c r="U319" i="11"/>
  <c r="C291" i="12"/>
  <c r="U109" i="11"/>
  <c r="D177" i="12"/>
  <c r="S177" i="11"/>
  <c r="V182" i="11"/>
  <c r="C84" i="12"/>
  <c r="U188" i="11"/>
  <c r="C100" i="12"/>
  <c r="U204" i="11"/>
  <c r="C113" i="12"/>
  <c r="U217" i="11"/>
  <c r="R219" i="11"/>
  <c r="D129" i="12"/>
  <c r="V233" i="11"/>
  <c r="S233" i="11"/>
  <c r="C131" i="12"/>
  <c r="U235" i="11"/>
  <c r="D55" i="12"/>
  <c r="S237" i="11"/>
  <c r="C59" i="12"/>
  <c r="U241" i="11"/>
  <c r="D225" i="12"/>
  <c r="V277" i="11"/>
  <c r="S284" i="11"/>
  <c r="V374" i="11"/>
  <c r="S374" i="11"/>
  <c r="W374" i="11" s="1"/>
  <c r="U7" i="11"/>
  <c r="S13" i="11"/>
  <c r="U23" i="11"/>
  <c r="S29" i="11"/>
  <c r="U39" i="11"/>
  <c r="S45" i="11"/>
  <c r="U55" i="11"/>
  <c r="S61" i="11"/>
  <c r="U71" i="11"/>
  <c r="S77" i="11"/>
  <c r="U104" i="11"/>
  <c r="U118" i="11"/>
  <c r="U132" i="11"/>
  <c r="U140" i="11"/>
  <c r="U143" i="11"/>
  <c r="U146" i="11"/>
  <c r="S165" i="11"/>
  <c r="D174" i="12"/>
  <c r="V174" i="11"/>
  <c r="R181" i="11"/>
  <c r="U186" i="11"/>
  <c r="U198" i="11"/>
  <c r="U211" i="11"/>
  <c r="C111" i="12"/>
  <c r="U215" i="11"/>
  <c r="W224" i="11"/>
  <c r="F120" i="12" s="1"/>
  <c r="D125" i="12"/>
  <c r="V229" i="11"/>
  <c r="C127" i="12"/>
  <c r="U231" i="11"/>
  <c r="E131" i="12"/>
  <c r="W235" i="11"/>
  <c r="F131" i="12" s="1"/>
  <c r="D72" i="12"/>
  <c r="V254" i="11"/>
  <c r="S254" i="11"/>
  <c r="C76" i="12"/>
  <c r="U258" i="11"/>
  <c r="C213" i="12"/>
  <c r="U265" i="11"/>
  <c r="D220" i="12"/>
  <c r="V272" i="11"/>
  <c r="S272" i="11"/>
  <c r="U274" i="11"/>
  <c r="D235" i="12"/>
  <c r="S287" i="11"/>
  <c r="V287" i="11"/>
  <c r="V348" i="11"/>
  <c r="S348" i="11"/>
  <c r="W348" i="11" s="1"/>
  <c r="V369" i="11"/>
  <c r="S369" i="11"/>
  <c r="W369" i="11" s="1"/>
  <c r="V372" i="11"/>
  <c r="S372" i="11"/>
  <c r="W372" i="11" s="1"/>
  <c r="V39" i="11"/>
  <c r="U42" i="11"/>
  <c r="V55" i="11"/>
  <c r="U58" i="11"/>
  <c r="V71" i="11"/>
  <c r="U74" i="11"/>
  <c r="U126" i="11"/>
  <c r="U137" i="11"/>
  <c r="V140" i="11"/>
  <c r="V143" i="11"/>
  <c r="S174" i="11"/>
  <c r="V177" i="11"/>
  <c r="D89" i="12"/>
  <c r="S193" i="11"/>
  <c r="V211" i="11"/>
  <c r="C115" i="12"/>
  <c r="U219" i="11"/>
  <c r="C117" i="12"/>
  <c r="U221" i="11"/>
  <c r="V237" i="11"/>
  <c r="V241" i="11"/>
  <c r="D64" i="12"/>
  <c r="V246" i="11"/>
  <c r="C66" i="12"/>
  <c r="U248" i="11"/>
  <c r="S250" i="11"/>
  <c r="C70" i="12"/>
  <c r="U252" i="11"/>
  <c r="S256" i="11"/>
  <c r="W260" i="11"/>
  <c r="F78" i="12" s="1"/>
  <c r="C225" i="12"/>
  <c r="U277" i="11"/>
  <c r="D189" i="12"/>
  <c r="V293" i="11"/>
  <c r="S293" i="11"/>
  <c r="D205" i="12"/>
  <c r="V309" i="11"/>
  <c r="S309" i="11"/>
  <c r="D239" i="12"/>
  <c r="V317" i="11"/>
  <c r="S317" i="11"/>
  <c r="C6" i="13"/>
  <c r="N9" i="21"/>
  <c r="N13" i="21"/>
  <c r="C12" i="13"/>
  <c r="C13" i="13"/>
  <c r="N6" i="21"/>
  <c r="S98" i="11"/>
  <c r="U115" i="11"/>
  <c r="S134" i="11"/>
  <c r="S148" i="11"/>
  <c r="U151" i="11"/>
  <c r="S162" i="11"/>
  <c r="U165" i="11"/>
  <c r="U179" i="11"/>
  <c r="R197" i="11"/>
  <c r="W202" i="11"/>
  <c r="F98" i="12" s="1"/>
  <c r="C123" i="12"/>
  <c r="U227" i="11"/>
  <c r="S229" i="11"/>
  <c r="V235" i="11"/>
  <c r="R244" i="11"/>
  <c r="S252" i="11"/>
  <c r="V258" i="11"/>
  <c r="C220" i="12"/>
  <c r="U272" i="11"/>
  <c r="S277" i="11"/>
  <c r="D228" i="12"/>
  <c r="V280" i="11"/>
  <c r="S280" i="11"/>
  <c r="D230" i="12"/>
  <c r="V282" i="11"/>
  <c r="S282" i="11"/>
  <c r="S359" i="11"/>
  <c r="W359" i="11" s="1"/>
  <c r="V359" i="11"/>
  <c r="C307" i="12"/>
  <c r="U125" i="11"/>
  <c r="D15" i="12"/>
  <c r="S145" i="11"/>
  <c r="V165" i="11"/>
  <c r="C183" i="12"/>
  <c r="U183" i="11"/>
  <c r="D121" i="12"/>
  <c r="S225" i="11"/>
  <c r="D123" i="12"/>
  <c r="S227" i="11"/>
  <c r="D223" i="12"/>
  <c r="V275" i="11"/>
  <c r="C186" i="12"/>
  <c r="U290" i="11"/>
  <c r="S9" i="11"/>
  <c r="S25" i="11"/>
  <c r="S41" i="11"/>
  <c r="S57" i="11"/>
  <c r="S73" i="11"/>
  <c r="S103" i="11"/>
  <c r="U134" i="11"/>
  <c r="S139" i="11"/>
  <c r="U148" i="11"/>
  <c r="U156" i="11"/>
  <c r="C171" i="12"/>
  <c r="U171" i="11"/>
  <c r="U195" i="11"/>
  <c r="S208" i="11"/>
  <c r="R234" i="11"/>
  <c r="D58" i="12"/>
  <c r="V240" i="11"/>
  <c r="D60" i="12"/>
  <c r="S242" i="11"/>
  <c r="S246" i="11"/>
  <c r="R261" i="11"/>
  <c r="C211" i="12"/>
  <c r="U263" i="11"/>
  <c r="C233" i="12"/>
  <c r="U285" i="11"/>
  <c r="C197" i="12"/>
  <c r="U301" i="11"/>
  <c r="C351" i="12"/>
  <c r="U91" i="11"/>
  <c r="U142" i="11"/>
  <c r="U190" i="11"/>
  <c r="C95" i="12"/>
  <c r="U199" i="11"/>
  <c r="D97" i="12"/>
  <c r="V201" i="11"/>
  <c r="C106" i="12"/>
  <c r="U210" i="11"/>
  <c r="D108" i="12"/>
  <c r="V212" i="11"/>
  <c r="C121" i="12"/>
  <c r="U225" i="11"/>
  <c r="V227" i="11"/>
  <c r="R266" i="11"/>
  <c r="D216" i="12"/>
  <c r="V268" i="11"/>
  <c r="S275" i="11"/>
  <c r="D231" i="12"/>
  <c r="S283" i="11"/>
  <c r="D233" i="12"/>
  <c r="S285" i="11"/>
  <c r="V285" i="11"/>
  <c r="R307" i="11"/>
  <c r="D237" i="12"/>
  <c r="V315" i="11"/>
  <c r="S315" i="11"/>
  <c r="D240" i="12"/>
  <c r="S318" i="11"/>
  <c r="V318" i="11"/>
  <c r="R274" i="11"/>
  <c r="C227" i="12"/>
  <c r="U279" i="11"/>
  <c r="U288" i="11"/>
  <c r="S290" i="11"/>
  <c r="D197" i="12"/>
  <c r="V301" i="11"/>
  <c r="S301" i="11"/>
  <c r="R303" i="11"/>
  <c r="R305" i="11"/>
  <c r="S313" i="11"/>
  <c r="U323" i="11"/>
  <c r="R328" i="11"/>
  <c r="C258" i="12"/>
  <c r="U336" i="11"/>
  <c r="S343" i="11"/>
  <c r="W343" i="11" s="1"/>
  <c r="V345" i="11"/>
  <c r="S382" i="11"/>
  <c r="W382" i="11" s="1"/>
  <c r="C137" i="12"/>
  <c r="U397" i="11"/>
  <c r="V466" i="11"/>
  <c r="S466" i="11"/>
  <c r="W466" i="11" s="1"/>
  <c r="D256" i="12"/>
  <c r="S334" i="11"/>
  <c r="V334" i="11"/>
  <c r="W336" i="11"/>
  <c r="F258" i="12" s="1"/>
  <c r="V362" i="11"/>
  <c r="S362" i="11"/>
  <c r="W362" i="11" s="1"/>
  <c r="U369" i="11"/>
  <c r="S421" i="11"/>
  <c r="W421" i="11" s="1"/>
  <c r="V498" i="11"/>
  <c r="S498" i="11"/>
  <c r="U282" i="11"/>
  <c r="R296" i="11"/>
  <c r="C199" i="12"/>
  <c r="U303" i="11"/>
  <c r="V313" i="11"/>
  <c r="D248" i="12"/>
  <c r="V326" i="11"/>
  <c r="S326" i="11"/>
  <c r="C250" i="12"/>
  <c r="U328" i="11"/>
  <c r="V346" i="11"/>
  <c r="S346" i="11"/>
  <c r="W346" i="11" s="1"/>
  <c r="V377" i="11"/>
  <c r="S377" i="11"/>
  <c r="W377" i="11" s="1"/>
  <c r="S390" i="11"/>
  <c r="W390" i="11" s="1"/>
  <c r="V390" i="11"/>
  <c r="D135" i="12"/>
  <c r="S395" i="11"/>
  <c r="V395" i="11"/>
  <c r="V403" i="11"/>
  <c r="S403" i="11"/>
  <c r="S424" i="11"/>
  <c r="W424" i="11" s="1"/>
  <c r="V424" i="11"/>
  <c r="V450" i="11"/>
  <c r="S450" i="11"/>
  <c r="W450" i="11" s="1"/>
  <c r="S458" i="11"/>
  <c r="W458" i="11" s="1"/>
  <c r="V458" i="11"/>
  <c r="D224" i="12"/>
  <c r="V276" i="11"/>
  <c r="V290" i="11"/>
  <c r="D246" i="12"/>
  <c r="V324" i="11"/>
  <c r="S350" i="11"/>
  <c r="W350" i="11" s="1"/>
  <c r="V350" i="11"/>
  <c r="V483" i="11"/>
  <c r="S483" i="11"/>
  <c r="W483" i="11" s="1"/>
  <c r="C192" i="12"/>
  <c r="U296" i="11"/>
  <c r="V314" i="11"/>
  <c r="D244" i="12"/>
  <c r="C248" i="12"/>
  <c r="U326" i="11"/>
  <c r="U330" i="11"/>
  <c r="S385" i="11"/>
  <c r="W385" i="11" s="1"/>
  <c r="V393" i="11"/>
  <c r="S393" i="11"/>
  <c r="D146" i="12"/>
  <c r="S406" i="11"/>
  <c r="V406" i="11"/>
  <c r="S411" i="11"/>
  <c r="V411" i="11"/>
  <c r="D242" i="12"/>
  <c r="E246" i="12"/>
  <c r="V360" i="11"/>
  <c r="S360" i="11"/>
  <c r="W360" i="11" s="1"/>
  <c r="V367" i="11"/>
  <c r="S367" i="11"/>
  <c r="W367" i="11" s="1"/>
  <c r="V380" i="11"/>
  <c r="S380" i="11"/>
  <c r="W380" i="11" s="1"/>
  <c r="V419" i="11"/>
  <c r="S419" i="11"/>
  <c r="W419" i="11" s="1"/>
  <c r="V433" i="11"/>
  <c r="S433" i="11"/>
  <c r="W433" i="11" s="1"/>
  <c r="V467" i="11"/>
  <c r="S467" i="11"/>
  <c r="W467" i="11" s="1"/>
  <c r="V470" i="11"/>
  <c r="S470" i="11"/>
  <c r="W470" i="11" s="1"/>
  <c r="D369" i="12"/>
  <c r="V499" i="11"/>
  <c r="S499" i="11"/>
  <c r="S276" i="11"/>
  <c r="S298" i="11"/>
  <c r="R312" i="11"/>
  <c r="S322" i="11"/>
  <c r="R337" i="11"/>
  <c r="R344" i="11"/>
  <c r="V355" i="11"/>
  <c r="S355" i="11"/>
  <c r="W355" i="11" s="1"/>
  <c r="V422" i="11"/>
  <c r="S422" i="11"/>
  <c r="W422" i="11" s="1"/>
  <c r="V425" i="11"/>
  <c r="S425" i="11"/>
  <c r="W425" i="11" s="1"/>
  <c r="V456" i="11"/>
  <c r="S456" i="11"/>
  <c r="W456" i="11" s="1"/>
  <c r="U268" i="11"/>
  <c r="U284" i="11"/>
  <c r="D206" i="12"/>
  <c r="V310" i="11"/>
  <c r="S310" i="11"/>
  <c r="C242" i="12"/>
  <c r="U320" i="11"/>
  <c r="D257" i="12"/>
  <c r="V335" i="11"/>
  <c r="S335" i="11"/>
  <c r="S353" i="11"/>
  <c r="W353" i="11" s="1"/>
  <c r="V353" i="11"/>
  <c r="U360" i="11"/>
  <c r="V373" i="11"/>
  <c r="S373" i="11"/>
  <c r="W373" i="11" s="1"/>
  <c r="V378" i="11"/>
  <c r="S378" i="11"/>
  <c r="W378" i="11" s="1"/>
  <c r="S383" i="11"/>
  <c r="W383" i="11" s="1"/>
  <c r="V386" i="11"/>
  <c r="S386" i="11"/>
  <c r="W386" i="11" s="1"/>
  <c r="V388" i="11"/>
  <c r="S388" i="11"/>
  <c r="W388" i="11" s="1"/>
  <c r="C133" i="12"/>
  <c r="U393" i="11"/>
  <c r="S401" i="11"/>
  <c r="V401" i="11"/>
  <c r="V451" i="11"/>
  <c r="S451" i="11"/>
  <c r="W451" i="11" s="1"/>
  <c r="U298" i="11"/>
  <c r="R306" i="11"/>
  <c r="D204" i="12"/>
  <c r="V308" i="11"/>
  <c r="C208" i="12"/>
  <c r="U312" i="11"/>
  <c r="S314" i="11"/>
  <c r="S320" i="11"/>
  <c r="U322" i="11"/>
  <c r="W324" i="11"/>
  <c r="C253" i="12"/>
  <c r="U331" i="11"/>
  <c r="C255" i="12"/>
  <c r="U333" i="11"/>
  <c r="C259" i="12"/>
  <c r="U337" i="11"/>
  <c r="U339" i="11"/>
  <c r="V351" i="11"/>
  <c r="S351" i="11"/>
  <c r="W351" i="11" s="1"/>
  <c r="V358" i="11"/>
  <c r="S358" i="11"/>
  <c r="W358" i="11" s="1"/>
  <c r="D144" i="12"/>
  <c r="V404" i="11"/>
  <c r="S404" i="11"/>
  <c r="V481" i="11"/>
  <c r="S481" i="11"/>
  <c r="W481" i="11" s="1"/>
  <c r="V298" i="11"/>
  <c r="U300" i="11"/>
  <c r="C206" i="12"/>
  <c r="U310" i="11"/>
  <c r="V322" i="11"/>
  <c r="C251" i="12"/>
  <c r="U329" i="11"/>
  <c r="D253" i="12"/>
  <c r="D255" i="12"/>
  <c r="V333" i="11"/>
  <c r="S333" i="11"/>
  <c r="C257" i="12"/>
  <c r="U335" i="11"/>
  <c r="V342" i="11"/>
  <c r="S342" i="11"/>
  <c r="W342" i="11" s="1"/>
  <c r="D147" i="12"/>
  <c r="V407" i="11"/>
  <c r="S407" i="11"/>
  <c r="C149" i="12"/>
  <c r="U409" i="11"/>
  <c r="S409" i="11"/>
  <c r="D221" i="12"/>
  <c r="S273" i="11"/>
  <c r="C191" i="12"/>
  <c r="U295" i="11"/>
  <c r="S308" i="11"/>
  <c r="U314" i="11"/>
  <c r="V320" i="11"/>
  <c r="C249" i="12"/>
  <c r="U327" i="11"/>
  <c r="S329" i="11"/>
  <c r="W331" i="11"/>
  <c r="V371" i="11"/>
  <c r="S371" i="11"/>
  <c r="W371" i="11" s="1"/>
  <c r="S381" i="11"/>
  <c r="W381" i="11" s="1"/>
  <c r="V381" i="11"/>
  <c r="V420" i="11"/>
  <c r="S420" i="11"/>
  <c r="W420" i="11" s="1"/>
  <c r="V434" i="11"/>
  <c r="S434" i="11"/>
  <c r="W434" i="11" s="1"/>
  <c r="S270" i="11"/>
  <c r="U291" i="11"/>
  <c r="U302" i="11"/>
  <c r="V349" i="11"/>
  <c r="S356" i="11"/>
  <c r="W356" i="11" s="1"/>
  <c r="V356" i="11"/>
  <c r="S368" i="11"/>
  <c r="W368" i="11" s="1"/>
  <c r="S376" i="11"/>
  <c r="W376" i="11" s="1"/>
  <c r="V376" i="11"/>
  <c r="V394" i="11"/>
  <c r="S394" i="11"/>
  <c r="D136" i="12"/>
  <c r="V396" i="11"/>
  <c r="S396" i="11"/>
  <c r="V399" i="11"/>
  <c r="S399" i="11"/>
  <c r="D152" i="12"/>
  <c r="V412" i="11"/>
  <c r="S412" i="11"/>
  <c r="U267" i="11"/>
  <c r="U286" i="11"/>
  <c r="U293" i="11"/>
  <c r="U306" i="11"/>
  <c r="D142" i="12"/>
  <c r="V402" i="11"/>
  <c r="S402" i="11"/>
  <c r="D367" i="12"/>
  <c r="V497" i="11"/>
  <c r="S497" i="11"/>
  <c r="C195" i="12"/>
  <c r="U299" i="11"/>
  <c r="D241" i="12"/>
  <c r="S319" i="11"/>
  <c r="D243" i="12"/>
  <c r="S321" i="11"/>
  <c r="D247" i="12"/>
  <c r="V325" i="11"/>
  <c r="S325" i="11"/>
  <c r="S340" i="11"/>
  <c r="W340" i="11" s="1"/>
  <c r="S347" i="11"/>
  <c r="W347" i="11" s="1"/>
  <c r="D155" i="12"/>
  <c r="V415" i="11"/>
  <c r="S415" i="11"/>
  <c r="U423" i="11"/>
  <c r="S423" i="11"/>
  <c r="W423" i="11" s="1"/>
  <c r="V426" i="11"/>
  <c r="S426" i="11"/>
  <c r="W426" i="11" s="1"/>
  <c r="U457" i="11"/>
  <c r="S457" i="11"/>
  <c r="W457" i="11" s="1"/>
  <c r="V270" i="11"/>
  <c r="U280" i="11"/>
  <c r="S288" i="11"/>
  <c r="C237" i="12"/>
  <c r="U315" i="11"/>
  <c r="C239" i="12"/>
  <c r="U317" i="11"/>
  <c r="D245" i="12"/>
  <c r="V323" i="11"/>
  <c r="S323" i="11"/>
  <c r="D252" i="12"/>
  <c r="V330" i="11"/>
  <c r="C260" i="12"/>
  <c r="U338" i="11"/>
  <c r="S379" i="11"/>
  <c r="W379" i="11" s="1"/>
  <c r="V379" i="11"/>
  <c r="S387" i="11"/>
  <c r="W387" i="11" s="1"/>
  <c r="V387" i="11"/>
  <c r="S460" i="11"/>
  <c r="W460" i="11" s="1"/>
  <c r="V460" i="11"/>
  <c r="U406" i="11"/>
  <c r="D148" i="12"/>
  <c r="V472" i="11"/>
  <c r="S472" i="11"/>
  <c r="W472" i="11" s="1"/>
  <c r="C379" i="12"/>
  <c r="U509" i="11"/>
  <c r="C384" i="12"/>
  <c r="U514" i="11"/>
  <c r="C389" i="12"/>
  <c r="U519" i="11"/>
  <c r="S545" i="11"/>
  <c r="W545" i="11" s="1"/>
  <c r="V545" i="11"/>
  <c r="V621" i="11"/>
  <c r="S621" i="11"/>
  <c r="W621" i="11" s="1"/>
  <c r="V633" i="11"/>
  <c r="S633" i="11"/>
  <c r="W633" i="11" s="1"/>
  <c r="V370" i="11"/>
  <c r="C132" i="12"/>
  <c r="C135" i="12"/>
  <c r="R400" i="11"/>
  <c r="R405" i="11"/>
  <c r="S408" i="11"/>
  <c r="V421" i="11"/>
  <c r="R430" i="11"/>
  <c r="U434" i="11"/>
  <c r="V449" i="11"/>
  <c r="S449" i="11"/>
  <c r="W449" i="11" s="1"/>
  <c r="W496" i="11"/>
  <c r="S553" i="11"/>
  <c r="W553" i="11" s="1"/>
  <c r="V553" i="11"/>
  <c r="V558" i="11"/>
  <c r="S558" i="11"/>
  <c r="W558" i="11" s="1"/>
  <c r="S349" i="11"/>
  <c r="W349" i="11" s="1"/>
  <c r="S370" i="11"/>
  <c r="W370" i="11" s="1"/>
  <c r="S384" i="11"/>
  <c r="W384" i="11" s="1"/>
  <c r="U398" i="11"/>
  <c r="U436" i="11"/>
  <c r="U438" i="11"/>
  <c r="V464" i="11"/>
  <c r="S492" i="11"/>
  <c r="W492" i="11" s="1"/>
  <c r="S494" i="11"/>
  <c r="W494" i="11" s="1"/>
  <c r="D377" i="12"/>
  <c r="S507" i="11"/>
  <c r="D382" i="12"/>
  <c r="V512" i="11"/>
  <c r="R517" i="11"/>
  <c r="V530" i="11"/>
  <c r="S530" i="11"/>
  <c r="W530" i="11" s="1"/>
  <c r="S626" i="11"/>
  <c r="W626" i="11" s="1"/>
  <c r="V626" i="11"/>
  <c r="C140" i="12"/>
  <c r="C145" i="12"/>
  <c r="U405" i="11"/>
  <c r="V418" i="11"/>
  <c r="S418" i="11"/>
  <c r="W418" i="11" s="1"/>
  <c r="S428" i="11"/>
  <c r="W428" i="11" s="1"/>
  <c r="W432" i="11"/>
  <c r="V488" i="11"/>
  <c r="S488" i="11"/>
  <c r="W488" i="11" s="1"/>
  <c r="V533" i="11"/>
  <c r="S533" i="11"/>
  <c r="W533" i="11" s="1"/>
  <c r="S610" i="11"/>
  <c r="W610" i="11" s="1"/>
  <c r="V610" i="11"/>
  <c r="S389" i="11"/>
  <c r="W389" i="11" s="1"/>
  <c r="D153" i="12"/>
  <c r="S413" i="11"/>
  <c r="V440" i="11"/>
  <c r="S440" i="11"/>
  <c r="W440" i="11" s="1"/>
  <c r="V482" i="11"/>
  <c r="S482" i="11"/>
  <c r="W482" i="11" s="1"/>
  <c r="S490" i="11"/>
  <c r="W490" i="11" s="1"/>
  <c r="V490" i="11"/>
  <c r="C373" i="12"/>
  <c r="U503" i="11"/>
  <c r="S512" i="11"/>
  <c r="V574" i="11"/>
  <c r="S574" i="11"/>
  <c r="W574" i="11" s="1"/>
  <c r="S375" i="11"/>
  <c r="W375" i="11" s="1"/>
  <c r="U392" i="11"/>
  <c r="V428" i="11"/>
  <c r="U432" i="11"/>
  <c r="V452" i="11"/>
  <c r="R463" i="11"/>
  <c r="S476" i="11"/>
  <c r="W476" i="11" s="1"/>
  <c r="S478" i="11"/>
  <c r="W478" i="11" s="1"/>
  <c r="S480" i="11"/>
  <c r="W480" i="11" s="1"/>
  <c r="C369" i="12"/>
  <c r="U499" i="11"/>
  <c r="C371" i="12"/>
  <c r="U501" i="11"/>
  <c r="D373" i="12"/>
  <c r="D375" i="12"/>
  <c r="V505" i="11"/>
  <c r="S505" i="11"/>
  <c r="R510" i="11"/>
  <c r="C385" i="12"/>
  <c r="U515" i="11"/>
  <c r="V520" i="11"/>
  <c r="S520" i="11"/>
  <c r="U400" i="11"/>
  <c r="C142" i="12"/>
  <c r="C147" i="12"/>
  <c r="U407" i="11"/>
  <c r="U413" i="11"/>
  <c r="V474" i="11"/>
  <c r="W501" i="11"/>
  <c r="F371" i="12" s="1"/>
  <c r="W503" i="11"/>
  <c r="V515" i="11"/>
  <c r="S515" i="11"/>
  <c r="S577" i="11"/>
  <c r="W577" i="11" s="1"/>
  <c r="V577" i="11"/>
  <c r="R366" i="11"/>
  <c r="D236" i="12" s="1"/>
  <c r="V413" i="11"/>
  <c r="S427" i="11"/>
  <c r="W427" i="11" s="1"/>
  <c r="R446" i="11"/>
  <c r="U450" i="11"/>
  <c r="V465" i="11"/>
  <c r="S465" i="11"/>
  <c r="W465" i="11" s="1"/>
  <c r="S469" i="11"/>
  <c r="W469" i="11" s="1"/>
  <c r="D388" i="12"/>
  <c r="V518" i="11"/>
  <c r="C390" i="12"/>
  <c r="U520" i="11"/>
  <c r="V523" i="11"/>
  <c r="S523" i="11"/>
  <c r="W523" i="11" s="1"/>
  <c r="S528" i="11"/>
  <c r="W528" i="11" s="1"/>
  <c r="U528" i="11"/>
  <c r="S531" i="11"/>
  <c r="W531" i="11" s="1"/>
  <c r="V531" i="11"/>
  <c r="S569" i="11"/>
  <c r="W569" i="11" s="1"/>
  <c r="V569" i="11"/>
  <c r="C157" i="12"/>
  <c r="R429" i="11"/>
  <c r="R437" i="11"/>
  <c r="U452" i="11"/>
  <c r="U454" i="11"/>
  <c r="V459" i="11"/>
  <c r="S471" i="11"/>
  <c r="W471" i="11" s="1"/>
  <c r="R495" i="11"/>
  <c r="D157" i="12" s="1"/>
  <c r="V501" i="11"/>
  <c r="V503" i="11"/>
  <c r="S534" i="11"/>
  <c r="W534" i="11" s="1"/>
  <c r="V534" i="11"/>
  <c r="V601" i="11"/>
  <c r="S601" i="11"/>
  <c r="W601" i="11" s="1"/>
  <c r="V642" i="11"/>
  <c r="S642" i="11"/>
  <c r="W642" i="11" s="1"/>
  <c r="C152" i="12"/>
  <c r="U412" i="11"/>
  <c r="S444" i="11"/>
  <c r="W444" i="11" s="1"/>
  <c r="V461" i="11"/>
  <c r="D378" i="12"/>
  <c r="V508" i="11"/>
  <c r="S508" i="11"/>
  <c r="U510" i="11"/>
  <c r="U394" i="11"/>
  <c r="U415" i="11"/>
  <c r="S417" i="11"/>
  <c r="S435" i="11"/>
  <c r="W435" i="11" s="1"/>
  <c r="S454" i="11"/>
  <c r="W454" i="11" s="1"/>
  <c r="S473" i="11"/>
  <c r="W473" i="11" s="1"/>
  <c r="S475" i="11"/>
  <c r="W475" i="11" s="1"/>
  <c r="R477" i="11"/>
  <c r="S491" i="11"/>
  <c r="W491" i="11" s="1"/>
  <c r="D372" i="12"/>
  <c r="D376" i="12"/>
  <c r="S506" i="11"/>
  <c r="V506" i="11"/>
  <c r="C383" i="12"/>
  <c r="U513" i="11"/>
  <c r="D386" i="12"/>
  <c r="V516" i="11"/>
  <c r="C388" i="12"/>
  <c r="U518" i="11"/>
  <c r="S549" i="11"/>
  <c r="W549" i="11" s="1"/>
  <c r="U549" i="11"/>
  <c r="V557" i="11"/>
  <c r="S557" i="11"/>
  <c r="W557" i="11" s="1"/>
  <c r="C256" i="12"/>
  <c r="S363" i="11"/>
  <c r="W363" i="11" s="1"/>
  <c r="C136" i="12"/>
  <c r="U396" i="11"/>
  <c r="D149" i="12"/>
  <c r="V409" i="11"/>
  <c r="D154" i="12"/>
  <c r="V444" i="11"/>
  <c r="V489" i="11"/>
  <c r="S489" i="11"/>
  <c r="W489" i="11" s="1"/>
  <c r="U493" i="11"/>
  <c r="R500" i="11"/>
  <c r="C378" i="12"/>
  <c r="U508" i="11"/>
  <c r="S518" i="11"/>
  <c r="V526" i="11"/>
  <c r="S526" i="11"/>
  <c r="W526" i="11" s="1"/>
  <c r="V617" i="11"/>
  <c r="S617" i="11"/>
  <c r="W617" i="11" s="1"/>
  <c r="C141" i="12"/>
  <c r="S431" i="11"/>
  <c r="W431" i="11" s="1"/>
  <c r="S485" i="11"/>
  <c r="W485" i="11" s="1"/>
  <c r="R511" i="11"/>
  <c r="C391" i="12"/>
  <c r="U521" i="11"/>
  <c r="V524" i="11"/>
  <c r="S524" i="11"/>
  <c r="W524" i="11" s="1"/>
  <c r="V542" i="11"/>
  <c r="S542" i="11"/>
  <c r="W542" i="11" s="1"/>
  <c r="R398" i="11"/>
  <c r="U399" i="11"/>
  <c r="U404" i="11"/>
  <c r="S414" i="11"/>
  <c r="R416" i="11"/>
  <c r="V417" i="11"/>
  <c r="R462" i="11"/>
  <c r="V493" i="11"/>
  <c r="C370" i="12"/>
  <c r="U500" i="11"/>
  <c r="C372" i="12"/>
  <c r="U502" i="11"/>
  <c r="C381" i="12"/>
  <c r="U511" i="11"/>
  <c r="S516" i="11"/>
  <c r="V529" i="11"/>
  <c r="S529" i="11"/>
  <c r="W529" i="11" s="1"/>
  <c r="V552" i="11"/>
  <c r="S552" i="11"/>
  <c r="W552" i="11" s="1"/>
  <c r="V638" i="11"/>
  <c r="S638" i="11"/>
  <c r="W638" i="11" s="1"/>
  <c r="V363" i="11"/>
  <c r="C143" i="12"/>
  <c r="S441" i="11"/>
  <c r="W441" i="11" s="1"/>
  <c r="S443" i="11"/>
  <c r="W443" i="11" s="1"/>
  <c r="R445" i="11"/>
  <c r="R453" i="11"/>
  <c r="D141" i="12" s="1"/>
  <c r="U468" i="11"/>
  <c r="U470" i="11"/>
  <c r="V475" i="11"/>
  <c r="S479" i="11"/>
  <c r="W479" i="11" s="1"/>
  <c r="V491" i="11"/>
  <c r="C368" i="12"/>
  <c r="U498" i="11"/>
  <c r="S502" i="11"/>
  <c r="U506" i="11"/>
  <c r="S532" i="11"/>
  <c r="W532" i="11" s="1"/>
  <c r="V532" i="11"/>
  <c r="C148" i="12"/>
  <c r="C151" i="12"/>
  <c r="U414" i="11"/>
  <c r="C156" i="12"/>
  <c r="V436" i="11"/>
  <c r="S468" i="11"/>
  <c r="W468" i="11" s="1"/>
  <c r="D366" i="12"/>
  <c r="V496" i="11"/>
  <c r="U504" i="11"/>
  <c r="D379" i="12"/>
  <c r="S509" i="11"/>
  <c r="V514" i="11"/>
  <c r="S514" i="11"/>
  <c r="V527" i="11"/>
  <c r="S527" i="11"/>
  <c r="W527" i="11" s="1"/>
  <c r="U555" i="11"/>
  <c r="V559" i="11"/>
  <c r="W603" i="11"/>
  <c r="V615" i="11"/>
  <c r="S615" i="11"/>
  <c r="W615" i="11" s="1"/>
  <c r="V670" i="11"/>
  <c r="S670" i="11"/>
  <c r="W670" i="11" s="1"/>
  <c r="V683" i="11"/>
  <c r="S683" i="11"/>
  <c r="W683" i="11" s="1"/>
  <c r="U693" i="11"/>
  <c r="S693" i="11"/>
  <c r="W693" i="11" s="1"/>
  <c r="U709" i="11"/>
  <c r="S709" i="11"/>
  <c r="W709" i="11" s="1"/>
  <c r="S548" i="11"/>
  <c r="W548" i="11" s="1"/>
  <c r="V647" i="11"/>
  <c r="S647" i="11"/>
  <c r="W647" i="11" s="1"/>
  <c r="V664" i="11"/>
  <c r="S664" i="11"/>
  <c r="W664" i="11" s="1"/>
  <c r="V667" i="11"/>
  <c r="S667" i="11"/>
  <c r="W667" i="11" s="1"/>
  <c r="V677" i="11"/>
  <c r="S677" i="11"/>
  <c r="W677" i="11" s="1"/>
  <c r="V680" i="11"/>
  <c r="S680" i="11"/>
  <c r="W680" i="11" s="1"/>
  <c r="V696" i="11"/>
  <c r="S696" i="11"/>
  <c r="W696" i="11" s="1"/>
  <c r="V701" i="11"/>
  <c r="S701" i="11"/>
  <c r="W701" i="11" s="1"/>
  <c r="V715" i="11"/>
  <c r="S715" i="11"/>
  <c r="W715" i="11" s="1"/>
  <c r="S561" i="11"/>
  <c r="W561" i="11" s="1"/>
  <c r="R587" i="11"/>
  <c r="V609" i="11"/>
  <c r="S611" i="11"/>
  <c r="W611" i="11" s="1"/>
  <c r="V632" i="11"/>
  <c r="S632" i="11"/>
  <c r="W632" i="11" s="1"/>
  <c r="S536" i="11"/>
  <c r="W536" i="11" s="1"/>
  <c r="R538" i="11"/>
  <c r="S543" i="11"/>
  <c r="W543" i="11" s="1"/>
  <c r="S571" i="11"/>
  <c r="W571" i="11" s="1"/>
  <c r="S573" i="11"/>
  <c r="W573" i="11" s="1"/>
  <c r="S575" i="11"/>
  <c r="W575" i="11" s="1"/>
  <c r="U587" i="11"/>
  <c r="S589" i="11"/>
  <c r="W589" i="11" s="1"/>
  <c r="S591" i="11"/>
  <c r="W591" i="11" s="1"/>
  <c r="S597" i="11"/>
  <c r="W597" i="11" s="1"/>
  <c r="R618" i="11"/>
  <c r="S620" i="11"/>
  <c r="W620" i="11" s="1"/>
  <c r="S622" i="11"/>
  <c r="W622" i="11" s="1"/>
  <c r="S624" i="11"/>
  <c r="W624" i="11" s="1"/>
  <c r="V624" i="11"/>
  <c r="S777" i="11"/>
  <c r="W777" i="11" s="1"/>
  <c r="V777" i="11"/>
  <c r="S521" i="11"/>
  <c r="V561" i="11"/>
  <c r="S593" i="11"/>
  <c r="W593" i="11" s="1"/>
  <c r="V599" i="11"/>
  <c r="S599" i="11"/>
  <c r="W599" i="11" s="1"/>
  <c r="V604" i="11"/>
  <c r="U618" i="11"/>
  <c r="S628" i="11"/>
  <c r="W628" i="11" s="1"/>
  <c r="V650" i="11"/>
  <c r="S650" i="11"/>
  <c r="W650" i="11" s="1"/>
  <c r="S729" i="11"/>
  <c r="W729" i="11" s="1"/>
  <c r="V729" i="11"/>
  <c r="S563" i="11"/>
  <c r="W563" i="11" s="1"/>
  <c r="V567" i="11"/>
  <c r="S567" i="11"/>
  <c r="W567" i="11" s="1"/>
  <c r="U650" i="11"/>
  <c r="S655" i="11"/>
  <c r="W655" i="11" s="1"/>
  <c r="V684" i="11"/>
  <c r="S684" i="11"/>
  <c r="W684" i="11" s="1"/>
  <c r="S713" i="11"/>
  <c r="W713" i="11" s="1"/>
  <c r="V713" i="11"/>
  <c r="V548" i="11"/>
  <c r="V585" i="11"/>
  <c r="S585" i="11"/>
  <c r="W585" i="11" s="1"/>
  <c r="V616" i="11"/>
  <c r="S616" i="11"/>
  <c r="W616" i="11" s="1"/>
  <c r="V665" i="11"/>
  <c r="S665" i="11"/>
  <c r="W665" i="11" s="1"/>
  <c r="V668" i="11"/>
  <c r="S668" i="11"/>
  <c r="W668" i="11" s="1"/>
  <c r="V681" i="11"/>
  <c r="S681" i="11"/>
  <c r="W681" i="11" s="1"/>
  <c r="U687" i="11"/>
  <c r="S687" i="11"/>
  <c r="W687" i="11" s="1"/>
  <c r="U707" i="11"/>
  <c r="S707" i="11"/>
  <c r="W707" i="11" s="1"/>
  <c r="V521" i="11"/>
  <c r="S540" i="11"/>
  <c r="W540" i="11" s="1"/>
  <c r="S550" i="11"/>
  <c r="W550" i="11" s="1"/>
  <c r="R572" i="11"/>
  <c r="S579" i="11"/>
  <c r="W579" i="11" s="1"/>
  <c r="V583" i="11"/>
  <c r="S583" i="11"/>
  <c r="W583" i="11" s="1"/>
  <c r="R602" i="11"/>
  <c r="S604" i="11"/>
  <c r="W604" i="11" s="1"/>
  <c r="S606" i="11"/>
  <c r="W606" i="11" s="1"/>
  <c r="S608" i="11"/>
  <c r="W608" i="11" s="1"/>
  <c r="V608" i="11"/>
  <c r="U635" i="11"/>
  <c r="S637" i="11"/>
  <c r="W637" i="11" s="1"/>
  <c r="S639" i="11"/>
  <c r="W639" i="11" s="1"/>
  <c r="V641" i="11"/>
  <c r="S641" i="11"/>
  <c r="W641" i="11" s="1"/>
  <c r="S643" i="11"/>
  <c r="W643" i="11" s="1"/>
  <c r="V645" i="11"/>
  <c r="V648" i="11"/>
  <c r="S648" i="11"/>
  <c r="W648" i="11" s="1"/>
  <c r="S662" i="11"/>
  <c r="W662" i="11" s="1"/>
  <c r="S678" i="11"/>
  <c r="W678" i="11" s="1"/>
  <c r="V678" i="11"/>
  <c r="S694" i="11"/>
  <c r="W694" i="11" s="1"/>
  <c r="D374" i="12"/>
  <c r="C377" i="12"/>
  <c r="S535" i="11"/>
  <c r="W535" i="11" s="1"/>
  <c r="S554" i="11"/>
  <c r="W554" i="11" s="1"/>
  <c r="S581" i="11"/>
  <c r="W581" i="11" s="1"/>
  <c r="V588" i="11"/>
  <c r="S612" i="11"/>
  <c r="W612" i="11" s="1"/>
  <c r="S635" i="11"/>
  <c r="W635" i="11" s="1"/>
  <c r="V660" i="11"/>
  <c r="S660" i="11"/>
  <c r="W660" i="11" s="1"/>
  <c r="V697" i="11"/>
  <c r="S697" i="11"/>
  <c r="W697" i="11" s="1"/>
  <c r="S745" i="11"/>
  <c r="W745" i="11" s="1"/>
  <c r="V745" i="11"/>
  <c r="S504" i="11"/>
  <c r="S560" i="11"/>
  <c r="W560" i="11" s="1"/>
  <c r="V560" i="11"/>
  <c r="V565" i="11"/>
  <c r="V597" i="11"/>
  <c r="V628" i="11"/>
  <c r="S793" i="11"/>
  <c r="W793" i="11" s="1"/>
  <c r="V793" i="11"/>
  <c r="U517" i="11"/>
  <c r="S547" i="11"/>
  <c r="W547" i="11" s="1"/>
  <c r="R570" i="11"/>
  <c r="U588" i="11"/>
  <c r="V600" i="11"/>
  <c r="S600" i="11"/>
  <c r="W600" i="11" s="1"/>
  <c r="S614" i="11"/>
  <c r="W614" i="11" s="1"/>
  <c r="R619" i="11"/>
  <c r="V651" i="11"/>
  <c r="S651" i="11"/>
  <c r="W651" i="11" s="1"/>
  <c r="V676" i="11"/>
  <c r="S676" i="11"/>
  <c r="W676" i="11" s="1"/>
  <c r="V685" i="11"/>
  <c r="S685" i="11"/>
  <c r="W685" i="11" s="1"/>
  <c r="C386" i="12"/>
  <c r="S564" i="11"/>
  <c r="W564" i="11" s="1"/>
  <c r="V568" i="11"/>
  <c r="S568" i="11"/>
  <c r="W568" i="11" s="1"/>
  <c r="S576" i="11"/>
  <c r="W576" i="11" s="1"/>
  <c r="V576" i="11"/>
  <c r="W588" i="11"/>
  <c r="S592" i="11"/>
  <c r="W592" i="11" s="1"/>
  <c r="V592" i="11"/>
  <c r="V669" i="11"/>
  <c r="S669" i="11"/>
  <c r="W669" i="11" s="1"/>
  <c r="V682" i="11"/>
  <c r="S682" i="11"/>
  <c r="W682" i="11" s="1"/>
  <c r="V690" i="11"/>
  <c r="S690" i="11"/>
  <c r="W690" i="11" s="1"/>
  <c r="V504" i="11"/>
  <c r="U507" i="11"/>
  <c r="S513" i="11"/>
  <c r="S537" i="11"/>
  <c r="W537" i="11" s="1"/>
  <c r="R539" i="11"/>
  <c r="S562" i="11"/>
  <c r="W562" i="11" s="1"/>
  <c r="V631" i="11"/>
  <c r="S631" i="11"/>
  <c r="W631" i="11" s="1"/>
  <c r="V636" i="11"/>
  <c r="V654" i="11"/>
  <c r="S654" i="11"/>
  <c r="W654" i="11" s="1"/>
  <c r="V658" i="11"/>
  <c r="S658" i="11"/>
  <c r="W658" i="11" s="1"/>
  <c r="V663" i="11"/>
  <c r="S663" i="11"/>
  <c r="W663" i="11" s="1"/>
  <c r="V666" i="11"/>
  <c r="S666" i="11"/>
  <c r="W666" i="11" s="1"/>
  <c r="V679" i="11"/>
  <c r="S679" i="11"/>
  <c r="W679" i="11" s="1"/>
  <c r="D389" i="12"/>
  <c r="S580" i="11"/>
  <c r="W580" i="11" s="1"/>
  <c r="V584" i="11"/>
  <c r="S584" i="11"/>
  <c r="W584" i="11" s="1"/>
  <c r="S586" i="11"/>
  <c r="W586" i="11" s="1"/>
  <c r="S594" i="11"/>
  <c r="W594" i="11" s="1"/>
  <c r="V612" i="11"/>
  <c r="V674" i="11"/>
  <c r="S674" i="11"/>
  <c r="W674" i="11" s="1"/>
  <c r="S761" i="11"/>
  <c r="W761" i="11" s="1"/>
  <c r="V761" i="11"/>
  <c r="S519" i="11"/>
  <c r="W551" i="11"/>
  <c r="V555" i="11"/>
  <c r="S578" i="11"/>
  <c r="W578" i="11" s="1"/>
  <c r="V603" i="11"/>
  <c r="V625" i="11"/>
  <c r="S627" i="11"/>
  <c r="W627" i="11" s="1"/>
  <c r="U636" i="11"/>
  <c r="V513" i="11"/>
  <c r="U516" i="11"/>
  <c r="U559" i="11"/>
  <c r="U603" i="11"/>
  <c r="S613" i="11"/>
  <c r="W613" i="11" s="1"/>
  <c r="V634" i="11"/>
  <c r="S636" i="11"/>
  <c r="W636" i="11" s="1"/>
  <c r="S640" i="11"/>
  <c r="W640" i="11" s="1"/>
  <c r="V640" i="11"/>
  <c r="V649" i="11"/>
  <c r="S649" i="11"/>
  <c r="W649" i="11" s="1"/>
  <c r="V652" i="11"/>
  <c r="S652" i="11"/>
  <c r="W652" i="11" s="1"/>
  <c r="R661" i="11"/>
  <c r="V686" i="11"/>
  <c r="S686" i="11"/>
  <c r="W686" i="11" s="1"/>
  <c r="V706" i="11"/>
  <c r="S706" i="11"/>
  <c r="W706" i="11" s="1"/>
  <c r="V656" i="11"/>
  <c r="U659" i="11"/>
  <c r="V672" i="11"/>
  <c r="U675" i="11"/>
  <c r="V688" i="11"/>
  <c r="V691" i="11"/>
  <c r="U699" i="11"/>
  <c r="R710" i="11"/>
  <c r="V712" i="11"/>
  <c r="S714" i="11"/>
  <c r="W714" i="11" s="1"/>
  <c r="V718" i="11"/>
  <c r="S718" i="11"/>
  <c r="W718" i="11" s="1"/>
  <c r="V722" i="11"/>
  <c r="V738" i="11"/>
  <c r="V693" i="11"/>
  <c r="R708" i="11"/>
  <c r="U712" i="11"/>
  <c r="S730" i="11"/>
  <c r="W730" i="11" s="1"/>
  <c r="S746" i="11"/>
  <c r="W746" i="11" s="1"/>
  <c r="S762" i="11"/>
  <c r="W762" i="11" s="1"/>
  <c r="S778" i="11"/>
  <c r="W778" i="11" s="1"/>
  <c r="S794" i="11"/>
  <c r="W794" i="11" s="1"/>
  <c r="U799" i="11"/>
  <c r="S799" i="11"/>
  <c r="W799" i="11" s="1"/>
  <c r="V804" i="11"/>
  <c r="S804" i="11"/>
  <c r="W804" i="11" s="1"/>
  <c r="W712" i="11"/>
  <c r="R695" i="11"/>
  <c r="V723" i="11"/>
  <c r="S723" i="11"/>
  <c r="W723" i="11" s="1"/>
  <c r="S728" i="11"/>
  <c r="W728" i="11" s="1"/>
  <c r="V739" i="11"/>
  <c r="S739" i="11"/>
  <c r="W739" i="11" s="1"/>
  <c r="S744" i="11"/>
  <c r="W744" i="11" s="1"/>
  <c r="V755" i="11"/>
  <c r="S755" i="11"/>
  <c r="W755" i="11" s="1"/>
  <c r="S760" i="11"/>
  <c r="W760" i="11" s="1"/>
  <c r="V771" i="11"/>
  <c r="S771" i="11"/>
  <c r="W771" i="11" s="1"/>
  <c r="S776" i="11"/>
  <c r="W776" i="11" s="1"/>
  <c r="V787" i="11"/>
  <c r="S787" i="11"/>
  <c r="W787" i="11" s="1"/>
  <c r="S792" i="11"/>
  <c r="W792" i="11" s="1"/>
  <c r="R700" i="11"/>
  <c r="S703" i="11"/>
  <c r="W703" i="11" s="1"/>
  <c r="R705" i="11"/>
  <c r="S721" i="11"/>
  <c r="W721" i="11" s="1"/>
  <c r="U723" i="11"/>
  <c r="S737" i="11"/>
  <c r="W737" i="11" s="1"/>
  <c r="U739" i="11"/>
  <c r="S753" i="11"/>
  <c r="W753" i="11" s="1"/>
  <c r="U755" i="11"/>
  <c r="S769" i="11"/>
  <c r="W769" i="11" s="1"/>
  <c r="U771" i="11"/>
  <c r="S785" i="11"/>
  <c r="W785" i="11" s="1"/>
  <c r="U787" i="11"/>
  <c r="S797" i="11"/>
  <c r="W797" i="11" s="1"/>
  <c r="V802" i="11"/>
  <c r="S802" i="11"/>
  <c r="W802" i="11" s="1"/>
  <c r="V807" i="11"/>
  <c r="S807" i="11"/>
  <c r="W807" i="11" s="1"/>
  <c r="U735" i="11"/>
  <c r="S735" i="11"/>
  <c r="W735" i="11" s="1"/>
  <c r="U751" i="11"/>
  <c r="S751" i="11"/>
  <c r="W751" i="11" s="1"/>
  <c r="U767" i="11"/>
  <c r="S767" i="11"/>
  <c r="W767" i="11" s="1"/>
  <c r="U783" i="11"/>
  <c r="S783" i="11"/>
  <c r="W783" i="11" s="1"/>
  <c r="V805" i="11"/>
  <c r="S805" i="11"/>
  <c r="W805" i="11" s="1"/>
  <c r="S692" i="11"/>
  <c r="W692" i="11" s="1"/>
  <c r="V709" i="11"/>
  <c r="S719" i="11"/>
  <c r="W719" i="11" s="1"/>
  <c r="S726" i="11"/>
  <c r="W726" i="11" s="1"/>
  <c r="S742" i="11"/>
  <c r="W742" i="11" s="1"/>
  <c r="S758" i="11"/>
  <c r="W758" i="11" s="1"/>
  <c r="S774" i="11"/>
  <c r="W774" i="11" s="1"/>
  <c r="S790" i="11"/>
  <c r="W790" i="11" s="1"/>
  <c r="R711" i="11"/>
  <c r="V721" i="11"/>
  <c r="V724" i="11"/>
  <c r="S724" i="11"/>
  <c r="W724" i="11" s="1"/>
  <c r="V737" i="11"/>
  <c r="V740" i="11"/>
  <c r="S740" i="11"/>
  <c r="W740" i="11" s="1"/>
  <c r="V753" i="11"/>
  <c r="V756" i="11"/>
  <c r="S756" i="11"/>
  <c r="W756" i="11" s="1"/>
  <c r="V772" i="11"/>
  <c r="S772" i="11"/>
  <c r="W772" i="11" s="1"/>
  <c r="V788" i="11"/>
  <c r="S788" i="11"/>
  <c r="W788" i="11" s="1"/>
  <c r="S731" i="11"/>
  <c r="W731" i="11" s="1"/>
  <c r="V733" i="11"/>
  <c r="S747" i="11"/>
  <c r="W747" i="11" s="1"/>
  <c r="V749" i="11"/>
  <c r="S763" i="11"/>
  <c r="W763" i="11" s="1"/>
  <c r="V765" i="11"/>
  <c r="S779" i="11"/>
  <c r="W779" i="11" s="1"/>
  <c r="V781" i="11"/>
  <c r="S795" i="11"/>
  <c r="W795" i="11" s="1"/>
  <c r="V717" i="11"/>
  <c r="V798" i="11"/>
  <c r="S798" i="11"/>
  <c r="W798" i="11" s="1"/>
  <c r="V803" i="11"/>
  <c r="S803" i="11"/>
  <c r="W803" i="11" s="1"/>
  <c r="S702" i="11"/>
  <c r="W702" i="11" s="1"/>
  <c r="V727" i="11"/>
  <c r="S727" i="11"/>
  <c r="W727" i="11" s="1"/>
  <c r="V743" i="11"/>
  <c r="S743" i="11"/>
  <c r="W743" i="11" s="1"/>
  <c r="V759" i="11"/>
  <c r="S759" i="11"/>
  <c r="W759" i="11" s="1"/>
  <c r="V775" i="11"/>
  <c r="S775" i="11"/>
  <c r="W775" i="11" s="1"/>
  <c r="V791" i="11"/>
  <c r="S791" i="11"/>
  <c r="W791" i="11" s="1"/>
  <c r="S732" i="11"/>
  <c r="W732" i="11" s="1"/>
  <c r="V732" i="11"/>
  <c r="V702" i="11"/>
  <c r="V714" i="11"/>
  <c r="R716" i="11"/>
  <c r="V720" i="11"/>
  <c r="S720" i="11"/>
  <c r="W720" i="11" s="1"/>
  <c r="V725" i="11"/>
  <c r="S725" i="11"/>
  <c r="W725" i="11" s="1"/>
  <c r="V741" i="11"/>
  <c r="S741" i="11"/>
  <c r="W741" i="11" s="1"/>
  <c r="S748" i="11"/>
  <c r="W748" i="11" s="1"/>
  <c r="V748" i="11"/>
  <c r="V757" i="11"/>
  <c r="S757" i="11"/>
  <c r="W757" i="11" s="1"/>
  <c r="S764" i="11"/>
  <c r="W764" i="11" s="1"/>
  <c r="V764" i="11"/>
  <c r="V773" i="11"/>
  <c r="S773" i="11"/>
  <c r="W773" i="11" s="1"/>
  <c r="S780" i="11"/>
  <c r="W780" i="11" s="1"/>
  <c r="V780" i="11"/>
  <c r="V789" i="11"/>
  <c r="S789" i="11"/>
  <c r="W789" i="11" s="1"/>
  <c r="S796" i="11"/>
  <c r="W796" i="11" s="1"/>
  <c r="V796" i="11"/>
  <c r="U803" i="11"/>
  <c r="V704" i="11"/>
  <c r="S704" i="11"/>
  <c r="W704" i="11" s="1"/>
  <c r="V734" i="11"/>
  <c r="S734" i="11"/>
  <c r="W734" i="11" s="1"/>
  <c r="V750" i="11"/>
  <c r="S750" i="11"/>
  <c r="W750" i="11" s="1"/>
  <c r="V766" i="11"/>
  <c r="S766" i="11"/>
  <c r="W766" i="11" s="1"/>
  <c r="V782" i="11"/>
  <c r="S782" i="11"/>
  <c r="W782" i="11" s="1"/>
  <c r="V801" i="11"/>
  <c r="S801" i="11"/>
  <c r="W801" i="11" s="1"/>
  <c r="S736" i="11"/>
  <c r="W736" i="11" s="1"/>
  <c r="S752" i="11"/>
  <c r="W752" i="11" s="1"/>
  <c r="S768" i="11"/>
  <c r="W768" i="11" s="1"/>
  <c r="S784" i="11"/>
  <c r="W784" i="11" s="1"/>
  <c r="S800" i="11"/>
  <c r="W800" i="11" s="1"/>
  <c r="E179" i="12" l="1"/>
  <c r="W179" i="11"/>
  <c r="F179" i="12" s="1"/>
  <c r="E276" i="12"/>
  <c r="W16" i="11"/>
  <c r="F276" i="12" s="1"/>
  <c r="E178" i="12"/>
  <c r="W178" i="11"/>
  <c r="F178" i="12" s="1"/>
  <c r="E302" i="12"/>
  <c r="W120" i="11"/>
  <c r="F302" i="12" s="1"/>
  <c r="Q10" i="21"/>
  <c r="S10" i="21"/>
  <c r="E32" i="12"/>
  <c r="W32" i="11"/>
  <c r="F32" i="12" s="1"/>
  <c r="E189" i="12"/>
  <c r="W293" i="11"/>
  <c r="F189" i="12" s="1"/>
  <c r="E94" i="12"/>
  <c r="W198" i="11"/>
  <c r="F94" i="12" s="1"/>
  <c r="E194" i="12"/>
  <c r="W298" i="11"/>
  <c r="F194" i="12" s="1"/>
  <c r="E9" i="12"/>
  <c r="W139" i="11"/>
  <c r="F9" i="12" s="1"/>
  <c r="E318" i="12"/>
  <c r="W58" i="11"/>
  <c r="F318" i="12" s="1"/>
  <c r="E354" i="12"/>
  <c r="W94" i="11"/>
  <c r="F354" i="12" s="1"/>
  <c r="E66" i="12"/>
  <c r="W248" i="11"/>
  <c r="F66" i="12" s="1"/>
  <c r="V619" i="11"/>
  <c r="S619" i="11"/>
  <c r="W619" i="11" s="1"/>
  <c r="V587" i="11"/>
  <c r="S587" i="11"/>
  <c r="W587" i="11" s="1"/>
  <c r="V437" i="11"/>
  <c r="S437" i="11"/>
  <c r="W437" i="11" s="1"/>
  <c r="W512" i="11"/>
  <c r="E377" i="12"/>
  <c r="W507" i="11"/>
  <c r="F377" i="12" s="1"/>
  <c r="E366" i="12"/>
  <c r="E241" i="12"/>
  <c r="W319" i="11"/>
  <c r="F241" i="12" s="1"/>
  <c r="E224" i="12"/>
  <c r="W276" i="11"/>
  <c r="F224" i="12" s="1"/>
  <c r="D250" i="12"/>
  <c r="V328" i="11"/>
  <c r="S328" i="11"/>
  <c r="E237" i="12"/>
  <c r="W315" i="11"/>
  <c r="F237" i="12" s="1"/>
  <c r="E129" i="12"/>
  <c r="W233" i="11"/>
  <c r="F129" i="12" s="1"/>
  <c r="E59" i="12"/>
  <c r="W241" i="11"/>
  <c r="F59" i="12" s="1"/>
  <c r="E182" i="12"/>
  <c r="W182" i="11"/>
  <c r="F182" i="12" s="1"/>
  <c r="E122" i="12"/>
  <c r="W226" i="11"/>
  <c r="F122" i="12" s="1"/>
  <c r="E238" i="12"/>
  <c r="W316" i="11"/>
  <c r="F238" i="12" s="1"/>
  <c r="D187" i="12"/>
  <c r="V291" i="11"/>
  <c r="S291" i="11"/>
  <c r="E183" i="12"/>
  <c r="W183" i="11"/>
  <c r="F183" i="12" s="1"/>
  <c r="E329" i="12"/>
  <c r="W69" i="11"/>
  <c r="F329" i="12" s="1"/>
  <c r="E282" i="12"/>
  <c r="W22" i="11"/>
  <c r="F282" i="12" s="1"/>
  <c r="E84" i="12"/>
  <c r="W188" i="11"/>
  <c r="F84" i="12" s="1"/>
  <c r="E361" i="12"/>
  <c r="W101" i="11"/>
  <c r="F361" i="12" s="1"/>
  <c r="E353" i="12"/>
  <c r="W93" i="11"/>
  <c r="F353" i="12" s="1"/>
  <c r="E274" i="12"/>
  <c r="W14" i="11"/>
  <c r="F274" i="12" s="1"/>
  <c r="E278" i="12"/>
  <c r="W18" i="11"/>
  <c r="F278" i="12" s="1"/>
  <c r="E158" i="12"/>
  <c r="W158" i="11"/>
  <c r="F158" i="12" s="1"/>
  <c r="E320" i="12"/>
  <c r="W60" i="11"/>
  <c r="F320" i="12" s="1"/>
  <c r="E52" i="12"/>
  <c r="W52" i="11"/>
  <c r="F52" i="12" s="1"/>
  <c r="E243" i="12"/>
  <c r="W321" i="11"/>
  <c r="F243" i="12" s="1"/>
  <c r="G16" i="13"/>
  <c r="E71" i="12"/>
  <c r="W253" i="11"/>
  <c r="F71" i="12" s="1"/>
  <c r="V618" i="11"/>
  <c r="S618" i="11"/>
  <c r="W618" i="11" s="1"/>
  <c r="S429" i="11"/>
  <c r="W429" i="11" s="1"/>
  <c r="V429" i="11"/>
  <c r="E139" i="12"/>
  <c r="W399" i="11"/>
  <c r="F139" i="12" s="1"/>
  <c r="V711" i="11"/>
  <c r="S711" i="11"/>
  <c r="W711" i="11" s="1"/>
  <c r="S477" i="11"/>
  <c r="W477" i="11" s="1"/>
  <c r="V477" i="11"/>
  <c r="E218" i="12"/>
  <c r="W270" i="11"/>
  <c r="F218" i="12" s="1"/>
  <c r="E204" i="12"/>
  <c r="W308" i="11"/>
  <c r="F204" i="12" s="1"/>
  <c r="E209" i="12"/>
  <c r="W313" i="11"/>
  <c r="F209" i="12" s="1"/>
  <c r="D79" i="12"/>
  <c r="V261" i="11"/>
  <c r="S261" i="11"/>
  <c r="E333" i="12"/>
  <c r="W73" i="11"/>
  <c r="F333" i="12" s="1"/>
  <c r="E15" i="12"/>
  <c r="W145" i="11"/>
  <c r="F15" i="12" s="1"/>
  <c r="E70" i="12"/>
  <c r="W252" i="11"/>
  <c r="F70" i="12" s="1"/>
  <c r="E72" i="12"/>
  <c r="W254" i="11"/>
  <c r="F72" i="12" s="1"/>
  <c r="E13" i="12"/>
  <c r="W143" i="11"/>
  <c r="F13" i="12" s="1"/>
  <c r="F252" i="12"/>
  <c r="E170" i="12"/>
  <c r="W170" i="11"/>
  <c r="F170" i="12" s="1"/>
  <c r="E118" i="12"/>
  <c r="W222" i="11"/>
  <c r="F118" i="12" s="1"/>
  <c r="E95" i="12"/>
  <c r="W199" i="11"/>
  <c r="F95" i="12" s="1"/>
  <c r="E25" i="12"/>
  <c r="W155" i="11"/>
  <c r="F25" i="12" s="1"/>
  <c r="E359" i="12"/>
  <c r="W99" i="11"/>
  <c r="F359" i="12" s="1"/>
  <c r="E270" i="12"/>
  <c r="W10" i="11"/>
  <c r="F270" i="12" s="1"/>
  <c r="E159" i="12"/>
  <c r="W159" i="11"/>
  <c r="F159" i="12" s="1"/>
  <c r="E24" i="12"/>
  <c r="W154" i="11"/>
  <c r="F24" i="12" s="1"/>
  <c r="E365" i="12"/>
  <c r="W105" i="11"/>
  <c r="F365" i="12" s="1"/>
  <c r="E53" i="12"/>
  <c r="W53" i="11"/>
  <c r="F53" i="12" s="1"/>
  <c r="E47" i="12"/>
  <c r="W47" i="11"/>
  <c r="F47" i="12" s="1"/>
  <c r="F260" i="12"/>
  <c r="E299" i="12"/>
  <c r="W117" i="11"/>
  <c r="F299" i="12" s="1"/>
  <c r="E347" i="12"/>
  <c r="W87" i="11"/>
  <c r="F347" i="12" s="1"/>
  <c r="E268" i="12"/>
  <c r="W8" i="11"/>
  <c r="F268" i="12" s="1"/>
  <c r="E108" i="12"/>
  <c r="W212" i="11"/>
  <c r="F108" i="12" s="1"/>
  <c r="E211" i="12"/>
  <c r="W263" i="11"/>
  <c r="F211" i="12" s="1"/>
  <c r="E175" i="12"/>
  <c r="W175" i="11"/>
  <c r="F175" i="12" s="1"/>
  <c r="E11" i="12"/>
  <c r="W141" i="11"/>
  <c r="F11" i="12" s="1"/>
  <c r="E163" i="12"/>
  <c r="W163" i="11"/>
  <c r="F163" i="12" s="1"/>
  <c r="E248" i="12"/>
  <c r="W326" i="11"/>
  <c r="F248" i="12" s="1"/>
  <c r="E317" i="12"/>
  <c r="W57" i="11"/>
  <c r="F317" i="12" s="1"/>
  <c r="D62" i="12"/>
  <c r="V244" i="11"/>
  <c r="S244" i="11"/>
  <c r="E89" i="12"/>
  <c r="W193" i="11"/>
  <c r="F89" i="12" s="1"/>
  <c r="E273" i="12"/>
  <c r="W13" i="11"/>
  <c r="F273" i="12" s="1"/>
  <c r="D115" i="12"/>
  <c r="V219" i="11"/>
  <c r="S219" i="11"/>
  <c r="E191" i="12"/>
  <c r="W295" i="11"/>
  <c r="F191" i="12" s="1"/>
  <c r="E10" i="12"/>
  <c r="W140" i="11"/>
  <c r="F10" i="12" s="1"/>
  <c r="E252" i="12"/>
  <c r="E116" i="12"/>
  <c r="W220" i="11"/>
  <c r="F116" i="12" s="1"/>
  <c r="E319" i="12"/>
  <c r="W59" i="11"/>
  <c r="F319" i="12" s="1"/>
  <c r="E51" i="12"/>
  <c r="W51" i="11"/>
  <c r="F51" i="12" s="1"/>
  <c r="D265" i="12"/>
  <c r="V5" i="11"/>
  <c r="S5" i="11"/>
  <c r="E328" i="12"/>
  <c r="W68" i="11"/>
  <c r="F328" i="12" s="1"/>
  <c r="E338" i="12"/>
  <c r="W78" i="11"/>
  <c r="F338" i="12" s="1"/>
  <c r="E342" i="12"/>
  <c r="W82" i="11"/>
  <c r="F342" i="12" s="1"/>
  <c r="E355" i="12"/>
  <c r="W95" i="11"/>
  <c r="F355" i="12" s="1"/>
  <c r="E260" i="12"/>
  <c r="E85" i="12"/>
  <c r="W189" i="11"/>
  <c r="F85" i="12" s="1"/>
  <c r="E371" i="12"/>
  <c r="E369" i="12"/>
  <c r="W499" i="11"/>
  <c r="F369" i="12" s="1"/>
  <c r="V572" i="11"/>
  <c r="S572" i="11"/>
  <c r="W572" i="11" s="1"/>
  <c r="W502" i="11"/>
  <c r="V446" i="11"/>
  <c r="S446" i="11"/>
  <c r="W446" i="11" s="1"/>
  <c r="D139" i="12"/>
  <c r="E258" i="12"/>
  <c r="D201" i="12"/>
  <c r="S305" i="11"/>
  <c r="V305" i="11"/>
  <c r="D203" i="12"/>
  <c r="V307" i="11"/>
  <c r="S307" i="11"/>
  <c r="E64" i="12"/>
  <c r="W246" i="11"/>
  <c r="F64" i="12" s="1"/>
  <c r="V705" i="11"/>
  <c r="S705" i="11"/>
  <c r="W705" i="11" s="1"/>
  <c r="D384" i="12"/>
  <c r="W518" i="11"/>
  <c r="V430" i="11"/>
  <c r="S430" i="11"/>
  <c r="W430" i="11" s="1"/>
  <c r="W497" i="11"/>
  <c r="F367" i="12" s="1"/>
  <c r="E136" i="12"/>
  <c r="W396" i="11"/>
  <c r="F136" i="12" s="1"/>
  <c r="D202" i="12"/>
  <c r="V306" i="11"/>
  <c r="S306" i="11"/>
  <c r="D199" i="12"/>
  <c r="S303" i="11"/>
  <c r="V303" i="11"/>
  <c r="E60" i="12"/>
  <c r="W242" i="11"/>
  <c r="F60" i="12" s="1"/>
  <c r="E41" i="12"/>
  <c r="W41" i="11"/>
  <c r="F41" i="12" s="1"/>
  <c r="E74" i="12"/>
  <c r="W256" i="11"/>
  <c r="F74" i="12" s="1"/>
  <c r="E165" i="12"/>
  <c r="W165" i="11"/>
  <c r="F165" i="12" s="1"/>
  <c r="E364" i="12"/>
  <c r="W104" i="11"/>
  <c r="F364" i="12" s="1"/>
  <c r="E96" i="12"/>
  <c r="W200" i="11"/>
  <c r="F96" i="12" s="1"/>
  <c r="E188" i="12"/>
  <c r="W292" i="11"/>
  <c r="F188" i="12" s="1"/>
  <c r="D82" i="12"/>
  <c r="V186" i="11"/>
  <c r="S186" i="11"/>
  <c r="E326" i="12"/>
  <c r="W66" i="11"/>
  <c r="F326" i="12" s="1"/>
  <c r="E351" i="12"/>
  <c r="W91" i="11"/>
  <c r="F351" i="12" s="1"/>
  <c r="E336" i="12"/>
  <c r="W76" i="11"/>
  <c r="F336" i="12" s="1"/>
  <c r="E73" i="12"/>
  <c r="W255" i="11"/>
  <c r="F73" i="12" s="1"/>
  <c r="E213" i="12"/>
  <c r="W265" i="11"/>
  <c r="F213" i="12" s="1"/>
  <c r="E83" i="12"/>
  <c r="W187" i="11"/>
  <c r="F83" i="12" s="1"/>
  <c r="E200" i="12"/>
  <c r="W304" i="11"/>
  <c r="F200" i="12" s="1"/>
  <c r="E294" i="12"/>
  <c r="W112" i="11"/>
  <c r="F294" i="12" s="1"/>
  <c r="E49" i="12"/>
  <c r="W49" i="11"/>
  <c r="F49" i="12" s="1"/>
  <c r="E206" i="12"/>
  <c r="W310" i="11"/>
  <c r="F206" i="12" s="1"/>
  <c r="E290" i="12"/>
  <c r="W108" i="11"/>
  <c r="F290" i="12" s="1"/>
  <c r="D181" i="12"/>
  <c r="S181" i="11"/>
  <c r="V181" i="11"/>
  <c r="E29" i="12"/>
  <c r="W29" i="11"/>
  <c r="F29" i="12" s="1"/>
  <c r="E57" i="12"/>
  <c r="W239" i="11"/>
  <c r="F57" i="12" s="1"/>
  <c r="E16" i="12"/>
  <c r="W146" i="11"/>
  <c r="F16" i="12" s="1"/>
  <c r="E101" i="12"/>
  <c r="W205" i="11"/>
  <c r="F101" i="12" s="1"/>
  <c r="E330" i="12"/>
  <c r="W70" i="11"/>
  <c r="F330" i="12" s="1"/>
  <c r="V539" i="11"/>
  <c r="S539" i="11"/>
  <c r="W539" i="11" s="1"/>
  <c r="V570" i="11"/>
  <c r="S570" i="11"/>
  <c r="W570" i="11" s="1"/>
  <c r="E379" i="12"/>
  <c r="W509" i="11"/>
  <c r="F379" i="12" s="1"/>
  <c r="D138" i="12"/>
  <c r="V398" i="11"/>
  <c r="S398" i="11"/>
  <c r="E221" i="12"/>
  <c r="W273" i="11"/>
  <c r="F221" i="12" s="1"/>
  <c r="W411" i="11"/>
  <c r="W403" i="11"/>
  <c r="E256" i="12"/>
  <c r="W334" i="11"/>
  <c r="F256" i="12" s="1"/>
  <c r="E197" i="12"/>
  <c r="W301" i="11"/>
  <c r="F197" i="12" s="1"/>
  <c r="E233" i="12"/>
  <c r="W285" i="11"/>
  <c r="F233" i="12" s="1"/>
  <c r="E285" i="12"/>
  <c r="W25" i="11"/>
  <c r="F285" i="12" s="1"/>
  <c r="E125" i="12"/>
  <c r="W229" i="11"/>
  <c r="F125" i="12" s="1"/>
  <c r="E249" i="12"/>
  <c r="W327" i="11"/>
  <c r="F249" i="12" s="1"/>
  <c r="D2" i="12"/>
  <c r="V132" i="11"/>
  <c r="S132" i="11"/>
  <c r="E128" i="12"/>
  <c r="W232" i="11"/>
  <c r="F128" i="12" s="1"/>
  <c r="E173" i="12"/>
  <c r="W173" i="11"/>
  <c r="F173" i="12" s="1"/>
  <c r="E267" i="12"/>
  <c r="W7" i="11"/>
  <c r="F267" i="12" s="1"/>
  <c r="E19" i="12"/>
  <c r="W149" i="11"/>
  <c r="F19" i="12" s="1"/>
  <c r="E346" i="12"/>
  <c r="W86" i="11"/>
  <c r="F346" i="12" s="1"/>
  <c r="E6" i="12"/>
  <c r="W136" i="11"/>
  <c r="F6" i="12" s="1"/>
  <c r="E21" i="12"/>
  <c r="W151" i="11"/>
  <c r="F21" i="12" s="1"/>
  <c r="E43" i="12"/>
  <c r="W43" i="11"/>
  <c r="F43" i="12" s="1"/>
  <c r="E111" i="12"/>
  <c r="W215" i="11"/>
  <c r="F111" i="12" s="1"/>
  <c r="E40" i="12"/>
  <c r="W40" i="11"/>
  <c r="F40" i="12" s="1"/>
  <c r="E8" i="12"/>
  <c r="W138" i="11"/>
  <c r="F8" i="12" s="1"/>
  <c r="E30" i="12"/>
  <c r="W30" i="11"/>
  <c r="F30" i="12" s="1"/>
  <c r="E160" i="12"/>
  <c r="W160" i="11"/>
  <c r="F160" i="12" s="1"/>
  <c r="E356" i="12"/>
  <c r="W96" i="11"/>
  <c r="F356" i="12" s="1"/>
  <c r="E288" i="12"/>
  <c r="W106" i="11"/>
  <c r="F288" i="12" s="1"/>
  <c r="F366" i="12"/>
  <c r="E363" i="12"/>
  <c r="W103" i="11"/>
  <c r="F363" i="12" s="1"/>
  <c r="E219" i="12"/>
  <c r="W271" i="11"/>
  <c r="F219" i="12" s="1"/>
  <c r="E261" i="12"/>
  <c r="W339" i="11"/>
  <c r="F261" i="12" s="1"/>
  <c r="E332" i="12"/>
  <c r="W72" i="11"/>
  <c r="F332" i="12" s="1"/>
  <c r="V366" i="11"/>
  <c r="S366" i="11"/>
  <c r="W366" i="11" s="1"/>
  <c r="E390" i="12"/>
  <c r="W520" i="11"/>
  <c r="F390" i="12" s="1"/>
  <c r="E148" i="12"/>
  <c r="W408" i="11"/>
  <c r="F148" i="12" s="1"/>
  <c r="E245" i="12"/>
  <c r="W323" i="11"/>
  <c r="F245" i="12" s="1"/>
  <c r="E155" i="12"/>
  <c r="W415" i="11"/>
  <c r="F155" i="12" s="1"/>
  <c r="D151" i="12"/>
  <c r="E269" i="12"/>
  <c r="W9" i="11"/>
  <c r="F269" i="12" s="1"/>
  <c r="E174" i="12"/>
  <c r="W174" i="11"/>
  <c r="F174" i="12" s="1"/>
  <c r="E217" i="12"/>
  <c r="W269" i="11"/>
  <c r="F217" i="12" s="1"/>
  <c r="E63" i="12"/>
  <c r="W245" i="11"/>
  <c r="F63" i="12" s="1"/>
  <c r="E193" i="12"/>
  <c r="W297" i="11"/>
  <c r="F193" i="12" s="1"/>
  <c r="D300" i="12"/>
  <c r="V118" i="11"/>
  <c r="S118" i="11"/>
  <c r="E110" i="12"/>
  <c r="W214" i="11"/>
  <c r="F110" i="12" s="1"/>
  <c r="E198" i="12"/>
  <c r="W302" i="11"/>
  <c r="F198" i="12" s="1"/>
  <c r="E137" i="12"/>
  <c r="W397" i="11"/>
  <c r="F137" i="12" s="1"/>
  <c r="E17" i="12"/>
  <c r="W147" i="11"/>
  <c r="F17" i="12" s="1"/>
  <c r="E314" i="12"/>
  <c r="W54" i="11"/>
  <c r="F314" i="12" s="1"/>
  <c r="E27" i="12"/>
  <c r="W157" i="11"/>
  <c r="F27" i="12" s="1"/>
  <c r="E3" i="12"/>
  <c r="W133" i="11"/>
  <c r="F3" i="12" s="1"/>
  <c r="E350" i="12"/>
  <c r="W90" i="11"/>
  <c r="F350" i="12" s="1"/>
  <c r="E26" i="12"/>
  <c r="W156" i="11"/>
  <c r="F26" i="12" s="1"/>
  <c r="E236" i="12"/>
  <c r="W314" i="11"/>
  <c r="F236" i="12" s="1"/>
  <c r="E45" i="12"/>
  <c r="W45" i="11"/>
  <c r="F45" i="12" s="1"/>
  <c r="E207" i="12"/>
  <c r="W311" i="11"/>
  <c r="F207" i="12" s="1"/>
  <c r="E255" i="12"/>
  <c r="W333" i="11"/>
  <c r="F255" i="12" s="1"/>
  <c r="E358" i="12"/>
  <c r="W98" i="11"/>
  <c r="F358" i="12" s="1"/>
  <c r="E167" i="12"/>
  <c r="W167" i="11"/>
  <c r="F167" i="12" s="1"/>
  <c r="E154" i="12"/>
  <c r="W414" i="11"/>
  <c r="F154" i="12" s="1"/>
  <c r="V700" i="11"/>
  <c r="S700" i="11"/>
  <c r="W700" i="11" s="1"/>
  <c r="V661" i="11"/>
  <c r="S661" i="11"/>
  <c r="W661" i="11" s="1"/>
  <c r="V716" i="11"/>
  <c r="S716" i="11"/>
  <c r="W716" i="11" s="1"/>
  <c r="W513" i="11"/>
  <c r="D370" i="12"/>
  <c r="V500" i="11"/>
  <c r="S500" i="11"/>
  <c r="W417" i="11"/>
  <c r="F157" i="12" s="1"/>
  <c r="V463" i="11"/>
  <c r="S463" i="11"/>
  <c r="W463" i="11" s="1"/>
  <c r="E142" i="12"/>
  <c r="W402" i="11"/>
  <c r="F142" i="12" s="1"/>
  <c r="E134" i="12"/>
  <c r="W394" i="11"/>
  <c r="F134" i="12" s="1"/>
  <c r="E149" i="12"/>
  <c r="W409" i="11"/>
  <c r="F149" i="12" s="1"/>
  <c r="D143" i="12"/>
  <c r="E231" i="12"/>
  <c r="W283" i="11"/>
  <c r="F231" i="12" s="1"/>
  <c r="E68" i="12"/>
  <c r="W250" i="11"/>
  <c r="F68" i="12" s="1"/>
  <c r="E232" i="12"/>
  <c r="W284" i="11"/>
  <c r="F232" i="12" s="1"/>
  <c r="E331" i="12"/>
  <c r="W71" i="11"/>
  <c r="F331" i="12" s="1"/>
  <c r="E196" i="12"/>
  <c r="W300" i="11"/>
  <c r="F196" i="12" s="1"/>
  <c r="E309" i="12"/>
  <c r="W127" i="11"/>
  <c r="F309" i="12" s="1"/>
  <c r="E75" i="12"/>
  <c r="W257" i="11"/>
  <c r="F75" i="12" s="1"/>
  <c r="D180" i="12"/>
  <c r="V180" i="11"/>
  <c r="S180" i="11"/>
  <c r="E168" i="12"/>
  <c r="W168" i="11"/>
  <c r="F168" i="12" s="1"/>
  <c r="E349" i="12"/>
  <c r="W89" i="11"/>
  <c r="F349" i="12" s="1"/>
  <c r="E44" i="12"/>
  <c r="W44" i="11"/>
  <c r="F44" i="12" s="1"/>
  <c r="E313" i="12"/>
  <c r="W131" i="11"/>
  <c r="F313" i="12" s="1"/>
  <c r="E80" i="12"/>
  <c r="W184" i="11"/>
  <c r="F80" i="12" s="1"/>
  <c r="E169" i="12"/>
  <c r="W169" i="11"/>
  <c r="F169" i="12" s="1"/>
  <c r="E195" i="12"/>
  <c r="W299" i="11"/>
  <c r="F195" i="12" s="1"/>
  <c r="E289" i="12"/>
  <c r="W107" i="11"/>
  <c r="F289" i="12" s="1"/>
  <c r="E23" i="12"/>
  <c r="W153" i="11"/>
  <c r="F23" i="12" s="1"/>
  <c r="E42" i="12"/>
  <c r="W42" i="11"/>
  <c r="F42" i="12" s="1"/>
  <c r="E4" i="12"/>
  <c r="W134" i="11"/>
  <c r="F4" i="12" s="1"/>
  <c r="E266" i="12"/>
  <c r="W6" i="11"/>
  <c r="F266" i="12" s="1"/>
  <c r="E386" i="12"/>
  <c r="W516" i="11"/>
  <c r="F386" i="12" s="1"/>
  <c r="D145" i="12"/>
  <c r="V405" i="11"/>
  <c r="S405" i="11"/>
  <c r="D390" i="12"/>
  <c r="D140" i="12"/>
  <c r="V400" i="11"/>
  <c r="S400" i="11"/>
  <c r="E146" i="12"/>
  <c r="W406" i="11"/>
  <c r="F146" i="12" s="1"/>
  <c r="E186" i="12"/>
  <c r="W290" i="11"/>
  <c r="F186" i="12" s="1"/>
  <c r="D130" i="12"/>
  <c r="V234" i="11"/>
  <c r="S234" i="11"/>
  <c r="E230" i="12"/>
  <c r="W282" i="11"/>
  <c r="F230" i="12" s="1"/>
  <c r="E239" i="12"/>
  <c r="W317" i="11"/>
  <c r="F239" i="12" s="1"/>
  <c r="E235" i="12"/>
  <c r="W287" i="11"/>
  <c r="F235" i="12" s="1"/>
  <c r="E315" i="12"/>
  <c r="W55" i="11"/>
  <c r="F315" i="12" s="1"/>
  <c r="E185" i="12"/>
  <c r="W289" i="11"/>
  <c r="F185" i="12" s="1"/>
  <c r="E234" i="12"/>
  <c r="W286" i="11"/>
  <c r="F234" i="12" s="1"/>
  <c r="E132" i="12"/>
  <c r="W392" i="11"/>
  <c r="F132" i="12" s="1"/>
  <c r="E113" i="12"/>
  <c r="W217" i="11"/>
  <c r="F113" i="12" s="1"/>
  <c r="E7" i="12"/>
  <c r="W137" i="11"/>
  <c r="F7" i="12" s="1"/>
  <c r="E263" i="12"/>
  <c r="W3" i="11"/>
  <c r="F263" i="12" s="1"/>
  <c r="E127" i="12"/>
  <c r="W231" i="11"/>
  <c r="F127" i="12" s="1"/>
  <c r="E14" i="12"/>
  <c r="W144" i="11"/>
  <c r="F14" i="12" s="1"/>
  <c r="E48" i="12"/>
  <c r="W48" i="11"/>
  <c r="F48" i="12" s="1"/>
  <c r="E50" i="12"/>
  <c r="W50" i="11"/>
  <c r="F50" i="12" s="1"/>
  <c r="E226" i="12"/>
  <c r="W278" i="11"/>
  <c r="F226" i="12" s="1"/>
  <c r="E286" i="12"/>
  <c r="W26" i="11"/>
  <c r="F286" i="12" s="1"/>
  <c r="E91" i="12"/>
  <c r="W195" i="11"/>
  <c r="F91" i="12" s="1"/>
  <c r="E38" i="12"/>
  <c r="W38" i="11"/>
  <c r="F38" i="12" s="1"/>
  <c r="E35" i="12"/>
  <c r="W35" i="11"/>
  <c r="F35" i="12" s="1"/>
  <c r="E61" i="12"/>
  <c r="W243" i="11"/>
  <c r="F61" i="12" s="1"/>
  <c r="E5" i="12"/>
  <c r="W135" i="11"/>
  <c r="F5" i="12" s="1"/>
  <c r="E280" i="12"/>
  <c r="W20" i="11"/>
  <c r="F280" i="12" s="1"/>
  <c r="E291" i="12"/>
  <c r="W109" i="11"/>
  <c r="F291" i="12" s="1"/>
  <c r="E272" i="12"/>
  <c r="W12" i="11"/>
  <c r="F272" i="12" s="1"/>
  <c r="E384" i="12"/>
  <c r="W514" i="11"/>
  <c r="F384" i="12" s="1"/>
  <c r="V695" i="11"/>
  <c r="S695" i="11"/>
  <c r="W695" i="11" s="1"/>
  <c r="D134" i="12"/>
  <c r="W401" i="11"/>
  <c r="F141" i="12" s="1"/>
  <c r="E257" i="12"/>
  <c r="W335" i="11"/>
  <c r="F257" i="12" s="1"/>
  <c r="E135" i="12"/>
  <c r="W395" i="11"/>
  <c r="F135" i="12" s="1"/>
  <c r="D192" i="12"/>
  <c r="V296" i="11"/>
  <c r="S296" i="11"/>
  <c r="E223" i="12"/>
  <c r="W275" i="11"/>
  <c r="F223" i="12" s="1"/>
  <c r="E104" i="12"/>
  <c r="W208" i="11"/>
  <c r="F104" i="12" s="1"/>
  <c r="D93" i="12"/>
  <c r="S197" i="11"/>
  <c r="V197" i="11"/>
  <c r="H211" i="12"/>
  <c r="H210" i="12"/>
  <c r="D109" i="12"/>
  <c r="V213" i="11"/>
  <c r="S213" i="11"/>
  <c r="E39" i="12"/>
  <c r="W39" i="11"/>
  <c r="F39" i="12" s="1"/>
  <c r="E229" i="12"/>
  <c r="W281" i="11"/>
  <c r="F229" i="12" s="1"/>
  <c r="D69" i="12"/>
  <c r="V251" i="11"/>
  <c r="S251" i="11"/>
  <c r="E22" i="12"/>
  <c r="W152" i="11"/>
  <c r="F22" i="12" s="1"/>
  <c r="E306" i="12"/>
  <c r="W124" i="11"/>
  <c r="F306" i="12" s="1"/>
  <c r="E340" i="12"/>
  <c r="W80" i="11"/>
  <c r="F340" i="12" s="1"/>
  <c r="E305" i="12"/>
  <c r="W123" i="11"/>
  <c r="F305" i="12" s="1"/>
  <c r="E119" i="12"/>
  <c r="W223" i="11"/>
  <c r="F119" i="12" s="1"/>
  <c r="E345" i="12"/>
  <c r="W85" i="11"/>
  <c r="F345" i="12" s="1"/>
  <c r="E322" i="12"/>
  <c r="W62" i="11"/>
  <c r="F322" i="12" s="1"/>
  <c r="E376" i="12"/>
  <c r="W506" i="11"/>
  <c r="F376" i="12" s="1"/>
  <c r="E100" i="12"/>
  <c r="W204" i="11"/>
  <c r="F100" i="12" s="1"/>
  <c r="E374" i="12"/>
  <c r="W504" i="11"/>
  <c r="F374" i="12" s="1"/>
  <c r="V602" i="11"/>
  <c r="S602" i="11"/>
  <c r="W602" i="11" s="1"/>
  <c r="S462" i="11"/>
  <c r="W462" i="11" s="1"/>
  <c r="V462" i="11"/>
  <c r="E81" i="12"/>
  <c r="W185" i="11"/>
  <c r="F81" i="12" s="1"/>
  <c r="E343" i="12"/>
  <c r="W83" i="11"/>
  <c r="F343" i="12" s="1"/>
  <c r="C14" i="15"/>
  <c r="D14" i="15" s="1"/>
  <c r="E324" i="12"/>
  <c r="W64" i="11"/>
  <c r="F324" i="12" s="1"/>
  <c r="S708" i="11"/>
  <c r="W708" i="11" s="1"/>
  <c r="V708" i="11"/>
  <c r="D383" i="12"/>
  <c r="E385" i="12"/>
  <c r="W515" i="11"/>
  <c r="F385" i="12" s="1"/>
  <c r="E153" i="12"/>
  <c r="W413" i="11"/>
  <c r="F153" i="12" s="1"/>
  <c r="V710" i="11"/>
  <c r="S710" i="11"/>
  <c r="W710" i="11" s="1"/>
  <c r="E391" i="12"/>
  <c r="W521" i="11"/>
  <c r="F391" i="12" s="1"/>
  <c r="V538" i="11"/>
  <c r="S538" i="11"/>
  <c r="W538" i="11" s="1"/>
  <c r="E147" i="12"/>
  <c r="W407" i="11"/>
  <c r="F147" i="12" s="1"/>
  <c r="W393" i="11"/>
  <c r="F133" i="12" s="1"/>
  <c r="G211" i="12"/>
  <c r="G210" i="12"/>
  <c r="E107" i="12"/>
  <c r="W211" i="11"/>
  <c r="F107" i="12" s="1"/>
  <c r="E212" i="12"/>
  <c r="W264" i="11"/>
  <c r="F212" i="12" s="1"/>
  <c r="E301" i="12"/>
  <c r="W119" i="11"/>
  <c r="F301" i="12" s="1"/>
  <c r="E341" i="12"/>
  <c r="W81" i="11"/>
  <c r="F341" i="12" s="1"/>
  <c r="E287" i="12"/>
  <c r="W27" i="11"/>
  <c r="F287" i="12" s="1"/>
  <c r="E31" i="12"/>
  <c r="W31" i="11"/>
  <c r="F31" i="12" s="1"/>
  <c r="E316" i="12"/>
  <c r="W56" i="11"/>
  <c r="F316" i="12" s="1"/>
  <c r="E117" i="12"/>
  <c r="W221" i="11"/>
  <c r="F117" i="12" s="1"/>
  <c r="E295" i="12"/>
  <c r="W113" i="11"/>
  <c r="F295" i="12" s="1"/>
  <c r="E88" i="12"/>
  <c r="W192" i="11"/>
  <c r="F88" i="12" s="1"/>
  <c r="E166" i="12"/>
  <c r="W166" i="11"/>
  <c r="F166" i="12" s="1"/>
  <c r="E352" i="12"/>
  <c r="W92" i="11"/>
  <c r="F352" i="12" s="1"/>
  <c r="E307" i="12"/>
  <c r="W125" i="11"/>
  <c r="F307" i="12" s="1"/>
  <c r="E37" i="12"/>
  <c r="W37" i="11"/>
  <c r="F37" i="12" s="1"/>
  <c r="E225" i="12"/>
  <c r="W277" i="11"/>
  <c r="F225" i="12" s="1"/>
  <c r="E161" i="12"/>
  <c r="W161" i="11"/>
  <c r="F161" i="12" s="1"/>
  <c r="D215" i="12"/>
  <c r="V267" i="11"/>
  <c r="S267" i="11"/>
  <c r="E92" i="12"/>
  <c r="W196" i="11"/>
  <c r="F92" i="12" s="1"/>
  <c r="E271" i="12"/>
  <c r="W11" i="11"/>
  <c r="F271" i="12" s="1"/>
  <c r="D156" i="12"/>
  <c r="V416" i="11"/>
  <c r="S416" i="11"/>
  <c r="E56" i="12"/>
  <c r="W238" i="11"/>
  <c r="F56" i="12" s="1"/>
  <c r="E86" i="12"/>
  <c r="W190" i="11"/>
  <c r="F86" i="12" s="1"/>
  <c r="E378" i="12"/>
  <c r="W508" i="11"/>
  <c r="F378" i="12" s="1"/>
  <c r="V495" i="11"/>
  <c r="S495" i="11"/>
  <c r="W495" i="11" s="1"/>
  <c r="D385" i="12"/>
  <c r="D380" i="12"/>
  <c r="V510" i="11"/>
  <c r="S510" i="11"/>
  <c r="D150" i="12"/>
  <c r="E247" i="12"/>
  <c r="W325" i="11"/>
  <c r="F247" i="12" s="1"/>
  <c r="F253" i="12"/>
  <c r="V344" i="11"/>
  <c r="S344" i="11"/>
  <c r="W344" i="11" s="1"/>
  <c r="E368" i="12"/>
  <c r="W498" i="11"/>
  <c r="F368" i="12" s="1"/>
  <c r="E123" i="12"/>
  <c r="W227" i="11"/>
  <c r="F123" i="12" s="1"/>
  <c r="E228" i="12"/>
  <c r="W280" i="11"/>
  <c r="F228" i="12" s="1"/>
  <c r="E205" i="12"/>
  <c r="W309" i="11"/>
  <c r="F205" i="12" s="1"/>
  <c r="E220" i="12"/>
  <c r="W272" i="11"/>
  <c r="F220" i="12" s="1"/>
  <c r="E337" i="12"/>
  <c r="W77" i="11"/>
  <c r="F337" i="12" s="1"/>
  <c r="E177" i="12"/>
  <c r="W177" i="11"/>
  <c r="F177" i="12" s="1"/>
  <c r="E76" i="12"/>
  <c r="W258" i="11"/>
  <c r="F76" i="12" s="1"/>
  <c r="E54" i="12"/>
  <c r="W236" i="11"/>
  <c r="F54" i="12" s="1"/>
  <c r="D298" i="12"/>
  <c r="V116" i="11"/>
  <c r="S116" i="11"/>
  <c r="E103" i="12"/>
  <c r="W207" i="11"/>
  <c r="F103" i="12" s="1"/>
  <c r="E65" i="12"/>
  <c r="W247" i="11"/>
  <c r="F65" i="12" s="1"/>
  <c r="E284" i="12"/>
  <c r="W24" i="11"/>
  <c r="F284" i="12" s="1"/>
  <c r="E106" i="12"/>
  <c r="W210" i="11"/>
  <c r="F106" i="12" s="1"/>
  <c r="E303" i="12"/>
  <c r="W121" i="11"/>
  <c r="F303" i="12" s="1"/>
  <c r="E33" i="12"/>
  <c r="W33" i="11"/>
  <c r="F33" i="12" s="1"/>
  <c r="E310" i="12"/>
  <c r="W128" i="11"/>
  <c r="F310" i="12" s="1"/>
  <c r="E283" i="12"/>
  <c r="W23" i="11"/>
  <c r="F283" i="12" s="1"/>
  <c r="E28" i="12"/>
  <c r="W28" i="11"/>
  <c r="F28" i="12" s="1"/>
  <c r="E77" i="12"/>
  <c r="W259" i="11"/>
  <c r="F77" i="12" s="1"/>
  <c r="E90" i="12"/>
  <c r="W194" i="11"/>
  <c r="F90" i="12" s="1"/>
  <c r="E312" i="12"/>
  <c r="W130" i="11"/>
  <c r="F312" i="12" s="1"/>
  <c r="E262" i="12"/>
  <c r="W2" i="11"/>
  <c r="F262" i="12" s="1"/>
  <c r="E389" i="12"/>
  <c r="W519" i="11"/>
  <c r="F389" i="12" s="1"/>
  <c r="V453" i="11"/>
  <c r="S453" i="11"/>
  <c r="W453" i="11" s="1"/>
  <c r="S445" i="11"/>
  <c r="W445" i="11" s="1"/>
  <c r="V445" i="11"/>
  <c r="D381" i="12"/>
  <c r="V511" i="11"/>
  <c r="S511" i="11"/>
  <c r="F373" i="12"/>
  <c r="E375" i="12"/>
  <c r="W505" i="11"/>
  <c r="F375" i="12" s="1"/>
  <c r="E253" i="12"/>
  <c r="F246" i="12"/>
  <c r="D259" i="12"/>
  <c r="S337" i="11"/>
  <c r="V337" i="11"/>
  <c r="D133" i="12"/>
  <c r="D222" i="12"/>
  <c r="V274" i="11"/>
  <c r="S274" i="11"/>
  <c r="D214" i="12"/>
  <c r="V266" i="11"/>
  <c r="S266" i="11"/>
  <c r="E162" i="12"/>
  <c r="W162" i="11"/>
  <c r="F162" i="12" s="1"/>
  <c r="E55" i="12"/>
  <c r="W237" i="11"/>
  <c r="F55" i="12" s="1"/>
  <c r="E105" i="12"/>
  <c r="W209" i="11"/>
  <c r="F105" i="12" s="1"/>
  <c r="E254" i="12"/>
  <c r="W332" i="11"/>
  <c r="F254" i="12" s="1"/>
  <c r="E227" i="12"/>
  <c r="W279" i="11"/>
  <c r="F227" i="12" s="1"/>
  <c r="D124" i="12"/>
  <c r="V228" i="11"/>
  <c r="S228" i="11"/>
  <c r="E277" i="12"/>
  <c r="W17" i="11"/>
  <c r="F277" i="12" s="1"/>
  <c r="E311" i="12"/>
  <c r="W129" i="11"/>
  <c r="F311" i="12" s="1"/>
  <c r="E12" i="12"/>
  <c r="W142" i="11"/>
  <c r="F12" i="12" s="1"/>
  <c r="E46" i="12"/>
  <c r="W46" i="11"/>
  <c r="F46" i="12" s="1"/>
  <c r="E102" i="12"/>
  <c r="W206" i="11"/>
  <c r="F102" i="12" s="1"/>
  <c r="E348" i="12"/>
  <c r="W88" i="11"/>
  <c r="F348" i="12" s="1"/>
  <c r="E325" i="12"/>
  <c r="W65" i="11"/>
  <c r="F325" i="12" s="1"/>
  <c r="E114" i="12"/>
  <c r="W218" i="11"/>
  <c r="F114" i="12" s="1"/>
  <c r="E335" i="12"/>
  <c r="W75" i="11"/>
  <c r="F335" i="12" s="1"/>
  <c r="E67" i="12"/>
  <c r="W249" i="11"/>
  <c r="F67" i="12" s="1"/>
  <c r="E292" i="12"/>
  <c r="W110" i="11"/>
  <c r="F292" i="12" s="1"/>
  <c r="E150" i="12"/>
  <c r="W410" i="11"/>
  <c r="F150" i="12" s="1"/>
  <c r="E344" i="12"/>
  <c r="W84" i="11"/>
  <c r="F344" i="12" s="1"/>
  <c r="E152" i="12"/>
  <c r="W412" i="11"/>
  <c r="F152" i="12" s="1"/>
  <c r="E144" i="12"/>
  <c r="W404" i="11"/>
  <c r="F144" i="12" s="1"/>
  <c r="E242" i="12"/>
  <c r="W320" i="11"/>
  <c r="F242" i="12" s="1"/>
  <c r="D208" i="12"/>
  <c r="V312" i="11"/>
  <c r="S312" i="11"/>
  <c r="W318" i="11"/>
  <c r="E18" i="12"/>
  <c r="W148" i="11"/>
  <c r="F18" i="12" s="1"/>
  <c r="E373" i="12"/>
  <c r="D387" i="12"/>
  <c r="V517" i="11"/>
  <c r="S517" i="11"/>
  <c r="E184" i="12"/>
  <c r="W288" i="11"/>
  <c r="F184" i="12" s="1"/>
  <c r="E251" i="12"/>
  <c r="W329" i="11"/>
  <c r="F251" i="12" s="1"/>
  <c r="E244" i="12"/>
  <c r="W322" i="11"/>
  <c r="F244" i="12" s="1"/>
  <c r="D368" i="12"/>
  <c r="E121" i="12"/>
  <c r="W225" i="11"/>
  <c r="F121" i="12" s="1"/>
  <c r="E321" i="12"/>
  <c r="W61" i="11"/>
  <c r="F321" i="12" s="1"/>
  <c r="E99" i="12"/>
  <c r="W203" i="11"/>
  <c r="F99" i="12" s="1"/>
  <c r="E190" i="12"/>
  <c r="W294" i="11"/>
  <c r="F190" i="12" s="1"/>
  <c r="D362" i="12"/>
  <c r="V102" i="11"/>
  <c r="S102" i="11"/>
  <c r="E87" i="12"/>
  <c r="W191" i="11"/>
  <c r="F87" i="12" s="1"/>
  <c r="E293" i="12"/>
  <c r="W111" i="11"/>
  <c r="F293" i="12" s="1"/>
  <c r="E334" i="12"/>
  <c r="W74" i="11"/>
  <c r="F334" i="12" s="1"/>
  <c r="E36" i="12"/>
  <c r="W36" i="11"/>
  <c r="F36" i="12" s="1"/>
  <c r="E112" i="12"/>
  <c r="W216" i="11"/>
  <c r="F112" i="12" s="1"/>
  <c r="E172" i="12"/>
  <c r="W172" i="11"/>
  <c r="F172" i="12" s="1"/>
  <c r="E279" i="12"/>
  <c r="W19" i="11"/>
  <c r="F279" i="12" s="1"/>
  <c r="E308" i="12"/>
  <c r="W126" i="11"/>
  <c r="F308" i="12" s="1"/>
  <c r="E297" i="12"/>
  <c r="W115" i="11"/>
  <c r="F297" i="12" s="1"/>
  <c r="E281" i="12"/>
  <c r="W21" i="11"/>
  <c r="F281" i="12" s="1"/>
  <c r="E58" i="12"/>
  <c r="W240" i="11"/>
  <c r="F58" i="12" s="1"/>
  <c r="E327" i="12"/>
  <c r="W67" i="11"/>
  <c r="F327" i="12" s="1"/>
  <c r="E357" i="12"/>
  <c r="W97" i="11"/>
  <c r="F357" i="12" s="1"/>
  <c r="E34" i="12"/>
  <c r="W34" i="11"/>
  <c r="F34" i="12" s="1"/>
  <c r="E133" i="12" l="1"/>
  <c r="E157" i="12"/>
  <c r="H293" i="12"/>
  <c r="H295" i="12"/>
  <c r="H294" i="12"/>
  <c r="H291" i="12"/>
  <c r="H296" i="12"/>
  <c r="H288" i="12"/>
  <c r="H289" i="12"/>
  <c r="H292" i="12"/>
  <c r="H298" i="12"/>
  <c r="H290" i="12"/>
  <c r="H297" i="12"/>
  <c r="G119" i="12"/>
  <c r="G124" i="12"/>
  <c r="G108" i="12"/>
  <c r="G107" i="12"/>
  <c r="G106" i="12"/>
  <c r="G227" i="12"/>
  <c r="E370" i="12"/>
  <c r="G388" i="12" s="1"/>
  <c r="W500" i="11"/>
  <c r="F370" i="12" s="1"/>
  <c r="G293" i="12"/>
  <c r="G290" i="12"/>
  <c r="G292" i="12"/>
  <c r="G294" i="12"/>
  <c r="G296" i="12"/>
  <c r="G288" i="12"/>
  <c r="G295" i="12"/>
  <c r="G289" i="12"/>
  <c r="G291" i="12"/>
  <c r="G297" i="12"/>
  <c r="E2" i="12"/>
  <c r="W132" i="11"/>
  <c r="F2" i="12" s="1"/>
  <c r="F143" i="12"/>
  <c r="H146" i="12" s="1"/>
  <c r="E367" i="12"/>
  <c r="E187" i="12"/>
  <c r="W291" i="11"/>
  <c r="F187" i="12" s="1"/>
  <c r="G177" i="12"/>
  <c r="G169" i="12"/>
  <c r="G161" i="12"/>
  <c r="G174" i="12"/>
  <c r="G166" i="12"/>
  <c r="G158" i="12"/>
  <c r="G179" i="12"/>
  <c r="G171" i="12"/>
  <c r="G163" i="12"/>
  <c r="G176" i="12"/>
  <c r="G168" i="12"/>
  <c r="G160" i="12"/>
  <c r="G173" i="12"/>
  <c r="G165" i="12"/>
  <c r="G178" i="12"/>
  <c r="G170" i="12"/>
  <c r="G175" i="12"/>
  <c r="G167" i="12"/>
  <c r="G159" i="12"/>
  <c r="G172" i="12"/>
  <c r="G164" i="12"/>
  <c r="G162" i="12"/>
  <c r="E156" i="12"/>
  <c r="W416" i="11"/>
  <c r="F156" i="12" s="1"/>
  <c r="G212" i="12"/>
  <c r="E69" i="12"/>
  <c r="W251" i="11"/>
  <c r="F69" i="12" s="1"/>
  <c r="H213" i="12"/>
  <c r="E192" i="12"/>
  <c r="W296" i="11"/>
  <c r="F192" i="12" s="1"/>
  <c r="H193" i="12" s="1"/>
  <c r="E145" i="12"/>
  <c r="W405" i="11"/>
  <c r="F145" i="12" s="1"/>
  <c r="E143" i="12"/>
  <c r="E201" i="12"/>
  <c r="W305" i="11"/>
  <c r="F201" i="12" s="1"/>
  <c r="H185" i="12"/>
  <c r="H198" i="12"/>
  <c r="H190" i="12"/>
  <c r="H195" i="12"/>
  <c r="H187" i="12"/>
  <c r="H192" i="12"/>
  <c r="H184" i="12"/>
  <c r="H205" i="12"/>
  <c r="H197" i="12"/>
  <c r="H189" i="12"/>
  <c r="H186" i="12"/>
  <c r="H191" i="12"/>
  <c r="H196" i="12"/>
  <c r="H188" i="12"/>
  <c r="E180" i="12"/>
  <c r="G181" i="12" s="1"/>
  <c r="W180" i="11"/>
  <c r="F180" i="12" s="1"/>
  <c r="C10" i="15"/>
  <c r="D10" i="15" s="1"/>
  <c r="F151" i="12"/>
  <c r="E250" i="12"/>
  <c r="W328" i="11"/>
  <c r="F250" i="12" s="1"/>
  <c r="E62" i="12"/>
  <c r="W244" i="11"/>
  <c r="F62" i="12" s="1"/>
  <c r="E79" i="12"/>
  <c r="W261" i="11"/>
  <c r="F79" i="12" s="1"/>
  <c r="G193" i="12"/>
  <c r="G185" i="12"/>
  <c r="G198" i="12"/>
  <c r="G190" i="12"/>
  <c r="G206" i="12"/>
  <c r="G195" i="12"/>
  <c r="G187" i="12"/>
  <c r="G192" i="12"/>
  <c r="G184" i="12"/>
  <c r="G197" i="12"/>
  <c r="G189" i="12"/>
  <c r="G194" i="12"/>
  <c r="G186" i="12"/>
  <c r="G199" i="12"/>
  <c r="G191" i="12"/>
  <c r="G207" i="12"/>
  <c r="G196" i="12"/>
  <c r="G188" i="12"/>
  <c r="E124" i="12"/>
  <c r="W228" i="11"/>
  <c r="F124" i="12" s="1"/>
  <c r="F383" i="12"/>
  <c r="H333" i="12"/>
  <c r="H325" i="12"/>
  <c r="H317" i="12"/>
  <c r="F11" i="13"/>
  <c r="H338" i="12"/>
  <c r="H330" i="12"/>
  <c r="H335" i="12"/>
  <c r="H327" i="12"/>
  <c r="H319" i="12"/>
  <c r="H334" i="12"/>
  <c r="H326" i="12"/>
  <c r="H318" i="12"/>
  <c r="H339" i="12"/>
  <c r="H331" i="12"/>
  <c r="H323" i="12"/>
  <c r="H315" i="12"/>
  <c r="P4" i="21"/>
  <c r="H336" i="12"/>
  <c r="H328" i="12"/>
  <c r="H320" i="12"/>
  <c r="H324" i="12"/>
  <c r="H332" i="12"/>
  <c r="H316" i="12"/>
  <c r="H322" i="12"/>
  <c r="H314" i="12"/>
  <c r="H329" i="12"/>
  <c r="H321" i="12"/>
  <c r="H337" i="12"/>
  <c r="E151" i="12"/>
  <c r="F388" i="12"/>
  <c r="E387" i="12"/>
  <c r="W517" i="11"/>
  <c r="F387" i="12" s="1"/>
  <c r="E381" i="12"/>
  <c r="W511" i="11"/>
  <c r="F381" i="12" s="1"/>
  <c r="G213" i="12"/>
  <c r="H137" i="12"/>
  <c r="H134" i="12"/>
  <c r="H136" i="12"/>
  <c r="H132" i="12"/>
  <c r="H135" i="12"/>
  <c r="H133" i="12"/>
  <c r="H94" i="12"/>
  <c r="H80" i="12"/>
  <c r="H90" i="12"/>
  <c r="H82" i="12"/>
  <c r="H81" i="12"/>
  <c r="E383" i="12"/>
  <c r="G333" i="12"/>
  <c r="G325" i="12"/>
  <c r="G317" i="12"/>
  <c r="E11" i="13"/>
  <c r="G338" i="12"/>
  <c r="G330" i="12"/>
  <c r="G322" i="12"/>
  <c r="G314" i="12"/>
  <c r="G332" i="12"/>
  <c r="G324" i="12"/>
  <c r="G316" i="12"/>
  <c r="G334" i="12"/>
  <c r="G326" i="12"/>
  <c r="G318" i="12"/>
  <c r="O4" i="21"/>
  <c r="G336" i="12"/>
  <c r="G328" i="12"/>
  <c r="G320" i="12"/>
  <c r="G323" i="12"/>
  <c r="G331" i="12"/>
  <c r="G339" i="12"/>
  <c r="G315" i="12"/>
  <c r="G329" i="12"/>
  <c r="G321" i="12"/>
  <c r="G337" i="12"/>
  <c r="G327" i="12"/>
  <c r="G335" i="12"/>
  <c r="G319" i="12"/>
  <c r="E82" i="12"/>
  <c r="W186" i="11"/>
  <c r="F82" i="12" s="1"/>
  <c r="H99" i="12" s="1"/>
  <c r="E388" i="12"/>
  <c r="F372" i="12"/>
  <c r="E214" i="12"/>
  <c r="G219" i="12" s="1"/>
  <c r="W266" i="11"/>
  <c r="F214" i="12" s="1"/>
  <c r="F7" i="13" s="1"/>
  <c r="F15" i="13"/>
  <c r="P3" i="21"/>
  <c r="H52" i="12"/>
  <c r="H44" i="12"/>
  <c r="H36" i="12"/>
  <c r="H28" i="12"/>
  <c r="H49" i="12"/>
  <c r="H41" i="12"/>
  <c r="H33" i="12"/>
  <c r="H46" i="12"/>
  <c r="H38" i="12"/>
  <c r="H30" i="12"/>
  <c r="H51" i="12"/>
  <c r="H43" i="12"/>
  <c r="H35" i="12"/>
  <c r="H48" i="12"/>
  <c r="H40" i="12"/>
  <c r="H32" i="12"/>
  <c r="H53" i="12"/>
  <c r="H45" i="12"/>
  <c r="H37" i="12"/>
  <c r="H29" i="12"/>
  <c r="H47" i="12"/>
  <c r="H39" i="12"/>
  <c r="H31" i="12"/>
  <c r="H50" i="12"/>
  <c r="H42" i="12"/>
  <c r="H34" i="12"/>
  <c r="E380" i="12"/>
  <c r="W510" i="11"/>
  <c r="F380" i="12" s="1"/>
  <c r="H214" i="12"/>
  <c r="G137" i="12"/>
  <c r="G134" i="12"/>
  <c r="G136" i="12"/>
  <c r="G133" i="12"/>
  <c r="G135" i="12"/>
  <c r="G132" i="12"/>
  <c r="G88" i="12"/>
  <c r="E6" i="13"/>
  <c r="G95" i="12"/>
  <c r="G87" i="12"/>
  <c r="G92" i="12"/>
  <c r="G80" i="12"/>
  <c r="G91" i="12"/>
  <c r="G83" i="12"/>
  <c r="G86" i="12"/>
  <c r="G90" i="12"/>
  <c r="G82" i="12"/>
  <c r="G85" i="12"/>
  <c r="G89" i="12"/>
  <c r="G93" i="12"/>
  <c r="G84" i="12"/>
  <c r="G81" i="12"/>
  <c r="E372" i="12"/>
  <c r="E115" i="12"/>
  <c r="W219" i="11"/>
  <c r="F115" i="12" s="1"/>
  <c r="H381" i="12"/>
  <c r="H373" i="12"/>
  <c r="H378" i="12"/>
  <c r="H370" i="12"/>
  <c r="H375" i="12"/>
  <c r="H367" i="12"/>
  <c r="H380" i="12"/>
  <c r="H372" i="12"/>
  <c r="H374" i="12"/>
  <c r="H366" i="12"/>
  <c r="H379" i="12"/>
  <c r="H371" i="12"/>
  <c r="H376" i="12"/>
  <c r="H368" i="12"/>
  <c r="H369" i="12"/>
  <c r="H377" i="12"/>
  <c r="E15" i="13"/>
  <c r="O3" i="21"/>
  <c r="G52" i="12"/>
  <c r="G44" i="12"/>
  <c r="G36" i="12"/>
  <c r="G28" i="12"/>
  <c r="G49" i="12"/>
  <c r="G41" i="12"/>
  <c r="G33" i="12"/>
  <c r="G46" i="12"/>
  <c r="G38" i="12"/>
  <c r="G30" i="12"/>
  <c r="G51" i="12"/>
  <c r="G43" i="12"/>
  <c r="G35" i="12"/>
  <c r="G48" i="12"/>
  <c r="G40" i="12"/>
  <c r="G32" i="12"/>
  <c r="G53" i="12"/>
  <c r="G45" i="12"/>
  <c r="G37" i="12"/>
  <c r="G29" i="12"/>
  <c r="G50" i="12"/>
  <c r="G42" i="12"/>
  <c r="G34" i="12"/>
  <c r="G47" i="12"/>
  <c r="G39" i="12"/>
  <c r="G31" i="12"/>
  <c r="G231" i="12"/>
  <c r="E130" i="12"/>
  <c r="W234" i="11"/>
  <c r="F130" i="12" s="1"/>
  <c r="E138" i="12"/>
  <c r="G142" i="12" s="1"/>
  <c r="W398" i="11"/>
  <c r="F138" i="12" s="1"/>
  <c r="H145" i="12" s="1"/>
  <c r="H131" i="12"/>
  <c r="H115" i="12"/>
  <c r="H107" i="12"/>
  <c r="H106" i="12"/>
  <c r="H108" i="12"/>
  <c r="H120" i="12"/>
  <c r="H112" i="12"/>
  <c r="E298" i="12"/>
  <c r="G309" i="12" s="1"/>
  <c r="W116" i="11"/>
  <c r="F298" i="12" s="1"/>
  <c r="H299" i="12" s="1"/>
  <c r="H239" i="12"/>
  <c r="H238" i="12"/>
  <c r="H243" i="12"/>
  <c r="H237" i="12"/>
  <c r="H258" i="12"/>
  <c r="H241" i="12"/>
  <c r="H236" i="12"/>
  <c r="E265" i="12"/>
  <c r="G284" i="12" s="1"/>
  <c r="W5" i="11"/>
  <c r="F265" i="12" s="1"/>
  <c r="E199" i="12"/>
  <c r="G200" i="12" s="1"/>
  <c r="W303" i="11"/>
  <c r="F199" i="12" s="1"/>
  <c r="H199" i="12" s="1"/>
  <c r="G277" i="12"/>
  <c r="G269" i="12"/>
  <c r="O2" i="21"/>
  <c r="G278" i="12"/>
  <c r="G262" i="12"/>
  <c r="E5" i="13"/>
  <c r="G280" i="12"/>
  <c r="G264" i="12"/>
  <c r="G273" i="12"/>
  <c r="G283" i="12"/>
  <c r="G267" i="12"/>
  <c r="G287" i="12"/>
  <c r="G265" i="12"/>
  <c r="G279" i="12"/>
  <c r="G263" i="12"/>
  <c r="G268" i="12"/>
  <c r="E222" i="12"/>
  <c r="W274" i="11"/>
  <c r="F222" i="12" s="1"/>
  <c r="E141" i="12"/>
  <c r="G378" i="12"/>
  <c r="G369" i="12"/>
  <c r="G366" i="12"/>
  <c r="G384" i="12"/>
  <c r="G368" i="12"/>
  <c r="G367" i="12"/>
  <c r="F240" i="12"/>
  <c r="H248" i="12" s="1"/>
  <c r="P11" i="21"/>
  <c r="F8" i="13"/>
  <c r="H78" i="12"/>
  <c r="H77" i="12"/>
  <c r="H74" i="12"/>
  <c r="H60" i="12"/>
  <c r="H71" i="12"/>
  <c r="H68" i="12"/>
  <c r="H65" i="12"/>
  <c r="H57" i="12"/>
  <c r="H62" i="12"/>
  <c r="H54" i="12"/>
  <c r="H76" i="12"/>
  <c r="H73" i="12"/>
  <c r="H79" i="12"/>
  <c r="H70" i="12"/>
  <c r="H59" i="12"/>
  <c r="H67" i="12"/>
  <c r="H64" i="12"/>
  <c r="H56" i="12"/>
  <c r="H75" i="12"/>
  <c r="H61" i="12"/>
  <c r="H72" i="12"/>
  <c r="H66" i="12"/>
  <c r="H63" i="12"/>
  <c r="H55" i="12"/>
  <c r="H69" i="12"/>
  <c r="H58" i="12"/>
  <c r="G214" i="12"/>
  <c r="G222" i="12"/>
  <c r="E181" i="12"/>
  <c r="W181" i="11"/>
  <c r="F181" i="12" s="1"/>
  <c r="E202" i="12"/>
  <c r="W306" i="11"/>
  <c r="F202" i="12" s="1"/>
  <c r="E203" i="12"/>
  <c r="W307" i="11"/>
  <c r="F203" i="12" s="1"/>
  <c r="E215" i="12"/>
  <c r="G229" i="12" s="1"/>
  <c r="W267" i="11"/>
  <c r="F215" i="12" s="1"/>
  <c r="H232" i="12" s="1"/>
  <c r="E240" i="12"/>
  <c r="O11" i="21"/>
  <c r="E8" i="13"/>
  <c r="G79" i="12"/>
  <c r="G71" i="12"/>
  <c r="G77" i="12"/>
  <c r="G74" i="12"/>
  <c r="G60" i="12"/>
  <c r="G68" i="12"/>
  <c r="G65" i="12"/>
  <c r="G57" i="12"/>
  <c r="G62" i="12"/>
  <c r="G54" i="12"/>
  <c r="G76" i="12"/>
  <c r="G73" i="12"/>
  <c r="G70" i="12"/>
  <c r="G59" i="12"/>
  <c r="G67" i="12"/>
  <c r="G64" i="12"/>
  <c r="G56" i="12"/>
  <c r="G78" i="12"/>
  <c r="G75" i="12"/>
  <c r="G61" i="12"/>
  <c r="G69" i="12"/>
  <c r="G58" i="12"/>
  <c r="G66" i="12"/>
  <c r="G63" i="12"/>
  <c r="G55" i="12"/>
  <c r="G72" i="12"/>
  <c r="G217" i="12"/>
  <c r="E7" i="13"/>
  <c r="H357" i="12"/>
  <c r="H349" i="12"/>
  <c r="H341" i="12"/>
  <c r="H354" i="12"/>
  <c r="H346" i="12"/>
  <c r="H359" i="12"/>
  <c r="H351" i="12"/>
  <c r="H343" i="12"/>
  <c r="H356" i="12"/>
  <c r="H348" i="12"/>
  <c r="H340" i="12"/>
  <c r="H358" i="12"/>
  <c r="H350" i="12"/>
  <c r="H342" i="12"/>
  <c r="H363" i="12"/>
  <c r="H355" i="12"/>
  <c r="H347" i="12"/>
  <c r="H360" i="12"/>
  <c r="H352" i="12"/>
  <c r="H344" i="12"/>
  <c r="H353" i="12"/>
  <c r="H361" i="12"/>
  <c r="H345" i="12"/>
  <c r="E109" i="12"/>
  <c r="O10" i="21" s="1"/>
  <c r="W213" i="11"/>
  <c r="F109" i="12" s="1"/>
  <c r="H130" i="12" s="1"/>
  <c r="H212" i="12"/>
  <c r="E93" i="12"/>
  <c r="G100" i="12" s="1"/>
  <c r="W197" i="11"/>
  <c r="F93" i="12" s="1"/>
  <c r="H97" i="12" s="1"/>
  <c r="E208" i="12"/>
  <c r="W312" i="11"/>
  <c r="F208" i="12" s="1"/>
  <c r="P13" i="21" s="1"/>
  <c r="G220" i="12"/>
  <c r="G230" i="12"/>
  <c r="G357" i="12"/>
  <c r="G349" i="12"/>
  <c r="G341" i="12"/>
  <c r="G354" i="12"/>
  <c r="G346" i="12"/>
  <c r="G356" i="12"/>
  <c r="G348" i="12"/>
  <c r="G340" i="12"/>
  <c r="G361" i="12"/>
  <c r="G353" i="12"/>
  <c r="G345" i="12"/>
  <c r="G358" i="12"/>
  <c r="G350" i="12"/>
  <c r="G342" i="12"/>
  <c r="G360" i="12"/>
  <c r="G352" i="12"/>
  <c r="G344" i="12"/>
  <c r="G355" i="12"/>
  <c r="G351" i="12"/>
  <c r="G347" i="12"/>
  <c r="G359" i="12"/>
  <c r="G343" i="12"/>
  <c r="F382" i="12"/>
  <c r="H388" i="12" s="1"/>
  <c r="G261" i="12"/>
  <c r="G253" i="12"/>
  <c r="G245" i="12"/>
  <c r="G237" i="12"/>
  <c r="G254" i="12"/>
  <c r="G246" i="12"/>
  <c r="G238" i="12"/>
  <c r="G249" i="12"/>
  <c r="G240" i="12"/>
  <c r="G236" i="12"/>
  <c r="G257" i="12"/>
  <c r="G248" i="12"/>
  <c r="G244" i="12"/>
  <c r="G256" i="12"/>
  <c r="G252" i="12"/>
  <c r="G239" i="12"/>
  <c r="G243" i="12"/>
  <c r="G260" i="12"/>
  <c r="G247" i="12"/>
  <c r="G251" i="12"/>
  <c r="G255" i="12"/>
  <c r="G259" i="12"/>
  <c r="G242" i="12"/>
  <c r="G250" i="12"/>
  <c r="G258" i="12"/>
  <c r="G241" i="12"/>
  <c r="E362" i="12"/>
  <c r="G365" i="12" s="1"/>
  <c r="W102" i="11"/>
  <c r="F362" i="12" s="1"/>
  <c r="P5" i="21" s="1"/>
  <c r="E259" i="12"/>
  <c r="E9" i="13" s="1"/>
  <c r="W337" i="11"/>
  <c r="F259" i="12" s="1"/>
  <c r="H259" i="12" s="1"/>
  <c r="P2" i="21"/>
  <c r="H287" i="12"/>
  <c r="H279" i="12"/>
  <c r="H271" i="12"/>
  <c r="H263" i="12"/>
  <c r="H286" i="12"/>
  <c r="H278" i="12"/>
  <c r="H270" i="12"/>
  <c r="H262" i="12"/>
  <c r="F5" i="13"/>
  <c r="H283" i="12"/>
  <c r="H275" i="12"/>
  <c r="H267" i="12"/>
  <c r="H280" i="12"/>
  <c r="H272" i="12"/>
  <c r="H264" i="12"/>
  <c r="H277" i="12"/>
  <c r="H282" i="12"/>
  <c r="H266" i="12"/>
  <c r="H276" i="12"/>
  <c r="H281" i="12"/>
  <c r="H265" i="12"/>
  <c r="H285" i="12"/>
  <c r="H269" i="12"/>
  <c r="H274" i="12"/>
  <c r="H284" i="12"/>
  <c r="H268" i="12"/>
  <c r="H273" i="12"/>
  <c r="G223" i="12"/>
  <c r="E140" i="12"/>
  <c r="G151" i="12" s="1"/>
  <c r="W400" i="11"/>
  <c r="F140" i="12" s="1"/>
  <c r="E300" i="12"/>
  <c r="G304" i="12" s="1"/>
  <c r="W118" i="11"/>
  <c r="F300" i="12" s="1"/>
  <c r="H310" i="12" s="1"/>
  <c r="P8" i="21"/>
  <c r="F4" i="13"/>
  <c r="H177" i="12"/>
  <c r="H169" i="12"/>
  <c r="H161" i="12"/>
  <c r="H182" i="12"/>
  <c r="H174" i="12"/>
  <c r="H166" i="12"/>
  <c r="H158" i="12"/>
  <c r="H179" i="12"/>
  <c r="H171" i="12"/>
  <c r="H163" i="12"/>
  <c r="H176" i="12"/>
  <c r="H168" i="12"/>
  <c r="H160" i="12"/>
  <c r="H181" i="12"/>
  <c r="H173" i="12"/>
  <c r="H165" i="12"/>
  <c r="H178" i="12"/>
  <c r="H170" i="12"/>
  <c r="H162" i="12"/>
  <c r="H183" i="12"/>
  <c r="H175" i="12"/>
  <c r="H180" i="12"/>
  <c r="H172" i="12"/>
  <c r="H164" i="12"/>
  <c r="H159" i="12"/>
  <c r="H167" i="12"/>
  <c r="E382" i="12"/>
  <c r="S13" i="21" l="1"/>
  <c r="Q13" i="21"/>
  <c r="R13" i="21"/>
  <c r="I7" i="13"/>
  <c r="H7" i="13"/>
  <c r="G7" i="13"/>
  <c r="Q5" i="21"/>
  <c r="S5" i="21"/>
  <c r="R5" i="21"/>
  <c r="S2" i="21"/>
  <c r="Q2" i="21"/>
  <c r="R2" i="21"/>
  <c r="O2" i="22"/>
  <c r="G376" i="12"/>
  <c r="G370" i="12"/>
  <c r="G270" i="12"/>
  <c r="H253" i="12"/>
  <c r="H256" i="12"/>
  <c r="H119" i="12"/>
  <c r="H217" i="12"/>
  <c r="H385" i="12"/>
  <c r="G156" i="12"/>
  <c r="G150" i="12"/>
  <c r="H85" i="12"/>
  <c r="H86" i="12"/>
  <c r="H148" i="12"/>
  <c r="H153" i="12"/>
  <c r="G204" i="12"/>
  <c r="G203" i="12"/>
  <c r="H202" i="12"/>
  <c r="H201" i="12"/>
  <c r="G116" i="12"/>
  <c r="H307" i="12"/>
  <c r="F3" i="13"/>
  <c r="H215" i="12"/>
  <c r="E10" i="13"/>
  <c r="G371" i="12"/>
  <c r="G386" i="12"/>
  <c r="G275" i="12"/>
  <c r="G286" i="12"/>
  <c r="H245" i="12"/>
  <c r="H251" i="12"/>
  <c r="H127" i="12"/>
  <c r="H123" i="12"/>
  <c r="G232" i="12"/>
  <c r="H383" i="12"/>
  <c r="G99" i="12"/>
  <c r="G103" i="12"/>
  <c r="G143" i="12"/>
  <c r="G145" i="12"/>
  <c r="H95" i="12"/>
  <c r="H102" i="12"/>
  <c r="H138" i="12"/>
  <c r="P3" i="22"/>
  <c r="G209" i="12"/>
  <c r="F12" i="13"/>
  <c r="P7" i="21"/>
  <c r="F14" i="13"/>
  <c r="H20" i="12"/>
  <c r="H12" i="12"/>
  <c r="H4" i="12"/>
  <c r="H25" i="12"/>
  <c r="H17" i="12"/>
  <c r="H9" i="12"/>
  <c r="H22" i="12"/>
  <c r="H14" i="12"/>
  <c r="H6" i="12"/>
  <c r="H27" i="12"/>
  <c r="H19" i="12"/>
  <c r="H11" i="12"/>
  <c r="H3" i="12"/>
  <c r="H24" i="12"/>
  <c r="H16" i="12"/>
  <c r="H8" i="12"/>
  <c r="H21" i="12"/>
  <c r="H13" i="12"/>
  <c r="H5" i="12"/>
  <c r="H23" i="12"/>
  <c r="H15" i="12"/>
  <c r="H7" i="12"/>
  <c r="H10" i="12"/>
  <c r="H2" i="12"/>
  <c r="H26" i="12"/>
  <c r="H18" i="12"/>
  <c r="G312" i="12"/>
  <c r="H228" i="12"/>
  <c r="G111" i="12"/>
  <c r="H305" i="12"/>
  <c r="H302" i="12"/>
  <c r="H156" i="12"/>
  <c r="G387" i="12"/>
  <c r="G381" i="12"/>
  <c r="G281" i="12"/>
  <c r="G266" i="12"/>
  <c r="H128" i="12"/>
  <c r="H110" i="12"/>
  <c r="H384" i="12"/>
  <c r="G101" i="12"/>
  <c r="O3" i="22"/>
  <c r="H101" i="12"/>
  <c r="H105" i="12"/>
  <c r="H154" i="12"/>
  <c r="H226" i="12"/>
  <c r="H216" i="12"/>
  <c r="G303" i="12"/>
  <c r="G302" i="12"/>
  <c r="G118" i="12"/>
  <c r="G127" i="12"/>
  <c r="H313" i="12"/>
  <c r="P6" i="21"/>
  <c r="G153" i="12"/>
  <c r="O7" i="21"/>
  <c r="E14" i="13"/>
  <c r="G20" i="12"/>
  <c r="G12" i="12"/>
  <c r="G4" i="12"/>
  <c r="G25" i="12"/>
  <c r="G17" i="12"/>
  <c r="G9" i="12"/>
  <c r="G22" i="12"/>
  <c r="G14" i="12"/>
  <c r="G6" i="12"/>
  <c r="G27" i="12"/>
  <c r="G19" i="12"/>
  <c r="G11" i="12"/>
  <c r="G3" i="12"/>
  <c r="G24" i="12"/>
  <c r="G16" i="12"/>
  <c r="G8" i="12"/>
  <c r="G21" i="12"/>
  <c r="G13" i="12"/>
  <c r="G5" i="12"/>
  <c r="G26" i="12"/>
  <c r="G18" i="12"/>
  <c r="G10" i="12"/>
  <c r="G2" i="12"/>
  <c r="G23" i="12"/>
  <c r="G15" i="12"/>
  <c r="G7" i="12"/>
  <c r="G389" i="12"/>
  <c r="G276" i="12"/>
  <c r="G274" i="12"/>
  <c r="H250" i="12"/>
  <c r="H246" i="12"/>
  <c r="H109" i="12"/>
  <c r="H118" i="12"/>
  <c r="G94" i="12"/>
  <c r="G141" i="12"/>
  <c r="E3" i="13"/>
  <c r="H96" i="12"/>
  <c r="P9" i="21"/>
  <c r="G221" i="12"/>
  <c r="I11" i="13"/>
  <c r="H11" i="13"/>
  <c r="G11" i="13"/>
  <c r="H229" i="12"/>
  <c r="G180" i="12"/>
  <c r="G310" i="12"/>
  <c r="G126" i="12"/>
  <c r="G109" i="12"/>
  <c r="H208" i="12"/>
  <c r="G363" i="12"/>
  <c r="G364" i="12"/>
  <c r="G374" i="12"/>
  <c r="E2" i="13"/>
  <c r="G271" i="12"/>
  <c r="G282" i="12"/>
  <c r="H242" i="12"/>
  <c r="H254" i="12"/>
  <c r="H117" i="12"/>
  <c r="H126" i="12"/>
  <c r="H386" i="12"/>
  <c r="G96" i="12"/>
  <c r="G149" i="12"/>
  <c r="R3" i="21"/>
  <c r="Q3" i="21"/>
  <c r="S3" i="21"/>
  <c r="H87" i="12"/>
  <c r="F6" i="13"/>
  <c r="H144" i="12"/>
  <c r="G202" i="12"/>
  <c r="G215" i="12"/>
  <c r="H200" i="12"/>
  <c r="G311" i="12"/>
  <c r="G117" i="12"/>
  <c r="H306" i="12"/>
  <c r="H303" i="12"/>
  <c r="I5" i="13"/>
  <c r="H5" i="13"/>
  <c r="G5" i="13"/>
  <c r="G382" i="12"/>
  <c r="H260" i="12"/>
  <c r="H111" i="12"/>
  <c r="H113" i="12"/>
  <c r="H387" i="12"/>
  <c r="G104" i="12"/>
  <c r="G157" i="12"/>
  <c r="I15" i="13"/>
  <c r="G15" i="13"/>
  <c r="H15" i="13"/>
  <c r="H103" i="12"/>
  <c r="H152" i="12"/>
  <c r="G201" i="12"/>
  <c r="G305" i="12"/>
  <c r="G300" i="12"/>
  <c r="G114" i="12"/>
  <c r="G125" i="12"/>
  <c r="H300" i="12"/>
  <c r="H311" i="12"/>
  <c r="G379" i="12"/>
  <c r="H364" i="12"/>
  <c r="I8" i="13"/>
  <c r="H8" i="13"/>
  <c r="G8" i="13"/>
  <c r="G390" i="12"/>
  <c r="H235" i="12"/>
  <c r="H252" i="12"/>
  <c r="H247" i="12"/>
  <c r="H125" i="12"/>
  <c r="H121" i="12"/>
  <c r="G105" i="12"/>
  <c r="G224" i="12"/>
  <c r="H227" i="12"/>
  <c r="H223" i="12"/>
  <c r="H222" i="12"/>
  <c r="H221" i="12"/>
  <c r="H231" i="12"/>
  <c r="P12" i="21"/>
  <c r="H83" i="12"/>
  <c r="H139" i="12"/>
  <c r="S4" i="21"/>
  <c r="R4" i="21"/>
  <c r="Q4" i="21"/>
  <c r="E12" i="13"/>
  <c r="G182" i="12"/>
  <c r="O6" i="21"/>
  <c r="G308" i="12"/>
  <c r="G112" i="12"/>
  <c r="H308" i="12"/>
  <c r="F13" i="13"/>
  <c r="G362" i="12"/>
  <c r="R11" i="21"/>
  <c r="S11" i="21"/>
  <c r="Q11" i="21"/>
  <c r="O4" i="22"/>
  <c r="H230" i="12"/>
  <c r="G285" i="12"/>
  <c r="H261" i="12"/>
  <c r="H255" i="12"/>
  <c r="H129" i="12"/>
  <c r="H389" i="12"/>
  <c r="G102" i="12"/>
  <c r="O9" i="21"/>
  <c r="G144" i="12"/>
  <c r="G216" i="12"/>
  <c r="G228" i="12"/>
  <c r="G233" i="12"/>
  <c r="G218" i="12"/>
  <c r="G234" i="12"/>
  <c r="H149" i="12"/>
  <c r="H147" i="12"/>
  <c r="G205" i="12"/>
  <c r="O13" i="21"/>
  <c r="H203" i="12"/>
  <c r="G183" i="12"/>
  <c r="E13" i="13"/>
  <c r="G122" i="12"/>
  <c r="G120" i="12"/>
  <c r="O5" i="21"/>
  <c r="F10" i="13"/>
  <c r="G225" i="12"/>
  <c r="H244" i="12"/>
  <c r="H219" i="12"/>
  <c r="H116" i="12"/>
  <c r="F16" i="13"/>
  <c r="H382" i="12"/>
  <c r="F2" i="13"/>
  <c r="G146" i="12"/>
  <c r="G152" i="12"/>
  <c r="H84" i="12"/>
  <c r="H151" i="12"/>
  <c r="H155" i="12"/>
  <c r="H224" i="12"/>
  <c r="G208" i="12"/>
  <c r="H204" i="12"/>
  <c r="H206" i="12"/>
  <c r="G313" i="12"/>
  <c r="G115" i="12"/>
  <c r="G128" i="12"/>
  <c r="H301" i="12"/>
  <c r="G373" i="12"/>
  <c r="H234" i="12"/>
  <c r="G375" i="12"/>
  <c r="G377" i="12"/>
  <c r="G226" i="12"/>
  <c r="H257" i="12"/>
  <c r="H220" i="12"/>
  <c r="H124" i="12"/>
  <c r="P10" i="21"/>
  <c r="H390" i="12"/>
  <c r="G138" i="12"/>
  <c r="G139" i="12"/>
  <c r="H104" i="12"/>
  <c r="H92" i="12"/>
  <c r="H141" i="12"/>
  <c r="H233" i="12"/>
  <c r="H207" i="12"/>
  <c r="H209" i="12"/>
  <c r="H225" i="12"/>
  <c r="G299" i="12"/>
  <c r="G298" i="12"/>
  <c r="G130" i="12"/>
  <c r="G113" i="12"/>
  <c r="H309" i="12"/>
  <c r="H391" i="12"/>
  <c r="G383" i="12"/>
  <c r="G385" i="12"/>
  <c r="G272" i="12"/>
  <c r="F9" i="13"/>
  <c r="G235" i="12"/>
  <c r="P4" i="22"/>
  <c r="G154" i="12"/>
  <c r="G147" i="12"/>
  <c r="H88" i="12"/>
  <c r="H100" i="12"/>
  <c r="H143" i="12"/>
  <c r="H142" i="12"/>
  <c r="E4" i="13"/>
  <c r="G307" i="12"/>
  <c r="G306" i="12"/>
  <c r="G123" i="12"/>
  <c r="G121" i="12"/>
  <c r="H304" i="12"/>
  <c r="H365" i="12"/>
  <c r="G372" i="12"/>
  <c r="P2" i="22"/>
  <c r="H114" i="12"/>
  <c r="G97" i="12"/>
  <c r="G155" i="12"/>
  <c r="H93" i="12"/>
  <c r="H98" i="12"/>
  <c r="H157" i="12"/>
  <c r="H150" i="12"/>
  <c r="O8" i="21"/>
  <c r="G131" i="12"/>
  <c r="G129" i="12"/>
  <c r="H312" i="12"/>
  <c r="I4" i="13"/>
  <c r="H4" i="13"/>
  <c r="G4" i="13"/>
  <c r="H362" i="12"/>
  <c r="G391" i="12"/>
  <c r="G380" i="12"/>
  <c r="H240" i="12"/>
  <c r="H122" i="12"/>
  <c r="G140" i="12"/>
  <c r="H91" i="12"/>
  <c r="G301" i="12"/>
  <c r="G110" i="12"/>
  <c r="E16" i="13"/>
  <c r="O12" i="21"/>
  <c r="R8" i="21"/>
  <c r="Q8" i="21"/>
  <c r="S8" i="21"/>
  <c r="H249" i="12"/>
  <c r="G98" i="12"/>
  <c r="G148" i="12"/>
  <c r="H89" i="12"/>
  <c r="H140" i="12"/>
  <c r="H194" i="12"/>
  <c r="H218" i="12"/>
  <c r="I10" i="13" l="1"/>
  <c r="H10" i="13"/>
  <c r="G10" i="13"/>
  <c r="R6" i="21"/>
  <c r="S6" i="21"/>
  <c r="Q6" i="21"/>
  <c r="C12" i="15"/>
  <c r="D12" i="15" s="1"/>
  <c r="I14" i="13"/>
  <c r="H14" i="13"/>
  <c r="G14" i="13"/>
  <c r="I9" i="13"/>
  <c r="G9" i="13"/>
  <c r="H9" i="13"/>
  <c r="S7" i="21"/>
  <c r="Q7" i="21"/>
  <c r="R7" i="21"/>
  <c r="R2" i="22"/>
  <c r="S2" i="22"/>
  <c r="Q2" i="22"/>
  <c r="I12" i="13"/>
  <c r="G12" i="13"/>
  <c r="H12" i="13"/>
  <c r="R9" i="21"/>
  <c r="S9" i="21"/>
  <c r="Q9" i="21"/>
  <c r="Q3" i="22"/>
  <c r="S3" i="22"/>
  <c r="R3" i="22"/>
  <c r="I13" i="13"/>
  <c r="H13" i="13"/>
  <c r="G13" i="13"/>
  <c r="C15" i="15"/>
  <c r="D15" i="15" s="1"/>
  <c r="I2" i="13"/>
  <c r="H2" i="13"/>
  <c r="G2" i="13"/>
  <c r="C16" i="15" s="1"/>
  <c r="D16" i="15" s="1"/>
  <c r="S12" i="21"/>
  <c r="Q12" i="21"/>
  <c r="R12" i="21"/>
  <c r="I16" i="13"/>
  <c r="H16" i="13"/>
  <c r="I6" i="13"/>
  <c r="H6" i="13"/>
  <c r="G6" i="13"/>
  <c r="I3" i="13"/>
  <c r="H3" i="13"/>
  <c r="G3" i="13"/>
  <c r="R4" i="22"/>
  <c r="S4" i="22"/>
  <c r="Q4" i="22"/>
  <c r="C13" i="15" l="1"/>
  <c r="D13" i="15" s="1"/>
</calcChain>
</file>

<file path=xl/sharedStrings.xml><?xml version="1.0" encoding="utf-8"?>
<sst xmlns="http://schemas.openxmlformats.org/spreadsheetml/2006/main" count="17795" uniqueCount="810">
  <si>
    <t>parameter_id</t>
  </si>
  <si>
    <t>value</t>
  </si>
  <si>
    <t>unit</t>
  </si>
  <si>
    <t>role</t>
  </si>
  <si>
    <t>description</t>
  </si>
  <si>
    <t>source</t>
  </si>
  <si>
    <t>analysis_start_year</t>
  </si>
  <si>
    <t>analysis_end_year</t>
  </si>
  <si>
    <t>baseline_scenario_id</t>
  </si>
  <si>
    <t>policy_start_year</t>
  </si>
  <si>
    <t>exposure_target_year</t>
  </si>
  <si>
    <t>policy_cost_ramp_years</t>
  </si>
  <si>
    <t>cost_discount_rate</t>
  </si>
  <si>
    <t>reporting_price_year</t>
  </si>
  <si>
    <t>source_cost_price_year</t>
  </si>
  <si>
    <t>currency</t>
  </si>
  <si>
    <t>economic_perspective</t>
  </si>
  <si>
    <t>scale_up_shape</t>
  </si>
  <si>
    <t>baseline_implementation_fraction</t>
  </si>
  <si>
    <t>formula_tolerance</t>
  </si>
  <si>
    <t>stock_flow_residual_limit</t>
  </si>
  <si>
    <t>r_negative_state_count</t>
  </si>
  <si>
    <t>r_stock_flow_max_residual</t>
  </si>
  <si>
    <t>r_background_distinct_count</t>
  </si>
  <si>
    <t>r_deaths_averted_anchor</t>
  </si>
  <si>
    <t>r_disc_incremental_cost_anchor</t>
  </si>
  <si>
    <t>r_cost_per_death_anchor</t>
  </si>
  <si>
    <t>qa_anchor_scenario</t>
  </si>
  <si>
    <t>year</t>
  </si>
  <si>
    <t>formula control</t>
  </si>
  <si>
    <t>First model and discount year</t>
  </si>
  <si>
    <t>indonesia_model_inputs_public_health_updated.xlsx</t>
  </si>
  <si>
    <t>Last model year</t>
  </si>
  <si>
    <t>scenario id</t>
  </si>
  <si>
    <t>No-new-policy comparator</t>
  </si>
  <si>
    <t>First policy implementation year</t>
  </si>
  <si>
    <t>Year full exposure reduction is reached</t>
  </si>
  <si>
    <t>years</t>
  </si>
  <si>
    <t>Years to full policy cost</t>
  </si>
  <si>
    <t>proportion/year</t>
  </si>
  <si>
    <t>Annual discount rate applied to costs</t>
  </si>
  <si>
    <t>USD year</t>
  </si>
  <si>
    <t>Reporting price year</t>
  </si>
  <si>
    <t>Price year of source unit costs</t>
  </si>
  <si>
    <t>metadata</t>
  </si>
  <si>
    <t>Reporting currency</t>
  </si>
  <si>
    <t>text</t>
  </si>
  <si>
    <t>Economic evaluation perspective</t>
  </si>
  <si>
    <t>Cost/effect scale-up shape</t>
  </si>
  <si>
    <t>proportion</t>
  </si>
  <si>
    <t>Baseline (counterfactual) policy implementation fraction</t>
  </si>
  <si>
    <t>Model 09</t>
  </si>
  <si>
    <t>USD/count</t>
  </si>
  <si>
    <t>QA control</t>
  </si>
  <si>
    <t>Absolute reconciliation tolerance</t>
  </si>
  <si>
    <t>Workbook QA rule</t>
  </si>
  <si>
    <t>persons</t>
  </si>
  <si>
    <t>Persons tolerance for the stock/flow identity check</t>
  </si>
  <si>
    <t>count</t>
  </si>
  <si>
    <t>R QA source</t>
  </si>
  <si>
    <t>Impossible negative state count (R)</t>
  </si>
  <si>
    <t>Model 09 current run</t>
  </si>
  <si>
    <t>Max stock/flow residual (R)</t>
  </si>
  <si>
    <t>Max distinct all-cause mx across cause (R)</t>
  </si>
  <si>
    <t>deaths</t>
  </si>
  <si>
    <t>R reconciliation source</t>
  </si>
  <si>
    <t>R deaths averted for the anchor scenario</t>
  </si>
  <si>
    <t>Model 09 current run (R CEA)</t>
  </si>
  <si>
    <t>USD</t>
  </si>
  <si>
    <t>R discounted incremental cost for the anchor scenario</t>
  </si>
  <si>
    <t>USD/death</t>
  </si>
  <si>
    <t>R USD per death averted for the anchor scenario</t>
  </si>
  <si>
    <t>Scenario used for Excel-vs-R reconciliation</t>
  </si>
  <si>
    <t>baseline</t>
  </si>
  <si>
    <t>health_system</t>
  </si>
  <si>
    <t>linear</t>
  </si>
  <si>
    <t>all_public_health</t>
  </si>
  <si>
    <t>Indonesia NCD - public-health cost &amp; value workbook (formula edition)</t>
  </si>
  <si>
    <t>section</t>
  </si>
  <si>
    <t>detail</t>
  </si>
  <si>
    <t>Purpose</t>
  </si>
  <si>
    <t>Costing, budget impact and mortality-based cost-effectiveness for the public-health (fiscal/regulatory) policies selected in the public-health input workbook.</t>
  </si>
  <si>
    <t>How to read</t>
  </si>
  <si>
    <t>Grey cells are R-generated source values; light-blue cells are LIVE Excel formulas; pale-yellow cells on Calculation_Assumptions are editable controls. Change a yellow control and the blue results recompute. Calculation_Map lists the dependency chain.</t>
  </si>
  <si>
    <t>Scenarios</t>
  </si>
  <si>
    <t>Baseline + one standalone scenario per runnable intervention + one JOINT scenario per parent package (tobacco, salt) + a combined 'all_public_health' scenario. Membership and the tobacco/salt package structure derive from the workbook Scenario_Hierarchy (Model 04). Parent-package cases/deaths come from a single joint run, never summed from standalone children; package cost = sum of selected child costs. See Scenario_Hierarchy, Child_Intervention_Summary and Parent_Package_Summary.</t>
  </si>
  <si>
    <t>Baseline pairing</t>
  </si>
  <si>
    <t>Deaths averted = baseline deaths - scenario deaths, matched at year x cause (both-sex totals).</t>
  </si>
  <si>
    <t>Effect model</t>
  </si>
  <si>
    <t>Incidence effect = exposure-based: prevalence-shift RR (tobacco), log-linear RR per unit reduction (alcohol/sodium/SSB and the DEFAULT industrial-TFA path, RR per 1 percentage-point energy). The optional TFA PAF path (PAF x implementation gap) is used only when Assumptions.tfa_effect_method='PAF'. Fiscal levers use baseline-&gt;target tax change x price elasticity; regulatory levers use the none/partial/full implementation gap. NO clinical coverage-adjustment formula is used.</t>
  </si>
  <si>
    <t>Exposure path</t>
  </si>
  <si>
    <t>Achieved exposure pt(t) ramps linearly baseline-&gt;target over start_year..target_year, floored; exposure reductions are shown as formulas on Exposure_Targets.</t>
  </si>
  <si>
    <t>Lag</t>
  </si>
  <si>
    <t>immediate_after_full_implementation: effect tracks the exposure path. delayed_exponential_remaining_effect (tobacco): full target effect accrues as 1-(1-rate)^(years since start).</t>
  </si>
  <si>
    <t>Costing</t>
  </si>
  <si>
    <t>annual_cost = population(t) x PIN fraction x implementation_fraction(t) x frequency x unit_cost. Public-wide policies use the deduplicated total population (once per age/sex/year, never per cause).</t>
  </si>
  <si>
    <t>Shared costs</t>
  </si>
  <si>
    <t>Shared policy costs (cost_scope 'shared-count-once', ...__C_SHARED) are counted once per intervention/scenario/year, never once per affected cause.</t>
  </si>
  <si>
    <t>Budget impact</t>
  </si>
  <si>
    <t>Budget impact reports UNDISCOUNTED baseline, scenario, incremental and cumulative incremental cost; discounted incremental cost is a separate column.</t>
  </si>
  <si>
    <t>Cost-effectiveness</t>
  </si>
  <si>
    <t>USD per death averted = cumulative discounted incremental cost / cumulative (undiscounted) deaths averted. Not a DALY-based ICER; DALYs are deferred.</t>
  </si>
  <si>
    <t>Economic value</t>
  </si>
  <si>
    <t>Value of statistical life (Model 08) covers the clinical CVD scenarios only and does not reconcile with public-health scenarios; see the Economic_Value note.</t>
  </si>
  <si>
    <t>QA &amp; reconciliation</t>
  </si>
  <si>
    <t>QA_Checks recomputes each invariant in Excel and reconciles the Excel cost-effectiveness headline against the R engine values on Calculation_Assumptions. PASS/REVIEW/FAIL are conditionally formatted.</t>
  </si>
  <si>
    <t>Colour legend</t>
  </si>
  <si>
    <t>Header dark-blue; formula-derived light-blue; R source/helper grey; editable controls pale-yellow; PASS green; REVIEW amber; FAIL red.</t>
  </si>
  <si>
    <t>Deferred</t>
  </si>
  <si>
    <t>DALYs/YLL/YLD/disability weights are deferred; the principal cost-effectiveness result is USD per death averted.</t>
  </si>
  <si>
    <t>item</t>
  </si>
  <si>
    <t>Workbook title</t>
  </si>
  <si>
    <t>Indonesia NCD public-health - cost &amp; value</t>
  </si>
  <si>
    <t>Run date</t>
  </si>
  <si>
    <t>2026-08-21</t>
  </si>
  <si>
    <t>Model / pipeline</t>
  </si>
  <si>
    <t>CVD FAIR Choices pipeline (Models 00-06 -&gt; 09), public-health family</t>
  </si>
  <si>
    <t>Public-health input workbook</t>
  </si>
  <si>
    <t>C:/Users/wrgar/OneDrive - UW/02Work/WorldBank-Indonesia/uw-wb-indonesia-ncd/data/indonesia_model_inputs_public_health_updated.xlsx</t>
  </si>
  <si>
    <t>Model output source</t>
  </si>
  <si>
    <t>output/out_model/model_output_*.rds (Model 06)</t>
  </si>
  <si>
    <t>Location</t>
  </si>
  <si>
    <t>Indonesia</t>
  </si>
  <si>
    <t>Analysis years</t>
  </si>
  <si>
    <t>Baseline scenario</t>
  </si>
  <si>
    <t>Scenarios costed</t>
  </si>
  <si>
    <t>I_PH_TOBACCO_TAX, I_PH_ALCOHOL_TAX, I_PH_TOB_CLEAN_AIR, I_PH_TOB_MEDIA, I_PH_TOB_AD_BAN, I_PH_ALCOHOL_POLICY, I_PH_SALT_REFORM, I_PH_SALT_FOPL, I_PH_SALT_MEDIA, I_PH_SALT_ENV, I_PH_TFA_POLICY, I_PH_SSB_TAX, I_PH_TOBACCO_POLICY, I_PH_SALT_POLICY, all_public_health</t>
  </si>
  <si>
    <t>Cost discount rate</t>
  </si>
  <si>
    <t>2023</t>
  </si>
  <si>
    <t>Currency</t>
  </si>
  <si>
    <t>Economic perspective</t>
  </si>
  <si>
    <t>Policy start / target year</t>
  </si>
  <si>
    <t>2026 / 2030</t>
  </si>
  <si>
    <t>Cost ramp years</t>
  </si>
  <si>
    <t>3</t>
  </si>
  <si>
    <t>Health outcomes (DALYs/YLL/YLD)</t>
  </si>
  <si>
    <t>Out of scope in this stage (deferred)</t>
  </si>
  <si>
    <t>R version</t>
  </si>
  <si>
    <t>R version 4.5.1 (2025-06-13 ucrt)</t>
  </si>
  <si>
    <t>openxlsx / data.table</t>
  </si>
  <si>
    <t>4.2.8 / 1.17.8</t>
  </si>
  <si>
    <t>TFA effect method</t>
  </si>
  <si>
    <t>RR</t>
  </si>
  <si>
    <t>Public-health scenarios (n)</t>
  </si>
  <si>
    <t>15 comparators + baseline</t>
  </si>
  <si>
    <t>intervention_id</t>
  </si>
  <si>
    <t>intervention_cause_key</t>
  </si>
  <si>
    <t>intervention_name</t>
  </si>
  <si>
    <t>risk_id</t>
  </si>
  <si>
    <t>cause_id</t>
  </si>
  <si>
    <t>cause_code</t>
  </si>
  <si>
    <t>effect_model</t>
  </si>
  <si>
    <t>baseline_exposure</t>
  </si>
  <si>
    <t>target_exposure</t>
  </si>
  <si>
    <t>response_value</t>
  </si>
  <si>
    <t>paf_value</t>
  </si>
  <si>
    <t>lag_model</t>
  </si>
  <si>
    <t>lag_parameter</t>
  </si>
  <si>
    <t>exposure_start_year</t>
  </si>
  <si>
    <t>full_effect_at_target</t>
  </si>
  <si>
    <t>exposure_reduction_abs</t>
  </si>
  <si>
    <t>exposure_reduction_rel</t>
  </si>
  <si>
    <t>cost_join_key</t>
  </si>
  <si>
    <t>review_status</t>
  </si>
  <si>
    <t>key_count</t>
  </si>
  <si>
    <t>formula_status</t>
  </si>
  <si>
    <t>parent_package_id</t>
  </si>
  <si>
    <t>intervention_role</t>
  </si>
  <si>
    <t>tfa_effect_method</t>
  </si>
  <si>
    <t>I_PH_ALCOHOL_POLICY</t>
  </si>
  <si>
    <t>I_PH_ALCOHOL_POLICY__C_CMYO</t>
  </si>
  <si>
    <t>Alcohol advertising ban</t>
  </si>
  <si>
    <t>R_ALCOHOL</t>
  </si>
  <si>
    <t>C_CMYO</t>
  </si>
  <si>
    <t>cmd</t>
  </si>
  <si>
    <t>direct_loglinear_rr_per_unit_reduction</t>
  </si>
  <si>
    <t>immediate_after_full_implementation</t>
  </si>
  <si>
    <t>I_PH_ALCOHOL_POLICY__C_SHARED</t>
  </si>
  <si>
    <t>Ready</t>
  </si>
  <si>
    <t>standalone</t>
  </si>
  <si>
    <t>I_PH_ALCOHOL_POLICY__C_HHD</t>
  </si>
  <si>
    <t>C_HHD</t>
  </si>
  <si>
    <t>hhd</t>
  </si>
  <si>
    <t>I_PH_ALCOHOL_POLICY__C_ICH</t>
  </si>
  <si>
    <t>C_ICH</t>
  </si>
  <si>
    <t>hstroke</t>
  </si>
  <si>
    <t>I_PH_ALCOHOL_POLICY__C_IHD</t>
  </si>
  <si>
    <t>C_IHD</t>
  </si>
  <si>
    <t>ihd</t>
  </si>
  <si>
    <t>I_PH_ALCOHOL_POLICY__C_IS</t>
  </si>
  <si>
    <t>C_IS</t>
  </si>
  <si>
    <t>istroke</t>
  </si>
  <si>
    <t>I_PH_ALCOHOL_TAX</t>
  </si>
  <si>
    <t>I_PH_ALCOHOL_TAX__C_CMYO</t>
  </si>
  <si>
    <t>Alcohol tax</t>
  </si>
  <si>
    <t>I_PH_ALCOHOL_TAX__C_SHARED</t>
  </si>
  <si>
    <t>I_PH_ALCOHOL_TAX__C_HHD</t>
  </si>
  <si>
    <t>I_PH_ALCOHOL_TAX__C_ICH</t>
  </si>
  <si>
    <t>I_PH_ALCOHOL_TAX__C_IHD</t>
  </si>
  <si>
    <t>I_PH_ALCOHOL_TAX__C_IS</t>
  </si>
  <si>
    <t>I_PH_SALT_ENV</t>
  </si>
  <si>
    <t>I_PH_SALT_ENV__C_HHD</t>
  </si>
  <si>
    <t>Supportive public-institution environment</t>
  </si>
  <si>
    <t>R_SODIUM</t>
  </si>
  <si>
    <t>I_PH_SALT_ENV__C_SHARED</t>
  </si>
  <si>
    <t>I_PH_SALT_POLICY</t>
  </si>
  <si>
    <t>child</t>
  </si>
  <si>
    <t>I_PH_SALT_ENV__C_ICH</t>
  </si>
  <si>
    <t>I_PH_SALT_ENV__C_IHD</t>
  </si>
  <si>
    <t>I_PH_SALT_ENV__C_IS</t>
  </si>
  <si>
    <t>I_PH_SALT_FOPL</t>
  </si>
  <si>
    <t>I_PH_SALT_FOPL__C_HHD</t>
  </si>
  <si>
    <t>Sodium front-of-pack labelling</t>
  </si>
  <si>
    <t>I_PH_SALT_FOPL__C_SHARED</t>
  </si>
  <si>
    <t>I_PH_SALT_FOPL__C_ICH</t>
  </si>
  <si>
    <t>I_PH_SALT_FOPL__C_IHD</t>
  </si>
  <si>
    <t>I_PH_SALT_FOPL__C_IS</t>
  </si>
  <si>
    <t>I_PH_SALT_MEDIA</t>
  </si>
  <si>
    <t>I_PH_SALT_MEDIA__C_HHD</t>
  </si>
  <si>
    <t>Sodium mass-media campaign</t>
  </si>
  <si>
    <t>I_PH_SALT_MEDIA__C_SHARED</t>
  </si>
  <si>
    <t>I_PH_SALT_MEDIA__C_ICH</t>
  </si>
  <si>
    <t>I_PH_SALT_MEDIA__C_IHD</t>
  </si>
  <si>
    <t>I_PH_SALT_MEDIA__C_IS</t>
  </si>
  <si>
    <t>I_PH_SALT_REFORM</t>
  </si>
  <si>
    <t>I_PH_SALT_REFORM__C_HHD</t>
  </si>
  <si>
    <t>Mandatory sodium reformulation</t>
  </si>
  <si>
    <t>I_PH_SALT_REFORM__C_SHARED</t>
  </si>
  <si>
    <t>I_PH_SALT_REFORM__C_ICH</t>
  </si>
  <si>
    <t>I_PH_SALT_REFORM__C_IHD</t>
  </si>
  <si>
    <t>I_PH_SALT_REFORM__C_IS</t>
  </si>
  <si>
    <t>I_PH_SSB_TAX</t>
  </si>
  <si>
    <t>I_PH_SSB_TAX__C_T2DM</t>
  </si>
  <si>
    <t>Sugar-sweetened beverage tax</t>
  </si>
  <si>
    <t>R_SSB</t>
  </si>
  <si>
    <t>C_T2DM</t>
  </si>
  <si>
    <t>dm2</t>
  </si>
  <si>
    <t>I_PH_SSB_TAX__C_SHARED</t>
  </si>
  <si>
    <t>I_PH_SSB_TAX__C_HHD</t>
  </si>
  <si>
    <t>I_PH_SSB_TAX__C_ICH</t>
  </si>
  <si>
    <t>I_PH_SSB_TAX__C_IHD</t>
  </si>
  <si>
    <t>I_PH_SSB_TAX__C_IS</t>
  </si>
  <si>
    <t>I_PH_TFA_POLICY</t>
  </si>
  <si>
    <t>I_PH_TFA_POLICY__C_IHD</t>
  </si>
  <si>
    <t>Industrial trans-fat elimination regulation</t>
  </si>
  <si>
    <t>R_TFA</t>
  </si>
  <si>
    <t>I_PH_TFA_POLICY__C_SHARED</t>
  </si>
  <si>
    <t>I_PH_TOBACCO_TAX</t>
  </si>
  <si>
    <t>I_PH_TOBACCO_TAX__C_T2DM</t>
  </si>
  <si>
    <t>Tobacco tax</t>
  </si>
  <si>
    <t>R_SMOKING</t>
  </si>
  <si>
    <t>direct_smoking_prevalence_shift_rr</t>
  </si>
  <si>
    <t>delayed_exponential_remaining_effect</t>
  </si>
  <si>
    <t>I_PH_TOBACCO_TAX__C_SHARED</t>
  </si>
  <si>
    <t>I_PH_TOBACCO_TAX__C_ICH</t>
  </si>
  <si>
    <t>I_PH_TOBACCO_TAX__C_IHD</t>
  </si>
  <si>
    <t>I_PH_TOBACCO_TAX__C_IS</t>
  </si>
  <si>
    <t>I_PH_TOB_AD_BAN</t>
  </si>
  <si>
    <t>I_PH_TOB_AD_BAN__C_T2DM</t>
  </si>
  <si>
    <t>Tobacco advertising ban</t>
  </si>
  <si>
    <t>I_PH_TOB_AD_BAN__C_SHARED</t>
  </si>
  <si>
    <t>I_PH_TOBACCO_POLICY</t>
  </si>
  <si>
    <t>I_PH_TOB_AD_BAN__C_ICH</t>
  </si>
  <si>
    <t>I_PH_TOB_AD_BAN__C_IHD</t>
  </si>
  <si>
    <t>I_PH_TOB_AD_BAN__C_IS</t>
  </si>
  <si>
    <t>I_PH_TOB_CLEAN_AIR</t>
  </si>
  <si>
    <t>I_PH_TOB_CLEAN_AIR__C_T2DM</t>
  </si>
  <si>
    <t>Smoke-free / clean-air law</t>
  </si>
  <si>
    <t>I_PH_TOB_CLEAN_AIR__C_SHARED</t>
  </si>
  <si>
    <t>I_PH_TOB_CLEAN_AIR__C_ICH</t>
  </si>
  <si>
    <t>I_PH_TOB_CLEAN_AIR__C_IHD</t>
  </si>
  <si>
    <t>I_PH_TOB_CLEAN_AIR__C_IS</t>
  </si>
  <si>
    <t>I_PH_TOB_MEDIA</t>
  </si>
  <si>
    <t>I_PH_TOB_MEDIA__C_T2DM</t>
  </si>
  <si>
    <t>Tobacco mass-media campaign</t>
  </si>
  <si>
    <t>I_PH_TOB_MEDIA__C_SHARED</t>
  </si>
  <si>
    <t>I_PH_TOB_MEDIA__C_ICH</t>
  </si>
  <si>
    <t>I_PH_TOB_MEDIA__C_IHD</t>
  </si>
  <si>
    <t>I_PH_TOB_MEDIA__C_IS</t>
  </si>
  <si>
    <t>note</t>
  </si>
  <si>
    <t>No blocked public-health links in this run.</t>
  </si>
  <si>
    <t>lever_id</t>
  </si>
  <si>
    <t>component</t>
  </si>
  <si>
    <t>lever_method</t>
  </si>
  <si>
    <t>fiscal_baseline_tax_level</t>
  </si>
  <si>
    <t>fiscal_target_tax_level</t>
  </si>
  <si>
    <t>fiscal_tax_level_unit</t>
  </si>
  <si>
    <t>regulatory_baseline_level</t>
  </si>
  <si>
    <t>regulatory_target_level</t>
  </si>
  <si>
    <t>regulatory_baseline_score</t>
  </si>
  <si>
    <t>regulatory_target_score</t>
  </si>
  <si>
    <t>effect_parameter</t>
  </si>
  <si>
    <t>implementation_gap</t>
  </si>
  <si>
    <t>implied_price_change</t>
  </si>
  <si>
    <t>fiscal_tax_delta</t>
  </si>
  <si>
    <t>policy_reduction</t>
  </si>
  <si>
    <t>estimated_risk_reduction_wb</t>
  </si>
  <si>
    <t>qa_status</t>
  </si>
  <si>
    <t>PL_TOB_TAX_SHARE</t>
  </si>
  <si>
    <t>Tax share of final retail price</t>
  </si>
  <si>
    <t>tax_share_to_price_elasticity</t>
  </si>
  <si>
    <t>tax share of retail price</t>
  </si>
  <si>
    <t>partial</t>
  </si>
  <si>
    <t>OK</t>
  </si>
  <si>
    <t>PL_ALC_PRICE</t>
  </si>
  <si>
    <t>Incremental retail-price increase versus current law</t>
  </si>
  <si>
    <t>price_elasticity</t>
  </si>
  <si>
    <t>relative price change vs current law</t>
  </si>
  <si>
    <t>none</t>
  </si>
  <si>
    <t>PL_TOB_CLEAN_AIR</t>
  </si>
  <si>
    <t>Smoking ban / clean-air law</t>
  </si>
  <si>
    <t>regulatory_gap_multiplicative</t>
  </si>
  <si>
    <t>full</t>
  </si>
  <si>
    <t>PL_TOB_MEDIA</t>
  </si>
  <si>
    <t>Highly publicised mass-media campaign</t>
  </si>
  <si>
    <t>PL_TOB_AD_BAN</t>
  </si>
  <si>
    <t>Advertising, promotion and sponsorship ban</t>
  </si>
  <si>
    <t>PL_ALC_AD_BAN</t>
  </si>
  <si>
    <t>PL_SALT_REFORM</t>
  </si>
  <si>
    <t>Mandatory product reformulation</t>
  </si>
  <si>
    <t>PL_SALT_FOPL</t>
  </si>
  <si>
    <t>Front-of-pack labelling</t>
  </si>
  <si>
    <t>PL_SALT_MEDIA</t>
  </si>
  <si>
    <t>Mass-media campaign</t>
  </si>
  <si>
    <t>PL_SALT_ENV</t>
  </si>
  <si>
    <t>Public food procurement and supportive institutions</t>
  </si>
  <si>
    <t>PL_TFA_REG</t>
  </si>
  <si>
    <t>Best-practice industrial TFA regulation</t>
  </si>
  <si>
    <t>PL_SSB_PRICE</t>
  </si>
  <si>
    <t>Incremental retail-price increase</t>
  </si>
  <si>
    <t>relative price change vs baseline</t>
  </si>
  <si>
    <t>risk_exposure_measure</t>
  </si>
  <si>
    <t>exposure_unit</t>
  </si>
  <si>
    <t>reduction_method</t>
  </si>
  <si>
    <t>red_or_target</t>
  </si>
  <si>
    <t>exposure_floor</t>
  </si>
  <si>
    <t>absolute_reduction</t>
  </si>
  <si>
    <t>relative_reduction</t>
  </si>
  <si>
    <t>start_year</t>
  </si>
  <si>
    <t>target_year</t>
  </si>
  <si>
    <t>Alcohol consumption per adult</t>
  </si>
  <si>
    <t>litres pure alcohol/adult/year</t>
  </si>
  <si>
    <t>relative</t>
  </si>
  <si>
    <t>Baseline retained</t>
  </si>
  <si>
    <t>Mean sodium intake</t>
  </si>
  <si>
    <t>g sodium/day</t>
  </si>
  <si>
    <t>Mean SSB intake</t>
  </si>
  <si>
    <t>8 oz servings/adult/day</t>
  </si>
  <si>
    <t>GDD 2020 mean</t>
  </si>
  <si>
    <t>Mean industrial trans-fat intake</t>
  </si>
  <si>
    <t>% energy</t>
  </si>
  <si>
    <t>RR base case; PAF optional</t>
  </si>
  <si>
    <t>Smoking prevalence</t>
  </si>
  <si>
    <t>response_parameter</t>
  </si>
  <si>
    <t>model_transition</t>
  </si>
  <si>
    <t>valid</t>
  </si>
  <si>
    <t>RR per 1 L/year</t>
  </si>
  <si>
    <t>incidence</t>
  </si>
  <si>
    <t>RR per 1 g sodium/day</t>
  </si>
  <si>
    <t>RR per daily serving</t>
  </si>
  <si>
    <t>RR per 1 percentage-point energy/day</t>
  </si>
  <si>
    <t>RR current smoker vs non-smoker</t>
  </si>
  <si>
    <t>cost_record_id</t>
  </si>
  <si>
    <t>cost_component_key</t>
  </si>
  <si>
    <t>cost_scope</t>
  </si>
  <si>
    <t>scenario_role</t>
  </si>
  <si>
    <t>cost_component</t>
  </si>
  <si>
    <t>population_in_need_measure</t>
  </si>
  <si>
    <t>population_in_need_fraction</t>
  </si>
  <si>
    <t>frequency_per_year</t>
  </si>
  <si>
    <t>unit_cost_usd</t>
  </si>
  <si>
    <t>cost_allocation_share</t>
  </si>
  <si>
    <t>package_total_cost_usd_per_capita</t>
  </si>
  <si>
    <t>allocation_method</t>
  </si>
  <si>
    <t>allocated_child_cost</t>
  </si>
  <si>
    <t>price_year</t>
  </si>
  <si>
    <t>indonesia_adjusted_flag</t>
  </si>
  <si>
    <t>source_country</t>
  </si>
  <si>
    <t>cost_ready</t>
  </si>
  <si>
    <t>notes</t>
  </si>
  <si>
    <t>COST_PH_ALC_POLICY</t>
  </si>
  <si>
    <t>CC_PH_ALC_POLICY</t>
  </si>
  <si>
    <t>shared-count-once</t>
  </si>
  <si>
    <t>Annual intersectoral policy implementation</t>
  </si>
  <si>
    <t>all</t>
  </si>
  <si>
    <t>direct source value</t>
  </si>
  <si>
    <t>China/proxy</t>
  </si>
  <si>
    <t>Review</t>
  </si>
  <si>
    <t>Requires Indonesia/price-year adjustment</t>
  </si>
  <si>
    <t>COST_PH_ALC_TAX</t>
  </si>
  <si>
    <t>CC_PH_ALC_TAX</t>
  </si>
  <si>
    <t>COST_PH_SALT_ENV</t>
  </si>
  <si>
    <t>CC_PH_SALT_ENV</t>
  </si>
  <si>
    <t>component-count-once</t>
  </si>
  <si>
    <t>equal within package</t>
  </si>
  <si>
    <t>COST_PH_SALT_FOPL</t>
  </si>
  <si>
    <t>CC_PH_SALT_FOPL</t>
  </si>
  <si>
    <t>COST_PH_SALT_MEDIA</t>
  </si>
  <si>
    <t>CC_PH_SALT_MEDIA</t>
  </si>
  <si>
    <t>COST_PH_SALT_REFORM</t>
  </si>
  <si>
    <t>CC_PH_SALT_REFORM</t>
  </si>
  <si>
    <t>COST_PH_SSB_TAX</t>
  </si>
  <si>
    <t>CC_PH_SSB_TAX</t>
  </si>
  <si>
    <t>COST_PH_TFA</t>
  </si>
  <si>
    <t>CC_PH_TFA</t>
  </si>
  <si>
    <t>COST_PH_TOB_TAX</t>
  </si>
  <si>
    <t>CC_PH_TOB_TAX</t>
  </si>
  <si>
    <t>COST_PH_TOB_AD_BAN</t>
  </si>
  <si>
    <t>CC_PH_TOB_AD_BAN</t>
  </si>
  <si>
    <t>COST_PH_TOB_CLEAN_AIR</t>
  </si>
  <si>
    <t>CC_PH_TOB_CLEAN_AIR</t>
  </si>
  <si>
    <t>COST_PH_TOB_MEDIA</t>
  </si>
  <si>
    <t>CC_PH_TOB_MEDIA</t>
  </si>
  <si>
    <t>scenario</t>
  </si>
  <si>
    <t>scenario_label</t>
  </si>
  <si>
    <t>cause</t>
  </si>
  <si>
    <t>cases</t>
  </si>
  <si>
    <t>cause_deaths</t>
  </si>
  <si>
    <t>base_cases</t>
  </si>
  <si>
    <t>base_deaths</t>
  </si>
  <si>
    <t>deaths_averted</t>
  </si>
  <si>
    <t>cases_averted</t>
  </si>
  <si>
    <t>rhd</t>
  </si>
  <si>
    <t>Salt policy package</t>
  </si>
  <si>
    <t>Tobacco policy package</t>
  </si>
  <si>
    <t>All selected public-health interventions (combined)</t>
  </si>
  <si>
    <t>pop_scenario</t>
  </si>
  <si>
    <t>pop_baseline</t>
  </si>
  <si>
    <t>cost_impl_frac</t>
  </si>
  <si>
    <t>pin_scenario</t>
  </si>
  <si>
    <t>pin_baseline</t>
  </si>
  <si>
    <t>annual_cost_baseline</t>
  </si>
  <si>
    <t>annual_cost_scenario</t>
  </si>
  <si>
    <t>annual_cost_incremental</t>
  </si>
  <si>
    <t>discount_factor</t>
  </si>
  <si>
    <t>disc_cost_baseline</t>
  </si>
  <si>
    <t>disc_cost_scenario</t>
  </si>
  <si>
    <t>disc_cost_incremental</t>
  </si>
  <si>
    <t>shared_duplicate_count</t>
  </si>
  <si>
    <t>baseline_cost</t>
  </si>
  <si>
    <t>scenario_cost</t>
  </si>
  <si>
    <t>incremental_cost</t>
  </si>
  <si>
    <t>disc_incremental_cost</t>
  </si>
  <si>
    <t>cumulative_incremental_cost</t>
  </si>
  <si>
    <t>cumulative_disc_incremental_cost</t>
  </si>
  <si>
    <t>cost_per_death_averted</t>
  </si>
  <si>
    <t>dominance</t>
  </si>
  <si>
    <t>reconciliation_status</t>
  </si>
  <si>
    <t>Economic value (value of statistical life, VSL/VSLY) is produced by Model 08 for the clinical CVD scenarios only.</t>
  </si>
  <si>
    <t>Model 08 does not currently run the public-health scenario ids (I_PH_* / all_public_health), so its monetary-value</t>
  </si>
  <si>
    <t>results cannot be reconciled against this run's public-health scenarios and are intentionally NOT reproduced here.</t>
  </si>
  <si>
    <t>The principal public-health result in this workbook is USD per death averted (Cost_Effectiveness).</t>
  </si>
  <si>
    <t>To populate a public-health economic-value view, re-run Model 08 on the public-health scenarios and extend this sheet.</t>
  </si>
  <si>
    <t>check</t>
  </si>
  <si>
    <t>expected</t>
  </si>
  <si>
    <t>actual</t>
  </si>
  <si>
    <t>status</t>
  </si>
  <si>
    <t>Selected intervention-cause key uniqueness</t>
  </si>
  <si>
    <t>0</t>
  </si>
  <si>
    <t>Each selected link key appears once</t>
  </si>
  <si>
    <t>Workbook FAIL-level issues</t>
  </si>
  <si>
    <t>Blocked links excluded (see Blocked_Links / Input_Diagnostic)</t>
  </si>
  <si>
    <t>Workbook REVIEW-level issues</t>
  </si>
  <si>
    <t>Flagged but usable (e.g. cost not Indonesia-adjusted; provisional PAF)</t>
  </si>
  <si>
    <t>Every scenario paired to baseline</t>
  </si>
  <si>
    <t>Deaths averted = baseline - scenario at matched year/cause</t>
  </si>
  <si>
    <t>Public-health transitions are well -&gt; sick incidence</t>
  </si>
  <si>
    <t>All modeled public-health effects map to incidence (no case fatality)</t>
  </si>
  <si>
    <t>No impossible negative states</t>
  </si>
  <si>
    <t>well/sick/new_cases/deaths/population &gt;= 0</t>
  </si>
  <si>
    <t>Stock/flow identity pop = well + sick + all-cause deaths</t>
  </si>
  <si>
    <t>&lt;= limit</t>
  </si>
  <si>
    <t>Per cause row; small residual from 95+ pooling / rounding</t>
  </si>
  <si>
    <t>Background mortality constant across cause</t>
  </si>
  <si>
    <t>1</t>
  </si>
  <si>
    <t>all.mx taken once per stratum (population not duplicated across causes)</t>
  </si>
  <si>
    <t>Cost reconciliation (components -&gt; budget impact)</t>
  </si>
  <si>
    <t>&lt;= tol</t>
  </si>
  <si>
    <t>Excel component rows sum to Excel annual totals within tolerance</t>
  </si>
  <si>
    <t>Shared cost counted once per stratum/year</t>
  </si>
  <si>
    <t>shared-count-once components appear once per scenario-year</t>
  </si>
  <si>
    <t>Annual reconciles to cumulative (budget impact)</t>
  </si>
  <si>
    <t>Last-year cumulative equals the sum of annual incremental cost</t>
  </si>
  <si>
    <t>CEA reconciliation (detail -&gt; summary)</t>
  </si>
  <si>
    <t>consistent</t>
  </si>
  <si>
    <t>Every Cost_Effectiveness row's internal reconciliation is consistent</t>
  </si>
  <si>
    <t>Excel vs R: deaths averted (anchor)</t>
  </si>
  <si>
    <t>match R</t>
  </si>
  <si>
    <t>Excel CEA deaths averted reconciles to the R engine value</t>
  </si>
  <si>
    <t>Excel vs R: discounted incremental cost (anchor)</t>
  </si>
  <si>
    <t>Excel CEA discounted incremental cost reconciles to the R engine value</t>
  </si>
  <si>
    <t>Excel vs R: cost per death averted (anchor)</t>
  </si>
  <si>
    <t>Excel CEA USD per death averted reconciles to the R engine value</t>
  </si>
  <si>
    <t>Tobacco package child count</t>
  </si>
  <si>
    <t>Scenario_Hierarchy: clean air, media, ad ban</t>
  </si>
  <si>
    <t>Salt package child count</t>
  </si>
  <si>
    <t>4</t>
  </si>
  <si>
    <t>Scenario_Hierarchy: reformulation, FOPL, media, institutions</t>
  </si>
  <si>
    <t>Child cost-allocation shares sum to 1 (per package)</t>
  </si>
  <si>
    <t>Cost_Components allocation shares sum to 1 within each package (M13/M14)</t>
  </si>
  <si>
    <t>Parent packages produced as joint runs</t>
  </si>
  <si>
    <t>&gt; 0</t>
  </si>
  <si>
    <t>Package cases/deaths come from a produced JOINT scenario, never summed from children</t>
  </si>
  <si>
    <t>scope</t>
  </si>
  <si>
    <t>item_key</t>
  </si>
  <si>
    <t>field</t>
  </si>
  <si>
    <t>problem</t>
  </si>
  <si>
    <t>severity</t>
  </si>
  <si>
    <t>ph_cost</t>
  </si>
  <si>
    <t>cost not Indonesia-adjusted (proxy/review estimate; kept but flagged)</t>
  </si>
  <si>
    <t>REVIEW</t>
  </si>
  <si>
    <t>cost price year != reporting price year (2023)</t>
  </si>
  <si>
    <t>method_id</t>
  </si>
  <si>
    <t>concept</t>
  </si>
  <si>
    <t>formula_or_rule</t>
  </si>
  <si>
    <t>M01</t>
  </si>
  <si>
    <t>Exposure target</t>
  </si>
  <si>
    <t>relative: max(floor, baseline*(1-reduction)); absolute: max(floor, baseline-reduction); level: max(floor, target)</t>
  </si>
  <si>
    <t>NCD Countdown supplement (Countdown_Methods sheet) + public-health input workbook</t>
  </si>
  <si>
    <t>M02</t>
  </si>
  <si>
    <t>pt(t) linear baseline-&gt;target over start_year..target_year, then held; floored at exposure_floor</t>
  </si>
  <si>
    <t>M03</t>
  </si>
  <si>
    <t>Regulatory score</t>
  </si>
  <si>
    <t>implementation score: none=0; partial=0.5; full=1</t>
  </si>
  <si>
    <t>M04</t>
  </si>
  <si>
    <t>Regulatory effect</t>
  </si>
  <si>
    <t>implementation_gap = max(0, target_score - baseline_score); regulatory reduction = full_component_effect * implementation_gap</t>
  </si>
  <si>
    <t>M05</t>
  </si>
  <si>
    <t>Price-change tax</t>
  </si>
  <si>
    <t>fiscal_tax_delta = max(0, target_tax - baseline_tax); reduction = abs(price_elasticity) * implied_price_change</t>
  </si>
  <si>
    <t>M06</t>
  </si>
  <si>
    <t>Tax-share tax</t>
  </si>
  <si>
    <t>tobacco excise share: implied_price_change = (1 - baseline_share)/(1 - target_share) - 1</t>
  </si>
  <si>
    <t>M07</t>
  </si>
  <si>
    <t>Prevalence-shift RR effect</t>
  </si>
  <si>
    <t>effect = 1 - (1 + pt*(RR-1)) / (1 + p0*(RR-1))   [tobacco smoking prevalence shift]</t>
  </si>
  <si>
    <t>M08</t>
  </si>
  <si>
    <t>Log-linear RR effect</t>
  </si>
  <si>
    <t>effect = 1 - 1/(RR^(p0-pt))   [alcohol, sodium, SSB, and DEFAULT industrial-TFA path: RR per 1 percentage-point energy, e.g. RR_TFA_IHD_1PCT=1.10 ~ sqrt(1.21)]</t>
  </si>
  <si>
    <t>M09</t>
  </si>
  <si>
    <t>TFA effect method (RR default / PAF optional)</t>
  </si>
  <si>
    <t>RR (default): log-linear RR per unit reduction, no PAF required. PAF (optional, tfa_effect_method=PAF): effect = optional_PAF * implementation_gap</t>
  </si>
  <si>
    <t>M10</t>
  </si>
  <si>
    <t>Effect lag</t>
  </si>
  <si>
    <t>immediate: effect tracks exposure path; delayed_exponential: full_effect * (1-(1-rate)^(years since start))</t>
  </si>
  <si>
    <t>M11</t>
  </si>
  <si>
    <t>Incidence application</t>
  </si>
  <si>
    <t>cause-specific incidence x (1 - effect_t); multiple policies combine multiplicatively on the surviving fraction</t>
  </si>
  <si>
    <t>M12</t>
  </si>
  <si>
    <t>Policy implementation fraction</t>
  </si>
  <si>
    <t>implementation_fraction(t) = min(max((t - policy_start_year + 1)/policy_cost_ramp_years, 0), 1)</t>
  </si>
  <si>
    <t>M13</t>
  </si>
  <si>
    <t>Annual policy cost</t>
  </si>
  <si>
    <t>annual_cost = population(t) * PIN_fraction * implementation_fraction(t) * frequency * unit_cost</t>
  </si>
  <si>
    <t>M14</t>
  </si>
  <si>
    <t>Shared cost</t>
  </si>
  <si>
    <t>shared-count-once costs counted once per intervention &amp; scenario-year, never once per affected cause</t>
  </si>
  <si>
    <t>M15</t>
  </si>
  <si>
    <t>Child cost allocation</t>
  </si>
  <si>
    <t>child cost = package_total_cost_per_capita * cost_allocation_share (shares sum to 1 within a package)</t>
  </si>
  <si>
    <t>M16</t>
  </si>
  <si>
    <t>Parent package cost</t>
  </si>
  <si>
    <t>parent package cost = sum of selected child costs; the parent_reference cost row (selected_for_base_case=0) is NOT charged</t>
  </si>
  <si>
    <t>M17</t>
  </si>
  <si>
    <t>Package health outcomes</t>
  </si>
  <si>
    <t>parent-package cases/deaths come from ONE joint scenario run with all children applied together; never sum standalone child outcomes</t>
  </si>
  <si>
    <t>M18</t>
  </si>
  <si>
    <t>Discounting</t>
  </si>
  <si>
    <t>discount_factor(t) = 1/(1+cost_discount_rate)^(t - analysis_start_year); costs discounted, deaths undiscounted</t>
  </si>
  <si>
    <t>M19</t>
  </si>
  <si>
    <t>USD per death (or case) averted = cumulative discounted incremental cost / cumulative averted; blank + 'no incremental health effect' when nothing averted</t>
  </si>
  <si>
    <t>REF</t>
  </si>
  <si>
    <t>TFA source RR</t>
  </si>
  <si>
    <t>~RR 1.21 per 2 percentage-points energy (converted to ~1.10 per 1 pp in the workbook)</t>
  </si>
  <si>
    <t>https://www.ahajournals.org/doi/10.1161/CIRCULATIONAHA.118.038160</t>
  </si>
  <si>
    <t>supporting cohort evidence</t>
  </si>
  <si>
    <t>https://www.ahajournals.org/doi/10.1161/JAHA.115.002891</t>
  </si>
  <si>
    <t>output_sheet</t>
  </si>
  <si>
    <t>formula_columns</t>
  </si>
  <si>
    <t>depends_on</t>
  </si>
  <si>
    <t>calculation</t>
  </si>
  <si>
    <t>Policy_Levers</t>
  </si>
  <si>
    <t>implementation_gap,implied_price_change,fiscal_tax_delta,policy_reduction</t>
  </si>
  <si>
    <t>lever_method + fiscal/regulatory inputs</t>
  </si>
  <si>
    <t>Regulatory gap, tax price change/delta, reproduced relative exposure reduction</t>
  </si>
  <si>
    <t>Selected_Interventions</t>
  </si>
  <si>
    <t>full_effect,reductions,key_count,status</t>
  </si>
  <si>
    <t>effect_model + exposures</t>
  </si>
  <si>
    <t>Full effect at target; exposure reductions; key uniqueness</t>
  </si>
  <si>
    <t>Exposure_Targets</t>
  </si>
  <si>
    <t>target,abs,rel</t>
  </si>
  <si>
    <t>baseline/method/reduction</t>
  </si>
  <si>
    <t>Exposure target and absolute/relative reductions</t>
  </si>
  <si>
    <t>Effect_Parameters</t>
  </si>
  <si>
    <t>full_effect</t>
  </si>
  <si>
    <t>Full effect at target</t>
  </si>
  <si>
    <t>Cost_Components</t>
  </si>
  <si>
    <t>allocated_child_cost,cost_ready</t>
  </si>
  <si>
    <t>cost inputs + allocation shares</t>
  </si>
  <si>
    <t>Child cost = package total x share; cost-readiness rule</t>
  </si>
  <si>
    <t>Annual_Mortality</t>
  </si>
  <si>
    <t>deaths_averted,cases_averted</t>
  </si>
  <si>
    <t>R deaths/cases</t>
  </si>
  <si>
    <t>Deaths and cases averted</t>
  </si>
  <si>
    <t>Annual_Cost</t>
  </si>
  <si>
    <t>impl_frac,PIN,annual+disc cost,shared QA</t>
  </si>
  <si>
    <t>Cost_Components; Calculation_Assumptions; R population</t>
  </si>
  <si>
    <t>Implementation fraction, PIN, annual/discounted cost, shared-cost QA</t>
  </si>
  <si>
    <t>Budget_Impact</t>
  </si>
  <si>
    <t>incremental+cumulative cost</t>
  </si>
  <si>
    <t>Annual and cumulative cost by scenario</t>
  </si>
  <si>
    <t>Cost_Effectiveness</t>
  </si>
  <si>
    <t>health,cost,ICER,dominance,reconciliation</t>
  </si>
  <si>
    <t>Annual_Mortality; Budget_Impact; Calculation_Assumptions</t>
  </si>
  <si>
    <t>Cumulative health, cost, cost/death, dominance, reconciliation</t>
  </si>
  <si>
    <t>Child_Intervention_Summary</t>
  </si>
  <si>
    <t>modeled/baseline/averted,cost,ICER</t>
  </si>
  <si>
    <t>Annual_Mortality; Budget_Impact (standalone scenarios)</t>
  </si>
  <si>
    <t>Per child intervention: health, cost, cost per case/death averted, status</t>
  </si>
  <si>
    <t>Parent_Package_Summary</t>
  </si>
  <si>
    <t>Annual_Mortality; Budget_Impact (JOINT package/combined runs)</t>
  </si>
  <si>
    <t>Per parent package (joint run) + combined: health, cost, cost per case/death averted</t>
  </si>
  <si>
    <t>QA_Checks</t>
  </si>
  <si>
    <t>actual,status</t>
  </si>
  <si>
    <t>calculation + diagnostic sheets</t>
  </si>
  <si>
    <t>Invariant recomputation and Excel-vs-R reconciliation</t>
  </si>
  <si>
    <t>Run_Metadata</t>
  </si>
  <si>
    <t>B (subset)</t>
  </si>
  <si>
    <t>Calculation_Assumptions</t>
  </si>
  <si>
    <t>Metadata pulled from controls</t>
  </si>
  <si>
    <t>parent_scenario_id</t>
  </si>
  <si>
    <t>parent_scenario_name</t>
  </si>
  <si>
    <t>package_group</t>
  </si>
  <si>
    <t>include_in_parent_scenario</t>
  </si>
  <si>
    <t>standalone_scenario_id</t>
  </si>
  <si>
    <t>parent_aggregation_rule</t>
  </si>
  <si>
    <t>outcome_reporting_rule</t>
  </si>
  <si>
    <t>cost_reporting_rule</t>
  </si>
  <si>
    <t>component_order</t>
  </si>
  <si>
    <t>source_note</t>
  </si>
  <si>
    <t>is_runnable</t>
  </si>
  <si>
    <t>is_parent_package</t>
  </si>
  <si>
    <t>Tobacco</t>
  </si>
  <si>
    <t>single intervention</t>
  </si>
  <si>
    <t>report intervention</t>
  </si>
  <si>
    <t>report intervention cost</t>
  </si>
  <si>
    <t>Fiscal</t>
  </si>
  <si>
    <t>Alcohol</t>
  </si>
  <si>
    <t>run children jointly</t>
  </si>
  <si>
    <t>report child and parent</t>
  </si>
  <si>
    <t>sum child costs; rerun health jointly</t>
  </si>
  <si>
    <t>MPOWER</t>
  </si>
  <si>
    <t>Alcohol advertising policy</t>
  </si>
  <si>
    <t>Alcohol policy</t>
  </si>
  <si>
    <t>Diet</t>
  </si>
  <si>
    <t>SHAKE</t>
  </si>
  <si>
    <t>Industrial TFA regulation</t>
  </si>
  <si>
    <t>REPLACE</t>
  </si>
  <si>
    <t>SSB tax</t>
  </si>
  <si>
    <t>response_key</t>
  </si>
  <si>
    <t>selection_status</t>
  </si>
  <si>
    <t>response_name</t>
  </si>
  <si>
    <t>age_start</t>
  </si>
  <si>
    <t>age_stop</t>
  </si>
  <si>
    <t>sex</t>
  </si>
  <si>
    <t>cause_scope</t>
  </si>
  <si>
    <t>source_effect_value</t>
  </si>
  <si>
    <t>source_effect_unit</t>
  </si>
  <si>
    <t>model_response_value</t>
  </si>
  <si>
    <t>model_response_unit</t>
  </si>
  <si>
    <t>derivation</t>
  </si>
  <si>
    <t>selected_for_base_case</t>
  </si>
  <si>
    <t>RR_SMOKING_IHD</t>
  </si>
  <si>
    <t>Selected</t>
  </si>
  <si>
    <t>Current smoking RR - IHD</t>
  </si>
  <si>
    <t>Both</t>
  </si>
  <si>
    <t>IHD</t>
  </si>
  <si>
    <t>RR current vs non-smoker</t>
  </si>
  <si>
    <t>model RR = source RR</t>
  </si>
  <si>
    <t>https://doi.org/10.1093/ije/dyi104</t>
  </si>
  <si>
    <t>Applied to incidence</t>
  </si>
  <si>
    <t>RR_SMOKING_IS</t>
  </si>
  <si>
    <t>Current smoking RR - ischemic stroke</t>
  </si>
  <si>
    <t>Ischemic stroke</t>
  </si>
  <si>
    <t>Direct estimate</t>
  </si>
  <si>
    <t>RR_SMOKING_ICH</t>
  </si>
  <si>
    <t>Current smoking RR - ICH</t>
  </si>
  <si>
    <t>ICH</t>
  </si>
  <si>
    <t>Hemorrhagic-stroke estimate</t>
  </si>
  <si>
    <t>RR_SMOKING_T2DM</t>
  </si>
  <si>
    <t>Current smoking RR - T2DM</t>
  </si>
  <si>
    <t>T2DM</t>
  </si>
  <si>
    <t>https://doi.org/10.1016/S2213-8587(15)00316-2</t>
  </si>
  <si>
    <t>Timing sensitivity</t>
  </si>
  <si>
    <t>RR_ALCOHOL_IHD_1L</t>
  </si>
  <si>
    <t>Alcohol dose response - IHD</t>
  </si>
  <si>
    <t>HR per 100 g/week</t>
  </si>
  <si>
    <t>converted using 789 g/L and 52 weeks/year</t>
  </si>
  <si>
    <t>https://doi.org/10.1016/S0140-6736(18)30134-X</t>
  </si>
  <si>
    <t>Conservative proxy</t>
  </si>
  <si>
    <t>RR_ALCOHOL_IS_1L</t>
  </si>
  <si>
    <t>Alcohol dose response - ischemic stroke</t>
  </si>
  <si>
    <t>All-stroke proxy</t>
  </si>
  <si>
    <t>RR_ALCOHOL_ICH_1L</t>
  </si>
  <si>
    <t>Alcohol dose response - ICH</t>
  </si>
  <si>
    <t>RR_ALCOHOL_HHD_1L</t>
  </si>
  <si>
    <t>Alcohol dose response - HHD</t>
  </si>
  <si>
    <t>HHD</t>
  </si>
  <si>
    <t>Fatal hypertensive disease</t>
  </si>
  <si>
    <t>RR_ALCOHOL_CMYO_1L</t>
  </si>
  <si>
    <t>Alcohol dose response - cardiomyopathy</t>
  </si>
  <si>
    <t>Cardiomyopathy</t>
  </si>
  <si>
    <t>Heart-failure proxy</t>
  </si>
  <si>
    <t>LAG_TOB_CVD</t>
  </si>
  <si>
    <t>Tobacco-CVD effect realization</t>
  </si>
  <si>
    <t>C_IHD|C_IS|C_ICH</t>
  </si>
  <si>
    <t>CVD</t>
  </si>
  <si>
    <t>fraction by year 10</t>
  </si>
  <si>
    <t>annual remaining effect</t>
  </si>
  <si>
    <t>1-(1-0.47)^(1/10)</t>
  </si>
  <si>
    <t>Watkins 2022; https://doi.org/10.1001/jama.2019.10298</t>
  </si>
  <si>
    <t>Countdown lag</t>
  </si>
  <si>
    <t>LAG_TOB_T2DM_PROXY</t>
  </si>
  <si>
    <t>Tobacco-T2DM effect realization</t>
  </si>
  <si>
    <t>proxy fraction by year 10</t>
  </si>
  <si>
    <t>uses CVD lag</t>
  </si>
  <si>
    <t>Pan 2015; Watkins 2022</t>
  </si>
  <si>
    <t>Proxy</t>
  </si>
  <si>
    <t>RR_SODIUM_1G</t>
  </si>
  <si>
    <t>Direct sodium-CVD response</t>
  </si>
  <si>
    <t>C_IHD|C_IS|C_ICH|C_HHD</t>
  </si>
  <si>
    <t>Watkins 2022 p 33</t>
  </si>
  <si>
    <t>Countdown pathway</t>
  </si>
  <si>
    <t>RR_TFA_IHD_1PCT</t>
  </si>
  <si>
    <t>Industrial TFA RR - total IHD</t>
  </si>
  <si>
    <t>RR per 2 percentage-points energy/day</t>
  </si>
  <si>
    <t>sqrt(source RR) under log-linearity</t>
  </si>
  <si>
    <t>https://www.ahajournals.org/doi/10.1161/CIRCULATIONAHA.118.038160; https://www.ahajournals.org/doi/10.1161/JAHA.115.002891</t>
  </si>
  <si>
    <t>sqrt(1.21)=1.10 approximately</t>
  </si>
  <si>
    <t>PAF_TFA_IHD_OPTIONAL</t>
  </si>
  <si>
    <t>Optional</t>
  </si>
  <si>
    <t>Optional TFA-attributable IHD fraction</t>
  </si>
  <si>
    <t>links to Assumptions</t>
  </si>
  <si>
    <t>Optional user input</t>
  </si>
  <si>
    <t>Used only in PAF mode</t>
  </si>
  <si>
    <t>TFA_SCORE_0</t>
  </si>
  <si>
    <t>Reference</t>
  </si>
  <si>
    <t>Legacy WHO score 0</t>
  </si>
  <si>
    <t>TFA-attributable IHD</t>
  </si>
  <si>
    <t>proportion reduced</t>
  </si>
  <si>
    <t>legacy only</t>
  </si>
  <si>
    <t>Watkins 2022 pp 33-34</t>
  </si>
  <si>
    <t>Not used by default</t>
  </si>
  <si>
    <t>TFA_SCORE_1</t>
  </si>
  <si>
    <t>Legacy WHO score 1</t>
  </si>
  <si>
    <t>TFA_SCORE_2</t>
  </si>
  <si>
    <t>Legacy WHO score 2</t>
  </si>
  <si>
    <t>TFA_SCORE_3</t>
  </si>
  <si>
    <t>Legacy WHO score 3</t>
  </si>
  <si>
    <t>TFA_SCORE_4</t>
  </si>
  <si>
    <t>Legacy WHO score 4</t>
  </si>
  <si>
    <t>RR_SSB_IHD_1SERV</t>
  </si>
  <si>
    <t>SSB direct RR - IHD</t>
  </si>
  <si>
    <t>RR per serving/day</t>
  </si>
  <si>
    <t>direct RR</t>
  </si>
  <si>
    <t>https://doi.org/10.1038/s41591-024-03345-4</t>
  </si>
  <si>
    <t>Primary</t>
  </si>
  <si>
    <t>RR_SSB_IS_1SERV</t>
  </si>
  <si>
    <t>SSB direct RR - ischemic stroke</t>
  </si>
  <si>
    <t>RR_SSB_ICH_1SERV_PROXY</t>
  </si>
  <si>
    <t>SSB RR - ICH proxy</t>
  </si>
  <si>
    <t>HR per 250 mL/day</t>
  </si>
  <si>
    <t>total-stroke proxy</t>
  </si>
  <si>
    <t>https://doi.org/10.1016/j.advnut.2022.12.002</t>
  </si>
  <si>
    <t>RR_SSB_HHD_1SERV_PROXY</t>
  </si>
  <si>
    <t>SSB RR - HHD proxy</t>
  </si>
  <si>
    <t>RR per 250 mL/day</t>
  </si>
  <si>
    <t>hypertension proxy</t>
  </si>
  <si>
    <t>https://doi.org/10.1007/s10654-020-00655-y</t>
  </si>
  <si>
    <t>RR_SSB_T2DM_1SERV</t>
  </si>
  <si>
    <t>SSB direct RR - T2DM</t>
  </si>
  <si>
    <t>PAF_SSB_IDN_T2DM_INC_2020</t>
  </si>
  <si>
    <t>Indonesia T2DM incidence PAF</t>
  </si>
  <si>
    <t>T2DM incidence</t>
  </si>
  <si>
    <t>fraction</t>
  </si>
  <si>
    <t>CRA</t>
  </si>
  <si>
    <t>Validation</t>
  </si>
  <si>
    <t>PAF_SSB_IDN_CVD_INC_2020</t>
  </si>
  <si>
    <t>Indonesia CVD incidence PAF</t>
  </si>
  <si>
    <t>C_IHD|C_IS</t>
  </si>
  <si>
    <t>CVD incidence</t>
  </si>
  <si>
    <t>PAF_SSB_IDN_T2DM_DEATH_2020</t>
  </si>
  <si>
    <t>Indonesia T2DM death PAF</t>
  </si>
  <si>
    <t>T2DM deaths</t>
  </si>
  <si>
    <t>PAF_SSB_IDN_CVD_DEATH_2020</t>
  </si>
  <si>
    <t>Indonesia CVD death PAF</t>
  </si>
  <si>
    <t>CVD deaths</t>
  </si>
  <si>
    <t>scenario_level</t>
  </si>
  <si>
    <t>parent_package_name</t>
  </si>
  <si>
    <t>intervention_ids</t>
  </si>
  <si>
    <t>modeled_cases</t>
  </si>
  <si>
    <t>baseline_cases</t>
  </si>
  <si>
    <t>modeled_deaths</t>
  </si>
  <si>
    <t>baseline_deaths</t>
  </si>
  <si>
    <t>cost_per_case_averted</t>
  </si>
  <si>
    <t>package</t>
  </si>
  <si>
    <t>I_PH_TOB_CLEAN_AIR; I_PH_TOB_MEDIA; I_PH_TOB_AD_BAN</t>
  </si>
  <si>
    <t>I_PH_SALT_REFORM; I_PH_SALT_FOPL; I_PH_SALT_MEDIA; I_PH_SALT_ENV</t>
  </si>
  <si>
    <t>combined</t>
  </si>
  <si>
    <t>I_PH_ALCOHOL_POLICY; I_PH_ALCOHOL_TAX; I_PH_SALT_ENV; I_PH_SALT_FOPL; I_PH_SALT_MEDIA; I_PH_SALT_REFORM; I_PH_SSB_TAX; I_PH_TFA_POLICY; I_PH_TOBACCO_TAX; I_PH_TOB_AD_BAN; I_PH_TOB_CLEAN_AIR; I_PH_TOB_MEDIA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</si>
</sst>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"/>
    <numFmt numFmtId="165" formatCode="0.0%"/>
    <numFmt numFmtId="166" formatCode="0.000"/>
    <numFmt numFmtId="167" formatCode="#,##0.0"/>
    <numFmt numFmtId="168" formatCode="0.0000"/>
    <numFmt numFmtId="169" formatCode="#,##0.0000"/>
  </numFmts>
  <fonts count="3">
    <font>
      <sz val="11"/>
      <color rgb="FF000000"/>
      <name val="Carlito"/>
    </font>
    <font>
      <b/>
      <sz val="11"/>
      <color rgb="FFFFFFFF"/>
      <name val="Carlito"/>
    </font>
    <font>
      <b/>
      <sz val="13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8EA9C1"/>
      </left>
      <right style="thin">
        <color rgb="FF8EA9C1"/>
      </right>
      <top style="thin">
        <color rgb="FF8EA9C1"/>
      </top>
      <bottom style="thin">
        <color rgb="FF8EA9C1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0" fontId="0" fillId="4" borderId="0" xfId="0" applyFill="1"/>
    <xf numFmtId="1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3" fontId="0" fillId="3" borderId="0" xfId="0" applyNumberFormat="1" applyFill="1"/>
    <xf numFmtId="3" fontId="0" fillId="4" borderId="0" xfId="0" applyNumberFormat="1" applyFill="1"/>
    <xf numFmtId="167" fontId="0" fillId="4" borderId="0" xfId="0" applyNumberFormat="1" applyFill="1"/>
    <xf numFmtId="1" fontId="0" fillId="4" borderId="0" xfId="0" applyNumberFormat="1" applyFill="1"/>
    <xf numFmtId="4" fontId="0" fillId="4" borderId="0" xfId="0" applyNumberFormat="1" applyFill="1"/>
    <xf numFmtId="0" fontId="0" fillId="0" borderId="0" xfId="0" applyAlignment="1">
      <alignment vertical="top" wrapText="1"/>
    </xf>
    <xf numFmtId="0" fontId="2" fillId="2" borderId="0" xfId="0" applyFont="1" applyFill="1" applyAlignment="1">
      <alignment vertical="center"/>
    </xf>
    <xf numFmtId="0" fontId="0" fillId="5" borderId="0" xfId="0" applyFill="1"/>
    <xf numFmtId="165" fontId="0" fillId="5" borderId="0" xfId="0" applyNumberFormat="1" applyFill="1"/>
    <xf numFmtId="168" fontId="0" fillId="0" borderId="0" xfId="0" applyNumberFormat="1"/>
    <xf numFmtId="1" fontId="0" fillId="0" borderId="0" xfId="0" applyNumberFormat="1"/>
    <xf numFmtId="168" fontId="0" fillId="5" borderId="0" xfId="0" applyNumberFormat="1" applyFill="1"/>
    <xf numFmtId="3" fontId="0" fillId="0" borderId="0" xfId="0" applyNumberFormat="1"/>
    <xf numFmtId="3" fontId="0" fillId="5" borderId="0" xfId="0" applyNumberFormat="1" applyFill="1"/>
    <xf numFmtId="168" fontId="0" fillId="4" borderId="0" xfId="0" applyNumberFormat="1" applyFill="1"/>
    <xf numFmtId="165" fontId="0" fillId="0" borderId="0" xfId="0" applyNumberFormat="1"/>
    <xf numFmtId="2" fontId="0" fillId="0" borderId="0" xfId="0" applyNumberFormat="1"/>
    <xf numFmtId="169" fontId="0" fillId="0" borderId="0" xfId="0" applyNumberFormat="1"/>
    <xf numFmtId="166" fontId="0" fillId="0" borderId="0" xfId="0" applyNumberFormat="1"/>
    <xf numFmtId="169" fontId="0" fillId="5" borderId="0" xfId="0" applyNumberFormat="1" applyFill="1"/>
    <xf numFmtId="3" fontId="0" fillId="0" borderId="0" xfId="0" applyNumberFormat="1" applyAlignment="1">
      <alignment vertical="top" wrapText="1"/>
    </xf>
    <xf numFmtId="165" fontId="0" fillId="4" borderId="0" xfId="0" applyNumberFormat="1" applyFill="1"/>
    <xf numFmtId="2" fontId="0" fillId="4" borderId="0" xfId="0" applyNumberFormat="1" applyFill="1"/>
    <xf numFmtId="169" fontId="0" fillId="4" borderId="0" xfId="0" applyNumberFormat="1" applyFill="1"/>
    <xf numFmtId="166" fontId="0" fillId="5" borderId="0" xfId="0" applyNumberFormat="1" applyFill="1"/>
    <xf numFmtId="0" fontId="0" fillId="5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3" fontId="0" fillId="4" borderId="0" xfId="0" applyNumberFormat="1" applyFill="1" applyAlignment="1">
      <alignment vertical="top" wrapText="1"/>
    </xf>
  </cellXfs>
  <cellStyles count="1">
    <cellStyle name="Normal" xfId="0" builtinId="0"/>
  </cellStyles>
  <dxfs count="13"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0006"/>
        <name val="Carlito"/>
      </font>
      <fill>
        <patternFill patternType="solid">
          <bgColor rgb="FFFFC7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006100"/>
        <name val="Carlito"/>
      </font>
      <fill>
        <patternFill patternType="solid">
          <bgColor rgb="FFC6EFCE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  <dxf>
      <font>
        <sz val="11"/>
        <color rgb="FF9C6500"/>
        <name val="Carlito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/>
  </sheetViews>
  <sheetFormatPr defaultColWidth="11.19921875" defaultRowHeight="13.8"/>
  <cols>
    <col min="1" max="1" width="22.69921875" customWidth="1"/>
    <col min="2" max="2" width="122.69921875" customWidth="1"/>
  </cols>
  <sheetData>
    <row r="1" spans="1:2" ht="22.05" customHeight="1">
      <c r="A1" s="14" t="s">
        <v>77</v>
      </c>
    </row>
    <row r="3" spans="1:2">
      <c r="A3" s="1" t="s">
        <v>78</v>
      </c>
      <c r="B3" s="1" t="s">
        <v>79</v>
      </c>
    </row>
    <row r="4" spans="1:2" ht="27.6">
      <c r="A4" t="s">
        <v>80</v>
      </c>
      <c r="B4" s="13" t="s">
        <v>81</v>
      </c>
    </row>
    <row r="5" spans="1:2" ht="27.6">
      <c r="A5" t="s">
        <v>82</v>
      </c>
      <c r="B5" s="13" t="s">
        <v>83</v>
      </c>
    </row>
    <row r="6" spans="1:2" ht="55.2">
      <c r="A6" t="s">
        <v>84</v>
      </c>
      <c r="B6" s="13" t="s">
        <v>85</v>
      </c>
    </row>
    <row r="7" spans="1:2">
      <c r="A7" t="s">
        <v>86</v>
      </c>
      <c r="B7" s="13" t="s">
        <v>87</v>
      </c>
    </row>
    <row r="8" spans="1:2" ht="55.2">
      <c r="A8" t="s">
        <v>88</v>
      </c>
      <c r="B8" s="13" t="s">
        <v>89</v>
      </c>
    </row>
    <row r="9" spans="1:2" ht="27.6">
      <c r="A9" t="s">
        <v>90</v>
      </c>
      <c r="B9" s="13" t="s">
        <v>91</v>
      </c>
    </row>
    <row r="10" spans="1:2" ht="27.6">
      <c r="A10" t="s">
        <v>92</v>
      </c>
      <c r="B10" s="13" t="s">
        <v>93</v>
      </c>
    </row>
    <row r="11" spans="1:2" ht="27.6">
      <c r="A11" t="s">
        <v>94</v>
      </c>
      <c r="B11" s="13" t="s">
        <v>95</v>
      </c>
    </row>
    <row r="12" spans="1:2" ht="27.6">
      <c r="A12" t="s">
        <v>96</v>
      </c>
      <c r="B12" s="13" t="s">
        <v>97</v>
      </c>
    </row>
    <row r="13" spans="1:2" ht="27.6">
      <c r="A13" t="s">
        <v>98</v>
      </c>
      <c r="B13" s="13" t="s">
        <v>99</v>
      </c>
    </row>
    <row r="14" spans="1:2" ht="27.6">
      <c r="A14" t="s">
        <v>100</v>
      </c>
      <c r="B14" s="13" t="s">
        <v>101</v>
      </c>
    </row>
    <row r="15" spans="1:2" ht="27.6">
      <c r="A15" t="s">
        <v>102</v>
      </c>
      <c r="B15" s="13" t="s">
        <v>103</v>
      </c>
    </row>
    <row r="16" spans="1:2" ht="27.6">
      <c r="A16" t="s">
        <v>104</v>
      </c>
      <c r="B16" s="13" t="s">
        <v>105</v>
      </c>
    </row>
    <row r="17" spans="1:2">
      <c r="A17" t="s">
        <v>106</v>
      </c>
      <c r="B17" s="13" t="s">
        <v>107</v>
      </c>
    </row>
    <row r="18" spans="1:2">
      <c r="A18" t="s">
        <v>108</v>
      </c>
      <c r="B18" s="13" t="s">
        <v>109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1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30.69921875" customWidth="1"/>
    <col min="2" max="2" width="74.69921875" customWidth="1"/>
  </cols>
  <sheetData>
    <row r="1" spans="1:2" ht="28.05" customHeight="1">
      <c r="A1" s="1" t="s">
        <v>110</v>
      </c>
      <c r="B1" s="1" t="s">
        <v>1</v>
      </c>
    </row>
    <row r="2" spans="1:2">
      <c r="A2" t="s">
        <v>111</v>
      </c>
      <c r="B2" t="s">
        <v>112</v>
      </c>
    </row>
    <row r="3" spans="1:2">
      <c r="A3" t="s">
        <v>113</v>
      </c>
      <c r="B3" t="s">
        <v>114</v>
      </c>
    </row>
    <row r="4" spans="1:2">
      <c r="A4" t="s">
        <v>115</v>
      </c>
      <c r="B4" t="s">
        <v>116</v>
      </c>
    </row>
    <row r="5" spans="1:2">
      <c r="A5" t="s">
        <v>117</v>
      </c>
      <c r="B5" t="s">
        <v>118</v>
      </c>
    </row>
    <row r="6" spans="1:2">
      <c r="A6" t="s">
        <v>119</v>
      </c>
      <c r="B6" t="s">
        <v>120</v>
      </c>
    </row>
    <row r="7" spans="1:2">
      <c r="A7" t="s">
        <v>121</v>
      </c>
      <c r="B7" t="s">
        <v>122</v>
      </c>
    </row>
    <row r="8" spans="1:2">
      <c r="A8" t="s">
        <v>123</v>
      </c>
      <c r="B8" s="15" t="str">
        <f>Calculation_Assumptions!$B$2&amp;"-"&amp;Calculation_Assumptions!$B$3</f>
        <v>2025-2050</v>
      </c>
    </row>
    <row r="9" spans="1:2">
      <c r="A9" t="s">
        <v>124</v>
      </c>
      <c r="B9" s="15" t="str">
        <f>Calculation_Assumptions!$B$4</f>
        <v>baseline</v>
      </c>
    </row>
    <row r="10" spans="1:2">
      <c r="A10" t="s">
        <v>125</v>
      </c>
      <c r="B10" t="s">
        <v>126</v>
      </c>
    </row>
    <row r="11" spans="1:2">
      <c r="A11" t="s">
        <v>127</v>
      </c>
      <c r="B11" s="16">
        <f>Calculation_Assumptions!$B$8</f>
        <v>0.03</v>
      </c>
    </row>
    <row r="12" spans="1:2">
      <c r="A12" t="s">
        <v>42</v>
      </c>
      <c r="B12" t="s">
        <v>128</v>
      </c>
    </row>
    <row r="13" spans="1:2">
      <c r="A13" t="s">
        <v>129</v>
      </c>
      <c r="B13" t="s">
        <v>68</v>
      </c>
    </row>
    <row r="14" spans="1:2">
      <c r="A14" t="s">
        <v>130</v>
      </c>
      <c r="B14" t="s">
        <v>74</v>
      </c>
    </row>
    <row r="15" spans="1:2">
      <c r="A15" t="s">
        <v>131</v>
      </c>
      <c r="B15" t="s">
        <v>132</v>
      </c>
    </row>
    <row r="16" spans="1:2">
      <c r="A16" t="s">
        <v>133</v>
      </c>
      <c r="B16" t="s">
        <v>134</v>
      </c>
    </row>
    <row r="17" spans="1:2">
      <c r="A17" t="s">
        <v>135</v>
      </c>
      <c r="B17" t="s">
        <v>136</v>
      </c>
    </row>
    <row r="18" spans="1:2">
      <c r="A18" t="s">
        <v>137</v>
      </c>
      <c r="B18" t="s">
        <v>138</v>
      </c>
    </row>
    <row r="19" spans="1:2">
      <c r="A19" t="s">
        <v>139</v>
      </c>
      <c r="B19" t="s">
        <v>140</v>
      </c>
    </row>
    <row r="20" spans="1:2">
      <c r="A20" t="s">
        <v>141</v>
      </c>
      <c r="B20" t="s">
        <v>142</v>
      </c>
    </row>
    <row r="21" spans="1:2">
      <c r="A21" t="s">
        <v>143</v>
      </c>
      <c r="B21" t="s">
        <v>144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3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20.69921875" customWidth="1"/>
    <col min="2" max="2" width="22.69921875" customWidth="1"/>
    <col min="3" max="3" width="17.69921875" customWidth="1"/>
    <col min="4" max="4" width="19.69921875" customWidth="1"/>
    <col min="5" max="6" width="15.69921875" customWidth="1"/>
    <col min="7" max="7" width="28.69921875" customWidth="1"/>
    <col min="8" max="8" width="24.69921875" customWidth="1"/>
    <col min="9" max="9" width="25.69921875" customWidth="1"/>
    <col min="10" max="10" width="24.69921875" customWidth="1"/>
    <col min="11" max="11" width="21.69921875" customWidth="1"/>
    <col min="12" max="12" width="17.69921875" customWidth="1"/>
    <col min="13" max="14" width="13.69921875" customWidth="1"/>
    <col min="15" max="15" width="19.69921875" customWidth="1"/>
  </cols>
  <sheetData>
    <row r="1" spans="1:15" ht="28.05" customHeight="1">
      <c r="A1" s="1" t="s">
        <v>630</v>
      </c>
      <c r="B1" s="1" t="s">
        <v>631</v>
      </c>
      <c r="C1" s="1" t="s">
        <v>145</v>
      </c>
      <c r="D1" s="1" t="s">
        <v>147</v>
      </c>
      <c r="E1" s="1" t="s">
        <v>632</v>
      </c>
      <c r="F1" s="1" t="s">
        <v>365</v>
      </c>
      <c r="G1" s="1" t="s">
        <v>633</v>
      </c>
      <c r="H1" s="1" t="s">
        <v>634</v>
      </c>
      <c r="I1" s="1" t="s">
        <v>635</v>
      </c>
      <c r="J1" s="1" t="s">
        <v>636</v>
      </c>
      <c r="K1" s="1" t="s">
        <v>637</v>
      </c>
      <c r="L1" s="1" t="s">
        <v>638</v>
      </c>
      <c r="M1" s="1" t="s">
        <v>639</v>
      </c>
      <c r="N1" s="1" t="s">
        <v>640</v>
      </c>
      <c r="O1" s="1" t="s">
        <v>641</v>
      </c>
    </row>
    <row r="2" spans="1:15">
      <c r="A2" s="3" t="s">
        <v>247</v>
      </c>
      <c r="B2" s="3" t="s">
        <v>249</v>
      </c>
      <c r="C2" s="3" t="s">
        <v>247</v>
      </c>
      <c r="D2" s="3" t="s">
        <v>249</v>
      </c>
      <c r="E2" s="3" t="s">
        <v>642</v>
      </c>
      <c r="F2" s="3" t="s">
        <v>179</v>
      </c>
      <c r="G2" s="3">
        <v>1</v>
      </c>
      <c r="H2" s="3" t="s">
        <v>247</v>
      </c>
      <c r="I2" s="34" t="s">
        <v>643</v>
      </c>
      <c r="J2" s="34" t="s">
        <v>644</v>
      </c>
      <c r="K2" s="35" t="s">
        <v>645</v>
      </c>
      <c r="L2" s="3">
        <v>1</v>
      </c>
      <c r="M2" s="34" t="s">
        <v>646</v>
      </c>
      <c r="N2" s="3" t="b">
        <v>1</v>
      </c>
      <c r="O2" s="3" t="b">
        <v>0</v>
      </c>
    </row>
    <row r="3" spans="1:15">
      <c r="A3" s="3" t="s">
        <v>192</v>
      </c>
      <c r="B3" s="3" t="s">
        <v>194</v>
      </c>
      <c r="C3" s="3" t="s">
        <v>192</v>
      </c>
      <c r="D3" s="3" t="s">
        <v>194</v>
      </c>
      <c r="E3" s="3" t="s">
        <v>647</v>
      </c>
      <c r="F3" s="3" t="s">
        <v>179</v>
      </c>
      <c r="G3" s="3">
        <v>1</v>
      </c>
      <c r="H3" s="3" t="s">
        <v>192</v>
      </c>
      <c r="I3" s="34" t="s">
        <v>643</v>
      </c>
      <c r="J3" s="34" t="s">
        <v>644</v>
      </c>
      <c r="K3" s="35" t="s">
        <v>645</v>
      </c>
      <c r="L3" s="3">
        <v>1</v>
      </c>
      <c r="M3" s="34" t="s">
        <v>646</v>
      </c>
      <c r="N3" s="3" t="b">
        <v>1</v>
      </c>
      <c r="O3" s="3" t="b">
        <v>0</v>
      </c>
    </row>
    <row r="4" spans="1:15" ht="27.6">
      <c r="A4" s="3" t="s">
        <v>261</v>
      </c>
      <c r="B4" s="3" t="s">
        <v>424</v>
      </c>
      <c r="C4" s="3" t="s">
        <v>265</v>
      </c>
      <c r="D4" s="3" t="s">
        <v>267</v>
      </c>
      <c r="E4" s="3" t="s">
        <v>642</v>
      </c>
      <c r="F4" s="3" t="s">
        <v>206</v>
      </c>
      <c r="G4" s="3">
        <v>1</v>
      </c>
      <c r="H4" s="3" t="s">
        <v>265</v>
      </c>
      <c r="I4" s="34" t="s">
        <v>648</v>
      </c>
      <c r="J4" s="34" t="s">
        <v>649</v>
      </c>
      <c r="K4" s="35" t="s">
        <v>650</v>
      </c>
      <c r="L4" s="3">
        <v>1</v>
      </c>
      <c r="M4" s="34" t="s">
        <v>651</v>
      </c>
      <c r="N4" s="3" t="b">
        <v>1</v>
      </c>
      <c r="O4" s="3" t="b">
        <v>0</v>
      </c>
    </row>
    <row r="5" spans="1:15" ht="27.6">
      <c r="A5" s="3" t="s">
        <v>261</v>
      </c>
      <c r="B5" s="3" t="s">
        <v>424</v>
      </c>
      <c r="C5" s="3" t="s">
        <v>272</v>
      </c>
      <c r="D5" s="3" t="s">
        <v>274</v>
      </c>
      <c r="E5" s="3" t="s">
        <v>642</v>
      </c>
      <c r="F5" s="3" t="s">
        <v>206</v>
      </c>
      <c r="G5" s="3">
        <v>1</v>
      </c>
      <c r="H5" s="3" t="s">
        <v>272</v>
      </c>
      <c r="I5" s="34" t="s">
        <v>648</v>
      </c>
      <c r="J5" s="34" t="s">
        <v>649</v>
      </c>
      <c r="K5" s="35" t="s">
        <v>650</v>
      </c>
      <c r="L5" s="3">
        <v>2</v>
      </c>
      <c r="M5" s="34" t="s">
        <v>651</v>
      </c>
      <c r="N5" s="3" t="b">
        <v>1</v>
      </c>
      <c r="O5" s="3" t="b">
        <v>0</v>
      </c>
    </row>
    <row r="6" spans="1:15" ht="27.6">
      <c r="A6" s="3" t="s">
        <v>261</v>
      </c>
      <c r="B6" s="3" t="s">
        <v>424</v>
      </c>
      <c r="C6" s="3" t="s">
        <v>257</v>
      </c>
      <c r="D6" s="3" t="s">
        <v>259</v>
      </c>
      <c r="E6" s="3" t="s">
        <v>642</v>
      </c>
      <c r="F6" s="3" t="s">
        <v>206</v>
      </c>
      <c r="G6" s="3">
        <v>1</v>
      </c>
      <c r="H6" s="3" t="s">
        <v>257</v>
      </c>
      <c r="I6" s="34" t="s">
        <v>648</v>
      </c>
      <c r="J6" s="34" t="s">
        <v>649</v>
      </c>
      <c r="K6" s="35" t="s">
        <v>650</v>
      </c>
      <c r="L6" s="3">
        <v>3</v>
      </c>
      <c r="M6" s="34" t="s">
        <v>651</v>
      </c>
      <c r="N6" s="3" t="b">
        <v>1</v>
      </c>
      <c r="O6" s="3" t="b">
        <v>0</v>
      </c>
    </row>
    <row r="7" spans="1:15">
      <c r="A7" s="3" t="s">
        <v>169</v>
      </c>
      <c r="B7" s="3" t="s">
        <v>652</v>
      </c>
      <c r="C7" s="3" t="s">
        <v>169</v>
      </c>
      <c r="D7" s="3" t="s">
        <v>171</v>
      </c>
      <c r="E7" s="3" t="s">
        <v>647</v>
      </c>
      <c r="F7" s="3" t="s">
        <v>179</v>
      </c>
      <c r="G7" s="3">
        <v>1</v>
      </c>
      <c r="H7" s="3" t="s">
        <v>169</v>
      </c>
      <c r="I7" s="34" t="s">
        <v>643</v>
      </c>
      <c r="J7" s="34" t="s">
        <v>644</v>
      </c>
      <c r="K7" s="35" t="s">
        <v>645</v>
      </c>
      <c r="L7" s="3">
        <v>1</v>
      </c>
      <c r="M7" s="34" t="s">
        <v>653</v>
      </c>
      <c r="N7" s="3" t="b">
        <v>1</v>
      </c>
      <c r="O7" s="3" t="b">
        <v>0</v>
      </c>
    </row>
    <row r="8" spans="1:15" ht="27.6">
      <c r="A8" s="3" t="s">
        <v>205</v>
      </c>
      <c r="B8" s="3" t="s">
        <v>423</v>
      </c>
      <c r="C8" s="3" t="s">
        <v>224</v>
      </c>
      <c r="D8" s="3" t="s">
        <v>226</v>
      </c>
      <c r="E8" s="3" t="s">
        <v>654</v>
      </c>
      <c r="F8" s="3" t="s">
        <v>206</v>
      </c>
      <c r="G8" s="3">
        <v>1</v>
      </c>
      <c r="H8" s="3" t="s">
        <v>224</v>
      </c>
      <c r="I8" s="34" t="s">
        <v>648</v>
      </c>
      <c r="J8" s="34" t="s">
        <v>649</v>
      </c>
      <c r="K8" s="35" t="s">
        <v>650</v>
      </c>
      <c r="L8" s="3">
        <v>1</v>
      </c>
      <c r="M8" s="34" t="s">
        <v>655</v>
      </c>
      <c r="N8" s="3" t="b">
        <v>1</v>
      </c>
      <c r="O8" s="3" t="b">
        <v>0</v>
      </c>
    </row>
    <row r="9" spans="1:15" ht="27.6">
      <c r="A9" s="3" t="s">
        <v>205</v>
      </c>
      <c r="B9" s="3" t="s">
        <v>423</v>
      </c>
      <c r="C9" s="3" t="s">
        <v>210</v>
      </c>
      <c r="D9" s="3" t="s">
        <v>212</v>
      </c>
      <c r="E9" s="3" t="s">
        <v>654</v>
      </c>
      <c r="F9" s="3" t="s">
        <v>206</v>
      </c>
      <c r="G9" s="3">
        <v>1</v>
      </c>
      <c r="H9" s="3" t="s">
        <v>210</v>
      </c>
      <c r="I9" s="34" t="s">
        <v>648</v>
      </c>
      <c r="J9" s="34" t="s">
        <v>649</v>
      </c>
      <c r="K9" s="35" t="s">
        <v>650</v>
      </c>
      <c r="L9" s="3">
        <v>2</v>
      </c>
      <c r="M9" s="34" t="s">
        <v>655</v>
      </c>
      <c r="N9" s="3" t="b">
        <v>1</v>
      </c>
      <c r="O9" s="3" t="b">
        <v>0</v>
      </c>
    </row>
    <row r="10" spans="1:15" ht="27.6">
      <c r="A10" s="3" t="s">
        <v>205</v>
      </c>
      <c r="B10" s="3" t="s">
        <v>423</v>
      </c>
      <c r="C10" s="3" t="s">
        <v>217</v>
      </c>
      <c r="D10" s="3" t="s">
        <v>219</v>
      </c>
      <c r="E10" s="3" t="s">
        <v>654</v>
      </c>
      <c r="F10" s="3" t="s">
        <v>206</v>
      </c>
      <c r="G10" s="3">
        <v>1</v>
      </c>
      <c r="H10" s="3" t="s">
        <v>217</v>
      </c>
      <c r="I10" s="34" t="s">
        <v>648</v>
      </c>
      <c r="J10" s="34" t="s">
        <v>649</v>
      </c>
      <c r="K10" s="35" t="s">
        <v>650</v>
      </c>
      <c r="L10" s="3">
        <v>3</v>
      </c>
      <c r="M10" s="34" t="s">
        <v>655</v>
      </c>
      <c r="N10" s="3" t="b">
        <v>1</v>
      </c>
      <c r="O10" s="3" t="b">
        <v>0</v>
      </c>
    </row>
    <row r="11" spans="1:15" ht="27.6">
      <c r="A11" s="3" t="s">
        <v>205</v>
      </c>
      <c r="B11" s="3" t="s">
        <v>423</v>
      </c>
      <c r="C11" s="3" t="s">
        <v>200</v>
      </c>
      <c r="D11" s="3" t="s">
        <v>202</v>
      </c>
      <c r="E11" s="3" t="s">
        <v>654</v>
      </c>
      <c r="F11" s="3" t="s">
        <v>206</v>
      </c>
      <c r="G11" s="3">
        <v>1</v>
      </c>
      <c r="H11" s="3" t="s">
        <v>200</v>
      </c>
      <c r="I11" s="34" t="s">
        <v>648</v>
      </c>
      <c r="J11" s="34" t="s">
        <v>649</v>
      </c>
      <c r="K11" s="35" t="s">
        <v>650</v>
      </c>
      <c r="L11" s="3">
        <v>4</v>
      </c>
      <c r="M11" s="34" t="s">
        <v>655</v>
      </c>
      <c r="N11" s="3" t="b">
        <v>1</v>
      </c>
      <c r="O11" s="3" t="b">
        <v>0</v>
      </c>
    </row>
    <row r="12" spans="1:15">
      <c r="A12" s="3" t="s">
        <v>242</v>
      </c>
      <c r="B12" s="3" t="s">
        <v>656</v>
      </c>
      <c r="C12" s="3" t="s">
        <v>242</v>
      </c>
      <c r="D12" s="3" t="s">
        <v>244</v>
      </c>
      <c r="E12" s="3" t="s">
        <v>654</v>
      </c>
      <c r="F12" s="3" t="s">
        <v>179</v>
      </c>
      <c r="G12" s="3">
        <v>1</v>
      </c>
      <c r="H12" s="3" t="s">
        <v>242</v>
      </c>
      <c r="I12" s="34" t="s">
        <v>643</v>
      </c>
      <c r="J12" s="34" t="s">
        <v>644</v>
      </c>
      <c r="K12" s="35" t="s">
        <v>645</v>
      </c>
      <c r="L12" s="3">
        <v>1</v>
      </c>
      <c r="M12" s="34" t="s">
        <v>657</v>
      </c>
      <c r="N12" s="3" t="b">
        <v>1</v>
      </c>
      <c r="O12" s="3" t="b">
        <v>0</v>
      </c>
    </row>
    <row r="13" spans="1:15">
      <c r="A13" s="3" t="s">
        <v>231</v>
      </c>
      <c r="B13" s="3" t="s">
        <v>658</v>
      </c>
      <c r="C13" s="3" t="s">
        <v>231</v>
      </c>
      <c r="D13" s="3" t="s">
        <v>233</v>
      </c>
      <c r="E13" s="3" t="s">
        <v>654</v>
      </c>
      <c r="F13" s="3" t="s">
        <v>179</v>
      </c>
      <c r="G13" s="3">
        <v>1</v>
      </c>
      <c r="H13" s="3" t="s">
        <v>231</v>
      </c>
      <c r="I13" s="34" t="s">
        <v>643</v>
      </c>
      <c r="J13" s="34" t="s">
        <v>644</v>
      </c>
      <c r="K13" s="35" t="s">
        <v>645</v>
      </c>
      <c r="L13" s="3">
        <v>1</v>
      </c>
      <c r="M13" s="34" t="s">
        <v>646</v>
      </c>
      <c r="N13" s="3" t="b">
        <v>1</v>
      </c>
      <c r="O13" s="3" t="b">
        <v>0</v>
      </c>
    </row>
  </sheetData>
  <autoFilter ref="A1:O1" xr:uid="{00000000-0009-0000-0000-000002000000}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49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7.69921875" customWidth="1"/>
    <col min="2" max="2" width="24.69921875" customWidth="1"/>
    <col min="3" max="3" width="19.69921875" customWidth="1"/>
    <col min="4" max="5" width="11.69921875" customWidth="1"/>
    <col min="6" max="6" width="12.69921875" customWidth="1"/>
    <col min="7" max="7" width="14.69921875" customWidth="1"/>
    <col min="8" max="8" width="19.69921875" customWidth="1"/>
    <col min="9" max="9" width="17.69921875" customWidth="1"/>
    <col min="10" max="10" width="16.69921875" customWidth="1"/>
    <col min="11" max="12" width="11.69921875" customWidth="1"/>
    <col min="13" max="13" width="15.69921875" customWidth="1"/>
    <col min="14" max="14" width="21.69921875" customWidth="1"/>
    <col min="15" max="15" width="22.69921875" customWidth="1"/>
    <col min="16" max="16" width="23.69921875" customWidth="1"/>
    <col min="17" max="18" width="24.69921875" customWidth="1"/>
    <col min="19" max="20" width="15.69921875" customWidth="1"/>
    <col min="21" max="21" width="11.69921875" customWidth="1"/>
    <col min="22" max="22" width="16.69921875" customWidth="1"/>
    <col min="23" max="25" width="19.69921875" customWidth="1"/>
  </cols>
  <sheetData>
    <row r="1" spans="1:25" ht="28.05" customHeight="1">
      <c r="A1" s="1" t="s">
        <v>145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153</v>
      </c>
      <c r="J1" s="1" t="s">
        <v>154</v>
      </c>
      <c r="K1" s="1" t="s">
        <v>155</v>
      </c>
      <c r="L1" s="1" t="s">
        <v>156</v>
      </c>
      <c r="M1" s="1" t="s">
        <v>157</v>
      </c>
      <c r="N1" s="1" t="s">
        <v>158</v>
      </c>
      <c r="O1" s="1" t="s">
        <v>10</v>
      </c>
      <c r="P1" s="1" t="s">
        <v>159</v>
      </c>
      <c r="Q1" s="1" t="s">
        <v>160</v>
      </c>
      <c r="R1" s="1" t="s">
        <v>161</v>
      </c>
      <c r="S1" s="1" t="s">
        <v>162</v>
      </c>
      <c r="T1" s="1" t="s">
        <v>163</v>
      </c>
      <c r="U1" s="1" t="s">
        <v>164</v>
      </c>
      <c r="V1" s="1" t="s">
        <v>165</v>
      </c>
      <c r="W1" s="1" t="s">
        <v>166</v>
      </c>
      <c r="X1" s="1" t="s">
        <v>167</v>
      </c>
      <c r="Y1" s="1" t="s">
        <v>168</v>
      </c>
    </row>
    <row r="2" spans="1:25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s="17">
        <v>0.1</v>
      </c>
      <c r="I2" s="17">
        <v>8.6550000000000002E-2</v>
      </c>
      <c r="J2" s="17">
        <v>1.01316167035158</v>
      </c>
      <c r="K2" s="17"/>
      <c r="L2" t="s">
        <v>176</v>
      </c>
      <c r="M2" s="17">
        <v>1</v>
      </c>
      <c r="N2" s="18">
        <v>2026</v>
      </c>
      <c r="O2" s="18">
        <v>2030</v>
      </c>
      <c r="P2" s="19">
        <f t="shared" ref="P2:P33" si="0">1-1/(J2^(H2-I2))</f>
        <v>1.7585415534404625E-4</v>
      </c>
      <c r="Q2" s="19">
        <f t="shared" ref="Q2:Q49" si="1">H2-I2</f>
        <v>1.3450000000000004E-2</v>
      </c>
      <c r="R2" s="19">
        <f t="shared" ref="R2:R49" si="2">IF(H2=0,0,(H2-I2)/H2)</f>
        <v>0.13450000000000004</v>
      </c>
      <c r="S2" s="20" t="s">
        <v>177</v>
      </c>
      <c r="T2" t="s">
        <v>178</v>
      </c>
      <c r="U2" s="21">
        <f t="shared" ref="U2:U49" si="3">COUNTIF($B$2:$B$49,B2)</f>
        <v>1</v>
      </c>
      <c r="V2" s="15" t="str">
        <f t="shared" ref="V2:V49" si="4">IF(U2=1,"OK","DUPLICATE KEY")</f>
        <v>OK</v>
      </c>
      <c r="W2" t="s">
        <v>169</v>
      </c>
      <c r="X2" t="s">
        <v>179</v>
      </c>
      <c r="Y2" t="s">
        <v>142</v>
      </c>
    </row>
    <row r="3" spans="1:25">
      <c r="A3" t="s">
        <v>169</v>
      </c>
      <c r="B3" t="s">
        <v>180</v>
      </c>
      <c r="C3" t="s">
        <v>171</v>
      </c>
      <c r="D3" t="s">
        <v>172</v>
      </c>
      <c r="E3" t="s">
        <v>181</v>
      </c>
      <c r="F3" t="s">
        <v>182</v>
      </c>
      <c r="G3" t="s">
        <v>175</v>
      </c>
      <c r="H3" s="17">
        <v>0.1</v>
      </c>
      <c r="I3" s="17">
        <v>8.6550000000000002E-2</v>
      </c>
      <c r="J3" s="17">
        <v>1.0331775104357399</v>
      </c>
      <c r="K3" s="17"/>
      <c r="L3" t="s">
        <v>176</v>
      </c>
      <c r="M3" s="17">
        <v>1</v>
      </c>
      <c r="N3" s="18">
        <v>2026</v>
      </c>
      <c r="O3" s="18">
        <v>2030</v>
      </c>
      <c r="P3" s="19">
        <f t="shared" si="0"/>
        <v>4.3889840899125065E-4</v>
      </c>
      <c r="Q3" s="19">
        <f t="shared" si="1"/>
        <v>1.3450000000000004E-2</v>
      </c>
      <c r="R3" s="19">
        <f t="shared" si="2"/>
        <v>0.13450000000000004</v>
      </c>
      <c r="S3" s="20" t="s">
        <v>177</v>
      </c>
      <c r="T3" t="s">
        <v>178</v>
      </c>
      <c r="U3" s="21">
        <f t="shared" si="3"/>
        <v>1</v>
      </c>
      <c r="V3" s="15" t="str">
        <f t="shared" si="4"/>
        <v>OK</v>
      </c>
      <c r="W3" t="s">
        <v>169</v>
      </c>
      <c r="X3" t="s">
        <v>179</v>
      </c>
      <c r="Y3" t="s">
        <v>142</v>
      </c>
    </row>
    <row r="4" spans="1:25">
      <c r="A4" t="s">
        <v>169</v>
      </c>
      <c r="B4" t="s">
        <v>183</v>
      </c>
      <c r="C4" t="s">
        <v>171</v>
      </c>
      <c r="D4" t="s">
        <v>172</v>
      </c>
      <c r="E4" t="s">
        <v>184</v>
      </c>
      <c r="F4" t="s">
        <v>185</v>
      </c>
      <c r="G4" t="s">
        <v>175</v>
      </c>
      <c r="H4" s="17">
        <v>0.1</v>
      </c>
      <c r="I4" s="17">
        <v>8.6550000000000002E-2</v>
      </c>
      <c r="J4" s="17">
        <v>1.0200799627188799</v>
      </c>
      <c r="K4" s="17"/>
      <c r="L4" t="s">
        <v>176</v>
      </c>
      <c r="M4" s="17">
        <v>1</v>
      </c>
      <c r="N4" s="18">
        <v>2026</v>
      </c>
      <c r="O4" s="18">
        <v>2030</v>
      </c>
      <c r="P4" s="19">
        <f t="shared" si="0"/>
        <v>2.6736395805226909E-4</v>
      </c>
      <c r="Q4" s="19">
        <f t="shared" si="1"/>
        <v>1.3450000000000004E-2</v>
      </c>
      <c r="R4" s="19">
        <f t="shared" si="2"/>
        <v>0.13450000000000004</v>
      </c>
      <c r="S4" s="20" t="s">
        <v>177</v>
      </c>
      <c r="T4" t="s">
        <v>178</v>
      </c>
      <c r="U4" s="21">
        <f t="shared" si="3"/>
        <v>1</v>
      </c>
      <c r="V4" s="15" t="str">
        <f t="shared" si="4"/>
        <v>OK</v>
      </c>
      <c r="W4" t="s">
        <v>169</v>
      </c>
      <c r="X4" t="s">
        <v>179</v>
      </c>
      <c r="Y4" t="s">
        <v>142</v>
      </c>
    </row>
    <row r="5" spans="1:25">
      <c r="A5" t="s">
        <v>169</v>
      </c>
      <c r="B5" t="s">
        <v>186</v>
      </c>
      <c r="C5" t="s">
        <v>171</v>
      </c>
      <c r="D5" t="s">
        <v>172</v>
      </c>
      <c r="E5" t="s">
        <v>187</v>
      </c>
      <c r="F5" t="s">
        <v>188</v>
      </c>
      <c r="G5" t="s">
        <v>175</v>
      </c>
      <c r="H5" s="17">
        <v>0.1</v>
      </c>
      <c r="I5" s="17">
        <v>8.6550000000000002E-2</v>
      </c>
      <c r="J5" s="17">
        <v>1.0088803849749699</v>
      </c>
      <c r="K5" s="17"/>
      <c r="L5" t="s">
        <v>176</v>
      </c>
      <c r="M5" s="17">
        <v>1</v>
      </c>
      <c r="N5" s="18">
        <v>2026</v>
      </c>
      <c r="O5" s="18">
        <v>2030</v>
      </c>
      <c r="P5" s="19">
        <f t="shared" si="0"/>
        <v>1.1890688510374225E-4</v>
      </c>
      <c r="Q5" s="19">
        <f t="shared" si="1"/>
        <v>1.3450000000000004E-2</v>
      </c>
      <c r="R5" s="19">
        <f t="shared" si="2"/>
        <v>0.13450000000000004</v>
      </c>
      <c r="S5" s="20" t="s">
        <v>177</v>
      </c>
      <c r="T5" t="s">
        <v>178</v>
      </c>
      <c r="U5" s="21">
        <f t="shared" si="3"/>
        <v>1</v>
      </c>
      <c r="V5" s="15" t="str">
        <f t="shared" si="4"/>
        <v>OK</v>
      </c>
      <c r="W5" t="s">
        <v>169</v>
      </c>
      <c r="X5" t="s">
        <v>179</v>
      </c>
      <c r="Y5" t="s">
        <v>142</v>
      </c>
    </row>
    <row r="6" spans="1:25">
      <c r="A6" t="s">
        <v>169</v>
      </c>
      <c r="B6" t="s">
        <v>189</v>
      </c>
      <c r="C6" t="s">
        <v>171</v>
      </c>
      <c r="D6" t="s">
        <v>172</v>
      </c>
      <c r="E6" t="s">
        <v>190</v>
      </c>
      <c r="F6" t="s">
        <v>191</v>
      </c>
      <c r="G6" t="s">
        <v>175</v>
      </c>
      <c r="H6" s="17">
        <v>0.1</v>
      </c>
      <c r="I6" s="17">
        <v>8.6550000000000002E-2</v>
      </c>
      <c r="J6" s="17">
        <v>1.0200799627188799</v>
      </c>
      <c r="K6" s="17"/>
      <c r="L6" t="s">
        <v>176</v>
      </c>
      <c r="M6" s="17">
        <v>1</v>
      </c>
      <c r="N6" s="18">
        <v>2026</v>
      </c>
      <c r="O6" s="18">
        <v>2030</v>
      </c>
      <c r="P6" s="19">
        <f t="shared" si="0"/>
        <v>2.6736395805226909E-4</v>
      </c>
      <c r="Q6" s="19">
        <f t="shared" si="1"/>
        <v>1.3450000000000004E-2</v>
      </c>
      <c r="R6" s="19">
        <f t="shared" si="2"/>
        <v>0.13450000000000004</v>
      </c>
      <c r="S6" s="20" t="s">
        <v>177</v>
      </c>
      <c r="T6" t="s">
        <v>178</v>
      </c>
      <c r="U6" s="21">
        <f t="shared" si="3"/>
        <v>1</v>
      </c>
      <c r="V6" s="15" t="str">
        <f t="shared" si="4"/>
        <v>OK</v>
      </c>
      <c r="W6" t="s">
        <v>169</v>
      </c>
      <c r="X6" t="s">
        <v>179</v>
      </c>
      <c r="Y6" t="s">
        <v>142</v>
      </c>
    </row>
    <row r="7" spans="1:25">
      <c r="A7" t="s">
        <v>192</v>
      </c>
      <c r="B7" t="s">
        <v>193</v>
      </c>
      <c r="C7" t="s">
        <v>194</v>
      </c>
      <c r="D7" t="s">
        <v>172</v>
      </c>
      <c r="E7" t="s">
        <v>173</v>
      </c>
      <c r="F7" t="s">
        <v>174</v>
      </c>
      <c r="G7" t="s">
        <v>175</v>
      </c>
      <c r="H7" s="17">
        <v>0.1</v>
      </c>
      <c r="I7" s="17">
        <v>8.7749999999999995E-2</v>
      </c>
      <c r="J7" s="17">
        <v>1.01316167035158</v>
      </c>
      <c r="K7" s="17"/>
      <c r="L7" t="s">
        <v>176</v>
      </c>
      <c r="M7" s="17">
        <v>1</v>
      </c>
      <c r="N7" s="18">
        <v>2026</v>
      </c>
      <c r="O7" s="18">
        <v>2030</v>
      </c>
      <c r="P7" s="19">
        <f t="shared" si="0"/>
        <v>1.6016582181443972E-4</v>
      </c>
      <c r="Q7" s="19">
        <f t="shared" si="1"/>
        <v>1.2250000000000011E-2</v>
      </c>
      <c r="R7" s="19">
        <f t="shared" si="2"/>
        <v>0.12250000000000011</v>
      </c>
      <c r="S7" s="20" t="s">
        <v>195</v>
      </c>
      <c r="T7" t="s">
        <v>178</v>
      </c>
      <c r="U7" s="21">
        <f t="shared" si="3"/>
        <v>1</v>
      </c>
      <c r="V7" s="15" t="str">
        <f t="shared" si="4"/>
        <v>OK</v>
      </c>
      <c r="W7" t="s">
        <v>192</v>
      </c>
      <c r="X7" t="s">
        <v>179</v>
      </c>
      <c r="Y7" t="s">
        <v>142</v>
      </c>
    </row>
    <row r="8" spans="1:25">
      <c r="A8" t="s">
        <v>192</v>
      </c>
      <c r="B8" t="s">
        <v>196</v>
      </c>
      <c r="C8" t="s">
        <v>194</v>
      </c>
      <c r="D8" t="s">
        <v>172</v>
      </c>
      <c r="E8" t="s">
        <v>181</v>
      </c>
      <c r="F8" t="s">
        <v>182</v>
      </c>
      <c r="G8" t="s">
        <v>175</v>
      </c>
      <c r="H8" s="17">
        <v>0.1</v>
      </c>
      <c r="I8" s="17">
        <v>8.7749999999999995E-2</v>
      </c>
      <c r="J8" s="17">
        <v>1.0331775104357399</v>
      </c>
      <c r="K8" s="17"/>
      <c r="L8" t="s">
        <v>176</v>
      </c>
      <c r="M8" s="17">
        <v>1</v>
      </c>
      <c r="N8" s="18">
        <v>2026</v>
      </c>
      <c r="O8" s="18">
        <v>2030</v>
      </c>
      <c r="P8" s="19">
        <f t="shared" si="0"/>
        <v>3.9974801443276586E-4</v>
      </c>
      <c r="Q8" s="19">
        <f t="shared" si="1"/>
        <v>1.2250000000000011E-2</v>
      </c>
      <c r="R8" s="19">
        <f t="shared" si="2"/>
        <v>0.12250000000000011</v>
      </c>
      <c r="S8" s="20" t="s">
        <v>195</v>
      </c>
      <c r="T8" t="s">
        <v>178</v>
      </c>
      <c r="U8" s="21">
        <f t="shared" si="3"/>
        <v>1</v>
      </c>
      <c r="V8" s="15" t="str">
        <f t="shared" si="4"/>
        <v>OK</v>
      </c>
      <c r="W8" t="s">
        <v>192</v>
      </c>
      <c r="X8" t="s">
        <v>179</v>
      </c>
      <c r="Y8" t="s">
        <v>142</v>
      </c>
    </row>
    <row r="9" spans="1:25">
      <c r="A9" t="s">
        <v>192</v>
      </c>
      <c r="B9" t="s">
        <v>197</v>
      </c>
      <c r="C9" t="s">
        <v>194</v>
      </c>
      <c r="D9" t="s">
        <v>172</v>
      </c>
      <c r="E9" t="s">
        <v>184</v>
      </c>
      <c r="F9" t="s">
        <v>185</v>
      </c>
      <c r="G9" t="s">
        <v>175</v>
      </c>
      <c r="H9" s="17">
        <v>0.1</v>
      </c>
      <c r="I9" s="17">
        <v>8.7749999999999995E-2</v>
      </c>
      <c r="J9" s="17">
        <v>1.0200799627188799</v>
      </c>
      <c r="K9" s="17"/>
      <c r="L9" t="s">
        <v>176</v>
      </c>
      <c r="M9" s="17">
        <v>1</v>
      </c>
      <c r="N9" s="18">
        <v>2026</v>
      </c>
      <c r="O9" s="18">
        <v>2030</v>
      </c>
      <c r="P9" s="19">
        <f t="shared" si="0"/>
        <v>2.4351282924905959E-4</v>
      </c>
      <c r="Q9" s="19">
        <f t="shared" si="1"/>
        <v>1.2250000000000011E-2</v>
      </c>
      <c r="R9" s="19">
        <f t="shared" si="2"/>
        <v>0.12250000000000011</v>
      </c>
      <c r="S9" s="20" t="s">
        <v>195</v>
      </c>
      <c r="T9" t="s">
        <v>178</v>
      </c>
      <c r="U9" s="21">
        <f t="shared" si="3"/>
        <v>1</v>
      </c>
      <c r="V9" s="15" t="str">
        <f t="shared" si="4"/>
        <v>OK</v>
      </c>
      <c r="W9" t="s">
        <v>192</v>
      </c>
      <c r="X9" t="s">
        <v>179</v>
      </c>
      <c r="Y9" t="s">
        <v>142</v>
      </c>
    </row>
    <row r="10" spans="1:25">
      <c r="A10" t="s">
        <v>192</v>
      </c>
      <c r="B10" t="s">
        <v>198</v>
      </c>
      <c r="C10" t="s">
        <v>194</v>
      </c>
      <c r="D10" t="s">
        <v>172</v>
      </c>
      <c r="E10" t="s">
        <v>187</v>
      </c>
      <c r="F10" t="s">
        <v>188</v>
      </c>
      <c r="G10" t="s">
        <v>175</v>
      </c>
      <c r="H10" s="17">
        <v>0.1</v>
      </c>
      <c r="I10" s="17">
        <v>8.7749999999999995E-2</v>
      </c>
      <c r="J10" s="17">
        <v>1.0088803849749699</v>
      </c>
      <c r="K10" s="17"/>
      <c r="L10" t="s">
        <v>176</v>
      </c>
      <c r="M10" s="17">
        <v>1</v>
      </c>
      <c r="N10" s="18">
        <v>2026</v>
      </c>
      <c r="O10" s="18">
        <v>2030</v>
      </c>
      <c r="P10" s="19">
        <f t="shared" si="0"/>
        <v>1.0829866686168366E-4</v>
      </c>
      <c r="Q10" s="19">
        <f t="shared" si="1"/>
        <v>1.2250000000000011E-2</v>
      </c>
      <c r="R10" s="19">
        <f t="shared" si="2"/>
        <v>0.12250000000000011</v>
      </c>
      <c r="S10" s="20" t="s">
        <v>195</v>
      </c>
      <c r="T10" t="s">
        <v>178</v>
      </c>
      <c r="U10" s="21">
        <f t="shared" si="3"/>
        <v>1</v>
      </c>
      <c r="V10" s="15" t="str">
        <f t="shared" si="4"/>
        <v>OK</v>
      </c>
      <c r="W10" t="s">
        <v>192</v>
      </c>
      <c r="X10" t="s">
        <v>179</v>
      </c>
      <c r="Y10" t="s">
        <v>142</v>
      </c>
    </row>
    <row r="11" spans="1:25">
      <c r="A11" t="s">
        <v>192</v>
      </c>
      <c r="B11" t="s">
        <v>199</v>
      </c>
      <c r="C11" t="s">
        <v>194</v>
      </c>
      <c r="D11" t="s">
        <v>172</v>
      </c>
      <c r="E11" t="s">
        <v>190</v>
      </c>
      <c r="F11" t="s">
        <v>191</v>
      </c>
      <c r="G11" t="s">
        <v>175</v>
      </c>
      <c r="H11" s="17">
        <v>0.1</v>
      </c>
      <c r="I11" s="17">
        <v>8.7749999999999995E-2</v>
      </c>
      <c r="J11" s="17">
        <v>1.0200799627188799</v>
      </c>
      <c r="K11" s="17"/>
      <c r="L11" t="s">
        <v>176</v>
      </c>
      <c r="M11" s="17">
        <v>1</v>
      </c>
      <c r="N11" s="18">
        <v>2026</v>
      </c>
      <c r="O11" s="18">
        <v>2030</v>
      </c>
      <c r="P11" s="19">
        <f t="shared" si="0"/>
        <v>2.4351282924905959E-4</v>
      </c>
      <c r="Q11" s="19">
        <f t="shared" si="1"/>
        <v>1.2250000000000011E-2</v>
      </c>
      <c r="R11" s="19">
        <f t="shared" si="2"/>
        <v>0.12250000000000011</v>
      </c>
      <c r="S11" s="20" t="s">
        <v>195</v>
      </c>
      <c r="T11" t="s">
        <v>178</v>
      </c>
      <c r="U11" s="21">
        <f t="shared" si="3"/>
        <v>1</v>
      </c>
      <c r="V11" s="15" t="str">
        <f t="shared" si="4"/>
        <v>OK</v>
      </c>
      <c r="W11" t="s">
        <v>192</v>
      </c>
      <c r="X11" t="s">
        <v>179</v>
      </c>
      <c r="Y11" t="s">
        <v>142</v>
      </c>
    </row>
    <row r="12" spans="1:25">
      <c r="A12" t="s">
        <v>200</v>
      </c>
      <c r="B12" t="s">
        <v>201</v>
      </c>
      <c r="C12" t="s">
        <v>202</v>
      </c>
      <c r="D12" t="s">
        <v>203</v>
      </c>
      <c r="E12" t="s">
        <v>181</v>
      </c>
      <c r="F12" t="s">
        <v>182</v>
      </c>
      <c r="G12" t="s">
        <v>175</v>
      </c>
      <c r="H12" s="17">
        <v>4.4000000000000004</v>
      </c>
      <c r="I12" s="17">
        <v>4.2460000000000004</v>
      </c>
      <c r="J12" s="17">
        <v>1.06</v>
      </c>
      <c r="K12" s="17"/>
      <c r="L12" t="s">
        <v>176</v>
      </c>
      <c r="M12" s="17">
        <v>1</v>
      </c>
      <c r="N12" s="18">
        <v>2026</v>
      </c>
      <c r="O12" s="18">
        <v>2030</v>
      </c>
      <c r="P12" s="19">
        <f t="shared" si="0"/>
        <v>8.9332709476508398E-3</v>
      </c>
      <c r="Q12" s="19">
        <f t="shared" si="1"/>
        <v>0.15399999999999991</v>
      </c>
      <c r="R12" s="19">
        <f t="shared" si="2"/>
        <v>3.4999999999999976E-2</v>
      </c>
      <c r="S12" s="20" t="s">
        <v>204</v>
      </c>
      <c r="T12" t="s">
        <v>178</v>
      </c>
      <c r="U12" s="21">
        <f t="shared" si="3"/>
        <v>1</v>
      </c>
      <c r="V12" s="15" t="str">
        <f t="shared" si="4"/>
        <v>OK</v>
      </c>
      <c r="W12" t="s">
        <v>205</v>
      </c>
      <c r="X12" t="s">
        <v>206</v>
      </c>
      <c r="Y12" t="s">
        <v>142</v>
      </c>
    </row>
    <row r="13" spans="1:25">
      <c r="A13" t="s">
        <v>200</v>
      </c>
      <c r="B13" t="s">
        <v>207</v>
      </c>
      <c r="C13" t="s">
        <v>202</v>
      </c>
      <c r="D13" t="s">
        <v>203</v>
      </c>
      <c r="E13" t="s">
        <v>184</v>
      </c>
      <c r="F13" t="s">
        <v>185</v>
      </c>
      <c r="G13" t="s">
        <v>175</v>
      </c>
      <c r="H13" s="17">
        <v>4.4000000000000004</v>
      </c>
      <c r="I13" s="17">
        <v>4.2460000000000004</v>
      </c>
      <c r="J13" s="17">
        <v>1.06</v>
      </c>
      <c r="K13" s="17"/>
      <c r="L13" t="s">
        <v>176</v>
      </c>
      <c r="M13" s="17">
        <v>1</v>
      </c>
      <c r="N13" s="18">
        <v>2026</v>
      </c>
      <c r="O13" s="18">
        <v>2030</v>
      </c>
      <c r="P13" s="19">
        <f t="shared" si="0"/>
        <v>8.9332709476508398E-3</v>
      </c>
      <c r="Q13" s="19">
        <f t="shared" si="1"/>
        <v>0.15399999999999991</v>
      </c>
      <c r="R13" s="19">
        <f t="shared" si="2"/>
        <v>3.4999999999999976E-2</v>
      </c>
      <c r="S13" s="20" t="s">
        <v>204</v>
      </c>
      <c r="T13" t="s">
        <v>178</v>
      </c>
      <c r="U13" s="21">
        <f t="shared" si="3"/>
        <v>1</v>
      </c>
      <c r="V13" s="15" t="str">
        <f t="shared" si="4"/>
        <v>OK</v>
      </c>
      <c r="W13" t="s">
        <v>205</v>
      </c>
      <c r="X13" t="s">
        <v>206</v>
      </c>
      <c r="Y13" t="s">
        <v>142</v>
      </c>
    </row>
    <row r="14" spans="1:25">
      <c r="A14" t="s">
        <v>200</v>
      </c>
      <c r="B14" t="s">
        <v>208</v>
      </c>
      <c r="C14" t="s">
        <v>202</v>
      </c>
      <c r="D14" t="s">
        <v>203</v>
      </c>
      <c r="E14" t="s">
        <v>187</v>
      </c>
      <c r="F14" t="s">
        <v>188</v>
      </c>
      <c r="G14" t="s">
        <v>175</v>
      </c>
      <c r="H14" s="17">
        <v>4.4000000000000004</v>
      </c>
      <c r="I14" s="17">
        <v>4.2460000000000004</v>
      </c>
      <c r="J14" s="17">
        <v>1.06</v>
      </c>
      <c r="K14" s="17"/>
      <c r="L14" t="s">
        <v>176</v>
      </c>
      <c r="M14" s="17">
        <v>1</v>
      </c>
      <c r="N14" s="18">
        <v>2026</v>
      </c>
      <c r="O14" s="18">
        <v>2030</v>
      </c>
      <c r="P14" s="19">
        <f t="shared" si="0"/>
        <v>8.9332709476508398E-3</v>
      </c>
      <c r="Q14" s="19">
        <f t="shared" si="1"/>
        <v>0.15399999999999991</v>
      </c>
      <c r="R14" s="19">
        <f t="shared" si="2"/>
        <v>3.4999999999999976E-2</v>
      </c>
      <c r="S14" s="20" t="s">
        <v>204</v>
      </c>
      <c r="T14" t="s">
        <v>178</v>
      </c>
      <c r="U14" s="21">
        <f t="shared" si="3"/>
        <v>1</v>
      </c>
      <c r="V14" s="15" t="str">
        <f t="shared" si="4"/>
        <v>OK</v>
      </c>
      <c r="W14" t="s">
        <v>205</v>
      </c>
      <c r="X14" t="s">
        <v>206</v>
      </c>
      <c r="Y14" t="s">
        <v>142</v>
      </c>
    </row>
    <row r="15" spans="1:25">
      <c r="A15" t="s">
        <v>200</v>
      </c>
      <c r="B15" t="s">
        <v>209</v>
      </c>
      <c r="C15" t="s">
        <v>202</v>
      </c>
      <c r="D15" t="s">
        <v>203</v>
      </c>
      <c r="E15" t="s">
        <v>190</v>
      </c>
      <c r="F15" t="s">
        <v>191</v>
      </c>
      <c r="G15" t="s">
        <v>175</v>
      </c>
      <c r="H15" s="17">
        <v>4.4000000000000004</v>
      </c>
      <c r="I15" s="17">
        <v>4.2460000000000004</v>
      </c>
      <c r="J15" s="17">
        <v>1.06</v>
      </c>
      <c r="K15" s="17"/>
      <c r="L15" t="s">
        <v>176</v>
      </c>
      <c r="M15" s="17">
        <v>1</v>
      </c>
      <c r="N15" s="18">
        <v>2026</v>
      </c>
      <c r="O15" s="18">
        <v>2030</v>
      </c>
      <c r="P15" s="19">
        <f t="shared" si="0"/>
        <v>8.9332709476508398E-3</v>
      </c>
      <c r="Q15" s="19">
        <f t="shared" si="1"/>
        <v>0.15399999999999991</v>
      </c>
      <c r="R15" s="19">
        <f t="shared" si="2"/>
        <v>3.4999999999999976E-2</v>
      </c>
      <c r="S15" s="20" t="s">
        <v>204</v>
      </c>
      <c r="T15" t="s">
        <v>178</v>
      </c>
      <c r="U15" s="21">
        <f t="shared" si="3"/>
        <v>1</v>
      </c>
      <c r="V15" s="15" t="str">
        <f t="shared" si="4"/>
        <v>OK</v>
      </c>
      <c r="W15" t="s">
        <v>205</v>
      </c>
      <c r="X15" t="s">
        <v>206</v>
      </c>
      <c r="Y15" t="s">
        <v>142</v>
      </c>
    </row>
    <row r="16" spans="1:25">
      <c r="A16" t="s">
        <v>210</v>
      </c>
      <c r="B16" t="s">
        <v>211</v>
      </c>
      <c r="C16" t="s">
        <v>212</v>
      </c>
      <c r="D16" t="s">
        <v>203</v>
      </c>
      <c r="E16" t="s">
        <v>181</v>
      </c>
      <c r="F16" t="s">
        <v>182</v>
      </c>
      <c r="G16" t="s">
        <v>175</v>
      </c>
      <c r="H16" s="17">
        <v>4.4000000000000004</v>
      </c>
      <c r="I16" s="17">
        <v>4.18</v>
      </c>
      <c r="J16" s="17">
        <v>1.06</v>
      </c>
      <c r="K16" s="17"/>
      <c r="L16" t="s">
        <v>176</v>
      </c>
      <c r="M16" s="17">
        <v>1</v>
      </c>
      <c r="N16" s="18">
        <v>2026</v>
      </c>
      <c r="O16" s="18">
        <v>2030</v>
      </c>
      <c r="P16" s="19">
        <f t="shared" si="0"/>
        <v>1.2737344333388245E-2</v>
      </c>
      <c r="Q16" s="19">
        <f t="shared" si="1"/>
        <v>0.22000000000000064</v>
      </c>
      <c r="R16" s="19">
        <f t="shared" si="2"/>
        <v>5.0000000000000142E-2</v>
      </c>
      <c r="S16" s="20" t="s">
        <v>213</v>
      </c>
      <c r="T16" t="s">
        <v>178</v>
      </c>
      <c r="U16" s="21">
        <f t="shared" si="3"/>
        <v>1</v>
      </c>
      <c r="V16" s="15" t="str">
        <f t="shared" si="4"/>
        <v>OK</v>
      </c>
      <c r="W16" t="s">
        <v>205</v>
      </c>
      <c r="X16" t="s">
        <v>206</v>
      </c>
      <c r="Y16" t="s">
        <v>142</v>
      </c>
    </row>
    <row r="17" spans="1:25">
      <c r="A17" t="s">
        <v>210</v>
      </c>
      <c r="B17" t="s">
        <v>214</v>
      </c>
      <c r="C17" t="s">
        <v>212</v>
      </c>
      <c r="D17" t="s">
        <v>203</v>
      </c>
      <c r="E17" t="s">
        <v>184</v>
      </c>
      <c r="F17" t="s">
        <v>185</v>
      </c>
      <c r="G17" t="s">
        <v>175</v>
      </c>
      <c r="H17" s="17">
        <v>4.4000000000000004</v>
      </c>
      <c r="I17" s="17">
        <v>4.18</v>
      </c>
      <c r="J17" s="17">
        <v>1.06</v>
      </c>
      <c r="K17" s="17"/>
      <c r="L17" t="s">
        <v>176</v>
      </c>
      <c r="M17" s="17">
        <v>1</v>
      </c>
      <c r="N17" s="18">
        <v>2026</v>
      </c>
      <c r="O17" s="18">
        <v>2030</v>
      </c>
      <c r="P17" s="19">
        <f t="shared" si="0"/>
        <v>1.2737344333388245E-2</v>
      </c>
      <c r="Q17" s="19">
        <f t="shared" si="1"/>
        <v>0.22000000000000064</v>
      </c>
      <c r="R17" s="19">
        <f t="shared" si="2"/>
        <v>5.0000000000000142E-2</v>
      </c>
      <c r="S17" s="20" t="s">
        <v>213</v>
      </c>
      <c r="T17" t="s">
        <v>178</v>
      </c>
      <c r="U17" s="21">
        <f t="shared" si="3"/>
        <v>1</v>
      </c>
      <c r="V17" s="15" t="str">
        <f t="shared" si="4"/>
        <v>OK</v>
      </c>
      <c r="W17" t="s">
        <v>205</v>
      </c>
      <c r="X17" t="s">
        <v>206</v>
      </c>
      <c r="Y17" t="s">
        <v>142</v>
      </c>
    </row>
    <row r="18" spans="1:25">
      <c r="A18" t="s">
        <v>210</v>
      </c>
      <c r="B18" t="s">
        <v>215</v>
      </c>
      <c r="C18" t="s">
        <v>212</v>
      </c>
      <c r="D18" t="s">
        <v>203</v>
      </c>
      <c r="E18" t="s">
        <v>187</v>
      </c>
      <c r="F18" t="s">
        <v>188</v>
      </c>
      <c r="G18" t="s">
        <v>175</v>
      </c>
      <c r="H18" s="17">
        <v>4.4000000000000004</v>
      </c>
      <c r="I18" s="17">
        <v>4.18</v>
      </c>
      <c r="J18" s="17">
        <v>1.06</v>
      </c>
      <c r="K18" s="17"/>
      <c r="L18" t="s">
        <v>176</v>
      </c>
      <c r="M18" s="17">
        <v>1</v>
      </c>
      <c r="N18" s="18">
        <v>2026</v>
      </c>
      <c r="O18" s="18">
        <v>2030</v>
      </c>
      <c r="P18" s="19">
        <f t="shared" si="0"/>
        <v>1.2737344333388245E-2</v>
      </c>
      <c r="Q18" s="19">
        <f t="shared" si="1"/>
        <v>0.22000000000000064</v>
      </c>
      <c r="R18" s="19">
        <f t="shared" si="2"/>
        <v>5.0000000000000142E-2</v>
      </c>
      <c r="S18" s="20" t="s">
        <v>213</v>
      </c>
      <c r="T18" t="s">
        <v>178</v>
      </c>
      <c r="U18" s="21">
        <f t="shared" si="3"/>
        <v>1</v>
      </c>
      <c r="V18" s="15" t="str">
        <f t="shared" si="4"/>
        <v>OK</v>
      </c>
      <c r="W18" t="s">
        <v>205</v>
      </c>
      <c r="X18" t="s">
        <v>206</v>
      </c>
      <c r="Y18" t="s">
        <v>142</v>
      </c>
    </row>
    <row r="19" spans="1:25">
      <c r="A19" t="s">
        <v>210</v>
      </c>
      <c r="B19" t="s">
        <v>216</v>
      </c>
      <c r="C19" t="s">
        <v>212</v>
      </c>
      <c r="D19" t="s">
        <v>203</v>
      </c>
      <c r="E19" t="s">
        <v>190</v>
      </c>
      <c r="F19" t="s">
        <v>191</v>
      </c>
      <c r="G19" t="s">
        <v>175</v>
      </c>
      <c r="H19" s="17">
        <v>4.4000000000000004</v>
      </c>
      <c r="I19" s="17">
        <v>4.18</v>
      </c>
      <c r="J19" s="17">
        <v>1.06</v>
      </c>
      <c r="K19" s="17"/>
      <c r="L19" t="s">
        <v>176</v>
      </c>
      <c r="M19" s="17">
        <v>1</v>
      </c>
      <c r="N19" s="18">
        <v>2026</v>
      </c>
      <c r="O19" s="18">
        <v>2030</v>
      </c>
      <c r="P19" s="19">
        <f t="shared" si="0"/>
        <v>1.2737344333388245E-2</v>
      </c>
      <c r="Q19" s="19">
        <f t="shared" si="1"/>
        <v>0.22000000000000064</v>
      </c>
      <c r="R19" s="19">
        <f t="shared" si="2"/>
        <v>5.0000000000000142E-2</v>
      </c>
      <c r="S19" s="20" t="s">
        <v>213</v>
      </c>
      <c r="T19" t="s">
        <v>178</v>
      </c>
      <c r="U19" s="21">
        <f t="shared" si="3"/>
        <v>1</v>
      </c>
      <c r="V19" s="15" t="str">
        <f t="shared" si="4"/>
        <v>OK</v>
      </c>
      <c r="W19" t="s">
        <v>205</v>
      </c>
      <c r="X19" t="s">
        <v>206</v>
      </c>
      <c r="Y19" t="s">
        <v>142</v>
      </c>
    </row>
    <row r="20" spans="1:25">
      <c r="A20" t="s">
        <v>217</v>
      </c>
      <c r="B20" t="s">
        <v>218</v>
      </c>
      <c r="C20" t="s">
        <v>219</v>
      </c>
      <c r="D20" t="s">
        <v>203</v>
      </c>
      <c r="E20" t="s">
        <v>181</v>
      </c>
      <c r="F20" t="s">
        <v>182</v>
      </c>
      <c r="G20" t="s">
        <v>175</v>
      </c>
      <c r="H20" s="17">
        <v>4.4000000000000004</v>
      </c>
      <c r="I20" s="17">
        <v>4.4000000000000004</v>
      </c>
      <c r="J20" s="17">
        <v>1.06</v>
      </c>
      <c r="K20" s="17"/>
      <c r="L20" t="s">
        <v>176</v>
      </c>
      <c r="M20" s="17">
        <v>1</v>
      </c>
      <c r="N20" s="18">
        <v>2026</v>
      </c>
      <c r="O20" s="18">
        <v>2030</v>
      </c>
      <c r="P20" s="19">
        <f t="shared" si="0"/>
        <v>0</v>
      </c>
      <c r="Q20" s="19">
        <f t="shared" si="1"/>
        <v>0</v>
      </c>
      <c r="R20" s="19">
        <f t="shared" si="2"/>
        <v>0</v>
      </c>
      <c r="S20" s="20" t="s">
        <v>220</v>
      </c>
      <c r="T20" t="s">
        <v>178</v>
      </c>
      <c r="U20" s="21">
        <f t="shared" si="3"/>
        <v>1</v>
      </c>
      <c r="V20" s="15" t="str">
        <f t="shared" si="4"/>
        <v>OK</v>
      </c>
      <c r="W20" t="s">
        <v>205</v>
      </c>
      <c r="X20" t="s">
        <v>206</v>
      </c>
      <c r="Y20" t="s">
        <v>142</v>
      </c>
    </row>
    <row r="21" spans="1:25">
      <c r="A21" t="s">
        <v>217</v>
      </c>
      <c r="B21" t="s">
        <v>221</v>
      </c>
      <c r="C21" t="s">
        <v>219</v>
      </c>
      <c r="D21" t="s">
        <v>203</v>
      </c>
      <c r="E21" t="s">
        <v>184</v>
      </c>
      <c r="F21" t="s">
        <v>185</v>
      </c>
      <c r="G21" t="s">
        <v>175</v>
      </c>
      <c r="H21" s="17">
        <v>4.4000000000000004</v>
      </c>
      <c r="I21" s="17">
        <v>4.4000000000000004</v>
      </c>
      <c r="J21" s="17">
        <v>1.06</v>
      </c>
      <c r="K21" s="17"/>
      <c r="L21" t="s">
        <v>176</v>
      </c>
      <c r="M21" s="17">
        <v>1</v>
      </c>
      <c r="N21" s="18">
        <v>2026</v>
      </c>
      <c r="O21" s="18">
        <v>2030</v>
      </c>
      <c r="P21" s="19">
        <f t="shared" si="0"/>
        <v>0</v>
      </c>
      <c r="Q21" s="19">
        <f t="shared" si="1"/>
        <v>0</v>
      </c>
      <c r="R21" s="19">
        <f t="shared" si="2"/>
        <v>0</v>
      </c>
      <c r="S21" s="20" t="s">
        <v>220</v>
      </c>
      <c r="T21" t="s">
        <v>178</v>
      </c>
      <c r="U21" s="21">
        <f t="shared" si="3"/>
        <v>1</v>
      </c>
      <c r="V21" s="15" t="str">
        <f t="shared" si="4"/>
        <v>OK</v>
      </c>
      <c r="W21" t="s">
        <v>205</v>
      </c>
      <c r="X21" t="s">
        <v>206</v>
      </c>
      <c r="Y21" t="s">
        <v>142</v>
      </c>
    </row>
    <row r="22" spans="1:25">
      <c r="A22" t="s">
        <v>217</v>
      </c>
      <c r="B22" t="s">
        <v>222</v>
      </c>
      <c r="C22" t="s">
        <v>219</v>
      </c>
      <c r="D22" t="s">
        <v>203</v>
      </c>
      <c r="E22" t="s">
        <v>187</v>
      </c>
      <c r="F22" t="s">
        <v>188</v>
      </c>
      <c r="G22" t="s">
        <v>175</v>
      </c>
      <c r="H22" s="17">
        <v>4.4000000000000004</v>
      </c>
      <c r="I22" s="17">
        <v>4.4000000000000004</v>
      </c>
      <c r="J22" s="17">
        <v>1.06</v>
      </c>
      <c r="K22" s="17"/>
      <c r="L22" t="s">
        <v>176</v>
      </c>
      <c r="M22" s="17">
        <v>1</v>
      </c>
      <c r="N22" s="18">
        <v>2026</v>
      </c>
      <c r="O22" s="18">
        <v>2030</v>
      </c>
      <c r="P22" s="19">
        <f t="shared" si="0"/>
        <v>0</v>
      </c>
      <c r="Q22" s="19">
        <f t="shared" si="1"/>
        <v>0</v>
      </c>
      <c r="R22" s="19">
        <f t="shared" si="2"/>
        <v>0</v>
      </c>
      <c r="S22" s="20" t="s">
        <v>220</v>
      </c>
      <c r="T22" t="s">
        <v>178</v>
      </c>
      <c r="U22" s="21">
        <f t="shared" si="3"/>
        <v>1</v>
      </c>
      <c r="V22" s="15" t="str">
        <f t="shared" si="4"/>
        <v>OK</v>
      </c>
      <c r="W22" t="s">
        <v>205</v>
      </c>
      <c r="X22" t="s">
        <v>206</v>
      </c>
      <c r="Y22" t="s">
        <v>142</v>
      </c>
    </row>
    <row r="23" spans="1:25">
      <c r="A23" t="s">
        <v>217</v>
      </c>
      <c r="B23" t="s">
        <v>223</v>
      </c>
      <c r="C23" t="s">
        <v>219</v>
      </c>
      <c r="D23" t="s">
        <v>203</v>
      </c>
      <c r="E23" t="s">
        <v>190</v>
      </c>
      <c r="F23" t="s">
        <v>191</v>
      </c>
      <c r="G23" t="s">
        <v>175</v>
      </c>
      <c r="H23" s="17">
        <v>4.4000000000000004</v>
      </c>
      <c r="I23" s="17">
        <v>4.4000000000000004</v>
      </c>
      <c r="J23" s="17">
        <v>1.06</v>
      </c>
      <c r="K23" s="17"/>
      <c r="L23" t="s">
        <v>176</v>
      </c>
      <c r="M23" s="17">
        <v>1</v>
      </c>
      <c r="N23" s="18">
        <v>2026</v>
      </c>
      <c r="O23" s="18">
        <v>2030</v>
      </c>
      <c r="P23" s="19">
        <f t="shared" si="0"/>
        <v>0</v>
      </c>
      <c r="Q23" s="19">
        <f t="shared" si="1"/>
        <v>0</v>
      </c>
      <c r="R23" s="19">
        <f t="shared" si="2"/>
        <v>0</v>
      </c>
      <c r="S23" s="20" t="s">
        <v>220</v>
      </c>
      <c r="T23" t="s">
        <v>178</v>
      </c>
      <c r="U23" s="21">
        <f t="shared" si="3"/>
        <v>1</v>
      </c>
      <c r="V23" s="15" t="str">
        <f t="shared" si="4"/>
        <v>OK</v>
      </c>
      <c r="W23" t="s">
        <v>205</v>
      </c>
      <c r="X23" t="s">
        <v>206</v>
      </c>
      <c r="Y23" t="s">
        <v>142</v>
      </c>
    </row>
    <row r="24" spans="1:25">
      <c r="A24" t="s">
        <v>224</v>
      </c>
      <c r="B24" t="s">
        <v>225</v>
      </c>
      <c r="C24" t="s">
        <v>226</v>
      </c>
      <c r="D24" t="s">
        <v>203</v>
      </c>
      <c r="E24" t="s">
        <v>181</v>
      </c>
      <c r="F24" t="s">
        <v>182</v>
      </c>
      <c r="G24" t="s">
        <v>175</v>
      </c>
      <c r="H24" s="17">
        <v>4.4000000000000004</v>
      </c>
      <c r="I24" s="17">
        <v>3.96</v>
      </c>
      <c r="J24" s="17">
        <v>1.06</v>
      </c>
      <c r="K24" s="17"/>
      <c r="L24" t="s">
        <v>176</v>
      </c>
      <c r="M24" s="17">
        <v>1</v>
      </c>
      <c r="N24" s="18">
        <v>2026</v>
      </c>
      <c r="O24" s="18">
        <v>2030</v>
      </c>
      <c r="P24" s="19">
        <f t="shared" si="0"/>
        <v>2.531244872610916E-2</v>
      </c>
      <c r="Q24" s="19">
        <f t="shared" si="1"/>
        <v>0.44000000000000039</v>
      </c>
      <c r="R24" s="19">
        <f t="shared" si="2"/>
        <v>0.10000000000000007</v>
      </c>
      <c r="S24" s="20" t="s">
        <v>227</v>
      </c>
      <c r="T24" t="s">
        <v>178</v>
      </c>
      <c r="U24" s="21">
        <f t="shared" si="3"/>
        <v>1</v>
      </c>
      <c r="V24" s="15" t="str">
        <f t="shared" si="4"/>
        <v>OK</v>
      </c>
      <c r="W24" t="s">
        <v>205</v>
      </c>
      <c r="X24" t="s">
        <v>206</v>
      </c>
      <c r="Y24" t="s">
        <v>142</v>
      </c>
    </row>
    <row r="25" spans="1:25">
      <c r="A25" t="s">
        <v>224</v>
      </c>
      <c r="B25" t="s">
        <v>228</v>
      </c>
      <c r="C25" t="s">
        <v>226</v>
      </c>
      <c r="D25" t="s">
        <v>203</v>
      </c>
      <c r="E25" t="s">
        <v>184</v>
      </c>
      <c r="F25" t="s">
        <v>185</v>
      </c>
      <c r="G25" t="s">
        <v>175</v>
      </c>
      <c r="H25" s="17">
        <v>4.4000000000000004</v>
      </c>
      <c r="I25" s="17">
        <v>3.96</v>
      </c>
      <c r="J25" s="17">
        <v>1.06</v>
      </c>
      <c r="K25" s="17"/>
      <c r="L25" t="s">
        <v>176</v>
      </c>
      <c r="M25" s="17">
        <v>1</v>
      </c>
      <c r="N25" s="18">
        <v>2026</v>
      </c>
      <c r="O25" s="18">
        <v>2030</v>
      </c>
      <c r="P25" s="19">
        <f t="shared" si="0"/>
        <v>2.531244872610916E-2</v>
      </c>
      <c r="Q25" s="19">
        <f t="shared" si="1"/>
        <v>0.44000000000000039</v>
      </c>
      <c r="R25" s="19">
        <f t="shared" si="2"/>
        <v>0.10000000000000007</v>
      </c>
      <c r="S25" s="20" t="s">
        <v>227</v>
      </c>
      <c r="T25" t="s">
        <v>178</v>
      </c>
      <c r="U25" s="21">
        <f t="shared" si="3"/>
        <v>1</v>
      </c>
      <c r="V25" s="15" t="str">
        <f t="shared" si="4"/>
        <v>OK</v>
      </c>
      <c r="W25" t="s">
        <v>205</v>
      </c>
      <c r="X25" t="s">
        <v>206</v>
      </c>
      <c r="Y25" t="s">
        <v>142</v>
      </c>
    </row>
    <row r="26" spans="1:25">
      <c r="A26" t="s">
        <v>224</v>
      </c>
      <c r="B26" t="s">
        <v>229</v>
      </c>
      <c r="C26" t="s">
        <v>226</v>
      </c>
      <c r="D26" t="s">
        <v>203</v>
      </c>
      <c r="E26" t="s">
        <v>187</v>
      </c>
      <c r="F26" t="s">
        <v>188</v>
      </c>
      <c r="G26" t="s">
        <v>175</v>
      </c>
      <c r="H26" s="17">
        <v>4.4000000000000004</v>
      </c>
      <c r="I26" s="17">
        <v>3.96</v>
      </c>
      <c r="J26" s="17">
        <v>1.06</v>
      </c>
      <c r="K26" s="17"/>
      <c r="L26" t="s">
        <v>176</v>
      </c>
      <c r="M26" s="17">
        <v>1</v>
      </c>
      <c r="N26" s="18">
        <v>2026</v>
      </c>
      <c r="O26" s="18">
        <v>2030</v>
      </c>
      <c r="P26" s="19">
        <f t="shared" si="0"/>
        <v>2.531244872610916E-2</v>
      </c>
      <c r="Q26" s="19">
        <f t="shared" si="1"/>
        <v>0.44000000000000039</v>
      </c>
      <c r="R26" s="19">
        <f t="shared" si="2"/>
        <v>0.10000000000000007</v>
      </c>
      <c r="S26" s="20" t="s">
        <v>227</v>
      </c>
      <c r="T26" t="s">
        <v>178</v>
      </c>
      <c r="U26" s="21">
        <f t="shared" si="3"/>
        <v>1</v>
      </c>
      <c r="V26" s="15" t="str">
        <f t="shared" si="4"/>
        <v>OK</v>
      </c>
      <c r="W26" t="s">
        <v>205</v>
      </c>
      <c r="X26" t="s">
        <v>206</v>
      </c>
      <c r="Y26" t="s">
        <v>142</v>
      </c>
    </row>
    <row r="27" spans="1:25">
      <c r="A27" t="s">
        <v>224</v>
      </c>
      <c r="B27" t="s">
        <v>230</v>
      </c>
      <c r="C27" t="s">
        <v>226</v>
      </c>
      <c r="D27" t="s">
        <v>203</v>
      </c>
      <c r="E27" t="s">
        <v>190</v>
      </c>
      <c r="F27" t="s">
        <v>191</v>
      </c>
      <c r="G27" t="s">
        <v>175</v>
      </c>
      <c r="H27" s="17">
        <v>4.4000000000000004</v>
      </c>
      <c r="I27" s="17">
        <v>3.96</v>
      </c>
      <c r="J27" s="17">
        <v>1.06</v>
      </c>
      <c r="K27" s="17"/>
      <c r="L27" t="s">
        <v>176</v>
      </c>
      <c r="M27" s="17">
        <v>1</v>
      </c>
      <c r="N27" s="18">
        <v>2026</v>
      </c>
      <c r="O27" s="18">
        <v>2030</v>
      </c>
      <c r="P27" s="19">
        <f t="shared" si="0"/>
        <v>2.531244872610916E-2</v>
      </c>
      <c r="Q27" s="19">
        <f t="shared" si="1"/>
        <v>0.44000000000000039</v>
      </c>
      <c r="R27" s="19">
        <f t="shared" si="2"/>
        <v>0.10000000000000007</v>
      </c>
      <c r="S27" s="20" t="s">
        <v>227</v>
      </c>
      <c r="T27" t="s">
        <v>178</v>
      </c>
      <c r="U27" s="21">
        <f t="shared" si="3"/>
        <v>1</v>
      </c>
      <c r="V27" s="15" t="str">
        <f t="shared" si="4"/>
        <v>OK</v>
      </c>
      <c r="W27" t="s">
        <v>205</v>
      </c>
      <c r="X27" t="s">
        <v>206</v>
      </c>
      <c r="Y27" t="s">
        <v>142</v>
      </c>
    </row>
    <row r="28" spans="1:25">
      <c r="A28" t="s">
        <v>231</v>
      </c>
      <c r="B28" t="s">
        <v>232</v>
      </c>
      <c r="C28" t="s">
        <v>233</v>
      </c>
      <c r="D28" t="s">
        <v>234</v>
      </c>
      <c r="E28" t="s">
        <v>235</v>
      </c>
      <c r="F28" t="s">
        <v>236</v>
      </c>
      <c r="G28" t="s">
        <v>175</v>
      </c>
      <c r="H28" s="17">
        <v>0.114285714285714</v>
      </c>
      <c r="I28" s="17">
        <v>9.4285714285714001E-2</v>
      </c>
      <c r="J28" s="17">
        <v>1.18</v>
      </c>
      <c r="K28" s="17"/>
      <c r="L28" t="s">
        <v>176</v>
      </c>
      <c r="M28" s="17">
        <v>1</v>
      </c>
      <c r="N28" s="18">
        <v>2026</v>
      </c>
      <c r="O28" s="18">
        <v>2030</v>
      </c>
      <c r="P28" s="19">
        <f t="shared" si="0"/>
        <v>3.3048158043799125E-3</v>
      </c>
      <c r="Q28" s="19">
        <f t="shared" si="1"/>
        <v>2.0000000000000004E-2</v>
      </c>
      <c r="R28" s="19">
        <f t="shared" si="2"/>
        <v>0.17500000000000046</v>
      </c>
      <c r="S28" s="20" t="s">
        <v>237</v>
      </c>
      <c r="T28" t="s">
        <v>178</v>
      </c>
      <c r="U28" s="21">
        <f t="shared" si="3"/>
        <v>1</v>
      </c>
      <c r="V28" s="15" t="str">
        <f t="shared" si="4"/>
        <v>OK</v>
      </c>
      <c r="W28" t="s">
        <v>231</v>
      </c>
      <c r="X28" t="s">
        <v>179</v>
      </c>
      <c r="Y28" t="s">
        <v>142</v>
      </c>
    </row>
    <row r="29" spans="1:25">
      <c r="A29" t="s">
        <v>231</v>
      </c>
      <c r="B29" t="s">
        <v>238</v>
      </c>
      <c r="C29" t="s">
        <v>233</v>
      </c>
      <c r="D29" t="s">
        <v>234</v>
      </c>
      <c r="E29" t="s">
        <v>181</v>
      </c>
      <c r="F29" t="s">
        <v>182</v>
      </c>
      <c r="G29" t="s">
        <v>175</v>
      </c>
      <c r="H29" s="17">
        <v>0.114285714285714</v>
      </c>
      <c r="I29" s="17">
        <v>9.4285714285714001E-2</v>
      </c>
      <c r="J29" s="17">
        <v>1.1000000000000001</v>
      </c>
      <c r="K29" s="17"/>
      <c r="L29" t="s">
        <v>176</v>
      </c>
      <c r="M29" s="17">
        <v>1</v>
      </c>
      <c r="N29" s="18">
        <v>2026</v>
      </c>
      <c r="O29" s="18">
        <v>2030</v>
      </c>
      <c r="P29" s="19">
        <f t="shared" si="0"/>
        <v>1.9043879438626066E-3</v>
      </c>
      <c r="Q29" s="19">
        <f t="shared" si="1"/>
        <v>2.0000000000000004E-2</v>
      </c>
      <c r="R29" s="19">
        <f t="shared" si="2"/>
        <v>0.17500000000000046</v>
      </c>
      <c r="S29" s="20" t="s">
        <v>237</v>
      </c>
      <c r="T29" t="s">
        <v>178</v>
      </c>
      <c r="U29" s="21">
        <f t="shared" si="3"/>
        <v>1</v>
      </c>
      <c r="V29" s="15" t="str">
        <f t="shared" si="4"/>
        <v>OK</v>
      </c>
      <c r="W29" t="s">
        <v>231</v>
      </c>
      <c r="X29" t="s">
        <v>179</v>
      </c>
      <c r="Y29" t="s">
        <v>142</v>
      </c>
    </row>
    <row r="30" spans="1:25">
      <c r="A30" t="s">
        <v>231</v>
      </c>
      <c r="B30" t="s">
        <v>239</v>
      </c>
      <c r="C30" t="s">
        <v>233</v>
      </c>
      <c r="D30" t="s">
        <v>234</v>
      </c>
      <c r="E30" t="s">
        <v>184</v>
      </c>
      <c r="F30" t="s">
        <v>185</v>
      </c>
      <c r="G30" t="s">
        <v>175</v>
      </c>
      <c r="H30" s="17">
        <v>0.114285714285714</v>
      </c>
      <c r="I30" s="17">
        <v>9.4285714285714001E-2</v>
      </c>
      <c r="J30" s="17">
        <v>1.08</v>
      </c>
      <c r="K30" s="17"/>
      <c r="L30" t="s">
        <v>176</v>
      </c>
      <c r="M30" s="17">
        <v>1</v>
      </c>
      <c r="N30" s="18">
        <v>2026</v>
      </c>
      <c r="O30" s="18">
        <v>2030</v>
      </c>
      <c r="P30" s="19">
        <f t="shared" si="0"/>
        <v>1.538036829905276E-3</v>
      </c>
      <c r="Q30" s="19">
        <f t="shared" si="1"/>
        <v>2.0000000000000004E-2</v>
      </c>
      <c r="R30" s="19">
        <f t="shared" si="2"/>
        <v>0.17500000000000046</v>
      </c>
      <c r="S30" s="20" t="s">
        <v>237</v>
      </c>
      <c r="T30" t="s">
        <v>178</v>
      </c>
      <c r="U30" s="21">
        <f t="shared" si="3"/>
        <v>1</v>
      </c>
      <c r="V30" s="15" t="str">
        <f t="shared" si="4"/>
        <v>OK</v>
      </c>
      <c r="W30" t="s">
        <v>231</v>
      </c>
      <c r="X30" t="s">
        <v>179</v>
      </c>
      <c r="Y30" t="s">
        <v>142</v>
      </c>
    </row>
    <row r="31" spans="1:25">
      <c r="A31" t="s">
        <v>231</v>
      </c>
      <c r="B31" t="s">
        <v>240</v>
      </c>
      <c r="C31" t="s">
        <v>233</v>
      </c>
      <c r="D31" t="s">
        <v>234</v>
      </c>
      <c r="E31" t="s">
        <v>187</v>
      </c>
      <c r="F31" t="s">
        <v>188</v>
      </c>
      <c r="G31" t="s">
        <v>175</v>
      </c>
      <c r="H31" s="17">
        <v>0.114285714285714</v>
      </c>
      <c r="I31" s="17">
        <v>9.4285714285714001E-2</v>
      </c>
      <c r="J31" s="17">
        <v>1.1399999999999999</v>
      </c>
      <c r="K31" s="17"/>
      <c r="L31" t="s">
        <v>176</v>
      </c>
      <c r="M31" s="17">
        <v>1</v>
      </c>
      <c r="N31" s="18">
        <v>2026</v>
      </c>
      <c r="O31" s="18">
        <v>2030</v>
      </c>
      <c r="P31" s="19">
        <f t="shared" si="0"/>
        <v>2.6171345644494526E-3</v>
      </c>
      <c r="Q31" s="19">
        <f t="shared" si="1"/>
        <v>2.0000000000000004E-2</v>
      </c>
      <c r="R31" s="19">
        <f t="shared" si="2"/>
        <v>0.17500000000000046</v>
      </c>
      <c r="S31" s="20" t="s">
        <v>237</v>
      </c>
      <c r="T31" t="s">
        <v>178</v>
      </c>
      <c r="U31" s="21">
        <f t="shared" si="3"/>
        <v>1</v>
      </c>
      <c r="V31" s="15" t="str">
        <f t="shared" si="4"/>
        <v>OK</v>
      </c>
      <c r="W31" t="s">
        <v>231</v>
      </c>
      <c r="X31" t="s">
        <v>179</v>
      </c>
      <c r="Y31" t="s">
        <v>142</v>
      </c>
    </row>
    <row r="32" spans="1:25">
      <c r="A32" t="s">
        <v>231</v>
      </c>
      <c r="B32" t="s">
        <v>241</v>
      </c>
      <c r="C32" t="s">
        <v>233</v>
      </c>
      <c r="D32" t="s">
        <v>234</v>
      </c>
      <c r="E32" t="s">
        <v>190</v>
      </c>
      <c r="F32" t="s">
        <v>191</v>
      </c>
      <c r="G32" t="s">
        <v>175</v>
      </c>
      <c r="H32" s="17">
        <v>0.114285714285714</v>
      </c>
      <c r="I32" s="17">
        <v>9.4285714285714001E-2</v>
      </c>
      <c r="J32" s="17">
        <v>1.07</v>
      </c>
      <c r="K32" s="17"/>
      <c r="L32" t="s">
        <v>176</v>
      </c>
      <c r="M32" s="17">
        <v>1</v>
      </c>
      <c r="N32" s="18">
        <v>2026</v>
      </c>
      <c r="O32" s="18">
        <v>2030</v>
      </c>
      <c r="P32" s="19">
        <f t="shared" si="0"/>
        <v>1.3522578437547006E-3</v>
      </c>
      <c r="Q32" s="19">
        <f t="shared" si="1"/>
        <v>2.0000000000000004E-2</v>
      </c>
      <c r="R32" s="19">
        <f t="shared" si="2"/>
        <v>0.17500000000000046</v>
      </c>
      <c r="S32" s="20" t="s">
        <v>237</v>
      </c>
      <c r="T32" t="s">
        <v>178</v>
      </c>
      <c r="U32" s="21">
        <f t="shared" si="3"/>
        <v>1</v>
      </c>
      <c r="V32" s="15" t="str">
        <f t="shared" si="4"/>
        <v>OK</v>
      </c>
      <c r="W32" t="s">
        <v>231</v>
      </c>
      <c r="X32" t="s">
        <v>179</v>
      </c>
      <c r="Y32" t="s">
        <v>142</v>
      </c>
    </row>
    <row r="33" spans="1:25">
      <c r="A33" t="s">
        <v>242</v>
      </c>
      <c r="B33" t="s">
        <v>243</v>
      </c>
      <c r="C33" t="s">
        <v>244</v>
      </c>
      <c r="D33" t="s">
        <v>245</v>
      </c>
      <c r="E33" t="s">
        <v>187</v>
      </c>
      <c r="F33" t="s">
        <v>188</v>
      </c>
      <c r="G33" t="s">
        <v>175</v>
      </c>
      <c r="H33" s="17">
        <v>0.48</v>
      </c>
      <c r="I33" s="17">
        <v>0.24</v>
      </c>
      <c r="J33" s="17">
        <v>1.1000000000000001</v>
      </c>
      <c r="K33" s="17"/>
      <c r="L33" t="s">
        <v>176</v>
      </c>
      <c r="M33" s="17">
        <v>1</v>
      </c>
      <c r="N33" s="18">
        <v>2026</v>
      </c>
      <c r="O33" s="18">
        <v>2030</v>
      </c>
      <c r="P33" s="19">
        <f t="shared" si="0"/>
        <v>2.2614806527245901E-2</v>
      </c>
      <c r="Q33" s="19">
        <f t="shared" si="1"/>
        <v>0.24</v>
      </c>
      <c r="R33" s="19">
        <f t="shared" si="2"/>
        <v>0.5</v>
      </c>
      <c r="S33" s="20" t="s">
        <v>246</v>
      </c>
      <c r="T33" t="s">
        <v>178</v>
      </c>
      <c r="U33" s="21">
        <f t="shared" si="3"/>
        <v>1</v>
      </c>
      <c r="V33" s="15" t="str">
        <f t="shared" si="4"/>
        <v>OK</v>
      </c>
      <c r="W33" t="s">
        <v>242</v>
      </c>
      <c r="X33" t="s">
        <v>179</v>
      </c>
      <c r="Y33" t="s">
        <v>142</v>
      </c>
    </row>
    <row r="34" spans="1:25">
      <c r="A34" t="s">
        <v>247</v>
      </c>
      <c r="B34" t="s">
        <v>248</v>
      </c>
      <c r="C34" t="s">
        <v>249</v>
      </c>
      <c r="D34" t="s">
        <v>250</v>
      </c>
      <c r="E34" t="s">
        <v>235</v>
      </c>
      <c r="F34" t="s">
        <v>236</v>
      </c>
      <c r="G34" t="s">
        <v>251</v>
      </c>
      <c r="H34" s="17">
        <v>0.30299999999999999</v>
      </c>
      <c r="I34" s="17">
        <v>0.19828319999999999</v>
      </c>
      <c r="J34" s="17">
        <v>1.37</v>
      </c>
      <c r="K34" s="17"/>
      <c r="L34" t="s">
        <v>252</v>
      </c>
      <c r="M34" s="17">
        <v>6.15144568129612E-2</v>
      </c>
      <c r="N34" s="18">
        <v>2026</v>
      </c>
      <c r="O34" s="18">
        <v>2030</v>
      </c>
      <c r="P34" s="19">
        <f t="shared" ref="P34:P49" si="5">1-(1+I34*(J34-1))/(1+H34*(J34-1))</f>
        <v>3.4839373802951101E-2</v>
      </c>
      <c r="Q34" s="19">
        <f t="shared" si="1"/>
        <v>0.1047168</v>
      </c>
      <c r="R34" s="19">
        <f t="shared" si="2"/>
        <v>0.34560000000000002</v>
      </c>
      <c r="S34" s="20" t="s">
        <v>253</v>
      </c>
      <c r="T34" t="s">
        <v>178</v>
      </c>
      <c r="U34" s="21">
        <f t="shared" si="3"/>
        <v>1</v>
      </c>
      <c r="V34" s="15" t="str">
        <f t="shared" si="4"/>
        <v>OK</v>
      </c>
      <c r="W34" t="s">
        <v>247</v>
      </c>
      <c r="X34" t="s">
        <v>179</v>
      </c>
      <c r="Y34" t="s">
        <v>142</v>
      </c>
    </row>
    <row r="35" spans="1:25">
      <c r="A35" t="s">
        <v>247</v>
      </c>
      <c r="B35" t="s">
        <v>254</v>
      </c>
      <c r="C35" t="s">
        <v>249</v>
      </c>
      <c r="D35" t="s">
        <v>250</v>
      </c>
      <c r="E35" t="s">
        <v>184</v>
      </c>
      <c r="F35" t="s">
        <v>185</v>
      </c>
      <c r="G35" t="s">
        <v>251</v>
      </c>
      <c r="H35" s="17">
        <v>0.30299999999999999</v>
      </c>
      <c r="I35" s="17">
        <v>0.19828319999999999</v>
      </c>
      <c r="J35" s="17">
        <v>1.19</v>
      </c>
      <c r="K35" s="17"/>
      <c r="L35" t="s">
        <v>252</v>
      </c>
      <c r="M35" s="17">
        <v>6.15144568129612E-2</v>
      </c>
      <c r="N35" s="18">
        <v>2026</v>
      </c>
      <c r="O35" s="18">
        <v>2030</v>
      </c>
      <c r="P35" s="19">
        <f t="shared" si="5"/>
        <v>1.881312064449614E-2</v>
      </c>
      <c r="Q35" s="19">
        <f t="shared" si="1"/>
        <v>0.1047168</v>
      </c>
      <c r="R35" s="19">
        <f t="shared" si="2"/>
        <v>0.34560000000000002</v>
      </c>
      <c r="S35" s="20" t="s">
        <v>253</v>
      </c>
      <c r="T35" t="s">
        <v>178</v>
      </c>
      <c r="U35" s="21">
        <f t="shared" si="3"/>
        <v>1</v>
      </c>
      <c r="V35" s="15" t="str">
        <f t="shared" si="4"/>
        <v>OK</v>
      </c>
      <c r="W35" t="s">
        <v>247</v>
      </c>
      <c r="X35" t="s">
        <v>179</v>
      </c>
      <c r="Y35" t="s">
        <v>142</v>
      </c>
    </row>
    <row r="36" spans="1:25">
      <c r="A36" t="s">
        <v>247</v>
      </c>
      <c r="B36" t="s">
        <v>255</v>
      </c>
      <c r="C36" t="s">
        <v>249</v>
      </c>
      <c r="D36" t="s">
        <v>250</v>
      </c>
      <c r="E36" t="s">
        <v>187</v>
      </c>
      <c r="F36" t="s">
        <v>188</v>
      </c>
      <c r="G36" t="s">
        <v>251</v>
      </c>
      <c r="H36" s="17">
        <v>0.30299999999999999</v>
      </c>
      <c r="I36" s="17">
        <v>0.19828319999999999</v>
      </c>
      <c r="J36" s="17">
        <v>1.6</v>
      </c>
      <c r="K36" s="17"/>
      <c r="L36" t="s">
        <v>252</v>
      </c>
      <c r="M36" s="17">
        <v>6.15144568129612E-2</v>
      </c>
      <c r="N36" s="18">
        <v>2026</v>
      </c>
      <c r="O36" s="18">
        <v>2030</v>
      </c>
      <c r="P36" s="19">
        <f t="shared" si="5"/>
        <v>5.3164731765103945E-2</v>
      </c>
      <c r="Q36" s="19">
        <f t="shared" si="1"/>
        <v>0.1047168</v>
      </c>
      <c r="R36" s="19">
        <f t="shared" si="2"/>
        <v>0.34560000000000002</v>
      </c>
      <c r="S36" s="20" t="s">
        <v>253</v>
      </c>
      <c r="T36" t="s">
        <v>178</v>
      </c>
      <c r="U36" s="21">
        <f t="shared" si="3"/>
        <v>1</v>
      </c>
      <c r="V36" s="15" t="str">
        <f t="shared" si="4"/>
        <v>OK</v>
      </c>
      <c r="W36" t="s">
        <v>247</v>
      </c>
      <c r="X36" t="s">
        <v>179</v>
      </c>
      <c r="Y36" t="s">
        <v>142</v>
      </c>
    </row>
    <row r="37" spans="1:25">
      <c r="A37" t="s">
        <v>247</v>
      </c>
      <c r="B37" t="s">
        <v>256</v>
      </c>
      <c r="C37" t="s">
        <v>249</v>
      </c>
      <c r="D37" t="s">
        <v>250</v>
      </c>
      <c r="E37" t="s">
        <v>190</v>
      </c>
      <c r="F37" t="s">
        <v>191</v>
      </c>
      <c r="G37" t="s">
        <v>251</v>
      </c>
      <c r="H37" s="17">
        <v>0.30299999999999999</v>
      </c>
      <c r="I37" s="17">
        <v>0.19828319999999999</v>
      </c>
      <c r="J37" s="17">
        <v>1.38</v>
      </c>
      <c r="K37" s="17"/>
      <c r="L37" t="s">
        <v>252</v>
      </c>
      <c r="M37" s="17">
        <v>6.15144568129612E-2</v>
      </c>
      <c r="N37" s="18">
        <v>2026</v>
      </c>
      <c r="O37" s="18">
        <v>2030</v>
      </c>
      <c r="P37" s="19">
        <f t="shared" si="5"/>
        <v>3.5683756299657476E-2</v>
      </c>
      <c r="Q37" s="19">
        <f t="shared" si="1"/>
        <v>0.1047168</v>
      </c>
      <c r="R37" s="19">
        <f t="shared" si="2"/>
        <v>0.34560000000000002</v>
      </c>
      <c r="S37" s="20" t="s">
        <v>253</v>
      </c>
      <c r="T37" t="s">
        <v>178</v>
      </c>
      <c r="U37" s="21">
        <f t="shared" si="3"/>
        <v>1</v>
      </c>
      <c r="V37" s="15" t="str">
        <f t="shared" si="4"/>
        <v>OK</v>
      </c>
      <c r="W37" t="s">
        <v>247</v>
      </c>
      <c r="X37" t="s">
        <v>179</v>
      </c>
      <c r="Y37" t="s">
        <v>142</v>
      </c>
    </row>
    <row r="38" spans="1:25">
      <c r="A38" t="s">
        <v>257</v>
      </c>
      <c r="B38" t="s">
        <v>258</v>
      </c>
      <c r="C38" t="s">
        <v>259</v>
      </c>
      <c r="D38" t="s">
        <v>250</v>
      </c>
      <c r="E38" t="s">
        <v>235</v>
      </c>
      <c r="F38" t="s">
        <v>236</v>
      </c>
      <c r="G38" t="s">
        <v>251</v>
      </c>
      <c r="H38" s="17">
        <v>0.30299999999999999</v>
      </c>
      <c r="I38" s="17">
        <v>0.29088000000000003</v>
      </c>
      <c r="J38" s="17">
        <v>1.37</v>
      </c>
      <c r="K38" s="17"/>
      <c r="L38" t="s">
        <v>252</v>
      </c>
      <c r="M38" s="17">
        <v>6.15144568129612E-2</v>
      </c>
      <c r="N38" s="18">
        <v>2026</v>
      </c>
      <c r="O38" s="18">
        <v>2030</v>
      </c>
      <c r="P38" s="19">
        <f t="shared" si="5"/>
        <v>4.0323349308970524E-3</v>
      </c>
      <c r="Q38" s="19">
        <f t="shared" si="1"/>
        <v>1.2119999999999964E-2</v>
      </c>
      <c r="R38" s="19">
        <f t="shared" si="2"/>
        <v>3.9999999999999883E-2</v>
      </c>
      <c r="S38" s="20" t="s">
        <v>260</v>
      </c>
      <c r="T38" t="s">
        <v>178</v>
      </c>
      <c r="U38" s="21">
        <f t="shared" si="3"/>
        <v>1</v>
      </c>
      <c r="V38" s="15" t="str">
        <f t="shared" si="4"/>
        <v>OK</v>
      </c>
      <c r="W38" t="s">
        <v>261</v>
      </c>
      <c r="X38" t="s">
        <v>206</v>
      </c>
      <c r="Y38" t="s">
        <v>142</v>
      </c>
    </row>
    <row r="39" spans="1:25">
      <c r="A39" t="s">
        <v>257</v>
      </c>
      <c r="B39" t="s">
        <v>262</v>
      </c>
      <c r="C39" t="s">
        <v>259</v>
      </c>
      <c r="D39" t="s">
        <v>250</v>
      </c>
      <c r="E39" t="s">
        <v>184</v>
      </c>
      <c r="F39" t="s">
        <v>185</v>
      </c>
      <c r="G39" t="s">
        <v>251</v>
      </c>
      <c r="H39" s="17">
        <v>0.30299999999999999</v>
      </c>
      <c r="I39" s="17">
        <v>0.29088000000000003</v>
      </c>
      <c r="J39" s="17">
        <v>1.19</v>
      </c>
      <c r="K39" s="17"/>
      <c r="L39" t="s">
        <v>252</v>
      </c>
      <c r="M39" s="17">
        <v>6.15144568129612E-2</v>
      </c>
      <c r="N39" s="18">
        <v>2026</v>
      </c>
      <c r="O39" s="18">
        <v>2030</v>
      </c>
      <c r="P39" s="19">
        <f t="shared" si="5"/>
        <v>2.1774445190387848E-3</v>
      </c>
      <c r="Q39" s="19">
        <f t="shared" si="1"/>
        <v>1.2119999999999964E-2</v>
      </c>
      <c r="R39" s="19">
        <f t="shared" si="2"/>
        <v>3.9999999999999883E-2</v>
      </c>
      <c r="S39" s="20" t="s">
        <v>260</v>
      </c>
      <c r="T39" t="s">
        <v>178</v>
      </c>
      <c r="U39" s="21">
        <f t="shared" si="3"/>
        <v>1</v>
      </c>
      <c r="V39" s="15" t="str">
        <f t="shared" si="4"/>
        <v>OK</v>
      </c>
      <c r="W39" t="s">
        <v>261</v>
      </c>
      <c r="X39" t="s">
        <v>206</v>
      </c>
      <c r="Y39" t="s">
        <v>142</v>
      </c>
    </row>
    <row r="40" spans="1:25">
      <c r="A40" t="s">
        <v>257</v>
      </c>
      <c r="B40" t="s">
        <v>263</v>
      </c>
      <c r="C40" t="s">
        <v>259</v>
      </c>
      <c r="D40" t="s">
        <v>250</v>
      </c>
      <c r="E40" t="s">
        <v>187</v>
      </c>
      <c r="F40" t="s">
        <v>188</v>
      </c>
      <c r="G40" t="s">
        <v>251</v>
      </c>
      <c r="H40" s="17">
        <v>0.30299999999999999</v>
      </c>
      <c r="I40" s="17">
        <v>0.29088000000000003</v>
      </c>
      <c r="J40" s="17">
        <v>1.6</v>
      </c>
      <c r="K40" s="17"/>
      <c r="L40" t="s">
        <v>252</v>
      </c>
      <c r="M40" s="17">
        <v>6.15144568129612E-2</v>
      </c>
      <c r="N40" s="18">
        <v>2026</v>
      </c>
      <c r="O40" s="18">
        <v>2030</v>
      </c>
      <c r="P40" s="19">
        <f t="shared" si="5"/>
        <v>6.1533254357758471E-3</v>
      </c>
      <c r="Q40" s="19">
        <f t="shared" si="1"/>
        <v>1.2119999999999964E-2</v>
      </c>
      <c r="R40" s="19">
        <f t="shared" si="2"/>
        <v>3.9999999999999883E-2</v>
      </c>
      <c r="S40" s="20" t="s">
        <v>260</v>
      </c>
      <c r="T40" t="s">
        <v>178</v>
      </c>
      <c r="U40" s="21">
        <f t="shared" si="3"/>
        <v>1</v>
      </c>
      <c r="V40" s="15" t="str">
        <f t="shared" si="4"/>
        <v>OK</v>
      </c>
      <c r="W40" t="s">
        <v>261</v>
      </c>
      <c r="X40" t="s">
        <v>206</v>
      </c>
      <c r="Y40" t="s">
        <v>142</v>
      </c>
    </row>
    <row r="41" spans="1:25">
      <c r="A41" t="s">
        <v>257</v>
      </c>
      <c r="B41" t="s">
        <v>264</v>
      </c>
      <c r="C41" t="s">
        <v>259</v>
      </c>
      <c r="D41" t="s">
        <v>250</v>
      </c>
      <c r="E41" t="s">
        <v>190</v>
      </c>
      <c r="F41" t="s">
        <v>191</v>
      </c>
      <c r="G41" t="s">
        <v>251</v>
      </c>
      <c r="H41" s="17">
        <v>0.30299999999999999</v>
      </c>
      <c r="I41" s="17">
        <v>0.29088000000000003</v>
      </c>
      <c r="J41" s="17">
        <v>1.38</v>
      </c>
      <c r="K41" s="17"/>
      <c r="L41" t="s">
        <v>252</v>
      </c>
      <c r="M41" s="17">
        <v>6.15144568129612E-2</v>
      </c>
      <c r="N41" s="18">
        <v>2026</v>
      </c>
      <c r="O41" s="18">
        <v>2030</v>
      </c>
      <c r="P41" s="19">
        <f t="shared" si="5"/>
        <v>4.1300643865345155E-3</v>
      </c>
      <c r="Q41" s="19">
        <f t="shared" si="1"/>
        <v>1.2119999999999964E-2</v>
      </c>
      <c r="R41" s="19">
        <f t="shared" si="2"/>
        <v>3.9999999999999883E-2</v>
      </c>
      <c r="S41" s="20" t="s">
        <v>260</v>
      </c>
      <c r="T41" t="s">
        <v>178</v>
      </c>
      <c r="U41" s="21">
        <f t="shared" si="3"/>
        <v>1</v>
      </c>
      <c r="V41" s="15" t="str">
        <f t="shared" si="4"/>
        <v>OK</v>
      </c>
      <c r="W41" t="s">
        <v>261</v>
      </c>
      <c r="X41" t="s">
        <v>206</v>
      </c>
      <c r="Y41" t="s">
        <v>142</v>
      </c>
    </row>
    <row r="42" spans="1:25">
      <c r="A42" t="s">
        <v>265</v>
      </c>
      <c r="B42" t="s">
        <v>266</v>
      </c>
      <c r="C42" t="s">
        <v>267</v>
      </c>
      <c r="D42" t="s">
        <v>250</v>
      </c>
      <c r="E42" t="s">
        <v>235</v>
      </c>
      <c r="F42" t="s">
        <v>236</v>
      </c>
      <c r="G42" t="s">
        <v>251</v>
      </c>
      <c r="H42" s="17">
        <v>0.30299999999999999</v>
      </c>
      <c r="I42" s="17">
        <v>0.28633500000000001</v>
      </c>
      <c r="J42" s="17">
        <v>1.37</v>
      </c>
      <c r="K42" s="17"/>
      <c r="L42" t="s">
        <v>252</v>
      </c>
      <c r="M42" s="17">
        <v>6.15144568129612E-2</v>
      </c>
      <c r="N42" s="18">
        <v>2026</v>
      </c>
      <c r="O42" s="18">
        <v>2030</v>
      </c>
      <c r="P42" s="19">
        <f t="shared" si="5"/>
        <v>5.5444605299833638E-3</v>
      </c>
      <c r="Q42" s="19">
        <f t="shared" si="1"/>
        <v>1.6664999999999985E-2</v>
      </c>
      <c r="R42" s="19">
        <f t="shared" si="2"/>
        <v>5.4999999999999952E-2</v>
      </c>
      <c r="S42" s="20" t="s">
        <v>268</v>
      </c>
      <c r="T42" t="s">
        <v>178</v>
      </c>
      <c r="U42" s="21">
        <f t="shared" si="3"/>
        <v>1</v>
      </c>
      <c r="V42" s="15" t="str">
        <f t="shared" si="4"/>
        <v>OK</v>
      </c>
      <c r="W42" t="s">
        <v>261</v>
      </c>
      <c r="X42" t="s">
        <v>206</v>
      </c>
      <c r="Y42" t="s">
        <v>142</v>
      </c>
    </row>
    <row r="43" spans="1:25">
      <c r="A43" t="s">
        <v>265</v>
      </c>
      <c r="B43" t="s">
        <v>269</v>
      </c>
      <c r="C43" t="s">
        <v>267</v>
      </c>
      <c r="D43" t="s">
        <v>250</v>
      </c>
      <c r="E43" t="s">
        <v>184</v>
      </c>
      <c r="F43" t="s">
        <v>185</v>
      </c>
      <c r="G43" t="s">
        <v>251</v>
      </c>
      <c r="H43" s="17">
        <v>0.30299999999999999</v>
      </c>
      <c r="I43" s="17">
        <v>0.28633500000000001</v>
      </c>
      <c r="J43" s="17">
        <v>1.19</v>
      </c>
      <c r="K43" s="17"/>
      <c r="L43" t="s">
        <v>252</v>
      </c>
      <c r="M43" s="17">
        <v>6.15144568129612E-2</v>
      </c>
      <c r="N43" s="18">
        <v>2026</v>
      </c>
      <c r="O43" s="18">
        <v>2030</v>
      </c>
      <c r="P43" s="19">
        <f t="shared" si="5"/>
        <v>2.9939862136784123E-3</v>
      </c>
      <c r="Q43" s="19">
        <f t="shared" si="1"/>
        <v>1.6664999999999985E-2</v>
      </c>
      <c r="R43" s="19">
        <f t="shared" si="2"/>
        <v>5.4999999999999952E-2</v>
      </c>
      <c r="S43" s="20" t="s">
        <v>268</v>
      </c>
      <c r="T43" t="s">
        <v>178</v>
      </c>
      <c r="U43" s="21">
        <f t="shared" si="3"/>
        <v>1</v>
      </c>
      <c r="V43" s="15" t="str">
        <f t="shared" si="4"/>
        <v>OK</v>
      </c>
      <c r="W43" t="s">
        <v>261</v>
      </c>
      <c r="X43" t="s">
        <v>206</v>
      </c>
      <c r="Y43" t="s">
        <v>142</v>
      </c>
    </row>
    <row r="44" spans="1:25">
      <c r="A44" t="s">
        <v>265</v>
      </c>
      <c r="B44" t="s">
        <v>270</v>
      </c>
      <c r="C44" t="s">
        <v>267</v>
      </c>
      <c r="D44" t="s">
        <v>250</v>
      </c>
      <c r="E44" t="s">
        <v>187</v>
      </c>
      <c r="F44" t="s">
        <v>188</v>
      </c>
      <c r="G44" t="s">
        <v>251</v>
      </c>
      <c r="H44" s="17">
        <v>0.30299999999999999</v>
      </c>
      <c r="I44" s="17">
        <v>0.28633500000000001</v>
      </c>
      <c r="J44" s="17">
        <v>1.6</v>
      </c>
      <c r="K44" s="17"/>
      <c r="L44" t="s">
        <v>252</v>
      </c>
      <c r="M44" s="17">
        <v>6.15144568129612E-2</v>
      </c>
      <c r="N44" s="18">
        <v>2026</v>
      </c>
      <c r="O44" s="18">
        <v>2030</v>
      </c>
      <c r="P44" s="19">
        <f t="shared" si="5"/>
        <v>8.4608224741917759E-3</v>
      </c>
      <c r="Q44" s="19">
        <f t="shared" si="1"/>
        <v>1.6664999999999985E-2</v>
      </c>
      <c r="R44" s="19">
        <f t="shared" si="2"/>
        <v>5.4999999999999952E-2</v>
      </c>
      <c r="S44" s="20" t="s">
        <v>268</v>
      </c>
      <c r="T44" t="s">
        <v>178</v>
      </c>
      <c r="U44" s="21">
        <f t="shared" si="3"/>
        <v>1</v>
      </c>
      <c r="V44" s="15" t="str">
        <f t="shared" si="4"/>
        <v>OK</v>
      </c>
      <c r="W44" t="s">
        <v>261</v>
      </c>
      <c r="X44" t="s">
        <v>206</v>
      </c>
      <c r="Y44" t="s">
        <v>142</v>
      </c>
    </row>
    <row r="45" spans="1:25">
      <c r="A45" t="s">
        <v>265</v>
      </c>
      <c r="B45" t="s">
        <v>271</v>
      </c>
      <c r="C45" t="s">
        <v>267</v>
      </c>
      <c r="D45" t="s">
        <v>250</v>
      </c>
      <c r="E45" t="s">
        <v>190</v>
      </c>
      <c r="F45" t="s">
        <v>191</v>
      </c>
      <c r="G45" t="s">
        <v>251</v>
      </c>
      <c r="H45" s="17">
        <v>0.30299999999999999</v>
      </c>
      <c r="I45" s="17">
        <v>0.28633500000000001</v>
      </c>
      <c r="J45" s="17">
        <v>1.38</v>
      </c>
      <c r="K45" s="17"/>
      <c r="L45" t="s">
        <v>252</v>
      </c>
      <c r="M45" s="17">
        <v>6.15144568129612E-2</v>
      </c>
      <c r="N45" s="18">
        <v>2026</v>
      </c>
      <c r="O45" s="18">
        <v>2030</v>
      </c>
      <c r="P45" s="19">
        <f t="shared" si="5"/>
        <v>5.6788385314847645E-3</v>
      </c>
      <c r="Q45" s="19">
        <f t="shared" si="1"/>
        <v>1.6664999999999985E-2</v>
      </c>
      <c r="R45" s="19">
        <f t="shared" si="2"/>
        <v>5.4999999999999952E-2</v>
      </c>
      <c r="S45" s="20" t="s">
        <v>268</v>
      </c>
      <c r="T45" t="s">
        <v>178</v>
      </c>
      <c r="U45" s="21">
        <f t="shared" si="3"/>
        <v>1</v>
      </c>
      <c r="V45" s="15" t="str">
        <f t="shared" si="4"/>
        <v>OK</v>
      </c>
      <c r="W45" t="s">
        <v>261</v>
      </c>
      <c r="X45" t="s">
        <v>206</v>
      </c>
      <c r="Y45" t="s">
        <v>142</v>
      </c>
    </row>
    <row r="46" spans="1:25">
      <c r="A46" t="s">
        <v>272</v>
      </c>
      <c r="B46" t="s">
        <v>273</v>
      </c>
      <c r="C46" t="s">
        <v>274</v>
      </c>
      <c r="D46" t="s">
        <v>250</v>
      </c>
      <c r="E46" t="s">
        <v>235</v>
      </c>
      <c r="F46" t="s">
        <v>236</v>
      </c>
      <c r="G46" t="s">
        <v>251</v>
      </c>
      <c r="H46" s="17">
        <v>0.30299999999999999</v>
      </c>
      <c r="I46" s="17">
        <v>0.28330499999999997</v>
      </c>
      <c r="J46" s="17">
        <v>1.37</v>
      </c>
      <c r="K46" s="17"/>
      <c r="L46" t="s">
        <v>252</v>
      </c>
      <c r="M46" s="17">
        <v>6.15144568129612E-2</v>
      </c>
      <c r="N46" s="18">
        <v>2026</v>
      </c>
      <c r="O46" s="18">
        <v>2030</v>
      </c>
      <c r="P46" s="19">
        <f t="shared" si="5"/>
        <v>6.5525442627076824E-3</v>
      </c>
      <c r="Q46" s="19">
        <f t="shared" si="1"/>
        <v>1.9695000000000018E-2</v>
      </c>
      <c r="R46" s="19">
        <f t="shared" si="2"/>
        <v>6.5000000000000058E-2</v>
      </c>
      <c r="S46" s="20" t="s">
        <v>275</v>
      </c>
      <c r="T46" t="s">
        <v>178</v>
      </c>
      <c r="U46" s="21">
        <f t="shared" si="3"/>
        <v>1</v>
      </c>
      <c r="V46" s="15" t="str">
        <f t="shared" si="4"/>
        <v>OK</v>
      </c>
      <c r="W46" t="s">
        <v>261</v>
      </c>
      <c r="X46" t="s">
        <v>206</v>
      </c>
      <c r="Y46" t="s">
        <v>142</v>
      </c>
    </row>
    <row r="47" spans="1:25">
      <c r="A47" t="s">
        <v>272</v>
      </c>
      <c r="B47" t="s">
        <v>276</v>
      </c>
      <c r="C47" t="s">
        <v>274</v>
      </c>
      <c r="D47" t="s">
        <v>250</v>
      </c>
      <c r="E47" t="s">
        <v>184</v>
      </c>
      <c r="F47" t="s">
        <v>185</v>
      </c>
      <c r="G47" t="s">
        <v>251</v>
      </c>
      <c r="H47" s="17">
        <v>0.30299999999999999</v>
      </c>
      <c r="I47" s="17">
        <v>0.28330499999999997</v>
      </c>
      <c r="J47" s="17">
        <v>1.19</v>
      </c>
      <c r="K47" s="17"/>
      <c r="L47" t="s">
        <v>252</v>
      </c>
      <c r="M47" s="17">
        <v>6.15144568129612E-2</v>
      </c>
      <c r="N47" s="18">
        <v>2026</v>
      </c>
      <c r="O47" s="18">
        <v>2030</v>
      </c>
      <c r="P47" s="19">
        <f t="shared" si="5"/>
        <v>3.538347343438053E-3</v>
      </c>
      <c r="Q47" s="19">
        <f t="shared" si="1"/>
        <v>1.9695000000000018E-2</v>
      </c>
      <c r="R47" s="19">
        <f t="shared" si="2"/>
        <v>6.5000000000000058E-2</v>
      </c>
      <c r="S47" s="20" t="s">
        <v>275</v>
      </c>
      <c r="T47" t="s">
        <v>178</v>
      </c>
      <c r="U47" s="21">
        <f t="shared" si="3"/>
        <v>1</v>
      </c>
      <c r="V47" s="15" t="str">
        <f t="shared" si="4"/>
        <v>OK</v>
      </c>
      <c r="W47" t="s">
        <v>261</v>
      </c>
      <c r="X47" t="s">
        <v>206</v>
      </c>
      <c r="Y47" t="s">
        <v>142</v>
      </c>
    </row>
    <row r="48" spans="1:25">
      <c r="A48" t="s">
        <v>272</v>
      </c>
      <c r="B48" t="s">
        <v>277</v>
      </c>
      <c r="C48" t="s">
        <v>274</v>
      </c>
      <c r="D48" t="s">
        <v>250</v>
      </c>
      <c r="E48" t="s">
        <v>187</v>
      </c>
      <c r="F48" t="s">
        <v>188</v>
      </c>
      <c r="G48" t="s">
        <v>251</v>
      </c>
      <c r="H48" s="17">
        <v>0.30299999999999999</v>
      </c>
      <c r="I48" s="17">
        <v>0.28330499999999997</v>
      </c>
      <c r="J48" s="17">
        <v>1.6</v>
      </c>
      <c r="K48" s="17"/>
      <c r="L48" t="s">
        <v>252</v>
      </c>
      <c r="M48" s="17">
        <v>6.15144568129612E-2</v>
      </c>
      <c r="N48" s="18">
        <v>2026</v>
      </c>
      <c r="O48" s="18">
        <v>2030</v>
      </c>
      <c r="P48" s="19">
        <f t="shared" si="5"/>
        <v>9.9991538331358765E-3</v>
      </c>
      <c r="Q48" s="19">
        <f t="shared" si="1"/>
        <v>1.9695000000000018E-2</v>
      </c>
      <c r="R48" s="19">
        <f t="shared" si="2"/>
        <v>6.5000000000000058E-2</v>
      </c>
      <c r="S48" s="20" t="s">
        <v>275</v>
      </c>
      <c r="T48" t="s">
        <v>178</v>
      </c>
      <c r="U48" s="21">
        <f t="shared" si="3"/>
        <v>1</v>
      </c>
      <c r="V48" s="15" t="str">
        <f t="shared" si="4"/>
        <v>OK</v>
      </c>
      <c r="W48" t="s">
        <v>261</v>
      </c>
      <c r="X48" t="s">
        <v>206</v>
      </c>
      <c r="Y48" t="s">
        <v>142</v>
      </c>
    </row>
    <row r="49" spans="1:25">
      <c r="A49" t="s">
        <v>272</v>
      </c>
      <c r="B49" t="s">
        <v>278</v>
      </c>
      <c r="C49" t="s">
        <v>274</v>
      </c>
      <c r="D49" t="s">
        <v>250</v>
      </c>
      <c r="E49" t="s">
        <v>190</v>
      </c>
      <c r="F49" t="s">
        <v>191</v>
      </c>
      <c r="G49" t="s">
        <v>251</v>
      </c>
      <c r="H49" s="17">
        <v>0.30299999999999999</v>
      </c>
      <c r="I49" s="17">
        <v>0.28330499999999997</v>
      </c>
      <c r="J49" s="17">
        <v>1.38</v>
      </c>
      <c r="K49" s="17"/>
      <c r="L49" t="s">
        <v>252</v>
      </c>
      <c r="M49" s="17">
        <v>6.15144568129612E-2</v>
      </c>
      <c r="N49" s="18">
        <v>2026</v>
      </c>
      <c r="O49" s="18">
        <v>2030</v>
      </c>
      <c r="P49" s="19">
        <f t="shared" si="5"/>
        <v>6.7113546281185599E-3</v>
      </c>
      <c r="Q49" s="19">
        <f t="shared" si="1"/>
        <v>1.9695000000000018E-2</v>
      </c>
      <c r="R49" s="19">
        <f t="shared" si="2"/>
        <v>6.5000000000000058E-2</v>
      </c>
      <c r="S49" s="20" t="s">
        <v>275</v>
      </c>
      <c r="T49" t="s">
        <v>178</v>
      </c>
      <c r="U49" s="21">
        <f t="shared" si="3"/>
        <v>1</v>
      </c>
      <c r="V49" s="15" t="str">
        <f t="shared" si="4"/>
        <v>OK</v>
      </c>
      <c r="W49" t="s">
        <v>261</v>
      </c>
      <c r="X49" t="s">
        <v>206</v>
      </c>
      <c r="Y49" t="s">
        <v>142</v>
      </c>
    </row>
  </sheetData>
  <autoFilter ref="A1:Y1" xr:uid="{00000000-0009-0000-0000-000003000000}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ColWidth="11.19921875" defaultRowHeight="13.8"/>
  <cols>
    <col min="1" max="1" width="80.69921875" customWidth="1"/>
  </cols>
  <sheetData>
    <row r="1" spans="1:1">
      <c r="A1" s="1" t="s">
        <v>279</v>
      </c>
    </row>
    <row r="2" spans="1:1">
      <c r="A2" t="s">
        <v>280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13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1.69921875" customWidth="1"/>
    <col min="2" max="2" width="17.69921875" customWidth="1"/>
    <col min="3" max="3" width="11.69921875" customWidth="1"/>
    <col min="4" max="4" width="14.69921875" customWidth="1"/>
    <col min="5" max="6" width="19.69921875" customWidth="1"/>
    <col min="7" max="7" width="27.69921875" customWidth="1"/>
    <col min="8" max="8" width="25.69921875" customWidth="1"/>
    <col min="9" max="9" width="23.69921875" customWidth="1"/>
    <col min="10" max="10" width="27.69921875" customWidth="1"/>
    <col min="11" max="11" width="25.69921875" customWidth="1"/>
    <col min="12" max="12" width="27.69921875" customWidth="1"/>
    <col min="13" max="13" width="25.69921875" customWidth="1"/>
    <col min="14" max="14" width="18.69921875" customWidth="1"/>
    <col min="15" max="15" width="20.69921875" customWidth="1"/>
    <col min="16" max="16" width="22.69921875" customWidth="1"/>
    <col min="17" max="18" width="18.69921875" customWidth="1"/>
    <col min="19" max="19" width="29.69921875" customWidth="1"/>
    <col min="20" max="20" width="15.69921875" customWidth="1"/>
    <col min="21" max="21" width="11.69921875" customWidth="1"/>
  </cols>
  <sheetData>
    <row r="1" spans="1:21" ht="28.05" customHeight="1">
      <c r="A1" s="1" t="s">
        <v>281</v>
      </c>
      <c r="B1" s="1" t="s">
        <v>145</v>
      </c>
      <c r="C1" s="1" t="s">
        <v>282</v>
      </c>
      <c r="D1" s="1" t="s">
        <v>283</v>
      </c>
      <c r="E1" s="1" t="s">
        <v>166</v>
      </c>
      <c r="F1" s="1" t="s">
        <v>167</v>
      </c>
      <c r="G1" s="1" t="s">
        <v>284</v>
      </c>
      <c r="H1" s="1" t="s">
        <v>285</v>
      </c>
      <c r="I1" s="1" t="s">
        <v>286</v>
      </c>
      <c r="J1" s="1" t="s">
        <v>287</v>
      </c>
      <c r="K1" s="1" t="s">
        <v>288</v>
      </c>
      <c r="L1" s="1" t="s">
        <v>289</v>
      </c>
      <c r="M1" s="1" t="s">
        <v>290</v>
      </c>
      <c r="N1" s="1" t="s">
        <v>291</v>
      </c>
      <c r="O1" s="1" t="s">
        <v>292</v>
      </c>
      <c r="P1" s="1" t="s">
        <v>293</v>
      </c>
      <c r="Q1" s="1" t="s">
        <v>294</v>
      </c>
      <c r="R1" s="1" t="s">
        <v>295</v>
      </c>
      <c r="S1" s="1" t="s">
        <v>296</v>
      </c>
      <c r="T1" s="1" t="s">
        <v>163</v>
      </c>
      <c r="U1" s="1" t="s">
        <v>297</v>
      </c>
    </row>
    <row r="2" spans="1:21">
      <c r="A2" s="3" t="s">
        <v>298</v>
      </c>
      <c r="B2" s="3" t="s">
        <v>247</v>
      </c>
      <c r="C2" s="3" t="s">
        <v>299</v>
      </c>
      <c r="D2" s="3" t="s">
        <v>300</v>
      </c>
      <c r="E2" s="3" t="s">
        <v>247</v>
      </c>
      <c r="F2" s="3" t="s">
        <v>179</v>
      </c>
      <c r="G2" s="3">
        <v>0.56999999999999995</v>
      </c>
      <c r="H2" s="3">
        <v>0.75</v>
      </c>
      <c r="I2" s="3" t="s">
        <v>301</v>
      </c>
      <c r="J2" s="3" t="s">
        <v>302</v>
      </c>
      <c r="K2" s="3" t="s">
        <v>302</v>
      </c>
      <c r="L2" s="22">
        <v>0.5</v>
      </c>
      <c r="M2" s="22">
        <v>0.5</v>
      </c>
      <c r="N2" s="3">
        <v>-0.48</v>
      </c>
      <c r="O2" s="19" t="str">
        <f t="shared" ref="O2:O13" si="0">IF(D2="regulatory_gap_multiplicative",MAX(0,M2-L2),"")</f>
        <v/>
      </c>
      <c r="P2" s="19">
        <f t="shared" ref="P2:P13" si="1">IF(D2="tax_share_to_price_elasticity",(1-G2)/(1-H2)-1,IF(D2="price_elasticity",Q2,""))</f>
        <v>0.7200000000000002</v>
      </c>
      <c r="Q2" s="19" t="str">
        <f t="shared" ref="Q2:Q13" si="2">IF(D2="price_elasticity",MAX(0,H2-G2),"")</f>
        <v/>
      </c>
      <c r="R2" s="19">
        <f t="shared" ref="R2:R13" si="3">IF(D2="regulatory_gap_multiplicative",N2*O2,IF(OR(D2="price_elasticity",D2="tax_share_to_price_elasticity"),ABS(N2)*P2,""))</f>
        <v>0.34560000000000007</v>
      </c>
      <c r="S2" s="22">
        <v>0.34560000000000002</v>
      </c>
      <c r="T2" s="3" t="s">
        <v>178</v>
      </c>
      <c r="U2" s="3" t="s">
        <v>303</v>
      </c>
    </row>
    <row r="3" spans="1:21">
      <c r="A3" s="3" t="s">
        <v>304</v>
      </c>
      <c r="B3" s="3" t="s">
        <v>192</v>
      </c>
      <c r="C3" s="3" t="s">
        <v>305</v>
      </c>
      <c r="D3" s="3" t="s">
        <v>306</v>
      </c>
      <c r="E3" s="3" t="s">
        <v>192</v>
      </c>
      <c r="F3" s="3" t="s">
        <v>179</v>
      </c>
      <c r="G3" s="3">
        <v>0</v>
      </c>
      <c r="H3" s="3">
        <v>0.25</v>
      </c>
      <c r="I3" s="3" t="s">
        <v>307</v>
      </c>
      <c r="J3" s="3" t="s">
        <v>308</v>
      </c>
      <c r="K3" s="3" t="s">
        <v>308</v>
      </c>
      <c r="L3" s="22">
        <v>0</v>
      </c>
      <c r="M3" s="22">
        <v>0</v>
      </c>
      <c r="N3" s="3">
        <v>-0.49</v>
      </c>
      <c r="O3" s="19" t="str">
        <f t="shared" si="0"/>
        <v/>
      </c>
      <c r="P3" s="19">
        <f t="shared" si="1"/>
        <v>0.25</v>
      </c>
      <c r="Q3" s="19">
        <f t="shared" si="2"/>
        <v>0.25</v>
      </c>
      <c r="R3" s="19">
        <f t="shared" si="3"/>
        <v>0.1225</v>
      </c>
      <c r="S3" s="22">
        <v>0.1225</v>
      </c>
      <c r="T3" s="3" t="s">
        <v>178</v>
      </c>
      <c r="U3" s="3" t="s">
        <v>303</v>
      </c>
    </row>
    <row r="4" spans="1:21">
      <c r="A4" s="3" t="s">
        <v>309</v>
      </c>
      <c r="B4" s="3" t="s">
        <v>265</v>
      </c>
      <c r="C4" s="3" t="s">
        <v>310</v>
      </c>
      <c r="D4" s="3" t="s">
        <v>311</v>
      </c>
      <c r="E4" s="3" t="s">
        <v>261</v>
      </c>
      <c r="F4" s="3" t="s">
        <v>206</v>
      </c>
      <c r="G4" s="3"/>
      <c r="H4" s="3"/>
      <c r="I4" s="3"/>
      <c r="J4" s="3" t="s">
        <v>302</v>
      </c>
      <c r="K4" s="3" t="s">
        <v>312</v>
      </c>
      <c r="L4" s="22">
        <v>0.5</v>
      </c>
      <c r="M4" s="22">
        <v>1</v>
      </c>
      <c r="N4" s="3">
        <v>0.11</v>
      </c>
      <c r="O4" s="19">
        <f t="shared" si="0"/>
        <v>0.5</v>
      </c>
      <c r="P4" s="19" t="str">
        <f t="shared" si="1"/>
        <v/>
      </c>
      <c r="Q4" s="19" t="str">
        <f t="shared" si="2"/>
        <v/>
      </c>
      <c r="R4" s="19">
        <f t="shared" si="3"/>
        <v>5.5E-2</v>
      </c>
      <c r="S4" s="22">
        <v>5.5E-2</v>
      </c>
      <c r="T4" s="3" t="s">
        <v>178</v>
      </c>
      <c r="U4" s="3" t="s">
        <v>303</v>
      </c>
    </row>
    <row r="5" spans="1:21">
      <c r="A5" s="3" t="s">
        <v>313</v>
      </c>
      <c r="B5" s="3" t="s">
        <v>272</v>
      </c>
      <c r="C5" s="3" t="s">
        <v>314</v>
      </c>
      <c r="D5" s="3" t="s">
        <v>311</v>
      </c>
      <c r="E5" s="3" t="s">
        <v>261</v>
      </c>
      <c r="F5" s="3" t="s">
        <v>206</v>
      </c>
      <c r="G5" s="3"/>
      <c r="H5" s="3"/>
      <c r="I5" s="3"/>
      <c r="J5" s="3" t="s">
        <v>308</v>
      </c>
      <c r="K5" s="3" t="s">
        <v>312</v>
      </c>
      <c r="L5" s="22">
        <v>0</v>
      </c>
      <c r="M5" s="22">
        <v>1</v>
      </c>
      <c r="N5" s="3">
        <v>6.5000000000000002E-2</v>
      </c>
      <c r="O5" s="19">
        <f t="shared" si="0"/>
        <v>1</v>
      </c>
      <c r="P5" s="19" t="str">
        <f t="shared" si="1"/>
        <v/>
      </c>
      <c r="Q5" s="19" t="str">
        <f t="shared" si="2"/>
        <v/>
      </c>
      <c r="R5" s="19">
        <f t="shared" si="3"/>
        <v>6.5000000000000002E-2</v>
      </c>
      <c r="S5" s="22">
        <v>6.5000000000000002E-2</v>
      </c>
      <c r="T5" s="3" t="s">
        <v>178</v>
      </c>
      <c r="U5" s="3" t="s">
        <v>303</v>
      </c>
    </row>
    <row r="6" spans="1:21">
      <c r="A6" s="3" t="s">
        <v>315</v>
      </c>
      <c r="B6" s="3" t="s">
        <v>257</v>
      </c>
      <c r="C6" s="3" t="s">
        <v>316</v>
      </c>
      <c r="D6" s="3" t="s">
        <v>311</v>
      </c>
      <c r="E6" s="3" t="s">
        <v>261</v>
      </c>
      <c r="F6" s="3" t="s">
        <v>206</v>
      </c>
      <c r="G6" s="3"/>
      <c r="H6" s="3"/>
      <c r="I6" s="3"/>
      <c r="J6" s="3" t="s">
        <v>308</v>
      </c>
      <c r="K6" s="3" t="s">
        <v>312</v>
      </c>
      <c r="L6" s="22">
        <v>0</v>
      </c>
      <c r="M6" s="22">
        <v>1</v>
      </c>
      <c r="N6" s="3">
        <v>0.04</v>
      </c>
      <c r="O6" s="19">
        <f t="shared" si="0"/>
        <v>1</v>
      </c>
      <c r="P6" s="19" t="str">
        <f t="shared" si="1"/>
        <v/>
      </c>
      <c r="Q6" s="19" t="str">
        <f t="shared" si="2"/>
        <v/>
      </c>
      <c r="R6" s="19">
        <f t="shared" si="3"/>
        <v>0.04</v>
      </c>
      <c r="S6" s="22">
        <v>0.04</v>
      </c>
      <c r="T6" s="3" t="s">
        <v>178</v>
      </c>
      <c r="U6" s="3" t="s">
        <v>303</v>
      </c>
    </row>
    <row r="7" spans="1:21">
      <c r="A7" s="3" t="s">
        <v>317</v>
      </c>
      <c r="B7" s="3" t="s">
        <v>169</v>
      </c>
      <c r="C7" s="3" t="s">
        <v>171</v>
      </c>
      <c r="D7" s="3" t="s">
        <v>311</v>
      </c>
      <c r="E7" s="3" t="s">
        <v>169</v>
      </c>
      <c r="F7" s="3" t="s">
        <v>179</v>
      </c>
      <c r="G7" s="3"/>
      <c r="H7" s="3"/>
      <c r="I7" s="3"/>
      <c r="J7" s="3" t="s">
        <v>302</v>
      </c>
      <c r="K7" s="3" t="s">
        <v>312</v>
      </c>
      <c r="L7" s="22">
        <v>0.5</v>
      </c>
      <c r="M7" s="22">
        <v>1</v>
      </c>
      <c r="N7" s="3">
        <v>0.26900000000000002</v>
      </c>
      <c r="O7" s="19">
        <f t="shared" si="0"/>
        <v>0.5</v>
      </c>
      <c r="P7" s="19" t="str">
        <f t="shared" si="1"/>
        <v/>
      </c>
      <c r="Q7" s="19" t="str">
        <f t="shared" si="2"/>
        <v/>
      </c>
      <c r="R7" s="19">
        <f t="shared" si="3"/>
        <v>0.13450000000000001</v>
      </c>
      <c r="S7" s="22">
        <v>0.13450000000000001</v>
      </c>
      <c r="T7" s="3" t="s">
        <v>178</v>
      </c>
      <c r="U7" s="3" t="s">
        <v>303</v>
      </c>
    </row>
    <row r="8" spans="1:21">
      <c r="A8" s="3" t="s">
        <v>318</v>
      </c>
      <c r="B8" s="3" t="s">
        <v>224</v>
      </c>
      <c r="C8" s="3" t="s">
        <v>319</v>
      </c>
      <c r="D8" s="3" t="s">
        <v>311</v>
      </c>
      <c r="E8" s="3" t="s">
        <v>205</v>
      </c>
      <c r="F8" s="3" t="s">
        <v>206</v>
      </c>
      <c r="G8" s="3"/>
      <c r="H8" s="3"/>
      <c r="I8" s="3"/>
      <c r="J8" s="3" t="s">
        <v>302</v>
      </c>
      <c r="K8" s="3" t="s">
        <v>312</v>
      </c>
      <c r="L8" s="22">
        <v>0.5</v>
      </c>
      <c r="M8" s="22">
        <v>1</v>
      </c>
      <c r="N8" s="3">
        <v>0.2</v>
      </c>
      <c r="O8" s="19">
        <f t="shared" si="0"/>
        <v>0.5</v>
      </c>
      <c r="P8" s="19" t="str">
        <f t="shared" si="1"/>
        <v/>
      </c>
      <c r="Q8" s="19" t="str">
        <f t="shared" si="2"/>
        <v/>
      </c>
      <c r="R8" s="19">
        <f t="shared" si="3"/>
        <v>0.1</v>
      </c>
      <c r="S8" s="22">
        <v>0.1</v>
      </c>
      <c r="T8" s="3" t="s">
        <v>178</v>
      </c>
      <c r="U8" s="3" t="s">
        <v>303</v>
      </c>
    </row>
    <row r="9" spans="1:21">
      <c r="A9" s="3" t="s">
        <v>320</v>
      </c>
      <c r="B9" s="3" t="s">
        <v>210</v>
      </c>
      <c r="C9" s="3" t="s">
        <v>321</v>
      </c>
      <c r="D9" s="3" t="s">
        <v>311</v>
      </c>
      <c r="E9" s="3" t="s">
        <v>205</v>
      </c>
      <c r="F9" s="3" t="s">
        <v>206</v>
      </c>
      <c r="G9" s="3"/>
      <c r="H9" s="3"/>
      <c r="I9" s="3"/>
      <c r="J9" s="3" t="s">
        <v>302</v>
      </c>
      <c r="K9" s="3" t="s">
        <v>312</v>
      </c>
      <c r="L9" s="22">
        <v>0.5</v>
      </c>
      <c r="M9" s="22">
        <v>1</v>
      </c>
      <c r="N9" s="3">
        <v>0.1</v>
      </c>
      <c r="O9" s="19">
        <f t="shared" si="0"/>
        <v>0.5</v>
      </c>
      <c r="P9" s="19" t="str">
        <f t="shared" si="1"/>
        <v/>
      </c>
      <c r="Q9" s="19" t="str">
        <f t="shared" si="2"/>
        <v/>
      </c>
      <c r="R9" s="19">
        <f t="shared" si="3"/>
        <v>0.05</v>
      </c>
      <c r="S9" s="22">
        <v>0.05</v>
      </c>
      <c r="T9" s="3" t="s">
        <v>178</v>
      </c>
      <c r="U9" s="3" t="s">
        <v>303</v>
      </c>
    </row>
    <row r="10" spans="1:21">
      <c r="A10" s="3" t="s">
        <v>322</v>
      </c>
      <c r="B10" s="3" t="s">
        <v>217</v>
      </c>
      <c r="C10" s="3" t="s">
        <v>323</v>
      </c>
      <c r="D10" s="3" t="s">
        <v>311</v>
      </c>
      <c r="E10" s="3" t="s">
        <v>205</v>
      </c>
      <c r="F10" s="3" t="s">
        <v>206</v>
      </c>
      <c r="G10" s="3"/>
      <c r="H10" s="3"/>
      <c r="I10" s="3"/>
      <c r="J10" s="3" t="s">
        <v>302</v>
      </c>
      <c r="K10" s="3" t="s">
        <v>302</v>
      </c>
      <c r="L10" s="22">
        <v>0.5</v>
      </c>
      <c r="M10" s="22">
        <v>0.5</v>
      </c>
      <c r="N10" s="3">
        <v>0.05</v>
      </c>
      <c r="O10" s="19">
        <f t="shared" si="0"/>
        <v>0</v>
      </c>
      <c r="P10" s="19" t="str">
        <f t="shared" si="1"/>
        <v/>
      </c>
      <c r="Q10" s="19" t="str">
        <f t="shared" si="2"/>
        <v/>
      </c>
      <c r="R10" s="19">
        <f t="shared" si="3"/>
        <v>0</v>
      </c>
      <c r="S10" s="22">
        <v>0</v>
      </c>
      <c r="T10" s="3" t="s">
        <v>178</v>
      </c>
      <c r="U10" s="3" t="s">
        <v>303</v>
      </c>
    </row>
    <row r="11" spans="1:21">
      <c r="A11" s="3" t="s">
        <v>324</v>
      </c>
      <c r="B11" s="3" t="s">
        <v>200</v>
      </c>
      <c r="C11" s="3" t="s">
        <v>325</v>
      </c>
      <c r="D11" s="3" t="s">
        <v>311</v>
      </c>
      <c r="E11" s="3" t="s">
        <v>205</v>
      </c>
      <c r="F11" s="3" t="s">
        <v>206</v>
      </c>
      <c r="G11" s="3"/>
      <c r="H11" s="3"/>
      <c r="I11" s="3"/>
      <c r="J11" s="3" t="s">
        <v>302</v>
      </c>
      <c r="K11" s="3" t="s">
        <v>312</v>
      </c>
      <c r="L11" s="22">
        <v>0.5</v>
      </c>
      <c r="M11" s="22">
        <v>1</v>
      </c>
      <c r="N11" s="3">
        <v>7.0000000000000007E-2</v>
      </c>
      <c r="O11" s="19">
        <f t="shared" si="0"/>
        <v>0.5</v>
      </c>
      <c r="P11" s="19" t="str">
        <f t="shared" si="1"/>
        <v/>
      </c>
      <c r="Q11" s="19" t="str">
        <f t="shared" si="2"/>
        <v/>
      </c>
      <c r="R11" s="19">
        <f t="shared" si="3"/>
        <v>3.5000000000000003E-2</v>
      </c>
      <c r="S11" s="22">
        <v>3.5000000000000003E-2</v>
      </c>
      <c r="T11" s="3" t="s">
        <v>178</v>
      </c>
      <c r="U11" s="3" t="s">
        <v>303</v>
      </c>
    </row>
    <row r="12" spans="1:21">
      <c r="A12" s="3" t="s">
        <v>326</v>
      </c>
      <c r="B12" s="3" t="s">
        <v>242</v>
      </c>
      <c r="C12" s="3" t="s">
        <v>327</v>
      </c>
      <c r="D12" s="3" t="s">
        <v>311</v>
      </c>
      <c r="E12" s="3" t="s">
        <v>242</v>
      </c>
      <c r="F12" s="3" t="s">
        <v>179</v>
      </c>
      <c r="G12" s="3"/>
      <c r="H12" s="3"/>
      <c r="I12" s="3"/>
      <c r="J12" s="3" t="s">
        <v>302</v>
      </c>
      <c r="K12" s="3" t="s">
        <v>312</v>
      </c>
      <c r="L12" s="22">
        <v>0.5</v>
      </c>
      <c r="M12" s="22">
        <v>1</v>
      </c>
      <c r="N12" s="3">
        <v>1</v>
      </c>
      <c r="O12" s="19">
        <f t="shared" si="0"/>
        <v>0.5</v>
      </c>
      <c r="P12" s="19" t="str">
        <f t="shared" si="1"/>
        <v/>
      </c>
      <c r="Q12" s="19" t="str">
        <f t="shared" si="2"/>
        <v/>
      </c>
      <c r="R12" s="19">
        <f t="shared" si="3"/>
        <v>0.5</v>
      </c>
      <c r="S12" s="22">
        <v>0.5</v>
      </c>
      <c r="T12" s="3" t="s">
        <v>178</v>
      </c>
      <c r="U12" s="3" t="s">
        <v>303</v>
      </c>
    </row>
    <row r="13" spans="1:21">
      <c r="A13" s="3" t="s">
        <v>328</v>
      </c>
      <c r="B13" s="3" t="s">
        <v>231</v>
      </c>
      <c r="C13" s="3" t="s">
        <v>329</v>
      </c>
      <c r="D13" s="3" t="s">
        <v>306</v>
      </c>
      <c r="E13" s="3" t="s">
        <v>231</v>
      </c>
      <c r="F13" s="3" t="s">
        <v>179</v>
      </c>
      <c r="G13" s="3">
        <v>0</v>
      </c>
      <c r="H13" s="3">
        <v>0.2</v>
      </c>
      <c r="I13" s="3" t="s">
        <v>330</v>
      </c>
      <c r="J13" s="3" t="s">
        <v>308</v>
      </c>
      <c r="K13" s="3" t="s">
        <v>312</v>
      </c>
      <c r="L13" s="22">
        <v>0</v>
      </c>
      <c r="M13" s="22">
        <v>1</v>
      </c>
      <c r="N13" s="3">
        <v>-0.875</v>
      </c>
      <c r="O13" s="19" t="str">
        <f t="shared" si="0"/>
        <v/>
      </c>
      <c r="P13" s="19">
        <f t="shared" si="1"/>
        <v>0.2</v>
      </c>
      <c r="Q13" s="19">
        <f t="shared" si="2"/>
        <v>0.2</v>
      </c>
      <c r="R13" s="19">
        <f t="shared" si="3"/>
        <v>0.17500000000000002</v>
      </c>
      <c r="S13" s="22">
        <v>0.17499999999999999</v>
      </c>
      <c r="T13" s="3" t="s">
        <v>178</v>
      </c>
      <c r="U13" s="3" t="s">
        <v>303</v>
      </c>
    </row>
  </sheetData>
  <autoFilter ref="A1:U1" xr:uid="{00000000-0009-0000-0000-000005000000}"/>
  <conditionalFormatting sqref="T2:T13">
    <cfRule type="containsText" dxfId="12" priority="1" operator="containsText" text="Missing">
      <formula>NOT(ISERROR(SEARCH("Missing", T2)))</formula>
    </cfRule>
    <cfRule type="containsText" dxfId="11" priority="2" operator="containsText" text="Review">
      <formula>NOT(ISERROR(SEARCH("Review", T2)))</formula>
    </cfRule>
    <cfRule type="containsText" dxfId="10" priority="3" operator="containsText" text="Ready">
      <formula>NOT(ISERROR(SEARCH("Ready", T2)))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3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7.69921875" customWidth="1"/>
    <col min="2" max="2" width="11.69921875" customWidth="1"/>
    <col min="3" max="3" width="23.69921875" customWidth="1"/>
    <col min="4" max="4" width="15.69921875" customWidth="1"/>
    <col min="5" max="5" width="19.69921875" customWidth="1"/>
    <col min="6" max="6" width="18.69921875" customWidth="1"/>
    <col min="7" max="7" width="15.69921875" customWidth="1"/>
    <col min="8" max="8" width="16.69921875" customWidth="1"/>
    <col min="9" max="9" width="17.69921875" customWidth="1"/>
    <col min="10" max="11" width="20.69921875" customWidth="1"/>
    <col min="12" max="12" width="12.69921875" customWidth="1"/>
    <col min="13" max="13" width="13.69921875" customWidth="1"/>
    <col min="14" max="14" width="16.69921875" customWidth="1"/>
    <col min="15" max="15" width="15.69921875" customWidth="1"/>
  </cols>
  <sheetData>
    <row r="1" spans="1:15" ht="28.05" customHeight="1">
      <c r="A1" s="1" t="s">
        <v>145</v>
      </c>
      <c r="B1" s="1" t="s">
        <v>148</v>
      </c>
      <c r="C1" s="1" t="s">
        <v>331</v>
      </c>
      <c r="D1" s="1" t="s">
        <v>332</v>
      </c>
      <c r="E1" s="1" t="s">
        <v>152</v>
      </c>
      <c r="F1" s="1" t="s">
        <v>333</v>
      </c>
      <c r="G1" s="1" t="s">
        <v>334</v>
      </c>
      <c r="H1" s="1" t="s">
        <v>335</v>
      </c>
      <c r="I1" s="1" t="s">
        <v>153</v>
      </c>
      <c r="J1" s="1" t="s">
        <v>336</v>
      </c>
      <c r="K1" s="1" t="s">
        <v>337</v>
      </c>
      <c r="L1" s="1" t="s">
        <v>338</v>
      </c>
      <c r="M1" s="1" t="s">
        <v>339</v>
      </c>
      <c r="N1" s="1" t="s">
        <v>17</v>
      </c>
      <c r="O1" s="1" t="s">
        <v>163</v>
      </c>
    </row>
    <row r="2" spans="1:15">
      <c r="A2" t="s">
        <v>169</v>
      </c>
      <c r="B2" t="s">
        <v>172</v>
      </c>
      <c r="C2" t="s">
        <v>340</v>
      </c>
      <c r="D2" t="s">
        <v>341</v>
      </c>
      <c r="E2" s="17">
        <v>0.1</v>
      </c>
      <c r="F2" t="s">
        <v>342</v>
      </c>
      <c r="G2" s="17">
        <v>0.13450000000000001</v>
      </c>
      <c r="H2" s="17">
        <v>0</v>
      </c>
      <c r="I2" s="19">
        <f t="shared" ref="I2:I13" si="0">MAX(H2,E2*(1-G2))</f>
        <v>8.6550000000000002E-2</v>
      </c>
      <c r="J2" s="19">
        <f t="shared" ref="J2:J13" si="1">E2-I2</f>
        <v>1.3450000000000004E-2</v>
      </c>
      <c r="K2" s="19">
        <f t="shared" ref="K2:K13" si="2">IF(E2=0,0,(E2-I2)/E2)</f>
        <v>0.13450000000000004</v>
      </c>
      <c r="L2" s="18">
        <v>2026</v>
      </c>
      <c r="M2" s="18">
        <v>2030</v>
      </c>
      <c r="N2" t="s">
        <v>75</v>
      </c>
      <c r="O2" t="s">
        <v>178</v>
      </c>
    </row>
    <row r="3" spans="1:15">
      <c r="A3" t="s">
        <v>192</v>
      </c>
      <c r="B3" t="s">
        <v>172</v>
      </c>
      <c r="C3" t="s">
        <v>340</v>
      </c>
      <c r="D3" t="s">
        <v>341</v>
      </c>
      <c r="E3" s="17">
        <v>0.1</v>
      </c>
      <c r="F3" t="s">
        <v>342</v>
      </c>
      <c r="G3" s="17">
        <v>0.1225</v>
      </c>
      <c r="H3" s="17">
        <v>0</v>
      </c>
      <c r="I3" s="19">
        <f t="shared" si="0"/>
        <v>8.7749999999999995E-2</v>
      </c>
      <c r="J3" s="19">
        <f t="shared" si="1"/>
        <v>1.2250000000000011E-2</v>
      </c>
      <c r="K3" s="19">
        <f t="shared" si="2"/>
        <v>0.12250000000000011</v>
      </c>
      <c r="L3" s="18">
        <v>2026</v>
      </c>
      <c r="M3" s="18">
        <v>2030</v>
      </c>
      <c r="N3" t="s">
        <v>75</v>
      </c>
      <c r="O3" t="s">
        <v>343</v>
      </c>
    </row>
    <row r="4" spans="1:15">
      <c r="A4" t="s">
        <v>200</v>
      </c>
      <c r="B4" t="s">
        <v>203</v>
      </c>
      <c r="C4" t="s">
        <v>344</v>
      </c>
      <c r="D4" t="s">
        <v>345</v>
      </c>
      <c r="E4" s="17">
        <v>4.4000000000000004</v>
      </c>
      <c r="F4" t="s">
        <v>342</v>
      </c>
      <c r="G4" s="17">
        <v>3.5000000000000003E-2</v>
      </c>
      <c r="H4" s="17">
        <v>3</v>
      </c>
      <c r="I4" s="19">
        <f t="shared" si="0"/>
        <v>4.2460000000000004</v>
      </c>
      <c r="J4" s="19">
        <f t="shared" si="1"/>
        <v>0.15399999999999991</v>
      </c>
      <c r="K4" s="19">
        <f t="shared" si="2"/>
        <v>3.4999999999999976E-2</v>
      </c>
      <c r="L4" s="18">
        <v>2026</v>
      </c>
      <c r="M4" s="18">
        <v>2030</v>
      </c>
      <c r="N4" t="s">
        <v>75</v>
      </c>
      <c r="O4" t="s">
        <v>178</v>
      </c>
    </row>
    <row r="5" spans="1:15">
      <c r="A5" t="s">
        <v>210</v>
      </c>
      <c r="B5" t="s">
        <v>203</v>
      </c>
      <c r="C5" t="s">
        <v>344</v>
      </c>
      <c r="D5" t="s">
        <v>345</v>
      </c>
      <c r="E5" s="17">
        <v>4.4000000000000004</v>
      </c>
      <c r="F5" t="s">
        <v>342</v>
      </c>
      <c r="G5" s="17">
        <v>0.05</v>
      </c>
      <c r="H5" s="17">
        <v>3</v>
      </c>
      <c r="I5" s="19">
        <f t="shared" si="0"/>
        <v>4.18</v>
      </c>
      <c r="J5" s="19">
        <f t="shared" si="1"/>
        <v>0.22000000000000064</v>
      </c>
      <c r="K5" s="19">
        <f t="shared" si="2"/>
        <v>5.0000000000000142E-2</v>
      </c>
      <c r="L5" s="18">
        <v>2026</v>
      </c>
      <c r="M5" s="18">
        <v>2030</v>
      </c>
      <c r="N5" t="s">
        <v>75</v>
      </c>
      <c r="O5" t="s">
        <v>178</v>
      </c>
    </row>
    <row r="6" spans="1:15">
      <c r="A6" t="s">
        <v>217</v>
      </c>
      <c r="B6" t="s">
        <v>203</v>
      </c>
      <c r="C6" t="s">
        <v>344</v>
      </c>
      <c r="D6" t="s">
        <v>345</v>
      </c>
      <c r="E6" s="17">
        <v>4.4000000000000004</v>
      </c>
      <c r="F6" t="s">
        <v>342</v>
      </c>
      <c r="G6" s="17">
        <v>0</v>
      </c>
      <c r="H6" s="17">
        <v>3</v>
      </c>
      <c r="I6" s="19">
        <f t="shared" si="0"/>
        <v>4.4000000000000004</v>
      </c>
      <c r="J6" s="19">
        <f t="shared" si="1"/>
        <v>0</v>
      </c>
      <c r="K6" s="19">
        <f t="shared" si="2"/>
        <v>0</v>
      </c>
      <c r="L6" s="18">
        <v>2026</v>
      </c>
      <c r="M6" s="18">
        <v>2030</v>
      </c>
      <c r="N6" t="s">
        <v>75</v>
      </c>
      <c r="O6" t="s">
        <v>178</v>
      </c>
    </row>
    <row r="7" spans="1:15">
      <c r="A7" t="s">
        <v>224</v>
      </c>
      <c r="B7" t="s">
        <v>203</v>
      </c>
      <c r="C7" t="s">
        <v>344</v>
      </c>
      <c r="D7" t="s">
        <v>345</v>
      </c>
      <c r="E7" s="17">
        <v>4.4000000000000004</v>
      </c>
      <c r="F7" t="s">
        <v>342</v>
      </c>
      <c r="G7" s="17">
        <v>0.1</v>
      </c>
      <c r="H7" s="17">
        <v>3</v>
      </c>
      <c r="I7" s="19">
        <f t="shared" si="0"/>
        <v>3.9600000000000004</v>
      </c>
      <c r="J7" s="19">
        <f t="shared" si="1"/>
        <v>0.43999999999999995</v>
      </c>
      <c r="K7" s="19">
        <f t="shared" si="2"/>
        <v>9.9999999999999978E-2</v>
      </c>
      <c r="L7" s="18">
        <v>2026</v>
      </c>
      <c r="M7" s="18">
        <v>2030</v>
      </c>
      <c r="N7" t="s">
        <v>75</v>
      </c>
      <c r="O7" t="s">
        <v>178</v>
      </c>
    </row>
    <row r="8" spans="1:15">
      <c r="A8" t="s">
        <v>231</v>
      </c>
      <c r="B8" t="s">
        <v>234</v>
      </c>
      <c r="C8" t="s">
        <v>346</v>
      </c>
      <c r="D8" t="s">
        <v>347</v>
      </c>
      <c r="E8" s="17">
        <v>0.114285714285714</v>
      </c>
      <c r="F8" t="s">
        <v>342</v>
      </c>
      <c r="G8" s="17">
        <v>0.17499999999999999</v>
      </c>
      <c r="H8" s="17">
        <v>0</v>
      </c>
      <c r="I8" s="19">
        <f t="shared" si="0"/>
        <v>9.4285714285714042E-2</v>
      </c>
      <c r="J8" s="19">
        <f t="shared" si="1"/>
        <v>1.9999999999999962E-2</v>
      </c>
      <c r="K8" s="19">
        <f t="shared" si="2"/>
        <v>0.1750000000000001</v>
      </c>
      <c r="L8" s="18">
        <v>2026</v>
      </c>
      <c r="M8" s="18">
        <v>2030</v>
      </c>
      <c r="N8" t="s">
        <v>75</v>
      </c>
      <c r="O8" t="s">
        <v>348</v>
      </c>
    </row>
    <row r="9" spans="1:15">
      <c r="A9" t="s">
        <v>242</v>
      </c>
      <c r="B9" t="s">
        <v>245</v>
      </c>
      <c r="C9" t="s">
        <v>349</v>
      </c>
      <c r="D9" t="s">
        <v>350</v>
      </c>
      <c r="E9" s="17">
        <v>0.48</v>
      </c>
      <c r="F9" t="s">
        <v>342</v>
      </c>
      <c r="G9" s="17">
        <v>0.5</v>
      </c>
      <c r="H9" s="17">
        <v>0</v>
      </c>
      <c r="I9" s="19">
        <f t="shared" si="0"/>
        <v>0.24</v>
      </c>
      <c r="J9" s="19">
        <f t="shared" si="1"/>
        <v>0.24</v>
      </c>
      <c r="K9" s="19">
        <f t="shared" si="2"/>
        <v>0.5</v>
      </c>
      <c r="L9" s="18">
        <v>2026</v>
      </c>
      <c r="M9" s="18">
        <v>2030</v>
      </c>
      <c r="N9" t="s">
        <v>75</v>
      </c>
      <c r="O9" t="s">
        <v>351</v>
      </c>
    </row>
    <row r="10" spans="1:15">
      <c r="A10" t="s">
        <v>247</v>
      </c>
      <c r="B10" t="s">
        <v>250</v>
      </c>
      <c r="C10" t="s">
        <v>352</v>
      </c>
      <c r="D10" t="s">
        <v>49</v>
      </c>
      <c r="E10" s="17">
        <v>0.30299999999999999</v>
      </c>
      <c r="F10" t="s">
        <v>342</v>
      </c>
      <c r="G10" s="17">
        <v>0.34560000000000002</v>
      </c>
      <c r="H10" s="17">
        <v>0</v>
      </c>
      <c r="I10" s="19">
        <f t="shared" si="0"/>
        <v>0.19828319999999999</v>
      </c>
      <c r="J10" s="19">
        <f t="shared" si="1"/>
        <v>0.1047168</v>
      </c>
      <c r="K10" s="19">
        <f t="shared" si="2"/>
        <v>0.34560000000000002</v>
      </c>
      <c r="L10" s="18">
        <v>2026</v>
      </c>
      <c r="M10" s="18">
        <v>2030</v>
      </c>
      <c r="N10" t="s">
        <v>75</v>
      </c>
      <c r="O10" t="s">
        <v>343</v>
      </c>
    </row>
    <row r="11" spans="1:15">
      <c r="A11" t="s">
        <v>257</v>
      </c>
      <c r="B11" t="s">
        <v>250</v>
      </c>
      <c r="C11" t="s">
        <v>352</v>
      </c>
      <c r="D11" t="s">
        <v>49</v>
      </c>
      <c r="E11" s="17">
        <v>0.30299999999999999</v>
      </c>
      <c r="F11" t="s">
        <v>342</v>
      </c>
      <c r="G11" s="17">
        <v>0.04</v>
      </c>
      <c r="H11" s="17">
        <v>0</v>
      </c>
      <c r="I11" s="19">
        <f t="shared" si="0"/>
        <v>0.29087999999999997</v>
      </c>
      <c r="J11" s="19">
        <f t="shared" si="1"/>
        <v>1.212000000000002E-2</v>
      </c>
      <c r="K11" s="19">
        <f t="shared" si="2"/>
        <v>4.0000000000000063E-2</v>
      </c>
      <c r="L11" s="18">
        <v>2026</v>
      </c>
      <c r="M11" s="18">
        <v>2030</v>
      </c>
      <c r="N11" t="s">
        <v>75</v>
      </c>
      <c r="O11" t="s">
        <v>178</v>
      </c>
    </row>
    <row r="12" spans="1:15">
      <c r="A12" t="s">
        <v>265</v>
      </c>
      <c r="B12" t="s">
        <v>250</v>
      </c>
      <c r="C12" t="s">
        <v>352</v>
      </c>
      <c r="D12" t="s">
        <v>49</v>
      </c>
      <c r="E12" s="17">
        <v>0.30299999999999999</v>
      </c>
      <c r="F12" t="s">
        <v>342</v>
      </c>
      <c r="G12" s="17">
        <v>5.5E-2</v>
      </c>
      <c r="H12" s="17">
        <v>0</v>
      </c>
      <c r="I12" s="19">
        <f t="shared" si="0"/>
        <v>0.28633499999999995</v>
      </c>
      <c r="J12" s="19">
        <f t="shared" si="1"/>
        <v>1.6665000000000041E-2</v>
      </c>
      <c r="K12" s="19">
        <f t="shared" si="2"/>
        <v>5.5000000000000139E-2</v>
      </c>
      <c r="L12" s="18">
        <v>2026</v>
      </c>
      <c r="M12" s="18">
        <v>2030</v>
      </c>
      <c r="N12" t="s">
        <v>75</v>
      </c>
      <c r="O12" t="s">
        <v>178</v>
      </c>
    </row>
    <row r="13" spans="1:15">
      <c r="A13" t="s">
        <v>272</v>
      </c>
      <c r="B13" t="s">
        <v>250</v>
      </c>
      <c r="C13" t="s">
        <v>352</v>
      </c>
      <c r="D13" t="s">
        <v>49</v>
      </c>
      <c r="E13" s="17">
        <v>0.30299999999999999</v>
      </c>
      <c r="F13" t="s">
        <v>342</v>
      </c>
      <c r="G13" s="17">
        <v>6.5000000000000002E-2</v>
      </c>
      <c r="H13" s="17">
        <v>0</v>
      </c>
      <c r="I13" s="19">
        <f t="shared" si="0"/>
        <v>0.28330500000000003</v>
      </c>
      <c r="J13" s="19">
        <f t="shared" si="1"/>
        <v>1.9694999999999963E-2</v>
      </c>
      <c r="K13" s="19">
        <f t="shared" si="2"/>
        <v>6.4999999999999877E-2</v>
      </c>
      <c r="L13" s="18">
        <v>2026</v>
      </c>
      <c r="M13" s="18">
        <v>2030</v>
      </c>
      <c r="N13" t="s">
        <v>75</v>
      </c>
      <c r="O13" t="s">
        <v>178</v>
      </c>
    </row>
  </sheetData>
  <autoFilter ref="A1:O1" xr:uid="{00000000-0009-0000-0000-000006000000}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49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24.69921875" customWidth="1"/>
    <col min="2" max="2" width="17.69921875" customWidth="1"/>
    <col min="3" max="3" width="11.69921875" customWidth="1"/>
    <col min="4" max="4" width="12.69921875" customWidth="1"/>
    <col min="5" max="5" width="14.69921875" customWidth="1"/>
    <col min="6" max="6" width="20.69921875" customWidth="1"/>
    <col min="7" max="7" width="16.69921875" customWidth="1"/>
    <col min="8" max="9" width="11.69921875" customWidth="1"/>
    <col min="10" max="10" width="15.69921875" customWidth="1"/>
    <col min="11" max="11" width="19.69921875" customWidth="1"/>
    <col min="12" max="12" width="17.69921875" customWidth="1"/>
    <col min="13" max="13" width="23.69921875" customWidth="1"/>
    <col min="14" max="14" width="18.69921875" customWidth="1"/>
    <col min="15" max="15" width="11.69921875" customWidth="1"/>
    <col min="16" max="16" width="15.69921875" customWidth="1"/>
  </cols>
  <sheetData>
    <row r="1" spans="1:16" ht="28.05" customHeight="1">
      <c r="A1" s="1" t="s">
        <v>146</v>
      </c>
      <c r="B1" s="1" t="s">
        <v>145</v>
      </c>
      <c r="C1" s="1" t="s">
        <v>149</v>
      </c>
      <c r="D1" s="1" t="s">
        <v>150</v>
      </c>
      <c r="E1" s="1" t="s">
        <v>151</v>
      </c>
      <c r="F1" s="1" t="s">
        <v>353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152</v>
      </c>
      <c r="L1" s="1" t="s">
        <v>153</v>
      </c>
      <c r="M1" s="1" t="s">
        <v>159</v>
      </c>
      <c r="N1" s="1" t="s">
        <v>354</v>
      </c>
      <c r="O1" s="1" t="s">
        <v>355</v>
      </c>
      <c r="P1" s="1" t="s">
        <v>163</v>
      </c>
    </row>
    <row r="2" spans="1:16">
      <c r="A2" t="s">
        <v>170</v>
      </c>
      <c r="B2" t="s">
        <v>169</v>
      </c>
      <c r="C2" t="s">
        <v>173</v>
      </c>
      <c r="D2" t="s">
        <v>174</v>
      </c>
      <c r="E2" t="s">
        <v>175</v>
      </c>
      <c r="F2" t="s">
        <v>356</v>
      </c>
      <c r="G2" s="17">
        <v>1.01316167035158</v>
      </c>
      <c r="H2" s="17"/>
      <c r="I2" t="s">
        <v>176</v>
      </c>
      <c r="J2" s="17">
        <v>1</v>
      </c>
      <c r="K2" s="17">
        <v>0.1</v>
      </c>
      <c r="L2" s="17">
        <v>8.6550000000000002E-2</v>
      </c>
      <c r="M2" s="19">
        <f t="shared" ref="M2:M33" si="0">1-1/(G2^(K2-L2))</f>
        <v>1.7585415534404625E-4</v>
      </c>
      <c r="N2" t="s">
        <v>357</v>
      </c>
      <c r="O2">
        <v>1</v>
      </c>
      <c r="P2" t="s">
        <v>178</v>
      </c>
    </row>
    <row r="3" spans="1:16">
      <c r="A3" t="s">
        <v>180</v>
      </c>
      <c r="B3" t="s">
        <v>169</v>
      </c>
      <c r="C3" t="s">
        <v>181</v>
      </c>
      <c r="D3" t="s">
        <v>182</v>
      </c>
      <c r="E3" t="s">
        <v>175</v>
      </c>
      <c r="F3" t="s">
        <v>356</v>
      </c>
      <c r="G3" s="17">
        <v>1.0331775104357399</v>
      </c>
      <c r="H3" s="17"/>
      <c r="I3" t="s">
        <v>176</v>
      </c>
      <c r="J3" s="17">
        <v>1</v>
      </c>
      <c r="K3" s="17">
        <v>0.1</v>
      </c>
      <c r="L3" s="17">
        <v>8.6550000000000002E-2</v>
      </c>
      <c r="M3" s="19">
        <f t="shared" si="0"/>
        <v>4.3889840899125065E-4</v>
      </c>
      <c r="N3" t="s">
        <v>357</v>
      </c>
      <c r="O3">
        <v>1</v>
      </c>
      <c r="P3" t="s">
        <v>178</v>
      </c>
    </row>
    <row r="4" spans="1:16">
      <c r="A4" t="s">
        <v>183</v>
      </c>
      <c r="B4" t="s">
        <v>169</v>
      </c>
      <c r="C4" t="s">
        <v>184</v>
      </c>
      <c r="D4" t="s">
        <v>185</v>
      </c>
      <c r="E4" t="s">
        <v>175</v>
      </c>
      <c r="F4" t="s">
        <v>356</v>
      </c>
      <c r="G4" s="17">
        <v>1.0200799627188799</v>
      </c>
      <c r="H4" s="17"/>
      <c r="I4" t="s">
        <v>176</v>
      </c>
      <c r="J4" s="17">
        <v>1</v>
      </c>
      <c r="K4" s="17">
        <v>0.1</v>
      </c>
      <c r="L4" s="17">
        <v>8.6550000000000002E-2</v>
      </c>
      <c r="M4" s="19">
        <f t="shared" si="0"/>
        <v>2.6736395805226909E-4</v>
      </c>
      <c r="N4" t="s">
        <v>357</v>
      </c>
      <c r="O4">
        <v>1</v>
      </c>
      <c r="P4" t="s">
        <v>178</v>
      </c>
    </row>
    <row r="5" spans="1:16">
      <c r="A5" t="s">
        <v>186</v>
      </c>
      <c r="B5" t="s">
        <v>169</v>
      </c>
      <c r="C5" t="s">
        <v>187</v>
      </c>
      <c r="D5" t="s">
        <v>188</v>
      </c>
      <c r="E5" t="s">
        <v>175</v>
      </c>
      <c r="F5" t="s">
        <v>356</v>
      </c>
      <c r="G5" s="17">
        <v>1.0088803849749699</v>
      </c>
      <c r="H5" s="17"/>
      <c r="I5" t="s">
        <v>176</v>
      </c>
      <c r="J5" s="17">
        <v>1</v>
      </c>
      <c r="K5" s="17">
        <v>0.1</v>
      </c>
      <c r="L5" s="17">
        <v>8.6550000000000002E-2</v>
      </c>
      <c r="M5" s="19">
        <f t="shared" si="0"/>
        <v>1.1890688510374225E-4</v>
      </c>
      <c r="N5" t="s">
        <v>357</v>
      </c>
      <c r="O5">
        <v>1</v>
      </c>
      <c r="P5" t="s">
        <v>178</v>
      </c>
    </row>
    <row r="6" spans="1:16">
      <c r="A6" t="s">
        <v>189</v>
      </c>
      <c r="B6" t="s">
        <v>169</v>
      </c>
      <c r="C6" t="s">
        <v>190</v>
      </c>
      <c r="D6" t="s">
        <v>191</v>
      </c>
      <c r="E6" t="s">
        <v>175</v>
      </c>
      <c r="F6" t="s">
        <v>356</v>
      </c>
      <c r="G6" s="17">
        <v>1.0200799627188799</v>
      </c>
      <c r="H6" s="17"/>
      <c r="I6" t="s">
        <v>176</v>
      </c>
      <c r="J6" s="17">
        <v>1</v>
      </c>
      <c r="K6" s="17">
        <v>0.1</v>
      </c>
      <c r="L6" s="17">
        <v>8.6550000000000002E-2</v>
      </c>
      <c r="M6" s="19">
        <f t="shared" si="0"/>
        <v>2.6736395805226909E-4</v>
      </c>
      <c r="N6" t="s">
        <v>357</v>
      </c>
      <c r="O6">
        <v>1</v>
      </c>
      <c r="P6" t="s">
        <v>178</v>
      </c>
    </row>
    <row r="7" spans="1:16">
      <c r="A7" t="s">
        <v>193</v>
      </c>
      <c r="B7" t="s">
        <v>192</v>
      </c>
      <c r="C7" t="s">
        <v>173</v>
      </c>
      <c r="D7" t="s">
        <v>174</v>
      </c>
      <c r="E7" t="s">
        <v>175</v>
      </c>
      <c r="F7" t="s">
        <v>356</v>
      </c>
      <c r="G7" s="17">
        <v>1.01316167035158</v>
      </c>
      <c r="H7" s="17"/>
      <c r="I7" t="s">
        <v>176</v>
      </c>
      <c r="J7" s="17">
        <v>1</v>
      </c>
      <c r="K7" s="17">
        <v>0.1</v>
      </c>
      <c r="L7" s="17">
        <v>8.7749999999999995E-2</v>
      </c>
      <c r="M7" s="19">
        <f t="shared" si="0"/>
        <v>1.6016582181443972E-4</v>
      </c>
      <c r="N7" t="s">
        <v>357</v>
      </c>
      <c r="O7">
        <v>1</v>
      </c>
      <c r="P7" t="s">
        <v>178</v>
      </c>
    </row>
    <row r="8" spans="1:16">
      <c r="A8" t="s">
        <v>196</v>
      </c>
      <c r="B8" t="s">
        <v>192</v>
      </c>
      <c r="C8" t="s">
        <v>181</v>
      </c>
      <c r="D8" t="s">
        <v>182</v>
      </c>
      <c r="E8" t="s">
        <v>175</v>
      </c>
      <c r="F8" t="s">
        <v>356</v>
      </c>
      <c r="G8" s="17">
        <v>1.0331775104357399</v>
      </c>
      <c r="H8" s="17"/>
      <c r="I8" t="s">
        <v>176</v>
      </c>
      <c r="J8" s="17">
        <v>1</v>
      </c>
      <c r="K8" s="17">
        <v>0.1</v>
      </c>
      <c r="L8" s="17">
        <v>8.7749999999999995E-2</v>
      </c>
      <c r="M8" s="19">
        <f t="shared" si="0"/>
        <v>3.9974801443276586E-4</v>
      </c>
      <c r="N8" t="s">
        <v>357</v>
      </c>
      <c r="O8">
        <v>1</v>
      </c>
      <c r="P8" t="s">
        <v>178</v>
      </c>
    </row>
    <row r="9" spans="1:16">
      <c r="A9" t="s">
        <v>197</v>
      </c>
      <c r="B9" t="s">
        <v>192</v>
      </c>
      <c r="C9" t="s">
        <v>184</v>
      </c>
      <c r="D9" t="s">
        <v>185</v>
      </c>
      <c r="E9" t="s">
        <v>175</v>
      </c>
      <c r="F9" t="s">
        <v>356</v>
      </c>
      <c r="G9" s="17">
        <v>1.0200799627188799</v>
      </c>
      <c r="H9" s="17"/>
      <c r="I9" t="s">
        <v>176</v>
      </c>
      <c r="J9" s="17">
        <v>1</v>
      </c>
      <c r="K9" s="17">
        <v>0.1</v>
      </c>
      <c r="L9" s="17">
        <v>8.7749999999999995E-2</v>
      </c>
      <c r="M9" s="19">
        <f t="shared" si="0"/>
        <v>2.4351282924905959E-4</v>
      </c>
      <c r="N9" t="s">
        <v>357</v>
      </c>
      <c r="O9">
        <v>1</v>
      </c>
      <c r="P9" t="s">
        <v>178</v>
      </c>
    </row>
    <row r="10" spans="1:16">
      <c r="A10" t="s">
        <v>198</v>
      </c>
      <c r="B10" t="s">
        <v>192</v>
      </c>
      <c r="C10" t="s">
        <v>187</v>
      </c>
      <c r="D10" t="s">
        <v>188</v>
      </c>
      <c r="E10" t="s">
        <v>175</v>
      </c>
      <c r="F10" t="s">
        <v>356</v>
      </c>
      <c r="G10" s="17">
        <v>1.0088803849749699</v>
      </c>
      <c r="H10" s="17"/>
      <c r="I10" t="s">
        <v>176</v>
      </c>
      <c r="J10" s="17">
        <v>1</v>
      </c>
      <c r="K10" s="17">
        <v>0.1</v>
      </c>
      <c r="L10" s="17">
        <v>8.7749999999999995E-2</v>
      </c>
      <c r="M10" s="19">
        <f t="shared" si="0"/>
        <v>1.0829866686168366E-4</v>
      </c>
      <c r="N10" t="s">
        <v>357</v>
      </c>
      <c r="O10">
        <v>1</v>
      </c>
      <c r="P10" t="s">
        <v>178</v>
      </c>
    </row>
    <row r="11" spans="1:16">
      <c r="A11" t="s">
        <v>199</v>
      </c>
      <c r="B11" t="s">
        <v>192</v>
      </c>
      <c r="C11" t="s">
        <v>190</v>
      </c>
      <c r="D11" t="s">
        <v>191</v>
      </c>
      <c r="E11" t="s">
        <v>175</v>
      </c>
      <c r="F11" t="s">
        <v>356</v>
      </c>
      <c r="G11" s="17">
        <v>1.0200799627188799</v>
      </c>
      <c r="H11" s="17"/>
      <c r="I11" t="s">
        <v>176</v>
      </c>
      <c r="J11" s="17">
        <v>1</v>
      </c>
      <c r="K11" s="17">
        <v>0.1</v>
      </c>
      <c r="L11" s="17">
        <v>8.7749999999999995E-2</v>
      </c>
      <c r="M11" s="19">
        <f t="shared" si="0"/>
        <v>2.4351282924905959E-4</v>
      </c>
      <c r="N11" t="s">
        <v>357</v>
      </c>
      <c r="O11">
        <v>1</v>
      </c>
      <c r="P11" t="s">
        <v>178</v>
      </c>
    </row>
    <row r="12" spans="1:16">
      <c r="A12" t="s">
        <v>201</v>
      </c>
      <c r="B12" t="s">
        <v>200</v>
      </c>
      <c r="C12" t="s">
        <v>181</v>
      </c>
      <c r="D12" t="s">
        <v>182</v>
      </c>
      <c r="E12" t="s">
        <v>175</v>
      </c>
      <c r="F12" t="s">
        <v>358</v>
      </c>
      <c r="G12" s="17">
        <v>1.06</v>
      </c>
      <c r="H12" s="17"/>
      <c r="I12" t="s">
        <v>176</v>
      </c>
      <c r="J12" s="17">
        <v>1</v>
      </c>
      <c r="K12" s="17">
        <v>4.4000000000000004</v>
      </c>
      <c r="L12" s="17">
        <v>4.2460000000000004</v>
      </c>
      <c r="M12" s="19">
        <f t="shared" si="0"/>
        <v>8.9332709476508398E-3</v>
      </c>
      <c r="N12" t="s">
        <v>357</v>
      </c>
      <c r="O12">
        <v>1</v>
      </c>
      <c r="P12" t="s">
        <v>178</v>
      </c>
    </row>
    <row r="13" spans="1:16">
      <c r="A13" t="s">
        <v>207</v>
      </c>
      <c r="B13" t="s">
        <v>200</v>
      </c>
      <c r="C13" t="s">
        <v>184</v>
      </c>
      <c r="D13" t="s">
        <v>185</v>
      </c>
      <c r="E13" t="s">
        <v>175</v>
      </c>
      <c r="F13" t="s">
        <v>358</v>
      </c>
      <c r="G13" s="17">
        <v>1.06</v>
      </c>
      <c r="H13" s="17"/>
      <c r="I13" t="s">
        <v>176</v>
      </c>
      <c r="J13" s="17">
        <v>1</v>
      </c>
      <c r="K13" s="17">
        <v>4.4000000000000004</v>
      </c>
      <c r="L13" s="17">
        <v>4.2460000000000004</v>
      </c>
      <c r="M13" s="19">
        <f t="shared" si="0"/>
        <v>8.9332709476508398E-3</v>
      </c>
      <c r="N13" t="s">
        <v>357</v>
      </c>
      <c r="O13">
        <v>1</v>
      </c>
      <c r="P13" t="s">
        <v>178</v>
      </c>
    </row>
    <row r="14" spans="1:16">
      <c r="A14" t="s">
        <v>208</v>
      </c>
      <c r="B14" t="s">
        <v>200</v>
      </c>
      <c r="C14" t="s">
        <v>187</v>
      </c>
      <c r="D14" t="s">
        <v>188</v>
      </c>
      <c r="E14" t="s">
        <v>175</v>
      </c>
      <c r="F14" t="s">
        <v>358</v>
      </c>
      <c r="G14" s="17">
        <v>1.06</v>
      </c>
      <c r="H14" s="17"/>
      <c r="I14" t="s">
        <v>176</v>
      </c>
      <c r="J14" s="17">
        <v>1</v>
      </c>
      <c r="K14" s="17">
        <v>4.4000000000000004</v>
      </c>
      <c r="L14" s="17">
        <v>4.2460000000000004</v>
      </c>
      <c r="M14" s="19">
        <f t="shared" si="0"/>
        <v>8.9332709476508398E-3</v>
      </c>
      <c r="N14" t="s">
        <v>357</v>
      </c>
      <c r="O14">
        <v>1</v>
      </c>
      <c r="P14" t="s">
        <v>178</v>
      </c>
    </row>
    <row r="15" spans="1:16">
      <c r="A15" t="s">
        <v>209</v>
      </c>
      <c r="B15" t="s">
        <v>200</v>
      </c>
      <c r="C15" t="s">
        <v>190</v>
      </c>
      <c r="D15" t="s">
        <v>191</v>
      </c>
      <c r="E15" t="s">
        <v>175</v>
      </c>
      <c r="F15" t="s">
        <v>358</v>
      </c>
      <c r="G15" s="17">
        <v>1.06</v>
      </c>
      <c r="H15" s="17"/>
      <c r="I15" t="s">
        <v>176</v>
      </c>
      <c r="J15" s="17">
        <v>1</v>
      </c>
      <c r="K15" s="17">
        <v>4.4000000000000004</v>
      </c>
      <c r="L15" s="17">
        <v>4.2460000000000004</v>
      </c>
      <c r="M15" s="19">
        <f t="shared" si="0"/>
        <v>8.9332709476508398E-3</v>
      </c>
      <c r="N15" t="s">
        <v>357</v>
      </c>
      <c r="O15">
        <v>1</v>
      </c>
      <c r="P15" t="s">
        <v>178</v>
      </c>
    </row>
    <row r="16" spans="1:16">
      <c r="A16" t="s">
        <v>211</v>
      </c>
      <c r="B16" t="s">
        <v>210</v>
      </c>
      <c r="C16" t="s">
        <v>181</v>
      </c>
      <c r="D16" t="s">
        <v>182</v>
      </c>
      <c r="E16" t="s">
        <v>175</v>
      </c>
      <c r="F16" t="s">
        <v>358</v>
      </c>
      <c r="G16" s="17">
        <v>1.06</v>
      </c>
      <c r="H16" s="17"/>
      <c r="I16" t="s">
        <v>176</v>
      </c>
      <c r="J16" s="17">
        <v>1</v>
      </c>
      <c r="K16" s="17">
        <v>4.4000000000000004</v>
      </c>
      <c r="L16" s="17">
        <v>4.18</v>
      </c>
      <c r="M16" s="19">
        <f t="shared" si="0"/>
        <v>1.2737344333388245E-2</v>
      </c>
      <c r="N16" t="s">
        <v>357</v>
      </c>
      <c r="O16">
        <v>1</v>
      </c>
      <c r="P16" t="s">
        <v>178</v>
      </c>
    </row>
    <row r="17" spans="1:16">
      <c r="A17" t="s">
        <v>214</v>
      </c>
      <c r="B17" t="s">
        <v>210</v>
      </c>
      <c r="C17" t="s">
        <v>184</v>
      </c>
      <c r="D17" t="s">
        <v>185</v>
      </c>
      <c r="E17" t="s">
        <v>175</v>
      </c>
      <c r="F17" t="s">
        <v>358</v>
      </c>
      <c r="G17" s="17">
        <v>1.06</v>
      </c>
      <c r="H17" s="17"/>
      <c r="I17" t="s">
        <v>176</v>
      </c>
      <c r="J17" s="17">
        <v>1</v>
      </c>
      <c r="K17" s="17">
        <v>4.4000000000000004</v>
      </c>
      <c r="L17" s="17">
        <v>4.18</v>
      </c>
      <c r="M17" s="19">
        <f t="shared" si="0"/>
        <v>1.2737344333388245E-2</v>
      </c>
      <c r="N17" t="s">
        <v>357</v>
      </c>
      <c r="O17">
        <v>1</v>
      </c>
      <c r="P17" t="s">
        <v>178</v>
      </c>
    </row>
    <row r="18" spans="1:16">
      <c r="A18" t="s">
        <v>215</v>
      </c>
      <c r="B18" t="s">
        <v>210</v>
      </c>
      <c r="C18" t="s">
        <v>187</v>
      </c>
      <c r="D18" t="s">
        <v>188</v>
      </c>
      <c r="E18" t="s">
        <v>175</v>
      </c>
      <c r="F18" t="s">
        <v>358</v>
      </c>
      <c r="G18" s="17">
        <v>1.06</v>
      </c>
      <c r="H18" s="17"/>
      <c r="I18" t="s">
        <v>176</v>
      </c>
      <c r="J18" s="17">
        <v>1</v>
      </c>
      <c r="K18" s="17">
        <v>4.4000000000000004</v>
      </c>
      <c r="L18" s="17">
        <v>4.18</v>
      </c>
      <c r="M18" s="19">
        <f t="shared" si="0"/>
        <v>1.2737344333388245E-2</v>
      </c>
      <c r="N18" t="s">
        <v>357</v>
      </c>
      <c r="O18">
        <v>1</v>
      </c>
      <c r="P18" t="s">
        <v>178</v>
      </c>
    </row>
    <row r="19" spans="1:16">
      <c r="A19" t="s">
        <v>216</v>
      </c>
      <c r="B19" t="s">
        <v>210</v>
      </c>
      <c r="C19" t="s">
        <v>190</v>
      </c>
      <c r="D19" t="s">
        <v>191</v>
      </c>
      <c r="E19" t="s">
        <v>175</v>
      </c>
      <c r="F19" t="s">
        <v>358</v>
      </c>
      <c r="G19" s="17">
        <v>1.06</v>
      </c>
      <c r="H19" s="17"/>
      <c r="I19" t="s">
        <v>176</v>
      </c>
      <c r="J19" s="17">
        <v>1</v>
      </c>
      <c r="K19" s="17">
        <v>4.4000000000000004</v>
      </c>
      <c r="L19" s="17">
        <v>4.18</v>
      </c>
      <c r="M19" s="19">
        <f t="shared" si="0"/>
        <v>1.2737344333388245E-2</v>
      </c>
      <c r="N19" t="s">
        <v>357</v>
      </c>
      <c r="O19">
        <v>1</v>
      </c>
      <c r="P19" t="s">
        <v>178</v>
      </c>
    </row>
    <row r="20" spans="1:16">
      <c r="A20" t="s">
        <v>218</v>
      </c>
      <c r="B20" t="s">
        <v>217</v>
      </c>
      <c r="C20" t="s">
        <v>181</v>
      </c>
      <c r="D20" t="s">
        <v>182</v>
      </c>
      <c r="E20" t="s">
        <v>175</v>
      </c>
      <c r="F20" t="s">
        <v>358</v>
      </c>
      <c r="G20" s="17">
        <v>1.06</v>
      </c>
      <c r="H20" s="17"/>
      <c r="I20" t="s">
        <v>176</v>
      </c>
      <c r="J20" s="17">
        <v>1</v>
      </c>
      <c r="K20" s="17">
        <v>4.4000000000000004</v>
      </c>
      <c r="L20" s="17">
        <v>4.4000000000000004</v>
      </c>
      <c r="M20" s="19">
        <f t="shared" si="0"/>
        <v>0</v>
      </c>
      <c r="N20" t="s">
        <v>357</v>
      </c>
      <c r="O20">
        <v>1</v>
      </c>
      <c r="P20" t="s">
        <v>178</v>
      </c>
    </row>
    <row r="21" spans="1:16">
      <c r="A21" t="s">
        <v>221</v>
      </c>
      <c r="B21" t="s">
        <v>217</v>
      </c>
      <c r="C21" t="s">
        <v>184</v>
      </c>
      <c r="D21" t="s">
        <v>185</v>
      </c>
      <c r="E21" t="s">
        <v>175</v>
      </c>
      <c r="F21" t="s">
        <v>358</v>
      </c>
      <c r="G21" s="17">
        <v>1.06</v>
      </c>
      <c r="H21" s="17"/>
      <c r="I21" t="s">
        <v>176</v>
      </c>
      <c r="J21" s="17">
        <v>1</v>
      </c>
      <c r="K21" s="17">
        <v>4.4000000000000004</v>
      </c>
      <c r="L21" s="17">
        <v>4.4000000000000004</v>
      </c>
      <c r="M21" s="19">
        <f t="shared" si="0"/>
        <v>0</v>
      </c>
      <c r="N21" t="s">
        <v>357</v>
      </c>
      <c r="O21">
        <v>1</v>
      </c>
      <c r="P21" t="s">
        <v>178</v>
      </c>
    </row>
    <row r="22" spans="1:16">
      <c r="A22" t="s">
        <v>222</v>
      </c>
      <c r="B22" t="s">
        <v>217</v>
      </c>
      <c r="C22" t="s">
        <v>187</v>
      </c>
      <c r="D22" t="s">
        <v>188</v>
      </c>
      <c r="E22" t="s">
        <v>175</v>
      </c>
      <c r="F22" t="s">
        <v>358</v>
      </c>
      <c r="G22" s="17">
        <v>1.06</v>
      </c>
      <c r="H22" s="17"/>
      <c r="I22" t="s">
        <v>176</v>
      </c>
      <c r="J22" s="17">
        <v>1</v>
      </c>
      <c r="K22" s="17">
        <v>4.4000000000000004</v>
      </c>
      <c r="L22" s="17">
        <v>4.4000000000000004</v>
      </c>
      <c r="M22" s="19">
        <f t="shared" si="0"/>
        <v>0</v>
      </c>
      <c r="N22" t="s">
        <v>357</v>
      </c>
      <c r="O22">
        <v>1</v>
      </c>
      <c r="P22" t="s">
        <v>178</v>
      </c>
    </row>
    <row r="23" spans="1:16">
      <c r="A23" t="s">
        <v>223</v>
      </c>
      <c r="B23" t="s">
        <v>217</v>
      </c>
      <c r="C23" t="s">
        <v>190</v>
      </c>
      <c r="D23" t="s">
        <v>191</v>
      </c>
      <c r="E23" t="s">
        <v>175</v>
      </c>
      <c r="F23" t="s">
        <v>358</v>
      </c>
      <c r="G23" s="17">
        <v>1.06</v>
      </c>
      <c r="H23" s="17"/>
      <c r="I23" t="s">
        <v>176</v>
      </c>
      <c r="J23" s="17">
        <v>1</v>
      </c>
      <c r="K23" s="17">
        <v>4.4000000000000004</v>
      </c>
      <c r="L23" s="17">
        <v>4.4000000000000004</v>
      </c>
      <c r="M23" s="19">
        <f t="shared" si="0"/>
        <v>0</v>
      </c>
      <c r="N23" t="s">
        <v>357</v>
      </c>
      <c r="O23">
        <v>1</v>
      </c>
      <c r="P23" t="s">
        <v>178</v>
      </c>
    </row>
    <row r="24" spans="1:16">
      <c r="A24" t="s">
        <v>225</v>
      </c>
      <c r="B24" t="s">
        <v>224</v>
      </c>
      <c r="C24" t="s">
        <v>181</v>
      </c>
      <c r="D24" t="s">
        <v>182</v>
      </c>
      <c r="E24" t="s">
        <v>175</v>
      </c>
      <c r="F24" t="s">
        <v>358</v>
      </c>
      <c r="G24" s="17">
        <v>1.06</v>
      </c>
      <c r="H24" s="17"/>
      <c r="I24" t="s">
        <v>176</v>
      </c>
      <c r="J24" s="17">
        <v>1</v>
      </c>
      <c r="K24" s="17">
        <v>4.4000000000000004</v>
      </c>
      <c r="L24" s="17">
        <v>3.96</v>
      </c>
      <c r="M24" s="19">
        <f t="shared" si="0"/>
        <v>2.531244872610916E-2</v>
      </c>
      <c r="N24" t="s">
        <v>357</v>
      </c>
      <c r="O24">
        <v>1</v>
      </c>
      <c r="P24" t="s">
        <v>178</v>
      </c>
    </row>
    <row r="25" spans="1:16">
      <c r="A25" t="s">
        <v>228</v>
      </c>
      <c r="B25" t="s">
        <v>224</v>
      </c>
      <c r="C25" t="s">
        <v>184</v>
      </c>
      <c r="D25" t="s">
        <v>185</v>
      </c>
      <c r="E25" t="s">
        <v>175</v>
      </c>
      <c r="F25" t="s">
        <v>358</v>
      </c>
      <c r="G25" s="17">
        <v>1.06</v>
      </c>
      <c r="H25" s="17"/>
      <c r="I25" t="s">
        <v>176</v>
      </c>
      <c r="J25" s="17">
        <v>1</v>
      </c>
      <c r="K25" s="17">
        <v>4.4000000000000004</v>
      </c>
      <c r="L25" s="17">
        <v>3.96</v>
      </c>
      <c r="M25" s="19">
        <f t="shared" si="0"/>
        <v>2.531244872610916E-2</v>
      </c>
      <c r="N25" t="s">
        <v>357</v>
      </c>
      <c r="O25">
        <v>1</v>
      </c>
      <c r="P25" t="s">
        <v>178</v>
      </c>
    </row>
    <row r="26" spans="1:16">
      <c r="A26" t="s">
        <v>229</v>
      </c>
      <c r="B26" t="s">
        <v>224</v>
      </c>
      <c r="C26" t="s">
        <v>187</v>
      </c>
      <c r="D26" t="s">
        <v>188</v>
      </c>
      <c r="E26" t="s">
        <v>175</v>
      </c>
      <c r="F26" t="s">
        <v>358</v>
      </c>
      <c r="G26" s="17">
        <v>1.06</v>
      </c>
      <c r="H26" s="17"/>
      <c r="I26" t="s">
        <v>176</v>
      </c>
      <c r="J26" s="17">
        <v>1</v>
      </c>
      <c r="K26" s="17">
        <v>4.4000000000000004</v>
      </c>
      <c r="L26" s="17">
        <v>3.96</v>
      </c>
      <c r="M26" s="19">
        <f t="shared" si="0"/>
        <v>2.531244872610916E-2</v>
      </c>
      <c r="N26" t="s">
        <v>357</v>
      </c>
      <c r="O26">
        <v>1</v>
      </c>
      <c r="P26" t="s">
        <v>178</v>
      </c>
    </row>
    <row r="27" spans="1:16">
      <c r="A27" t="s">
        <v>230</v>
      </c>
      <c r="B27" t="s">
        <v>224</v>
      </c>
      <c r="C27" t="s">
        <v>190</v>
      </c>
      <c r="D27" t="s">
        <v>191</v>
      </c>
      <c r="E27" t="s">
        <v>175</v>
      </c>
      <c r="F27" t="s">
        <v>358</v>
      </c>
      <c r="G27" s="17">
        <v>1.06</v>
      </c>
      <c r="H27" s="17"/>
      <c r="I27" t="s">
        <v>176</v>
      </c>
      <c r="J27" s="17">
        <v>1</v>
      </c>
      <c r="K27" s="17">
        <v>4.4000000000000004</v>
      </c>
      <c r="L27" s="17">
        <v>3.96</v>
      </c>
      <c r="M27" s="19">
        <f t="shared" si="0"/>
        <v>2.531244872610916E-2</v>
      </c>
      <c r="N27" t="s">
        <v>357</v>
      </c>
      <c r="O27">
        <v>1</v>
      </c>
      <c r="P27" t="s">
        <v>178</v>
      </c>
    </row>
    <row r="28" spans="1:16">
      <c r="A28" t="s">
        <v>232</v>
      </c>
      <c r="B28" t="s">
        <v>231</v>
      </c>
      <c r="C28" t="s">
        <v>235</v>
      </c>
      <c r="D28" t="s">
        <v>236</v>
      </c>
      <c r="E28" t="s">
        <v>175</v>
      </c>
      <c r="F28" t="s">
        <v>359</v>
      </c>
      <c r="G28" s="17">
        <v>1.18</v>
      </c>
      <c r="H28" s="17"/>
      <c r="I28" t="s">
        <v>176</v>
      </c>
      <c r="J28" s="17">
        <v>1</v>
      </c>
      <c r="K28" s="17">
        <v>0.114285714285714</v>
      </c>
      <c r="L28" s="17">
        <v>9.4285714285714001E-2</v>
      </c>
      <c r="M28" s="19">
        <f t="shared" si="0"/>
        <v>3.3048158043799125E-3</v>
      </c>
      <c r="N28" t="s">
        <v>357</v>
      </c>
      <c r="O28">
        <v>1</v>
      </c>
      <c r="P28" t="s">
        <v>178</v>
      </c>
    </row>
    <row r="29" spans="1:16">
      <c r="A29" t="s">
        <v>238</v>
      </c>
      <c r="B29" t="s">
        <v>231</v>
      </c>
      <c r="C29" t="s">
        <v>181</v>
      </c>
      <c r="D29" t="s">
        <v>182</v>
      </c>
      <c r="E29" t="s">
        <v>175</v>
      </c>
      <c r="F29" t="s">
        <v>359</v>
      </c>
      <c r="G29" s="17">
        <v>1.1000000000000001</v>
      </c>
      <c r="H29" s="17"/>
      <c r="I29" t="s">
        <v>176</v>
      </c>
      <c r="J29" s="17">
        <v>1</v>
      </c>
      <c r="K29" s="17">
        <v>0.114285714285714</v>
      </c>
      <c r="L29" s="17">
        <v>9.4285714285714001E-2</v>
      </c>
      <c r="M29" s="19">
        <f t="shared" si="0"/>
        <v>1.9043879438626066E-3</v>
      </c>
      <c r="N29" t="s">
        <v>357</v>
      </c>
      <c r="O29">
        <v>1</v>
      </c>
      <c r="P29" t="s">
        <v>178</v>
      </c>
    </row>
    <row r="30" spans="1:16">
      <c r="A30" t="s">
        <v>239</v>
      </c>
      <c r="B30" t="s">
        <v>231</v>
      </c>
      <c r="C30" t="s">
        <v>184</v>
      </c>
      <c r="D30" t="s">
        <v>185</v>
      </c>
      <c r="E30" t="s">
        <v>175</v>
      </c>
      <c r="F30" t="s">
        <v>359</v>
      </c>
      <c r="G30" s="17">
        <v>1.08</v>
      </c>
      <c r="H30" s="17"/>
      <c r="I30" t="s">
        <v>176</v>
      </c>
      <c r="J30" s="17">
        <v>1</v>
      </c>
      <c r="K30" s="17">
        <v>0.114285714285714</v>
      </c>
      <c r="L30" s="17">
        <v>9.4285714285714001E-2</v>
      </c>
      <c r="M30" s="19">
        <f t="shared" si="0"/>
        <v>1.538036829905276E-3</v>
      </c>
      <c r="N30" t="s">
        <v>357</v>
      </c>
      <c r="O30">
        <v>1</v>
      </c>
      <c r="P30" t="s">
        <v>178</v>
      </c>
    </row>
    <row r="31" spans="1:16">
      <c r="A31" t="s">
        <v>240</v>
      </c>
      <c r="B31" t="s">
        <v>231</v>
      </c>
      <c r="C31" t="s">
        <v>187</v>
      </c>
      <c r="D31" t="s">
        <v>188</v>
      </c>
      <c r="E31" t="s">
        <v>175</v>
      </c>
      <c r="F31" t="s">
        <v>359</v>
      </c>
      <c r="G31" s="17">
        <v>1.1399999999999999</v>
      </c>
      <c r="H31" s="17"/>
      <c r="I31" t="s">
        <v>176</v>
      </c>
      <c r="J31" s="17">
        <v>1</v>
      </c>
      <c r="K31" s="17">
        <v>0.114285714285714</v>
      </c>
      <c r="L31" s="17">
        <v>9.4285714285714001E-2</v>
      </c>
      <c r="M31" s="19">
        <f t="shared" si="0"/>
        <v>2.6171345644494526E-3</v>
      </c>
      <c r="N31" t="s">
        <v>357</v>
      </c>
      <c r="O31">
        <v>1</v>
      </c>
      <c r="P31" t="s">
        <v>178</v>
      </c>
    </row>
    <row r="32" spans="1:16">
      <c r="A32" t="s">
        <v>241</v>
      </c>
      <c r="B32" t="s">
        <v>231</v>
      </c>
      <c r="C32" t="s">
        <v>190</v>
      </c>
      <c r="D32" t="s">
        <v>191</v>
      </c>
      <c r="E32" t="s">
        <v>175</v>
      </c>
      <c r="F32" t="s">
        <v>359</v>
      </c>
      <c r="G32" s="17">
        <v>1.07</v>
      </c>
      <c r="H32" s="17"/>
      <c r="I32" t="s">
        <v>176</v>
      </c>
      <c r="J32" s="17">
        <v>1</v>
      </c>
      <c r="K32" s="17">
        <v>0.114285714285714</v>
      </c>
      <c r="L32" s="17">
        <v>9.4285714285714001E-2</v>
      </c>
      <c r="M32" s="19">
        <f t="shared" si="0"/>
        <v>1.3522578437547006E-3</v>
      </c>
      <c r="N32" t="s">
        <v>357</v>
      </c>
      <c r="O32">
        <v>1</v>
      </c>
      <c r="P32" t="s">
        <v>178</v>
      </c>
    </row>
    <row r="33" spans="1:16">
      <c r="A33" t="s">
        <v>243</v>
      </c>
      <c r="B33" t="s">
        <v>242</v>
      </c>
      <c r="C33" t="s">
        <v>187</v>
      </c>
      <c r="D33" t="s">
        <v>188</v>
      </c>
      <c r="E33" t="s">
        <v>175</v>
      </c>
      <c r="F33" t="s">
        <v>360</v>
      </c>
      <c r="G33" s="17">
        <v>1.1000000000000001</v>
      </c>
      <c r="H33" s="17"/>
      <c r="I33" t="s">
        <v>176</v>
      </c>
      <c r="J33" s="17">
        <v>1</v>
      </c>
      <c r="K33" s="17">
        <v>0.48</v>
      </c>
      <c r="L33" s="17">
        <v>0.24</v>
      </c>
      <c r="M33" s="19">
        <f t="shared" si="0"/>
        <v>2.2614806527245901E-2</v>
      </c>
      <c r="N33" t="s">
        <v>357</v>
      </c>
      <c r="O33">
        <v>1</v>
      </c>
      <c r="P33" t="s">
        <v>178</v>
      </c>
    </row>
    <row r="34" spans="1:16">
      <c r="A34" t="s">
        <v>248</v>
      </c>
      <c r="B34" t="s">
        <v>247</v>
      </c>
      <c r="C34" t="s">
        <v>235</v>
      </c>
      <c r="D34" t="s">
        <v>236</v>
      </c>
      <c r="E34" t="s">
        <v>251</v>
      </c>
      <c r="F34" t="s">
        <v>361</v>
      </c>
      <c r="G34" s="17">
        <v>1.37</v>
      </c>
      <c r="H34" s="17"/>
      <c r="I34" t="s">
        <v>252</v>
      </c>
      <c r="J34" s="17">
        <v>6.15144568129612E-2</v>
      </c>
      <c r="K34" s="17">
        <v>0.30299999999999999</v>
      </c>
      <c r="L34" s="17">
        <v>0.19828319999999999</v>
      </c>
      <c r="M34" s="19">
        <f t="shared" ref="M34:M49" si="1">1-(1+L34*(G34-1))/(1+K34*(G34-1))</f>
        <v>3.4839373802951101E-2</v>
      </c>
      <c r="N34" t="s">
        <v>357</v>
      </c>
      <c r="O34">
        <v>1</v>
      </c>
      <c r="P34" t="s">
        <v>178</v>
      </c>
    </row>
    <row r="35" spans="1:16">
      <c r="A35" t="s">
        <v>254</v>
      </c>
      <c r="B35" t="s">
        <v>247</v>
      </c>
      <c r="C35" t="s">
        <v>184</v>
      </c>
      <c r="D35" t="s">
        <v>185</v>
      </c>
      <c r="E35" t="s">
        <v>251</v>
      </c>
      <c r="F35" t="s">
        <v>361</v>
      </c>
      <c r="G35" s="17">
        <v>1.19</v>
      </c>
      <c r="H35" s="17"/>
      <c r="I35" t="s">
        <v>252</v>
      </c>
      <c r="J35" s="17">
        <v>6.15144568129612E-2</v>
      </c>
      <c r="K35" s="17">
        <v>0.30299999999999999</v>
      </c>
      <c r="L35" s="17">
        <v>0.19828319999999999</v>
      </c>
      <c r="M35" s="19">
        <f t="shared" si="1"/>
        <v>1.881312064449614E-2</v>
      </c>
      <c r="N35" t="s">
        <v>357</v>
      </c>
      <c r="O35">
        <v>1</v>
      </c>
      <c r="P35" t="s">
        <v>178</v>
      </c>
    </row>
    <row r="36" spans="1:16">
      <c r="A36" t="s">
        <v>255</v>
      </c>
      <c r="B36" t="s">
        <v>247</v>
      </c>
      <c r="C36" t="s">
        <v>187</v>
      </c>
      <c r="D36" t="s">
        <v>188</v>
      </c>
      <c r="E36" t="s">
        <v>251</v>
      </c>
      <c r="F36" t="s">
        <v>361</v>
      </c>
      <c r="G36" s="17">
        <v>1.6</v>
      </c>
      <c r="H36" s="17"/>
      <c r="I36" t="s">
        <v>252</v>
      </c>
      <c r="J36" s="17">
        <v>6.15144568129612E-2</v>
      </c>
      <c r="K36" s="17">
        <v>0.30299999999999999</v>
      </c>
      <c r="L36" s="17">
        <v>0.19828319999999999</v>
      </c>
      <c r="M36" s="19">
        <f t="shared" si="1"/>
        <v>5.3164731765103945E-2</v>
      </c>
      <c r="N36" t="s">
        <v>357</v>
      </c>
      <c r="O36">
        <v>1</v>
      </c>
      <c r="P36" t="s">
        <v>178</v>
      </c>
    </row>
    <row r="37" spans="1:16">
      <c r="A37" t="s">
        <v>256</v>
      </c>
      <c r="B37" t="s">
        <v>247</v>
      </c>
      <c r="C37" t="s">
        <v>190</v>
      </c>
      <c r="D37" t="s">
        <v>191</v>
      </c>
      <c r="E37" t="s">
        <v>251</v>
      </c>
      <c r="F37" t="s">
        <v>361</v>
      </c>
      <c r="G37" s="17">
        <v>1.38</v>
      </c>
      <c r="H37" s="17"/>
      <c r="I37" t="s">
        <v>252</v>
      </c>
      <c r="J37" s="17">
        <v>6.15144568129612E-2</v>
      </c>
      <c r="K37" s="17">
        <v>0.30299999999999999</v>
      </c>
      <c r="L37" s="17">
        <v>0.19828319999999999</v>
      </c>
      <c r="M37" s="19">
        <f t="shared" si="1"/>
        <v>3.5683756299657476E-2</v>
      </c>
      <c r="N37" t="s">
        <v>357</v>
      </c>
      <c r="O37">
        <v>1</v>
      </c>
      <c r="P37" t="s">
        <v>178</v>
      </c>
    </row>
    <row r="38" spans="1:16">
      <c r="A38" t="s">
        <v>258</v>
      </c>
      <c r="B38" t="s">
        <v>257</v>
      </c>
      <c r="C38" t="s">
        <v>235</v>
      </c>
      <c r="D38" t="s">
        <v>236</v>
      </c>
      <c r="E38" t="s">
        <v>251</v>
      </c>
      <c r="F38" t="s">
        <v>361</v>
      </c>
      <c r="G38" s="17">
        <v>1.37</v>
      </c>
      <c r="H38" s="17"/>
      <c r="I38" t="s">
        <v>252</v>
      </c>
      <c r="J38" s="17">
        <v>6.15144568129612E-2</v>
      </c>
      <c r="K38" s="17">
        <v>0.30299999999999999</v>
      </c>
      <c r="L38" s="17">
        <v>0.29088000000000003</v>
      </c>
      <c r="M38" s="19">
        <f t="shared" si="1"/>
        <v>4.0323349308970524E-3</v>
      </c>
      <c r="N38" t="s">
        <v>357</v>
      </c>
      <c r="O38">
        <v>1</v>
      </c>
      <c r="P38" t="s">
        <v>178</v>
      </c>
    </row>
    <row r="39" spans="1:16">
      <c r="A39" t="s">
        <v>262</v>
      </c>
      <c r="B39" t="s">
        <v>257</v>
      </c>
      <c r="C39" t="s">
        <v>184</v>
      </c>
      <c r="D39" t="s">
        <v>185</v>
      </c>
      <c r="E39" t="s">
        <v>251</v>
      </c>
      <c r="F39" t="s">
        <v>361</v>
      </c>
      <c r="G39" s="17">
        <v>1.19</v>
      </c>
      <c r="H39" s="17"/>
      <c r="I39" t="s">
        <v>252</v>
      </c>
      <c r="J39" s="17">
        <v>6.15144568129612E-2</v>
      </c>
      <c r="K39" s="17">
        <v>0.30299999999999999</v>
      </c>
      <c r="L39" s="17">
        <v>0.29088000000000003</v>
      </c>
      <c r="M39" s="19">
        <f t="shared" si="1"/>
        <v>2.1774445190387848E-3</v>
      </c>
      <c r="N39" t="s">
        <v>357</v>
      </c>
      <c r="O39">
        <v>1</v>
      </c>
      <c r="P39" t="s">
        <v>178</v>
      </c>
    </row>
    <row r="40" spans="1:16">
      <c r="A40" t="s">
        <v>263</v>
      </c>
      <c r="B40" t="s">
        <v>257</v>
      </c>
      <c r="C40" t="s">
        <v>187</v>
      </c>
      <c r="D40" t="s">
        <v>188</v>
      </c>
      <c r="E40" t="s">
        <v>251</v>
      </c>
      <c r="F40" t="s">
        <v>361</v>
      </c>
      <c r="G40" s="17">
        <v>1.6</v>
      </c>
      <c r="H40" s="17"/>
      <c r="I40" t="s">
        <v>252</v>
      </c>
      <c r="J40" s="17">
        <v>6.15144568129612E-2</v>
      </c>
      <c r="K40" s="17">
        <v>0.30299999999999999</v>
      </c>
      <c r="L40" s="17">
        <v>0.29088000000000003</v>
      </c>
      <c r="M40" s="19">
        <f t="shared" si="1"/>
        <v>6.1533254357758471E-3</v>
      </c>
      <c r="N40" t="s">
        <v>357</v>
      </c>
      <c r="O40">
        <v>1</v>
      </c>
      <c r="P40" t="s">
        <v>178</v>
      </c>
    </row>
    <row r="41" spans="1:16">
      <c r="A41" t="s">
        <v>264</v>
      </c>
      <c r="B41" t="s">
        <v>257</v>
      </c>
      <c r="C41" t="s">
        <v>190</v>
      </c>
      <c r="D41" t="s">
        <v>191</v>
      </c>
      <c r="E41" t="s">
        <v>251</v>
      </c>
      <c r="F41" t="s">
        <v>361</v>
      </c>
      <c r="G41" s="17">
        <v>1.38</v>
      </c>
      <c r="H41" s="17"/>
      <c r="I41" t="s">
        <v>252</v>
      </c>
      <c r="J41" s="17">
        <v>6.15144568129612E-2</v>
      </c>
      <c r="K41" s="17">
        <v>0.30299999999999999</v>
      </c>
      <c r="L41" s="17">
        <v>0.29088000000000003</v>
      </c>
      <c r="M41" s="19">
        <f t="shared" si="1"/>
        <v>4.1300643865345155E-3</v>
      </c>
      <c r="N41" t="s">
        <v>357</v>
      </c>
      <c r="O41">
        <v>1</v>
      </c>
      <c r="P41" t="s">
        <v>178</v>
      </c>
    </row>
    <row r="42" spans="1:16">
      <c r="A42" t="s">
        <v>266</v>
      </c>
      <c r="B42" t="s">
        <v>265</v>
      </c>
      <c r="C42" t="s">
        <v>235</v>
      </c>
      <c r="D42" t="s">
        <v>236</v>
      </c>
      <c r="E42" t="s">
        <v>251</v>
      </c>
      <c r="F42" t="s">
        <v>361</v>
      </c>
      <c r="G42" s="17">
        <v>1.37</v>
      </c>
      <c r="H42" s="17"/>
      <c r="I42" t="s">
        <v>252</v>
      </c>
      <c r="J42" s="17">
        <v>6.15144568129612E-2</v>
      </c>
      <c r="K42" s="17">
        <v>0.30299999999999999</v>
      </c>
      <c r="L42" s="17">
        <v>0.28633500000000001</v>
      </c>
      <c r="M42" s="19">
        <f t="shared" si="1"/>
        <v>5.5444605299833638E-3</v>
      </c>
      <c r="N42" t="s">
        <v>357</v>
      </c>
      <c r="O42">
        <v>1</v>
      </c>
      <c r="P42" t="s">
        <v>178</v>
      </c>
    </row>
    <row r="43" spans="1:16">
      <c r="A43" t="s">
        <v>269</v>
      </c>
      <c r="B43" t="s">
        <v>265</v>
      </c>
      <c r="C43" t="s">
        <v>184</v>
      </c>
      <c r="D43" t="s">
        <v>185</v>
      </c>
      <c r="E43" t="s">
        <v>251</v>
      </c>
      <c r="F43" t="s">
        <v>361</v>
      </c>
      <c r="G43" s="17">
        <v>1.19</v>
      </c>
      <c r="H43" s="17"/>
      <c r="I43" t="s">
        <v>252</v>
      </c>
      <c r="J43" s="17">
        <v>6.15144568129612E-2</v>
      </c>
      <c r="K43" s="17">
        <v>0.30299999999999999</v>
      </c>
      <c r="L43" s="17">
        <v>0.28633500000000001</v>
      </c>
      <c r="M43" s="19">
        <f t="shared" si="1"/>
        <v>2.9939862136784123E-3</v>
      </c>
      <c r="N43" t="s">
        <v>357</v>
      </c>
      <c r="O43">
        <v>1</v>
      </c>
      <c r="P43" t="s">
        <v>178</v>
      </c>
    </row>
    <row r="44" spans="1:16">
      <c r="A44" t="s">
        <v>270</v>
      </c>
      <c r="B44" t="s">
        <v>265</v>
      </c>
      <c r="C44" t="s">
        <v>187</v>
      </c>
      <c r="D44" t="s">
        <v>188</v>
      </c>
      <c r="E44" t="s">
        <v>251</v>
      </c>
      <c r="F44" t="s">
        <v>361</v>
      </c>
      <c r="G44" s="17">
        <v>1.6</v>
      </c>
      <c r="H44" s="17"/>
      <c r="I44" t="s">
        <v>252</v>
      </c>
      <c r="J44" s="17">
        <v>6.15144568129612E-2</v>
      </c>
      <c r="K44" s="17">
        <v>0.30299999999999999</v>
      </c>
      <c r="L44" s="17">
        <v>0.28633500000000001</v>
      </c>
      <c r="M44" s="19">
        <f t="shared" si="1"/>
        <v>8.4608224741917759E-3</v>
      </c>
      <c r="N44" t="s">
        <v>357</v>
      </c>
      <c r="O44">
        <v>1</v>
      </c>
      <c r="P44" t="s">
        <v>178</v>
      </c>
    </row>
    <row r="45" spans="1:16">
      <c r="A45" t="s">
        <v>271</v>
      </c>
      <c r="B45" t="s">
        <v>265</v>
      </c>
      <c r="C45" t="s">
        <v>190</v>
      </c>
      <c r="D45" t="s">
        <v>191</v>
      </c>
      <c r="E45" t="s">
        <v>251</v>
      </c>
      <c r="F45" t="s">
        <v>361</v>
      </c>
      <c r="G45" s="17">
        <v>1.38</v>
      </c>
      <c r="H45" s="17"/>
      <c r="I45" t="s">
        <v>252</v>
      </c>
      <c r="J45" s="17">
        <v>6.15144568129612E-2</v>
      </c>
      <c r="K45" s="17">
        <v>0.30299999999999999</v>
      </c>
      <c r="L45" s="17">
        <v>0.28633500000000001</v>
      </c>
      <c r="M45" s="19">
        <f t="shared" si="1"/>
        <v>5.6788385314847645E-3</v>
      </c>
      <c r="N45" t="s">
        <v>357</v>
      </c>
      <c r="O45">
        <v>1</v>
      </c>
      <c r="P45" t="s">
        <v>178</v>
      </c>
    </row>
    <row r="46" spans="1:16">
      <c r="A46" t="s">
        <v>273</v>
      </c>
      <c r="B46" t="s">
        <v>272</v>
      </c>
      <c r="C46" t="s">
        <v>235</v>
      </c>
      <c r="D46" t="s">
        <v>236</v>
      </c>
      <c r="E46" t="s">
        <v>251</v>
      </c>
      <c r="F46" t="s">
        <v>361</v>
      </c>
      <c r="G46" s="17">
        <v>1.37</v>
      </c>
      <c r="H46" s="17"/>
      <c r="I46" t="s">
        <v>252</v>
      </c>
      <c r="J46" s="17">
        <v>6.15144568129612E-2</v>
      </c>
      <c r="K46" s="17">
        <v>0.30299999999999999</v>
      </c>
      <c r="L46" s="17">
        <v>0.28330499999999997</v>
      </c>
      <c r="M46" s="19">
        <f t="shared" si="1"/>
        <v>6.5525442627076824E-3</v>
      </c>
      <c r="N46" t="s">
        <v>357</v>
      </c>
      <c r="O46">
        <v>1</v>
      </c>
      <c r="P46" t="s">
        <v>178</v>
      </c>
    </row>
    <row r="47" spans="1:16">
      <c r="A47" t="s">
        <v>276</v>
      </c>
      <c r="B47" t="s">
        <v>272</v>
      </c>
      <c r="C47" t="s">
        <v>184</v>
      </c>
      <c r="D47" t="s">
        <v>185</v>
      </c>
      <c r="E47" t="s">
        <v>251</v>
      </c>
      <c r="F47" t="s">
        <v>361</v>
      </c>
      <c r="G47" s="17">
        <v>1.19</v>
      </c>
      <c r="H47" s="17"/>
      <c r="I47" t="s">
        <v>252</v>
      </c>
      <c r="J47" s="17">
        <v>6.15144568129612E-2</v>
      </c>
      <c r="K47" s="17">
        <v>0.30299999999999999</v>
      </c>
      <c r="L47" s="17">
        <v>0.28330499999999997</v>
      </c>
      <c r="M47" s="19">
        <f t="shared" si="1"/>
        <v>3.538347343438053E-3</v>
      </c>
      <c r="N47" t="s">
        <v>357</v>
      </c>
      <c r="O47">
        <v>1</v>
      </c>
      <c r="P47" t="s">
        <v>178</v>
      </c>
    </row>
    <row r="48" spans="1:16">
      <c r="A48" t="s">
        <v>277</v>
      </c>
      <c r="B48" t="s">
        <v>272</v>
      </c>
      <c r="C48" t="s">
        <v>187</v>
      </c>
      <c r="D48" t="s">
        <v>188</v>
      </c>
      <c r="E48" t="s">
        <v>251</v>
      </c>
      <c r="F48" t="s">
        <v>361</v>
      </c>
      <c r="G48" s="17">
        <v>1.6</v>
      </c>
      <c r="H48" s="17"/>
      <c r="I48" t="s">
        <v>252</v>
      </c>
      <c r="J48" s="17">
        <v>6.15144568129612E-2</v>
      </c>
      <c r="K48" s="17">
        <v>0.30299999999999999</v>
      </c>
      <c r="L48" s="17">
        <v>0.28330499999999997</v>
      </c>
      <c r="M48" s="19">
        <f t="shared" si="1"/>
        <v>9.9991538331358765E-3</v>
      </c>
      <c r="N48" t="s">
        <v>357</v>
      </c>
      <c r="O48">
        <v>1</v>
      </c>
      <c r="P48" t="s">
        <v>178</v>
      </c>
    </row>
    <row r="49" spans="1:16">
      <c r="A49" t="s">
        <v>278</v>
      </c>
      <c r="B49" t="s">
        <v>272</v>
      </c>
      <c r="C49" t="s">
        <v>190</v>
      </c>
      <c r="D49" t="s">
        <v>191</v>
      </c>
      <c r="E49" t="s">
        <v>251</v>
      </c>
      <c r="F49" t="s">
        <v>361</v>
      </c>
      <c r="G49" s="17">
        <v>1.38</v>
      </c>
      <c r="H49" s="17"/>
      <c r="I49" t="s">
        <v>252</v>
      </c>
      <c r="J49" s="17">
        <v>6.15144568129612E-2</v>
      </c>
      <c r="K49" s="17">
        <v>0.30299999999999999</v>
      </c>
      <c r="L49" s="17">
        <v>0.28330499999999997</v>
      </c>
      <c r="M49" s="19">
        <f t="shared" si="1"/>
        <v>6.7113546281185599E-3</v>
      </c>
      <c r="N49" t="s">
        <v>357</v>
      </c>
      <c r="O49">
        <v>1</v>
      </c>
      <c r="P49" t="s">
        <v>178</v>
      </c>
    </row>
  </sheetData>
  <autoFilter ref="A1:P1" xr:uid="{00000000-0009-0000-0000-000007000000}"/>
  <conditionalFormatting sqref="O2:O49">
    <cfRule type="expression" dxfId="9" priority="1">
      <formula>O2=0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9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4.69921875" customWidth="1"/>
    <col min="2" max="2" width="11.69921875" customWidth="1"/>
    <col min="3" max="3" width="18.69921875" customWidth="1"/>
    <col min="4" max="4" width="15.69921875" customWidth="1"/>
    <col min="5" max="8" width="11.69921875" customWidth="1"/>
    <col min="9" max="9" width="13.69921875" customWidth="1"/>
    <col min="10" max="10" width="21.69921875" customWidth="1"/>
    <col min="11" max="11" width="20.69921875" customWidth="1"/>
    <col min="12" max="12" width="22.69921875" customWidth="1"/>
    <col min="13" max="13" width="21.69921875" customWidth="1"/>
    <col min="14" max="14" width="12.69921875" customWidth="1"/>
    <col min="15" max="15" width="11.69921875" customWidth="1"/>
    <col min="16" max="16" width="24.69921875" customWidth="1"/>
    <col min="17" max="17" width="11.69921875" customWidth="1"/>
  </cols>
  <sheetData>
    <row r="1" spans="1:17" ht="28.05" customHeight="1">
      <c r="A1" s="1" t="s">
        <v>659</v>
      </c>
      <c r="B1" s="1" t="s">
        <v>148</v>
      </c>
      <c r="C1" s="1" t="s">
        <v>660</v>
      </c>
      <c r="D1" s="1" t="s">
        <v>661</v>
      </c>
      <c r="E1" s="1" t="s">
        <v>662</v>
      </c>
      <c r="F1" s="1" t="s">
        <v>663</v>
      </c>
      <c r="G1" s="1" t="s">
        <v>664</v>
      </c>
      <c r="H1" s="1" t="s">
        <v>149</v>
      </c>
      <c r="I1" s="1" t="s">
        <v>665</v>
      </c>
      <c r="J1" s="1" t="s">
        <v>666</v>
      </c>
      <c r="K1" s="1" t="s">
        <v>667</v>
      </c>
      <c r="L1" s="1" t="s">
        <v>668</v>
      </c>
      <c r="M1" s="1" t="s">
        <v>669</v>
      </c>
      <c r="N1" s="1" t="s">
        <v>670</v>
      </c>
      <c r="O1" s="1" t="s">
        <v>5</v>
      </c>
      <c r="P1" s="1" t="s">
        <v>671</v>
      </c>
      <c r="Q1" s="1" t="s">
        <v>379</v>
      </c>
    </row>
    <row r="2" spans="1:17" ht="41.4">
      <c r="A2" s="3" t="s">
        <v>672</v>
      </c>
      <c r="B2" s="3" t="s">
        <v>250</v>
      </c>
      <c r="C2" s="3" t="s">
        <v>673</v>
      </c>
      <c r="D2" s="34" t="s">
        <v>674</v>
      </c>
      <c r="E2" s="3">
        <v>20</v>
      </c>
      <c r="F2" s="3">
        <v>95</v>
      </c>
      <c r="G2" s="3" t="s">
        <v>675</v>
      </c>
      <c r="H2" s="3" t="s">
        <v>187</v>
      </c>
      <c r="I2" s="3" t="s">
        <v>676</v>
      </c>
      <c r="J2" s="22">
        <v>1.6</v>
      </c>
      <c r="K2" s="3" t="s">
        <v>677</v>
      </c>
      <c r="L2" s="22">
        <v>1.6</v>
      </c>
      <c r="M2" s="3" t="s">
        <v>677</v>
      </c>
      <c r="N2" s="34" t="s">
        <v>678</v>
      </c>
      <c r="O2" s="34" t="s">
        <v>679</v>
      </c>
      <c r="P2" s="9">
        <v>1</v>
      </c>
      <c r="Q2" s="34" t="s">
        <v>680</v>
      </c>
    </row>
    <row r="3" spans="1:17" ht="41.4">
      <c r="A3" s="3" t="s">
        <v>681</v>
      </c>
      <c r="B3" s="3" t="s">
        <v>250</v>
      </c>
      <c r="C3" s="3" t="s">
        <v>673</v>
      </c>
      <c r="D3" s="34" t="s">
        <v>682</v>
      </c>
      <c r="E3" s="3">
        <v>20</v>
      </c>
      <c r="F3" s="3">
        <v>95</v>
      </c>
      <c r="G3" s="3" t="s">
        <v>675</v>
      </c>
      <c r="H3" s="3" t="s">
        <v>190</v>
      </c>
      <c r="I3" s="3" t="s">
        <v>683</v>
      </c>
      <c r="J3" s="22">
        <v>1.38</v>
      </c>
      <c r="K3" s="3" t="s">
        <v>677</v>
      </c>
      <c r="L3" s="22">
        <v>1.38</v>
      </c>
      <c r="M3" s="3" t="s">
        <v>677</v>
      </c>
      <c r="N3" s="34" t="s">
        <v>678</v>
      </c>
      <c r="O3" s="34" t="s">
        <v>679</v>
      </c>
      <c r="P3" s="9">
        <v>1</v>
      </c>
      <c r="Q3" s="34" t="s">
        <v>684</v>
      </c>
    </row>
    <row r="4" spans="1:17" ht="41.4">
      <c r="A4" s="3" t="s">
        <v>685</v>
      </c>
      <c r="B4" s="3" t="s">
        <v>250</v>
      </c>
      <c r="C4" s="3" t="s">
        <v>673</v>
      </c>
      <c r="D4" s="34" t="s">
        <v>686</v>
      </c>
      <c r="E4" s="3">
        <v>20</v>
      </c>
      <c r="F4" s="3">
        <v>95</v>
      </c>
      <c r="G4" s="3" t="s">
        <v>675</v>
      </c>
      <c r="H4" s="3" t="s">
        <v>184</v>
      </c>
      <c r="I4" s="3" t="s">
        <v>687</v>
      </c>
      <c r="J4" s="22">
        <v>1.19</v>
      </c>
      <c r="K4" s="3" t="s">
        <v>677</v>
      </c>
      <c r="L4" s="22">
        <v>1.19</v>
      </c>
      <c r="M4" s="3" t="s">
        <v>677</v>
      </c>
      <c r="N4" s="34" t="s">
        <v>678</v>
      </c>
      <c r="O4" s="34" t="s">
        <v>679</v>
      </c>
      <c r="P4" s="9">
        <v>1</v>
      </c>
      <c r="Q4" s="34" t="s">
        <v>688</v>
      </c>
    </row>
    <row r="5" spans="1:17" ht="69">
      <c r="A5" s="3" t="s">
        <v>689</v>
      </c>
      <c r="B5" s="3" t="s">
        <v>250</v>
      </c>
      <c r="C5" s="3" t="s">
        <v>673</v>
      </c>
      <c r="D5" s="34" t="s">
        <v>690</v>
      </c>
      <c r="E5" s="3">
        <v>20</v>
      </c>
      <c r="F5" s="3">
        <v>95</v>
      </c>
      <c r="G5" s="3" t="s">
        <v>675</v>
      </c>
      <c r="H5" s="3" t="s">
        <v>235</v>
      </c>
      <c r="I5" s="3" t="s">
        <v>691</v>
      </c>
      <c r="J5" s="22">
        <v>1.37</v>
      </c>
      <c r="K5" s="3" t="s">
        <v>677</v>
      </c>
      <c r="L5" s="22">
        <v>1.37</v>
      </c>
      <c r="M5" s="3" t="s">
        <v>677</v>
      </c>
      <c r="N5" s="34" t="s">
        <v>678</v>
      </c>
      <c r="O5" s="34" t="s">
        <v>692</v>
      </c>
      <c r="P5" s="9">
        <v>1</v>
      </c>
      <c r="Q5" s="34" t="s">
        <v>693</v>
      </c>
    </row>
    <row r="6" spans="1:17" ht="69">
      <c r="A6" s="3" t="s">
        <v>694</v>
      </c>
      <c r="B6" s="3" t="s">
        <v>172</v>
      </c>
      <c r="C6" s="3" t="s">
        <v>673</v>
      </c>
      <c r="D6" s="34" t="s">
        <v>695</v>
      </c>
      <c r="E6" s="3">
        <v>20</v>
      </c>
      <c r="F6" s="3">
        <v>95</v>
      </c>
      <c r="G6" s="3" t="s">
        <v>675</v>
      </c>
      <c r="H6" s="3" t="s">
        <v>187</v>
      </c>
      <c r="I6" s="3" t="s">
        <v>676</v>
      </c>
      <c r="J6" s="22">
        <v>1.06</v>
      </c>
      <c r="K6" s="3" t="s">
        <v>696</v>
      </c>
      <c r="L6" s="22">
        <v>1.0088803849749699</v>
      </c>
      <c r="M6" s="3" t="s">
        <v>356</v>
      </c>
      <c r="N6" s="34" t="s">
        <v>697</v>
      </c>
      <c r="O6" s="34" t="s">
        <v>698</v>
      </c>
      <c r="P6" s="9">
        <v>1</v>
      </c>
      <c r="Q6" s="34" t="s">
        <v>699</v>
      </c>
    </row>
    <row r="7" spans="1:17" ht="69">
      <c r="A7" s="3" t="s">
        <v>700</v>
      </c>
      <c r="B7" s="3" t="s">
        <v>172</v>
      </c>
      <c r="C7" s="3" t="s">
        <v>673</v>
      </c>
      <c r="D7" s="34" t="s">
        <v>701</v>
      </c>
      <c r="E7" s="3">
        <v>20</v>
      </c>
      <c r="F7" s="3">
        <v>95</v>
      </c>
      <c r="G7" s="3" t="s">
        <v>675</v>
      </c>
      <c r="H7" s="3" t="s">
        <v>190</v>
      </c>
      <c r="I7" s="3" t="s">
        <v>683</v>
      </c>
      <c r="J7" s="22">
        <v>1.1399999999999999</v>
      </c>
      <c r="K7" s="3" t="s">
        <v>696</v>
      </c>
      <c r="L7" s="22">
        <v>1.0200799627188799</v>
      </c>
      <c r="M7" s="3" t="s">
        <v>356</v>
      </c>
      <c r="N7" s="34" t="s">
        <v>697</v>
      </c>
      <c r="O7" s="34" t="s">
        <v>698</v>
      </c>
      <c r="P7" s="9">
        <v>1</v>
      </c>
      <c r="Q7" s="34" t="s">
        <v>702</v>
      </c>
    </row>
    <row r="8" spans="1:17" ht="69">
      <c r="A8" s="3" t="s">
        <v>703</v>
      </c>
      <c r="B8" s="3" t="s">
        <v>172</v>
      </c>
      <c r="C8" s="3" t="s">
        <v>673</v>
      </c>
      <c r="D8" s="34" t="s">
        <v>704</v>
      </c>
      <c r="E8" s="3">
        <v>20</v>
      </c>
      <c r="F8" s="3">
        <v>95</v>
      </c>
      <c r="G8" s="3" t="s">
        <v>675</v>
      </c>
      <c r="H8" s="3" t="s">
        <v>184</v>
      </c>
      <c r="I8" s="3" t="s">
        <v>687</v>
      </c>
      <c r="J8" s="22">
        <v>1.1399999999999999</v>
      </c>
      <c r="K8" s="3" t="s">
        <v>696</v>
      </c>
      <c r="L8" s="22">
        <v>1.0200799627188799</v>
      </c>
      <c r="M8" s="3" t="s">
        <v>356</v>
      </c>
      <c r="N8" s="34" t="s">
        <v>697</v>
      </c>
      <c r="O8" s="34" t="s">
        <v>698</v>
      </c>
      <c r="P8" s="9">
        <v>1</v>
      </c>
      <c r="Q8" s="34" t="s">
        <v>702</v>
      </c>
    </row>
    <row r="9" spans="1:17" ht="69">
      <c r="A9" s="3" t="s">
        <v>705</v>
      </c>
      <c r="B9" s="3" t="s">
        <v>172</v>
      </c>
      <c r="C9" s="3" t="s">
        <v>673</v>
      </c>
      <c r="D9" s="34" t="s">
        <v>706</v>
      </c>
      <c r="E9" s="3">
        <v>20</v>
      </c>
      <c r="F9" s="3">
        <v>95</v>
      </c>
      <c r="G9" s="3" t="s">
        <v>675</v>
      </c>
      <c r="H9" s="3" t="s">
        <v>181</v>
      </c>
      <c r="I9" s="3" t="s">
        <v>707</v>
      </c>
      <c r="J9" s="22">
        <v>1.24</v>
      </c>
      <c r="K9" s="3" t="s">
        <v>696</v>
      </c>
      <c r="L9" s="22">
        <v>1.0331775104357399</v>
      </c>
      <c r="M9" s="3" t="s">
        <v>356</v>
      </c>
      <c r="N9" s="34" t="s">
        <v>697</v>
      </c>
      <c r="O9" s="34" t="s">
        <v>698</v>
      </c>
      <c r="P9" s="9">
        <v>1</v>
      </c>
      <c r="Q9" s="34" t="s">
        <v>708</v>
      </c>
    </row>
    <row r="10" spans="1:17" ht="69">
      <c r="A10" s="3" t="s">
        <v>709</v>
      </c>
      <c r="B10" s="3" t="s">
        <v>172</v>
      </c>
      <c r="C10" s="3" t="s">
        <v>673</v>
      </c>
      <c r="D10" s="34" t="s">
        <v>710</v>
      </c>
      <c r="E10" s="3">
        <v>20</v>
      </c>
      <c r="F10" s="3">
        <v>95</v>
      </c>
      <c r="G10" s="3" t="s">
        <v>675</v>
      </c>
      <c r="H10" s="3" t="s">
        <v>173</v>
      </c>
      <c r="I10" s="3" t="s">
        <v>711</v>
      </c>
      <c r="J10" s="22">
        <v>1.0900000000000001</v>
      </c>
      <c r="K10" s="3" t="s">
        <v>696</v>
      </c>
      <c r="L10" s="22">
        <v>1.01316167035158</v>
      </c>
      <c r="M10" s="3" t="s">
        <v>356</v>
      </c>
      <c r="N10" s="34" t="s">
        <v>697</v>
      </c>
      <c r="O10" s="34" t="s">
        <v>698</v>
      </c>
      <c r="P10" s="9">
        <v>1</v>
      </c>
      <c r="Q10" s="34" t="s">
        <v>712</v>
      </c>
    </row>
    <row r="11" spans="1:17" ht="82.8">
      <c r="A11" s="3" t="s">
        <v>713</v>
      </c>
      <c r="B11" s="3" t="s">
        <v>250</v>
      </c>
      <c r="C11" s="3" t="s">
        <v>673</v>
      </c>
      <c r="D11" s="34" t="s">
        <v>714</v>
      </c>
      <c r="E11" s="3">
        <v>20</v>
      </c>
      <c r="F11" s="3">
        <v>95</v>
      </c>
      <c r="G11" s="3" t="s">
        <v>675</v>
      </c>
      <c r="H11" s="3" t="s">
        <v>715</v>
      </c>
      <c r="I11" s="3" t="s">
        <v>716</v>
      </c>
      <c r="J11" s="22">
        <v>0.47</v>
      </c>
      <c r="K11" s="3" t="s">
        <v>717</v>
      </c>
      <c r="L11" s="22">
        <v>6.15144568129612E-2</v>
      </c>
      <c r="M11" s="3" t="s">
        <v>718</v>
      </c>
      <c r="N11" s="34" t="s">
        <v>719</v>
      </c>
      <c r="O11" s="34" t="s">
        <v>720</v>
      </c>
      <c r="P11" s="9">
        <v>1</v>
      </c>
      <c r="Q11" s="34" t="s">
        <v>721</v>
      </c>
    </row>
    <row r="12" spans="1:17" ht="41.4">
      <c r="A12" s="3" t="s">
        <v>722</v>
      </c>
      <c r="B12" s="3" t="s">
        <v>250</v>
      </c>
      <c r="C12" s="3" t="s">
        <v>673</v>
      </c>
      <c r="D12" s="34" t="s">
        <v>723</v>
      </c>
      <c r="E12" s="3">
        <v>20</v>
      </c>
      <c r="F12" s="3">
        <v>95</v>
      </c>
      <c r="G12" s="3" t="s">
        <v>675</v>
      </c>
      <c r="H12" s="3" t="s">
        <v>235</v>
      </c>
      <c r="I12" s="3" t="s">
        <v>691</v>
      </c>
      <c r="J12" s="22">
        <v>0.47</v>
      </c>
      <c r="K12" s="3" t="s">
        <v>724</v>
      </c>
      <c r="L12" s="22">
        <v>6.15144568129612E-2</v>
      </c>
      <c r="M12" s="3" t="s">
        <v>718</v>
      </c>
      <c r="N12" s="34" t="s">
        <v>725</v>
      </c>
      <c r="O12" s="34" t="s">
        <v>726</v>
      </c>
      <c r="P12" s="9">
        <v>1</v>
      </c>
      <c r="Q12" s="34" t="s">
        <v>727</v>
      </c>
    </row>
    <row r="13" spans="1:17" ht="27.6">
      <c r="A13" s="3" t="s">
        <v>728</v>
      </c>
      <c r="B13" s="3" t="s">
        <v>203</v>
      </c>
      <c r="C13" s="3" t="s">
        <v>673</v>
      </c>
      <c r="D13" s="34" t="s">
        <v>729</v>
      </c>
      <c r="E13" s="3">
        <v>0</v>
      </c>
      <c r="F13" s="3">
        <v>95</v>
      </c>
      <c r="G13" s="3" t="s">
        <v>675</v>
      </c>
      <c r="H13" s="3" t="s">
        <v>730</v>
      </c>
      <c r="I13" s="3" t="s">
        <v>716</v>
      </c>
      <c r="J13" s="22">
        <v>1.06</v>
      </c>
      <c r="K13" s="3" t="s">
        <v>358</v>
      </c>
      <c r="L13" s="22">
        <v>1.06</v>
      </c>
      <c r="M13" s="3" t="s">
        <v>358</v>
      </c>
      <c r="N13" s="34" t="s">
        <v>678</v>
      </c>
      <c r="O13" s="34" t="s">
        <v>731</v>
      </c>
      <c r="P13" s="9">
        <v>1</v>
      </c>
      <c r="Q13" s="34" t="s">
        <v>732</v>
      </c>
    </row>
    <row r="14" spans="1:17" ht="151.80000000000001">
      <c r="A14" s="3" t="s">
        <v>733</v>
      </c>
      <c r="B14" s="3" t="s">
        <v>245</v>
      </c>
      <c r="C14" s="3" t="s">
        <v>673</v>
      </c>
      <c r="D14" s="34" t="s">
        <v>734</v>
      </c>
      <c r="E14" s="3">
        <v>0</v>
      </c>
      <c r="F14" s="3">
        <v>95</v>
      </c>
      <c r="G14" s="3" t="s">
        <v>675</v>
      </c>
      <c r="H14" s="3" t="s">
        <v>187</v>
      </c>
      <c r="I14" s="3" t="s">
        <v>676</v>
      </c>
      <c r="J14" s="22">
        <v>1.1000000000000001</v>
      </c>
      <c r="K14" s="3" t="s">
        <v>735</v>
      </c>
      <c r="L14" s="22">
        <v>1.1000000000000001</v>
      </c>
      <c r="M14" s="3" t="s">
        <v>360</v>
      </c>
      <c r="N14" s="34" t="s">
        <v>736</v>
      </c>
      <c r="O14" s="34" t="s">
        <v>737</v>
      </c>
      <c r="P14" s="9">
        <v>1</v>
      </c>
      <c r="Q14" s="34" t="s">
        <v>738</v>
      </c>
    </row>
    <row r="15" spans="1:17" ht="41.4">
      <c r="A15" s="3" t="s">
        <v>739</v>
      </c>
      <c r="B15" s="3" t="s">
        <v>245</v>
      </c>
      <c r="C15" s="3" t="s">
        <v>740</v>
      </c>
      <c r="D15" s="34" t="s">
        <v>741</v>
      </c>
      <c r="E15" s="3">
        <v>0</v>
      </c>
      <c r="F15" s="3">
        <v>95</v>
      </c>
      <c r="G15" s="3" t="s">
        <v>675</v>
      </c>
      <c r="H15" s="3" t="s">
        <v>187</v>
      </c>
      <c r="I15" s="3" t="s">
        <v>676</v>
      </c>
      <c r="J15" s="22">
        <v>0</v>
      </c>
      <c r="K15" s="3" t="s">
        <v>49</v>
      </c>
      <c r="L15" s="22">
        <v>0</v>
      </c>
      <c r="M15" s="3" t="s">
        <v>49</v>
      </c>
      <c r="N15" s="34" t="s">
        <v>742</v>
      </c>
      <c r="O15" s="34" t="s">
        <v>743</v>
      </c>
      <c r="P15" s="9">
        <v>0</v>
      </c>
      <c r="Q15" s="34" t="s">
        <v>744</v>
      </c>
    </row>
    <row r="16" spans="1:17" ht="41.4">
      <c r="A16" s="3" t="s">
        <v>745</v>
      </c>
      <c r="B16" s="3" t="s">
        <v>245</v>
      </c>
      <c r="C16" s="3" t="s">
        <v>746</v>
      </c>
      <c r="D16" s="34" t="s">
        <v>747</v>
      </c>
      <c r="E16" s="3">
        <v>0</v>
      </c>
      <c r="F16" s="3">
        <v>95</v>
      </c>
      <c r="G16" s="3" t="s">
        <v>675</v>
      </c>
      <c r="H16" s="3" t="s">
        <v>187</v>
      </c>
      <c r="I16" s="3" t="s">
        <v>748</v>
      </c>
      <c r="J16" s="22">
        <v>1</v>
      </c>
      <c r="K16" s="3" t="s">
        <v>749</v>
      </c>
      <c r="L16" s="22">
        <v>1</v>
      </c>
      <c r="M16" s="3" t="s">
        <v>749</v>
      </c>
      <c r="N16" s="34" t="s">
        <v>750</v>
      </c>
      <c r="O16" s="34" t="s">
        <v>751</v>
      </c>
      <c r="P16" s="9">
        <v>0</v>
      </c>
      <c r="Q16" s="34" t="s">
        <v>752</v>
      </c>
    </row>
    <row r="17" spans="1:17" ht="41.4">
      <c r="A17" s="3" t="s">
        <v>753</v>
      </c>
      <c r="B17" s="3" t="s">
        <v>245</v>
      </c>
      <c r="C17" s="3" t="s">
        <v>746</v>
      </c>
      <c r="D17" s="34" t="s">
        <v>754</v>
      </c>
      <c r="E17" s="3">
        <v>0</v>
      </c>
      <c r="F17" s="3">
        <v>95</v>
      </c>
      <c r="G17" s="3" t="s">
        <v>675</v>
      </c>
      <c r="H17" s="3" t="s">
        <v>187</v>
      </c>
      <c r="I17" s="3" t="s">
        <v>748</v>
      </c>
      <c r="J17" s="22">
        <v>1</v>
      </c>
      <c r="K17" s="3" t="s">
        <v>749</v>
      </c>
      <c r="L17" s="22">
        <v>1</v>
      </c>
      <c r="M17" s="3" t="s">
        <v>749</v>
      </c>
      <c r="N17" s="34" t="s">
        <v>750</v>
      </c>
      <c r="O17" s="34" t="s">
        <v>751</v>
      </c>
      <c r="P17" s="9">
        <v>0</v>
      </c>
      <c r="Q17" s="34" t="s">
        <v>752</v>
      </c>
    </row>
    <row r="18" spans="1:17" ht="41.4">
      <c r="A18" s="3" t="s">
        <v>755</v>
      </c>
      <c r="B18" s="3" t="s">
        <v>245</v>
      </c>
      <c r="C18" s="3" t="s">
        <v>746</v>
      </c>
      <c r="D18" s="34" t="s">
        <v>756</v>
      </c>
      <c r="E18" s="3">
        <v>0</v>
      </c>
      <c r="F18" s="3">
        <v>95</v>
      </c>
      <c r="G18" s="3" t="s">
        <v>675</v>
      </c>
      <c r="H18" s="3" t="s">
        <v>187</v>
      </c>
      <c r="I18" s="3" t="s">
        <v>748</v>
      </c>
      <c r="J18" s="22">
        <v>1</v>
      </c>
      <c r="K18" s="3" t="s">
        <v>749</v>
      </c>
      <c r="L18" s="22">
        <v>1</v>
      </c>
      <c r="M18" s="3" t="s">
        <v>749</v>
      </c>
      <c r="N18" s="34" t="s">
        <v>750</v>
      </c>
      <c r="O18" s="34" t="s">
        <v>751</v>
      </c>
      <c r="P18" s="9">
        <v>0</v>
      </c>
      <c r="Q18" s="34" t="s">
        <v>752</v>
      </c>
    </row>
    <row r="19" spans="1:17" ht="41.4">
      <c r="A19" s="3" t="s">
        <v>757</v>
      </c>
      <c r="B19" s="3" t="s">
        <v>245</v>
      </c>
      <c r="C19" s="3" t="s">
        <v>746</v>
      </c>
      <c r="D19" s="34" t="s">
        <v>758</v>
      </c>
      <c r="E19" s="3">
        <v>0</v>
      </c>
      <c r="F19" s="3">
        <v>95</v>
      </c>
      <c r="G19" s="3" t="s">
        <v>675</v>
      </c>
      <c r="H19" s="3" t="s">
        <v>187</v>
      </c>
      <c r="I19" s="3" t="s">
        <v>748</v>
      </c>
      <c r="J19" s="22">
        <v>0.29699999999999999</v>
      </c>
      <c r="K19" s="3" t="s">
        <v>749</v>
      </c>
      <c r="L19" s="22">
        <v>0.29699999999999999</v>
      </c>
      <c r="M19" s="3" t="s">
        <v>749</v>
      </c>
      <c r="N19" s="34" t="s">
        <v>750</v>
      </c>
      <c r="O19" s="34" t="s">
        <v>751</v>
      </c>
      <c r="P19" s="9">
        <v>0</v>
      </c>
      <c r="Q19" s="34" t="s">
        <v>752</v>
      </c>
    </row>
    <row r="20" spans="1:17" ht="41.4">
      <c r="A20" s="3" t="s">
        <v>759</v>
      </c>
      <c r="B20" s="3" t="s">
        <v>245</v>
      </c>
      <c r="C20" s="3" t="s">
        <v>746</v>
      </c>
      <c r="D20" s="34" t="s">
        <v>760</v>
      </c>
      <c r="E20" s="3">
        <v>0</v>
      </c>
      <c r="F20" s="3">
        <v>95</v>
      </c>
      <c r="G20" s="3" t="s">
        <v>675</v>
      </c>
      <c r="H20" s="3" t="s">
        <v>187</v>
      </c>
      <c r="I20" s="3" t="s">
        <v>748</v>
      </c>
      <c r="J20" s="22">
        <v>0</v>
      </c>
      <c r="K20" s="3" t="s">
        <v>749</v>
      </c>
      <c r="L20" s="22">
        <v>0</v>
      </c>
      <c r="M20" s="3" t="s">
        <v>749</v>
      </c>
      <c r="N20" s="34" t="s">
        <v>750</v>
      </c>
      <c r="O20" s="34" t="s">
        <v>751</v>
      </c>
      <c r="P20" s="9">
        <v>0</v>
      </c>
      <c r="Q20" s="34" t="s">
        <v>752</v>
      </c>
    </row>
    <row r="21" spans="1:17" ht="55.2">
      <c r="A21" s="3" t="s">
        <v>761</v>
      </c>
      <c r="B21" s="3" t="s">
        <v>234</v>
      </c>
      <c r="C21" s="3" t="s">
        <v>673</v>
      </c>
      <c r="D21" s="34" t="s">
        <v>762</v>
      </c>
      <c r="E21" s="3">
        <v>20</v>
      </c>
      <c r="F21" s="3">
        <v>95</v>
      </c>
      <c r="G21" s="3" t="s">
        <v>675</v>
      </c>
      <c r="H21" s="3" t="s">
        <v>187</v>
      </c>
      <c r="I21" s="3" t="s">
        <v>676</v>
      </c>
      <c r="J21" s="22">
        <v>1.1399999999999999</v>
      </c>
      <c r="K21" s="3" t="s">
        <v>763</v>
      </c>
      <c r="L21" s="22">
        <v>1.1399999999999999</v>
      </c>
      <c r="M21" s="3" t="s">
        <v>763</v>
      </c>
      <c r="N21" s="34" t="s">
        <v>764</v>
      </c>
      <c r="O21" s="34" t="s">
        <v>765</v>
      </c>
      <c r="P21" s="9">
        <v>1</v>
      </c>
      <c r="Q21" s="34" t="s">
        <v>766</v>
      </c>
    </row>
    <row r="22" spans="1:17" ht="55.2">
      <c r="A22" s="3" t="s">
        <v>767</v>
      </c>
      <c r="B22" s="3" t="s">
        <v>234</v>
      </c>
      <c r="C22" s="3" t="s">
        <v>673</v>
      </c>
      <c r="D22" s="34" t="s">
        <v>768</v>
      </c>
      <c r="E22" s="3">
        <v>20</v>
      </c>
      <c r="F22" s="3">
        <v>95</v>
      </c>
      <c r="G22" s="3" t="s">
        <v>675</v>
      </c>
      <c r="H22" s="3" t="s">
        <v>190</v>
      </c>
      <c r="I22" s="3" t="s">
        <v>683</v>
      </c>
      <c r="J22" s="22">
        <v>1.07</v>
      </c>
      <c r="K22" s="3" t="s">
        <v>763</v>
      </c>
      <c r="L22" s="22">
        <v>1.07</v>
      </c>
      <c r="M22" s="3" t="s">
        <v>763</v>
      </c>
      <c r="N22" s="34" t="s">
        <v>764</v>
      </c>
      <c r="O22" s="34" t="s">
        <v>765</v>
      </c>
      <c r="P22" s="9">
        <v>1</v>
      </c>
      <c r="Q22" s="34" t="s">
        <v>766</v>
      </c>
    </row>
    <row r="23" spans="1:17" ht="55.2">
      <c r="A23" s="3" t="s">
        <v>769</v>
      </c>
      <c r="B23" s="3" t="s">
        <v>234</v>
      </c>
      <c r="C23" s="3" t="s">
        <v>673</v>
      </c>
      <c r="D23" s="34" t="s">
        <v>770</v>
      </c>
      <c r="E23" s="3">
        <v>20</v>
      </c>
      <c r="F23" s="3">
        <v>95</v>
      </c>
      <c r="G23" s="3" t="s">
        <v>675</v>
      </c>
      <c r="H23" s="3" t="s">
        <v>184</v>
      </c>
      <c r="I23" s="3" t="s">
        <v>687</v>
      </c>
      <c r="J23" s="22">
        <v>1.08</v>
      </c>
      <c r="K23" s="3" t="s">
        <v>771</v>
      </c>
      <c r="L23" s="22">
        <v>1.08</v>
      </c>
      <c r="M23" s="3" t="s">
        <v>763</v>
      </c>
      <c r="N23" s="34" t="s">
        <v>772</v>
      </c>
      <c r="O23" s="34" t="s">
        <v>773</v>
      </c>
      <c r="P23" s="9">
        <v>1</v>
      </c>
      <c r="Q23" s="34" t="s">
        <v>727</v>
      </c>
    </row>
    <row r="24" spans="1:17" ht="55.2">
      <c r="A24" s="3" t="s">
        <v>774</v>
      </c>
      <c r="B24" s="3" t="s">
        <v>234</v>
      </c>
      <c r="C24" s="3" t="s">
        <v>673</v>
      </c>
      <c r="D24" s="34" t="s">
        <v>775</v>
      </c>
      <c r="E24" s="3">
        <v>20</v>
      </c>
      <c r="F24" s="3">
        <v>95</v>
      </c>
      <c r="G24" s="3" t="s">
        <v>675</v>
      </c>
      <c r="H24" s="3" t="s">
        <v>181</v>
      </c>
      <c r="I24" s="3" t="s">
        <v>707</v>
      </c>
      <c r="J24" s="22">
        <v>1.1000000000000001</v>
      </c>
      <c r="K24" s="3" t="s">
        <v>776</v>
      </c>
      <c r="L24" s="22">
        <v>1.1000000000000001</v>
      </c>
      <c r="M24" s="3" t="s">
        <v>763</v>
      </c>
      <c r="N24" s="34" t="s">
        <v>777</v>
      </c>
      <c r="O24" s="34" t="s">
        <v>778</v>
      </c>
      <c r="P24" s="9">
        <v>1</v>
      </c>
      <c r="Q24" s="34" t="s">
        <v>727</v>
      </c>
    </row>
    <row r="25" spans="1:17" ht="55.2">
      <c r="A25" s="3" t="s">
        <v>779</v>
      </c>
      <c r="B25" s="3" t="s">
        <v>234</v>
      </c>
      <c r="C25" s="3" t="s">
        <v>673</v>
      </c>
      <c r="D25" s="34" t="s">
        <v>780</v>
      </c>
      <c r="E25" s="3">
        <v>20</v>
      </c>
      <c r="F25" s="3">
        <v>95</v>
      </c>
      <c r="G25" s="3" t="s">
        <v>675</v>
      </c>
      <c r="H25" s="3" t="s">
        <v>235</v>
      </c>
      <c r="I25" s="3" t="s">
        <v>691</v>
      </c>
      <c r="J25" s="22">
        <v>1.18</v>
      </c>
      <c r="K25" s="3" t="s">
        <v>763</v>
      </c>
      <c r="L25" s="22">
        <v>1.18</v>
      </c>
      <c r="M25" s="3" t="s">
        <v>763</v>
      </c>
      <c r="N25" s="34" t="s">
        <v>764</v>
      </c>
      <c r="O25" s="34" t="s">
        <v>765</v>
      </c>
      <c r="P25" s="9">
        <v>1</v>
      </c>
      <c r="Q25" s="34" t="s">
        <v>766</v>
      </c>
    </row>
    <row r="26" spans="1:17" ht="55.2">
      <c r="A26" s="3" t="s">
        <v>781</v>
      </c>
      <c r="B26" s="3" t="s">
        <v>234</v>
      </c>
      <c r="C26" s="3" t="s">
        <v>746</v>
      </c>
      <c r="D26" s="34" t="s">
        <v>782</v>
      </c>
      <c r="E26" s="3">
        <v>20</v>
      </c>
      <c r="F26" s="3">
        <v>95</v>
      </c>
      <c r="G26" s="3" t="s">
        <v>675</v>
      </c>
      <c r="H26" s="3" t="s">
        <v>235</v>
      </c>
      <c r="I26" s="3" t="s">
        <v>783</v>
      </c>
      <c r="J26" s="22">
        <v>2.4E-2</v>
      </c>
      <c r="K26" s="3" t="s">
        <v>784</v>
      </c>
      <c r="L26" s="22">
        <v>2.4E-2</v>
      </c>
      <c r="M26" s="3" t="s">
        <v>49</v>
      </c>
      <c r="N26" s="34" t="s">
        <v>785</v>
      </c>
      <c r="O26" s="34" t="s">
        <v>765</v>
      </c>
      <c r="P26" s="9">
        <v>0</v>
      </c>
      <c r="Q26" s="34" t="s">
        <v>786</v>
      </c>
    </row>
    <row r="27" spans="1:17" ht="55.2">
      <c r="A27" s="3" t="s">
        <v>787</v>
      </c>
      <c r="B27" s="3" t="s">
        <v>234</v>
      </c>
      <c r="C27" s="3" t="s">
        <v>746</v>
      </c>
      <c r="D27" s="34" t="s">
        <v>788</v>
      </c>
      <c r="E27" s="3">
        <v>20</v>
      </c>
      <c r="F27" s="3">
        <v>95</v>
      </c>
      <c r="G27" s="3" t="s">
        <v>675</v>
      </c>
      <c r="H27" s="3" t="s">
        <v>789</v>
      </c>
      <c r="I27" s="3" t="s">
        <v>790</v>
      </c>
      <c r="J27" s="22">
        <v>8.9999999999999993E-3</v>
      </c>
      <c r="K27" s="3" t="s">
        <v>784</v>
      </c>
      <c r="L27" s="22">
        <v>8.9999999999999993E-3</v>
      </c>
      <c r="M27" s="3" t="s">
        <v>49</v>
      </c>
      <c r="N27" s="34" t="s">
        <v>785</v>
      </c>
      <c r="O27" s="34" t="s">
        <v>765</v>
      </c>
      <c r="P27" s="9">
        <v>0</v>
      </c>
      <c r="Q27" s="34" t="s">
        <v>786</v>
      </c>
    </row>
    <row r="28" spans="1:17" ht="55.2">
      <c r="A28" s="3" t="s">
        <v>791</v>
      </c>
      <c r="B28" s="3" t="s">
        <v>234</v>
      </c>
      <c r="C28" s="3" t="s">
        <v>746</v>
      </c>
      <c r="D28" s="34" t="s">
        <v>792</v>
      </c>
      <c r="E28" s="3">
        <v>20</v>
      </c>
      <c r="F28" s="3">
        <v>95</v>
      </c>
      <c r="G28" s="3" t="s">
        <v>675</v>
      </c>
      <c r="H28" s="3" t="s">
        <v>235</v>
      </c>
      <c r="I28" s="3" t="s">
        <v>793</v>
      </c>
      <c r="J28" s="22">
        <v>1.2E-2</v>
      </c>
      <c r="K28" s="3" t="s">
        <v>784</v>
      </c>
      <c r="L28" s="22">
        <v>1.2E-2</v>
      </c>
      <c r="M28" s="3" t="s">
        <v>49</v>
      </c>
      <c r="N28" s="34" t="s">
        <v>785</v>
      </c>
      <c r="O28" s="34" t="s">
        <v>765</v>
      </c>
      <c r="P28" s="9">
        <v>0</v>
      </c>
      <c r="Q28" s="34" t="s">
        <v>786</v>
      </c>
    </row>
    <row r="29" spans="1:17" ht="55.2">
      <c r="A29" s="3" t="s">
        <v>794</v>
      </c>
      <c r="B29" s="3" t="s">
        <v>234</v>
      </c>
      <c r="C29" s="3" t="s">
        <v>746</v>
      </c>
      <c r="D29" s="34" t="s">
        <v>795</v>
      </c>
      <c r="E29" s="3">
        <v>20</v>
      </c>
      <c r="F29" s="3">
        <v>95</v>
      </c>
      <c r="G29" s="3" t="s">
        <v>675</v>
      </c>
      <c r="H29" s="3" t="s">
        <v>789</v>
      </c>
      <c r="I29" s="3" t="s">
        <v>796</v>
      </c>
      <c r="J29" s="22">
        <v>8.0000000000000002E-3</v>
      </c>
      <c r="K29" s="3" t="s">
        <v>784</v>
      </c>
      <c r="L29" s="22">
        <v>8.0000000000000002E-3</v>
      </c>
      <c r="M29" s="3" t="s">
        <v>49</v>
      </c>
      <c r="N29" s="34" t="s">
        <v>785</v>
      </c>
      <c r="O29" s="34" t="s">
        <v>765</v>
      </c>
      <c r="P29" s="9">
        <v>0</v>
      </c>
      <c r="Q29" s="34" t="s">
        <v>786</v>
      </c>
    </row>
  </sheetData>
  <autoFilter ref="A1:Q1" xr:uid="{00000000-0009-0000-0000-000008000000}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V13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6.69921875" customWidth="1"/>
    <col min="2" max="2" width="20.69921875" customWidth="1"/>
    <col min="3" max="3" width="15.69921875" customWidth="1"/>
    <col min="4" max="4" width="12.69921875" customWidth="1"/>
    <col min="5" max="5" width="17.69921875" customWidth="1"/>
    <col min="6" max="6" width="19.69921875" customWidth="1"/>
    <col min="7" max="7" width="15.69921875" customWidth="1"/>
    <col min="8" max="8" width="16.69921875" customWidth="1"/>
    <col min="9" max="9" width="28.69921875" customWidth="1"/>
    <col min="10" max="10" width="29.69921875" customWidth="1"/>
    <col min="11" max="11" width="20.69921875" customWidth="1"/>
    <col min="12" max="12" width="15.69921875" customWidth="1"/>
    <col min="13" max="13" width="23.69921875" customWidth="1"/>
    <col min="14" max="14" width="35.69921875" customWidth="1"/>
    <col min="15" max="15" width="19.69921875" customWidth="1"/>
    <col min="16" max="16" width="22.69921875" customWidth="1"/>
    <col min="17" max="17" width="12.69921875" customWidth="1"/>
    <col min="18" max="18" width="25.69921875" customWidth="1"/>
    <col min="19" max="19" width="16.69921875" customWidth="1"/>
    <col min="20" max="20" width="15.69921875" customWidth="1"/>
    <col min="21" max="21" width="12.69921875" customWidth="1"/>
    <col min="22" max="22" width="11.69921875" customWidth="1"/>
  </cols>
  <sheetData>
    <row r="1" spans="1:22" ht="28.05" customHeight="1">
      <c r="A1" s="1" t="s">
        <v>362</v>
      </c>
      <c r="B1" s="1" t="s">
        <v>363</v>
      </c>
      <c r="C1" s="1" t="s">
        <v>162</v>
      </c>
      <c r="D1" s="1" t="s">
        <v>364</v>
      </c>
      <c r="E1" s="1" t="s">
        <v>145</v>
      </c>
      <c r="F1" s="1" t="s">
        <v>166</v>
      </c>
      <c r="G1" s="1" t="s">
        <v>365</v>
      </c>
      <c r="H1" s="1" t="s">
        <v>366</v>
      </c>
      <c r="I1" s="1" t="s">
        <v>367</v>
      </c>
      <c r="J1" s="1" t="s">
        <v>368</v>
      </c>
      <c r="K1" s="1" t="s">
        <v>369</v>
      </c>
      <c r="L1" s="1" t="s">
        <v>370</v>
      </c>
      <c r="M1" s="1" t="s">
        <v>371</v>
      </c>
      <c r="N1" s="1" t="s">
        <v>372</v>
      </c>
      <c r="O1" s="1" t="s">
        <v>373</v>
      </c>
      <c r="P1" s="1" t="s">
        <v>374</v>
      </c>
      <c r="Q1" s="1" t="s">
        <v>375</v>
      </c>
      <c r="R1" s="1" t="s">
        <v>376</v>
      </c>
      <c r="S1" s="1" t="s">
        <v>377</v>
      </c>
      <c r="T1" s="1" t="s">
        <v>163</v>
      </c>
      <c r="U1" s="1" t="s">
        <v>378</v>
      </c>
      <c r="V1" s="1" t="s">
        <v>379</v>
      </c>
    </row>
    <row r="2" spans="1:22" ht="55.2">
      <c r="A2" s="20" t="s">
        <v>380</v>
      </c>
      <c r="B2" s="20" t="s">
        <v>381</v>
      </c>
      <c r="C2" s="20" t="s">
        <v>177</v>
      </c>
      <c r="D2" s="20" t="s">
        <v>382</v>
      </c>
      <c r="E2" t="s">
        <v>169</v>
      </c>
      <c r="F2" t="s">
        <v>169</v>
      </c>
      <c r="G2" t="s">
        <v>179</v>
      </c>
      <c r="H2" s="28" t="s">
        <v>383</v>
      </c>
      <c r="I2" s="20" t="s">
        <v>384</v>
      </c>
      <c r="J2" s="23">
        <v>1</v>
      </c>
      <c r="K2" s="24">
        <v>1</v>
      </c>
      <c r="L2" s="25">
        <v>5.5999999999999999E-3</v>
      </c>
      <c r="M2" s="26">
        <v>1</v>
      </c>
      <c r="N2" s="25">
        <v>5.5999999999999999E-3</v>
      </c>
      <c r="O2" t="s">
        <v>385</v>
      </c>
      <c r="P2" s="27">
        <f t="shared" ref="P2:P13" si="0">IFERROR(N2*M2,L2)</f>
        <v>5.5999999999999999E-3</v>
      </c>
      <c r="Q2" s="18">
        <v>2017</v>
      </c>
      <c r="R2">
        <v>0</v>
      </c>
      <c r="S2" t="s">
        <v>386</v>
      </c>
      <c r="T2" t="s">
        <v>387</v>
      </c>
      <c r="U2" s="21">
        <f t="shared" ref="U2:U13" si="1">IF(AND(L2&gt;=0,J2&lt;&gt;"",J2&gt;=0,J2&lt;=1,OR(I2="all",I2="prevalence",I2="incidence")),1,0)</f>
        <v>1</v>
      </c>
      <c r="V2" s="13" t="s">
        <v>388</v>
      </c>
    </row>
    <row r="3" spans="1:22" ht="55.2">
      <c r="A3" s="20" t="s">
        <v>389</v>
      </c>
      <c r="B3" s="20" t="s">
        <v>390</v>
      </c>
      <c r="C3" s="20" t="s">
        <v>195</v>
      </c>
      <c r="D3" s="20" t="s">
        <v>382</v>
      </c>
      <c r="E3" t="s">
        <v>192</v>
      </c>
      <c r="F3" t="s">
        <v>192</v>
      </c>
      <c r="G3" t="s">
        <v>179</v>
      </c>
      <c r="H3" s="28" t="s">
        <v>383</v>
      </c>
      <c r="I3" s="20" t="s">
        <v>384</v>
      </c>
      <c r="J3" s="23">
        <v>1</v>
      </c>
      <c r="K3" s="24">
        <v>1</v>
      </c>
      <c r="L3" s="25">
        <v>4.0000000000000001E-3</v>
      </c>
      <c r="M3" s="26">
        <v>1</v>
      </c>
      <c r="N3" s="25">
        <v>4.0000000000000001E-3</v>
      </c>
      <c r="O3" t="s">
        <v>385</v>
      </c>
      <c r="P3" s="27">
        <f t="shared" si="0"/>
        <v>4.0000000000000001E-3</v>
      </c>
      <c r="Q3" s="18">
        <v>2017</v>
      </c>
      <c r="R3">
        <v>0</v>
      </c>
      <c r="S3" t="s">
        <v>386</v>
      </c>
      <c r="T3" t="s">
        <v>387</v>
      </c>
      <c r="U3" s="21">
        <f t="shared" si="1"/>
        <v>1</v>
      </c>
      <c r="V3" s="13" t="s">
        <v>388</v>
      </c>
    </row>
    <row r="4" spans="1:22" ht="55.2">
      <c r="A4" s="20" t="s">
        <v>391</v>
      </c>
      <c r="B4" s="20" t="s">
        <v>392</v>
      </c>
      <c r="C4" s="20" t="s">
        <v>204</v>
      </c>
      <c r="D4" s="20" t="s">
        <v>393</v>
      </c>
      <c r="E4" t="s">
        <v>200</v>
      </c>
      <c r="F4" t="s">
        <v>205</v>
      </c>
      <c r="G4" t="s">
        <v>206</v>
      </c>
      <c r="H4" s="28" t="s">
        <v>383</v>
      </c>
      <c r="I4" s="20" t="s">
        <v>384</v>
      </c>
      <c r="J4" s="23">
        <v>1</v>
      </c>
      <c r="K4" s="24">
        <v>1</v>
      </c>
      <c r="L4" s="25">
        <v>8.7749999999999998E-3</v>
      </c>
      <c r="M4" s="26">
        <v>0.25</v>
      </c>
      <c r="N4" s="25">
        <v>3.5099999999999999E-2</v>
      </c>
      <c r="O4" t="s">
        <v>394</v>
      </c>
      <c r="P4" s="27">
        <f t="shared" si="0"/>
        <v>8.7749999999999998E-3</v>
      </c>
      <c r="Q4" s="18">
        <v>2017</v>
      </c>
      <c r="R4">
        <v>0</v>
      </c>
      <c r="S4" t="s">
        <v>386</v>
      </c>
      <c r="T4" t="s">
        <v>387</v>
      </c>
      <c r="U4" s="21">
        <f t="shared" si="1"/>
        <v>1</v>
      </c>
      <c r="V4" s="13" t="s">
        <v>388</v>
      </c>
    </row>
    <row r="5" spans="1:22" ht="55.2">
      <c r="A5" s="20" t="s">
        <v>395</v>
      </c>
      <c r="B5" s="20" t="s">
        <v>396</v>
      </c>
      <c r="C5" s="20" t="s">
        <v>213</v>
      </c>
      <c r="D5" s="20" t="s">
        <v>393</v>
      </c>
      <c r="E5" t="s">
        <v>210</v>
      </c>
      <c r="F5" t="s">
        <v>205</v>
      </c>
      <c r="G5" t="s">
        <v>206</v>
      </c>
      <c r="H5" s="28" t="s">
        <v>383</v>
      </c>
      <c r="I5" s="20" t="s">
        <v>384</v>
      </c>
      <c r="J5" s="23">
        <v>1</v>
      </c>
      <c r="K5" s="24">
        <v>1</v>
      </c>
      <c r="L5" s="25">
        <v>8.7749999999999998E-3</v>
      </c>
      <c r="M5" s="26">
        <v>0.25</v>
      </c>
      <c r="N5" s="25">
        <v>3.5099999999999999E-2</v>
      </c>
      <c r="O5" t="s">
        <v>394</v>
      </c>
      <c r="P5" s="27">
        <f t="shared" si="0"/>
        <v>8.7749999999999998E-3</v>
      </c>
      <c r="Q5" s="18">
        <v>2017</v>
      </c>
      <c r="R5">
        <v>0</v>
      </c>
      <c r="S5" t="s">
        <v>386</v>
      </c>
      <c r="T5" t="s">
        <v>387</v>
      </c>
      <c r="U5" s="21">
        <f t="shared" si="1"/>
        <v>1</v>
      </c>
      <c r="V5" s="13" t="s">
        <v>388</v>
      </c>
    </row>
    <row r="6" spans="1:22" ht="55.2">
      <c r="A6" s="20" t="s">
        <v>397</v>
      </c>
      <c r="B6" s="20" t="s">
        <v>398</v>
      </c>
      <c r="C6" s="20" t="s">
        <v>220</v>
      </c>
      <c r="D6" s="20" t="s">
        <v>393</v>
      </c>
      <c r="E6" t="s">
        <v>217</v>
      </c>
      <c r="F6" t="s">
        <v>205</v>
      </c>
      <c r="G6" t="s">
        <v>206</v>
      </c>
      <c r="H6" s="28" t="s">
        <v>383</v>
      </c>
      <c r="I6" s="20" t="s">
        <v>384</v>
      </c>
      <c r="J6" s="23">
        <v>1</v>
      </c>
      <c r="K6" s="24">
        <v>1</v>
      </c>
      <c r="L6" s="25">
        <v>8.7749999999999998E-3</v>
      </c>
      <c r="M6" s="26">
        <v>0.25</v>
      </c>
      <c r="N6" s="25">
        <v>3.5099999999999999E-2</v>
      </c>
      <c r="O6" t="s">
        <v>394</v>
      </c>
      <c r="P6" s="27">
        <f t="shared" si="0"/>
        <v>8.7749999999999998E-3</v>
      </c>
      <c r="Q6" s="18">
        <v>2017</v>
      </c>
      <c r="R6">
        <v>0</v>
      </c>
      <c r="S6" t="s">
        <v>386</v>
      </c>
      <c r="T6" t="s">
        <v>387</v>
      </c>
      <c r="U6" s="21">
        <f t="shared" si="1"/>
        <v>1</v>
      </c>
      <c r="V6" s="13" t="s">
        <v>388</v>
      </c>
    </row>
    <row r="7" spans="1:22" ht="55.2">
      <c r="A7" s="20" t="s">
        <v>399</v>
      </c>
      <c r="B7" s="20" t="s">
        <v>400</v>
      </c>
      <c r="C7" s="20" t="s">
        <v>227</v>
      </c>
      <c r="D7" s="20" t="s">
        <v>393</v>
      </c>
      <c r="E7" t="s">
        <v>224</v>
      </c>
      <c r="F7" t="s">
        <v>205</v>
      </c>
      <c r="G7" t="s">
        <v>206</v>
      </c>
      <c r="H7" s="28" t="s">
        <v>383</v>
      </c>
      <c r="I7" s="20" t="s">
        <v>384</v>
      </c>
      <c r="J7" s="23">
        <v>1</v>
      </c>
      <c r="K7" s="24">
        <v>1</v>
      </c>
      <c r="L7" s="25">
        <v>8.7749999999999998E-3</v>
      </c>
      <c r="M7" s="26">
        <v>0.25</v>
      </c>
      <c r="N7" s="25">
        <v>3.5099999999999999E-2</v>
      </c>
      <c r="O7" t="s">
        <v>394</v>
      </c>
      <c r="P7" s="27">
        <f t="shared" si="0"/>
        <v>8.7749999999999998E-3</v>
      </c>
      <c r="Q7" s="18">
        <v>2017</v>
      </c>
      <c r="R7">
        <v>0</v>
      </c>
      <c r="S7" t="s">
        <v>386</v>
      </c>
      <c r="T7" t="s">
        <v>387</v>
      </c>
      <c r="U7" s="21">
        <f t="shared" si="1"/>
        <v>1</v>
      </c>
      <c r="V7" s="13" t="s">
        <v>388</v>
      </c>
    </row>
    <row r="8" spans="1:22" ht="55.2">
      <c r="A8" s="20" t="s">
        <v>401</v>
      </c>
      <c r="B8" s="20" t="s">
        <v>402</v>
      </c>
      <c r="C8" s="20" t="s">
        <v>237</v>
      </c>
      <c r="D8" s="20" t="s">
        <v>382</v>
      </c>
      <c r="E8" t="s">
        <v>231</v>
      </c>
      <c r="F8" t="s">
        <v>231</v>
      </c>
      <c r="G8" t="s">
        <v>179</v>
      </c>
      <c r="H8" s="28" t="s">
        <v>383</v>
      </c>
      <c r="I8" s="20" t="s">
        <v>384</v>
      </c>
      <c r="J8" s="23">
        <v>1</v>
      </c>
      <c r="K8" s="24">
        <v>1</v>
      </c>
      <c r="L8" s="25">
        <v>4.0000000000000001E-3</v>
      </c>
      <c r="M8" s="26">
        <v>1</v>
      </c>
      <c r="N8" s="25">
        <v>4.0000000000000001E-3</v>
      </c>
      <c r="O8" t="s">
        <v>385</v>
      </c>
      <c r="P8" s="27">
        <f t="shared" si="0"/>
        <v>4.0000000000000001E-3</v>
      </c>
      <c r="Q8" s="18">
        <v>2017</v>
      </c>
      <c r="R8">
        <v>0</v>
      </c>
      <c r="S8" t="s">
        <v>386</v>
      </c>
      <c r="T8" t="s">
        <v>387</v>
      </c>
      <c r="U8" s="21">
        <f t="shared" si="1"/>
        <v>1</v>
      </c>
      <c r="V8" s="13" t="s">
        <v>388</v>
      </c>
    </row>
    <row r="9" spans="1:22" ht="55.2">
      <c r="A9" s="20" t="s">
        <v>403</v>
      </c>
      <c r="B9" s="20" t="s">
        <v>404</v>
      </c>
      <c r="C9" s="20" t="s">
        <v>246</v>
      </c>
      <c r="D9" s="20" t="s">
        <v>382</v>
      </c>
      <c r="E9" t="s">
        <v>242</v>
      </c>
      <c r="F9" t="s">
        <v>242</v>
      </c>
      <c r="G9" t="s">
        <v>179</v>
      </c>
      <c r="H9" s="28" t="s">
        <v>383</v>
      </c>
      <c r="I9" s="20" t="s">
        <v>384</v>
      </c>
      <c r="J9" s="23">
        <v>1</v>
      </c>
      <c r="K9" s="24">
        <v>1</v>
      </c>
      <c r="L9" s="25">
        <v>8.6999999999999994E-3</v>
      </c>
      <c r="M9" s="26">
        <v>1</v>
      </c>
      <c r="N9" s="25">
        <v>8.6999999999999994E-3</v>
      </c>
      <c r="O9" t="s">
        <v>385</v>
      </c>
      <c r="P9" s="27">
        <f t="shared" si="0"/>
        <v>8.6999999999999994E-3</v>
      </c>
      <c r="Q9" s="18">
        <v>2017</v>
      </c>
      <c r="R9">
        <v>0</v>
      </c>
      <c r="S9" t="s">
        <v>386</v>
      </c>
      <c r="T9" t="s">
        <v>387</v>
      </c>
      <c r="U9" s="21">
        <f t="shared" si="1"/>
        <v>1</v>
      </c>
      <c r="V9" s="13" t="s">
        <v>388</v>
      </c>
    </row>
    <row r="10" spans="1:22" ht="55.2">
      <c r="A10" s="20" t="s">
        <v>405</v>
      </c>
      <c r="B10" s="20" t="s">
        <v>406</v>
      </c>
      <c r="C10" s="20" t="s">
        <v>253</v>
      </c>
      <c r="D10" s="20" t="s">
        <v>382</v>
      </c>
      <c r="E10" t="s">
        <v>247</v>
      </c>
      <c r="F10" t="s">
        <v>247</v>
      </c>
      <c r="G10" t="s">
        <v>179</v>
      </c>
      <c r="H10" s="28" t="s">
        <v>383</v>
      </c>
      <c r="I10" s="20" t="s">
        <v>384</v>
      </c>
      <c r="J10" s="23">
        <v>1</v>
      </c>
      <c r="K10" s="24">
        <v>1</v>
      </c>
      <c r="L10" s="25">
        <v>4.0000000000000001E-3</v>
      </c>
      <c r="M10" s="26">
        <v>1</v>
      </c>
      <c r="N10" s="25">
        <v>4.0000000000000001E-3</v>
      </c>
      <c r="O10" t="s">
        <v>385</v>
      </c>
      <c r="P10" s="27">
        <f t="shared" si="0"/>
        <v>4.0000000000000001E-3</v>
      </c>
      <c r="Q10" s="18">
        <v>2017</v>
      </c>
      <c r="R10">
        <v>0</v>
      </c>
      <c r="S10" t="s">
        <v>386</v>
      </c>
      <c r="T10" t="s">
        <v>387</v>
      </c>
      <c r="U10" s="21">
        <f t="shared" si="1"/>
        <v>1</v>
      </c>
      <c r="V10" s="13" t="s">
        <v>388</v>
      </c>
    </row>
    <row r="11" spans="1:22" ht="55.2">
      <c r="A11" s="20" t="s">
        <v>407</v>
      </c>
      <c r="B11" s="20" t="s">
        <v>408</v>
      </c>
      <c r="C11" s="20" t="s">
        <v>260</v>
      </c>
      <c r="D11" s="20" t="s">
        <v>393</v>
      </c>
      <c r="E11" t="s">
        <v>257</v>
      </c>
      <c r="F11" t="s">
        <v>261</v>
      </c>
      <c r="G11" t="s">
        <v>206</v>
      </c>
      <c r="H11" s="28" t="s">
        <v>383</v>
      </c>
      <c r="I11" s="20" t="s">
        <v>384</v>
      </c>
      <c r="J11" s="23">
        <v>1</v>
      </c>
      <c r="K11" s="24">
        <v>1</v>
      </c>
      <c r="L11" s="25">
        <v>7.7000000000000002E-3</v>
      </c>
      <c r="M11" s="26">
        <v>0.33333333333333298</v>
      </c>
      <c r="N11" s="25">
        <v>2.3099999999999999E-2</v>
      </c>
      <c r="O11" t="s">
        <v>394</v>
      </c>
      <c r="P11" s="27">
        <f t="shared" si="0"/>
        <v>7.6999999999999916E-3</v>
      </c>
      <c r="Q11" s="18">
        <v>2017</v>
      </c>
      <c r="R11">
        <v>0</v>
      </c>
      <c r="S11" t="s">
        <v>386</v>
      </c>
      <c r="T11" t="s">
        <v>387</v>
      </c>
      <c r="U11" s="21">
        <f t="shared" si="1"/>
        <v>1</v>
      </c>
      <c r="V11" s="13" t="s">
        <v>388</v>
      </c>
    </row>
    <row r="12" spans="1:22" ht="55.2">
      <c r="A12" s="20" t="s">
        <v>409</v>
      </c>
      <c r="B12" s="20" t="s">
        <v>410</v>
      </c>
      <c r="C12" s="20" t="s">
        <v>268</v>
      </c>
      <c r="D12" s="20" t="s">
        <v>393</v>
      </c>
      <c r="E12" t="s">
        <v>265</v>
      </c>
      <c r="F12" t="s">
        <v>261</v>
      </c>
      <c r="G12" t="s">
        <v>206</v>
      </c>
      <c r="H12" s="28" t="s">
        <v>383</v>
      </c>
      <c r="I12" s="20" t="s">
        <v>384</v>
      </c>
      <c r="J12" s="23">
        <v>1</v>
      </c>
      <c r="K12" s="24">
        <v>1</v>
      </c>
      <c r="L12" s="25">
        <v>7.7000000000000002E-3</v>
      </c>
      <c r="M12" s="26">
        <v>0.33333333333333298</v>
      </c>
      <c r="N12" s="25">
        <v>2.3099999999999999E-2</v>
      </c>
      <c r="O12" t="s">
        <v>394</v>
      </c>
      <c r="P12" s="27">
        <f t="shared" si="0"/>
        <v>7.6999999999999916E-3</v>
      </c>
      <c r="Q12" s="18">
        <v>2017</v>
      </c>
      <c r="R12">
        <v>0</v>
      </c>
      <c r="S12" t="s">
        <v>386</v>
      </c>
      <c r="T12" t="s">
        <v>387</v>
      </c>
      <c r="U12" s="21">
        <f t="shared" si="1"/>
        <v>1</v>
      </c>
      <c r="V12" s="13" t="s">
        <v>388</v>
      </c>
    </row>
    <row r="13" spans="1:22" ht="55.2">
      <c r="A13" s="20" t="s">
        <v>411</v>
      </c>
      <c r="B13" s="20" t="s">
        <v>412</v>
      </c>
      <c r="C13" s="20" t="s">
        <v>275</v>
      </c>
      <c r="D13" s="20" t="s">
        <v>393</v>
      </c>
      <c r="E13" t="s">
        <v>272</v>
      </c>
      <c r="F13" t="s">
        <v>261</v>
      </c>
      <c r="G13" t="s">
        <v>206</v>
      </c>
      <c r="H13" s="28" t="s">
        <v>383</v>
      </c>
      <c r="I13" s="20" t="s">
        <v>384</v>
      </c>
      <c r="J13" s="23">
        <v>1</v>
      </c>
      <c r="K13" s="24">
        <v>1</v>
      </c>
      <c r="L13" s="25">
        <v>7.7000000000000002E-3</v>
      </c>
      <c r="M13" s="26">
        <v>0.33333333333333298</v>
      </c>
      <c r="N13" s="25">
        <v>2.3099999999999999E-2</v>
      </c>
      <c r="O13" t="s">
        <v>394</v>
      </c>
      <c r="P13" s="27">
        <f t="shared" si="0"/>
        <v>7.6999999999999916E-3</v>
      </c>
      <c r="Q13" s="18">
        <v>2017</v>
      </c>
      <c r="R13">
        <v>0</v>
      </c>
      <c r="S13" t="s">
        <v>386</v>
      </c>
      <c r="T13" t="s">
        <v>387</v>
      </c>
      <c r="U13" s="21">
        <f t="shared" si="1"/>
        <v>1</v>
      </c>
      <c r="V13" s="13" t="s">
        <v>388</v>
      </c>
    </row>
  </sheetData>
  <autoFilter ref="A1:V1" xr:uid="{00000000-0009-0000-0000-000009000000}"/>
  <conditionalFormatting sqref="R2:R13">
    <cfRule type="expression" dxfId="8" priority="1">
      <formula>R2=0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filterMode="1"/>
  <dimension ref="A1:J2731"/>
  <sheetViews>
    <sheetView workbookViewId="0">
      <pane ySplit="1" topLeftCell="A1822" activePane="bottomLeft" state="frozen"/>
      <selection pane="bottomLeft" activeCell="H1" sqref="H1:H1048576"/>
    </sheetView>
  </sheetViews>
  <sheetFormatPr defaultColWidth="11.19921875" defaultRowHeight="13.8"/>
  <cols>
    <col min="1" max="1" width="11.69921875" customWidth="1"/>
    <col min="2" max="2" width="16.69921875" customWidth="1"/>
    <col min="3" max="5" width="11.69921875" customWidth="1"/>
    <col min="6" max="6" width="14.69921875" customWidth="1"/>
    <col min="7" max="7" width="12.69921875" customWidth="1"/>
    <col min="8" max="8" width="13.69921875" customWidth="1"/>
    <col min="9" max="9" width="16.69921875" customWidth="1"/>
    <col min="10" max="10" width="15.69921875" customWidth="1"/>
  </cols>
  <sheetData>
    <row r="1" spans="1:10" ht="28.05" customHeight="1">
      <c r="A1" s="1" t="s">
        <v>413</v>
      </c>
      <c r="B1" s="1" t="s">
        <v>414</v>
      </c>
      <c r="C1" s="1" t="s">
        <v>28</v>
      </c>
      <c r="D1" s="1" t="s">
        <v>415</v>
      </c>
      <c r="E1" s="1" t="s">
        <v>416</v>
      </c>
      <c r="F1" s="1" t="s">
        <v>417</v>
      </c>
      <c r="G1" s="1" t="s">
        <v>418</v>
      </c>
      <c r="H1" s="1" t="s">
        <v>419</v>
      </c>
      <c r="I1" s="1" t="s">
        <v>420</v>
      </c>
      <c r="J1" s="1" t="s">
        <v>421</v>
      </c>
    </row>
    <row r="2" spans="1:10" hidden="1">
      <c r="A2" t="s">
        <v>169</v>
      </c>
      <c r="B2" t="s">
        <v>171</v>
      </c>
      <c r="C2" s="18">
        <v>2025</v>
      </c>
      <c r="D2" t="s">
        <v>174</v>
      </c>
      <c r="E2" s="9">
        <v>12176.1707137429</v>
      </c>
      <c r="F2" s="9">
        <v>8959.2701472679</v>
      </c>
      <c r="G2" s="9">
        <v>12176.1707137429</v>
      </c>
      <c r="H2" s="9">
        <v>8959.2701472679</v>
      </c>
      <c r="I2" s="21">
        <f t="shared" ref="I2:I65" si="0">H2-F2</f>
        <v>0</v>
      </c>
      <c r="J2" s="21">
        <f t="shared" ref="J2:J65" si="1">G2-E2</f>
        <v>0</v>
      </c>
    </row>
    <row r="3" spans="1:10" hidden="1">
      <c r="A3" t="s">
        <v>169</v>
      </c>
      <c r="B3" t="s">
        <v>171</v>
      </c>
      <c r="C3" s="18">
        <v>2025</v>
      </c>
      <c r="D3" t="s">
        <v>236</v>
      </c>
      <c r="E3" s="9">
        <v>1026758.5711338</v>
      </c>
      <c r="F3" s="9">
        <v>129383.32321031499</v>
      </c>
      <c r="G3" s="9">
        <v>1026758.5711338</v>
      </c>
      <c r="H3" s="9">
        <v>129383.32321031499</v>
      </c>
      <c r="I3" s="21">
        <f t="shared" si="0"/>
        <v>0</v>
      </c>
      <c r="J3" s="21">
        <f t="shared" si="1"/>
        <v>0</v>
      </c>
    </row>
    <row r="4" spans="1:10" hidden="1">
      <c r="A4" t="s">
        <v>169</v>
      </c>
      <c r="B4" t="s">
        <v>171</v>
      </c>
      <c r="C4" s="18">
        <v>2025</v>
      </c>
      <c r="D4" t="s">
        <v>182</v>
      </c>
      <c r="E4" s="9">
        <v>115291.15986546699</v>
      </c>
      <c r="F4" s="9">
        <v>67656.558989495796</v>
      </c>
      <c r="G4" s="9">
        <v>115291.15986546699</v>
      </c>
      <c r="H4" s="9">
        <v>67656.558989495796</v>
      </c>
      <c r="I4" s="21">
        <f t="shared" si="0"/>
        <v>0</v>
      </c>
      <c r="J4" s="21">
        <f t="shared" si="1"/>
        <v>0</v>
      </c>
    </row>
    <row r="5" spans="1:10" hidden="1">
      <c r="A5" t="s">
        <v>169</v>
      </c>
      <c r="B5" t="s">
        <v>171</v>
      </c>
      <c r="C5" s="18">
        <v>2025</v>
      </c>
      <c r="D5" t="s">
        <v>185</v>
      </c>
      <c r="E5" s="9">
        <v>281662.55341658002</v>
      </c>
      <c r="F5" s="9">
        <v>263295.70058044</v>
      </c>
      <c r="G5" s="9">
        <v>281662.55341658002</v>
      </c>
      <c r="H5" s="9">
        <v>263295.70058044</v>
      </c>
      <c r="I5" s="21">
        <f t="shared" si="0"/>
        <v>0</v>
      </c>
      <c r="J5" s="21">
        <f t="shared" si="1"/>
        <v>0</v>
      </c>
    </row>
    <row r="6" spans="1:10" hidden="1">
      <c r="A6" t="s">
        <v>169</v>
      </c>
      <c r="B6" t="s">
        <v>171</v>
      </c>
      <c r="C6" s="18">
        <v>2025</v>
      </c>
      <c r="D6" t="s">
        <v>188</v>
      </c>
      <c r="E6" s="9">
        <v>612171.634776233</v>
      </c>
      <c r="F6" s="9">
        <v>335724.86979376699</v>
      </c>
      <c r="G6" s="9">
        <v>612171.634776233</v>
      </c>
      <c r="H6" s="9">
        <v>335724.86979376699</v>
      </c>
      <c r="I6" s="21">
        <f t="shared" si="0"/>
        <v>0</v>
      </c>
      <c r="J6" s="21">
        <f t="shared" si="1"/>
        <v>0</v>
      </c>
    </row>
    <row r="7" spans="1:10" hidden="1">
      <c r="A7" t="s">
        <v>169</v>
      </c>
      <c r="B7" t="s">
        <v>171</v>
      </c>
      <c r="C7" s="18">
        <v>2025</v>
      </c>
      <c r="D7" t="s">
        <v>191</v>
      </c>
      <c r="E7" s="9">
        <v>339642.13012673298</v>
      </c>
      <c r="F7" s="9">
        <v>190841.880003208</v>
      </c>
      <c r="G7" s="9">
        <v>339642.13012673298</v>
      </c>
      <c r="H7" s="9">
        <v>190841.880003208</v>
      </c>
      <c r="I7" s="21">
        <f t="shared" si="0"/>
        <v>0</v>
      </c>
      <c r="J7" s="21">
        <f t="shared" si="1"/>
        <v>0</v>
      </c>
    </row>
    <row r="8" spans="1:10" hidden="1">
      <c r="A8" t="s">
        <v>169</v>
      </c>
      <c r="B8" t="s">
        <v>171</v>
      </c>
      <c r="C8" s="18">
        <v>2025</v>
      </c>
      <c r="D8" t="s">
        <v>422</v>
      </c>
      <c r="E8" s="9">
        <v>39660.836547407802</v>
      </c>
      <c r="F8" s="9">
        <v>5303.4223017440199</v>
      </c>
      <c r="G8" s="9">
        <v>39660.836547407802</v>
      </c>
      <c r="H8" s="9">
        <v>5303.4223017440199</v>
      </c>
      <c r="I8" s="21">
        <f t="shared" si="0"/>
        <v>0</v>
      </c>
      <c r="J8" s="21">
        <f t="shared" si="1"/>
        <v>0</v>
      </c>
    </row>
    <row r="9" spans="1:10" hidden="1">
      <c r="A9" t="s">
        <v>169</v>
      </c>
      <c r="B9" t="s">
        <v>171</v>
      </c>
      <c r="C9" s="18">
        <v>2026</v>
      </c>
      <c r="D9" t="s">
        <v>174</v>
      </c>
      <c r="E9" s="9">
        <v>12568.5229111272</v>
      </c>
      <c r="F9" s="9">
        <v>9271.1333627081003</v>
      </c>
      <c r="G9" s="9">
        <v>12568.9386470114</v>
      </c>
      <c r="H9" s="9">
        <v>9271.1333627081003</v>
      </c>
      <c r="I9" s="21">
        <f t="shared" si="0"/>
        <v>0</v>
      </c>
      <c r="J9" s="21">
        <f t="shared" si="1"/>
        <v>0.41573588420033047</v>
      </c>
    </row>
    <row r="10" spans="1:10" hidden="1">
      <c r="A10" t="s">
        <v>169</v>
      </c>
      <c r="B10" t="s">
        <v>171</v>
      </c>
      <c r="C10" s="18">
        <v>2026</v>
      </c>
      <c r="D10" t="s">
        <v>236</v>
      </c>
      <c r="E10" s="9">
        <v>1042135.18581351</v>
      </c>
      <c r="F10" s="9">
        <v>137145.82895878801</v>
      </c>
      <c r="G10" s="9">
        <v>1042135.18581351</v>
      </c>
      <c r="H10" s="9">
        <v>137145.82895878801</v>
      </c>
      <c r="I10" s="21">
        <f t="shared" si="0"/>
        <v>0</v>
      </c>
      <c r="J10" s="21">
        <f t="shared" si="1"/>
        <v>0</v>
      </c>
    </row>
    <row r="11" spans="1:10" hidden="1">
      <c r="A11" t="s">
        <v>169</v>
      </c>
      <c r="B11" t="s">
        <v>171</v>
      </c>
      <c r="C11" s="18">
        <v>2026</v>
      </c>
      <c r="D11" t="s">
        <v>182</v>
      </c>
      <c r="E11" s="9">
        <v>114697.94743907001</v>
      </c>
      <c r="F11" s="9">
        <v>70326.603453519798</v>
      </c>
      <c r="G11" s="9">
        <v>114707.986926294</v>
      </c>
      <c r="H11" s="9">
        <v>70326.603453519798</v>
      </c>
      <c r="I11" s="21">
        <f t="shared" si="0"/>
        <v>0</v>
      </c>
      <c r="J11" s="21">
        <f t="shared" si="1"/>
        <v>10.039487223999458</v>
      </c>
    </row>
    <row r="12" spans="1:10" hidden="1">
      <c r="A12" t="s">
        <v>169</v>
      </c>
      <c r="B12" t="s">
        <v>171</v>
      </c>
      <c r="C12" s="18">
        <v>2026</v>
      </c>
      <c r="D12" t="s">
        <v>185</v>
      </c>
      <c r="E12" s="9">
        <v>282707.85606434901</v>
      </c>
      <c r="F12" s="9">
        <v>259504.46801133201</v>
      </c>
      <c r="G12" s="9">
        <v>282722.53786088398</v>
      </c>
      <c r="H12" s="9">
        <v>259504.46801133201</v>
      </c>
      <c r="I12" s="21">
        <f t="shared" si="0"/>
        <v>0</v>
      </c>
      <c r="J12" s="21">
        <f t="shared" si="1"/>
        <v>14.681796534976456</v>
      </c>
    </row>
    <row r="13" spans="1:10" hidden="1">
      <c r="A13" t="s">
        <v>169</v>
      </c>
      <c r="B13" t="s">
        <v>171</v>
      </c>
      <c r="C13" s="18">
        <v>2026</v>
      </c>
      <c r="D13" t="s">
        <v>188</v>
      </c>
      <c r="E13" s="9">
        <v>616775.66429929098</v>
      </c>
      <c r="F13" s="9">
        <v>342960.13528186502</v>
      </c>
      <c r="G13" s="9">
        <v>616790.02915575495</v>
      </c>
      <c r="H13" s="9">
        <v>342960.13528186502</v>
      </c>
      <c r="I13" s="21">
        <f t="shared" si="0"/>
        <v>0</v>
      </c>
      <c r="J13" s="21">
        <f t="shared" si="1"/>
        <v>14.36485646397341</v>
      </c>
    </row>
    <row r="14" spans="1:10" hidden="1">
      <c r="A14" t="s">
        <v>169</v>
      </c>
      <c r="B14" t="s">
        <v>171</v>
      </c>
      <c r="C14" s="18">
        <v>2026</v>
      </c>
      <c r="D14" t="s">
        <v>191</v>
      </c>
      <c r="E14" s="9">
        <v>338481.42317927303</v>
      </c>
      <c r="F14" s="9">
        <v>190574.61381884801</v>
      </c>
      <c r="G14" s="9">
        <v>338499.06942160201</v>
      </c>
      <c r="H14" s="9">
        <v>190574.61381884801</v>
      </c>
      <c r="I14" s="21">
        <f t="shared" si="0"/>
        <v>0</v>
      </c>
      <c r="J14" s="21">
        <f t="shared" si="1"/>
        <v>17.646242328977678</v>
      </c>
    </row>
    <row r="15" spans="1:10" hidden="1">
      <c r="A15" t="s">
        <v>169</v>
      </c>
      <c r="B15" t="s">
        <v>171</v>
      </c>
      <c r="C15" s="18">
        <v>2026</v>
      </c>
      <c r="D15" t="s">
        <v>422</v>
      </c>
      <c r="E15" s="9">
        <v>39250.667018004897</v>
      </c>
      <c r="F15" s="9">
        <v>5105.6095547855903</v>
      </c>
      <c r="G15" s="9">
        <v>39250.667018004897</v>
      </c>
      <c r="H15" s="9">
        <v>5105.6095547855903</v>
      </c>
      <c r="I15" s="21">
        <f t="shared" si="0"/>
        <v>0</v>
      </c>
      <c r="J15" s="21">
        <f t="shared" si="1"/>
        <v>0</v>
      </c>
    </row>
    <row r="16" spans="1:10" hidden="1">
      <c r="A16" t="s">
        <v>169</v>
      </c>
      <c r="B16" t="s">
        <v>171</v>
      </c>
      <c r="C16" s="18">
        <v>2027</v>
      </c>
      <c r="D16" t="s">
        <v>174</v>
      </c>
      <c r="E16" s="9">
        <v>12975.242955658199</v>
      </c>
      <c r="F16" s="9">
        <v>9577.4611190240903</v>
      </c>
      <c r="G16" s="9">
        <v>12976.103113363301</v>
      </c>
      <c r="H16" s="9">
        <v>9577.5296548643291</v>
      </c>
      <c r="I16" s="21">
        <f t="shared" si="0"/>
        <v>6.8535840238837409E-2</v>
      </c>
      <c r="J16" s="21">
        <f t="shared" si="1"/>
        <v>0.86015770510130096</v>
      </c>
    </row>
    <row r="17" spans="1:10" hidden="1">
      <c r="A17" t="s">
        <v>169</v>
      </c>
      <c r="B17" t="s">
        <v>171</v>
      </c>
      <c r="C17" s="18">
        <v>2027</v>
      </c>
      <c r="D17" t="s">
        <v>236</v>
      </c>
      <c r="E17" s="9">
        <v>1057148.31873483</v>
      </c>
      <c r="F17" s="9">
        <v>145009.441994705</v>
      </c>
      <c r="G17" s="9">
        <v>1057148.31873483</v>
      </c>
      <c r="H17" s="9">
        <v>145009.441994705</v>
      </c>
      <c r="I17" s="21">
        <f t="shared" si="0"/>
        <v>0</v>
      </c>
      <c r="J17" s="21">
        <f t="shared" si="1"/>
        <v>0</v>
      </c>
    </row>
    <row r="18" spans="1:10" hidden="1">
      <c r="A18" t="s">
        <v>169</v>
      </c>
      <c r="B18" t="s">
        <v>171</v>
      </c>
      <c r="C18" s="18">
        <v>2027</v>
      </c>
      <c r="D18" t="s">
        <v>182</v>
      </c>
      <c r="E18" s="9">
        <v>114132.99358103699</v>
      </c>
      <c r="F18" s="9">
        <v>72288.627219290094</v>
      </c>
      <c r="G18" s="9">
        <v>114152.944165875</v>
      </c>
      <c r="H18" s="9">
        <v>72290.169991209099</v>
      </c>
      <c r="I18" s="21">
        <f t="shared" si="0"/>
        <v>1.5427719190047355</v>
      </c>
      <c r="J18" s="21">
        <f t="shared" si="1"/>
        <v>19.950584838006762</v>
      </c>
    </row>
    <row r="19" spans="1:10" hidden="1">
      <c r="A19" t="s">
        <v>169</v>
      </c>
      <c r="B19" t="s">
        <v>171</v>
      </c>
      <c r="C19" s="18">
        <v>2027</v>
      </c>
      <c r="D19" t="s">
        <v>185</v>
      </c>
      <c r="E19" s="9">
        <v>277848.71421471599</v>
      </c>
      <c r="F19" s="9">
        <v>260323.86129523601</v>
      </c>
      <c r="G19" s="9">
        <v>277877.509454571</v>
      </c>
      <c r="H19" s="9">
        <v>260330.421136777</v>
      </c>
      <c r="I19" s="21">
        <f t="shared" si="0"/>
        <v>6.5598415409913287</v>
      </c>
      <c r="J19" s="21">
        <f t="shared" si="1"/>
        <v>28.795239855011459</v>
      </c>
    </row>
    <row r="20" spans="1:10" hidden="1">
      <c r="A20" t="s">
        <v>169</v>
      </c>
      <c r="B20" t="s">
        <v>171</v>
      </c>
      <c r="C20" s="18">
        <v>2027</v>
      </c>
      <c r="D20" t="s">
        <v>188</v>
      </c>
      <c r="E20" s="9">
        <v>621402.07881260803</v>
      </c>
      <c r="F20" s="9">
        <v>349404.26256040699</v>
      </c>
      <c r="G20" s="9">
        <v>621430.90280116105</v>
      </c>
      <c r="H20" s="9">
        <v>349405.30073034298</v>
      </c>
      <c r="I20" s="21">
        <f t="shared" si="0"/>
        <v>1.038169935985934</v>
      </c>
      <c r="J20" s="21">
        <f t="shared" si="1"/>
        <v>28.823988553020172</v>
      </c>
    </row>
    <row r="21" spans="1:10" hidden="1">
      <c r="A21" t="s">
        <v>169</v>
      </c>
      <c r="B21" t="s">
        <v>171</v>
      </c>
      <c r="C21" s="18">
        <v>2027</v>
      </c>
      <c r="D21" t="s">
        <v>191</v>
      </c>
      <c r="E21" s="9">
        <v>337363.87720221502</v>
      </c>
      <c r="F21" s="9">
        <v>189029.50856003401</v>
      </c>
      <c r="G21" s="9">
        <v>337398.94907172298</v>
      </c>
      <c r="H21" s="9">
        <v>189031.10044551201</v>
      </c>
      <c r="I21" s="21">
        <f t="shared" si="0"/>
        <v>1.5918854780029505</v>
      </c>
      <c r="J21" s="21">
        <f t="shared" si="1"/>
        <v>35.071869507955853</v>
      </c>
    </row>
    <row r="22" spans="1:10" hidden="1">
      <c r="A22" t="s">
        <v>169</v>
      </c>
      <c r="B22" t="s">
        <v>171</v>
      </c>
      <c r="C22" s="18">
        <v>2027</v>
      </c>
      <c r="D22" t="s">
        <v>422</v>
      </c>
      <c r="E22" s="9">
        <v>38773.627186343103</v>
      </c>
      <c r="F22" s="9">
        <v>4921.4971535538998</v>
      </c>
      <c r="G22" s="9">
        <v>38773.627186343103</v>
      </c>
      <c r="H22" s="9">
        <v>4921.4971535538998</v>
      </c>
      <c r="I22" s="21">
        <f t="shared" si="0"/>
        <v>0</v>
      </c>
      <c r="J22" s="21">
        <f t="shared" si="1"/>
        <v>0</v>
      </c>
    </row>
    <row r="23" spans="1:10" hidden="1">
      <c r="A23" t="s">
        <v>169</v>
      </c>
      <c r="B23" t="s">
        <v>171</v>
      </c>
      <c r="C23" s="18">
        <v>2028</v>
      </c>
      <c r="D23" t="s">
        <v>174</v>
      </c>
      <c r="E23" s="9">
        <v>13393.344507588101</v>
      </c>
      <c r="F23" s="9">
        <v>9881.7275981848798</v>
      </c>
      <c r="G23" s="9">
        <v>13394.6739315754</v>
      </c>
      <c r="H23" s="9">
        <v>9881.9220189252792</v>
      </c>
      <c r="I23" s="21">
        <f t="shared" si="0"/>
        <v>0.19442074039943691</v>
      </c>
      <c r="J23" s="21">
        <f t="shared" si="1"/>
        <v>1.3294239872993785</v>
      </c>
    </row>
    <row r="24" spans="1:10" hidden="1">
      <c r="A24" t="s">
        <v>169</v>
      </c>
      <c r="B24" t="s">
        <v>171</v>
      </c>
      <c r="C24" s="18">
        <v>2028</v>
      </c>
      <c r="D24" t="s">
        <v>236</v>
      </c>
      <c r="E24" s="9">
        <v>1071826.2058991599</v>
      </c>
      <c r="F24" s="9">
        <v>152971.72938899801</v>
      </c>
      <c r="G24" s="9">
        <v>1071826.1250559301</v>
      </c>
      <c r="H24" s="9">
        <v>152971.72938899801</v>
      </c>
      <c r="I24" s="21">
        <f t="shared" si="0"/>
        <v>0</v>
      </c>
      <c r="J24" s="21">
        <f t="shared" si="1"/>
        <v>-8.0843229778110981E-2</v>
      </c>
    </row>
    <row r="25" spans="1:10" hidden="1">
      <c r="A25" t="s">
        <v>169</v>
      </c>
      <c r="B25" t="s">
        <v>171</v>
      </c>
      <c r="C25" s="18">
        <v>2028</v>
      </c>
      <c r="D25" t="s">
        <v>182</v>
      </c>
      <c r="E25" s="9">
        <v>114109.27551123399</v>
      </c>
      <c r="F25" s="9">
        <v>73842.657802853602</v>
      </c>
      <c r="G25" s="9">
        <v>114139.12292486199</v>
      </c>
      <c r="H25" s="9">
        <v>73846.874209439702</v>
      </c>
      <c r="I25" s="21">
        <f t="shared" si="0"/>
        <v>4.2164065860997653</v>
      </c>
      <c r="J25" s="21">
        <f t="shared" si="1"/>
        <v>29.847413627998321</v>
      </c>
    </row>
    <row r="26" spans="1:10" hidden="1">
      <c r="A26" t="s">
        <v>169</v>
      </c>
      <c r="B26" t="s">
        <v>171</v>
      </c>
      <c r="C26" s="18">
        <v>2028</v>
      </c>
      <c r="D26" t="s">
        <v>185</v>
      </c>
      <c r="E26" s="9">
        <v>277692.614511522</v>
      </c>
      <c r="F26" s="9">
        <v>257750.53966516801</v>
      </c>
      <c r="G26" s="9">
        <v>277735.69614120398</v>
      </c>
      <c r="H26" s="9">
        <v>257765.32327170501</v>
      </c>
      <c r="I26" s="21">
        <f t="shared" si="0"/>
        <v>14.783606537006563</v>
      </c>
      <c r="J26" s="21">
        <f t="shared" si="1"/>
        <v>43.081629681983031</v>
      </c>
    </row>
    <row r="27" spans="1:10" hidden="1">
      <c r="A27" t="s">
        <v>169</v>
      </c>
      <c r="B27" t="s">
        <v>171</v>
      </c>
      <c r="C27" s="18">
        <v>2028</v>
      </c>
      <c r="D27" t="s">
        <v>188</v>
      </c>
      <c r="E27" s="9">
        <v>627680.45911266503</v>
      </c>
      <c r="F27" s="9">
        <v>356156.31885884202</v>
      </c>
      <c r="G27" s="9">
        <v>627723.84415529598</v>
      </c>
      <c r="H27" s="9">
        <v>356159.25290604099</v>
      </c>
      <c r="I27" s="21">
        <f t="shared" si="0"/>
        <v>2.9340471989708021</v>
      </c>
      <c r="J27" s="21">
        <f t="shared" si="1"/>
        <v>43.38504263095092</v>
      </c>
    </row>
    <row r="28" spans="1:10" hidden="1">
      <c r="A28" t="s">
        <v>169</v>
      </c>
      <c r="B28" t="s">
        <v>171</v>
      </c>
      <c r="C28" s="18">
        <v>2028</v>
      </c>
      <c r="D28" t="s">
        <v>191</v>
      </c>
      <c r="E28" s="9">
        <v>337462.26978541201</v>
      </c>
      <c r="F28" s="9">
        <v>187112.522163983</v>
      </c>
      <c r="G28" s="9">
        <v>337514.695524676</v>
      </c>
      <c r="H28" s="9">
        <v>187116.63987946699</v>
      </c>
      <c r="I28" s="21">
        <f t="shared" si="0"/>
        <v>4.1177154839970171</v>
      </c>
      <c r="J28" s="21">
        <f t="shared" si="1"/>
        <v>52.425739263999276</v>
      </c>
    </row>
    <row r="29" spans="1:10" hidden="1">
      <c r="A29" t="s">
        <v>169</v>
      </c>
      <c r="B29" t="s">
        <v>171</v>
      </c>
      <c r="C29" s="18">
        <v>2028</v>
      </c>
      <c r="D29" t="s">
        <v>422</v>
      </c>
      <c r="E29" s="9">
        <v>38149.291686012097</v>
      </c>
      <c r="F29" s="9">
        <v>4742.0855729783398</v>
      </c>
      <c r="G29" s="9">
        <v>38149.291579231904</v>
      </c>
      <c r="H29" s="9">
        <v>4742.0855729783398</v>
      </c>
      <c r="I29" s="21">
        <f t="shared" si="0"/>
        <v>0</v>
      </c>
      <c r="J29" s="21">
        <f t="shared" si="1"/>
        <v>-1.0678019316401333E-4</v>
      </c>
    </row>
    <row r="30" spans="1:10" hidden="1">
      <c r="A30" t="s">
        <v>169</v>
      </c>
      <c r="B30" t="s">
        <v>171</v>
      </c>
      <c r="C30" s="18">
        <v>2029</v>
      </c>
      <c r="D30" t="s">
        <v>174</v>
      </c>
      <c r="E30" s="9">
        <v>13828.2242968807</v>
      </c>
      <c r="F30" s="9">
        <v>10188.025672055201</v>
      </c>
      <c r="G30" s="9">
        <v>13830.048598278099</v>
      </c>
      <c r="H30" s="9">
        <v>10188.394886280999</v>
      </c>
      <c r="I30" s="21">
        <f t="shared" si="0"/>
        <v>0.36921422579871432</v>
      </c>
      <c r="J30" s="21">
        <f t="shared" si="1"/>
        <v>1.8243013973988127</v>
      </c>
    </row>
    <row r="31" spans="1:10" hidden="1">
      <c r="A31" t="s">
        <v>169</v>
      </c>
      <c r="B31" t="s">
        <v>171</v>
      </c>
      <c r="C31" s="18">
        <v>2029</v>
      </c>
      <c r="D31" t="s">
        <v>236</v>
      </c>
      <c r="E31" s="9">
        <v>1086200.7769907301</v>
      </c>
      <c r="F31" s="9">
        <v>161038.22962377599</v>
      </c>
      <c r="G31" s="9">
        <v>1086200.5009906101</v>
      </c>
      <c r="H31" s="9">
        <v>161038.22768731901</v>
      </c>
      <c r="I31" s="21">
        <f t="shared" si="0"/>
        <v>-1.9364569743629545E-3</v>
      </c>
      <c r="J31" s="21">
        <f t="shared" si="1"/>
        <v>-0.276000119978562</v>
      </c>
    </row>
    <row r="32" spans="1:10" hidden="1">
      <c r="A32" t="s">
        <v>169</v>
      </c>
      <c r="B32" t="s">
        <v>171</v>
      </c>
      <c r="C32" s="18">
        <v>2029</v>
      </c>
      <c r="D32" t="s">
        <v>182</v>
      </c>
      <c r="E32" s="9">
        <v>114008.494234584</v>
      </c>
      <c r="F32" s="9">
        <v>75444.467101831702</v>
      </c>
      <c r="G32" s="9">
        <v>114048.15533588199</v>
      </c>
      <c r="H32" s="9">
        <v>75452.222577591499</v>
      </c>
      <c r="I32" s="21">
        <f t="shared" si="0"/>
        <v>7.7554757597972639</v>
      </c>
      <c r="J32" s="21">
        <f t="shared" si="1"/>
        <v>39.661101297999267</v>
      </c>
    </row>
    <row r="33" spans="1:10" hidden="1">
      <c r="A33" t="s">
        <v>169</v>
      </c>
      <c r="B33" t="s">
        <v>171</v>
      </c>
      <c r="C33" s="18">
        <v>2029</v>
      </c>
      <c r="D33" t="s">
        <v>185</v>
      </c>
      <c r="E33" s="9">
        <v>275764.17389561102</v>
      </c>
      <c r="F33" s="9">
        <v>258310.02454552799</v>
      </c>
      <c r="G33" s="9">
        <v>275821.08299242798</v>
      </c>
      <c r="H33" s="9">
        <v>258334.31739486201</v>
      </c>
      <c r="I33" s="21">
        <f t="shared" si="0"/>
        <v>24.292849334015045</v>
      </c>
      <c r="J33" s="21">
        <f t="shared" si="1"/>
        <v>56.909096816962119</v>
      </c>
    </row>
    <row r="34" spans="1:10" hidden="1">
      <c r="A34" t="s">
        <v>169</v>
      </c>
      <c r="B34" t="s">
        <v>171</v>
      </c>
      <c r="C34" s="18">
        <v>2029</v>
      </c>
      <c r="D34" t="s">
        <v>188</v>
      </c>
      <c r="E34" s="9">
        <v>630721.65516374097</v>
      </c>
      <c r="F34" s="9">
        <v>363886.70008150698</v>
      </c>
      <c r="G34" s="9">
        <v>630779.36998507904</v>
      </c>
      <c r="H34" s="9">
        <v>363892.26827992598</v>
      </c>
      <c r="I34" s="21">
        <f t="shared" si="0"/>
        <v>5.5681984190014191</v>
      </c>
      <c r="J34" s="21">
        <f t="shared" si="1"/>
        <v>57.714821338071488</v>
      </c>
    </row>
    <row r="35" spans="1:10" hidden="1">
      <c r="A35" t="s">
        <v>169</v>
      </c>
      <c r="B35" t="s">
        <v>171</v>
      </c>
      <c r="C35" s="18">
        <v>2029</v>
      </c>
      <c r="D35" t="s">
        <v>191</v>
      </c>
      <c r="E35" s="9">
        <v>335852.01366274199</v>
      </c>
      <c r="F35" s="9">
        <v>186814.282670474</v>
      </c>
      <c r="G35" s="9">
        <v>335921.29283179599</v>
      </c>
      <c r="H35" s="9">
        <v>186821.56008749199</v>
      </c>
      <c r="I35" s="21">
        <f t="shared" si="0"/>
        <v>7.2774170179909561</v>
      </c>
      <c r="J35" s="21">
        <f t="shared" si="1"/>
        <v>69.279169054003432</v>
      </c>
    </row>
    <row r="36" spans="1:10" hidden="1">
      <c r="A36" t="s">
        <v>169</v>
      </c>
      <c r="B36" t="s">
        <v>171</v>
      </c>
      <c r="C36" s="18">
        <v>2029</v>
      </c>
      <c r="D36" t="s">
        <v>422</v>
      </c>
      <c r="E36" s="9">
        <v>37777.467497605503</v>
      </c>
      <c r="F36" s="9">
        <v>4604.0681559797304</v>
      </c>
      <c r="G36" s="9">
        <v>37777.467218977603</v>
      </c>
      <c r="H36" s="9">
        <v>4604.0681483163899</v>
      </c>
      <c r="I36" s="21">
        <f t="shared" si="0"/>
        <v>-7.6633405114989728E-6</v>
      </c>
      <c r="J36" s="21">
        <f t="shared" si="1"/>
        <v>-2.7862790011567995E-4</v>
      </c>
    </row>
    <row r="37" spans="1:10" hidden="1">
      <c r="A37" t="s">
        <v>169</v>
      </c>
      <c r="B37" t="s">
        <v>171</v>
      </c>
      <c r="C37" s="18">
        <v>2030</v>
      </c>
      <c r="D37" t="s">
        <v>174</v>
      </c>
      <c r="E37" s="9">
        <v>14279.6136552848</v>
      </c>
      <c r="F37" s="9">
        <v>10499.699661406699</v>
      </c>
      <c r="G37" s="9">
        <v>14281.959039535501</v>
      </c>
      <c r="H37" s="9">
        <v>10500.2867221377</v>
      </c>
      <c r="I37" s="21">
        <f t="shared" si="0"/>
        <v>0.58706073100074718</v>
      </c>
      <c r="J37" s="21">
        <f t="shared" si="1"/>
        <v>2.3453842507005902</v>
      </c>
    </row>
    <row r="38" spans="1:10" hidden="1">
      <c r="A38" t="s">
        <v>169</v>
      </c>
      <c r="B38" t="s">
        <v>171</v>
      </c>
      <c r="C38" s="18">
        <v>2030</v>
      </c>
      <c r="D38" t="s">
        <v>236</v>
      </c>
      <c r="E38" s="9">
        <v>1100192.3970577801</v>
      </c>
      <c r="F38" s="9">
        <v>169196.39356603799</v>
      </c>
      <c r="G38" s="9">
        <v>1100191.7865472301</v>
      </c>
      <c r="H38" s="9">
        <v>169196.385350075</v>
      </c>
      <c r="I38" s="21">
        <f t="shared" si="0"/>
        <v>-8.2159629964735359E-3</v>
      </c>
      <c r="J38" s="21">
        <f t="shared" si="1"/>
        <v>-0.61051054997369647</v>
      </c>
    </row>
    <row r="39" spans="1:10" hidden="1">
      <c r="A39" t="s">
        <v>169</v>
      </c>
      <c r="B39" t="s">
        <v>171</v>
      </c>
      <c r="C39" s="18">
        <v>2030</v>
      </c>
      <c r="D39" t="s">
        <v>182</v>
      </c>
      <c r="E39" s="9">
        <v>114732.18332754201</v>
      </c>
      <c r="F39" s="9">
        <v>75992.402787027895</v>
      </c>
      <c r="G39" s="9">
        <v>114781.951575614</v>
      </c>
      <c r="H39" s="9">
        <v>76004.374773711097</v>
      </c>
      <c r="I39" s="21">
        <f t="shared" si="0"/>
        <v>11.971986683201976</v>
      </c>
      <c r="J39" s="21">
        <f t="shared" si="1"/>
        <v>49.768248071995913</v>
      </c>
    </row>
    <row r="40" spans="1:10" hidden="1">
      <c r="A40" t="s">
        <v>169</v>
      </c>
      <c r="B40" t="s">
        <v>171</v>
      </c>
      <c r="C40" s="18">
        <v>2030</v>
      </c>
      <c r="D40" t="s">
        <v>185</v>
      </c>
      <c r="E40" s="9">
        <v>275679.87595710199</v>
      </c>
      <c r="F40" s="9">
        <v>257376.89912177401</v>
      </c>
      <c r="G40" s="9">
        <v>275750.81654950802</v>
      </c>
      <c r="H40" s="9">
        <v>257411.19778715901</v>
      </c>
      <c r="I40" s="21">
        <f t="shared" si="0"/>
        <v>34.29866538499482</v>
      </c>
      <c r="J40" s="21">
        <f t="shared" si="1"/>
        <v>70.940592406026553</v>
      </c>
    </row>
    <row r="41" spans="1:10" hidden="1">
      <c r="A41" t="s">
        <v>169</v>
      </c>
      <c r="B41" t="s">
        <v>171</v>
      </c>
      <c r="C41" s="18">
        <v>2030</v>
      </c>
      <c r="D41" t="s">
        <v>188</v>
      </c>
      <c r="E41" s="9">
        <v>638126.89858903398</v>
      </c>
      <c r="F41" s="9">
        <v>368911.58962079801</v>
      </c>
      <c r="G41" s="9">
        <v>638199.36722691404</v>
      </c>
      <c r="H41" s="9">
        <v>368920.44347907702</v>
      </c>
      <c r="I41" s="21">
        <f t="shared" si="0"/>
        <v>8.85385827900609</v>
      </c>
      <c r="J41" s="21">
        <f t="shared" si="1"/>
        <v>72.468637880054303</v>
      </c>
    </row>
    <row r="42" spans="1:10" hidden="1">
      <c r="A42" t="s">
        <v>169</v>
      </c>
      <c r="B42" t="s">
        <v>171</v>
      </c>
      <c r="C42" s="18">
        <v>2030</v>
      </c>
      <c r="D42" t="s">
        <v>191</v>
      </c>
      <c r="E42" s="9">
        <v>337288.310095997</v>
      </c>
      <c r="F42" s="9">
        <v>185431.576902078</v>
      </c>
      <c r="G42" s="9">
        <v>337374.94686633401</v>
      </c>
      <c r="H42" s="9">
        <v>185442.493190957</v>
      </c>
      <c r="I42" s="21">
        <f t="shared" si="0"/>
        <v>10.916288879001513</v>
      </c>
      <c r="J42" s="21">
        <f t="shared" si="1"/>
        <v>86.636770337005146</v>
      </c>
    </row>
    <row r="43" spans="1:10" hidden="1">
      <c r="A43" t="s">
        <v>169</v>
      </c>
      <c r="B43" t="s">
        <v>171</v>
      </c>
      <c r="C43" s="18">
        <v>2030</v>
      </c>
      <c r="D43" t="s">
        <v>422</v>
      </c>
      <c r="E43" s="9">
        <v>38012.6741268162</v>
      </c>
      <c r="F43" s="9">
        <v>4432.1168772655101</v>
      </c>
      <c r="G43" s="9">
        <v>38012.673637756197</v>
      </c>
      <c r="H43" s="9">
        <v>4432.1168533298996</v>
      </c>
      <c r="I43" s="21">
        <f t="shared" si="0"/>
        <v>-2.3935610443004407E-5</v>
      </c>
      <c r="J43" s="21">
        <f t="shared" si="1"/>
        <v>-4.8906000301940367E-4</v>
      </c>
    </row>
    <row r="44" spans="1:10" hidden="1">
      <c r="A44" t="s">
        <v>169</v>
      </c>
      <c r="B44" t="s">
        <v>171</v>
      </c>
      <c r="C44" s="18">
        <v>2031</v>
      </c>
      <c r="D44" t="s">
        <v>174</v>
      </c>
      <c r="E44" s="9">
        <v>14752.028059283501</v>
      </c>
      <c r="F44" s="9">
        <v>10814.0746583606</v>
      </c>
      <c r="G44" s="9">
        <v>14754.4294987798</v>
      </c>
      <c r="H44" s="9">
        <v>10814.9178976517</v>
      </c>
      <c r="I44" s="21">
        <f t="shared" si="0"/>
        <v>0.84323929109996243</v>
      </c>
      <c r="J44" s="21">
        <f t="shared" si="1"/>
        <v>2.4014394962996448</v>
      </c>
    </row>
    <row r="45" spans="1:10" hidden="1">
      <c r="A45" t="s">
        <v>169</v>
      </c>
      <c r="B45" t="s">
        <v>171</v>
      </c>
      <c r="C45" s="18">
        <v>2031</v>
      </c>
      <c r="D45" t="s">
        <v>236</v>
      </c>
      <c r="E45" s="9">
        <v>1113726.3239512001</v>
      </c>
      <c r="F45" s="9">
        <v>177420.21728288001</v>
      </c>
      <c r="G45" s="9">
        <v>1113725.2263596801</v>
      </c>
      <c r="H45" s="9">
        <v>177420.195676039</v>
      </c>
      <c r="I45" s="21">
        <f t="shared" si="0"/>
        <v>-2.160684100817889E-2</v>
      </c>
      <c r="J45" s="21">
        <f t="shared" si="1"/>
        <v>-1.0975915200542659</v>
      </c>
    </row>
    <row r="46" spans="1:10" hidden="1">
      <c r="A46" t="s">
        <v>169</v>
      </c>
      <c r="B46" t="s">
        <v>171</v>
      </c>
      <c r="C46" s="18">
        <v>2031</v>
      </c>
      <c r="D46" t="s">
        <v>182</v>
      </c>
      <c r="E46" s="9">
        <v>115707.08401569301</v>
      </c>
      <c r="F46" s="9">
        <v>76539.874748075003</v>
      </c>
      <c r="G46" s="9">
        <v>115757.018858842</v>
      </c>
      <c r="H46" s="9">
        <v>76556.628013514899</v>
      </c>
      <c r="I46" s="21">
        <f t="shared" si="0"/>
        <v>16.753265439896495</v>
      </c>
      <c r="J46" s="21">
        <f t="shared" si="1"/>
        <v>49.934843148992513</v>
      </c>
    </row>
    <row r="47" spans="1:10" hidden="1">
      <c r="A47" t="s">
        <v>169</v>
      </c>
      <c r="B47" t="s">
        <v>171</v>
      </c>
      <c r="C47" s="18">
        <v>2031</v>
      </c>
      <c r="D47" t="s">
        <v>185</v>
      </c>
      <c r="E47" s="9">
        <v>274649.46285857598</v>
      </c>
      <c r="F47" s="9">
        <v>257200.059423912</v>
      </c>
      <c r="G47" s="9">
        <v>274719.77758767002</v>
      </c>
      <c r="H47" s="9">
        <v>257245.00548019301</v>
      </c>
      <c r="I47" s="21">
        <f t="shared" si="0"/>
        <v>44.946056281012716</v>
      </c>
      <c r="J47" s="21">
        <f t="shared" si="1"/>
        <v>70.314729094039649</v>
      </c>
    </row>
    <row r="48" spans="1:10" hidden="1">
      <c r="A48" t="s">
        <v>169</v>
      </c>
      <c r="B48" t="s">
        <v>171</v>
      </c>
      <c r="C48" s="18">
        <v>2031</v>
      </c>
      <c r="D48" t="s">
        <v>188</v>
      </c>
      <c r="E48" s="9">
        <v>646038.61079490499</v>
      </c>
      <c r="F48" s="9">
        <v>374194.979407429</v>
      </c>
      <c r="G48" s="9">
        <v>646110.86416985898</v>
      </c>
      <c r="H48" s="9">
        <v>374207.72907897399</v>
      </c>
      <c r="I48" s="21">
        <f t="shared" si="0"/>
        <v>12.74967154499609</v>
      </c>
      <c r="J48" s="21">
        <f t="shared" si="1"/>
        <v>72.253374953987077</v>
      </c>
    </row>
    <row r="49" spans="1:10" hidden="1">
      <c r="A49" t="s">
        <v>169</v>
      </c>
      <c r="B49" t="s">
        <v>171</v>
      </c>
      <c r="C49" s="18">
        <v>2031</v>
      </c>
      <c r="D49" t="s">
        <v>191</v>
      </c>
      <c r="E49" s="9">
        <v>339118.07942061499</v>
      </c>
      <c r="F49" s="9">
        <v>184300.52909332901</v>
      </c>
      <c r="G49" s="9">
        <v>339204.41915059398</v>
      </c>
      <c r="H49" s="9">
        <v>184315.56237323501</v>
      </c>
      <c r="I49" s="21">
        <f t="shared" si="0"/>
        <v>15.033279905997915</v>
      </c>
      <c r="J49" s="21">
        <f t="shared" si="1"/>
        <v>86.339729978994001</v>
      </c>
    </row>
    <row r="50" spans="1:10" hidden="1">
      <c r="A50" t="s">
        <v>169</v>
      </c>
      <c r="B50" t="s">
        <v>171</v>
      </c>
      <c r="C50" s="18">
        <v>2031</v>
      </c>
      <c r="D50" t="s">
        <v>422</v>
      </c>
      <c r="E50" s="9">
        <v>38191.6238284188</v>
      </c>
      <c r="F50" s="9">
        <v>4274.7273403181498</v>
      </c>
      <c r="G50" s="9">
        <v>38191.6231000681</v>
      </c>
      <c r="H50" s="9">
        <v>4274.7272932738097</v>
      </c>
      <c r="I50" s="21">
        <f t="shared" si="0"/>
        <v>-4.704434013547143E-5</v>
      </c>
      <c r="J50" s="21">
        <f t="shared" si="1"/>
        <v>-7.2835070022847503E-4</v>
      </c>
    </row>
    <row r="51" spans="1:10" hidden="1">
      <c r="A51" t="s">
        <v>169</v>
      </c>
      <c r="B51" t="s">
        <v>171</v>
      </c>
      <c r="C51" s="18">
        <v>2032</v>
      </c>
      <c r="D51" t="s">
        <v>174</v>
      </c>
      <c r="E51" s="9">
        <v>15245.3166687145</v>
      </c>
      <c r="F51" s="9">
        <v>11131.127928999</v>
      </c>
      <c r="G51" s="9">
        <v>15247.769190462001</v>
      </c>
      <c r="H51" s="9">
        <v>11132.1787355836</v>
      </c>
      <c r="I51" s="21">
        <f t="shared" si="0"/>
        <v>1.0508065846006502</v>
      </c>
      <c r="J51" s="21">
        <f t="shared" si="1"/>
        <v>2.4525217475002137</v>
      </c>
    </row>
    <row r="52" spans="1:10" hidden="1">
      <c r="A52" t="s">
        <v>169</v>
      </c>
      <c r="B52" t="s">
        <v>171</v>
      </c>
      <c r="C52" s="18">
        <v>2032</v>
      </c>
      <c r="D52" t="s">
        <v>236</v>
      </c>
      <c r="E52" s="9">
        <v>1126785.0673476199</v>
      </c>
      <c r="F52" s="9">
        <v>185691.49692933701</v>
      </c>
      <c r="G52" s="9">
        <v>1126783.31749171</v>
      </c>
      <c r="H52" s="9">
        <v>185691.45221249</v>
      </c>
      <c r="I52" s="21">
        <f t="shared" si="0"/>
        <v>-4.4716847012750804E-2</v>
      </c>
      <c r="J52" s="21">
        <f t="shared" si="1"/>
        <v>-1.7498559099622071</v>
      </c>
    </row>
    <row r="53" spans="1:10" hidden="1">
      <c r="A53" t="s">
        <v>169</v>
      </c>
      <c r="B53" t="s">
        <v>171</v>
      </c>
      <c r="C53" s="18">
        <v>2032</v>
      </c>
      <c r="D53" t="s">
        <v>182</v>
      </c>
      <c r="E53" s="9">
        <v>116842.761484052</v>
      </c>
      <c r="F53" s="9">
        <v>77177.904191652095</v>
      </c>
      <c r="G53" s="9">
        <v>116892.91249656001</v>
      </c>
      <c r="H53" s="9">
        <v>77198.389307422098</v>
      </c>
      <c r="I53" s="21">
        <f t="shared" si="0"/>
        <v>20.485115770003176</v>
      </c>
      <c r="J53" s="21">
        <f t="shared" si="1"/>
        <v>50.151012508009444</v>
      </c>
    </row>
    <row r="54" spans="1:10" hidden="1">
      <c r="A54" t="s">
        <v>169</v>
      </c>
      <c r="B54" t="s">
        <v>171</v>
      </c>
      <c r="C54" s="18">
        <v>2032</v>
      </c>
      <c r="D54" t="s">
        <v>185</v>
      </c>
      <c r="E54" s="9">
        <v>274342.52628099098</v>
      </c>
      <c r="F54" s="9">
        <v>256695.99765840001</v>
      </c>
      <c r="G54" s="9">
        <v>274412.39342979901</v>
      </c>
      <c r="H54" s="9">
        <v>256745.67636584101</v>
      </c>
      <c r="I54" s="21">
        <f t="shared" si="0"/>
        <v>49.678707440994913</v>
      </c>
      <c r="J54" s="21">
        <f t="shared" si="1"/>
        <v>69.867148808029015</v>
      </c>
    </row>
    <row r="55" spans="1:10" hidden="1">
      <c r="A55" t="s">
        <v>169</v>
      </c>
      <c r="B55" t="s">
        <v>171</v>
      </c>
      <c r="C55" s="18">
        <v>2032</v>
      </c>
      <c r="D55" t="s">
        <v>188</v>
      </c>
      <c r="E55" s="9">
        <v>654447.80620656698</v>
      </c>
      <c r="F55" s="9">
        <v>380111.50760830101</v>
      </c>
      <c r="G55" s="9">
        <v>654519.81142038899</v>
      </c>
      <c r="H55" s="9">
        <v>380127.64784866601</v>
      </c>
      <c r="I55" s="21">
        <f t="shared" si="0"/>
        <v>16.140240364999045</v>
      </c>
      <c r="J55" s="21">
        <f t="shared" si="1"/>
        <v>72.005213822005317</v>
      </c>
    </row>
    <row r="56" spans="1:10" hidden="1">
      <c r="A56" t="s">
        <v>169</v>
      </c>
      <c r="B56" t="s">
        <v>171</v>
      </c>
      <c r="C56" s="18">
        <v>2032</v>
      </c>
      <c r="D56" t="s">
        <v>191</v>
      </c>
      <c r="E56" s="9">
        <v>341495.48337571899</v>
      </c>
      <c r="F56" s="9">
        <v>183711.86609250901</v>
      </c>
      <c r="G56" s="9">
        <v>341581.65326776</v>
      </c>
      <c r="H56" s="9">
        <v>183730.084212538</v>
      </c>
      <c r="I56" s="21">
        <f t="shared" si="0"/>
        <v>18.218120028992416</v>
      </c>
      <c r="J56" s="21">
        <f t="shared" si="1"/>
        <v>86.169892041012645</v>
      </c>
    </row>
    <row r="57" spans="1:10" hidden="1">
      <c r="A57" t="s">
        <v>169</v>
      </c>
      <c r="B57" t="s">
        <v>171</v>
      </c>
      <c r="C57" s="18">
        <v>2032</v>
      </c>
      <c r="D57" t="s">
        <v>422</v>
      </c>
      <c r="E57" s="9">
        <v>38037.552763764499</v>
      </c>
      <c r="F57" s="9">
        <v>4125.72255269376</v>
      </c>
      <c r="G57" s="9">
        <v>38037.551792099897</v>
      </c>
      <c r="H57" s="9">
        <v>4125.7224791710396</v>
      </c>
      <c r="I57" s="21">
        <f t="shared" si="0"/>
        <v>-7.3522720413166098E-5</v>
      </c>
      <c r="J57" s="21">
        <f t="shared" si="1"/>
        <v>-9.7166460182052106E-4</v>
      </c>
    </row>
    <row r="58" spans="1:10" hidden="1">
      <c r="A58" t="s">
        <v>169</v>
      </c>
      <c r="B58" t="s">
        <v>171</v>
      </c>
      <c r="C58" s="18">
        <v>2033</v>
      </c>
      <c r="D58" t="s">
        <v>174</v>
      </c>
      <c r="E58" s="9">
        <v>15757.013134957801</v>
      </c>
      <c r="F58" s="9">
        <v>11450.983433392201</v>
      </c>
      <c r="G58" s="9">
        <v>15759.5151167894</v>
      </c>
      <c r="H58" s="9">
        <v>11452.2049974033</v>
      </c>
      <c r="I58" s="21">
        <f t="shared" si="0"/>
        <v>1.2215640110989625</v>
      </c>
      <c r="J58" s="21">
        <f t="shared" si="1"/>
        <v>2.5019818315995508</v>
      </c>
    </row>
    <row r="59" spans="1:10" hidden="1">
      <c r="A59" t="s">
        <v>169</v>
      </c>
      <c r="B59" t="s">
        <v>171</v>
      </c>
      <c r="C59" s="18">
        <v>2033</v>
      </c>
      <c r="D59" t="s">
        <v>236</v>
      </c>
      <c r="E59" s="9">
        <v>1139275.2506063799</v>
      </c>
      <c r="F59" s="9">
        <v>194005.68094647201</v>
      </c>
      <c r="G59" s="9">
        <v>1139272.75378683</v>
      </c>
      <c r="H59" s="9">
        <v>194005.60056651599</v>
      </c>
      <c r="I59" s="21">
        <f t="shared" si="0"/>
        <v>-8.037995602353476E-2</v>
      </c>
      <c r="J59" s="21">
        <f t="shared" si="1"/>
        <v>-2.4968195499386638</v>
      </c>
    </row>
    <row r="60" spans="1:10" hidden="1">
      <c r="A60" t="s">
        <v>169</v>
      </c>
      <c r="B60" t="s">
        <v>171</v>
      </c>
      <c r="C60" s="18">
        <v>2033</v>
      </c>
      <c r="D60" t="s">
        <v>182</v>
      </c>
      <c r="E60" s="9">
        <v>118231.349106252</v>
      </c>
      <c r="F60" s="9">
        <v>77893.732626064098</v>
      </c>
      <c r="G60" s="9">
        <v>118281.82855902299</v>
      </c>
      <c r="H60" s="9">
        <v>77917.162090690195</v>
      </c>
      <c r="I60" s="21">
        <f t="shared" si="0"/>
        <v>23.429464626096888</v>
      </c>
      <c r="J60" s="21">
        <f t="shared" si="1"/>
        <v>50.479452770989155</v>
      </c>
    </row>
    <row r="61" spans="1:10" hidden="1">
      <c r="A61" t="s">
        <v>169</v>
      </c>
      <c r="B61" t="s">
        <v>171</v>
      </c>
      <c r="C61" s="18">
        <v>2033</v>
      </c>
      <c r="D61" t="s">
        <v>185</v>
      </c>
      <c r="E61" s="9">
        <v>273824.16383443802</v>
      </c>
      <c r="F61" s="9">
        <v>256602.87520956999</v>
      </c>
      <c r="G61" s="9">
        <v>273893.528221021</v>
      </c>
      <c r="H61" s="9">
        <v>256655.55902621101</v>
      </c>
      <c r="I61" s="21">
        <f t="shared" si="0"/>
        <v>52.683816641016165</v>
      </c>
      <c r="J61" s="21">
        <f t="shared" si="1"/>
        <v>69.364386582979932</v>
      </c>
    </row>
    <row r="62" spans="1:10" hidden="1">
      <c r="A62" t="s">
        <v>169</v>
      </c>
      <c r="B62" t="s">
        <v>171</v>
      </c>
      <c r="C62" s="18">
        <v>2033</v>
      </c>
      <c r="D62" t="s">
        <v>188</v>
      </c>
      <c r="E62" s="9">
        <v>663937.26771093498</v>
      </c>
      <c r="F62" s="9">
        <v>386564.10960461397</v>
      </c>
      <c r="G62" s="9">
        <v>664009.13874492398</v>
      </c>
      <c r="H62" s="9">
        <v>386583.230936034</v>
      </c>
      <c r="I62" s="21">
        <f t="shared" si="0"/>
        <v>19.121331420028582</v>
      </c>
      <c r="J62" s="21">
        <f t="shared" si="1"/>
        <v>71.871033989009447</v>
      </c>
    </row>
    <row r="63" spans="1:10" hidden="1">
      <c r="A63" t="s">
        <v>169</v>
      </c>
      <c r="B63" t="s">
        <v>171</v>
      </c>
      <c r="C63" s="18">
        <v>2033</v>
      </c>
      <c r="D63" t="s">
        <v>191</v>
      </c>
      <c r="E63" s="9">
        <v>344908.97879181599</v>
      </c>
      <c r="F63" s="9">
        <v>183562.188445707</v>
      </c>
      <c r="G63" s="9">
        <v>344995.26462988101</v>
      </c>
      <c r="H63" s="9">
        <v>183583.04220271501</v>
      </c>
      <c r="I63" s="21">
        <f t="shared" si="0"/>
        <v>20.85375700800796</v>
      </c>
      <c r="J63" s="21">
        <f t="shared" si="1"/>
        <v>86.285838065028656</v>
      </c>
    </row>
    <row r="64" spans="1:10" hidden="1">
      <c r="A64" t="s">
        <v>169</v>
      </c>
      <c r="B64" t="s">
        <v>171</v>
      </c>
      <c r="C64" s="18">
        <v>2033</v>
      </c>
      <c r="D64" t="s">
        <v>422</v>
      </c>
      <c r="E64" s="9">
        <v>37788.397020210898</v>
      </c>
      <c r="F64" s="9">
        <v>3977.7144771349799</v>
      </c>
      <c r="G64" s="9">
        <v>37788.395913351</v>
      </c>
      <c r="H64" s="9">
        <v>3977.7143757352601</v>
      </c>
      <c r="I64" s="21">
        <f t="shared" si="0"/>
        <v>-1.0139971982425777E-4</v>
      </c>
      <c r="J64" s="21">
        <f t="shared" si="1"/>
        <v>-1.1068598978454247E-3</v>
      </c>
    </row>
    <row r="65" spans="1:10" hidden="1">
      <c r="A65" t="s">
        <v>169</v>
      </c>
      <c r="B65" t="s">
        <v>171</v>
      </c>
      <c r="C65" s="18">
        <v>2034</v>
      </c>
      <c r="D65" t="s">
        <v>174</v>
      </c>
      <c r="E65" s="9">
        <v>16283.213992746299</v>
      </c>
      <c r="F65" s="9">
        <v>11778.0498326859</v>
      </c>
      <c r="G65" s="9">
        <v>16285.764037622699</v>
      </c>
      <c r="H65" s="9">
        <v>11779.4141755774</v>
      </c>
      <c r="I65" s="21">
        <f t="shared" si="0"/>
        <v>1.3643428915002005</v>
      </c>
      <c r="J65" s="21">
        <f t="shared" si="1"/>
        <v>2.5500448763996246</v>
      </c>
    </row>
    <row r="66" spans="1:10" hidden="1">
      <c r="A66" t="s">
        <v>169</v>
      </c>
      <c r="B66" t="s">
        <v>171</v>
      </c>
      <c r="C66" s="18">
        <v>2034</v>
      </c>
      <c r="D66" t="s">
        <v>236</v>
      </c>
      <c r="E66" s="9">
        <v>1151235.9321750901</v>
      </c>
      <c r="F66" s="9">
        <v>202320.76584167601</v>
      </c>
      <c r="G66" s="9">
        <v>1151232.62464015</v>
      </c>
      <c r="H66" s="9">
        <v>202320.63612115101</v>
      </c>
      <c r="I66" s="21">
        <f t="shared" ref="I66:I129" si="2">H66-F66</f>
        <v>-0.1297205250011757</v>
      </c>
      <c r="J66" s="21">
        <f t="shared" ref="J66:J129" si="3">G66-E66</f>
        <v>-3.3075349400751293</v>
      </c>
    </row>
    <row r="67" spans="1:10" hidden="1">
      <c r="A67" t="s">
        <v>169</v>
      </c>
      <c r="B67" t="s">
        <v>171</v>
      </c>
      <c r="C67" s="18">
        <v>2034</v>
      </c>
      <c r="D67" t="s">
        <v>182</v>
      </c>
      <c r="E67" s="9">
        <v>119123.202248949</v>
      </c>
      <c r="F67" s="9">
        <v>78755.950119959598</v>
      </c>
      <c r="G67" s="9">
        <v>119173.805374547</v>
      </c>
      <c r="H67" s="9">
        <v>78781.723235872807</v>
      </c>
      <c r="I67" s="21">
        <f t="shared" si="2"/>
        <v>25.77311591320904</v>
      </c>
      <c r="J67" s="21">
        <f t="shared" si="3"/>
        <v>50.603125597990584</v>
      </c>
    </row>
    <row r="68" spans="1:10" hidden="1">
      <c r="A68" t="s">
        <v>169</v>
      </c>
      <c r="B68" t="s">
        <v>171</v>
      </c>
      <c r="C68" s="18">
        <v>2034</v>
      </c>
      <c r="D68" t="s">
        <v>185</v>
      </c>
      <c r="E68" s="9">
        <v>273600.71236813499</v>
      </c>
      <c r="F68" s="9">
        <v>256698.41473670799</v>
      </c>
      <c r="G68" s="9">
        <v>273669.65020286699</v>
      </c>
      <c r="H68" s="9">
        <v>256753.127116244</v>
      </c>
      <c r="I68" s="21">
        <f t="shared" si="2"/>
        <v>54.712379536009394</v>
      </c>
      <c r="J68" s="21">
        <f t="shared" si="3"/>
        <v>68.937834732001647</v>
      </c>
    </row>
    <row r="69" spans="1:10" hidden="1">
      <c r="A69" t="s">
        <v>169</v>
      </c>
      <c r="B69" t="s">
        <v>171</v>
      </c>
      <c r="C69" s="18">
        <v>2034</v>
      </c>
      <c r="D69" t="s">
        <v>188</v>
      </c>
      <c r="E69" s="9">
        <v>669493.78916072997</v>
      </c>
      <c r="F69" s="9">
        <v>393785.13419708703</v>
      </c>
      <c r="G69" s="9">
        <v>669565.09186596901</v>
      </c>
      <c r="H69" s="9">
        <v>393806.92012191401</v>
      </c>
      <c r="I69" s="21">
        <f t="shared" si="2"/>
        <v>21.7859248269815</v>
      </c>
      <c r="J69" s="21">
        <f t="shared" si="3"/>
        <v>71.302705239038914</v>
      </c>
    </row>
    <row r="70" spans="1:10" hidden="1">
      <c r="A70" t="s">
        <v>169</v>
      </c>
      <c r="B70" t="s">
        <v>171</v>
      </c>
      <c r="C70" s="18">
        <v>2034</v>
      </c>
      <c r="D70" t="s">
        <v>191</v>
      </c>
      <c r="E70" s="9">
        <v>345840.61646914697</v>
      </c>
      <c r="F70" s="9">
        <v>184777.76460168799</v>
      </c>
      <c r="G70" s="9">
        <v>345926.396497523</v>
      </c>
      <c r="H70" s="9">
        <v>184800.88501932399</v>
      </c>
      <c r="I70" s="21">
        <f t="shared" si="2"/>
        <v>23.120417636004277</v>
      </c>
      <c r="J70" s="21">
        <f t="shared" si="3"/>
        <v>85.780028376029804</v>
      </c>
    </row>
    <row r="71" spans="1:10" hidden="1">
      <c r="A71" t="s">
        <v>169</v>
      </c>
      <c r="B71" t="s">
        <v>171</v>
      </c>
      <c r="C71" s="18">
        <v>2034</v>
      </c>
      <c r="D71" t="s">
        <v>422</v>
      </c>
      <c r="E71" s="9">
        <v>37391.120238880598</v>
      </c>
      <c r="F71" s="9">
        <v>3849.4365480713</v>
      </c>
      <c r="G71" s="9">
        <v>37391.118979539897</v>
      </c>
      <c r="H71" s="9">
        <v>3849.43642407178</v>
      </c>
      <c r="I71" s="21">
        <f t="shared" si="2"/>
        <v>-1.2399951992847491E-4</v>
      </c>
      <c r="J71" s="21">
        <f t="shared" si="3"/>
        <v>-1.2593407009262592E-3</v>
      </c>
    </row>
    <row r="72" spans="1:10" hidden="1">
      <c r="A72" t="s">
        <v>169</v>
      </c>
      <c r="B72" t="s">
        <v>171</v>
      </c>
      <c r="C72" s="18">
        <v>2035</v>
      </c>
      <c r="D72" t="s">
        <v>174</v>
      </c>
      <c r="E72" s="9">
        <v>16828.044199602198</v>
      </c>
      <c r="F72" s="9">
        <v>12111.329314181399</v>
      </c>
      <c r="G72" s="9">
        <v>16830.6420972909</v>
      </c>
      <c r="H72" s="9">
        <v>12112.814364394</v>
      </c>
      <c r="I72" s="21">
        <f t="shared" si="2"/>
        <v>1.4850502126009815</v>
      </c>
      <c r="J72" s="21">
        <f t="shared" si="3"/>
        <v>2.597897688701778</v>
      </c>
    </row>
    <row r="73" spans="1:10" hidden="1">
      <c r="A73" t="s">
        <v>169</v>
      </c>
      <c r="B73" t="s">
        <v>171</v>
      </c>
      <c r="C73" s="18">
        <v>2035</v>
      </c>
      <c r="D73" t="s">
        <v>236</v>
      </c>
      <c r="E73" s="9">
        <v>1162781.4444259901</v>
      </c>
      <c r="F73" s="9">
        <v>210627.61606386601</v>
      </c>
      <c r="G73" s="9">
        <v>1162777.28327874</v>
      </c>
      <c r="H73" s="9">
        <v>210627.422792314</v>
      </c>
      <c r="I73" s="21">
        <f t="shared" si="2"/>
        <v>-0.19327155200880952</v>
      </c>
      <c r="J73" s="21">
        <f t="shared" si="3"/>
        <v>-4.1611472500953823</v>
      </c>
    </row>
    <row r="74" spans="1:10" hidden="1">
      <c r="A74" t="s">
        <v>169</v>
      </c>
      <c r="B74" t="s">
        <v>171</v>
      </c>
      <c r="C74" s="18">
        <v>2035</v>
      </c>
      <c r="D74" t="s">
        <v>182</v>
      </c>
      <c r="E74" s="9">
        <v>120748.019187525</v>
      </c>
      <c r="F74" s="9">
        <v>79428.984631184794</v>
      </c>
      <c r="G74" s="9">
        <v>120799.065903184</v>
      </c>
      <c r="H74" s="9">
        <v>79456.632421187605</v>
      </c>
      <c r="I74" s="21">
        <f t="shared" si="2"/>
        <v>27.647790002811234</v>
      </c>
      <c r="J74" s="21">
        <f t="shared" si="3"/>
        <v>51.046715659002075</v>
      </c>
    </row>
    <row r="75" spans="1:10" hidden="1">
      <c r="A75" t="s">
        <v>169</v>
      </c>
      <c r="B75" t="s">
        <v>171</v>
      </c>
      <c r="C75" s="18">
        <v>2035</v>
      </c>
      <c r="D75" t="s">
        <v>185</v>
      </c>
      <c r="E75" s="9">
        <v>273276.86826694</v>
      </c>
      <c r="F75" s="9">
        <v>256751.33861207799</v>
      </c>
      <c r="G75" s="9">
        <v>273345.36006293801</v>
      </c>
      <c r="H75" s="9">
        <v>256807.53223008101</v>
      </c>
      <c r="I75" s="21">
        <f t="shared" si="2"/>
        <v>56.193618003017036</v>
      </c>
      <c r="J75" s="21">
        <f t="shared" si="3"/>
        <v>68.491795998008456</v>
      </c>
    </row>
    <row r="76" spans="1:10" hidden="1">
      <c r="A76" t="s">
        <v>169</v>
      </c>
      <c r="B76" t="s">
        <v>171</v>
      </c>
      <c r="C76" s="18">
        <v>2035</v>
      </c>
      <c r="D76" t="s">
        <v>188</v>
      </c>
      <c r="E76" s="9">
        <v>678567.29895487102</v>
      </c>
      <c r="F76" s="9">
        <v>399468.78535121802</v>
      </c>
      <c r="G76" s="9">
        <v>678638.43452144298</v>
      </c>
      <c r="H76" s="9">
        <v>399492.95053299802</v>
      </c>
      <c r="I76" s="21">
        <f t="shared" si="2"/>
        <v>24.165181780001149</v>
      </c>
      <c r="J76" s="21">
        <f t="shared" si="3"/>
        <v>71.135566571960226</v>
      </c>
    </row>
    <row r="77" spans="1:10" hidden="1">
      <c r="A77" t="s">
        <v>169</v>
      </c>
      <c r="B77" t="s">
        <v>171</v>
      </c>
      <c r="C77" s="18">
        <v>2035</v>
      </c>
      <c r="D77" t="s">
        <v>191</v>
      </c>
      <c r="E77" s="9">
        <v>349060.17035975202</v>
      </c>
      <c r="F77" s="9">
        <v>185340.630811276</v>
      </c>
      <c r="G77" s="9">
        <v>349146.06245576398</v>
      </c>
      <c r="H77" s="9">
        <v>185365.76110357899</v>
      </c>
      <c r="I77" s="21">
        <f t="shared" si="2"/>
        <v>25.130292302987073</v>
      </c>
      <c r="J77" s="21">
        <f t="shared" si="3"/>
        <v>85.892096011957619</v>
      </c>
    </row>
    <row r="78" spans="1:10" hidden="1">
      <c r="A78" t="s">
        <v>169</v>
      </c>
      <c r="B78" t="s">
        <v>171</v>
      </c>
      <c r="C78" s="18">
        <v>2035</v>
      </c>
      <c r="D78" t="s">
        <v>422</v>
      </c>
      <c r="E78" s="9">
        <v>37274.399289665998</v>
      </c>
      <c r="F78" s="9">
        <v>3710.4319163817599</v>
      </c>
      <c r="G78" s="9">
        <v>37274.397901844597</v>
      </c>
      <c r="H78" s="9">
        <v>3710.43177455469</v>
      </c>
      <c r="I78" s="21">
        <f t="shared" si="2"/>
        <v>-1.4182706991050509E-4</v>
      </c>
      <c r="J78" s="21">
        <f t="shared" si="3"/>
        <v>-1.3878214012947865E-3</v>
      </c>
    </row>
    <row r="79" spans="1:10" hidden="1">
      <c r="A79" t="s">
        <v>169</v>
      </c>
      <c r="B79" t="s">
        <v>171</v>
      </c>
      <c r="C79" s="18">
        <v>2036</v>
      </c>
      <c r="D79" t="s">
        <v>174</v>
      </c>
      <c r="E79" s="9">
        <v>17389.9643032003</v>
      </c>
      <c r="F79" s="9">
        <v>12451.2758599913</v>
      </c>
      <c r="G79" s="9">
        <v>17392.609904070101</v>
      </c>
      <c r="H79" s="9">
        <v>12452.864013751599</v>
      </c>
      <c r="I79" s="21">
        <f t="shared" si="2"/>
        <v>1.5881537602999742</v>
      </c>
      <c r="J79" s="21">
        <f t="shared" si="3"/>
        <v>2.6456008698005462</v>
      </c>
    </row>
    <row r="80" spans="1:10" hidden="1">
      <c r="A80" t="s">
        <v>169</v>
      </c>
      <c r="B80" t="s">
        <v>171</v>
      </c>
      <c r="C80" s="18">
        <v>2036</v>
      </c>
      <c r="D80" t="s">
        <v>236</v>
      </c>
      <c r="E80" s="9">
        <v>1174090.55637783</v>
      </c>
      <c r="F80" s="9">
        <v>218906.894592789</v>
      </c>
      <c r="G80" s="9">
        <v>1174085.51289072</v>
      </c>
      <c r="H80" s="9">
        <v>218906.62344450099</v>
      </c>
      <c r="I80" s="21">
        <f t="shared" si="2"/>
        <v>-0.27114828801131807</v>
      </c>
      <c r="J80" s="21">
        <f t="shared" si="3"/>
        <v>-5.0434871099423617</v>
      </c>
    </row>
    <row r="81" spans="1:10" hidden="1">
      <c r="A81" t="s">
        <v>169</v>
      </c>
      <c r="B81" t="s">
        <v>171</v>
      </c>
      <c r="C81" s="18">
        <v>2036</v>
      </c>
      <c r="D81" t="s">
        <v>182</v>
      </c>
      <c r="E81" s="9">
        <v>122566.746491125</v>
      </c>
      <c r="F81" s="9">
        <v>80273.671375339996</v>
      </c>
      <c r="G81" s="9">
        <v>122618.320312187</v>
      </c>
      <c r="H81" s="9">
        <v>80302.842995522602</v>
      </c>
      <c r="I81" s="21">
        <f t="shared" si="2"/>
        <v>29.171620182605693</v>
      </c>
      <c r="J81" s="21">
        <f t="shared" si="3"/>
        <v>51.573821062003844</v>
      </c>
    </row>
    <row r="82" spans="1:10" hidden="1">
      <c r="A82" t="s">
        <v>169</v>
      </c>
      <c r="B82" t="s">
        <v>171</v>
      </c>
      <c r="C82" s="18">
        <v>2036</v>
      </c>
      <c r="D82" t="s">
        <v>185</v>
      </c>
      <c r="E82" s="9">
        <v>273229.44901393598</v>
      </c>
      <c r="F82" s="9">
        <v>256876.105357336</v>
      </c>
      <c r="G82" s="9">
        <v>273297.56982222799</v>
      </c>
      <c r="H82" s="9">
        <v>256933.39822934201</v>
      </c>
      <c r="I82" s="21">
        <f t="shared" si="2"/>
        <v>57.292872006015386</v>
      </c>
      <c r="J82" s="21">
        <f t="shared" si="3"/>
        <v>68.120808292005677</v>
      </c>
    </row>
    <row r="83" spans="1:10" hidden="1">
      <c r="A83" t="s">
        <v>169</v>
      </c>
      <c r="B83" t="s">
        <v>171</v>
      </c>
      <c r="C83" s="18">
        <v>2036</v>
      </c>
      <c r="D83" t="s">
        <v>188</v>
      </c>
      <c r="E83" s="9">
        <v>688123.65745605796</v>
      </c>
      <c r="F83" s="9">
        <v>405966.33083104098</v>
      </c>
      <c r="G83" s="9">
        <v>688194.68447559199</v>
      </c>
      <c r="H83" s="9">
        <v>405992.65349387802</v>
      </c>
      <c r="I83" s="21">
        <f t="shared" si="2"/>
        <v>26.322662837046664</v>
      </c>
      <c r="J83" s="21">
        <f t="shared" si="3"/>
        <v>71.027019534027204</v>
      </c>
    </row>
    <row r="84" spans="1:10" hidden="1">
      <c r="A84" t="s">
        <v>169</v>
      </c>
      <c r="B84" t="s">
        <v>171</v>
      </c>
      <c r="C84" s="18">
        <v>2036</v>
      </c>
      <c r="D84" t="s">
        <v>191</v>
      </c>
      <c r="E84" s="9">
        <v>352516.97975325998</v>
      </c>
      <c r="F84" s="9">
        <v>186390.96972501301</v>
      </c>
      <c r="G84" s="9">
        <v>352603.07171420398</v>
      </c>
      <c r="H84" s="9">
        <v>186417.92722248001</v>
      </c>
      <c r="I84" s="21">
        <f t="shared" si="2"/>
        <v>26.957497466995846</v>
      </c>
      <c r="J84" s="21">
        <f t="shared" si="3"/>
        <v>86.091960944002494</v>
      </c>
    </row>
    <row r="85" spans="1:10" hidden="1">
      <c r="A85" t="s">
        <v>169</v>
      </c>
      <c r="B85" t="s">
        <v>171</v>
      </c>
      <c r="C85" s="18">
        <v>2036</v>
      </c>
      <c r="D85" t="s">
        <v>422</v>
      </c>
      <c r="E85" s="9">
        <v>37283.029058046799</v>
      </c>
      <c r="F85" s="9">
        <v>3578.6602195539999</v>
      </c>
      <c r="G85" s="9">
        <v>37283.027629395598</v>
      </c>
      <c r="H85" s="9">
        <v>3578.66006488627</v>
      </c>
      <c r="I85" s="21">
        <f t="shared" si="2"/>
        <v>-1.546677299302246E-4</v>
      </c>
      <c r="J85" s="21">
        <f t="shared" si="3"/>
        <v>-1.4286512014223263E-3</v>
      </c>
    </row>
    <row r="86" spans="1:10" hidden="1">
      <c r="A86" t="s">
        <v>169</v>
      </c>
      <c r="B86" t="s">
        <v>171</v>
      </c>
      <c r="C86" s="18">
        <v>2037</v>
      </c>
      <c r="D86" t="s">
        <v>174</v>
      </c>
      <c r="E86" s="9">
        <v>17968.789483496799</v>
      </c>
      <c r="F86" s="9">
        <v>12797.802305523401</v>
      </c>
      <c r="G86" s="9">
        <v>17971.482864064201</v>
      </c>
      <c r="H86" s="9">
        <v>12799.479454561601</v>
      </c>
      <c r="I86" s="21">
        <f t="shared" si="2"/>
        <v>1.6771490381997864</v>
      </c>
      <c r="J86" s="21">
        <f t="shared" si="3"/>
        <v>2.6933805674016185</v>
      </c>
    </row>
    <row r="87" spans="1:10" hidden="1">
      <c r="A87" t="s">
        <v>169</v>
      </c>
      <c r="B87" t="s">
        <v>171</v>
      </c>
      <c r="C87" s="18">
        <v>2037</v>
      </c>
      <c r="D87" t="s">
        <v>236</v>
      </c>
      <c r="E87" s="9">
        <v>1185270.68801384</v>
      </c>
      <c r="F87" s="9">
        <v>227146.213651773</v>
      </c>
      <c r="G87" s="9">
        <v>1185264.7438497699</v>
      </c>
      <c r="H87" s="9">
        <v>227145.85064844001</v>
      </c>
      <c r="I87" s="21">
        <f t="shared" si="2"/>
        <v>-0.3630033329827711</v>
      </c>
      <c r="J87" s="21">
        <f t="shared" si="3"/>
        <v>-5.9441640700679272</v>
      </c>
    </row>
    <row r="88" spans="1:10" hidden="1">
      <c r="A88" t="s">
        <v>169</v>
      </c>
      <c r="B88" t="s">
        <v>171</v>
      </c>
      <c r="C88" s="18">
        <v>2037</v>
      </c>
      <c r="D88" t="s">
        <v>182</v>
      </c>
      <c r="E88" s="9">
        <v>124437.298448759</v>
      </c>
      <c r="F88" s="9">
        <v>81214.2123303478</v>
      </c>
      <c r="G88" s="9">
        <v>124489.42976024401</v>
      </c>
      <c r="H88" s="9">
        <v>81244.691389584303</v>
      </c>
      <c r="I88" s="21">
        <f t="shared" si="2"/>
        <v>30.479059236502508</v>
      </c>
      <c r="J88" s="21">
        <f t="shared" si="3"/>
        <v>52.131311485005426</v>
      </c>
    </row>
    <row r="89" spans="1:10" hidden="1">
      <c r="A89" t="s">
        <v>169</v>
      </c>
      <c r="B89" t="s">
        <v>171</v>
      </c>
      <c r="C89" s="18">
        <v>2037</v>
      </c>
      <c r="D89" t="s">
        <v>185</v>
      </c>
      <c r="E89" s="9">
        <v>273135.033304337</v>
      </c>
      <c r="F89" s="9">
        <v>257012.85201452399</v>
      </c>
      <c r="G89" s="9">
        <v>273202.80227406899</v>
      </c>
      <c r="H89" s="9">
        <v>257070.97314913399</v>
      </c>
      <c r="I89" s="21">
        <f t="shared" si="2"/>
        <v>58.121134610002628</v>
      </c>
      <c r="J89" s="21">
        <f t="shared" si="3"/>
        <v>67.768969731987454</v>
      </c>
    </row>
    <row r="90" spans="1:10" hidden="1">
      <c r="A90" t="s">
        <v>169</v>
      </c>
      <c r="B90" t="s">
        <v>171</v>
      </c>
      <c r="C90" s="18">
        <v>2037</v>
      </c>
      <c r="D90" t="s">
        <v>188</v>
      </c>
      <c r="E90" s="9">
        <v>697989.50227389298</v>
      </c>
      <c r="F90" s="9">
        <v>412990.04055036098</v>
      </c>
      <c r="G90" s="9">
        <v>698060.50212694705</v>
      </c>
      <c r="H90" s="9">
        <v>413018.343093551</v>
      </c>
      <c r="I90" s="21">
        <f t="shared" si="2"/>
        <v>28.302543190016877</v>
      </c>
      <c r="J90" s="21">
        <f t="shared" si="3"/>
        <v>70.999853054061532</v>
      </c>
    </row>
    <row r="91" spans="1:10" hidden="1">
      <c r="A91" t="s">
        <v>169</v>
      </c>
      <c r="B91" t="s">
        <v>171</v>
      </c>
      <c r="C91" s="18">
        <v>2037</v>
      </c>
      <c r="D91" t="s">
        <v>191</v>
      </c>
      <c r="E91" s="9">
        <v>356339.24922427698</v>
      </c>
      <c r="F91" s="9">
        <v>187759.6514112</v>
      </c>
      <c r="G91" s="9">
        <v>356425.67891865398</v>
      </c>
      <c r="H91" s="9">
        <v>187788.31252848901</v>
      </c>
      <c r="I91" s="21">
        <f t="shared" si="2"/>
        <v>28.661117289011599</v>
      </c>
      <c r="J91" s="21">
        <f t="shared" si="3"/>
        <v>86.429694377002306</v>
      </c>
    </row>
    <row r="92" spans="1:10" hidden="1">
      <c r="A92" t="s">
        <v>169</v>
      </c>
      <c r="B92" t="s">
        <v>171</v>
      </c>
      <c r="C92" s="18">
        <v>2037</v>
      </c>
      <c r="D92" t="s">
        <v>422</v>
      </c>
      <c r="E92" s="9">
        <v>36837.278768372198</v>
      </c>
      <c r="F92" s="9">
        <v>3450.1948171182198</v>
      </c>
      <c r="G92" s="9">
        <v>36837.277480763201</v>
      </c>
      <c r="H92" s="9">
        <v>3450.1946557369902</v>
      </c>
      <c r="I92" s="21">
        <f t="shared" si="2"/>
        <v>-1.6138122964548529E-4</v>
      </c>
      <c r="J92" s="21">
        <f t="shared" si="3"/>
        <v>-1.2876089967903681E-3</v>
      </c>
    </row>
    <row r="93" spans="1:10" hidden="1">
      <c r="A93" t="s">
        <v>169</v>
      </c>
      <c r="B93" t="s">
        <v>171</v>
      </c>
      <c r="C93" s="18">
        <v>2038</v>
      </c>
      <c r="D93" t="s">
        <v>174</v>
      </c>
      <c r="E93" s="9">
        <v>18561.991908632801</v>
      </c>
      <c r="F93" s="9">
        <v>13153.8491225178</v>
      </c>
      <c r="G93" s="9">
        <v>18564.7325343064</v>
      </c>
      <c r="H93" s="9">
        <v>13155.6038503287</v>
      </c>
      <c r="I93" s="21">
        <f t="shared" si="2"/>
        <v>1.754727810899567</v>
      </c>
      <c r="J93" s="21">
        <f t="shared" si="3"/>
        <v>2.7406256735994248</v>
      </c>
    </row>
    <row r="94" spans="1:10" hidden="1">
      <c r="A94" t="s">
        <v>169</v>
      </c>
      <c r="B94" t="s">
        <v>171</v>
      </c>
      <c r="C94" s="18">
        <v>2038</v>
      </c>
      <c r="D94" t="s">
        <v>236</v>
      </c>
      <c r="E94" s="9">
        <v>1196321.40054589</v>
      </c>
      <c r="F94" s="9">
        <v>235330.07006629099</v>
      </c>
      <c r="G94" s="9">
        <v>1196314.5451145701</v>
      </c>
      <c r="H94" s="9">
        <v>235329.60149861901</v>
      </c>
      <c r="I94" s="21">
        <f t="shared" si="2"/>
        <v>-0.46856767198187299</v>
      </c>
      <c r="J94" s="21">
        <f t="shared" si="3"/>
        <v>-6.8554313199128956</v>
      </c>
    </row>
    <row r="95" spans="1:10" hidden="1">
      <c r="A95" t="s">
        <v>169</v>
      </c>
      <c r="B95" t="s">
        <v>171</v>
      </c>
      <c r="C95" s="18">
        <v>2038</v>
      </c>
      <c r="D95" t="s">
        <v>182</v>
      </c>
      <c r="E95" s="9">
        <v>126503.06173166999</v>
      </c>
      <c r="F95" s="9">
        <v>82222.320938513294</v>
      </c>
      <c r="G95" s="9">
        <v>126555.833855502</v>
      </c>
      <c r="H95" s="9">
        <v>82253.930841494002</v>
      </c>
      <c r="I95" s="21">
        <f t="shared" si="2"/>
        <v>31.609902980708284</v>
      </c>
      <c r="J95" s="21">
        <f t="shared" si="3"/>
        <v>52.772123832008219</v>
      </c>
    </row>
    <row r="96" spans="1:10" hidden="1">
      <c r="A96" t="s">
        <v>169</v>
      </c>
      <c r="B96" t="s">
        <v>171</v>
      </c>
      <c r="C96" s="18">
        <v>2038</v>
      </c>
      <c r="D96" t="s">
        <v>185</v>
      </c>
      <c r="E96" s="9">
        <v>272967.98262735101</v>
      </c>
      <c r="F96" s="9">
        <v>257071.94130831401</v>
      </c>
      <c r="G96" s="9">
        <v>273035.370644084</v>
      </c>
      <c r="H96" s="9">
        <v>257130.676610817</v>
      </c>
      <c r="I96" s="21">
        <f t="shared" si="2"/>
        <v>58.735302502987906</v>
      </c>
      <c r="J96" s="21">
        <f t="shared" si="3"/>
        <v>67.388016732991673</v>
      </c>
    </row>
    <row r="97" spans="1:10" hidden="1">
      <c r="A97" t="s">
        <v>169</v>
      </c>
      <c r="B97" t="s">
        <v>171</v>
      </c>
      <c r="C97" s="18">
        <v>2038</v>
      </c>
      <c r="D97" t="s">
        <v>188</v>
      </c>
      <c r="E97" s="9">
        <v>708603.54449813499</v>
      </c>
      <c r="F97" s="9">
        <v>420415.14940795099</v>
      </c>
      <c r="G97" s="9">
        <v>708674.57496129896</v>
      </c>
      <c r="H97" s="9">
        <v>420445.264129068</v>
      </c>
      <c r="I97" s="21">
        <f t="shared" si="2"/>
        <v>30.114721117017325</v>
      </c>
      <c r="J97" s="21">
        <f t="shared" si="3"/>
        <v>71.030463163973764</v>
      </c>
    </row>
    <row r="98" spans="1:10" hidden="1">
      <c r="A98" t="s">
        <v>169</v>
      </c>
      <c r="B98" t="s">
        <v>171</v>
      </c>
      <c r="C98" s="18">
        <v>2038</v>
      </c>
      <c r="D98" t="s">
        <v>191</v>
      </c>
      <c r="E98" s="9">
        <v>360814.00656327198</v>
      </c>
      <c r="F98" s="9">
        <v>189317.15941180699</v>
      </c>
      <c r="G98" s="9">
        <v>360900.93527344998</v>
      </c>
      <c r="H98" s="9">
        <v>189347.42226660499</v>
      </c>
      <c r="I98" s="21">
        <f t="shared" si="2"/>
        <v>30.262854797998443</v>
      </c>
      <c r="J98" s="21">
        <f t="shared" si="3"/>
        <v>86.92871017800644</v>
      </c>
    </row>
    <row r="99" spans="1:10" hidden="1">
      <c r="A99" t="s">
        <v>169</v>
      </c>
      <c r="B99" t="s">
        <v>171</v>
      </c>
      <c r="C99" s="18">
        <v>2038</v>
      </c>
      <c r="D99" t="s">
        <v>422</v>
      </c>
      <c r="E99" s="9">
        <v>36551.4424053888</v>
      </c>
      <c r="F99" s="9">
        <v>3322.8217317983399</v>
      </c>
      <c r="G99" s="9">
        <v>36551.441257778999</v>
      </c>
      <c r="H99" s="9">
        <v>3322.8215744210102</v>
      </c>
      <c r="I99" s="21">
        <f t="shared" si="2"/>
        <v>-1.5737732974230312E-4</v>
      </c>
      <c r="J99" s="21">
        <f t="shared" si="3"/>
        <v>-1.1476098006824031E-3</v>
      </c>
    </row>
    <row r="100" spans="1:10" hidden="1">
      <c r="A100" t="s">
        <v>169</v>
      </c>
      <c r="B100" t="s">
        <v>171</v>
      </c>
      <c r="C100" s="18">
        <v>2039</v>
      </c>
      <c r="D100" t="s">
        <v>174</v>
      </c>
      <c r="E100" s="9">
        <v>19171.557989463399</v>
      </c>
      <c r="F100" s="9">
        <v>13514.955497770899</v>
      </c>
      <c r="G100" s="9">
        <v>19174.345745902901</v>
      </c>
      <c r="H100" s="9">
        <v>13516.7785061579</v>
      </c>
      <c r="I100" s="21">
        <f t="shared" si="2"/>
        <v>1.8230083870003</v>
      </c>
      <c r="J100" s="21">
        <f t="shared" si="3"/>
        <v>2.7877564395021182</v>
      </c>
    </row>
    <row r="101" spans="1:10" hidden="1">
      <c r="A101" t="s">
        <v>169</v>
      </c>
      <c r="B101" t="s">
        <v>171</v>
      </c>
      <c r="C101" s="18">
        <v>2039</v>
      </c>
      <c r="D101" t="s">
        <v>236</v>
      </c>
      <c r="E101" s="9">
        <v>1206933.55374271</v>
      </c>
      <c r="F101" s="9">
        <v>243483.95149686001</v>
      </c>
      <c r="G101" s="9">
        <v>1206925.78308321</v>
      </c>
      <c r="H101" s="9">
        <v>243483.36403446301</v>
      </c>
      <c r="I101" s="21">
        <f t="shared" si="2"/>
        <v>-0.58746239700121805</v>
      </c>
      <c r="J101" s="21">
        <f t="shared" si="3"/>
        <v>-7.770659500034526</v>
      </c>
    </row>
    <row r="102" spans="1:10" hidden="1">
      <c r="A102" t="s">
        <v>169</v>
      </c>
      <c r="B102" t="s">
        <v>171</v>
      </c>
      <c r="C102" s="18">
        <v>2039</v>
      </c>
      <c r="D102" t="s">
        <v>182</v>
      </c>
      <c r="E102" s="9">
        <v>127948.19361269601</v>
      </c>
      <c r="F102" s="9">
        <v>83356.566497308493</v>
      </c>
      <c r="G102" s="9">
        <v>128001.347826374</v>
      </c>
      <c r="H102" s="9">
        <v>83389.180958792305</v>
      </c>
      <c r="I102" s="21">
        <f t="shared" si="2"/>
        <v>32.614461483812192</v>
      </c>
      <c r="J102" s="21">
        <f t="shared" si="3"/>
        <v>53.154213677989901</v>
      </c>
    </row>
    <row r="103" spans="1:10" hidden="1">
      <c r="A103" t="s">
        <v>169</v>
      </c>
      <c r="B103" t="s">
        <v>171</v>
      </c>
      <c r="C103" s="18">
        <v>2039</v>
      </c>
      <c r="D103" t="s">
        <v>185</v>
      </c>
      <c r="E103" s="9">
        <v>272906.30123866699</v>
      </c>
      <c r="F103" s="9">
        <v>257382.639170765</v>
      </c>
      <c r="G103" s="9">
        <v>272973.34550101002</v>
      </c>
      <c r="H103" s="9">
        <v>257441.86914336999</v>
      </c>
      <c r="I103" s="21">
        <f t="shared" si="2"/>
        <v>59.229972604982322</v>
      </c>
      <c r="J103" s="21">
        <f t="shared" si="3"/>
        <v>67.044262343028095</v>
      </c>
    </row>
    <row r="104" spans="1:10" hidden="1">
      <c r="A104" t="s">
        <v>169</v>
      </c>
      <c r="B104" t="s">
        <v>171</v>
      </c>
      <c r="C104" s="18">
        <v>2039</v>
      </c>
      <c r="D104" t="s">
        <v>188</v>
      </c>
      <c r="E104" s="9">
        <v>715510.21978360997</v>
      </c>
      <c r="F104" s="9">
        <v>428412.77287817001</v>
      </c>
      <c r="G104" s="9">
        <v>715580.88708538504</v>
      </c>
      <c r="H104" s="9">
        <v>428444.56848174502</v>
      </c>
      <c r="I104" s="21">
        <f t="shared" si="2"/>
        <v>31.795603575010318</v>
      </c>
      <c r="J104" s="21">
        <f t="shared" si="3"/>
        <v>70.667301775072701</v>
      </c>
    </row>
    <row r="105" spans="1:10" hidden="1">
      <c r="A105" t="s">
        <v>169</v>
      </c>
      <c r="B105" t="s">
        <v>171</v>
      </c>
      <c r="C105" s="18">
        <v>2039</v>
      </c>
      <c r="D105" t="s">
        <v>191</v>
      </c>
      <c r="E105" s="9">
        <v>362882.378477516</v>
      </c>
      <c r="F105" s="9">
        <v>191897.820826952</v>
      </c>
      <c r="G105" s="9">
        <v>362969.198365508</v>
      </c>
      <c r="H105" s="9">
        <v>191929.610855123</v>
      </c>
      <c r="I105" s="21">
        <f t="shared" si="2"/>
        <v>31.790028171002632</v>
      </c>
      <c r="J105" s="21">
        <f t="shared" si="3"/>
        <v>86.819887991994619</v>
      </c>
    </row>
    <row r="106" spans="1:10" hidden="1">
      <c r="A106" t="s">
        <v>169</v>
      </c>
      <c r="B106" t="s">
        <v>171</v>
      </c>
      <c r="C106" s="18">
        <v>2039</v>
      </c>
      <c r="D106" t="s">
        <v>422</v>
      </c>
      <c r="E106" s="9">
        <v>36178.224979978702</v>
      </c>
      <c r="F106" s="9">
        <v>3198.0231958252698</v>
      </c>
      <c r="G106" s="9">
        <v>36178.223844718399</v>
      </c>
      <c r="H106" s="9">
        <v>3198.0230538302199</v>
      </c>
      <c r="I106" s="21">
        <f t="shared" si="2"/>
        <v>-1.4199504994394374E-4</v>
      </c>
      <c r="J106" s="21">
        <f t="shared" si="3"/>
        <v>-1.1352603032719344E-3</v>
      </c>
    </row>
    <row r="107" spans="1:10" hidden="1">
      <c r="A107" t="s">
        <v>169</v>
      </c>
      <c r="B107" t="s">
        <v>171</v>
      </c>
      <c r="C107" s="18">
        <v>2040</v>
      </c>
      <c r="D107" t="s">
        <v>174</v>
      </c>
      <c r="E107" s="9">
        <v>19802.670513535599</v>
      </c>
      <c r="F107" s="9">
        <v>13877.7898927981</v>
      </c>
      <c r="G107" s="9">
        <v>19805.505805764798</v>
      </c>
      <c r="H107" s="9">
        <v>13879.6732870407</v>
      </c>
      <c r="I107" s="21">
        <f t="shared" si="2"/>
        <v>1.8833942425990244</v>
      </c>
      <c r="J107" s="21">
        <f t="shared" si="3"/>
        <v>2.8352922291996947</v>
      </c>
    </row>
    <row r="108" spans="1:10" hidden="1">
      <c r="A108" t="s">
        <v>169</v>
      </c>
      <c r="B108" t="s">
        <v>171</v>
      </c>
      <c r="C108" s="18">
        <v>2040</v>
      </c>
      <c r="D108" t="s">
        <v>236</v>
      </c>
      <c r="E108" s="9">
        <v>1217038.1799546599</v>
      </c>
      <c r="F108" s="9">
        <v>251592.617555907</v>
      </c>
      <c r="G108" s="9">
        <v>1217029.49333677</v>
      </c>
      <c r="H108" s="9">
        <v>251591.89866486701</v>
      </c>
      <c r="I108" s="21">
        <f t="shared" si="2"/>
        <v>-0.71889103998546489</v>
      </c>
      <c r="J108" s="21">
        <f t="shared" si="3"/>
        <v>-8.6866178899072111</v>
      </c>
    </row>
    <row r="109" spans="1:10" hidden="1">
      <c r="A109" t="s">
        <v>169</v>
      </c>
      <c r="B109" t="s">
        <v>171</v>
      </c>
      <c r="C109" s="18">
        <v>2040</v>
      </c>
      <c r="D109" t="s">
        <v>182</v>
      </c>
      <c r="E109" s="9">
        <v>130025.31439975501</v>
      </c>
      <c r="F109" s="9">
        <v>84398.408271760098</v>
      </c>
      <c r="G109" s="9">
        <v>130079.117811465</v>
      </c>
      <c r="H109" s="9">
        <v>84431.891175836907</v>
      </c>
      <c r="I109" s="21">
        <f t="shared" si="2"/>
        <v>33.482904076809064</v>
      </c>
      <c r="J109" s="21">
        <f t="shared" si="3"/>
        <v>53.803411709988723</v>
      </c>
    </row>
    <row r="110" spans="1:10" hidden="1">
      <c r="A110" t="s">
        <v>169</v>
      </c>
      <c r="B110" t="s">
        <v>171</v>
      </c>
      <c r="C110" s="18">
        <v>2040</v>
      </c>
      <c r="D110" t="s">
        <v>185</v>
      </c>
      <c r="E110" s="9">
        <v>272706.01912106399</v>
      </c>
      <c r="F110" s="9">
        <v>257392.236920047</v>
      </c>
      <c r="G110" s="9">
        <v>272772.69297753199</v>
      </c>
      <c r="H110" s="9">
        <v>257451.80463236</v>
      </c>
      <c r="I110" s="21">
        <f t="shared" si="2"/>
        <v>59.567712313000811</v>
      </c>
      <c r="J110" s="21">
        <f t="shared" si="3"/>
        <v>66.673856467998121</v>
      </c>
    </row>
    <row r="111" spans="1:10" hidden="1">
      <c r="A111" t="s">
        <v>169</v>
      </c>
      <c r="B111" t="s">
        <v>171</v>
      </c>
      <c r="C111" s="18">
        <v>2040</v>
      </c>
      <c r="D111" t="s">
        <v>188</v>
      </c>
      <c r="E111" s="9">
        <v>724987.27001930296</v>
      </c>
      <c r="F111" s="9">
        <v>435175.52866896603</v>
      </c>
      <c r="G111" s="9">
        <v>725057.85135654395</v>
      </c>
      <c r="H111" s="9">
        <v>435208.84098996199</v>
      </c>
      <c r="I111" s="21">
        <f t="shared" si="2"/>
        <v>33.312320995959453</v>
      </c>
      <c r="J111" s="21">
        <f t="shared" si="3"/>
        <v>70.581337240990251</v>
      </c>
    </row>
    <row r="112" spans="1:10" hidden="1">
      <c r="A112" t="s">
        <v>169</v>
      </c>
      <c r="B112" t="s">
        <v>171</v>
      </c>
      <c r="C112" s="18">
        <v>2040</v>
      </c>
      <c r="D112" t="s">
        <v>191</v>
      </c>
      <c r="E112" s="9">
        <v>366626.89525145898</v>
      </c>
      <c r="F112" s="9">
        <v>193820.031412143</v>
      </c>
      <c r="G112" s="9">
        <v>366714.04580788402</v>
      </c>
      <c r="H112" s="9">
        <v>193853.25074776399</v>
      </c>
      <c r="I112" s="21">
        <f t="shared" si="2"/>
        <v>33.219335620990023</v>
      </c>
      <c r="J112" s="21">
        <f t="shared" si="3"/>
        <v>87.150556425040122</v>
      </c>
    </row>
    <row r="113" spans="1:10" hidden="1">
      <c r="A113" t="s">
        <v>169</v>
      </c>
      <c r="B113" t="s">
        <v>171</v>
      </c>
      <c r="C113" s="18">
        <v>2040</v>
      </c>
      <c r="D113" t="s">
        <v>422</v>
      </c>
      <c r="E113" s="9">
        <v>36005.029180556397</v>
      </c>
      <c r="F113" s="9">
        <v>3069.2520220649699</v>
      </c>
      <c r="G113" s="9">
        <v>36005.028086341903</v>
      </c>
      <c r="H113" s="9">
        <v>3069.2518935015801</v>
      </c>
      <c r="I113" s="21">
        <f t="shared" si="2"/>
        <v>-1.2856338980782311E-4</v>
      </c>
      <c r="J113" s="21">
        <f t="shared" si="3"/>
        <v>-1.0942144945147447E-3</v>
      </c>
    </row>
    <row r="114" spans="1:10" hidden="1">
      <c r="A114" t="s">
        <v>169</v>
      </c>
      <c r="B114" t="s">
        <v>171</v>
      </c>
      <c r="C114" s="18">
        <v>2041</v>
      </c>
      <c r="D114" t="s">
        <v>174</v>
      </c>
      <c r="E114" s="9">
        <v>20450.744106941402</v>
      </c>
      <c r="F114" s="9">
        <v>14247.598244042099</v>
      </c>
      <c r="G114" s="9">
        <v>20453.6267543422</v>
      </c>
      <c r="H114" s="9">
        <v>14249.536455216699</v>
      </c>
      <c r="I114" s="21">
        <f t="shared" si="2"/>
        <v>1.9382111745999282</v>
      </c>
      <c r="J114" s="21">
        <f t="shared" si="3"/>
        <v>2.8826474007983052</v>
      </c>
    </row>
    <row r="115" spans="1:10" hidden="1">
      <c r="A115" t="s">
        <v>169</v>
      </c>
      <c r="B115" t="s">
        <v>171</v>
      </c>
      <c r="C115" s="18">
        <v>2041</v>
      </c>
      <c r="D115" t="s">
        <v>236</v>
      </c>
      <c r="E115" s="9">
        <v>1226634.4092504999</v>
      </c>
      <c r="F115" s="9">
        <v>259678.058431474</v>
      </c>
      <c r="G115" s="9">
        <v>1226624.8107670301</v>
      </c>
      <c r="H115" s="9">
        <v>259677.195752453</v>
      </c>
      <c r="I115" s="21">
        <f t="shared" si="2"/>
        <v>-0.86267902099643834</v>
      </c>
      <c r="J115" s="21">
        <f t="shared" si="3"/>
        <v>-9.5984834698028862</v>
      </c>
    </row>
    <row r="116" spans="1:10" hidden="1">
      <c r="A116" t="s">
        <v>169</v>
      </c>
      <c r="B116" t="s">
        <v>171</v>
      </c>
      <c r="C116" s="18">
        <v>2041</v>
      </c>
      <c r="D116" t="s">
        <v>182</v>
      </c>
      <c r="E116" s="9">
        <v>132175.143943818</v>
      </c>
      <c r="F116" s="9">
        <v>85498.070386830004</v>
      </c>
      <c r="G116" s="9">
        <v>132229.629710176</v>
      </c>
      <c r="H116" s="9">
        <v>85532.319590607702</v>
      </c>
      <c r="I116" s="21">
        <f t="shared" si="2"/>
        <v>34.249203777697403</v>
      </c>
      <c r="J116" s="21">
        <f t="shared" si="3"/>
        <v>54.485766358004184</v>
      </c>
    </row>
    <row r="117" spans="1:10" hidden="1">
      <c r="A117" t="s">
        <v>169</v>
      </c>
      <c r="B117" t="s">
        <v>171</v>
      </c>
      <c r="C117" s="18">
        <v>2041</v>
      </c>
      <c r="D117" t="s">
        <v>185</v>
      </c>
      <c r="E117" s="9">
        <v>272545.426791818</v>
      </c>
      <c r="F117" s="9">
        <v>257329.840506551</v>
      </c>
      <c r="G117" s="9">
        <v>272611.75367129099</v>
      </c>
      <c r="H117" s="9">
        <v>257389.63175428601</v>
      </c>
      <c r="I117" s="21">
        <f t="shared" si="2"/>
        <v>59.791247735003708</v>
      </c>
      <c r="J117" s="21">
        <f t="shared" si="3"/>
        <v>66.326879472995643</v>
      </c>
    </row>
    <row r="118" spans="1:10" hidden="1">
      <c r="A118" t="s">
        <v>169</v>
      </c>
      <c r="B118" t="s">
        <v>171</v>
      </c>
      <c r="C118" s="18">
        <v>2041</v>
      </c>
      <c r="D118" t="s">
        <v>188</v>
      </c>
      <c r="E118" s="9">
        <v>734557.20465298998</v>
      </c>
      <c r="F118" s="9">
        <v>442289.61219179502</v>
      </c>
      <c r="G118" s="9">
        <v>734627.74007540499</v>
      </c>
      <c r="H118" s="9">
        <v>442324.30640679202</v>
      </c>
      <c r="I118" s="21">
        <f t="shared" si="2"/>
        <v>34.694214996998198</v>
      </c>
      <c r="J118" s="21">
        <f t="shared" si="3"/>
        <v>70.535422415006906</v>
      </c>
    </row>
    <row r="119" spans="1:10" hidden="1">
      <c r="A119" t="s">
        <v>169</v>
      </c>
      <c r="B119" t="s">
        <v>171</v>
      </c>
      <c r="C119" s="18">
        <v>2041</v>
      </c>
      <c r="D119" t="s">
        <v>191</v>
      </c>
      <c r="E119" s="9">
        <v>370349.46313189098</v>
      </c>
      <c r="F119" s="9">
        <v>195892.35003676699</v>
      </c>
      <c r="G119" s="9">
        <v>370436.97560679301</v>
      </c>
      <c r="H119" s="9">
        <v>195926.90720139601</v>
      </c>
      <c r="I119" s="21">
        <f t="shared" si="2"/>
        <v>34.557164629019098</v>
      </c>
      <c r="J119" s="21">
        <f t="shared" si="3"/>
        <v>87.512474902032409</v>
      </c>
    </row>
    <row r="120" spans="1:10" hidden="1">
      <c r="A120" t="s">
        <v>169</v>
      </c>
      <c r="B120" t="s">
        <v>171</v>
      </c>
      <c r="C120" s="18">
        <v>2041</v>
      </c>
      <c r="D120" t="s">
        <v>422</v>
      </c>
      <c r="E120" s="9">
        <v>35900.766095780797</v>
      </c>
      <c r="F120" s="9">
        <v>2944.01563957702</v>
      </c>
      <c r="G120" s="9">
        <v>35900.765054072101</v>
      </c>
      <c r="H120" s="9">
        <v>2944.01552271229</v>
      </c>
      <c r="I120" s="21">
        <f t="shared" si="2"/>
        <v>-1.1686472998917452E-4</v>
      </c>
      <c r="J120" s="21">
        <f t="shared" si="3"/>
        <v>-1.0417086959932931E-3</v>
      </c>
    </row>
    <row r="121" spans="1:10" hidden="1">
      <c r="A121" t="s">
        <v>169</v>
      </c>
      <c r="B121" t="s">
        <v>171</v>
      </c>
      <c r="C121" s="18">
        <v>2042</v>
      </c>
      <c r="D121" t="s">
        <v>174</v>
      </c>
      <c r="E121" s="9">
        <v>21112.6522045532</v>
      </c>
      <c r="F121" s="9">
        <v>14624.3306199542</v>
      </c>
      <c r="G121" s="9">
        <v>21115.581702688502</v>
      </c>
      <c r="H121" s="9">
        <v>14626.319006600401</v>
      </c>
      <c r="I121" s="21">
        <f t="shared" si="2"/>
        <v>1.9883866462005244</v>
      </c>
      <c r="J121" s="21">
        <f t="shared" si="3"/>
        <v>2.9294981353014009</v>
      </c>
    </row>
    <row r="122" spans="1:10" hidden="1">
      <c r="A122" t="s">
        <v>169</v>
      </c>
      <c r="B122" t="s">
        <v>171</v>
      </c>
      <c r="C122" s="18">
        <v>2042</v>
      </c>
      <c r="D122" t="s">
        <v>236</v>
      </c>
      <c r="E122" s="9">
        <v>1235714.2532611601</v>
      </c>
      <c r="F122" s="9">
        <v>267779.75140988099</v>
      </c>
      <c r="G122" s="9">
        <v>1235703.75022274</v>
      </c>
      <c r="H122" s="9">
        <v>267778.732534162</v>
      </c>
      <c r="I122" s="21">
        <f t="shared" si="2"/>
        <v>-1.0188757189898752</v>
      </c>
      <c r="J122" s="21">
        <f t="shared" si="3"/>
        <v>-10.503038420109078</v>
      </c>
    </row>
    <row r="123" spans="1:10" hidden="1">
      <c r="A123" t="s">
        <v>169</v>
      </c>
      <c r="B123" t="s">
        <v>171</v>
      </c>
      <c r="C123" s="18">
        <v>2042</v>
      </c>
      <c r="D123" t="s">
        <v>182</v>
      </c>
      <c r="E123" s="9">
        <v>134296.46741173801</v>
      </c>
      <c r="F123" s="9">
        <v>86622.370321837807</v>
      </c>
      <c r="G123" s="9">
        <v>134351.62604870801</v>
      </c>
      <c r="H123" s="9">
        <v>86657.313221329707</v>
      </c>
      <c r="I123" s="21">
        <f t="shared" si="2"/>
        <v>34.94289949189988</v>
      </c>
      <c r="J123" s="21">
        <f t="shared" si="3"/>
        <v>55.158636970008956</v>
      </c>
    </row>
    <row r="124" spans="1:10" hidden="1">
      <c r="A124" t="s">
        <v>169</v>
      </c>
      <c r="B124" t="s">
        <v>171</v>
      </c>
      <c r="C124" s="18">
        <v>2042</v>
      </c>
      <c r="D124" t="s">
        <v>185</v>
      </c>
      <c r="E124" s="9">
        <v>272214.71030226903</v>
      </c>
      <c r="F124" s="9">
        <v>257138.435738751</v>
      </c>
      <c r="G124" s="9">
        <v>272280.658720601</v>
      </c>
      <c r="H124" s="9">
        <v>257198.34975601899</v>
      </c>
      <c r="I124" s="21">
        <f t="shared" si="2"/>
        <v>59.914017267990857</v>
      </c>
      <c r="J124" s="21">
        <f t="shared" si="3"/>
        <v>65.948418331972789</v>
      </c>
    </row>
    <row r="125" spans="1:10" hidden="1">
      <c r="A125" t="s">
        <v>169</v>
      </c>
      <c r="B125" t="s">
        <v>171</v>
      </c>
      <c r="C125" s="18">
        <v>2042</v>
      </c>
      <c r="D125" t="s">
        <v>188</v>
      </c>
      <c r="E125" s="9">
        <v>744242.75944005302</v>
      </c>
      <c r="F125" s="9">
        <v>449565.30181634298</v>
      </c>
      <c r="G125" s="9">
        <v>744313.272667757</v>
      </c>
      <c r="H125" s="9">
        <v>449601.26122749498</v>
      </c>
      <c r="I125" s="21">
        <f t="shared" si="2"/>
        <v>35.959411151998211</v>
      </c>
      <c r="J125" s="21">
        <f t="shared" si="3"/>
        <v>70.513227703981102</v>
      </c>
    </row>
    <row r="126" spans="1:10" hidden="1">
      <c r="A126" t="s">
        <v>169</v>
      </c>
      <c r="B126" t="s">
        <v>171</v>
      </c>
      <c r="C126" s="18">
        <v>2042</v>
      </c>
      <c r="D126" t="s">
        <v>191</v>
      </c>
      <c r="E126" s="9">
        <v>374331.30548609199</v>
      </c>
      <c r="F126" s="9">
        <v>198046.989011203</v>
      </c>
      <c r="G126" s="9">
        <v>374419.26204563602</v>
      </c>
      <c r="H126" s="9">
        <v>198082.81410371399</v>
      </c>
      <c r="I126" s="21">
        <f t="shared" si="2"/>
        <v>35.825092510989634</v>
      </c>
      <c r="J126" s="21">
        <f t="shared" si="3"/>
        <v>87.956559544021729</v>
      </c>
    </row>
    <row r="127" spans="1:10" hidden="1">
      <c r="A127" t="s">
        <v>169</v>
      </c>
      <c r="B127" t="s">
        <v>171</v>
      </c>
      <c r="C127" s="18">
        <v>2042</v>
      </c>
      <c r="D127" t="s">
        <v>422</v>
      </c>
      <c r="E127" s="9">
        <v>35516.841577481602</v>
      </c>
      <c r="F127" s="9">
        <v>2820.5123186953001</v>
      </c>
      <c r="G127" s="9">
        <v>35516.840593533198</v>
      </c>
      <c r="H127" s="9">
        <v>2820.5122126446799</v>
      </c>
      <c r="I127" s="21">
        <f t="shared" si="2"/>
        <v>-1.0605062016111333E-4</v>
      </c>
      <c r="J127" s="21">
        <f t="shared" si="3"/>
        <v>-9.8394840460969135E-4</v>
      </c>
    </row>
    <row r="128" spans="1:10" hidden="1">
      <c r="A128" t="s">
        <v>169</v>
      </c>
      <c r="B128" t="s">
        <v>171</v>
      </c>
      <c r="C128" s="18">
        <v>2043</v>
      </c>
      <c r="D128" t="s">
        <v>174</v>
      </c>
      <c r="E128" s="9">
        <v>21786.150180933801</v>
      </c>
      <c r="F128" s="9">
        <v>15002.0514179288</v>
      </c>
      <c r="G128" s="9">
        <v>21789.125656033499</v>
      </c>
      <c r="H128" s="9">
        <v>15004.086115812899</v>
      </c>
      <c r="I128" s="21">
        <f t="shared" si="2"/>
        <v>2.0346978840989323</v>
      </c>
      <c r="J128" s="21">
        <f t="shared" si="3"/>
        <v>2.9754750996980874</v>
      </c>
    </row>
    <row r="129" spans="1:10" hidden="1">
      <c r="A129" t="s">
        <v>169</v>
      </c>
      <c r="B129" t="s">
        <v>171</v>
      </c>
      <c r="C129" s="18">
        <v>2043</v>
      </c>
      <c r="D129" t="s">
        <v>236</v>
      </c>
      <c r="E129" s="9">
        <v>1244257.9095781599</v>
      </c>
      <c r="F129" s="9">
        <v>275878.18251429999</v>
      </c>
      <c r="G129" s="9">
        <v>1244246.5115360599</v>
      </c>
      <c r="H129" s="9">
        <v>275876.99548631802</v>
      </c>
      <c r="I129" s="21">
        <f t="shared" si="2"/>
        <v>-1.1870279819704592</v>
      </c>
      <c r="J129" s="21">
        <f t="shared" si="3"/>
        <v>-11.398042100016028</v>
      </c>
    </row>
    <row r="130" spans="1:10" hidden="1">
      <c r="A130" t="s">
        <v>169</v>
      </c>
      <c r="B130" t="s">
        <v>171</v>
      </c>
      <c r="C130" s="18">
        <v>2043</v>
      </c>
      <c r="D130" t="s">
        <v>182</v>
      </c>
      <c r="E130" s="9">
        <v>136546.087842746</v>
      </c>
      <c r="F130" s="9">
        <v>87743.467668753205</v>
      </c>
      <c r="G130" s="9">
        <v>136601.974960575</v>
      </c>
      <c r="H130" s="9">
        <v>87779.034425801001</v>
      </c>
      <c r="I130" s="21">
        <f t="shared" ref="I130:I193" si="4">H130-F130</f>
        <v>35.566757047796273</v>
      </c>
      <c r="J130" s="21">
        <f t="shared" ref="J130:J193" si="5">G130-E130</f>
        <v>55.88711782899918</v>
      </c>
    </row>
    <row r="131" spans="1:10" hidden="1">
      <c r="A131" t="s">
        <v>169</v>
      </c>
      <c r="B131" t="s">
        <v>171</v>
      </c>
      <c r="C131" s="18">
        <v>2043</v>
      </c>
      <c r="D131" t="s">
        <v>185</v>
      </c>
      <c r="E131" s="9">
        <v>271624.27737374301</v>
      </c>
      <c r="F131" s="9">
        <v>256717.66013055199</v>
      </c>
      <c r="G131" s="9">
        <v>271689.79422675102</v>
      </c>
      <c r="H131" s="9">
        <v>256777.58715706799</v>
      </c>
      <c r="I131" s="21">
        <f t="shared" si="4"/>
        <v>59.927026516001206</v>
      </c>
      <c r="J131" s="21">
        <f t="shared" si="5"/>
        <v>65.516853008011822</v>
      </c>
    </row>
    <row r="132" spans="1:10" hidden="1">
      <c r="A132" t="s">
        <v>169</v>
      </c>
      <c r="B132" t="s">
        <v>171</v>
      </c>
      <c r="C132" s="18">
        <v>2043</v>
      </c>
      <c r="D132" t="s">
        <v>188</v>
      </c>
      <c r="E132" s="9">
        <v>754300.35309017403</v>
      </c>
      <c r="F132" s="9">
        <v>456878.61768541299</v>
      </c>
      <c r="G132" s="9">
        <v>754370.89241350198</v>
      </c>
      <c r="H132" s="9">
        <v>456915.72204617201</v>
      </c>
      <c r="I132" s="21">
        <f t="shared" si="4"/>
        <v>37.10436075902544</v>
      </c>
      <c r="J132" s="21">
        <f t="shared" si="5"/>
        <v>70.539323327946477</v>
      </c>
    </row>
    <row r="133" spans="1:10" hidden="1">
      <c r="A133" t="s">
        <v>169</v>
      </c>
      <c r="B133" t="s">
        <v>171</v>
      </c>
      <c r="C133" s="18">
        <v>2043</v>
      </c>
      <c r="D133" t="s">
        <v>191</v>
      </c>
      <c r="E133" s="9">
        <v>378678.02439330099</v>
      </c>
      <c r="F133" s="9">
        <v>200167.25300216701</v>
      </c>
      <c r="G133" s="9">
        <v>378766.53451535699</v>
      </c>
      <c r="H133" s="9">
        <v>200204.274251736</v>
      </c>
      <c r="I133" s="21">
        <f t="shared" si="4"/>
        <v>37.021249568992062</v>
      </c>
      <c r="J133" s="21">
        <f t="shared" si="5"/>
        <v>88.510122056002729</v>
      </c>
    </row>
    <row r="134" spans="1:10" hidden="1">
      <c r="A134" t="s">
        <v>169</v>
      </c>
      <c r="B134" t="s">
        <v>171</v>
      </c>
      <c r="C134" s="18">
        <v>2043</v>
      </c>
      <c r="D134" t="s">
        <v>422</v>
      </c>
      <c r="E134" s="9">
        <v>35328.774059885603</v>
      </c>
      <c r="F134" s="9">
        <v>2698.3310253161299</v>
      </c>
      <c r="G134" s="9">
        <v>35328.773203308199</v>
      </c>
      <c r="H134" s="9">
        <v>2698.3309296050402</v>
      </c>
      <c r="I134" s="21">
        <f t="shared" si="4"/>
        <v>-9.5711089670658112E-5</v>
      </c>
      <c r="J134" s="21">
        <f t="shared" si="5"/>
        <v>-8.5657740419264883E-4</v>
      </c>
    </row>
    <row r="135" spans="1:10" hidden="1">
      <c r="A135" t="s">
        <v>169</v>
      </c>
      <c r="B135" t="s">
        <v>171</v>
      </c>
      <c r="C135" s="18">
        <v>2044</v>
      </c>
      <c r="D135" t="s">
        <v>174</v>
      </c>
      <c r="E135" s="9">
        <v>22469.3853963566</v>
      </c>
      <c r="F135" s="9">
        <v>15386.5607101244</v>
      </c>
      <c r="G135" s="9">
        <v>22472.405778779801</v>
      </c>
      <c r="H135" s="9">
        <v>15388.638261887199</v>
      </c>
      <c r="I135" s="21">
        <f t="shared" si="4"/>
        <v>2.0775517627989757</v>
      </c>
      <c r="J135" s="21">
        <f t="shared" si="5"/>
        <v>3.0203824232012266</v>
      </c>
    </row>
    <row r="136" spans="1:10" hidden="1">
      <c r="A136" t="s">
        <v>169</v>
      </c>
      <c r="B136" t="s">
        <v>171</v>
      </c>
      <c r="C136" s="18">
        <v>2044</v>
      </c>
      <c r="D136" t="s">
        <v>236</v>
      </c>
      <c r="E136" s="9">
        <v>1252532.0394648199</v>
      </c>
      <c r="F136" s="9">
        <v>283903.41728501202</v>
      </c>
      <c r="G136" s="9">
        <v>1252519.7576166999</v>
      </c>
      <c r="H136" s="9">
        <v>283902.05041687097</v>
      </c>
      <c r="I136" s="21">
        <f t="shared" si="4"/>
        <v>-1.3668681410490535</v>
      </c>
      <c r="J136" s="21">
        <f t="shared" si="5"/>
        <v>-12.281848120037466</v>
      </c>
    </row>
    <row r="137" spans="1:10" hidden="1">
      <c r="A137" t="s">
        <v>169</v>
      </c>
      <c r="B137" t="s">
        <v>171</v>
      </c>
      <c r="C137" s="18">
        <v>2044</v>
      </c>
      <c r="D137" t="s">
        <v>182</v>
      </c>
      <c r="E137" s="9">
        <v>138071.48904509001</v>
      </c>
      <c r="F137" s="9">
        <v>88876.311676697893</v>
      </c>
      <c r="G137" s="9">
        <v>138127.80749224901</v>
      </c>
      <c r="H137" s="9">
        <v>88912.446286897801</v>
      </c>
      <c r="I137" s="21">
        <f t="shared" si="4"/>
        <v>36.134610199907911</v>
      </c>
      <c r="J137" s="21">
        <f t="shared" si="5"/>
        <v>56.318447158992058</v>
      </c>
    </row>
    <row r="138" spans="1:10" hidden="1">
      <c r="A138" t="s">
        <v>169</v>
      </c>
      <c r="B138" t="s">
        <v>171</v>
      </c>
      <c r="C138" s="18">
        <v>2044</v>
      </c>
      <c r="D138" t="s">
        <v>185</v>
      </c>
      <c r="E138" s="9">
        <v>270915.98696480499</v>
      </c>
      <c r="F138" s="9">
        <v>256376.504182595</v>
      </c>
      <c r="G138" s="9">
        <v>270981.060601887</v>
      </c>
      <c r="H138" s="9">
        <v>256436.399818879</v>
      </c>
      <c r="I138" s="21">
        <f t="shared" si="4"/>
        <v>59.895636283996282</v>
      </c>
      <c r="J138" s="21">
        <f t="shared" si="5"/>
        <v>65.073637082008645</v>
      </c>
    </row>
    <row r="139" spans="1:10" hidden="1">
      <c r="A139" t="s">
        <v>169</v>
      </c>
      <c r="B139" t="s">
        <v>171</v>
      </c>
      <c r="C139" s="18">
        <v>2044</v>
      </c>
      <c r="D139" t="s">
        <v>188</v>
      </c>
      <c r="E139" s="9">
        <v>760681.31889394205</v>
      </c>
      <c r="F139" s="9">
        <v>464198.47691446898</v>
      </c>
      <c r="G139" s="9">
        <v>760751.52916181902</v>
      </c>
      <c r="H139" s="9">
        <v>464236.62382849702</v>
      </c>
      <c r="I139" s="21">
        <f t="shared" si="4"/>
        <v>38.146914028038736</v>
      </c>
      <c r="J139" s="21">
        <f t="shared" si="5"/>
        <v>70.210267876973376</v>
      </c>
    </row>
    <row r="140" spans="1:10" hidden="1">
      <c r="A140" t="s">
        <v>169</v>
      </c>
      <c r="B140" t="s">
        <v>171</v>
      </c>
      <c r="C140" s="18">
        <v>2044</v>
      </c>
      <c r="D140" t="s">
        <v>191</v>
      </c>
      <c r="E140" s="9">
        <v>380666.02695746999</v>
      </c>
      <c r="F140" s="9">
        <v>202724.29066990199</v>
      </c>
      <c r="G140" s="9">
        <v>380754.51437457599</v>
      </c>
      <c r="H140" s="9">
        <v>202762.43540540201</v>
      </c>
      <c r="I140" s="21">
        <f t="shared" si="4"/>
        <v>38.144735500012757</v>
      </c>
      <c r="J140" s="21">
        <f t="shared" si="5"/>
        <v>88.48741710599279</v>
      </c>
    </row>
    <row r="141" spans="1:10" hidden="1">
      <c r="A141" t="s">
        <v>169</v>
      </c>
      <c r="B141" t="s">
        <v>171</v>
      </c>
      <c r="C141" s="18">
        <v>2044</v>
      </c>
      <c r="D141" t="s">
        <v>422</v>
      </c>
      <c r="E141" s="9">
        <v>35046.705665373498</v>
      </c>
      <c r="F141" s="9">
        <v>2573.7927016040098</v>
      </c>
      <c r="G141" s="9">
        <v>35046.705207959298</v>
      </c>
      <c r="H141" s="9">
        <v>2573.7926243052102</v>
      </c>
      <c r="I141" s="21">
        <f t="shared" si="4"/>
        <v>-7.7298799624259118E-5</v>
      </c>
      <c r="J141" s="21">
        <f t="shared" si="5"/>
        <v>-4.5741420035483316E-4</v>
      </c>
    </row>
    <row r="142" spans="1:10" hidden="1">
      <c r="A142" t="s">
        <v>169</v>
      </c>
      <c r="B142" t="s">
        <v>171</v>
      </c>
      <c r="C142" s="18">
        <v>2045</v>
      </c>
      <c r="D142" t="s">
        <v>174</v>
      </c>
      <c r="E142" s="9">
        <v>23163.881198701802</v>
      </c>
      <c r="F142" s="9">
        <v>15769.602504832799</v>
      </c>
      <c r="G142" s="9">
        <v>23166.945688051499</v>
      </c>
      <c r="H142" s="9">
        <v>15771.7189092791</v>
      </c>
      <c r="I142" s="21">
        <f t="shared" si="4"/>
        <v>2.1164044463002938</v>
      </c>
      <c r="J142" s="21">
        <f t="shared" si="5"/>
        <v>3.0644893496973964</v>
      </c>
    </row>
    <row r="143" spans="1:10" hidden="1">
      <c r="A143" t="s">
        <v>169</v>
      </c>
      <c r="B143" t="s">
        <v>171</v>
      </c>
      <c r="C143" s="18">
        <v>2045</v>
      </c>
      <c r="D143" t="s">
        <v>236</v>
      </c>
      <c r="E143" s="9">
        <v>1260606.1388939</v>
      </c>
      <c r="F143" s="9">
        <v>291823.58476936002</v>
      </c>
      <c r="G143" s="9">
        <v>1260592.98702146</v>
      </c>
      <c r="H143" s="9">
        <v>291822.02754025703</v>
      </c>
      <c r="I143" s="21">
        <f t="shared" si="4"/>
        <v>-1.5572291029966436</v>
      </c>
      <c r="J143" s="21">
        <f t="shared" si="5"/>
        <v>-13.151872440008447</v>
      </c>
    </row>
    <row r="144" spans="1:10" hidden="1">
      <c r="A144" t="s">
        <v>169</v>
      </c>
      <c r="B144" t="s">
        <v>171</v>
      </c>
      <c r="C144" s="18">
        <v>2045</v>
      </c>
      <c r="D144" t="s">
        <v>182</v>
      </c>
      <c r="E144" s="9">
        <v>140115.80952295801</v>
      </c>
      <c r="F144" s="9">
        <v>90004.937009028494</v>
      </c>
      <c r="G144" s="9">
        <v>140172.77481552499</v>
      </c>
      <c r="H144" s="9">
        <v>90041.604590588802</v>
      </c>
      <c r="I144" s="21">
        <f t="shared" si="4"/>
        <v>36.667581560308463</v>
      </c>
      <c r="J144" s="21">
        <f t="shared" si="5"/>
        <v>56.96529256697977</v>
      </c>
    </row>
    <row r="145" spans="1:10" hidden="1">
      <c r="A145" t="s">
        <v>169</v>
      </c>
      <c r="B145" t="s">
        <v>171</v>
      </c>
      <c r="C145" s="18">
        <v>2045</v>
      </c>
      <c r="D145" t="s">
        <v>185</v>
      </c>
      <c r="E145" s="9">
        <v>270373.91312052403</v>
      </c>
      <c r="F145" s="9">
        <v>255917.08663140499</v>
      </c>
      <c r="G145" s="9">
        <v>270438.60315228201</v>
      </c>
      <c r="H145" s="9">
        <v>255976.90811330499</v>
      </c>
      <c r="I145" s="21">
        <f t="shared" si="4"/>
        <v>59.821481899998616</v>
      </c>
      <c r="J145" s="21">
        <f t="shared" si="5"/>
        <v>64.690031757985707</v>
      </c>
    </row>
    <row r="146" spans="1:10" hidden="1">
      <c r="A146" t="s">
        <v>169</v>
      </c>
      <c r="B146" t="s">
        <v>171</v>
      </c>
      <c r="C146" s="18">
        <v>2045</v>
      </c>
      <c r="D146" t="s">
        <v>188</v>
      </c>
      <c r="E146" s="9">
        <v>769243.68201446696</v>
      </c>
      <c r="F146" s="9">
        <v>470881.19195543602</v>
      </c>
      <c r="G146" s="9">
        <v>769313.803212411</v>
      </c>
      <c r="H146" s="9">
        <v>470920.29436777002</v>
      </c>
      <c r="I146" s="21">
        <f t="shared" si="4"/>
        <v>39.10241233400302</v>
      </c>
      <c r="J146" s="21">
        <f t="shared" si="5"/>
        <v>70.121197944041342</v>
      </c>
    </row>
    <row r="147" spans="1:10" hidden="1">
      <c r="A147" t="s">
        <v>169</v>
      </c>
      <c r="B147" t="s">
        <v>171</v>
      </c>
      <c r="C147" s="18">
        <v>2045</v>
      </c>
      <c r="D147" t="s">
        <v>191</v>
      </c>
      <c r="E147" s="9">
        <v>383847.40837276902</v>
      </c>
      <c r="F147" s="9">
        <v>204830.11374441799</v>
      </c>
      <c r="G147" s="9">
        <v>383936.19252461498</v>
      </c>
      <c r="H147" s="9">
        <v>204869.32889798901</v>
      </c>
      <c r="I147" s="21">
        <f t="shared" si="4"/>
        <v>39.215153571014525</v>
      </c>
      <c r="J147" s="21">
        <f t="shared" si="5"/>
        <v>88.784151845960878</v>
      </c>
    </row>
    <row r="148" spans="1:10" hidden="1">
      <c r="A148" t="s">
        <v>169</v>
      </c>
      <c r="B148" t="s">
        <v>171</v>
      </c>
      <c r="C148" s="18">
        <v>2045</v>
      </c>
      <c r="D148" t="s">
        <v>422</v>
      </c>
      <c r="E148" s="9">
        <v>34846.715593819201</v>
      </c>
      <c r="F148" s="9">
        <v>2452.7471276501601</v>
      </c>
      <c r="G148" s="9">
        <v>34846.715156222701</v>
      </c>
      <c r="H148" s="9">
        <v>2452.74707379338</v>
      </c>
      <c r="I148" s="21">
        <f t="shared" si="4"/>
        <v>-5.3856780141359195E-5</v>
      </c>
      <c r="J148" s="21">
        <f t="shared" si="5"/>
        <v>-4.3759649997809902E-4</v>
      </c>
    </row>
    <row r="149" spans="1:10" hidden="1">
      <c r="A149" t="s">
        <v>169</v>
      </c>
      <c r="B149" t="s">
        <v>171</v>
      </c>
      <c r="C149" s="18">
        <v>2046</v>
      </c>
      <c r="D149" t="s">
        <v>174</v>
      </c>
      <c r="E149" s="9">
        <v>23865.110610608699</v>
      </c>
      <c r="F149" s="9">
        <v>16163.137567833999</v>
      </c>
      <c r="G149" s="9">
        <v>23868.217944038799</v>
      </c>
      <c r="H149" s="9">
        <v>16165.2905403234</v>
      </c>
      <c r="I149" s="21">
        <f t="shared" si="4"/>
        <v>2.1529724894007813</v>
      </c>
      <c r="J149" s="21">
        <f t="shared" si="5"/>
        <v>3.1073334300999704</v>
      </c>
    </row>
    <row r="150" spans="1:10" hidden="1">
      <c r="A150" t="s">
        <v>169</v>
      </c>
      <c r="B150" t="s">
        <v>171</v>
      </c>
      <c r="C150" s="18">
        <v>2046</v>
      </c>
      <c r="D150" t="s">
        <v>236</v>
      </c>
      <c r="E150" s="9">
        <v>1268489.96171896</v>
      </c>
      <c r="F150" s="9">
        <v>299598.68685815303</v>
      </c>
      <c r="G150" s="9">
        <v>1268475.9563321201</v>
      </c>
      <c r="H150" s="9">
        <v>299596.92866613797</v>
      </c>
      <c r="I150" s="21">
        <f t="shared" si="4"/>
        <v>-1.7581920150551014</v>
      </c>
      <c r="J150" s="21">
        <f t="shared" si="5"/>
        <v>-14.0053868398536</v>
      </c>
    </row>
    <row r="151" spans="1:10" hidden="1">
      <c r="A151" t="s">
        <v>169</v>
      </c>
      <c r="B151" t="s">
        <v>171</v>
      </c>
      <c r="C151" s="18">
        <v>2046</v>
      </c>
      <c r="D151" t="s">
        <v>182</v>
      </c>
      <c r="E151" s="9">
        <v>142136.447013075</v>
      </c>
      <c r="F151" s="9">
        <v>91161.722740917699</v>
      </c>
      <c r="G151" s="9">
        <v>142194.05365060701</v>
      </c>
      <c r="H151" s="9">
        <v>91198.890942598402</v>
      </c>
      <c r="I151" s="21">
        <f t="shared" si="4"/>
        <v>37.168201680702623</v>
      </c>
      <c r="J151" s="21">
        <f t="shared" si="5"/>
        <v>57.606637532007881</v>
      </c>
    </row>
    <row r="152" spans="1:10" hidden="1">
      <c r="A152" t="s">
        <v>169</v>
      </c>
      <c r="B152" t="s">
        <v>171</v>
      </c>
      <c r="C152" s="18">
        <v>2046</v>
      </c>
      <c r="D152" t="s">
        <v>185</v>
      </c>
      <c r="E152" s="9">
        <v>269858.92351728998</v>
      </c>
      <c r="F152" s="9">
        <v>255371.46416074599</v>
      </c>
      <c r="G152" s="9">
        <v>269923.25168294698</v>
      </c>
      <c r="H152" s="9">
        <v>255431.16141281699</v>
      </c>
      <c r="I152" s="21">
        <f t="shared" si="4"/>
        <v>59.69725207099691</v>
      </c>
      <c r="J152" s="21">
        <f t="shared" si="5"/>
        <v>64.32816565700341</v>
      </c>
    </row>
    <row r="153" spans="1:10" hidden="1">
      <c r="A153" t="s">
        <v>169</v>
      </c>
      <c r="B153" t="s">
        <v>171</v>
      </c>
      <c r="C153" s="18">
        <v>2046</v>
      </c>
      <c r="D153" t="s">
        <v>188</v>
      </c>
      <c r="E153" s="9">
        <v>778025.74646582303</v>
      </c>
      <c r="F153" s="9">
        <v>477788.95778447803</v>
      </c>
      <c r="G153" s="9">
        <v>778095.84267256199</v>
      </c>
      <c r="H153" s="9">
        <v>477828.93173194502</v>
      </c>
      <c r="I153" s="21">
        <f t="shared" si="4"/>
        <v>39.973947466991376</v>
      </c>
      <c r="J153" s="21">
        <f t="shared" si="5"/>
        <v>70.096206738962792</v>
      </c>
    </row>
    <row r="154" spans="1:10" hidden="1">
      <c r="A154" t="s">
        <v>169</v>
      </c>
      <c r="B154" t="s">
        <v>171</v>
      </c>
      <c r="C154" s="18">
        <v>2046</v>
      </c>
      <c r="D154" t="s">
        <v>191</v>
      </c>
      <c r="E154" s="9">
        <v>387062.29963443102</v>
      </c>
      <c r="F154" s="9">
        <v>207008.71871183801</v>
      </c>
      <c r="G154" s="9">
        <v>387151.42704479198</v>
      </c>
      <c r="H154" s="9">
        <v>207048.94525460299</v>
      </c>
      <c r="I154" s="21">
        <f t="shared" si="4"/>
        <v>40.226542764983606</v>
      </c>
      <c r="J154" s="21">
        <f t="shared" si="5"/>
        <v>89.127410360961221</v>
      </c>
    </row>
    <row r="155" spans="1:10" hidden="1">
      <c r="A155" t="s">
        <v>169</v>
      </c>
      <c r="B155" t="s">
        <v>171</v>
      </c>
      <c r="C155" s="18">
        <v>2046</v>
      </c>
      <c r="D155" t="s">
        <v>422</v>
      </c>
      <c r="E155" s="9">
        <v>34688.297180122398</v>
      </c>
      <c r="F155" s="9">
        <v>2335.6726489625098</v>
      </c>
      <c r="G155" s="9">
        <v>34688.296767041</v>
      </c>
      <c r="H155" s="9">
        <v>2335.6726092736399</v>
      </c>
      <c r="I155" s="21">
        <f t="shared" si="4"/>
        <v>-3.9688869946985506E-5</v>
      </c>
      <c r="J155" s="21">
        <f t="shared" si="5"/>
        <v>-4.1308139770990238E-4</v>
      </c>
    </row>
    <row r="156" spans="1:10" hidden="1">
      <c r="A156" t="s">
        <v>169</v>
      </c>
      <c r="B156" t="s">
        <v>171</v>
      </c>
      <c r="C156" s="18">
        <v>2047</v>
      </c>
      <c r="D156" t="s">
        <v>174</v>
      </c>
      <c r="E156" s="9">
        <v>24572.536164671001</v>
      </c>
      <c r="F156" s="9">
        <v>16566.3874089276</v>
      </c>
      <c r="G156" s="9">
        <v>24575.685129363199</v>
      </c>
      <c r="H156" s="9">
        <v>16568.574829924401</v>
      </c>
      <c r="I156" s="21">
        <f t="shared" si="4"/>
        <v>2.1874209968009382</v>
      </c>
      <c r="J156" s="21">
        <f t="shared" si="5"/>
        <v>3.1489646921982057</v>
      </c>
    </row>
    <row r="157" spans="1:10" hidden="1">
      <c r="A157" t="s">
        <v>169</v>
      </c>
      <c r="B157" t="s">
        <v>171</v>
      </c>
      <c r="C157" s="18">
        <v>2047</v>
      </c>
      <c r="D157" t="s">
        <v>236</v>
      </c>
      <c r="E157" s="9">
        <v>1276088.32518804</v>
      </c>
      <c r="F157" s="9">
        <v>307177.97806545999</v>
      </c>
      <c r="G157" s="9">
        <v>1276073.4846977801</v>
      </c>
      <c r="H157" s="9">
        <v>307176.00873862102</v>
      </c>
      <c r="I157" s="21">
        <f t="shared" si="4"/>
        <v>-1.9693268389673904</v>
      </c>
      <c r="J157" s="21">
        <f t="shared" si="5"/>
        <v>-14.840490259928629</v>
      </c>
    </row>
    <row r="158" spans="1:10" hidden="1">
      <c r="A158" t="s">
        <v>169</v>
      </c>
      <c r="B158" t="s">
        <v>171</v>
      </c>
      <c r="C158" s="18">
        <v>2047</v>
      </c>
      <c r="D158" t="s">
        <v>182</v>
      </c>
      <c r="E158" s="9">
        <v>144187.80403774601</v>
      </c>
      <c r="F158" s="9">
        <v>92296.255092552994</v>
      </c>
      <c r="G158" s="9">
        <v>144246.070856709</v>
      </c>
      <c r="H158" s="9">
        <v>92333.888291156894</v>
      </c>
      <c r="I158" s="21">
        <f t="shared" si="4"/>
        <v>37.633198603900382</v>
      </c>
      <c r="J158" s="21">
        <f t="shared" si="5"/>
        <v>58.266818962991238</v>
      </c>
    </row>
    <row r="159" spans="1:10" hidden="1">
      <c r="A159" t="s">
        <v>169</v>
      </c>
      <c r="B159" t="s">
        <v>171</v>
      </c>
      <c r="C159" s="18">
        <v>2047</v>
      </c>
      <c r="D159" t="s">
        <v>185</v>
      </c>
      <c r="E159" s="9">
        <v>269081.81481518003</v>
      </c>
      <c r="F159" s="9">
        <v>254701.279908834</v>
      </c>
      <c r="G159" s="9">
        <v>269145.73066835199</v>
      </c>
      <c r="H159" s="9">
        <v>254760.803670819</v>
      </c>
      <c r="I159" s="21">
        <f t="shared" si="4"/>
        <v>59.523761985008605</v>
      </c>
      <c r="J159" s="21">
        <f t="shared" si="5"/>
        <v>63.915853171958588</v>
      </c>
    </row>
    <row r="160" spans="1:10" hidden="1">
      <c r="A160" t="s">
        <v>169</v>
      </c>
      <c r="B160" t="s">
        <v>171</v>
      </c>
      <c r="C160" s="18">
        <v>2047</v>
      </c>
      <c r="D160" t="s">
        <v>188</v>
      </c>
      <c r="E160" s="9">
        <v>786797.277113716</v>
      </c>
      <c r="F160" s="9">
        <v>484626.40642201703</v>
      </c>
      <c r="G160" s="9">
        <v>786867.36601765698</v>
      </c>
      <c r="H160" s="9">
        <v>484667.16956347</v>
      </c>
      <c r="I160" s="21">
        <f t="shared" si="4"/>
        <v>40.763141452975105</v>
      </c>
      <c r="J160" s="21">
        <f t="shared" si="5"/>
        <v>70.088903940981254</v>
      </c>
    </row>
    <row r="161" spans="1:10" hidden="1">
      <c r="A161" t="s">
        <v>169</v>
      </c>
      <c r="B161" t="s">
        <v>171</v>
      </c>
      <c r="C161" s="18">
        <v>2047</v>
      </c>
      <c r="D161" t="s">
        <v>191</v>
      </c>
      <c r="E161" s="9">
        <v>390508.028207083</v>
      </c>
      <c r="F161" s="9">
        <v>209119.683601978</v>
      </c>
      <c r="G161" s="9">
        <v>390597.57749152998</v>
      </c>
      <c r="H161" s="9">
        <v>209160.85891574901</v>
      </c>
      <c r="I161" s="21">
        <f t="shared" si="4"/>
        <v>41.175313771003857</v>
      </c>
      <c r="J161" s="21">
        <f t="shared" si="5"/>
        <v>89.549284446984529</v>
      </c>
    </row>
    <row r="162" spans="1:10" hidden="1">
      <c r="A162" t="s">
        <v>169</v>
      </c>
      <c r="B162" t="s">
        <v>171</v>
      </c>
      <c r="C162" s="18">
        <v>2047</v>
      </c>
      <c r="D162" t="s">
        <v>422</v>
      </c>
      <c r="E162" s="9">
        <v>34402.454671352702</v>
      </c>
      <c r="F162" s="9">
        <v>2222.25181435382</v>
      </c>
      <c r="G162" s="9">
        <v>34402.454286141998</v>
      </c>
      <c r="H162" s="9">
        <v>2222.2517838233198</v>
      </c>
      <c r="I162" s="21">
        <f t="shared" si="4"/>
        <v>-3.053050022572279E-5</v>
      </c>
      <c r="J162" s="21">
        <f t="shared" si="5"/>
        <v>-3.8521070382557809E-4</v>
      </c>
    </row>
    <row r="163" spans="1:10" hidden="1">
      <c r="A163" t="s">
        <v>169</v>
      </c>
      <c r="B163" t="s">
        <v>171</v>
      </c>
      <c r="C163" s="18">
        <v>2048</v>
      </c>
      <c r="D163" t="s">
        <v>174</v>
      </c>
      <c r="E163" s="9">
        <v>25279.677904922301</v>
      </c>
      <c r="F163" s="9">
        <v>16980.747197114899</v>
      </c>
      <c r="G163" s="9">
        <v>25282.866550534</v>
      </c>
      <c r="H163" s="9">
        <v>16982.967131377602</v>
      </c>
      <c r="I163" s="21">
        <f t="shared" si="4"/>
        <v>2.2199342627027363</v>
      </c>
      <c r="J163" s="21">
        <f t="shared" si="5"/>
        <v>3.1886456116990303</v>
      </c>
    </row>
    <row r="164" spans="1:10" hidden="1">
      <c r="A164" t="s">
        <v>169</v>
      </c>
      <c r="B164" t="s">
        <v>171</v>
      </c>
      <c r="C164" s="18">
        <v>2048</v>
      </c>
      <c r="D164" t="s">
        <v>236</v>
      </c>
      <c r="E164" s="9">
        <v>1283483.4080395999</v>
      </c>
      <c r="F164" s="9">
        <v>314552.02096487902</v>
      </c>
      <c r="G164" s="9">
        <v>1283467.7529534199</v>
      </c>
      <c r="H164" s="9">
        <v>314549.83162807999</v>
      </c>
      <c r="I164" s="21">
        <f t="shared" si="4"/>
        <v>-2.1893367990269326</v>
      </c>
      <c r="J164" s="21">
        <f t="shared" si="5"/>
        <v>-15.655086179962382</v>
      </c>
    </row>
    <row r="165" spans="1:10" hidden="1">
      <c r="A165" t="s">
        <v>169</v>
      </c>
      <c r="B165" t="s">
        <v>171</v>
      </c>
      <c r="C165" s="18">
        <v>2048</v>
      </c>
      <c r="D165" t="s">
        <v>182</v>
      </c>
      <c r="E165" s="9">
        <v>146354.87388866299</v>
      </c>
      <c r="F165" s="9">
        <v>93389.448226060995</v>
      </c>
      <c r="G165" s="9">
        <v>146413.85314917401</v>
      </c>
      <c r="H165" s="9">
        <v>93427.507277048993</v>
      </c>
      <c r="I165" s="21">
        <f t="shared" si="4"/>
        <v>38.059050987998489</v>
      </c>
      <c r="J165" s="21">
        <f t="shared" si="5"/>
        <v>58.979260511026951</v>
      </c>
    </row>
    <row r="166" spans="1:10" hidden="1">
      <c r="A166" t="s">
        <v>169</v>
      </c>
      <c r="B166" t="s">
        <v>171</v>
      </c>
      <c r="C166" s="18">
        <v>2048</v>
      </c>
      <c r="D166" t="s">
        <v>185</v>
      </c>
      <c r="E166" s="9">
        <v>268022.00138018897</v>
      </c>
      <c r="F166" s="9">
        <v>253812.76502196799</v>
      </c>
      <c r="G166" s="9">
        <v>268085.44794583402</v>
      </c>
      <c r="H166" s="9">
        <v>253872.04741882399</v>
      </c>
      <c r="I166" s="21">
        <f t="shared" si="4"/>
        <v>59.282396855996922</v>
      </c>
      <c r="J166" s="21">
        <f t="shared" si="5"/>
        <v>63.446565645048395</v>
      </c>
    </row>
    <row r="167" spans="1:10" hidden="1">
      <c r="A167" t="s">
        <v>169</v>
      </c>
      <c r="B167" t="s">
        <v>171</v>
      </c>
      <c r="C167" s="18">
        <v>2048</v>
      </c>
      <c r="D167" t="s">
        <v>188</v>
      </c>
      <c r="E167" s="9">
        <v>795726.70662726799</v>
      </c>
      <c r="F167" s="9">
        <v>491266.24735545699</v>
      </c>
      <c r="G167" s="9">
        <v>795796.81940173404</v>
      </c>
      <c r="H167" s="9">
        <v>491307.70932856598</v>
      </c>
      <c r="I167" s="21">
        <f t="shared" si="4"/>
        <v>41.461973108991515</v>
      </c>
      <c r="J167" s="21">
        <f t="shared" si="5"/>
        <v>70.112774466047995</v>
      </c>
    </row>
    <row r="168" spans="1:10" hidden="1">
      <c r="A168" t="s">
        <v>169</v>
      </c>
      <c r="B168" t="s">
        <v>171</v>
      </c>
      <c r="C168" s="18">
        <v>2048</v>
      </c>
      <c r="D168" t="s">
        <v>191</v>
      </c>
      <c r="E168" s="9">
        <v>394216.179852075</v>
      </c>
      <c r="F168" s="9">
        <v>211147.24058687</v>
      </c>
      <c r="G168" s="9">
        <v>394306.23400907399</v>
      </c>
      <c r="H168" s="9">
        <v>211189.299415093</v>
      </c>
      <c r="I168" s="21">
        <f t="shared" si="4"/>
        <v>42.05882822300191</v>
      </c>
      <c r="J168" s="21">
        <f t="shared" si="5"/>
        <v>90.05415699898731</v>
      </c>
    </row>
    <row r="169" spans="1:10" hidden="1">
      <c r="A169" t="s">
        <v>169</v>
      </c>
      <c r="B169" t="s">
        <v>171</v>
      </c>
      <c r="C169" s="18">
        <v>2048</v>
      </c>
      <c r="D169" t="s">
        <v>422</v>
      </c>
      <c r="E169" s="9">
        <v>34278.8638610665</v>
      </c>
      <c r="F169" s="9">
        <v>2112.6617696752901</v>
      </c>
      <c r="G169" s="9">
        <v>34278.863496812097</v>
      </c>
      <c r="H169" s="9">
        <v>2112.6617453372501</v>
      </c>
      <c r="I169" s="21">
        <f t="shared" si="4"/>
        <v>-2.4338040020666085E-5</v>
      </c>
      <c r="J169" s="21">
        <f t="shared" si="5"/>
        <v>-3.6425440339371562E-4</v>
      </c>
    </row>
    <row r="170" spans="1:10" hidden="1">
      <c r="A170" t="s">
        <v>169</v>
      </c>
      <c r="B170" t="s">
        <v>171</v>
      </c>
      <c r="C170" s="18">
        <v>2049</v>
      </c>
      <c r="D170" t="s">
        <v>174</v>
      </c>
      <c r="E170" s="9">
        <v>25983.311017531501</v>
      </c>
      <c r="F170" s="9">
        <v>17404.4077243869</v>
      </c>
      <c r="G170" s="9">
        <v>25986.5373789525</v>
      </c>
      <c r="H170" s="9">
        <v>17406.659114093502</v>
      </c>
      <c r="I170" s="21">
        <f t="shared" si="4"/>
        <v>2.2513897066019126</v>
      </c>
      <c r="J170" s="21">
        <f t="shared" si="5"/>
        <v>3.2263614209987281</v>
      </c>
    </row>
    <row r="171" spans="1:10" hidden="1">
      <c r="A171" t="s">
        <v>169</v>
      </c>
      <c r="B171" t="s">
        <v>171</v>
      </c>
      <c r="C171" s="18">
        <v>2049</v>
      </c>
      <c r="D171" t="s">
        <v>236</v>
      </c>
      <c r="E171" s="9">
        <v>1290703.98344747</v>
      </c>
      <c r="F171" s="9">
        <v>321742.91854045697</v>
      </c>
      <c r="G171" s="9">
        <v>1290687.53512959</v>
      </c>
      <c r="H171" s="9">
        <v>321740.50114880601</v>
      </c>
      <c r="I171" s="21">
        <f t="shared" si="4"/>
        <v>-2.4173916509607807</v>
      </c>
      <c r="J171" s="21">
        <f t="shared" si="5"/>
        <v>-16.44831788004376</v>
      </c>
    </row>
    <row r="172" spans="1:10" hidden="1">
      <c r="A172" t="s">
        <v>169</v>
      </c>
      <c r="B172" t="s">
        <v>171</v>
      </c>
      <c r="C172" s="18">
        <v>2049</v>
      </c>
      <c r="D172" t="s">
        <v>182</v>
      </c>
      <c r="E172" s="9">
        <v>147822.692925554</v>
      </c>
      <c r="F172" s="9">
        <v>94508.389148768503</v>
      </c>
      <c r="G172" s="9">
        <v>147882.09983734801</v>
      </c>
      <c r="H172" s="9">
        <v>94546.865675552195</v>
      </c>
      <c r="I172" s="21">
        <f t="shared" si="4"/>
        <v>38.476526783691952</v>
      </c>
      <c r="J172" s="21">
        <f t="shared" si="5"/>
        <v>59.40691179400892</v>
      </c>
    </row>
    <row r="173" spans="1:10" hidden="1">
      <c r="A173" t="s">
        <v>169</v>
      </c>
      <c r="B173" t="s">
        <v>171</v>
      </c>
      <c r="C173" s="18">
        <v>2049</v>
      </c>
      <c r="D173" t="s">
        <v>185</v>
      </c>
      <c r="E173" s="9">
        <v>266940.56649552402</v>
      </c>
      <c r="F173" s="9">
        <v>253046.46160103599</v>
      </c>
      <c r="G173" s="9">
        <v>267003.55015502701</v>
      </c>
      <c r="H173" s="9">
        <v>253105.506935702</v>
      </c>
      <c r="I173" s="21">
        <f t="shared" si="4"/>
        <v>59.045334666006966</v>
      </c>
      <c r="J173" s="21">
        <f t="shared" si="5"/>
        <v>62.983659502991941</v>
      </c>
    </row>
    <row r="174" spans="1:10" hidden="1">
      <c r="A174" t="s">
        <v>169</v>
      </c>
      <c r="B174" t="s">
        <v>171</v>
      </c>
      <c r="C174" s="18">
        <v>2049</v>
      </c>
      <c r="D174" t="s">
        <v>188</v>
      </c>
      <c r="E174" s="9">
        <v>801527.008837539</v>
      </c>
      <c r="F174" s="9">
        <v>497968.53997557302</v>
      </c>
      <c r="G174" s="9">
        <v>801596.85366425803</v>
      </c>
      <c r="H174" s="9">
        <v>498010.65152404399</v>
      </c>
      <c r="I174" s="21">
        <f t="shared" si="4"/>
        <v>42.111548470973503</v>
      </c>
      <c r="J174" s="21">
        <f t="shared" si="5"/>
        <v>69.84482671902515</v>
      </c>
    </row>
    <row r="175" spans="1:10" hidden="1">
      <c r="A175" t="s">
        <v>169</v>
      </c>
      <c r="B175" t="s">
        <v>171</v>
      </c>
      <c r="C175" s="18">
        <v>2049</v>
      </c>
      <c r="D175" t="s">
        <v>191</v>
      </c>
      <c r="E175" s="9">
        <v>395968.53072435298</v>
      </c>
      <c r="F175" s="9">
        <v>213537.32913771199</v>
      </c>
      <c r="G175" s="9">
        <v>396058.615955627</v>
      </c>
      <c r="H175" s="9">
        <v>213580.236200068</v>
      </c>
      <c r="I175" s="21">
        <f t="shared" si="4"/>
        <v>42.907062356011011</v>
      </c>
      <c r="J175" s="21">
        <f t="shared" si="5"/>
        <v>90.085231274017133</v>
      </c>
    </row>
    <row r="176" spans="1:10" hidden="1">
      <c r="A176" t="s">
        <v>169</v>
      </c>
      <c r="B176" t="s">
        <v>171</v>
      </c>
      <c r="C176" s="18">
        <v>2049</v>
      </c>
      <c r="D176" t="s">
        <v>422</v>
      </c>
      <c r="E176" s="9">
        <v>34087.762969354299</v>
      </c>
      <c r="F176" s="9">
        <v>1998.5922520547001</v>
      </c>
      <c r="G176" s="9">
        <v>34087.762706701098</v>
      </c>
      <c r="H176" s="9">
        <v>1998.5922336333499</v>
      </c>
      <c r="I176" s="21">
        <f t="shared" si="4"/>
        <v>-1.842135020524438E-5</v>
      </c>
      <c r="J176" s="21">
        <f t="shared" si="5"/>
        <v>-2.6265320047968999E-4</v>
      </c>
    </row>
    <row r="177" spans="1:10" hidden="1">
      <c r="A177" t="s">
        <v>169</v>
      </c>
      <c r="B177" t="s">
        <v>171</v>
      </c>
      <c r="C177" s="18">
        <v>2050</v>
      </c>
      <c r="D177" t="s">
        <v>174</v>
      </c>
      <c r="E177" s="9">
        <v>26686.847492781599</v>
      </c>
      <c r="F177" s="9">
        <v>17826.3566570564</v>
      </c>
      <c r="G177" s="9">
        <v>26690.1101954068</v>
      </c>
      <c r="H177" s="9">
        <v>17828.637482456001</v>
      </c>
      <c r="I177" s="21">
        <f t="shared" si="4"/>
        <v>2.2808253996008716</v>
      </c>
      <c r="J177" s="21">
        <f t="shared" si="5"/>
        <v>3.2627026252012001</v>
      </c>
    </row>
    <row r="178" spans="1:10" hidden="1">
      <c r="A178" t="s">
        <v>169</v>
      </c>
      <c r="B178" t="s">
        <v>171</v>
      </c>
      <c r="C178" s="18">
        <v>2050</v>
      </c>
      <c r="D178" t="s">
        <v>236</v>
      </c>
      <c r="E178" s="9">
        <v>1297815.41210925</v>
      </c>
      <c r="F178" s="9">
        <v>328736.71273978002</v>
      </c>
      <c r="G178" s="9">
        <v>1297798.19122542</v>
      </c>
      <c r="H178" s="9">
        <v>328734.06146541203</v>
      </c>
      <c r="I178" s="21">
        <f t="shared" si="4"/>
        <v>-2.6512743679923005</v>
      </c>
      <c r="J178" s="21">
        <f t="shared" si="5"/>
        <v>-17.220883829984814</v>
      </c>
    </row>
    <row r="179" spans="1:10" hidden="1">
      <c r="A179" t="s">
        <v>169</v>
      </c>
      <c r="B179" t="s">
        <v>171</v>
      </c>
      <c r="C179" s="18">
        <v>2050</v>
      </c>
      <c r="D179" t="s">
        <v>182</v>
      </c>
      <c r="E179" s="9">
        <v>149489.96366228201</v>
      </c>
      <c r="F179" s="9">
        <v>95587.075344157201</v>
      </c>
      <c r="G179" s="9">
        <v>149549.878981469</v>
      </c>
      <c r="H179" s="9">
        <v>95625.943969428394</v>
      </c>
      <c r="I179" s="21">
        <f t="shared" si="4"/>
        <v>38.868625271192286</v>
      </c>
      <c r="J179" s="21">
        <f t="shared" si="5"/>
        <v>59.915319186984561</v>
      </c>
    </row>
    <row r="180" spans="1:10" hidden="1">
      <c r="A180" t="s">
        <v>169</v>
      </c>
      <c r="B180" t="s">
        <v>171</v>
      </c>
      <c r="C180" s="18">
        <v>2050</v>
      </c>
      <c r="D180" t="s">
        <v>185</v>
      </c>
      <c r="E180" s="9">
        <v>265968.92955254798</v>
      </c>
      <c r="F180" s="9">
        <v>252100.16124645801</v>
      </c>
      <c r="G180" s="9">
        <v>266031.496410964</v>
      </c>
      <c r="H180" s="9">
        <v>252158.93315896901</v>
      </c>
      <c r="I180" s="21">
        <f t="shared" si="4"/>
        <v>58.771912511001574</v>
      </c>
      <c r="J180" s="21">
        <f t="shared" si="5"/>
        <v>62.566858416015748</v>
      </c>
    </row>
    <row r="181" spans="1:10" hidden="1">
      <c r="A181" t="s">
        <v>169</v>
      </c>
      <c r="B181" t="s">
        <v>171</v>
      </c>
      <c r="C181" s="18">
        <v>2050</v>
      </c>
      <c r="D181" t="s">
        <v>188</v>
      </c>
      <c r="E181" s="9">
        <v>808948.95479899703</v>
      </c>
      <c r="F181" s="9">
        <v>504046.73135482601</v>
      </c>
      <c r="G181" s="9">
        <v>809018.72253896797</v>
      </c>
      <c r="H181" s="9">
        <v>504089.42679186398</v>
      </c>
      <c r="I181" s="21">
        <f t="shared" si="4"/>
        <v>42.695437037968077</v>
      </c>
      <c r="J181" s="21">
        <f t="shared" si="5"/>
        <v>69.767739970935509</v>
      </c>
    </row>
    <row r="182" spans="1:10" hidden="1">
      <c r="A182" t="s">
        <v>169</v>
      </c>
      <c r="B182" t="s">
        <v>171</v>
      </c>
      <c r="C182" s="18">
        <v>2050</v>
      </c>
      <c r="D182" t="s">
        <v>191</v>
      </c>
      <c r="E182" s="9">
        <v>398469.70483444299</v>
      </c>
      <c r="F182" s="9">
        <v>215527.04004093501</v>
      </c>
      <c r="G182" s="9">
        <v>398560.03791860503</v>
      </c>
      <c r="H182" s="9">
        <v>215570.73744048199</v>
      </c>
      <c r="I182" s="21">
        <f t="shared" si="4"/>
        <v>43.697399546974339</v>
      </c>
      <c r="J182" s="21">
        <f t="shared" si="5"/>
        <v>90.333084162033629</v>
      </c>
    </row>
    <row r="183" spans="1:10" hidden="1">
      <c r="A183" t="s">
        <v>169</v>
      </c>
      <c r="B183" t="s">
        <v>171</v>
      </c>
      <c r="C183" s="18">
        <v>2050</v>
      </c>
      <c r="D183" t="s">
        <v>422</v>
      </c>
      <c r="E183" s="9">
        <v>33926.479303653898</v>
      </c>
      <c r="F183" s="9">
        <v>1888.51502108876</v>
      </c>
      <c r="G183" s="9">
        <v>33926.479042696701</v>
      </c>
      <c r="H183" s="9">
        <v>1888.5150098655699</v>
      </c>
      <c r="I183" s="21">
        <f t="shared" si="4"/>
        <v>-1.1223190085729584E-5</v>
      </c>
      <c r="J183" s="21">
        <f t="shared" si="5"/>
        <v>-2.6095719658769667E-4</v>
      </c>
    </row>
    <row r="184" spans="1:10" hidden="1">
      <c r="A184" t="s">
        <v>192</v>
      </c>
      <c r="B184" t="s">
        <v>194</v>
      </c>
      <c r="C184" s="18">
        <v>2025</v>
      </c>
      <c r="D184" t="s">
        <v>174</v>
      </c>
      <c r="E184" s="9">
        <v>12176.1707137429</v>
      </c>
      <c r="F184" s="9">
        <v>8959.2701472679</v>
      </c>
      <c r="G184" s="9">
        <v>12176.1707137429</v>
      </c>
      <c r="H184" s="9">
        <v>8959.2701472679</v>
      </c>
      <c r="I184" s="21">
        <f t="shared" si="4"/>
        <v>0</v>
      </c>
      <c r="J184" s="21">
        <f t="shared" si="5"/>
        <v>0</v>
      </c>
    </row>
    <row r="185" spans="1:10" hidden="1">
      <c r="A185" t="s">
        <v>192</v>
      </c>
      <c r="B185" t="s">
        <v>194</v>
      </c>
      <c r="C185" s="18">
        <v>2025</v>
      </c>
      <c r="D185" t="s">
        <v>236</v>
      </c>
      <c r="E185" s="9">
        <v>1026758.5711338</v>
      </c>
      <c r="F185" s="9">
        <v>129383.32321031499</v>
      </c>
      <c r="G185" s="9">
        <v>1026758.5711338</v>
      </c>
      <c r="H185" s="9">
        <v>129383.32321031499</v>
      </c>
      <c r="I185" s="21">
        <f t="shared" si="4"/>
        <v>0</v>
      </c>
      <c r="J185" s="21">
        <f t="shared" si="5"/>
        <v>0</v>
      </c>
    </row>
    <row r="186" spans="1:10" hidden="1">
      <c r="A186" t="s">
        <v>192</v>
      </c>
      <c r="B186" t="s">
        <v>194</v>
      </c>
      <c r="C186" s="18">
        <v>2025</v>
      </c>
      <c r="D186" t="s">
        <v>182</v>
      </c>
      <c r="E186" s="9">
        <v>115291.15986546699</v>
      </c>
      <c r="F186" s="9">
        <v>67656.558989495796</v>
      </c>
      <c r="G186" s="9">
        <v>115291.15986546699</v>
      </c>
      <c r="H186" s="9">
        <v>67656.558989495796</v>
      </c>
      <c r="I186" s="21">
        <f t="shared" si="4"/>
        <v>0</v>
      </c>
      <c r="J186" s="21">
        <f t="shared" si="5"/>
        <v>0</v>
      </c>
    </row>
    <row r="187" spans="1:10" hidden="1">
      <c r="A187" t="s">
        <v>192</v>
      </c>
      <c r="B187" t="s">
        <v>194</v>
      </c>
      <c r="C187" s="18">
        <v>2025</v>
      </c>
      <c r="D187" t="s">
        <v>185</v>
      </c>
      <c r="E187" s="9">
        <v>281662.55341658002</v>
      </c>
      <c r="F187" s="9">
        <v>263295.70058044</v>
      </c>
      <c r="G187" s="9">
        <v>281662.55341658002</v>
      </c>
      <c r="H187" s="9">
        <v>263295.70058044</v>
      </c>
      <c r="I187" s="21">
        <f t="shared" si="4"/>
        <v>0</v>
      </c>
      <c r="J187" s="21">
        <f t="shared" si="5"/>
        <v>0</v>
      </c>
    </row>
    <row r="188" spans="1:10" hidden="1">
      <c r="A188" t="s">
        <v>192</v>
      </c>
      <c r="B188" t="s">
        <v>194</v>
      </c>
      <c r="C188" s="18">
        <v>2025</v>
      </c>
      <c r="D188" t="s">
        <v>188</v>
      </c>
      <c r="E188" s="9">
        <v>612171.634776233</v>
      </c>
      <c r="F188" s="9">
        <v>335724.86979376699</v>
      </c>
      <c r="G188" s="9">
        <v>612171.634776233</v>
      </c>
      <c r="H188" s="9">
        <v>335724.86979376699</v>
      </c>
      <c r="I188" s="21">
        <f t="shared" si="4"/>
        <v>0</v>
      </c>
      <c r="J188" s="21">
        <f t="shared" si="5"/>
        <v>0</v>
      </c>
    </row>
    <row r="189" spans="1:10" hidden="1">
      <c r="A189" t="s">
        <v>192</v>
      </c>
      <c r="B189" t="s">
        <v>194</v>
      </c>
      <c r="C189" s="18">
        <v>2025</v>
      </c>
      <c r="D189" t="s">
        <v>191</v>
      </c>
      <c r="E189" s="9">
        <v>339642.13012673298</v>
      </c>
      <c r="F189" s="9">
        <v>190841.880003208</v>
      </c>
      <c r="G189" s="9">
        <v>339642.13012673298</v>
      </c>
      <c r="H189" s="9">
        <v>190841.880003208</v>
      </c>
      <c r="I189" s="21">
        <f t="shared" si="4"/>
        <v>0</v>
      </c>
      <c r="J189" s="21">
        <f t="shared" si="5"/>
        <v>0</v>
      </c>
    </row>
    <row r="190" spans="1:10" hidden="1">
      <c r="A190" t="s">
        <v>192</v>
      </c>
      <c r="B190" t="s">
        <v>194</v>
      </c>
      <c r="C190" s="18">
        <v>2025</v>
      </c>
      <c r="D190" t="s">
        <v>422</v>
      </c>
      <c r="E190" s="9">
        <v>39660.836547407802</v>
      </c>
      <c r="F190" s="9">
        <v>5303.4223017440199</v>
      </c>
      <c r="G190" s="9">
        <v>39660.836547407802</v>
      </c>
      <c r="H190" s="9">
        <v>5303.4223017440199</v>
      </c>
      <c r="I190" s="21">
        <f t="shared" si="4"/>
        <v>0</v>
      </c>
      <c r="J190" s="21">
        <f t="shared" si="5"/>
        <v>0</v>
      </c>
    </row>
    <row r="191" spans="1:10" hidden="1">
      <c r="A191" t="s">
        <v>192</v>
      </c>
      <c r="B191" t="s">
        <v>194</v>
      </c>
      <c r="C191" s="18">
        <v>2026</v>
      </c>
      <c r="D191" t="s">
        <v>174</v>
      </c>
      <c r="E191" s="9">
        <v>12568.560002210401</v>
      </c>
      <c r="F191" s="9">
        <v>9271.1333627081003</v>
      </c>
      <c r="G191" s="9">
        <v>12568.9386470114</v>
      </c>
      <c r="H191" s="9">
        <v>9271.1333627081003</v>
      </c>
      <c r="I191" s="21">
        <f t="shared" si="4"/>
        <v>0</v>
      </c>
      <c r="J191" s="21">
        <f t="shared" si="5"/>
        <v>0.37864480099960929</v>
      </c>
    </row>
    <row r="192" spans="1:10" hidden="1">
      <c r="A192" t="s">
        <v>192</v>
      </c>
      <c r="B192" t="s">
        <v>194</v>
      </c>
      <c r="C192" s="18">
        <v>2026</v>
      </c>
      <c r="D192" t="s">
        <v>236</v>
      </c>
      <c r="E192" s="9">
        <v>1042135.18581351</v>
      </c>
      <c r="F192" s="9">
        <v>137145.82895878801</v>
      </c>
      <c r="G192" s="9">
        <v>1042135.18581351</v>
      </c>
      <c r="H192" s="9">
        <v>137145.82895878801</v>
      </c>
      <c r="I192" s="21">
        <f t="shared" si="4"/>
        <v>0</v>
      </c>
      <c r="J192" s="21">
        <f t="shared" si="5"/>
        <v>0</v>
      </c>
    </row>
    <row r="193" spans="1:10" hidden="1">
      <c r="A193" t="s">
        <v>192</v>
      </c>
      <c r="B193" t="s">
        <v>194</v>
      </c>
      <c r="C193" s="18">
        <v>2026</v>
      </c>
      <c r="D193" t="s">
        <v>182</v>
      </c>
      <c r="E193" s="9">
        <v>114698.84311959</v>
      </c>
      <c r="F193" s="9">
        <v>70326.603453519798</v>
      </c>
      <c r="G193" s="9">
        <v>114707.986926294</v>
      </c>
      <c r="H193" s="9">
        <v>70326.603453519798</v>
      </c>
      <c r="I193" s="21">
        <f t="shared" si="4"/>
        <v>0</v>
      </c>
      <c r="J193" s="21">
        <f t="shared" si="5"/>
        <v>9.1438067039998714</v>
      </c>
    </row>
    <row r="194" spans="1:10" hidden="1">
      <c r="A194" t="s">
        <v>192</v>
      </c>
      <c r="B194" t="s">
        <v>194</v>
      </c>
      <c r="C194" s="18">
        <v>2026</v>
      </c>
      <c r="D194" t="s">
        <v>185</v>
      </c>
      <c r="E194" s="9">
        <v>282709.16593250999</v>
      </c>
      <c r="F194" s="9">
        <v>259504.46801133201</v>
      </c>
      <c r="G194" s="9">
        <v>282722.53786088398</v>
      </c>
      <c r="H194" s="9">
        <v>259504.46801133201</v>
      </c>
      <c r="I194" s="21">
        <f t="shared" ref="I194:I257" si="6">H194-F194</f>
        <v>0</v>
      </c>
      <c r="J194" s="21">
        <f t="shared" ref="J194:J257" si="7">G194-E194</f>
        <v>13.371928373991977</v>
      </c>
    </row>
    <row r="195" spans="1:10" hidden="1">
      <c r="A195" t="s">
        <v>192</v>
      </c>
      <c r="B195" t="s">
        <v>194</v>
      </c>
      <c r="C195" s="18">
        <v>2026</v>
      </c>
      <c r="D195" t="s">
        <v>188</v>
      </c>
      <c r="E195" s="9">
        <v>616776.94590829196</v>
      </c>
      <c r="F195" s="9">
        <v>342960.13528186502</v>
      </c>
      <c r="G195" s="9">
        <v>616790.02915575495</v>
      </c>
      <c r="H195" s="9">
        <v>342960.13528186502</v>
      </c>
      <c r="I195" s="21">
        <f t="shared" si="6"/>
        <v>0</v>
      </c>
      <c r="J195" s="21">
        <f t="shared" si="7"/>
        <v>13.083247462986037</v>
      </c>
    </row>
    <row r="196" spans="1:10" hidden="1">
      <c r="A196" t="s">
        <v>192</v>
      </c>
      <c r="B196" t="s">
        <v>194</v>
      </c>
      <c r="C196" s="18">
        <v>2026</v>
      </c>
      <c r="D196" t="s">
        <v>191</v>
      </c>
      <c r="E196" s="9">
        <v>338482.99752686301</v>
      </c>
      <c r="F196" s="9">
        <v>190574.61381884801</v>
      </c>
      <c r="G196" s="9">
        <v>338499.06942160201</v>
      </c>
      <c r="H196" s="9">
        <v>190574.61381884801</v>
      </c>
      <c r="I196" s="21">
        <f t="shared" si="6"/>
        <v>0</v>
      </c>
      <c r="J196" s="21">
        <f t="shared" si="7"/>
        <v>16.071894738997798</v>
      </c>
    </row>
    <row r="197" spans="1:10" hidden="1">
      <c r="A197" t="s">
        <v>192</v>
      </c>
      <c r="B197" t="s">
        <v>194</v>
      </c>
      <c r="C197" s="18">
        <v>2026</v>
      </c>
      <c r="D197" t="s">
        <v>422</v>
      </c>
      <c r="E197" s="9">
        <v>39250.667018004897</v>
      </c>
      <c r="F197" s="9">
        <v>5105.6095547855903</v>
      </c>
      <c r="G197" s="9">
        <v>39250.667018004897</v>
      </c>
      <c r="H197" s="9">
        <v>5105.6095547855903</v>
      </c>
      <c r="I197" s="21">
        <f t="shared" si="6"/>
        <v>0</v>
      </c>
      <c r="J197" s="21">
        <f t="shared" si="7"/>
        <v>0</v>
      </c>
    </row>
    <row r="198" spans="1:10" hidden="1">
      <c r="A198" t="s">
        <v>192</v>
      </c>
      <c r="B198" t="s">
        <v>194</v>
      </c>
      <c r="C198" s="18">
        <v>2027</v>
      </c>
      <c r="D198" t="s">
        <v>174</v>
      </c>
      <c r="E198" s="9">
        <v>12975.319695895399</v>
      </c>
      <c r="F198" s="9">
        <v>9577.4672336479507</v>
      </c>
      <c r="G198" s="9">
        <v>12976.103113363301</v>
      </c>
      <c r="H198" s="9">
        <v>9577.5296548643291</v>
      </c>
      <c r="I198" s="21">
        <f t="shared" si="6"/>
        <v>6.2421216378425015E-2</v>
      </c>
      <c r="J198" s="21">
        <f t="shared" si="7"/>
        <v>0.78341746790101752</v>
      </c>
    </row>
    <row r="199" spans="1:10" hidden="1">
      <c r="A199" t="s">
        <v>192</v>
      </c>
      <c r="B199" t="s">
        <v>194</v>
      </c>
      <c r="C199" s="18">
        <v>2027</v>
      </c>
      <c r="D199" t="s">
        <v>236</v>
      </c>
      <c r="E199" s="9">
        <v>1057148.31873483</v>
      </c>
      <c r="F199" s="9">
        <v>145009.441994705</v>
      </c>
      <c r="G199" s="9">
        <v>1057148.31873483</v>
      </c>
      <c r="H199" s="9">
        <v>145009.441994705</v>
      </c>
      <c r="I199" s="21">
        <f t="shared" si="6"/>
        <v>0</v>
      </c>
      <c r="J199" s="21">
        <f t="shared" si="7"/>
        <v>0</v>
      </c>
    </row>
    <row r="200" spans="1:10" hidden="1">
      <c r="A200" t="s">
        <v>192</v>
      </c>
      <c r="B200" t="s">
        <v>194</v>
      </c>
      <c r="C200" s="18">
        <v>2027</v>
      </c>
      <c r="D200" t="s">
        <v>182</v>
      </c>
      <c r="E200" s="9">
        <v>114134.77341684799</v>
      </c>
      <c r="F200" s="9">
        <v>72288.764858865004</v>
      </c>
      <c r="G200" s="9">
        <v>114152.944165875</v>
      </c>
      <c r="H200" s="9">
        <v>72290.169991209099</v>
      </c>
      <c r="I200" s="21">
        <f t="shared" si="6"/>
        <v>1.4051323440944543</v>
      </c>
      <c r="J200" s="21">
        <f t="shared" si="7"/>
        <v>18.170749027005513</v>
      </c>
    </row>
    <row r="201" spans="1:10" hidden="1">
      <c r="A201" t="s">
        <v>192</v>
      </c>
      <c r="B201" t="s">
        <v>194</v>
      </c>
      <c r="C201" s="18">
        <v>2027</v>
      </c>
      <c r="D201" t="s">
        <v>185</v>
      </c>
      <c r="E201" s="9">
        <v>277851.28318201198</v>
      </c>
      <c r="F201" s="9">
        <v>260324.44654565601</v>
      </c>
      <c r="G201" s="9">
        <v>277877.509454571</v>
      </c>
      <c r="H201" s="9">
        <v>260330.421136777</v>
      </c>
      <c r="I201" s="21">
        <f t="shared" si="6"/>
        <v>5.974591120990226</v>
      </c>
      <c r="J201" s="21">
        <f t="shared" si="7"/>
        <v>26.226272559026256</v>
      </c>
    </row>
    <row r="202" spans="1:10" hidden="1">
      <c r="A202" t="s">
        <v>192</v>
      </c>
      <c r="B202" t="s">
        <v>194</v>
      </c>
      <c r="C202" s="18">
        <v>2027</v>
      </c>
      <c r="D202" t="s">
        <v>188</v>
      </c>
      <c r="E202" s="9">
        <v>621404.650414209</v>
      </c>
      <c r="F202" s="9">
        <v>349404.35518423101</v>
      </c>
      <c r="G202" s="9">
        <v>621430.90280116105</v>
      </c>
      <c r="H202" s="9">
        <v>349405.30073034298</v>
      </c>
      <c r="I202" s="21">
        <f t="shared" si="6"/>
        <v>0.94554611196508631</v>
      </c>
      <c r="J202" s="21">
        <f t="shared" si="7"/>
        <v>26.252386952051893</v>
      </c>
    </row>
    <row r="203" spans="1:10" hidden="1">
      <c r="A203" t="s">
        <v>192</v>
      </c>
      <c r="B203" t="s">
        <v>194</v>
      </c>
      <c r="C203" s="18">
        <v>2027</v>
      </c>
      <c r="D203" t="s">
        <v>191</v>
      </c>
      <c r="E203" s="9">
        <v>337367.00613925501</v>
      </c>
      <c r="F203" s="9">
        <v>189029.65058353299</v>
      </c>
      <c r="G203" s="9">
        <v>337398.94907172298</v>
      </c>
      <c r="H203" s="9">
        <v>189031.10044551201</v>
      </c>
      <c r="I203" s="21">
        <f t="shared" si="6"/>
        <v>1.4498619790247176</v>
      </c>
      <c r="J203" s="21">
        <f t="shared" si="7"/>
        <v>31.942932467965875</v>
      </c>
    </row>
    <row r="204" spans="1:10" hidden="1">
      <c r="A204" t="s">
        <v>192</v>
      </c>
      <c r="B204" t="s">
        <v>194</v>
      </c>
      <c r="C204" s="18">
        <v>2027</v>
      </c>
      <c r="D204" t="s">
        <v>422</v>
      </c>
      <c r="E204" s="9">
        <v>38773.627186343103</v>
      </c>
      <c r="F204" s="9">
        <v>4921.4971535538998</v>
      </c>
      <c r="G204" s="9">
        <v>38773.627186343103</v>
      </c>
      <c r="H204" s="9">
        <v>4921.4971535538998</v>
      </c>
      <c r="I204" s="21">
        <f t="shared" si="6"/>
        <v>0</v>
      </c>
      <c r="J204" s="21">
        <f t="shared" si="7"/>
        <v>0</v>
      </c>
    </row>
    <row r="205" spans="1:10" hidden="1">
      <c r="A205" t="s">
        <v>192</v>
      </c>
      <c r="B205" t="s">
        <v>194</v>
      </c>
      <c r="C205" s="18">
        <v>2028</v>
      </c>
      <c r="D205" t="s">
        <v>174</v>
      </c>
      <c r="E205" s="9">
        <v>13393.463112244601</v>
      </c>
      <c r="F205" s="9">
        <v>9881.7449437921296</v>
      </c>
      <c r="G205" s="9">
        <v>13394.6739315754</v>
      </c>
      <c r="H205" s="9">
        <v>9881.9220189252792</v>
      </c>
      <c r="I205" s="21">
        <f t="shared" si="6"/>
        <v>0.17707513314962853</v>
      </c>
      <c r="J205" s="21">
        <f t="shared" si="7"/>
        <v>1.2108193307994952</v>
      </c>
    </row>
    <row r="206" spans="1:10" hidden="1">
      <c r="A206" t="s">
        <v>192</v>
      </c>
      <c r="B206" t="s">
        <v>194</v>
      </c>
      <c r="C206" s="18">
        <v>2028</v>
      </c>
      <c r="D206" t="s">
        <v>236</v>
      </c>
      <c r="E206" s="9">
        <v>1071826.1986865699</v>
      </c>
      <c r="F206" s="9">
        <v>152971.72938899801</v>
      </c>
      <c r="G206" s="9">
        <v>1071826.1250559301</v>
      </c>
      <c r="H206" s="9">
        <v>152971.72938899801</v>
      </c>
      <c r="I206" s="21">
        <f t="shared" si="6"/>
        <v>0</v>
      </c>
      <c r="J206" s="21">
        <f t="shared" si="7"/>
        <v>-7.363063981756568E-2</v>
      </c>
    </row>
    <row r="207" spans="1:10" hidden="1">
      <c r="A207" t="s">
        <v>192</v>
      </c>
      <c r="B207" t="s">
        <v>194</v>
      </c>
      <c r="C207" s="18">
        <v>2028</v>
      </c>
      <c r="D207" t="s">
        <v>182</v>
      </c>
      <c r="E207" s="9">
        <v>114111.938159917</v>
      </c>
      <c r="F207" s="9">
        <v>73843.033962069094</v>
      </c>
      <c r="G207" s="9">
        <v>114139.12292486199</v>
      </c>
      <c r="H207" s="9">
        <v>73846.874209439702</v>
      </c>
      <c r="I207" s="21">
        <f t="shared" si="6"/>
        <v>3.8402473706082674</v>
      </c>
      <c r="J207" s="21">
        <f t="shared" si="7"/>
        <v>27.184764944991912</v>
      </c>
    </row>
    <row r="208" spans="1:10" hidden="1">
      <c r="A208" t="s">
        <v>192</v>
      </c>
      <c r="B208" t="s">
        <v>194</v>
      </c>
      <c r="C208" s="18">
        <v>2028</v>
      </c>
      <c r="D208" t="s">
        <v>185</v>
      </c>
      <c r="E208" s="9">
        <v>277696.45794685697</v>
      </c>
      <c r="F208" s="9">
        <v>257751.85858932001</v>
      </c>
      <c r="G208" s="9">
        <v>277735.69614120398</v>
      </c>
      <c r="H208" s="9">
        <v>257765.32327170501</v>
      </c>
      <c r="I208" s="21">
        <f t="shared" si="6"/>
        <v>13.46468238500529</v>
      </c>
      <c r="J208" s="21">
        <f t="shared" si="7"/>
        <v>39.238194347009994</v>
      </c>
    </row>
    <row r="209" spans="1:10" hidden="1">
      <c r="A209" t="s">
        <v>192</v>
      </c>
      <c r="B209" t="s">
        <v>194</v>
      </c>
      <c r="C209" s="18">
        <v>2028</v>
      </c>
      <c r="D209" t="s">
        <v>188</v>
      </c>
      <c r="E209" s="9">
        <v>627684.32977359497</v>
      </c>
      <c r="F209" s="9">
        <v>356156.58062781102</v>
      </c>
      <c r="G209" s="9">
        <v>627723.84415529598</v>
      </c>
      <c r="H209" s="9">
        <v>356159.25290604099</v>
      </c>
      <c r="I209" s="21">
        <f t="shared" si="6"/>
        <v>2.6722782299621031</v>
      </c>
      <c r="J209" s="21">
        <f t="shared" si="7"/>
        <v>39.514381701010279</v>
      </c>
    </row>
    <row r="210" spans="1:10" hidden="1">
      <c r="A210" t="s">
        <v>192</v>
      </c>
      <c r="B210" t="s">
        <v>194</v>
      </c>
      <c r="C210" s="18">
        <v>2028</v>
      </c>
      <c r="D210" t="s">
        <v>191</v>
      </c>
      <c r="E210" s="9">
        <v>337466.94683684403</v>
      </c>
      <c r="F210" s="9">
        <v>187112.88952848999</v>
      </c>
      <c r="G210" s="9">
        <v>337514.695524676</v>
      </c>
      <c r="H210" s="9">
        <v>187116.63987946699</v>
      </c>
      <c r="I210" s="21">
        <f t="shared" si="6"/>
        <v>3.7503509770031087</v>
      </c>
      <c r="J210" s="21">
        <f t="shared" si="7"/>
        <v>47.748687831975985</v>
      </c>
    </row>
    <row r="211" spans="1:10" hidden="1">
      <c r="A211" t="s">
        <v>192</v>
      </c>
      <c r="B211" t="s">
        <v>194</v>
      </c>
      <c r="C211" s="18">
        <v>2028</v>
      </c>
      <c r="D211" t="s">
        <v>422</v>
      </c>
      <c r="E211" s="9">
        <v>38149.291676485504</v>
      </c>
      <c r="F211" s="9">
        <v>4742.0855729783398</v>
      </c>
      <c r="G211" s="9">
        <v>38149.291579231904</v>
      </c>
      <c r="H211" s="9">
        <v>4742.0855729783398</v>
      </c>
      <c r="I211" s="21">
        <f t="shared" si="6"/>
        <v>0</v>
      </c>
      <c r="J211" s="21">
        <f t="shared" si="7"/>
        <v>-9.7253599960822612E-5</v>
      </c>
    </row>
    <row r="212" spans="1:10" hidden="1">
      <c r="A212" t="s">
        <v>192</v>
      </c>
      <c r="B212" t="s">
        <v>194</v>
      </c>
      <c r="C212" s="18">
        <v>2029</v>
      </c>
      <c r="D212" t="s">
        <v>174</v>
      </c>
      <c r="E212" s="9">
        <v>13828.3870495669</v>
      </c>
      <c r="F212" s="9">
        <v>10188.0586117944</v>
      </c>
      <c r="G212" s="9">
        <v>13830.048598278099</v>
      </c>
      <c r="H212" s="9">
        <v>10188.394886280999</v>
      </c>
      <c r="I212" s="21">
        <f t="shared" si="6"/>
        <v>0.33627448659899528</v>
      </c>
      <c r="J212" s="21">
        <f t="shared" si="7"/>
        <v>1.6615487111994298</v>
      </c>
    </row>
    <row r="213" spans="1:10" hidden="1">
      <c r="A213" t="s">
        <v>192</v>
      </c>
      <c r="B213" t="s">
        <v>194</v>
      </c>
      <c r="C213" s="18">
        <v>2029</v>
      </c>
      <c r="D213" t="s">
        <v>236</v>
      </c>
      <c r="E213" s="9">
        <v>1086200.7523671601</v>
      </c>
      <c r="F213" s="9">
        <v>161038.22945101099</v>
      </c>
      <c r="G213" s="9">
        <v>1086200.5009906101</v>
      </c>
      <c r="H213" s="9">
        <v>161038.22768731901</v>
      </c>
      <c r="I213" s="21">
        <f t="shared" si="6"/>
        <v>-1.7636919801589102E-3</v>
      </c>
      <c r="J213" s="21">
        <f t="shared" si="7"/>
        <v>-0.25137654994614422</v>
      </c>
    </row>
    <row r="214" spans="1:10" hidden="1">
      <c r="A214" t="s">
        <v>192</v>
      </c>
      <c r="B214" t="s">
        <v>194</v>
      </c>
      <c r="C214" s="18">
        <v>2029</v>
      </c>
      <c r="D214" t="s">
        <v>182</v>
      </c>
      <c r="E214" s="9">
        <v>114012.03221090999</v>
      </c>
      <c r="F214" s="9">
        <v>75445.158972709003</v>
      </c>
      <c r="G214" s="9">
        <v>114048.15533588199</v>
      </c>
      <c r="H214" s="9">
        <v>75452.222577591499</v>
      </c>
      <c r="I214" s="21">
        <f t="shared" si="6"/>
        <v>7.0636048824962927</v>
      </c>
      <c r="J214" s="21">
        <f t="shared" si="7"/>
        <v>36.123124972000369</v>
      </c>
    </row>
    <row r="215" spans="1:10" hidden="1">
      <c r="A215" t="s">
        <v>192</v>
      </c>
      <c r="B215" t="s">
        <v>194</v>
      </c>
      <c r="C215" s="18">
        <v>2029</v>
      </c>
      <c r="D215" t="s">
        <v>185</v>
      </c>
      <c r="E215" s="9">
        <v>275769.25079807901</v>
      </c>
      <c r="F215" s="9">
        <v>258312.191794844</v>
      </c>
      <c r="G215" s="9">
        <v>275821.08299242798</v>
      </c>
      <c r="H215" s="9">
        <v>258334.31739486201</v>
      </c>
      <c r="I215" s="21">
        <f t="shared" si="6"/>
        <v>22.125600018014666</v>
      </c>
      <c r="J215" s="21">
        <f t="shared" si="7"/>
        <v>51.832194348971825</v>
      </c>
    </row>
    <row r="216" spans="1:10" hidden="1">
      <c r="A216" t="s">
        <v>192</v>
      </c>
      <c r="B216" t="s">
        <v>194</v>
      </c>
      <c r="C216" s="18">
        <v>2029</v>
      </c>
      <c r="D216" t="s">
        <v>188</v>
      </c>
      <c r="E216" s="9">
        <v>630726.80422547203</v>
      </c>
      <c r="F216" s="9">
        <v>363887.19685990101</v>
      </c>
      <c r="G216" s="9">
        <v>630779.36998507904</v>
      </c>
      <c r="H216" s="9">
        <v>363892.26827992598</v>
      </c>
      <c r="I216" s="21">
        <f t="shared" si="6"/>
        <v>5.0714200249640271</v>
      </c>
      <c r="J216" s="21">
        <f t="shared" si="7"/>
        <v>52.565759607008658</v>
      </c>
    </row>
    <row r="217" spans="1:10" hidden="1">
      <c r="A217" t="s">
        <v>192</v>
      </c>
      <c r="B217" t="s">
        <v>194</v>
      </c>
      <c r="C217" s="18">
        <v>2029</v>
      </c>
      <c r="D217" t="s">
        <v>191</v>
      </c>
      <c r="E217" s="9">
        <v>335858.194112372</v>
      </c>
      <c r="F217" s="9">
        <v>186814.931918635</v>
      </c>
      <c r="G217" s="9">
        <v>335921.29283179599</v>
      </c>
      <c r="H217" s="9">
        <v>186821.56008749199</v>
      </c>
      <c r="I217" s="21">
        <f t="shared" si="6"/>
        <v>6.6281688569870312</v>
      </c>
      <c r="J217" s="21">
        <f t="shared" si="7"/>
        <v>63.09871942398604</v>
      </c>
    </row>
    <row r="218" spans="1:10" hidden="1">
      <c r="A218" t="s">
        <v>192</v>
      </c>
      <c r="B218" t="s">
        <v>194</v>
      </c>
      <c r="C218" s="18">
        <v>2029</v>
      </c>
      <c r="D218" t="s">
        <v>422</v>
      </c>
      <c r="E218" s="9">
        <v>37777.467472747499</v>
      </c>
      <c r="F218" s="9">
        <v>4604.0681552960305</v>
      </c>
      <c r="G218" s="9">
        <v>37777.467218977603</v>
      </c>
      <c r="H218" s="9">
        <v>4604.0681483163899</v>
      </c>
      <c r="I218" s="21">
        <f t="shared" si="6"/>
        <v>-6.9796406023669988E-6</v>
      </c>
      <c r="J218" s="21">
        <f t="shared" si="7"/>
        <v>-2.5376989651704207E-4</v>
      </c>
    </row>
    <row r="219" spans="1:10" hidden="1">
      <c r="A219" t="s">
        <v>192</v>
      </c>
      <c r="B219" t="s">
        <v>194</v>
      </c>
      <c r="C219" s="18">
        <v>2030</v>
      </c>
      <c r="D219" t="s">
        <v>174</v>
      </c>
      <c r="E219" s="9">
        <v>14279.822892587001</v>
      </c>
      <c r="F219" s="9">
        <v>10499.7520358619</v>
      </c>
      <c r="G219" s="9">
        <v>14281.959039535501</v>
      </c>
      <c r="H219" s="9">
        <v>10500.2867221377</v>
      </c>
      <c r="I219" s="21">
        <f t="shared" si="6"/>
        <v>0.53468627579968597</v>
      </c>
      <c r="J219" s="21">
        <f t="shared" si="7"/>
        <v>2.1361469485000271</v>
      </c>
    </row>
    <row r="220" spans="1:10" hidden="1">
      <c r="A220" t="s">
        <v>192</v>
      </c>
      <c r="B220" t="s">
        <v>194</v>
      </c>
      <c r="C220" s="18">
        <v>2030</v>
      </c>
      <c r="D220" t="s">
        <v>236</v>
      </c>
      <c r="E220" s="9">
        <v>1100192.34259136</v>
      </c>
      <c r="F220" s="9">
        <v>169196.39283304199</v>
      </c>
      <c r="G220" s="9">
        <v>1100191.7865472301</v>
      </c>
      <c r="H220" s="9">
        <v>169196.385350075</v>
      </c>
      <c r="I220" s="21">
        <f t="shared" si="6"/>
        <v>-7.4829669902101159E-3</v>
      </c>
      <c r="J220" s="21">
        <f t="shared" si="7"/>
        <v>-0.55604412988759577</v>
      </c>
    </row>
    <row r="221" spans="1:10" hidden="1">
      <c r="A221" t="s">
        <v>192</v>
      </c>
      <c r="B221" t="s">
        <v>194</v>
      </c>
      <c r="C221" s="18">
        <v>2030</v>
      </c>
      <c r="D221" t="s">
        <v>182</v>
      </c>
      <c r="E221" s="9">
        <v>114736.62274121901</v>
      </c>
      <c r="F221" s="9">
        <v>75993.470783975703</v>
      </c>
      <c r="G221" s="9">
        <v>114781.951575614</v>
      </c>
      <c r="H221" s="9">
        <v>76004.374773711097</v>
      </c>
      <c r="I221" s="21">
        <f t="shared" si="6"/>
        <v>10.903989735394134</v>
      </c>
      <c r="J221" s="21">
        <f t="shared" si="7"/>
        <v>45.328834394997102</v>
      </c>
    </row>
    <row r="222" spans="1:10" hidden="1">
      <c r="A222" t="s">
        <v>192</v>
      </c>
      <c r="B222" t="s">
        <v>194</v>
      </c>
      <c r="C222" s="18">
        <v>2030</v>
      </c>
      <c r="D222" t="s">
        <v>185</v>
      </c>
      <c r="E222" s="9">
        <v>275686.20447058498</v>
      </c>
      <c r="F222" s="9">
        <v>257379.95896134901</v>
      </c>
      <c r="G222" s="9">
        <v>275750.81654950802</v>
      </c>
      <c r="H222" s="9">
        <v>257411.19778715901</v>
      </c>
      <c r="I222" s="21">
        <f t="shared" si="6"/>
        <v>31.238825809996342</v>
      </c>
      <c r="J222" s="21">
        <f t="shared" si="7"/>
        <v>64.61207892303355</v>
      </c>
    </row>
    <row r="223" spans="1:10" hidden="1">
      <c r="A223" t="s">
        <v>192</v>
      </c>
      <c r="B223" t="s">
        <v>194</v>
      </c>
      <c r="C223" s="18">
        <v>2030</v>
      </c>
      <c r="D223" t="s">
        <v>188</v>
      </c>
      <c r="E223" s="9">
        <v>638133.36385859095</v>
      </c>
      <c r="F223" s="9">
        <v>368912.37953081098</v>
      </c>
      <c r="G223" s="9">
        <v>638199.36722691404</v>
      </c>
      <c r="H223" s="9">
        <v>368920.44347907702</v>
      </c>
      <c r="I223" s="21">
        <f t="shared" si="6"/>
        <v>8.0639482660335489</v>
      </c>
      <c r="J223" s="21">
        <f t="shared" si="7"/>
        <v>66.003368323086761</v>
      </c>
    </row>
    <row r="224" spans="1:10" hidden="1">
      <c r="A224" t="s">
        <v>192</v>
      </c>
      <c r="B224" t="s">
        <v>194</v>
      </c>
      <c r="C224" s="18">
        <v>2030</v>
      </c>
      <c r="D224" t="s">
        <v>191</v>
      </c>
      <c r="E224" s="9">
        <v>337296.03885207098</v>
      </c>
      <c r="F224" s="9">
        <v>185432.550772616</v>
      </c>
      <c r="G224" s="9">
        <v>337374.94686633401</v>
      </c>
      <c r="H224" s="9">
        <v>185442.493190957</v>
      </c>
      <c r="I224" s="21">
        <f t="shared" si="6"/>
        <v>9.9424183410010301</v>
      </c>
      <c r="J224" s="21">
        <f t="shared" si="7"/>
        <v>78.908014263026416</v>
      </c>
    </row>
    <row r="225" spans="1:10" hidden="1">
      <c r="A225" t="s">
        <v>192</v>
      </c>
      <c r="B225" t="s">
        <v>194</v>
      </c>
      <c r="C225" s="18">
        <v>2030</v>
      </c>
      <c r="D225" t="s">
        <v>422</v>
      </c>
      <c r="E225" s="9">
        <v>38012.674083184698</v>
      </c>
      <c r="F225" s="9">
        <v>4432.1168751300702</v>
      </c>
      <c r="G225" s="9">
        <v>38012.673637756197</v>
      </c>
      <c r="H225" s="9">
        <v>4432.1168533298996</v>
      </c>
      <c r="I225" s="21">
        <f t="shared" si="6"/>
        <v>-2.1800170543428976E-5</v>
      </c>
      <c r="J225" s="21">
        <f t="shared" si="7"/>
        <v>-4.4542850082507357E-4</v>
      </c>
    </row>
    <row r="226" spans="1:10" hidden="1">
      <c r="A226" t="s">
        <v>192</v>
      </c>
      <c r="B226" t="s">
        <v>194</v>
      </c>
      <c r="C226" s="18">
        <v>2031</v>
      </c>
      <c r="D226" t="s">
        <v>174</v>
      </c>
      <c r="E226" s="9">
        <v>14752.2422978042</v>
      </c>
      <c r="F226" s="9">
        <v>10814.1498868001</v>
      </c>
      <c r="G226" s="9">
        <v>14754.4294987798</v>
      </c>
      <c r="H226" s="9">
        <v>10814.9178976517</v>
      </c>
      <c r="I226" s="21">
        <f t="shared" si="6"/>
        <v>0.76801085159968352</v>
      </c>
      <c r="J226" s="21">
        <f t="shared" si="7"/>
        <v>2.1872009756007174</v>
      </c>
    </row>
    <row r="227" spans="1:10" hidden="1">
      <c r="A227" t="s">
        <v>192</v>
      </c>
      <c r="B227" t="s">
        <v>194</v>
      </c>
      <c r="C227" s="18">
        <v>2031</v>
      </c>
      <c r="D227" t="s">
        <v>236</v>
      </c>
      <c r="E227" s="9">
        <v>1113726.2260314601</v>
      </c>
      <c r="F227" s="9">
        <v>177420.21535522299</v>
      </c>
      <c r="G227" s="9">
        <v>1113725.2263596801</v>
      </c>
      <c r="H227" s="9">
        <v>177420.195676039</v>
      </c>
      <c r="I227" s="21">
        <f t="shared" si="6"/>
        <v>-1.9679183984408155E-2</v>
      </c>
      <c r="J227" s="21">
        <f t="shared" si="7"/>
        <v>-0.999671780038625</v>
      </c>
    </row>
    <row r="228" spans="1:10" hidden="1">
      <c r="A228" t="s">
        <v>192</v>
      </c>
      <c r="B228" t="s">
        <v>194</v>
      </c>
      <c r="C228" s="18">
        <v>2031</v>
      </c>
      <c r="D228" t="s">
        <v>182</v>
      </c>
      <c r="E228" s="9">
        <v>115711.53829739901</v>
      </c>
      <c r="F228" s="9">
        <v>76541.369228589305</v>
      </c>
      <c r="G228" s="9">
        <v>115757.018858842</v>
      </c>
      <c r="H228" s="9">
        <v>76556.628013514899</v>
      </c>
      <c r="I228" s="21">
        <f t="shared" si="6"/>
        <v>15.258784925594227</v>
      </c>
      <c r="J228" s="21">
        <f t="shared" si="7"/>
        <v>45.480561442993348</v>
      </c>
    </row>
    <row r="229" spans="1:10" hidden="1">
      <c r="A229" t="s">
        <v>192</v>
      </c>
      <c r="B229" t="s">
        <v>194</v>
      </c>
      <c r="C229" s="18">
        <v>2031</v>
      </c>
      <c r="D229" t="s">
        <v>185</v>
      </c>
      <c r="E229" s="9">
        <v>274655.73554723198</v>
      </c>
      <c r="F229" s="9">
        <v>257204.06905142899</v>
      </c>
      <c r="G229" s="9">
        <v>274719.77758767002</v>
      </c>
      <c r="H229" s="9">
        <v>257245.00548019301</v>
      </c>
      <c r="I229" s="21">
        <f t="shared" si="6"/>
        <v>40.936428764020093</v>
      </c>
      <c r="J229" s="21">
        <f t="shared" si="7"/>
        <v>64.042040438042022</v>
      </c>
    </row>
    <row r="230" spans="1:10" hidden="1">
      <c r="A230" t="s">
        <v>192</v>
      </c>
      <c r="B230" t="s">
        <v>194</v>
      </c>
      <c r="C230" s="18">
        <v>2031</v>
      </c>
      <c r="D230" t="s">
        <v>188</v>
      </c>
      <c r="E230" s="9">
        <v>646045.05687263596</v>
      </c>
      <c r="F230" s="9">
        <v>374196.11688071099</v>
      </c>
      <c r="G230" s="9">
        <v>646110.86416985898</v>
      </c>
      <c r="H230" s="9">
        <v>374207.72907897399</v>
      </c>
      <c r="I230" s="21">
        <f t="shared" si="6"/>
        <v>11.6121982629993</v>
      </c>
      <c r="J230" s="21">
        <f t="shared" si="7"/>
        <v>65.807297223014757</v>
      </c>
    </row>
    <row r="231" spans="1:10" hidden="1">
      <c r="A231" t="s">
        <v>192</v>
      </c>
      <c r="B231" t="s">
        <v>194</v>
      </c>
      <c r="C231" s="18">
        <v>2031</v>
      </c>
      <c r="D231" t="s">
        <v>191</v>
      </c>
      <c r="E231" s="9">
        <v>339125.78169338801</v>
      </c>
      <c r="F231" s="9">
        <v>184301.870229603</v>
      </c>
      <c r="G231" s="9">
        <v>339204.41915059398</v>
      </c>
      <c r="H231" s="9">
        <v>184315.56237323501</v>
      </c>
      <c r="I231" s="21">
        <f t="shared" si="6"/>
        <v>13.692143632011721</v>
      </c>
      <c r="J231" s="21">
        <f t="shared" si="7"/>
        <v>78.637457205972169</v>
      </c>
    </row>
    <row r="232" spans="1:10" hidden="1">
      <c r="A232" t="s">
        <v>192</v>
      </c>
      <c r="B232" t="s">
        <v>194</v>
      </c>
      <c r="C232" s="18">
        <v>2031</v>
      </c>
      <c r="D232" t="s">
        <v>422</v>
      </c>
      <c r="E232" s="9">
        <v>38191.623763439798</v>
      </c>
      <c r="F232" s="9">
        <v>4274.72733612107</v>
      </c>
      <c r="G232" s="9">
        <v>38191.6231000681</v>
      </c>
      <c r="H232" s="9">
        <v>4274.7272932738097</v>
      </c>
      <c r="I232" s="21">
        <f t="shared" si="6"/>
        <v>-4.284726037440123E-5</v>
      </c>
      <c r="J232" s="21">
        <f t="shared" si="7"/>
        <v>-6.6337169846519828E-4</v>
      </c>
    </row>
    <row r="233" spans="1:10" hidden="1">
      <c r="A233" t="s">
        <v>192</v>
      </c>
      <c r="B233" t="s">
        <v>194</v>
      </c>
      <c r="C233" s="18">
        <v>2032</v>
      </c>
      <c r="D233" t="s">
        <v>174</v>
      </c>
      <c r="E233" s="9">
        <v>15245.535464985</v>
      </c>
      <c r="F233" s="9">
        <v>11131.221674842</v>
      </c>
      <c r="G233" s="9">
        <v>15247.769190462001</v>
      </c>
      <c r="H233" s="9">
        <v>11132.1787355836</v>
      </c>
      <c r="I233" s="21">
        <f t="shared" si="6"/>
        <v>0.95706074160079879</v>
      </c>
      <c r="J233" s="21">
        <f t="shared" si="7"/>
        <v>2.2337254770009167</v>
      </c>
    </row>
    <row r="234" spans="1:10" hidden="1">
      <c r="A234" t="s">
        <v>192</v>
      </c>
      <c r="B234" t="s">
        <v>194</v>
      </c>
      <c r="C234" s="18">
        <v>2032</v>
      </c>
      <c r="D234" t="s">
        <v>236</v>
      </c>
      <c r="E234" s="9">
        <v>1126784.9112394501</v>
      </c>
      <c r="F234" s="9">
        <v>185691.49293996001</v>
      </c>
      <c r="G234" s="9">
        <v>1126783.31749171</v>
      </c>
      <c r="H234" s="9">
        <v>185691.45221249</v>
      </c>
      <c r="I234" s="21">
        <f t="shared" si="6"/>
        <v>-4.0727470011916012E-2</v>
      </c>
      <c r="J234" s="21">
        <f t="shared" si="7"/>
        <v>-1.5937477401457727</v>
      </c>
    </row>
    <row r="235" spans="1:10" hidden="1">
      <c r="A235" t="s">
        <v>192</v>
      </c>
      <c r="B235" t="s">
        <v>194</v>
      </c>
      <c r="C235" s="18">
        <v>2032</v>
      </c>
      <c r="D235" t="s">
        <v>182</v>
      </c>
      <c r="E235" s="9">
        <v>116847.235056744</v>
      </c>
      <c r="F235" s="9">
        <v>77179.731548291296</v>
      </c>
      <c r="G235" s="9">
        <v>116892.91249656001</v>
      </c>
      <c r="H235" s="9">
        <v>77198.389307422098</v>
      </c>
      <c r="I235" s="21">
        <f t="shared" si="6"/>
        <v>18.657759130801423</v>
      </c>
      <c r="J235" s="21">
        <f t="shared" si="7"/>
        <v>45.677439816005062</v>
      </c>
    </row>
    <row r="236" spans="1:10" hidden="1">
      <c r="A236" t="s">
        <v>192</v>
      </c>
      <c r="B236" t="s">
        <v>194</v>
      </c>
      <c r="C236" s="18">
        <v>2032</v>
      </c>
      <c r="D236" t="s">
        <v>185</v>
      </c>
      <c r="E236" s="9">
        <v>274348.75904998998</v>
      </c>
      <c r="F236" s="9">
        <v>256700.429466642</v>
      </c>
      <c r="G236" s="9">
        <v>274412.39342979901</v>
      </c>
      <c r="H236" s="9">
        <v>256745.67636584101</v>
      </c>
      <c r="I236" s="21">
        <f t="shared" si="6"/>
        <v>45.246899199002655</v>
      </c>
      <c r="J236" s="21">
        <f t="shared" si="7"/>
        <v>63.634379809023812</v>
      </c>
    </row>
    <row r="237" spans="1:10" hidden="1">
      <c r="A237" t="s">
        <v>192</v>
      </c>
      <c r="B237" t="s">
        <v>194</v>
      </c>
      <c r="C237" s="18">
        <v>2032</v>
      </c>
      <c r="D237" t="s">
        <v>188</v>
      </c>
      <c r="E237" s="9">
        <v>654454.23016096698</v>
      </c>
      <c r="F237" s="9">
        <v>380112.947570847</v>
      </c>
      <c r="G237" s="9">
        <v>654519.81142038899</v>
      </c>
      <c r="H237" s="9">
        <v>380127.64784866601</v>
      </c>
      <c r="I237" s="21">
        <f t="shared" si="6"/>
        <v>14.700277819007169</v>
      </c>
      <c r="J237" s="21">
        <f t="shared" si="7"/>
        <v>65.581259422004223</v>
      </c>
    </row>
    <row r="238" spans="1:10" hidden="1">
      <c r="A238" t="s">
        <v>192</v>
      </c>
      <c r="B238" t="s">
        <v>194</v>
      </c>
      <c r="C238" s="18">
        <v>2032</v>
      </c>
      <c r="D238" t="s">
        <v>191</v>
      </c>
      <c r="E238" s="9">
        <v>341503.17051458498</v>
      </c>
      <c r="F238" s="9">
        <v>183713.491342661</v>
      </c>
      <c r="G238" s="9">
        <v>341581.65326776</v>
      </c>
      <c r="H238" s="9">
        <v>183730.084212538</v>
      </c>
      <c r="I238" s="21">
        <f t="shared" si="6"/>
        <v>16.592869877000339</v>
      </c>
      <c r="J238" s="21">
        <f t="shared" si="7"/>
        <v>78.482753175019752</v>
      </c>
    </row>
    <row r="239" spans="1:10" hidden="1">
      <c r="A239" t="s">
        <v>192</v>
      </c>
      <c r="B239" t="s">
        <v>194</v>
      </c>
      <c r="C239" s="18">
        <v>2032</v>
      </c>
      <c r="D239" t="s">
        <v>422</v>
      </c>
      <c r="E239" s="9">
        <v>38037.5526770793</v>
      </c>
      <c r="F239" s="9">
        <v>4125.7225461344697</v>
      </c>
      <c r="G239" s="9">
        <v>38037.551792099897</v>
      </c>
      <c r="H239" s="9">
        <v>4125.7224791710396</v>
      </c>
      <c r="I239" s="21">
        <f t="shared" si="6"/>
        <v>-6.6963430072064511E-5</v>
      </c>
      <c r="J239" s="21">
        <f t="shared" si="7"/>
        <v>-8.8497940305387601E-4</v>
      </c>
    </row>
    <row r="240" spans="1:10" hidden="1">
      <c r="A240" t="s">
        <v>192</v>
      </c>
      <c r="B240" t="s">
        <v>194</v>
      </c>
      <c r="C240" s="18">
        <v>2033</v>
      </c>
      <c r="D240" t="s">
        <v>174</v>
      </c>
      <c r="E240" s="9">
        <v>15757.2363443507</v>
      </c>
      <c r="F240" s="9">
        <v>11451.0924128755</v>
      </c>
      <c r="G240" s="9">
        <v>15759.5151167894</v>
      </c>
      <c r="H240" s="9">
        <v>11452.2049974033</v>
      </c>
      <c r="I240" s="21">
        <f t="shared" si="6"/>
        <v>1.1125845278002089</v>
      </c>
      <c r="J240" s="21">
        <f t="shared" si="7"/>
        <v>2.2787724386998889</v>
      </c>
    </row>
    <row r="241" spans="1:10" hidden="1">
      <c r="A241" t="s">
        <v>192</v>
      </c>
      <c r="B241" t="s">
        <v>194</v>
      </c>
      <c r="C241" s="18">
        <v>2033</v>
      </c>
      <c r="D241" t="s">
        <v>236</v>
      </c>
      <c r="E241" s="9">
        <v>1139275.0278620699</v>
      </c>
      <c r="F241" s="9">
        <v>194005.673775517</v>
      </c>
      <c r="G241" s="9">
        <v>1139272.75378683</v>
      </c>
      <c r="H241" s="9">
        <v>194005.60056651599</v>
      </c>
      <c r="I241" s="21">
        <f t="shared" si="6"/>
        <v>-7.3209001013310626E-2</v>
      </c>
      <c r="J241" s="21">
        <f t="shared" si="7"/>
        <v>-2.2740752398967743</v>
      </c>
    </row>
    <row r="242" spans="1:10" hidden="1">
      <c r="A242" t="s">
        <v>192</v>
      </c>
      <c r="B242" t="s">
        <v>194</v>
      </c>
      <c r="C242" s="18">
        <v>2033</v>
      </c>
      <c r="D242" t="s">
        <v>182</v>
      </c>
      <c r="E242" s="9">
        <v>118235.851984687</v>
      </c>
      <c r="F242" s="9">
        <v>77895.822615308105</v>
      </c>
      <c r="G242" s="9">
        <v>118281.82855902299</v>
      </c>
      <c r="H242" s="9">
        <v>77917.162090690195</v>
      </c>
      <c r="I242" s="21">
        <f t="shared" si="6"/>
        <v>21.339475382090313</v>
      </c>
      <c r="J242" s="21">
        <f t="shared" si="7"/>
        <v>45.976574335989426</v>
      </c>
    </row>
    <row r="243" spans="1:10" hidden="1">
      <c r="A243" t="s">
        <v>192</v>
      </c>
      <c r="B243" t="s">
        <v>194</v>
      </c>
      <c r="C243" s="18">
        <v>2033</v>
      </c>
      <c r="D243" t="s">
        <v>185</v>
      </c>
      <c r="E243" s="9">
        <v>273830.35176112299</v>
      </c>
      <c r="F243" s="9">
        <v>256607.57509640601</v>
      </c>
      <c r="G243" s="9">
        <v>273893.528221021</v>
      </c>
      <c r="H243" s="9">
        <v>256655.55902621101</v>
      </c>
      <c r="I243" s="21">
        <f t="shared" si="6"/>
        <v>47.983929804991931</v>
      </c>
      <c r="J243" s="21">
        <f t="shared" si="7"/>
        <v>63.176459898008034</v>
      </c>
    </row>
    <row r="244" spans="1:10" hidden="1">
      <c r="A244" t="s">
        <v>192</v>
      </c>
      <c r="B244" t="s">
        <v>194</v>
      </c>
      <c r="C244" s="18">
        <v>2033</v>
      </c>
      <c r="D244" t="s">
        <v>188</v>
      </c>
      <c r="E244" s="9">
        <v>663943.67971181497</v>
      </c>
      <c r="F244" s="9">
        <v>386565.815526377</v>
      </c>
      <c r="G244" s="9">
        <v>664009.13874492398</v>
      </c>
      <c r="H244" s="9">
        <v>386583.230936034</v>
      </c>
      <c r="I244" s="21">
        <f t="shared" si="6"/>
        <v>17.415409656998236</v>
      </c>
      <c r="J244" s="21">
        <f t="shared" si="7"/>
        <v>65.459033109014854</v>
      </c>
    </row>
    <row r="245" spans="1:10" hidden="1">
      <c r="A245" t="s">
        <v>192</v>
      </c>
      <c r="B245" t="s">
        <v>194</v>
      </c>
      <c r="C245" s="18">
        <v>2033</v>
      </c>
      <c r="D245" t="s">
        <v>191</v>
      </c>
      <c r="E245" s="9">
        <v>344916.67629138601</v>
      </c>
      <c r="F245" s="9">
        <v>183564.04881835199</v>
      </c>
      <c r="G245" s="9">
        <v>344995.26462988101</v>
      </c>
      <c r="H245" s="9">
        <v>183583.04220271501</v>
      </c>
      <c r="I245" s="21">
        <f t="shared" si="6"/>
        <v>18.99338436301332</v>
      </c>
      <c r="J245" s="21">
        <f t="shared" si="7"/>
        <v>78.588338494999334</v>
      </c>
    </row>
    <row r="246" spans="1:10" hidden="1">
      <c r="A246" t="s">
        <v>192</v>
      </c>
      <c r="B246" t="s">
        <v>194</v>
      </c>
      <c r="C246" s="18">
        <v>2033</v>
      </c>
      <c r="D246" t="s">
        <v>422</v>
      </c>
      <c r="E246" s="9">
        <v>37788.396921465202</v>
      </c>
      <c r="F246" s="9">
        <v>3977.71446808874</v>
      </c>
      <c r="G246" s="9">
        <v>37788.395913351</v>
      </c>
      <c r="H246" s="9">
        <v>3977.7143757352601</v>
      </c>
      <c r="I246" s="21">
        <f t="shared" si="6"/>
        <v>-9.2353479885787237E-5</v>
      </c>
      <c r="J246" s="21">
        <f t="shared" si="7"/>
        <v>-1.0081142027047463E-3</v>
      </c>
    </row>
    <row r="247" spans="1:10" hidden="1">
      <c r="A247" t="s">
        <v>192</v>
      </c>
      <c r="B247" t="s">
        <v>194</v>
      </c>
      <c r="C247" s="18">
        <v>2034</v>
      </c>
      <c r="D247" t="s">
        <v>174</v>
      </c>
      <c r="E247" s="9">
        <v>16283.4414906937</v>
      </c>
      <c r="F247" s="9">
        <v>11778.1715498873</v>
      </c>
      <c r="G247" s="9">
        <v>16285.764037622699</v>
      </c>
      <c r="H247" s="9">
        <v>11779.4141755774</v>
      </c>
      <c r="I247" s="21">
        <f t="shared" si="6"/>
        <v>1.2426256900998851</v>
      </c>
      <c r="J247" s="21">
        <f t="shared" si="7"/>
        <v>2.3225469289991452</v>
      </c>
    </row>
    <row r="248" spans="1:10" hidden="1">
      <c r="A248" t="s">
        <v>192</v>
      </c>
      <c r="B248" t="s">
        <v>194</v>
      </c>
      <c r="C248" s="18">
        <v>2034</v>
      </c>
      <c r="D248" t="s">
        <v>236</v>
      </c>
      <c r="E248" s="9">
        <v>1151235.6371075399</v>
      </c>
      <c r="F248" s="9">
        <v>202320.75426898699</v>
      </c>
      <c r="G248" s="9">
        <v>1151232.62464015</v>
      </c>
      <c r="H248" s="9">
        <v>202320.63612115101</v>
      </c>
      <c r="I248" s="21">
        <f t="shared" si="6"/>
        <v>-0.11814783597947098</v>
      </c>
      <c r="J248" s="21">
        <f t="shared" si="7"/>
        <v>-3.0124673899263144</v>
      </c>
    </row>
    <row r="249" spans="1:10" hidden="1">
      <c r="A249" t="s">
        <v>192</v>
      </c>
      <c r="B249" t="s">
        <v>194</v>
      </c>
      <c r="C249" s="18">
        <v>2034</v>
      </c>
      <c r="D249" t="s">
        <v>182</v>
      </c>
      <c r="E249" s="9">
        <v>119127.716167242</v>
      </c>
      <c r="F249" s="9">
        <v>78758.249161220301</v>
      </c>
      <c r="G249" s="9">
        <v>119173.805374547</v>
      </c>
      <c r="H249" s="9">
        <v>78781.723235872807</v>
      </c>
      <c r="I249" s="21">
        <f t="shared" si="6"/>
        <v>23.474074652505806</v>
      </c>
      <c r="J249" s="21">
        <f t="shared" si="7"/>
        <v>46.08920730499085</v>
      </c>
    </row>
    <row r="250" spans="1:10" hidden="1">
      <c r="A250" t="s">
        <v>192</v>
      </c>
      <c r="B250" t="s">
        <v>194</v>
      </c>
      <c r="C250" s="18">
        <v>2034</v>
      </c>
      <c r="D250" t="s">
        <v>185</v>
      </c>
      <c r="E250" s="9">
        <v>273606.86225124501</v>
      </c>
      <c r="F250" s="9">
        <v>256703.295589788</v>
      </c>
      <c r="G250" s="9">
        <v>273669.65020286699</v>
      </c>
      <c r="H250" s="9">
        <v>256753.127116244</v>
      </c>
      <c r="I250" s="21">
        <f t="shared" si="6"/>
        <v>49.831526455993298</v>
      </c>
      <c r="J250" s="21">
        <f t="shared" si="7"/>
        <v>62.787951621983666</v>
      </c>
    </row>
    <row r="251" spans="1:10" hidden="1">
      <c r="A251" t="s">
        <v>192</v>
      </c>
      <c r="B251" t="s">
        <v>194</v>
      </c>
      <c r="C251" s="18">
        <v>2034</v>
      </c>
      <c r="D251" t="s">
        <v>188</v>
      </c>
      <c r="E251" s="9">
        <v>669500.15047589096</v>
      </c>
      <c r="F251" s="9">
        <v>393787.07784303202</v>
      </c>
      <c r="G251" s="9">
        <v>669565.09186596901</v>
      </c>
      <c r="H251" s="9">
        <v>393806.92012191401</v>
      </c>
      <c r="I251" s="21">
        <f t="shared" si="6"/>
        <v>19.842278881988022</v>
      </c>
      <c r="J251" s="21">
        <f t="shared" si="7"/>
        <v>64.941390078049153</v>
      </c>
    </row>
    <row r="252" spans="1:10" hidden="1">
      <c r="A252" t="s">
        <v>192</v>
      </c>
      <c r="B252" t="s">
        <v>194</v>
      </c>
      <c r="C252" s="18">
        <v>2034</v>
      </c>
      <c r="D252" t="s">
        <v>191</v>
      </c>
      <c r="E252" s="9">
        <v>345848.26886329002</v>
      </c>
      <c r="F252" s="9">
        <v>184779.82718218601</v>
      </c>
      <c r="G252" s="9">
        <v>345926.396497523</v>
      </c>
      <c r="H252" s="9">
        <v>184800.88501932399</v>
      </c>
      <c r="I252" s="21">
        <f t="shared" si="6"/>
        <v>21.057837137981551</v>
      </c>
      <c r="J252" s="21">
        <f t="shared" si="7"/>
        <v>78.127634232980199</v>
      </c>
    </row>
    <row r="253" spans="1:10" hidden="1">
      <c r="A253" t="s">
        <v>192</v>
      </c>
      <c r="B253" t="s">
        <v>194</v>
      </c>
      <c r="C253" s="18">
        <v>2034</v>
      </c>
      <c r="D253" t="s">
        <v>422</v>
      </c>
      <c r="E253" s="9">
        <v>37391.1201265321</v>
      </c>
      <c r="F253" s="9">
        <v>3849.4365370089399</v>
      </c>
      <c r="G253" s="9">
        <v>37391.118979539897</v>
      </c>
      <c r="H253" s="9">
        <v>3849.43642407178</v>
      </c>
      <c r="I253" s="21">
        <f t="shared" si="6"/>
        <v>-1.1293715988358599E-4</v>
      </c>
      <c r="J253" s="21">
        <f t="shared" si="7"/>
        <v>-1.146992202848196E-3</v>
      </c>
    </row>
    <row r="254" spans="1:10" hidden="1">
      <c r="A254" t="s">
        <v>192</v>
      </c>
      <c r="B254" t="s">
        <v>194</v>
      </c>
      <c r="C254" s="18">
        <v>2035</v>
      </c>
      <c r="D254" t="s">
        <v>174</v>
      </c>
      <c r="E254" s="9">
        <v>16828.275967400401</v>
      </c>
      <c r="F254" s="9">
        <v>12111.4618001371</v>
      </c>
      <c r="G254" s="9">
        <v>16830.6420972909</v>
      </c>
      <c r="H254" s="9">
        <v>12112.814364394</v>
      </c>
      <c r="I254" s="21">
        <f t="shared" si="6"/>
        <v>1.352564256900223</v>
      </c>
      <c r="J254" s="21">
        <f t="shared" si="7"/>
        <v>2.3661298904989962</v>
      </c>
    </row>
    <row r="255" spans="1:10" hidden="1">
      <c r="A255" t="s">
        <v>192</v>
      </c>
      <c r="B255" t="s">
        <v>194</v>
      </c>
      <c r="C255" s="18">
        <v>2035</v>
      </c>
      <c r="D255" t="s">
        <v>236</v>
      </c>
      <c r="E255" s="9">
        <v>1162781.0732084401</v>
      </c>
      <c r="F255" s="9">
        <v>210627.598821739</v>
      </c>
      <c r="G255" s="9">
        <v>1162777.28327874</v>
      </c>
      <c r="H255" s="9">
        <v>210627.422792314</v>
      </c>
      <c r="I255" s="21">
        <f t="shared" si="6"/>
        <v>-0.17602942499797791</v>
      </c>
      <c r="J255" s="21">
        <f t="shared" si="7"/>
        <v>-3.7899297000840306</v>
      </c>
    </row>
    <row r="256" spans="1:10" hidden="1">
      <c r="A256" t="s">
        <v>192</v>
      </c>
      <c r="B256" t="s">
        <v>194</v>
      </c>
      <c r="C256" s="18">
        <v>2035</v>
      </c>
      <c r="D256" t="s">
        <v>182</v>
      </c>
      <c r="E256" s="9">
        <v>120752.57268284701</v>
      </c>
      <c r="F256" s="9">
        <v>79431.450893452406</v>
      </c>
      <c r="G256" s="9">
        <v>120799.065903184</v>
      </c>
      <c r="H256" s="9">
        <v>79456.632421187605</v>
      </c>
      <c r="I256" s="21">
        <f t="shared" si="6"/>
        <v>25.181527735199779</v>
      </c>
      <c r="J256" s="21">
        <f t="shared" si="7"/>
        <v>46.493220336997183</v>
      </c>
    </row>
    <row r="257" spans="1:10" hidden="1">
      <c r="A257" t="s">
        <v>192</v>
      </c>
      <c r="B257" t="s">
        <v>194</v>
      </c>
      <c r="C257" s="18">
        <v>2035</v>
      </c>
      <c r="D257" t="s">
        <v>185</v>
      </c>
      <c r="E257" s="9">
        <v>273282.978367795</v>
      </c>
      <c r="F257" s="9">
        <v>256756.35160754999</v>
      </c>
      <c r="G257" s="9">
        <v>273345.36006293801</v>
      </c>
      <c r="H257" s="9">
        <v>256807.53223008101</v>
      </c>
      <c r="I257" s="21">
        <f t="shared" si="6"/>
        <v>51.180622531013796</v>
      </c>
      <c r="J257" s="21">
        <f t="shared" si="7"/>
        <v>62.381695143005345</v>
      </c>
    </row>
    <row r="258" spans="1:10" hidden="1">
      <c r="A258" t="s">
        <v>192</v>
      </c>
      <c r="B258" t="s">
        <v>194</v>
      </c>
      <c r="C258" s="18">
        <v>2035</v>
      </c>
      <c r="D258" t="s">
        <v>188</v>
      </c>
      <c r="E258" s="9">
        <v>678573.64537671802</v>
      </c>
      <c r="F258" s="9">
        <v>399470.94126626098</v>
      </c>
      <c r="G258" s="9">
        <v>678638.43452144298</v>
      </c>
      <c r="H258" s="9">
        <v>399492.95053299802</v>
      </c>
      <c r="I258" s="21">
        <f t="shared" ref="I258:I321" si="8">H258-F258</f>
        <v>22.009266737033613</v>
      </c>
      <c r="J258" s="21">
        <f t="shared" ref="J258:J321" si="9">G258-E258</f>
        <v>64.789144724956714</v>
      </c>
    </row>
    <row r="259" spans="1:10" hidden="1">
      <c r="A259" t="s">
        <v>192</v>
      </c>
      <c r="B259" t="s">
        <v>194</v>
      </c>
      <c r="C259" s="18">
        <v>2035</v>
      </c>
      <c r="D259" t="s">
        <v>191</v>
      </c>
      <c r="E259" s="9">
        <v>349067.83276851103</v>
      </c>
      <c r="F259" s="9">
        <v>185342.87269290301</v>
      </c>
      <c r="G259" s="9">
        <v>349146.06245576398</v>
      </c>
      <c r="H259" s="9">
        <v>185365.76110357899</v>
      </c>
      <c r="I259" s="21">
        <f t="shared" si="8"/>
        <v>22.888410675979685</v>
      </c>
      <c r="J259" s="21">
        <f t="shared" si="9"/>
        <v>78.229687252955046</v>
      </c>
    </row>
    <row r="260" spans="1:10" hidden="1">
      <c r="A260" t="s">
        <v>192</v>
      </c>
      <c r="B260" t="s">
        <v>194</v>
      </c>
      <c r="C260" s="18">
        <v>2035</v>
      </c>
      <c r="D260" t="s">
        <v>422</v>
      </c>
      <c r="E260" s="9">
        <v>37274.399165855597</v>
      </c>
      <c r="F260" s="9">
        <v>3710.4319037290002</v>
      </c>
      <c r="G260" s="9">
        <v>37274.397901844597</v>
      </c>
      <c r="H260" s="9">
        <v>3710.43177455469</v>
      </c>
      <c r="I260" s="21">
        <f t="shared" si="8"/>
        <v>-1.2917431013192981E-4</v>
      </c>
      <c r="J260" s="21">
        <f t="shared" si="9"/>
        <v>-1.2640109998756088E-3</v>
      </c>
    </row>
    <row r="261" spans="1:10" hidden="1">
      <c r="A261" t="s">
        <v>192</v>
      </c>
      <c r="B261" t="s">
        <v>194</v>
      </c>
      <c r="C261" s="18">
        <v>2036</v>
      </c>
      <c r="D261" t="s">
        <v>174</v>
      </c>
      <c r="E261" s="9">
        <v>17390.200327545299</v>
      </c>
      <c r="F261" s="9">
        <v>12451.417544305301</v>
      </c>
      <c r="G261" s="9">
        <v>17392.609904070101</v>
      </c>
      <c r="H261" s="9">
        <v>12452.864013751599</v>
      </c>
      <c r="I261" s="21">
        <f t="shared" si="8"/>
        <v>1.446469446298579</v>
      </c>
      <c r="J261" s="21">
        <f t="shared" si="9"/>
        <v>2.4095765248021053</v>
      </c>
    </row>
    <row r="262" spans="1:10" hidden="1">
      <c r="A262" t="s">
        <v>192</v>
      </c>
      <c r="B262" t="s">
        <v>194</v>
      </c>
      <c r="C262" s="18">
        <v>2036</v>
      </c>
      <c r="D262" t="s">
        <v>236</v>
      </c>
      <c r="E262" s="9">
        <v>1174090.1064474999</v>
      </c>
      <c r="F262" s="9">
        <v>218906.87040324</v>
      </c>
      <c r="G262" s="9">
        <v>1174085.51289072</v>
      </c>
      <c r="H262" s="9">
        <v>218906.62344450099</v>
      </c>
      <c r="I262" s="21">
        <f t="shared" si="8"/>
        <v>-0.24695873900782317</v>
      </c>
      <c r="J262" s="21">
        <f t="shared" si="9"/>
        <v>-4.5935567799024284</v>
      </c>
    </row>
    <row r="263" spans="1:10" hidden="1">
      <c r="A263" t="s">
        <v>192</v>
      </c>
      <c r="B263" t="s">
        <v>194</v>
      </c>
      <c r="C263" s="18">
        <v>2036</v>
      </c>
      <c r="D263" t="s">
        <v>182</v>
      </c>
      <c r="E263" s="9">
        <v>122571.34701261501</v>
      </c>
      <c r="F263" s="9">
        <v>80276.273565670796</v>
      </c>
      <c r="G263" s="9">
        <v>122618.320312187</v>
      </c>
      <c r="H263" s="9">
        <v>80302.842995522602</v>
      </c>
      <c r="I263" s="21">
        <f t="shared" si="8"/>
        <v>26.56942985180649</v>
      </c>
      <c r="J263" s="21">
        <f t="shared" si="9"/>
        <v>46.973299571996904</v>
      </c>
    </row>
    <row r="264" spans="1:10" hidden="1">
      <c r="A264" t="s">
        <v>192</v>
      </c>
      <c r="B264" t="s">
        <v>194</v>
      </c>
      <c r="C264" s="18">
        <v>2036</v>
      </c>
      <c r="D264" t="s">
        <v>185</v>
      </c>
      <c r="E264" s="9">
        <v>273235.52602758497</v>
      </c>
      <c r="F264" s="9">
        <v>256881.21642021701</v>
      </c>
      <c r="G264" s="9">
        <v>273297.56982222799</v>
      </c>
      <c r="H264" s="9">
        <v>256933.39822934201</v>
      </c>
      <c r="I264" s="21">
        <f t="shared" si="8"/>
        <v>52.181809125002474</v>
      </c>
      <c r="J264" s="21">
        <f t="shared" si="9"/>
        <v>62.043794643017463</v>
      </c>
    </row>
    <row r="265" spans="1:10" hidden="1">
      <c r="A265" t="s">
        <v>192</v>
      </c>
      <c r="B265" t="s">
        <v>194</v>
      </c>
      <c r="C265" s="18">
        <v>2036</v>
      </c>
      <c r="D265" t="s">
        <v>188</v>
      </c>
      <c r="E265" s="9">
        <v>688129.99421014602</v>
      </c>
      <c r="F265" s="9">
        <v>405968.67923057801</v>
      </c>
      <c r="G265" s="9">
        <v>688194.68447559199</v>
      </c>
      <c r="H265" s="9">
        <v>405992.65349387802</v>
      </c>
      <c r="I265" s="21">
        <f t="shared" si="8"/>
        <v>23.974263300013263</v>
      </c>
      <c r="J265" s="21">
        <f t="shared" si="9"/>
        <v>64.690265445969999</v>
      </c>
    </row>
    <row r="266" spans="1:10" hidden="1">
      <c r="A266" t="s">
        <v>192</v>
      </c>
      <c r="B266" t="s">
        <v>194</v>
      </c>
      <c r="C266" s="18">
        <v>2036</v>
      </c>
      <c r="D266" t="s">
        <v>191</v>
      </c>
      <c r="E266" s="9">
        <v>352524.66000615701</v>
      </c>
      <c r="F266" s="9">
        <v>186393.37461395899</v>
      </c>
      <c r="G266" s="9">
        <v>352603.07171420398</v>
      </c>
      <c r="H266" s="9">
        <v>186417.92722248001</v>
      </c>
      <c r="I266" s="21">
        <f t="shared" si="8"/>
        <v>24.552608521014918</v>
      </c>
      <c r="J266" s="21">
        <f t="shared" si="9"/>
        <v>78.411708046973217</v>
      </c>
    </row>
    <row r="267" spans="1:10" hidden="1">
      <c r="A267" t="s">
        <v>192</v>
      </c>
      <c r="B267" t="s">
        <v>194</v>
      </c>
      <c r="C267" s="18">
        <v>2036</v>
      </c>
      <c r="D267" t="s">
        <v>422</v>
      </c>
      <c r="E267" s="9">
        <v>37283.0289305939</v>
      </c>
      <c r="F267" s="9">
        <v>3578.6602057557202</v>
      </c>
      <c r="G267" s="9">
        <v>37283.027629395598</v>
      </c>
      <c r="H267" s="9">
        <v>3578.66006488627</v>
      </c>
      <c r="I267" s="21">
        <f t="shared" si="8"/>
        <v>-1.4086945020608255E-4</v>
      </c>
      <c r="J267" s="21">
        <f t="shared" si="9"/>
        <v>-1.3011983028263785E-3</v>
      </c>
    </row>
    <row r="268" spans="1:10" hidden="1">
      <c r="A268" t="s">
        <v>192</v>
      </c>
      <c r="B268" t="s">
        <v>194</v>
      </c>
      <c r="C268" s="18">
        <v>2037</v>
      </c>
      <c r="D268" t="s">
        <v>174</v>
      </c>
      <c r="E268" s="9">
        <v>17969.029771255799</v>
      </c>
      <c r="F268" s="9">
        <v>12797.951929630501</v>
      </c>
      <c r="G268" s="9">
        <v>17971.482864064201</v>
      </c>
      <c r="H268" s="9">
        <v>12799.479454561601</v>
      </c>
      <c r="I268" s="21">
        <f t="shared" si="8"/>
        <v>1.5275249310998333</v>
      </c>
      <c r="J268" s="21">
        <f t="shared" si="9"/>
        <v>2.4530928084022889</v>
      </c>
    </row>
    <row r="269" spans="1:10" hidden="1">
      <c r="A269" t="s">
        <v>192</v>
      </c>
      <c r="B269" t="s">
        <v>194</v>
      </c>
      <c r="C269" s="18">
        <v>2037</v>
      </c>
      <c r="D269" t="s">
        <v>236</v>
      </c>
      <c r="E269" s="9">
        <v>1185270.1577347999</v>
      </c>
      <c r="F269" s="9">
        <v>227146.18126781</v>
      </c>
      <c r="G269" s="9">
        <v>1185264.7438497699</v>
      </c>
      <c r="H269" s="9">
        <v>227145.85064844001</v>
      </c>
      <c r="I269" s="21">
        <f t="shared" si="8"/>
        <v>-0.33061936998274177</v>
      </c>
      <c r="J269" s="21">
        <f t="shared" si="9"/>
        <v>-5.413885029964149</v>
      </c>
    </row>
    <row r="270" spans="1:10" hidden="1">
      <c r="A270" t="s">
        <v>192</v>
      </c>
      <c r="B270" t="s">
        <v>194</v>
      </c>
      <c r="C270" s="18">
        <v>2037</v>
      </c>
      <c r="D270" t="s">
        <v>182</v>
      </c>
      <c r="E270" s="9">
        <v>124441.948706731</v>
      </c>
      <c r="F270" s="9">
        <v>81216.931146789197</v>
      </c>
      <c r="G270" s="9">
        <v>124489.42976024401</v>
      </c>
      <c r="H270" s="9">
        <v>81244.691389584303</v>
      </c>
      <c r="I270" s="21">
        <f t="shared" si="8"/>
        <v>27.760242795106024</v>
      </c>
      <c r="J270" s="21">
        <f t="shared" si="9"/>
        <v>47.481053513009101</v>
      </c>
    </row>
    <row r="271" spans="1:10" hidden="1">
      <c r="A271" t="s">
        <v>192</v>
      </c>
      <c r="B271" t="s">
        <v>194</v>
      </c>
      <c r="C271" s="18">
        <v>2037</v>
      </c>
      <c r="D271" t="s">
        <v>185</v>
      </c>
      <c r="E271" s="9">
        <v>273141.07893872203</v>
      </c>
      <c r="F271" s="9">
        <v>257018.036970685</v>
      </c>
      <c r="G271" s="9">
        <v>273202.80227406899</v>
      </c>
      <c r="H271" s="9">
        <v>257070.97314913399</v>
      </c>
      <c r="I271" s="21">
        <f t="shared" si="8"/>
        <v>52.936178448988358</v>
      </c>
      <c r="J271" s="21">
        <f t="shared" si="9"/>
        <v>61.723335346963722</v>
      </c>
    </row>
    <row r="272" spans="1:10" hidden="1">
      <c r="A272" t="s">
        <v>192</v>
      </c>
      <c r="B272" t="s">
        <v>194</v>
      </c>
      <c r="C272" s="18">
        <v>2037</v>
      </c>
      <c r="D272" t="s">
        <v>188</v>
      </c>
      <c r="E272" s="9">
        <v>697995.83662070194</v>
      </c>
      <c r="F272" s="9">
        <v>412992.56559018302</v>
      </c>
      <c r="G272" s="9">
        <v>698060.50212694705</v>
      </c>
      <c r="H272" s="9">
        <v>413018.343093551</v>
      </c>
      <c r="I272" s="21">
        <f t="shared" si="8"/>
        <v>25.777503367979079</v>
      </c>
      <c r="J272" s="21">
        <f t="shared" si="9"/>
        <v>64.665506245102733</v>
      </c>
    </row>
    <row r="273" spans="1:10" hidden="1">
      <c r="A273" t="s">
        <v>192</v>
      </c>
      <c r="B273" t="s">
        <v>194</v>
      </c>
      <c r="C273" s="18">
        <v>2037</v>
      </c>
      <c r="D273" t="s">
        <v>191</v>
      </c>
      <c r="E273" s="9">
        <v>356346.95962033898</v>
      </c>
      <c r="F273" s="9">
        <v>187762.20828274699</v>
      </c>
      <c r="G273" s="9">
        <v>356425.67891865398</v>
      </c>
      <c r="H273" s="9">
        <v>187788.31252848901</v>
      </c>
      <c r="I273" s="21">
        <f t="shared" si="8"/>
        <v>26.104245742026251</v>
      </c>
      <c r="J273" s="21">
        <f t="shared" si="9"/>
        <v>78.719298315001652</v>
      </c>
    </row>
    <row r="274" spans="1:10" hidden="1">
      <c r="A274" t="s">
        <v>192</v>
      </c>
      <c r="B274" t="s">
        <v>194</v>
      </c>
      <c r="C274" s="18">
        <v>2037</v>
      </c>
      <c r="D274" t="s">
        <v>422</v>
      </c>
      <c r="E274" s="9">
        <v>36837.278653501802</v>
      </c>
      <c r="F274" s="9">
        <v>3450.1948027210301</v>
      </c>
      <c r="G274" s="9">
        <v>36837.277480763201</v>
      </c>
      <c r="H274" s="9">
        <v>3450.1946557369902</v>
      </c>
      <c r="I274" s="21">
        <f t="shared" si="8"/>
        <v>-1.469840399295208E-4</v>
      </c>
      <c r="J274" s="21">
        <f t="shared" si="9"/>
        <v>-1.1727386008715257E-3</v>
      </c>
    </row>
    <row r="275" spans="1:10" hidden="1">
      <c r="A275" t="s">
        <v>192</v>
      </c>
      <c r="B275" t="s">
        <v>194</v>
      </c>
      <c r="C275" s="18">
        <v>2038</v>
      </c>
      <c r="D275" t="s">
        <v>174</v>
      </c>
      <c r="E275" s="9">
        <v>18562.236412153401</v>
      </c>
      <c r="F275" s="9">
        <v>13154.005667981601</v>
      </c>
      <c r="G275" s="9">
        <v>18564.7325343064</v>
      </c>
      <c r="H275" s="9">
        <v>13155.6038503287</v>
      </c>
      <c r="I275" s="21">
        <f t="shared" si="8"/>
        <v>1.5981823470992822</v>
      </c>
      <c r="J275" s="21">
        <f t="shared" si="9"/>
        <v>2.4961221529993054</v>
      </c>
    </row>
    <row r="276" spans="1:10" hidden="1">
      <c r="A276" t="s">
        <v>192</v>
      </c>
      <c r="B276" t="s">
        <v>194</v>
      </c>
      <c r="C276" s="18">
        <v>2038</v>
      </c>
      <c r="D276" t="s">
        <v>236</v>
      </c>
      <c r="E276" s="9">
        <v>1196320.78897328</v>
      </c>
      <c r="F276" s="9">
        <v>235330.02826491999</v>
      </c>
      <c r="G276" s="9">
        <v>1196314.5451145701</v>
      </c>
      <c r="H276" s="9">
        <v>235329.60149861901</v>
      </c>
      <c r="I276" s="21">
        <f t="shared" si="8"/>
        <v>-0.42676630098139867</v>
      </c>
      <c r="J276" s="21">
        <f t="shared" si="9"/>
        <v>-6.2438587099313736</v>
      </c>
    </row>
    <row r="277" spans="1:10" hidden="1">
      <c r="A277" t="s">
        <v>192</v>
      </c>
      <c r="B277" t="s">
        <v>194</v>
      </c>
      <c r="C277" s="18">
        <v>2038</v>
      </c>
      <c r="D277" t="s">
        <v>182</v>
      </c>
      <c r="E277" s="9">
        <v>126507.76915859101</v>
      </c>
      <c r="F277" s="9">
        <v>82225.140628984402</v>
      </c>
      <c r="G277" s="9">
        <v>126555.833855502</v>
      </c>
      <c r="H277" s="9">
        <v>82253.930841494002</v>
      </c>
      <c r="I277" s="21">
        <f t="shared" si="8"/>
        <v>28.790212509600678</v>
      </c>
      <c r="J277" s="21">
        <f t="shared" si="9"/>
        <v>48.064696910994826</v>
      </c>
    </row>
    <row r="278" spans="1:10" hidden="1">
      <c r="A278" t="s">
        <v>192</v>
      </c>
      <c r="B278" t="s">
        <v>194</v>
      </c>
      <c r="C278" s="18">
        <v>2038</v>
      </c>
      <c r="D278" t="s">
        <v>185</v>
      </c>
      <c r="E278" s="9">
        <v>272973.99428494403</v>
      </c>
      <c r="F278" s="9">
        <v>257077.18105891501</v>
      </c>
      <c r="G278" s="9">
        <v>273035.370644084</v>
      </c>
      <c r="H278" s="9">
        <v>257130.676610817</v>
      </c>
      <c r="I278" s="21">
        <f t="shared" si="8"/>
        <v>53.495551901985891</v>
      </c>
      <c r="J278" s="21">
        <f t="shared" si="9"/>
        <v>61.376359139976557</v>
      </c>
    </row>
    <row r="279" spans="1:10" hidden="1">
      <c r="A279" t="s">
        <v>192</v>
      </c>
      <c r="B279" t="s">
        <v>194</v>
      </c>
      <c r="C279" s="18">
        <v>2038</v>
      </c>
      <c r="D279" t="s">
        <v>188</v>
      </c>
      <c r="E279" s="9">
        <v>708609.88159241795</v>
      </c>
      <c r="F279" s="9">
        <v>420417.83612693002</v>
      </c>
      <c r="G279" s="9">
        <v>708674.57496129896</v>
      </c>
      <c r="H279" s="9">
        <v>420445.264129068</v>
      </c>
      <c r="I279" s="21">
        <f t="shared" si="8"/>
        <v>27.428002137981821</v>
      </c>
      <c r="J279" s="21">
        <f t="shared" si="9"/>
        <v>64.693368881009519</v>
      </c>
    </row>
    <row r="280" spans="1:10" hidden="1">
      <c r="A280" t="s">
        <v>192</v>
      </c>
      <c r="B280" t="s">
        <v>194</v>
      </c>
      <c r="C280" s="18">
        <v>2038</v>
      </c>
      <c r="D280" t="s">
        <v>191</v>
      </c>
      <c r="E280" s="9">
        <v>360821.76149037603</v>
      </c>
      <c r="F280" s="9">
        <v>189319.85917725999</v>
      </c>
      <c r="G280" s="9">
        <v>360900.93527344998</v>
      </c>
      <c r="H280" s="9">
        <v>189347.42226660499</v>
      </c>
      <c r="I280" s="21">
        <f t="shared" si="8"/>
        <v>27.563089344999753</v>
      </c>
      <c r="J280" s="21">
        <f t="shared" si="9"/>
        <v>79.173783073958475</v>
      </c>
    </row>
    <row r="281" spans="1:10" hidden="1">
      <c r="A281" t="s">
        <v>192</v>
      </c>
      <c r="B281" t="s">
        <v>194</v>
      </c>
      <c r="C281" s="18">
        <v>2038</v>
      </c>
      <c r="D281" t="s">
        <v>422</v>
      </c>
      <c r="E281" s="9">
        <v>36551.442303007803</v>
      </c>
      <c r="F281" s="9">
        <v>3322.8217177583401</v>
      </c>
      <c r="G281" s="9">
        <v>36551.441257778999</v>
      </c>
      <c r="H281" s="9">
        <v>3322.8215744210102</v>
      </c>
      <c r="I281" s="21">
        <f t="shared" si="8"/>
        <v>-1.4333732997329207E-4</v>
      </c>
      <c r="J281" s="21">
        <f t="shared" si="9"/>
        <v>-1.045228804287035E-3</v>
      </c>
    </row>
    <row r="282" spans="1:10" hidden="1">
      <c r="A282" t="s">
        <v>192</v>
      </c>
      <c r="B282" t="s">
        <v>194</v>
      </c>
      <c r="C282" s="18">
        <v>2039</v>
      </c>
      <c r="D282" t="s">
        <v>174</v>
      </c>
      <c r="E282" s="9">
        <v>19171.806698586599</v>
      </c>
      <c r="F282" s="9">
        <v>13515.118135127001</v>
      </c>
      <c r="G282" s="9">
        <v>19174.345745902901</v>
      </c>
      <c r="H282" s="9">
        <v>13516.7785061579</v>
      </c>
      <c r="I282" s="21">
        <f t="shared" si="8"/>
        <v>1.660371030899114</v>
      </c>
      <c r="J282" s="21">
        <f t="shared" si="9"/>
        <v>2.5390473163024581</v>
      </c>
    </row>
    <row r="283" spans="1:10" hidden="1">
      <c r="A283" t="s">
        <v>192</v>
      </c>
      <c r="B283" t="s">
        <v>194</v>
      </c>
      <c r="C283" s="18">
        <v>2039</v>
      </c>
      <c r="D283" t="s">
        <v>236</v>
      </c>
      <c r="E283" s="9">
        <v>1206932.86052307</v>
      </c>
      <c r="F283" s="9">
        <v>243483.89908888499</v>
      </c>
      <c r="G283" s="9">
        <v>1206925.78308321</v>
      </c>
      <c r="H283" s="9">
        <v>243483.36403446301</v>
      </c>
      <c r="I283" s="21">
        <f t="shared" si="8"/>
        <v>-0.53505442198365927</v>
      </c>
      <c r="J283" s="21">
        <f t="shared" si="9"/>
        <v>-7.0774398599751294</v>
      </c>
    </row>
    <row r="284" spans="1:10" hidden="1">
      <c r="A284" t="s">
        <v>192</v>
      </c>
      <c r="B284" t="s">
        <v>194</v>
      </c>
      <c r="C284" s="18">
        <v>2039</v>
      </c>
      <c r="D284" t="s">
        <v>182</v>
      </c>
      <c r="E284" s="9">
        <v>127952.935129808</v>
      </c>
      <c r="F284" s="9">
        <v>83359.475797544001</v>
      </c>
      <c r="G284" s="9">
        <v>128001.347826374</v>
      </c>
      <c r="H284" s="9">
        <v>83389.180958792305</v>
      </c>
      <c r="I284" s="21">
        <f t="shared" si="8"/>
        <v>29.705161248304648</v>
      </c>
      <c r="J284" s="21">
        <f t="shared" si="9"/>
        <v>48.412696565996157</v>
      </c>
    </row>
    <row r="285" spans="1:10" hidden="1">
      <c r="A285" t="s">
        <v>192</v>
      </c>
      <c r="B285" t="s">
        <v>194</v>
      </c>
      <c r="C285" s="18">
        <v>2039</v>
      </c>
      <c r="D285" t="s">
        <v>185</v>
      </c>
      <c r="E285" s="9">
        <v>272912.28223764501</v>
      </c>
      <c r="F285" s="9">
        <v>257387.92305574301</v>
      </c>
      <c r="G285" s="9">
        <v>272973.34550101002</v>
      </c>
      <c r="H285" s="9">
        <v>257441.86914336999</v>
      </c>
      <c r="I285" s="21">
        <f t="shared" si="8"/>
        <v>53.946087626973167</v>
      </c>
      <c r="J285" s="21">
        <f t="shared" si="9"/>
        <v>61.063263365009334</v>
      </c>
    </row>
    <row r="286" spans="1:10" hidden="1">
      <c r="A286" t="s">
        <v>192</v>
      </c>
      <c r="B286" t="s">
        <v>194</v>
      </c>
      <c r="C286" s="18">
        <v>2039</v>
      </c>
      <c r="D286" t="s">
        <v>188</v>
      </c>
      <c r="E286" s="9">
        <v>715516.52449496195</v>
      </c>
      <c r="F286" s="9">
        <v>428415.60956330597</v>
      </c>
      <c r="G286" s="9">
        <v>715580.88708538504</v>
      </c>
      <c r="H286" s="9">
        <v>428444.56848174502</v>
      </c>
      <c r="I286" s="21">
        <f t="shared" si="8"/>
        <v>28.958918439049739</v>
      </c>
      <c r="J286" s="21">
        <f t="shared" si="9"/>
        <v>64.362590423086658</v>
      </c>
    </row>
    <row r="287" spans="1:10" hidden="1">
      <c r="A287" t="s">
        <v>192</v>
      </c>
      <c r="B287" t="s">
        <v>194</v>
      </c>
      <c r="C287" s="18">
        <v>2039</v>
      </c>
      <c r="D287" t="s">
        <v>191</v>
      </c>
      <c r="E287" s="9">
        <v>362890.12371104298</v>
      </c>
      <c r="F287" s="9">
        <v>191900.656834667</v>
      </c>
      <c r="G287" s="9">
        <v>362969.198365508</v>
      </c>
      <c r="H287" s="9">
        <v>191929.610855123</v>
      </c>
      <c r="I287" s="21">
        <f t="shared" si="8"/>
        <v>28.954020456003491</v>
      </c>
      <c r="J287" s="21">
        <f t="shared" si="9"/>
        <v>79.074654465017375</v>
      </c>
    </row>
    <row r="288" spans="1:10" hidden="1">
      <c r="A288" t="s">
        <v>192</v>
      </c>
      <c r="B288" t="s">
        <v>194</v>
      </c>
      <c r="C288" s="18">
        <v>2039</v>
      </c>
      <c r="D288" t="s">
        <v>422</v>
      </c>
      <c r="E288" s="9">
        <v>36178.2248786993</v>
      </c>
      <c r="F288" s="9">
        <v>3198.0231831575402</v>
      </c>
      <c r="G288" s="9">
        <v>36178.223844718399</v>
      </c>
      <c r="H288" s="9">
        <v>3198.0230538302199</v>
      </c>
      <c r="I288" s="21">
        <f t="shared" si="8"/>
        <v>-1.2932732033732464E-4</v>
      </c>
      <c r="J288" s="21">
        <f t="shared" si="9"/>
        <v>-1.0339809014112689E-3</v>
      </c>
    </row>
    <row r="289" spans="1:10" hidden="1">
      <c r="A289" t="s">
        <v>192</v>
      </c>
      <c r="B289" t="s">
        <v>194</v>
      </c>
      <c r="C289" s="18">
        <v>2040</v>
      </c>
      <c r="D289" t="s">
        <v>174</v>
      </c>
      <c r="E289" s="9">
        <v>19802.923464440501</v>
      </c>
      <c r="F289" s="9">
        <v>13877.957917780799</v>
      </c>
      <c r="G289" s="9">
        <v>19805.505805764798</v>
      </c>
      <c r="H289" s="9">
        <v>13879.6732870407</v>
      </c>
      <c r="I289" s="21">
        <f t="shared" si="8"/>
        <v>1.7153692599003989</v>
      </c>
      <c r="J289" s="21">
        <f t="shared" si="9"/>
        <v>2.5823413242978859</v>
      </c>
    </row>
    <row r="290" spans="1:10" hidden="1">
      <c r="A290" t="s">
        <v>192</v>
      </c>
      <c r="B290" t="s">
        <v>194</v>
      </c>
      <c r="C290" s="18">
        <v>2040</v>
      </c>
      <c r="D290" t="s">
        <v>236</v>
      </c>
      <c r="E290" s="9">
        <v>1217037.4050227101</v>
      </c>
      <c r="F290" s="9">
        <v>251592.55342318001</v>
      </c>
      <c r="G290" s="9">
        <v>1217029.49333677</v>
      </c>
      <c r="H290" s="9">
        <v>251591.89866486701</v>
      </c>
      <c r="I290" s="21">
        <f t="shared" si="8"/>
        <v>-0.65475831300136633</v>
      </c>
      <c r="J290" s="21">
        <f t="shared" si="9"/>
        <v>-7.911685940111056</v>
      </c>
    </row>
    <row r="291" spans="1:10" hidden="1">
      <c r="A291" t="s">
        <v>192</v>
      </c>
      <c r="B291" t="s">
        <v>194</v>
      </c>
      <c r="C291" s="18">
        <v>2040</v>
      </c>
      <c r="D291" t="s">
        <v>182</v>
      </c>
      <c r="E291" s="9">
        <v>130030.11383385801</v>
      </c>
      <c r="F291" s="9">
        <v>84401.395040597607</v>
      </c>
      <c r="G291" s="9">
        <v>130079.117811465</v>
      </c>
      <c r="H291" s="9">
        <v>84431.891175836907</v>
      </c>
      <c r="I291" s="21">
        <f t="shared" si="8"/>
        <v>30.496135239300202</v>
      </c>
      <c r="J291" s="21">
        <f t="shared" si="9"/>
        <v>49.003977606989793</v>
      </c>
    </row>
    <row r="292" spans="1:10" hidden="1">
      <c r="A292" t="s">
        <v>192</v>
      </c>
      <c r="B292" t="s">
        <v>194</v>
      </c>
      <c r="C292" s="18">
        <v>2040</v>
      </c>
      <c r="D292" t="s">
        <v>185</v>
      </c>
      <c r="E292" s="9">
        <v>272711.967083506</v>
      </c>
      <c r="F292" s="9">
        <v>257397.55093983901</v>
      </c>
      <c r="G292" s="9">
        <v>272772.69297753199</v>
      </c>
      <c r="H292" s="9">
        <v>257451.80463236</v>
      </c>
      <c r="I292" s="21">
        <f t="shared" si="8"/>
        <v>54.253692520986078</v>
      </c>
      <c r="J292" s="21">
        <f t="shared" si="9"/>
        <v>60.725894025992602</v>
      </c>
    </row>
    <row r="293" spans="1:10" hidden="1">
      <c r="A293" t="s">
        <v>192</v>
      </c>
      <c r="B293" t="s">
        <v>194</v>
      </c>
      <c r="C293" s="18">
        <v>2040</v>
      </c>
      <c r="D293" t="s">
        <v>188</v>
      </c>
      <c r="E293" s="9">
        <v>724993.56707825197</v>
      </c>
      <c r="F293" s="9">
        <v>435178.500674818</v>
      </c>
      <c r="G293" s="9">
        <v>725057.85135654395</v>
      </c>
      <c r="H293" s="9">
        <v>435208.84098996199</v>
      </c>
      <c r="I293" s="21">
        <f t="shared" si="8"/>
        <v>30.340315143985208</v>
      </c>
      <c r="J293" s="21">
        <f t="shared" si="9"/>
        <v>64.284278291976079</v>
      </c>
    </row>
    <row r="294" spans="1:10" hidden="1">
      <c r="A294" t="s">
        <v>192</v>
      </c>
      <c r="B294" t="s">
        <v>194</v>
      </c>
      <c r="C294" s="18">
        <v>2040</v>
      </c>
      <c r="D294" t="s">
        <v>191</v>
      </c>
      <c r="E294" s="9">
        <v>366634.66999819898</v>
      </c>
      <c r="F294" s="9">
        <v>193822.99493173001</v>
      </c>
      <c r="G294" s="9">
        <v>366714.04580788402</v>
      </c>
      <c r="H294" s="9">
        <v>193853.25074776399</v>
      </c>
      <c r="I294" s="21">
        <f t="shared" si="8"/>
        <v>30.255816033983137</v>
      </c>
      <c r="J294" s="21">
        <f t="shared" si="9"/>
        <v>79.375809685036074</v>
      </c>
    </row>
    <row r="295" spans="1:10" hidden="1">
      <c r="A295" t="s">
        <v>192</v>
      </c>
      <c r="B295" t="s">
        <v>194</v>
      </c>
      <c r="C295" s="18">
        <v>2040</v>
      </c>
      <c r="D295" t="s">
        <v>422</v>
      </c>
      <c r="E295" s="9">
        <v>36005.029082938803</v>
      </c>
      <c r="F295" s="9">
        <v>3069.25201059549</v>
      </c>
      <c r="G295" s="9">
        <v>36005.028086341903</v>
      </c>
      <c r="H295" s="9">
        <v>3069.2518935015801</v>
      </c>
      <c r="I295" s="21">
        <f t="shared" si="8"/>
        <v>-1.1709390992109547E-4</v>
      </c>
      <c r="J295" s="21">
        <f t="shared" si="9"/>
        <v>-9.9659690022235736E-4</v>
      </c>
    </row>
    <row r="296" spans="1:10" hidden="1">
      <c r="A296" t="s">
        <v>192</v>
      </c>
      <c r="B296" t="s">
        <v>194</v>
      </c>
      <c r="C296" s="18">
        <v>2041</v>
      </c>
      <c r="D296" t="s">
        <v>174</v>
      </c>
      <c r="E296" s="9">
        <v>20451.001283556001</v>
      </c>
      <c r="F296" s="9">
        <v>14247.771159874401</v>
      </c>
      <c r="G296" s="9">
        <v>20453.6267543422</v>
      </c>
      <c r="H296" s="9">
        <v>14249.536455216699</v>
      </c>
      <c r="I296" s="21">
        <f t="shared" si="8"/>
        <v>1.7652953422984865</v>
      </c>
      <c r="J296" s="21">
        <f t="shared" si="9"/>
        <v>2.6254707861990028</v>
      </c>
    </row>
    <row r="297" spans="1:10" hidden="1">
      <c r="A297" t="s">
        <v>192</v>
      </c>
      <c r="B297" t="s">
        <v>194</v>
      </c>
      <c r="C297" s="18">
        <v>2041</v>
      </c>
      <c r="D297" t="s">
        <v>236</v>
      </c>
      <c r="E297" s="9">
        <v>1226633.5529712001</v>
      </c>
      <c r="F297" s="9">
        <v>259677.98147141701</v>
      </c>
      <c r="G297" s="9">
        <v>1226624.8107670301</v>
      </c>
      <c r="H297" s="9">
        <v>259677.195752453</v>
      </c>
      <c r="I297" s="21">
        <f t="shared" si="8"/>
        <v>-0.78571896400535479</v>
      </c>
      <c r="J297" s="21">
        <f t="shared" si="9"/>
        <v>-8.7422041699755937</v>
      </c>
    </row>
    <row r="298" spans="1:10" hidden="1">
      <c r="A298" t="s">
        <v>192</v>
      </c>
      <c r="B298" t="s">
        <v>194</v>
      </c>
      <c r="C298" s="18">
        <v>2041</v>
      </c>
      <c r="D298" t="s">
        <v>182</v>
      </c>
      <c r="E298" s="9">
        <v>132180.004251951</v>
      </c>
      <c r="F298" s="9">
        <v>85501.125513735402</v>
      </c>
      <c r="G298" s="9">
        <v>132229.629710176</v>
      </c>
      <c r="H298" s="9">
        <v>85532.319590607702</v>
      </c>
      <c r="I298" s="21">
        <f t="shared" si="8"/>
        <v>31.194076872299775</v>
      </c>
      <c r="J298" s="21">
        <f t="shared" si="9"/>
        <v>49.625458224996692</v>
      </c>
    </row>
    <row r="299" spans="1:10" hidden="1">
      <c r="A299" t="s">
        <v>192</v>
      </c>
      <c r="B299" t="s">
        <v>194</v>
      </c>
      <c r="C299" s="18">
        <v>2041</v>
      </c>
      <c r="D299" t="s">
        <v>185</v>
      </c>
      <c r="E299" s="9">
        <v>272551.34380744002</v>
      </c>
      <c r="F299" s="9">
        <v>257335.17447320401</v>
      </c>
      <c r="G299" s="9">
        <v>272611.75367129099</v>
      </c>
      <c r="H299" s="9">
        <v>257389.63175428601</v>
      </c>
      <c r="I299" s="21">
        <f t="shared" si="8"/>
        <v>54.457281081995461</v>
      </c>
      <c r="J299" s="21">
        <f t="shared" si="9"/>
        <v>60.409863850974943</v>
      </c>
    </row>
    <row r="300" spans="1:10" hidden="1">
      <c r="A300" t="s">
        <v>192</v>
      </c>
      <c r="B300" t="s">
        <v>194</v>
      </c>
      <c r="C300" s="18">
        <v>2041</v>
      </c>
      <c r="D300" t="s">
        <v>188</v>
      </c>
      <c r="E300" s="9">
        <v>734563.497630239</v>
      </c>
      <c r="F300" s="9">
        <v>442292.70749067003</v>
      </c>
      <c r="G300" s="9">
        <v>734627.74007540499</v>
      </c>
      <c r="H300" s="9">
        <v>442324.30640679202</v>
      </c>
      <c r="I300" s="21">
        <f t="shared" si="8"/>
        <v>31.598916121991351</v>
      </c>
      <c r="J300" s="21">
        <f t="shared" si="9"/>
        <v>64.24244516598992</v>
      </c>
    </row>
    <row r="301" spans="1:10" hidden="1">
      <c r="A301" t="s">
        <v>192</v>
      </c>
      <c r="B301" t="s">
        <v>194</v>
      </c>
      <c r="C301" s="18">
        <v>2041</v>
      </c>
      <c r="D301" t="s">
        <v>191</v>
      </c>
      <c r="E301" s="9">
        <v>370357.270176853</v>
      </c>
      <c r="F301" s="9">
        <v>195895.432908569</v>
      </c>
      <c r="G301" s="9">
        <v>370436.97560679301</v>
      </c>
      <c r="H301" s="9">
        <v>195926.90720139601</v>
      </c>
      <c r="I301" s="21">
        <f t="shared" si="8"/>
        <v>31.474292827013414</v>
      </c>
      <c r="J301" s="21">
        <f t="shared" si="9"/>
        <v>79.705429940018803</v>
      </c>
    </row>
    <row r="302" spans="1:10" hidden="1">
      <c r="A302" t="s">
        <v>192</v>
      </c>
      <c r="B302" t="s">
        <v>194</v>
      </c>
      <c r="C302" s="18">
        <v>2041</v>
      </c>
      <c r="D302" t="s">
        <v>422</v>
      </c>
      <c r="E302" s="9">
        <v>35900.766002847296</v>
      </c>
      <c r="F302" s="9">
        <v>2944.0156291511898</v>
      </c>
      <c r="G302" s="9">
        <v>35900.765054072101</v>
      </c>
      <c r="H302" s="9">
        <v>2944.01552271229</v>
      </c>
      <c r="I302" s="21">
        <f t="shared" si="8"/>
        <v>-1.0643889982020482E-4</v>
      </c>
      <c r="J302" s="21">
        <f t="shared" si="9"/>
        <v>-9.4877519586589187E-4</v>
      </c>
    </row>
    <row r="303" spans="1:10" hidden="1">
      <c r="A303" t="s">
        <v>192</v>
      </c>
      <c r="B303" t="s">
        <v>194</v>
      </c>
      <c r="C303" s="18">
        <v>2042</v>
      </c>
      <c r="D303" t="s">
        <v>174</v>
      </c>
      <c r="E303" s="9">
        <v>21112.9135619144</v>
      </c>
      <c r="F303" s="9">
        <v>14624.508012598</v>
      </c>
      <c r="G303" s="9">
        <v>21115.581702688502</v>
      </c>
      <c r="H303" s="9">
        <v>14626.319006600401</v>
      </c>
      <c r="I303" s="21">
        <f t="shared" si="8"/>
        <v>1.8109940024005482</v>
      </c>
      <c r="J303" s="21">
        <f t="shared" si="9"/>
        <v>2.6681407741016301</v>
      </c>
    </row>
    <row r="304" spans="1:10" hidden="1">
      <c r="A304" t="s">
        <v>192</v>
      </c>
      <c r="B304" t="s">
        <v>194</v>
      </c>
      <c r="C304" s="18">
        <v>2042</v>
      </c>
      <c r="D304" t="s">
        <v>236</v>
      </c>
      <c r="E304" s="9">
        <v>1235713.3162865599</v>
      </c>
      <c r="F304" s="9">
        <v>267779.66051551403</v>
      </c>
      <c r="G304" s="9">
        <v>1235703.75022274</v>
      </c>
      <c r="H304" s="9">
        <v>267778.732534162</v>
      </c>
      <c r="I304" s="21">
        <f t="shared" si="8"/>
        <v>-0.92798135202610865</v>
      </c>
      <c r="J304" s="21">
        <f t="shared" si="9"/>
        <v>-9.5660638199187815</v>
      </c>
    </row>
    <row r="305" spans="1:10" hidden="1">
      <c r="A305" t="s">
        <v>192</v>
      </c>
      <c r="B305" t="s">
        <v>194</v>
      </c>
      <c r="C305" s="18">
        <v>2042</v>
      </c>
      <c r="D305" t="s">
        <v>182</v>
      </c>
      <c r="E305" s="9">
        <v>134301.38774788601</v>
      </c>
      <c r="F305" s="9">
        <v>86625.487330490898</v>
      </c>
      <c r="G305" s="9">
        <v>134351.62604870801</v>
      </c>
      <c r="H305" s="9">
        <v>86657.313221329707</v>
      </c>
      <c r="I305" s="21">
        <f t="shared" si="8"/>
        <v>31.825890838808846</v>
      </c>
      <c r="J305" s="21">
        <f t="shared" si="9"/>
        <v>50.23830082200584</v>
      </c>
    </row>
    <row r="306" spans="1:10" hidden="1">
      <c r="A306" t="s">
        <v>192</v>
      </c>
      <c r="B306" t="s">
        <v>194</v>
      </c>
      <c r="C306" s="18">
        <v>2042</v>
      </c>
      <c r="D306" t="s">
        <v>185</v>
      </c>
      <c r="E306" s="9">
        <v>272220.59356207598</v>
      </c>
      <c r="F306" s="9">
        <v>257143.78066290301</v>
      </c>
      <c r="G306" s="9">
        <v>272280.658720601</v>
      </c>
      <c r="H306" s="9">
        <v>257198.34975601899</v>
      </c>
      <c r="I306" s="21">
        <f t="shared" si="8"/>
        <v>54.569093115977012</v>
      </c>
      <c r="J306" s="21">
        <f t="shared" si="9"/>
        <v>60.065158525016159</v>
      </c>
    </row>
    <row r="307" spans="1:10" hidden="1">
      <c r="A307" t="s">
        <v>192</v>
      </c>
      <c r="B307" t="s">
        <v>194</v>
      </c>
      <c r="C307" s="18">
        <v>2042</v>
      </c>
      <c r="D307" t="s">
        <v>188</v>
      </c>
      <c r="E307" s="9">
        <v>744249.05045188195</v>
      </c>
      <c r="F307" s="9">
        <v>449568.50999716501</v>
      </c>
      <c r="G307" s="9">
        <v>744313.272667757</v>
      </c>
      <c r="H307" s="9">
        <v>449601.26122749498</v>
      </c>
      <c r="I307" s="21">
        <f t="shared" si="8"/>
        <v>32.751230329973623</v>
      </c>
      <c r="J307" s="21">
        <f t="shared" si="9"/>
        <v>64.222215875051916</v>
      </c>
    </row>
    <row r="308" spans="1:10" hidden="1">
      <c r="A308" t="s">
        <v>192</v>
      </c>
      <c r="B308" t="s">
        <v>194</v>
      </c>
      <c r="C308" s="18">
        <v>2042</v>
      </c>
      <c r="D308" t="s">
        <v>191</v>
      </c>
      <c r="E308" s="9">
        <v>374339.15215919301</v>
      </c>
      <c r="F308" s="9">
        <v>198050.18499933099</v>
      </c>
      <c r="G308" s="9">
        <v>374419.26204563602</v>
      </c>
      <c r="H308" s="9">
        <v>198082.81410371399</v>
      </c>
      <c r="I308" s="21">
        <f t="shared" si="8"/>
        <v>32.629104382998776</v>
      </c>
      <c r="J308" s="21">
        <f t="shared" si="9"/>
        <v>80.1098864430096</v>
      </c>
    </row>
    <row r="309" spans="1:10" hidden="1">
      <c r="A309" t="s">
        <v>192</v>
      </c>
      <c r="B309" t="s">
        <v>194</v>
      </c>
      <c r="C309" s="18">
        <v>2042</v>
      </c>
      <c r="D309" t="s">
        <v>422</v>
      </c>
      <c r="E309" s="9">
        <v>35516.841489701001</v>
      </c>
      <c r="F309" s="9">
        <v>2820.5123092342201</v>
      </c>
      <c r="G309" s="9">
        <v>35516.840593533198</v>
      </c>
      <c r="H309" s="9">
        <v>2820.5122126446799</v>
      </c>
      <c r="I309" s="21">
        <f t="shared" si="8"/>
        <v>-9.6589540135028074E-5</v>
      </c>
      <c r="J309" s="21">
        <f t="shared" si="9"/>
        <v>-8.9616780314827338E-4</v>
      </c>
    </row>
    <row r="310" spans="1:10" hidden="1">
      <c r="A310" t="s">
        <v>192</v>
      </c>
      <c r="B310" t="s">
        <v>194</v>
      </c>
      <c r="C310" s="18">
        <v>2043</v>
      </c>
      <c r="D310" t="s">
        <v>174</v>
      </c>
      <c r="E310" s="9">
        <v>21786.4156411289</v>
      </c>
      <c r="F310" s="9">
        <v>15002.232942681199</v>
      </c>
      <c r="G310" s="9">
        <v>21789.125656033499</v>
      </c>
      <c r="H310" s="9">
        <v>15004.086115812899</v>
      </c>
      <c r="I310" s="21">
        <f t="shared" si="8"/>
        <v>1.8531731316998048</v>
      </c>
      <c r="J310" s="21">
        <f t="shared" si="9"/>
        <v>2.7100149045982107</v>
      </c>
    </row>
    <row r="311" spans="1:10" hidden="1">
      <c r="A311" t="s">
        <v>192</v>
      </c>
      <c r="B311" t="s">
        <v>194</v>
      </c>
      <c r="C311" s="18">
        <v>2043</v>
      </c>
      <c r="D311" t="s">
        <v>236</v>
      </c>
      <c r="E311" s="9">
        <v>1244256.8927601699</v>
      </c>
      <c r="F311" s="9">
        <v>275878.07661906403</v>
      </c>
      <c r="G311" s="9">
        <v>1244246.5115360599</v>
      </c>
      <c r="H311" s="9">
        <v>275876.99548631802</v>
      </c>
      <c r="I311" s="21">
        <f t="shared" si="8"/>
        <v>-1.0811327460105531</v>
      </c>
      <c r="J311" s="21">
        <f t="shared" si="9"/>
        <v>-10.38122411002405</v>
      </c>
    </row>
    <row r="312" spans="1:10" hidden="1">
      <c r="A312" t="s">
        <v>192</v>
      </c>
      <c r="B312" t="s">
        <v>194</v>
      </c>
      <c r="C312" s="18">
        <v>2043</v>
      </c>
      <c r="D312" t="s">
        <v>182</v>
      </c>
      <c r="E312" s="9">
        <v>136551.07316751601</v>
      </c>
      <c r="F312" s="9">
        <v>87746.640329582398</v>
      </c>
      <c r="G312" s="9">
        <v>136601.974960575</v>
      </c>
      <c r="H312" s="9">
        <v>87779.034425801001</v>
      </c>
      <c r="I312" s="21">
        <f t="shared" si="8"/>
        <v>32.394096218602499</v>
      </c>
      <c r="J312" s="21">
        <f t="shared" si="9"/>
        <v>50.901793058990734</v>
      </c>
    </row>
    <row r="313" spans="1:10" hidden="1">
      <c r="A313" t="s">
        <v>192</v>
      </c>
      <c r="B313" t="s">
        <v>194</v>
      </c>
      <c r="C313" s="18">
        <v>2043</v>
      </c>
      <c r="D313" t="s">
        <v>185</v>
      </c>
      <c r="E313" s="9">
        <v>271630.12213999801</v>
      </c>
      <c r="F313" s="9">
        <v>256723.00622037199</v>
      </c>
      <c r="G313" s="9">
        <v>271689.79422675102</v>
      </c>
      <c r="H313" s="9">
        <v>256777.58715706799</v>
      </c>
      <c r="I313" s="21">
        <f t="shared" si="8"/>
        <v>54.580936696002027</v>
      </c>
      <c r="J313" s="21">
        <f t="shared" si="9"/>
        <v>59.672086753009353</v>
      </c>
    </row>
    <row r="314" spans="1:10" hidden="1">
      <c r="A314" t="s">
        <v>192</v>
      </c>
      <c r="B314" t="s">
        <v>194</v>
      </c>
      <c r="C314" s="18">
        <v>2043</v>
      </c>
      <c r="D314" t="s">
        <v>188</v>
      </c>
      <c r="E314" s="9">
        <v>754306.64644496294</v>
      </c>
      <c r="F314" s="9">
        <v>456881.92802051699</v>
      </c>
      <c r="G314" s="9">
        <v>754370.89241350198</v>
      </c>
      <c r="H314" s="9">
        <v>456915.72204617201</v>
      </c>
      <c r="I314" s="21">
        <f t="shared" si="8"/>
        <v>33.79402565502096</v>
      </c>
      <c r="J314" s="21">
        <f t="shared" si="9"/>
        <v>64.245968539034948</v>
      </c>
    </row>
    <row r="315" spans="1:10" hidden="1">
      <c r="A315" t="s">
        <v>192</v>
      </c>
      <c r="B315" t="s">
        <v>194</v>
      </c>
      <c r="C315" s="18">
        <v>2043</v>
      </c>
      <c r="D315" t="s">
        <v>191</v>
      </c>
      <c r="E315" s="9">
        <v>378685.92046093999</v>
      </c>
      <c r="F315" s="9">
        <v>200170.555703911</v>
      </c>
      <c r="G315" s="9">
        <v>378766.53451535699</v>
      </c>
      <c r="H315" s="9">
        <v>200204.274251736</v>
      </c>
      <c r="I315" s="21">
        <f t="shared" si="8"/>
        <v>33.718547825003043</v>
      </c>
      <c r="J315" s="21">
        <f t="shared" si="9"/>
        <v>80.614054417004809</v>
      </c>
    </row>
    <row r="316" spans="1:10" hidden="1">
      <c r="A316" t="s">
        <v>192</v>
      </c>
      <c r="B316" t="s">
        <v>194</v>
      </c>
      <c r="C316" s="18">
        <v>2043</v>
      </c>
      <c r="D316" t="s">
        <v>422</v>
      </c>
      <c r="E316" s="9">
        <v>35328.773983468098</v>
      </c>
      <c r="F316" s="9">
        <v>2698.3310167774498</v>
      </c>
      <c r="G316" s="9">
        <v>35328.773203308199</v>
      </c>
      <c r="H316" s="9">
        <v>2698.3309296050402</v>
      </c>
      <c r="I316" s="21">
        <f t="shared" si="8"/>
        <v>-8.7172409621416591E-5</v>
      </c>
      <c r="J316" s="21">
        <f t="shared" si="9"/>
        <v>-7.8015989856794477E-4</v>
      </c>
    </row>
    <row r="317" spans="1:10" hidden="1">
      <c r="A317" t="s">
        <v>192</v>
      </c>
      <c r="B317" t="s">
        <v>194</v>
      </c>
      <c r="C317" s="18">
        <v>2044</v>
      </c>
      <c r="D317" t="s">
        <v>174</v>
      </c>
      <c r="E317" s="9">
        <v>22469.654863997199</v>
      </c>
      <c r="F317" s="9">
        <v>15386.746058578499</v>
      </c>
      <c r="G317" s="9">
        <v>22472.405778779801</v>
      </c>
      <c r="H317" s="9">
        <v>15388.638261887199</v>
      </c>
      <c r="I317" s="21">
        <f t="shared" si="8"/>
        <v>1.8922033087001182</v>
      </c>
      <c r="J317" s="21">
        <f t="shared" si="9"/>
        <v>2.7509147826021945</v>
      </c>
    </row>
    <row r="318" spans="1:10" hidden="1">
      <c r="A318" t="s">
        <v>192</v>
      </c>
      <c r="B318" t="s">
        <v>194</v>
      </c>
      <c r="C318" s="18">
        <v>2044</v>
      </c>
      <c r="D318" t="s">
        <v>236</v>
      </c>
      <c r="E318" s="9">
        <v>1252530.9438022401</v>
      </c>
      <c r="F318" s="9">
        <v>283903.29534622602</v>
      </c>
      <c r="G318" s="9">
        <v>1252519.7576166999</v>
      </c>
      <c r="H318" s="9">
        <v>283902.05041687097</v>
      </c>
      <c r="I318" s="21">
        <f t="shared" si="8"/>
        <v>-1.2449293550453149</v>
      </c>
      <c r="J318" s="21">
        <f t="shared" si="9"/>
        <v>-11.186185540165752</v>
      </c>
    </row>
    <row r="319" spans="1:10" hidden="1">
      <c r="A319" t="s">
        <v>192</v>
      </c>
      <c r="B319" t="s">
        <v>194</v>
      </c>
      <c r="C319" s="18">
        <v>2044</v>
      </c>
      <c r="D319" t="s">
        <v>182</v>
      </c>
      <c r="E319" s="9">
        <v>138076.51285164</v>
      </c>
      <c r="F319" s="9">
        <v>88879.534994163405</v>
      </c>
      <c r="G319" s="9">
        <v>138127.80749224901</v>
      </c>
      <c r="H319" s="9">
        <v>88912.446286897801</v>
      </c>
      <c r="I319" s="21">
        <f t="shared" si="8"/>
        <v>32.911292734395829</v>
      </c>
      <c r="J319" s="21">
        <f t="shared" si="9"/>
        <v>51.294640609005</v>
      </c>
    </row>
    <row r="320" spans="1:10" hidden="1">
      <c r="A320" t="s">
        <v>192</v>
      </c>
      <c r="B320" t="s">
        <v>194</v>
      </c>
      <c r="C320" s="18">
        <v>2044</v>
      </c>
      <c r="D320" t="s">
        <v>185</v>
      </c>
      <c r="E320" s="9">
        <v>270921.792197795</v>
      </c>
      <c r="F320" s="9">
        <v>256381.84747703499</v>
      </c>
      <c r="G320" s="9">
        <v>270981.060601887</v>
      </c>
      <c r="H320" s="9">
        <v>256436.399818879</v>
      </c>
      <c r="I320" s="21">
        <f t="shared" si="8"/>
        <v>54.552341844013426</v>
      </c>
      <c r="J320" s="21">
        <f t="shared" si="9"/>
        <v>59.2684040919994</v>
      </c>
    </row>
    <row r="321" spans="1:10" hidden="1">
      <c r="A321" t="s">
        <v>192</v>
      </c>
      <c r="B321" t="s">
        <v>194</v>
      </c>
      <c r="C321" s="18">
        <v>2044</v>
      </c>
      <c r="D321" t="s">
        <v>188</v>
      </c>
      <c r="E321" s="9">
        <v>760687.58290641301</v>
      </c>
      <c r="F321" s="9">
        <v>464201.88026872597</v>
      </c>
      <c r="G321" s="9">
        <v>760751.52916181902</v>
      </c>
      <c r="H321" s="9">
        <v>464236.62382849702</v>
      </c>
      <c r="I321" s="21">
        <f t="shared" si="8"/>
        <v>34.743559771042783</v>
      </c>
      <c r="J321" s="21">
        <f t="shared" si="9"/>
        <v>63.946255406015553</v>
      </c>
    </row>
    <row r="322" spans="1:10" hidden="1">
      <c r="A322" t="s">
        <v>192</v>
      </c>
      <c r="B322" t="s">
        <v>194</v>
      </c>
      <c r="C322" s="18">
        <v>2044</v>
      </c>
      <c r="D322" t="s">
        <v>191</v>
      </c>
      <c r="E322" s="9">
        <v>380673.92101104901</v>
      </c>
      <c r="F322" s="9">
        <v>202727.693602246</v>
      </c>
      <c r="G322" s="9">
        <v>380754.51437457599</v>
      </c>
      <c r="H322" s="9">
        <v>202762.43540540201</v>
      </c>
      <c r="I322" s="21">
        <f t="shared" ref="I322:I385" si="10">H322-F322</f>
        <v>34.741803156008245</v>
      </c>
      <c r="J322" s="21">
        <f t="shared" ref="J322:J385" si="11">G322-E322</f>
        <v>80.593363526975736</v>
      </c>
    </row>
    <row r="323" spans="1:10" hidden="1">
      <c r="A323" t="s">
        <v>192</v>
      </c>
      <c r="B323" t="s">
        <v>194</v>
      </c>
      <c r="C323" s="18">
        <v>2044</v>
      </c>
      <c r="D323" t="s">
        <v>422</v>
      </c>
      <c r="E323" s="9">
        <v>35046.705624566501</v>
      </c>
      <c r="F323" s="9">
        <v>2573.79269470794</v>
      </c>
      <c r="G323" s="9">
        <v>35046.705207959298</v>
      </c>
      <c r="H323" s="9">
        <v>2573.7926243052102</v>
      </c>
      <c r="I323" s="21">
        <f t="shared" si="10"/>
        <v>-7.0402729761553928E-5</v>
      </c>
      <c r="J323" s="21">
        <f t="shared" si="11"/>
        <v>-4.1660720307845622E-4</v>
      </c>
    </row>
    <row r="324" spans="1:10" hidden="1">
      <c r="A324" t="s">
        <v>192</v>
      </c>
      <c r="B324" t="s">
        <v>194</v>
      </c>
      <c r="C324" s="18">
        <v>2045</v>
      </c>
      <c r="D324" t="s">
        <v>174</v>
      </c>
      <c r="E324" s="9">
        <v>23164.154602416998</v>
      </c>
      <c r="F324" s="9">
        <v>15769.7913200557</v>
      </c>
      <c r="G324" s="9">
        <v>23166.945688051499</v>
      </c>
      <c r="H324" s="9">
        <v>15771.7189092791</v>
      </c>
      <c r="I324" s="21">
        <f t="shared" si="10"/>
        <v>1.9275892233999912</v>
      </c>
      <c r="J324" s="21">
        <f t="shared" si="11"/>
        <v>2.7910856345006323</v>
      </c>
    </row>
    <row r="325" spans="1:10" hidden="1">
      <c r="A325" t="s">
        <v>192</v>
      </c>
      <c r="B325" t="s">
        <v>194</v>
      </c>
      <c r="C325" s="18">
        <v>2045</v>
      </c>
      <c r="D325" t="s">
        <v>236</v>
      </c>
      <c r="E325" s="9">
        <v>1260604.96561606</v>
      </c>
      <c r="F325" s="9">
        <v>291823.44584845501</v>
      </c>
      <c r="G325" s="9">
        <v>1260592.98702146</v>
      </c>
      <c r="H325" s="9">
        <v>291822.02754025703</v>
      </c>
      <c r="I325" s="21">
        <f t="shared" si="10"/>
        <v>-1.4183081979863346</v>
      </c>
      <c r="J325" s="21">
        <f t="shared" si="11"/>
        <v>-11.978594599990174</v>
      </c>
    </row>
    <row r="326" spans="1:10" hidden="1">
      <c r="A326" t="s">
        <v>192</v>
      </c>
      <c r="B326" t="s">
        <v>194</v>
      </c>
      <c r="C326" s="18">
        <v>2045</v>
      </c>
      <c r="D326" t="s">
        <v>182</v>
      </c>
      <c r="E326" s="9">
        <v>140120.89103608401</v>
      </c>
      <c r="F326" s="9">
        <v>90008.207871792794</v>
      </c>
      <c r="G326" s="9">
        <v>140172.77481552499</v>
      </c>
      <c r="H326" s="9">
        <v>90041.604590588802</v>
      </c>
      <c r="I326" s="21">
        <f t="shared" si="10"/>
        <v>33.396718796007917</v>
      </c>
      <c r="J326" s="21">
        <f t="shared" si="11"/>
        <v>51.883779440977378</v>
      </c>
    </row>
    <row r="327" spans="1:10" hidden="1">
      <c r="A327" t="s">
        <v>192</v>
      </c>
      <c r="B327" t="s">
        <v>194</v>
      </c>
      <c r="C327" s="18">
        <v>2045</v>
      </c>
      <c r="D327" t="s">
        <v>185</v>
      </c>
      <c r="E327" s="9">
        <v>270379.684137673</v>
      </c>
      <c r="F327" s="9">
        <v>255922.42331523701</v>
      </c>
      <c r="G327" s="9">
        <v>270438.60315228201</v>
      </c>
      <c r="H327" s="9">
        <v>255976.90811330499</v>
      </c>
      <c r="I327" s="21">
        <f t="shared" si="10"/>
        <v>54.484798067976953</v>
      </c>
      <c r="J327" s="21">
        <f t="shared" si="11"/>
        <v>58.919014609011356</v>
      </c>
    </row>
    <row r="328" spans="1:10" hidden="1">
      <c r="A328" t="s">
        <v>192</v>
      </c>
      <c r="B328" t="s">
        <v>194</v>
      </c>
      <c r="C328" s="18">
        <v>2045</v>
      </c>
      <c r="D328" t="s">
        <v>188</v>
      </c>
      <c r="E328" s="9">
        <v>769249.93809534004</v>
      </c>
      <c r="F328" s="9">
        <v>470884.68056242098</v>
      </c>
      <c r="G328" s="9">
        <v>769313.803212411</v>
      </c>
      <c r="H328" s="9">
        <v>470920.29436777002</v>
      </c>
      <c r="I328" s="21">
        <f t="shared" si="10"/>
        <v>35.613805349043105</v>
      </c>
      <c r="J328" s="21">
        <f t="shared" si="11"/>
        <v>63.865117070963606</v>
      </c>
    </row>
    <row r="329" spans="1:10" hidden="1">
      <c r="A329" t="s">
        <v>192</v>
      </c>
      <c r="B329" t="s">
        <v>194</v>
      </c>
      <c r="C329" s="18">
        <v>2045</v>
      </c>
      <c r="D329" t="s">
        <v>191</v>
      </c>
      <c r="E329" s="9">
        <v>383855.32890940999</v>
      </c>
      <c r="F329" s="9">
        <v>204833.61217315</v>
      </c>
      <c r="G329" s="9">
        <v>383936.19252461498</v>
      </c>
      <c r="H329" s="9">
        <v>204869.32889798901</v>
      </c>
      <c r="I329" s="21">
        <f t="shared" si="10"/>
        <v>35.716724839003291</v>
      </c>
      <c r="J329" s="21">
        <f t="shared" si="11"/>
        <v>80.863615204987582</v>
      </c>
    </row>
    <row r="330" spans="1:10" hidden="1">
      <c r="A330" t="s">
        <v>192</v>
      </c>
      <c r="B330" t="s">
        <v>194</v>
      </c>
      <c r="C330" s="18">
        <v>2045</v>
      </c>
      <c r="D330" t="s">
        <v>422</v>
      </c>
      <c r="E330" s="9">
        <v>34846.715554780298</v>
      </c>
      <c r="F330" s="9">
        <v>2452.7471228454201</v>
      </c>
      <c r="G330" s="9">
        <v>34846.715156222701</v>
      </c>
      <c r="H330" s="9">
        <v>2452.74707379338</v>
      </c>
      <c r="I330" s="21">
        <f t="shared" si="10"/>
        <v>-4.90520401399408E-5</v>
      </c>
      <c r="J330" s="21">
        <f t="shared" si="11"/>
        <v>-3.9855759678175673E-4</v>
      </c>
    </row>
    <row r="331" spans="1:10" hidden="1">
      <c r="A331" t="s">
        <v>192</v>
      </c>
      <c r="B331" t="s">
        <v>194</v>
      </c>
      <c r="C331" s="18">
        <v>2046</v>
      </c>
      <c r="D331" t="s">
        <v>174</v>
      </c>
      <c r="E331" s="9">
        <v>23865.3878377648</v>
      </c>
      <c r="F331" s="9">
        <v>16163.3296460372</v>
      </c>
      <c r="G331" s="9">
        <v>23868.217944038799</v>
      </c>
      <c r="H331" s="9">
        <v>16165.2905403234</v>
      </c>
      <c r="I331" s="21">
        <f t="shared" si="10"/>
        <v>1.9608942861996184</v>
      </c>
      <c r="J331" s="21">
        <f t="shared" si="11"/>
        <v>2.8301062739992631</v>
      </c>
    </row>
    <row r="332" spans="1:10" hidden="1">
      <c r="A332" t="s">
        <v>192</v>
      </c>
      <c r="B332" t="s">
        <v>194</v>
      </c>
      <c r="C332" s="18">
        <v>2046</v>
      </c>
      <c r="D332" t="s">
        <v>236</v>
      </c>
      <c r="E332" s="9">
        <v>1268488.7122985499</v>
      </c>
      <c r="F332" s="9">
        <v>299598.53000931401</v>
      </c>
      <c r="G332" s="9">
        <v>1268475.9563321201</v>
      </c>
      <c r="H332" s="9">
        <v>299596.92866613797</v>
      </c>
      <c r="I332" s="21">
        <f t="shared" si="10"/>
        <v>-1.6013431760366075</v>
      </c>
      <c r="J332" s="21">
        <f t="shared" si="11"/>
        <v>-12.75596642983146</v>
      </c>
    </row>
    <row r="333" spans="1:10" hidden="1">
      <c r="A333" t="s">
        <v>192</v>
      </c>
      <c r="B333" t="s">
        <v>194</v>
      </c>
      <c r="C333" s="18">
        <v>2046</v>
      </c>
      <c r="D333" t="s">
        <v>182</v>
      </c>
      <c r="E333" s="9">
        <v>142141.58574149999</v>
      </c>
      <c r="F333" s="9">
        <v>91165.038263453607</v>
      </c>
      <c r="G333" s="9">
        <v>142194.05365060701</v>
      </c>
      <c r="H333" s="9">
        <v>91198.890942598402</v>
      </c>
      <c r="I333" s="21">
        <f t="shared" si="10"/>
        <v>33.85267914479482</v>
      </c>
      <c r="J333" s="21">
        <f t="shared" si="11"/>
        <v>52.467909107013838</v>
      </c>
    </row>
    <row r="334" spans="1:10" hidden="1">
      <c r="A334" t="s">
        <v>192</v>
      </c>
      <c r="B334" t="s">
        <v>194</v>
      </c>
      <c r="C334" s="18">
        <v>2046</v>
      </c>
      <c r="D334" t="s">
        <v>185</v>
      </c>
      <c r="E334" s="9">
        <v>269864.66225756</v>
      </c>
      <c r="F334" s="9">
        <v>255376.78976659899</v>
      </c>
      <c r="G334" s="9">
        <v>269923.25168294698</v>
      </c>
      <c r="H334" s="9">
        <v>255431.16141281699</v>
      </c>
      <c r="I334" s="21">
        <f t="shared" si="10"/>
        <v>54.371646218001842</v>
      </c>
      <c r="J334" s="21">
        <f t="shared" si="11"/>
        <v>58.589425386977382</v>
      </c>
    </row>
    <row r="335" spans="1:10" hidden="1">
      <c r="A335" t="s">
        <v>192</v>
      </c>
      <c r="B335" t="s">
        <v>194</v>
      </c>
      <c r="C335" s="18">
        <v>2046</v>
      </c>
      <c r="D335" t="s">
        <v>188</v>
      </c>
      <c r="E335" s="9">
        <v>778032.00032960298</v>
      </c>
      <c r="F335" s="9">
        <v>477792.52415366098</v>
      </c>
      <c r="G335" s="9">
        <v>778095.84267256199</v>
      </c>
      <c r="H335" s="9">
        <v>477828.93173194502</v>
      </c>
      <c r="I335" s="21">
        <f t="shared" si="10"/>
        <v>36.407578284037299</v>
      </c>
      <c r="J335" s="21">
        <f t="shared" si="11"/>
        <v>63.842342959018424</v>
      </c>
    </row>
    <row r="336" spans="1:10" hidden="1">
      <c r="A336" t="s">
        <v>192</v>
      </c>
      <c r="B336" t="s">
        <v>194</v>
      </c>
      <c r="C336" s="18">
        <v>2046</v>
      </c>
      <c r="D336" t="s">
        <v>191</v>
      </c>
      <c r="E336" s="9">
        <v>387070.25080215803</v>
      </c>
      <c r="F336" s="9">
        <v>207012.307371609</v>
      </c>
      <c r="G336" s="9">
        <v>387151.42704479198</v>
      </c>
      <c r="H336" s="9">
        <v>207048.94525460299</v>
      </c>
      <c r="I336" s="21">
        <f t="shared" si="10"/>
        <v>36.637882993993117</v>
      </c>
      <c r="J336" s="21">
        <f t="shared" si="11"/>
        <v>81.176242633955553</v>
      </c>
    </row>
    <row r="337" spans="1:10" hidden="1">
      <c r="A337" t="s">
        <v>192</v>
      </c>
      <c r="B337" t="s">
        <v>194</v>
      </c>
      <c r="C337" s="18">
        <v>2046</v>
      </c>
      <c r="D337" t="s">
        <v>422</v>
      </c>
      <c r="E337" s="9">
        <v>34688.297143270502</v>
      </c>
      <c r="F337" s="9">
        <v>2335.6726454217301</v>
      </c>
      <c r="G337" s="9">
        <v>34688.296767041</v>
      </c>
      <c r="H337" s="9">
        <v>2335.6726092736399</v>
      </c>
      <c r="I337" s="21">
        <f t="shared" si="10"/>
        <v>-3.6148090202914318E-5</v>
      </c>
      <c r="J337" s="21">
        <f t="shared" si="11"/>
        <v>-3.7622950185323134E-4</v>
      </c>
    </row>
    <row r="338" spans="1:10" hidden="1">
      <c r="A338" t="s">
        <v>192</v>
      </c>
      <c r="B338" t="s">
        <v>194</v>
      </c>
      <c r="C338" s="18">
        <v>2047</v>
      </c>
      <c r="D338" t="s">
        <v>174</v>
      </c>
      <c r="E338" s="9">
        <v>24572.8171070973</v>
      </c>
      <c r="F338" s="9">
        <v>16566.582561050302</v>
      </c>
      <c r="G338" s="9">
        <v>24575.685129363199</v>
      </c>
      <c r="H338" s="9">
        <v>16568.574829924401</v>
      </c>
      <c r="I338" s="21">
        <f t="shared" si="10"/>
        <v>1.9922688740989543</v>
      </c>
      <c r="J338" s="21">
        <f t="shared" si="11"/>
        <v>2.8680222658986168</v>
      </c>
    </row>
    <row r="339" spans="1:10" hidden="1">
      <c r="A339" t="s">
        <v>192</v>
      </c>
      <c r="B339" t="s">
        <v>194</v>
      </c>
      <c r="C339" s="18">
        <v>2047</v>
      </c>
      <c r="D339" t="s">
        <v>236</v>
      </c>
      <c r="E339" s="9">
        <v>1276087.0012673901</v>
      </c>
      <c r="F339" s="9">
        <v>307177.80238123401</v>
      </c>
      <c r="G339" s="9">
        <v>1276073.4846977801</v>
      </c>
      <c r="H339" s="9">
        <v>307176.00873862102</v>
      </c>
      <c r="I339" s="21">
        <f t="shared" si="10"/>
        <v>-1.7936426129890606</v>
      </c>
      <c r="J339" s="21">
        <f t="shared" si="11"/>
        <v>-13.516569609986618</v>
      </c>
    </row>
    <row r="340" spans="1:10" hidden="1">
      <c r="A340" t="s">
        <v>192</v>
      </c>
      <c r="B340" t="s">
        <v>194</v>
      </c>
      <c r="C340" s="18">
        <v>2047</v>
      </c>
      <c r="D340" t="s">
        <v>182</v>
      </c>
      <c r="E340" s="9">
        <v>144193.001661633</v>
      </c>
      <c r="F340" s="9">
        <v>92299.6120971567</v>
      </c>
      <c r="G340" s="9">
        <v>144246.070856709</v>
      </c>
      <c r="H340" s="9">
        <v>92333.888291156894</v>
      </c>
      <c r="I340" s="21">
        <f t="shared" si="10"/>
        <v>34.276194000194664</v>
      </c>
      <c r="J340" s="21">
        <f t="shared" si="11"/>
        <v>53.069195076008327</v>
      </c>
    </row>
    <row r="341" spans="1:10" hidden="1">
      <c r="A341" t="s">
        <v>192</v>
      </c>
      <c r="B341" t="s">
        <v>194</v>
      </c>
      <c r="C341" s="18">
        <v>2047</v>
      </c>
      <c r="D341" t="s">
        <v>185</v>
      </c>
      <c r="E341" s="9">
        <v>269087.516777921</v>
      </c>
      <c r="F341" s="9">
        <v>254706.59004194901</v>
      </c>
      <c r="G341" s="9">
        <v>269145.73066835199</v>
      </c>
      <c r="H341" s="9">
        <v>254760.803670819</v>
      </c>
      <c r="I341" s="21">
        <f t="shared" si="10"/>
        <v>54.213628869998502</v>
      </c>
      <c r="J341" s="21">
        <f t="shared" si="11"/>
        <v>58.213890430983156</v>
      </c>
    </row>
    <row r="342" spans="1:10" hidden="1">
      <c r="A342" t="s">
        <v>192</v>
      </c>
      <c r="B342" t="s">
        <v>194</v>
      </c>
      <c r="C342" s="18">
        <v>2047</v>
      </c>
      <c r="D342" t="s">
        <v>188</v>
      </c>
      <c r="E342" s="9">
        <v>786803.53033844195</v>
      </c>
      <c r="F342" s="9">
        <v>484630.04320719</v>
      </c>
      <c r="G342" s="9">
        <v>786867.36601765698</v>
      </c>
      <c r="H342" s="9">
        <v>484667.16956347</v>
      </c>
      <c r="I342" s="21">
        <f t="shared" si="10"/>
        <v>37.126356280001346</v>
      </c>
      <c r="J342" s="21">
        <f t="shared" si="11"/>
        <v>63.835679215029813</v>
      </c>
    </row>
    <row r="343" spans="1:10" hidden="1">
      <c r="A343" t="s">
        <v>192</v>
      </c>
      <c r="B343" t="s">
        <v>194</v>
      </c>
      <c r="C343" s="18">
        <v>2047</v>
      </c>
      <c r="D343" t="s">
        <v>191</v>
      </c>
      <c r="E343" s="9">
        <v>390516.01701897202</v>
      </c>
      <c r="F343" s="9">
        <v>209123.35690640399</v>
      </c>
      <c r="G343" s="9">
        <v>390597.57749152998</v>
      </c>
      <c r="H343" s="9">
        <v>209160.85891574901</v>
      </c>
      <c r="I343" s="21">
        <f t="shared" si="10"/>
        <v>37.502009345014812</v>
      </c>
      <c r="J343" s="21">
        <f t="shared" si="11"/>
        <v>81.560472557961475</v>
      </c>
    </row>
    <row r="344" spans="1:10" hidden="1">
      <c r="A344" t="s">
        <v>192</v>
      </c>
      <c r="B344" t="s">
        <v>194</v>
      </c>
      <c r="C344" s="18">
        <v>2047</v>
      </c>
      <c r="D344" t="s">
        <v>422</v>
      </c>
      <c r="E344" s="9">
        <v>34402.454636987299</v>
      </c>
      <c r="F344" s="9">
        <v>2222.2518116300798</v>
      </c>
      <c r="G344" s="9">
        <v>34402.454286141998</v>
      </c>
      <c r="H344" s="9">
        <v>2222.2517838233198</v>
      </c>
      <c r="I344" s="21">
        <f t="shared" si="10"/>
        <v>-2.7806760044768453E-5</v>
      </c>
      <c r="J344" s="21">
        <f t="shared" si="11"/>
        <v>-3.5084530099993572E-4</v>
      </c>
    </row>
    <row r="345" spans="1:10" hidden="1">
      <c r="A345" t="s">
        <v>192</v>
      </c>
      <c r="B345" t="s">
        <v>194</v>
      </c>
      <c r="C345" s="18">
        <v>2048</v>
      </c>
      <c r="D345" t="s">
        <v>174</v>
      </c>
      <c r="E345" s="9">
        <v>25279.962388645599</v>
      </c>
      <c r="F345" s="9">
        <v>16980.945250533001</v>
      </c>
      <c r="G345" s="9">
        <v>25282.866550534</v>
      </c>
      <c r="H345" s="9">
        <v>16982.967131377602</v>
      </c>
      <c r="I345" s="21">
        <f t="shared" si="10"/>
        <v>2.0218808446006733</v>
      </c>
      <c r="J345" s="21">
        <f t="shared" si="11"/>
        <v>2.9041618884002673</v>
      </c>
    </row>
    <row r="346" spans="1:10" hidden="1">
      <c r="A346" t="s">
        <v>192</v>
      </c>
      <c r="B346" t="s">
        <v>194</v>
      </c>
      <c r="C346" s="18">
        <v>2048</v>
      </c>
      <c r="D346" t="s">
        <v>236</v>
      </c>
      <c r="E346" s="9">
        <v>1283482.0114480699</v>
      </c>
      <c r="F346" s="9">
        <v>314551.82565349899</v>
      </c>
      <c r="G346" s="9">
        <v>1283467.7529534199</v>
      </c>
      <c r="H346" s="9">
        <v>314549.83162807999</v>
      </c>
      <c r="I346" s="21">
        <f t="shared" si="10"/>
        <v>-1.9940254190005362</v>
      </c>
      <c r="J346" s="21">
        <f t="shared" si="11"/>
        <v>-14.258494650013745</v>
      </c>
    </row>
    <row r="347" spans="1:10" hidden="1">
      <c r="A347" t="s">
        <v>192</v>
      </c>
      <c r="B347" t="s">
        <v>194</v>
      </c>
      <c r="C347" s="18">
        <v>2048</v>
      </c>
      <c r="D347" t="s">
        <v>182</v>
      </c>
      <c r="E347" s="9">
        <v>146360.135069729</v>
      </c>
      <c r="F347" s="9">
        <v>93392.843220929804</v>
      </c>
      <c r="G347" s="9">
        <v>146413.85314917401</v>
      </c>
      <c r="H347" s="9">
        <v>93427.507277048993</v>
      </c>
      <c r="I347" s="21">
        <f t="shared" si="10"/>
        <v>34.664056119188899</v>
      </c>
      <c r="J347" s="21">
        <f t="shared" si="11"/>
        <v>53.718079445010517</v>
      </c>
    </row>
    <row r="348" spans="1:10" hidden="1">
      <c r="A348" t="s">
        <v>192</v>
      </c>
      <c r="B348" t="s">
        <v>194</v>
      </c>
      <c r="C348" s="18">
        <v>2048</v>
      </c>
      <c r="D348" t="s">
        <v>185</v>
      </c>
      <c r="E348" s="9">
        <v>268027.66148233903</v>
      </c>
      <c r="F348" s="9">
        <v>253818.053626943</v>
      </c>
      <c r="G348" s="9">
        <v>268085.44794583402</v>
      </c>
      <c r="H348" s="9">
        <v>253872.04741882399</v>
      </c>
      <c r="I348" s="21">
        <f t="shared" si="10"/>
        <v>53.993791880988283</v>
      </c>
      <c r="J348" s="21">
        <f t="shared" si="11"/>
        <v>57.786463494994678</v>
      </c>
    </row>
    <row r="349" spans="1:10" hidden="1">
      <c r="A349" t="s">
        <v>192</v>
      </c>
      <c r="B349" t="s">
        <v>194</v>
      </c>
      <c r="C349" s="18">
        <v>2048</v>
      </c>
      <c r="D349" t="s">
        <v>188</v>
      </c>
      <c r="E349" s="9">
        <v>795732.96199412097</v>
      </c>
      <c r="F349" s="9">
        <v>491269.946494815</v>
      </c>
      <c r="G349" s="9">
        <v>795796.81940173404</v>
      </c>
      <c r="H349" s="9">
        <v>491307.70932856598</v>
      </c>
      <c r="I349" s="21">
        <f t="shared" si="10"/>
        <v>37.762833750981372</v>
      </c>
      <c r="J349" s="21">
        <f t="shared" si="11"/>
        <v>63.857407613075338</v>
      </c>
    </row>
    <row r="350" spans="1:10" hidden="1">
      <c r="A350" t="s">
        <v>192</v>
      </c>
      <c r="B350" t="s">
        <v>194</v>
      </c>
      <c r="C350" s="18">
        <v>2048</v>
      </c>
      <c r="D350" t="s">
        <v>191</v>
      </c>
      <c r="E350" s="9">
        <v>394224.213712294</v>
      </c>
      <c r="F350" s="9">
        <v>211150.99271418399</v>
      </c>
      <c r="G350" s="9">
        <v>394306.23400907399</v>
      </c>
      <c r="H350" s="9">
        <v>211189.299415093</v>
      </c>
      <c r="I350" s="21">
        <f t="shared" si="10"/>
        <v>38.30670090901549</v>
      </c>
      <c r="J350" s="21">
        <f t="shared" si="11"/>
        <v>82.020296779985074</v>
      </c>
    </row>
    <row r="351" spans="1:10" hidden="1">
      <c r="A351" t="s">
        <v>192</v>
      </c>
      <c r="B351" t="s">
        <v>194</v>
      </c>
      <c r="C351" s="18">
        <v>2048</v>
      </c>
      <c r="D351" t="s">
        <v>422</v>
      </c>
      <c r="E351" s="9">
        <v>34278.863828570698</v>
      </c>
      <c r="F351" s="9">
        <v>2112.6617675040102</v>
      </c>
      <c r="G351" s="9">
        <v>34278.863496812097</v>
      </c>
      <c r="H351" s="9">
        <v>2112.6617453372501</v>
      </c>
      <c r="I351" s="21">
        <f t="shared" si="10"/>
        <v>-2.2166760118125239E-5</v>
      </c>
      <c r="J351" s="21">
        <f t="shared" si="11"/>
        <v>-3.3175860153278336E-4</v>
      </c>
    </row>
    <row r="352" spans="1:10" hidden="1">
      <c r="A352" t="s">
        <v>192</v>
      </c>
      <c r="B352" t="s">
        <v>194</v>
      </c>
      <c r="C352" s="18">
        <v>2049</v>
      </c>
      <c r="D352" t="s">
        <v>174</v>
      </c>
      <c r="E352" s="9">
        <v>25983.598867252502</v>
      </c>
      <c r="F352" s="9">
        <v>17404.608584752401</v>
      </c>
      <c r="G352" s="9">
        <v>25986.5373789525</v>
      </c>
      <c r="H352" s="9">
        <v>17406.659114093502</v>
      </c>
      <c r="I352" s="21">
        <f t="shared" si="10"/>
        <v>2.0505293411006278</v>
      </c>
      <c r="J352" s="21">
        <f t="shared" si="11"/>
        <v>2.9385116999983438</v>
      </c>
    </row>
    <row r="353" spans="1:10" hidden="1">
      <c r="A353" t="s">
        <v>192</v>
      </c>
      <c r="B353" t="s">
        <v>194</v>
      </c>
      <c r="C353" s="18">
        <v>2049</v>
      </c>
      <c r="D353" t="s">
        <v>236</v>
      </c>
      <c r="E353" s="9">
        <v>1290702.5160908699</v>
      </c>
      <c r="F353" s="9">
        <v>321742.70288422302</v>
      </c>
      <c r="G353" s="9">
        <v>1290687.53512959</v>
      </c>
      <c r="H353" s="9">
        <v>321740.50114880601</v>
      </c>
      <c r="I353" s="21">
        <f t="shared" si="10"/>
        <v>-2.2017354170093313</v>
      </c>
      <c r="J353" s="21">
        <f t="shared" si="11"/>
        <v>-14.980961279943585</v>
      </c>
    </row>
    <row r="354" spans="1:10" hidden="1">
      <c r="A354" t="s">
        <v>192</v>
      </c>
      <c r="B354" t="s">
        <v>194</v>
      </c>
      <c r="C354" s="18">
        <v>2049</v>
      </c>
      <c r="D354" t="s">
        <v>182</v>
      </c>
      <c r="E354" s="9">
        <v>147827.99225954601</v>
      </c>
      <c r="F354" s="9">
        <v>94511.821386697993</v>
      </c>
      <c r="G354" s="9">
        <v>147882.09983734801</v>
      </c>
      <c r="H354" s="9">
        <v>94546.865675552195</v>
      </c>
      <c r="I354" s="21">
        <f t="shared" si="10"/>
        <v>35.044288854202023</v>
      </c>
      <c r="J354" s="21">
        <f t="shared" si="11"/>
        <v>54.107577802002197</v>
      </c>
    </row>
    <row r="355" spans="1:10" hidden="1">
      <c r="A355" t="s">
        <v>192</v>
      </c>
      <c r="B355" t="s">
        <v>194</v>
      </c>
      <c r="C355" s="18">
        <v>2049</v>
      </c>
      <c r="D355" t="s">
        <v>185</v>
      </c>
      <c r="E355" s="9">
        <v>266946.18530607002</v>
      </c>
      <c r="F355" s="9">
        <v>253051.729061474</v>
      </c>
      <c r="G355" s="9">
        <v>267003.55015502701</v>
      </c>
      <c r="H355" s="9">
        <v>253105.506935702</v>
      </c>
      <c r="I355" s="21">
        <f t="shared" si="10"/>
        <v>53.77787422799156</v>
      </c>
      <c r="J355" s="21">
        <f t="shared" si="11"/>
        <v>57.36484895698959</v>
      </c>
    </row>
    <row r="356" spans="1:10" hidden="1">
      <c r="A356" t="s">
        <v>192</v>
      </c>
      <c r="B356" t="s">
        <v>194</v>
      </c>
      <c r="C356" s="18">
        <v>2049</v>
      </c>
      <c r="D356" t="s">
        <v>188</v>
      </c>
      <c r="E356" s="9">
        <v>801533.24031131796</v>
      </c>
      <c r="F356" s="9">
        <v>497972.29707464698</v>
      </c>
      <c r="G356" s="9">
        <v>801596.85366425803</v>
      </c>
      <c r="H356" s="9">
        <v>498010.65152404399</v>
      </c>
      <c r="I356" s="21">
        <f t="shared" si="10"/>
        <v>38.354449397011194</v>
      </c>
      <c r="J356" s="21">
        <f t="shared" si="11"/>
        <v>63.61335294006858</v>
      </c>
    </row>
    <row r="357" spans="1:10" hidden="1">
      <c r="A357" t="s">
        <v>192</v>
      </c>
      <c r="B357" t="s">
        <v>194</v>
      </c>
      <c r="C357" s="18">
        <v>2049</v>
      </c>
      <c r="D357" t="s">
        <v>191</v>
      </c>
      <c r="E357" s="9">
        <v>395976.56736532098</v>
      </c>
      <c r="F357" s="9">
        <v>213541.15694037499</v>
      </c>
      <c r="G357" s="9">
        <v>396058.615955627</v>
      </c>
      <c r="H357" s="9">
        <v>213580.236200068</v>
      </c>
      <c r="I357" s="21">
        <f t="shared" si="10"/>
        <v>39.079259693011409</v>
      </c>
      <c r="J357" s="21">
        <f t="shared" si="11"/>
        <v>82.048590306018014</v>
      </c>
    </row>
    <row r="358" spans="1:10" hidden="1">
      <c r="A358" t="s">
        <v>192</v>
      </c>
      <c r="B358" t="s">
        <v>194</v>
      </c>
      <c r="C358" s="18">
        <v>2049</v>
      </c>
      <c r="D358" t="s">
        <v>422</v>
      </c>
      <c r="E358" s="9">
        <v>34087.762945922703</v>
      </c>
      <c r="F358" s="9">
        <v>1998.59225041126</v>
      </c>
      <c r="G358" s="9">
        <v>34087.762706701098</v>
      </c>
      <c r="H358" s="9">
        <v>1998.5922336333499</v>
      </c>
      <c r="I358" s="21">
        <f t="shared" si="10"/>
        <v>-1.6777910104792682E-5</v>
      </c>
      <c r="J358" s="21">
        <f t="shared" si="11"/>
        <v>-2.3922160471556708E-4</v>
      </c>
    </row>
    <row r="359" spans="1:10" hidden="1">
      <c r="A359" t="s">
        <v>192</v>
      </c>
      <c r="B359" t="s">
        <v>194</v>
      </c>
      <c r="C359" s="18">
        <v>2050</v>
      </c>
      <c r="D359" t="s">
        <v>174</v>
      </c>
      <c r="E359" s="9">
        <v>26687.138585879398</v>
      </c>
      <c r="F359" s="9">
        <v>17826.560144192699</v>
      </c>
      <c r="G359" s="9">
        <v>26690.1101954068</v>
      </c>
      <c r="H359" s="9">
        <v>17828.637482456001</v>
      </c>
      <c r="I359" s="21">
        <f t="shared" si="10"/>
        <v>2.077338263301499</v>
      </c>
      <c r="J359" s="21">
        <f t="shared" si="11"/>
        <v>2.971609527401597</v>
      </c>
    </row>
    <row r="360" spans="1:10" hidden="1">
      <c r="A360" t="s">
        <v>192</v>
      </c>
      <c r="B360" t="s">
        <v>194</v>
      </c>
      <c r="C360" s="18">
        <v>2050</v>
      </c>
      <c r="D360" t="s">
        <v>236</v>
      </c>
      <c r="E360" s="9">
        <v>1297813.8758310699</v>
      </c>
      <c r="F360" s="9">
        <v>328736.47621877398</v>
      </c>
      <c r="G360" s="9">
        <v>1297798.19122542</v>
      </c>
      <c r="H360" s="9">
        <v>328734.06146541203</v>
      </c>
      <c r="I360" s="21">
        <f t="shared" si="10"/>
        <v>-2.4147533619543537</v>
      </c>
      <c r="J360" s="21">
        <f t="shared" si="11"/>
        <v>-15.684605649905279</v>
      </c>
    </row>
    <row r="361" spans="1:10" hidden="1">
      <c r="A361" t="s">
        <v>192</v>
      </c>
      <c r="B361" t="s">
        <v>194</v>
      </c>
      <c r="C361" s="18">
        <v>2050</v>
      </c>
      <c r="D361" t="s">
        <v>182</v>
      </c>
      <c r="E361" s="9">
        <v>149495.308353036</v>
      </c>
      <c r="F361" s="9">
        <v>95590.542561409602</v>
      </c>
      <c r="G361" s="9">
        <v>149549.878981469</v>
      </c>
      <c r="H361" s="9">
        <v>95625.943969428394</v>
      </c>
      <c r="I361" s="21">
        <f t="shared" si="10"/>
        <v>35.401408018791699</v>
      </c>
      <c r="J361" s="21">
        <f t="shared" si="11"/>
        <v>54.570628432993544</v>
      </c>
    </row>
    <row r="362" spans="1:10" hidden="1">
      <c r="A362" t="s">
        <v>192</v>
      </c>
      <c r="B362" t="s">
        <v>194</v>
      </c>
      <c r="C362" s="18">
        <v>2050</v>
      </c>
      <c r="D362" t="s">
        <v>185</v>
      </c>
      <c r="E362" s="9">
        <v>265974.51118407899</v>
      </c>
      <c r="F362" s="9">
        <v>252105.40431836099</v>
      </c>
      <c r="G362" s="9">
        <v>266031.496410964</v>
      </c>
      <c r="H362" s="9">
        <v>252158.93315896901</v>
      </c>
      <c r="I362" s="21">
        <f t="shared" si="10"/>
        <v>53.52884060802171</v>
      </c>
      <c r="J362" s="21">
        <f t="shared" si="11"/>
        <v>56.98522688500816</v>
      </c>
    </row>
    <row r="363" spans="1:10" hidden="1">
      <c r="A363" t="s">
        <v>192</v>
      </c>
      <c r="B363" t="s">
        <v>194</v>
      </c>
      <c r="C363" s="18">
        <v>2050</v>
      </c>
      <c r="D363" t="s">
        <v>188</v>
      </c>
      <c r="E363" s="9">
        <v>808955.17940750497</v>
      </c>
      <c r="F363" s="9">
        <v>504050.54055325501</v>
      </c>
      <c r="G363" s="9">
        <v>809018.72253896797</v>
      </c>
      <c r="H363" s="9">
        <v>504089.42679186398</v>
      </c>
      <c r="I363" s="21">
        <f t="shared" si="10"/>
        <v>38.886238608974963</v>
      </c>
      <c r="J363" s="21">
        <f t="shared" si="11"/>
        <v>63.543131462996826</v>
      </c>
    </row>
    <row r="364" spans="1:10" hidden="1">
      <c r="A364" t="s">
        <v>192</v>
      </c>
      <c r="B364" t="s">
        <v>194</v>
      </c>
      <c r="C364" s="18">
        <v>2050</v>
      </c>
      <c r="D364" t="s">
        <v>191</v>
      </c>
      <c r="E364" s="9">
        <v>398477.76359459298</v>
      </c>
      <c r="F364" s="9">
        <v>215530.93835374599</v>
      </c>
      <c r="G364" s="9">
        <v>398560.03791860503</v>
      </c>
      <c r="H364" s="9">
        <v>215570.73744048199</v>
      </c>
      <c r="I364" s="21">
        <f t="shared" si="10"/>
        <v>39.799086735991295</v>
      </c>
      <c r="J364" s="21">
        <f t="shared" si="11"/>
        <v>82.274324012047146</v>
      </c>
    </row>
    <row r="365" spans="1:10" hidden="1">
      <c r="A365" t="s">
        <v>192</v>
      </c>
      <c r="B365" t="s">
        <v>194</v>
      </c>
      <c r="C365" s="18">
        <v>2050</v>
      </c>
      <c r="D365" t="s">
        <v>422</v>
      </c>
      <c r="E365" s="9">
        <v>33926.479280373598</v>
      </c>
      <c r="F365" s="9">
        <v>1888.5150200875</v>
      </c>
      <c r="G365" s="9">
        <v>33926.479042696701</v>
      </c>
      <c r="H365" s="9">
        <v>1888.5150098655699</v>
      </c>
      <c r="I365" s="21">
        <f t="shared" si="10"/>
        <v>-1.0221930097031873E-5</v>
      </c>
      <c r="J365" s="21">
        <f t="shared" si="11"/>
        <v>-2.376768970862031E-4</v>
      </c>
    </row>
    <row r="366" spans="1:10" hidden="1">
      <c r="A366" t="s">
        <v>200</v>
      </c>
      <c r="B366" t="s">
        <v>202</v>
      </c>
      <c r="C366" s="18">
        <v>2025</v>
      </c>
      <c r="D366" t="s">
        <v>174</v>
      </c>
      <c r="E366" s="9">
        <v>12176.1707137429</v>
      </c>
      <c r="F366" s="9">
        <v>8959.2701472679</v>
      </c>
      <c r="G366" s="9">
        <v>12176.1707137429</v>
      </c>
      <c r="H366" s="9">
        <v>8959.2701472679</v>
      </c>
      <c r="I366" s="21">
        <f t="shared" si="10"/>
        <v>0</v>
      </c>
      <c r="J366" s="21">
        <f t="shared" si="11"/>
        <v>0</v>
      </c>
    </row>
    <row r="367" spans="1:10" hidden="1">
      <c r="A367" t="s">
        <v>200</v>
      </c>
      <c r="B367" t="s">
        <v>202</v>
      </c>
      <c r="C367" s="18">
        <v>2025</v>
      </c>
      <c r="D367" t="s">
        <v>236</v>
      </c>
      <c r="E367" s="9">
        <v>1026758.5711338</v>
      </c>
      <c r="F367" s="9">
        <v>129383.32321031499</v>
      </c>
      <c r="G367" s="9">
        <v>1026758.5711338</v>
      </c>
      <c r="H367" s="9">
        <v>129383.32321031499</v>
      </c>
      <c r="I367" s="21">
        <f t="shared" si="10"/>
        <v>0</v>
      </c>
      <c r="J367" s="21">
        <f t="shared" si="11"/>
        <v>0</v>
      </c>
    </row>
    <row r="368" spans="1:10" hidden="1">
      <c r="A368" t="s">
        <v>200</v>
      </c>
      <c r="B368" t="s">
        <v>202</v>
      </c>
      <c r="C368" s="18">
        <v>2025</v>
      </c>
      <c r="D368" t="s">
        <v>182</v>
      </c>
      <c r="E368" s="9">
        <v>115291.15986546699</v>
      </c>
      <c r="F368" s="9">
        <v>67656.558989495796</v>
      </c>
      <c r="G368" s="9">
        <v>115291.15986546699</v>
      </c>
      <c r="H368" s="9">
        <v>67656.558989495796</v>
      </c>
      <c r="I368" s="21">
        <f t="shared" si="10"/>
        <v>0</v>
      </c>
      <c r="J368" s="21">
        <f t="shared" si="11"/>
        <v>0</v>
      </c>
    </row>
    <row r="369" spans="1:10" hidden="1">
      <c r="A369" t="s">
        <v>200</v>
      </c>
      <c r="B369" t="s">
        <v>202</v>
      </c>
      <c r="C369" s="18">
        <v>2025</v>
      </c>
      <c r="D369" t="s">
        <v>185</v>
      </c>
      <c r="E369" s="9">
        <v>281662.55341658002</v>
      </c>
      <c r="F369" s="9">
        <v>263295.70058044</v>
      </c>
      <c r="G369" s="9">
        <v>281662.55341658002</v>
      </c>
      <c r="H369" s="9">
        <v>263295.70058044</v>
      </c>
      <c r="I369" s="21">
        <f t="shared" si="10"/>
        <v>0</v>
      </c>
      <c r="J369" s="21">
        <f t="shared" si="11"/>
        <v>0</v>
      </c>
    </row>
    <row r="370" spans="1:10" hidden="1">
      <c r="A370" t="s">
        <v>200</v>
      </c>
      <c r="B370" t="s">
        <v>202</v>
      </c>
      <c r="C370" s="18">
        <v>2025</v>
      </c>
      <c r="D370" t="s">
        <v>188</v>
      </c>
      <c r="E370" s="9">
        <v>612171.634776233</v>
      </c>
      <c r="F370" s="9">
        <v>335724.86979376699</v>
      </c>
      <c r="G370" s="9">
        <v>612171.634776233</v>
      </c>
      <c r="H370" s="9">
        <v>335724.86979376699</v>
      </c>
      <c r="I370" s="21">
        <f t="shared" si="10"/>
        <v>0</v>
      </c>
      <c r="J370" s="21">
        <f t="shared" si="11"/>
        <v>0</v>
      </c>
    </row>
    <row r="371" spans="1:10" hidden="1">
      <c r="A371" t="s">
        <v>200</v>
      </c>
      <c r="B371" t="s">
        <v>202</v>
      </c>
      <c r="C371" s="18">
        <v>2025</v>
      </c>
      <c r="D371" t="s">
        <v>191</v>
      </c>
      <c r="E371" s="9">
        <v>339642.13012673298</v>
      </c>
      <c r="F371" s="9">
        <v>190841.880003208</v>
      </c>
      <c r="G371" s="9">
        <v>339642.13012673298</v>
      </c>
      <c r="H371" s="9">
        <v>190841.880003208</v>
      </c>
      <c r="I371" s="21">
        <f t="shared" si="10"/>
        <v>0</v>
      </c>
      <c r="J371" s="21">
        <f t="shared" si="11"/>
        <v>0</v>
      </c>
    </row>
    <row r="372" spans="1:10" hidden="1">
      <c r="A372" t="s">
        <v>200</v>
      </c>
      <c r="B372" t="s">
        <v>202</v>
      </c>
      <c r="C372" s="18">
        <v>2025</v>
      </c>
      <c r="D372" t="s">
        <v>422</v>
      </c>
      <c r="E372" s="9">
        <v>39660.836547407802</v>
      </c>
      <c r="F372" s="9">
        <v>5303.4223017440199</v>
      </c>
      <c r="G372" s="9">
        <v>39660.836547407802</v>
      </c>
      <c r="H372" s="9">
        <v>5303.4223017440199</v>
      </c>
      <c r="I372" s="21">
        <f t="shared" si="10"/>
        <v>0</v>
      </c>
      <c r="J372" s="21">
        <f t="shared" si="11"/>
        <v>0</v>
      </c>
    </row>
    <row r="373" spans="1:10" hidden="1">
      <c r="A373" t="s">
        <v>200</v>
      </c>
      <c r="B373" t="s">
        <v>202</v>
      </c>
      <c r="C373" s="18">
        <v>2026</v>
      </c>
      <c r="D373" t="s">
        <v>174</v>
      </c>
      <c r="E373" s="9">
        <v>12568.9386470114</v>
      </c>
      <c r="F373" s="9">
        <v>9271.1333627081003</v>
      </c>
      <c r="G373" s="9">
        <v>12568.9386470114</v>
      </c>
      <c r="H373" s="9">
        <v>9271.1333627081003</v>
      </c>
      <c r="I373" s="21">
        <f t="shared" si="10"/>
        <v>0</v>
      </c>
      <c r="J373" s="21">
        <f t="shared" si="11"/>
        <v>0</v>
      </c>
    </row>
    <row r="374" spans="1:10" hidden="1">
      <c r="A374" t="s">
        <v>200</v>
      </c>
      <c r="B374" t="s">
        <v>202</v>
      </c>
      <c r="C374" s="18">
        <v>2026</v>
      </c>
      <c r="D374" t="s">
        <v>236</v>
      </c>
      <c r="E374" s="9">
        <v>1042135.18581351</v>
      </c>
      <c r="F374" s="9">
        <v>137145.82895878801</v>
      </c>
      <c r="G374" s="9">
        <v>1042135.18581351</v>
      </c>
      <c r="H374" s="9">
        <v>137145.82895878801</v>
      </c>
      <c r="I374" s="21">
        <f t="shared" si="10"/>
        <v>0</v>
      </c>
      <c r="J374" s="21">
        <f t="shared" si="11"/>
        <v>0</v>
      </c>
    </row>
    <row r="375" spans="1:10" hidden="1">
      <c r="A375" t="s">
        <v>200</v>
      </c>
      <c r="B375" t="s">
        <v>202</v>
      </c>
      <c r="C375" s="18">
        <v>2026</v>
      </c>
      <c r="D375" t="s">
        <v>182</v>
      </c>
      <c r="E375" s="9">
        <v>114502.307144579</v>
      </c>
      <c r="F375" s="9">
        <v>70326.603453519798</v>
      </c>
      <c r="G375" s="9">
        <v>114707.986926294</v>
      </c>
      <c r="H375" s="9">
        <v>70326.603453519798</v>
      </c>
      <c r="I375" s="21">
        <f t="shared" si="10"/>
        <v>0</v>
      </c>
      <c r="J375" s="21">
        <f t="shared" si="11"/>
        <v>205.67978171500727</v>
      </c>
    </row>
    <row r="376" spans="1:10" hidden="1">
      <c r="A376" t="s">
        <v>200</v>
      </c>
      <c r="B376" t="s">
        <v>202</v>
      </c>
      <c r="C376" s="18">
        <v>2026</v>
      </c>
      <c r="D376" t="s">
        <v>185</v>
      </c>
      <c r="E376" s="9">
        <v>282215.59574263002</v>
      </c>
      <c r="F376" s="9">
        <v>259504.46801133201</v>
      </c>
      <c r="G376" s="9">
        <v>282722.53786088398</v>
      </c>
      <c r="H376" s="9">
        <v>259504.46801133201</v>
      </c>
      <c r="I376" s="21">
        <f t="shared" si="10"/>
        <v>0</v>
      </c>
      <c r="J376" s="21">
        <f t="shared" si="11"/>
        <v>506.94211825396633</v>
      </c>
    </row>
    <row r="377" spans="1:10" hidden="1">
      <c r="A377" t="s">
        <v>200</v>
      </c>
      <c r="B377" t="s">
        <v>202</v>
      </c>
      <c r="C377" s="18">
        <v>2026</v>
      </c>
      <c r="D377" t="s">
        <v>188</v>
      </c>
      <c r="E377" s="9">
        <v>615684.07967516501</v>
      </c>
      <c r="F377" s="9">
        <v>342960.13528186502</v>
      </c>
      <c r="G377" s="9">
        <v>616790.02915575495</v>
      </c>
      <c r="H377" s="9">
        <v>342960.13528186502</v>
      </c>
      <c r="I377" s="21">
        <f t="shared" si="10"/>
        <v>0</v>
      </c>
      <c r="J377" s="21">
        <f t="shared" si="11"/>
        <v>1105.9494805899449</v>
      </c>
    </row>
    <row r="378" spans="1:10" hidden="1">
      <c r="A378" t="s">
        <v>200</v>
      </c>
      <c r="B378" t="s">
        <v>202</v>
      </c>
      <c r="C378" s="18">
        <v>2026</v>
      </c>
      <c r="D378" t="s">
        <v>191</v>
      </c>
      <c r="E378" s="9">
        <v>337892.11591666401</v>
      </c>
      <c r="F378" s="9">
        <v>190574.61381884801</v>
      </c>
      <c r="G378" s="9">
        <v>338499.06942160201</v>
      </c>
      <c r="H378" s="9">
        <v>190574.61381884801</v>
      </c>
      <c r="I378" s="21">
        <f t="shared" si="10"/>
        <v>0</v>
      </c>
      <c r="J378" s="21">
        <f t="shared" si="11"/>
        <v>606.95350493799197</v>
      </c>
    </row>
    <row r="379" spans="1:10" hidden="1">
      <c r="A379" t="s">
        <v>200</v>
      </c>
      <c r="B379" t="s">
        <v>202</v>
      </c>
      <c r="C379" s="18">
        <v>2026</v>
      </c>
      <c r="D379" t="s">
        <v>422</v>
      </c>
      <c r="E379" s="9">
        <v>39250.667018004897</v>
      </c>
      <c r="F379" s="9">
        <v>5105.6095547855903</v>
      </c>
      <c r="G379" s="9">
        <v>39250.667018004897</v>
      </c>
      <c r="H379" s="9">
        <v>5105.6095547855903</v>
      </c>
      <c r="I379" s="21">
        <f t="shared" si="10"/>
        <v>0</v>
      </c>
      <c r="J379" s="21">
        <f t="shared" si="11"/>
        <v>0</v>
      </c>
    </row>
    <row r="380" spans="1:10" hidden="1">
      <c r="A380" t="s">
        <v>200</v>
      </c>
      <c r="B380" t="s">
        <v>202</v>
      </c>
      <c r="C380" s="18">
        <v>2027</v>
      </c>
      <c r="D380" t="s">
        <v>174</v>
      </c>
      <c r="E380" s="9">
        <v>12976.103113363301</v>
      </c>
      <c r="F380" s="9">
        <v>9577.5296548643291</v>
      </c>
      <c r="G380" s="9">
        <v>12976.103113363301</v>
      </c>
      <c r="H380" s="9">
        <v>9577.5296548643291</v>
      </c>
      <c r="I380" s="21">
        <f t="shared" si="10"/>
        <v>0</v>
      </c>
      <c r="J380" s="21">
        <f t="shared" si="11"/>
        <v>0</v>
      </c>
    </row>
    <row r="381" spans="1:10" hidden="1">
      <c r="A381" t="s">
        <v>200</v>
      </c>
      <c r="B381" t="s">
        <v>202</v>
      </c>
      <c r="C381" s="18">
        <v>2027</v>
      </c>
      <c r="D381" t="s">
        <v>236</v>
      </c>
      <c r="E381" s="9">
        <v>1057148.31873483</v>
      </c>
      <c r="F381" s="9">
        <v>145009.441994705</v>
      </c>
      <c r="G381" s="9">
        <v>1057148.31873483</v>
      </c>
      <c r="H381" s="9">
        <v>145009.441994705</v>
      </c>
      <c r="I381" s="21">
        <f t="shared" si="10"/>
        <v>0</v>
      </c>
      <c r="J381" s="21">
        <f t="shared" si="11"/>
        <v>0</v>
      </c>
    </row>
    <row r="382" spans="1:10" hidden="1">
      <c r="A382" t="s">
        <v>200</v>
      </c>
      <c r="B382" t="s">
        <v>202</v>
      </c>
      <c r="C382" s="18">
        <v>2027</v>
      </c>
      <c r="D382" t="s">
        <v>182</v>
      </c>
      <c r="E382" s="9">
        <v>113744.541418238</v>
      </c>
      <c r="F382" s="9">
        <v>72258.641435966405</v>
      </c>
      <c r="G382" s="9">
        <v>114152.944165875</v>
      </c>
      <c r="H382" s="9">
        <v>72290.169991209099</v>
      </c>
      <c r="I382" s="21">
        <f t="shared" si="10"/>
        <v>31.528555242693983</v>
      </c>
      <c r="J382" s="21">
        <f t="shared" si="11"/>
        <v>408.40274763699563</v>
      </c>
    </row>
    <row r="383" spans="1:10" hidden="1">
      <c r="A383" t="s">
        <v>200</v>
      </c>
      <c r="B383" t="s">
        <v>202</v>
      </c>
      <c r="C383" s="18">
        <v>2027</v>
      </c>
      <c r="D383" t="s">
        <v>185</v>
      </c>
      <c r="E383" s="9">
        <v>276883.93866614602</v>
      </c>
      <c r="F383" s="9">
        <v>260110.35164262701</v>
      </c>
      <c r="G383" s="9">
        <v>277877.509454571</v>
      </c>
      <c r="H383" s="9">
        <v>260330.421136777</v>
      </c>
      <c r="I383" s="21">
        <f t="shared" si="10"/>
        <v>220.0694941499969</v>
      </c>
      <c r="J383" s="21">
        <f t="shared" si="11"/>
        <v>993.57078842498595</v>
      </c>
    </row>
    <row r="384" spans="1:10" hidden="1">
      <c r="A384" t="s">
        <v>200</v>
      </c>
      <c r="B384" t="s">
        <v>202</v>
      </c>
      <c r="C384" s="18">
        <v>2027</v>
      </c>
      <c r="D384" t="s">
        <v>188</v>
      </c>
      <c r="E384" s="9">
        <v>619213.02542365901</v>
      </c>
      <c r="F384" s="9">
        <v>349326.516135321</v>
      </c>
      <c r="G384" s="9">
        <v>621430.90280116105</v>
      </c>
      <c r="H384" s="9">
        <v>349405.30073034298</v>
      </c>
      <c r="I384" s="21">
        <f t="shared" si="10"/>
        <v>78.784595021978021</v>
      </c>
      <c r="J384" s="21">
        <f t="shared" si="11"/>
        <v>2217.8773775020381</v>
      </c>
    </row>
    <row r="385" spans="1:10" hidden="1">
      <c r="A385" t="s">
        <v>200</v>
      </c>
      <c r="B385" t="s">
        <v>202</v>
      </c>
      <c r="C385" s="18">
        <v>2027</v>
      </c>
      <c r="D385" t="s">
        <v>191</v>
      </c>
      <c r="E385" s="9">
        <v>336193.76995012898</v>
      </c>
      <c r="F385" s="9">
        <v>188977.70198556301</v>
      </c>
      <c r="G385" s="9">
        <v>337398.94907172298</v>
      </c>
      <c r="H385" s="9">
        <v>189031.10044551201</v>
      </c>
      <c r="I385" s="21">
        <f t="shared" si="10"/>
        <v>53.398459949006792</v>
      </c>
      <c r="J385" s="21">
        <f t="shared" si="11"/>
        <v>1205.1791215940029</v>
      </c>
    </row>
    <row r="386" spans="1:10" hidden="1">
      <c r="A386" t="s">
        <v>200</v>
      </c>
      <c r="B386" t="s">
        <v>202</v>
      </c>
      <c r="C386" s="18">
        <v>2027</v>
      </c>
      <c r="D386" t="s">
        <v>422</v>
      </c>
      <c r="E386" s="9">
        <v>38773.627186343103</v>
      </c>
      <c r="F386" s="9">
        <v>4921.4971535538998</v>
      </c>
      <c r="G386" s="9">
        <v>38773.627186343103</v>
      </c>
      <c r="H386" s="9">
        <v>4921.4971535538998</v>
      </c>
      <c r="I386" s="21">
        <f t="shared" ref="I386:I449" si="12">H386-F386</f>
        <v>0</v>
      </c>
      <c r="J386" s="21">
        <f t="shared" ref="J386:J449" si="13">G386-E386</f>
        <v>0</v>
      </c>
    </row>
    <row r="387" spans="1:10" hidden="1">
      <c r="A387" t="s">
        <v>200</v>
      </c>
      <c r="B387" t="s">
        <v>202</v>
      </c>
      <c r="C387" s="18">
        <v>2028</v>
      </c>
      <c r="D387" t="s">
        <v>174</v>
      </c>
      <c r="E387" s="9">
        <v>13394.860152981901</v>
      </c>
      <c r="F387" s="9">
        <v>9881.9220189252792</v>
      </c>
      <c r="G387" s="9">
        <v>13394.6739315754</v>
      </c>
      <c r="H387" s="9">
        <v>9881.9220189252792</v>
      </c>
      <c r="I387" s="21">
        <f t="shared" si="12"/>
        <v>0</v>
      </c>
      <c r="J387" s="21">
        <f t="shared" si="13"/>
        <v>-0.18622140650040819</v>
      </c>
    </row>
    <row r="388" spans="1:10" hidden="1">
      <c r="A388" t="s">
        <v>200</v>
      </c>
      <c r="B388" t="s">
        <v>202</v>
      </c>
      <c r="C388" s="18">
        <v>2028</v>
      </c>
      <c r="D388" t="s">
        <v>236</v>
      </c>
      <c r="E388" s="9">
        <v>1071828.9994314001</v>
      </c>
      <c r="F388" s="9">
        <v>152971.72938899801</v>
      </c>
      <c r="G388" s="9">
        <v>1071826.1250559301</v>
      </c>
      <c r="H388" s="9">
        <v>152971.72938899801</v>
      </c>
      <c r="I388" s="21">
        <f t="shared" si="12"/>
        <v>0</v>
      </c>
      <c r="J388" s="21">
        <f t="shared" si="13"/>
        <v>-2.8743754699826241</v>
      </c>
    </row>
    <row r="389" spans="1:10" hidden="1">
      <c r="A389" t="s">
        <v>200</v>
      </c>
      <c r="B389" t="s">
        <v>202</v>
      </c>
      <c r="C389" s="18">
        <v>2028</v>
      </c>
      <c r="D389" t="s">
        <v>182</v>
      </c>
      <c r="E389" s="9">
        <v>113529.288662062</v>
      </c>
      <c r="F389" s="9">
        <v>73760.753484417903</v>
      </c>
      <c r="G389" s="9">
        <v>114139.12292486199</v>
      </c>
      <c r="H389" s="9">
        <v>73846.874209439702</v>
      </c>
      <c r="I389" s="21">
        <f t="shared" si="12"/>
        <v>86.120725021799444</v>
      </c>
      <c r="J389" s="21">
        <f t="shared" si="13"/>
        <v>609.83426279999549</v>
      </c>
    </row>
    <row r="390" spans="1:10" hidden="1">
      <c r="A390" t="s">
        <v>200</v>
      </c>
      <c r="B390" t="s">
        <v>202</v>
      </c>
      <c r="C390" s="18">
        <v>2028</v>
      </c>
      <c r="D390" t="s">
        <v>185</v>
      </c>
      <c r="E390" s="9">
        <v>276251.16682313499</v>
      </c>
      <c r="F390" s="9">
        <v>257269.64528238401</v>
      </c>
      <c r="G390" s="9">
        <v>277735.69614120398</v>
      </c>
      <c r="H390" s="9">
        <v>257765.32327170501</v>
      </c>
      <c r="I390" s="21">
        <f t="shared" si="12"/>
        <v>495.67798932100413</v>
      </c>
      <c r="J390" s="21">
        <f t="shared" si="13"/>
        <v>1484.5293180689914</v>
      </c>
    </row>
    <row r="391" spans="1:10" hidden="1">
      <c r="A391" t="s">
        <v>200</v>
      </c>
      <c r="B391" t="s">
        <v>202</v>
      </c>
      <c r="C391" s="18">
        <v>2028</v>
      </c>
      <c r="D391" t="s">
        <v>188</v>
      </c>
      <c r="E391" s="9">
        <v>624382.10274905595</v>
      </c>
      <c r="F391" s="9">
        <v>355936.62147139799</v>
      </c>
      <c r="G391" s="9">
        <v>627723.84415529598</v>
      </c>
      <c r="H391" s="9">
        <v>356159.25290604099</v>
      </c>
      <c r="I391" s="21">
        <f t="shared" si="12"/>
        <v>222.63143464300083</v>
      </c>
      <c r="J391" s="21">
        <f t="shared" si="13"/>
        <v>3341.7414062400348</v>
      </c>
    </row>
    <row r="392" spans="1:10" hidden="1">
      <c r="A392" t="s">
        <v>200</v>
      </c>
      <c r="B392" t="s">
        <v>202</v>
      </c>
      <c r="C392" s="18">
        <v>2028</v>
      </c>
      <c r="D392" t="s">
        <v>191</v>
      </c>
      <c r="E392" s="9">
        <v>335715.485792786</v>
      </c>
      <c r="F392" s="9">
        <v>186978.592511939</v>
      </c>
      <c r="G392" s="9">
        <v>337514.695524676</v>
      </c>
      <c r="H392" s="9">
        <v>187116.63987946699</v>
      </c>
      <c r="I392" s="21">
        <f t="shared" si="12"/>
        <v>138.04736752799363</v>
      </c>
      <c r="J392" s="21">
        <f t="shared" si="13"/>
        <v>1799.2097318900051</v>
      </c>
    </row>
    <row r="393" spans="1:10" hidden="1">
      <c r="A393" t="s">
        <v>200</v>
      </c>
      <c r="B393" t="s">
        <v>202</v>
      </c>
      <c r="C393" s="18">
        <v>2028</v>
      </c>
      <c r="D393" t="s">
        <v>422</v>
      </c>
      <c r="E393" s="9">
        <v>38149.295588520297</v>
      </c>
      <c r="F393" s="9">
        <v>4742.0855729783398</v>
      </c>
      <c r="G393" s="9">
        <v>38149.291579231904</v>
      </c>
      <c r="H393" s="9">
        <v>4742.0855729783398</v>
      </c>
      <c r="I393" s="21">
        <f t="shared" si="12"/>
        <v>0</v>
      </c>
      <c r="J393" s="21">
        <f t="shared" si="13"/>
        <v>-4.0092883937177248E-3</v>
      </c>
    </row>
    <row r="394" spans="1:10" hidden="1">
      <c r="A394" t="s">
        <v>200</v>
      </c>
      <c r="B394" t="s">
        <v>202</v>
      </c>
      <c r="C394" s="18">
        <v>2029</v>
      </c>
      <c r="D394" t="s">
        <v>174</v>
      </c>
      <c r="E394" s="9">
        <v>13830.6564305924</v>
      </c>
      <c r="F394" s="9">
        <v>10188.426720817801</v>
      </c>
      <c r="G394" s="9">
        <v>13830.048598278099</v>
      </c>
      <c r="H394" s="9">
        <v>10188.394886280999</v>
      </c>
      <c r="I394" s="21">
        <f t="shared" si="12"/>
        <v>-3.1834536801397917E-2</v>
      </c>
      <c r="J394" s="21">
        <f t="shared" si="13"/>
        <v>-0.60783231430104934</v>
      </c>
    </row>
    <row r="395" spans="1:10" hidden="1">
      <c r="A395" t="s">
        <v>200</v>
      </c>
      <c r="B395" t="s">
        <v>202</v>
      </c>
      <c r="C395" s="18">
        <v>2029</v>
      </c>
      <c r="D395" t="s">
        <v>236</v>
      </c>
      <c r="E395" s="9">
        <v>1086210.38417753</v>
      </c>
      <c r="F395" s="9">
        <v>161038.297258901</v>
      </c>
      <c r="G395" s="9">
        <v>1086200.5009906101</v>
      </c>
      <c r="H395" s="9">
        <v>161038.22768731901</v>
      </c>
      <c r="I395" s="21">
        <f t="shared" si="12"/>
        <v>-6.9571581989293918E-2</v>
      </c>
      <c r="J395" s="21">
        <f t="shared" si="13"/>
        <v>-9.8831869198475033</v>
      </c>
    </row>
    <row r="396" spans="1:10" hidden="1">
      <c r="A396" t="s">
        <v>200</v>
      </c>
      <c r="B396" t="s">
        <v>202</v>
      </c>
      <c r="C396" s="18">
        <v>2029</v>
      </c>
      <c r="D396" t="s">
        <v>182</v>
      </c>
      <c r="E396" s="9">
        <v>113239.624242395</v>
      </c>
      <c r="F396" s="9">
        <v>75294.031170164802</v>
      </c>
      <c r="G396" s="9">
        <v>114048.15533588199</v>
      </c>
      <c r="H396" s="9">
        <v>75452.222577591499</v>
      </c>
      <c r="I396" s="21">
        <f t="shared" si="12"/>
        <v>158.19140742669697</v>
      </c>
      <c r="J396" s="21">
        <f t="shared" si="13"/>
        <v>808.53109348699218</v>
      </c>
    </row>
    <row r="397" spans="1:10" hidden="1">
      <c r="A397" t="s">
        <v>200</v>
      </c>
      <c r="B397" t="s">
        <v>202</v>
      </c>
      <c r="C397" s="18">
        <v>2029</v>
      </c>
      <c r="D397" t="s">
        <v>185</v>
      </c>
      <c r="E397" s="9">
        <v>273862.28928176401</v>
      </c>
      <c r="F397" s="9">
        <v>257520.37735603401</v>
      </c>
      <c r="G397" s="9">
        <v>275821.08299242798</v>
      </c>
      <c r="H397" s="9">
        <v>258334.31739486201</v>
      </c>
      <c r="I397" s="21">
        <f t="shared" si="12"/>
        <v>813.94003882800462</v>
      </c>
      <c r="J397" s="21">
        <f t="shared" si="13"/>
        <v>1958.7937106639729</v>
      </c>
    </row>
    <row r="398" spans="1:10" hidden="1">
      <c r="A398" t="s">
        <v>200</v>
      </c>
      <c r="B398" t="s">
        <v>202</v>
      </c>
      <c r="C398" s="18">
        <v>2029</v>
      </c>
      <c r="D398" t="s">
        <v>188</v>
      </c>
      <c r="E398" s="9">
        <v>626326.85198279796</v>
      </c>
      <c r="F398" s="9">
        <v>363468.77230718901</v>
      </c>
      <c r="G398" s="9">
        <v>630779.36998507904</v>
      </c>
      <c r="H398" s="9">
        <v>363892.26827992598</v>
      </c>
      <c r="I398" s="21">
        <f t="shared" si="12"/>
        <v>423.49597273697145</v>
      </c>
      <c r="J398" s="21">
        <f t="shared" si="13"/>
        <v>4452.5180022810819</v>
      </c>
    </row>
    <row r="399" spans="1:10" hidden="1">
      <c r="A399" t="s">
        <v>200</v>
      </c>
      <c r="B399" t="s">
        <v>202</v>
      </c>
      <c r="C399" s="18">
        <v>2029</v>
      </c>
      <c r="D399" t="s">
        <v>191</v>
      </c>
      <c r="E399" s="9">
        <v>333545.96960258798</v>
      </c>
      <c r="F399" s="9">
        <v>186577.775283161</v>
      </c>
      <c r="G399" s="9">
        <v>335921.29283179599</v>
      </c>
      <c r="H399" s="9">
        <v>186821.56008749199</v>
      </c>
      <c r="I399" s="21">
        <f t="shared" si="12"/>
        <v>243.78480433099321</v>
      </c>
      <c r="J399" s="21">
        <f t="shared" si="13"/>
        <v>2375.3232292080065</v>
      </c>
    </row>
    <row r="400" spans="1:10" hidden="1">
      <c r="A400" t="s">
        <v>200</v>
      </c>
      <c r="B400" t="s">
        <v>202</v>
      </c>
      <c r="C400" s="18">
        <v>2029</v>
      </c>
      <c r="D400" t="s">
        <v>422</v>
      </c>
      <c r="E400" s="9">
        <v>37777.477818904801</v>
      </c>
      <c r="F400" s="9">
        <v>4604.0684392634303</v>
      </c>
      <c r="G400" s="9">
        <v>37777.467218977603</v>
      </c>
      <c r="H400" s="9">
        <v>4604.0681483163899</v>
      </c>
      <c r="I400" s="21">
        <f t="shared" si="12"/>
        <v>-2.9094704041199293E-4</v>
      </c>
      <c r="J400" s="21">
        <f t="shared" si="13"/>
        <v>-1.0599927198200021E-2</v>
      </c>
    </row>
    <row r="401" spans="1:10" hidden="1">
      <c r="A401" t="s">
        <v>200</v>
      </c>
      <c r="B401" t="s">
        <v>202</v>
      </c>
      <c r="C401" s="18">
        <v>2030</v>
      </c>
      <c r="D401" t="s">
        <v>174</v>
      </c>
      <c r="E401" s="9">
        <v>14283.2658026524</v>
      </c>
      <c r="F401" s="9">
        <v>10500.412781098299</v>
      </c>
      <c r="G401" s="9">
        <v>14281.959039535501</v>
      </c>
      <c r="H401" s="9">
        <v>10500.2867221377</v>
      </c>
      <c r="I401" s="21">
        <f t="shared" si="12"/>
        <v>-0.12605896059903898</v>
      </c>
      <c r="J401" s="21">
        <f t="shared" si="13"/>
        <v>-1.3067631168996741</v>
      </c>
    </row>
    <row r="402" spans="1:10" hidden="1">
      <c r="A402" t="s">
        <v>200</v>
      </c>
      <c r="B402" t="s">
        <v>202</v>
      </c>
      <c r="C402" s="18">
        <v>2030</v>
      </c>
      <c r="D402" t="s">
        <v>236</v>
      </c>
      <c r="E402" s="9">
        <v>1100213.78052118</v>
      </c>
      <c r="F402" s="9">
        <v>169196.681729932</v>
      </c>
      <c r="G402" s="9">
        <v>1100191.7865472301</v>
      </c>
      <c r="H402" s="9">
        <v>169196.385350075</v>
      </c>
      <c r="I402" s="21">
        <f t="shared" si="12"/>
        <v>-0.29637985699810088</v>
      </c>
      <c r="J402" s="21">
        <f t="shared" si="13"/>
        <v>-21.993973949924111</v>
      </c>
    </row>
    <row r="403" spans="1:10" hidden="1">
      <c r="A403" t="s">
        <v>200</v>
      </c>
      <c r="B403" t="s">
        <v>202</v>
      </c>
      <c r="C403" s="18">
        <v>2030</v>
      </c>
      <c r="D403" t="s">
        <v>182</v>
      </c>
      <c r="E403" s="9">
        <v>113769.76208956</v>
      </c>
      <c r="F403" s="9">
        <v>75760.580673316595</v>
      </c>
      <c r="G403" s="9">
        <v>114781.951575614</v>
      </c>
      <c r="H403" s="9">
        <v>76004.374773711097</v>
      </c>
      <c r="I403" s="21">
        <f t="shared" si="12"/>
        <v>243.79410039450158</v>
      </c>
      <c r="J403" s="21">
        <f t="shared" si="13"/>
        <v>1012.1894860540051</v>
      </c>
    </row>
    <row r="404" spans="1:10" hidden="1">
      <c r="A404" t="s">
        <v>200</v>
      </c>
      <c r="B404" t="s">
        <v>202</v>
      </c>
      <c r="C404" s="18">
        <v>2030</v>
      </c>
      <c r="D404" t="s">
        <v>185</v>
      </c>
      <c r="E404" s="9">
        <v>273312.05437830201</v>
      </c>
      <c r="F404" s="9">
        <v>256262.86791697601</v>
      </c>
      <c r="G404" s="9">
        <v>275750.81654950802</v>
      </c>
      <c r="H404" s="9">
        <v>257411.19778715901</v>
      </c>
      <c r="I404" s="21">
        <f t="shared" si="12"/>
        <v>1148.3298701829917</v>
      </c>
      <c r="J404" s="21">
        <f t="shared" si="13"/>
        <v>2438.7621712060063</v>
      </c>
    </row>
    <row r="405" spans="1:10" hidden="1">
      <c r="A405" t="s">
        <v>200</v>
      </c>
      <c r="B405" t="s">
        <v>202</v>
      </c>
      <c r="C405" s="18">
        <v>2030</v>
      </c>
      <c r="D405" t="s">
        <v>188</v>
      </c>
      <c r="E405" s="9">
        <v>632598.33887546696</v>
      </c>
      <c r="F405" s="9">
        <v>368245.14515005797</v>
      </c>
      <c r="G405" s="9">
        <v>638199.36722691404</v>
      </c>
      <c r="H405" s="9">
        <v>368920.44347907702</v>
      </c>
      <c r="I405" s="21">
        <f t="shared" si="12"/>
        <v>675.29832901904592</v>
      </c>
      <c r="J405" s="21">
        <f t="shared" si="13"/>
        <v>5601.0283514470793</v>
      </c>
    </row>
    <row r="406" spans="1:10" hidden="1">
      <c r="A406" t="s">
        <v>200</v>
      </c>
      <c r="B406" t="s">
        <v>202</v>
      </c>
      <c r="C406" s="18">
        <v>2030</v>
      </c>
      <c r="D406" t="s">
        <v>191</v>
      </c>
      <c r="E406" s="9">
        <v>334407.72001428698</v>
      </c>
      <c r="F406" s="9">
        <v>185077.12705763799</v>
      </c>
      <c r="G406" s="9">
        <v>337374.94686633401</v>
      </c>
      <c r="H406" s="9">
        <v>185442.493190957</v>
      </c>
      <c r="I406" s="21">
        <f t="shared" si="12"/>
        <v>365.36613331901026</v>
      </c>
      <c r="J406" s="21">
        <f t="shared" si="13"/>
        <v>2967.2268520470243</v>
      </c>
    </row>
    <row r="407" spans="1:10" hidden="1">
      <c r="A407" t="s">
        <v>200</v>
      </c>
      <c r="B407" t="s">
        <v>202</v>
      </c>
      <c r="C407" s="18">
        <v>2030</v>
      </c>
      <c r="D407" t="s">
        <v>422</v>
      </c>
      <c r="E407" s="9">
        <v>38012.692388495903</v>
      </c>
      <c r="F407" s="9">
        <v>4432.1177668805603</v>
      </c>
      <c r="G407" s="9">
        <v>38012.673637756197</v>
      </c>
      <c r="H407" s="9">
        <v>4432.1168533298996</v>
      </c>
      <c r="I407" s="21">
        <f t="shared" si="12"/>
        <v>-9.1355066069809254E-4</v>
      </c>
      <c r="J407" s="21">
        <f t="shared" si="13"/>
        <v>-1.8750739705865271E-2</v>
      </c>
    </row>
    <row r="408" spans="1:10" hidden="1">
      <c r="A408" t="s">
        <v>200</v>
      </c>
      <c r="B408" t="s">
        <v>202</v>
      </c>
      <c r="C408" s="18">
        <v>2031</v>
      </c>
      <c r="D408" t="s">
        <v>174</v>
      </c>
      <c r="E408" s="9">
        <v>14756.727051864</v>
      </c>
      <c r="F408" s="9">
        <v>10815.2306546364</v>
      </c>
      <c r="G408" s="9">
        <v>14754.4294987798</v>
      </c>
      <c r="H408" s="9">
        <v>10814.9178976517</v>
      </c>
      <c r="I408" s="21">
        <f t="shared" si="12"/>
        <v>-0.31275698470017232</v>
      </c>
      <c r="J408" s="21">
        <f t="shared" si="13"/>
        <v>-2.2975530841995351</v>
      </c>
    </row>
    <row r="409" spans="1:10" hidden="1">
      <c r="A409" t="s">
        <v>200</v>
      </c>
      <c r="B409" t="s">
        <v>202</v>
      </c>
      <c r="C409" s="18">
        <v>2031</v>
      </c>
      <c r="D409" t="s">
        <v>236</v>
      </c>
      <c r="E409" s="9">
        <v>1113764.9969484799</v>
      </c>
      <c r="F409" s="9">
        <v>177420.977262559</v>
      </c>
      <c r="G409" s="9">
        <v>1113725.2263596801</v>
      </c>
      <c r="H409" s="9">
        <v>177420.195676039</v>
      </c>
      <c r="I409" s="21">
        <f t="shared" si="12"/>
        <v>-0.78158651999547146</v>
      </c>
      <c r="J409" s="21">
        <f t="shared" si="13"/>
        <v>-39.770588799845427</v>
      </c>
    </row>
    <row r="410" spans="1:10" hidden="1">
      <c r="A410" t="s">
        <v>200</v>
      </c>
      <c r="B410" t="s">
        <v>202</v>
      </c>
      <c r="C410" s="18">
        <v>2031</v>
      </c>
      <c r="D410" t="s">
        <v>182</v>
      </c>
      <c r="E410" s="9">
        <v>114744.339812127</v>
      </c>
      <c r="F410" s="9">
        <v>76216.051514093895</v>
      </c>
      <c r="G410" s="9">
        <v>115757.018858842</v>
      </c>
      <c r="H410" s="9">
        <v>76556.628013514899</v>
      </c>
      <c r="I410" s="21">
        <f t="shared" si="12"/>
        <v>340.57649942100397</v>
      </c>
      <c r="J410" s="21">
        <f t="shared" si="13"/>
        <v>1012.6790467149985</v>
      </c>
    </row>
    <row r="411" spans="1:10" hidden="1">
      <c r="A411" t="s">
        <v>200</v>
      </c>
      <c r="B411" t="s">
        <v>202</v>
      </c>
      <c r="C411" s="18">
        <v>2031</v>
      </c>
      <c r="D411" t="s">
        <v>185</v>
      </c>
      <c r="E411" s="9">
        <v>272302.97924956598</v>
      </c>
      <c r="F411" s="9">
        <v>255741.35547221001</v>
      </c>
      <c r="G411" s="9">
        <v>274719.77758767002</v>
      </c>
      <c r="H411" s="9">
        <v>257245.00548019301</v>
      </c>
      <c r="I411" s="21">
        <f t="shared" si="12"/>
        <v>1503.6500079830003</v>
      </c>
      <c r="J411" s="21">
        <f t="shared" si="13"/>
        <v>2416.7983381040394</v>
      </c>
    </row>
    <row r="412" spans="1:10" hidden="1">
      <c r="A412" t="s">
        <v>200</v>
      </c>
      <c r="B412" t="s">
        <v>202</v>
      </c>
      <c r="C412" s="18">
        <v>2031</v>
      </c>
      <c r="D412" t="s">
        <v>188</v>
      </c>
      <c r="E412" s="9">
        <v>640496.25260959705</v>
      </c>
      <c r="F412" s="9">
        <v>373232.14342061098</v>
      </c>
      <c r="G412" s="9">
        <v>646110.86416985898</v>
      </c>
      <c r="H412" s="9">
        <v>374207.72907897399</v>
      </c>
      <c r="I412" s="21">
        <f t="shared" si="12"/>
        <v>975.58565836300841</v>
      </c>
      <c r="J412" s="21">
        <f t="shared" si="13"/>
        <v>5614.6115602619248</v>
      </c>
    </row>
    <row r="413" spans="1:10" hidden="1">
      <c r="A413" t="s">
        <v>200</v>
      </c>
      <c r="B413" t="s">
        <v>202</v>
      </c>
      <c r="C413" s="18">
        <v>2031</v>
      </c>
      <c r="D413" t="s">
        <v>191</v>
      </c>
      <c r="E413" s="9">
        <v>336248.33984412701</v>
      </c>
      <c r="F413" s="9">
        <v>183812.826664122</v>
      </c>
      <c r="G413" s="9">
        <v>339204.41915059398</v>
      </c>
      <c r="H413" s="9">
        <v>184315.56237323501</v>
      </c>
      <c r="I413" s="21">
        <f t="shared" si="12"/>
        <v>502.73570911301067</v>
      </c>
      <c r="J413" s="21">
        <f t="shared" si="13"/>
        <v>2956.0793064669706</v>
      </c>
    </row>
    <row r="414" spans="1:10" hidden="1">
      <c r="A414" t="s">
        <v>200</v>
      </c>
      <c r="B414" t="s">
        <v>202</v>
      </c>
      <c r="C414" s="18">
        <v>2031</v>
      </c>
      <c r="D414" t="s">
        <v>422</v>
      </c>
      <c r="E414" s="9">
        <v>38191.656762773098</v>
      </c>
      <c r="F414" s="9">
        <v>4274.7290906101098</v>
      </c>
      <c r="G414" s="9">
        <v>38191.6231000681</v>
      </c>
      <c r="H414" s="9">
        <v>4274.7272932738097</v>
      </c>
      <c r="I414" s="21">
        <f t="shared" si="12"/>
        <v>-1.7973363001146936E-3</v>
      </c>
      <c r="J414" s="21">
        <f t="shared" si="13"/>
        <v>-3.3662704998278059E-2</v>
      </c>
    </row>
    <row r="415" spans="1:10" hidden="1">
      <c r="A415" t="s">
        <v>200</v>
      </c>
      <c r="B415" t="s">
        <v>202</v>
      </c>
      <c r="C415" s="18">
        <v>2032</v>
      </c>
      <c r="D415" t="s">
        <v>174</v>
      </c>
      <c r="E415" s="9">
        <v>15251.3788844801</v>
      </c>
      <c r="F415" s="9">
        <v>11132.792774324</v>
      </c>
      <c r="G415" s="9">
        <v>15247.769190462001</v>
      </c>
      <c r="H415" s="9">
        <v>11132.1787355836</v>
      </c>
      <c r="I415" s="21">
        <f t="shared" si="12"/>
        <v>-0.61403874039933726</v>
      </c>
      <c r="J415" s="21">
        <f t="shared" si="13"/>
        <v>-3.6096940180996171</v>
      </c>
    </row>
    <row r="416" spans="1:10" hidden="1">
      <c r="A416" t="s">
        <v>200</v>
      </c>
      <c r="B416" t="s">
        <v>202</v>
      </c>
      <c r="C416" s="18">
        <v>2032</v>
      </c>
      <c r="D416" t="s">
        <v>236</v>
      </c>
      <c r="E416" s="9">
        <v>1126847.06662445</v>
      </c>
      <c r="F416" s="9">
        <v>185693.073819515</v>
      </c>
      <c r="G416" s="9">
        <v>1126783.31749171</v>
      </c>
      <c r="H416" s="9">
        <v>185691.45221249</v>
      </c>
      <c r="I416" s="21">
        <f t="shared" si="12"/>
        <v>-1.6216070250084158</v>
      </c>
      <c r="J416" s="21">
        <f t="shared" si="13"/>
        <v>-63.749132740078494</v>
      </c>
    </row>
    <row r="417" spans="1:10" hidden="1">
      <c r="A417" t="s">
        <v>200</v>
      </c>
      <c r="B417" t="s">
        <v>202</v>
      </c>
      <c r="C417" s="18">
        <v>2032</v>
      </c>
      <c r="D417" t="s">
        <v>182</v>
      </c>
      <c r="E417" s="9">
        <v>115879.444378564</v>
      </c>
      <c r="F417" s="9">
        <v>76782.675691686905</v>
      </c>
      <c r="G417" s="9">
        <v>116892.91249656001</v>
      </c>
      <c r="H417" s="9">
        <v>77198.389307422098</v>
      </c>
      <c r="I417" s="21">
        <f t="shared" si="12"/>
        <v>415.71361573519243</v>
      </c>
      <c r="J417" s="21">
        <f t="shared" si="13"/>
        <v>1013.4681179960025</v>
      </c>
    </row>
    <row r="418" spans="1:10" hidden="1">
      <c r="A418" t="s">
        <v>200</v>
      </c>
      <c r="B418" t="s">
        <v>202</v>
      </c>
      <c r="C418" s="18">
        <v>2032</v>
      </c>
      <c r="D418" t="s">
        <v>185</v>
      </c>
      <c r="E418" s="9">
        <v>272012.49066869199</v>
      </c>
      <c r="F418" s="9">
        <v>255083.96866287701</v>
      </c>
      <c r="G418" s="9">
        <v>274412.39342979901</v>
      </c>
      <c r="H418" s="9">
        <v>256745.67636584101</v>
      </c>
      <c r="I418" s="21">
        <f t="shared" si="12"/>
        <v>1661.7077029639913</v>
      </c>
      <c r="J418" s="21">
        <f t="shared" si="13"/>
        <v>2399.9027611070196</v>
      </c>
    </row>
    <row r="419" spans="1:10" hidden="1">
      <c r="A419" t="s">
        <v>200</v>
      </c>
      <c r="B419" t="s">
        <v>202</v>
      </c>
      <c r="C419" s="18">
        <v>2032</v>
      </c>
      <c r="D419" t="s">
        <v>188</v>
      </c>
      <c r="E419" s="9">
        <v>648889.54296677199</v>
      </c>
      <c r="F419" s="9">
        <v>378887.48579465499</v>
      </c>
      <c r="G419" s="9">
        <v>654519.81142038899</v>
      </c>
      <c r="H419" s="9">
        <v>380127.64784866601</v>
      </c>
      <c r="I419" s="21">
        <f t="shared" si="12"/>
        <v>1240.1620540110162</v>
      </c>
      <c r="J419" s="21">
        <f t="shared" si="13"/>
        <v>5630.2684536169982</v>
      </c>
    </row>
    <row r="420" spans="1:10" hidden="1">
      <c r="A420" t="s">
        <v>200</v>
      </c>
      <c r="B420" t="s">
        <v>202</v>
      </c>
      <c r="C420" s="18">
        <v>2032</v>
      </c>
      <c r="D420" t="s">
        <v>191</v>
      </c>
      <c r="E420" s="9">
        <v>338633.49489712098</v>
      </c>
      <c r="F420" s="9">
        <v>183121.18968299899</v>
      </c>
      <c r="G420" s="9">
        <v>341581.65326776</v>
      </c>
      <c r="H420" s="9">
        <v>183730.084212538</v>
      </c>
      <c r="I420" s="21">
        <f t="shared" si="12"/>
        <v>608.89452953901491</v>
      </c>
      <c r="J420" s="21">
        <f t="shared" si="13"/>
        <v>2948.1583706390229</v>
      </c>
    </row>
    <row r="421" spans="1:10" hidden="1">
      <c r="A421" t="s">
        <v>200</v>
      </c>
      <c r="B421" t="s">
        <v>202</v>
      </c>
      <c r="C421" s="18">
        <v>2032</v>
      </c>
      <c r="D421" t="s">
        <v>422</v>
      </c>
      <c r="E421" s="9">
        <v>38037.600560397099</v>
      </c>
      <c r="F421" s="9">
        <v>4125.7253005082302</v>
      </c>
      <c r="G421" s="9">
        <v>38037.551792099897</v>
      </c>
      <c r="H421" s="9">
        <v>4125.7224791710396</v>
      </c>
      <c r="I421" s="21">
        <f t="shared" si="12"/>
        <v>-2.8213371906531393E-3</v>
      </c>
      <c r="J421" s="21">
        <f t="shared" si="13"/>
        <v>-4.8768297201604582E-2</v>
      </c>
    </row>
    <row r="422" spans="1:10" hidden="1">
      <c r="A422" t="s">
        <v>200</v>
      </c>
      <c r="B422" t="s">
        <v>202</v>
      </c>
      <c r="C422" s="18">
        <v>2033</v>
      </c>
      <c r="D422" t="s">
        <v>174</v>
      </c>
      <c r="E422" s="9">
        <v>15764.624824103699</v>
      </c>
      <c r="F422" s="9">
        <v>11453.258494759</v>
      </c>
      <c r="G422" s="9">
        <v>15759.5151167894</v>
      </c>
      <c r="H422" s="9">
        <v>11452.2049974033</v>
      </c>
      <c r="I422" s="21">
        <f t="shared" si="12"/>
        <v>-1.0534973557005287</v>
      </c>
      <c r="J422" s="21">
        <f t="shared" si="13"/>
        <v>-5.1097073142991576</v>
      </c>
    </row>
    <row r="423" spans="1:10" hidden="1">
      <c r="A423" t="s">
        <v>200</v>
      </c>
      <c r="B423" t="s">
        <v>202</v>
      </c>
      <c r="C423" s="18">
        <v>2033</v>
      </c>
      <c r="D423" t="s">
        <v>236</v>
      </c>
      <c r="E423" s="9">
        <v>1139364.28244898</v>
      </c>
      <c r="F423" s="9">
        <v>194008.52230096501</v>
      </c>
      <c r="G423" s="9">
        <v>1139272.75378683</v>
      </c>
      <c r="H423" s="9">
        <v>194005.60056651599</v>
      </c>
      <c r="I423" s="21">
        <f t="shared" si="12"/>
        <v>-2.9217344490170944</v>
      </c>
      <c r="J423" s="21">
        <f t="shared" si="13"/>
        <v>-91.52866215002723</v>
      </c>
    </row>
    <row r="424" spans="1:10" hidden="1">
      <c r="A424" t="s">
        <v>200</v>
      </c>
      <c r="B424" t="s">
        <v>202</v>
      </c>
      <c r="C424" s="18">
        <v>2033</v>
      </c>
      <c r="D424" t="s">
        <v>182</v>
      </c>
      <c r="E424" s="9">
        <v>117265.53513501601</v>
      </c>
      <c r="F424" s="9">
        <v>77442.648349019597</v>
      </c>
      <c r="G424" s="9">
        <v>118281.82855902299</v>
      </c>
      <c r="H424" s="9">
        <v>77917.162090690195</v>
      </c>
      <c r="I424" s="21">
        <f t="shared" si="12"/>
        <v>474.51374167059839</v>
      </c>
      <c r="J424" s="21">
        <f t="shared" si="13"/>
        <v>1016.2934240069881</v>
      </c>
    </row>
    <row r="425" spans="1:10" hidden="1">
      <c r="A425" t="s">
        <v>200</v>
      </c>
      <c r="B425" t="s">
        <v>202</v>
      </c>
      <c r="C425" s="18">
        <v>2033</v>
      </c>
      <c r="D425" t="s">
        <v>185</v>
      </c>
      <c r="E425" s="9">
        <v>271512.40010991402</v>
      </c>
      <c r="F425" s="9">
        <v>254893.64627702901</v>
      </c>
      <c r="G425" s="9">
        <v>273893.528221021</v>
      </c>
      <c r="H425" s="9">
        <v>256655.55902621101</v>
      </c>
      <c r="I425" s="21">
        <f t="shared" si="12"/>
        <v>1761.9127491819963</v>
      </c>
      <c r="J425" s="21">
        <f t="shared" si="13"/>
        <v>2381.1281111069839</v>
      </c>
    </row>
    <row r="426" spans="1:10" hidden="1">
      <c r="A426" t="s">
        <v>200</v>
      </c>
      <c r="B426" t="s">
        <v>202</v>
      </c>
      <c r="C426" s="18">
        <v>2033</v>
      </c>
      <c r="D426" t="s">
        <v>188</v>
      </c>
      <c r="E426" s="9">
        <v>658353.28346813796</v>
      </c>
      <c r="F426" s="9">
        <v>385106.89301751601</v>
      </c>
      <c r="G426" s="9">
        <v>664009.13874492398</v>
      </c>
      <c r="H426" s="9">
        <v>386583.230936034</v>
      </c>
      <c r="I426" s="21">
        <f t="shared" si="12"/>
        <v>1476.3379185179947</v>
      </c>
      <c r="J426" s="21">
        <f t="shared" si="13"/>
        <v>5655.8552767860238</v>
      </c>
    </row>
    <row r="427" spans="1:10" hidden="1">
      <c r="A427" t="s">
        <v>200</v>
      </c>
      <c r="B427" t="s">
        <v>202</v>
      </c>
      <c r="C427" s="18">
        <v>2033</v>
      </c>
      <c r="D427" t="s">
        <v>191</v>
      </c>
      <c r="E427" s="9">
        <v>342045.57377099001</v>
      </c>
      <c r="F427" s="9">
        <v>182886.431502969</v>
      </c>
      <c r="G427" s="9">
        <v>344995.26462988101</v>
      </c>
      <c r="H427" s="9">
        <v>183583.04220271501</v>
      </c>
      <c r="I427" s="21">
        <f t="shared" si="12"/>
        <v>696.61069974600105</v>
      </c>
      <c r="J427" s="21">
        <f t="shared" si="13"/>
        <v>2949.690858891001</v>
      </c>
    </row>
    <row r="428" spans="1:10" hidden="1">
      <c r="A428" t="s">
        <v>200</v>
      </c>
      <c r="B428" t="s">
        <v>202</v>
      </c>
      <c r="C428" s="18">
        <v>2033</v>
      </c>
      <c r="D428" t="s">
        <v>422</v>
      </c>
      <c r="E428" s="9">
        <v>37788.455399615501</v>
      </c>
      <c r="F428" s="9">
        <v>3977.7182805954799</v>
      </c>
      <c r="G428" s="9">
        <v>37788.395913351</v>
      </c>
      <c r="H428" s="9">
        <v>3977.7143757352601</v>
      </c>
      <c r="I428" s="21">
        <f t="shared" si="12"/>
        <v>-3.9048602197908622E-3</v>
      </c>
      <c r="J428" s="21">
        <f t="shared" si="13"/>
        <v>-5.9486264501174446E-2</v>
      </c>
    </row>
    <row r="429" spans="1:10" hidden="1">
      <c r="A429" t="s">
        <v>200</v>
      </c>
      <c r="B429" t="s">
        <v>202</v>
      </c>
      <c r="C429" s="18">
        <v>2034</v>
      </c>
      <c r="D429" t="s">
        <v>174</v>
      </c>
      <c r="E429" s="9">
        <v>16292.5244279664</v>
      </c>
      <c r="F429" s="9">
        <v>11781.0402264682</v>
      </c>
      <c r="G429" s="9">
        <v>16285.764037622699</v>
      </c>
      <c r="H429" s="9">
        <v>11779.4141755774</v>
      </c>
      <c r="I429" s="21">
        <f t="shared" si="12"/>
        <v>-1.6260508907998883</v>
      </c>
      <c r="J429" s="21">
        <f t="shared" si="13"/>
        <v>-6.7603903437011468</v>
      </c>
    </row>
    <row r="430" spans="1:10" hidden="1">
      <c r="A430" t="s">
        <v>200</v>
      </c>
      <c r="B430" t="s">
        <v>202</v>
      </c>
      <c r="C430" s="18">
        <v>2034</v>
      </c>
      <c r="D430" t="s">
        <v>236</v>
      </c>
      <c r="E430" s="9">
        <v>1151354.6573870601</v>
      </c>
      <c r="F430" s="9">
        <v>202325.364019987</v>
      </c>
      <c r="G430" s="9">
        <v>1151232.62464015</v>
      </c>
      <c r="H430" s="9">
        <v>202320.63612115101</v>
      </c>
      <c r="I430" s="21">
        <f t="shared" si="12"/>
        <v>-4.7278988359903451</v>
      </c>
      <c r="J430" s="21">
        <f t="shared" si="13"/>
        <v>-122.03274691011757</v>
      </c>
    </row>
    <row r="431" spans="1:10" hidden="1">
      <c r="A431" t="s">
        <v>200</v>
      </c>
      <c r="B431" t="s">
        <v>202</v>
      </c>
      <c r="C431" s="18">
        <v>2034</v>
      </c>
      <c r="D431" t="s">
        <v>182</v>
      </c>
      <c r="E431" s="9">
        <v>118158.864090387</v>
      </c>
      <c r="F431" s="9">
        <v>78260.873243176495</v>
      </c>
      <c r="G431" s="9">
        <v>119173.805374547</v>
      </c>
      <c r="H431" s="9">
        <v>78781.723235872807</v>
      </c>
      <c r="I431" s="21">
        <f t="shared" si="12"/>
        <v>520.84999269631226</v>
      </c>
      <c r="J431" s="21">
        <f t="shared" si="13"/>
        <v>1014.9412841599988</v>
      </c>
    </row>
    <row r="432" spans="1:10" hidden="1">
      <c r="A432" t="s">
        <v>200</v>
      </c>
      <c r="B432" t="s">
        <v>202</v>
      </c>
      <c r="C432" s="18">
        <v>2034</v>
      </c>
      <c r="D432" t="s">
        <v>185</v>
      </c>
      <c r="E432" s="9">
        <v>271305.12980050198</v>
      </c>
      <c r="F432" s="9">
        <v>254923.68742096101</v>
      </c>
      <c r="G432" s="9">
        <v>273669.65020286699</v>
      </c>
      <c r="H432" s="9">
        <v>256753.127116244</v>
      </c>
      <c r="I432" s="21">
        <f t="shared" si="12"/>
        <v>1829.4396952829848</v>
      </c>
      <c r="J432" s="21">
        <f t="shared" si="13"/>
        <v>2364.5204023650149</v>
      </c>
    </row>
    <row r="433" spans="1:10" hidden="1">
      <c r="A433" t="s">
        <v>200</v>
      </c>
      <c r="B433" t="s">
        <v>202</v>
      </c>
      <c r="C433" s="18">
        <v>2034</v>
      </c>
      <c r="D433" t="s">
        <v>188</v>
      </c>
      <c r="E433" s="9">
        <v>663916.65158013604</v>
      </c>
      <c r="F433" s="9">
        <v>392116.28162528598</v>
      </c>
      <c r="G433" s="9">
        <v>669565.09186596901</v>
      </c>
      <c r="H433" s="9">
        <v>393806.92012191401</v>
      </c>
      <c r="I433" s="21">
        <f t="shared" si="12"/>
        <v>1690.6384966280311</v>
      </c>
      <c r="J433" s="21">
        <f t="shared" si="13"/>
        <v>5648.4402858329704</v>
      </c>
    </row>
    <row r="434" spans="1:10" hidden="1">
      <c r="A434" t="s">
        <v>200</v>
      </c>
      <c r="B434" t="s">
        <v>202</v>
      </c>
      <c r="C434" s="18">
        <v>2034</v>
      </c>
      <c r="D434" t="s">
        <v>191</v>
      </c>
      <c r="E434" s="9">
        <v>342996.291726025</v>
      </c>
      <c r="F434" s="9">
        <v>184028.96476076401</v>
      </c>
      <c r="G434" s="9">
        <v>345926.396497523</v>
      </c>
      <c r="H434" s="9">
        <v>184800.88501932399</v>
      </c>
      <c r="I434" s="21">
        <f t="shared" si="12"/>
        <v>771.92025855998509</v>
      </c>
      <c r="J434" s="21">
        <f t="shared" si="13"/>
        <v>2930.1047714980086</v>
      </c>
    </row>
    <row r="435" spans="1:10" hidden="1">
      <c r="A435" t="s">
        <v>200</v>
      </c>
      <c r="B435" t="s">
        <v>202</v>
      </c>
      <c r="C435" s="18">
        <v>2034</v>
      </c>
      <c r="D435" t="s">
        <v>422</v>
      </c>
      <c r="E435" s="9">
        <v>37391.189746481999</v>
      </c>
      <c r="F435" s="9">
        <v>3849.4412148350698</v>
      </c>
      <c r="G435" s="9">
        <v>37391.118979539897</v>
      </c>
      <c r="H435" s="9">
        <v>3849.43642407178</v>
      </c>
      <c r="I435" s="21">
        <f t="shared" si="12"/>
        <v>-4.7907632897477015E-3</v>
      </c>
      <c r="J435" s="21">
        <f t="shared" si="13"/>
        <v>-7.0766942102636676E-2</v>
      </c>
    </row>
    <row r="436" spans="1:10" hidden="1">
      <c r="A436" t="s">
        <v>200</v>
      </c>
      <c r="B436" t="s">
        <v>202</v>
      </c>
      <c r="C436" s="18">
        <v>2035</v>
      </c>
      <c r="D436" t="s">
        <v>174</v>
      </c>
      <c r="E436" s="9">
        <v>16839.1862920407</v>
      </c>
      <c r="F436" s="9">
        <v>12115.136310399401</v>
      </c>
      <c r="G436" s="9">
        <v>16830.6420972909</v>
      </c>
      <c r="H436" s="9">
        <v>12112.814364394</v>
      </c>
      <c r="I436" s="21">
        <f t="shared" si="12"/>
        <v>-2.3219460054006049</v>
      </c>
      <c r="J436" s="21">
        <f t="shared" si="13"/>
        <v>-8.5441947498002264</v>
      </c>
    </row>
    <row r="437" spans="1:10" hidden="1">
      <c r="A437" t="s">
        <v>200</v>
      </c>
      <c r="B437" t="s">
        <v>202</v>
      </c>
      <c r="C437" s="18">
        <v>2035</v>
      </c>
      <c r="D437" t="s">
        <v>236</v>
      </c>
      <c r="E437" s="9">
        <v>1162931.81194485</v>
      </c>
      <c r="F437" s="9">
        <v>210634.488013372</v>
      </c>
      <c r="G437" s="9">
        <v>1162777.28327874</v>
      </c>
      <c r="H437" s="9">
        <v>210627.422792314</v>
      </c>
      <c r="I437" s="21">
        <f t="shared" si="12"/>
        <v>-7.0652210580010433</v>
      </c>
      <c r="J437" s="21">
        <f t="shared" si="13"/>
        <v>-154.52866611001082</v>
      </c>
    </row>
    <row r="438" spans="1:10" hidden="1">
      <c r="A438" t="s">
        <v>200</v>
      </c>
      <c r="B438" t="s">
        <v>202</v>
      </c>
      <c r="C438" s="18">
        <v>2035</v>
      </c>
      <c r="D438" t="s">
        <v>182</v>
      </c>
      <c r="E438" s="9">
        <v>119779.09763382599</v>
      </c>
      <c r="F438" s="9">
        <v>78899.169787145598</v>
      </c>
      <c r="G438" s="9">
        <v>120799.065903184</v>
      </c>
      <c r="H438" s="9">
        <v>79456.632421187605</v>
      </c>
      <c r="I438" s="21">
        <f t="shared" si="12"/>
        <v>557.46263404200727</v>
      </c>
      <c r="J438" s="21">
        <f t="shared" si="13"/>
        <v>1019.9682693580107</v>
      </c>
    </row>
    <row r="439" spans="1:10" hidden="1">
      <c r="A439" t="s">
        <v>200</v>
      </c>
      <c r="B439" t="s">
        <v>202</v>
      </c>
      <c r="C439" s="18">
        <v>2035</v>
      </c>
      <c r="D439" t="s">
        <v>185</v>
      </c>
      <c r="E439" s="9">
        <v>270998.00320626702</v>
      </c>
      <c r="F439" s="9">
        <v>254929.013308191</v>
      </c>
      <c r="G439" s="9">
        <v>273345.36006293801</v>
      </c>
      <c r="H439" s="9">
        <v>256807.53223008101</v>
      </c>
      <c r="I439" s="21">
        <f t="shared" si="12"/>
        <v>1878.518921890005</v>
      </c>
      <c r="J439" s="21">
        <f t="shared" si="13"/>
        <v>2347.3568566709873</v>
      </c>
    </row>
    <row r="440" spans="1:10" hidden="1">
      <c r="A440" t="s">
        <v>200</v>
      </c>
      <c r="B440" t="s">
        <v>202</v>
      </c>
      <c r="C440" s="18">
        <v>2035</v>
      </c>
      <c r="D440" t="s">
        <v>188</v>
      </c>
      <c r="E440" s="9">
        <v>672966.24785694503</v>
      </c>
      <c r="F440" s="9">
        <v>397608.03224214597</v>
      </c>
      <c r="G440" s="9">
        <v>678638.43452144298</v>
      </c>
      <c r="H440" s="9">
        <v>399492.95053299802</v>
      </c>
      <c r="I440" s="21">
        <f t="shared" si="12"/>
        <v>1884.9182908520452</v>
      </c>
      <c r="J440" s="21">
        <f t="shared" si="13"/>
        <v>5672.1866644979455</v>
      </c>
    </row>
    <row r="441" spans="1:10" hidden="1">
      <c r="A441" t="s">
        <v>200</v>
      </c>
      <c r="B441" t="s">
        <v>202</v>
      </c>
      <c r="C441" s="18">
        <v>2035</v>
      </c>
      <c r="D441" t="s">
        <v>191</v>
      </c>
      <c r="E441" s="9">
        <v>346214.84662306402</v>
      </c>
      <c r="F441" s="9">
        <v>184527.183597811</v>
      </c>
      <c r="G441" s="9">
        <v>349146.06245576398</v>
      </c>
      <c r="H441" s="9">
        <v>185365.76110357899</v>
      </c>
      <c r="I441" s="21">
        <f t="shared" si="12"/>
        <v>838.57750576798571</v>
      </c>
      <c r="J441" s="21">
        <f t="shared" si="13"/>
        <v>2931.2158326999634</v>
      </c>
    </row>
    <row r="442" spans="1:10" hidden="1">
      <c r="A442" t="s">
        <v>200</v>
      </c>
      <c r="B442" t="s">
        <v>202</v>
      </c>
      <c r="C442" s="18">
        <v>2035</v>
      </c>
      <c r="D442" t="s">
        <v>422</v>
      </c>
      <c r="E442" s="9">
        <v>37274.479194222302</v>
      </c>
      <c r="F442" s="9">
        <v>3710.4372737991798</v>
      </c>
      <c r="G442" s="9">
        <v>37274.397901844597</v>
      </c>
      <c r="H442" s="9">
        <v>3710.43177455469</v>
      </c>
      <c r="I442" s="21">
        <f t="shared" si="12"/>
        <v>-5.4992444897834503E-3</v>
      </c>
      <c r="J442" s="21">
        <f t="shared" si="13"/>
        <v>-8.1292377704812679E-2</v>
      </c>
    </row>
    <row r="443" spans="1:10" hidden="1">
      <c r="A443" t="s">
        <v>200</v>
      </c>
      <c r="B443" t="s">
        <v>202</v>
      </c>
      <c r="C443" s="18">
        <v>2036</v>
      </c>
      <c r="D443" t="s">
        <v>174</v>
      </c>
      <c r="E443" s="9">
        <v>17403.062949709201</v>
      </c>
      <c r="F443" s="9">
        <v>12455.9946098816</v>
      </c>
      <c r="G443" s="9">
        <v>17392.609904070101</v>
      </c>
      <c r="H443" s="9">
        <v>12452.864013751599</v>
      </c>
      <c r="I443" s="21">
        <f t="shared" si="12"/>
        <v>-3.1305961300004128</v>
      </c>
      <c r="J443" s="21">
        <f t="shared" si="13"/>
        <v>-10.45304563910031</v>
      </c>
    </row>
    <row r="444" spans="1:10" hidden="1">
      <c r="A444" t="s">
        <v>200</v>
      </c>
      <c r="B444" t="s">
        <v>202</v>
      </c>
      <c r="C444" s="18">
        <v>2036</v>
      </c>
      <c r="D444" t="s">
        <v>236</v>
      </c>
      <c r="E444" s="9">
        <v>1174274.0136460301</v>
      </c>
      <c r="F444" s="9">
        <v>218916.567714651</v>
      </c>
      <c r="G444" s="9">
        <v>1174085.51289072</v>
      </c>
      <c r="H444" s="9">
        <v>218906.62344450099</v>
      </c>
      <c r="I444" s="21">
        <f t="shared" si="12"/>
        <v>-9.9442701500083786</v>
      </c>
      <c r="J444" s="21">
        <f t="shared" si="13"/>
        <v>-188.50075531005859</v>
      </c>
    </row>
    <row r="445" spans="1:10" hidden="1">
      <c r="A445" t="s">
        <v>200</v>
      </c>
      <c r="B445" t="s">
        <v>202</v>
      </c>
      <c r="C445" s="18">
        <v>2036</v>
      </c>
      <c r="D445" t="s">
        <v>182</v>
      </c>
      <c r="E445" s="9">
        <v>121591.933863151</v>
      </c>
      <c r="F445" s="9">
        <v>79716.059051985998</v>
      </c>
      <c r="G445" s="9">
        <v>122618.320312187</v>
      </c>
      <c r="H445" s="9">
        <v>80302.842995522602</v>
      </c>
      <c r="I445" s="21">
        <f t="shared" si="12"/>
        <v>586.78394353660406</v>
      </c>
      <c r="J445" s="21">
        <f t="shared" si="13"/>
        <v>1026.3864490359992</v>
      </c>
    </row>
    <row r="446" spans="1:10" hidden="1">
      <c r="A446" t="s">
        <v>200</v>
      </c>
      <c r="B446" t="s">
        <v>202</v>
      </c>
      <c r="C446" s="18">
        <v>2036</v>
      </c>
      <c r="D446" t="s">
        <v>185</v>
      </c>
      <c r="E446" s="9">
        <v>270964.96649825497</v>
      </c>
      <c r="F446" s="9">
        <v>255018.59450156899</v>
      </c>
      <c r="G446" s="9">
        <v>273297.56982222799</v>
      </c>
      <c r="H446" s="9">
        <v>256933.39822934201</v>
      </c>
      <c r="I446" s="21">
        <f t="shared" si="12"/>
        <v>1914.8037277730182</v>
      </c>
      <c r="J446" s="21">
        <f t="shared" si="13"/>
        <v>2332.6033239730168</v>
      </c>
    </row>
    <row r="447" spans="1:10" hidden="1">
      <c r="A447" t="s">
        <v>200</v>
      </c>
      <c r="B447" t="s">
        <v>202</v>
      </c>
      <c r="C447" s="18">
        <v>2036</v>
      </c>
      <c r="D447" t="s">
        <v>188</v>
      </c>
      <c r="E447" s="9">
        <v>682493.66467969096</v>
      </c>
      <c r="F447" s="9">
        <v>403929.01630065299</v>
      </c>
      <c r="G447" s="9">
        <v>688194.68447559199</v>
      </c>
      <c r="H447" s="9">
        <v>405992.65349387802</v>
      </c>
      <c r="I447" s="21">
        <f t="shared" si="12"/>
        <v>2063.6371932250331</v>
      </c>
      <c r="J447" s="21">
        <f t="shared" si="13"/>
        <v>5701.0197959010256</v>
      </c>
    </row>
    <row r="448" spans="1:10" hidden="1">
      <c r="A448" t="s">
        <v>200</v>
      </c>
      <c r="B448" t="s">
        <v>202</v>
      </c>
      <c r="C448" s="18">
        <v>2036</v>
      </c>
      <c r="D448" t="s">
        <v>191</v>
      </c>
      <c r="E448" s="9">
        <v>349668.20683258801</v>
      </c>
      <c r="F448" s="9">
        <v>185518.84621862901</v>
      </c>
      <c r="G448" s="9">
        <v>352603.07171420398</v>
      </c>
      <c r="H448" s="9">
        <v>186417.92722248001</v>
      </c>
      <c r="I448" s="21">
        <f t="shared" si="12"/>
        <v>899.08100385099533</v>
      </c>
      <c r="J448" s="21">
        <f t="shared" si="13"/>
        <v>2934.8648816159694</v>
      </c>
    </row>
    <row r="449" spans="1:10" hidden="1">
      <c r="A449" t="s">
        <v>200</v>
      </c>
      <c r="B449" t="s">
        <v>202</v>
      </c>
      <c r="C449" s="18">
        <v>2036</v>
      </c>
      <c r="D449" t="s">
        <v>422</v>
      </c>
      <c r="E449" s="9">
        <v>37283.1181495528</v>
      </c>
      <c r="F449" s="9">
        <v>3578.6660865356898</v>
      </c>
      <c r="G449" s="9">
        <v>37283.027629395598</v>
      </c>
      <c r="H449" s="9">
        <v>3578.66006488627</v>
      </c>
      <c r="I449" s="21">
        <f t="shared" si="12"/>
        <v>-6.0216494198357395E-3</v>
      </c>
      <c r="J449" s="21">
        <f t="shared" si="13"/>
        <v>-9.0520157202263363E-2</v>
      </c>
    </row>
    <row r="450" spans="1:10" hidden="1">
      <c r="A450" t="s">
        <v>200</v>
      </c>
      <c r="B450" t="s">
        <v>202</v>
      </c>
      <c r="C450" s="18">
        <v>2037</v>
      </c>
      <c r="D450" t="s">
        <v>174</v>
      </c>
      <c r="E450" s="9">
        <v>17983.9622170193</v>
      </c>
      <c r="F450" s="9">
        <v>12803.5221562759</v>
      </c>
      <c r="G450" s="9">
        <v>17971.482864064201</v>
      </c>
      <c r="H450" s="9">
        <v>12799.479454561601</v>
      </c>
      <c r="I450" s="21">
        <f t="shared" ref="I450:I513" si="14">H450-F450</f>
        <v>-4.0427017142992554</v>
      </c>
      <c r="J450" s="21">
        <f t="shared" ref="J450:J513" si="15">G450-E450</f>
        <v>-12.479352955098875</v>
      </c>
    </row>
    <row r="451" spans="1:10" hidden="1">
      <c r="A451" t="s">
        <v>200</v>
      </c>
      <c r="B451" t="s">
        <v>202</v>
      </c>
      <c r="C451" s="18">
        <v>2037</v>
      </c>
      <c r="D451" t="s">
        <v>236</v>
      </c>
      <c r="E451" s="9">
        <v>1185488.31803595</v>
      </c>
      <c r="F451" s="9">
        <v>227159.20874279999</v>
      </c>
      <c r="G451" s="9">
        <v>1185264.7438497699</v>
      </c>
      <c r="H451" s="9">
        <v>227145.85064844001</v>
      </c>
      <c r="I451" s="21">
        <f t="shared" si="14"/>
        <v>-13.358094359980896</v>
      </c>
      <c r="J451" s="21">
        <f t="shared" si="15"/>
        <v>-223.57418618001975</v>
      </c>
    </row>
    <row r="452" spans="1:10" hidden="1">
      <c r="A452" t="s">
        <v>200</v>
      </c>
      <c r="B452" t="s">
        <v>202</v>
      </c>
      <c r="C452" s="18">
        <v>2037</v>
      </c>
      <c r="D452" t="s">
        <v>182</v>
      </c>
      <c r="E452" s="9">
        <v>123456.115473192</v>
      </c>
      <c r="F452" s="9">
        <v>80633.131110294096</v>
      </c>
      <c r="G452" s="9">
        <v>124489.42976024401</v>
      </c>
      <c r="H452" s="9">
        <v>81244.691389584303</v>
      </c>
      <c r="I452" s="21">
        <f t="shared" si="14"/>
        <v>611.56027929020638</v>
      </c>
      <c r="J452" s="21">
        <f t="shared" si="15"/>
        <v>1033.3142870520096</v>
      </c>
    </row>
    <row r="453" spans="1:10" hidden="1">
      <c r="A453" t="s">
        <v>200</v>
      </c>
      <c r="B453" t="s">
        <v>202</v>
      </c>
      <c r="C453" s="18">
        <v>2037</v>
      </c>
      <c r="D453" t="s">
        <v>185</v>
      </c>
      <c r="E453" s="9">
        <v>270884.97597097</v>
      </c>
      <c r="F453" s="9">
        <v>255129.05222640099</v>
      </c>
      <c r="G453" s="9">
        <v>273202.80227406899</v>
      </c>
      <c r="H453" s="9">
        <v>257070.97314913399</v>
      </c>
      <c r="I453" s="21">
        <f t="shared" si="14"/>
        <v>1941.9209227329993</v>
      </c>
      <c r="J453" s="21">
        <f t="shared" si="15"/>
        <v>2317.826303098991</v>
      </c>
    </row>
    <row r="454" spans="1:10" hidden="1">
      <c r="A454" t="s">
        <v>200</v>
      </c>
      <c r="B454" t="s">
        <v>202</v>
      </c>
      <c r="C454" s="18">
        <v>2037</v>
      </c>
      <c r="D454" t="s">
        <v>188</v>
      </c>
      <c r="E454" s="9">
        <v>692327.40932175994</v>
      </c>
      <c r="F454" s="9">
        <v>410788.28686112701</v>
      </c>
      <c r="G454" s="9">
        <v>698060.50212694705</v>
      </c>
      <c r="H454" s="9">
        <v>413018.343093551</v>
      </c>
      <c r="I454" s="21">
        <f t="shared" si="14"/>
        <v>2230.0562324239872</v>
      </c>
      <c r="J454" s="21">
        <f t="shared" si="15"/>
        <v>5733.0928051871015</v>
      </c>
    </row>
    <row r="455" spans="1:10" hidden="1">
      <c r="A455" t="s">
        <v>200</v>
      </c>
      <c r="B455" t="s">
        <v>202</v>
      </c>
      <c r="C455" s="18">
        <v>2037</v>
      </c>
      <c r="D455" t="s">
        <v>191</v>
      </c>
      <c r="E455" s="9">
        <v>353483.47638542298</v>
      </c>
      <c r="F455" s="9">
        <v>186832.94199502701</v>
      </c>
      <c r="G455" s="9">
        <v>356425.67891865398</v>
      </c>
      <c r="H455" s="9">
        <v>187788.31252848901</v>
      </c>
      <c r="I455" s="21">
        <f t="shared" si="14"/>
        <v>955.37053346200264</v>
      </c>
      <c r="J455" s="21">
        <f t="shared" si="15"/>
        <v>2942.2025332310004</v>
      </c>
    </row>
    <row r="456" spans="1:10" hidden="1">
      <c r="A456" t="s">
        <v>200</v>
      </c>
      <c r="B456" t="s">
        <v>202</v>
      </c>
      <c r="C456" s="18">
        <v>2037</v>
      </c>
      <c r="D456" t="s">
        <v>422</v>
      </c>
      <c r="E456" s="9">
        <v>36837.370235663002</v>
      </c>
      <c r="F456" s="9">
        <v>3450.2009717034998</v>
      </c>
      <c r="G456" s="9">
        <v>36837.277480763201</v>
      </c>
      <c r="H456" s="9">
        <v>3450.1946557369902</v>
      </c>
      <c r="I456" s="21">
        <f t="shared" si="14"/>
        <v>-6.3159665096463868E-3</v>
      </c>
      <c r="J456" s="21">
        <f t="shared" si="15"/>
        <v>-9.2754899800638668E-2</v>
      </c>
    </row>
    <row r="457" spans="1:10" hidden="1">
      <c r="A457" t="s">
        <v>200</v>
      </c>
      <c r="B457" t="s">
        <v>202</v>
      </c>
      <c r="C457" s="18">
        <v>2038</v>
      </c>
      <c r="D457" t="s">
        <v>174</v>
      </c>
      <c r="E457" s="9">
        <v>18579.355543443198</v>
      </c>
      <c r="F457" s="9">
        <v>13160.653411819299</v>
      </c>
      <c r="G457" s="9">
        <v>18564.7325343064</v>
      </c>
      <c r="H457" s="9">
        <v>13155.6038503287</v>
      </c>
      <c r="I457" s="21">
        <f t="shared" si="14"/>
        <v>-5.0495614905994444</v>
      </c>
      <c r="J457" s="21">
        <f t="shared" si="15"/>
        <v>-14.623009136797918</v>
      </c>
    </row>
    <row r="458" spans="1:10" hidden="1">
      <c r="A458" t="s">
        <v>200</v>
      </c>
      <c r="B458" t="s">
        <v>202</v>
      </c>
      <c r="C458" s="18">
        <v>2038</v>
      </c>
      <c r="D458" t="s">
        <v>236</v>
      </c>
      <c r="E458" s="9">
        <v>1196573.9943094701</v>
      </c>
      <c r="F458" s="9">
        <v>235346.90527299701</v>
      </c>
      <c r="G458" s="9">
        <v>1196314.5451145701</v>
      </c>
      <c r="H458" s="9">
        <v>235329.60149861901</v>
      </c>
      <c r="I458" s="21">
        <f t="shared" si="14"/>
        <v>-17.303774378000526</v>
      </c>
      <c r="J458" s="21">
        <f t="shared" si="15"/>
        <v>-259.44919489999302</v>
      </c>
    </row>
    <row r="459" spans="1:10" hidden="1">
      <c r="A459" t="s">
        <v>200</v>
      </c>
      <c r="B459" t="s">
        <v>202</v>
      </c>
      <c r="C459" s="18">
        <v>2038</v>
      </c>
      <c r="D459" t="s">
        <v>182</v>
      </c>
      <c r="E459" s="9">
        <v>125513.899248343</v>
      </c>
      <c r="F459" s="9">
        <v>81621.305122125996</v>
      </c>
      <c r="G459" s="9">
        <v>126555.833855502</v>
      </c>
      <c r="H459" s="9">
        <v>82253.930841494002</v>
      </c>
      <c r="I459" s="21">
        <f t="shared" si="14"/>
        <v>632.62571936800668</v>
      </c>
      <c r="J459" s="21">
        <f t="shared" si="15"/>
        <v>1041.9346071589971</v>
      </c>
    </row>
    <row r="460" spans="1:10" hidden="1">
      <c r="A460" t="s">
        <v>200</v>
      </c>
      <c r="B460" t="s">
        <v>202</v>
      </c>
      <c r="C460" s="18">
        <v>2038</v>
      </c>
      <c r="D460" t="s">
        <v>185</v>
      </c>
      <c r="E460" s="9">
        <v>270732.75460107398</v>
      </c>
      <c r="F460" s="9">
        <v>255168.861142643</v>
      </c>
      <c r="G460" s="9">
        <v>273035.370644084</v>
      </c>
      <c r="H460" s="9">
        <v>257130.676610817</v>
      </c>
      <c r="I460" s="21">
        <f t="shared" si="14"/>
        <v>1961.8154681739979</v>
      </c>
      <c r="J460" s="21">
        <f t="shared" si="15"/>
        <v>2302.6160430100281</v>
      </c>
    </row>
    <row r="461" spans="1:10" hidden="1">
      <c r="A461" t="s">
        <v>200</v>
      </c>
      <c r="B461" t="s">
        <v>202</v>
      </c>
      <c r="C461" s="18">
        <v>2038</v>
      </c>
      <c r="D461" t="s">
        <v>188</v>
      </c>
      <c r="E461" s="9">
        <v>702902.677430682</v>
      </c>
      <c r="F461" s="9">
        <v>418060.52485342999</v>
      </c>
      <c r="G461" s="9">
        <v>708674.57496129896</v>
      </c>
      <c r="H461" s="9">
        <v>420445.264129068</v>
      </c>
      <c r="I461" s="21">
        <f t="shared" si="14"/>
        <v>2384.7392756380141</v>
      </c>
      <c r="J461" s="21">
        <f t="shared" si="15"/>
        <v>5771.8975306169596</v>
      </c>
    </row>
    <row r="462" spans="1:10" hidden="1">
      <c r="A462" t="s">
        <v>200</v>
      </c>
      <c r="B462" t="s">
        <v>202</v>
      </c>
      <c r="C462" s="18">
        <v>2038</v>
      </c>
      <c r="D462" t="s">
        <v>191</v>
      </c>
      <c r="E462" s="9">
        <v>357945.30110492202</v>
      </c>
      <c r="F462" s="9">
        <v>188339.25385809399</v>
      </c>
      <c r="G462" s="9">
        <v>360900.93527344998</v>
      </c>
      <c r="H462" s="9">
        <v>189347.42226660499</v>
      </c>
      <c r="I462" s="21">
        <f t="shared" si="14"/>
        <v>1008.1684085110028</v>
      </c>
      <c r="J462" s="21">
        <f t="shared" si="15"/>
        <v>2955.6341685279622</v>
      </c>
    </row>
    <row r="463" spans="1:10" hidden="1">
      <c r="A463" t="s">
        <v>200</v>
      </c>
      <c r="B463" t="s">
        <v>202</v>
      </c>
      <c r="C463" s="18">
        <v>2038</v>
      </c>
      <c r="D463" t="s">
        <v>422</v>
      </c>
      <c r="E463" s="9">
        <v>36551.536120031597</v>
      </c>
      <c r="F463" s="9">
        <v>3322.8277992488802</v>
      </c>
      <c r="G463" s="9">
        <v>36551.441257778999</v>
      </c>
      <c r="H463" s="9">
        <v>3322.8215744210102</v>
      </c>
      <c r="I463" s="21">
        <f t="shared" si="14"/>
        <v>-6.2248278700280935E-3</v>
      </c>
      <c r="J463" s="21">
        <f t="shared" si="15"/>
        <v>-9.4862252597522456E-2</v>
      </c>
    </row>
    <row r="464" spans="1:10" hidden="1">
      <c r="A464" t="s">
        <v>200</v>
      </c>
      <c r="B464" t="s">
        <v>202</v>
      </c>
      <c r="C464" s="18">
        <v>2039</v>
      </c>
      <c r="D464" t="s">
        <v>174</v>
      </c>
      <c r="E464" s="9">
        <v>19191.234453197401</v>
      </c>
      <c r="F464" s="9">
        <v>13522.924222244699</v>
      </c>
      <c r="G464" s="9">
        <v>19174.345745902901</v>
      </c>
      <c r="H464" s="9">
        <v>13516.7785061579</v>
      </c>
      <c r="I464" s="21">
        <f t="shared" si="14"/>
        <v>-6.1457160867994389</v>
      </c>
      <c r="J464" s="21">
        <f t="shared" si="15"/>
        <v>-16.888707294499909</v>
      </c>
    </row>
    <row r="465" spans="1:10" hidden="1">
      <c r="A465" t="s">
        <v>200</v>
      </c>
      <c r="B465" t="s">
        <v>202</v>
      </c>
      <c r="C465" s="18">
        <v>2039</v>
      </c>
      <c r="D465" t="s">
        <v>236</v>
      </c>
      <c r="E465" s="9">
        <v>1207221.6421540801</v>
      </c>
      <c r="F465" s="9">
        <v>243505.138485075</v>
      </c>
      <c r="G465" s="9">
        <v>1206925.78308321</v>
      </c>
      <c r="H465" s="9">
        <v>243483.36403446301</v>
      </c>
      <c r="I465" s="21">
        <f t="shared" si="14"/>
        <v>-21.774450611992506</v>
      </c>
      <c r="J465" s="21">
        <f t="shared" si="15"/>
        <v>-295.859070870094</v>
      </c>
    </row>
    <row r="466" spans="1:10" hidden="1">
      <c r="A466" t="s">
        <v>200</v>
      </c>
      <c r="B466" t="s">
        <v>202</v>
      </c>
      <c r="C466" s="18">
        <v>2039</v>
      </c>
      <c r="D466" t="s">
        <v>182</v>
      </c>
      <c r="E466" s="9">
        <v>126955.905881785</v>
      </c>
      <c r="F466" s="9">
        <v>82738.171288585596</v>
      </c>
      <c r="G466" s="9">
        <v>128001.347826374</v>
      </c>
      <c r="H466" s="9">
        <v>83389.180958792305</v>
      </c>
      <c r="I466" s="21">
        <f t="shared" si="14"/>
        <v>651.00967020670942</v>
      </c>
      <c r="J466" s="21">
        <f t="shared" si="15"/>
        <v>1045.4419445889944</v>
      </c>
    </row>
    <row r="467" spans="1:10" hidden="1">
      <c r="A467" t="s">
        <v>200</v>
      </c>
      <c r="B467" t="s">
        <v>202</v>
      </c>
      <c r="C467" s="18">
        <v>2039</v>
      </c>
      <c r="D467" t="s">
        <v>185</v>
      </c>
      <c r="E467" s="9">
        <v>270684.80351244198</v>
      </c>
      <c r="F467" s="9">
        <v>255464.23624606599</v>
      </c>
      <c r="G467" s="9">
        <v>272973.34550101002</v>
      </c>
      <c r="H467" s="9">
        <v>257441.86914336999</v>
      </c>
      <c r="I467" s="21">
        <f t="shared" si="14"/>
        <v>1977.6328973039926</v>
      </c>
      <c r="J467" s="21">
        <f t="shared" si="15"/>
        <v>2288.5419885680312</v>
      </c>
    </row>
    <row r="468" spans="1:10" hidden="1">
      <c r="A468" t="s">
        <v>200</v>
      </c>
      <c r="B468" t="s">
        <v>202</v>
      </c>
      <c r="C468" s="18">
        <v>2039</v>
      </c>
      <c r="D468" t="s">
        <v>188</v>
      </c>
      <c r="E468" s="9">
        <v>709800.87708744803</v>
      </c>
      <c r="F468" s="9">
        <v>425914.14257884398</v>
      </c>
      <c r="G468" s="9">
        <v>715580.88708538504</v>
      </c>
      <c r="H468" s="9">
        <v>428444.56848174502</v>
      </c>
      <c r="I468" s="21">
        <f t="shared" si="14"/>
        <v>2530.4259029010427</v>
      </c>
      <c r="J468" s="21">
        <f t="shared" si="15"/>
        <v>5780.0099979370134</v>
      </c>
    </row>
    <row r="469" spans="1:10" hidden="1">
      <c r="A469" t="s">
        <v>200</v>
      </c>
      <c r="B469" t="s">
        <v>202</v>
      </c>
      <c r="C469" s="18">
        <v>2039</v>
      </c>
      <c r="D469" t="s">
        <v>191</v>
      </c>
      <c r="E469" s="9">
        <v>360020.46810270799</v>
      </c>
      <c r="F469" s="9">
        <v>190871.22650180201</v>
      </c>
      <c r="G469" s="9">
        <v>362969.198365508</v>
      </c>
      <c r="H469" s="9">
        <v>191929.610855123</v>
      </c>
      <c r="I469" s="21">
        <f t="shared" si="14"/>
        <v>1058.3843533209874</v>
      </c>
      <c r="J469" s="21">
        <f t="shared" si="15"/>
        <v>2948.7302628000034</v>
      </c>
    </row>
    <row r="470" spans="1:10" hidden="1">
      <c r="A470" t="s">
        <v>200</v>
      </c>
      <c r="B470" t="s">
        <v>202</v>
      </c>
      <c r="C470" s="18">
        <v>2039</v>
      </c>
      <c r="D470" t="s">
        <v>422</v>
      </c>
      <c r="E470" s="9">
        <v>36178.325106478696</v>
      </c>
      <c r="F470" s="9">
        <v>3198.0287771624098</v>
      </c>
      <c r="G470" s="9">
        <v>36178.223844718399</v>
      </c>
      <c r="H470" s="9">
        <v>3198.0230538302199</v>
      </c>
      <c r="I470" s="21">
        <f t="shared" si="14"/>
        <v>-5.7233321899730072E-3</v>
      </c>
      <c r="J470" s="21">
        <f t="shared" si="15"/>
        <v>-0.10126176029734779</v>
      </c>
    </row>
    <row r="471" spans="1:10" hidden="1">
      <c r="A471" t="s">
        <v>200</v>
      </c>
      <c r="B471" t="s">
        <v>202</v>
      </c>
      <c r="C471" s="18">
        <v>2040</v>
      </c>
      <c r="D471" t="s">
        <v>174</v>
      </c>
      <c r="E471" s="9">
        <v>19824.7989194568</v>
      </c>
      <c r="F471" s="9">
        <v>13886.9935247955</v>
      </c>
      <c r="G471" s="9">
        <v>19805.505805764798</v>
      </c>
      <c r="H471" s="9">
        <v>13879.6732870407</v>
      </c>
      <c r="I471" s="21">
        <f t="shared" si="14"/>
        <v>-7.3202377548004733</v>
      </c>
      <c r="J471" s="21">
        <f t="shared" si="15"/>
        <v>-19.293113692001498</v>
      </c>
    </row>
    <row r="472" spans="1:10" hidden="1">
      <c r="A472" t="s">
        <v>200</v>
      </c>
      <c r="B472" t="s">
        <v>202</v>
      </c>
      <c r="C472" s="18">
        <v>2040</v>
      </c>
      <c r="D472" t="s">
        <v>236</v>
      </c>
      <c r="E472" s="9">
        <v>1217362.15843707</v>
      </c>
      <c r="F472" s="9">
        <v>251618.646199015</v>
      </c>
      <c r="G472" s="9">
        <v>1217029.49333677</v>
      </c>
      <c r="H472" s="9">
        <v>251591.89866486701</v>
      </c>
      <c r="I472" s="21">
        <f t="shared" si="14"/>
        <v>-26.747534147987608</v>
      </c>
      <c r="J472" s="21">
        <f t="shared" si="15"/>
        <v>-332.66510029998608</v>
      </c>
    </row>
    <row r="473" spans="1:10" hidden="1">
      <c r="A473" t="s">
        <v>200</v>
      </c>
      <c r="B473" t="s">
        <v>202</v>
      </c>
      <c r="C473" s="18">
        <v>2040</v>
      </c>
      <c r="D473" t="s">
        <v>182</v>
      </c>
      <c r="E473" s="9">
        <v>129024.952110032</v>
      </c>
      <c r="F473" s="9">
        <v>83765.346271954899</v>
      </c>
      <c r="G473" s="9">
        <v>130079.117811465</v>
      </c>
      <c r="H473" s="9">
        <v>84431.891175836907</v>
      </c>
      <c r="I473" s="21">
        <f t="shared" si="14"/>
        <v>666.54490388200793</v>
      </c>
      <c r="J473" s="21">
        <f t="shared" si="15"/>
        <v>1054.1657014329976</v>
      </c>
    </row>
    <row r="474" spans="1:10" hidden="1">
      <c r="A474" t="s">
        <v>200</v>
      </c>
      <c r="B474" t="s">
        <v>202</v>
      </c>
      <c r="C474" s="18">
        <v>2040</v>
      </c>
      <c r="D474" t="s">
        <v>185</v>
      </c>
      <c r="E474" s="9">
        <v>270499.07212258602</v>
      </c>
      <c r="F474" s="9">
        <v>255463.65087756701</v>
      </c>
      <c r="G474" s="9">
        <v>272772.69297753199</v>
      </c>
      <c r="H474" s="9">
        <v>257451.80463236</v>
      </c>
      <c r="I474" s="21">
        <f t="shared" si="14"/>
        <v>1988.1537547929911</v>
      </c>
      <c r="J474" s="21">
        <f t="shared" si="15"/>
        <v>2273.6208549459698</v>
      </c>
    </row>
    <row r="475" spans="1:10" hidden="1">
      <c r="A475" t="s">
        <v>200</v>
      </c>
      <c r="B475" t="s">
        <v>202</v>
      </c>
      <c r="C475" s="18">
        <v>2040</v>
      </c>
      <c r="D475" t="s">
        <v>188</v>
      </c>
      <c r="E475" s="9">
        <v>719248.09122651594</v>
      </c>
      <c r="F475" s="9">
        <v>432544.38112783403</v>
      </c>
      <c r="G475" s="9">
        <v>725057.85135654395</v>
      </c>
      <c r="H475" s="9">
        <v>435208.84098996199</v>
      </c>
      <c r="I475" s="21">
        <f t="shared" si="14"/>
        <v>2664.4598621279583</v>
      </c>
      <c r="J475" s="21">
        <f t="shared" si="15"/>
        <v>5809.7601300280076</v>
      </c>
    </row>
    <row r="476" spans="1:10" hidden="1">
      <c r="A476" t="s">
        <v>200</v>
      </c>
      <c r="B476" t="s">
        <v>202</v>
      </c>
      <c r="C476" s="18">
        <v>2040</v>
      </c>
      <c r="D476" t="s">
        <v>191</v>
      </c>
      <c r="E476" s="9">
        <v>363757.59298515902</v>
      </c>
      <c r="F476" s="9">
        <v>192748.00524576899</v>
      </c>
      <c r="G476" s="9">
        <v>366714.04580788402</v>
      </c>
      <c r="H476" s="9">
        <v>193853.25074776399</v>
      </c>
      <c r="I476" s="21">
        <f t="shared" si="14"/>
        <v>1105.2455019949994</v>
      </c>
      <c r="J476" s="21">
        <f t="shared" si="15"/>
        <v>2956.4528227249975</v>
      </c>
    </row>
    <row r="477" spans="1:10" hidden="1">
      <c r="A477" t="s">
        <v>200</v>
      </c>
      <c r="B477" t="s">
        <v>202</v>
      </c>
      <c r="C477" s="18">
        <v>2040</v>
      </c>
      <c r="D477" t="s">
        <v>422</v>
      </c>
      <c r="E477" s="9">
        <v>36005.135067353702</v>
      </c>
      <c r="F477" s="9">
        <v>3069.2571870566699</v>
      </c>
      <c r="G477" s="9">
        <v>36005.028086341903</v>
      </c>
      <c r="H477" s="9">
        <v>3069.2518935015801</v>
      </c>
      <c r="I477" s="21">
        <f t="shared" si="14"/>
        <v>-5.2935550897927897E-3</v>
      </c>
      <c r="J477" s="21">
        <f t="shared" si="15"/>
        <v>-0.10698101179877995</v>
      </c>
    </row>
    <row r="478" spans="1:10" hidden="1">
      <c r="A478" t="s">
        <v>200</v>
      </c>
      <c r="B478" t="s">
        <v>202</v>
      </c>
      <c r="C478" s="18">
        <v>2041</v>
      </c>
      <c r="D478" t="s">
        <v>174</v>
      </c>
      <c r="E478" s="9">
        <v>20475.457677271501</v>
      </c>
      <c r="F478" s="9">
        <v>14258.1165263111</v>
      </c>
      <c r="G478" s="9">
        <v>20453.6267543422</v>
      </c>
      <c r="H478" s="9">
        <v>14249.536455216699</v>
      </c>
      <c r="I478" s="21">
        <f t="shared" si="14"/>
        <v>-8.5800710944004095</v>
      </c>
      <c r="J478" s="21">
        <f t="shared" si="15"/>
        <v>-21.830922929300868</v>
      </c>
    </row>
    <row r="479" spans="1:10" hidden="1">
      <c r="A479" t="s">
        <v>200</v>
      </c>
      <c r="B479" t="s">
        <v>202</v>
      </c>
      <c r="C479" s="18">
        <v>2041</v>
      </c>
      <c r="D479" t="s">
        <v>236</v>
      </c>
      <c r="E479" s="9">
        <v>1226994.46831501</v>
      </c>
      <c r="F479" s="9">
        <v>259709.419237141</v>
      </c>
      <c r="G479" s="9">
        <v>1226624.8107670301</v>
      </c>
      <c r="H479" s="9">
        <v>259677.195752453</v>
      </c>
      <c r="I479" s="21">
        <f t="shared" si="14"/>
        <v>-32.223484688001918</v>
      </c>
      <c r="J479" s="21">
        <f t="shared" si="15"/>
        <v>-369.65754797984846</v>
      </c>
    </row>
    <row r="480" spans="1:10" hidden="1">
      <c r="A480" t="s">
        <v>200</v>
      </c>
      <c r="B480" t="s">
        <v>202</v>
      </c>
      <c r="C480" s="18">
        <v>2041</v>
      </c>
      <c r="D480" t="s">
        <v>182</v>
      </c>
      <c r="E480" s="9">
        <v>131166.207790999</v>
      </c>
      <c r="F480" s="9">
        <v>84852.410651908402</v>
      </c>
      <c r="G480" s="9">
        <v>132229.629710176</v>
      </c>
      <c r="H480" s="9">
        <v>85532.319590607702</v>
      </c>
      <c r="I480" s="21">
        <f t="shared" si="14"/>
        <v>679.90893869930005</v>
      </c>
      <c r="J480" s="21">
        <f t="shared" si="15"/>
        <v>1063.4219191769953</v>
      </c>
    </row>
    <row r="481" spans="1:10" hidden="1">
      <c r="A481" t="s">
        <v>200</v>
      </c>
      <c r="B481" t="s">
        <v>202</v>
      </c>
      <c r="C481" s="18">
        <v>2041</v>
      </c>
      <c r="D481" t="s">
        <v>185</v>
      </c>
      <c r="E481" s="9">
        <v>270352.28237085399</v>
      </c>
      <c r="F481" s="9">
        <v>255394.77554049599</v>
      </c>
      <c r="G481" s="9">
        <v>272611.75367129099</v>
      </c>
      <c r="H481" s="9">
        <v>257389.63175428601</v>
      </c>
      <c r="I481" s="21">
        <f t="shared" si="14"/>
        <v>1994.8562137900153</v>
      </c>
      <c r="J481" s="21">
        <f t="shared" si="15"/>
        <v>2259.4713004369987</v>
      </c>
    </row>
    <row r="482" spans="1:10" hidden="1">
      <c r="A482" t="s">
        <v>200</v>
      </c>
      <c r="B482" t="s">
        <v>202</v>
      </c>
      <c r="C482" s="18">
        <v>2041</v>
      </c>
      <c r="D482" t="s">
        <v>188</v>
      </c>
      <c r="E482" s="9">
        <v>728785.96587445401</v>
      </c>
      <c r="F482" s="9">
        <v>439535.36563304899</v>
      </c>
      <c r="G482" s="9">
        <v>734627.74007540499</v>
      </c>
      <c r="H482" s="9">
        <v>442324.30640679202</v>
      </c>
      <c r="I482" s="21">
        <f t="shared" si="14"/>
        <v>2788.9407737430301</v>
      </c>
      <c r="J482" s="21">
        <f t="shared" si="15"/>
        <v>5841.774200950982</v>
      </c>
    </row>
    <row r="483" spans="1:10" hidden="1">
      <c r="A483" t="s">
        <v>200</v>
      </c>
      <c r="B483" t="s">
        <v>202</v>
      </c>
      <c r="C483" s="18">
        <v>2041</v>
      </c>
      <c r="D483" t="s">
        <v>191</v>
      </c>
      <c r="E483" s="9">
        <v>367472.004280283</v>
      </c>
      <c r="F483" s="9">
        <v>194777.930754506</v>
      </c>
      <c r="G483" s="9">
        <v>370436.97560679301</v>
      </c>
      <c r="H483" s="9">
        <v>195926.90720139601</v>
      </c>
      <c r="I483" s="21">
        <f t="shared" si="14"/>
        <v>1148.9764468900103</v>
      </c>
      <c r="J483" s="21">
        <f t="shared" si="15"/>
        <v>2964.9713265100145</v>
      </c>
    </row>
    <row r="484" spans="1:10" hidden="1">
      <c r="A484" t="s">
        <v>200</v>
      </c>
      <c r="B484" t="s">
        <v>202</v>
      </c>
      <c r="C484" s="18">
        <v>2041</v>
      </c>
      <c r="D484" t="s">
        <v>422</v>
      </c>
      <c r="E484" s="9">
        <v>35900.874934772997</v>
      </c>
      <c r="F484" s="9">
        <v>2944.0204516051499</v>
      </c>
      <c r="G484" s="9">
        <v>35900.765054072101</v>
      </c>
      <c r="H484" s="9">
        <v>2944.01552271229</v>
      </c>
      <c r="I484" s="21">
        <f t="shared" si="14"/>
        <v>-4.928892859879852E-3</v>
      </c>
      <c r="J484" s="21">
        <f t="shared" si="15"/>
        <v>-0.10988070089661051</v>
      </c>
    </row>
    <row r="485" spans="1:10" hidden="1">
      <c r="A485" t="s">
        <v>200</v>
      </c>
      <c r="B485" t="s">
        <v>202</v>
      </c>
      <c r="C485" s="18">
        <v>2042</v>
      </c>
      <c r="D485" t="s">
        <v>174</v>
      </c>
      <c r="E485" s="9">
        <v>21140.076072433301</v>
      </c>
      <c r="F485" s="9">
        <v>14636.249174552901</v>
      </c>
      <c r="G485" s="9">
        <v>21115.581702688502</v>
      </c>
      <c r="H485" s="9">
        <v>14626.319006600401</v>
      </c>
      <c r="I485" s="21">
        <f t="shared" si="14"/>
        <v>-9.9301679524996871</v>
      </c>
      <c r="J485" s="21">
        <f t="shared" si="15"/>
        <v>-24.494369744799769</v>
      </c>
    </row>
    <row r="486" spans="1:10" hidden="1">
      <c r="A486" t="s">
        <v>200</v>
      </c>
      <c r="B486" t="s">
        <v>202</v>
      </c>
      <c r="C486" s="18">
        <v>2042</v>
      </c>
      <c r="D486" t="s">
        <v>236</v>
      </c>
      <c r="E486" s="9">
        <v>1236110.4322182101</v>
      </c>
      <c r="F486" s="9">
        <v>267816.93809565599</v>
      </c>
      <c r="G486" s="9">
        <v>1235703.75022274</v>
      </c>
      <c r="H486" s="9">
        <v>267778.732534162</v>
      </c>
      <c r="I486" s="21">
        <f t="shared" si="14"/>
        <v>-38.20556149398908</v>
      </c>
      <c r="J486" s="21">
        <f t="shared" si="15"/>
        <v>-406.6819954700768</v>
      </c>
    </row>
    <row r="487" spans="1:10" hidden="1">
      <c r="A487" t="s">
        <v>200</v>
      </c>
      <c r="B487" t="s">
        <v>202</v>
      </c>
      <c r="C487" s="18">
        <v>2042</v>
      </c>
      <c r="D487" t="s">
        <v>182</v>
      </c>
      <c r="E487" s="9">
        <v>133279.15459366399</v>
      </c>
      <c r="F487" s="9">
        <v>85965.604888169197</v>
      </c>
      <c r="G487" s="9">
        <v>134351.62604870801</v>
      </c>
      <c r="H487" s="9">
        <v>86657.313221329707</v>
      </c>
      <c r="I487" s="21">
        <f t="shared" si="14"/>
        <v>691.70833316050994</v>
      </c>
      <c r="J487" s="21">
        <f t="shared" si="15"/>
        <v>1072.4714550440258</v>
      </c>
    </row>
    <row r="488" spans="1:10" hidden="1">
      <c r="A488" t="s">
        <v>200</v>
      </c>
      <c r="B488" t="s">
        <v>202</v>
      </c>
      <c r="C488" s="18">
        <v>2042</v>
      </c>
      <c r="D488" t="s">
        <v>185</v>
      </c>
      <c r="E488" s="9">
        <v>270036.39681750903</v>
      </c>
      <c r="F488" s="9">
        <v>255200.19132709</v>
      </c>
      <c r="G488" s="9">
        <v>272280.658720601</v>
      </c>
      <c r="H488" s="9">
        <v>257198.34975601899</v>
      </c>
      <c r="I488" s="21">
        <f t="shared" si="14"/>
        <v>1998.1584289289895</v>
      </c>
      <c r="J488" s="21">
        <f t="shared" si="15"/>
        <v>2244.2619030919741</v>
      </c>
    </row>
    <row r="489" spans="1:10" hidden="1">
      <c r="A489" t="s">
        <v>200</v>
      </c>
      <c r="B489" t="s">
        <v>202</v>
      </c>
      <c r="C489" s="18">
        <v>2042</v>
      </c>
      <c r="D489" t="s">
        <v>188</v>
      </c>
      <c r="E489" s="9">
        <v>738438.14712863602</v>
      </c>
      <c r="F489" s="9">
        <v>446696.19335890003</v>
      </c>
      <c r="G489" s="9">
        <v>744313.272667757</v>
      </c>
      <c r="H489" s="9">
        <v>449601.26122749498</v>
      </c>
      <c r="I489" s="21">
        <f t="shared" si="14"/>
        <v>2905.0678685949533</v>
      </c>
      <c r="J489" s="21">
        <f t="shared" si="15"/>
        <v>5875.1255391209852</v>
      </c>
    </row>
    <row r="490" spans="1:10" hidden="1">
      <c r="A490" t="s">
        <v>200</v>
      </c>
      <c r="B490" t="s">
        <v>202</v>
      </c>
      <c r="C490" s="18">
        <v>2042</v>
      </c>
      <c r="D490" t="s">
        <v>191</v>
      </c>
      <c r="E490" s="9">
        <v>371443.08570574998</v>
      </c>
      <c r="F490" s="9">
        <v>196892.53816831199</v>
      </c>
      <c r="G490" s="9">
        <v>374419.26204563602</v>
      </c>
      <c r="H490" s="9">
        <v>198082.81410371399</v>
      </c>
      <c r="I490" s="21">
        <f t="shared" si="14"/>
        <v>1190.2759354019945</v>
      </c>
      <c r="J490" s="21">
        <f t="shared" si="15"/>
        <v>2976.1763398860348</v>
      </c>
    </row>
    <row r="491" spans="1:10" hidden="1">
      <c r="A491" t="s">
        <v>200</v>
      </c>
      <c r="B491" t="s">
        <v>202</v>
      </c>
      <c r="C491" s="18">
        <v>2042</v>
      </c>
      <c r="D491" t="s">
        <v>422</v>
      </c>
      <c r="E491" s="9">
        <v>35516.951905064503</v>
      </c>
      <c r="F491" s="9">
        <v>2820.5168093584698</v>
      </c>
      <c r="G491" s="9">
        <v>35516.840593533198</v>
      </c>
      <c r="H491" s="9">
        <v>2820.5122126446799</v>
      </c>
      <c r="I491" s="21">
        <f t="shared" si="14"/>
        <v>-4.596713789851492E-3</v>
      </c>
      <c r="J491" s="21">
        <f t="shared" si="15"/>
        <v>-0.11131153130554594</v>
      </c>
    </row>
    <row r="492" spans="1:10" hidden="1">
      <c r="A492" t="s">
        <v>200</v>
      </c>
      <c r="B492" t="s">
        <v>202</v>
      </c>
      <c r="C492" s="18">
        <v>2043</v>
      </c>
      <c r="D492" t="s">
        <v>174</v>
      </c>
      <c r="E492" s="9">
        <v>21816.408433393099</v>
      </c>
      <c r="F492" s="9">
        <v>15015.4516616415</v>
      </c>
      <c r="G492" s="9">
        <v>21789.125656033499</v>
      </c>
      <c r="H492" s="9">
        <v>15004.086115812899</v>
      </c>
      <c r="I492" s="21">
        <f t="shared" si="14"/>
        <v>-11.365545828601171</v>
      </c>
      <c r="J492" s="21">
        <f t="shared" si="15"/>
        <v>-27.282777359600004</v>
      </c>
    </row>
    <row r="493" spans="1:10" hidden="1">
      <c r="A493" t="s">
        <v>200</v>
      </c>
      <c r="B493" t="s">
        <v>202</v>
      </c>
      <c r="C493" s="18">
        <v>2043</v>
      </c>
      <c r="D493" t="s">
        <v>236</v>
      </c>
      <c r="E493" s="9">
        <v>1244690.1338015101</v>
      </c>
      <c r="F493" s="9">
        <v>275921.67792248097</v>
      </c>
      <c r="G493" s="9">
        <v>1244246.5115360599</v>
      </c>
      <c r="H493" s="9">
        <v>275876.99548631802</v>
      </c>
      <c r="I493" s="21">
        <f t="shared" si="14"/>
        <v>-44.682436162955128</v>
      </c>
      <c r="J493" s="21">
        <f t="shared" si="15"/>
        <v>-443.62226545019075</v>
      </c>
    </row>
    <row r="494" spans="1:10" hidden="1">
      <c r="A494" t="s">
        <v>200</v>
      </c>
      <c r="B494" t="s">
        <v>202</v>
      </c>
      <c r="C494" s="18">
        <v>2043</v>
      </c>
      <c r="D494" t="s">
        <v>182</v>
      </c>
      <c r="E494" s="9">
        <v>135519.39090644501</v>
      </c>
      <c r="F494" s="9">
        <v>87077.015026556604</v>
      </c>
      <c r="G494" s="9">
        <v>136601.974960575</v>
      </c>
      <c r="H494" s="9">
        <v>87779.034425801001</v>
      </c>
      <c r="I494" s="21">
        <f t="shared" si="14"/>
        <v>702.01939924439648</v>
      </c>
      <c r="J494" s="21">
        <f t="shared" si="15"/>
        <v>1082.584054129984</v>
      </c>
    </row>
    <row r="495" spans="1:10" hidden="1">
      <c r="A495" t="s">
        <v>200</v>
      </c>
      <c r="B495" t="s">
        <v>202</v>
      </c>
      <c r="C495" s="18">
        <v>2043</v>
      </c>
      <c r="D495" t="s">
        <v>185</v>
      </c>
      <c r="E495" s="9">
        <v>269462.52395197999</v>
      </c>
      <c r="F495" s="9">
        <v>254779.80267117001</v>
      </c>
      <c r="G495" s="9">
        <v>271689.79422675102</v>
      </c>
      <c r="H495" s="9">
        <v>256777.58715706799</v>
      </c>
      <c r="I495" s="21">
        <f t="shared" si="14"/>
        <v>1997.7844858979806</v>
      </c>
      <c r="J495" s="21">
        <f t="shared" si="15"/>
        <v>2227.2702747710282</v>
      </c>
    </row>
    <row r="496" spans="1:10" hidden="1">
      <c r="A496" t="s">
        <v>200</v>
      </c>
      <c r="B496" t="s">
        <v>202</v>
      </c>
      <c r="C496" s="18">
        <v>2043</v>
      </c>
      <c r="D496" t="s">
        <v>188</v>
      </c>
      <c r="E496" s="9">
        <v>748459.09368422697</v>
      </c>
      <c r="F496" s="9">
        <v>453903.21718586702</v>
      </c>
      <c r="G496" s="9">
        <v>754370.89241350198</v>
      </c>
      <c r="H496" s="9">
        <v>456915.72204617201</v>
      </c>
      <c r="I496" s="21">
        <f t="shared" si="14"/>
        <v>3012.5048603049945</v>
      </c>
      <c r="J496" s="21">
        <f t="shared" si="15"/>
        <v>5911.798729275004</v>
      </c>
    </row>
    <row r="497" spans="1:10" hidden="1">
      <c r="A497" t="s">
        <v>200</v>
      </c>
      <c r="B497" t="s">
        <v>202</v>
      </c>
      <c r="C497" s="18">
        <v>2043</v>
      </c>
      <c r="D497" t="s">
        <v>191</v>
      </c>
      <c r="E497" s="9">
        <v>375775.54883709899</v>
      </c>
      <c r="F497" s="9">
        <v>198975.18410744099</v>
      </c>
      <c r="G497" s="9">
        <v>378766.53451535699</v>
      </c>
      <c r="H497" s="9">
        <v>200204.274251736</v>
      </c>
      <c r="I497" s="21">
        <f t="shared" si="14"/>
        <v>1229.0901442950126</v>
      </c>
      <c r="J497" s="21">
        <f t="shared" si="15"/>
        <v>2990.9856782580027</v>
      </c>
    </row>
    <row r="498" spans="1:10" hidden="1">
      <c r="A498" t="s">
        <v>200</v>
      </c>
      <c r="B498" t="s">
        <v>202</v>
      </c>
      <c r="C498" s="18">
        <v>2043</v>
      </c>
      <c r="D498" t="s">
        <v>422</v>
      </c>
      <c r="E498" s="9">
        <v>35328.884191016397</v>
      </c>
      <c r="F498" s="9">
        <v>2698.3352123045602</v>
      </c>
      <c r="G498" s="9">
        <v>35328.773203308199</v>
      </c>
      <c r="H498" s="9">
        <v>2698.3309296050402</v>
      </c>
      <c r="I498" s="21">
        <f t="shared" si="14"/>
        <v>-4.282699519990274E-3</v>
      </c>
      <c r="J498" s="21">
        <f t="shared" si="15"/>
        <v>-0.11098770819808124</v>
      </c>
    </row>
    <row r="499" spans="1:10" hidden="1">
      <c r="A499" t="s">
        <v>200</v>
      </c>
      <c r="B499" t="s">
        <v>202</v>
      </c>
      <c r="C499" s="18">
        <v>2044</v>
      </c>
      <c r="D499" t="s">
        <v>174</v>
      </c>
      <c r="E499" s="9">
        <v>22502.597470905799</v>
      </c>
      <c r="F499" s="9">
        <v>15401.5228579706</v>
      </c>
      <c r="G499" s="9">
        <v>22472.405778779801</v>
      </c>
      <c r="H499" s="9">
        <v>15388.638261887199</v>
      </c>
      <c r="I499" s="21">
        <f t="shared" si="14"/>
        <v>-12.884596083400538</v>
      </c>
      <c r="J499" s="21">
        <f t="shared" si="15"/>
        <v>-30.191692125998088</v>
      </c>
    </row>
    <row r="500" spans="1:10" hidden="1">
      <c r="A500" t="s">
        <v>200</v>
      </c>
      <c r="B500" t="s">
        <v>202</v>
      </c>
      <c r="C500" s="18">
        <v>2044</v>
      </c>
      <c r="D500" t="s">
        <v>236</v>
      </c>
      <c r="E500" s="9">
        <v>1253000.1415357899</v>
      </c>
      <c r="F500" s="9">
        <v>283953.699921116</v>
      </c>
      <c r="G500" s="9">
        <v>1252519.7576166999</v>
      </c>
      <c r="H500" s="9">
        <v>283902.05041687097</v>
      </c>
      <c r="I500" s="21">
        <f t="shared" si="14"/>
        <v>-51.649504245026037</v>
      </c>
      <c r="J500" s="21">
        <f t="shared" si="15"/>
        <v>-480.38391909003258</v>
      </c>
    </row>
    <row r="501" spans="1:10" hidden="1">
      <c r="A501" t="s">
        <v>200</v>
      </c>
      <c r="B501" t="s">
        <v>202</v>
      </c>
      <c r="C501" s="18">
        <v>2044</v>
      </c>
      <c r="D501" t="s">
        <v>182</v>
      </c>
      <c r="E501" s="9">
        <v>137040.87768954999</v>
      </c>
      <c r="F501" s="9">
        <v>88201.312482812602</v>
      </c>
      <c r="G501" s="9">
        <v>138127.80749224901</v>
      </c>
      <c r="H501" s="9">
        <v>88912.446286897801</v>
      </c>
      <c r="I501" s="21">
        <f t="shared" si="14"/>
        <v>711.13380408519879</v>
      </c>
      <c r="J501" s="21">
        <f t="shared" si="15"/>
        <v>1086.9298026990145</v>
      </c>
    </row>
    <row r="502" spans="1:10" hidden="1">
      <c r="A502" t="s">
        <v>200</v>
      </c>
      <c r="B502" t="s">
        <v>202</v>
      </c>
      <c r="C502" s="18">
        <v>2044</v>
      </c>
      <c r="D502" t="s">
        <v>185</v>
      </c>
      <c r="E502" s="9">
        <v>268771.35120516497</v>
      </c>
      <c r="F502" s="9">
        <v>254440.486229626</v>
      </c>
      <c r="G502" s="9">
        <v>270981.060601887</v>
      </c>
      <c r="H502" s="9">
        <v>256436.399818879</v>
      </c>
      <c r="I502" s="21">
        <f t="shared" si="14"/>
        <v>1995.913589253003</v>
      </c>
      <c r="J502" s="21">
        <f t="shared" si="15"/>
        <v>2209.709396722028</v>
      </c>
    </row>
    <row r="503" spans="1:10" hidden="1">
      <c r="A503" t="s">
        <v>200</v>
      </c>
      <c r="B503" t="s">
        <v>202</v>
      </c>
      <c r="C503" s="18">
        <v>2044</v>
      </c>
      <c r="D503" t="s">
        <v>188</v>
      </c>
      <c r="E503" s="9">
        <v>754832.33194407297</v>
      </c>
      <c r="F503" s="9">
        <v>461124.15872168099</v>
      </c>
      <c r="G503" s="9">
        <v>760751.52916181902</v>
      </c>
      <c r="H503" s="9">
        <v>464236.62382849702</v>
      </c>
      <c r="I503" s="21">
        <f t="shared" si="14"/>
        <v>3112.465106816031</v>
      </c>
      <c r="J503" s="21">
        <f t="shared" si="15"/>
        <v>5919.1972177460557</v>
      </c>
    </row>
    <row r="504" spans="1:10" hidden="1">
      <c r="A504" t="s">
        <v>200</v>
      </c>
      <c r="B504" t="s">
        <v>202</v>
      </c>
      <c r="C504" s="18">
        <v>2044</v>
      </c>
      <c r="D504" t="s">
        <v>191</v>
      </c>
      <c r="E504" s="9">
        <v>377768.05476416001</v>
      </c>
      <c r="F504" s="9">
        <v>201497.041402695</v>
      </c>
      <c r="G504" s="9">
        <v>380754.51437457599</v>
      </c>
      <c r="H504" s="9">
        <v>202762.43540540201</v>
      </c>
      <c r="I504" s="21">
        <f t="shared" si="14"/>
        <v>1265.3940027070057</v>
      </c>
      <c r="J504" s="21">
        <f t="shared" si="15"/>
        <v>2986.4596104159718</v>
      </c>
    </row>
    <row r="505" spans="1:10" hidden="1">
      <c r="A505" t="s">
        <v>200</v>
      </c>
      <c r="B505" t="s">
        <v>202</v>
      </c>
      <c r="C505" s="18">
        <v>2044</v>
      </c>
      <c r="D505" t="s">
        <v>422</v>
      </c>
      <c r="E505" s="9">
        <v>35046.805815537198</v>
      </c>
      <c r="F505" s="9">
        <v>2573.79628078108</v>
      </c>
      <c r="G505" s="9">
        <v>35046.705207959298</v>
      </c>
      <c r="H505" s="9">
        <v>2573.7926243052102</v>
      </c>
      <c r="I505" s="21">
        <f t="shared" si="14"/>
        <v>-3.6564758697750221E-3</v>
      </c>
      <c r="J505" s="21">
        <f t="shared" si="15"/>
        <v>-0.10060757790051866</v>
      </c>
    </row>
    <row r="506" spans="1:10" hidden="1">
      <c r="A506" t="s">
        <v>200</v>
      </c>
      <c r="B506" t="s">
        <v>202</v>
      </c>
      <c r="C506" s="18">
        <v>2045</v>
      </c>
      <c r="D506" t="s">
        <v>174</v>
      </c>
      <c r="E506" s="9">
        <v>23200.167537896399</v>
      </c>
      <c r="F506" s="9">
        <v>15786.1868062957</v>
      </c>
      <c r="G506" s="9">
        <v>23166.945688051499</v>
      </c>
      <c r="H506" s="9">
        <v>15771.7189092791</v>
      </c>
      <c r="I506" s="21">
        <f t="shared" si="14"/>
        <v>-14.467897016600546</v>
      </c>
      <c r="J506" s="21">
        <f t="shared" si="15"/>
        <v>-33.221849844900134</v>
      </c>
    </row>
    <row r="507" spans="1:10" hidden="1">
      <c r="A507" t="s">
        <v>200</v>
      </c>
      <c r="B507" t="s">
        <v>202</v>
      </c>
      <c r="C507" s="18">
        <v>2045</v>
      </c>
      <c r="D507" t="s">
        <v>236</v>
      </c>
      <c r="E507" s="9">
        <v>1261109.82690343</v>
      </c>
      <c r="F507" s="9">
        <v>291881.09548477101</v>
      </c>
      <c r="G507" s="9">
        <v>1260592.98702146</v>
      </c>
      <c r="H507" s="9">
        <v>291822.02754025703</v>
      </c>
      <c r="I507" s="21">
        <f t="shared" si="14"/>
        <v>-59.067944513983093</v>
      </c>
      <c r="J507" s="21">
        <f t="shared" si="15"/>
        <v>-516.83988197008148</v>
      </c>
    </row>
    <row r="508" spans="1:10" hidden="1">
      <c r="A508" t="s">
        <v>200</v>
      </c>
      <c r="B508" t="s">
        <v>202</v>
      </c>
      <c r="C508" s="18">
        <v>2045</v>
      </c>
      <c r="D508" t="s">
        <v>182</v>
      </c>
      <c r="E508" s="9">
        <v>139077.389899612</v>
      </c>
      <c r="F508" s="9">
        <v>89322.107773502299</v>
      </c>
      <c r="G508" s="9">
        <v>140172.77481552499</v>
      </c>
      <c r="H508" s="9">
        <v>90041.604590588802</v>
      </c>
      <c r="I508" s="21">
        <f t="shared" si="14"/>
        <v>719.49681708650314</v>
      </c>
      <c r="J508" s="21">
        <f t="shared" si="15"/>
        <v>1095.3849159129895</v>
      </c>
    </row>
    <row r="509" spans="1:10" hidden="1">
      <c r="A509" t="s">
        <v>200</v>
      </c>
      <c r="B509" t="s">
        <v>202</v>
      </c>
      <c r="C509" s="18">
        <v>2045</v>
      </c>
      <c r="D509" t="s">
        <v>185</v>
      </c>
      <c r="E509" s="9">
        <v>268244.54522839398</v>
      </c>
      <c r="F509" s="9">
        <v>253984.29046502701</v>
      </c>
      <c r="G509" s="9">
        <v>270438.60315228201</v>
      </c>
      <c r="H509" s="9">
        <v>255976.90811330499</v>
      </c>
      <c r="I509" s="21">
        <f t="shared" si="14"/>
        <v>1992.6176482779847</v>
      </c>
      <c r="J509" s="21">
        <f t="shared" si="15"/>
        <v>2194.0579238880309</v>
      </c>
    </row>
    <row r="510" spans="1:10" hidden="1">
      <c r="A510" t="s">
        <v>200</v>
      </c>
      <c r="B510" t="s">
        <v>202</v>
      </c>
      <c r="C510" s="18">
        <v>2045</v>
      </c>
      <c r="D510" t="s">
        <v>188</v>
      </c>
      <c r="E510" s="9">
        <v>763369.12805691105</v>
      </c>
      <c r="F510" s="9">
        <v>467714.275723261</v>
      </c>
      <c r="G510" s="9">
        <v>769313.803212411</v>
      </c>
      <c r="H510" s="9">
        <v>470920.29436777002</v>
      </c>
      <c r="I510" s="21">
        <f t="shared" si="14"/>
        <v>3206.0186445090221</v>
      </c>
      <c r="J510" s="21">
        <f t="shared" si="15"/>
        <v>5944.6751554999501</v>
      </c>
    </row>
    <row r="511" spans="1:10" hidden="1">
      <c r="A511" t="s">
        <v>200</v>
      </c>
      <c r="B511" t="s">
        <v>202</v>
      </c>
      <c r="C511" s="18">
        <v>2045</v>
      </c>
      <c r="D511" t="s">
        <v>191</v>
      </c>
      <c r="E511" s="9">
        <v>380943.84924424201</v>
      </c>
      <c r="F511" s="9">
        <v>203569.47699022401</v>
      </c>
      <c r="G511" s="9">
        <v>383936.19252461498</v>
      </c>
      <c r="H511" s="9">
        <v>204869.32889798901</v>
      </c>
      <c r="I511" s="21">
        <f t="shared" si="14"/>
        <v>1299.851907764998</v>
      </c>
      <c r="J511" s="21">
        <f t="shared" si="15"/>
        <v>2992.3432803729665</v>
      </c>
    </row>
    <row r="512" spans="1:10" hidden="1">
      <c r="A512" t="s">
        <v>200</v>
      </c>
      <c r="B512" t="s">
        <v>202</v>
      </c>
      <c r="C512" s="18">
        <v>2045</v>
      </c>
      <c r="D512" t="s">
        <v>422</v>
      </c>
      <c r="E512" s="9">
        <v>34846.8194125507</v>
      </c>
      <c r="F512" s="9">
        <v>2452.7499344374801</v>
      </c>
      <c r="G512" s="9">
        <v>34846.715156222701</v>
      </c>
      <c r="H512" s="9">
        <v>2452.74707379338</v>
      </c>
      <c r="I512" s="21">
        <f t="shared" si="14"/>
        <v>-2.8606441001102212E-3</v>
      </c>
      <c r="J512" s="21">
        <f t="shared" si="15"/>
        <v>-0.10425632799888263</v>
      </c>
    </row>
    <row r="513" spans="1:10" hidden="1">
      <c r="A513" t="s">
        <v>200</v>
      </c>
      <c r="B513" t="s">
        <v>202</v>
      </c>
      <c r="C513" s="18">
        <v>2046</v>
      </c>
      <c r="D513" t="s">
        <v>174</v>
      </c>
      <c r="E513" s="9">
        <v>23904.578780376101</v>
      </c>
      <c r="F513" s="9">
        <v>16181.4277029152</v>
      </c>
      <c r="G513" s="9">
        <v>23868.217944038799</v>
      </c>
      <c r="H513" s="9">
        <v>16165.2905403234</v>
      </c>
      <c r="I513" s="21">
        <f t="shared" si="14"/>
        <v>-16.137162591800006</v>
      </c>
      <c r="J513" s="21">
        <f t="shared" si="15"/>
        <v>-36.360836337302317</v>
      </c>
    </row>
    <row r="514" spans="1:10" hidden="1">
      <c r="A514" t="s">
        <v>200</v>
      </c>
      <c r="B514" t="s">
        <v>202</v>
      </c>
      <c r="C514" s="18">
        <v>2046</v>
      </c>
      <c r="D514" t="s">
        <v>236</v>
      </c>
      <c r="E514" s="9">
        <v>1269028.8144386399</v>
      </c>
      <c r="F514" s="9">
        <v>299663.87388835102</v>
      </c>
      <c r="G514" s="9">
        <v>1268475.9563321201</v>
      </c>
      <c r="H514" s="9">
        <v>299596.92866613797</v>
      </c>
      <c r="I514" s="21">
        <f t="shared" ref="I514:I577" si="16">H514-F514</f>
        <v>-66.945222213049419</v>
      </c>
      <c r="J514" s="21">
        <f t="shared" ref="J514:J577" si="17">G514-E514</f>
        <v>-552.85810651979409</v>
      </c>
    </row>
    <row r="515" spans="1:10" hidden="1">
      <c r="A515" t="s">
        <v>200</v>
      </c>
      <c r="B515" t="s">
        <v>202</v>
      </c>
      <c r="C515" s="18">
        <v>2046</v>
      </c>
      <c r="D515" t="s">
        <v>182</v>
      </c>
      <c r="E515" s="9">
        <v>141090.31809725301</v>
      </c>
      <c r="F515" s="9">
        <v>90471.754877894302</v>
      </c>
      <c r="G515" s="9">
        <v>142194.05365060701</v>
      </c>
      <c r="H515" s="9">
        <v>91198.890942598402</v>
      </c>
      <c r="I515" s="21">
        <f t="shared" si="16"/>
        <v>727.13606470410014</v>
      </c>
      <c r="J515" s="21">
        <f t="shared" si="17"/>
        <v>1103.7355533539958</v>
      </c>
    </row>
    <row r="516" spans="1:10" hidden="1">
      <c r="A516" t="s">
        <v>200</v>
      </c>
      <c r="B516" t="s">
        <v>202</v>
      </c>
      <c r="C516" s="18">
        <v>2046</v>
      </c>
      <c r="D516" t="s">
        <v>185</v>
      </c>
      <c r="E516" s="9">
        <v>267744.04805131402</v>
      </c>
      <c r="F516" s="9">
        <v>253443.46643269699</v>
      </c>
      <c r="G516" s="9">
        <v>269923.25168294698</v>
      </c>
      <c r="H516" s="9">
        <v>255431.16141281699</v>
      </c>
      <c r="I516" s="21">
        <f t="shared" si="16"/>
        <v>1987.6949801199953</v>
      </c>
      <c r="J516" s="21">
        <f t="shared" si="17"/>
        <v>2179.2036316329613</v>
      </c>
    </row>
    <row r="517" spans="1:10" hidden="1">
      <c r="A517" t="s">
        <v>200</v>
      </c>
      <c r="B517" t="s">
        <v>202</v>
      </c>
      <c r="C517" s="18">
        <v>2046</v>
      </c>
      <c r="D517" t="s">
        <v>188</v>
      </c>
      <c r="E517" s="9">
        <v>772121.94183751405</v>
      </c>
      <c r="F517" s="9">
        <v>474535.49961671699</v>
      </c>
      <c r="G517" s="9">
        <v>778095.84267256199</v>
      </c>
      <c r="H517" s="9">
        <v>477828.93173194502</v>
      </c>
      <c r="I517" s="21">
        <f t="shared" si="16"/>
        <v>3293.4321152280318</v>
      </c>
      <c r="J517" s="21">
        <f t="shared" si="17"/>
        <v>5973.9008350479417</v>
      </c>
    </row>
    <row r="518" spans="1:10" hidden="1">
      <c r="A518" t="s">
        <v>200</v>
      </c>
      <c r="B518" t="s">
        <v>202</v>
      </c>
      <c r="C518" s="18">
        <v>2046</v>
      </c>
      <c r="D518" t="s">
        <v>191</v>
      </c>
      <c r="E518" s="9">
        <v>384151.663719712</v>
      </c>
      <c r="F518" s="9">
        <v>205716.67761239299</v>
      </c>
      <c r="G518" s="9">
        <v>387151.42704479198</v>
      </c>
      <c r="H518" s="9">
        <v>207048.94525460299</v>
      </c>
      <c r="I518" s="21">
        <f t="shared" si="16"/>
        <v>1332.2676422100049</v>
      </c>
      <c r="J518" s="21">
        <f t="shared" si="17"/>
        <v>2999.7633250799845</v>
      </c>
    </row>
    <row r="519" spans="1:10" hidden="1">
      <c r="A519" t="s">
        <v>200</v>
      </c>
      <c r="B519" t="s">
        <v>202</v>
      </c>
      <c r="C519" s="18">
        <v>2046</v>
      </c>
      <c r="D519" t="s">
        <v>422</v>
      </c>
      <c r="E519" s="9">
        <v>34688.401905812701</v>
      </c>
      <c r="F519" s="9">
        <v>2335.6750131511499</v>
      </c>
      <c r="G519" s="9">
        <v>34688.296767041</v>
      </c>
      <c r="H519" s="9">
        <v>2335.6726092736399</v>
      </c>
      <c r="I519" s="21">
        <f t="shared" si="16"/>
        <v>-2.403877510005259E-3</v>
      </c>
      <c r="J519" s="21">
        <f t="shared" si="17"/>
        <v>-0.10513877170160413</v>
      </c>
    </row>
    <row r="520" spans="1:10" hidden="1">
      <c r="A520" t="s">
        <v>200</v>
      </c>
      <c r="B520" t="s">
        <v>202</v>
      </c>
      <c r="C520" s="18">
        <v>2047</v>
      </c>
      <c r="D520" t="s">
        <v>174</v>
      </c>
      <c r="E520" s="9">
        <v>24615.289280522698</v>
      </c>
      <c r="F520" s="9">
        <v>16586.4706099551</v>
      </c>
      <c r="G520" s="9">
        <v>24575.685129363199</v>
      </c>
      <c r="H520" s="9">
        <v>16568.574829924401</v>
      </c>
      <c r="I520" s="21">
        <f t="shared" si="16"/>
        <v>-17.895780030699825</v>
      </c>
      <c r="J520" s="21">
        <f t="shared" si="17"/>
        <v>-39.604151159499452</v>
      </c>
    </row>
    <row r="521" spans="1:10" hidden="1">
      <c r="A521" t="s">
        <v>200</v>
      </c>
      <c r="B521" t="s">
        <v>202</v>
      </c>
      <c r="C521" s="18">
        <v>2047</v>
      </c>
      <c r="D521" t="s">
        <v>236</v>
      </c>
      <c r="E521" s="9">
        <v>1276661.81259516</v>
      </c>
      <c r="F521" s="9">
        <v>307251.27162203903</v>
      </c>
      <c r="G521" s="9">
        <v>1276073.4846977801</v>
      </c>
      <c r="H521" s="9">
        <v>307176.00873862102</v>
      </c>
      <c r="I521" s="21">
        <f t="shared" si="16"/>
        <v>-75.262883418006822</v>
      </c>
      <c r="J521" s="21">
        <f t="shared" si="17"/>
        <v>-588.32789737987332</v>
      </c>
    </row>
    <row r="522" spans="1:10" hidden="1">
      <c r="A522" t="s">
        <v>200</v>
      </c>
      <c r="B522" t="s">
        <v>202</v>
      </c>
      <c r="C522" s="18">
        <v>2047</v>
      </c>
      <c r="D522" t="s">
        <v>182</v>
      </c>
      <c r="E522" s="9">
        <v>143133.562440054</v>
      </c>
      <c r="F522" s="9">
        <v>91599.863187188894</v>
      </c>
      <c r="G522" s="9">
        <v>144246.070856709</v>
      </c>
      <c r="H522" s="9">
        <v>92333.888291156894</v>
      </c>
      <c r="I522" s="21">
        <f t="shared" si="16"/>
        <v>734.02510396800062</v>
      </c>
      <c r="J522" s="21">
        <f t="shared" si="17"/>
        <v>1112.5084166550077</v>
      </c>
    </row>
    <row r="523" spans="1:10" hidden="1">
      <c r="A523" t="s">
        <v>200</v>
      </c>
      <c r="B523" t="s">
        <v>202</v>
      </c>
      <c r="C523" s="18">
        <v>2047</v>
      </c>
      <c r="D523" t="s">
        <v>185</v>
      </c>
      <c r="E523" s="9">
        <v>266983.03176245402</v>
      </c>
      <c r="F523" s="9">
        <v>252779.666893897</v>
      </c>
      <c r="G523" s="9">
        <v>269145.73066835199</v>
      </c>
      <c r="H523" s="9">
        <v>254760.803670819</v>
      </c>
      <c r="I523" s="21">
        <f t="shared" si="16"/>
        <v>1981.1367769220087</v>
      </c>
      <c r="J523" s="21">
        <f t="shared" si="17"/>
        <v>2162.6989058979671</v>
      </c>
    </row>
    <row r="524" spans="1:10" hidden="1">
      <c r="A524" t="s">
        <v>200</v>
      </c>
      <c r="B524" t="s">
        <v>202</v>
      </c>
      <c r="C524" s="18">
        <v>2047</v>
      </c>
      <c r="D524" t="s">
        <v>188</v>
      </c>
      <c r="E524" s="9">
        <v>780863.77474637504</v>
      </c>
      <c r="F524" s="9">
        <v>481292.743092847</v>
      </c>
      <c r="G524" s="9">
        <v>786867.36601765698</v>
      </c>
      <c r="H524" s="9">
        <v>484667.16956347</v>
      </c>
      <c r="I524" s="21">
        <f t="shared" si="16"/>
        <v>3374.4264706230024</v>
      </c>
      <c r="J524" s="21">
        <f t="shared" si="17"/>
        <v>6003.5912712819409</v>
      </c>
    </row>
    <row r="525" spans="1:10" hidden="1">
      <c r="A525" t="s">
        <v>200</v>
      </c>
      <c r="B525" t="s">
        <v>202</v>
      </c>
      <c r="C525" s="18">
        <v>2047</v>
      </c>
      <c r="D525" t="s">
        <v>191</v>
      </c>
      <c r="E525" s="9">
        <v>387587.82118932402</v>
      </c>
      <c r="F525" s="9">
        <v>207798.334469347</v>
      </c>
      <c r="G525" s="9">
        <v>390597.57749152998</v>
      </c>
      <c r="H525" s="9">
        <v>209160.85891574901</v>
      </c>
      <c r="I525" s="21">
        <f t="shared" si="16"/>
        <v>1362.524446402007</v>
      </c>
      <c r="J525" s="21">
        <f t="shared" si="17"/>
        <v>3009.7563022059621</v>
      </c>
    </row>
    <row r="526" spans="1:10" hidden="1">
      <c r="A526" t="s">
        <v>200</v>
      </c>
      <c r="B526" t="s">
        <v>202</v>
      </c>
      <c r="C526" s="18">
        <v>2047</v>
      </c>
      <c r="D526" t="s">
        <v>422</v>
      </c>
      <c r="E526" s="9">
        <v>34402.559002395399</v>
      </c>
      <c r="F526" s="9">
        <v>2222.2539098494899</v>
      </c>
      <c r="G526" s="9">
        <v>34402.454286141998</v>
      </c>
      <c r="H526" s="9">
        <v>2222.2517838233198</v>
      </c>
      <c r="I526" s="21">
        <f t="shared" si="16"/>
        <v>-2.1260261701172567E-3</v>
      </c>
      <c r="J526" s="21">
        <f t="shared" si="17"/>
        <v>-0.10471625340142054</v>
      </c>
    </row>
    <row r="527" spans="1:10" hidden="1">
      <c r="A527" t="s">
        <v>200</v>
      </c>
      <c r="B527" t="s">
        <v>202</v>
      </c>
      <c r="C527" s="18">
        <v>2048</v>
      </c>
      <c r="D527" t="s">
        <v>174</v>
      </c>
      <c r="E527" s="9">
        <v>25325.803369103902</v>
      </c>
      <c r="F527" s="9">
        <v>17002.6956634833</v>
      </c>
      <c r="G527" s="9">
        <v>25282.866550534</v>
      </c>
      <c r="H527" s="9">
        <v>16982.967131377602</v>
      </c>
      <c r="I527" s="21">
        <f t="shared" si="16"/>
        <v>-19.728532105698832</v>
      </c>
      <c r="J527" s="21">
        <f t="shared" si="17"/>
        <v>-42.936818569902243</v>
      </c>
    </row>
    <row r="528" spans="1:10" hidden="1">
      <c r="A528" t="s">
        <v>200</v>
      </c>
      <c r="B528" t="s">
        <v>202</v>
      </c>
      <c r="C528" s="18">
        <v>2048</v>
      </c>
      <c r="D528" t="s">
        <v>236</v>
      </c>
      <c r="E528" s="9">
        <v>1284090.9007601701</v>
      </c>
      <c r="F528" s="9">
        <v>314633.80440485501</v>
      </c>
      <c r="G528" s="9">
        <v>1283467.7529534199</v>
      </c>
      <c r="H528" s="9">
        <v>314549.83162807999</v>
      </c>
      <c r="I528" s="21">
        <f t="shared" si="16"/>
        <v>-83.972776775015518</v>
      </c>
      <c r="J528" s="21">
        <f t="shared" si="17"/>
        <v>-623.14780675014481</v>
      </c>
    </row>
    <row r="529" spans="1:10" hidden="1">
      <c r="A529" t="s">
        <v>200</v>
      </c>
      <c r="B529" t="s">
        <v>202</v>
      </c>
      <c r="C529" s="18">
        <v>2048</v>
      </c>
      <c r="D529" t="s">
        <v>182</v>
      </c>
      <c r="E529" s="9">
        <v>145291.52841618701</v>
      </c>
      <c r="F529" s="9">
        <v>92687.395753691599</v>
      </c>
      <c r="G529" s="9">
        <v>146413.85314917401</v>
      </c>
      <c r="H529" s="9">
        <v>93427.507277048993</v>
      </c>
      <c r="I529" s="21">
        <f t="shared" si="16"/>
        <v>740.11152335739462</v>
      </c>
      <c r="J529" s="21">
        <f t="shared" si="17"/>
        <v>1122.3247329870064</v>
      </c>
    </row>
    <row r="530" spans="1:10" hidden="1">
      <c r="A530" t="s">
        <v>200</v>
      </c>
      <c r="B530" t="s">
        <v>202</v>
      </c>
      <c r="C530" s="18">
        <v>2048</v>
      </c>
      <c r="D530" t="s">
        <v>185</v>
      </c>
      <c r="E530" s="9">
        <v>265941.10454600397</v>
      </c>
      <c r="F530" s="9">
        <v>251899.685910689</v>
      </c>
      <c r="G530" s="9">
        <v>268085.44794583402</v>
      </c>
      <c r="H530" s="9">
        <v>253872.04741882399</v>
      </c>
      <c r="I530" s="21">
        <f t="shared" si="16"/>
        <v>1972.3615081349853</v>
      </c>
      <c r="J530" s="21">
        <f t="shared" si="17"/>
        <v>2144.3433998300461</v>
      </c>
    </row>
    <row r="531" spans="1:10" hidden="1">
      <c r="A531" t="s">
        <v>200</v>
      </c>
      <c r="B531" t="s">
        <v>202</v>
      </c>
      <c r="C531" s="18">
        <v>2048</v>
      </c>
      <c r="D531" t="s">
        <v>188</v>
      </c>
      <c r="E531" s="9">
        <v>789761.884120745</v>
      </c>
      <c r="F531" s="9">
        <v>487859.30847534898</v>
      </c>
      <c r="G531" s="9">
        <v>795796.81940173404</v>
      </c>
      <c r="H531" s="9">
        <v>491307.70932856598</v>
      </c>
      <c r="I531" s="21">
        <f t="shared" si="16"/>
        <v>3448.4008532169973</v>
      </c>
      <c r="J531" s="21">
        <f t="shared" si="17"/>
        <v>6034.9352809890406</v>
      </c>
    </row>
    <row r="532" spans="1:10" hidden="1">
      <c r="A532" t="s">
        <v>200</v>
      </c>
      <c r="B532" t="s">
        <v>202</v>
      </c>
      <c r="C532" s="18">
        <v>2048</v>
      </c>
      <c r="D532" t="s">
        <v>191</v>
      </c>
      <c r="E532" s="9">
        <v>391283.782332987</v>
      </c>
      <c r="F532" s="9">
        <v>209798.75158696101</v>
      </c>
      <c r="G532" s="9">
        <v>394306.23400907399</v>
      </c>
      <c r="H532" s="9">
        <v>211189.299415093</v>
      </c>
      <c r="I532" s="21">
        <f t="shared" si="16"/>
        <v>1390.5478281319956</v>
      </c>
      <c r="J532" s="21">
        <f t="shared" si="17"/>
        <v>3022.4516760869883</v>
      </c>
    </row>
    <row r="533" spans="1:10" hidden="1">
      <c r="A533" t="s">
        <v>200</v>
      </c>
      <c r="B533" t="s">
        <v>202</v>
      </c>
      <c r="C533" s="18">
        <v>2048</v>
      </c>
      <c r="D533" t="s">
        <v>422</v>
      </c>
      <c r="E533" s="9">
        <v>34278.970247314501</v>
      </c>
      <c r="F533" s="9">
        <v>2112.6636974573798</v>
      </c>
      <c r="G533" s="9">
        <v>34278.863496812097</v>
      </c>
      <c r="H533" s="9">
        <v>2112.6617453372501</v>
      </c>
      <c r="I533" s="21">
        <f t="shared" si="16"/>
        <v>-1.9521201297720836E-3</v>
      </c>
      <c r="J533" s="21">
        <f t="shared" si="17"/>
        <v>-0.10675050240388373</v>
      </c>
    </row>
    <row r="534" spans="1:10" hidden="1">
      <c r="A534" t="s">
        <v>200</v>
      </c>
      <c r="B534" t="s">
        <v>202</v>
      </c>
      <c r="C534" s="18">
        <v>2049</v>
      </c>
      <c r="D534" t="s">
        <v>174</v>
      </c>
      <c r="E534" s="9">
        <v>26032.875510529098</v>
      </c>
      <c r="F534" s="9">
        <v>17428.294029824501</v>
      </c>
      <c r="G534" s="9">
        <v>25986.5373789525</v>
      </c>
      <c r="H534" s="9">
        <v>17406.659114093502</v>
      </c>
      <c r="I534" s="21">
        <f t="shared" si="16"/>
        <v>-21.634915730999637</v>
      </c>
      <c r="J534" s="21">
        <f t="shared" si="17"/>
        <v>-46.338131576598244</v>
      </c>
    </row>
    <row r="535" spans="1:10" hidden="1">
      <c r="A535" t="s">
        <v>200</v>
      </c>
      <c r="B535" t="s">
        <v>202</v>
      </c>
      <c r="C535" s="18">
        <v>2049</v>
      </c>
      <c r="D535" t="s">
        <v>236</v>
      </c>
      <c r="E535" s="9">
        <v>1291344.80570864</v>
      </c>
      <c r="F535" s="9">
        <v>321833.546144936</v>
      </c>
      <c r="G535" s="9">
        <v>1290687.53512959</v>
      </c>
      <c r="H535" s="9">
        <v>321740.50114880601</v>
      </c>
      <c r="I535" s="21">
        <f t="shared" si="16"/>
        <v>-93.044996129989158</v>
      </c>
      <c r="J535" s="21">
        <f t="shared" si="17"/>
        <v>-657.27057905006222</v>
      </c>
    </row>
    <row r="536" spans="1:10" hidden="1">
      <c r="A536" t="s">
        <v>200</v>
      </c>
      <c r="B536" t="s">
        <v>202</v>
      </c>
      <c r="C536" s="18">
        <v>2049</v>
      </c>
      <c r="D536" t="s">
        <v>182</v>
      </c>
      <c r="E536" s="9">
        <v>146755.378906333</v>
      </c>
      <c r="F536" s="9">
        <v>93800.857691160199</v>
      </c>
      <c r="G536" s="9">
        <v>147882.09983734801</v>
      </c>
      <c r="H536" s="9">
        <v>94546.865675552195</v>
      </c>
      <c r="I536" s="21">
        <f t="shared" si="16"/>
        <v>746.00798439199571</v>
      </c>
      <c r="J536" s="21">
        <f t="shared" si="17"/>
        <v>1126.7209310150065</v>
      </c>
    </row>
    <row r="537" spans="1:10" hidden="1">
      <c r="A537" t="s">
        <v>200</v>
      </c>
      <c r="B537" t="s">
        <v>202</v>
      </c>
      <c r="C537" s="18">
        <v>2049</v>
      </c>
      <c r="D537" t="s">
        <v>185</v>
      </c>
      <c r="E537" s="9">
        <v>264877.32659389102</v>
      </c>
      <c r="F537" s="9">
        <v>251141.75408423599</v>
      </c>
      <c r="G537" s="9">
        <v>267003.55015502701</v>
      </c>
      <c r="H537" s="9">
        <v>253105.506935702</v>
      </c>
      <c r="I537" s="21">
        <f t="shared" si="16"/>
        <v>1963.752851466008</v>
      </c>
      <c r="J537" s="21">
        <f t="shared" si="17"/>
        <v>2126.2235611359938</v>
      </c>
    </row>
    <row r="538" spans="1:10" hidden="1">
      <c r="A538" t="s">
        <v>200</v>
      </c>
      <c r="B538" t="s">
        <v>202</v>
      </c>
      <c r="C538" s="18">
        <v>2049</v>
      </c>
      <c r="D538" t="s">
        <v>188</v>
      </c>
      <c r="E538" s="9">
        <v>795554.688488279</v>
      </c>
      <c r="F538" s="9">
        <v>494492.22096948401</v>
      </c>
      <c r="G538" s="9">
        <v>801596.85366425803</v>
      </c>
      <c r="H538" s="9">
        <v>498010.65152404399</v>
      </c>
      <c r="I538" s="21">
        <f t="shared" si="16"/>
        <v>3518.4305545599782</v>
      </c>
      <c r="J538" s="21">
        <f t="shared" si="17"/>
        <v>6042.1651759790257</v>
      </c>
    </row>
    <row r="539" spans="1:10" hidden="1">
      <c r="A539" t="s">
        <v>200</v>
      </c>
      <c r="B539" t="s">
        <v>202</v>
      </c>
      <c r="C539" s="18">
        <v>2049</v>
      </c>
      <c r="D539" t="s">
        <v>191</v>
      </c>
      <c r="E539" s="9">
        <v>393039.102092285</v>
      </c>
      <c r="F539" s="9">
        <v>212162.89938685499</v>
      </c>
      <c r="G539" s="9">
        <v>396058.615955627</v>
      </c>
      <c r="H539" s="9">
        <v>213580.236200068</v>
      </c>
      <c r="I539" s="21">
        <f t="shared" si="16"/>
        <v>1417.3368132130126</v>
      </c>
      <c r="J539" s="21">
        <f t="shared" si="17"/>
        <v>3019.5138633419992</v>
      </c>
    </row>
    <row r="540" spans="1:10" hidden="1">
      <c r="A540" t="s">
        <v>200</v>
      </c>
      <c r="B540" t="s">
        <v>202</v>
      </c>
      <c r="C540" s="18">
        <v>2049</v>
      </c>
      <c r="D540" t="s">
        <v>422</v>
      </c>
      <c r="E540" s="9">
        <v>34087.8669768244</v>
      </c>
      <c r="F540" s="9">
        <v>1998.59401576543</v>
      </c>
      <c r="G540" s="9">
        <v>34087.762706701098</v>
      </c>
      <c r="H540" s="9">
        <v>1998.5922336333499</v>
      </c>
      <c r="I540" s="21">
        <f t="shared" si="16"/>
        <v>-1.7821320800521789E-3</v>
      </c>
      <c r="J540" s="21">
        <f t="shared" si="17"/>
        <v>-0.10427012330183061</v>
      </c>
    </row>
    <row r="541" spans="1:10" hidden="1">
      <c r="A541" t="s">
        <v>200</v>
      </c>
      <c r="B541" t="s">
        <v>202</v>
      </c>
      <c r="C541" s="18">
        <v>2050</v>
      </c>
      <c r="D541" t="s">
        <v>174</v>
      </c>
      <c r="E541" s="9">
        <v>26739.919474665301</v>
      </c>
      <c r="F541" s="9">
        <v>17852.222057642099</v>
      </c>
      <c r="G541" s="9">
        <v>26690.1101954068</v>
      </c>
      <c r="H541" s="9">
        <v>17828.637482456001</v>
      </c>
      <c r="I541" s="21">
        <f t="shared" si="16"/>
        <v>-23.584575186097936</v>
      </c>
      <c r="J541" s="21">
        <f t="shared" si="17"/>
        <v>-49.809279258501192</v>
      </c>
    </row>
    <row r="542" spans="1:10" hidden="1">
      <c r="A542" t="s">
        <v>200</v>
      </c>
      <c r="B542" t="s">
        <v>202</v>
      </c>
      <c r="C542" s="18">
        <v>2050</v>
      </c>
      <c r="D542" t="s">
        <v>236</v>
      </c>
      <c r="E542" s="9">
        <v>1298488.9036600301</v>
      </c>
      <c r="F542" s="9">
        <v>328836.45702152798</v>
      </c>
      <c r="G542" s="9">
        <v>1297798.19122542</v>
      </c>
      <c r="H542" s="9">
        <v>328734.06146541203</v>
      </c>
      <c r="I542" s="21">
        <f t="shared" si="16"/>
        <v>-102.39555611595279</v>
      </c>
      <c r="J542" s="21">
        <f t="shared" si="17"/>
        <v>-690.71243461011909</v>
      </c>
    </row>
    <row r="543" spans="1:10" hidden="1">
      <c r="A543" t="s">
        <v>200</v>
      </c>
      <c r="B543" t="s">
        <v>202</v>
      </c>
      <c r="C543" s="18">
        <v>2050</v>
      </c>
      <c r="D543" t="s">
        <v>182</v>
      </c>
      <c r="E543" s="9">
        <v>148417.28733383099</v>
      </c>
      <c r="F543" s="9">
        <v>94874.535104381997</v>
      </c>
      <c r="G543" s="9">
        <v>149549.878981469</v>
      </c>
      <c r="H543" s="9">
        <v>95625.943969428394</v>
      </c>
      <c r="I543" s="21">
        <f t="shared" si="16"/>
        <v>751.40886504639639</v>
      </c>
      <c r="J543" s="21">
        <f t="shared" si="17"/>
        <v>1132.591647638008</v>
      </c>
    </row>
    <row r="544" spans="1:10" hidden="1">
      <c r="A544" t="s">
        <v>200</v>
      </c>
      <c r="B544" t="s">
        <v>202</v>
      </c>
      <c r="C544" s="18">
        <v>2050</v>
      </c>
      <c r="D544" t="s">
        <v>185</v>
      </c>
      <c r="E544" s="9">
        <v>263921.82106072601</v>
      </c>
      <c r="F544" s="9">
        <v>250204.927013304</v>
      </c>
      <c r="G544" s="9">
        <v>266031.496410964</v>
      </c>
      <c r="H544" s="9">
        <v>252158.93315896901</v>
      </c>
      <c r="I544" s="21">
        <f t="shared" si="16"/>
        <v>1954.0061456650146</v>
      </c>
      <c r="J544" s="21">
        <f t="shared" si="17"/>
        <v>2109.675350237987</v>
      </c>
    </row>
    <row r="545" spans="1:10" hidden="1">
      <c r="A545" t="s">
        <v>200</v>
      </c>
      <c r="B545" t="s">
        <v>202</v>
      </c>
      <c r="C545" s="18">
        <v>2050</v>
      </c>
      <c r="D545" t="s">
        <v>188</v>
      </c>
      <c r="E545" s="9">
        <v>802955.30488156201</v>
      </c>
      <c r="F545" s="9">
        <v>500506.31638864701</v>
      </c>
      <c r="G545" s="9">
        <v>809018.72253896797</v>
      </c>
      <c r="H545" s="9">
        <v>504089.42679186398</v>
      </c>
      <c r="I545" s="21">
        <f t="shared" si="16"/>
        <v>3583.1104032169678</v>
      </c>
      <c r="J545" s="21">
        <f t="shared" si="17"/>
        <v>6063.4176574059529</v>
      </c>
    </row>
    <row r="546" spans="1:10" hidden="1">
      <c r="A546" t="s">
        <v>200</v>
      </c>
      <c r="B546" t="s">
        <v>202</v>
      </c>
      <c r="C546" s="18">
        <v>2050</v>
      </c>
      <c r="D546" t="s">
        <v>191</v>
      </c>
      <c r="E546" s="9">
        <v>395536.32404992601</v>
      </c>
      <c r="F546" s="9">
        <v>214128.578845168</v>
      </c>
      <c r="G546" s="9">
        <v>398560.03791860503</v>
      </c>
      <c r="H546" s="9">
        <v>215570.73744048199</v>
      </c>
      <c r="I546" s="21">
        <f t="shared" si="16"/>
        <v>1442.1585953139875</v>
      </c>
      <c r="J546" s="21">
        <f t="shared" si="17"/>
        <v>3023.7138686790131</v>
      </c>
    </row>
    <row r="547" spans="1:10" hidden="1">
      <c r="A547" t="s">
        <v>200</v>
      </c>
      <c r="B547" t="s">
        <v>202</v>
      </c>
      <c r="C547" s="18">
        <v>2050</v>
      </c>
      <c r="D547" t="s">
        <v>422</v>
      </c>
      <c r="E547" s="9">
        <v>33926.584975441801</v>
      </c>
      <c r="F547" s="9">
        <v>1888.5165633909601</v>
      </c>
      <c r="G547" s="9">
        <v>33926.479042696701</v>
      </c>
      <c r="H547" s="9">
        <v>1888.5150098655699</v>
      </c>
      <c r="I547" s="21">
        <f t="shared" si="16"/>
        <v>-1.5535253901362012E-3</v>
      </c>
      <c r="J547" s="21">
        <f t="shared" si="17"/>
        <v>-0.10593274510029005</v>
      </c>
    </row>
    <row r="548" spans="1:10" hidden="1">
      <c r="A548" t="s">
        <v>210</v>
      </c>
      <c r="B548" t="s">
        <v>212</v>
      </c>
      <c r="C548" s="18">
        <v>2025</v>
      </c>
      <c r="D548" t="s">
        <v>174</v>
      </c>
      <c r="E548" s="9">
        <v>12176.1707137429</v>
      </c>
      <c r="F548" s="9">
        <v>8959.2701472679</v>
      </c>
      <c r="G548" s="9">
        <v>12176.1707137429</v>
      </c>
      <c r="H548" s="9">
        <v>8959.2701472679</v>
      </c>
      <c r="I548" s="21">
        <f t="shared" si="16"/>
        <v>0</v>
      </c>
      <c r="J548" s="21">
        <f t="shared" si="17"/>
        <v>0</v>
      </c>
    </row>
    <row r="549" spans="1:10" hidden="1">
      <c r="A549" t="s">
        <v>210</v>
      </c>
      <c r="B549" t="s">
        <v>212</v>
      </c>
      <c r="C549" s="18">
        <v>2025</v>
      </c>
      <c r="D549" t="s">
        <v>236</v>
      </c>
      <c r="E549" s="9">
        <v>1026758.5711338</v>
      </c>
      <c r="F549" s="9">
        <v>129383.32321031499</v>
      </c>
      <c r="G549" s="9">
        <v>1026758.5711338</v>
      </c>
      <c r="H549" s="9">
        <v>129383.32321031499</v>
      </c>
      <c r="I549" s="21">
        <f t="shared" si="16"/>
        <v>0</v>
      </c>
      <c r="J549" s="21">
        <f t="shared" si="17"/>
        <v>0</v>
      </c>
    </row>
    <row r="550" spans="1:10" hidden="1">
      <c r="A550" t="s">
        <v>210</v>
      </c>
      <c r="B550" t="s">
        <v>212</v>
      </c>
      <c r="C550" s="18">
        <v>2025</v>
      </c>
      <c r="D550" t="s">
        <v>182</v>
      </c>
      <c r="E550" s="9">
        <v>115291.15986546699</v>
      </c>
      <c r="F550" s="9">
        <v>67656.558989495796</v>
      </c>
      <c r="G550" s="9">
        <v>115291.15986546699</v>
      </c>
      <c r="H550" s="9">
        <v>67656.558989495796</v>
      </c>
      <c r="I550" s="21">
        <f t="shared" si="16"/>
        <v>0</v>
      </c>
      <c r="J550" s="21">
        <f t="shared" si="17"/>
        <v>0</v>
      </c>
    </row>
    <row r="551" spans="1:10" hidden="1">
      <c r="A551" t="s">
        <v>210</v>
      </c>
      <c r="B551" t="s">
        <v>212</v>
      </c>
      <c r="C551" s="18">
        <v>2025</v>
      </c>
      <c r="D551" t="s">
        <v>185</v>
      </c>
      <c r="E551" s="9">
        <v>281662.55341658002</v>
      </c>
      <c r="F551" s="9">
        <v>263295.70058044</v>
      </c>
      <c r="G551" s="9">
        <v>281662.55341658002</v>
      </c>
      <c r="H551" s="9">
        <v>263295.70058044</v>
      </c>
      <c r="I551" s="21">
        <f t="shared" si="16"/>
        <v>0</v>
      </c>
      <c r="J551" s="21">
        <f t="shared" si="17"/>
        <v>0</v>
      </c>
    </row>
    <row r="552" spans="1:10" hidden="1">
      <c r="A552" t="s">
        <v>210</v>
      </c>
      <c r="B552" t="s">
        <v>212</v>
      </c>
      <c r="C552" s="18">
        <v>2025</v>
      </c>
      <c r="D552" t="s">
        <v>188</v>
      </c>
      <c r="E552" s="9">
        <v>612171.634776233</v>
      </c>
      <c r="F552" s="9">
        <v>335724.86979376699</v>
      </c>
      <c r="G552" s="9">
        <v>612171.634776233</v>
      </c>
      <c r="H552" s="9">
        <v>335724.86979376699</v>
      </c>
      <c r="I552" s="21">
        <f t="shared" si="16"/>
        <v>0</v>
      </c>
      <c r="J552" s="21">
        <f t="shared" si="17"/>
        <v>0</v>
      </c>
    </row>
    <row r="553" spans="1:10" hidden="1">
      <c r="A553" t="s">
        <v>210</v>
      </c>
      <c r="B553" t="s">
        <v>212</v>
      </c>
      <c r="C553" s="18">
        <v>2025</v>
      </c>
      <c r="D553" t="s">
        <v>191</v>
      </c>
      <c r="E553" s="9">
        <v>339642.13012673298</v>
      </c>
      <c r="F553" s="9">
        <v>190841.880003208</v>
      </c>
      <c r="G553" s="9">
        <v>339642.13012673298</v>
      </c>
      <c r="H553" s="9">
        <v>190841.880003208</v>
      </c>
      <c r="I553" s="21">
        <f t="shared" si="16"/>
        <v>0</v>
      </c>
      <c r="J553" s="21">
        <f t="shared" si="17"/>
        <v>0</v>
      </c>
    </row>
    <row r="554" spans="1:10" hidden="1">
      <c r="A554" t="s">
        <v>210</v>
      </c>
      <c r="B554" t="s">
        <v>212</v>
      </c>
      <c r="C554" s="18">
        <v>2025</v>
      </c>
      <c r="D554" t="s">
        <v>422</v>
      </c>
      <c r="E554" s="9">
        <v>39660.836547407802</v>
      </c>
      <c r="F554" s="9">
        <v>5303.4223017440199</v>
      </c>
      <c r="G554" s="9">
        <v>39660.836547407802</v>
      </c>
      <c r="H554" s="9">
        <v>5303.4223017440199</v>
      </c>
      <c r="I554" s="21">
        <f t="shared" si="16"/>
        <v>0</v>
      </c>
      <c r="J554" s="21">
        <f t="shared" si="17"/>
        <v>0</v>
      </c>
    </row>
    <row r="555" spans="1:10" hidden="1">
      <c r="A555" t="s">
        <v>210</v>
      </c>
      <c r="B555" t="s">
        <v>212</v>
      </c>
      <c r="C555" s="18">
        <v>2026</v>
      </c>
      <c r="D555" t="s">
        <v>174</v>
      </c>
      <c r="E555" s="9">
        <v>12568.9386470114</v>
      </c>
      <c r="F555" s="9">
        <v>9271.1333627081003</v>
      </c>
      <c r="G555" s="9">
        <v>12568.9386470114</v>
      </c>
      <c r="H555" s="9">
        <v>9271.1333627081003</v>
      </c>
      <c r="I555" s="21">
        <f t="shared" si="16"/>
        <v>0</v>
      </c>
      <c r="J555" s="21">
        <f t="shared" si="17"/>
        <v>0</v>
      </c>
    </row>
    <row r="556" spans="1:10" hidden="1">
      <c r="A556" t="s">
        <v>210</v>
      </c>
      <c r="B556" t="s">
        <v>212</v>
      </c>
      <c r="C556" s="18">
        <v>2026</v>
      </c>
      <c r="D556" t="s">
        <v>236</v>
      </c>
      <c r="E556" s="9">
        <v>1042135.18581351</v>
      </c>
      <c r="F556" s="9">
        <v>137145.82895878801</v>
      </c>
      <c r="G556" s="9">
        <v>1042135.18581351</v>
      </c>
      <c r="H556" s="9">
        <v>137145.82895878801</v>
      </c>
      <c r="I556" s="21">
        <f t="shared" si="16"/>
        <v>0</v>
      </c>
      <c r="J556" s="21">
        <f t="shared" si="17"/>
        <v>0</v>
      </c>
    </row>
    <row r="557" spans="1:10" hidden="1">
      <c r="A557" t="s">
        <v>210</v>
      </c>
      <c r="B557" t="s">
        <v>212</v>
      </c>
      <c r="C557" s="18">
        <v>2026</v>
      </c>
      <c r="D557" t="s">
        <v>182</v>
      </c>
      <c r="E557" s="9">
        <v>114414.27160289101</v>
      </c>
      <c r="F557" s="9">
        <v>70326.603453519798</v>
      </c>
      <c r="G557" s="9">
        <v>114707.986926294</v>
      </c>
      <c r="H557" s="9">
        <v>70326.603453519798</v>
      </c>
      <c r="I557" s="21">
        <f t="shared" si="16"/>
        <v>0</v>
      </c>
      <c r="J557" s="21">
        <f t="shared" si="17"/>
        <v>293.71532340299746</v>
      </c>
    </row>
    <row r="558" spans="1:10" hidden="1">
      <c r="A558" t="s">
        <v>210</v>
      </c>
      <c r="B558" t="s">
        <v>212</v>
      </c>
      <c r="C558" s="18">
        <v>2026</v>
      </c>
      <c r="D558" t="s">
        <v>185</v>
      </c>
      <c r="E558" s="9">
        <v>281998.61319036997</v>
      </c>
      <c r="F558" s="9">
        <v>259504.46801133201</v>
      </c>
      <c r="G558" s="9">
        <v>282722.53786088398</v>
      </c>
      <c r="H558" s="9">
        <v>259504.46801133201</v>
      </c>
      <c r="I558" s="21">
        <f t="shared" si="16"/>
        <v>0</v>
      </c>
      <c r="J558" s="21">
        <f t="shared" si="17"/>
        <v>723.92467051401036</v>
      </c>
    </row>
    <row r="559" spans="1:10" hidden="1">
      <c r="A559" t="s">
        <v>210</v>
      </c>
      <c r="B559" t="s">
        <v>212</v>
      </c>
      <c r="C559" s="18">
        <v>2026</v>
      </c>
      <c r="D559" t="s">
        <v>188</v>
      </c>
      <c r="E559" s="9">
        <v>615210.70858933998</v>
      </c>
      <c r="F559" s="9">
        <v>342960.13528186502</v>
      </c>
      <c r="G559" s="9">
        <v>616790.02915575495</v>
      </c>
      <c r="H559" s="9">
        <v>342960.13528186502</v>
      </c>
      <c r="I559" s="21">
        <f t="shared" si="16"/>
        <v>0</v>
      </c>
      <c r="J559" s="21">
        <f t="shared" si="17"/>
        <v>1579.3205664149718</v>
      </c>
    </row>
    <row r="560" spans="1:10" hidden="1">
      <c r="A560" t="s">
        <v>210</v>
      </c>
      <c r="B560" t="s">
        <v>212</v>
      </c>
      <c r="C560" s="18">
        <v>2026</v>
      </c>
      <c r="D560" t="s">
        <v>191</v>
      </c>
      <c r="E560" s="9">
        <v>337632.32625653798</v>
      </c>
      <c r="F560" s="9">
        <v>190574.61381884801</v>
      </c>
      <c r="G560" s="9">
        <v>338499.06942160201</v>
      </c>
      <c r="H560" s="9">
        <v>190574.61381884801</v>
      </c>
      <c r="I560" s="21">
        <f t="shared" si="16"/>
        <v>0</v>
      </c>
      <c r="J560" s="21">
        <f t="shared" si="17"/>
        <v>866.74316506402101</v>
      </c>
    </row>
    <row r="561" spans="1:10" hidden="1">
      <c r="A561" t="s">
        <v>210</v>
      </c>
      <c r="B561" t="s">
        <v>212</v>
      </c>
      <c r="C561" s="18">
        <v>2026</v>
      </c>
      <c r="D561" t="s">
        <v>422</v>
      </c>
      <c r="E561" s="9">
        <v>39250.667018004897</v>
      </c>
      <c r="F561" s="9">
        <v>5105.6095547855903</v>
      </c>
      <c r="G561" s="9">
        <v>39250.667018004897</v>
      </c>
      <c r="H561" s="9">
        <v>5105.6095547855903</v>
      </c>
      <c r="I561" s="21">
        <f t="shared" si="16"/>
        <v>0</v>
      </c>
      <c r="J561" s="21">
        <f t="shared" si="17"/>
        <v>0</v>
      </c>
    </row>
    <row r="562" spans="1:10" hidden="1">
      <c r="A562" t="s">
        <v>210</v>
      </c>
      <c r="B562" t="s">
        <v>212</v>
      </c>
      <c r="C562" s="18">
        <v>2027</v>
      </c>
      <c r="D562" t="s">
        <v>174</v>
      </c>
      <c r="E562" s="9">
        <v>12976.103113363301</v>
      </c>
      <c r="F562" s="9">
        <v>9577.5296548643291</v>
      </c>
      <c r="G562" s="9">
        <v>12976.103113363301</v>
      </c>
      <c r="H562" s="9">
        <v>9577.5296548643291</v>
      </c>
      <c r="I562" s="21">
        <f t="shared" si="16"/>
        <v>0</v>
      </c>
      <c r="J562" s="21">
        <f t="shared" si="17"/>
        <v>0</v>
      </c>
    </row>
    <row r="563" spans="1:10" hidden="1">
      <c r="A563" t="s">
        <v>210</v>
      </c>
      <c r="B563" t="s">
        <v>212</v>
      </c>
      <c r="C563" s="18">
        <v>2027</v>
      </c>
      <c r="D563" t="s">
        <v>236</v>
      </c>
      <c r="E563" s="9">
        <v>1057148.31873483</v>
      </c>
      <c r="F563" s="9">
        <v>145009.441994705</v>
      </c>
      <c r="G563" s="9">
        <v>1057148.31873483</v>
      </c>
      <c r="H563" s="9">
        <v>145009.441994705</v>
      </c>
      <c r="I563" s="21">
        <f t="shared" si="16"/>
        <v>0</v>
      </c>
      <c r="J563" s="21">
        <f t="shared" si="17"/>
        <v>0</v>
      </c>
    </row>
    <row r="564" spans="1:10" hidden="1">
      <c r="A564" t="s">
        <v>210</v>
      </c>
      <c r="B564" t="s">
        <v>212</v>
      </c>
      <c r="C564" s="18">
        <v>2027</v>
      </c>
      <c r="D564" t="s">
        <v>182</v>
      </c>
      <c r="E564" s="9">
        <v>113569.958931011</v>
      </c>
      <c r="F564" s="9">
        <v>72245.146509939805</v>
      </c>
      <c r="G564" s="9">
        <v>114152.944165875</v>
      </c>
      <c r="H564" s="9">
        <v>72290.169991209099</v>
      </c>
      <c r="I564" s="21">
        <f t="shared" si="16"/>
        <v>45.02348126929428</v>
      </c>
      <c r="J564" s="21">
        <f t="shared" si="17"/>
        <v>582.9852348639979</v>
      </c>
    </row>
    <row r="565" spans="1:10" hidden="1">
      <c r="A565" t="s">
        <v>210</v>
      </c>
      <c r="B565" t="s">
        <v>212</v>
      </c>
      <c r="C565" s="18">
        <v>2027</v>
      </c>
      <c r="D565" t="s">
        <v>185</v>
      </c>
      <c r="E565" s="9">
        <v>276459.20975527202</v>
      </c>
      <c r="F565" s="9">
        <v>260016.156982535</v>
      </c>
      <c r="G565" s="9">
        <v>277877.509454571</v>
      </c>
      <c r="H565" s="9">
        <v>260330.421136777</v>
      </c>
      <c r="I565" s="21">
        <f t="shared" si="16"/>
        <v>314.26415424200241</v>
      </c>
      <c r="J565" s="21">
        <f t="shared" si="17"/>
        <v>1418.2996992989792</v>
      </c>
    </row>
    <row r="566" spans="1:10" hidden="1">
      <c r="A566" t="s">
        <v>210</v>
      </c>
      <c r="B566" t="s">
        <v>212</v>
      </c>
      <c r="C566" s="18">
        <v>2027</v>
      </c>
      <c r="D566" t="s">
        <v>188</v>
      </c>
      <c r="E566" s="9">
        <v>618264.92654255196</v>
      </c>
      <c r="F566" s="9">
        <v>349292.794568518</v>
      </c>
      <c r="G566" s="9">
        <v>621430.90280116105</v>
      </c>
      <c r="H566" s="9">
        <v>349405.30073034298</v>
      </c>
      <c r="I566" s="21">
        <f t="shared" si="16"/>
        <v>112.5061618249747</v>
      </c>
      <c r="J566" s="21">
        <f t="shared" si="17"/>
        <v>3165.9762586090947</v>
      </c>
    </row>
    <row r="567" spans="1:10" hidden="1">
      <c r="A567" t="s">
        <v>210</v>
      </c>
      <c r="B567" t="s">
        <v>212</v>
      </c>
      <c r="C567" s="18">
        <v>2027</v>
      </c>
      <c r="D567" t="s">
        <v>191</v>
      </c>
      <c r="E567" s="9">
        <v>335678.581286003</v>
      </c>
      <c r="F567" s="9">
        <v>188954.846251724</v>
      </c>
      <c r="G567" s="9">
        <v>337398.94907172298</v>
      </c>
      <c r="H567" s="9">
        <v>189031.10044551201</v>
      </c>
      <c r="I567" s="21">
        <f t="shared" si="16"/>
        <v>76.254193788015982</v>
      </c>
      <c r="J567" s="21">
        <f t="shared" si="17"/>
        <v>1720.36778571998</v>
      </c>
    </row>
    <row r="568" spans="1:10" hidden="1">
      <c r="A568" t="s">
        <v>210</v>
      </c>
      <c r="B568" t="s">
        <v>212</v>
      </c>
      <c r="C568" s="18">
        <v>2027</v>
      </c>
      <c r="D568" t="s">
        <v>422</v>
      </c>
      <c r="E568" s="9">
        <v>38773.627186343103</v>
      </c>
      <c r="F568" s="9">
        <v>4921.4971535538998</v>
      </c>
      <c r="G568" s="9">
        <v>38773.627186343103</v>
      </c>
      <c r="H568" s="9">
        <v>4921.4971535538998</v>
      </c>
      <c r="I568" s="21">
        <f t="shared" si="16"/>
        <v>0</v>
      </c>
      <c r="J568" s="21">
        <f t="shared" si="17"/>
        <v>0</v>
      </c>
    </row>
    <row r="569" spans="1:10" hidden="1">
      <c r="A569" t="s">
        <v>210</v>
      </c>
      <c r="B569" t="s">
        <v>212</v>
      </c>
      <c r="C569" s="18">
        <v>2028</v>
      </c>
      <c r="D569" t="s">
        <v>174</v>
      </c>
      <c r="E569" s="9">
        <v>13394.9398599043</v>
      </c>
      <c r="F569" s="9">
        <v>9881.9220189252792</v>
      </c>
      <c r="G569" s="9">
        <v>13394.6739315754</v>
      </c>
      <c r="H569" s="9">
        <v>9881.9220189252792</v>
      </c>
      <c r="I569" s="21">
        <f t="shared" si="16"/>
        <v>0</v>
      </c>
      <c r="J569" s="21">
        <f t="shared" si="17"/>
        <v>-0.26592832889946294</v>
      </c>
    </row>
    <row r="570" spans="1:10" hidden="1">
      <c r="A570" t="s">
        <v>210</v>
      </c>
      <c r="B570" t="s">
        <v>212</v>
      </c>
      <c r="C570" s="18">
        <v>2028</v>
      </c>
      <c r="D570" t="s">
        <v>236</v>
      </c>
      <c r="E570" s="9">
        <v>1071830.2297283199</v>
      </c>
      <c r="F570" s="9">
        <v>152971.72938899801</v>
      </c>
      <c r="G570" s="9">
        <v>1071826.1250559301</v>
      </c>
      <c r="H570" s="9">
        <v>152971.72938899801</v>
      </c>
      <c r="I570" s="21">
        <f t="shared" si="16"/>
        <v>0</v>
      </c>
      <c r="J570" s="21">
        <f t="shared" si="17"/>
        <v>-4.1046723898034543</v>
      </c>
    </row>
    <row r="571" spans="1:10" hidden="1">
      <c r="A571" t="s">
        <v>210</v>
      </c>
      <c r="B571" t="s">
        <v>212</v>
      </c>
      <c r="C571" s="18">
        <v>2028</v>
      </c>
      <c r="D571" t="s">
        <v>182</v>
      </c>
      <c r="E571" s="9">
        <v>113268.927286024</v>
      </c>
      <c r="F571" s="9">
        <v>73723.925541168705</v>
      </c>
      <c r="G571" s="9">
        <v>114139.12292486199</v>
      </c>
      <c r="H571" s="9">
        <v>73846.874209439702</v>
      </c>
      <c r="I571" s="21">
        <f t="shared" si="16"/>
        <v>122.94866827099759</v>
      </c>
      <c r="J571" s="21">
        <f t="shared" si="17"/>
        <v>870.19563883799128</v>
      </c>
    </row>
    <row r="572" spans="1:10" hidden="1">
      <c r="A572" t="s">
        <v>210</v>
      </c>
      <c r="B572" t="s">
        <v>212</v>
      </c>
      <c r="C572" s="18">
        <v>2028</v>
      </c>
      <c r="D572" t="s">
        <v>185</v>
      </c>
      <c r="E572" s="9">
        <v>275617.36569401697</v>
      </c>
      <c r="F572" s="9">
        <v>257057.71425005599</v>
      </c>
      <c r="G572" s="9">
        <v>277735.69614120398</v>
      </c>
      <c r="H572" s="9">
        <v>257765.32327170501</v>
      </c>
      <c r="I572" s="21">
        <f t="shared" si="16"/>
        <v>707.60902164902654</v>
      </c>
      <c r="J572" s="21">
        <f t="shared" si="17"/>
        <v>2118.3304471870069</v>
      </c>
    </row>
    <row r="573" spans="1:10" hidden="1">
      <c r="A573" t="s">
        <v>210</v>
      </c>
      <c r="B573" t="s">
        <v>212</v>
      </c>
      <c r="C573" s="18">
        <v>2028</v>
      </c>
      <c r="D573" t="s">
        <v>188</v>
      </c>
      <c r="E573" s="9">
        <v>622955.35446890199</v>
      </c>
      <c r="F573" s="9">
        <v>355841.41309173399</v>
      </c>
      <c r="G573" s="9">
        <v>627723.84415529598</v>
      </c>
      <c r="H573" s="9">
        <v>356159.25290604099</v>
      </c>
      <c r="I573" s="21">
        <f t="shared" si="16"/>
        <v>317.8398143069935</v>
      </c>
      <c r="J573" s="21">
        <f t="shared" si="17"/>
        <v>4768.4896863939939</v>
      </c>
    </row>
    <row r="574" spans="1:10" hidden="1">
      <c r="A574" t="s">
        <v>210</v>
      </c>
      <c r="B574" t="s">
        <v>212</v>
      </c>
      <c r="C574" s="18">
        <v>2028</v>
      </c>
      <c r="D574" t="s">
        <v>191</v>
      </c>
      <c r="E574" s="9">
        <v>334947.32407894399</v>
      </c>
      <c r="F574" s="9">
        <v>186919.559022031</v>
      </c>
      <c r="G574" s="9">
        <v>337514.695524676</v>
      </c>
      <c r="H574" s="9">
        <v>187116.63987946699</v>
      </c>
      <c r="I574" s="21">
        <f t="shared" si="16"/>
        <v>197.08085743599804</v>
      </c>
      <c r="J574" s="21">
        <f t="shared" si="17"/>
        <v>2567.3714457320166</v>
      </c>
    </row>
    <row r="575" spans="1:10" hidden="1">
      <c r="A575" t="s">
        <v>210</v>
      </c>
      <c r="B575" t="s">
        <v>212</v>
      </c>
      <c r="C575" s="18">
        <v>2028</v>
      </c>
      <c r="D575" t="s">
        <v>422</v>
      </c>
      <c r="E575" s="9">
        <v>38149.2973045853</v>
      </c>
      <c r="F575" s="9">
        <v>4742.0855729783398</v>
      </c>
      <c r="G575" s="9">
        <v>38149.291579231904</v>
      </c>
      <c r="H575" s="9">
        <v>4742.0855729783398</v>
      </c>
      <c r="I575" s="21">
        <f t="shared" si="16"/>
        <v>0</v>
      </c>
      <c r="J575" s="21">
        <f t="shared" si="17"/>
        <v>-5.7253533959737979E-3</v>
      </c>
    </row>
    <row r="576" spans="1:10" hidden="1">
      <c r="A576" t="s">
        <v>210</v>
      </c>
      <c r="B576" t="s">
        <v>212</v>
      </c>
      <c r="C576" s="18">
        <v>2029</v>
      </c>
      <c r="D576" t="s">
        <v>174</v>
      </c>
      <c r="E576" s="9">
        <v>13830.916414216799</v>
      </c>
      <c r="F576" s="9">
        <v>10188.4403467108</v>
      </c>
      <c r="G576" s="9">
        <v>13830.048598278099</v>
      </c>
      <c r="H576" s="9">
        <v>10188.394886280999</v>
      </c>
      <c r="I576" s="21">
        <f t="shared" si="16"/>
        <v>-4.5460429801096325E-2</v>
      </c>
      <c r="J576" s="21">
        <f t="shared" si="17"/>
        <v>-0.86781593870000506</v>
      </c>
    </row>
    <row r="577" spans="1:10" hidden="1">
      <c r="A577" t="s">
        <v>210</v>
      </c>
      <c r="B577" t="s">
        <v>212</v>
      </c>
      <c r="C577" s="18">
        <v>2029</v>
      </c>
      <c r="D577" t="s">
        <v>236</v>
      </c>
      <c r="E577" s="9">
        <v>1086214.61139775</v>
      </c>
      <c r="F577" s="9">
        <v>161038.32703709201</v>
      </c>
      <c r="G577" s="9">
        <v>1086200.5009906101</v>
      </c>
      <c r="H577" s="9">
        <v>161038.22768731901</v>
      </c>
      <c r="I577" s="21">
        <f t="shared" si="16"/>
        <v>-9.9349772994173691E-2</v>
      </c>
      <c r="J577" s="21">
        <f t="shared" si="17"/>
        <v>-14.110407139873132</v>
      </c>
    </row>
    <row r="578" spans="1:10" hidden="1">
      <c r="A578" t="s">
        <v>210</v>
      </c>
      <c r="B578" t="s">
        <v>212</v>
      </c>
      <c r="C578" s="18">
        <v>2029</v>
      </c>
      <c r="D578" t="s">
        <v>182</v>
      </c>
      <c r="E578" s="9">
        <v>112894.860392395</v>
      </c>
      <c r="F578" s="9">
        <v>75226.446141749999</v>
      </c>
      <c r="G578" s="9">
        <v>114048.15533588199</v>
      </c>
      <c r="H578" s="9">
        <v>75452.222577591499</v>
      </c>
      <c r="I578" s="21">
        <f t="shared" ref="I578:I641" si="18">H578-F578</f>
        <v>225.77643584150064</v>
      </c>
      <c r="J578" s="21">
        <f t="shared" ref="J578:J641" si="19">G578-E578</f>
        <v>1153.2949434869952</v>
      </c>
    </row>
    <row r="579" spans="1:10" hidden="1">
      <c r="A579" t="s">
        <v>210</v>
      </c>
      <c r="B579" t="s">
        <v>212</v>
      </c>
      <c r="C579" s="18">
        <v>2029</v>
      </c>
      <c r="D579" t="s">
        <v>185</v>
      </c>
      <c r="E579" s="9">
        <v>273027.05379668798</v>
      </c>
      <c r="F579" s="9">
        <v>257172.75038333901</v>
      </c>
      <c r="G579" s="9">
        <v>275821.08299242798</v>
      </c>
      <c r="H579" s="9">
        <v>258334.31739486201</v>
      </c>
      <c r="I579" s="21">
        <f t="shared" si="18"/>
        <v>1161.5670115230023</v>
      </c>
      <c r="J579" s="21">
        <f t="shared" si="19"/>
        <v>2794.0291957400041</v>
      </c>
    </row>
    <row r="580" spans="1:10" hidden="1">
      <c r="A580" t="s">
        <v>210</v>
      </c>
      <c r="B580" t="s">
        <v>212</v>
      </c>
      <c r="C580" s="18">
        <v>2029</v>
      </c>
      <c r="D580" t="s">
        <v>188</v>
      </c>
      <c r="E580" s="9">
        <v>624428.19356430101</v>
      </c>
      <c r="F580" s="9">
        <v>363287.81974848598</v>
      </c>
      <c r="G580" s="9">
        <v>630779.36998507904</v>
      </c>
      <c r="H580" s="9">
        <v>363892.26827992598</v>
      </c>
      <c r="I580" s="21">
        <f t="shared" si="18"/>
        <v>604.44853143999353</v>
      </c>
      <c r="J580" s="21">
        <f t="shared" si="19"/>
        <v>6351.1764207780361</v>
      </c>
    </row>
    <row r="581" spans="1:10" hidden="1">
      <c r="A581" t="s">
        <v>210</v>
      </c>
      <c r="B581" t="s">
        <v>212</v>
      </c>
      <c r="C581" s="18">
        <v>2029</v>
      </c>
      <c r="D581" t="s">
        <v>191</v>
      </c>
      <c r="E581" s="9">
        <v>332533.09114766301</v>
      </c>
      <c r="F581" s="9">
        <v>186473.61829141201</v>
      </c>
      <c r="G581" s="9">
        <v>335921.29283179599</v>
      </c>
      <c r="H581" s="9">
        <v>186821.56008749199</v>
      </c>
      <c r="I581" s="21">
        <f t="shared" si="18"/>
        <v>347.94179607997648</v>
      </c>
      <c r="J581" s="21">
        <f t="shared" si="19"/>
        <v>3388.2016841329751</v>
      </c>
    </row>
    <row r="582" spans="1:10" hidden="1">
      <c r="A582" t="s">
        <v>210</v>
      </c>
      <c r="B582" t="s">
        <v>212</v>
      </c>
      <c r="C582" s="18">
        <v>2029</v>
      </c>
      <c r="D582" t="s">
        <v>422</v>
      </c>
      <c r="E582" s="9">
        <v>37777.482352853302</v>
      </c>
      <c r="F582" s="9">
        <v>4604.0685637952702</v>
      </c>
      <c r="G582" s="9">
        <v>37777.467218977603</v>
      </c>
      <c r="H582" s="9">
        <v>4604.0681483163899</v>
      </c>
      <c r="I582" s="21">
        <f t="shared" si="18"/>
        <v>-4.1547888031345792E-4</v>
      </c>
      <c r="J582" s="21">
        <f t="shared" si="19"/>
        <v>-1.5133875698666088E-2</v>
      </c>
    </row>
    <row r="583" spans="1:10" hidden="1">
      <c r="A583" t="s">
        <v>210</v>
      </c>
      <c r="B583" t="s">
        <v>212</v>
      </c>
      <c r="C583" s="18">
        <v>2030</v>
      </c>
      <c r="D583" t="s">
        <v>174</v>
      </c>
      <c r="E583" s="9">
        <v>14283.824354397</v>
      </c>
      <c r="F583" s="9">
        <v>10500.4667066616</v>
      </c>
      <c r="G583" s="9">
        <v>14281.959039535501</v>
      </c>
      <c r="H583" s="9">
        <v>10500.2867221377</v>
      </c>
      <c r="I583" s="21">
        <f t="shared" si="18"/>
        <v>-0.17998452390020248</v>
      </c>
      <c r="J583" s="21">
        <f t="shared" si="19"/>
        <v>-1.8653148614994279</v>
      </c>
    </row>
    <row r="584" spans="1:10" hidden="1">
      <c r="A584" t="s">
        <v>210</v>
      </c>
      <c r="B584" t="s">
        <v>212</v>
      </c>
      <c r="C584" s="18">
        <v>2030</v>
      </c>
      <c r="D584" t="s">
        <v>236</v>
      </c>
      <c r="E584" s="9">
        <v>1100223.1810675301</v>
      </c>
      <c r="F584" s="9">
        <v>169196.80851781301</v>
      </c>
      <c r="G584" s="9">
        <v>1100191.7865472301</v>
      </c>
      <c r="H584" s="9">
        <v>169196.385350075</v>
      </c>
      <c r="I584" s="21">
        <f t="shared" si="18"/>
        <v>-0.42316773801576346</v>
      </c>
      <c r="J584" s="21">
        <f t="shared" si="19"/>
        <v>-31.394520299974829</v>
      </c>
    </row>
    <row r="585" spans="1:10" hidden="1">
      <c r="A585" t="s">
        <v>210</v>
      </c>
      <c r="B585" t="s">
        <v>212</v>
      </c>
      <c r="C585" s="18">
        <v>2030</v>
      </c>
      <c r="D585" t="s">
        <v>182</v>
      </c>
      <c r="E585" s="9">
        <v>113338.685714355</v>
      </c>
      <c r="F585" s="9">
        <v>75656.520486038804</v>
      </c>
      <c r="G585" s="9">
        <v>114781.951575614</v>
      </c>
      <c r="H585" s="9">
        <v>76004.374773711097</v>
      </c>
      <c r="I585" s="21">
        <f t="shared" si="18"/>
        <v>347.85428767229314</v>
      </c>
      <c r="J585" s="21">
        <f t="shared" si="19"/>
        <v>1443.2658612590021</v>
      </c>
    </row>
    <row r="586" spans="1:10" hidden="1">
      <c r="A586" t="s">
        <v>210</v>
      </c>
      <c r="B586" t="s">
        <v>212</v>
      </c>
      <c r="C586" s="18">
        <v>2030</v>
      </c>
      <c r="D586" t="s">
        <v>185</v>
      </c>
      <c r="E586" s="9">
        <v>272273.44788721402</v>
      </c>
      <c r="F586" s="9">
        <v>255772.958910193</v>
      </c>
      <c r="G586" s="9">
        <v>275750.81654950802</v>
      </c>
      <c r="H586" s="9">
        <v>257411.19778715901</v>
      </c>
      <c r="I586" s="21">
        <f t="shared" si="18"/>
        <v>1638.2388769660029</v>
      </c>
      <c r="J586" s="21">
        <f t="shared" si="19"/>
        <v>3477.3686622940004</v>
      </c>
    </row>
    <row r="587" spans="1:10" hidden="1">
      <c r="A587" t="s">
        <v>210</v>
      </c>
      <c r="B587" t="s">
        <v>212</v>
      </c>
      <c r="C587" s="18">
        <v>2030</v>
      </c>
      <c r="D587" t="s">
        <v>188</v>
      </c>
      <c r="E587" s="9">
        <v>630212.81906527199</v>
      </c>
      <c r="F587" s="9">
        <v>367956.84672284703</v>
      </c>
      <c r="G587" s="9">
        <v>638199.36722691404</v>
      </c>
      <c r="H587" s="9">
        <v>368920.44347907702</v>
      </c>
      <c r="I587" s="21">
        <f t="shared" si="18"/>
        <v>963.59675622999202</v>
      </c>
      <c r="J587" s="21">
        <f t="shared" si="19"/>
        <v>7986.5481616420439</v>
      </c>
    </row>
    <row r="588" spans="1:10" hidden="1">
      <c r="A588" t="s">
        <v>210</v>
      </c>
      <c r="B588" t="s">
        <v>212</v>
      </c>
      <c r="C588" s="18">
        <v>2030</v>
      </c>
      <c r="D588" t="s">
        <v>191</v>
      </c>
      <c r="E588" s="9">
        <v>333143.98566924501</v>
      </c>
      <c r="F588" s="9">
        <v>184921.16137693901</v>
      </c>
      <c r="G588" s="9">
        <v>337374.94686633401</v>
      </c>
      <c r="H588" s="9">
        <v>185442.493190957</v>
      </c>
      <c r="I588" s="21">
        <f t="shared" si="18"/>
        <v>521.33181401799084</v>
      </c>
      <c r="J588" s="21">
        <f t="shared" si="19"/>
        <v>4230.9611970889964</v>
      </c>
    </row>
    <row r="589" spans="1:10" hidden="1">
      <c r="A589" t="s">
        <v>210</v>
      </c>
      <c r="B589" t="s">
        <v>212</v>
      </c>
      <c r="C589" s="18">
        <v>2030</v>
      </c>
      <c r="D589" t="s">
        <v>422</v>
      </c>
      <c r="E589" s="9">
        <v>38012.700403756797</v>
      </c>
      <c r="F589" s="9">
        <v>4432.11815769027</v>
      </c>
      <c r="G589" s="9">
        <v>38012.673637756197</v>
      </c>
      <c r="H589" s="9">
        <v>4432.1168533298996</v>
      </c>
      <c r="I589" s="21">
        <f t="shared" si="18"/>
        <v>-1.3043603703408735E-3</v>
      </c>
      <c r="J589" s="21">
        <f t="shared" si="19"/>
        <v>-2.6766000599309336E-2</v>
      </c>
    </row>
    <row r="590" spans="1:10" hidden="1">
      <c r="A590" t="s">
        <v>210</v>
      </c>
      <c r="B590" t="s">
        <v>212</v>
      </c>
      <c r="C590" s="18">
        <v>2031</v>
      </c>
      <c r="D590" t="s">
        <v>174</v>
      </c>
      <c r="E590" s="9">
        <v>14757.708461922401</v>
      </c>
      <c r="F590" s="9">
        <v>10815.364370360499</v>
      </c>
      <c r="G590" s="9">
        <v>14754.4294987798</v>
      </c>
      <c r="H590" s="9">
        <v>10814.9178976517</v>
      </c>
      <c r="I590" s="21">
        <f t="shared" si="18"/>
        <v>-0.44647270879977441</v>
      </c>
      <c r="J590" s="21">
        <f t="shared" si="19"/>
        <v>-3.2789631426003325</v>
      </c>
    </row>
    <row r="591" spans="1:10" hidden="1">
      <c r="A591" t="s">
        <v>210</v>
      </c>
      <c r="B591" t="s">
        <v>212</v>
      </c>
      <c r="C591" s="18">
        <v>2031</v>
      </c>
      <c r="D591" t="s">
        <v>236</v>
      </c>
      <c r="E591" s="9">
        <v>1113781.98354618</v>
      </c>
      <c r="F591" s="9">
        <v>177421.31143430001</v>
      </c>
      <c r="G591" s="9">
        <v>1113725.2263596801</v>
      </c>
      <c r="H591" s="9">
        <v>177420.195676039</v>
      </c>
      <c r="I591" s="21">
        <f t="shared" si="18"/>
        <v>-1.1157582610030659</v>
      </c>
      <c r="J591" s="21">
        <f t="shared" si="19"/>
        <v>-56.75718649988994</v>
      </c>
    </row>
    <row r="592" spans="1:10" hidden="1">
      <c r="A592" t="s">
        <v>210</v>
      </c>
      <c r="B592" t="s">
        <v>212</v>
      </c>
      <c r="C592" s="18">
        <v>2031</v>
      </c>
      <c r="D592" t="s">
        <v>182</v>
      </c>
      <c r="E592" s="9">
        <v>114313.015952596</v>
      </c>
      <c r="F592" s="9">
        <v>76070.818075092204</v>
      </c>
      <c r="G592" s="9">
        <v>115757.018858842</v>
      </c>
      <c r="H592" s="9">
        <v>76556.628013514899</v>
      </c>
      <c r="I592" s="21">
        <f t="shared" si="18"/>
        <v>485.80993842269527</v>
      </c>
      <c r="J592" s="21">
        <f t="shared" si="19"/>
        <v>1444.0029062459944</v>
      </c>
    </row>
    <row r="593" spans="1:10" hidden="1">
      <c r="A593" t="s">
        <v>210</v>
      </c>
      <c r="B593" t="s">
        <v>212</v>
      </c>
      <c r="C593" s="18">
        <v>2031</v>
      </c>
      <c r="D593" t="s">
        <v>185</v>
      </c>
      <c r="E593" s="9">
        <v>271273.660849076</v>
      </c>
      <c r="F593" s="9">
        <v>255100.55502799599</v>
      </c>
      <c r="G593" s="9">
        <v>274719.77758767002</v>
      </c>
      <c r="H593" s="9">
        <v>257245.00548019301</v>
      </c>
      <c r="I593" s="21">
        <f t="shared" si="18"/>
        <v>2144.450452197023</v>
      </c>
      <c r="J593" s="21">
        <f t="shared" si="19"/>
        <v>3446.1167385940207</v>
      </c>
    </row>
    <row r="594" spans="1:10" hidden="1">
      <c r="A594" t="s">
        <v>210</v>
      </c>
      <c r="B594" t="s">
        <v>212</v>
      </c>
      <c r="C594" s="18">
        <v>2031</v>
      </c>
      <c r="D594" t="s">
        <v>188</v>
      </c>
      <c r="E594" s="9">
        <v>638104.66746628098</v>
      </c>
      <c r="F594" s="9">
        <v>372815.99830311397</v>
      </c>
      <c r="G594" s="9">
        <v>646110.86416985898</v>
      </c>
      <c r="H594" s="9">
        <v>374207.72907897399</v>
      </c>
      <c r="I594" s="21">
        <f t="shared" si="18"/>
        <v>1391.7307758600218</v>
      </c>
      <c r="J594" s="21">
        <f t="shared" si="19"/>
        <v>8006.1967035779962</v>
      </c>
    </row>
    <row r="595" spans="1:10" hidden="1">
      <c r="A595" t="s">
        <v>210</v>
      </c>
      <c r="B595" t="s">
        <v>212</v>
      </c>
      <c r="C595" s="18">
        <v>2031</v>
      </c>
      <c r="D595" t="s">
        <v>191</v>
      </c>
      <c r="E595" s="9">
        <v>334989.22084052599</v>
      </c>
      <c r="F595" s="9">
        <v>183598.40371463599</v>
      </c>
      <c r="G595" s="9">
        <v>339204.41915059398</v>
      </c>
      <c r="H595" s="9">
        <v>184315.56237323501</v>
      </c>
      <c r="I595" s="21">
        <f t="shared" si="18"/>
        <v>717.15865859901533</v>
      </c>
      <c r="J595" s="21">
        <f t="shared" si="19"/>
        <v>4215.1983100679936</v>
      </c>
    </row>
    <row r="596" spans="1:10" hidden="1">
      <c r="A596" t="s">
        <v>210</v>
      </c>
      <c r="B596" t="s">
        <v>212</v>
      </c>
      <c r="C596" s="18">
        <v>2031</v>
      </c>
      <c r="D596" t="s">
        <v>422</v>
      </c>
      <c r="E596" s="9">
        <v>38191.671149335998</v>
      </c>
      <c r="F596" s="9">
        <v>4274.7298590918799</v>
      </c>
      <c r="G596" s="9">
        <v>38191.6231000681</v>
      </c>
      <c r="H596" s="9">
        <v>4274.7272932738097</v>
      </c>
      <c r="I596" s="21">
        <f t="shared" si="18"/>
        <v>-2.5658180702521349E-3</v>
      </c>
      <c r="J596" s="21">
        <f t="shared" si="19"/>
        <v>-4.8049267898022663E-2</v>
      </c>
    </row>
    <row r="597" spans="1:10" hidden="1">
      <c r="A597" t="s">
        <v>210</v>
      </c>
      <c r="B597" t="s">
        <v>212</v>
      </c>
      <c r="C597" s="18">
        <v>2032</v>
      </c>
      <c r="D597" t="s">
        <v>174</v>
      </c>
      <c r="E597" s="9">
        <v>15252.919806198201</v>
      </c>
      <c r="F597" s="9">
        <v>11133.055155122</v>
      </c>
      <c r="G597" s="9">
        <v>15247.769190462001</v>
      </c>
      <c r="H597" s="9">
        <v>11132.1787355836</v>
      </c>
      <c r="I597" s="21">
        <f t="shared" si="18"/>
        <v>-0.87641953839920461</v>
      </c>
      <c r="J597" s="21">
        <f t="shared" si="19"/>
        <v>-5.1506157362000522</v>
      </c>
    </row>
    <row r="598" spans="1:10" hidden="1">
      <c r="A598" t="s">
        <v>210</v>
      </c>
      <c r="B598" t="s">
        <v>212</v>
      </c>
      <c r="C598" s="18">
        <v>2032</v>
      </c>
      <c r="D598" t="s">
        <v>236</v>
      </c>
      <c r="E598" s="9">
        <v>1126874.2757031801</v>
      </c>
      <c r="F598" s="9">
        <v>185693.76677445401</v>
      </c>
      <c r="G598" s="9">
        <v>1126783.31749171</v>
      </c>
      <c r="H598" s="9">
        <v>185691.45221249</v>
      </c>
      <c r="I598" s="21">
        <f t="shared" si="18"/>
        <v>-2.3145619640126824</v>
      </c>
      <c r="J598" s="21">
        <f t="shared" si="19"/>
        <v>-90.958211470162496</v>
      </c>
    </row>
    <row r="599" spans="1:10" hidden="1">
      <c r="A599" t="s">
        <v>210</v>
      </c>
      <c r="B599" t="s">
        <v>212</v>
      </c>
      <c r="C599" s="18">
        <v>2032</v>
      </c>
      <c r="D599" t="s">
        <v>182</v>
      </c>
      <c r="E599" s="9">
        <v>115447.736698294</v>
      </c>
      <c r="F599" s="9">
        <v>76605.474771617199</v>
      </c>
      <c r="G599" s="9">
        <v>116892.91249656001</v>
      </c>
      <c r="H599" s="9">
        <v>77198.389307422098</v>
      </c>
      <c r="I599" s="21">
        <f t="shared" si="18"/>
        <v>592.91453580489906</v>
      </c>
      <c r="J599" s="21">
        <f t="shared" si="19"/>
        <v>1445.1757982660056</v>
      </c>
    </row>
    <row r="600" spans="1:10" hidden="1">
      <c r="A600" t="s">
        <v>210</v>
      </c>
      <c r="B600" t="s">
        <v>212</v>
      </c>
      <c r="C600" s="18">
        <v>2032</v>
      </c>
      <c r="D600" t="s">
        <v>185</v>
      </c>
      <c r="E600" s="9">
        <v>270990.29399574798</v>
      </c>
      <c r="F600" s="9">
        <v>254375.96042670199</v>
      </c>
      <c r="G600" s="9">
        <v>274412.39342979901</v>
      </c>
      <c r="H600" s="9">
        <v>256745.67636584101</v>
      </c>
      <c r="I600" s="21">
        <f t="shared" si="18"/>
        <v>2369.715939139016</v>
      </c>
      <c r="J600" s="21">
        <f t="shared" si="19"/>
        <v>3422.0994340510224</v>
      </c>
    </row>
    <row r="601" spans="1:10" hidden="1">
      <c r="A601" t="s">
        <v>210</v>
      </c>
      <c r="B601" t="s">
        <v>212</v>
      </c>
      <c r="C601" s="18">
        <v>2032</v>
      </c>
      <c r="D601" t="s">
        <v>188</v>
      </c>
      <c r="E601" s="9">
        <v>646490.98525604303</v>
      </c>
      <c r="F601" s="9">
        <v>378358.67814451898</v>
      </c>
      <c r="G601" s="9">
        <v>654519.81142038899</v>
      </c>
      <c r="H601" s="9">
        <v>380127.64784866601</v>
      </c>
      <c r="I601" s="21">
        <f t="shared" si="18"/>
        <v>1768.9697041470208</v>
      </c>
      <c r="J601" s="21">
        <f t="shared" si="19"/>
        <v>8028.8261643459555</v>
      </c>
    </row>
    <row r="602" spans="1:10" hidden="1">
      <c r="A602" t="s">
        <v>210</v>
      </c>
      <c r="B602" t="s">
        <v>212</v>
      </c>
      <c r="C602" s="18">
        <v>2032</v>
      </c>
      <c r="D602" t="s">
        <v>191</v>
      </c>
      <c r="E602" s="9">
        <v>337377.60028493998</v>
      </c>
      <c r="F602" s="9">
        <v>182861.56702172599</v>
      </c>
      <c r="G602" s="9">
        <v>341581.65326776</v>
      </c>
      <c r="H602" s="9">
        <v>183730.084212538</v>
      </c>
      <c r="I602" s="21">
        <f t="shared" si="18"/>
        <v>868.51719081201009</v>
      </c>
      <c r="J602" s="21">
        <f t="shared" si="19"/>
        <v>4204.0529828200233</v>
      </c>
    </row>
    <row r="603" spans="1:10" hidden="1">
      <c r="A603" t="s">
        <v>210</v>
      </c>
      <c r="B603" t="s">
        <v>212</v>
      </c>
      <c r="C603" s="18">
        <v>2032</v>
      </c>
      <c r="D603" t="s">
        <v>422</v>
      </c>
      <c r="E603" s="9">
        <v>38037.621390083601</v>
      </c>
      <c r="F603" s="9">
        <v>4125.72650624375</v>
      </c>
      <c r="G603" s="9">
        <v>38037.551792099897</v>
      </c>
      <c r="H603" s="9">
        <v>4125.7224791710396</v>
      </c>
      <c r="I603" s="21">
        <f t="shared" si="18"/>
        <v>-4.0270727104143589E-3</v>
      </c>
      <c r="J603" s="21">
        <f t="shared" si="19"/>
        <v>-6.9597983703715727E-2</v>
      </c>
    </row>
    <row r="604" spans="1:10" hidden="1">
      <c r="A604" t="s">
        <v>210</v>
      </c>
      <c r="B604" t="s">
        <v>212</v>
      </c>
      <c r="C604" s="18">
        <v>2033</v>
      </c>
      <c r="D604" t="s">
        <v>174</v>
      </c>
      <c r="E604" s="9">
        <v>15766.805278318099</v>
      </c>
      <c r="F604" s="9">
        <v>11453.7084126888</v>
      </c>
      <c r="G604" s="9">
        <v>15759.5151167894</v>
      </c>
      <c r="H604" s="9">
        <v>11452.2049974033</v>
      </c>
      <c r="I604" s="21">
        <f t="shared" si="18"/>
        <v>-1.5034152855005232</v>
      </c>
      <c r="J604" s="21">
        <f t="shared" si="19"/>
        <v>-7.2901615286991728</v>
      </c>
    </row>
    <row r="605" spans="1:10" hidden="1">
      <c r="A605" t="s">
        <v>210</v>
      </c>
      <c r="B605" t="s">
        <v>212</v>
      </c>
      <c r="C605" s="18">
        <v>2033</v>
      </c>
      <c r="D605" t="s">
        <v>236</v>
      </c>
      <c r="E605" s="9">
        <v>1139403.3309770201</v>
      </c>
      <c r="F605" s="9">
        <v>194009.770171079</v>
      </c>
      <c r="G605" s="9">
        <v>1139272.75378683</v>
      </c>
      <c r="H605" s="9">
        <v>194005.60056651599</v>
      </c>
      <c r="I605" s="21">
        <f t="shared" si="18"/>
        <v>-4.169604563008761</v>
      </c>
      <c r="J605" s="21">
        <f t="shared" si="19"/>
        <v>-130.577190190088</v>
      </c>
    </row>
    <row r="606" spans="1:10" hidden="1">
      <c r="A606" t="s">
        <v>210</v>
      </c>
      <c r="B606" t="s">
        <v>212</v>
      </c>
      <c r="C606" s="18">
        <v>2033</v>
      </c>
      <c r="D606" t="s">
        <v>182</v>
      </c>
      <c r="E606" s="9">
        <v>116832.574419457</v>
      </c>
      <c r="F606" s="9">
        <v>77240.425900636794</v>
      </c>
      <c r="G606" s="9">
        <v>118281.82855902299</v>
      </c>
      <c r="H606" s="9">
        <v>77917.162090690195</v>
      </c>
      <c r="I606" s="21">
        <f t="shared" si="18"/>
        <v>676.73619005340151</v>
      </c>
      <c r="J606" s="21">
        <f t="shared" si="19"/>
        <v>1449.2541395659937</v>
      </c>
    </row>
    <row r="607" spans="1:10" hidden="1">
      <c r="A607" t="s">
        <v>210</v>
      </c>
      <c r="B607" t="s">
        <v>212</v>
      </c>
      <c r="C607" s="18">
        <v>2033</v>
      </c>
      <c r="D607" t="s">
        <v>185</v>
      </c>
      <c r="E607" s="9">
        <v>270498.124452474</v>
      </c>
      <c r="F607" s="9">
        <v>254142.98712828301</v>
      </c>
      <c r="G607" s="9">
        <v>273893.528221021</v>
      </c>
      <c r="H607" s="9">
        <v>256655.55902621101</v>
      </c>
      <c r="I607" s="21">
        <f t="shared" si="18"/>
        <v>2512.5718979279918</v>
      </c>
      <c r="J607" s="21">
        <f t="shared" si="19"/>
        <v>3395.4037685469957</v>
      </c>
    </row>
    <row r="608" spans="1:10" hidden="1">
      <c r="A608" t="s">
        <v>210</v>
      </c>
      <c r="B608" t="s">
        <v>212</v>
      </c>
      <c r="C608" s="18">
        <v>2033</v>
      </c>
      <c r="D608" t="s">
        <v>188</v>
      </c>
      <c r="E608" s="9">
        <v>655943.52019330102</v>
      </c>
      <c r="F608" s="9">
        <v>384477.49503212998</v>
      </c>
      <c r="G608" s="9">
        <v>664009.13874492398</v>
      </c>
      <c r="H608" s="9">
        <v>386583.230936034</v>
      </c>
      <c r="I608" s="21">
        <f t="shared" si="18"/>
        <v>2105.7359039040166</v>
      </c>
      <c r="J608" s="21">
        <f t="shared" si="19"/>
        <v>8065.6185516229598</v>
      </c>
    </row>
    <row r="609" spans="1:10" hidden="1">
      <c r="A609" t="s">
        <v>210</v>
      </c>
      <c r="B609" t="s">
        <v>212</v>
      </c>
      <c r="C609" s="18">
        <v>2033</v>
      </c>
      <c r="D609" t="s">
        <v>191</v>
      </c>
      <c r="E609" s="9">
        <v>340788.87471808202</v>
      </c>
      <c r="F609" s="9">
        <v>182589.44390909601</v>
      </c>
      <c r="G609" s="9">
        <v>344995.26462988101</v>
      </c>
      <c r="H609" s="9">
        <v>183583.04220271501</v>
      </c>
      <c r="I609" s="21">
        <f t="shared" si="18"/>
        <v>993.59829361899756</v>
      </c>
      <c r="J609" s="21">
        <f t="shared" si="19"/>
        <v>4206.3899117989931</v>
      </c>
    </row>
    <row r="610" spans="1:10" hidden="1">
      <c r="A610" t="s">
        <v>210</v>
      </c>
      <c r="B610" t="s">
        <v>212</v>
      </c>
      <c r="C610" s="18">
        <v>2033</v>
      </c>
      <c r="D610" t="s">
        <v>422</v>
      </c>
      <c r="E610" s="9">
        <v>37788.480793868803</v>
      </c>
      <c r="F610" s="9">
        <v>3977.7199486234599</v>
      </c>
      <c r="G610" s="9">
        <v>37788.395913351</v>
      </c>
      <c r="H610" s="9">
        <v>3977.7143757352601</v>
      </c>
      <c r="I610" s="21">
        <f t="shared" si="18"/>
        <v>-5.5728881998220459E-3</v>
      </c>
      <c r="J610" s="21">
        <f t="shared" si="19"/>
        <v>-8.4880517802957911E-2</v>
      </c>
    </row>
    <row r="611" spans="1:10" hidden="1">
      <c r="A611" t="s">
        <v>210</v>
      </c>
      <c r="B611" t="s">
        <v>212</v>
      </c>
      <c r="C611" s="18">
        <v>2034</v>
      </c>
      <c r="D611" t="s">
        <v>174</v>
      </c>
      <c r="E611" s="9">
        <v>16295.408646228199</v>
      </c>
      <c r="F611" s="9">
        <v>11781.7343869003</v>
      </c>
      <c r="G611" s="9">
        <v>16285.764037622699</v>
      </c>
      <c r="H611" s="9">
        <v>11779.4141755774</v>
      </c>
      <c r="I611" s="21">
        <f t="shared" si="18"/>
        <v>-2.3202113228999224</v>
      </c>
      <c r="J611" s="21">
        <f t="shared" si="19"/>
        <v>-9.6446086055002525</v>
      </c>
    </row>
    <row r="612" spans="1:10" hidden="1">
      <c r="A612" t="s">
        <v>210</v>
      </c>
      <c r="B612" t="s">
        <v>212</v>
      </c>
      <c r="C612" s="18">
        <v>2034</v>
      </c>
      <c r="D612" t="s">
        <v>236</v>
      </c>
      <c r="E612" s="9">
        <v>1151406.70500772</v>
      </c>
      <c r="F612" s="9">
        <v>202327.38247209601</v>
      </c>
      <c r="G612" s="9">
        <v>1151232.62464015</v>
      </c>
      <c r="H612" s="9">
        <v>202320.63612115101</v>
      </c>
      <c r="I612" s="21">
        <f t="shared" si="18"/>
        <v>-6.7463509450026322</v>
      </c>
      <c r="J612" s="21">
        <f t="shared" si="19"/>
        <v>-174.08036757004447</v>
      </c>
    </row>
    <row r="613" spans="1:10" hidden="1">
      <c r="A613" t="s">
        <v>210</v>
      </c>
      <c r="B613" t="s">
        <v>212</v>
      </c>
      <c r="C613" s="18">
        <v>2034</v>
      </c>
      <c r="D613" t="s">
        <v>182</v>
      </c>
      <c r="E613" s="9">
        <v>117726.42988641901</v>
      </c>
      <c r="F613" s="9">
        <v>78038.927129420103</v>
      </c>
      <c r="G613" s="9">
        <v>119173.805374547</v>
      </c>
      <c r="H613" s="9">
        <v>78781.723235872807</v>
      </c>
      <c r="I613" s="21">
        <f t="shared" si="18"/>
        <v>742.79610645270441</v>
      </c>
      <c r="J613" s="21">
        <f t="shared" si="19"/>
        <v>1447.3754881279892</v>
      </c>
    </row>
    <row r="614" spans="1:10" hidden="1">
      <c r="A614" t="s">
        <v>210</v>
      </c>
      <c r="B614" t="s">
        <v>212</v>
      </c>
      <c r="C614" s="18">
        <v>2034</v>
      </c>
      <c r="D614" t="s">
        <v>185</v>
      </c>
      <c r="E614" s="9">
        <v>270297.85019600799</v>
      </c>
      <c r="F614" s="9">
        <v>254144.25988462</v>
      </c>
      <c r="G614" s="9">
        <v>273669.65020286699</v>
      </c>
      <c r="H614" s="9">
        <v>256753.127116244</v>
      </c>
      <c r="I614" s="21">
        <f t="shared" si="18"/>
        <v>2608.8672316239972</v>
      </c>
      <c r="J614" s="21">
        <f t="shared" si="19"/>
        <v>3371.8000068590045</v>
      </c>
    </row>
    <row r="615" spans="1:10" hidden="1">
      <c r="A615" t="s">
        <v>210</v>
      </c>
      <c r="B615" t="s">
        <v>212</v>
      </c>
      <c r="C615" s="18">
        <v>2034</v>
      </c>
      <c r="D615" t="s">
        <v>188</v>
      </c>
      <c r="E615" s="9">
        <v>661509.74118233402</v>
      </c>
      <c r="F615" s="9">
        <v>391395.58703896299</v>
      </c>
      <c r="G615" s="9">
        <v>669565.09186596901</v>
      </c>
      <c r="H615" s="9">
        <v>393806.92012191401</v>
      </c>
      <c r="I615" s="21">
        <f t="shared" si="18"/>
        <v>2411.3330829510232</v>
      </c>
      <c r="J615" s="21">
        <f t="shared" si="19"/>
        <v>8055.3506836349843</v>
      </c>
    </row>
    <row r="616" spans="1:10" hidden="1">
      <c r="A616" t="s">
        <v>210</v>
      </c>
      <c r="B616" t="s">
        <v>212</v>
      </c>
      <c r="C616" s="18">
        <v>2034</v>
      </c>
      <c r="D616" t="s">
        <v>191</v>
      </c>
      <c r="E616" s="9">
        <v>341747.78271090903</v>
      </c>
      <c r="F616" s="9">
        <v>183699.88522108001</v>
      </c>
      <c r="G616" s="9">
        <v>345926.396497523</v>
      </c>
      <c r="H616" s="9">
        <v>184800.88501932399</v>
      </c>
      <c r="I616" s="21">
        <f t="shared" si="18"/>
        <v>1100.9997982439818</v>
      </c>
      <c r="J616" s="21">
        <f t="shared" si="19"/>
        <v>4178.6137866139761</v>
      </c>
    </row>
    <row r="617" spans="1:10" hidden="1">
      <c r="A617" t="s">
        <v>210</v>
      </c>
      <c r="B617" t="s">
        <v>212</v>
      </c>
      <c r="C617" s="18">
        <v>2034</v>
      </c>
      <c r="D617" t="s">
        <v>422</v>
      </c>
      <c r="E617" s="9">
        <v>37391.219940529401</v>
      </c>
      <c r="F617" s="9">
        <v>3849.4432606877099</v>
      </c>
      <c r="G617" s="9">
        <v>37391.118979539897</v>
      </c>
      <c r="H617" s="9">
        <v>3849.43642407178</v>
      </c>
      <c r="I617" s="21">
        <f t="shared" si="18"/>
        <v>-6.8366159298420826E-3</v>
      </c>
      <c r="J617" s="21">
        <f t="shared" si="19"/>
        <v>-0.1009609895045287</v>
      </c>
    </row>
    <row r="618" spans="1:10" hidden="1">
      <c r="A618" t="s">
        <v>210</v>
      </c>
      <c r="B618" t="s">
        <v>212</v>
      </c>
      <c r="C618" s="18">
        <v>2035</v>
      </c>
      <c r="D618" t="s">
        <v>174</v>
      </c>
      <c r="E618" s="9">
        <v>16842.8310659899</v>
      </c>
      <c r="F618" s="9">
        <v>12116.1272704618</v>
      </c>
      <c r="G618" s="9">
        <v>16830.6420972909</v>
      </c>
      <c r="H618" s="9">
        <v>12112.814364394</v>
      </c>
      <c r="I618" s="21">
        <f t="shared" si="18"/>
        <v>-3.3129060678002133</v>
      </c>
      <c r="J618" s="21">
        <f t="shared" si="19"/>
        <v>-12.188968698999815</v>
      </c>
    </row>
    <row r="619" spans="1:10" hidden="1">
      <c r="A619" t="s">
        <v>210</v>
      </c>
      <c r="B619" t="s">
        <v>212</v>
      </c>
      <c r="C619" s="18">
        <v>2035</v>
      </c>
      <c r="D619" t="s">
        <v>236</v>
      </c>
      <c r="E619" s="9">
        <v>1162997.70687408</v>
      </c>
      <c r="F619" s="9">
        <v>210637.50341311199</v>
      </c>
      <c r="G619" s="9">
        <v>1162777.28327874</v>
      </c>
      <c r="H619" s="9">
        <v>210627.422792314</v>
      </c>
      <c r="I619" s="21">
        <f t="shared" si="18"/>
        <v>-10.080620797991287</v>
      </c>
      <c r="J619" s="21">
        <f t="shared" si="19"/>
        <v>-220.42359533999115</v>
      </c>
    </row>
    <row r="620" spans="1:10" hidden="1">
      <c r="A620" t="s">
        <v>210</v>
      </c>
      <c r="B620" t="s">
        <v>212</v>
      </c>
      <c r="C620" s="18">
        <v>2035</v>
      </c>
      <c r="D620" t="s">
        <v>182</v>
      </c>
      <c r="E620" s="9">
        <v>119344.47215663501</v>
      </c>
      <c r="F620" s="9">
        <v>78661.631643054498</v>
      </c>
      <c r="G620" s="9">
        <v>120799.065903184</v>
      </c>
      <c r="H620" s="9">
        <v>79456.632421187605</v>
      </c>
      <c r="I620" s="21">
        <f t="shared" si="18"/>
        <v>795.00077813310781</v>
      </c>
      <c r="J620" s="21">
        <f t="shared" si="19"/>
        <v>1454.5937465489988</v>
      </c>
    </row>
    <row r="621" spans="1:10" hidden="1">
      <c r="A621" t="s">
        <v>210</v>
      </c>
      <c r="B621" t="s">
        <v>212</v>
      </c>
      <c r="C621" s="18">
        <v>2035</v>
      </c>
      <c r="D621" t="s">
        <v>185</v>
      </c>
      <c r="E621" s="9">
        <v>269997.95815598202</v>
      </c>
      <c r="F621" s="9">
        <v>254128.65433290901</v>
      </c>
      <c r="G621" s="9">
        <v>273345.36006293801</v>
      </c>
      <c r="H621" s="9">
        <v>256807.53223008101</v>
      </c>
      <c r="I621" s="21">
        <f t="shared" si="18"/>
        <v>2678.8778971720021</v>
      </c>
      <c r="J621" s="21">
        <f t="shared" si="19"/>
        <v>3347.4019069559872</v>
      </c>
    </row>
    <row r="622" spans="1:10" hidden="1">
      <c r="A622" t="s">
        <v>210</v>
      </c>
      <c r="B622" t="s">
        <v>212</v>
      </c>
      <c r="C622" s="18">
        <v>2035</v>
      </c>
      <c r="D622" t="s">
        <v>188</v>
      </c>
      <c r="E622" s="9">
        <v>670548.91432750504</v>
      </c>
      <c r="F622" s="9">
        <v>396804.54301744199</v>
      </c>
      <c r="G622" s="9">
        <v>678638.43452144298</v>
      </c>
      <c r="H622" s="9">
        <v>399492.95053299802</v>
      </c>
      <c r="I622" s="21">
        <f t="shared" si="18"/>
        <v>2688.4075155560276</v>
      </c>
      <c r="J622" s="21">
        <f t="shared" si="19"/>
        <v>8089.5201939379331</v>
      </c>
    </row>
    <row r="623" spans="1:10" hidden="1">
      <c r="A623" t="s">
        <v>210</v>
      </c>
      <c r="B623" t="s">
        <v>212</v>
      </c>
      <c r="C623" s="18">
        <v>2035</v>
      </c>
      <c r="D623" t="s">
        <v>191</v>
      </c>
      <c r="E623" s="9">
        <v>344965.71172583901</v>
      </c>
      <c r="F623" s="9">
        <v>184169.689900856</v>
      </c>
      <c r="G623" s="9">
        <v>349146.06245576398</v>
      </c>
      <c r="H623" s="9">
        <v>185365.76110357899</v>
      </c>
      <c r="I623" s="21">
        <f t="shared" si="18"/>
        <v>1196.0712027229893</v>
      </c>
      <c r="J623" s="21">
        <f t="shared" si="19"/>
        <v>4180.3507299249759</v>
      </c>
    </row>
    <row r="624" spans="1:10" hidden="1">
      <c r="A624" t="s">
        <v>210</v>
      </c>
      <c r="B624" t="s">
        <v>212</v>
      </c>
      <c r="C624" s="18">
        <v>2035</v>
      </c>
      <c r="D624" t="s">
        <v>422</v>
      </c>
      <c r="E624" s="9">
        <v>37274.513860327599</v>
      </c>
      <c r="F624" s="9">
        <v>3710.4396217886201</v>
      </c>
      <c r="G624" s="9">
        <v>37274.397901844597</v>
      </c>
      <c r="H624" s="9">
        <v>3710.43177455469</v>
      </c>
      <c r="I624" s="21">
        <f t="shared" si="18"/>
        <v>-7.8472339300788008E-3</v>
      </c>
      <c r="J624" s="21">
        <f t="shared" si="19"/>
        <v>-0.11595848300203215</v>
      </c>
    </row>
    <row r="625" spans="1:10" hidden="1">
      <c r="A625" t="s">
        <v>210</v>
      </c>
      <c r="B625" t="s">
        <v>212</v>
      </c>
      <c r="C625" s="18">
        <v>2036</v>
      </c>
      <c r="D625" t="s">
        <v>174</v>
      </c>
      <c r="E625" s="9">
        <v>17407.521652876199</v>
      </c>
      <c r="F625" s="9">
        <v>12457.330426438701</v>
      </c>
      <c r="G625" s="9">
        <v>17392.609904070101</v>
      </c>
      <c r="H625" s="9">
        <v>12452.864013751599</v>
      </c>
      <c r="I625" s="21">
        <f t="shared" si="18"/>
        <v>-4.4664126871011831</v>
      </c>
      <c r="J625" s="21">
        <f t="shared" si="19"/>
        <v>-14.911748806098331</v>
      </c>
    </row>
    <row r="626" spans="1:10" hidden="1">
      <c r="A626" t="s">
        <v>210</v>
      </c>
      <c r="B626" t="s">
        <v>212</v>
      </c>
      <c r="C626" s="18">
        <v>2036</v>
      </c>
      <c r="D626" t="s">
        <v>236</v>
      </c>
      <c r="E626" s="9">
        <v>1174354.3849806499</v>
      </c>
      <c r="F626" s="9">
        <v>218920.810938832</v>
      </c>
      <c r="G626" s="9">
        <v>1174085.51289072</v>
      </c>
      <c r="H626" s="9">
        <v>218906.62344450099</v>
      </c>
      <c r="I626" s="21">
        <f t="shared" si="18"/>
        <v>-14.187494331010384</v>
      </c>
      <c r="J626" s="21">
        <f t="shared" si="19"/>
        <v>-268.87208992987871</v>
      </c>
    </row>
    <row r="627" spans="1:10" hidden="1">
      <c r="A627" t="s">
        <v>210</v>
      </c>
      <c r="B627" t="s">
        <v>212</v>
      </c>
      <c r="C627" s="18">
        <v>2036</v>
      </c>
      <c r="D627" t="s">
        <v>182</v>
      </c>
      <c r="E627" s="9">
        <v>121154.526990313</v>
      </c>
      <c r="F627" s="9">
        <v>79466.023627814706</v>
      </c>
      <c r="G627" s="9">
        <v>122618.320312187</v>
      </c>
      <c r="H627" s="9">
        <v>80302.842995522602</v>
      </c>
      <c r="I627" s="21">
        <f t="shared" si="18"/>
        <v>836.81936770789616</v>
      </c>
      <c r="J627" s="21">
        <f t="shared" si="19"/>
        <v>1463.7933218740072</v>
      </c>
    </row>
    <row r="628" spans="1:10" hidden="1">
      <c r="A628" t="s">
        <v>210</v>
      </c>
      <c r="B628" t="s">
        <v>212</v>
      </c>
      <c r="C628" s="18">
        <v>2036</v>
      </c>
      <c r="D628" t="s">
        <v>185</v>
      </c>
      <c r="E628" s="9">
        <v>269971.13003766001</v>
      </c>
      <c r="F628" s="9">
        <v>254202.74093346199</v>
      </c>
      <c r="G628" s="9">
        <v>273297.56982222799</v>
      </c>
      <c r="H628" s="9">
        <v>256933.39822934201</v>
      </c>
      <c r="I628" s="21">
        <f t="shared" si="18"/>
        <v>2730.6572958800243</v>
      </c>
      <c r="J628" s="21">
        <f t="shared" si="19"/>
        <v>3326.4397845679778</v>
      </c>
    </row>
    <row r="629" spans="1:10" hidden="1">
      <c r="A629" t="s">
        <v>210</v>
      </c>
      <c r="B629" t="s">
        <v>212</v>
      </c>
      <c r="C629" s="18">
        <v>2036</v>
      </c>
      <c r="D629" t="s">
        <v>188</v>
      </c>
      <c r="E629" s="9">
        <v>680063.77950685704</v>
      </c>
      <c r="F629" s="9">
        <v>403049.33208267501</v>
      </c>
      <c r="G629" s="9">
        <v>688194.68447559199</v>
      </c>
      <c r="H629" s="9">
        <v>405992.65349387802</v>
      </c>
      <c r="I629" s="21">
        <f t="shared" si="18"/>
        <v>2943.3214112030109</v>
      </c>
      <c r="J629" s="21">
        <f t="shared" si="19"/>
        <v>8130.904968734947</v>
      </c>
    </row>
    <row r="630" spans="1:10" hidden="1">
      <c r="A630" t="s">
        <v>210</v>
      </c>
      <c r="B630" t="s">
        <v>212</v>
      </c>
      <c r="C630" s="18">
        <v>2036</v>
      </c>
      <c r="D630" t="s">
        <v>191</v>
      </c>
      <c r="E630" s="9">
        <v>348417.38750233699</v>
      </c>
      <c r="F630" s="9">
        <v>185135.54285814901</v>
      </c>
      <c r="G630" s="9">
        <v>352603.07171420398</v>
      </c>
      <c r="H630" s="9">
        <v>186417.92722248001</v>
      </c>
      <c r="I630" s="21">
        <f t="shared" si="18"/>
        <v>1282.3843643309956</v>
      </c>
      <c r="J630" s="21">
        <f t="shared" si="19"/>
        <v>4185.6842118669883</v>
      </c>
    </row>
    <row r="631" spans="1:10" hidden="1">
      <c r="A631" t="s">
        <v>210</v>
      </c>
      <c r="B631" t="s">
        <v>212</v>
      </c>
      <c r="C631" s="18">
        <v>2036</v>
      </c>
      <c r="D631" t="s">
        <v>422</v>
      </c>
      <c r="E631" s="9">
        <v>37283.156763119798</v>
      </c>
      <c r="F631" s="9">
        <v>3578.6686573198599</v>
      </c>
      <c r="G631" s="9">
        <v>37283.027629395598</v>
      </c>
      <c r="H631" s="9">
        <v>3578.66006488627</v>
      </c>
      <c r="I631" s="21">
        <f t="shared" si="18"/>
        <v>-8.5924335899107973E-3</v>
      </c>
      <c r="J631" s="21">
        <f t="shared" si="19"/>
        <v>-0.12913372420007363</v>
      </c>
    </row>
    <row r="632" spans="1:10" hidden="1">
      <c r="A632" t="s">
        <v>210</v>
      </c>
      <c r="B632" t="s">
        <v>212</v>
      </c>
      <c r="C632" s="18">
        <v>2037</v>
      </c>
      <c r="D632" t="s">
        <v>174</v>
      </c>
      <c r="E632" s="9">
        <v>17989.284989773401</v>
      </c>
      <c r="F632" s="9">
        <v>12805.246931211301</v>
      </c>
      <c r="G632" s="9">
        <v>17971.482864064201</v>
      </c>
      <c r="H632" s="9">
        <v>12799.479454561601</v>
      </c>
      <c r="I632" s="21">
        <f t="shared" si="18"/>
        <v>-5.7674766497002565</v>
      </c>
      <c r="J632" s="21">
        <f t="shared" si="19"/>
        <v>-17.802125709200482</v>
      </c>
    </row>
    <row r="633" spans="1:10" hidden="1">
      <c r="A633" t="s">
        <v>210</v>
      </c>
      <c r="B633" t="s">
        <v>212</v>
      </c>
      <c r="C633" s="18">
        <v>2037</v>
      </c>
      <c r="D633" t="s">
        <v>236</v>
      </c>
      <c r="E633" s="9">
        <v>1185583.6355162801</v>
      </c>
      <c r="F633" s="9">
        <v>227164.907675708</v>
      </c>
      <c r="G633" s="9">
        <v>1185264.7438497699</v>
      </c>
      <c r="H633" s="9">
        <v>227145.85064844001</v>
      </c>
      <c r="I633" s="21">
        <f t="shared" si="18"/>
        <v>-19.057027267990634</v>
      </c>
      <c r="J633" s="21">
        <f t="shared" si="19"/>
        <v>-318.89166651014239</v>
      </c>
    </row>
    <row r="634" spans="1:10" hidden="1">
      <c r="A634" t="s">
        <v>210</v>
      </c>
      <c r="B634" t="s">
        <v>212</v>
      </c>
      <c r="C634" s="18">
        <v>2037</v>
      </c>
      <c r="D634" t="s">
        <v>182</v>
      </c>
      <c r="E634" s="9">
        <v>123015.709739035</v>
      </c>
      <c r="F634" s="9">
        <v>80372.531569210594</v>
      </c>
      <c r="G634" s="9">
        <v>124489.42976024401</v>
      </c>
      <c r="H634" s="9">
        <v>81244.691389584303</v>
      </c>
      <c r="I634" s="21">
        <f t="shared" si="18"/>
        <v>872.1598203737085</v>
      </c>
      <c r="J634" s="21">
        <f t="shared" si="19"/>
        <v>1473.7200212090102</v>
      </c>
    </row>
    <row r="635" spans="1:10" hidden="1">
      <c r="A635" t="s">
        <v>210</v>
      </c>
      <c r="B635" t="s">
        <v>212</v>
      </c>
      <c r="C635" s="18">
        <v>2037</v>
      </c>
      <c r="D635" t="s">
        <v>185</v>
      </c>
      <c r="E635" s="9">
        <v>269897.360184216</v>
      </c>
      <c r="F635" s="9">
        <v>254301.60211268399</v>
      </c>
      <c r="G635" s="9">
        <v>273202.80227406899</v>
      </c>
      <c r="H635" s="9">
        <v>257070.97314913399</v>
      </c>
      <c r="I635" s="21">
        <f t="shared" si="18"/>
        <v>2769.3710364500002</v>
      </c>
      <c r="J635" s="21">
        <f t="shared" si="19"/>
        <v>3305.4420898529934</v>
      </c>
    </row>
    <row r="636" spans="1:10" hidden="1">
      <c r="A636" t="s">
        <v>210</v>
      </c>
      <c r="B636" t="s">
        <v>212</v>
      </c>
      <c r="C636" s="18">
        <v>2037</v>
      </c>
      <c r="D636" t="s">
        <v>188</v>
      </c>
      <c r="E636" s="9">
        <v>689883.590185632</v>
      </c>
      <c r="F636" s="9">
        <v>409837.64405329601</v>
      </c>
      <c r="G636" s="9">
        <v>698060.50212694705</v>
      </c>
      <c r="H636" s="9">
        <v>413018.343093551</v>
      </c>
      <c r="I636" s="21">
        <f t="shared" si="18"/>
        <v>3180.6990402549854</v>
      </c>
      <c r="J636" s="21">
        <f t="shared" si="19"/>
        <v>8176.9119413150474</v>
      </c>
    </row>
    <row r="637" spans="1:10" hidden="1">
      <c r="A637" t="s">
        <v>210</v>
      </c>
      <c r="B637" t="s">
        <v>212</v>
      </c>
      <c r="C637" s="18">
        <v>2037</v>
      </c>
      <c r="D637" t="s">
        <v>191</v>
      </c>
      <c r="E637" s="9">
        <v>352229.40051191399</v>
      </c>
      <c r="F637" s="9">
        <v>186425.621929093</v>
      </c>
      <c r="G637" s="9">
        <v>356425.67891865398</v>
      </c>
      <c r="H637" s="9">
        <v>187788.31252848901</v>
      </c>
      <c r="I637" s="21">
        <f t="shared" si="18"/>
        <v>1362.6905993960099</v>
      </c>
      <c r="J637" s="21">
        <f t="shared" si="19"/>
        <v>4196.2784067399916</v>
      </c>
    </row>
    <row r="638" spans="1:10" hidden="1">
      <c r="A638" t="s">
        <v>210</v>
      </c>
      <c r="B638" t="s">
        <v>212</v>
      </c>
      <c r="C638" s="18">
        <v>2037</v>
      </c>
      <c r="D638" t="s">
        <v>422</v>
      </c>
      <c r="E638" s="9">
        <v>36837.409805257797</v>
      </c>
      <c r="F638" s="9">
        <v>3450.2036680555598</v>
      </c>
      <c r="G638" s="9">
        <v>36837.277480763201</v>
      </c>
      <c r="H638" s="9">
        <v>3450.1946557369902</v>
      </c>
      <c r="I638" s="21">
        <f t="shared" si="18"/>
        <v>-9.0123185696029395E-3</v>
      </c>
      <c r="J638" s="21">
        <f t="shared" si="19"/>
        <v>-0.13232449459610507</v>
      </c>
    </row>
    <row r="639" spans="1:10" hidden="1">
      <c r="A639" t="s">
        <v>210</v>
      </c>
      <c r="B639" t="s">
        <v>212</v>
      </c>
      <c r="C639" s="18">
        <v>2038</v>
      </c>
      <c r="D639" t="s">
        <v>174</v>
      </c>
      <c r="E639" s="9">
        <v>18585.592484980702</v>
      </c>
      <c r="F639" s="9">
        <v>13162.8075467492</v>
      </c>
      <c r="G639" s="9">
        <v>18564.7325343064</v>
      </c>
      <c r="H639" s="9">
        <v>13155.6038503287</v>
      </c>
      <c r="I639" s="21">
        <f t="shared" si="18"/>
        <v>-7.2036964204999094</v>
      </c>
      <c r="J639" s="21">
        <f t="shared" si="19"/>
        <v>-20.859950674301217</v>
      </c>
    </row>
    <row r="640" spans="1:10" hidden="1">
      <c r="A640" t="s">
        <v>210</v>
      </c>
      <c r="B640" t="s">
        <v>212</v>
      </c>
      <c r="C640" s="18">
        <v>2038</v>
      </c>
      <c r="D640" t="s">
        <v>236</v>
      </c>
      <c r="E640" s="9">
        <v>1196684.6000723599</v>
      </c>
      <c r="F640" s="9">
        <v>235354.28657417101</v>
      </c>
      <c r="G640" s="9">
        <v>1196314.5451145701</v>
      </c>
      <c r="H640" s="9">
        <v>235329.60149861901</v>
      </c>
      <c r="I640" s="21">
        <f t="shared" si="18"/>
        <v>-24.685075551999034</v>
      </c>
      <c r="J640" s="21">
        <f t="shared" si="19"/>
        <v>-370.05495778983459</v>
      </c>
    </row>
    <row r="641" spans="1:10" hidden="1">
      <c r="A641" t="s">
        <v>210</v>
      </c>
      <c r="B641" t="s">
        <v>212</v>
      </c>
      <c r="C641" s="18">
        <v>2038</v>
      </c>
      <c r="D641" t="s">
        <v>182</v>
      </c>
      <c r="E641" s="9">
        <v>125069.772930202</v>
      </c>
      <c r="F641" s="9">
        <v>81351.719511791904</v>
      </c>
      <c r="G641" s="9">
        <v>126555.833855502</v>
      </c>
      <c r="H641" s="9">
        <v>82253.930841494002</v>
      </c>
      <c r="I641" s="21">
        <f t="shared" si="18"/>
        <v>902.21132970209874</v>
      </c>
      <c r="J641" s="21">
        <f t="shared" si="19"/>
        <v>1486.0609253000002</v>
      </c>
    </row>
    <row r="642" spans="1:10" hidden="1">
      <c r="A642" t="s">
        <v>210</v>
      </c>
      <c r="B642" t="s">
        <v>212</v>
      </c>
      <c r="C642" s="18">
        <v>2038</v>
      </c>
      <c r="D642" t="s">
        <v>185</v>
      </c>
      <c r="E642" s="9">
        <v>269751.54550207598</v>
      </c>
      <c r="F642" s="9">
        <v>254332.88768696299</v>
      </c>
      <c r="G642" s="9">
        <v>273035.370644084</v>
      </c>
      <c r="H642" s="9">
        <v>257130.676610817</v>
      </c>
      <c r="I642" s="21">
        <f t="shared" ref="I642:I705" si="20">H642-F642</f>
        <v>2797.7889238540083</v>
      </c>
      <c r="J642" s="21">
        <f t="shared" ref="J642:J705" si="21">G642-E642</f>
        <v>3283.8251420080196</v>
      </c>
    </row>
    <row r="643" spans="1:10" hidden="1">
      <c r="A643" t="s">
        <v>210</v>
      </c>
      <c r="B643" t="s">
        <v>212</v>
      </c>
      <c r="C643" s="18">
        <v>2038</v>
      </c>
      <c r="D643" t="s">
        <v>188</v>
      </c>
      <c r="E643" s="9">
        <v>700442.05258012796</v>
      </c>
      <c r="F643" s="9">
        <v>417043.91683425102</v>
      </c>
      <c r="G643" s="9">
        <v>708674.57496129896</v>
      </c>
      <c r="H643" s="9">
        <v>420445.264129068</v>
      </c>
      <c r="I643" s="21">
        <f t="shared" si="20"/>
        <v>3401.3472948169801</v>
      </c>
      <c r="J643" s="21">
        <f t="shared" si="21"/>
        <v>8232.5223811710021</v>
      </c>
    </row>
    <row r="644" spans="1:10" hidden="1">
      <c r="A644" t="s">
        <v>210</v>
      </c>
      <c r="B644" t="s">
        <v>212</v>
      </c>
      <c r="C644" s="18">
        <v>2038</v>
      </c>
      <c r="D644" t="s">
        <v>191</v>
      </c>
      <c r="E644" s="9">
        <v>356685.37114390603</v>
      </c>
      <c r="F644" s="9">
        <v>187909.403005578</v>
      </c>
      <c r="G644" s="9">
        <v>360900.93527344998</v>
      </c>
      <c r="H644" s="9">
        <v>189347.42226660499</v>
      </c>
      <c r="I644" s="21">
        <f t="shared" si="20"/>
        <v>1438.0192610269878</v>
      </c>
      <c r="J644" s="21">
        <f t="shared" si="21"/>
        <v>4215.5641295439564</v>
      </c>
    </row>
    <row r="645" spans="1:10" hidden="1">
      <c r="A645" t="s">
        <v>210</v>
      </c>
      <c r="B645" t="s">
        <v>212</v>
      </c>
      <c r="C645" s="18">
        <v>2038</v>
      </c>
      <c r="D645" t="s">
        <v>422</v>
      </c>
      <c r="E645" s="9">
        <v>36551.576582535301</v>
      </c>
      <c r="F645" s="9">
        <v>3322.8304567586301</v>
      </c>
      <c r="G645" s="9">
        <v>36551.441257778999</v>
      </c>
      <c r="H645" s="9">
        <v>3322.8215744210102</v>
      </c>
      <c r="I645" s="21">
        <f t="shared" si="20"/>
        <v>-8.8823376199798076E-3</v>
      </c>
      <c r="J645" s="21">
        <f t="shared" si="21"/>
        <v>-0.1353247563019977</v>
      </c>
    </row>
    <row r="646" spans="1:10" hidden="1">
      <c r="A646" t="s">
        <v>210</v>
      </c>
      <c r="B646" t="s">
        <v>212</v>
      </c>
      <c r="C646" s="18">
        <v>2039</v>
      </c>
      <c r="D646" t="s">
        <v>174</v>
      </c>
      <c r="E646" s="9">
        <v>19198.437663328699</v>
      </c>
      <c r="F646" s="9">
        <v>13525.5457988862</v>
      </c>
      <c r="G646" s="9">
        <v>19174.345745902901</v>
      </c>
      <c r="H646" s="9">
        <v>13516.7785061579</v>
      </c>
      <c r="I646" s="21">
        <f t="shared" si="20"/>
        <v>-8.7672927283001627</v>
      </c>
      <c r="J646" s="21">
        <f t="shared" si="21"/>
        <v>-24.091917425797874</v>
      </c>
    </row>
    <row r="647" spans="1:10" hidden="1">
      <c r="A647" t="s">
        <v>210</v>
      </c>
      <c r="B647" t="s">
        <v>212</v>
      </c>
      <c r="C647" s="18">
        <v>2039</v>
      </c>
      <c r="D647" t="s">
        <v>236</v>
      </c>
      <c r="E647" s="9">
        <v>1207347.76480855</v>
      </c>
      <c r="F647" s="9">
        <v>243514.425909671</v>
      </c>
      <c r="G647" s="9">
        <v>1206925.78308321</v>
      </c>
      <c r="H647" s="9">
        <v>243483.36403446301</v>
      </c>
      <c r="I647" s="21">
        <f t="shared" si="20"/>
        <v>-31.061875207989942</v>
      </c>
      <c r="J647" s="21">
        <f t="shared" si="21"/>
        <v>-421.9817253400106</v>
      </c>
    </row>
    <row r="648" spans="1:10" hidden="1">
      <c r="A648" t="s">
        <v>210</v>
      </c>
      <c r="B648" t="s">
        <v>212</v>
      </c>
      <c r="C648" s="18">
        <v>2039</v>
      </c>
      <c r="D648" t="s">
        <v>182</v>
      </c>
      <c r="E648" s="9">
        <v>126510.237644728</v>
      </c>
      <c r="F648" s="9">
        <v>82460.739060501597</v>
      </c>
      <c r="G648" s="9">
        <v>128001.347826374</v>
      </c>
      <c r="H648" s="9">
        <v>83389.180958792305</v>
      </c>
      <c r="I648" s="21">
        <f t="shared" si="20"/>
        <v>928.4418982907082</v>
      </c>
      <c r="J648" s="21">
        <f t="shared" si="21"/>
        <v>1491.1101816459995</v>
      </c>
    </row>
    <row r="649" spans="1:10" hidden="1">
      <c r="A649" t="s">
        <v>210</v>
      </c>
      <c r="B649" t="s">
        <v>212</v>
      </c>
      <c r="C649" s="18">
        <v>2039</v>
      </c>
      <c r="D649" t="s">
        <v>185</v>
      </c>
      <c r="E649" s="9">
        <v>269709.51871171198</v>
      </c>
      <c r="F649" s="9">
        <v>254621.473606682</v>
      </c>
      <c r="G649" s="9">
        <v>272973.34550101002</v>
      </c>
      <c r="H649" s="9">
        <v>257441.86914336999</v>
      </c>
      <c r="I649" s="21">
        <f t="shared" si="20"/>
        <v>2820.3955366879818</v>
      </c>
      <c r="J649" s="21">
        <f t="shared" si="21"/>
        <v>3263.8267892980366</v>
      </c>
    </row>
    <row r="650" spans="1:10" hidden="1">
      <c r="A650" t="s">
        <v>210</v>
      </c>
      <c r="B650" t="s">
        <v>212</v>
      </c>
      <c r="C650" s="18">
        <v>2039</v>
      </c>
      <c r="D650" t="s">
        <v>188</v>
      </c>
      <c r="E650" s="9">
        <v>707336.52312028303</v>
      </c>
      <c r="F650" s="9">
        <v>424835.39144491998</v>
      </c>
      <c r="G650" s="9">
        <v>715580.88708538504</v>
      </c>
      <c r="H650" s="9">
        <v>428444.56848174502</v>
      </c>
      <c r="I650" s="21">
        <f t="shared" si="20"/>
        <v>3609.1770368250436</v>
      </c>
      <c r="J650" s="21">
        <f t="shared" si="21"/>
        <v>8244.3639651020057</v>
      </c>
    </row>
    <row r="651" spans="1:10" hidden="1">
      <c r="A651" t="s">
        <v>210</v>
      </c>
      <c r="B651" t="s">
        <v>212</v>
      </c>
      <c r="C651" s="18">
        <v>2039</v>
      </c>
      <c r="D651" t="s">
        <v>191</v>
      </c>
      <c r="E651" s="9">
        <v>358763.34558852902</v>
      </c>
      <c r="F651" s="9">
        <v>190419.94299824201</v>
      </c>
      <c r="G651" s="9">
        <v>362969.198365508</v>
      </c>
      <c r="H651" s="9">
        <v>191929.610855123</v>
      </c>
      <c r="I651" s="21">
        <f t="shared" si="20"/>
        <v>1509.6678568809875</v>
      </c>
      <c r="J651" s="21">
        <f t="shared" si="21"/>
        <v>4205.8527769789798</v>
      </c>
    </row>
    <row r="652" spans="1:10" hidden="1">
      <c r="A652" t="s">
        <v>210</v>
      </c>
      <c r="B652" t="s">
        <v>212</v>
      </c>
      <c r="C652" s="18">
        <v>2039</v>
      </c>
      <c r="D652" t="s">
        <v>422</v>
      </c>
      <c r="E652" s="9">
        <v>36178.368286426899</v>
      </c>
      <c r="F652" s="9">
        <v>3198.0312207332699</v>
      </c>
      <c r="G652" s="9">
        <v>36178.223844718399</v>
      </c>
      <c r="H652" s="9">
        <v>3198.0230538302199</v>
      </c>
      <c r="I652" s="21">
        <f t="shared" si="20"/>
        <v>-8.1669030500961526E-3</v>
      </c>
      <c r="J652" s="21">
        <f t="shared" si="21"/>
        <v>-0.14444170850038063</v>
      </c>
    </row>
    <row r="653" spans="1:10" hidden="1">
      <c r="A653" t="s">
        <v>210</v>
      </c>
      <c r="B653" t="s">
        <v>212</v>
      </c>
      <c r="C653" s="18">
        <v>2040</v>
      </c>
      <c r="D653" t="s">
        <v>174</v>
      </c>
      <c r="E653" s="9">
        <v>19833.027626838601</v>
      </c>
      <c r="F653" s="9">
        <v>13890.115970324799</v>
      </c>
      <c r="G653" s="9">
        <v>19805.505805764798</v>
      </c>
      <c r="H653" s="9">
        <v>13879.6732870407</v>
      </c>
      <c r="I653" s="21">
        <f t="shared" si="20"/>
        <v>-10.442683284099985</v>
      </c>
      <c r="J653" s="21">
        <f t="shared" si="21"/>
        <v>-27.52182107380213</v>
      </c>
    </row>
    <row r="654" spans="1:10" hidden="1">
      <c r="A654" t="s">
        <v>210</v>
      </c>
      <c r="B654" t="s">
        <v>212</v>
      </c>
      <c r="C654" s="18">
        <v>2040</v>
      </c>
      <c r="D654" t="s">
        <v>236</v>
      </c>
      <c r="E654" s="9">
        <v>1217503.9676576799</v>
      </c>
      <c r="F654" s="9">
        <v>251630.05390111799</v>
      </c>
      <c r="G654" s="9">
        <v>1217029.49333677</v>
      </c>
      <c r="H654" s="9">
        <v>251591.89866486701</v>
      </c>
      <c r="I654" s="21">
        <f t="shared" si="20"/>
        <v>-38.155236250982853</v>
      </c>
      <c r="J654" s="21">
        <f t="shared" si="21"/>
        <v>-474.47432090993971</v>
      </c>
    </row>
    <row r="655" spans="1:10" hidden="1">
      <c r="A655" t="s">
        <v>210</v>
      </c>
      <c r="B655" t="s">
        <v>212</v>
      </c>
      <c r="C655" s="18">
        <v>2040</v>
      </c>
      <c r="D655" t="s">
        <v>182</v>
      </c>
      <c r="E655" s="9">
        <v>128575.51760424201</v>
      </c>
      <c r="F655" s="9">
        <v>83481.278228387295</v>
      </c>
      <c r="G655" s="9">
        <v>130079.117811465</v>
      </c>
      <c r="H655" s="9">
        <v>84431.891175836907</v>
      </c>
      <c r="I655" s="21">
        <f t="shared" si="20"/>
        <v>950.61294744961197</v>
      </c>
      <c r="J655" s="21">
        <f t="shared" si="21"/>
        <v>1503.6002072229894</v>
      </c>
    </row>
    <row r="656" spans="1:10" hidden="1">
      <c r="A656" t="s">
        <v>210</v>
      </c>
      <c r="B656" t="s">
        <v>212</v>
      </c>
      <c r="C656" s="18">
        <v>2040</v>
      </c>
      <c r="D656" t="s">
        <v>185</v>
      </c>
      <c r="E656" s="9">
        <v>269530.07504265697</v>
      </c>
      <c r="F656" s="9">
        <v>254616.35432056099</v>
      </c>
      <c r="G656" s="9">
        <v>272772.69297753199</v>
      </c>
      <c r="H656" s="9">
        <v>257451.80463236</v>
      </c>
      <c r="I656" s="21">
        <f t="shared" si="20"/>
        <v>2835.4503117990098</v>
      </c>
      <c r="J656" s="21">
        <f t="shared" si="21"/>
        <v>3242.6179348750156</v>
      </c>
    </row>
    <row r="657" spans="1:10" hidden="1">
      <c r="A657" t="s">
        <v>210</v>
      </c>
      <c r="B657" t="s">
        <v>212</v>
      </c>
      <c r="C657" s="18">
        <v>2040</v>
      </c>
      <c r="D657" t="s">
        <v>188</v>
      </c>
      <c r="E657" s="9">
        <v>716770.78176474501</v>
      </c>
      <c r="F657" s="9">
        <v>431408.43763843301</v>
      </c>
      <c r="G657" s="9">
        <v>725057.85135654395</v>
      </c>
      <c r="H657" s="9">
        <v>435208.84098996199</v>
      </c>
      <c r="I657" s="21">
        <f t="shared" si="20"/>
        <v>3800.4033515289775</v>
      </c>
      <c r="J657" s="21">
        <f t="shared" si="21"/>
        <v>8287.069591798936</v>
      </c>
    </row>
    <row r="658" spans="1:10" hidden="1">
      <c r="A658" t="s">
        <v>210</v>
      </c>
      <c r="B658" t="s">
        <v>212</v>
      </c>
      <c r="C658" s="18">
        <v>2040</v>
      </c>
      <c r="D658" t="s">
        <v>191</v>
      </c>
      <c r="E658" s="9">
        <v>362497.04335860303</v>
      </c>
      <c r="F658" s="9">
        <v>192276.71658189001</v>
      </c>
      <c r="G658" s="9">
        <v>366714.04580788402</v>
      </c>
      <c r="H658" s="9">
        <v>193853.25074776399</v>
      </c>
      <c r="I658" s="21">
        <f t="shared" si="20"/>
        <v>1576.5341658739781</v>
      </c>
      <c r="J658" s="21">
        <f t="shared" si="21"/>
        <v>4217.0024492809898</v>
      </c>
    </row>
    <row r="659" spans="1:10" hidden="1">
      <c r="A659" t="s">
        <v>210</v>
      </c>
      <c r="B659" t="s">
        <v>212</v>
      </c>
      <c r="C659" s="18">
        <v>2040</v>
      </c>
      <c r="D659" t="s">
        <v>422</v>
      </c>
      <c r="E659" s="9">
        <v>36005.180666257504</v>
      </c>
      <c r="F659" s="9">
        <v>3069.2594472757901</v>
      </c>
      <c r="G659" s="9">
        <v>36005.028086341903</v>
      </c>
      <c r="H659" s="9">
        <v>3069.2518935015801</v>
      </c>
      <c r="I659" s="21">
        <f t="shared" si="20"/>
        <v>-7.5537742100095784E-3</v>
      </c>
      <c r="J659" s="21">
        <f t="shared" si="21"/>
        <v>-0.1525799156006542</v>
      </c>
    </row>
    <row r="660" spans="1:10" hidden="1">
      <c r="A660" t="s">
        <v>210</v>
      </c>
      <c r="B660" t="s">
        <v>212</v>
      </c>
      <c r="C660" s="18">
        <v>2041</v>
      </c>
      <c r="D660" t="s">
        <v>174</v>
      </c>
      <c r="E660" s="9">
        <v>20484.768865746701</v>
      </c>
      <c r="F660" s="9">
        <v>14261.776241044399</v>
      </c>
      <c r="G660" s="9">
        <v>20453.6267543422</v>
      </c>
      <c r="H660" s="9">
        <v>14249.536455216699</v>
      </c>
      <c r="I660" s="21">
        <f t="shared" si="20"/>
        <v>-12.239785827699961</v>
      </c>
      <c r="J660" s="21">
        <f t="shared" si="21"/>
        <v>-31.142111404500611</v>
      </c>
    </row>
    <row r="661" spans="1:10" hidden="1">
      <c r="A661" t="s">
        <v>210</v>
      </c>
      <c r="B661" t="s">
        <v>212</v>
      </c>
      <c r="C661" s="18">
        <v>2041</v>
      </c>
      <c r="D661" t="s">
        <v>236</v>
      </c>
      <c r="E661" s="9">
        <v>1227152.0446031599</v>
      </c>
      <c r="F661" s="9">
        <v>259723.16160922</v>
      </c>
      <c r="G661" s="9">
        <v>1226624.8107670301</v>
      </c>
      <c r="H661" s="9">
        <v>259677.195752453</v>
      </c>
      <c r="I661" s="21">
        <f t="shared" si="20"/>
        <v>-45.965856766997604</v>
      </c>
      <c r="J661" s="21">
        <f t="shared" si="21"/>
        <v>-527.23383612977341</v>
      </c>
    </row>
    <row r="662" spans="1:10" hidden="1">
      <c r="A662" t="s">
        <v>210</v>
      </c>
      <c r="B662" t="s">
        <v>212</v>
      </c>
      <c r="C662" s="18">
        <v>2041</v>
      </c>
      <c r="D662" t="s">
        <v>182</v>
      </c>
      <c r="E662" s="9">
        <v>130712.784876032</v>
      </c>
      <c r="F662" s="9">
        <v>84562.628371022205</v>
      </c>
      <c r="G662" s="9">
        <v>132229.629710176</v>
      </c>
      <c r="H662" s="9">
        <v>85532.319590607702</v>
      </c>
      <c r="I662" s="21">
        <f t="shared" si="20"/>
        <v>969.69121958549658</v>
      </c>
      <c r="J662" s="21">
        <f t="shared" si="21"/>
        <v>1516.8448341439944</v>
      </c>
    </row>
    <row r="663" spans="1:10" hidden="1">
      <c r="A663" t="s">
        <v>210</v>
      </c>
      <c r="B663" t="s">
        <v>212</v>
      </c>
      <c r="C663" s="18">
        <v>2041</v>
      </c>
      <c r="D663" t="s">
        <v>185</v>
      </c>
      <c r="E663" s="9">
        <v>269389.24692907301</v>
      </c>
      <c r="F663" s="9">
        <v>254544.56986195999</v>
      </c>
      <c r="G663" s="9">
        <v>272611.75367129099</v>
      </c>
      <c r="H663" s="9">
        <v>257389.63175428601</v>
      </c>
      <c r="I663" s="21">
        <f t="shared" si="20"/>
        <v>2845.061892326019</v>
      </c>
      <c r="J663" s="21">
        <f t="shared" si="21"/>
        <v>3222.5067422179854</v>
      </c>
    </row>
    <row r="664" spans="1:10" hidden="1">
      <c r="A664" t="s">
        <v>210</v>
      </c>
      <c r="B664" t="s">
        <v>212</v>
      </c>
      <c r="C664" s="18">
        <v>2041</v>
      </c>
      <c r="D664" t="s">
        <v>188</v>
      </c>
      <c r="E664" s="9">
        <v>726294.77623294701</v>
      </c>
      <c r="F664" s="9">
        <v>438346.28355423099</v>
      </c>
      <c r="G664" s="9">
        <v>734627.74007540499</v>
      </c>
      <c r="H664" s="9">
        <v>442324.30640679202</v>
      </c>
      <c r="I664" s="21">
        <f t="shared" si="20"/>
        <v>3978.0228525610291</v>
      </c>
      <c r="J664" s="21">
        <f t="shared" si="21"/>
        <v>8332.9638424579753</v>
      </c>
    </row>
    <row r="665" spans="1:10" hidden="1">
      <c r="A665" t="s">
        <v>210</v>
      </c>
      <c r="B665" t="s">
        <v>212</v>
      </c>
      <c r="C665" s="18">
        <v>2041</v>
      </c>
      <c r="D665" t="s">
        <v>191</v>
      </c>
      <c r="E665" s="9">
        <v>366207.71350811102</v>
      </c>
      <c r="F665" s="9">
        <v>194287.96097263301</v>
      </c>
      <c r="G665" s="9">
        <v>370436.97560679301</v>
      </c>
      <c r="H665" s="9">
        <v>195926.90720139601</v>
      </c>
      <c r="I665" s="21">
        <f t="shared" si="20"/>
        <v>1638.9462287630013</v>
      </c>
      <c r="J665" s="21">
        <f t="shared" si="21"/>
        <v>4229.2620986819966</v>
      </c>
    </row>
    <row r="666" spans="1:10" hidden="1">
      <c r="A666" t="s">
        <v>210</v>
      </c>
      <c r="B666" t="s">
        <v>212</v>
      </c>
      <c r="C666" s="18">
        <v>2041</v>
      </c>
      <c r="D666" t="s">
        <v>422</v>
      </c>
      <c r="E666" s="9">
        <v>35900.921776394498</v>
      </c>
      <c r="F666" s="9">
        <v>2944.0225561931902</v>
      </c>
      <c r="G666" s="9">
        <v>35900.765054072101</v>
      </c>
      <c r="H666" s="9">
        <v>2944.01552271229</v>
      </c>
      <c r="I666" s="21">
        <f t="shared" si="20"/>
        <v>-7.0334809001906251E-3</v>
      </c>
      <c r="J666" s="21">
        <f t="shared" si="21"/>
        <v>-0.15672232239739969</v>
      </c>
    </row>
    <row r="667" spans="1:10" hidden="1">
      <c r="A667" t="s">
        <v>210</v>
      </c>
      <c r="B667" t="s">
        <v>212</v>
      </c>
      <c r="C667" s="18">
        <v>2042</v>
      </c>
      <c r="D667" t="s">
        <v>174</v>
      </c>
      <c r="E667" s="9">
        <v>21150.523403713501</v>
      </c>
      <c r="F667" s="9">
        <v>14640.4846889952</v>
      </c>
      <c r="G667" s="9">
        <v>21115.581702688502</v>
      </c>
      <c r="H667" s="9">
        <v>14626.319006600401</v>
      </c>
      <c r="I667" s="21">
        <f t="shared" si="20"/>
        <v>-14.16568239479966</v>
      </c>
      <c r="J667" s="21">
        <f t="shared" si="21"/>
        <v>-34.941701024999929</v>
      </c>
    </row>
    <row r="668" spans="1:10" hidden="1">
      <c r="A668" t="s">
        <v>210</v>
      </c>
      <c r="B668" t="s">
        <v>212</v>
      </c>
      <c r="C668" s="18">
        <v>2042</v>
      </c>
      <c r="D668" t="s">
        <v>236</v>
      </c>
      <c r="E668" s="9">
        <v>1236283.7902609999</v>
      </c>
      <c r="F668" s="9">
        <v>267833.23088229098</v>
      </c>
      <c r="G668" s="9">
        <v>1235703.75022274</v>
      </c>
      <c r="H668" s="9">
        <v>267778.732534162</v>
      </c>
      <c r="I668" s="21">
        <f t="shared" si="20"/>
        <v>-54.498348128981888</v>
      </c>
      <c r="J668" s="21">
        <f t="shared" si="21"/>
        <v>-580.04003825993277</v>
      </c>
    </row>
    <row r="669" spans="1:10" hidden="1">
      <c r="A669" t="s">
        <v>210</v>
      </c>
      <c r="B669" t="s">
        <v>212</v>
      </c>
      <c r="C669" s="18">
        <v>2042</v>
      </c>
      <c r="D669" t="s">
        <v>182</v>
      </c>
      <c r="E669" s="9">
        <v>132821.83067391199</v>
      </c>
      <c r="F669" s="9">
        <v>85670.774178226799</v>
      </c>
      <c r="G669" s="9">
        <v>134351.62604870801</v>
      </c>
      <c r="H669" s="9">
        <v>86657.313221329707</v>
      </c>
      <c r="I669" s="21">
        <f t="shared" si="20"/>
        <v>986.53904310290818</v>
      </c>
      <c r="J669" s="21">
        <f t="shared" si="21"/>
        <v>1529.7953747960273</v>
      </c>
    </row>
    <row r="670" spans="1:10" hidden="1">
      <c r="A670" t="s">
        <v>210</v>
      </c>
      <c r="B670" t="s">
        <v>212</v>
      </c>
      <c r="C670" s="18">
        <v>2042</v>
      </c>
      <c r="D670" t="s">
        <v>185</v>
      </c>
      <c r="E670" s="9">
        <v>269079.77684720699</v>
      </c>
      <c r="F670" s="9">
        <v>254348.52559736001</v>
      </c>
      <c r="G670" s="9">
        <v>272280.658720601</v>
      </c>
      <c r="H670" s="9">
        <v>257198.34975601899</v>
      </c>
      <c r="I670" s="21">
        <f t="shared" si="20"/>
        <v>2849.824158658972</v>
      </c>
      <c r="J670" s="21">
        <f t="shared" si="21"/>
        <v>3200.8818733940134</v>
      </c>
    </row>
    <row r="671" spans="1:10" hidden="1">
      <c r="A671" t="s">
        <v>210</v>
      </c>
      <c r="B671" t="s">
        <v>212</v>
      </c>
      <c r="C671" s="18">
        <v>2042</v>
      </c>
      <c r="D671" t="s">
        <v>188</v>
      </c>
      <c r="E671" s="9">
        <v>735932.504441667</v>
      </c>
      <c r="F671" s="9">
        <v>445457.531968478</v>
      </c>
      <c r="G671" s="9">
        <v>744313.272667757</v>
      </c>
      <c r="H671" s="9">
        <v>449601.26122749498</v>
      </c>
      <c r="I671" s="21">
        <f t="shared" si="20"/>
        <v>4143.7292590169818</v>
      </c>
      <c r="J671" s="21">
        <f t="shared" si="21"/>
        <v>8380.7682260900037</v>
      </c>
    </row>
    <row r="672" spans="1:10" hidden="1">
      <c r="A672" t="s">
        <v>210</v>
      </c>
      <c r="B672" t="s">
        <v>212</v>
      </c>
      <c r="C672" s="18">
        <v>2042</v>
      </c>
      <c r="D672" t="s">
        <v>191</v>
      </c>
      <c r="E672" s="9">
        <v>370173.90817422001</v>
      </c>
      <c r="F672" s="9">
        <v>196384.92325047299</v>
      </c>
      <c r="G672" s="9">
        <v>374419.26204563602</v>
      </c>
      <c r="H672" s="9">
        <v>198082.81410371399</v>
      </c>
      <c r="I672" s="21">
        <f t="shared" si="20"/>
        <v>1697.8908532409987</v>
      </c>
      <c r="J672" s="21">
        <f t="shared" si="21"/>
        <v>4245.3538714160095</v>
      </c>
    </row>
    <row r="673" spans="1:10" hidden="1">
      <c r="A673" t="s">
        <v>210</v>
      </c>
      <c r="B673" t="s">
        <v>212</v>
      </c>
      <c r="C673" s="18">
        <v>2042</v>
      </c>
      <c r="D673" t="s">
        <v>422</v>
      </c>
      <c r="E673" s="9">
        <v>35516.999358249101</v>
      </c>
      <c r="F673" s="9">
        <v>2820.5187721514699</v>
      </c>
      <c r="G673" s="9">
        <v>35516.840593533198</v>
      </c>
      <c r="H673" s="9">
        <v>2820.5122126446799</v>
      </c>
      <c r="I673" s="21">
        <f t="shared" si="20"/>
        <v>-6.5595067899266724E-3</v>
      </c>
      <c r="J673" s="21">
        <f t="shared" si="21"/>
        <v>-0.15876471590308938</v>
      </c>
    </row>
    <row r="674" spans="1:10" hidden="1">
      <c r="A674" t="s">
        <v>210</v>
      </c>
      <c r="B674" t="s">
        <v>212</v>
      </c>
      <c r="C674" s="18">
        <v>2043</v>
      </c>
      <c r="D674" t="s">
        <v>174</v>
      </c>
      <c r="E674" s="9">
        <v>21828.0452854094</v>
      </c>
      <c r="F674" s="9">
        <v>15020.299375151</v>
      </c>
      <c r="G674" s="9">
        <v>21789.125656033499</v>
      </c>
      <c r="H674" s="9">
        <v>15004.086115812899</v>
      </c>
      <c r="I674" s="21">
        <f t="shared" si="20"/>
        <v>-16.213259338101125</v>
      </c>
      <c r="J674" s="21">
        <f t="shared" si="21"/>
        <v>-38.919629375901422</v>
      </c>
    </row>
    <row r="675" spans="1:10" hidden="1">
      <c r="A675" t="s">
        <v>210</v>
      </c>
      <c r="B675" t="s">
        <v>212</v>
      </c>
      <c r="C675" s="18">
        <v>2043</v>
      </c>
      <c r="D675" t="s">
        <v>236</v>
      </c>
      <c r="E675" s="9">
        <v>1244879.2388051399</v>
      </c>
      <c r="F675" s="9">
        <v>275940.73205976601</v>
      </c>
      <c r="G675" s="9">
        <v>1244246.5115360599</v>
      </c>
      <c r="H675" s="9">
        <v>275876.99548631802</v>
      </c>
      <c r="I675" s="21">
        <f t="shared" si="20"/>
        <v>-63.736573447997216</v>
      </c>
      <c r="J675" s="21">
        <f t="shared" si="21"/>
        <v>-632.72726908000186</v>
      </c>
    </row>
    <row r="676" spans="1:10" hidden="1">
      <c r="A676" t="s">
        <v>210</v>
      </c>
      <c r="B676" t="s">
        <v>212</v>
      </c>
      <c r="C676" s="18">
        <v>2043</v>
      </c>
      <c r="D676" t="s">
        <v>182</v>
      </c>
      <c r="E676" s="9">
        <v>135057.711937049</v>
      </c>
      <c r="F676" s="9">
        <v>86777.769166204002</v>
      </c>
      <c r="G676" s="9">
        <v>136601.974960575</v>
      </c>
      <c r="H676" s="9">
        <v>87779.034425801001</v>
      </c>
      <c r="I676" s="21">
        <f t="shared" si="20"/>
        <v>1001.2652595969994</v>
      </c>
      <c r="J676" s="21">
        <f t="shared" si="21"/>
        <v>1544.2630235260003</v>
      </c>
    </row>
    <row r="677" spans="1:10" hidden="1">
      <c r="A677" t="s">
        <v>210</v>
      </c>
      <c r="B677" t="s">
        <v>212</v>
      </c>
      <c r="C677" s="18">
        <v>2043</v>
      </c>
      <c r="D677" t="s">
        <v>185</v>
      </c>
      <c r="E677" s="9">
        <v>268513.081435389</v>
      </c>
      <c r="F677" s="9">
        <v>253928.24443600699</v>
      </c>
      <c r="G677" s="9">
        <v>271689.79422675102</v>
      </c>
      <c r="H677" s="9">
        <v>256777.58715706799</v>
      </c>
      <c r="I677" s="21">
        <f t="shared" si="20"/>
        <v>2849.3427210609952</v>
      </c>
      <c r="J677" s="21">
        <f t="shared" si="21"/>
        <v>3176.7127913620207</v>
      </c>
    </row>
    <row r="678" spans="1:10" hidden="1">
      <c r="A678" t="s">
        <v>210</v>
      </c>
      <c r="B678" t="s">
        <v>212</v>
      </c>
      <c r="C678" s="18">
        <v>2043</v>
      </c>
      <c r="D678" t="s">
        <v>188</v>
      </c>
      <c r="E678" s="9">
        <v>745937.578198998</v>
      </c>
      <c r="F678" s="9">
        <v>452618.67683668301</v>
      </c>
      <c r="G678" s="9">
        <v>754370.89241350198</v>
      </c>
      <c r="H678" s="9">
        <v>456915.72204617201</v>
      </c>
      <c r="I678" s="21">
        <f t="shared" si="20"/>
        <v>4297.0452094890061</v>
      </c>
      <c r="J678" s="21">
        <f t="shared" si="21"/>
        <v>8433.3142145039747</v>
      </c>
    </row>
    <row r="679" spans="1:10" hidden="1">
      <c r="A679" t="s">
        <v>210</v>
      </c>
      <c r="B679" t="s">
        <v>212</v>
      </c>
      <c r="C679" s="18">
        <v>2043</v>
      </c>
      <c r="D679" t="s">
        <v>191</v>
      </c>
      <c r="E679" s="9">
        <v>374499.947648815</v>
      </c>
      <c r="F679" s="9">
        <v>198450.98320618199</v>
      </c>
      <c r="G679" s="9">
        <v>378766.53451535699</v>
      </c>
      <c r="H679" s="9">
        <v>200204.274251736</v>
      </c>
      <c r="I679" s="21">
        <f t="shared" si="20"/>
        <v>1753.2910455540114</v>
      </c>
      <c r="J679" s="21">
        <f t="shared" si="21"/>
        <v>4266.5868665419985</v>
      </c>
    </row>
    <row r="680" spans="1:10" hidden="1">
      <c r="A680" t="s">
        <v>210</v>
      </c>
      <c r="B680" t="s">
        <v>212</v>
      </c>
      <c r="C680" s="18">
        <v>2043</v>
      </c>
      <c r="D680" t="s">
        <v>422</v>
      </c>
      <c r="E680" s="9">
        <v>35328.931499960301</v>
      </c>
      <c r="F680" s="9">
        <v>2698.3370410253101</v>
      </c>
      <c r="G680" s="9">
        <v>35328.773203308199</v>
      </c>
      <c r="H680" s="9">
        <v>2698.3309296050402</v>
      </c>
      <c r="I680" s="21">
        <f t="shared" si="20"/>
        <v>-6.1114202699172893E-3</v>
      </c>
      <c r="J680" s="21">
        <f t="shared" si="21"/>
        <v>-0.1582966521018534</v>
      </c>
    </row>
    <row r="681" spans="1:10" hidden="1">
      <c r="A681" t="s">
        <v>210</v>
      </c>
      <c r="B681" t="s">
        <v>212</v>
      </c>
      <c r="C681" s="18">
        <v>2044</v>
      </c>
      <c r="D681" t="s">
        <v>174</v>
      </c>
      <c r="E681" s="9">
        <v>22515.475319995199</v>
      </c>
      <c r="F681" s="9">
        <v>15407.0184871658</v>
      </c>
      <c r="G681" s="9">
        <v>22472.405778779801</v>
      </c>
      <c r="H681" s="9">
        <v>15388.638261887199</v>
      </c>
      <c r="I681" s="21">
        <f t="shared" si="20"/>
        <v>-18.380225278600847</v>
      </c>
      <c r="J681" s="21">
        <f t="shared" si="21"/>
        <v>-43.069541215398203</v>
      </c>
    </row>
    <row r="682" spans="1:10" hidden="1">
      <c r="A682" t="s">
        <v>210</v>
      </c>
      <c r="B682" t="s">
        <v>212</v>
      </c>
      <c r="C682" s="18">
        <v>2044</v>
      </c>
      <c r="D682" t="s">
        <v>236</v>
      </c>
      <c r="E682" s="9">
        <v>1253204.91850185</v>
      </c>
      <c r="F682" s="9">
        <v>283975.724413983</v>
      </c>
      <c r="G682" s="9">
        <v>1252519.7576166999</v>
      </c>
      <c r="H682" s="9">
        <v>283902.05041687097</v>
      </c>
      <c r="I682" s="21">
        <f t="shared" si="20"/>
        <v>-73.673997112025972</v>
      </c>
      <c r="J682" s="21">
        <f t="shared" si="21"/>
        <v>-685.16088515007868</v>
      </c>
    </row>
    <row r="683" spans="1:10" hidden="1">
      <c r="A683" t="s">
        <v>210</v>
      </c>
      <c r="B683" t="s">
        <v>212</v>
      </c>
      <c r="C683" s="18">
        <v>2044</v>
      </c>
      <c r="D683" t="s">
        <v>182</v>
      </c>
      <c r="E683" s="9">
        <v>136577.30194070499</v>
      </c>
      <c r="F683" s="9">
        <v>87898.160447496106</v>
      </c>
      <c r="G683" s="9">
        <v>138127.80749224901</v>
      </c>
      <c r="H683" s="9">
        <v>88912.446286897801</v>
      </c>
      <c r="I683" s="21">
        <f t="shared" si="20"/>
        <v>1014.2858394016948</v>
      </c>
      <c r="J683" s="21">
        <f t="shared" si="21"/>
        <v>1550.5055515440181</v>
      </c>
    </row>
    <row r="684" spans="1:10" hidden="1">
      <c r="A684" t="s">
        <v>210</v>
      </c>
      <c r="B684" t="s">
        <v>212</v>
      </c>
      <c r="C684" s="18">
        <v>2044</v>
      </c>
      <c r="D684" t="s">
        <v>185</v>
      </c>
      <c r="E684" s="9">
        <v>267829.33152705902</v>
      </c>
      <c r="F684" s="9">
        <v>253589.67464290399</v>
      </c>
      <c r="G684" s="9">
        <v>270981.060601887</v>
      </c>
      <c r="H684" s="9">
        <v>256436.399818879</v>
      </c>
      <c r="I684" s="21">
        <f t="shared" si="20"/>
        <v>2846.725175975007</v>
      </c>
      <c r="J684" s="21">
        <f t="shared" si="21"/>
        <v>3151.7290748279775</v>
      </c>
    </row>
    <row r="685" spans="1:10" hidden="1">
      <c r="A685" t="s">
        <v>210</v>
      </c>
      <c r="B685" t="s">
        <v>212</v>
      </c>
      <c r="C685" s="18">
        <v>2044</v>
      </c>
      <c r="D685" t="s">
        <v>188</v>
      </c>
      <c r="E685" s="9">
        <v>752307.42267192295</v>
      </c>
      <c r="F685" s="9">
        <v>459796.92033917201</v>
      </c>
      <c r="G685" s="9">
        <v>760751.52916181902</v>
      </c>
      <c r="H685" s="9">
        <v>464236.62382849702</v>
      </c>
      <c r="I685" s="21">
        <f t="shared" si="20"/>
        <v>4439.7034893250093</v>
      </c>
      <c r="J685" s="21">
        <f t="shared" si="21"/>
        <v>8444.1064898960758</v>
      </c>
    </row>
    <row r="686" spans="1:10" hidden="1">
      <c r="A686" t="s">
        <v>210</v>
      </c>
      <c r="B686" t="s">
        <v>212</v>
      </c>
      <c r="C686" s="18">
        <v>2044</v>
      </c>
      <c r="D686" t="s">
        <v>191</v>
      </c>
      <c r="E686" s="9">
        <v>376494.26871789002</v>
      </c>
      <c r="F686" s="9">
        <v>200957.32422987599</v>
      </c>
      <c r="G686" s="9">
        <v>380754.51437457599</v>
      </c>
      <c r="H686" s="9">
        <v>202762.43540540201</v>
      </c>
      <c r="I686" s="21">
        <f t="shared" si="20"/>
        <v>1805.1111755260208</v>
      </c>
      <c r="J686" s="21">
        <f t="shared" si="21"/>
        <v>4260.2456566859619</v>
      </c>
    </row>
    <row r="687" spans="1:10" hidden="1">
      <c r="A687" t="s">
        <v>210</v>
      </c>
      <c r="B687" t="s">
        <v>212</v>
      </c>
      <c r="C687" s="18">
        <v>2044</v>
      </c>
      <c r="D687" t="s">
        <v>422</v>
      </c>
      <c r="E687" s="9">
        <v>35046.848679539798</v>
      </c>
      <c r="F687" s="9">
        <v>2573.7978420436302</v>
      </c>
      <c r="G687" s="9">
        <v>35046.705207959298</v>
      </c>
      <c r="H687" s="9">
        <v>2573.7926243052102</v>
      </c>
      <c r="I687" s="21">
        <f t="shared" si="20"/>
        <v>-5.217738420014939E-3</v>
      </c>
      <c r="J687" s="21">
        <f t="shared" si="21"/>
        <v>-0.14347158050077269</v>
      </c>
    </row>
    <row r="688" spans="1:10" hidden="1">
      <c r="A688" t="s">
        <v>210</v>
      </c>
      <c r="B688" t="s">
        <v>212</v>
      </c>
      <c r="C688" s="18">
        <v>2045</v>
      </c>
      <c r="D688" t="s">
        <v>174</v>
      </c>
      <c r="E688" s="9">
        <v>23214.338197472101</v>
      </c>
      <c r="F688" s="9">
        <v>15792.357786579199</v>
      </c>
      <c r="G688" s="9">
        <v>23166.945688051499</v>
      </c>
      <c r="H688" s="9">
        <v>15771.7189092791</v>
      </c>
      <c r="I688" s="21">
        <f t="shared" si="20"/>
        <v>-20.638877300099921</v>
      </c>
      <c r="J688" s="21">
        <f t="shared" si="21"/>
        <v>-47.392509420602437</v>
      </c>
    </row>
    <row r="689" spans="1:10" hidden="1">
      <c r="A689" t="s">
        <v>210</v>
      </c>
      <c r="B689" t="s">
        <v>212</v>
      </c>
      <c r="C689" s="18">
        <v>2045</v>
      </c>
      <c r="D689" t="s">
        <v>236</v>
      </c>
      <c r="E689" s="9">
        <v>1261330.1467564199</v>
      </c>
      <c r="F689" s="9">
        <v>291906.28283099702</v>
      </c>
      <c r="G689" s="9">
        <v>1260592.98702146</v>
      </c>
      <c r="H689" s="9">
        <v>291822.02754025703</v>
      </c>
      <c r="I689" s="21">
        <f t="shared" si="20"/>
        <v>-84.255290739994962</v>
      </c>
      <c r="J689" s="21">
        <f t="shared" si="21"/>
        <v>-737.15973495994695</v>
      </c>
    </row>
    <row r="690" spans="1:10" hidden="1">
      <c r="A690" t="s">
        <v>210</v>
      </c>
      <c r="B690" t="s">
        <v>212</v>
      </c>
      <c r="C690" s="18">
        <v>2045</v>
      </c>
      <c r="D690" t="s">
        <v>182</v>
      </c>
      <c r="E690" s="9">
        <v>138610.16375562601</v>
      </c>
      <c r="F690" s="9">
        <v>89015.368871276107</v>
      </c>
      <c r="G690" s="9">
        <v>140172.77481552499</v>
      </c>
      <c r="H690" s="9">
        <v>90041.604590588802</v>
      </c>
      <c r="I690" s="21">
        <f t="shared" si="20"/>
        <v>1026.2357193126954</v>
      </c>
      <c r="J690" s="21">
        <f t="shared" si="21"/>
        <v>1562.6110598989762</v>
      </c>
    </row>
    <row r="691" spans="1:10" hidden="1">
      <c r="A691" t="s">
        <v>210</v>
      </c>
      <c r="B691" t="s">
        <v>212</v>
      </c>
      <c r="C691" s="18">
        <v>2045</v>
      </c>
      <c r="D691" t="s">
        <v>185</v>
      </c>
      <c r="E691" s="9">
        <v>267309.138100137</v>
      </c>
      <c r="F691" s="9">
        <v>253134.83481500499</v>
      </c>
      <c r="G691" s="9">
        <v>270438.60315228201</v>
      </c>
      <c r="H691" s="9">
        <v>255976.90811330499</v>
      </c>
      <c r="I691" s="21">
        <f t="shared" si="20"/>
        <v>2842.0732983000053</v>
      </c>
      <c r="J691" s="21">
        <f t="shared" si="21"/>
        <v>3129.4650521450094</v>
      </c>
    </row>
    <row r="692" spans="1:10" hidden="1">
      <c r="A692" t="s">
        <v>210</v>
      </c>
      <c r="B692" t="s">
        <v>212</v>
      </c>
      <c r="C692" s="18">
        <v>2045</v>
      </c>
      <c r="D692" t="s">
        <v>188</v>
      </c>
      <c r="E692" s="9">
        <v>760833.11376854102</v>
      </c>
      <c r="F692" s="9">
        <v>466347.06203291798</v>
      </c>
      <c r="G692" s="9">
        <v>769313.803212411</v>
      </c>
      <c r="H692" s="9">
        <v>470920.29436777002</v>
      </c>
      <c r="I692" s="21">
        <f t="shared" si="20"/>
        <v>4573.232334852044</v>
      </c>
      <c r="J692" s="21">
        <f t="shared" si="21"/>
        <v>8480.6894438699819</v>
      </c>
    </row>
    <row r="693" spans="1:10" hidden="1">
      <c r="A693" t="s">
        <v>210</v>
      </c>
      <c r="B693" t="s">
        <v>212</v>
      </c>
      <c r="C693" s="18">
        <v>2045</v>
      </c>
      <c r="D693" t="s">
        <v>191</v>
      </c>
      <c r="E693" s="9">
        <v>379667.44006327598</v>
      </c>
      <c r="F693" s="9">
        <v>203015.030111823</v>
      </c>
      <c r="G693" s="9">
        <v>383936.19252461498</v>
      </c>
      <c r="H693" s="9">
        <v>204869.32889798901</v>
      </c>
      <c r="I693" s="21">
        <f t="shared" si="20"/>
        <v>1854.2987861660076</v>
      </c>
      <c r="J693" s="21">
        <f t="shared" si="21"/>
        <v>4268.7524613389978</v>
      </c>
    </row>
    <row r="694" spans="1:10" hidden="1">
      <c r="A694" t="s">
        <v>210</v>
      </c>
      <c r="B694" t="s">
        <v>212</v>
      </c>
      <c r="C694" s="18">
        <v>2045</v>
      </c>
      <c r="D694" t="s">
        <v>422</v>
      </c>
      <c r="E694" s="9">
        <v>34846.863821267601</v>
      </c>
      <c r="F694" s="9">
        <v>2452.7511556680001</v>
      </c>
      <c r="G694" s="9">
        <v>34846.715156222701</v>
      </c>
      <c r="H694" s="9">
        <v>2452.74707379338</v>
      </c>
      <c r="I694" s="21">
        <f t="shared" si="20"/>
        <v>-4.0818746201694012E-3</v>
      </c>
      <c r="J694" s="21">
        <f t="shared" si="21"/>
        <v>-0.14866504490055377</v>
      </c>
    </row>
    <row r="695" spans="1:10" hidden="1">
      <c r="A695" t="s">
        <v>210</v>
      </c>
      <c r="B695" t="s">
        <v>212</v>
      </c>
      <c r="C695" s="18">
        <v>2046</v>
      </c>
      <c r="D695" t="s">
        <v>174</v>
      </c>
      <c r="E695" s="9">
        <v>23920.088788677</v>
      </c>
      <c r="F695" s="9">
        <v>16188.3107445025</v>
      </c>
      <c r="G695" s="9">
        <v>23868.217944038799</v>
      </c>
      <c r="H695" s="9">
        <v>16165.2905403234</v>
      </c>
      <c r="I695" s="21">
        <f t="shared" si="20"/>
        <v>-23.020204179099892</v>
      </c>
      <c r="J695" s="21">
        <f t="shared" si="21"/>
        <v>-51.870844638200651</v>
      </c>
    </row>
    <row r="696" spans="1:10" hidden="1">
      <c r="A696" t="s">
        <v>210</v>
      </c>
      <c r="B696" t="s">
        <v>212</v>
      </c>
      <c r="C696" s="18">
        <v>2046</v>
      </c>
      <c r="D696" t="s">
        <v>236</v>
      </c>
      <c r="E696" s="9">
        <v>1269264.4918921301</v>
      </c>
      <c r="F696" s="9">
        <v>299692.41983089899</v>
      </c>
      <c r="G696" s="9">
        <v>1268475.9563321201</v>
      </c>
      <c r="H696" s="9">
        <v>299596.92866613797</v>
      </c>
      <c r="I696" s="21">
        <f t="shared" si="20"/>
        <v>-95.491164761013351</v>
      </c>
      <c r="J696" s="21">
        <f t="shared" si="21"/>
        <v>-788.53556001000106</v>
      </c>
    </row>
    <row r="697" spans="1:10" hidden="1">
      <c r="A697" t="s">
        <v>210</v>
      </c>
      <c r="B697" t="s">
        <v>212</v>
      </c>
      <c r="C697" s="18">
        <v>2046</v>
      </c>
      <c r="D697" t="s">
        <v>182</v>
      </c>
      <c r="E697" s="9">
        <v>140619.49210043199</v>
      </c>
      <c r="F697" s="9">
        <v>90161.736237590594</v>
      </c>
      <c r="G697" s="9">
        <v>142194.05365060701</v>
      </c>
      <c r="H697" s="9">
        <v>91198.890942598402</v>
      </c>
      <c r="I697" s="21">
        <f t="shared" si="20"/>
        <v>1037.1547050078079</v>
      </c>
      <c r="J697" s="21">
        <f t="shared" si="21"/>
        <v>1574.5615501750144</v>
      </c>
    </row>
    <row r="698" spans="1:10" hidden="1">
      <c r="A698" t="s">
        <v>210</v>
      </c>
      <c r="B698" t="s">
        <v>212</v>
      </c>
      <c r="C698" s="18">
        <v>2046</v>
      </c>
      <c r="D698" t="s">
        <v>185</v>
      </c>
      <c r="E698" s="9">
        <v>266814.91701421898</v>
      </c>
      <c r="F698" s="9">
        <v>252596.06068907501</v>
      </c>
      <c r="G698" s="9">
        <v>269923.25168294698</v>
      </c>
      <c r="H698" s="9">
        <v>255431.16141281699</v>
      </c>
      <c r="I698" s="21">
        <f t="shared" si="20"/>
        <v>2835.1007237419835</v>
      </c>
      <c r="J698" s="21">
        <f t="shared" si="21"/>
        <v>3108.3346687279991</v>
      </c>
    </row>
    <row r="699" spans="1:10" hidden="1">
      <c r="A699" t="s">
        <v>210</v>
      </c>
      <c r="B699" t="s">
        <v>212</v>
      </c>
      <c r="C699" s="18">
        <v>2046</v>
      </c>
      <c r="D699" t="s">
        <v>188</v>
      </c>
      <c r="E699" s="9">
        <v>769573.263611553</v>
      </c>
      <c r="F699" s="9">
        <v>473130.91796196398</v>
      </c>
      <c r="G699" s="9">
        <v>778095.84267256199</v>
      </c>
      <c r="H699" s="9">
        <v>477828.93173194502</v>
      </c>
      <c r="I699" s="21">
        <f t="shared" si="20"/>
        <v>4698.0137699810439</v>
      </c>
      <c r="J699" s="21">
        <f t="shared" si="21"/>
        <v>8522.5790610089898</v>
      </c>
    </row>
    <row r="700" spans="1:10" hidden="1">
      <c r="A700" t="s">
        <v>210</v>
      </c>
      <c r="B700" t="s">
        <v>212</v>
      </c>
      <c r="C700" s="18">
        <v>2046</v>
      </c>
      <c r="D700" t="s">
        <v>191</v>
      </c>
      <c r="E700" s="9">
        <v>382872.00060943299</v>
      </c>
      <c r="F700" s="9">
        <v>205148.365696906</v>
      </c>
      <c r="G700" s="9">
        <v>387151.42704479198</v>
      </c>
      <c r="H700" s="9">
        <v>207048.94525460299</v>
      </c>
      <c r="I700" s="21">
        <f t="shared" si="20"/>
        <v>1900.5795576969977</v>
      </c>
      <c r="J700" s="21">
        <f t="shared" si="21"/>
        <v>4279.426435358997</v>
      </c>
    </row>
    <row r="701" spans="1:10" hidden="1">
      <c r="A701" t="s">
        <v>210</v>
      </c>
      <c r="B701" t="s">
        <v>212</v>
      </c>
      <c r="C701" s="18">
        <v>2046</v>
      </c>
      <c r="D701" t="s">
        <v>422</v>
      </c>
      <c r="E701" s="9">
        <v>34688.446692769197</v>
      </c>
      <c r="F701" s="9">
        <v>2335.6760391478902</v>
      </c>
      <c r="G701" s="9">
        <v>34688.296767041</v>
      </c>
      <c r="H701" s="9">
        <v>2335.6726092736399</v>
      </c>
      <c r="I701" s="21">
        <f t="shared" si="20"/>
        <v>-3.4298742502869572E-3</v>
      </c>
      <c r="J701" s="21">
        <f t="shared" si="21"/>
        <v>-0.14992572819755878</v>
      </c>
    </row>
    <row r="702" spans="1:10" hidden="1">
      <c r="A702" t="s">
        <v>210</v>
      </c>
      <c r="B702" t="s">
        <v>212</v>
      </c>
      <c r="C702" s="18">
        <v>2047</v>
      </c>
      <c r="D702" t="s">
        <v>174</v>
      </c>
      <c r="E702" s="9">
        <v>24632.183232053299</v>
      </c>
      <c r="F702" s="9">
        <v>16594.1039031984</v>
      </c>
      <c r="G702" s="9">
        <v>24575.685129363199</v>
      </c>
      <c r="H702" s="9">
        <v>16568.574829924401</v>
      </c>
      <c r="I702" s="21">
        <f t="shared" si="20"/>
        <v>-25.529073273999529</v>
      </c>
      <c r="J702" s="21">
        <f t="shared" si="21"/>
        <v>-56.498102690100495</v>
      </c>
    </row>
    <row r="703" spans="1:10" hidden="1">
      <c r="A703" t="s">
        <v>210</v>
      </c>
      <c r="B703" t="s">
        <v>212</v>
      </c>
      <c r="C703" s="18">
        <v>2047</v>
      </c>
      <c r="D703" t="s">
        <v>236</v>
      </c>
      <c r="E703" s="9">
        <v>1276912.61500335</v>
      </c>
      <c r="F703" s="9">
        <v>307283.36402317102</v>
      </c>
      <c r="G703" s="9">
        <v>1276073.4846977801</v>
      </c>
      <c r="H703" s="9">
        <v>307176.00873862102</v>
      </c>
      <c r="I703" s="21">
        <f t="shared" si="20"/>
        <v>-107.35528454999439</v>
      </c>
      <c r="J703" s="21">
        <f t="shared" si="21"/>
        <v>-839.13030556985177</v>
      </c>
    </row>
    <row r="704" spans="1:10" hidden="1">
      <c r="A704" t="s">
        <v>210</v>
      </c>
      <c r="B704" t="s">
        <v>212</v>
      </c>
      <c r="C704" s="18">
        <v>2047</v>
      </c>
      <c r="D704" t="s">
        <v>182</v>
      </c>
      <c r="E704" s="9">
        <v>142658.95658051601</v>
      </c>
      <c r="F704" s="9">
        <v>91286.884591127106</v>
      </c>
      <c r="G704" s="9">
        <v>144246.070856709</v>
      </c>
      <c r="H704" s="9">
        <v>92333.888291156894</v>
      </c>
      <c r="I704" s="21">
        <f t="shared" si="20"/>
        <v>1047.0037000297889</v>
      </c>
      <c r="J704" s="21">
        <f t="shared" si="21"/>
        <v>1587.114276192995</v>
      </c>
    </row>
    <row r="705" spans="1:10" hidden="1">
      <c r="A705" t="s">
        <v>210</v>
      </c>
      <c r="B705" t="s">
        <v>212</v>
      </c>
      <c r="C705" s="18">
        <v>2047</v>
      </c>
      <c r="D705" t="s">
        <v>185</v>
      </c>
      <c r="E705" s="9">
        <v>266060.88308878598</v>
      </c>
      <c r="F705" s="9">
        <v>251935.01024198299</v>
      </c>
      <c r="G705" s="9">
        <v>269145.73066835199</v>
      </c>
      <c r="H705" s="9">
        <v>254760.803670819</v>
      </c>
      <c r="I705" s="21">
        <f t="shared" si="20"/>
        <v>2825.793428836012</v>
      </c>
      <c r="J705" s="21">
        <f t="shared" si="21"/>
        <v>3084.8475795660052</v>
      </c>
    </row>
    <row r="706" spans="1:10" hidden="1">
      <c r="A706" t="s">
        <v>210</v>
      </c>
      <c r="B706" t="s">
        <v>212</v>
      </c>
      <c r="C706" s="18">
        <v>2047</v>
      </c>
      <c r="D706" t="s">
        <v>188</v>
      </c>
      <c r="E706" s="9">
        <v>778302.23272183095</v>
      </c>
      <c r="F706" s="9">
        <v>479853.53155375901</v>
      </c>
      <c r="G706" s="9">
        <v>786867.36601765698</v>
      </c>
      <c r="H706" s="9">
        <v>484667.16956347</v>
      </c>
      <c r="I706" s="21">
        <f t="shared" ref="I706:I769" si="22">H706-F706</f>
        <v>4813.6380097109941</v>
      </c>
      <c r="J706" s="21">
        <f t="shared" ref="J706:J769" si="23">G706-E706</f>
        <v>8565.1332958260318</v>
      </c>
    </row>
    <row r="707" spans="1:10" hidden="1">
      <c r="A707" t="s">
        <v>210</v>
      </c>
      <c r="B707" t="s">
        <v>212</v>
      </c>
      <c r="C707" s="18">
        <v>2047</v>
      </c>
      <c r="D707" t="s">
        <v>191</v>
      </c>
      <c r="E707" s="9">
        <v>386303.80779665901</v>
      </c>
      <c r="F707" s="9">
        <v>207217.07919642399</v>
      </c>
      <c r="G707" s="9">
        <v>390597.57749152998</v>
      </c>
      <c r="H707" s="9">
        <v>209160.85891574901</v>
      </c>
      <c r="I707" s="21">
        <f t="shared" si="22"/>
        <v>1943.7797193250153</v>
      </c>
      <c r="J707" s="21">
        <f t="shared" si="23"/>
        <v>4293.7696948709781</v>
      </c>
    </row>
    <row r="708" spans="1:10" hidden="1">
      <c r="A708" t="s">
        <v>210</v>
      </c>
      <c r="B708" t="s">
        <v>212</v>
      </c>
      <c r="C708" s="18">
        <v>2047</v>
      </c>
      <c r="D708" t="s">
        <v>422</v>
      </c>
      <c r="E708" s="9">
        <v>34402.6036093566</v>
      </c>
      <c r="F708" s="9">
        <v>2222.25481703367</v>
      </c>
      <c r="G708" s="9">
        <v>34402.454286141998</v>
      </c>
      <c r="H708" s="9">
        <v>2222.2517838233198</v>
      </c>
      <c r="I708" s="21">
        <f t="shared" si="22"/>
        <v>-3.0332103501677921E-3</v>
      </c>
      <c r="J708" s="21">
        <f t="shared" si="23"/>
        <v>-0.149323214602191</v>
      </c>
    </row>
    <row r="709" spans="1:10" hidden="1">
      <c r="A709" t="s">
        <v>210</v>
      </c>
      <c r="B709" t="s">
        <v>212</v>
      </c>
      <c r="C709" s="18">
        <v>2048</v>
      </c>
      <c r="D709" t="s">
        <v>174</v>
      </c>
      <c r="E709" s="9">
        <v>25344.119472727001</v>
      </c>
      <c r="F709" s="9">
        <v>17011.1108847537</v>
      </c>
      <c r="G709" s="9">
        <v>25282.866550534</v>
      </c>
      <c r="H709" s="9">
        <v>16982.967131377602</v>
      </c>
      <c r="I709" s="21">
        <f t="shared" si="22"/>
        <v>-28.143753376098175</v>
      </c>
      <c r="J709" s="21">
        <f t="shared" si="23"/>
        <v>-61.252922193001723</v>
      </c>
    </row>
    <row r="710" spans="1:10" hidden="1">
      <c r="A710" t="s">
        <v>210</v>
      </c>
      <c r="B710" t="s">
        <v>212</v>
      </c>
      <c r="C710" s="18">
        <v>2048</v>
      </c>
      <c r="D710" t="s">
        <v>236</v>
      </c>
      <c r="E710" s="9">
        <v>1284356.5521786499</v>
      </c>
      <c r="F710" s="9">
        <v>314669.61059719801</v>
      </c>
      <c r="G710" s="9">
        <v>1283467.7529534199</v>
      </c>
      <c r="H710" s="9">
        <v>314549.83162807999</v>
      </c>
      <c r="I710" s="21">
        <f t="shared" si="22"/>
        <v>-119.77896911802236</v>
      </c>
      <c r="J710" s="21">
        <f t="shared" si="23"/>
        <v>-888.79922523000278</v>
      </c>
    </row>
    <row r="711" spans="1:10" hidden="1">
      <c r="A711" t="s">
        <v>210</v>
      </c>
      <c r="B711" t="s">
        <v>212</v>
      </c>
      <c r="C711" s="18">
        <v>2048</v>
      </c>
      <c r="D711" t="s">
        <v>182</v>
      </c>
      <c r="E711" s="9">
        <v>144812.69737811299</v>
      </c>
      <c r="F711" s="9">
        <v>92371.799302293701</v>
      </c>
      <c r="G711" s="9">
        <v>146413.85314917401</v>
      </c>
      <c r="H711" s="9">
        <v>93427.507277048993</v>
      </c>
      <c r="I711" s="21">
        <f t="shared" si="22"/>
        <v>1055.7079747552925</v>
      </c>
      <c r="J711" s="21">
        <f t="shared" si="23"/>
        <v>1601.1557710610214</v>
      </c>
    </row>
    <row r="712" spans="1:10" hidden="1">
      <c r="A712" t="s">
        <v>210</v>
      </c>
      <c r="B712" t="s">
        <v>212</v>
      </c>
      <c r="C712" s="18">
        <v>2048</v>
      </c>
      <c r="D712" t="s">
        <v>185</v>
      </c>
      <c r="E712" s="9">
        <v>265026.72992436902</v>
      </c>
      <c r="F712" s="9">
        <v>251058.725765084</v>
      </c>
      <c r="G712" s="9">
        <v>268085.44794583402</v>
      </c>
      <c r="H712" s="9">
        <v>253872.04741882399</v>
      </c>
      <c r="I712" s="21">
        <f t="shared" si="22"/>
        <v>2813.3216537399858</v>
      </c>
      <c r="J712" s="21">
        <f t="shared" si="23"/>
        <v>3058.7180214649998</v>
      </c>
    </row>
    <row r="713" spans="1:10" hidden="1">
      <c r="A713" t="s">
        <v>210</v>
      </c>
      <c r="B713" t="s">
        <v>212</v>
      </c>
      <c r="C713" s="18">
        <v>2048</v>
      </c>
      <c r="D713" t="s">
        <v>188</v>
      </c>
      <c r="E713" s="9">
        <v>787186.77055196394</v>
      </c>
      <c r="F713" s="9">
        <v>486388.45954695798</v>
      </c>
      <c r="G713" s="9">
        <v>795796.81940173404</v>
      </c>
      <c r="H713" s="9">
        <v>491307.70932856598</v>
      </c>
      <c r="I713" s="21">
        <f t="shared" si="22"/>
        <v>4919.2497816079995</v>
      </c>
      <c r="J713" s="21">
        <f t="shared" si="23"/>
        <v>8610.0488497701008</v>
      </c>
    </row>
    <row r="714" spans="1:10" hidden="1">
      <c r="A714" t="s">
        <v>210</v>
      </c>
      <c r="B714" t="s">
        <v>212</v>
      </c>
      <c r="C714" s="18">
        <v>2048</v>
      </c>
      <c r="D714" t="s">
        <v>191</v>
      </c>
      <c r="E714" s="9">
        <v>389994.26622885501</v>
      </c>
      <c r="F714" s="9">
        <v>209205.50647791801</v>
      </c>
      <c r="G714" s="9">
        <v>394306.23400907399</v>
      </c>
      <c r="H714" s="9">
        <v>211189.299415093</v>
      </c>
      <c r="I714" s="21">
        <f t="shared" si="22"/>
        <v>1983.7929371749924</v>
      </c>
      <c r="J714" s="21">
        <f t="shared" si="23"/>
        <v>4311.9677802189835</v>
      </c>
    </row>
    <row r="715" spans="1:10" hidden="1">
      <c r="A715" t="s">
        <v>210</v>
      </c>
      <c r="B715" t="s">
        <v>212</v>
      </c>
      <c r="C715" s="18">
        <v>2048</v>
      </c>
      <c r="D715" t="s">
        <v>422</v>
      </c>
      <c r="E715" s="9">
        <v>34279.015717996401</v>
      </c>
      <c r="F715" s="9">
        <v>2112.6645302392799</v>
      </c>
      <c r="G715" s="9">
        <v>34278.863496812097</v>
      </c>
      <c r="H715" s="9">
        <v>2112.6617453372501</v>
      </c>
      <c r="I715" s="21">
        <f t="shared" si="22"/>
        <v>-2.7849020298162941E-3</v>
      </c>
      <c r="J715" s="21">
        <f t="shared" si="23"/>
        <v>-0.15222118430392584</v>
      </c>
    </row>
    <row r="716" spans="1:10" hidden="1">
      <c r="A716" t="s">
        <v>210</v>
      </c>
      <c r="B716" t="s">
        <v>212</v>
      </c>
      <c r="C716" s="18">
        <v>2049</v>
      </c>
      <c r="D716" t="s">
        <v>174</v>
      </c>
      <c r="E716" s="9">
        <v>26052.643137805499</v>
      </c>
      <c r="F716" s="9">
        <v>17437.522635310099</v>
      </c>
      <c r="G716" s="9">
        <v>25986.5373789525</v>
      </c>
      <c r="H716" s="9">
        <v>17406.659114093502</v>
      </c>
      <c r="I716" s="21">
        <f t="shared" si="22"/>
        <v>-30.863521216597292</v>
      </c>
      <c r="J716" s="21">
        <f t="shared" si="23"/>
        <v>-66.105758852998406</v>
      </c>
    </row>
    <row r="717" spans="1:10" hidden="1">
      <c r="A717" t="s">
        <v>210</v>
      </c>
      <c r="B717" t="s">
        <v>212</v>
      </c>
      <c r="C717" s="18">
        <v>2049</v>
      </c>
      <c r="D717" t="s">
        <v>236</v>
      </c>
      <c r="E717" s="9">
        <v>1291625.01000459</v>
      </c>
      <c r="F717" s="9">
        <v>321873.220723039</v>
      </c>
      <c r="G717" s="9">
        <v>1290687.53512959</v>
      </c>
      <c r="H717" s="9">
        <v>321740.50114880601</v>
      </c>
      <c r="I717" s="21">
        <f t="shared" si="22"/>
        <v>-132.71957423299318</v>
      </c>
      <c r="J717" s="21">
        <f t="shared" si="23"/>
        <v>-937.47487500007264</v>
      </c>
    </row>
    <row r="718" spans="1:10" hidden="1">
      <c r="A718" t="s">
        <v>210</v>
      </c>
      <c r="B718" t="s">
        <v>212</v>
      </c>
      <c r="C718" s="18">
        <v>2049</v>
      </c>
      <c r="D718" t="s">
        <v>182</v>
      </c>
      <c r="E718" s="9">
        <v>146274.63385112101</v>
      </c>
      <c r="F718" s="9">
        <v>93482.724325875504</v>
      </c>
      <c r="G718" s="9">
        <v>147882.09983734801</v>
      </c>
      <c r="H718" s="9">
        <v>94546.865675552195</v>
      </c>
      <c r="I718" s="21">
        <f t="shared" si="22"/>
        <v>1064.1413496766909</v>
      </c>
      <c r="J718" s="21">
        <f t="shared" si="23"/>
        <v>1607.4659862270055</v>
      </c>
    </row>
    <row r="719" spans="1:10" hidden="1">
      <c r="A719" t="s">
        <v>210</v>
      </c>
      <c r="B719" t="s">
        <v>212</v>
      </c>
      <c r="C719" s="18">
        <v>2049</v>
      </c>
      <c r="D719" t="s">
        <v>185</v>
      </c>
      <c r="E719" s="9">
        <v>263970.628174896</v>
      </c>
      <c r="F719" s="9">
        <v>250304.421721458</v>
      </c>
      <c r="G719" s="9">
        <v>267003.55015502701</v>
      </c>
      <c r="H719" s="9">
        <v>253105.506935702</v>
      </c>
      <c r="I719" s="21">
        <f t="shared" si="22"/>
        <v>2801.0852142439981</v>
      </c>
      <c r="J719" s="21">
        <f t="shared" si="23"/>
        <v>3032.9219801310101</v>
      </c>
    </row>
    <row r="720" spans="1:10" hidden="1">
      <c r="A720" t="s">
        <v>210</v>
      </c>
      <c r="B720" t="s">
        <v>212</v>
      </c>
      <c r="C720" s="18">
        <v>2049</v>
      </c>
      <c r="D720" t="s">
        <v>188</v>
      </c>
      <c r="E720" s="9">
        <v>792976.28655526799</v>
      </c>
      <c r="F720" s="9">
        <v>492991.41451756802</v>
      </c>
      <c r="G720" s="9">
        <v>801596.85366425803</v>
      </c>
      <c r="H720" s="9">
        <v>498010.65152404399</v>
      </c>
      <c r="I720" s="21">
        <f t="shared" si="22"/>
        <v>5019.2370064759743</v>
      </c>
      <c r="J720" s="21">
        <f t="shared" si="23"/>
        <v>8620.5671089900425</v>
      </c>
    </row>
    <row r="721" spans="1:10" hidden="1">
      <c r="A721" t="s">
        <v>210</v>
      </c>
      <c r="B721" t="s">
        <v>212</v>
      </c>
      <c r="C721" s="18">
        <v>2049</v>
      </c>
      <c r="D721" t="s">
        <v>191</v>
      </c>
      <c r="E721" s="9">
        <v>391750.74657657102</v>
      </c>
      <c r="F721" s="9">
        <v>211558.19169786599</v>
      </c>
      <c r="G721" s="9">
        <v>396058.615955627</v>
      </c>
      <c r="H721" s="9">
        <v>213580.236200068</v>
      </c>
      <c r="I721" s="21">
        <f t="shared" si="22"/>
        <v>2022.044502202014</v>
      </c>
      <c r="J721" s="21">
        <f t="shared" si="23"/>
        <v>4307.8693790559773</v>
      </c>
    </row>
    <row r="722" spans="1:10" hidden="1">
      <c r="A722" t="s">
        <v>210</v>
      </c>
      <c r="B722" t="s">
        <v>212</v>
      </c>
      <c r="C722" s="18">
        <v>2049</v>
      </c>
      <c r="D722" t="s">
        <v>422</v>
      </c>
      <c r="E722" s="9">
        <v>34087.911383614402</v>
      </c>
      <c r="F722" s="9">
        <v>1998.59477581336</v>
      </c>
      <c r="G722" s="9">
        <v>34087.762706701098</v>
      </c>
      <c r="H722" s="9">
        <v>1998.5922336333499</v>
      </c>
      <c r="I722" s="21">
        <f t="shared" si="22"/>
        <v>-2.5421800100957626E-3</v>
      </c>
      <c r="J722" s="21">
        <f t="shared" si="23"/>
        <v>-0.14867691330437083</v>
      </c>
    </row>
    <row r="723" spans="1:10" hidden="1">
      <c r="A723" t="s">
        <v>210</v>
      </c>
      <c r="B723" t="s">
        <v>212</v>
      </c>
      <c r="C723" s="18">
        <v>2050</v>
      </c>
      <c r="D723" t="s">
        <v>174</v>
      </c>
      <c r="E723" s="9">
        <v>26761.168524632099</v>
      </c>
      <c r="F723" s="9">
        <v>17862.2825522331</v>
      </c>
      <c r="G723" s="9">
        <v>26690.1101954068</v>
      </c>
      <c r="H723" s="9">
        <v>17828.637482456001</v>
      </c>
      <c r="I723" s="21">
        <f t="shared" si="22"/>
        <v>-33.645069777099707</v>
      </c>
      <c r="J723" s="21">
        <f t="shared" si="23"/>
        <v>-71.058329225299531</v>
      </c>
    </row>
    <row r="724" spans="1:10" hidden="1">
      <c r="A724" t="s">
        <v>210</v>
      </c>
      <c r="B724" t="s">
        <v>212</v>
      </c>
      <c r="C724" s="18">
        <v>2050</v>
      </c>
      <c r="D724" t="s">
        <v>236</v>
      </c>
      <c r="E724" s="9">
        <v>1298783.37161077</v>
      </c>
      <c r="F724" s="9">
        <v>328880.11879872403</v>
      </c>
      <c r="G724" s="9">
        <v>1297798.19122542</v>
      </c>
      <c r="H724" s="9">
        <v>328734.06146541203</v>
      </c>
      <c r="I724" s="21">
        <f t="shared" si="22"/>
        <v>-146.05733331199735</v>
      </c>
      <c r="J724" s="21">
        <f t="shared" si="23"/>
        <v>-985.18038535001688</v>
      </c>
    </row>
    <row r="725" spans="1:10" hidden="1">
      <c r="A725" t="s">
        <v>210</v>
      </c>
      <c r="B725" t="s">
        <v>212</v>
      </c>
      <c r="C725" s="18">
        <v>2050</v>
      </c>
      <c r="D725" t="s">
        <v>182</v>
      </c>
      <c r="E725" s="9">
        <v>147933.99772835401</v>
      </c>
      <c r="F725" s="9">
        <v>94554.076235907705</v>
      </c>
      <c r="G725" s="9">
        <v>149549.878981469</v>
      </c>
      <c r="H725" s="9">
        <v>95625.943969428394</v>
      </c>
      <c r="I725" s="21">
        <f t="shared" si="22"/>
        <v>1071.8677335206885</v>
      </c>
      <c r="J725" s="21">
        <f t="shared" si="23"/>
        <v>1615.8812531149888</v>
      </c>
    </row>
    <row r="726" spans="1:10" hidden="1">
      <c r="A726" t="s">
        <v>210</v>
      </c>
      <c r="B726" t="s">
        <v>212</v>
      </c>
      <c r="C726" s="18">
        <v>2050</v>
      </c>
      <c r="D726" t="s">
        <v>185</v>
      </c>
      <c r="E726" s="9">
        <v>263022.13304137997</v>
      </c>
      <c r="F726" s="9">
        <v>249371.710611218</v>
      </c>
      <c r="G726" s="9">
        <v>266031.496410964</v>
      </c>
      <c r="H726" s="9">
        <v>252158.93315896901</v>
      </c>
      <c r="I726" s="21">
        <f t="shared" si="22"/>
        <v>2787.2225477510074</v>
      </c>
      <c r="J726" s="21">
        <f t="shared" si="23"/>
        <v>3009.3633695840253</v>
      </c>
    </row>
    <row r="727" spans="1:10" hidden="1">
      <c r="A727" t="s">
        <v>210</v>
      </c>
      <c r="B727" t="s">
        <v>212</v>
      </c>
      <c r="C727" s="18">
        <v>2050</v>
      </c>
      <c r="D727" t="s">
        <v>188</v>
      </c>
      <c r="E727" s="9">
        <v>800367.63616562495</v>
      </c>
      <c r="F727" s="9">
        <v>498977.83037995</v>
      </c>
      <c r="G727" s="9">
        <v>809018.72253896797</v>
      </c>
      <c r="H727" s="9">
        <v>504089.42679186398</v>
      </c>
      <c r="I727" s="21">
        <f t="shared" si="22"/>
        <v>5111.5964119139826</v>
      </c>
      <c r="J727" s="21">
        <f t="shared" si="23"/>
        <v>8651.086373343016</v>
      </c>
    </row>
    <row r="728" spans="1:10" hidden="1">
      <c r="A728" t="s">
        <v>210</v>
      </c>
      <c r="B728" t="s">
        <v>212</v>
      </c>
      <c r="C728" s="18">
        <v>2050</v>
      </c>
      <c r="D728" t="s">
        <v>191</v>
      </c>
      <c r="E728" s="9">
        <v>394246.08819658699</v>
      </c>
      <c r="F728" s="9">
        <v>213513.24848362399</v>
      </c>
      <c r="G728" s="9">
        <v>398560.03791860503</v>
      </c>
      <c r="H728" s="9">
        <v>215570.73744048199</v>
      </c>
      <c r="I728" s="21">
        <f t="shared" si="22"/>
        <v>2057.4889568579965</v>
      </c>
      <c r="J728" s="21">
        <f t="shared" si="23"/>
        <v>4313.9497220180347</v>
      </c>
    </row>
    <row r="729" spans="1:10" hidden="1">
      <c r="A729" t="s">
        <v>210</v>
      </c>
      <c r="B729" t="s">
        <v>212</v>
      </c>
      <c r="C729" s="18">
        <v>2050</v>
      </c>
      <c r="D729" t="s">
        <v>422</v>
      </c>
      <c r="E729" s="9">
        <v>33926.630088231701</v>
      </c>
      <c r="F729" s="9">
        <v>1888.5172256476701</v>
      </c>
      <c r="G729" s="9">
        <v>33926.479042696701</v>
      </c>
      <c r="H729" s="9">
        <v>1888.5150098655699</v>
      </c>
      <c r="I729" s="21">
        <f t="shared" si="22"/>
        <v>-2.2157821001655975E-3</v>
      </c>
      <c r="J729" s="21">
        <f t="shared" si="23"/>
        <v>-0.1510455349998665</v>
      </c>
    </row>
    <row r="730" spans="1:10" hidden="1">
      <c r="A730" t="s">
        <v>217</v>
      </c>
      <c r="B730" t="s">
        <v>219</v>
      </c>
      <c r="C730" s="18">
        <v>2025</v>
      </c>
      <c r="D730" t="s">
        <v>174</v>
      </c>
      <c r="E730" s="9">
        <v>12176.1707137429</v>
      </c>
      <c r="F730" s="9">
        <v>8959.2701472679</v>
      </c>
      <c r="G730" s="9">
        <v>12176.1707137429</v>
      </c>
      <c r="H730" s="9">
        <v>8959.2701472679</v>
      </c>
      <c r="I730" s="21">
        <f t="shared" si="22"/>
        <v>0</v>
      </c>
      <c r="J730" s="21">
        <f t="shared" si="23"/>
        <v>0</v>
      </c>
    </row>
    <row r="731" spans="1:10" hidden="1">
      <c r="A731" t="s">
        <v>217</v>
      </c>
      <c r="B731" t="s">
        <v>219</v>
      </c>
      <c r="C731" s="18">
        <v>2025</v>
      </c>
      <c r="D731" t="s">
        <v>236</v>
      </c>
      <c r="E731" s="9">
        <v>1026758.5711338</v>
      </c>
      <c r="F731" s="9">
        <v>129383.32321031499</v>
      </c>
      <c r="G731" s="9">
        <v>1026758.5711338</v>
      </c>
      <c r="H731" s="9">
        <v>129383.32321031499</v>
      </c>
      <c r="I731" s="21">
        <f t="shared" si="22"/>
        <v>0</v>
      </c>
      <c r="J731" s="21">
        <f t="shared" si="23"/>
        <v>0</v>
      </c>
    </row>
    <row r="732" spans="1:10" hidden="1">
      <c r="A732" t="s">
        <v>217</v>
      </c>
      <c r="B732" t="s">
        <v>219</v>
      </c>
      <c r="C732" s="18">
        <v>2025</v>
      </c>
      <c r="D732" t="s">
        <v>182</v>
      </c>
      <c r="E732" s="9">
        <v>115291.15986546699</v>
      </c>
      <c r="F732" s="9">
        <v>67656.558989495796</v>
      </c>
      <c r="G732" s="9">
        <v>115291.15986546699</v>
      </c>
      <c r="H732" s="9">
        <v>67656.558989495796</v>
      </c>
      <c r="I732" s="21">
        <f t="shared" si="22"/>
        <v>0</v>
      </c>
      <c r="J732" s="21">
        <f t="shared" si="23"/>
        <v>0</v>
      </c>
    </row>
    <row r="733" spans="1:10" hidden="1">
      <c r="A733" t="s">
        <v>217</v>
      </c>
      <c r="B733" t="s">
        <v>219</v>
      </c>
      <c r="C733" s="18">
        <v>2025</v>
      </c>
      <c r="D733" t="s">
        <v>185</v>
      </c>
      <c r="E733" s="9">
        <v>281662.55341658002</v>
      </c>
      <c r="F733" s="9">
        <v>263295.70058044</v>
      </c>
      <c r="G733" s="9">
        <v>281662.55341658002</v>
      </c>
      <c r="H733" s="9">
        <v>263295.70058044</v>
      </c>
      <c r="I733" s="21">
        <f t="shared" si="22"/>
        <v>0</v>
      </c>
      <c r="J733" s="21">
        <f t="shared" si="23"/>
        <v>0</v>
      </c>
    </row>
    <row r="734" spans="1:10" hidden="1">
      <c r="A734" t="s">
        <v>217</v>
      </c>
      <c r="B734" t="s">
        <v>219</v>
      </c>
      <c r="C734" s="18">
        <v>2025</v>
      </c>
      <c r="D734" t="s">
        <v>188</v>
      </c>
      <c r="E734" s="9">
        <v>612171.634776233</v>
      </c>
      <c r="F734" s="9">
        <v>335724.86979376699</v>
      </c>
      <c r="G734" s="9">
        <v>612171.634776233</v>
      </c>
      <c r="H734" s="9">
        <v>335724.86979376699</v>
      </c>
      <c r="I734" s="21">
        <f t="shared" si="22"/>
        <v>0</v>
      </c>
      <c r="J734" s="21">
        <f t="shared" si="23"/>
        <v>0</v>
      </c>
    </row>
    <row r="735" spans="1:10" hidden="1">
      <c r="A735" t="s">
        <v>217</v>
      </c>
      <c r="B735" t="s">
        <v>219</v>
      </c>
      <c r="C735" s="18">
        <v>2025</v>
      </c>
      <c r="D735" t="s">
        <v>191</v>
      </c>
      <c r="E735" s="9">
        <v>339642.13012673298</v>
      </c>
      <c r="F735" s="9">
        <v>190841.880003208</v>
      </c>
      <c r="G735" s="9">
        <v>339642.13012673298</v>
      </c>
      <c r="H735" s="9">
        <v>190841.880003208</v>
      </c>
      <c r="I735" s="21">
        <f t="shared" si="22"/>
        <v>0</v>
      </c>
      <c r="J735" s="21">
        <f t="shared" si="23"/>
        <v>0</v>
      </c>
    </row>
    <row r="736" spans="1:10" hidden="1">
      <c r="A736" t="s">
        <v>217</v>
      </c>
      <c r="B736" t="s">
        <v>219</v>
      </c>
      <c r="C736" s="18">
        <v>2025</v>
      </c>
      <c r="D736" t="s">
        <v>422</v>
      </c>
      <c r="E736" s="9">
        <v>39660.836547407802</v>
      </c>
      <c r="F736" s="9">
        <v>5303.4223017440199</v>
      </c>
      <c r="G736" s="9">
        <v>39660.836547407802</v>
      </c>
      <c r="H736" s="9">
        <v>5303.4223017440199</v>
      </c>
      <c r="I736" s="21">
        <f t="shared" si="22"/>
        <v>0</v>
      </c>
      <c r="J736" s="21">
        <f t="shared" si="23"/>
        <v>0</v>
      </c>
    </row>
    <row r="737" spans="1:10" hidden="1">
      <c r="A737" t="s">
        <v>217</v>
      </c>
      <c r="B737" t="s">
        <v>219</v>
      </c>
      <c r="C737" s="18">
        <v>2026</v>
      </c>
      <c r="D737" t="s">
        <v>174</v>
      </c>
      <c r="E737" s="9">
        <v>12568.9386470114</v>
      </c>
      <c r="F737" s="9">
        <v>9271.1333627081003</v>
      </c>
      <c r="G737" s="9">
        <v>12568.9386470114</v>
      </c>
      <c r="H737" s="9">
        <v>9271.1333627081003</v>
      </c>
      <c r="I737" s="21">
        <f t="shared" si="22"/>
        <v>0</v>
      </c>
      <c r="J737" s="21">
        <f t="shared" si="23"/>
        <v>0</v>
      </c>
    </row>
    <row r="738" spans="1:10" hidden="1">
      <c r="A738" t="s">
        <v>217</v>
      </c>
      <c r="B738" t="s">
        <v>219</v>
      </c>
      <c r="C738" s="18">
        <v>2026</v>
      </c>
      <c r="D738" t="s">
        <v>236</v>
      </c>
      <c r="E738" s="9">
        <v>1042135.18581351</v>
      </c>
      <c r="F738" s="9">
        <v>137145.82895878801</v>
      </c>
      <c r="G738" s="9">
        <v>1042135.18581351</v>
      </c>
      <c r="H738" s="9">
        <v>137145.82895878801</v>
      </c>
      <c r="I738" s="21">
        <f t="shared" si="22"/>
        <v>0</v>
      </c>
      <c r="J738" s="21">
        <f t="shared" si="23"/>
        <v>0</v>
      </c>
    </row>
    <row r="739" spans="1:10" hidden="1">
      <c r="A739" t="s">
        <v>217</v>
      </c>
      <c r="B739" t="s">
        <v>219</v>
      </c>
      <c r="C739" s="18">
        <v>2026</v>
      </c>
      <c r="D739" t="s">
        <v>182</v>
      </c>
      <c r="E739" s="9">
        <v>114707.986926294</v>
      </c>
      <c r="F739" s="9">
        <v>70326.603453519798</v>
      </c>
      <c r="G739" s="9">
        <v>114707.986926294</v>
      </c>
      <c r="H739" s="9">
        <v>70326.603453519798</v>
      </c>
      <c r="I739" s="21">
        <f t="shared" si="22"/>
        <v>0</v>
      </c>
      <c r="J739" s="21">
        <f t="shared" si="23"/>
        <v>0</v>
      </c>
    </row>
    <row r="740" spans="1:10" hidden="1">
      <c r="A740" t="s">
        <v>217</v>
      </c>
      <c r="B740" t="s">
        <v>219</v>
      </c>
      <c r="C740" s="18">
        <v>2026</v>
      </c>
      <c r="D740" t="s">
        <v>185</v>
      </c>
      <c r="E740" s="9">
        <v>282722.53786088398</v>
      </c>
      <c r="F740" s="9">
        <v>259504.46801133201</v>
      </c>
      <c r="G740" s="9">
        <v>282722.53786088398</v>
      </c>
      <c r="H740" s="9">
        <v>259504.46801133201</v>
      </c>
      <c r="I740" s="21">
        <f t="shared" si="22"/>
        <v>0</v>
      </c>
      <c r="J740" s="21">
        <f t="shared" si="23"/>
        <v>0</v>
      </c>
    </row>
    <row r="741" spans="1:10" hidden="1">
      <c r="A741" t="s">
        <v>217</v>
      </c>
      <c r="B741" t="s">
        <v>219</v>
      </c>
      <c r="C741" s="18">
        <v>2026</v>
      </c>
      <c r="D741" t="s">
        <v>188</v>
      </c>
      <c r="E741" s="9">
        <v>616790.02915575495</v>
      </c>
      <c r="F741" s="9">
        <v>342960.13528186502</v>
      </c>
      <c r="G741" s="9">
        <v>616790.02915575495</v>
      </c>
      <c r="H741" s="9">
        <v>342960.13528186502</v>
      </c>
      <c r="I741" s="21">
        <f t="shared" si="22"/>
        <v>0</v>
      </c>
      <c r="J741" s="21">
        <f t="shared" si="23"/>
        <v>0</v>
      </c>
    </row>
    <row r="742" spans="1:10" hidden="1">
      <c r="A742" t="s">
        <v>217</v>
      </c>
      <c r="B742" t="s">
        <v>219</v>
      </c>
      <c r="C742" s="18">
        <v>2026</v>
      </c>
      <c r="D742" t="s">
        <v>191</v>
      </c>
      <c r="E742" s="9">
        <v>338499.06942160201</v>
      </c>
      <c r="F742" s="9">
        <v>190574.61381884801</v>
      </c>
      <c r="G742" s="9">
        <v>338499.06942160201</v>
      </c>
      <c r="H742" s="9">
        <v>190574.61381884801</v>
      </c>
      <c r="I742" s="21">
        <f t="shared" si="22"/>
        <v>0</v>
      </c>
      <c r="J742" s="21">
        <f t="shared" si="23"/>
        <v>0</v>
      </c>
    </row>
    <row r="743" spans="1:10" hidden="1">
      <c r="A743" t="s">
        <v>217</v>
      </c>
      <c r="B743" t="s">
        <v>219</v>
      </c>
      <c r="C743" s="18">
        <v>2026</v>
      </c>
      <c r="D743" t="s">
        <v>422</v>
      </c>
      <c r="E743" s="9">
        <v>39250.667018004897</v>
      </c>
      <c r="F743" s="9">
        <v>5105.6095547855903</v>
      </c>
      <c r="G743" s="9">
        <v>39250.667018004897</v>
      </c>
      <c r="H743" s="9">
        <v>5105.6095547855903</v>
      </c>
      <c r="I743" s="21">
        <f t="shared" si="22"/>
        <v>0</v>
      </c>
      <c r="J743" s="21">
        <f t="shared" si="23"/>
        <v>0</v>
      </c>
    </row>
    <row r="744" spans="1:10" hidden="1">
      <c r="A744" t="s">
        <v>217</v>
      </c>
      <c r="B744" t="s">
        <v>219</v>
      </c>
      <c r="C744" s="18">
        <v>2027</v>
      </c>
      <c r="D744" t="s">
        <v>174</v>
      </c>
      <c r="E744" s="9">
        <v>12976.103113363301</v>
      </c>
      <c r="F744" s="9">
        <v>9577.5296548643291</v>
      </c>
      <c r="G744" s="9">
        <v>12976.103113363301</v>
      </c>
      <c r="H744" s="9">
        <v>9577.5296548643291</v>
      </c>
      <c r="I744" s="21">
        <f t="shared" si="22"/>
        <v>0</v>
      </c>
      <c r="J744" s="21">
        <f t="shared" si="23"/>
        <v>0</v>
      </c>
    </row>
    <row r="745" spans="1:10" hidden="1">
      <c r="A745" t="s">
        <v>217</v>
      </c>
      <c r="B745" t="s">
        <v>219</v>
      </c>
      <c r="C745" s="18">
        <v>2027</v>
      </c>
      <c r="D745" t="s">
        <v>236</v>
      </c>
      <c r="E745" s="9">
        <v>1057148.31873483</v>
      </c>
      <c r="F745" s="9">
        <v>145009.441994705</v>
      </c>
      <c r="G745" s="9">
        <v>1057148.31873483</v>
      </c>
      <c r="H745" s="9">
        <v>145009.441994705</v>
      </c>
      <c r="I745" s="21">
        <f t="shared" si="22"/>
        <v>0</v>
      </c>
      <c r="J745" s="21">
        <f t="shared" si="23"/>
        <v>0</v>
      </c>
    </row>
    <row r="746" spans="1:10" hidden="1">
      <c r="A746" t="s">
        <v>217</v>
      </c>
      <c r="B746" t="s">
        <v>219</v>
      </c>
      <c r="C746" s="18">
        <v>2027</v>
      </c>
      <c r="D746" t="s">
        <v>182</v>
      </c>
      <c r="E746" s="9">
        <v>114152.944165875</v>
      </c>
      <c r="F746" s="9">
        <v>72290.169991209099</v>
      </c>
      <c r="G746" s="9">
        <v>114152.944165875</v>
      </c>
      <c r="H746" s="9">
        <v>72290.169991209099</v>
      </c>
      <c r="I746" s="21">
        <f t="shared" si="22"/>
        <v>0</v>
      </c>
      <c r="J746" s="21">
        <f t="shared" si="23"/>
        <v>0</v>
      </c>
    </row>
    <row r="747" spans="1:10" hidden="1">
      <c r="A747" t="s">
        <v>217</v>
      </c>
      <c r="B747" t="s">
        <v>219</v>
      </c>
      <c r="C747" s="18">
        <v>2027</v>
      </c>
      <c r="D747" t="s">
        <v>185</v>
      </c>
      <c r="E747" s="9">
        <v>277877.509454571</v>
      </c>
      <c r="F747" s="9">
        <v>260330.421136777</v>
      </c>
      <c r="G747" s="9">
        <v>277877.509454571</v>
      </c>
      <c r="H747" s="9">
        <v>260330.421136777</v>
      </c>
      <c r="I747" s="21">
        <f t="shared" si="22"/>
        <v>0</v>
      </c>
      <c r="J747" s="21">
        <f t="shared" si="23"/>
        <v>0</v>
      </c>
    </row>
    <row r="748" spans="1:10" hidden="1">
      <c r="A748" t="s">
        <v>217</v>
      </c>
      <c r="B748" t="s">
        <v>219</v>
      </c>
      <c r="C748" s="18">
        <v>2027</v>
      </c>
      <c r="D748" t="s">
        <v>188</v>
      </c>
      <c r="E748" s="9">
        <v>621430.90280116105</v>
      </c>
      <c r="F748" s="9">
        <v>349405.30073034298</v>
      </c>
      <c r="G748" s="9">
        <v>621430.90280116105</v>
      </c>
      <c r="H748" s="9">
        <v>349405.30073034298</v>
      </c>
      <c r="I748" s="21">
        <f t="shared" si="22"/>
        <v>0</v>
      </c>
      <c r="J748" s="21">
        <f t="shared" si="23"/>
        <v>0</v>
      </c>
    </row>
    <row r="749" spans="1:10" hidden="1">
      <c r="A749" t="s">
        <v>217</v>
      </c>
      <c r="B749" t="s">
        <v>219</v>
      </c>
      <c r="C749" s="18">
        <v>2027</v>
      </c>
      <c r="D749" t="s">
        <v>191</v>
      </c>
      <c r="E749" s="9">
        <v>337398.94907172298</v>
      </c>
      <c r="F749" s="9">
        <v>189031.10044551201</v>
      </c>
      <c r="G749" s="9">
        <v>337398.94907172298</v>
      </c>
      <c r="H749" s="9">
        <v>189031.10044551201</v>
      </c>
      <c r="I749" s="21">
        <f t="shared" si="22"/>
        <v>0</v>
      </c>
      <c r="J749" s="21">
        <f t="shared" si="23"/>
        <v>0</v>
      </c>
    </row>
    <row r="750" spans="1:10" hidden="1">
      <c r="A750" t="s">
        <v>217</v>
      </c>
      <c r="B750" t="s">
        <v>219</v>
      </c>
      <c r="C750" s="18">
        <v>2027</v>
      </c>
      <c r="D750" t="s">
        <v>422</v>
      </c>
      <c r="E750" s="9">
        <v>38773.627186343103</v>
      </c>
      <c r="F750" s="9">
        <v>4921.4971535538998</v>
      </c>
      <c r="G750" s="9">
        <v>38773.627186343103</v>
      </c>
      <c r="H750" s="9">
        <v>4921.4971535538998</v>
      </c>
      <c r="I750" s="21">
        <f t="shared" si="22"/>
        <v>0</v>
      </c>
      <c r="J750" s="21">
        <f t="shared" si="23"/>
        <v>0</v>
      </c>
    </row>
    <row r="751" spans="1:10" hidden="1">
      <c r="A751" t="s">
        <v>217</v>
      </c>
      <c r="B751" t="s">
        <v>219</v>
      </c>
      <c r="C751" s="18">
        <v>2028</v>
      </c>
      <c r="D751" t="s">
        <v>174</v>
      </c>
      <c r="E751" s="9">
        <v>13394.6739315754</v>
      </c>
      <c r="F751" s="9">
        <v>9881.9220189252792</v>
      </c>
      <c r="G751" s="9">
        <v>13394.6739315754</v>
      </c>
      <c r="H751" s="9">
        <v>9881.9220189252792</v>
      </c>
      <c r="I751" s="21">
        <f t="shared" si="22"/>
        <v>0</v>
      </c>
      <c r="J751" s="21">
        <f t="shared" si="23"/>
        <v>0</v>
      </c>
    </row>
    <row r="752" spans="1:10" hidden="1">
      <c r="A752" t="s">
        <v>217</v>
      </c>
      <c r="B752" t="s">
        <v>219</v>
      </c>
      <c r="C752" s="18">
        <v>2028</v>
      </c>
      <c r="D752" t="s">
        <v>236</v>
      </c>
      <c r="E752" s="9">
        <v>1071826.1250559301</v>
      </c>
      <c r="F752" s="9">
        <v>152971.72938899801</v>
      </c>
      <c r="G752" s="9">
        <v>1071826.1250559301</v>
      </c>
      <c r="H752" s="9">
        <v>152971.72938899801</v>
      </c>
      <c r="I752" s="21">
        <f t="shared" si="22"/>
        <v>0</v>
      </c>
      <c r="J752" s="21">
        <f t="shared" si="23"/>
        <v>0</v>
      </c>
    </row>
    <row r="753" spans="1:10" hidden="1">
      <c r="A753" t="s">
        <v>217</v>
      </c>
      <c r="B753" t="s">
        <v>219</v>
      </c>
      <c r="C753" s="18">
        <v>2028</v>
      </c>
      <c r="D753" t="s">
        <v>182</v>
      </c>
      <c r="E753" s="9">
        <v>114139.12292486199</v>
      </c>
      <c r="F753" s="9">
        <v>73846.874209439702</v>
      </c>
      <c r="G753" s="9">
        <v>114139.12292486199</v>
      </c>
      <c r="H753" s="9">
        <v>73846.874209439702</v>
      </c>
      <c r="I753" s="21">
        <f t="shared" si="22"/>
        <v>0</v>
      </c>
      <c r="J753" s="21">
        <f t="shared" si="23"/>
        <v>0</v>
      </c>
    </row>
    <row r="754" spans="1:10" hidden="1">
      <c r="A754" t="s">
        <v>217</v>
      </c>
      <c r="B754" t="s">
        <v>219</v>
      </c>
      <c r="C754" s="18">
        <v>2028</v>
      </c>
      <c r="D754" t="s">
        <v>185</v>
      </c>
      <c r="E754" s="9">
        <v>277735.69614120398</v>
      </c>
      <c r="F754" s="9">
        <v>257765.32327170501</v>
      </c>
      <c r="G754" s="9">
        <v>277735.69614120398</v>
      </c>
      <c r="H754" s="9">
        <v>257765.32327170501</v>
      </c>
      <c r="I754" s="21">
        <f t="shared" si="22"/>
        <v>0</v>
      </c>
      <c r="J754" s="21">
        <f t="shared" si="23"/>
        <v>0</v>
      </c>
    </row>
    <row r="755" spans="1:10" hidden="1">
      <c r="A755" t="s">
        <v>217</v>
      </c>
      <c r="B755" t="s">
        <v>219</v>
      </c>
      <c r="C755" s="18">
        <v>2028</v>
      </c>
      <c r="D755" t="s">
        <v>188</v>
      </c>
      <c r="E755" s="9">
        <v>627723.84415529598</v>
      </c>
      <c r="F755" s="9">
        <v>356159.25290604099</v>
      </c>
      <c r="G755" s="9">
        <v>627723.84415529598</v>
      </c>
      <c r="H755" s="9">
        <v>356159.25290604099</v>
      </c>
      <c r="I755" s="21">
        <f t="shared" si="22"/>
        <v>0</v>
      </c>
      <c r="J755" s="21">
        <f t="shared" si="23"/>
        <v>0</v>
      </c>
    </row>
    <row r="756" spans="1:10" hidden="1">
      <c r="A756" t="s">
        <v>217</v>
      </c>
      <c r="B756" t="s">
        <v>219</v>
      </c>
      <c r="C756" s="18">
        <v>2028</v>
      </c>
      <c r="D756" t="s">
        <v>191</v>
      </c>
      <c r="E756" s="9">
        <v>337514.695524676</v>
      </c>
      <c r="F756" s="9">
        <v>187116.63987946699</v>
      </c>
      <c r="G756" s="9">
        <v>337514.695524676</v>
      </c>
      <c r="H756" s="9">
        <v>187116.63987946699</v>
      </c>
      <c r="I756" s="21">
        <f t="shared" si="22"/>
        <v>0</v>
      </c>
      <c r="J756" s="21">
        <f t="shared" si="23"/>
        <v>0</v>
      </c>
    </row>
    <row r="757" spans="1:10" hidden="1">
      <c r="A757" t="s">
        <v>217</v>
      </c>
      <c r="B757" t="s">
        <v>219</v>
      </c>
      <c r="C757" s="18">
        <v>2028</v>
      </c>
      <c r="D757" t="s">
        <v>422</v>
      </c>
      <c r="E757" s="9">
        <v>38149.291579231904</v>
      </c>
      <c r="F757" s="9">
        <v>4742.0855729783398</v>
      </c>
      <c r="G757" s="9">
        <v>38149.291579231904</v>
      </c>
      <c r="H757" s="9">
        <v>4742.0855729783398</v>
      </c>
      <c r="I757" s="21">
        <f t="shared" si="22"/>
        <v>0</v>
      </c>
      <c r="J757" s="21">
        <f t="shared" si="23"/>
        <v>0</v>
      </c>
    </row>
    <row r="758" spans="1:10" hidden="1">
      <c r="A758" t="s">
        <v>217</v>
      </c>
      <c r="B758" t="s">
        <v>219</v>
      </c>
      <c r="C758" s="18">
        <v>2029</v>
      </c>
      <c r="D758" t="s">
        <v>174</v>
      </c>
      <c r="E758" s="9">
        <v>13830.048598278099</v>
      </c>
      <c r="F758" s="9">
        <v>10188.394886280999</v>
      </c>
      <c r="G758" s="9">
        <v>13830.048598278099</v>
      </c>
      <c r="H758" s="9">
        <v>10188.394886280999</v>
      </c>
      <c r="I758" s="21">
        <f t="shared" si="22"/>
        <v>0</v>
      </c>
      <c r="J758" s="21">
        <f t="shared" si="23"/>
        <v>0</v>
      </c>
    </row>
    <row r="759" spans="1:10" hidden="1">
      <c r="A759" t="s">
        <v>217</v>
      </c>
      <c r="B759" t="s">
        <v>219</v>
      </c>
      <c r="C759" s="18">
        <v>2029</v>
      </c>
      <c r="D759" t="s">
        <v>236</v>
      </c>
      <c r="E759" s="9">
        <v>1086200.5009906101</v>
      </c>
      <c r="F759" s="9">
        <v>161038.22768731901</v>
      </c>
      <c r="G759" s="9">
        <v>1086200.5009906101</v>
      </c>
      <c r="H759" s="9">
        <v>161038.22768731901</v>
      </c>
      <c r="I759" s="21">
        <f t="shared" si="22"/>
        <v>0</v>
      </c>
      <c r="J759" s="21">
        <f t="shared" si="23"/>
        <v>0</v>
      </c>
    </row>
    <row r="760" spans="1:10" hidden="1">
      <c r="A760" t="s">
        <v>217</v>
      </c>
      <c r="B760" t="s">
        <v>219</v>
      </c>
      <c r="C760" s="18">
        <v>2029</v>
      </c>
      <c r="D760" t="s">
        <v>182</v>
      </c>
      <c r="E760" s="9">
        <v>114048.15533588199</v>
      </c>
      <c r="F760" s="9">
        <v>75452.222577591499</v>
      </c>
      <c r="G760" s="9">
        <v>114048.15533588199</v>
      </c>
      <c r="H760" s="9">
        <v>75452.222577591499</v>
      </c>
      <c r="I760" s="21">
        <f t="shared" si="22"/>
        <v>0</v>
      </c>
      <c r="J760" s="21">
        <f t="shared" si="23"/>
        <v>0</v>
      </c>
    </row>
    <row r="761" spans="1:10" hidden="1">
      <c r="A761" t="s">
        <v>217</v>
      </c>
      <c r="B761" t="s">
        <v>219</v>
      </c>
      <c r="C761" s="18">
        <v>2029</v>
      </c>
      <c r="D761" t="s">
        <v>185</v>
      </c>
      <c r="E761" s="9">
        <v>275821.08299242798</v>
      </c>
      <c r="F761" s="9">
        <v>258334.31739486201</v>
      </c>
      <c r="G761" s="9">
        <v>275821.08299242798</v>
      </c>
      <c r="H761" s="9">
        <v>258334.31739486201</v>
      </c>
      <c r="I761" s="21">
        <f t="shared" si="22"/>
        <v>0</v>
      </c>
      <c r="J761" s="21">
        <f t="shared" si="23"/>
        <v>0</v>
      </c>
    </row>
    <row r="762" spans="1:10" hidden="1">
      <c r="A762" t="s">
        <v>217</v>
      </c>
      <c r="B762" t="s">
        <v>219</v>
      </c>
      <c r="C762" s="18">
        <v>2029</v>
      </c>
      <c r="D762" t="s">
        <v>188</v>
      </c>
      <c r="E762" s="9">
        <v>630779.36998507904</v>
      </c>
      <c r="F762" s="9">
        <v>363892.26827992598</v>
      </c>
      <c r="G762" s="9">
        <v>630779.36998507904</v>
      </c>
      <c r="H762" s="9">
        <v>363892.26827992598</v>
      </c>
      <c r="I762" s="21">
        <f t="shared" si="22"/>
        <v>0</v>
      </c>
      <c r="J762" s="21">
        <f t="shared" si="23"/>
        <v>0</v>
      </c>
    </row>
    <row r="763" spans="1:10" hidden="1">
      <c r="A763" t="s">
        <v>217</v>
      </c>
      <c r="B763" t="s">
        <v>219</v>
      </c>
      <c r="C763" s="18">
        <v>2029</v>
      </c>
      <c r="D763" t="s">
        <v>191</v>
      </c>
      <c r="E763" s="9">
        <v>335921.29283179599</v>
      </c>
      <c r="F763" s="9">
        <v>186821.56008749199</v>
      </c>
      <c r="G763" s="9">
        <v>335921.29283179599</v>
      </c>
      <c r="H763" s="9">
        <v>186821.56008749199</v>
      </c>
      <c r="I763" s="21">
        <f t="shared" si="22"/>
        <v>0</v>
      </c>
      <c r="J763" s="21">
        <f t="shared" si="23"/>
        <v>0</v>
      </c>
    </row>
    <row r="764" spans="1:10" hidden="1">
      <c r="A764" t="s">
        <v>217</v>
      </c>
      <c r="B764" t="s">
        <v>219</v>
      </c>
      <c r="C764" s="18">
        <v>2029</v>
      </c>
      <c r="D764" t="s">
        <v>422</v>
      </c>
      <c r="E764" s="9">
        <v>37777.467218977603</v>
      </c>
      <c r="F764" s="9">
        <v>4604.0681483163899</v>
      </c>
      <c r="G764" s="9">
        <v>37777.467218977603</v>
      </c>
      <c r="H764" s="9">
        <v>4604.0681483163899</v>
      </c>
      <c r="I764" s="21">
        <f t="shared" si="22"/>
        <v>0</v>
      </c>
      <c r="J764" s="21">
        <f t="shared" si="23"/>
        <v>0</v>
      </c>
    </row>
    <row r="765" spans="1:10" hidden="1">
      <c r="A765" t="s">
        <v>217</v>
      </c>
      <c r="B765" t="s">
        <v>219</v>
      </c>
      <c r="C765" s="18">
        <v>2030</v>
      </c>
      <c r="D765" t="s">
        <v>174</v>
      </c>
      <c r="E765" s="9">
        <v>14281.959039535501</v>
      </c>
      <c r="F765" s="9">
        <v>10500.2867221377</v>
      </c>
      <c r="G765" s="9">
        <v>14281.959039535501</v>
      </c>
      <c r="H765" s="9">
        <v>10500.2867221377</v>
      </c>
      <c r="I765" s="21">
        <f t="shared" si="22"/>
        <v>0</v>
      </c>
      <c r="J765" s="21">
        <f t="shared" si="23"/>
        <v>0</v>
      </c>
    </row>
    <row r="766" spans="1:10" hidden="1">
      <c r="A766" t="s">
        <v>217</v>
      </c>
      <c r="B766" t="s">
        <v>219</v>
      </c>
      <c r="C766" s="18">
        <v>2030</v>
      </c>
      <c r="D766" t="s">
        <v>236</v>
      </c>
      <c r="E766" s="9">
        <v>1100191.7865472301</v>
      </c>
      <c r="F766" s="9">
        <v>169196.385350075</v>
      </c>
      <c r="G766" s="9">
        <v>1100191.7865472301</v>
      </c>
      <c r="H766" s="9">
        <v>169196.385350075</v>
      </c>
      <c r="I766" s="21">
        <f t="shared" si="22"/>
        <v>0</v>
      </c>
      <c r="J766" s="21">
        <f t="shared" si="23"/>
        <v>0</v>
      </c>
    </row>
    <row r="767" spans="1:10" hidden="1">
      <c r="A767" t="s">
        <v>217</v>
      </c>
      <c r="B767" t="s">
        <v>219</v>
      </c>
      <c r="C767" s="18">
        <v>2030</v>
      </c>
      <c r="D767" t="s">
        <v>182</v>
      </c>
      <c r="E767" s="9">
        <v>114781.951575614</v>
      </c>
      <c r="F767" s="9">
        <v>76004.374773711097</v>
      </c>
      <c r="G767" s="9">
        <v>114781.951575614</v>
      </c>
      <c r="H767" s="9">
        <v>76004.374773711097</v>
      </c>
      <c r="I767" s="21">
        <f t="shared" si="22"/>
        <v>0</v>
      </c>
      <c r="J767" s="21">
        <f t="shared" si="23"/>
        <v>0</v>
      </c>
    </row>
    <row r="768" spans="1:10" hidden="1">
      <c r="A768" t="s">
        <v>217</v>
      </c>
      <c r="B768" t="s">
        <v>219</v>
      </c>
      <c r="C768" s="18">
        <v>2030</v>
      </c>
      <c r="D768" t="s">
        <v>185</v>
      </c>
      <c r="E768" s="9">
        <v>275750.81654950802</v>
      </c>
      <c r="F768" s="9">
        <v>257411.19778715901</v>
      </c>
      <c r="G768" s="9">
        <v>275750.81654950802</v>
      </c>
      <c r="H768" s="9">
        <v>257411.19778715901</v>
      </c>
      <c r="I768" s="21">
        <f t="shared" si="22"/>
        <v>0</v>
      </c>
      <c r="J768" s="21">
        <f t="shared" si="23"/>
        <v>0</v>
      </c>
    </row>
    <row r="769" spans="1:10" hidden="1">
      <c r="A769" t="s">
        <v>217</v>
      </c>
      <c r="B769" t="s">
        <v>219</v>
      </c>
      <c r="C769" s="18">
        <v>2030</v>
      </c>
      <c r="D769" t="s">
        <v>188</v>
      </c>
      <c r="E769" s="9">
        <v>638199.36722691404</v>
      </c>
      <c r="F769" s="9">
        <v>368920.44347907702</v>
      </c>
      <c r="G769" s="9">
        <v>638199.36722691404</v>
      </c>
      <c r="H769" s="9">
        <v>368920.44347907702</v>
      </c>
      <c r="I769" s="21">
        <f t="shared" si="22"/>
        <v>0</v>
      </c>
      <c r="J769" s="21">
        <f t="shared" si="23"/>
        <v>0</v>
      </c>
    </row>
    <row r="770" spans="1:10" hidden="1">
      <c r="A770" t="s">
        <v>217</v>
      </c>
      <c r="B770" t="s">
        <v>219</v>
      </c>
      <c r="C770" s="18">
        <v>2030</v>
      </c>
      <c r="D770" t="s">
        <v>191</v>
      </c>
      <c r="E770" s="9">
        <v>337374.94686633401</v>
      </c>
      <c r="F770" s="9">
        <v>185442.493190957</v>
      </c>
      <c r="G770" s="9">
        <v>337374.94686633401</v>
      </c>
      <c r="H770" s="9">
        <v>185442.493190957</v>
      </c>
      <c r="I770" s="21">
        <f t="shared" ref="I770:I833" si="24">H770-F770</f>
        <v>0</v>
      </c>
      <c r="J770" s="21">
        <f t="shared" ref="J770:J833" si="25">G770-E770</f>
        <v>0</v>
      </c>
    </row>
    <row r="771" spans="1:10" hidden="1">
      <c r="A771" t="s">
        <v>217</v>
      </c>
      <c r="B771" t="s">
        <v>219</v>
      </c>
      <c r="C771" s="18">
        <v>2030</v>
      </c>
      <c r="D771" t="s">
        <v>422</v>
      </c>
      <c r="E771" s="9">
        <v>38012.673637756197</v>
      </c>
      <c r="F771" s="9">
        <v>4432.1168533298996</v>
      </c>
      <c r="G771" s="9">
        <v>38012.673637756197</v>
      </c>
      <c r="H771" s="9">
        <v>4432.1168533298996</v>
      </c>
      <c r="I771" s="21">
        <f t="shared" si="24"/>
        <v>0</v>
      </c>
      <c r="J771" s="21">
        <f t="shared" si="25"/>
        <v>0</v>
      </c>
    </row>
    <row r="772" spans="1:10" hidden="1">
      <c r="A772" t="s">
        <v>217</v>
      </c>
      <c r="B772" t="s">
        <v>219</v>
      </c>
      <c r="C772" s="18">
        <v>2031</v>
      </c>
      <c r="D772" t="s">
        <v>174</v>
      </c>
      <c r="E772" s="9">
        <v>14754.4294987798</v>
      </c>
      <c r="F772" s="9">
        <v>10814.9178976517</v>
      </c>
      <c r="G772" s="9">
        <v>14754.4294987798</v>
      </c>
      <c r="H772" s="9">
        <v>10814.9178976517</v>
      </c>
      <c r="I772" s="21">
        <f t="shared" si="24"/>
        <v>0</v>
      </c>
      <c r="J772" s="21">
        <f t="shared" si="25"/>
        <v>0</v>
      </c>
    </row>
    <row r="773" spans="1:10" hidden="1">
      <c r="A773" t="s">
        <v>217</v>
      </c>
      <c r="B773" t="s">
        <v>219</v>
      </c>
      <c r="C773" s="18">
        <v>2031</v>
      </c>
      <c r="D773" t="s">
        <v>236</v>
      </c>
      <c r="E773" s="9">
        <v>1113725.2263596801</v>
      </c>
      <c r="F773" s="9">
        <v>177420.195676039</v>
      </c>
      <c r="G773" s="9">
        <v>1113725.2263596801</v>
      </c>
      <c r="H773" s="9">
        <v>177420.195676039</v>
      </c>
      <c r="I773" s="21">
        <f t="shared" si="24"/>
        <v>0</v>
      </c>
      <c r="J773" s="21">
        <f t="shared" si="25"/>
        <v>0</v>
      </c>
    </row>
    <row r="774" spans="1:10" hidden="1">
      <c r="A774" t="s">
        <v>217</v>
      </c>
      <c r="B774" t="s">
        <v>219</v>
      </c>
      <c r="C774" s="18">
        <v>2031</v>
      </c>
      <c r="D774" t="s">
        <v>182</v>
      </c>
      <c r="E774" s="9">
        <v>115757.018858842</v>
      </c>
      <c r="F774" s="9">
        <v>76556.628013514899</v>
      </c>
      <c r="G774" s="9">
        <v>115757.018858842</v>
      </c>
      <c r="H774" s="9">
        <v>76556.628013514899</v>
      </c>
      <c r="I774" s="21">
        <f t="shared" si="24"/>
        <v>0</v>
      </c>
      <c r="J774" s="21">
        <f t="shared" si="25"/>
        <v>0</v>
      </c>
    </row>
    <row r="775" spans="1:10" hidden="1">
      <c r="A775" t="s">
        <v>217</v>
      </c>
      <c r="B775" t="s">
        <v>219</v>
      </c>
      <c r="C775" s="18">
        <v>2031</v>
      </c>
      <c r="D775" t="s">
        <v>185</v>
      </c>
      <c r="E775" s="9">
        <v>274719.77758767002</v>
      </c>
      <c r="F775" s="9">
        <v>257245.00548019301</v>
      </c>
      <c r="G775" s="9">
        <v>274719.77758767002</v>
      </c>
      <c r="H775" s="9">
        <v>257245.00548019301</v>
      </c>
      <c r="I775" s="21">
        <f t="shared" si="24"/>
        <v>0</v>
      </c>
      <c r="J775" s="21">
        <f t="shared" si="25"/>
        <v>0</v>
      </c>
    </row>
    <row r="776" spans="1:10" hidden="1">
      <c r="A776" t="s">
        <v>217</v>
      </c>
      <c r="B776" t="s">
        <v>219</v>
      </c>
      <c r="C776" s="18">
        <v>2031</v>
      </c>
      <c r="D776" t="s">
        <v>188</v>
      </c>
      <c r="E776" s="9">
        <v>646110.86416985898</v>
      </c>
      <c r="F776" s="9">
        <v>374207.72907897399</v>
      </c>
      <c r="G776" s="9">
        <v>646110.86416985898</v>
      </c>
      <c r="H776" s="9">
        <v>374207.72907897399</v>
      </c>
      <c r="I776" s="21">
        <f t="shared" si="24"/>
        <v>0</v>
      </c>
      <c r="J776" s="21">
        <f t="shared" si="25"/>
        <v>0</v>
      </c>
    </row>
    <row r="777" spans="1:10" hidden="1">
      <c r="A777" t="s">
        <v>217</v>
      </c>
      <c r="B777" t="s">
        <v>219</v>
      </c>
      <c r="C777" s="18">
        <v>2031</v>
      </c>
      <c r="D777" t="s">
        <v>191</v>
      </c>
      <c r="E777" s="9">
        <v>339204.41915059398</v>
      </c>
      <c r="F777" s="9">
        <v>184315.56237323501</v>
      </c>
      <c r="G777" s="9">
        <v>339204.41915059398</v>
      </c>
      <c r="H777" s="9">
        <v>184315.56237323501</v>
      </c>
      <c r="I777" s="21">
        <f t="shared" si="24"/>
        <v>0</v>
      </c>
      <c r="J777" s="21">
        <f t="shared" si="25"/>
        <v>0</v>
      </c>
    </row>
    <row r="778" spans="1:10" hidden="1">
      <c r="A778" t="s">
        <v>217</v>
      </c>
      <c r="B778" t="s">
        <v>219</v>
      </c>
      <c r="C778" s="18">
        <v>2031</v>
      </c>
      <c r="D778" t="s">
        <v>422</v>
      </c>
      <c r="E778" s="9">
        <v>38191.6231000681</v>
      </c>
      <c r="F778" s="9">
        <v>4274.7272932738097</v>
      </c>
      <c r="G778" s="9">
        <v>38191.6231000681</v>
      </c>
      <c r="H778" s="9">
        <v>4274.7272932738097</v>
      </c>
      <c r="I778" s="21">
        <f t="shared" si="24"/>
        <v>0</v>
      </c>
      <c r="J778" s="21">
        <f t="shared" si="25"/>
        <v>0</v>
      </c>
    </row>
    <row r="779" spans="1:10" hidden="1">
      <c r="A779" t="s">
        <v>217</v>
      </c>
      <c r="B779" t="s">
        <v>219</v>
      </c>
      <c r="C779" s="18">
        <v>2032</v>
      </c>
      <c r="D779" t="s">
        <v>174</v>
      </c>
      <c r="E779" s="9">
        <v>15247.769190462001</v>
      </c>
      <c r="F779" s="9">
        <v>11132.1787355836</v>
      </c>
      <c r="G779" s="9">
        <v>15247.769190462001</v>
      </c>
      <c r="H779" s="9">
        <v>11132.1787355836</v>
      </c>
      <c r="I779" s="21">
        <f t="shared" si="24"/>
        <v>0</v>
      </c>
      <c r="J779" s="21">
        <f t="shared" si="25"/>
        <v>0</v>
      </c>
    </row>
    <row r="780" spans="1:10" hidden="1">
      <c r="A780" t="s">
        <v>217</v>
      </c>
      <c r="B780" t="s">
        <v>219</v>
      </c>
      <c r="C780" s="18">
        <v>2032</v>
      </c>
      <c r="D780" t="s">
        <v>236</v>
      </c>
      <c r="E780" s="9">
        <v>1126783.31749171</v>
      </c>
      <c r="F780" s="9">
        <v>185691.45221249</v>
      </c>
      <c r="G780" s="9">
        <v>1126783.31749171</v>
      </c>
      <c r="H780" s="9">
        <v>185691.45221249</v>
      </c>
      <c r="I780" s="21">
        <f t="shared" si="24"/>
        <v>0</v>
      </c>
      <c r="J780" s="21">
        <f t="shared" si="25"/>
        <v>0</v>
      </c>
    </row>
    <row r="781" spans="1:10" hidden="1">
      <c r="A781" t="s">
        <v>217</v>
      </c>
      <c r="B781" t="s">
        <v>219</v>
      </c>
      <c r="C781" s="18">
        <v>2032</v>
      </c>
      <c r="D781" t="s">
        <v>182</v>
      </c>
      <c r="E781" s="9">
        <v>116892.91249656001</v>
      </c>
      <c r="F781" s="9">
        <v>77198.389307422098</v>
      </c>
      <c r="G781" s="9">
        <v>116892.91249656001</v>
      </c>
      <c r="H781" s="9">
        <v>77198.389307422098</v>
      </c>
      <c r="I781" s="21">
        <f t="shared" si="24"/>
        <v>0</v>
      </c>
      <c r="J781" s="21">
        <f t="shared" si="25"/>
        <v>0</v>
      </c>
    </row>
    <row r="782" spans="1:10" hidden="1">
      <c r="A782" t="s">
        <v>217</v>
      </c>
      <c r="B782" t="s">
        <v>219</v>
      </c>
      <c r="C782" s="18">
        <v>2032</v>
      </c>
      <c r="D782" t="s">
        <v>185</v>
      </c>
      <c r="E782" s="9">
        <v>274412.39342979901</v>
      </c>
      <c r="F782" s="9">
        <v>256745.67636584101</v>
      </c>
      <c r="G782" s="9">
        <v>274412.39342979901</v>
      </c>
      <c r="H782" s="9">
        <v>256745.67636584101</v>
      </c>
      <c r="I782" s="21">
        <f t="shared" si="24"/>
        <v>0</v>
      </c>
      <c r="J782" s="21">
        <f t="shared" si="25"/>
        <v>0</v>
      </c>
    </row>
    <row r="783" spans="1:10" hidden="1">
      <c r="A783" t="s">
        <v>217</v>
      </c>
      <c r="B783" t="s">
        <v>219</v>
      </c>
      <c r="C783" s="18">
        <v>2032</v>
      </c>
      <c r="D783" t="s">
        <v>188</v>
      </c>
      <c r="E783" s="9">
        <v>654519.81142038899</v>
      </c>
      <c r="F783" s="9">
        <v>380127.64784866601</v>
      </c>
      <c r="G783" s="9">
        <v>654519.81142038899</v>
      </c>
      <c r="H783" s="9">
        <v>380127.64784866601</v>
      </c>
      <c r="I783" s="21">
        <f t="shared" si="24"/>
        <v>0</v>
      </c>
      <c r="J783" s="21">
        <f t="shared" si="25"/>
        <v>0</v>
      </c>
    </row>
    <row r="784" spans="1:10" hidden="1">
      <c r="A784" t="s">
        <v>217</v>
      </c>
      <c r="B784" t="s">
        <v>219</v>
      </c>
      <c r="C784" s="18">
        <v>2032</v>
      </c>
      <c r="D784" t="s">
        <v>191</v>
      </c>
      <c r="E784" s="9">
        <v>341581.65326776</v>
      </c>
      <c r="F784" s="9">
        <v>183730.084212538</v>
      </c>
      <c r="G784" s="9">
        <v>341581.65326776</v>
      </c>
      <c r="H784" s="9">
        <v>183730.084212538</v>
      </c>
      <c r="I784" s="21">
        <f t="shared" si="24"/>
        <v>0</v>
      </c>
      <c r="J784" s="21">
        <f t="shared" si="25"/>
        <v>0</v>
      </c>
    </row>
    <row r="785" spans="1:10" hidden="1">
      <c r="A785" t="s">
        <v>217</v>
      </c>
      <c r="B785" t="s">
        <v>219</v>
      </c>
      <c r="C785" s="18">
        <v>2032</v>
      </c>
      <c r="D785" t="s">
        <v>422</v>
      </c>
      <c r="E785" s="9">
        <v>38037.551792099897</v>
      </c>
      <c r="F785" s="9">
        <v>4125.7224791710396</v>
      </c>
      <c r="G785" s="9">
        <v>38037.551792099897</v>
      </c>
      <c r="H785" s="9">
        <v>4125.7224791710396</v>
      </c>
      <c r="I785" s="21">
        <f t="shared" si="24"/>
        <v>0</v>
      </c>
      <c r="J785" s="21">
        <f t="shared" si="25"/>
        <v>0</v>
      </c>
    </row>
    <row r="786" spans="1:10" hidden="1">
      <c r="A786" t="s">
        <v>217</v>
      </c>
      <c r="B786" t="s">
        <v>219</v>
      </c>
      <c r="C786" s="18">
        <v>2033</v>
      </c>
      <c r="D786" t="s">
        <v>174</v>
      </c>
      <c r="E786" s="9">
        <v>15759.5151167894</v>
      </c>
      <c r="F786" s="9">
        <v>11452.2049974033</v>
      </c>
      <c r="G786" s="9">
        <v>15759.5151167894</v>
      </c>
      <c r="H786" s="9">
        <v>11452.2049974033</v>
      </c>
      <c r="I786" s="21">
        <f t="shared" si="24"/>
        <v>0</v>
      </c>
      <c r="J786" s="21">
        <f t="shared" si="25"/>
        <v>0</v>
      </c>
    </row>
    <row r="787" spans="1:10" hidden="1">
      <c r="A787" t="s">
        <v>217</v>
      </c>
      <c r="B787" t="s">
        <v>219</v>
      </c>
      <c r="C787" s="18">
        <v>2033</v>
      </c>
      <c r="D787" t="s">
        <v>236</v>
      </c>
      <c r="E787" s="9">
        <v>1139272.75378683</v>
      </c>
      <c r="F787" s="9">
        <v>194005.60056651599</v>
      </c>
      <c r="G787" s="9">
        <v>1139272.75378683</v>
      </c>
      <c r="H787" s="9">
        <v>194005.60056651599</v>
      </c>
      <c r="I787" s="21">
        <f t="shared" si="24"/>
        <v>0</v>
      </c>
      <c r="J787" s="21">
        <f t="shared" si="25"/>
        <v>0</v>
      </c>
    </row>
    <row r="788" spans="1:10" hidden="1">
      <c r="A788" t="s">
        <v>217</v>
      </c>
      <c r="B788" t="s">
        <v>219</v>
      </c>
      <c r="C788" s="18">
        <v>2033</v>
      </c>
      <c r="D788" t="s">
        <v>182</v>
      </c>
      <c r="E788" s="9">
        <v>118281.82855902299</v>
      </c>
      <c r="F788" s="9">
        <v>77917.162090690195</v>
      </c>
      <c r="G788" s="9">
        <v>118281.82855902299</v>
      </c>
      <c r="H788" s="9">
        <v>77917.162090690195</v>
      </c>
      <c r="I788" s="21">
        <f t="shared" si="24"/>
        <v>0</v>
      </c>
      <c r="J788" s="21">
        <f t="shared" si="25"/>
        <v>0</v>
      </c>
    </row>
    <row r="789" spans="1:10" hidden="1">
      <c r="A789" t="s">
        <v>217</v>
      </c>
      <c r="B789" t="s">
        <v>219</v>
      </c>
      <c r="C789" s="18">
        <v>2033</v>
      </c>
      <c r="D789" t="s">
        <v>185</v>
      </c>
      <c r="E789" s="9">
        <v>273893.528221021</v>
      </c>
      <c r="F789" s="9">
        <v>256655.55902621101</v>
      </c>
      <c r="G789" s="9">
        <v>273893.528221021</v>
      </c>
      <c r="H789" s="9">
        <v>256655.55902621101</v>
      </c>
      <c r="I789" s="21">
        <f t="shared" si="24"/>
        <v>0</v>
      </c>
      <c r="J789" s="21">
        <f t="shared" si="25"/>
        <v>0</v>
      </c>
    </row>
    <row r="790" spans="1:10" hidden="1">
      <c r="A790" t="s">
        <v>217</v>
      </c>
      <c r="B790" t="s">
        <v>219</v>
      </c>
      <c r="C790" s="18">
        <v>2033</v>
      </c>
      <c r="D790" t="s">
        <v>188</v>
      </c>
      <c r="E790" s="9">
        <v>664009.13874492398</v>
      </c>
      <c r="F790" s="9">
        <v>386583.230936034</v>
      </c>
      <c r="G790" s="9">
        <v>664009.13874492398</v>
      </c>
      <c r="H790" s="9">
        <v>386583.230936034</v>
      </c>
      <c r="I790" s="21">
        <f t="shared" si="24"/>
        <v>0</v>
      </c>
      <c r="J790" s="21">
        <f t="shared" si="25"/>
        <v>0</v>
      </c>
    </row>
    <row r="791" spans="1:10" hidden="1">
      <c r="A791" t="s">
        <v>217</v>
      </c>
      <c r="B791" t="s">
        <v>219</v>
      </c>
      <c r="C791" s="18">
        <v>2033</v>
      </c>
      <c r="D791" t="s">
        <v>191</v>
      </c>
      <c r="E791" s="9">
        <v>344995.26462988101</v>
      </c>
      <c r="F791" s="9">
        <v>183583.04220271501</v>
      </c>
      <c r="G791" s="9">
        <v>344995.26462988101</v>
      </c>
      <c r="H791" s="9">
        <v>183583.04220271501</v>
      </c>
      <c r="I791" s="21">
        <f t="shared" si="24"/>
        <v>0</v>
      </c>
      <c r="J791" s="21">
        <f t="shared" si="25"/>
        <v>0</v>
      </c>
    </row>
    <row r="792" spans="1:10" hidden="1">
      <c r="A792" t="s">
        <v>217</v>
      </c>
      <c r="B792" t="s">
        <v>219</v>
      </c>
      <c r="C792" s="18">
        <v>2033</v>
      </c>
      <c r="D792" t="s">
        <v>422</v>
      </c>
      <c r="E792" s="9">
        <v>37788.395913351</v>
      </c>
      <c r="F792" s="9">
        <v>3977.7143757352601</v>
      </c>
      <c r="G792" s="9">
        <v>37788.395913351</v>
      </c>
      <c r="H792" s="9">
        <v>3977.7143757352601</v>
      </c>
      <c r="I792" s="21">
        <f t="shared" si="24"/>
        <v>0</v>
      </c>
      <c r="J792" s="21">
        <f t="shared" si="25"/>
        <v>0</v>
      </c>
    </row>
    <row r="793" spans="1:10" hidden="1">
      <c r="A793" t="s">
        <v>217</v>
      </c>
      <c r="B793" t="s">
        <v>219</v>
      </c>
      <c r="C793" s="18">
        <v>2034</v>
      </c>
      <c r="D793" t="s">
        <v>174</v>
      </c>
      <c r="E793" s="9">
        <v>16285.764037622699</v>
      </c>
      <c r="F793" s="9">
        <v>11779.4141755774</v>
      </c>
      <c r="G793" s="9">
        <v>16285.764037622699</v>
      </c>
      <c r="H793" s="9">
        <v>11779.4141755774</v>
      </c>
      <c r="I793" s="21">
        <f t="shared" si="24"/>
        <v>0</v>
      </c>
      <c r="J793" s="21">
        <f t="shared" si="25"/>
        <v>0</v>
      </c>
    </row>
    <row r="794" spans="1:10" hidden="1">
      <c r="A794" t="s">
        <v>217</v>
      </c>
      <c r="B794" t="s">
        <v>219</v>
      </c>
      <c r="C794" s="18">
        <v>2034</v>
      </c>
      <c r="D794" t="s">
        <v>236</v>
      </c>
      <c r="E794" s="9">
        <v>1151232.62464015</v>
      </c>
      <c r="F794" s="9">
        <v>202320.63612115101</v>
      </c>
      <c r="G794" s="9">
        <v>1151232.62464015</v>
      </c>
      <c r="H794" s="9">
        <v>202320.63612115101</v>
      </c>
      <c r="I794" s="21">
        <f t="shared" si="24"/>
        <v>0</v>
      </c>
      <c r="J794" s="21">
        <f t="shared" si="25"/>
        <v>0</v>
      </c>
    </row>
    <row r="795" spans="1:10" hidden="1">
      <c r="A795" t="s">
        <v>217</v>
      </c>
      <c r="B795" t="s">
        <v>219</v>
      </c>
      <c r="C795" s="18">
        <v>2034</v>
      </c>
      <c r="D795" t="s">
        <v>182</v>
      </c>
      <c r="E795" s="9">
        <v>119173.805374547</v>
      </c>
      <c r="F795" s="9">
        <v>78781.723235872807</v>
      </c>
      <c r="G795" s="9">
        <v>119173.805374547</v>
      </c>
      <c r="H795" s="9">
        <v>78781.723235872807</v>
      </c>
      <c r="I795" s="21">
        <f t="shared" si="24"/>
        <v>0</v>
      </c>
      <c r="J795" s="21">
        <f t="shared" si="25"/>
        <v>0</v>
      </c>
    </row>
    <row r="796" spans="1:10" hidden="1">
      <c r="A796" t="s">
        <v>217</v>
      </c>
      <c r="B796" t="s">
        <v>219</v>
      </c>
      <c r="C796" s="18">
        <v>2034</v>
      </c>
      <c r="D796" t="s">
        <v>185</v>
      </c>
      <c r="E796" s="9">
        <v>273669.65020286699</v>
      </c>
      <c r="F796" s="9">
        <v>256753.127116244</v>
      </c>
      <c r="G796" s="9">
        <v>273669.65020286699</v>
      </c>
      <c r="H796" s="9">
        <v>256753.127116244</v>
      </c>
      <c r="I796" s="21">
        <f t="shared" si="24"/>
        <v>0</v>
      </c>
      <c r="J796" s="21">
        <f t="shared" si="25"/>
        <v>0</v>
      </c>
    </row>
    <row r="797" spans="1:10" hidden="1">
      <c r="A797" t="s">
        <v>217</v>
      </c>
      <c r="B797" t="s">
        <v>219</v>
      </c>
      <c r="C797" s="18">
        <v>2034</v>
      </c>
      <c r="D797" t="s">
        <v>188</v>
      </c>
      <c r="E797" s="9">
        <v>669565.09186596901</v>
      </c>
      <c r="F797" s="9">
        <v>393806.92012191401</v>
      </c>
      <c r="G797" s="9">
        <v>669565.09186596901</v>
      </c>
      <c r="H797" s="9">
        <v>393806.92012191401</v>
      </c>
      <c r="I797" s="21">
        <f t="shared" si="24"/>
        <v>0</v>
      </c>
      <c r="J797" s="21">
        <f t="shared" si="25"/>
        <v>0</v>
      </c>
    </row>
    <row r="798" spans="1:10" hidden="1">
      <c r="A798" t="s">
        <v>217</v>
      </c>
      <c r="B798" t="s">
        <v>219</v>
      </c>
      <c r="C798" s="18">
        <v>2034</v>
      </c>
      <c r="D798" t="s">
        <v>191</v>
      </c>
      <c r="E798" s="9">
        <v>345926.396497523</v>
      </c>
      <c r="F798" s="9">
        <v>184800.88501932399</v>
      </c>
      <c r="G798" s="9">
        <v>345926.396497523</v>
      </c>
      <c r="H798" s="9">
        <v>184800.88501932399</v>
      </c>
      <c r="I798" s="21">
        <f t="shared" si="24"/>
        <v>0</v>
      </c>
      <c r="J798" s="21">
        <f t="shared" si="25"/>
        <v>0</v>
      </c>
    </row>
    <row r="799" spans="1:10" hidden="1">
      <c r="A799" t="s">
        <v>217</v>
      </c>
      <c r="B799" t="s">
        <v>219</v>
      </c>
      <c r="C799" s="18">
        <v>2034</v>
      </c>
      <c r="D799" t="s">
        <v>422</v>
      </c>
      <c r="E799" s="9">
        <v>37391.118979539897</v>
      </c>
      <c r="F799" s="9">
        <v>3849.43642407178</v>
      </c>
      <c r="G799" s="9">
        <v>37391.118979539897</v>
      </c>
      <c r="H799" s="9">
        <v>3849.43642407178</v>
      </c>
      <c r="I799" s="21">
        <f t="shared" si="24"/>
        <v>0</v>
      </c>
      <c r="J799" s="21">
        <f t="shared" si="25"/>
        <v>0</v>
      </c>
    </row>
    <row r="800" spans="1:10" hidden="1">
      <c r="A800" t="s">
        <v>217</v>
      </c>
      <c r="B800" t="s">
        <v>219</v>
      </c>
      <c r="C800" s="18">
        <v>2035</v>
      </c>
      <c r="D800" t="s">
        <v>174</v>
      </c>
      <c r="E800" s="9">
        <v>16830.6420972909</v>
      </c>
      <c r="F800" s="9">
        <v>12112.814364394</v>
      </c>
      <c r="G800" s="9">
        <v>16830.6420972909</v>
      </c>
      <c r="H800" s="9">
        <v>12112.814364394</v>
      </c>
      <c r="I800" s="21">
        <f t="shared" si="24"/>
        <v>0</v>
      </c>
      <c r="J800" s="21">
        <f t="shared" si="25"/>
        <v>0</v>
      </c>
    </row>
    <row r="801" spans="1:10" hidden="1">
      <c r="A801" t="s">
        <v>217</v>
      </c>
      <c r="B801" t="s">
        <v>219</v>
      </c>
      <c r="C801" s="18">
        <v>2035</v>
      </c>
      <c r="D801" t="s">
        <v>236</v>
      </c>
      <c r="E801" s="9">
        <v>1162777.28327874</v>
      </c>
      <c r="F801" s="9">
        <v>210627.422792314</v>
      </c>
      <c r="G801" s="9">
        <v>1162777.28327874</v>
      </c>
      <c r="H801" s="9">
        <v>210627.422792314</v>
      </c>
      <c r="I801" s="21">
        <f t="shared" si="24"/>
        <v>0</v>
      </c>
      <c r="J801" s="21">
        <f t="shared" si="25"/>
        <v>0</v>
      </c>
    </row>
    <row r="802" spans="1:10" hidden="1">
      <c r="A802" t="s">
        <v>217</v>
      </c>
      <c r="B802" t="s">
        <v>219</v>
      </c>
      <c r="C802" s="18">
        <v>2035</v>
      </c>
      <c r="D802" t="s">
        <v>182</v>
      </c>
      <c r="E802" s="9">
        <v>120799.065903184</v>
      </c>
      <c r="F802" s="9">
        <v>79456.632421187605</v>
      </c>
      <c r="G802" s="9">
        <v>120799.065903184</v>
      </c>
      <c r="H802" s="9">
        <v>79456.632421187605</v>
      </c>
      <c r="I802" s="21">
        <f t="shared" si="24"/>
        <v>0</v>
      </c>
      <c r="J802" s="21">
        <f t="shared" si="25"/>
        <v>0</v>
      </c>
    </row>
    <row r="803" spans="1:10" hidden="1">
      <c r="A803" t="s">
        <v>217</v>
      </c>
      <c r="B803" t="s">
        <v>219</v>
      </c>
      <c r="C803" s="18">
        <v>2035</v>
      </c>
      <c r="D803" t="s">
        <v>185</v>
      </c>
      <c r="E803" s="9">
        <v>273345.36006293801</v>
      </c>
      <c r="F803" s="9">
        <v>256807.53223008101</v>
      </c>
      <c r="G803" s="9">
        <v>273345.36006293801</v>
      </c>
      <c r="H803" s="9">
        <v>256807.53223008101</v>
      </c>
      <c r="I803" s="21">
        <f t="shared" si="24"/>
        <v>0</v>
      </c>
      <c r="J803" s="21">
        <f t="shared" si="25"/>
        <v>0</v>
      </c>
    </row>
    <row r="804" spans="1:10" hidden="1">
      <c r="A804" t="s">
        <v>217</v>
      </c>
      <c r="B804" t="s">
        <v>219</v>
      </c>
      <c r="C804" s="18">
        <v>2035</v>
      </c>
      <c r="D804" t="s">
        <v>188</v>
      </c>
      <c r="E804" s="9">
        <v>678638.43452144298</v>
      </c>
      <c r="F804" s="9">
        <v>399492.95053299802</v>
      </c>
      <c r="G804" s="9">
        <v>678638.43452144298</v>
      </c>
      <c r="H804" s="9">
        <v>399492.95053299802</v>
      </c>
      <c r="I804" s="21">
        <f t="shared" si="24"/>
        <v>0</v>
      </c>
      <c r="J804" s="21">
        <f t="shared" si="25"/>
        <v>0</v>
      </c>
    </row>
    <row r="805" spans="1:10" hidden="1">
      <c r="A805" t="s">
        <v>217</v>
      </c>
      <c r="B805" t="s">
        <v>219</v>
      </c>
      <c r="C805" s="18">
        <v>2035</v>
      </c>
      <c r="D805" t="s">
        <v>191</v>
      </c>
      <c r="E805" s="9">
        <v>349146.06245576398</v>
      </c>
      <c r="F805" s="9">
        <v>185365.76110357899</v>
      </c>
      <c r="G805" s="9">
        <v>349146.06245576398</v>
      </c>
      <c r="H805" s="9">
        <v>185365.76110357899</v>
      </c>
      <c r="I805" s="21">
        <f t="shared" si="24"/>
        <v>0</v>
      </c>
      <c r="J805" s="21">
        <f t="shared" si="25"/>
        <v>0</v>
      </c>
    </row>
    <row r="806" spans="1:10" hidden="1">
      <c r="A806" t="s">
        <v>217</v>
      </c>
      <c r="B806" t="s">
        <v>219</v>
      </c>
      <c r="C806" s="18">
        <v>2035</v>
      </c>
      <c r="D806" t="s">
        <v>422</v>
      </c>
      <c r="E806" s="9">
        <v>37274.397901844597</v>
      </c>
      <c r="F806" s="9">
        <v>3710.43177455469</v>
      </c>
      <c r="G806" s="9">
        <v>37274.397901844597</v>
      </c>
      <c r="H806" s="9">
        <v>3710.43177455469</v>
      </c>
      <c r="I806" s="21">
        <f t="shared" si="24"/>
        <v>0</v>
      </c>
      <c r="J806" s="21">
        <f t="shared" si="25"/>
        <v>0</v>
      </c>
    </row>
    <row r="807" spans="1:10" hidden="1">
      <c r="A807" t="s">
        <v>217</v>
      </c>
      <c r="B807" t="s">
        <v>219</v>
      </c>
      <c r="C807" s="18">
        <v>2036</v>
      </c>
      <c r="D807" t="s">
        <v>174</v>
      </c>
      <c r="E807" s="9">
        <v>17392.609904070101</v>
      </c>
      <c r="F807" s="9">
        <v>12452.864013751599</v>
      </c>
      <c r="G807" s="9">
        <v>17392.609904070101</v>
      </c>
      <c r="H807" s="9">
        <v>12452.864013751599</v>
      </c>
      <c r="I807" s="21">
        <f t="shared" si="24"/>
        <v>0</v>
      </c>
      <c r="J807" s="21">
        <f t="shared" si="25"/>
        <v>0</v>
      </c>
    </row>
    <row r="808" spans="1:10" hidden="1">
      <c r="A808" t="s">
        <v>217</v>
      </c>
      <c r="B808" t="s">
        <v>219</v>
      </c>
      <c r="C808" s="18">
        <v>2036</v>
      </c>
      <c r="D808" t="s">
        <v>236</v>
      </c>
      <c r="E808" s="9">
        <v>1174085.51289072</v>
      </c>
      <c r="F808" s="9">
        <v>218906.62344450099</v>
      </c>
      <c r="G808" s="9">
        <v>1174085.51289072</v>
      </c>
      <c r="H808" s="9">
        <v>218906.62344450099</v>
      </c>
      <c r="I808" s="21">
        <f t="shared" si="24"/>
        <v>0</v>
      </c>
      <c r="J808" s="21">
        <f t="shared" si="25"/>
        <v>0</v>
      </c>
    </row>
    <row r="809" spans="1:10" hidden="1">
      <c r="A809" t="s">
        <v>217</v>
      </c>
      <c r="B809" t="s">
        <v>219</v>
      </c>
      <c r="C809" s="18">
        <v>2036</v>
      </c>
      <c r="D809" t="s">
        <v>182</v>
      </c>
      <c r="E809" s="9">
        <v>122618.320312187</v>
      </c>
      <c r="F809" s="9">
        <v>80302.842995522602</v>
      </c>
      <c r="G809" s="9">
        <v>122618.320312187</v>
      </c>
      <c r="H809" s="9">
        <v>80302.842995522602</v>
      </c>
      <c r="I809" s="21">
        <f t="shared" si="24"/>
        <v>0</v>
      </c>
      <c r="J809" s="21">
        <f t="shared" si="25"/>
        <v>0</v>
      </c>
    </row>
    <row r="810" spans="1:10" hidden="1">
      <c r="A810" t="s">
        <v>217</v>
      </c>
      <c r="B810" t="s">
        <v>219</v>
      </c>
      <c r="C810" s="18">
        <v>2036</v>
      </c>
      <c r="D810" t="s">
        <v>185</v>
      </c>
      <c r="E810" s="9">
        <v>273297.56982222799</v>
      </c>
      <c r="F810" s="9">
        <v>256933.39822934201</v>
      </c>
      <c r="G810" s="9">
        <v>273297.56982222799</v>
      </c>
      <c r="H810" s="9">
        <v>256933.39822934201</v>
      </c>
      <c r="I810" s="21">
        <f t="shared" si="24"/>
        <v>0</v>
      </c>
      <c r="J810" s="21">
        <f t="shared" si="25"/>
        <v>0</v>
      </c>
    </row>
    <row r="811" spans="1:10" hidden="1">
      <c r="A811" t="s">
        <v>217</v>
      </c>
      <c r="B811" t="s">
        <v>219</v>
      </c>
      <c r="C811" s="18">
        <v>2036</v>
      </c>
      <c r="D811" t="s">
        <v>188</v>
      </c>
      <c r="E811" s="9">
        <v>688194.68447559199</v>
      </c>
      <c r="F811" s="9">
        <v>405992.65349387802</v>
      </c>
      <c r="G811" s="9">
        <v>688194.68447559199</v>
      </c>
      <c r="H811" s="9">
        <v>405992.65349387802</v>
      </c>
      <c r="I811" s="21">
        <f t="shared" si="24"/>
        <v>0</v>
      </c>
      <c r="J811" s="21">
        <f t="shared" si="25"/>
        <v>0</v>
      </c>
    </row>
    <row r="812" spans="1:10" hidden="1">
      <c r="A812" t="s">
        <v>217</v>
      </c>
      <c r="B812" t="s">
        <v>219</v>
      </c>
      <c r="C812" s="18">
        <v>2036</v>
      </c>
      <c r="D812" t="s">
        <v>191</v>
      </c>
      <c r="E812" s="9">
        <v>352603.07171420398</v>
      </c>
      <c r="F812" s="9">
        <v>186417.92722248001</v>
      </c>
      <c r="G812" s="9">
        <v>352603.07171420398</v>
      </c>
      <c r="H812" s="9">
        <v>186417.92722248001</v>
      </c>
      <c r="I812" s="21">
        <f t="shared" si="24"/>
        <v>0</v>
      </c>
      <c r="J812" s="21">
        <f t="shared" si="25"/>
        <v>0</v>
      </c>
    </row>
    <row r="813" spans="1:10" hidden="1">
      <c r="A813" t="s">
        <v>217</v>
      </c>
      <c r="B813" t="s">
        <v>219</v>
      </c>
      <c r="C813" s="18">
        <v>2036</v>
      </c>
      <c r="D813" t="s">
        <v>422</v>
      </c>
      <c r="E813" s="9">
        <v>37283.027629395598</v>
      </c>
      <c r="F813" s="9">
        <v>3578.66006488627</v>
      </c>
      <c r="G813" s="9">
        <v>37283.027629395598</v>
      </c>
      <c r="H813" s="9">
        <v>3578.66006488627</v>
      </c>
      <c r="I813" s="21">
        <f t="shared" si="24"/>
        <v>0</v>
      </c>
      <c r="J813" s="21">
        <f t="shared" si="25"/>
        <v>0</v>
      </c>
    </row>
    <row r="814" spans="1:10" hidden="1">
      <c r="A814" t="s">
        <v>217</v>
      </c>
      <c r="B814" t="s">
        <v>219</v>
      </c>
      <c r="C814" s="18">
        <v>2037</v>
      </c>
      <c r="D814" t="s">
        <v>174</v>
      </c>
      <c r="E814" s="9">
        <v>17971.482864064201</v>
      </c>
      <c r="F814" s="9">
        <v>12799.479454561601</v>
      </c>
      <c r="G814" s="9">
        <v>17971.482864064201</v>
      </c>
      <c r="H814" s="9">
        <v>12799.479454561601</v>
      </c>
      <c r="I814" s="21">
        <f t="shared" si="24"/>
        <v>0</v>
      </c>
      <c r="J814" s="21">
        <f t="shared" si="25"/>
        <v>0</v>
      </c>
    </row>
    <row r="815" spans="1:10" hidden="1">
      <c r="A815" t="s">
        <v>217</v>
      </c>
      <c r="B815" t="s">
        <v>219</v>
      </c>
      <c r="C815" s="18">
        <v>2037</v>
      </c>
      <c r="D815" t="s">
        <v>236</v>
      </c>
      <c r="E815" s="9">
        <v>1185264.7438497699</v>
      </c>
      <c r="F815" s="9">
        <v>227145.85064844001</v>
      </c>
      <c r="G815" s="9">
        <v>1185264.7438497699</v>
      </c>
      <c r="H815" s="9">
        <v>227145.85064844001</v>
      </c>
      <c r="I815" s="21">
        <f t="shared" si="24"/>
        <v>0</v>
      </c>
      <c r="J815" s="21">
        <f t="shared" si="25"/>
        <v>0</v>
      </c>
    </row>
    <row r="816" spans="1:10" hidden="1">
      <c r="A816" t="s">
        <v>217</v>
      </c>
      <c r="B816" t="s">
        <v>219</v>
      </c>
      <c r="C816" s="18">
        <v>2037</v>
      </c>
      <c r="D816" t="s">
        <v>182</v>
      </c>
      <c r="E816" s="9">
        <v>124489.42976024401</v>
      </c>
      <c r="F816" s="9">
        <v>81244.691389584303</v>
      </c>
      <c r="G816" s="9">
        <v>124489.42976024401</v>
      </c>
      <c r="H816" s="9">
        <v>81244.691389584303</v>
      </c>
      <c r="I816" s="21">
        <f t="shared" si="24"/>
        <v>0</v>
      </c>
      <c r="J816" s="21">
        <f t="shared" si="25"/>
        <v>0</v>
      </c>
    </row>
    <row r="817" spans="1:10" hidden="1">
      <c r="A817" t="s">
        <v>217</v>
      </c>
      <c r="B817" t="s">
        <v>219</v>
      </c>
      <c r="C817" s="18">
        <v>2037</v>
      </c>
      <c r="D817" t="s">
        <v>185</v>
      </c>
      <c r="E817" s="9">
        <v>273202.80227406899</v>
      </c>
      <c r="F817" s="9">
        <v>257070.97314913399</v>
      </c>
      <c r="G817" s="9">
        <v>273202.80227406899</v>
      </c>
      <c r="H817" s="9">
        <v>257070.97314913399</v>
      </c>
      <c r="I817" s="21">
        <f t="shared" si="24"/>
        <v>0</v>
      </c>
      <c r="J817" s="21">
        <f t="shared" si="25"/>
        <v>0</v>
      </c>
    </row>
    <row r="818" spans="1:10" hidden="1">
      <c r="A818" t="s">
        <v>217</v>
      </c>
      <c r="B818" t="s">
        <v>219</v>
      </c>
      <c r="C818" s="18">
        <v>2037</v>
      </c>
      <c r="D818" t="s">
        <v>188</v>
      </c>
      <c r="E818" s="9">
        <v>698060.50212694705</v>
      </c>
      <c r="F818" s="9">
        <v>413018.343093551</v>
      </c>
      <c r="G818" s="9">
        <v>698060.50212694705</v>
      </c>
      <c r="H818" s="9">
        <v>413018.343093551</v>
      </c>
      <c r="I818" s="21">
        <f t="shared" si="24"/>
        <v>0</v>
      </c>
      <c r="J818" s="21">
        <f t="shared" si="25"/>
        <v>0</v>
      </c>
    </row>
    <row r="819" spans="1:10" hidden="1">
      <c r="A819" t="s">
        <v>217</v>
      </c>
      <c r="B819" t="s">
        <v>219</v>
      </c>
      <c r="C819" s="18">
        <v>2037</v>
      </c>
      <c r="D819" t="s">
        <v>191</v>
      </c>
      <c r="E819" s="9">
        <v>356425.67891865398</v>
      </c>
      <c r="F819" s="9">
        <v>187788.31252848901</v>
      </c>
      <c r="G819" s="9">
        <v>356425.67891865398</v>
      </c>
      <c r="H819" s="9">
        <v>187788.31252848901</v>
      </c>
      <c r="I819" s="21">
        <f t="shared" si="24"/>
        <v>0</v>
      </c>
      <c r="J819" s="21">
        <f t="shared" si="25"/>
        <v>0</v>
      </c>
    </row>
    <row r="820" spans="1:10" hidden="1">
      <c r="A820" t="s">
        <v>217</v>
      </c>
      <c r="B820" t="s">
        <v>219</v>
      </c>
      <c r="C820" s="18">
        <v>2037</v>
      </c>
      <c r="D820" t="s">
        <v>422</v>
      </c>
      <c r="E820" s="9">
        <v>36837.277480763201</v>
      </c>
      <c r="F820" s="9">
        <v>3450.1946557369902</v>
      </c>
      <c r="G820" s="9">
        <v>36837.277480763201</v>
      </c>
      <c r="H820" s="9">
        <v>3450.1946557369902</v>
      </c>
      <c r="I820" s="21">
        <f t="shared" si="24"/>
        <v>0</v>
      </c>
      <c r="J820" s="21">
        <f t="shared" si="25"/>
        <v>0</v>
      </c>
    </row>
    <row r="821" spans="1:10" hidden="1">
      <c r="A821" t="s">
        <v>217</v>
      </c>
      <c r="B821" t="s">
        <v>219</v>
      </c>
      <c r="C821" s="18">
        <v>2038</v>
      </c>
      <c r="D821" t="s">
        <v>174</v>
      </c>
      <c r="E821" s="9">
        <v>18564.7325343064</v>
      </c>
      <c r="F821" s="9">
        <v>13155.6038503287</v>
      </c>
      <c r="G821" s="9">
        <v>18564.7325343064</v>
      </c>
      <c r="H821" s="9">
        <v>13155.6038503287</v>
      </c>
      <c r="I821" s="21">
        <f t="shared" si="24"/>
        <v>0</v>
      </c>
      <c r="J821" s="21">
        <f t="shared" si="25"/>
        <v>0</v>
      </c>
    </row>
    <row r="822" spans="1:10" hidden="1">
      <c r="A822" t="s">
        <v>217</v>
      </c>
      <c r="B822" t="s">
        <v>219</v>
      </c>
      <c r="C822" s="18">
        <v>2038</v>
      </c>
      <c r="D822" t="s">
        <v>236</v>
      </c>
      <c r="E822" s="9">
        <v>1196314.5451145701</v>
      </c>
      <c r="F822" s="9">
        <v>235329.60149861901</v>
      </c>
      <c r="G822" s="9">
        <v>1196314.5451145701</v>
      </c>
      <c r="H822" s="9">
        <v>235329.60149861901</v>
      </c>
      <c r="I822" s="21">
        <f t="shared" si="24"/>
        <v>0</v>
      </c>
      <c r="J822" s="21">
        <f t="shared" si="25"/>
        <v>0</v>
      </c>
    </row>
    <row r="823" spans="1:10" hidden="1">
      <c r="A823" t="s">
        <v>217</v>
      </c>
      <c r="B823" t="s">
        <v>219</v>
      </c>
      <c r="C823" s="18">
        <v>2038</v>
      </c>
      <c r="D823" t="s">
        <v>182</v>
      </c>
      <c r="E823" s="9">
        <v>126555.833855502</v>
      </c>
      <c r="F823" s="9">
        <v>82253.930841494002</v>
      </c>
      <c r="G823" s="9">
        <v>126555.833855502</v>
      </c>
      <c r="H823" s="9">
        <v>82253.930841494002</v>
      </c>
      <c r="I823" s="21">
        <f t="shared" si="24"/>
        <v>0</v>
      </c>
      <c r="J823" s="21">
        <f t="shared" si="25"/>
        <v>0</v>
      </c>
    </row>
    <row r="824" spans="1:10" hidden="1">
      <c r="A824" t="s">
        <v>217</v>
      </c>
      <c r="B824" t="s">
        <v>219</v>
      </c>
      <c r="C824" s="18">
        <v>2038</v>
      </c>
      <c r="D824" t="s">
        <v>185</v>
      </c>
      <c r="E824" s="9">
        <v>273035.370644084</v>
      </c>
      <c r="F824" s="9">
        <v>257130.676610817</v>
      </c>
      <c r="G824" s="9">
        <v>273035.370644084</v>
      </c>
      <c r="H824" s="9">
        <v>257130.676610817</v>
      </c>
      <c r="I824" s="21">
        <f t="shared" si="24"/>
        <v>0</v>
      </c>
      <c r="J824" s="21">
        <f t="shared" si="25"/>
        <v>0</v>
      </c>
    </row>
    <row r="825" spans="1:10" hidden="1">
      <c r="A825" t="s">
        <v>217</v>
      </c>
      <c r="B825" t="s">
        <v>219</v>
      </c>
      <c r="C825" s="18">
        <v>2038</v>
      </c>
      <c r="D825" t="s">
        <v>188</v>
      </c>
      <c r="E825" s="9">
        <v>708674.57496129896</v>
      </c>
      <c r="F825" s="9">
        <v>420445.264129068</v>
      </c>
      <c r="G825" s="9">
        <v>708674.57496129896</v>
      </c>
      <c r="H825" s="9">
        <v>420445.264129068</v>
      </c>
      <c r="I825" s="21">
        <f t="shared" si="24"/>
        <v>0</v>
      </c>
      <c r="J825" s="21">
        <f t="shared" si="25"/>
        <v>0</v>
      </c>
    </row>
    <row r="826" spans="1:10" hidden="1">
      <c r="A826" t="s">
        <v>217</v>
      </c>
      <c r="B826" t="s">
        <v>219</v>
      </c>
      <c r="C826" s="18">
        <v>2038</v>
      </c>
      <c r="D826" t="s">
        <v>191</v>
      </c>
      <c r="E826" s="9">
        <v>360900.93527344998</v>
      </c>
      <c r="F826" s="9">
        <v>189347.42226660499</v>
      </c>
      <c r="G826" s="9">
        <v>360900.93527344998</v>
      </c>
      <c r="H826" s="9">
        <v>189347.42226660499</v>
      </c>
      <c r="I826" s="21">
        <f t="shared" si="24"/>
        <v>0</v>
      </c>
      <c r="J826" s="21">
        <f t="shared" si="25"/>
        <v>0</v>
      </c>
    </row>
    <row r="827" spans="1:10" hidden="1">
      <c r="A827" t="s">
        <v>217</v>
      </c>
      <c r="B827" t="s">
        <v>219</v>
      </c>
      <c r="C827" s="18">
        <v>2038</v>
      </c>
      <c r="D827" t="s">
        <v>422</v>
      </c>
      <c r="E827" s="9">
        <v>36551.441257778999</v>
      </c>
      <c r="F827" s="9">
        <v>3322.8215744210102</v>
      </c>
      <c r="G827" s="9">
        <v>36551.441257778999</v>
      </c>
      <c r="H827" s="9">
        <v>3322.8215744210102</v>
      </c>
      <c r="I827" s="21">
        <f t="shared" si="24"/>
        <v>0</v>
      </c>
      <c r="J827" s="21">
        <f t="shared" si="25"/>
        <v>0</v>
      </c>
    </row>
    <row r="828" spans="1:10" hidden="1">
      <c r="A828" t="s">
        <v>217</v>
      </c>
      <c r="B828" t="s">
        <v>219</v>
      </c>
      <c r="C828" s="18">
        <v>2039</v>
      </c>
      <c r="D828" t="s">
        <v>174</v>
      </c>
      <c r="E828" s="9">
        <v>19174.345745902901</v>
      </c>
      <c r="F828" s="9">
        <v>13516.7785061579</v>
      </c>
      <c r="G828" s="9">
        <v>19174.345745902901</v>
      </c>
      <c r="H828" s="9">
        <v>13516.7785061579</v>
      </c>
      <c r="I828" s="21">
        <f t="shared" si="24"/>
        <v>0</v>
      </c>
      <c r="J828" s="21">
        <f t="shared" si="25"/>
        <v>0</v>
      </c>
    </row>
    <row r="829" spans="1:10" hidden="1">
      <c r="A829" t="s">
        <v>217</v>
      </c>
      <c r="B829" t="s">
        <v>219</v>
      </c>
      <c r="C829" s="18">
        <v>2039</v>
      </c>
      <c r="D829" t="s">
        <v>236</v>
      </c>
      <c r="E829" s="9">
        <v>1206925.78308321</v>
      </c>
      <c r="F829" s="9">
        <v>243483.36403446301</v>
      </c>
      <c r="G829" s="9">
        <v>1206925.78308321</v>
      </c>
      <c r="H829" s="9">
        <v>243483.36403446301</v>
      </c>
      <c r="I829" s="21">
        <f t="shared" si="24"/>
        <v>0</v>
      </c>
      <c r="J829" s="21">
        <f t="shared" si="25"/>
        <v>0</v>
      </c>
    </row>
    <row r="830" spans="1:10" hidden="1">
      <c r="A830" t="s">
        <v>217</v>
      </c>
      <c r="B830" t="s">
        <v>219</v>
      </c>
      <c r="C830" s="18">
        <v>2039</v>
      </c>
      <c r="D830" t="s">
        <v>182</v>
      </c>
      <c r="E830" s="9">
        <v>128001.347826374</v>
      </c>
      <c r="F830" s="9">
        <v>83389.180958792305</v>
      </c>
      <c r="G830" s="9">
        <v>128001.347826374</v>
      </c>
      <c r="H830" s="9">
        <v>83389.180958792305</v>
      </c>
      <c r="I830" s="21">
        <f t="shared" si="24"/>
        <v>0</v>
      </c>
      <c r="J830" s="21">
        <f t="shared" si="25"/>
        <v>0</v>
      </c>
    </row>
    <row r="831" spans="1:10" hidden="1">
      <c r="A831" t="s">
        <v>217</v>
      </c>
      <c r="B831" t="s">
        <v>219</v>
      </c>
      <c r="C831" s="18">
        <v>2039</v>
      </c>
      <c r="D831" t="s">
        <v>185</v>
      </c>
      <c r="E831" s="9">
        <v>272973.34550101002</v>
      </c>
      <c r="F831" s="9">
        <v>257441.86914336999</v>
      </c>
      <c r="G831" s="9">
        <v>272973.34550101002</v>
      </c>
      <c r="H831" s="9">
        <v>257441.86914336999</v>
      </c>
      <c r="I831" s="21">
        <f t="shared" si="24"/>
        <v>0</v>
      </c>
      <c r="J831" s="21">
        <f t="shared" si="25"/>
        <v>0</v>
      </c>
    </row>
    <row r="832" spans="1:10" hidden="1">
      <c r="A832" t="s">
        <v>217</v>
      </c>
      <c r="B832" t="s">
        <v>219</v>
      </c>
      <c r="C832" s="18">
        <v>2039</v>
      </c>
      <c r="D832" t="s">
        <v>188</v>
      </c>
      <c r="E832" s="9">
        <v>715580.88708538504</v>
      </c>
      <c r="F832" s="9">
        <v>428444.56848174502</v>
      </c>
      <c r="G832" s="9">
        <v>715580.88708538504</v>
      </c>
      <c r="H832" s="9">
        <v>428444.56848174502</v>
      </c>
      <c r="I832" s="21">
        <f t="shared" si="24"/>
        <v>0</v>
      </c>
      <c r="J832" s="21">
        <f t="shared" si="25"/>
        <v>0</v>
      </c>
    </row>
    <row r="833" spans="1:10" hidden="1">
      <c r="A833" t="s">
        <v>217</v>
      </c>
      <c r="B833" t="s">
        <v>219</v>
      </c>
      <c r="C833" s="18">
        <v>2039</v>
      </c>
      <c r="D833" t="s">
        <v>191</v>
      </c>
      <c r="E833" s="9">
        <v>362969.198365508</v>
      </c>
      <c r="F833" s="9">
        <v>191929.610855123</v>
      </c>
      <c r="G833" s="9">
        <v>362969.198365508</v>
      </c>
      <c r="H833" s="9">
        <v>191929.610855123</v>
      </c>
      <c r="I833" s="21">
        <f t="shared" si="24"/>
        <v>0</v>
      </c>
      <c r="J833" s="21">
        <f t="shared" si="25"/>
        <v>0</v>
      </c>
    </row>
    <row r="834" spans="1:10" hidden="1">
      <c r="A834" t="s">
        <v>217</v>
      </c>
      <c r="B834" t="s">
        <v>219</v>
      </c>
      <c r="C834" s="18">
        <v>2039</v>
      </c>
      <c r="D834" t="s">
        <v>422</v>
      </c>
      <c r="E834" s="9">
        <v>36178.223844718399</v>
      </c>
      <c r="F834" s="9">
        <v>3198.0230538302199</v>
      </c>
      <c r="G834" s="9">
        <v>36178.223844718399</v>
      </c>
      <c r="H834" s="9">
        <v>3198.0230538302199</v>
      </c>
      <c r="I834" s="21">
        <f t="shared" ref="I834:I897" si="26">H834-F834</f>
        <v>0</v>
      </c>
      <c r="J834" s="21">
        <f t="shared" ref="J834:J897" si="27">G834-E834</f>
        <v>0</v>
      </c>
    </row>
    <row r="835" spans="1:10" hidden="1">
      <c r="A835" t="s">
        <v>217</v>
      </c>
      <c r="B835" t="s">
        <v>219</v>
      </c>
      <c r="C835" s="18">
        <v>2040</v>
      </c>
      <c r="D835" t="s">
        <v>174</v>
      </c>
      <c r="E835" s="9">
        <v>19805.505805764798</v>
      </c>
      <c r="F835" s="9">
        <v>13879.6732870407</v>
      </c>
      <c r="G835" s="9">
        <v>19805.505805764798</v>
      </c>
      <c r="H835" s="9">
        <v>13879.6732870407</v>
      </c>
      <c r="I835" s="21">
        <f t="shared" si="26"/>
        <v>0</v>
      </c>
      <c r="J835" s="21">
        <f t="shared" si="27"/>
        <v>0</v>
      </c>
    </row>
    <row r="836" spans="1:10" hidden="1">
      <c r="A836" t="s">
        <v>217</v>
      </c>
      <c r="B836" t="s">
        <v>219</v>
      </c>
      <c r="C836" s="18">
        <v>2040</v>
      </c>
      <c r="D836" t="s">
        <v>236</v>
      </c>
      <c r="E836" s="9">
        <v>1217029.49333677</v>
      </c>
      <c r="F836" s="9">
        <v>251591.89866486701</v>
      </c>
      <c r="G836" s="9">
        <v>1217029.49333677</v>
      </c>
      <c r="H836" s="9">
        <v>251591.89866486701</v>
      </c>
      <c r="I836" s="21">
        <f t="shared" si="26"/>
        <v>0</v>
      </c>
      <c r="J836" s="21">
        <f t="shared" si="27"/>
        <v>0</v>
      </c>
    </row>
    <row r="837" spans="1:10" hidden="1">
      <c r="A837" t="s">
        <v>217</v>
      </c>
      <c r="B837" t="s">
        <v>219</v>
      </c>
      <c r="C837" s="18">
        <v>2040</v>
      </c>
      <c r="D837" t="s">
        <v>182</v>
      </c>
      <c r="E837" s="9">
        <v>130079.117811465</v>
      </c>
      <c r="F837" s="9">
        <v>84431.891175836907</v>
      </c>
      <c r="G837" s="9">
        <v>130079.117811465</v>
      </c>
      <c r="H837" s="9">
        <v>84431.891175836907</v>
      </c>
      <c r="I837" s="21">
        <f t="shared" si="26"/>
        <v>0</v>
      </c>
      <c r="J837" s="21">
        <f t="shared" si="27"/>
        <v>0</v>
      </c>
    </row>
    <row r="838" spans="1:10" hidden="1">
      <c r="A838" t="s">
        <v>217</v>
      </c>
      <c r="B838" t="s">
        <v>219</v>
      </c>
      <c r="C838" s="18">
        <v>2040</v>
      </c>
      <c r="D838" t="s">
        <v>185</v>
      </c>
      <c r="E838" s="9">
        <v>272772.69297753199</v>
      </c>
      <c r="F838" s="9">
        <v>257451.80463236</v>
      </c>
      <c r="G838" s="9">
        <v>272772.69297753199</v>
      </c>
      <c r="H838" s="9">
        <v>257451.80463236</v>
      </c>
      <c r="I838" s="21">
        <f t="shared" si="26"/>
        <v>0</v>
      </c>
      <c r="J838" s="21">
        <f t="shared" si="27"/>
        <v>0</v>
      </c>
    </row>
    <row r="839" spans="1:10" hidden="1">
      <c r="A839" t="s">
        <v>217</v>
      </c>
      <c r="B839" t="s">
        <v>219</v>
      </c>
      <c r="C839" s="18">
        <v>2040</v>
      </c>
      <c r="D839" t="s">
        <v>188</v>
      </c>
      <c r="E839" s="9">
        <v>725057.85135654395</v>
      </c>
      <c r="F839" s="9">
        <v>435208.84098996199</v>
      </c>
      <c r="G839" s="9">
        <v>725057.85135654395</v>
      </c>
      <c r="H839" s="9">
        <v>435208.84098996199</v>
      </c>
      <c r="I839" s="21">
        <f t="shared" si="26"/>
        <v>0</v>
      </c>
      <c r="J839" s="21">
        <f t="shared" si="27"/>
        <v>0</v>
      </c>
    </row>
    <row r="840" spans="1:10" hidden="1">
      <c r="A840" t="s">
        <v>217</v>
      </c>
      <c r="B840" t="s">
        <v>219</v>
      </c>
      <c r="C840" s="18">
        <v>2040</v>
      </c>
      <c r="D840" t="s">
        <v>191</v>
      </c>
      <c r="E840" s="9">
        <v>366714.04580788402</v>
      </c>
      <c r="F840" s="9">
        <v>193853.25074776399</v>
      </c>
      <c r="G840" s="9">
        <v>366714.04580788402</v>
      </c>
      <c r="H840" s="9">
        <v>193853.25074776399</v>
      </c>
      <c r="I840" s="21">
        <f t="shared" si="26"/>
        <v>0</v>
      </c>
      <c r="J840" s="21">
        <f t="shared" si="27"/>
        <v>0</v>
      </c>
    </row>
    <row r="841" spans="1:10" hidden="1">
      <c r="A841" t="s">
        <v>217</v>
      </c>
      <c r="B841" t="s">
        <v>219</v>
      </c>
      <c r="C841" s="18">
        <v>2040</v>
      </c>
      <c r="D841" t="s">
        <v>422</v>
      </c>
      <c r="E841" s="9">
        <v>36005.028086341903</v>
      </c>
      <c r="F841" s="9">
        <v>3069.2518935015801</v>
      </c>
      <c r="G841" s="9">
        <v>36005.028086341903</v>
      </c>
      <c r="H841" s="9">
        <v>3069.2518935015801</v>
      </c>
      <c r="I841" s="21">
        <f t="shared" si="26"/>
        <v>0</v>
      </c>
      <c r="J841" s="21">
        <f t="shared" si="27"/>
        <v>0</v>
      </c>
    </row>
    <row r="842" spans="1:10" hidden="1">
      <c r="A842" t="s">
        <v>217</v>
      </c>
      <c r="B842" t="s">
        <v>219</v>
      </c>
      <c r="C842" s="18">
        <v>2041</v>
      </c>
      <c r="D842" t="s">
        <v>174</v>
      </c>
      <c r="E842" s="9">
        <v>20453.6267543422</v>
      </c>
      <c r="F842" s="9">
        <v>14249.536455216699</v>
      </c>
      <c r="G842" s="9">
        <v>20453.6267543422</v>
      </c>
      <c r="H842" s="9">
        <v>14249.536455216699</v>
      </c>
      <c r="I842" s="21">
        <f t="shared" si="26"/>
        <v>0</v>
      </c>
      <c r="J842" s="21">
        <f t="shared" si="27"/>
        <v>0</v>
      </c>
    </row>
    <row r="843" spans="1:10" hidden="1">
      <c r="A843" t="s">
        <v>217</v>
      </c>
      <c r="B843" t="s">
        <v>219</v>
      </c>
      <c r="C843" s="18">
        <v>2041</v>
      </c>
      <c r="D843" t="s">
        <v>236</v>
      </c>
      <c r="E843" s="9">
        <v>1226624.8107670301</v>
      </c>
      <c r="F843" s="9">
        <v>259677.195752453</v>
      </c>
      <c r="G843" s="9">
        <v>1226624.8107670301</v>
      </c>
      <c r="H843" s="9">
        <v>259677.195752453</v>
      </c>
      <c r="I843" s="21">
        <f t="shared" si="26"/>
        <v>0</v>
      </c>
      <c r="J843" s="21">
        <f t="shared" si="27"/>
        <v>0</v>
      </c>
    </row>
    <row r="844" spans="1:10" hidden="1">
      <c r="A844" t="s">
        <v>217</v>
      </c>
      <c r="B844" t="s">
        <v>219</v>
      </c>
      <c r="C844" s="18">
        <v>2041</v>
      </c>
      <c r="D844" t="s">
        <v>182</v>
      </c>
      <c r="E844" s="9">
        <v>132229.629710176</v>
      </c>
      <c r="F844" s="9">
        <v>85532.319590607702</v>
      </c>
      <c r="G844" s="9">
        <v>132229.629710176</v>
      </c>
      <c r="H844" s="9">
        <v>85532.319590607702</v>
      </c>
      <c r="I844" s="21">
        <f t="shared" si="26"/>
        <v>0</v>
      </c>
      <c r="J844" s="21">
        <f t="shared" si="27"/>
        <v>0</v>
      </c>
    </row>
    <row r="845" spans="1:10" hidden="1">
      <c r="A845" t="s">
        <v>217</v>
      </c>
      <c r="B845" t="s">
        <v>219</v>
      </c>
      <c r="C845" s="18">
        <v>2041</v>
      </c>
      <c r="D845" t="s">
        <v>185</v>
      </c>
      <c r="E845" s="9">
        <v>272611.75367129099</v>
      </c>
      <c r="F845" s="9">
        <v>257389.63175428601</v>
      </c>
      <c r="G845" s="9">
        <v>272611.75367129099</v>
      </c>
      <c r="H845" s="9">
        <v>257389.63175428601</v>
      </c>
      <c r="I845" s="21">
        <f t="shared" si="26"/>
        <v>0</v>
      </c>
      <c r="J845" s="21">
        <f t="shared" si="27"/>
        <v>0</v>
      </c>
    </row>
    <row r="846" spans="1:10" hidden="1">
      <c r="A846" t="s">
        <v>217</v>
      </c>
      <c r="B846" t="s">
        <v>219</v>
      </c>
      <c r="C846" s="18">
        <v>2041</v>
      </c>
      <c r="D846" t="s">
        <v>188</v>
      </c>
      <c r="E846" s="9">
        <v>734627.74007540499</v>
      </c>
      <c r="F846" s="9">
        <v>442324.30640679202</v>
      </c>
      <c r="G846" s="9">
        <v>734627.74007540499</v>
      </c>
      <c r="H846" s="9">
        <v>442324.30640679202</v>
      </c>
      <c r="I846" s="21">
        <f t="shared" si="26"/>
        <v>0</v>
      </c>
      <c r="J846" s="21">
        <f t="shared" si="27"/>
        <v>0</v>
      </c>
    </row>
    <row r="847" spans="1:10" hidden="1">
      <c r="A847" t="s">
        <v>217</v>
      </c>
      <c r="B847" t="s">
        <v>219</v>
      </c>
      <c r="C847" s="18">
        <v>2041</v>
      </c>
      <c r="D847" t="s">
        <v>191</v>
      </c>
      <c r="E847" s="9">
        <v>370436.97560679301</v>
      </c>
      <c r="F847" s="9">
        <v>195926.90720139601</v>
      </c>
      <c r="G847" s="9">
        <v>370436.97560679301</v>
      </c>
      <c r="H847" s="9">
        <v>195926.90720139601</v>
      </c>
      <c r="I847" s="21">
        <f t="shared" si="26"/>
        <v>0</v>
      </c>
      <c r="J847" s="21">
        <f t="shared" si="27"/>
        <v>0</v>
      </c>
    </row>
    <row r="848" spans="1:10" hidden="1">
      <c r="A848" t="s">
        <v>217</v>
      </c>
      <c r="B848" t="s">
        <v>219</v>
      </c>
      <c r="C848" s="18">
        <v>2041</v>
      </c>
      <c r="D848" t="s">
        <v>422</v>
      </c>
      <c r="E848" s="9">
        <v>35900.765054072101</v>
      </c>
      <c r="F848" s="9">
        <v>2944.01552271229</v>
      </c>
      <c r="G848" s="9">
        <v>35900.765054072101</v>
      </c>
      <c r="H848" s="9">
        <v>2944.01552271229</v>
      </c>
      <c r="I848" s="21">
        <f t="shared" si="26"/>
        <v>0</v>
      </c>
      <c r="J848" s="21">
        <f t="shared" si="27"/>
        <v>0</v>
      </c>
    </row>
    <row r="849" spans="1:10" hidden="1">
      <c r="A849" t="s">
        <v>217</v>
      </c>
      <c r="B849" t="s">
        <v>219</v>
      </c>
      <c r="C849" s="18">
        <v>2042</v>
      </c>
      <c r="D849" t="s">
        <v>174</v>
      </c>
      <c r="E849" s="9">
        <v>21115.581702688502</v>
      </c>
      <c r="F849" s="9">
        <v>14626.319006600401</v>
      </c>
      <c r="G849" s="9">
        <v>21115.581702688502</v>
      </c>
      <c r="H849" s="9">
        <v>14626.319006600401</v>
      </c>
      <c r="I849" s="21">
        <f t="shared" si="26"/>
        <v>0</v>
      </c>
      <c r="J849" s="21">
        <f t="shared" si="27"/>
        <v>0</v>
      </c>
    </row>
    <row r="850" spans="1:10" hidden="1">
      <c r="A850" t="s">
        <v>217</v>
      </c>
      <c r="B850" t="s">
        <v>219</v>
      </c>
      <c r="C850" s="18">
        <v>2042</v>
      </c>
      <c r="D850" t="s">
        <v>236</v>
      </c>
      <c r="E850" s="9">
        <v>1235703.75022274</v>
      </c>
      <c r="F850" s="9">
        <v>267778.732534162</v>
      </c>
      <c r="G850" s="9">
        <v>1235703.75022274</v>
      </c>
      <c r="H850" s="9">
        <v>267778.732534162</v>
      </c>
      <c r="I850" s="21">
        <f t="shared" si="26"/>
        <v>0</v>
      </c>
      <c r="J850" s="21">
        <f t="shared" si="27"/>
        <v>0</v>
      </c>
    </row>
    <row r="851" spans="1:10" hidden="1">
      <c r="A851" t="s">
        <v>217</v>
      </c>
      <c r="B851" t="s">
        <v>219</v>
      </c>
      <c r="C851" s="18">
        <v>2042</v>
      </c>
      <c r="D851" t="s">
        <v>182</v>
      </c>
      <c r="E851" s="9">
        <v>134351.62604870801</v>
      </c>
      <c r="F851" s="9">
        <v>86657.313221329707</v>
      </c>
      <c r="G851" s="9">
        <v>134351.62604870801</v>
      </c>
      <c r="H851" s="9">
        <v>86657.313221329707</v>
      </c>
      <c r="I851" s="21">
        <f t="shared" si="26"/>
        <v>0</v>
      </c>
      <c r="J851" s="21">
        <f t="shared" si="27"/>
        <v>0</v>
      </c>
    </row>
    <row r="852" spans="1:10" hidden="1">
      <c r="A852" t="s">
        <v>217</v>
      </c>
      <c r="B852" t="s">
        <v>219</v>
      </c>
      <c r="C852" s="18">
        <v>2042</v>
      </c>
      <c r="D852" t="s">
        <v>185</v>
      </c>
      <c r="E852" s="9">
        <v>272280.658720601</v>
      </c>
      <c r="F852" s="9">
        <v>257198.34975601899</v>
      </c>
      <c r="G852" s="9">
        <v>272280.658720601</v>
      </c>
      <c r="H852" s="9">
        <v>257198.34975601899</v>
      </c>
      <c r="I852" s="21">
        <f t="shared" si="26"/>
        <v>0</v>
      </c>
      <c r="J852" s="21">
        <f t="shared" si="27"/>
        <v>0</v>
      </c>
    </row>
    <row r="853" spans="1:10" hidden="1">
      <c r="A853" t="s">
        <v>217</v>
      </c>
      <c r="B853" t="s">
        <v>219</v>
      </c>
      <c r="C853" s="18">
        <v>2042</v>
      </c>
      <c r="D853" t="s">
        <v>188</v>
      </c>
      <c r="E853" s="9">
        <v>744313.272667757</v>
      </c>
      <c r="F853" s="9">
        <v>449601.26122749498</v>
      </c>
      <c r="G853" s="9">
        <v>744313.272667757</v>
      </c>
      <c r="H853" s="9">
        <v>449601.26122749498</v>
      </c>
      <c r="I853" s="21">
        <f t="shared" si="26"/>
        <v>0</v>
      </c>
      <c r="J853" s="21">
        <f t="shared" si="27"/>
        <v>0</v>
      </c>
    </row>
    <row r="854" spans="1:10" hidden="1">
      <c r="A854" t="s">
        <v>217</v>
      </c>
      <c r="B854" t="s">
        <v>219</v>
      </c>
      <c r="C854" s="18">
        <v>2042</v>
      </c>
      <c r="D854" t="s">
        <v>191</v>
      </c>
      <c r="E854" s="9">
        <v>374419.26204563602</v>
      </c>
      <c r="F854" s="9">
        <v>198082.81410371399</v>
      </c>
      <c r="G854" s="9">
        <v>374419.26204563602</v>
      </c>
      <c r="H854" s="9">
        <v>198082.81410371399</v>
      </c>
      <c r="I854" s="21">
        <f t="shared" si="26"/>
        <v>0</v>
      </c>
      <c r="J854" s="21">
        <f t="shared" si="27"/>
        <v>0</v>
      </c>
    </row>
    <row r="855" spans="1:10" hidden="1">
      <c r="A855" t="s">
        <v>217</v>
      </c>
      <c r="B855" t="s">
        <v>219</v>
      </c>
      <c r="C855" s="18">
        <v>2042</v>
      </c>
      <c r="D855" t="s">
        <v>422</v>
      </c>
      <c r="E855" s="9">
        <v>35516.840593533198</v>
      </c>
      <c r="F855" s="9">
        <v>2820.5122126446799</v>
      </c>
      <c r="G855" s="9">
        <v>35516.840593533198</v>
      </c>
      <c r="H855" s="9">
        <v>2820.5122126446799</v>
      </c>
      <c r="I855" s="21">
        <f t="shared" si="26"/>
        <v>0</v>
      </c>
      <c r="J855" s="21">
        <f t="shared" si="27"/>
        <v>0</v>
      </c>
    </row>
    <row r="856" spans="1:10" hidden="1">
      <c r="A856" t="s">
        <v>217</v>
      </c>
      <c r="B856" t="s">
        <v>219</v>
      </c>
      <c r="C856" s="18">
        <v>2043</v>
      </c>
      <c r="D856" t="s">
        <v>174</v>
      </c>
      <c r="E856" s="9">
        <v>21789.125656033499</v>
      </c>
      <c r="F856" s="9">
        <v>15004.086115812899</v>
      </c>
      <c r="G856" s="9">
        <v>21789.125656033499</v>
      </c>
      <c r="H856" s="9">
        <v>15004.086115812899</v>
      </c>
      <c r="I856" s="21">
        <f t="shared" si="26"/>
        <v>0</v>
      </c>
      <c r="J856" s="21">
        <f t="shared" si="27"/>
        <v>0</v>
      </c>
    </row>
    <row r="857" spans="1:10" hidden="1">
      <c r="A857" t="s">
        <v>217</v>
      </c>
      <c r="B857" t="s">
        <v>219</v>
      </c>
      <c r="C857" s="18">
        <v>2043</v>
      </c>
      <c r="D857" t="s">
        <v>236</v>
      </c>
      <c r="E857" s="9">
        <v>1244246.5115360599</v>
      </c>
      <c r="F857" s="9">
        <v>275876.99548631802</v>
      </c>
      <c r="G857" s="9">
        <v>1244246.5115360599</v>
      </c>
      <c r="H857" s="9">
        <v>275876.99548631802</v>
      </c>
      <c r="I857" s="21">
        <f t="shared" si="26"/>
        <v>0</v>
      </c>
      <c r="J857" s="21">
        <f t="shared" si="27"/>
        <v>0</v>
      </c>
    </row>
    <row r="858" spans="1:10" hidden="1">
      <c r="A858" t="s">
        <v>217</v>
      </c>
      <c r="B858" t="s">
        <v>219</v>
      </c>
      <c r="C858" s="18">
        <v>2043</v>
      </c>
      <c r="D858" t="s">
        <v>182</v>
      </c>
      <c r="E858" s="9">
        <v>136601.974960575</v>
      </c>
      <c r="F858" s="9">
        <v>87779.034425801001</v>
      </c>
      <c r="G858" s="9">
        <v>136601.974960575</v>
      </c>
      <c r="H858" s="9">
        <v>87779.034425801001</v>
      </c>
      <c r="I858" s="21">
        <f t="shared" si="26"/>
        <v>0</v>
      </c>
      <c r="J858" s="21">
        <f t="shared" si="27"/>
        <v>0</v>
      </c>
    </row>
    <row r="859" spans="1:10" hidden="1">
      <c r="A859" t="s">
        <v>217</v>
      </c>
      <c r="B859" t="s">
        <v>219</v>
      </c>
      <c r="C859" s="18">
        <v>2043</v>
      </c>
      <c r="D859" t="s">
        <v>185</v>
      </c>
      <c r="E859" s="9">
        <v>271689.79422675102</v>
      </c>
      <c r="F859" s="9">
        <v>256777.58715706799</v>
      </c>
      <c r="G859" s="9">
        <v>271689.79422675102</v>
      </c>
      <c r="H859" s="9">
        <v>256777.58715706799</v>
      </c>
      <c r="I859" s="21">
        <f t="shared" si="26"/>
        <v>0</v>
      </c>
      <c r="J859" s="21">
        <f t="shared" si="27"/>
        <v>0</v>
      </c>
    </row>
    <row r="860" spans="1:10" hidden="1">
      <c r="A860" t="s">
        <v>217</v>
      </c>
      <c r="B860" t="s">
        <v>219</v>
      </c>
      <c r="C860" s="18">
        <v>2043</v>
      </c>
      <c r="D860" t="s">
        <v>188</v>
      </c>
      <c r="E860" s="9">
        <v>754370.89241350198</v>
      </c>
      <c r="F860" s="9">
        <v>456915.72204617201</v>
      </c>
      <c r="G860" s="9">
        <v>754370.89241350198</v>
      </c>
      <c r="H860" s="9">
        <v>456915.72204617201</v>
      </c>
      <c r="I860" s="21">
        <f t="shared" si="26"/>
        <v>0</v>
      </c>
      <c r="J860" s="21">
        <f t="shared" si="27"/>
        <v>0</v>
      </c>
    </row>
    <row r="861" spans="1:10" hidden="1">
      <c r="A861" t="s">
        <v>217</v>
      </c>
      <c r="B861" t="s">
        <v>219</v>
      </c>
      <c r="C861" s="18">
        <v>2043</v>
      </c>
      <c r="D861" t="s">
        <v>191</v>
      </c>
      <c r="E861" s="9">
        <v>378766.53451535699</v>
      </c>
      <c r="F861" s="9">
        <v>200204.274251736</v>
      </c>
      <c r="G861" s="9">
        <v>378766.53451535699</v>
      </c>
      <c r="H861" s="9">
        <v>200204.274251736</v>
      </c>
      <c r="I861" s="21">
        <f t="shared" si="26"/>
        <v>0</v>
      </c>
      <c r="J861" s="21">
        <f t="shared" si="27"/>
        <v>0</v>
      </c>
    </row>
    <row r="862" spans="1:10" hidden="1">
      <c r="A862" t="s">
        <v>217</v>
      </c>
      <c r="B862" t="s">
        <v>219</v>
      </c>
      <c r="C862" s="18">
        <v>2043</v>
      </c>
      <c r="D862" t="s">
        <v>422</v>
      </c>
      <c r="E862" s="9">
        <v>35328.773203308199</v>
      </c>
      <c r="F862" s="9">
        <v>2698.3309296050402</v>
      </c>
      <c r="G862" s="9">
        <v>35328.773203308199</v>
      </c>
      <c r="H862" s="9">
        <v>2698.3309296050402</v>
      </c>
      <c r="I862" s="21">
        <f t="shared" si="26"/>
        <v>0</v>
      </c>
      <c r="J862" s="21">
        <f t="shared" si="27"/>
        <v>0</v>
      </c>
    </row>
    <row r="863" spans="1:10" hidden="1">
      <c r="A863" t="s">
        <v>217</v>
      </c>
      <c r="B863" t="s">
        <v>219</v>
      </c>
      <c r="C863" s="18">
        <v>2044</v>
      </c>
      <c r="D863" t="s">
        <v>174</v>
      </c>
      <c r="E863" s="9">
        <v>22472.405778779801</v>
      </c>
      <c r="F863" s="9">
        <v>15388.638261887199</v>
      </c>
      <c r="G863" s="9">
        <v>22472.405778779801</v>
      </c>
      <c r="H863" s="9">
        <v>15388.638261887199</v>
      </c>
      <c r="I863" s="21">
        <f t="shared" si="26"/>
        <v>0</v>
      </c>
      <c r="J863" s="21">
        <f t="shared" si="27"/>
        <v>0</v>
      </c>
    </row>
    <row r="864" spans="1:10" hidden="1">
      <c r="A864" t="s">
        <v>217</v>
      </c>
      <c r="B864" t="s">
        <v>219</v>
      </c>
      <c r="C864" s="18">
        <v>2044</v>
      </c>
      <c r="D864" t="s">
        <v>236</v>
      </c>
      <c r="E864" s="9">
        <v>1252519.7576166999</v>
      </c>
      <c r="F864" s="9">
        <v>283902.05041687097</v>
      </c>
      <c r="G864" s="9">
        <v>1252519.7576166999</v>
      </c>
      <c r="H864" s="9">
        <v>283902.05041687097</v>
      </c>
      <c r="I864" s="21">
        <f t="shared" si="26"/>
        <v>0</v>
      </c>
      <c r="J864" s="21">
        <f t="shared" si="27"/>
        <v>0</v>
      </c>
    </row>
    <row r="865" spans="1:10" hidden="1">
      <c r="A865" t="s">
        <v>217</v>
      </c>
      <c r="B865" t="s">
        <v>219</v>
      </c>
      <c r="C865" s="18">
        <v>2044</v>
      </c>
      <c r="D865" t="s">
        <v>182</v>
      </c>
      <c r="E865" s="9">
        <v>138127.80749224901</v>
      </c>
      <c r="F865" s="9">
        <v>88912.446286897801</v>
      </c>
      <c r="G865" s="9">
        <v>138127.80749224901</v>
      </c>
      <c r="H865" s="9">
        <v>88912.446286897801</v>
      </c>
      <c r="I865" s="21">
        <f t="shared" si="26"/>
        <v>0</v>
      </c>
      <c r="J865" s="21">
        <f t="shared" si="27"/>
        <v>0</v>
      </c>
    </row>
    <row r="866" spans="1:10" hidden="1">
      <c r="A866" t="s">
        <v>217</v>
      </c>
      <c r="B866" t="s">
        <v>219</v>
      </c>
      <c r="C866" s="18">
        <v>2044</v>
      </c>
      <c r="D866" t="s">
        <v>185</v>
      </c>
      <c r="E866" s="9">
        <v>270981.060601887</v>
      </c>
      <c r="F866" s="9">
        <v>256436.399818879</v>
      </c>
      <c r="G866" s="9">
        <v>270981.060601887</v>
      </c>
      <c r="H866" s="9">
        <v>256436.399818879</v>
      </c>
      <c r="I866" s="21">
        <f t="shared" si="26"/>
        <v>0</v>
      </c>
      <c r="J866" s="21">
        <f t="shared" si="27"/>
        <v>0</v>
      </c>
    </row>
    <row r="867" spans="1:10" hidden="1">
      <c r="A867" t="s">
        <v>217</v>
      </c>
      <c r="B867" t="s">
        <v>219</v>
      </c>
      <c r="C867" s="18">
        <v>2044</v>
      </c>
      <c r="D867" t="s">
        <v>188</v>
      </c>
      <c r="E867" s="9">
        <v>760751.52916181902</v>
      </c>
      <c r="F867" s="9">
        <v>464236.62382849702</v>
      </c>
      <c r="G867" s="9">
        <v>760751.52916181902</v>
      </c>
      <c r="H867" s="9">
        <v>464236.62382849702</v>
      </c>
      <c r="I867" s="21">
        <f t="shared" si="26"/>
        <v>0</v>
      </c>
      <c r="J867" s="21">
        <f t="shared" si="27"/>
        <v>0</v>
      </c>
    </row>
    <row r="868" spans="1:10" hidden="1">
      <c r="A868" t="s">
        <v>217</v>
      </c>
      <c r="B868" t="s">
        <v>219</v>
      </c>
      <c r="C868" s="18">
        <v>2044</v>
      </c>
      <c r="D868" t="s">
        <v>191</v>
      </c>
      <c r="E868" s="9">
        <v>380754.51437457599</v>
      </c>
      <c r="F868" s="9">
        <v>202762.43540540201</v>
      </c>
      <c r="G868" s="9">
        <v>380754.51437457599</v>
      </c>
      <c r="H868" s="9">
        <v>202762.43540540201</v>
      </c>
      <c r="I868" s="21">
        <f t="shared" si="26"/>
        <v>0</v>
      </c>
      <c r="J868" s="21">
        <f t="shared" si="27"/>
        <v>0</v>
      </c>
    </row>
    <row r="869" spans="1:10" hidden="1">
      <c r="A869" t="s">
        <v>217</v>
      </c>
      <c r="B869" t="s">
        <v>219</v>
      </c>
      <c r="C869" s="18">
        <v>2044</v>
      </c>
      <c r="D869" t="s">
        <v>422</v>
      </c>
      <c r="E869" s="9">
        <v>35046.705207959298</v>
      </c>
      <c r="F869" s="9">
        <v>2573.7926243052102</v>
      </c>
      <c r="G869" s="9">
        <v>35046.705207959298</v>
      </c>
      <c r="H869" s="9">
        <v>2573.7926243052102</v>
      </c>
      <c r="I869" s="21">
        <f t="shared" si="26"/>
        <v>0</v>
      </c>
      <c r="J869" s="21">
        <f t="shared" si="27"/>
        <v>0</v>
      </c>
    </row>
    <row r="870" spans="1:10" hidden="1">
      <c r="A870" t="s">
        <v>217</v>
      </c>
      <c r="B870" t="s">
        <v>219</v>
      </c>
      <c r="C870" s="18">
        <v>2045</v>
      </c>
      <c r="D870" t="s">
        <v>174</v>
      </c>
      <c r="E870" s="9">
        <v>23166.945688051499</v>
      </c>
      <c r="F870" s="9">
        <v>15771.7189092791</v>
      </c>
      <c r="G870" s="9">
        <v>23166.945688051499</v>
      </c>
      <c r="H870" s="9">
        <v>15771.7189092791</v>
      </c>
      <c r="I870" s="21">
        <f t="shared" si="26"/>
        <v>0</v>
      </c>
      <c r="J870" s="21">
        <f t="shared" si="27"/>
        <v>0</v>
      </c>
    </row>
    <row r="871" spans="1:10" hidden="1">
      <c r="A871" t="s">
        <v>217</v>
      </c>
      <c r="B871" t="s">
        <v>219</v>
      </c>
      <c r="C871" s="18">
        <v>2045</v>
      </c>
      <c r="D871" t="s">
        <v>236</v>
      </c>
      <c r="E871" s="9">
        <v>1260592.98702146</v>
      </c>
      <c r="F871" s="9">
        <v>291822.02754025703</v>
      </c>
      <c r="G871" s="9">
        <v>1260592.98702146</v>
      </c>
      <c r="H871" s="9">
        <v>291822.02754025703</v>
      </c>
      <c r="I871" s="21">
        <f t="shared" si="26"/>
        <v>0</v>
      </c>
      <c r="J871" s="21">
        <f t="shared" si="27"/>
        <v>0</v>
      </c>
    </row>
    <row r="872" spans="1:10" hidden="1">
      <c r="A872" t="s">
        <v>217</v>
      </c>
      <c r="B872" t="s">
        <v>219</v>
      </c>
      <c r="C872" s="18">
        <v>2045</v>
      </c>
      <c r="D872" t="s">
        <v>182</v>
      </c>
      <c r="E872" s="9">
        <v>140172.77481552499</v>
      </c>
      <c r="F872" s="9">
        <v>90041.604590588802</v>
      </c>
      <c r="G872" s="9">
        <v>140172.77481552499</v>
      </c>
      <c r="H872" s="9">
        <v>90041.604590588802</v>
      </c>
      <c r="I872" s="21">
        <f t="shared" si="26"/>
        <v>0</v>
      </c>
      <c r="J872" s="21">
        <f t="shared" si="27"/>
        <v>0</v>
      </c>
    </row>
    <row r="873" spans="1:10" hidden="1">
      <c r="A873" t="s">
        <v>217</v>
      </c>
      <c r="B873" t="s">
        <v>219</v>
      </c>
      <c r="C873" s="18">
        <v>2045</v>
      </c>
      <c r="D873" t="s">
        <v>185</v>
      </c>
      <c r="E873" s="9">
        <v>270438.60315228201</v>
      </c>
      <c r="F873" s="9">
        <v>255976.90811330499</v>
      </c>
      <c r="G873" s="9">
        <v>270438.60315228201</v>
      </c>
      <c r="H873" s="9">
        <v>255976.90811330499</v>
      </c>
      <c r="I873" s="21">
        <f t="shared" si="26"/>
        <v>0</v>
      </c>
      <c r="J873" s="21">
        <f t="shared" si="27"/>
        <v>0</v>
      </c>
    </row>
    <row r="874" spans="1:10" hidden="1">
      <c r="A874" t="s">
        <v>217</v>
      </c>
      <c r="B874" t="s">
        <v>219</v>
      </c>
      <c r="C874" s="18">
        <v>2045</v>
      </c>
      <c r="D874" t="s">
        <v>188</v>
      </c>
      <c r="E874" s="9">
        <v>769313.803212411</v>
      </c>
      <c r="F874" s="9">
        <v>470920.29436777002</v>
      </c>
      <c r="G874" s="9">
        <v>769313.803212411</v>
      </c>
      <c r="H874" s="9">
        <v>470920.29436777002</v>
      </c>
      <c r="I874" s="21">
        <f t="shared" si="26"/>
        <v>0</v>
      </c>
      <c r="J874" s="21">
        <f t="shared" si="27"/>
        <v>0</v>
      </c>
    </row>
    <row r="875" spans="1:10" hidden="1">
      <c r="A875" t="s">
        <v>217</v>
      </c>
      <c r="B875" t="s">
        <v>219</v>
      </c>
      <c r="C875" s="18">
        <v>2045</v>
      </c>
      <c r="D875" t="s">
        <v>191</v>
      </c>
      <c r="E875" s="9">
        <v>383936.19252461498</v>
      </c>
      <c r="F875" s="9">
        <v>204869.32889798901</v>
      </c>
      <c r="G875" s="9">
        <v>383936.19252461498</v>
      </c>
      <c r="H875" s="9">
        <v>204869.32889798901</v>
      </c>
      <c r="I875" s="21">
        <f t="shared" si="26"/>
        <v>0</v>
      </c>
      <c r="J875" s="21">
        <f t="shared" si="27"/>
        <v>0</v>
      </c>
    </row>
    <row r="876" spans="1:10" hidden="1">
      <c r="A876" t="s">
        <v>217</v>
      </c>
      <c r="B876" t="s">
        <v>219</v>
      </c>
      <c r="C876" s="18">
        <v>2045</v>
      </c>
      <c r="D876" t="s">
        <v>422</v>
      </c>
      <c r="E876" s="9">
        <v>34846.715156222701</v>
      </c>
      <c r="F876" s="9">
        <v>2452.74707379338</v>
      </c>
      <c r="G876" s="9">
        <v>34846.715156222701</v>
      </c>
      <c r="H876" s="9">
        <v>2452.74707379338</v>
      </c>
      <c r="I876" s="21">
        <f t="shared" si="26"/>
        <v>0</v>
      </c>
      <c r="J876" s="21">
        <f t="shared" si="27"/>
        <v>0</v>
      </c>
    </row>
    <row r="877" spans="1:10" hidden="1">
      <c r="A877" t="s">
        <v>217</v>
      </c>
      <c r="B877" t="s">
        <v>219</v>
      </c>
      <c r="C877" s="18">
        <v>2046</v>
      </c>
      <c r="D877" t="s">
        <v>174</v>
      </c>
      <c r="E877" s="9">
        <v>23868.217944038799</v>
      </c>
      <c r="F877" s="9">
        <v>16165.2905403234</v>
      </c>
      <c r="G877" s="9">
        <v>23868.217944038799</v>
      </c>
      <c r="H877" s="9">
        <v>16165.2905403234</v>
      </c>
      <c r="I877" s="21">
        <f t="shared" si="26"/>
        <v>0</v>
      </c>
      <c r="J877" s="21">
        <f t="shared" si="27"/>
        <v>0</v>
      </c>
    </row>
    <row r="878" spans="1:10" hidden="1">
      <c r="A878" t="s">
        <v>217</v>
      </c>
      <c r="B878" t="s">
        <v>219</v>
      </c>
      <c r="C878" s="18">
        <v>2046</v>
      </c>
      <c r="D878" t="s">
        <v>236</v>
      </c>
      <c r="E878" s="9">
        <v>1268475.9563321201</v>
      </c>
      <c r="F878" s="9">
        <v>299596.92866613797</v>
      </c>
      <c r="G878" s="9">
        <v>1268475.9563321201</v>
      </c>
      <c r="H878" s="9">
        <v>299596.92866613797</v>
      </c>
      <c r="I878" s="21">
        <f t="shared" si="26"/>
        <v>0</v>
      </c>
      <c r="J878" s="21">
        <f t="shared" si="27"/>
        <v>0</v>
      </c>
    </row>
    <row r="879" spans="1:10" hidden="1">
      <c r="A879" t="s">
        <v>217</v>
      </c>
      <c r="B879" t="s">
        <v>219</v>
      </c>
      <c r="C879" s="18">
        <v>2046</v>
      </c>
      <c r="D879" t="s">
        <v>182</v>
      </c>
      <c r="E879" s="9">
        <v>142194.05365060701</v>
      </c>
      <c r="F879" s="9">
        <v>91198.890942598402</v>
      </c>
      <c r="G879" s="9">
        <v>142194.05365060701</v>
      </c>
      <c r="H879" s="9">
        <v>91198.890942598402</v>
      </c>
      <c r="I879" s="21">
        <f t="shared" si="26"/>
        <v>0</v>
      </c>
      <c r="J879" s="21">
        <f t="shared" si="27"/>
        <v>0</v>
      </c>
    </row>
    <row r="880" spans="1:10" hidden="1">
      <c r="A880" t="s">
        <v>217</v>
      </c>
      <c r="B880" t="s">
        <v>219</v>
      </c>
      <c r="C880" s="18">
        <v>2046</v>
      </c>
      <c r="D880" t="s">
        <v>185</v>
      </c>
      <c r="E880" s="9">
        <v>269923.25168294698</v>
      </c>
      <c r="F880" s="9">
        <v>255431.16141281699</v>
      </c>
      <c r="G880" s="9">
        <v>269923.25168294698</v>
      </c>
      <c r="H880" s="9">
        <v>255431.16141281699</v>
      </c>
      <c r="I880" s="21">
        <f t="shared" si="26"/>
        <v>0</v>
      </c>
      <c r="J880" s="21">
        <f t="shared" si="27"/>
        <v>0</v>
      </c>
    </row>
    <row r="881" spans="1:10" hidden="1">
      <c r="A881" t="s">
        <v>217</v>
      </c>
      <c r="B881" t="s">
        <v>219</v>
      </c>
      <c r="C881" s="18">
        <v>2046</v>
      </c>
      <c r="D881" t="s">
        <v>188</v>
      </c>
      <c r="E881" s="9">
        <v>778095.84267256199</v>
      </c>
      <c r="F881" s="9">
        <v>477828.93173194502</v>
      </c>
      <c r="G881" s="9">
        <v>778095.84267256199</v>
      </c>
      <c r="H881" s="9">
        <v>477828.93173194502</v>
      </c>
      <c r="I881" s="21">
        <f t="shared" si="26"/>
        <v>0</v>
      </c>
      <c r="J881" s="21">
        <f t="shared" si="27"/>
        <v>0</v>
      </c>
    </row>
    <row r="882" spans="1:10" hidden="1">
      <c r="A882" t="s">
        <v>217</v>
      </c>
      <c r="B882" t="s">
        <v>219</v>
      </c>
      <c r="C882" s="18">
        <v>2046</v>
      </c>
      <c r="D882" t="s">
        <v>191</v>
      </c>
      <c r="E882" s="9">
        <v>387151.42704479198</v>
      </c>
      <c r="F882" s="9">
        <v>207048.94525460299</v>
      </c>
      <c r="G882" s="9">
        <v>387151.42704479198</v>
      </c>
      <c r="H882" s="9">
        <v>207048.94525460299</v>
      </c>
      <c r="I882" s="21">
        <f t="shared" si="26"/>
        <v>0</v>
      </c>
      <c r="J882" s="21">
        <f t="shared" si="27"/>
        <v>0</v>
      </c>
    </row>
    <row r="883" spans="1:10" hidden="1">
      <c r="A883" t="s">
        <v>217</v>
      </c>
      <c r="B883" t="s">
        <v>219</v>
      </c>
      <c r="C883" s="18">
        <v>2046</v>
      </c>
      <c r="D883" t="s">
        <v>422</v>
      </c>
      <c r="E883" s="9">
        <v>34688.296767041</v>
      </c>
      <c r="F883" s="9">
        <v>2335.6726092736399</v>
      </c>
      <c r="G883" s="9">
        <v>34688.296767041</v>
      </c>
      <c r="H883" s="9">
        <v>2335.6726092736399</v>
      </c>
      <c r="I883" s="21">
        <f t="shared" si="26"/>
        <v>0</v>
      </c>
      <c r="J883" s="21">
        <f t="shared" si="27"/>
        <v>0</v>
      </c>
    </row>
    <row r="884" spans="1:10" hidden="1">
      <c r="A884" t="s">
        <v>217</v>
      </c>
      <c r="B884" t="s">
        <v>219</v>
      </c>
      <c r="C884" s="18">
        <v>2047</v>
      </c>
      <c r="D884" t="s">
        <v>174</v>
      </c>
      <c r="E884" s="9">
        <v>24575.685129363199</v>
      </c>
      <c r="F884" s="9">
        <v>16568.574829924401</v>
      </c>
      <c r="G884" s="9">
        <v>24575.685129363199</v>
      </c>
      <c r="H884" s="9">
        <v>16568.574829924401</v>
      </c>
      <c r="I884" s="21">
        <f t="shared" si="26"/>
        <v>0</v>
      </c>
      <c r="J884" s="21">
        <f t="shared" si="27"/>
        <v>0</v>
      </c>
    </row>
    <row r="885" spans="1:10" hidden="1">
      <c r="A885" t="s">
        <v>217</v>
      </c>
      <c r="B885" t="s">
        <v>219</v>
      </c>
      <c r="C885" s="18">
        <v>2047</v>
      </c>
      <c r="D885" t="s">
        <v>236</v>
      </c>
      <c r="E885" s="9">
        <v>1276073.4846977801</v>
      </c>
      <c r="F885" s="9">
        <v>307176.00873862102</v>
      </c>
      <c r="G885" s="9">
        <v>1276073.4846977801</v>
      </c>
      <c r="H885" s="9">
        <v>307176.00873862102</v>
      </c>
      <c r="I885" s="21">
        <f t="shared" si="26"/>
        <v>0</v>
      </c>
      <c r="J885" s="21">
        <f t="shared" si="27"/>
        <v>0</v>
      </c>
    </row>
    <row r="886" spans="1:10" hidden="1">
      <c r="A886" t="s">
        <v>217</v>
      </c>
      <c r="B886" t="s">
        <v>219</v>
      </c>
      <c r="C886" s="18">
        <v>2047</v>
      </c>
      <c r="D886" t="s">
        <v>182</v>
      </c>
      <c r="E886" s="9">
        <v>144246.070856709</v>
      </c>
      <c r="F886" s="9">
        <v>92333.888291156894</v>
      </c>
      <c r="G886" s="9">
        <v>144246.070856709</v>
      </c>
      <c r="H886" s="9">
        <v>92333.888291156894</v>
      </c>
      <c r="I886" s="21">
        <f t="shared" si="26"/>
        <v>0</v>
      </c>
      <c r="J886" s="21">
        <f t="shared" si="27"/>
        <v>0</v>
      </c>
    </row>
    <row r="887" spans="1:10" hidden="1">
      <c r="A887" t="s">
        <v>217</v>
      </c>
      <c r="B887" t="s">
        <v>219</v>
      </c>
      <c r="C887" s="18">
        <v>2047</v>
      </c>
      <c r="D887" t="s">
        <v>185</v>
      </c>
      <c r="E887" s="9">
        <v>269145.73066835199</v>
      </c>
      <c r="F887" s="9">
        <v>254760.803670819</v>
      </c>
      <c r="G887" s="9">
        <v>269145.73066835199</v>
      </c>
      <c r="H887" s="9">
        <v>254760.803670819</v>
      </c>
      <c r="I887" s="21">
        <f t="shared" si="26"/>
        <v>0</v>
      </c>
      <c r="J887" s="21">
        <f t="shared" si="27"/>
        <v>0</v>
      </c>
    </row>
    <row r="888" spans="1:10" hidden="1">
      <c r="A888" t="s">
        <v>217</v>
      </c>
      <c r="B888" t="s">
        <v>219</v>
      </c>
      <c r="C888" s="18">
        <v>2047</v>
      </c>
      <c r="D888" t="s">
        <v>188</v>
      </c>
      <c r="E888" s="9">
        <v>786867.36601765698</v>
      </c>
      <c r="F888" s="9">
        <v>484667.16956347</v>
      </c>
      <c r="G888" s="9">
        <v>786867.36601765698</v>
      </c>
      <c r="H888" s="9">
        <v>484667.16956347</v>
      </c>
      <c r="I888" s="21">
        <f t="shared" si="26"/>
        <v>0</v>
      </c>
      <c r="J888" s="21">
        <f t="shared" si="27"/>
        <v>0</v>
      </c>
    </row>
    <row r="889" spans="1:10" hidden="1">
      <c r="A889" t="s">
        <v>217</v>
      </c>
      <c r="B889" t="s">
        <v>219</v>
      </c>
      <c r="C889" s="18">
        <v>2047</v>
      </c>
      <c r="D889" t="s">
        <v>191</v>
      </c>
      <c r="E889" s="9">
        <v>390597.57749152998</v>
      </c>
      <c r="F889" s="9">
        <v>209160.85891574901</v>
      </c>
      <c r="G889" s="9">
        <v>390597.57749152998</v>
      </c>
      <c r="H889" s="9">
        <v>209160.85891574901</v>
      </c>
      <c r="I889" s="21">
        <f t="shared" si="26"/>
        <v>0</v>
      </c>
      <c r="J889" s="21">
        <f t="shared" si="27"/>
        <v>0</v>
      </c>
    </row>
    <row r="890" spans="1:10" hidden="1">
      <c r="A890" t="s">
        <v>217</v>
      </c>
      <c r="B890" t="s">
        <v>219</v>
      </c>
      <c r="C890" s="18">
        <v>2047</v>
      </c>
      <c r="D890" t="s">
        <v>422</v>
      </c>
      <c r="E890" s="9">
        <v>34402.454286141998</v>
      </c>
      <c r="F890" s="9">
        <v>2222.2517838233198</v>
      </c>
      <c r="G890" s="9">
        <v>34402.454286141998</v>
      </c>
      <c r="H890" s="9">
        <v>2222.2517838233198</v>
      </c>
      <c r="I890" s="21">
        <f t="shared" si="26"/>
        <v>0</v>
      </c>
      <c r="J890" s="21">
        <f t="shared" si="27"/>
        <v>0</v>
      </c>
    </row>
    <row r="891" spans="1:10" hidden="1">
      <c r="A891" t="s">
        <v>217</v>
      </c>
      <c r="B891" t="s">
        <v>219</v>
      </c>
      <c r="C891" s="18">
        <v>2048</v>
      </c>
      <c r="D891" t="s">
        <v>174</v>
      </c>
      <c r="E891" s="9">
        <v>25282.866550534</v>
      </c>
      <c r="F891" s="9">
        <v>16982.967131377602</v>
      </c>
      <c r="G891" s="9">
        <v>25282.866550534</v>
      </c>
      <c r="H891" s="9">
        <v>16982.967131377602</v>
      </c>
      <c r="I891" s="21">
        <f t="shared" si="26"/>
        <v>0</v>
      </c>
      <c r="J891" s="21">
        <f t="shared" si="27"/>
        <v>0</v>
      </c>
    </row>
    <row r="892" spans="1:10" hidden="1">
      <c r="A892" t="s">
        <v>217</v>
      </c>
      <c r="B892" t="s">
        <v>219</v>
      </c>
      <c r="C892" s="18">
        <v>2048</v>
      </c>
      <c r="D892" t="s">
        <v>236</v>
      </c>
      <c r="E892" s="9">
        <v>1283467.7529534199</v>
      </c>
      <c r="F892" s="9">
        <v>314549.83162807999</v>
      </c>
      <c r="G892" s="9">
        <v>1283467.7529534199</v>
      </c>
      <c r="H892" s="9">
        <v>314549.83162807999</v>
      </c>
      <c r="I892" s="21">
        <f t="shared" si="26"/>
        <v>0</v>
      </c>
      <c r="J892" s="21">
        <f t="shared" si="27"/>
        <v>0</v>
      </c>
    </row>
    <row r="893" spans="1:10" hidden="1">
      <c r="A893" t="s">
        <v>217</v>
      </c>
      <c r="B893" t="s">
        <v>219</v>
      </c>
      <c r="C893" s="18">
        <v>2048</v>
      </c>
      <c r="D893" t="s">
        <v>182</v>
      </c>
      <c r="E893" s="9">
        <v>146413.85314917401</v>
      </c>
      <c r="F893" s="9">
        <v>93427.507277048993</v>
      </c>
      <c r="G893" s="9">
        <v>146413.85314917401</v>
      </c>
      <c r="H893" s="9">
        <v>93427.507277048993</v>
      </c>
      <c r="I893" s="21">
        <f t="shared" si="26"/>
        <v>0</v>
      </c>
      <c r="J893" s="21">
        <f t="shared" si="27"/>
        <v>0</v>
      </c>
    </row>
    <row r="894" spans="1:10" hidden="1">
      <c r="A894" t="s">
        <v>217</v>
      </c>
      <c r="B894" t="s">
        <v>219</v>
      </c>
      <c r="C894" s="18">
        <v>2048</v>
      </c>
      <c r="D894" t="s">
        <v>185</v>
      </c>
      <c r="E894" s="9">
        <v>268085.44794583402</v>
      </c>
      <c r="F894" s="9">
        <v>253872.04741882399</v>
      </c>
      <c r="G894" s="9">
        <v>268085.44794583402</v>
      </c>
      <c r="H894" s="9">
        <v>253872.04741882399</v>
      </c>
      <c r="I894" s="21">
        <f t="shared" si="26"/>
        <v>0</v>
      </c>
      <c r="J894" s="21">
        <f t="shared" si="27"/>
        <v>0</v>
      </c>
    </row>
    <row r="895" spans="1:10" hidden="1">
      <c r="A895" t="s">
        <v>217</v>
      </c>
      <c r="B895" t="s">
        <v>219</v>
      </c>
      <c r="C895" s="18">
        <v>2048</v>
      </c>
      <c r="D895" t="s">
        <v>188</v>
      </c>
      <c r="E895" s="9">
        <v>795796.81940173404</v>
      </c>
      <c r="F895" s="9">
        <v>491307.70932856598</v>
      </c>
      <c r="G895" s="9">
        <v>795796.81940173404</v>
      </c>
      <c r="H895" s="9">
        <v>491307.70932856598</v>
      </c>
      <c r="I895" s="21">
        <f t="shared" si="26"/>
        <v>0</v>
      </c>
      <c r="J895" s="21">
        <f t="shared" si="27"/>
        <v>0</v>
      </c>
    </row>
    <row r="896" spans="1:10" hidden="1">
      <c r="A896" t="s">
        <v>217</v>
      </c>
      <c r="B896" t="s">
        <v>219</v>
      </c>
      <c r="C896" s="18">
        <v>2048</v>
      </c>
      <c r="D896" t="s">
        <v>191</v>
      </c>
      <c r="E896" s="9">
        <v>394306.23400907399</v>
      </c>
      <c r="F896" s="9">
        <v>211189.299415093</v>
      </c>
      <c r="G896" s="9">
        <v>394306.23400907399</v>
      </c>
      <c r="H896" s="9">
        <v>211189.299415093</v>
      </c>
      <c r="I896" s="21">
        <f t="shared" si="26"/>
        <v>0</v>
      </c>
      <c r="J896" s="21">
        <f t="shared" si="27"/>
        <v>0</v>
      </c>
    </row>
    <row r="897" spans="1:10" hidden="1">
      <c r="A897" t="s">
        <v>217</v>
      </c>
      <c r="B897" t="s">
        <v>219</v>
      </c>
      <c r="C897" s="18">
        <v>2048</v>
      </c>
      <c r="D897" t="s">
        <v>422</v>
      </c>
      <c r="E897" s="9">
        <v>34278.863496812097</v>
      </c>
      <c r="F897" s="9">
        <v>2112.6617453372501</v>
      </c>
      <c r="G897" s="9">
        <v>34278.863496812097</v>
      </c>
      <c r="H897" s="9">
        <v>2112.6617453372501</v>
      </c>
      <c r="I897" s="21">
        <f t="shared" si="26"/>
        <v>0</v>
      </c>
      <c r="J897" s="21">
        <f t="shared" si="27"/>
        <v>0</v>
      </c>
    </row>
    <row r="898" spans="1:10" hidden="1">
      <c r="A898" t="s">
        <v>217</v>
      </c>
      <c r="B898" t="s">
        <v>219</v>
      </c>
      <c r="C898" s="18">
        <v>2049</v>
      </c>
      <c r="D898" t="s">
        <v>174</v>
      </c>
      <c r="E898" s="9">
        <v>25986.5373789525</v>
      </c>
      <c r="F898" s="9">
        <v>17406.659114093502</v>
      </c>
      <c r="G898" s="9">
        <v>25986.5373789525</v>
      </c>
      <c r="H898" s="9">
        <v>17406.659114093502</v>
      </c>
      <c r="I898" s="21">
        <f t="shared" ref="I898:I961" si="28">H898-F898</f>
        <v>0</v>
      </c>
      <c r="J898" s="21">
        <f t="shared" ref="J898:J961" si="29">G898-E898</f>
        <v>0</v>
      </c>
    </row>
    <row r="899" spans="1:10" hidden="1">
      <c r="A899" t="s">
        <v>217</v>
      </c>
      <c r="B899" t="s">
        <v>219</v>
      </c>
      <c r="C899" s="18">
        <v>2049</v>
      </c>
      <c r="D899" t="s">
        <v>236</v>
      </c>
      <c r="E899" s="9">
        <v>1290687.53512959</v>
      </c>
      <c r="F899" s="9">
        <v>321740.50114880601</v>
      </c>
      <c r="G899" s="9">
        <v>1290687.53512959</v>
      </c>
      <c r="H899" s="9">
        <v>321740.50114880601</v>
      </c>
      <c r="I899" s="21">
        <f t="shared" si="28"/>
        <v>0</v>
      </c>
      <c r="J899" s="21">
        <f t="shared" si="29"/>
        <v>0</v>
      </c>
    </row>
    <row r="900" spans="1:10" hidden="1">
      <c r="A900" t="s">
        <v>217</v>
      </c>
      <c r="B900" t="s">
        <v>219</v>
      </c>
      <c r="C900" s="18">
        <v>2049</v>
      </c>
      <c r="D900" t="s">
        <v>182</v>
      </c>
      <c r="E900" s="9">
        <v>147882.09983734801</v>
      </c>
      <c r="F900" s="9">
        <v>94546.865675552195</v>
      </c>
      <c r="G900" s="9">
        <v>147882.09983734801</v>
      </c>
      <c r="H900" s="9">
        <v>94546.865675552195</v>
      </c>
      <c r="I900" s="21">
        <f t="shared" si="28"/>
        <v>0</v>
      </c>
      <c r="J900" s="21">
        <f t="shared" si="29"/>
        <v>0</v>
      </c>
    </row>
    <row r="901" spans="1:10" hidden="1">
      <c r="A901" t="s">
        <v>217</v>
      </c>
      <c r="B901" t="s">
        <v>219</v>
      </c>
      <c r="C901" s="18">
        <v>2049</v>
      </c>
      <c r="D901" t="s">
        <v>185</v>
      </c>
      <c r="E901" s="9">
        <v>267003.55015502701</v>
      </c>
      <c r="F901" s="9">
        <v>253105.506935702</v>
      </c>
      <c r="G901" s="9">
        <v>267003.55015502701</v>
      </c>
      <c r="H901" s="9">
        <v>253105.506935702</v>
      </c>
      <c r="I901" s="21">
        <f t="shared" si="28"/>
        <v>0</v>
      </c>
      <c r="J901" s="21">
        <f t="shared" si="29"/>
        <v>0</v>
      </c>
    </row>
    <row r="902" spans="1:10" hidden="1">
      <c r="A902" t="s">
        <v>217</v>
      </c>
      <c r="B902" t="s">
        <v>219</v>
      </c>
      <c r="C902" s="18">
        <v>2049</v>
      </c>
      <c r="D902" t="s">
        <v>188</v>
      </c>
      <c r="E902" s="9">
        <v>801596.85366425803</v>
      </c>
      <c r="F902" s="9">
        <v>498010.65152404399</v>
      </c>
      <c r="G902" s="9">
        <v>801596.85366425803</v>
      </c>
      <c r="H902" s="9">
        <v>498010.65152404399</v>
      </c>
      <c r="I902" s="21">
        <f t="shared" si="28"/>
        <v>0</v>
      </c>
      <c r="J902" s="21">
        <f t="shared" si="29"/>
        <v>0</v>
      </c>
    </row>
    <row r="903" spans="1:10" hidden="1">
      <c r="A903" t="s">
        <v>217</v>
      </c>
      <c r="B903" t="s">
        <v>219</v>
      </c>
      <c r="C903" s="18">
        <v>2049</v>
      </c>
      <c r="D903" t="s">
        <v>191</v>
      </c>
      <c r="E903" s="9">
        <v>396058.615955627</v>
      </c>
      <c r="F903" s="9">
        <v>213580.236200068</v>
      </c>
      <c r="G903" s="9">
        <v>396058.615955627</v>
      </c>
      <c r="H903" s="9">
        <v>213580.236200068</v>
      </c>
      <c r="I903" s="21">
        <f t="shared" si="28"/>
        <v>0</v>
      </c>
      <c r="J903" s="21">
        <f t="shared" si="29"/>
        <v>0</v>
      </c>
    </row>
    <row r="904" spans="1:10" hidden="1">
      <c r="A904" t="s">
        <v>217</v>
      </c>
      <c r="B904" t="s">
        <v>219</v>
      </c>
      <c r="C904" s="18">
        <v>2049</v>
      </c>
      <c r="D904" t="s">
        <v>422</v>
      </c>
      <c r="E904" s="9">
        <v>34087.762706701098</v>
      </c>
      <c r="F904" s="9">
        <v>1998.5922336333499</v>
      </c>
      <c r="G904" s="9">
        <v>34087.762706701098</v>
      </c>
      <c r="H904" s="9">
        <v>1998.5922336333499</v>
      </c>
      <c r="I904" s="21">
        <f t="shared" si="28"/>
        <v>0</v>
      </c>
      <c r="J904" s="21">
        <f t="shared" si="29"/>
        <v>0</v>
      </c>
    </row>
    <row r="905" spans="1:10" hidden="1">
      <c r="A905" t="s">
        <v>217</v>
      </c>
      <c r="B905" t="s">
        <v>219</v>
      </c>
      <c r="C905" s="18">
        <v>2050</v>
      </c>
      <c r="D905" t="s">
        <v>174</v>
      </c>
      <c r="E905" s="9">
        <v>26690.1101954068</v>
      </c>
      <c r="F905" s="9">
        <v>17828.637482456001</v>
      </c>
      <c r="G905" s="9">
        <v>26690.1101954068</v>
      </c>
      <c r="H905" s="9">
        <v>17828.637482456001</v>
      </c>
      <c r="I905" s="21">
        <f t="shared" si="28"/>
        <v>0</v>
      </c>
      <c r="J905" s="21">
        <f t="shared" si="29"/>
        <v>0</v>
      </c>
    </row>
    <row r="906" spans="1:10" hidden="1">
      <c r="A906" t="s">
        <v>217</v>
      </c>
      <c r="B906" t="s">
        <v>219</v>
      </c>
      <c r="C906" s="18">
        <v>2050</v>
      </c>
      <c r="D906" t="s">
        <v>236</v>
      </c>
      <c r="E906" s="9">
        <v>1297798.19122542</v>
      </c>
      <c r="F906" s="9">
        <v>328734.06146541203</v>
      </c>
      <c r="G906" s="9">
        <v>1297798.19122542</v>
      </c>
      <c r="H906" s="9">
        <v>328734.06146541203</v>
      </c>
      <c r="I906" s="21">
        <f t="shared" si="28"/>
        <v>0</v>
      </c>
      <c r="J906" s="21">
        <f t="shared" si="29"/>
        <v>0</v>
      </c>
    </row>
    <row r="907" spans="1:10" hidden="1">
      <c r="A907" t="s">
        <v>217</v>
      </c>
      <c r="B907" t="s">
        <v>219</v>
      </c>
      <c r="C907" s="18">
        <v>2050</v>
      </c>
      <c r="D907" t="s">
        <v>182</v>
      </c>
      <c r="E907" s="9">
        <v>149549.878981469</v>
      </c>
      <c r="F907" s="9">
        <v>95625.943969428394</v>
      </c>
      <c r="G907" s="9">
        <v>149549.878981469</v>
      </c>
      <c r="H907" s="9">
        <v>95625.943969428394</v>
      </c>
      <c r="I907" s="21">
        <f t="shared" si="28"/>
        <v>0</v>
      </c>
      <c r="J907" s="21">
        <f t="shared" si="29"/>
        <v>0</v>
      </c>
    </row>
    <row r="908" spans="1:10" hidden="1">
      <c r="A908" t="s">
        <v>217</v>
      </c>
      <c r="B908" t="s">
        <v>219</v>
      </c>
      <c r="C908" s="18">
        <v>2050</v>
      </c>
      <c r="D908" t="s">
        <v>185</v>
      </c>
      <c r="E908" s="9">
        <v>266031.496410964</v>
      </c>
      <c r="F908" s="9">
        <v>252158.93315896901</v>
      </c>
      <c r="G908" s="9">
        <v>266031.496410964</v>
      </c>
      <c r="H908" s="9">
        <v>252158.93315896901</v>
      </c>
      <c r="I908" s="21">
        <f t="shared" si="28"/>
        <v>0</v>
      </c>
      <c r="J908" s="21">
        <f t="shared" si="29"/>
        <v>0</v>
      </c>
    </row>
    <row r="909" spans="1:10" hidden="1">
      <c r="A909" t="s">
        <v>217</v>
      </c>
      <c r="B909" t="s">
        <v>219</v>
      </c>
      <c r="C909" s="18">
        <v>2050</v>
      </c>
      <c r="D909" t="s">
        <v>188</v>
      </c>
      <c r="E909" s="9">
        <v>809018.72253896797</v>
      </c>
      <c r="F909" s="9">
        <v>504089.42679186398</v>
      </c>
      <c r="G909" s="9">
        <v>809018.72253896797</v>
      </c>
      <c r="H909" s="9">
        <v>504089.42679186398</v>
      </c>
      <c r="I909" s="21">
        <f t="shared" si="28"/>
        <v>0</v>
      </c>
      <c r="J909" s="21">
        <f t="shared" si="29"/>
        <v>0</v>
      </c>
    </row>
    <row r="910" spans="1:10" hidden="1">
      <c r="A910" t="s">
        <v>217</v>
      </c>
      <c r="B910" t="s">
        <v>219</v>
      </c>
      <c r="C910" s="18">
        <v>2050</v>
      </c>
      <c r="D910" t="s">
        <v>191</v>
      </c>
      <c r="E910" s="9">
        <v>398560.03791860503</v>
      </c>
      <c r="F910" s="9">
        <v>215570.73744048199</v>
      </c>
      <c r="G910" s="9">
        <v>398560.03791860503</v>
      </c>
      <c r="H910" s="9">
        <v>215570.73744048199</v>
      </c>
      <c r="I910" s="21">
        <f t="shared" si="28"/>
        <v>0</v>
      </c>
      <c r="J910" s="21">
        <f t="shared" si="29"/>
        <v>0</v>
      </c>
    </row>
    <row r="911" spans="1:10" hidden="1">
      <c r="A911" t="s">
        <v>217</v>
      </c>
      <c r="B911" t="s">
        <v>219</v>
      </c>
      <c r="C911" s="18">
        <v>2050</v>
      </c>
      <c r="D911" t="s">
        <v>422</v>
      </c>
      <c r="E911" s="9">
        <v>33926.479042696701</v>
      </c>
      <c r="F911" s="9">
        <v>1888.5150098655699</v>
      </c>
      <c r="G911" s="9">
        <v>33926.479042696701</v>
      </c>
      <c r="H911" s="9">
        <v>1888.5150098655699</v>
      </c>
      <c r="I911" s="21">
        <f t="shared" si="28"/>
        <v>0</v>
      </c>
      <c r="J911" s="21">
        <f t="shared" si="29"/>
        <v>0</v>
      </c>
    </row>
    <row r="912" spans="1:10" hidden="1">
      <c r="A912" t="s">
        <v>205</v>
      </c>
      <c r="B912" t="s">
        <v>423</v>
      </c>
      <c r="C912" s="18">
        <v>2025</v>
      </c>
      <c r="D912" t="s">
        <v>174</v>
      </c>
      <c r="E912" s="9">
        <v>12176.1707137429</v>
      </c>
      <c r="F912" s="9">
        <v>8959.2701472679</v>
      </c>
      <c r="G912" s="9">
        <v>12176.1707137429</v>
      </c>
      <c r="H912" s="9">
        <v>8959.2701472679</v>
      </c>
      <c r="I912" s="21">
        <f t="shared" si="28"/>
        <v>0</v>
      </c>
      <c r="J912" s="21">
        <f t="shared" si="29"/>
        <v>0</v>
      </c>
    </row>
    <row r="913" spans="1:10" hidden="1">
      <c r="A913" t="s">
        <v>205</v>
      </c>
      <c r="B913" t="s">
        <v>423</v>
      </c>
      <c r="C913" s="18">
        <v>2025</v>
      </c>
      <c r="D913" t="s">
        <v>236</v>
      </c>
      <c r="E913" s="9">
        <v>1026758.5711338</v>
      </c>
      <c r="F913" s="9">
        <v>129383.32321031499</v>
      </c>
      <c r="G913" s="9">
        <v>1026758.5711338</v>
      </c>
      <c r="H913" s="9">
        <v>129383.32321031499</v>
      </c>
      <c r="I913" s="21">
        <f t="shared" si="28"/>
        <v>0</v>
      </c>
      <c r="J913" s="21">
        <f t="shared" si="29"/>
        <v>0</v>
      </c>
    </row>
    <row r="914" spans="1:10" hidden="1">
      <c r="A914" t="s">
        <v>205</v>
      </c>
      <c r="B914" t="s">
        <v>423</v>
      </c>
      <c r="C914" s="18">
        <v>2025</v>
      </c>
      <c r="D914" t="s">
        <v>182</v>
      </c>
      <c r="E914" s="9">
        <v>115291.15986546699</v>
      </c>
      <c r="F914" s="9">
        <v>67656.558989495796</v>
      </c>
      <c r="G914" s="9">
        <v>115291.15986546699</v>
      </c>
      <c r="H914" s="9">
        <v>67656.558989495796</v>
      </c>
      <c r="I914" s="21">
        <f t="shared" si="28"/>
        <v>0</v>
      </c>
      <c r="J914" s="21">
        <f t="shared" si="29"/>
        <v>0</v>
      </c>
    </row>
    <row r="915" spans="1:10" hidden="1">
      <c r="A915" t="s">
        <v>205</v>
      </c>
      <c r="B915" t="s">
        <v>423</v>
      </c>
      <c r="C915" s="18">
        <v>2025</v>
      </c>
      <c r="D915" t="s">
        <v>185</v>
      </c>
      <c r="E915" s="9">
        <v>281662.55341658002</v>
      </c>
      <c r="F915" s="9">
        <v>263295.70058044</v>
      </c>
      <c r="G915" s="9">
        <v>281662.55341658002</v>
      </c>
      <c r="H915" s="9">
        <v>263295.70058044</v>
      </c>
      <c r="I915" s="21">
        <f t="shared" si="28"/>
        <v>0</v>
      </c>
      <c r="J915" s="21">
        <f t="shared" si="29"/>
        <v>0</v>
      </c>
    </row>
    <row r="916" spans="1:10" hidden="1">
      <c r="A916" t="s">
        <v>205</v>
      </c>
      <c r="B916" t="s">
        <v>423</v>
      </c>
      <c r="C916" s="18">
        <v>2025</v>
      </c>
      <c r="D916" t="s">
        <v>188</v>
      </c>
      <c r="E916" s="9">
        <v>612171.634776233</v>
      </c>
      <c r="F916" s="9">
        <v>335724.86979376699</v>
      </c>
      <c r="G916" s="9">
        <v>612171.634776233</v>
      </c>
      <c r="H916" s="9">
        <v>335724.86979376699</v>
      </c>
      <c r="I916" s="21">
        <f t="shared" si="28"/>
        <v>0</v>
      </c>
      <c r="J916" s="21">
        <f t="shared" si="29"/>
        <v>0</v>
      </c>
    </row>
    <row r="917" spans="1:10" hidden="1">
      <c r="A917" t="s">
        <v>205</v>
      </c>
      <c r="B917" t="s">
        <v>423</v>
      </c>
      <c r="C917" s="18">
        <v>2025</v>
      </c>
      <c r="D917" t="s">
        <v>191</v>
      </c>
      <c r="E917" s="9">
        <v>339642.13012673298</v>
      </c>
      <c r="F917" s="9">
        <v>190841.880003208</v>
      </c>
      <c r="G917" s="9">
        <v>339642.13012673298</v>
      </c>
      <c r="H917" s="9">
        <v>190841.880003208</v>
      </c>
      <c r="I917" s="21">
        <f t="shared" si="28"/>
        <v>0</v>
      </c>
      <c r="J917" s="21">
        <f t="shared" si="29"/>
        <v>0</v>
      </c>
    </row>
    <row r="918" spans="1:10" hidden="1">
      <c r="A918" t="s">
        <v>205</v>
      </c>
      <c r="B918" t="s">
        <v>423</v>
      </c>
      <c r="C918" s="18">
        <v>2025</v>
      </c>
      <c r="D918" t="s">
        <v>422</v>
      </c>
      <c r="E918" s="9">
        <v>39660.836547407802</v>
      </c>
      <c r="F918" s="9">
        <v>5303.4223017440199</v>
      </c>
      <c r="G918" s="9">
        <v>39660.836547407802</v>
      </c>
      <c r="H918" s="9">
        <v>5303.4223017440199</v>
      </c>
      <c r="I918" s="21">
        <f t="shared" si="28"/>
        <v>0</v>
      </c>
      <c r="J918" s="21">
        <f t="shared" si="29"/>
        <v>0</v>
      </c>
    </row>
    <row r="919" spans="1:10" hidden="1">
      <c r="A919" t="s">
        <v>205</v>
      </c>
      <c r="B919" t="s">
        <v>423</v>
      </c>
      <c r="C919" s="18">
        <v>2026</v>
      </c>
      <c r="D919" t="s">
        <v>174</v>
      </c>
      <c r="E919" s="9">
        <v>12568.9386470114</v>
      </c>
      <c r="F919" s="9">
        <v>9271.1333627081003</v>
      </c>
      <c r="G919" s="9">
        <v>12568.9386470114</v>
      </c>
      <c r="H919" s="9">
        <v>9271.1333627081003</v>
      </c>
      <c r="I919" s="21">
        <f t="shared" si="28"/>
        <v>0</v>
      </c>
      <c r="J919" s="21">
        <f t="shared" si="29"/>
        <v>0</v>
      </c>
    </row>
    <row r="920" spans="1:10" hidden="1">
      <c r="A920" t="s">
        <v>205</v>
      </c>
      <c r="B920" t="s">
        <v>423</v>
      </c>
      <c r="C920" s="18">
        <v>2026</v>
      </c>
      <c r="D920" t="s">
        <v>236</v>
      </c>
      <c r="E920" s="9">
        <v>1042135.18581351</v>
      </c>
      <c r="F920" s="9">
        <v>137145.82895878801</v>
      </c>
      <c r="G920" s="9">
        <v>1042135.18581351</v>
      </c>
      <c r="H920" s="9">
        <v>137145.82895878801</v>
      </c>
      <c r="I920" s="21">
        <f t="shared" si="28"/>
        <v>0</v>
      </c>
      <c r="J920" s="21">
        <f t="shared" si="29"/>
        <v>0</v>
      </c>
    </row>
    <row r="921" spans="1:10" hidden="1">
      <c r="A921" t="s">
        <v>205</v>
      </c>
      <c r="B921" t="s">
        <v>423</v>
      </c>
      <c r="C921" s="18">
        <v>2026</v>
      </c>
      <c r="D921" t="s">
        <v>182</v>
      </c>
      <c r="E921" s="9">
        <v>113624.99138218</v>
      </c>
      <c r="F921" s="9">
        <v>70326.603453519798</v>
      </c>
      <c r="G921" s="9">
        <v>114707.986926294</v>
      </c>
      <c r="H921" s="9">
        <v>70326.603453519798</v>
      </c>
      <c r="I921" s="21">
        <f t="shared" si="28"/>
        <v>0</v>
      </c>
      <c r="J921" s="21">
        <f t="shared" si="29"/>
        <v>1082.9955441140046</v>
      </c>
    </row>
    <row r="922" spans="1:10" hidden="1">
      <c r="A922" t="s">
        <v>205</v>
      </c>
      <c r="B922" t="s">
        <v>423</v>
      </c>
      <c r="C922" s="18">
        <v>2026</v>
      </c>
      <c r="D922" t="s">
        <v>185</v>
      </c>
      <c r="E922" s="9">
        <v>280053.26210312301</v>
      </c>
      <c r="F922" s="9">
        <v>259504.46801133201</v>
      </c>
      <c r="G922" s="9">
        <v>282722.53786088398</v>
      </c>
      <c r="H922" s="9">
        <v>259504.46801133201</v>
      </c>
      <c r="I922" s="21">
        <f t="shared" si="28"/>
        <v>0</v>
      </c>
      <c r="J922" s="21">
        <f t="shared" si="29"/>
        <v>2669.2757577609736</v>
      </c>
    </row>
    <row r="923" spans="1:10" hidden="1">
      <c r="A923" t="s">
        <v>205</v>
      </c>
      <c r="B923" t="s">
        <v>423</v>
      </c>
      <c r="C923" s="18">
        <v>2026</v>
      </c>
      <c r="D923" t="s">
        <v>188</v>
      </c>
      <c r="E923" s="9">
        <v>610966.71317638305</v>
      </c>
      <c r="F923" s="9">
        <v>342960.13528186502</v>
      </c>
      <c r="G923" s="9">
        <v>616790.02915575495</v>
      </c>
      <c r="H923" s="9">
        <v>342960.13528186502</v>
      </c>
      <c r="I923" s="21">
        <f t="shared" si="28"/>
        <v>0</v>
      </c>
      <c r="J923" s="21">
        <f t="shared" si="29"/>
        <v>5823.3159793718951</v>
      </c>
    </row>
    <row r="924" spans="1:10" hidden="1">
      <c r="A924" t="s">
        <v>205</v>
      </c>
      <c r="B924" t="s">
        <v>423</v>
      </c>
      <c r="C924" s="18">
        <v>2026</v>
      </c>
      <c r="D924" t="s">
        <v>191</v>
      </c>
      <c r="E924" s="9">
        <v>335303.18922447303</v>
      </c>
      <c r="F924" s="9">
        <v>190574.61381884801</v>
      </c>
      <c r="G924" s="9">
        <v>338499.06942160201</v>
      </c>
      <c r="H924" s="9">
        <v>190574.61381884801</v>
      </c>
      <c r="I924" s="21">
        <f t="shared" si="28"/>
        <v>0</v>
      </c>
      <c r="J924" s="21">
        <f t="shared" si="29"/>
        <v>3195.8801971289795</v>
      </c>
    </row>
    <row r="925" spans="1:10" hidden="1">
      <c r="A925" t="s">
        <v>205</v>
      </c>
      <c r="B925" t="s">
        <v>423</v>
      </c>
      <c r="C925" s="18">
        <v>2026</v>
      </c>
      <c r="D925" t="s">
        <v>422</v>
      </c>
      <c r="E925" s="9">
        <v>39250.667018004897</v>
      </c>
      <c r="F925" s="9">
        <v>5105.6095547855903</v>
      </c>
      <c r="G925" s="9">
        <v>39250.667018004897</v>
      </c>
      <c r="H925" s="9">
        <v>5105.6095547855903</v>
      </c>
      <c r="I925" s="21">
        <f t="shared" si="28"/>
        <v>0</v>
      </c>
      <c r="J925" s="21">
        <f t="shared" si="29"/>
        <v>0</v>
      </c>
    </row>
    <row r="926" spans="1:10" hidden="1">
      <c r="A926" t="s">
        <v>205</v>
      </c>
      <c r="B926" t="s">
        <v>423</v>
      </c>
      <c r="C926" s="18">
        <v>2027</v>
      </c>
      <c r="D926" t="s">
        <v>174</v>
      </c>
      <c r="E926" s="9">
        <v>12976.103113363301</v>
      </c>
      <c r="F926" s="9">
        <v>9577.5296548643291</v>
      </c>
      <c r="G926" s="9">
        <v>12976.103113363301</v>
      </c>
      <c r="H926" s="9">
        <v>9577.5296548643291</v>
      </c>
      <c r="I926" s="21">
        <f t="shared" si="28"/>
        <v>0</v>
      </c>
      <c r="J926" s="21">
        <f t="shared" si="29"/>
        <v>0</v>
      </c>
    </row>
    <row r="927" spans="1:10" hidden="1">
      <c r="A927" t="s">
        <v>205</v>
      </c>
      <c r="B927" t="s">
        <v>423</v>
      </c>
      <c r="C927" s="18">
        <v>2027</v>
      </c>
      <c r="D927" t="s">
        <v>236</v>
      </c>
      <c r="E927" s="9">
        <v>1057148.31873483</v>
      </c>
      <c r="F927" s="9">
        <v>145009.441994705</v>
      </c>
      <c r="G927" s="9">
        <v>1057148.31873483</v>
      </c>
      <c r="H927" s="9">
        <v>145009.441994705</v>
      </c>
      <c r="I927" s="21">
        <f t="shared" si="28"/>
        <v>0</v>
      </c>
      <c r="J927" s="21">
        <f t="shared" si="29"/>
        <v>0</v>
      </c>
    </row>
    <row r="928" spans="1:10" hidden="1">
      <c r="A928" t="s">
        <v>205</v>
      </c>
      <c r="B928" t="s">
        <v>423</v>
      </c>
      <c r="C928" s="18">
        <v>2027</v>
      </c>
      <c r="D928" t="s">
        <v>182</v>
      </c>
      <c r="E928" s="9">
        <v>112010.716799289</v>
      </c>
      <c r="F928" s="9">
        <v>72124.158122879104</v>
      </c>
      <c r="G928" s="9">
        <v>114152.944165875</v>
      </c>
      <c r="H928" s="9">
        <v>72290.169991209099</v>
      </c>
      <c r="I928" s="21">
        <f t="shared" si="28"/>
        <v>166.0118683299952</v>
      </c>
      <c r="J928" s="21">
        <f t="shared" si="29"/>
        <v>2142.2273665859975</v>
      </c>
    </row>
    <row r="929" spans="1:10" hidden="1">
      <c r="A929" t="s">
        <v>205</v>
      </c>
      <c r="B929" t="s">
        <v>423</v>
      </c>
      <c r="C929" s="18">
        <v>2027</v>
      </c>
      <c r="D929" t="s">
        <v>185</v>
      </c>
      <c r="E929" s="9">
        <v>272665.81834008498</v>
      </c>
      <c r="F929" s="9">
        <v>259171.657355656</v>
      </c>
      <c r="G929" s="9">
        <v>277877.509454571</v>
      </c>
      <c r="H929" s="9">
        <v>260330.421136777</v>
      </c>
      <c r="I929" s="21">
        <f t="shared" si="28"/>
        <v>1158.7637811210006</v>
      </c>
      <c r="J929" s="21">
        <f t="shared" si="29"/>
        <v>5211.6911144860205</v>
      </c>
    </row>
    <row r="930" spans="1:10" hidden="1">
      <c r="A930" t="s">
        <v>205</v>
      </c>
      <c r="B930" t="s">
        <v>423</v>
      </c>
      <c r="C930" s="18">
        <v>2027</v>
      </c>
      <c r="D930" t="s">
        <v>188</v>
      </c>
      <c r="E930" s="9">
        <v>609796.96853658604</v>
      </c>
      <c r="F930" s="9">
        <v>348990.46479147999</v>
      </c>
      <c r="G930" s="9">
        <v>621430.90280116105</v>
      </c>
      <c r="H930" s="9">
        <v>349405.30073034298</v>
      </c>
      <c r="I930" s="21">
        <f t="shared" si="28"/>
        <v>414.83593886299059</v>
      </c>
      <c r="J930" s="21">
        <f t="shared" si="29"/>
        <v>11633.934264575015</v>
      </c>
    </row>
    <row r="931" spans="1:10" hidden="1">
      <c r="A931" t="s">
        <v>205</v>
      </c>
      <c r="B931" t="s">
        <v>423</v>
      </c>
      <c r="C931" s="18">
        <v>2027</v>
      </c>
      <c r="D931" t="s">
        <v>191</v>
      </c>
      <c r="E931" s="9">
        <v>331077.21112101799</v>
      </c>
      <c r="F931" s="9">
        <v>188749.93380042299</v>
      </c>
      <c r="G931" s="9">
        <v>337398.94907172298</v>
      </c>
      <c r="H931" s="9">
        <v>189031.10044551201</v>
      </c>
      <c r="I931" s="21">
        <f t="shared" si="28"/>
        <v>281.16664508901886</v>
      </c>
      <c r="J931" s="21">
        <f t="shared" si="29"/>
        <v>6321.7379507049918</v>
      </c>
    </row>
    <row r="932" spans="1:10" hidden="1">
      <c r="A932" t="s">
        <v>205</v>
      </c>
      <c r="B932" t="s">
        <v>423</v>
      </c>
      <c r="C932" s="18">
        <v>2027</v>
      </c>
      <c r="D932" t="s">
        <v>422</v>
      </c>
      <c r="E932" s="9">
        <v>38773.627186343103</v>
      </c>
      <c r="F932" s="9">
        <v>4921.4971535538998</v>
      </c>
      <c r="G932" s="9">
        <v>38773.627186343103</v>
      </c>
      <c r="H932" s="9">
        <v>4921.4971535538998</v>
      </c>
      <c r="I932" s="21">
        <f t="shared" si="28"/>
        <v>0</v>
      </c>
      <c r="J932" s="21">
        <f t="shared" si="29"/>
        <v>0</v>
      </c>
    </row>
    <row r="933" spans="1:10" hidden="1">
      <c r="A933" t="s">
        <v>205</v>
      </c>
      <c r="B933" t="s">
        <v>423</v>
      </c>
      <c r="C933" s="18">
        <v>2028</v>
      </c>
      <c r="D933" t="s">
        <v>174</v>
      </c>
      <c r="E933" s="9">
        <v>13395.654470118399</v>
      </c>
      <c r="F933" s="9">
        <v>9881.9220189252792</v>
      </c>
      <c r="G933" s="9">
        <v>13394.6739315754</v>
      </c>
      <c r="H933" s="9">
        <v>9881.9220189252792</v>
      </c>
      <c r="I933" s="21">
        <f t="shared" si="28"/>
        <v>0</v>
      </c>
      <c r="J933" s="21">
        <f t="shared" si="29"/>
        <v>-0.98053854299905652</v>
      </c>
    </row>
    <row r="934" spans="1:10" hidden="1">
      <c r="A934" t="s">
        <v>205</v>
      </c>
      <c r="B934" t="s">
        <v>423</v>
      </c>
      <c r="C934" s="18">
        <v>2028</v>
      </c>
      <c r="D934" t="s">
        <v>236</v>
      </c>
      <c r="E934" s="9">
        <v>1071841.2599214001</v>
      </c>
      <c r="F934" s="9">
        <v>152971.72938899801</v>
      </c>
      <c r="G934" s="9">
        <v>1071826.1250559301</v>
      </c>
      <c r="H934" s="9">
        <v>152971.72938899801</v>
      </c>
      <c r="I934" s="21">
        <f t="shared" si="28"/>
        <v>0</v>
      </c>
      <c r="J934" s="21">
        <f t="shared" si="29"/>
        <v>-15.134865469997749</v>
      </c>
    </row>
    <row r="935" spans="1:10" hidden="1">
      <c r="A935" t="s">
        <v>205</v>
      </c>
      <c r="B935" t="s">
        <v>423</v>
      </c>
      <c r="C935" s="18">
        <v>2028</v>
      </c>
      <c r="D935" t="s">
        <v>182</v>
      </c>
      <c r="E935" s="9">
        <v>110952.320448211</v>
      </c>
      <c r="F935" s="9">
        <v>73394.646821769406</v>
      </c>
      <c r="G935" s="9">
        <v>114139.12292486199</v>
      </c>
      <c r="H935" s="9">
        <v>73846.874209439702</v>
      </c>
      <c r="I935" s="21">
        <f t="shared" si="28"/>
        <v>452.22738767029659</v>
      </c>
      <c r="J935" s="21">
        <f t="shared" si="29"/>
        <v>3186.8024766509916</v>
      </c>
    </row>
    <row r="936" spans="1:10" hidden="1">
      <c r="A936" t="s">
        <v>205</v>
      </c>
      <c r="B936" t="s">
        <v>423</v>
      </c>
      <c r="C936" s="18">
        <v>2028</v>
      </c>
      <c r="D936" t="s">
        <v>185</v>
      </c>
      <c r="E936" s="9">
        <v>269978.03902822902</v>
      </c>
      <c r="F936" s="9">
        <v>255163.81800136299</v>
      </c>
      <c r="G936" s="9">
        <v>277735.69614120398</v>
      </c>
      <c r="H936" s="9">
        <v>257765.32327170501</v>
      </c>
      <c r="I936" s="21">
        <f t="shared" si="28"/>
        <v>2601.5052703420224</v>
      </c>
      <c r="J936" s="21">
        <f t="shared" si="29"/>
        <v>7757.6571129749645</v>
      </c>
    </row>
    <row r="937" spans="1:10" hidden="1">
      <c r="A937" t="s">
        <v>205</v>
      </c>
      <c r="B937" t="s">
        <v>423</v>
      </c>
      <c r="C937" s="18">
        <v>2028</v>
      </c>
      <c r="D937" t="s">
        <v>188</v>
      </c>
      <c r="E937" s="9">
        <v>610259.78465904098</v>
      </c>
      <c r="F937" s="9">
        <v>354990.04396333097</v>
      </c>
      <c r="G937" s="9">
        <v>627723.84415529598</v>
      </c>
      <c r="H937" s="9">
        <v>356159.25290604099</v>
      </c>
      <c r="I937" s="21">
        <f t="shared" si="28"/>
        <v>1169.2089427100145</v>
      </c>
      <c r="J937" s="21">
        <f t="shared" si="29"/>
        <v>17464.059496255009</v>
      </c>
    </row>
    <row r="938" spans="1:10" hidden="1">
      <c r="A938" t="s">
        <v>205</v>
      </c>
      <c r="B938" t="s">
        <v>423</v>
      </c>
      <c r="C938" s="18">
        <v>2028</v>
      </c>
      <c r="D938" t="s">
        <v>191</v>
      </c>
      <c r="E938" s="9">
        <v>328112.19616085698</v>
      </c>
      <c r="F938" s="9">
        <v>186391.738676623</v>
      </c>
      <c r="G938" s="9">
        <v>337514.695524676</v>
      </c>
      <c r="H938" s="9">
        <v>187116.63987946699</v>
      </c>
      <c r="I938" s="21">
        <f t="shared" si="28"/>
        <v>724.90120284399018</v>
      </c>
      <c r="J938" s="21">
        <f t="shared" si="29"/>
        <v>9402.4993638190208</v>
      </c>
    </row>
    <row r="939" spans="1:10" hidden="1">
      <c r="A939" t="s">
        <v>205</v>
      </c>
      <c r="B939" t="s">
        <v>423</v>
      </c>
      <c r="C939" s="18">
        <v>2028</v>
      </c>
      <c r="D939" t="s">
        <v>422</v>
      </c>
      <c r="E939" s="9">
        <v>38149.312689918799</v>
      </c>
      <c r="F939" s="9">
        <v>4742.0855729783398</v>
      </c>
      <c r="G939" s="9">
        <v>38149.291579231904</v>
      </c>
      <c r="H939" s="9">
        <v>4742.0855729783398</v>
      </c>
      <c r="I939" s="21">
        <f t="shared" si="28"/>
        <v>0</v>
      </c>
      <c r="J939" s="21">
        <f t="shared" si="29"/>
        <v>-2.1110686895553954E-2</v>
      </c>
    </row>
    <row r="940" spans="1:10" hidden="1">
      <c r="A940" t="s">
        <v>205</v>
      </c>
      <c r="B940" t="s">
        <v>423</v>
      </c>
      <c r="C940" s="18">
        <v>2029</v>
      </c>
      <c r="D940" t="s">
        <v>174</v>
      </c>
      <c r="E940" s="9">
        <v>13833.242410515601</v>
      </c>
      <c r="F940" s="9">
        <v>10188.562509278399</v>
      </c>
      <c r="G940" s="9">
        <v>13830.048598278099</v>
      </c>
      <c r="H940" s="9">
        <v>10188.394886280999</v>
      </c>
      <c r="I940" s="21">
        <f t="shared" si="28"/>
        <v>-0.16762299740003073</v>
      </c>
      <c r="J940" s="21">
        <f t="shared" si="29"/>
        <v>-3.1938122375013336</v>
      </c>
    </row>
    <row r="941" spans="1:10" hidden="1">
      <c r="A941" t="s">
        <v>205</v>
      </c>
      <c r="B941" t="s">
        <v>423</v>
      </c>
      <c r="C941" s="18">
        <v>2029</v>
      </c>
      <c r="D941" t="s">
        <v>236</v>
      </c>
      <c r="E941" s="9">
        <v>1086252.4299556201</v>
      </c>
      <c r="F941" s="9">
        <v>161038.59401264699</v>
      </c>
      <c r="G941" s="9">
        <v>1086200.5009906101</v>
      </c>
      <c r="H941" s="9">
        <v>161038.22768731901</v>
      </c>
      <c r="I941" s="21">
        <f t="shared" si="28"/>
        <v>-0.36632532798103057</v>
      </c>
      <c r="J941" s="21">
        <f t="shared" si="29"/>
        <v>-51.928965009981766</v>
      </c>
    </row>
    <row r="942" spans="1:10" hidden="1">
      <c r="A942" t="s">
        <v>205</v>
      </c>
      <c r="B942" t="s">
        <v>423</v>
      </c>
      <c r="C942" s="18">
        <v>2029</v>
      </c>
      <c r="D942" t="s">
        <v>182</v>
      </c>
      <c r="E942" s="9">
        <v>109838.64058464899</v>
      </c>
      <c r="F942" s="9">
        <v>74623.8386807973</v>
      </c>
      <c r="G942" s="9">
        <v>114048.15533588199</v>
      </c>
      <c r="H942" s="9">
        <v>75452.222577591499</v>
      </c>
      <c r="I942" s="21">
        <f t="shared" si="28"/>
        <v>828.38389679419925</v>
      </c>
      <c r="J942" s="21">
        <f t="shared" si="29"/>
        <v>4209.5147512330004</v>
      </c>
    </row>
    <row r="943" spans="1:10" hidden="1">
      <c r="A943" t="s">
        <v>205</v>
      </c>
      <c r="B943" t="s">
        <v>423</v>
      </c>
      <c r="C943" s="18">
        <v>2029</v>
      </c>
      <c r="D943" t="s">
        <v>185</v>
      </c>
      <c r="E943" s="9">
        <v>265623.203597393</v>
      </c>
      <c r="F943" s="9">
        <v>254076.34320854899</v>
      </c>
      <c r="G943" s="9">
        <v>275821.08299242798</v>
      </c>
      <c r="H943" s="9">
        <v>258334.31739486201</v>
      </c>
      <c r="I943" s="21">
        <f t="shared" si="28"/>
        <v>4257.9741863130184</v>
      </c>
      <c r="J943" s="21">
        <f t="shared" si="29"/>
        <v>10197.879395034979</v>
      </c>
    </row>
    <row r="944" spans="1:10" hidden="1">
      <c r="A944" t="s">
        <v>205</v>
      </c>
      <c r="B944" t="s">
        <v>423</v>
      </c>
      <c r="C944" s="18">
        <v>2029</v>
      </c>
      <c r="D944" t="s">
        <v>188</v>
      </c>
      <c r="E944" s="9">
        <v>607595.34809167997</v>
      </c>
      <c r="F944" s="9">
        <v>361673.86425855302</v>
      </c>
      <c r="G944" s="9">
        <v>630779.36998507904</v>
      </c>
      <c r="H944" s="9">
        <v>363892.26827992598</v>
      </c>
      <c r="I944" s="21">
        <f t="shared" si="28"/>
        <v>2218.4040213729604</v>
      </c>
      <c r="J944" s="21">
        <f t="shared" si="29"/>
        <v>23184.021893399069</v>
      </c>
    </row>
    <row r="945" spans="1:10" hidden="1">
      <c r="A945" t="s">
        <v>205</v>
      </c>
      <c r="B945" t="s">
        <v>423</v>
      </c>
      <c r="C945" s="18">
        <v>2029</v>
      </c>
      <c r="D945" t="s">
        <v>191</v>
      </c>
      <c r="E945" s="9">
        <v>323553.66299132898</v>
      </c>
      <c r="F945" s="9">
        <v>185544.835182301</v>
      </c>
      <c r="G945" s="9">
        <v>335921.29283179599</v>
      </c>
      <c r="H945" s="9">
        <v>186821.56008749199</v>
      </c>
      <c r="I945" s="21">
        <f t="shared" si="28"/>
        <v>1276.7249051909894</v>
      </c>
      <c r="J945" s="21">
        <f t="shared" si="29"/>
        <v>12367.629840467009</v>
      </c>
    </row>
    <row r="946" spans="1:10" hidden="1">
      <c r="A946" t="s">
        <v>205</v>
      </c>
      <c r="B946" t="s">
        <v>423</v>
      </c>
      <c r="C946" s="18">
        <v>2029</v>
      </c>
      <c r="D946" t="s">
        <v>422</v>
      </c>
      <c r="E946" s="9">
        <v>37777.522919941599</v>
      </c>
      <c r="F946" s="9">
        <v>4604.0696802820203</v>
      </c>
      <c r="G946" s="9">
        <v>37777.467218977603</v>
      </c>
      <c r="H946" s="9">
        <v>4604.0681483163899</v>
      </c>
      <c r="I946" s="21">
        <f t="shared" si="28"/>
        <v>-1.531965630420018E-3</v>
      </c>
      <c r="J946" s="21">
        <f t="shared" si="29"/>
        <v>-5.5700963996059727E-2</v>
      </c>
    </row>
    <row r="947" spans="1:10" hidden="1">
      <c r="A947" t="s">
        <v>205</v>
      </c>
      <c r="B947" t="s">
        <v>423</v>
      </c>
      <c r="C947" s="18">
        <v>2030</v>
      </c>
      <c r="D947" t="s">
        <v>174</v>
      </c>
      <c r="E947" s="9">
        <v>14288.8113929925</v>
      </c>
      <c r="F947" s="9">
        <v>10500.949358173</v>
      </c>
      <c r="G947" s="9">
        <v>14281.959039535501</v>
      </c>
      <c r="H947" s="9">
        <v>10500.2867221377</v>
      </c>
      <c r="I947" s="21">
        <f t="shared" si="28"/>
        <v>-0.66263603530023829</v>
      </c>
      <c r="J947" s="21">
        <f t="shared" si="29"/>
        <v>-6.8523534569994808</v>
      </c>
    </row>
    <row r="948" spans="1:10" hidden="1">
      <c r="A948" t="s">
        <v>205</v>
      </c>
      <c r="B948" t="s">
        <v>423</v>
      </c>
      <c r="C948" s="18">
        <v>2030</v>
      </c>
      <c r="D948" t="s">
        <v>236</v>
      </c>
      <c r="E948" s="9">
        <v>1100307.1041411301</v>
      </c>
      <c r="F948" s="9">
        <v>169197.94337445201</v>
      </c>
      <c r="G948" s="9">
        <v>1100191.7865472301</v>
      </c>
      <c r="H948" s="9">
        <v>169196.385350075</v>
      </c>
      <c r="I948" s="21">
        <f t="shared" si="28"/>
        <v>-1.5580243770091329</v>
      </c>
      <c r="J948" s="21">
        <f t="shared" si="29"/>
        <v>-115.31759390002117</v>
      </c>
    </row>
    <row r="949" spans="1:10" hidden="1">
      <c r="A949" t="s">
        <v>205</v>
      </c>
      <c r="B949" t="s">
        <v>423</v>
      </c>
      <c r="C949" s="18">
        <v>2030</v>
      </c>
      <c r="D949" t="s">
        <v>182</v>
      </c>
      <c r="E949" s="9">
        <v>109531.299027685</v>
      </c>
      <c r="F949" s="9">
        <v>74731.277984129294</v>
      </c>
      <c r="G949" s="9">
        <v>114781.951575614</v>
      </c>
      <c r="H949" s="9">
        <v>76004.374773711097</v>
      </c>
      <c r="I949" s="21">
        <f t="shared" si="28"/>
        <v>1273.096789581803</v>
      </c>
      <c r="J949" s="21">
        <f t="shared" si="29"/>
        <v>5250.6525479289994</v>
      </c>
    </row>
    <row r="950" spans="1:10" hidden="1">
      <c r="A950" t="s">
        <v>205</v>
      </c>
      <c r="B950" t="s">
        <v>423</v>
      </c>
      <c r="C950" s="18">
        <v>2030</v>
      </c>
      <c r="D950" t="s">
        <v>185</v>
      </c>
      <c r="E950" s="9">
        <v>263100.86386458902</v>
      </c>
      <c r="F950" s="9">
        <v>251423.361092826</v>
      </c>
      <c r="G950" s="9">
        <v>275750.81654950802</v>
      </c>
      <c r="H950" s="9">
        <v>257411.19778715901</v>
      </c>
      <c r="I950" s="21">
        <f t="shared" si="28"/>
        <v>5987.8366943330038</v>
      </c>
      <c r="J950" s="21">
        <f t="shared" si="29"/>
        <v>12649.952684919001</v>
      </c>
    </row>
    <row r="951" spans="1:10" hidden="1">
      <c r="A951" t="s">
        <v>205</v>
      </c>
      <c r="B951" t="s">
        <v>423</v>
      </c>
      <c r="C951" s="18">
        <v>2030</v>
      </c>
      <c r="D951" t="s">
        <v>188</v>
      </c>
      <c r="E951" s="9">
        <v>609139.97361614997</v>
      </c>
      <c r="F951" s="9">
        <v>365391.96551432501</v>
      </c>
      <c r="G951" s="9">
        <v>638199.36722691404</v>
      </c>
      <c r="H951" s="9">
        <v>368920.44347907702</v>
      </c>
      <c r="I951" s="21">
        <f t="shared" si="28"/>
        <v>3528.4779647520045</v>
      </c>
      <c r="J951" s="21">
        <f t="shared" si="29"/>
        <v>29059.393610764062</v>
      </c>
    </row>
    <row r="952" spans="1:10" hidden="1">
      <c r="A952" t="s">
        <v>205</v>
      </c>
      <c r="B952" t="s">
        <v>423</v>
      </c>
      <c r="C952" s="18">
        <v>2030</v>
      </c>
      <c r="D952" t="s">
        <v>191</v>
      </c>
      <c r="E952" s="9">
        <v>321981.37398957199</v>
      </c>
      <c r="F952" s="9">
        <v>183534.03408327801</v>
      </c>
      <c r="G952" s="9">
        <v>337374.94686633401</v>
      </c>
      <c r="H952" s="9">
        <v>185442.493190957</v>
      </c>
      <c r="I952" s="21">
        <f t="shared" si="28"/>
        <v>1908.4591076789948</v>
      </c>
      <c r="J952" s="21">
        <f t="shared" si="29"/>
        <v>15393.572876762017</v>
      </c>
    </row>
    <row r="953" spans="1:10" hidden="1">
      <c r="A953" t="s">
        <v>205</v>
      </c>
      <c r="B953" t="s">
        <v>423</v>
      </c>
      <c r="C953" s="18">
        <v>2030</v>
      </c>
      <c r="D953" t="s">
        <v>422</v>
      </c>
      <c r="E953" s="9">
        <v>38012.771984149498</v>
      </c>
      <c r="F953" s="9">
        <v>4432.1216558477499</v>
      </c>
      <c r="G953" s="9">
        <v>38012.673637756197</v>
      </c>
      <c r="H953" s="9">
        <v>4432.1168533298996</v>
      </c>
      <c r="I953" s="21">
        <f t="shared" si="28"/>
        <v>-4.8025178502939525E-3</v>
      </c>
      <c r="J953" s="21">
        <f t="shared" si="29"/>
        <v>-9.8346393300744239E-2</v>
      </c>
    </row>
    <row r="954" spans="1:10" hidden="1">
      <c r="A954" t="s">
        <v>205</v>
      </c>
      <c r="B954" t="s">
        <v>423</v>
      </c>
      <c r="C954" s="18">
        <v>2031</v>
      </c>
      <c r="D954" t="s">
        <v>174</v>
      </c>
      <c r="E954" s="9">
        <v>14766.4540448813</v>
      </c>
      <c r="F954" s="9">
        <v>10816.5591496898</v>
      </c>
      <c r="G954" s="9">
        <v>14754.4294987798</v>
      </c>
      <c r="H954" s="9">
        <v>10814.9178976517</v>
      </c>
      <c r="I954" s="21">
        <f t="shared" si="28"/>
        <v>-1.6412520380999922</v>
      </c>
      <c r="J954" s="21">
        <f t="shared" si="29"/>
        <v>-12.024546101500164</v>
      </c>
    </row>
    <row r="955" spans="1:10" hidden="1">
      <c r="A955" t="s">
        <v>205</v>
      </c>
      <c r="B955" t="s">
        <v>423</v>
      </c>
      <c r="C955" s="18">
        <v>2031</v>
      </c>
      <c r="D955" t="s">
        <v>236</v>
      </c>
      <c r="E955" s="9">
        <v>1113933.3132404899</v>
      </c>
      <c r="F955" s="9">
        <v>177424.29768710301</v>
      </c>
      <c r="G955" s="9">
        <v>1113725.2263596801</v>
      </c>
      <c r="H955" s="9">
        <v>177420.195676039</v>
      </c>
      <c r="I955" s="21">
        <f t="shared" si="28"/>
        <v>-4.1020110640092753</v>
      </c>
      <c r="J955" s="21">
        <f t="shared" si="29"/>
        <v>-208.0868808098603</v>
      </c>
    </row>
    <row r="956" spans="1:10" hidden="1">
      <c r="A956" t="s">
        <v>205</v>
      </c>
      <c r="B956" t="s">
        <v>423</v>
      </c>
      <c r="C956" s="18">
        <v>2031</v>
      </c>
      <c r="D956" t="s">
        <v>182</v>
      </c>
      <c r="E956" s="9">
        <v>110502.429123757</v>
      </c>
      <c r="F956" s="9">
        <v>74783.114500184995</v>
      </c>
      <c r="G956" s="9">
        <v>115757.018858842</v>
      </c>
      <c r="H956" s="9">
        <v>76556.628013514899</v>
      </c>
      <c r="I956" s="21">
        <f t="shared" si="28"/>
        <v>1773.5135133299045</v>
      </c>
      <c r="J956" s="21">
        <f t="shared" si="29"/>
        <v>5254.5897350849991</v>
      </c>
    </row>
    <row r="957" spans="1:10" hidden="1">
      <c r="A957" t="s">
        <v>205</v>
      </c>
      <c r="B957" t="s">
        <v>423</v>
      </c>
      <c r="C957" s="18">
        <v>2031</v>
      </c>
      <c r="D957" t="s">
        <v>185</v>
      </c>
      <c r="E957" s="9">
        <v>262181.39829678601</v>
      </c>
      <c r="F957" s="9">
        <v>249429.739328703</v>
      </c>
      <c r="G957" s="9">
        <v>274719.77758767002</v>
      </c>
      <c r="H957" s="9">
        <v>257245.00548019301</v>
      </c>
      <c r="I957" s="21">
        <f t="shared" si="28"/>
        <v>7815.2661514900101</v>
      </c>
      <c r="J957" s="21">
        <f t="shared" si="29"/>
        <v>12538.379290884011</v>
      </c>
    </row>
    <row r="958" spans="1:10" hidden="1">
      <c r="A958" t="s">
        <v>205</v>
      </c>
      <c r="B958" t="s">
        <v>423</v>
      </c>
      <c r="C958" s="18">
        <v>2031</v>
      </c>
      <c r="D958" t="s">
        <v>188</v>
      </c>
      <c r="E958" s="9">
        <v>616970.96276620298</v>
      </c>
      <c r="F958" s="9">
        <v>369123.04669562099</v>
      </c>
      <c r="G958" s="9">
        <v>646110.86416985898</v>
      </c>
      <c r="H958" s="9">
        <v>374207.72907897399</v>
      </c>
      <c r="I958" s="21">
        <f t="shared" si="28"/>
        <v>5084.682383353007</v>
      </c>
      <c r="J958" s="21">
        <f t="shared" si="29"/>
        <v>29139.901403655997</v>
      </c>
    </row>
    <row r="959" spans="1:10" hidden="1">
      <c r="A959" t="s">
        <v>205</v>
      </c>
      <c r="B959" t="s">
        <v>423</v>
      </c>
      <c r="C959" s="18">
        <v>2031</v>
      </c>
      <c r="D959" t="s">
        <v>191</v>
      </c>
      <c r="E959" s="9">
        <v>323863.93422436097</v>
      </c>
      <c r="F959" s="9">
        <v>181696.20458524101</v>
      </c>
      <c r="G959" s="9">
        <v>339204.41915059398</v>
      </c>
      <c r="H959" s="9">
        <v>184315.56237323501</v>
      </c>
      <c r="I959" s="21">
        <f t="shared" si="28"/>
        <v>2619.3577879939985</v>
      </c>
      <c r="J959" s="21">
        <f t="shared" si="29"/>
        <v>15340.48492623301</v>
      </c>
    </row>
    <row r="960" spans="1:10" hidden="1">
      <c r="A960" t="s">
        <v>205</v>
      </c>
      <c r="B960" t="s">
        <v>423</v>
      </c>
      <c r="C960" s="18">
        <v>2031</v>
      </c>
      <c r="D960" t="s">
        <v>422</v>
      </c>
      <c r="E960" s="9">
        <v>38191.799548402501</v>
      </c>
      <c r="F960" s="9">
        <v>4274.7367269943998</v>
      </c>
      <c r="G960" s="9">
        <v>38191.6231000681</v>
      </c>
      <c r="H960" s="9">
        <v>4274.7272932738097</v>
      </c>
      <c r="I960" s="21">
        <f t="shared" si="28"/>
        <v>-9.4337205900956178E-3</v>
      </c>
      <c r="J960" s="21">
        <f t="shared" si="29"/>
        <v>-0.17644833440135699</v>
      </c>
    </row>
    <row r="961" spans="1:10" hidden="1">
      <c r="A961" t="s">
        <v>205</v>
      </c>
      <c r="B961" t="s">
        <v>423</v>
      </c>
      <c r="C961" s="18">
        <v>2032</v>
      </c>
      <c r="D961" t="s">
        <v>174</v>
      </c>
      <c r="E961" s="9">
        <v>15266.625423502601</v>
      </c>
      <c r="F961" s="9">
        <v>11135.395731226999</v>
      </c>
      <c r="G961" s="9">
        <v>15247.769190462001</v>
      </c>
      <c r="H961" s="9">
        <v>11132.1787355836</v>
      </c>
      <c r="I961" s="21">
        <f t="shared" si="28"/>
        <v>-3.2169956433990592</v>
      </c>
      <c r="J961" s="21">
        <f t="shared" si="29"/>
        <v>-18.856233040600273</v>
      </c>
    </row>
    <row r="962" spans="1:10" hidden="1">
      <c r="A962" t="s">
        <v>205</v>
      </c>
      <c r="B962" t="s">
        <v>423</v>
      </c>
      <c r="C962" s="18">
        <v>2032</v>
      </c>
      <c r="D962" t="s">
        <v>236</v>
      </c>
      <c r="E962" s="9">
        <v>1127116.1682208299</v>
      </c>
      <c r="F962" s="9">
        <v>185699.94929019501</v>
      </c>
      <c r="G962" s="9">
        <v>1126783.31749171</v>
      </c>
      <c r="H962" s="9">
        <v>185691.45221249</v>
      </c>
      <c r="I962" s="21">
        <f t="shared" ref="I962:I1025" si="30">H962-F962</f>
        <v>-8.4970777050184552</v>
      </c>
      <c r="J962" s="21">
        <f t="shared" ref="J962:J1025" si="31">G962-E962</f>
        <v>-332.85072911996394</v>
      </c>
    </row>
    <row r="963" spans="1:10" hidden="1">
      <c r="A963" t="s">
        <v>205</v>
      </c>
      <c r="B963" t="s">
        <v>423</v>
      </c>
      <c r="C963" s="18">
        <v>2032</v>
      </c>
      <c r="D963" t="s">
        <v>182</v>
      </c>
      <c r="E963" s="9">
        <v>111632.519241482</v>
      </c>
      <c r="F963" s="9">
        <v>75036.286394613198</v>
      </c>
      <c r="G963" s="9">
        <v>116892.91249656001</v>
      </c>
      <c r="H963" s="9">
        <v>77198.389307422098</v>
      </c>
      <c r="I963" s="21">
        <f t="shared" si="30"/>
        <v>2162.1029128088994</v>
      </c>
      <c r="J963" s="21">
        <f t="shared" si="31"/>
        <v>5260.3932550780009</v>
      </c>
    </row>
    <row r="964" spans="1:10" hidden="1">
      <c r="A964" t="s">
        <v>205</v>
      </c>
      <c r="B964" t="s">
        <v>423</v>
      </c>
      <c r="C964" s="18">
        <v>2032</v>
      </c>
      <c r="D964" t="s">
        <v>185</v>
      </c>
      <c r="E964" s="9">
        <v>261959.01508792199</v>
      </c>
      <c r="F964" s="9">
        <v>248114.39266277701</v>
      </c>
      <c r="G964" s="9">
        <v>274412.39342979901</v>
      </c>
      <c r="H964" s="9">
        <v>256745.67636584101</v>
      </c>
      <c r="I964" s="21">
        <f t="shared" si="30"/>
        <v>8631.283703063993</v>
      </c>
      <c r="J964" s="21">
        <f t="shared" si="31"/>
        <v>12453.378341877018</v>
      </c>
    </row>
    <row r="965" spans="1:10" hidden="1">
      <c r="A965" t="s">
        <v>205</v>
      </c>
      <c r="B965" t="s">
        <v>423</v>
      </c>
      <c r="C965" s="18">
        <v>2032</v>
      </c>
      <c r="D965" t="s">
        <v>188</v>
      </c>
      <c r="E965" s="9">
        <v>625287.78699652397</v>
      </c>
      <c r="F965" s="9">
        <v>373671.128436492</v>
      </c>
      <c r="G965" s="9">
        <v>654519.81142038899</v>
      </c>
      <c r="H965" s="9">
        <v>380127.64784866601</v>
      </c>
      <c r="I965" s="21">
        <f t="shared" si="30"/>
        <v>6456.519412174006</v>
      </c>
      <c r="J965" s="21">
        <f t="shared" si="31"/>
        <v>29232.024423865019</v>
      </c>
    </row>
    <row r="966" spans="1:10" hidden="1">
      <c r="A966" t="s">
        <v>205</v>
      </c>
      <c r="B966" t="s">
        <v>423</v>
      </c>
      <c r="C966" s="18">
        <v>2032</v>
      </c>
      <c r="D966" t="s">
        <v>191</v>
      </c>
      <c r="E966" s="9">
        <v>326276.92118817801</v>
      </c>
      <c r="F966" s="9">
        <v>180560.479781653</v>
      </c>
      <c r="G966" s="9">
        <v>341581.65326776</v>
      </c>
      <c r="H966" s="9">
        <v>183730.084212538</v>
      </c>
      <c r="I966" s="21">
        <f t="shared" si="30"/>
        <v>3169.604430884996</v>
      </c>
      <c r="J966" s="21">
        <f t="shared" si="31"/>
        <v>15304.732079581998</v>
      </c>
    </row>
    <row r="967" spans="1:10" hidden="1">
      <c r="A967" t="s">
        <v>205</v>
      </c>
      <c r="B967" t="s">
        <v>423</v>
      </c>
      <c r="C967" s="18">
        <v>2032</v>
      </c>
      <c r="D967" t="s">
        <v>422</v>
      </c>
      <c r="E967" s="9">
        <v>38037.806956478598</v>
      </c>
      <c r="F967" s="9">
        <v>4125.7372665012199</v>
      </c>
      <c r="G967" s="9">
        <v>38037.551792099897</v>
      </c>
      <c r="H967" s="9">
        <v>4125.7224791710396</v>
      </c>
      <c r="I967" s="21">
        <f t="shared" si="30"/>
        <v>-1.4787330180297431E-2</v>
      </c>
      <c r="J967" s="21">
        <f t="shared" si="31"/>
        <v>-0.25516437870101072</v>
      </c>
    </row>
    <row r="968" spans="1:10" hidden="1">
      <c r="A968" t="s">
        <v>205</v>
      </c>
      <c r="B968" t="s">
        <v>423</v>
      </c>
      <c r="C968" s="18">
        <v>2033</v>
      </c>
      <c r="D968" t="s">
        <v>174</v>
      </c>
      <c r="E968" s="9">
        <v>15786.1778712788</v>
      </c>
      <c r="F968" s="9">
        <v>11457.715401126001</v>
      </c>
      <c r="G968" s="9">
        <v>15759.5151167894</v>
      </c>
      <c r="H968" s="9">
        <v>11452.2049974033</v>
      </c>
      <c r="I968" s="21">
        <f t="shared" si="30"/>
        <v>-5.5104037227010849</v>
      </c>
      <c r="J968" s="21">
        <f t="shared" si="31"/>
        <v>-26.662754489399958</v>
      </c>
    </row>
    <row r="969" spans="1:10" hidden="1">
      <c r="A969" t="s">
        <v>205</v>
      </c>
      <c r="B969" t="s">
        <v>423</v>
      </c>
      <c r="C969" s="18">
        <v>2033</v>
      </c>
      <c r="D969" t="s">
        <v>236</v>
      </c>
      <c r="E969" s="9">
        <v>1139750.0192342801</v>
      </c>
      <c r="F969" s="9">
        <v>194020.88598064601</v>
      </c>
      <c r="G969" s="9">
        <v>1139272.75378683</v>
      </c>
      <c r="H969" s="9">
        <v>194005.60056651599</v>
      </c>
      <c r="I969" s="21">
        <f t="shared" si="30"/>
        <v>-15.28541413001949</v>
      </c>
      <c r="J969" s="21">
        <f t="shared" si="31"/>
        <v>-477.26544745010324</v>
      </c>
    </row>
    <row r="970" spans="1:10" hidden="1">
      <c r="A970" t="s">
        <v>205</v>
      </c>
      <c r="B970" t="s">
        <v>423</v>
      </c>
      <c r="C970" s="18">
        <v>2033</v>
      </c>
      <c r="D970" t="s">
        <v>182</v>
      </c>
      <c r="E970" s="9">
        <v>113004.997209882</v>
      </c>
      <c r="F970" s="9">
        <v>75450.7929870691</v>
      </c>
      <c r="G970" s="9">
        <v>118281.82855902299</v>
      </c>
      <c r="H970" s="9">
        <v>77917.162090690195</v>
      </c>
      <c r="I970" s="21">
        <f t="shared" si="30"/>
        <v>2466.3691036210948</v>
      </c>
      <c r="J970" s="21">
        <f t="shared" si="31"/>
        <v>5276.8313491409936</v>
      </c>
    </row>
    <row r="971" spans="1:10" hidden="1">
      <c r="A971" t="s">
        <v>205</v>
      </c>
      <c r="B971" t="s">
        <v>423</v>
      </c>
      <c r="C971" s="18">
        <v>2033</v>
      </c>
      <c r="D971" t="s">
        <v>185</v>
      </c>
      <c r="E971" s="9">
        <v>261534.86348807201</v>
      </c>
      <c r="F971" s="9">
        <v>247505.40398972499</v>
      </c>
      <c r="G971" s="9">
        <v>273893.528221021</v>
      </c>
      <c r="H971" s="9">
        <v>256655.55902621101</v>
      </c>
      <c r="I971" s="21">
        <f t="shared" si="30"/>
        <v>9150.1550364860159</v>
      </c>
      <c r="J971" s="21">
        <f t="shared" si="31"/>
        <v>12358.664732948993</v>
      </c>
    </row>
    <row r="972" spans="1:10" hidden="1">
      <c r="A972" t="s">
        <v>205</v>
      </c>
      <c r="B972" t="s">
        <v>423</v>
      </c>
      <c r="C972" s="18">
        <v>2033</v>
      </c>
      <c r="D972" t="s">
        <v>188</v>
      </c>
      <c r="E972" s="9">
        <v>634633.33896541898</v>
      </c>
      <c r="F972" s="9">
        <v>378901.36806477199</v>
      </c>
      <c r="G972" s="9">
        <v>664009.13874492398</v>
      </c>
      <c r="H972" s="9">
        <v>386583.230936034</v>
      </c>
      <c r="I972" s="21">
        <f t="shared" si="30"/>
        <v>7681.862871262012</v>
      </c>
      <c r="J972" s="21">
        <f t="shared" si="31"/>
        <v>29375.799779505003</v>
      </c>
    </row>
    <row r="973" spans="1:10" hidden="1">
      <c r="A973" t="s">
        <v>205</v>
      </c>
      <c r="B973" t="s">
        <v>423</v>
      </c>
      <c r="C973" s="18">
        <v>2033</v>
      </c>
      <c r="D973" t="s">
        <v>191</v>
      </c>
      <c r="E973" s="9">
        <v>329677.14915527799</v>
      </c>
      <c r="F973" s="9">
        <v>179958.15170615399</v>
      </c>
      <c r="G973" s="9">
        <v>344995.26462988101</v>
      </c>
      <c r="H973" s="9">
        <v>183583.04220271501</v>
      </c>
      <c r="I973" s="21">
        <f t="shared" si="30"/>
        <v>3624.8904965610127</v>
      </c>
      <c r="J973" s="21">
        <f t="shared" si="31"/>
        <v>15318.115474603022</v>
      </c>
    </row>
    <row r="974" spans="1:10" hidden="1">
      <c r="A974" t="s">
        <v>205</v>
      </c>
      <c r="B974" t="s">
        <v>423</v>
      </c>
      <c r="C974" s="18">
        <v>2033</v>
      </c>
      <c r="D974" t="s">
        <v>422</v>
      </c>
      <c r="E974" s="9">
        <v>37788.706670688698</v>
      </c>
      <c r="F974" s="9">
        <v>3977.7348140412701</v>
      </c>
      <c r="G974" s="9">
        <v>37788.395913351</v>
      </c>
      <c r="H974" s="9">
        <v>3977.7143757352601</v>
      </c>
      <c r="I974" s="21">
        <f t="shared" si="30"/>
        <v>-2.0438306009964435E-2</v>
      </c>
      <c r="J974" s="21">
        <f t="shared" si="31"/>
        <v>-0.31075733769830549</v>
      </c>
    </row>
    <row r="975" spans="1:10" hidden="1">
      <c r="A975" t="s">
        <v>205</v>
      </c>
      <c r="B975" t="s">
        <v>423</v>
      </c>
      <c r="C975" s="18">
        <v>2034</v>
      </c>
      <c r="D975" t="s">
        <v>174</v>
      </c>
      <c r="E975" s="9">
        <v>16321.0171379478</v>
      </c>
      <c r="F975" s="9">
        <v>11787.9091967355</v>
      </c>
      <c r="G975" s="9">
        <v>16285.764037622699</v>
      </c>
      <c r="H975" s="9">
        <v>11779.4141755774</v>
      </c>
      <c r="I975" s="21">
        <f t="shared" si="30"/>
        <v>-8.4950211580999166</v>
      </c>
      <c r="J975" s="21">
        <f t="shared" si="31"/>
        <v>-35.253100325100604</v>
      </c>
    </row>
    <row r="976" spans="1:10" hidden="1">
      <c r="A976" t="s">
        <v>205</v>
      </c>
      <c r="B976" t="s">
        <v>423</v>
      </c>
      <c r="C976" s="18">
        <v>2034</v>
      </c>
      <c r="D976" t="s">
        <v>236</v>
      </c>
      <c r="E976" s="9">
        <v>1151868.41197499</v>
      </c>
      <c r="F976" s="9">
        <v>202345.340436253</v>
      </c>
      <c r="G976" s="9">
        <v>1151232.62464015</v>
      </c>
      <c r="H976" s="9">
        <v>202320.63612115101</v>
      </c>
      <c r="I976" s="21">
        <f t="shared" si="30"/>
        <v>-24.704315101989778</v>
      </c>
      <c r="J976" s="21">
        <f t="shared" si="31"/>
        <v>-635.78733484004624</v>
      </c>
    </row>
    <row r="977" spans="1:10" hidden="1">
      <c r="A977" t="s">
        <v>205</v>
      </c>
      <c r="B977" t="s">
        <v>423</v>
      </c>
      <c r="C977" s="18">
        <v>2034</v>
      </c>
      <c r="D977" t="s">
        <v>182</v>
      </c>
      <c r="E977" s="9">
        <v>113902.221869172</v>
      </c>
      <c r="F977" s="9">
        <v>76075.3699666842</v>
      </c>
      <c r="G977" s="9">
        <v>119173.805374547</v>
      </c>
      <c r="H977" s="9">
        <v>78781.723235872807</v>
      </c>
      <c r="I977" s="21">
        <f t="shared" si="30"/>
        <v>2706.3532691886066</v>
      </c>
      <c r="J977" s="21">
        <f t="shared" si="31"/>
        <v>5271.5835053749906</v>
      </c>
    </row>
    <row r="978" spans="1:10" hidden="1">
      <c r="A978" t="s">
        <v>205</v>
      </c>
      <c r="B978" t="s">
        <v>423</v>
      </c>
      <c r="C978" s="18">
        <v>2034</v>
      </c>
      <c r="D978" t="s">
        <v>185</v>
      </c>
      <c r="E978" s="9">
        <v>261394.382773741</v>
      </c>
      <c r="F978" s="9">
        <v>247252.36197137399</v>
      </c>
      <c r="G978" s="9">
        <v>273669.65020286699</v>
      </c>
      <c r="H978" s="9">
        <v>256753.127116244</v>
      </c>
      <c r="I978" s="21">
        <f t="shared" si="30"/>
        <v>9500.7651448700053</v>
      </c>
      <c r="J978" s="21">
        <f t="shared" si="31"/>
        <v>12275.26742912599</v>
      </c>
    </row>
    <row r="979" spans="1:10" hidden="1">
      <c r="A979" t="s">
        <v>205</v>
      </c>
      <c r="B979" t="s">
        <v>423</v>
      </c>
      <c r="C979" s="18">
        <v>2034</v>
      </c>
      <c r="D979" t="s">
        <v>188</v>
      </c>
      <c r="E979" s="9">
        <v>640216.83756744396</v>
      </c>
      <c r="F979" s="9">
        <v>385012.374150683</v>
      </c>
      <c r="G979" s="9">
        <v>669565.09186596901</v>
      </c>
      <c r="H979" s="9">
        <v>393806.92012191401</v>
      </c>
      <c r="I979" s="21">
        <f t="shared" si="30"/>
        <v>8794.5459712310112</v>
      </c>
      <c r="J979" s="21">
        <f t="shared" si="31"/>
        <v>29348.254298525047</v>
      </c>
    </row>
    <row r="980" spans="1:10" hidden="1">
      <c r="A980" t="s">
        <v>205</v>
      </c>
      <c r="B980" t="s">
        <v>423</v>
      </c>
      <c r="C980" s="18">
        <v>2034</v>
      </c>
      <c r="D980" t="s">
        <v>191</v>
      </c>
      <c r="E980" s="9">
        <v>330704.46469831199</v>
      </c>
      <c r="F980" s="9">
        <v>180784.67677098</v>
      </c>
      <c r="G980" s="9">
        <v>345926.396497523</v>
      </c>
      <c r="H980" s="9">
        <v>184800.88501932399</v>
      </c>
      <c r="I980" s="21">
        <f t="shared" si="30"/>
        <v>4016.2082483439881</v>
      </c>
      <c r="J980" s="21">
        <f t="shared" si="31"/>
        <v>15221.931799211015</v>
      </c>
    </row>
    <row r="981" spans="1:10" hidden="1">
      <c r="A981" t="s">
        <v>205</v>
      </c>
      <c r="B981" t="s">
        <v>423</v>
      </c>
      <c r="C981" s="18">
        <v>2034</v>
      </c>
      <c r="D981" t="s">
        <v>422</v>
      </c>
      <c r="E981" s="9">
        <v>37391.488088601203</v>
      </c>
      <c r="F981" s="9">
        <v>3849.4614770583398</v>
      </c>
      <c r="G981" s="9">
        <v>37391.118979539897</v>
      </c>
      <c r="H981" s="9">
        <v>3849.43642407178</v>
      </c>
      <c r="I981" s="21">
        <f t="shared" si="30"/>
        <v>-2.5052986559785495E-2</v>
      </c>
      <c r="J981" s="21">
        <f t="shared" si="31"/>
        <v>-0.36910906130651711</v>
      </c>
    </row>
    <row r="982" spans="1:10" hidden="1">
      <c r="A982" t="s">
        <v>205</v>
      </c>
      <c r="B982" t="s">
        <v>423</v>
      </c>
      <c r="C982" s="18">
        <v>2035</v>
      </c>
      <c r="D982" t="s">
        <v>174</v>
      </c>
      <c r="E982" s="9">
        <v>16875.179558762</v>
      </c>
      <c r="F982" s="9">
        <v>12124.9348123822</v>
      </c>
      <c r="G982" s="9">
        <v>16830.6420972909</v>
      </c>
      <c r="H982" s="9">
        <v>12112.814364394</v>
      </c>
      <c r="I982" s="21">
        <f t="shared" si="30"/>
        <v>-12.120447988199885</v>
      </c>
      <c r="J982" s="21">
        <f t="shared" si="31"/>
        <v>-44.537461471099959</v>
      </c>
    </row>
    <row r="983" spans="1:10" hidden="1">
      <c r="A983" t="s">
        <v>205</v>
      </c>
      <c r="B983" t="s">
        <v>423</v>
      </c>
      <c r="C983" s="18">
        <v>2035</v>
      </c>
      <c r="D983" t="s">
        <v>236</v>
      </c>
      <c r="E983" s="9">
        <v>1163581.92148538</v>
      </c>
      <c r="F983" s="9">
        <v>210664.30687420501</v>
      </c>
      <c r="G983" s="9">
        <v>1162777.28327874</v>
      </c>
      <c r="H983" s="9">
        <v>210627.422792314</v>
      </c>
      <c r="I983" s="21">
        <f t="shared" si="30"/>
        <v>-36.884081891010283</v>
      </c>
      <c r="J983" s="21">
        <f t="shared" si="31"/>
        <v>-804.6382066400256</v>
      </c>
    </row>
    <row r="984" spans="1:10" hidden="1">
      <c r="A984" t="s">
        <v>205</v>
      </c>
      <c r="B984" t="s">
        <v>423</v>
      </c>
      <c r="C984" s="18">
        <v>2035</v>
      </c>
      <c r="D984" t="s">
        <v>182</v>
      </c>
      <c r="E984" s="9">
        <v>115499.603194528</v>
      </c>
      <c r="F984" s="9">
        <v>76560.391127318202</v>
      </c>
      <c r="G984" s="9">
        <v>120799.065903184</v>
      </c>
      <c r="H984" s="9">
        <v>79456.632421187605</v>
      </c>
      <c r="I984" s="21">
        <f t="shared" si="30"/>
        <v>2896.2412938694033</v>
      </c>
      <c r="J984" s="21">
        <f t="shared" si="31"/>
        <v>5299.4627086560067</v>
      </c>
    </row>
    <row r="985" spans="1:10" hidden="1">
      <c r="A985" t="s">
        <v>205</v>
      </c>
      <c r="B985" t="s">
        <v>423</v>
      </c>
      <c r="C985" s="18">
        <v>2035</v>
      </c>
      <c r="D985" t="s">
        <v>185</v>
      </c>
      <c r="E985" s="9">
        <v>261156.43659940301</v>
      </c>
      <c r="F985" s="9">
        <v>247051.14035531</v>
      </c>
      <c r="G985" s="9">
        <v>273345.36006293801</v>
      </c>
      <c r="H985" s="9">
        <v>256807.53223008101</v>
      </c>
      <c r="I985" s="21">
        <f t="shared" si="30"/>
        <v>9756.3918747710122</v>
      </c>
      <c r="J985" s="21">
        <f t="shared" si="31"/>
        <v>12188.923463535</v>
      </c>
    </row>
    <row r="986" spans="1:10" hidden="1">
      <c r="A986" t="s">
        <v>205</v>
      </c>
      <c r="B986" t="s">
        <v>423</v>
      </c>
      <c r="C986" s="18">
        <v>2035</v>
      </c>
      <c r="D986" t="s">
        <v>188</v>
      </c>
      <c r="E986" s="9">
        <v>649155.909822908</v>
      </c>
      <c r="F986" s="9">
        <v>389688.689301059</v>
      </c>
      <c r="G986" s="9">
        <v>678638.43452144298</v>
      </c>
      <c r="H986" s="9">
        <v>399492.95053299802</v>
      </c>
      <c r="I986" s="21">
        <f t="shared" si="30"/>
        <v>9804.2612319390173</v>
      </c>
      <c r="J986" s="21">
        <f t="shared" si="31"/>
        <v>29482.52469853498</v>
      </c>
    </row>
    <row r="987" spans="1:10" hidden="1">
      <c r="A987" t="s">
        <v>205</v>
      </c>
      <c r="B987" t="s">
        <v>423</v>
      </c>
      <c r="C987" s="18">
        <v>2035</v>
      </c>
      <c r="D987" t="s">
        <v>191</v>
      </c>
      <c r="E987" s="9">
        <v>333912.90599816601</v>
      </c>
      <c r="F987" s="9">
        <v>181002.861190911</v>
      </c>
      <c r="G987" s="9">
        <v>349146.06245576398</v>
      </c>
      <c r="H987" s="9">
        <v>185365.76110357899</v>
      </c>
      <c r="I987" s="21">
        <f t="shared" si="30"/>
        <v>4362.8999126679846</v>
      </c>
      <c r="J987" s="21">
        <f t="shared" si="31"/>
        <v>15233.156457597972</v>
      </c>
    </row>
    <row r="988" spans="1:10" hidden="1">
      <c r="A988" t="s">
        <v>205</v>
      </c>
      <c r="B988" t="s">
        <v>423</v>
      </c>
      <c r="C988" s="18">
        <v>2035</v>
      </c>
      <c r="D988" t="s">
        <v>422</v>
      </c>
      <c r="E988" s="9">
        <v>37274.821225831904</v>
      </c>
      <c r="F988" s="9">
        <v>3710.46051719353</v>
      </c>
      <c r="G988" s="9">
        <v>37274.397901844597</v>
      </c>
      <c r="H988" s="9">
        <v>3710.43177455469</v>
      </c>
      <c r="I988" s="21">
        <f t="shared" si="30"/>
        <v>-2.874263883995809E-2</v>
      </c>
      <c r="J988" s="21">
        <f t="shared" si="31"/>
        <v>-0.42332398730650311</v>
      </c>
    </row>
    <row r="989" spans="1:10" hidden="1">
      <c r="A989" t="s">
        <v>205</v>
      </c>
      <c r="B989" t="s">
        <v>423</v>
      </c>
      <c r="C989" s="18">
        <v>2036</v>
      </c>
      <c r="D989" t="s">
        <v>174</v>
      </c>
      <c r="E989" s="9">
        <v>17447.084610468999</v>
      </c>
      <c r="F989" s="9">
        <v>12469.196080809599</v>
      </c>
      <c r="G989" s="9">
        <v>17392.609904070101</v>
      </c>
      <c r="H989" s="9">
        <v>12452.864013751599</v>
      </c>
      <c r="I989" s="21">
        <f t="shared" si="30"/>
        <v>-16.332067057999666</v>
      </c>
      <c r="J989" s="21">
        <f t="shared" si="31"/>
        <v>-54.474706398897979</v>
      </c>
    </row>
    <row r="990" spans="1:10" hidden="1">
      <c r="A990" t="s">
        <v>205</v>
      </c>
      <c r="B990" t="s">
        <v>423</v>
      </c>
      <c r="C990" s="18">
        <v>2036</v>
      </c>
      <c r="D990" t="s">
        <v>236</v>
      </c>
      <c r="E990" s="9">
        <v>1175066.6739183699</v>
      </c>
      <c r="F990" s="9">
        <v>218958.503328658</v>
      </c>
      <c r="G990" s="9">
        <v>1174085.51289072</v>
      </c>
      <c r="H990" s="9">
        <v>218906.62344450099</v>
      </c>
      <c r="I990" s="21">
        <f t="shared" si="30"/>
        <v>-51.879884157009656</v>
      </c>
      <c r="J990" s="21">
        <f t="shared" si="31"/>
        <v>-981.16102764988318</v>
      </c>
    </row>
    <row r="991" spans="1:10" hidden="1">
      <c r="A991" t="s">
        <v>205</v>
      </c>
      <c r="B991" t="s">
        <v>423</v>
      </c>
      <c r="C991" s="18">
        <v>2036</v>
      </c>
      <c r="D991" t="s">
        <v>182</v>
      </c>
      <c r="E991" s="9">
        <v>117283.843592269</v>
      </c>
      <c r="F991" s="9">
        <v>77254.1562612454</v>
      </c>
      <c r="G991" s="9">
        <v>122618.320312187</v>
      </c>
      <c r="H991" s="9">
        <v>80302.842995522602</v>
      </c>
      <c r="I991" s="21">
        <f t="shared" si="30"/>
        <v>3048.686734277202</v>
      </c>
      <c r="J991" s="21">
        <f t="shared" si="31"/>
        <v>5334.476719918006</v>
      </c>
    </row>
    <row r="992" spans="1:10" hidden="1">
      <c r="A992" t="s">
        <v>205</v>
      </c>
      <c r="B992" t="s">
        <v>423</v>
      </c>
      <c r="C992" s="18">
        <v>2036</v>
      </c>
      <c r="D992" t="s">
        <v>185</v>
      </c>
      <c r="E992" s="9">
        <v>261182.502948988</v>
      </c>
      <c r="F992" s="9">
        <v>246987.31003643101</v>
      </c>
      <c r="G992" s="9">
        <v>273297.56982222799</v>
      </c>
      <c r="H992" s="9">
        <v>256933.39822934201</v>
      </c>
      <c r="I992" s="21">
        <f t="shared" si="30"/>
        <v>9946.0881929110037</v>
      </c>
      <c r="J992" s="21">
        <f t="shared" si="31"/>
        <v>12115.066873239994</v>
      </c>
    </row>
    <row r="993" spans="1:10" hidden="1">
      <c r="A993" t="s">
        <v>205</v>
      </c>
      <c r="B993" t="s">
        <v>423</v>
      </c>
      <c r="C993" s="18">
        <v>2036</v>
      </c>
      <c r="D993" t="s">
        <v>188</v>
      </c>
      <c r="E993" s="9">
        <v>658552.834095723</v>
      </c>
      <c r="F993" s="9">
        <v>395258.40541773301</v>
      </c>
      <c r="G993" s="9">
        <v>688194.68447559199</v>
      </c>
      <c r="H993" s="9">
        <v>405992.65349387802</v>
      </c>
      <c r="I993" s="21">
        <f t="shared" si="30"/>
        <v>10734.248076145013</v>
      </c>
      <c r="J993" s="21">
        <f t="shared" si="31"/>
        <v>29641.850379868993</v>
      </c>
    </row>
    <row r="994" spans="1:10" hidden="1">
      <c r="A994" t="s">
        <v>205</v>
      </c>
      <c r="B994" t="s">
        <v>423</v>
      </c>
      <c r="C994" s="18">
        <v>2036</v>
      </c>
      <c r="D994" t="s">
        <v>191</v>
      </c>
      <c r="E994" s="9">
        <v>337346.310925389</v>
      </c>
      <c r="F994" s="9">
        <v>181739.66706179199</v>
      </c>
      <c r="G994" s="9">
        <v>352603.07171420398</v>
      </c>
      <c r="H994" s="9">
        <v>186417.92722248001</v>
      </c>
      <c r="I994" s="21">
        <f t="shared" si="30"/>
        <v>4678.2601606880198</v>
      </c>
      <c r="J994" s="21">
        <f t="shared" si="31"/>
        <v>15256.76078881498</v>
      </c>
    </row>
    <row r="995" spans="1:10" hidden="1">
      <c r="A995" t="s">
        <v>205</v>
      </c>
      <c r="B995" t="s">
        <v>423</v>
      </c>
      <c r="C995" s="18">
        <v>2036</v>
      </c>
      <c r="D995" t="s">
        <v>422</v>
      </c>
      <c r="E995" s="9">
        <v>37283.499457666898</v>
      </c>
      <c r="F995" s="9">
        <v>3578.6915284398301</v>
      </c>
      <c r="G995" s="9">
        <v>37283.027629395598</v>
      </c>
      <c r="H995" s="9">
        <v>3578.66006488627</v>
      </c>
      <c r="I995" s="21">
        <f t="shared" si="30"/>
        <v>-3.1463553560115542E-2</v>
      </c>
      <c r="J995" s="21">
        <f t="shared" si="31"/>
        <v>-0.47182827130018268</v>
      </c>
    </row>
    <row r="996" spans="1:10" hidden="1">
      <c r="A996" t="s">
        <v>205</v>
      </c>
      <c r="B996" t="s">
        <v>423</v>
      </c>
      <c r="C996" s="18">
        <v>2037</v>
      </c>
      <c r="D996" t="s">
        <v>174</v>
      </c>
      <c r="E996" s="9">
        <v>18036.5082994451</v>
      </c>
      <c r="F996" s="9">
        <v>12820.5612901684</v>
      </c>
      <c r="G996" s="9">
        <v>17971.482864064201</v>
      </c>
      <c r="H996" s="9">
        <v>12799.479454561601</v>
      </c>
      <c r="I996" s="21">
        <f t="shared" si="30"/>
        <v>-21.081835606799359</v>
      </c>
      <c r="J996" s="21">
        <f t="shared" si="31"/>
        <v>-65.02543538089958</v>
      </c>
    </row>
    <row r="997" spans="1:10" hidden="1">
      <c r="A997" t="s">
        <v>205</v>
      </c>
      <c r="B997" t="s">
        <v>423</v>
      </c>
      <c r="C997" s="18">
        <v>2037</v>
      </c>
      <c r="D997" t="s">
        <v>236</v>
      </c>
      <c r="E997" s="9">
        <v>1186428.1652820599</v>
      </c>
      <c r="F997" s="9">
        <v>227215.505128752</v>
      </c>
      <c r="G997" s="9">
        <v>1185264.7438497699</v>
      </c>
      <c r="H997" s="9">
        <v>227145.85064844001</v>
      </c>
      <c r="I997" s="21">
        <f t="shared" si="30"/>
        <v>-69.654480311990483</v>
      </c>
      <c r="J997" s="21">
        <f t="shared" si="31"/>
        <v>-1163.4214322899934</v>
      </c>
    </row>
    <row r="998" spans="1:10" hidden="1">
      <c r="A998" t="s">
        <v>205</v>
      </c>
      <c r="B998" t="s">
        <v>423</v>
      </c>
      <c r="C998" s="18">
        <v>2037</v>
      </c>
      <c r="D998" t="s">
        <v>182</v>
      </c>
      <c r="E998" s="9">
        <v>119117.28032493401</v>
      </c>
      <c r="F998" s="9">
        <v>78067.046781673402</v>
      </c>
      <c r="G998" s="9">
        <v>124489.42976024401</v>
      </c>
      <c r="H998" s="9">
        <v>81244.691389584303</v>
      </c>
      <c r="I998" s="21">
        <f t="shared" si="30"/>
        <v>3177.644607910901</v>
      </c>
      <c r="J998" s="21">
        <f t="shared" si="31"/>
        <v>5372.1494353099988</v>
      </c>
    </row>
    <row r="999" spans="1:10" hidden="1">
      <c r="A999" t="s">
        <v>205</v>
      </c>
      <c r="B999" t="s">
        <v>423</v>
      </c>
      <c r="C999" s="18">
        <v>2037</v>
      </c>
      <c r="D999" t="s">
        <v>185</v>
      </c>
      <c r="E999" s="9">
        <v>261161.787975585</v>
      </c>
      <c r="F999" s="9">
        <v>246982.51624373</v>
      </c>
      <c r="G999" s="9">
        <v>273202.80227406899</v>
      </c>
      <c r="H999" s="9">
        <v>257070.97314913399</v>
      </c>
      <c r="I999" s="21">
        <f t="shared" si="30"/>
        <v>10088.456905403989</v>
      </c>
      <c r="J999" s="21">
        <f t="shared" si="31"/>
        <v>12041.014298483991</v>
      </c>
    </row>
    <row r="1000" spans="1:10" hidden="1">
      <c r="A1000" t="s">
        <v>205</v>
      </c>
      <c r="B1000" t="s">
        <v>423</v>
      </c>
      <c r="C1000" s="18">
        <v>2037</v>
      </c>
      <c r="D1000" t="s">
        <v>188</v>
      </c>
      <c r="E1000" s="9">
        <v>668242.42896588705</v>
      </c>
      <c r="F1000" s="9">
        <v>401417.84713232698</v>
      </c>
      <c r="G1000" s="9">
        <v>698060.50212694705</v>
      </c>
      <c r="H1000" s="9">
        <v>413018.343093551</v>
      </c>
      <c r="I1000" s="21">
        <f t="shared" si="30"/>
        <v>11600.49596122402</v>
      </c>
      <c r="J1000" s="21">
        <f t="shared" si="31"/>
        <v>29818.073161059991</v>
      </c>
    </row>
    <row r="1001" spans="1:10" hidden="1">
      <c r="A1001" t="s">
        <v>205</v>
      </c>
      <c r="B1001" t="s">
        <v>423</v>
      </c>
      <c r="C1001" s="18">
        <v>2037</v>
      </c>
      <c r="D1001" t="s">
        <v>191</v>
      </c>
      <c r="E1001" s="9">
        <v>341126.13684893999</v>
      </c>
      <c r="F1001" s="9">
        <v>182816.49086409601</v>
      </c>
      <c r="G1001" s="9">
        <v>356425.67891865398</v>
      </c>
      <c r="H1001" s="9">
        <v>187788.31252848901</v>
      </c>
      <c r="I1001" s="21">
        <f t="shared" si="30"/>
        <v>4971.8216643930064</v>
      </c>
      <c r="J1001" s="21">
        <f t="shared" si="31"/>
        <v>15299.542069713993</v>
      </c>
    </row>
    <row r="1002" spans="1:10" hidden="1">
      <c r="A1002" t="s">
        <v>205</v>
      </c>
      <c r="B1002" t="s">
        <v>423</v>
      </c>
      <c r="C1002" s="18">
        <v>2037</v>
      </c>
      <c r="D1002" t="s">
        <v>422</v>
      </c>
      <c r="E1002" s="9">
        <v>36837.761055616997</v>
      </c>
      <c r="F1002" s="9">
        <v>3450.22765384171</v>
      </c>
      <c r="G1002" s="9">
        <v>36837.277480763201</v>
      </c>
      <c r="H1002" s="9">
        <v>3450.1946557369902</v>
      </c>
      <c r="I1002" s="21">
        <f t="shared" si="30"/>
        <v>-3.2998104719808907E-2</v>
      </c>
      <c r="J1002" s="21">
        <f t="shared" si="31"/>
        <v>-0.48357485379528953</v>
      </c>
    </row>
    <row r="1003" spans="1:10" hidden="1">
      <c r="A1003" t="s">
        <v>205</v>
      </c>
      <c r="B1003" t="s">
        <v>423</v>
      </c>
      <c r="C1003" s="18">
        <v>2038</v>
      </c>
      <c r="D1003" t="s">
        <v>174</v>
      </c>
      <c r="E1003" s="9">
        <v>18640.921793704401</v>
      </c>
      <c r="F1003" s="9">
        <v>13181.928662698499</v>
      </c>
      <c r="G1003" s="9">
        <v>18564.7325343064</v>
      </c>
      <c r="H1003" s="9">
        <v>13155.6038503287</v>
      </c>
      <c r="I1003" s="21">
        <f t="shared" si="30"/>
        <v>-26.324812369799474</v>
      </c>
      <c r="J1003" s="21">
        <f t="shared" si="31"/>
        <v>-76.189259398001013</v>
      </c>
    </row>
    <row r="1004" spans="1:10" hidden="1">
      <c r="A1004" t="s">
        <v>205</v>
      </c>
      <c r="B1004" t="s">
        <v>423</v>
      </c>
      <c r="C1004" s="18">
        <v>2038</v>
      </c>
      <c r="D1004" t="s">
        <v>236</v>
      </c>
      <c r="E1004" s="9">
        <v>1197664.4117747501</v>
      </c>
      <c r="F1004" s="9">
        <v>235419.79489020299</v>
      </c>
      <c r="G1004" s="9">
        <v>1196314.5451145701</v>
      </c>
      <c r="H1004" s="9">
        <v>235329.60149861901</v>
      </c>
      <c r="I1004" s="21">
        <f t="shared" si="30"/>
        <v>-90.193391583976336</v>
      </c>
      <c r="J1004" s="21">
        <f t="shared" si="31"/>
        <v>-1349.866660180036</v>
      </c>
    </row>
    <row r="1005" spans="1:10" hidden="1">
      <c r="A1005" t="s">
        <v>205</v>
      </c>
      <c r="B1005" t="s">
        <v>423</v>
      </c>
      <c r="C1005" s="18">
        <v>2038</v>
      </c>
      <c r="D1005" t="s">
        <v>182</v>
      </c>
      <c r="E1005" s="9">
        <v>121137.199266959</v>
      </c>
      <c r="F1005" s="9">
        <v>78966.492631917805</v>
      </c>
      <c r="G1005" s="9">
        <v>126555.833855502</v>
      </c>
      <c r="H1005" s="9">
        <v>82253.930841494002</v>
      </c>
      <c r="I1005" s="21">
        <f t="shared" si="30"/>
        <v>3287.4382095761976</v>
      </c>
      <c r="J1005" s="21">
        <f t="shared" si="31"/>
        <v>5418.6345885430055</v>
      </c>
    </row>
    <row r="1006" spans="1:10" hidden="1">
      <c r="A1006" t="s">
        <v>205</v>
      </c>
      <c r="B1006" t="s">
        <v>423</v>
      </c>
      <c r="C1006" s="18">
        <v>2038</v>
      </c>
      <c r="D1006" t="s">
        <v>185</v>
      </c>
      <c r="E1006" s="9">
        <v>261070.709575074</v>
      </c>
      <c r="F1006" s="9">
        <v>246937.214880877</v>
      </c>
      <c r="G1006" s="9">
        <v>273035.370644084</v>
      </c>
      <c r="H1006" s="9">
        <v>257130.676610817</v>
      </c>
      <c r="I1006" s="21">
        <f t="shared" si="30"/>
        <v>10193.461729939998</v>
      </c>
      <c r="J1006" s="21">
        <f t="shared" si="31"/>
        <v>11964.661069010006</v>
      </c>
    </row>
    <row r="1007" spans="1:10" hidden="1">
      <c r="A1007" t="s">
        <v>205</v>
      </c>
      <c r="B1007" t="s">
        <v>423</v>
      </c>
      <c r="C1007" s="18">
        <v>2038</v>
      </c>
      <c r="D1007" t="s">
        <v>188</v>
      </c>
      <c r="E1007" s="9">
        <v>678645.18772091297</v>
      </c>
      <c r="F1007" s="9">
        <v>408039.22710386303</v>
      </c>
      <c r="G1007" s="9">
        <v>708674.57496129896</v>
      </c>
      <c r="H1007" s="9">
        <v>420445.264129068</v>
      </c>
      <c r="I1007" s="21">
        <f t="shared" si="30"/>
        <v>12406.037025204976</v>
      </c>
      <c r="J1007" s="21">
        <f t="shared" si="31"/>
        <v>30029.387240385986</v>
      </c>
    </row>
    <row r="1008" spans="1:10" hidden="1">
      <c r="A1008" t="s">
        <v>205</v>
      </c>
      <c r="B1008" t="s">
        <v>423</v>
      </c>
      <c r="C1008" s="18">
        <v>2038</v>
      </c>
      <c r="D1008" t="s">
        <v>191</v>
      </c>
      <c r="E1008" s="9">
        <v>345526.92224895302</v>
      </c>
      <c r="F1008" s="9">
        <v>184100.11143587</v>
      </c>
      <c r="G1008" s="9">
        <v>360900.93527344998</v>
      </c>
      <c r="H1008" s="9">
        <v>189347.42226660499</v>
      </c>
      <c r="I1008" s="21">
        <f t="shared" si="30"/>
        <v>5247.3108307349903</v>
      </c>
      <c r="J1008" s="21">
        <f t="shared" si="31"/>
        <v>15374.013024496962</v>
      </c>
    </row>
    <row r="1009" spans="1:10" hidden="1">
      <c r="A1009" t="s">
        <v>205</v>
      </c>
      <c r="B1009" t="s">
        <v>423</v>
      </c>
      <c r="C1009" s="18">
        <v>2038</v>
      </c>
      <c r="D1009" t="s">
        <v>422</v>
      </c>
      <c r="E1009" s="9">
        <v>36551.935595708303</v>
      </c>
      <c r="F1009" s="9">
        <v>3322.8540985202299</v>
      </c>
      <c r="G1009" s="9">
        <v>36551.441257778999</v>
      </c>
      <c r="H1009" s="9">
        <v>3322.8215744210102</v>
      </c>
      <c r="I1009" s="21">
        <f t="shared" si="30"/>
        <v>-3.2524099219699565E-2</v>
      </c>
      <c r="J1009" s="21">
        <f t="shared" si="31"/>
        <v>-0.49433792930358322</v>
      </c>
    </row>
    <row r="1010" spans="1:10" hidden="1">
      <c r="A1010" t="s">
        <v>205</v>
      </c>
      <c r="B1010" t="s">
        <v>423</v>
      </c>
      <c r="C1010" s="18">
        <v>2039</v>
      </c>
      <c r="D1010" t="s">
        <v>174</v>
      </c>
      <c r="E1010" s="9">
        <v>19262.336338719299</v>
      </c>
      <c r="F1010" s="9">
        <v>13548.8113686958</v>
      </c>
      <c r="G1010" s="9">
        <v>19174.345745902901</v>
      </c>
      <c r="H1010" s="9">
        <v>13516.7785061579</v>
      </c>
      <c r="I1010" s="21">
        <f t="shared" si="30"/>
        <v>-32.032862537900655</v>
      </c>
      <c r="J1010" s="21">
        <f t="shared" si="31"/>
        <v>-87.990592816397111</v>
      </c>
    </row>
    <row r="1011" spans="1:10" hidden="1">
      <c r="A1011" t="s">
        <v>205</v>
      </c>
      <c r="B1011" t="s">
        <v>423</v>
      </c>
      <c r="C1011" s="18">
        <v>2039</v>
      </c>
      <c r="D1011" t="s">
        <v>236</v>
      </c>
      <c r="E1011" s="9">
        <v>1208464.8984739699</v>
      </c>
      <c r="F1011" s="9">
        <v>243596.82567684399</v>
      </c>
      <c r="G1011" s="9">
        <v>1206925.78308321</v>
      </c>
      <c r="H1011" s="9">
        <v>243483.36403446301</v>
      </c>
      <c r="I1011" s="21">
        <f t="shared" si="30"/>
        <v>-113.46164238097845</v>
      </c>
      <c r="J1011" s="21">
        <f t="shared" si="31"/>
        <v>-1539.1153907598928</v>
      </c>
    </row>
    <row r="1012" spans="1:10" hidden="1">
      <c r="A1012" t="s">
        <v>205</v>
      </c>
      <c r="B1012" t="s">
        <v>423</v>
      </c>
      <c r="C1012" s="18">
        <v>2039</v>
      </c>
      <c r="D1012" t="s">
        <v>182</v>
      </c>
      <c r="E1012" s="9">
        <v>122562.791862382</v>
      </c>
      <c r="F1012" s="9">
        <v>80005.766540069206</v>
      </c>
      <c r="G1012" s="9">
        <v>128001.347826374</v>
      </c>
      <c r="H1012" s="9">
        <v>83389.180958792305</v>
      </c>
      <c r="I1012" s="21">
        <f t="shared" si="30"/>
        <v>3383.4144187230995</v>
      </c>
      <c r="J1012" s="21">
        <f t="shared" si="31"/>
        <v>5438.5559639919957</v>
      </c>
    </row>
    <row r="1013" spans="1:10" hidden="1">
      <c r="A1013" t="s">
        <v>205</v>
      </c>
      <c r="B1013" t="s">
        <v>423</v>
      </c>
      <c r="C1013" s="18">
        <v>2039</v>
      </c>
      <c r="D1013" t="s">
        <v>185</v>
      </c>
      <c r="E1013" s="9">
        <v>261079.19700329899</v>
      </c>
      <c r="F1013" s="9">
        <v>247164.47060095001</v>
      </c>
      <c r="G1013" s="9">
        <v>272973.34550101002</v>
      </c>
      <c r="H1013" s="9">
        <v>257441.86914336999</v>
      </c>
      <c r="I1013" s="21">
        <f t="shared" si="30"/>
        <v>10277.398542419978</v>
      </c>
      <c r="J1013" s="21">
        <f t="shared" si="31"/>
        <v>11894.148497711023</v>
      </c>
    </row>
    <row r="1014" spans="1:10" hidden="1">
      <c r="A1014" t="s">
        <v>205</v>
      </c>
      <c r="B1014" t="s">
        <v>423</v>
      </c>
      <c r="C1014" s="18">
        <v>2039</v>
      </c>
      <c r="D1014" t="s">
        <v>188</v>
      </c>
      <c r="E1014" s="9">
        <v>685499.58950514405</v>
      </c>
      <c r="F1014" s="9">
        <v>415279.32041372801</v>
      </c>
      <c r="G1014" s="9">
        <v>715580.88708538504</v>
      </c>
      <c r="H1014" s="9">
        <v>428444.56848174502</v>
      </c>
      <c r="I1014" s="21">
        <f t="shared" si="30"/>
        <v>13165.248068017012</v>
      </c>
      <c r="J1014" s="21">
        <f t="shared" si="31"/>
        <v>30081.297580240993</v>
      </c>
    </row>
    <row r="1015" spans="1:10" hidden="1">
      <c r="A1015" t="s">
        <v>205</v>
      </c>
      <c r="B1015" t="s">
        <v>423</v>
      </c>
      <c r="C1015" s="18">
        <v>2039</v>
      </c>
      <c r="D1015" t="s">
        <v>191</v>
      </c>
      <c r="E1015" s="9">
        <v>347626.23916944099</v>
      </c>
      <c r="F1015" s="9">
        <v>186420.15128908399</v>
      </c>
      <c r="G1015" s="9">
        <v>362969.198365508</v>
      </c>
      <c r="H1015" s="9">
        <v>191929.610855123</v>
      </c>
      <c r="I1015" s="21">
        <f t="shared" si="30"/>
        <v>5509.4595660390041</v>
      </c>
      <c r="J1015" s="21">
        <f t="shared" si="31"/>
        <v>15342.959196067008</v>
      </c>
    </row>
    <row r="1016" spans="1:10" hidden="1">
      <c r="A1016" t="s">
        <v>205</v>
      </c>
      <c r="B1016" t="s">
        <v>423</v>
      </c>
      <c r="C1016" s="18">
        <v>2039</v>
      </c>
      <c r="D1016" t="s">
        <v>422</v>
      </c>
      <c r="E1016" s="9">
        <v>36178.751086633703</v>
      </c>
      <c r="F1016" s="9">
        <v>3198.0529632819998</v>
      </c>
      <c r="G1016" s="9">
        <v>36178.223844718399</v>
      </c>
      <c r="H1016" s="9">
        <v>3198.0230538302199</v>
      </c>
      <c r="I1016" s="21">
        <f t="shared" si="30"/>
        <v>-2.9909451779985829E-2</v>
      </c>
      <c r="J1016" s="21">
        <f t="shared" si="31"/>
        <v>-0.52724191530433018</v>
      </c>
    </row>
    <row r="1017" spans="1:10" hidden="1">
      <c r="A1017" t="s">
        <v>205</v>
      </c>
      <c r="B1017" t="s">
        <v>423</v>
      </c>
      <c r="C1017" s="18">
        <v>2040</v>
      </c>
      <c r="D1017" t="s">
        <v>174</v>
      </c>
      <c r="E1017" s="9">
        <v>19906.022818750502</v>
      </c>
      <c r="F1017" s="9">
        <v>13917.822565140499</v>
      </c>
      <c r="G1017" s="9">
        <v>19805.505805764798</v>
      </c>
      <c r="H1017" s="9">
        <v>13879.6732870407</v>
      </c>
      <c r="I1017" s="21">
        <f t="shared" si="30"/>
        <v>-38.149278099799631</v>
      </c>
      <c r="J1017" s="21">
        <f t="shared" si="31"/>
        <v>-100.51701298570333</v>
      </c>
    </row>
    <row r="1018" spans="1:10" hidden="1">
      <c r="A1018" t="s">
        <v>205</v>
      </c>
      <c r="B1018" t="s">
        <v>423</v>
      </c>
      <c r="C1018" s="18">
        <v>2040</v>
      </c>
      <c r="D1018" t="s">
        <v>236</v>
      </c>
      <c r="E1018" s="9">
        <v>1218759.94657011</v>
      </c>
      <c r="F1018" s="9">
        <v>251731.24140878199</v>
      </c>
      <c r="G1018" s="9">
        <v>1217029.49333677</v>
      </c>
      <c r="H1018" s="9">
        <v>251591.89866486701</v>
      </c>
      <c r="I1018" s="21">
        <f t="shared" si="30"/>
        <v>-139.34274391498184</v>
      </c>
      <c r="J1018" s="21">
        <f t="shared" si="31"/>
        <v>-1730.4532333400566</v>
      </c>
    </row>
    <row r="1019" spans="1:10" hidden="1">
      <c r="A1019" t="s">
        <v>205</v>
      </c>
      <c r="B1019" t="s">
        <v>423</v>
      </c>
      <c r="C1019" s="18">
        <v>2040</v>
      </c>
      <c r="D1019" t="s">
        <v>182</v>
      </c>
      <c r="E1019" s="9">
        <v>124593.482813255</v>
      </c>
      <c r="F1019" s="9">
        <v>80967.190081591194</v>
      </c>
      <c r="G1019" s="9">
        <v>130079.117811465</v>
      </c>
      <c r="H1019" s="9">
        <v>84431.891175836907</v>
      </c>
      <c r="I1019" s="21">
        <f t="shared" si="30"/>
        <v>3464.7010942457127</v>
      </c>
      <c r="J1019" s="21">
        <f t="shared" si="31"/>
        <v>5485.6349982099928</v>
      </c>
    </row>
    <row r="1020" spans="1:10" hidden="1">
      <c r="A1020" t="s">
        <v>205</v>
      </c>
      <c r="B1020" t="s">
        <v>423</v>
      </c>
      <c r="C1020" s="18">
        <v>2040</v>
      </c>
      <c r="D1020" t="s">
        <v>185</v>
      </c>
      <c r="E1020" s="9">
        <v>260953.54587432399</v>
      </c>
      <c r="F1020" s="9">
        <v>247117.92638920699</v>
      </c>
      <c r="G1020" s="9">
        <v>272772.69297753199</v>
      </c>
      <c r="H1020" s="9">
        <v>257451.80463236</v>
      </c>
      <c r="I1020" s="21">
        <f t="shared" si="30"/>
        <v>10333.878243153013</v>
      </c>
      <c r="J1020" s="21">
        <f t="shared" si="31"/>
        <v>11819.147103208001</v>
      </c>
    </row>
    <row r="1021" spans="1:10" hidden="1">
      <c r="A1021" t="s">
        <v>205</v>
      </c>
      <c r="B1021" t="s">
        <v>423</v>
      </c>
      <c r="C1021" s="18">
        <v>2040</v>
      </c>
      <c r="D1021" t="s">
        <v>188</v>
      </c>
      <c r="E1021" s="9">
        <v>694812.003273234</v>
      </c>
      <c r="F1021" s="9">
        <v>421344.39640905999</v>
      </c>
      <c r="G1021" s="9">
        <v>725057.85135654395</v>
      </c>
      <c r="H1021" s="9">
        <v>435208.84098996199</v>
      </c>
      <c r="I1021" s="21">
        <f t="shared" si="30"/>
        <v>13864.444580901996</v>
      </c>
      <c r="J1021" s="21">
        <f t="shared" si="31"/>
        <v>30245.848083309946</v>
      </c>
    </row>
    <row r="1022" spans="1:10" hidden="1">
      <c r="A1022" t="s">
        <v>205</v>
      </c>
      <c r="B1022" t="s">
        <v>423</v>
      </c>
      <c r="C1022" s="18">
        <v>2040</v>
      </c>
      <c r="D1022" t="s">
        <v>191</v>
      </c>
      <c r="E1022" s="9">
        <v>351326.078952974</v>
      </c>
      <c r="F1022" s="9">
        <v>188098.998985371</v>
      </c>
      <c r="G1022" s="9">
        <v>366714.04580788402</v>
      </c>
      <c r="H1022" s="9">
        <v>193853.25074776399</v>
      </c>
      <c r="I1022" s="21">
        <f t="shared" si="30"/>
        <v>5754.2517623929889</v>
      </c>
      <c r="J1022" s="21">
        <f t="shared" si="31"/>
        <v>15387.966854910017</v>
      </c>
    </row>
    <row r="1023" spans="1:10" hidden="1">
      <c r="A1023" t="s">
        <v>205</v>
      </c>
      <c r="B1023" t="s">
        <v>423</v>
      </c>
      <c r="C1023" s="18">
        <v>2040</v>
      </c>
      <c r="D1023" t="s">
        <v>422</v>
      </c>
      <c r="E1023" s="9">
        <v>36005.584387752802</v>
      </c>
      <c r="F1023" s="9">
        <v>3069.2795619487001</v>
      </c>
      <c r="G1023" s="9">
        <v>36005.028086341903</v>
      </c>
      <c r="H1023" s="9">
        <v>3069.2518935015801</v>
      </c>
      <c r="I1023" s="21">
        <f t="shared" si="30"/>
        <v>-2.7668447120049677E-2</v>
      </c>
      <c r="J1023" s="21">
        <f t="shared" si="31"/>
        <v>-0.55630141089932295</v>
      </c>
    </row>
    <row r="1024" spans="1:10" hidden="1">
      <c r="A1024" t="s">
        <v>205</v>
      </c>
      <c r="B1024" t="s">
        <v>423</v>
      </c>
      <c r="C1024" s="18">
        <v>2041</v>
      </c>
      <c r="D1024" t="s">
        <v>174</v>
      </c>
      <c r="E1024" s="9">
        <v>20567.368284352498</v>
      </c>
      <c r="F1024" s="9">
        <v>14294.247101019801</v>
      </c>
      <c r="G1024" s="9">
        <v>20453.6267543422</v>
      </c>
      <c r="H1024" s="9">
        <v>14249.536455216699</v>
      </c>
      <c r="I1024" s="21">
        <f t="shared" si="30"/>
        <v>-44.710645803101215</v>
      </c>
      <c r="J1024" s="21">
        <f t="shared" si="31"/>
        <v>-113.74153001029845</v>
      </c>
    </row>
    <row r="1025" spans="1:10" hidden="1">
      <c r="A1025" t="s">
        <v>205</v>
      </c>
      <c r="B1025" t="s">
        <v>423</v>
      </c>
      <c r="C1025" s="18">
        <v>2041</v>
      </c>
      <c r="D1025" t="s">
        <v>236</v>
      </c>
      <c r="E1025" s="9">
        <v>1228547.6084383701</v>
      </c>
      <c r="F1025" s="9">
        <v>259845.03636538601</v>
      </c>
      <c r="G1025" s="9">
        <v>1226624.8107670301</v>
      </c>
      <c r="H1025" s="9">
        <v>259677.195752453</v>
      </c>
      <c r="I1025" s="21">
        <f t="shared" si="30"/>
        <v>-167.84061293301056</v>
      </c>
      <c r="J1025" s="21">
        <f t="shared" si="31"/>
        <v>-1922.7976713399403</v>
      </c>
    </row>
    <row r="1026" spans="1:10" hidden="1">
      <c r="A1026" t="s">
        <v>205</v>
      </c>
      <c r="B1026" t="s">
        <v>423</v>
      </c>
      <c r="C1026" s="18">
        <v>2041</v>
      </c>
      <c r="D1026" t="s">
        <v>182</v>
      </c>
      <c r="E1026" s="9">
        <v>126694.315837851</v>
      </c>
      <c r="F1026" s="9">
        <v>81997.482390748599</v>
      </c>
      <c r="G1026" s="9">
        <v>132229.629710176</v>
      </c>
      <c r="H1026" s="9">
        <v>85532.319590607702</v>
      </c>
      <c r="I1026" s="21">
        <f t="shared" ref="I1026:I1089" si="32">H1026-F1026</f>
        <v>3534.8371998591028</v>
      </c>
      <c r="J1026" s="21">
        <f t="shared" ref="J1026:J1089" si="33">G1026-E1026</f>
        <v>5535.3138723250013</v>
      </c>
    </row>
    <row r="1027" spans="1:10" hidden="1">
      <c r="A1027" t="s">
        <v>205</v>
      </c>
      <c r="B1027" t="s">
        <v>423</v>
      </c>
      <c r="C1027" s="18">
        <v>2041</v>
      </c>
      <c r="D1027" t="s">
        <v>185</v>
      </c>
      <c r="E1027" s="9">
        <v>260863.69521310399</v>
      </c>
      <c r="F1027" s="9">
        <v>247019.029457923</v>
      </c>
      <c r="G1027" s="9">
        <v>272611.75367129099</v>
      </c>
      <c r="H1027" s="9">
        <v>257389.63175428601</v>
      </c>
      <c r="I1027" s="21">
        <f t="shared" si="32"/>
        <v>10370.602296363009</v>
      </c>
      <c r="J1027" s="21">
        <f t="shared" si="33"/>
        <v>11748.058458187006</v>
      </c>
    </row>
    <row r="1028" spans="1:10" hidden="1">
      <c r="A1028" t="s">
        <v>205</v>
      </c>
      <c r="B1028" t="s">
        <v>423</v>
      </c>
      <c r="C1028" s="18">
        <v>2041</v>
      </c>
      <c r="D1028" t="s">
        <v>188</v>
      </c>
      <c r="E1028" s="9">
        <v>704206.99030602595</v>
      </c>
      <c r="F1028" s="9">
        <v>427809.688699227</v>
      </c>
      <c r="G1028" s="9">
        <v>734627.74007540499</v>
      </c>
      <c r="H1028" s="9">
        <v>442324.30640679202</v>
      </c>
      <c r="I1028" s="21">
        <f t="shared" si="32"/>
        <v>14514.617707565019</v>
      </c>
      <c r="J1028" s="21">
        <f t="shared" si="33"/>
        <v>30420.749769379036</v>
      </c>
    </row>
    <row r="1029" spans="1:10" hidden="1">
      <c r="A1029" t="s">
        <v>205</v>
      </c>
      <c r="B1029" t="s">
        <v>423</v>
      </c>
      <c r="C1029" s="18">
        <v>2041</v>
      </c>
      <c r="D1029" t="s">
        <v>191</v>
      </c>
      <c r="E1029" s="9">
        <v>355000.75226443599</v>
      </c>
      <c r="F1029" s="9">
        <v>189943.771931436</v>
      </c>
      <c r="G1029" s="9">
        <v>370436.97560679301</v>
      </c>
      <c r="H1029" s="9">
        <v>195926.90720139601</v>
      </c>
      <c r="I1029" s="21">
        <f t="shared" si="32"/>
        <v>5983.1352699600102</v>
      </c>
      <c r="J1029" s="21">
        <f t="shared" si="33"/>
        <v>15436.223342357029</v>
      </c>
    </row>
    <row r="1030" spans="1:10" hidden="1">
      <c r="A1030" t="s">
        <v>205</v>
      </c>
      <c r="B1030" t="s">
        <v>423</v>
      </c>
      <c r="C1030" s="18">
        <v>2041</v>
      </c>
      <c r="D1030" t="s">
        <v>422</v>
      </c>
      <c r="E1030" s="9">
        <v>35901.336681793997</v>
      </c>
      <c r="F1030" s="9">
        <v>2944.0412875861298</v>
      </c>
      <c r="G1030" s="9">
        <v>35900.765054072101</v>
      </c>
      <c r="H1030" s="9">
        <v>2944.01552271229</v>
      </c>
      <c r="I1030" s="21">
        <f t="shared" si="32"/>
        <v>-2.5764873839762004E-2</v>
      </c>
      <c r="J1030" s="21">
        <f t="shared" si="33"/>
        <v>-0.57162772189622046</v>
      </c>
    </row>
    <row r="1031" spans="1:10" hidden="1">
      <c r="A1031" t="s">
        <v>205</v>
      </c>
      <c r="B1031" t="s">
        <v>423</v>
      </c>
      <c r="C1031" s="18">
        <v>2042</v>
      </c>
      <c r="D1031" t="s">
        <v>174</v>
      </c>
      <c r="E1031" s="9">
        <v>21243.2050128316</v>
      </c>
      <c r="F1031" s="9">
        <v>14678.062431419399</v>
      </c>
      <c r="G1031" s="9">
        <v>21115.581702688502</v>
      </c>
      <c r="H1031" s="9">
        <v>14626.319006600401</v>
      </c>
      <c r="I1031" s="21">
        <f t="shared" si="32"/>
        <v>-51.743424818998392</v>
      </c>
      <c r="J1031" s="21">
        <f t="shared" si="33"/>
        <v>-127.62331014309893</v>
      </c>
    </row>
    <row r="1032" spans="1:10" hidden="1">
      <c r="A1032" t="s">
        <v>205</v>
      </c>
      <c r="B1032" t="s">
        <v>423</v>
      </c>
      <c r="C1032" s="18">
        <v>2042</v>
      </c>
      <c r="D1032" t="s">
        <v>236</v>
      </c>
      <c r="E1032" s="9">
        <v>1237819.09606404</v>
      </c>
      <c r="F1032" s="9">
        <v>267977.703369455</v>
      </c>
      <c r="G1032" s="9">
        <v>1235703.75022274</v>
      </c>
      <c r="H1032" s="9">
        <v>267778.732534162</v>
      </c>
      <c r="I1032" s="21">
        <f t="shared" si="32"/>
        <v>-198.97083529300289</v>
      </c>
      <c r="J1032" s="21">
        <f t="shared" si="33"/>
        <v>-2115.3458412999753</v>
      </c>
    </row>
    <row r="1033" spans="1:10" hidden="1">
      <c r="A1033" t="s">
        <v>205</v>
      </c>
      <c r="B1033" t="s">
        <v>423</v>
      </c>
      <c r="C1033" s="18">
        <v>2042</v>
      </c>
      <c r="D1033" t="s">
        <v>182</v>
      </c>
      <c r="E1033" s="9">
        <v>128767.683153711</v>
      </c>
      <c r="F1033" s="9">
        <v>83060.436432436298</v>
      </c>
      <c r="G1033" s="9">
        <v>134351.62604870801</v>
      </c>
      <c r="H1033" s="9">
        <v>86657.313221329707</v>
      </c>
      <c r="I1033" s="21">
        <f t="shared" si="32"/>
        <v>3596.876788893409</v>
      </c>
      <c r="J1033" s="21">
        <f t="shared" si="33"/>
        <v>5583.942894997017</v>
      </c>
    </row>
    <row r="1034" spans="1:10" hidden="1">
      <c r="A1034" t="s">
        <v>205</v>
      </c>
      <c r="B1034" t="s">
        <v>423</v>
      </c>
      <c r="C1034" s="18">
        <v>2042</v>
      </c>
      <c r="D1034" t="s">
        <v>185</v>
      </c>
      <c r="E1034" s="9">
        <v>260609.27457997599</v>
      </c>
      <c r="F1034" s="9">
        <v>246808.695550192</v>
      </c>
      <c r="G1034" s="9">
        <v>272280.658720601</v>
      </c>
      <c r="H1034" s="9">
        <v>257198.34975601899</v>
      </c>
      <c r="I1034" s="21">
        <f t="shared" si="32"/>
        <v>10389.654205826984</v>
      </c>
      <c r="J1034" s="21">
        <f t="shared" si="33"/>
        <v>11671.384140625014</v>
      </c>
    </row>
    <row r="1035" spans="1:10" hidden="1">
      <c r="A1035" t="s">
        <v>205</v>
      </c>
      <c r="B1035" t="s">
        <v>423</v>
      </c>
      <c r="C1035" s="18">
        <v>2042</v>
      </c>
      <c r="D1035" t="s">
        <v>188</v>
      </c>
      <c r="E1035" s="9">
        <v>713710.564022823</v>
      </c>
      <c r="F1035" s="9">
        <v>434479.86139954103</v>
      </c>
      <c r="G1035" s="9">
        <v>744313.272667757</v>
      </c>
      <c r="H1035" s="9">
        <v>449601.26122749498</v>
      </c>
      <c r="I1035" s="21">
        <f t="shared" si="32"/>
        <v>15121.399827953952</v>
      </c>
      <c r="J1035" s="21">
        <f t="shared" si="33"/>
        <v>30602.708644933999</v>
      </c>
    </row>
    <row r="1036" spans="1:10" hidden="1">
      <c r="A1036" t="s">
        <v>205</v>
      </c>
      <c r="B1036" t="s">
        <v>423</v>
      </c>
      <c r="C1036" s="18">
        <v>2042</v>
      </c>
      <c r="D1036" t="s">
        <v>191</v>
      </c>
      <c r="E1036" s="9">
        <v>358920.79377142899</v>
      </c>
      <c r="F1036" s="9">
        <v>191883.42534299201</v>
      </c>
      <c r="G1036" s="9">
        <v>374419.26204563602</v>
      </c>
      <c r="H1036" s="9">
        <v>198082.81410371399</v>
      </c>
      <c r="I1036" s="21">
        <f t="shared" si="32"/>
        <v>6199.3887607219804</v>
      </c>
      <c r="J1036" s="21">
        <f t="shared" si="33"/>
        <v>15498.468274207029</v>
      </c>
    </row>
    <row r="1037" spans="1:10" hidden="1">
      <c r="A1037" t="s">
        <v>205</v>
      </c>
      <c r="B1037" t="s">
        <v>423</v>
      </c>
      <c r="C1037" s="18">
        <v>2042</v>
      </c>
      <c r="D1037" t="s">
        <v>422</v>
      </c>
      <c r="E1037" s="9">
        <v>35517.4197230637</v>
      </c>
      <c r="F1037" s="9">
        <v>2820.5362425612302</v>
      </c>
      <c r="G1037" s="9">
        <v>35516.840593533198</v>
      </c>
      <c r="H1037" s="9">
        <v>2820.5122126446799</v>
      </c>
      <c r="I1037" s="21">
        <f t="shared" si="32"/>
        <v>-2.4029916550261987E-2</v>
      </c>
      <c r="J1037" s="21">
        <f t="shared" si="33"/>
        <v>-0.57912953050254146</v>
      </c>
    </row>
    <row r="1038" spans="1:10" hidden="1">
      <c r="A1038" t="s">
        <v>205</v>
      </c>
      <c r="B1038" t="s">
        <v>423</v>
      </c>
      <c r="C1038" s="18">
        <v>2043</v>
      </c>
      <c r="D1038" t="s">
        <v>174</v>
      </c>
      <c r="E1038" s="9">
        <v>21931.284659377099</v>
      </c>
      <c r="F1038" s="9">
        <v>15063.307545191499</v>
      </c>
      <c r="G1038" s="9">
        <v>21789.125656033499</v>
      </c>
      <c r="H1038" s="9">
        <v>15004.086115812899</v>
      </c>
      <c r="I1038" s="21">
        <f t="shared" si="32"/>
        <v>-59.221429378600078</v>
      </c>
      <c r="J1038" s="21">
        <f t="shared" si="33"/>
        <v>-142.15900334360049</v>
      </c>
    </row>
    <row r="1039" spans="1:10" hidden="1">
      <c r="A1039" t="s">
        <v>205</v>
      </c>
      <c r="B1039" t="s">
        <v>423</v>
      </c>
      <c r="C1039" s="18">
        <v>2043</v>
      </c>
      <c r="D1039" t="s">
        <v>236</v>
      </c>
      <c r="E1039" s="9">
        <v>1246554.00656788</v>
      </c>
      <c r="F1039" s="9">
        <v>276109.67071055702</v>
      </c>
      <c r="G1039" s="9">
        <v>1244246.5115360599</v>
      </c>
      <c r="H1039" s="9">
        <v>275876.99548631802</v>
      </c>
      <c r="I1039" s="21">
        <f t="shared" si="32"/>
        <v>-232.67522423900664</v>
      </c>
      <c r="J1039" s="21">
        <f t="shared" si="33"/>
        <v>-2307.4950318201445</v>
      </c>
    </row>
    <row r="1040" spans="1:10" hidden="1">
      <c r="A1040" t="s">
        <v>205</v>
      </c>
      <c r="B1040" t="s">
        <v>423</v>
      </c>
      <c r="C1040" s="18">
        <v>2043</v>
      </c>
      <c r="D1040" t="s">
        <v>182</v>
      </c>
      <c r="E1040" s="9">
        <v>130963.84206987701</v>
      </c>
      <c r="F1040" s="9">
        <v>84127.817463909203</v>
      </c>
      <c r="G1040" s="9">
        <v>136601.974960575</v>
      </c>
      <c r="H1040" s="9">
        <v>87779.034425801001</v>
      </c>
      <c r="I1040" s="21">
        <f t="shared" si="32"/>
        <v>3651.2169618917978</v>
      </c>
      <c r="J1040" s="21">
        <f t="shared" si="33"/>
        <v>5638.1328906979907</v>
      </c>
    </row>
    <row r="1041" spans="1:10" hidden="1">
      <c r="A1041" t="s">
        <v>205</v>
      </c>
      <c r="B1041" t="s">
        <v>423</v>
      </c>
      <c r="C1041" s="18">
        <v>2043</v>
      </c>
      <c r="D1041" t="s">
        <v>185</v>
      </c>
      <c r="E1041" s="9">
        <v>260104.43511172399</v>
      </c>
      <c r="F1041" s="9">
        <v>246388.01900985499</v>
      </c>
      <c r="G1041" s="9">
        <v>271689.79422675102</v>
      </c>
      <c r="H1041" s="9">
        <v>256777.58715706799</v>
      </c>
      <c r="I1041" s="21">
        <f t="shared" si="32"/>
        <v>10389.568147212995</v>
      </c>
      <c r="J1041" s="21">
        <f t="shared" si="33"/>
        <v>11585.359115027037</v>
      </c>
    </row>
    <row r="1042" spans="1:10" hidden="1">
      <c r="A1042" t="s">
        <v>205</v>
      </c>
      <c r="B1042" t="s">
        <v>423</v>
      </c>
      <c r="C1042" s="18">
        <v>2043</v>
      </c>
      <c r="D1042" t="s">
        <v>188</v>
      </c>
      <c r="E1042" s="9">
        <v>723568.814464733</v>
      </c>
      <c r="F1042" s="9">
        <v>441232.595896966</v>
      </c>
      <c r="G1042" s="9">
        <v>754370.89241350198</v>
      </c>
      <c r="H1042" s="9">
        <v>456915.72204617201</v>
      </c>
      <c r="I1042" s="21">
        <f t="shared" si="32"/>
        <v>15683.126149206015</v>
      </c>
      <c r="J1042" s="21">
        <f t="shared" si="33"/>
        <v>30802.077948768972</v>
      </c>
    </row>
    <row r="1043" spans="1:10" hidden="1">
      <c r="A1043" t="s">
        <v>205</v>
      </c>
      <c r="B1043" t="s">
        <v>423</v>
      </c>
      <c r="C1043" s="18">
        <v>2043</v>
      </c>
      <c r="D1043" t="s">
        <v>191</v>
      </c>
      <c r="E1043" s="9">
        <v>363187.058805832</v>
      </c>
      <c r="F1043" s="9">
        <v>193801.54970423799</v>
      </c>
      <c r="G1043" s="9">
        <v>378766.53451535699</v>
      </c>
      <c r="H1043" s="9">
        <v>200204.274251736</v>
      </c>
      <c r="I1043" s="21">
        <f t="shared" si="32"/>
        <v>6402.7245474980155</v>
      </c>
      <c r="J1043" s="21">
        <f t="shared" si="33"/>
        <v>15579.475709524995</v>
      </c>
    </row>
    <row r="1044" spans="1:10" hidden="1">
      <c r="A1044" t="s">
        <v>205</v>
      </c>
      <c r="B1044" t="s">
        <v>423</v>
      </c>
      <c r="C1044" s="18">
        <v>2043</v>
      </c>
      <c r="D1044" t="s">
        <v>422</v>
      </c>
      <c r="E1044" s="9">
        <v>35329.350423251599</v>
      </c>
      <c r="F1044" s="9">
        <v>2698.3533183395398</v>
      </c>
      <c r="G1044" s="9">
        <v>35328.773203308199</v>
      </c>
      <c r="H1044" s="9">
        <v>2698.3309296050402</v>
      </c>
      <c r="I1044" s="21">
        <f t="shared" si="32"/>
        <v>-2.2388734499600105E-2</v>
      </c>
      <c r="J1044" s="21">
        <f t="shared" si="33"/>
        <v>-0.57721994339954108</v>
      </c>
    </row>
    <row r="1045" spans="1:10" hidden="1">
      <c r="A1045" t="s">
        <v>205</v>
      </c>
      <c r="B1045" t="s">
        <v>423</v>
      </c>
      <c r="C1045" s="18">
        <v>2044</v>
      </c>
      <c r="D1045" t="s">
        <v>174</v>
      </c>
      <c r="E1045" s="9">
        <v>22629.731110958499</v>
      </c>
      <c r="F1045" s="9">
        <v>15455.7746603168</v>
      </c>
      <c r="G1045" s="9">
        <v>22472.405778779801</v>
      </c>
      <c r="H1045" s="9">
        <v>15388.638261887199</v>
      </c>
      <c r="I1045" s="21">
        <f t="shared" si="32"/>
        <v>-67.136398429600376</v>
      </c>
      <c r="J1045" s="21">
        <f t="shared" si="33"/>
        <v>-157.32533217869786</v>
      </c>
    </row>
    <row r="1046" spans="1:10" hidden="1">
      <c r="A1046" t="s">
        <v>205</v>
      </c>
      <c r="B1046" t="s">
        <v>423</v>
      </c>
      <c r="C1046" s="18">
        <v>2044</v>
      </c>
      <c r="D1046" t="s">
        <v>236</v>
      </c>
      <c r="E1046" s="9">
        <v>1255018.51357895</v>
      </c>
      <c r="F1046" s="9">
        <v>284170.98138752399</v>
      </c>
      <c r="G1046" s="9">
        <v>1252519.7576166999</v>
      </c>
      <c r="H1046" s="9">
        <v>283902.05041687097</v>
      </c>
      <c r="I1046" s="21">
        <f t="shared" si="32"/>
        <v>-268.93097065301845</v>
      </c>
      <c r="J1046" s="21">
        <f t="shared" si="33"/>
        <v>-2498.7559622500557</v>
      </c>
    </row>
    <row r="1047" spans="1:10" hidden="1">
      <c r="A1047" t="s">
        <v>205</v>
      </c>
      <c r="B1047" t="s">
        <v>423</v>
      </c>
      <c r="C1047" s="18">
        <v>2044</v>
      </c>
      <c r="D1047" t="s">
        <v>182</v>
      </c>
      <c r="E1047" s="9">
        <v>132465.48102539399</v>
      </c>
      <c r="F1047" s="9">
        <v>85213.072376441894</v>
      </c>
      <c r="G1047" s="9">
        <v>138127.80749224901</v>
      </c>
      <c r="H1047" s="9">
        <v>88912.446286897801</v>
      </c>
      <c r="I1047" s="21">
        <f t="shared" si="32"/>
        <v>3699.3739104559063</v>
      </c>
      <c r="J1047" s="21">
        <f t="shared" si="33"/>
        <v>5662.3264668550109</v>
      </c>
    </row>
    <row r="1048" spans="1:10" hidden="1">
      <c r="A1048" t="s">
        <v>205</v>
      </c>
      <c r="B1048" t="s">
        <v>423</v>
      </c>
      <c r="C1048" s="18">
        <v>2044</v>
      </c>
      <c r="D1048" t="s">
        <v>185</v>
      </c>
      <c r="E1048" s="9">
        <v>259484.78464431901</v>
      </c>
      <c r="F1048" s="9">
        <v>246054.74039772301</v>
      </c>
      <c r="G1048" s="9">
        <v>270981.060601887</v>
      </c>
      <c r="H1048" s="9">
        <v>256436.399818879</v>
      </c>
      <c r="I1048" s="21">
        <f t="shared" si="32"/>
        <v>10381.659421155986</v>
      </c>
      <c r="J1048" s="21">
        <f t="shared" si="33"/>
        <v>11496.275957567996</v>
      </c>
    </row>
    <row r="1049" spans="1:10" hidden="1">
      <c r="A1049" t="s">
        <v>205</v>
      </c>
      <c r="B1049" t="s">
        <v>423</v>
      </c>
      <c r="C1049" s="18">
        <v>2044</v>
      </c>
      <c r="D1049" t="s">
        <v>188</v>
      </c>
      <c r="E1049" s="9">
        <v>729902.35179515195</v>
      </c>
      <c r="F1049" s="9">
        <v>448030.43501982099</v>
      </c>
      <c r="G1049" s="9">
        <v>760751.52916181902</v>
      </c>
      <c r="H1049" s="9">
        <v>464236.62382849702</v>
      </c>
      <c r="I1049" s="21">
        <f t="shared" si="32"/>
        <v>16206.18880867603</v>
      </c>
      <c r="J1049" s="21">
        <f t="shared" si="33"/>
        <v>30849.177366667078</v>
      </c>
    </row>
    <row r="1050" spans="1:10" hidden="1">
      <c r="A1050" t="s">
        <v>205</v>
      </c>
      <c r="B1050" t="s">
        <v>423</v>
      </c>
      <c r="C1050" s="18">
        <v>2044</v>
      </c>
      <c r="D1050" t="s">
        <v>191</v>
      </c>
      <c r="E1050" s="9">
        <v>365194.482692583</v>
      </c>
      <c r="F1050" s="9">
        <v>196169.41825887599</v>
      </c>
      <c r="G1050" s="9">
        <v>380754.51437457599</v>
      </c>
      <c r="H1050" s="9">
        <v>202762.43540540201</v>
      </c>
      <c r="I1050" s="21">
        <f t="shared" si="32"/>
        <v>6593.017146526021</v>
      </c>
      <c r="J1050" s="21">
        <f t="shared" si="33"/>
        <v>15560.031681992987</v>
      </c>
    </row>
    <row r="1051" spans="1:10" hidden="1">
      <c r="A1051" t="s">
        <v>205</v>
      </c>
      <c r="B1051" t="s">
        <v>423</v>
      </c>
      <c r="C1051" s="18">
        <v>2044</v>
      </c>
      <c r="D1051" t="s">
        <v>422</v>
      </c>
      <c r="E1051" s="9">
        <v>35047.227707954502</v>
      </c>
      <c r="F1051" s="9">
        <v>2573.8117371561698</v>
      </c>
      <c r="G1051" s="9">
        <v>35046.705207959298</v>
      </c>
      <c r="H1051" s="9">
        <v>2573.7926243052102</v>
      </c>
      <c r="I1051" s="21">
        <f t="shared" si="32"/>
        <v>-1.9112850959572825E-2</v>
      </c>
      <c r="J1051" s="21">
        <f t="shared" si="33"/>
        <v>-0.52249999520427082</v>
      </c>
    </row>
    <row r="1052" spans="1:10" hidden="1">
      <c r="A1052" t="s">
        <v>205</v>
      </c>
      <c r="B1052" t="s">
        <v>423</v>
      </c>
      <c r="C1052" s="18">
        <v>2045</v>
      </c>
      <c r="D1052" t="s">
        <v>174</v>
      </c>
      <c r="E1052" s="9">
        <v>23340.072666530199</v>
      </c>
      <c r="F1052" s="9">
        <v>15847.1061410123</v>
      </c>
      <c r="G1052" s="9">
        <v>23166.945688051499</v>
      </c>
      <c r="H1052" s="9">
        <v>15771.7189092791</v>
      </c>
      <c r="I1052" s="21">
        <f t="shared" si="32"/>
        <v>-75.387231733200679</v>
      </c>
      <c r="J1052" s="21">
        <f t="shared" si="33"/>
        <v>-173.12697847870004</v>
      </c>
    </row>
    <row r="1053" spans="1:10" hidden="1">
      <c r="A1053" t="s">
        <v>205</v>
      </c>
      <c r="B1053" t="s">
        <v>423</v>
      </c>
      <c r="C1053" s="18">
        <v>2045</v>
      </c>
      <c r="D1053" t="s">
        <v>236</v>
      </c>
      <c r="E1053" s="9">
        <v>1263281.45805397</v>
      </c>
      <c r="F1053" s="9">
        <v>292129.56518576801</v>
      </c>
      <c r="G1053" s="9">
        <v>1260592.98702146</v>
      </c>
      <c r="H1053" s="9">
        <v>291822.02754025703</v>
      </c>
      <c r="I1053" s="21">
        <f t="shared" si="32"/>
        <v>-307.53764551097993</v>
      </c>
      <c r="J1053" s="21">
        <f t="shared" si="33"/>
        <v>-2688.4710325100459</v>
      </c>
    </row>
    <row r="1054" spans="1:10" hidden="1">
      <c r="A1054" t="s">
        <v>205</v>
      </c>
      <c r="B1054" t="s">
        <v>423</v>
      </c>
      <c r="C1054" s="18">
        <v>2045</v>
      </c>
      <c r="D1054" t="s">
        <v>182</v>
      </c>
      <c r="E1054" s="9">
        <v>134464.81338215899</v>
      </c>
      <c r="F1054" s="9">
        <v>86297.945937987402</v>
      </c>
      <c r="G1054" s="9">
        <v>140172.77481552499</v>
      </c>
      <c r="H1054" s="9">
        <v>90041.604590588802</v>
      </c>
      <c r="I1054" s="21">
        <f t="shared" si="32"/>
        <v>3743.6586526013998</v>
      </c>
      <c r="J1054" s="21">
        <f t="shared" si="33"/>
        <v>5707.9614333659993</v>
      </c>
    </row>
    <row r="1055" spans="1:10" hidden="1">
      <c r="A1055" t="s">
        <v>205</v>
      </c>
      <c r="B1055" t="s">
        <v>423</v>
      </c>
      <c r="C1055" s="18">
        <v>2045</v>
      </c>
      <c r="D1055" t="s">
        <v>185</v>
      </c>
      <c r="E1055" s="9">
        <v>259021.608741704</v>
      </c>
      <c r="F1055" s="9">
        <v>245610.634118819</v>
      </c>
      <c r="G1055" s="9">
        <v>270438.60315228201</v>
      </c>
      <c r="H1055" s="9">
        <v>255976.90811330499</v>
      </c>
      <c r="I1055" s="21">
        <f t="shared" si="32"/>
        <v>10366.273994485993</v>
      </c>
      <c r="J1055" s="21">
        <f t="shared" si="33"/>
        <v>11416.994410578016</v>
      </c>
    </row>
    <row r="1056" spans="1:10" hidden="1">
      <c r="A1056" t="s">
        <v>205</v>
      </c>
      <c r="B1056" t="s">
        <v>423</v>
      </c>
      <c r="C1056" s="18">
        <v>2045</v>
      </c>
      <c r="D1056" t="s">
        <v>188</v>
      </c>
      <c r="E1056" s="9">
        <v>738323.33510366501</v>
      </c>
      <c r="F1056" s="9">
        <v>454224.065481878</v>
      </c>
      <c r="G1056" s="9">
        <v>769313.803212411</v>
      </c>
      <c r="H1056" s="9">
        <v>470920.29436777002</v>
      </c>
      <c r="I1056" s="21">
        <f t="shared" si="32"/>
        <v>16696.228885892022</v>
      </c>
      <c r="J1056" s="21">
        <f t="shared" si="33"/>
        <v>30990.46810874599</v>
      </c>
    </row>
    <row r="1057" spans="1:10" hidden="1">
      <c r="A1057" t="s">
        <v>205</v>
      </c>
      <c r="B1057" t="s">
        <v>423</v>
      </c>
      <c r="C1057" s="18">
        <v>2045</v>
      </c>
      <c r="D1057" t="s">
        <v>191</v>
      </c>
      <c r="E1057" s="9">
        <v>368341.43295501202</v>
      </c>
      <c r="F1057" s="9">
        <v>198095.60877347001</v>
      </c>
      <c r="G1057" s="9">
        <v>383936.19252461498</v>
      </c>
      <c r="H1057" s="9">
        <v>204869.32889798901</v>
      </c>
      <c r="I1057" s="21">
        <f t="shared" si="32"/>
        <v>6773.7201245189935</v>
      </c>
      <c r="J1057" s="21">
        <f t="shared" si="33"/>
        <v>15594.75956960296</v>
      </c>
    </row>
    <row r="1058" spans="1:10" hidden="1">
      <c r="A1058" t="s">
        <v>205</v>
      </c>
      <c r="B1058" t="s">
        <v>423</v>
      </c>
      <c r="C1058" s="18">
        <v>2045</v>
      </c>
      <c r="D1058" t="s">
        <v>422</v>
      </c>
      <c r="E1058" s="9">
        <v>34847.256249472601</v>
      </c>
      <c r="F1058" s="9">
        <v>2452.7620186936501</v>
      </c>
      <c r="G1058" s="9">
        <v>34846.715156222701</v>
      </c>
      <c r="H1058" s="9">
        <v>2452.74707379338</v>
      </c>
      <c r="I1058" s="21">
        <f t="shared" si="32"/>
        <v>-1.4944900270165817E-2</v>
      </c>
      <c r="J1058" s="21">
        <f t="shared" si="33"/>
        <v>-0.54109324989985907</v>
      </c>
    </row>
    <row r="1059" spans="1:10" hidden="1">
      <c r="A1059" t="s">
        <v>205</v>
      </c>
      <c r="B1059" t="s">
        <v>423</v>
      </c>
      <c r="C1059" s="18">
        <v>2046</v>
      </c>
      <c r="D1059" t="s">
        <v>174</v>
      </c>
      <c r="E1059" s="9">
        <v>24057.717921438099</v>
      </c>
      <c r="F1059" s="9">
        <v>16249.3780904491</v>
      </c>
      <c r="G1059" s="9">
        <v>23868.217944038799</v>
      </c>
      <c r="H1059" s="9">
        <v>16165.2905403234</v>
      </c>
      <c r="I1059" s="21">
        <f t="shared" si="32"/>
        <v>-84.087550125699636</v>
      </c>
      <c r="J1059" s="21">
        <f t="shared" si="33"/>
        <v>-189.49997739930041</v>
      </c>
    </row>
    <row r="1060" spans="1:10" hidden="1">
      <c r="A1060" t="s">
        <v>205</v>
      </c>
      <c r="B1060" t="s">
        <v>423</v>
      </c>
      <c r="C1060" s="18">
        <v>2046</v>
      </c>
      <c r="D1060" t="s">
        <v>236</v>
      </c>
      <c r="E1060" s="9">
        <v>1271351.9125876001</v>
      </c>
      <c r="F1060" s="9">
        <v>299945.46501225402</v>
      </c>
      <c r="G1060" s="9">
        <v>1268475.9563321201</v>
      </c>
      <c r="H1060" s="9">
        <v>299596.92866613797</v>
      </c>
      <c r="I1060" s="21">
        <f t="shared" si="32"/>
        <v>-348.53634611604502</v>
      </c>
      <c r="J1060" s="21">
        <f t="shared" si="33"/>
        <v>-2875.9562554799486</v>
      </c>
    </row>
    <row r="1061" spans="1:10" hidden="1">
      <c r="A1061" t="s">
        <v>205</v>
      </c>
      <c r="B1061" t="s">
        <v>423</v>
      </c>
      <c r="C1061" s="18">
        <v>2046</v>
      </c>
      <c r="D1061" t="s">
        <v>182</v>
      </c>
      <c r="E1061" s="9">
        <v>136441.212388449</v>
      </c>
      <c r="F1061" s="9">
        <v>87414.661594317993</v>
      </c>
      <c r="G1061" s="9">
        <v>142194.05365060701</v>
      </c>
      <c r="H1061" s="9">
        <v>91198.890942598402</v>
      </c>
      <c r="I1061" s="21">
        <f t="shared" si="32"/>
        <v>3784.2293482804089</v>
      </c>
      <c r="J1061" s="21">
        <f t="shared" si="33"/>
        <v>5752.8412621580064</v>
      </c>
    </row>
    <row r="1062" spans="1:10" hidden="1">
      <c r="A1062" t="s">
        <v>205</v>
      </c>
      <c r="B1062" t="s">
        <v>423</v>
      </c>
      <c r="C1062" s="18">
        <v>2046</v>
      </c>
      <c r="D1062" t="s">
        <v>185</v>
      </c>
      <c r="E1062" s="9">
        <v>258581.512393404</v>
      </c>
      <c r="F1062" s="9">
        <v>245088.752541047</v>
      </c>
      <c r="G1062" s="9">
        <v>269923.25168294698</v>
      </c>
      <c r="H1062" s="9">
        <v>255431.16141281699</v>
      </c>
      <c r="I1062" s="21">
        <f t="shared" si="32"/>
        <v>10342.408871769992</v>
      </c>
      <c r="J1062" s="21">
        <f t="shared" si="33"/>
        <v>11341.73928954298</v>
      </c>
    </row>
    <row r="1063" spans="1:10" hidden="1">
      <c r="A1063" t="s">
        <v>205</v>
      </c>
      <c r="B1063" t="s">
        <v>423</v>
      </c>
      <c r="C1063" s="18">
        <v>2046</v>
      </c>
      <c r="D1063" t="s">
        <v>188</v>
      </c>
      <c r="E1063" s="9">
        <v>746945.95698771696</v>
      </c>
      <c r="F1063" s="9">
        <v>460674.23765572102</v>
      </c>
      <c r="G1063" s="9">
        <v>778095.84267256199</v>
      </c>
      <c r="H1063" s="9">
        <v>477828.93173194502</v>
      </c>
      <c r="I1063" s="21">
        <f t="shared" si="32"/>
        <v>17154.694076223997</v>
      </c>
      <c r="J1063" s="21">
        <f t="shared" si="33"/>
        <v>31149.885684845038</v>
      </c>
    </row>
    <row r="1064" spans="1:10" hidden="1">
      <c r="A1064" t="s">
        <v>205</v>
      </c>
      <c r="B1064" t="s">
        <v>423</v>
      </c>
      <c r="C1064" s="18">
        <v>2046</v>
      </c>
      <c r="D1064" t="s">
        <v>191</v>
      </c>
      <c r="E1064" s="9">
        <v>371514.80117382499</v>
      </c>
      <c r="F1064" s="9">
        <v>200104.93153204801</v>
      </c>
      <c r="G1064" s="9">
        <v>387151.42704479198</v>
      </c>
      <c r="H1064" s="9">
        <v>207048.94525460299</v>
      </c>
      <c r="I1064" s="21">
        <f t="shared" si="32"/>
        <v>6944.0137225549843</v>
      </c>
      <c r="J1064" s="21">
        <f t="shared" si="33"/>
        <v>15636.625870966993</v>
      </c>
    </row>
    <row r="1065" spans="1:10" hidden="1">
      <c r="A1065" t="s">
        <v>205</v>
      </c>
      <c r="B1065" t="s">
        <v>423</v>
      </c>
      <c r="C1065" s="18">
        <v>2046</v>
      </c>
      <c r="D1065" t="s">
        <v>422</v>
      </c>
      <c r="E1065" s="9">
        <v>34688.842526584202</v>
      </c>
      <c r="F1065" s="9">
        <v>2335.6851593477199</v>
      </c>
      <c r="G1065" s="9">
        <v>34688.296767041</v>
      </c>
      <c r="H1065" s="9">
        <v>2335.6726092736399</v>
      </c>
      <c r="I1065" s="21">
        <f t="shared" si="32"/>
        <v>-1.2550074080081686E-2</v>
      </c>
      <c r="J1065" s="21">
        <f t="shared" si="33"/>
        <v>-0.54575954320171149</v>
      </c>
    </row>
    <row r="1066" spans="1:10" hidden="1">
      <c r="A1066" t="s">
        <v>205</v>
      </c>
      <c r="B1066" t="s">
        <v>423</v>
      </c>
      <c r="C1066" s="18">
        <v>2047</v>
      </c>
      <c r="D1066" t="s">
        <v>174</v>
      </c>
      <c r="E1066" s="9">
        <v>24782.105119981901</v>
      </c>
      <c r="F1066" s="9">
        <v>16661.831122842501</v>
      </c>
      <c r="G1066" s="9">
        <v>24575.685129363199</v>
      </c>
      <c r="H1066" s="9">
        <v>16568.574829924401</v>
      </c>
      <c r="I1066" s="21">
        <f t="shared" si="32"/>
        <v>-93.256292918100371</v>
      </c>
      <c r="J1066" s="21">
        <f t="shared" si="33"/>
        <v>-206.41999061870229</v>
      </c>
    </row>
    <row r="1067" spans="1:10" hidden="1">
      <c r="A1067" t="s">
        <v>205</v>
      </c>
      <c r="B1067" t="s">
        <v>423</v>
      </c>
      <c r="C1067" s="18">
        <v>2047</v>
      </c>
      <c r="D1067" t="s">
        <v>236</v>
      </c>
      <c r="E1067" s="9">
        <v>1279134.1142760699</v>
      </c>
      <c r="F1067" s="9">
        <v>307567.83929894801</v>
      </c>
      <c r="G1067" s="9">
        <v>1276073.4846977801</v>
      </c>
      <c r="H1067" s="9">
        <v>307176.00873862102</v>
      </c>
      <c r="I1067" s="21">
        <f t="shared" si="32"/>
        <v>-391.83056032698369</v>
      </c>
      <c r="J1067" s="21">
        <f t="shared" si="33"/>
        <v>-3060.6295782898087</v>
      </c>
    </row>
    <row r="1068" spans="1:10" hidden="1">
      <c r="A1068" t="s">
        <v>205</v>
      </c>
      <c r="B1068" t="s">
        <v>423</v>
      </c>
      <c r="C1068" s="18">
        <v>2047</v>
      </c>
      <c r="D1068" t="s">
        <v>182</v>
      </c>
      <c r="E1068" s="9">
        <v>138446.15265857801</v>
      </c>
      <c r="F1068" s="9">
        <v>88512.989679601902</v>
      </c>
      <c r="G1068" s="9">
        <v>144246.070856709</v>
      </c>
      <c r="H1068" s="9">
        <v>92333.888291156894</v>
      </c>
      <c r="I1068" s="21">
        <f t="shared" si="32"/>
        <v>3820.8986115549924</v>
      </c>
      <c r="J1068" s="21">
        <f t="shared" si="33"/>
        <v>5799.9181981309957</v>
      </c>
    </row>
    <row r="1069" spans="1:10" hidden="1">
      <c r="A1069" t="s">
        <v>205</v>
      </c>
      <c r="B1069" t="s">
        <v>423</v>
      </c>
      <c r="C1069" s="18">
        <v>2047</v>
      </c>
      <c r="D1069" t="s">
        <v>185</v>
      </c>
      <c r="E1069" s="9">
        <v>257887.92890703899</v>
      </c>
      <c r="F1069" s="9">
        <v>244450.838398433</v>
      </c>
      <c r="G1069" s="9">
        <v>269145.73066835199</v>
      </c>
      <c r="H1069" s="9">
        <v>254760.803670819</v>
      </c>
      <c r="I1069" s="21">
        <f t="shared" si="32"/>
        <v>10309.965272386005</v>
      </c>
      <c r="J1069" s="21">
        <f t="shared" si="33"/>
        <v>11257.801761312992</v>
      </c>
    </row>
    <row r="1070" spans="1:10" hidden="1">
      <c r="A1070" t="s">
        <v>205</v>
      </c>
      <c r="B1070" t="s">
        <v>423</v>
      </c>
      <c r="C1070" s="18">
        <v>2047</v>
      </c>
      <c r="D1070" t="s">
        <v>188</v>
      </c>
      <c r="E1070" s="9">
        <v>755555.58294193703</v>
      </c>
      <c r="F1070" s="9">
        <v>467087.46321210102</v>
      </c>
      <c r="G1070" s="9">
        <v>786867.36601765698</v>
      </c>
      <c r="H1070" s="9">
        <v>484667.16956347</v>
      </c>
      <c r="I1070" s="21">
        <f t="shared" si="32"/>
        <v>17579.706351368979</v>
      </c>
      <c r="J1070" s="21">
        <f t="shared" si="33"/>
        <v>31311.783075719955</v>
      </c>
    </row>
    <row r="1071" spans="1:10" hidden="1">
      <c r="A1071" t="s">
        <v>205</v>
      </c>
      <c r="B1071" t="s">
        <v>423</v>
      </c>
      <c r="C1071" s="18">
        <v>2047</v>
      </c>
      <c r="D1071" t="s">
        <v>191</v>
      </c>
      <c r="E1071" s="9">
        <v>374905.71828932699</v>
      </c>
      <c r="F1071" s="9">
        <v>202057.83094088099</v>
      </c>
      <c r="G1071" s="9">
        <v>390597.57749152998</v>
      </c>
      <c r="H1071" s="9">
        <v>209160.85891574901</v>
      </c>
      <c r="I1071" s="21">
        <f t="shared" si="32"/>
        <v>7103.0279748680186</v>
      </c>
      <c r="J1071" s="21">
        <f t="shared" si="33"/>
        <v>15691.859202202992</v>
      </c>
    </row>
    <row r="1072" spans="1:10" hidden="1">
      <c r="A1072" t="s">
        <v>205</v>
      </c>
      <c r="B1072" t="s">
        <v>423</v>
      </c>
      <c r="C1072" s="18">
        <v>2047</v>
      </c>
      <c r="D1072" t="s">
        <v>422</v>
      </c>
      <c r="E1072" s="9">
        <v>34402.997851999098</v>
      </c>
      <c r="F1072" s="9">
        <v>2222.26287525729</v>
      </c>
      <c r="G1072" s="9">
        <v>34402.454286141998</v>
      </c>
      <c r="H1072" s="9">
        <v>2222.2517838233198</v>
      </c>
      <c r="I1072" s="21">
        <f t="shared" si="32"/>
        <v>-1.1091433970250364E-2</v>
      </c>
      <c r="J1072" s="21">
        <f t="shared" si="33"/>
        <v>-0.54356585710047511</v>
      </c>
    </row>
    <row r="1073" spans="1:10" hidden="1">
      <c r="A1073" t="s">
        <v>205</v>
      </c>
      <c r="B1073" t="s">
        <v>423</v>
      </c>
      <c r="C1073" s="18">
        <v>2048</v>
      </c>
      <c r="D1073" t="s">
        <v>174</v>
      </c>
      <c r="E1073" s="9">
        <v>25506.6756108759</v>
      </c>
      <c r="F1073" s="9">
        <v>17085.7804398427</v>
      </c>
      <c r="G1073" s="9">
        <v>25282.866550534</v>
      </c>
      <c r="H1073" s="9">
        <v>16982.967131377602</v>
      </c>
      <c r="I1073" s="21">
        <f t="shared" si="32"/>
        <v>-102.81330846509809</v>
      </c>
      <c r="J1073" s="21">
        <f t="shared" si="33"/>
        <v>-223.80906034190048</v>
      </c>
    </row>
    <row r="1074" spans="1:10" hidden="1">
      <c r="A1074" t="s">
        <v>205</v>
      </c>
      <c r="B1074" t="s">
        <v>423</v>
      </c>
      <c r="C1074" s="18">
        <v>2048</v>
      </c>
      <c r="D1074" t="s">
        <v>236</v>
      </c>
      <c r="E1074" s="9">
        <v>1286709.7143842599</v>
      </c>
      <c r="F1074" s="9">
        <v>314987.00130742398</v>
      </c>
      <c r="G1074" s="9">
        <v>1283467.7529534199</v>
      </c>
      <c r="H1074" s="9">
        <v>314549.83162807999</v>
      </c>
      <c r="I1074" s="21">
        <f t="shared" si="32"/>
        <v>-437.16967934399145</v>
      </c>
      <c r="J1074" s="21">
        <f t="shared" si="33"/>
        <v>-3241.9614308399614</v>
      </c>
    </row>
    <row r="1075" spans="1:10" hidden="1">
      <c r="A1075" t="s">
        <v>205</v>
      </c>
      <c r="B1075" t="s">
        <v>423</v>
      </c>
      <c r="C1075" s="18">
        <v>2048</v>
      </c>
      <c r="D1075" t="s">
        <v>182</v>
      </c>
      <c r="E1075" s="9">
        <v>140561.41237571</v>
      </c>
      <c r="F1075" s="9">
        <v>89574.112541214097</v>
      </c>
      <c r="G1075" s="9">
        <v>146413.85314917401</v>
      </c>
      <c r="H1075" s="9">
        <v>93427.507277048993</v>
      </c>
      <c r="I1075" s="21">
        <f t="shared" si="32"/>
        <v>3853.394735834896</v>
      </c>
      <c r="J1075" s="21">
        <f t="shared" si="33"/>
        <v>5852.4407734640117</v>
      </c>
    </row>
    <row r="1076" spans="1:10" hidden="1">
      <c r="A1076" t="s">
        <v>205</v>
      </c>
      <c r="B1076" t="s">
        <v>423</v>
      </c>
      <c r="C1076" s="18">
        <v>2048</v>
      </c>
      <c r="D1076" t="s">
        <v>185</v>
      </c>
      <c r="E1076" s="9">
        <v>256921.30863096699</v>
      </c>
      <c r="F1076" s="9">
        <v>243606.14095862099</v>
      </c>
      <c r="G1076" s="9">
        <v>268085.44794583402</v>
      </c>
      <c r="H1076" s="9">
        <v>253872.04741882399</v>
      </c>
      <c r="I1076" s="21">
        <f t="shared" si="32"/>
        <v>10265.906460202998</v>
      </c>
      <c r="J1076" s="21">
        <f t="shared" si="33"/>
        <v>11164.139314867032</v>
      </c>
    </row>
    <row r="1077" spans="1:10" hidden="1">
      <c r="A1077" t="s">
        <v>205</v>
      </c>
      <c r="B1077" t="s">
        <v>423</v>
      </c>
      <c r="C1077" s="18">
        <v>2048</v>
      </c>
      <c r="D1077" t="s">
        <v>188</v>
      </c>
      <c r="E1077" s="9">
        <v>764314.436906958</v>
      </c>
      <c r="F1077" s="9">
        <v>473339.50551826798</v>
      </c>
      <c r="G1077" s="9">
        <v>795796.81940173404</v>
      </c>
      <c r="H1077" s="9">
        <v>491307.70932856598</v>
      </c>
      <c r="I1077" s="21">
        <f t="shared" si="32"/>
        <v>17968.203810298</v>
      </c>
      <c r="J1077" s="21">
        <f t="shared" si="33"/>
        <v>31482.382494776044</v>
      </c>
    </row>
    <row r="1078" spans="1:10" hidden="1">
      <c r="A1078" t="s">
        <v>205</v>
      </c>
      <c r="B1078" t="s">
        <v>423</v>
      </c>
      <c r="C1078" s="18">
        <v>2048</v>
      </c>
      <c r="D1078" t="s">
        <v>191</v>
      </c>
      <c r="E1078" s="9">
        <v>378545.07029508997</v>
      </c>
      <c r="F1078" s="9">
        <v>203938.926856887</v>
      </c>
      <c r="G1078" s="9">
        <v>394306.23400907399</v>
      </c>
      <c r="H1078" s="9">
        <v>211189.299415093</v>
      </c>
      <c r="I1078" s="21">
        <f t="shared" si="32"/>
        <v>7250.3725582059997</v>
      </c>
      <c r="J1078" s="21">
        <f t="shared" si="33"/>
        <v>15761.163713984017</v>
      </c>
    </row>
    <row r="1079" spans="1:10" hidden="1">
      <c r="A1079" t="s">
        <v>205</v>
      </c>
      <c r="B1079" t="s">
        <v>423</v>
      </c>
      <c r="C1079" s="18">
        <v>2048</v>
      </c>
      <c r="D1079" t="s">
        <v>422</v>
      </c>
      <c r="E1079" s="9">
        <v>34279.417519385301</v>
      </c>
      <c r="F1079" s="9">
        <v>2112.6719224478302</v>
      </c>
      <c r="G1079" s="9">
        <v>34278.863496812097</v>
      </c>
      <c r="H1079" s="9">
        <v>2112.6617453372501</v>
      </c>
      <c r="I1079" s="21">
        <f t="shared" si="32"/>
        <v>-1.0177110580116278E-2</v>
      </c>
      <c r="J1079" s="21">
        <f t="shared" si="33"/>
        <v>-0.55402257320383796</v>
      </c>
    </row>
    <row r="1080" spans="1:10" hidden="1">
      <c r="A1080" t="s">
        <v>205</v>
      </c>
      <c r="B1080" t="s">
        <v>423</v>
      </c>
      <c r="C1080" s="18">
        <v>2049</v>
      </c>
      <c r="D1080" t="s">
        <v>174</v>
      </c>
      <c r="E1080" s="9">
        <v>26228.096488091702</v>
      </c>
      <c r="F1080" s="9">
        <v>17519.414884587499</v>
      </c>
      <c r="G1080" s="9">
        <v>25986.5373789525</v>
      </c>
      <c r="H1080" s="9">
        <v>17406.659114093502</v>
      </c>
      <c r="I1080" s="21">
        <f t="shared" si="32"/>
        <v>-112.75577049399726</v>
      </c>
      <c r="J1080" s="21">
        <f t="shared" si="33"/>
        <v>-241.55910913920161</v>
      </c>
    </row>
    <row r="1081" spans="1:10" hidden="1">
      <c r="A1081" t="s">
        <v>205</v>
      </c>
      <c r="B1081" t="s">
        <v>423</v>
      </c>
      <c r="C1081" s="18">
        <v>2049</v>
      </c>
      <c r="D1081" t="s">
        <v>236</v>
      </c>
      <c r="E1081" s="9">
        <v>1294107.23959368</v>
      </c>
      <c r="F1081" s="9">
        <v>322224.89966206998</v>
      </c>
      <c r="G1081" s="9">
        <v>1290687.53512959</v>
      </c>
      <c r="H1081" s="9">
        <v>321740.50114880601</v>
      </c>
      <c r="I1081" s="21">
        <f t="shared" si="32"/>
        <v>-484.39851326396456</v>
      </c>
      <c r="J1081" s="21">
        <f t="shared" si="33"/>
        <v>-3419.7044640900567</v>
      </c>
    </row>
    <row r="1082" spans="1:10" hidden="1">
      <c r="A1082" t="s">
        <v>205</v>
      </c>
      <c r="B1082" t="s">
        <v>423</v>
      </c>
      <c r="C1082" s="18">
        <v>2049</v>
      </c>
      <c r="D1082" t="s">
        <v>182</v>
      </c>
      <c r="E1082" s="9">
        <v>142005.35440446899</v>
      </c>
      <c r="F1082" s="9">
        <v>90661.961368368997</v>
      </c>
      <c r="G1082" s="9">
        <v>147882.09983734801</v>
      </c>
      <c r="H1082" s="9">
        <v>94546.865675552195</v>
      </c>
      <c r="I1082" s="21">
        <f t="shared" si="32"/>
        <v>3884.9043071831984</v>
      </c>
      <c r="J1082" s="21">
        <f t="shared" si="33"/>
        <v>5876.7454328790191</v>
      </c>
    </row>
    <row r="1083" spans="1:10" hidden="1">
      <c r="A1083" t="s">
        <v>205</v>
      </c>
      <c r="B1083" t="s">
        <v>423</v>
      </c>
      <c r="C1083" s="18">
        <v>2049</v>
      </c>
      <c r="D1083" t="s">
        <v>185</v>
      </c>
      <c r="E1083" s="9">
        <v>255931.94078324601</v>
      </c>
      <c r="F1083" s="9">
        <v>242882.87464215199</v>
      </c>
      <c r="G1083" s="9">
        <v>267003.55015502701</v>
      </c>
      <c r="H1083" s="9">
        <v>253105.506935702</v>
      </c>
      <c r="I1083" s="21">
        <f t="shared" si="32"/>
        <v>10222.632293550007</v>
      </c>
      <c r="J1083" s="21">
        <f t="shared" si="33"/>
        <v>11071.609371781</v>
      </c>
    </row>
    <row r="1084" spans="1:10" hidden="1">
      <c r="A1084" t="s">
        <v>205</v>
      </c>
      <c r="B1084" t="s">
        <v>423</v>
      </c>
      <c r="C1084" s="18">
        <v>2049</v>
      </c>
      <c r="D1084" t="s">
        <v>188</v>
      </c>
      <c r="E1084" s="9">
        <v>770069.44269688299</v>
      </c>
      <c r="F1084" s="9">
        <v>479674.40670341998</v>
      </c>
      <c r="G1084" s="9">
        <v>801596.85366425803</v>
      </c>
      <c r="H1084" s="9">
        <v>498010.65152404399</v>
      </c>
      <c r="I1084" s="21">
        <f t="shared" si="32"/>
        <v>18336.244820624008</v>
      </c>
      <c r="J1084" s="21">
        <f t="shared" si="33"/>
        <v>31527.410967375035</v>
      </c>
    </row>
    <row r="1085" spans="1:10" hidden="1">
      <c r="A1085" t="s">
        <v>205</v>
      </c>
      <c r="B1085" t="s">
        <v>423</v>
      </c>
      <c r="C1085" s="18">
        <v>2049</v>
      </c>
      <c r="D1085" t="s">
        <v>191</v>
      </c>
      <c r="E1085" s="9">
        <v>380309.43776305701</v>
      </c>
      <c r="F1085" s="9">
        <v>206188.97763514399</v>
      </c>
      <c r="G1085" s="9">
        <v>396058.615955627</v>
      </c>
      <c r="H1085" s="9">
        <v>213580.236200068</v>
      </c>
      <c r="I1085" s="21">
        <f t="shared" si="32"/>
        <v>7391.2585649240064</v>
      </c>
      <c r="J1085" s="21">
        <f t="shared" si="33"/>
        <v>15749.178192569991</v>
      </c>
    </row>
    <row r="1086" spans="1:10" hidden="1">
      <c r="A1086" t="s">
        <v>205</v>
      </c>
      <c r="B1086" t="s">
        <v>423</v>
      </c>
      <c r="C1086" s="18">
        <v>2049</v>
      </c>
      <c r="D1086" t="s">
        <v>422</v>
      </c>
      <c r="E1086" s="9">
        <v>34088.303590646399</v>
      </c>
      <c r="F1086" s="9">
        <v>1998.6015167389201</v>
      </c>
      <c r="G1086" s="9">
        <v>34087.762706701098</v>
      </c>
      <c r="H1086" s="9">
        <v>1998.5922336333499</v>
      </c>
      <c r="I1086" s="21">
        <f t="shared" si="32"/>
        <v>-9.2831055701481091E-3</v>
      </c>
      <c r="J1086" s="21">
        <f t="shared" si="33"/>
        <v>-0.54088394530117512</v>
      </c>
    </row>
    <row r="1087" spans="1:10" hidden="1">
      <c r="A1087" t="s">
        <v>205</v>
      </c>
      <c r="B1087" t="s">
        <v>423</v>
      </c>
      <c r="C1087" s="18">
        <v>2050</v>
      </c>
      <c r="D1087" t="s">
        <v>174</v>
      </c>
      <c r="E1087" s="9">
        <v>26949.787273596801</v>
      </c>
      <c r="F1087" s="9">
        <v>17951.562859273799</v>
      </c>
      <c r="G1087" s="9">
        <v>26690.1101954068</v>
      </c>
      <c r="H1087" s="9">
        <v>17828.637482456001</v>
      </c>
      <c r="I1087" s="21">
        <f t="shared" si="32"/>
        <v>-122.92537681779868</v>
      </c>
      <c r="J1087" s="21">
        <f t="shared" si="33"/>
        <v>-259.67707819000134</v>
      </c>
    </row>
    <row r="1088" spans="1:10" hidden="1">
      <c r="A1088" t="s">
        <v>205</v>
      </c>
      <c r="B1088" t="s">
        <v>423</v>
      </c>
      <c r="C1088" s="18">
        <v>2050</v>
      </c>
      <c r="D1088" t="s">
        <v>236</v>
      </c>
      <c r="E1088" s="9">
        <v>1301392.1341868399</v>
      </c>
      <c r="F1088" s="9">
        <v>329267.14240164199</v>
      </c>
      <c r="G1088" s="9">
        <v>1297798.19122542</v>
      </c>
      <c r="H1088" s="9">
        <v>328734.06146541203</v>
      </c>
      <c r="I1088" s="21">
        <f t="shared" si="32"/>
        <v>-533.08093622996239</v>
      </c>
      <c r="J1088" s="21">
        <f t="shared" si="33"/>
        <v>-3593.9429614199325</v>
      </c>
    </row>
    <row r="1089" spans="1:10" hidden="1">
      <c r="A1089" t="s">
        <v>205</v>
      </c>
      <c r="B1089" t="s">
        <v>423</v>
      </c>
      <c r="C1089" s="18">
        <v>2050</v>
      </c>
      <c r="D1089" t="s">
        <v>182</v>
      </c>
      <c r="E1089" s="9">
        <v>143641.08926908299</v>
      </c>
      <c r="F1089" s="9">
        <v>91712.113140330199</v>
      </c>
      <c r="G1089" s="9">
        <v>149549.878981469</v>
      </c>
      <c r="H1089" s="9">
        <v>95625.943969428394</v>
      </c>
      <c r="I1089" s="21">
        <f t="shared" si="32"/>
        <v>3913.830829098195</v>
      </c>
      <c r="J1089" s="21">
        <f t="shared" si="33"/>
        <v>5908.7897123860021</v>
      </c>
    </row>
    <row r="1090" spans="1:10" hidden="1">
      <c r="A1090" t="s">
        <v>205</v>
      </c>
      <c r="B1090" t="s">
        <v>423</v>
      </c>
      <c r="C1090" s="18">
        <v>2050</v>
      </c>
      <c r="D1090" t="s">
        <v>185</v>
      </c>
      <c r="E1090" s="9">
        <v>255044.39046700901</v>
      </c>
      <c r="F1090" s="9">
        <v>241985.60346351101</v>
      </c>
      <c r="G1090" s="9">
        <v>266031.496410964</v>
      </c>
      <c r="H1090" s="9">
        <v>252158.93315896901</v>
      </c>
      <c r="I1090" s="21">
        <f t="shared" ref="I1090:I1153" si="34">H1090-F1090</f>
        <v>10173.329695458</v>
      </c>
      <c r="J1090" s="21">
        <f t="shared" ref="J1090:J1153" si="35">G1090-E1090</f>
        <v>10987.105943954986</v>
      </c>
    </row>
    <row r="1091" spans="1:10" hidden="1">
      <c r="A1091" t="s">
        <v>205</v>
      </c>
      <c r="B1091" t="s">
        <v>423</v>
      </c>
      <c r="C1091" s="18">
        <v>2050</v>
      </c>
      <c r="D1091" t="s">
        <v>188</v>
      </c>
      <c r="E1091" s="9">
        <v>777373.31698878703</v>
      </c>
      <c r="F1091" s="9">
        <v>485412.873652426</v>
      </c>
      <c r="G1091" s="9">
        <v>809018.72253896797</v>
      </c>
      <c r="H1091" s="9">
        <v>504089.42679186398</v>
      </c>
      <c r="I1091" s="21">
        <f t="shared" si="34"/>
        <v>18676.55313943798</v>
      </c>
      <c r="J1091" s="21">
        <f t="shared" si="35"/>
        <v>31645.405550180934</v>
      </c>
    </row>
    <row r="1092" spans="1:10" hidden="1">
      <c r="A1092" t="s">
        <v>205</v>
      </c>
      <c r="B1092" t="s">
        <v>423</v>
      </c>
      <c r="C1092" s="18">
        <v>2050</v>
      </c>
      <c r="D1092" t="s">
        <v>191</v>
      </c>
      <c r="E1092" s="9">
        <v>382785.78503231698</v>
      </c>
      <c r="F1092" s="9">
        <v>208048.87270594199</v>
      </c>
      <c r="G1092" s="9">
        <v>398560.03791860503</v>
      </c>
      <c r="H1092" s="9">
        <v>215570.73744048199</v>
      </c>
      <c r="I1092" s="21">
        <f t="shared" si="34"/>
        <v>7521.864734539995</v>
      </c>
      <c r="J1092" s="21">
        <f t="shared" si="35"/>
        <v>15774.252886288043</v>
      </c>
    </row>
    <row r="1093" spans="1:10" hidden="1">
      <c r="A1093" t="s">
        <v>205</v>
      </c>
      <c r="B1093" t="s">
        <v>423</v>
      </c>
      <c r="C1093" s="18">
        <v>2050</v>
      </c>
      <c r="D1093" t="s">
        <v>422</v>
      </c>
      <c r="E1093" s="9">
        <v>33927.028475964296</v>
      </c>
      <c r="F1093" s="9">
        <v>1888.5230915643001</v>
      </c>
      <c r="G1093" s="9">
        <v>33926.479042696701</v>
      </c>
      <c r="H1093" s="9">
        <v>1888.5150098655699</v>
      </c>
      <c r="I1093" s="21">
        <f t="shared" si="34"/>
        <v>-8.0816987301659537E-3</v>
      </c>
      <c r="J1093" s="21">
        <f t="shared" si="35"/>
        <v>-0.54943326759530464</v>
      </c>
    </row>
    <row r="1094" spans="1:10" hidden="1">
      <c r="A1094" t="s">
        <v>224</v>
      </c>
      <c r="B1094" t="s">
        <v>226</v>
      </c>
      <c r="C1094" s="18">
        <v>2025</v>
      </c>
      <c r="D1094" t="s">
        <v>174</v>
      </c>
      <c r="E1094" s="9">
        <v>12176.1707137429</v>
      </c>
      <c r="F1094" s="9">
        <v>8959.2701472679</v>
      </c>
      <c r="G1094" s="9">
        <v>12176.1707137429</v>
      </c>
      <c r="H1094" s="9">
        <v>8959.2701472679</v>
      </c>
      <c r="I1094" s="21">
        <f t="shared" si="34"/>
        <v>0</v>
      </c>
      <c r="J1094" s="21">
        <f t="shared" si="35"/>
        <v>0</v>
      </c>
    </row>
    <row r="1095" spans="1:10" hidden="1">
      <c r="A1095" t="s">
        <v>224</v>
      </c>
      <c r="B1095" t="s">
        <v>226</v>
      </c>
      <c r="C1095" s="18">
        <v>2025</v>
      </c>
      <c r="D1095" t="s">
        <v>236</v>
      </c>
      <c r="E1095" s="9">
        <v>1026758.5711338</v>
      </c>
      <c r="F1095" s="9">
        <v>129383.32321031499</v>
      </c>
      <c r="G1095" s="9">
        <v>1026758.5711338</v>
      </c>
      <c r="H1095" s="9">
        <v>129383.32321031499</v>
      </c>
      <c r="I1095" s="21">
        <f t="shared" si="34"/>
        <v>0</v>
      </c>
      <c r="J1095" s="21">
        <f t="shared" si="35"/>
        <v>0</v>
      </c>
    </row>
    <row r="1096" spans="1:10" hidden="1">
      <c r="A1096" t="s">
        <v>224</v>
      </c>
      <c r="B1096" t="s">
        <v>226</v>
      </c>
      <c r="C1096" s="18">
        <v>2025</v>
      </c>
      <c r="D1096" t="s">
        <v>182</v>
      </c>
      <c r="E1096" s="9">
        <v>115291.15986546699</v>
      </c>
      <c r="F1096" s="9">
        <v>67656.558989495796</v>
      </c>
      <c r="G1096" s="9">
        <v>115291.15986546699</v>
      </c>
      <c r="H1096" s="9">
        <v>67656.558989495796</v>
      </c>
      <c r="I1096" s="21">
        <f t="shared" si="34"/>
        <v>0</v>
      </c>
      <c r="J1096" s="21">
        <f t="shared" si="35"/>
        <v>0</v>
      </c>
    </row>
    <row r="1097" spans="1:10" hidden="1">
      <c r="A1097" t="s">
        <v>224</v>
      </c>
      <c r="B1097" t="s">
        <v>226</v>
      </c>
      <c r="C1097" s="18">
        <v>2025</v>
      </c>
      <c r="D1097" t="s">
        <v>185</v>
      </c>
      <c r="E1097" s="9">
        <v>281662.55341658002</v>
      </c>
      <c r="F1097" s="9">
        <v>263295.70058044</v>
      </c>
      <c r="G1097" s="9">
        <v>281662.55341658002</v>
      </c>
      <c r="H1097" s="9">
        <v>263295.70058044</v>
      </c>
      <c r="I1097" s="21">
        <f t="shared" si="34"/>
        <v>0</v>
      </c>
      <c r="J1097" s="21">
        <f t="shared" si="35"/>
        <v>0</v>
      </c>
    </row>
    <row r="1098" spans="1:10" hidden="1">
      <c r="A1098" t="s">
        <v>224</v>
      </c>
      <c r="B1098" t="s">
        <v>226</v>
      </c>
      <c r="C1098" s="18">
        <v>2025</v>
      </c>
      <c r="D1098" t="s">
        <v>188</v>
      </c>
      <c r="E1098" s="9">
        <v>612171.634776233</v>
      </c>
      <c r="F1098" s="9">
        <v>335724.86979376699</v>
      </c>
      <c r="G1098" s="9">
        <v>612171.634776233</v>
      </c>
      <c r="H1098" s="9">
        <v>335724.86979376699</v>
      </c>
      <c r="I1098" s="21">
        <f t="shared" si="34"/>
        <v>0</v>
      </c>
      <c r="J1098" s="21">
        <f t="shared" si="35"/>
        <v>0</v>
      </c>
    </row>
    <row r="1099" spans="1:10" hidden="1">
      <c r="A1099" t="s">
        <v>224</v>
      </c>
      <c r="B1099" t="s">
        <v>226</v>
      </c>
      <c r="C1099" s="18">
        <v>2025</v>
      </c>
      <c r="D1099" t="s">
        <v>191</v>
      </c>
      <c r="E1099" s="9">
        <v>339642.13012673298</v>
      </c>
      <c r="F1099" s="9">
        <v>190841.880003208</v>
      </c>
      <c r="G1099" s="9">
        <v>339642.13012673298</v>
      </c>
      <c r="H1099" s="9">
        <v>190841.880003208</v>
      </c>
      <c r="I1099" s="21">
        <f t="shared" si="34"/>
        <v>0</v>
      </c>
      <c r="J1099" s="21">
        <f t="shared" si="35"/>
        <v>0</v>
      </c>
    </row>
    <row r="1100" spans="1:10" hidden="1">
      <c r="A1100" t="s">
        <v>224</v>
      </c>
      <c r="B1100" t="s">
        <v>226</v>
      </c>
      <c r="C1100" s="18">
        <v>2025</v>
      </c>
      <c r="D1100" t="s">
        <v>422</v>
      </c>
      <c r="E1100" s="9">
        <v>39660.836547407802</v>
      </c>
      <c r="F1100" s="9">
        <v>5303.4223017440199</v>
      </c>
      <c r="G1100" s="9">
        <v>39660.836547407802</v>
      </c>
      <c r="H1100" s="9">
        <v>5303.4223017440199</v>
      </c>
      <c r="I1100" s="21">
        <f t="shared" si="34"/>
        <v>0</v>
      </c>
      <c r="J1100" s="21">
        <f t="shared" si="35"/>
        <v>0</v>
      </c>
    </row>
    <row r="1101" spans="1:10" hidden="1">
      <c r="A1101" t="s">
        <v>224</v>
      </c>
      <c r="B1101" t="s">
        <v>226</v>
      </c>
      <c r="C1101" s="18">
        <v>2026</v>
      </c>
      <c r="D1101" t="s">
        <v>174</v>
      </c>
      <c r="E1101" s="9">
        <v>12568.9386470114</v>
      </c>
      <c r="F1101" s="9">
        <v>9271.1333627081003</v>
      </c>
      <c r="G1101" s="9">
        <v>12568.9386470114</v>
      </c>
      <c r="H1101" s="9">
        <v>9271.1333627081003</v>
      </c>
      <c r="I1101" s="21">
        <f t="shared" si="34"/>
        <v>0</v>
      </c>
      <c r="J1101" s="21">
        <f t="shared" si="35"/>
        <v>0</v>
      </c>
    </row>
    <row r="1102" spans="1:10" hidden="1">
      <c r="A1102" t="s">
        <v>224</v>
      </c>
      <c r="B1102" t="s">
        <v>226</v>
      </c>
      <c r="C1102" s="18">
        <v>2026</v>
      </c>
      <c r="D1102" t="s">
        <v>236</v>
      </c>
      <c r="E1102" s="9">
        <v>1042135.18581351</v>
      </c>
      <c r="F1102" s="9">
        <v>137145.82895878801</v>
      </c>
      <c r="G1102" s="9">
        <v>1042135.18581351</v>
      </c>
      <c r="H1102" s="9">
        <v>137145.82895878801</v>
      </c>
      <c r="I1102" s="21">
        <f t="shared" si="34"/>
        <v>0</v>
      </c>
      <c r="J1102" s="21">
        <f t="shared" si="35"/>
        <v>0</v>
      </c>
    </row>
    <row r="1103" spans="1:10" hidden="1">
      <c r="A1103" t="s">
        <v>224</v>
      </c>
      <c r="B1103" t="s">
        <v>226</v>
      </c>
      <c r="C1103" s="18">
        <v>2026</v>
      </c>
      <c r="D1103" t="s">
        <v>182</v>
      </c>
      <c r="E1103" s="9">
        <v>114121.308351716</v>
      </c>
      <c r="F1103" s="9">
        <v>70326.603453519798</v>
      </c>
      <c r="G1103" s="9">
        <v>114707.986926294</v>
      </c>
      <c r="H1103" s="9">
        <v>70326.603453519798</v>
      </c>
      <c r="I1103" s="21">
        <f t="shared" si="34"/>
        <v>0</v>
      </c>
      <c r="J1103" s="21">
        <f t="shared" si="35"/>
        <v>586.6785745780071</v>
      </c>
    </row>
    <row r="1104" spans="1:10" hidden="1">
      <c r="A1104" t="s">
        <v>224</v>
      </c>
      <c r="B1104" t="s">
        <v>226</v>
      </c>
      <c r="C1104" s="18">
        <v>2026</v>
      </c>
      <c r="D1104" t="s">
        <v>185</v>
      </c>
      <c r="E1104" s="9">
        <v>281276.54216382903</v>
      </c>
      <c r="F1104" s="9">
        <v>259504.46801133201</v>
      </c>
      <c r="G1104" s="9">
        <v>282722.53786088398</v>
      </c>
      <c r="H1104" s="9">
        <v>259504.46801133201</v>
      </c>
      <c r="I1104" s="21">
        <f t="shared" si="34"/>
        <v>0</v>
      </c>
      <c r="J1104" s="21">
        <f t="shared" si="35"/>
        <v>1445.9956970549538</v>
      </c>
    </row>
    <row r="1105" spans="1:10" hidden="1">
      <c r="A1105" t="s">
        <v>224</v>
      </c>
      <c r="B1105" t="s">
        <v>226</v>
      </c>
      <c r="C1105" s="18">
        <v>2026</v>
      </c>
      <c r="D1105" t="s">
        <v>188</v>
      </c>
      <c r="E1105" s="9">
        <v>613635.43194927403</v>
      </c>
      <c r="F1105" s="9">
        <v>342960.13528186502</v>
      </c>
      <c r="G1105" s="9">
        <v>616790.02915575495</v>
      </c>
      <c r="H1105" s="9">
        <v>342960.13528186502</v>
      </c>
      <c r="I1105" s="21">
        <f t="shared" si="34"/>
        <v>0</v>
      </c>
      <c r="J1105" s="21">
        <f t="shared" si="35"/>
        <v>3154.5972064809175</v>
      </c>
    </row>
    <row r="1106" spans="1:10" hidden="1">
      <c r="A1106" t="s">
        <v>224</v>
      </c>
      <c r="B1106" t="s">
        <v>226</v>
      </c>
      <c r="C1106" s="18">
        <v>2026</v>
      </c>
      <c r="D1106" t="s">
        <v>191</v>
      </c>
      <c r="E1106" s="9">
        <v>336767.80242908001</v>
      </c>
      <c r="F1106" s="9">
        <v>190574.61381884801</v>
      </c>
      <c r="G1106" s="9">
        <v>338499.06942160201</v>
      </c>
      <c r="H1106" s="9">
        <v>190574.61381884801</v>
      </c>
      <c r="I1106" s="21">
        <f t="shared" si="34"/>
        <v>0</v>
      </c>
      <c r="J1106" s="21">
        <f t="shared" si="35"/>
        <v>1731.2669925219961</v>
      </c>
    </row>
    <row r="1107" spans="1:10" hidden="1">
      <c r="A1107" t="s">
        <v>224</v>
      </c>
      <c r="B1107" t="s">
        <v>226</v>
      </c>
      <c r="C1107" s="18">
        <v>2026</v>
      </c>
      <c r="D1107" t="s">
        <v>422</v>
      </c>
      <c r="E1107" s="9">
        <v>39250.667018004897</v>
      </c>
      <c r="F1107" s="9">
        <v>5105.6095547855903</v>
      </c>
      <c r="G1107" s="9">
        <v>39250.667018004897</v>
      </c>
      <c r="H1107" s="9">
        <v>5105.6095547855903</v>
      </c>
      <c r="I1107" s="21">
        <f t="shared" si="34"/>
        <v>0</v>
      </c>
      <c r="J1107" s="21">
        <f t="shared" si="35"/>
        <v>0</v>
      </c>
    </row>
    <row r="1108" spans="1:10" hidden="1">
      <c r="A1108" t="s">
        <v>224</v>
      </c>
      <c r="B1108" t="s">
        <v>226</v>
      </c>
      <c r="C1108" s="18">
        <v>2027</v>
      </c>
      <c r="D1108" t="s">
        <v>174</v>
      </c>
      <c r="E1108" s="9">
        <v>12976.103113363301</v>
      </c>
      <c r="F1108" s="9">
        <v>9577.5296548643291</v>
      </c>
      <c r="G1108" s="9">
        <v>12976.103113363301</v>
      </c>
      <c r="H1108" s="9">
        <v>9577.5296548643291</v>
      </c>
      <c r="I1108" s="21">
        <f t="shared" si="34"/>
        <v>0</v>
      </c>
      <c r="J1108" s="21">
        <f t="shared" si="35"/>
        <v>0</v>
      </c>
    </row>
    <row r="1109" spans="1:10" hidden="1">
      <c r="A1109" t="s">
        <v>224</v>
      </c>
      <c r="B1109" t="s">
        <v>226</v>
      </c>
      <c r="C1109" s="18">
        <v>2027</v>
      </c>
      <c r="D1109" t="s">
        <v>236</v>
      </c>
      <c r="E1109" s="9">
        <v>1057148.31873483</v>
      </c>
      <c r="F1109" s="9">
        <v>145009.441994705</v>
      </c>
      <c r="G1109" s="9">
        <v>1057148.31873483</v>
      </c>
      <c r="H1109" s="9">
        <v>145009.441994705</v>
      </c>
      <c r="I1109" s="21">
        <f t="shared" si="34"/>
        <v>0</v>
      </c>
      <c r="J1109" s="21">
        <f t="shared" si="35"/>
        <v>0</v>
      </c>
    </row>
    <row r="1110" spans="1:10" hidden="1">
      <c r="A1110" t="s">
        <v>224</v>
      </c>
      <c r="B1110" t="s">
        <v>226</v>
      </c>
      <c r="C1110" s="18">
        <v>2027</v>
      </c>
      <c r="D1110" t="s">
        <v>182</v>
      </c>
      <c r="E1110" s="9">
        <v>112989.948849818</v>
      </c>
      <c r="F1110" s="9">
        <v>72200.238313462003</v>
      </c>
      <c r="G1110" s="9">
        <v>114152.944165875</v>
      </c>
      <c r="H1110" s="9">
        <v>72290.169991209099</v>
      </c>
      <c r="I1110" s="21">
        <f t="shared" si="34"/>
        <v>89.931677747095819</v>
      </c>
      <c r="J1110" s="21">
        <f t="shared" si="35"/>
        <v>1162.9953160570003</v>
      </c>
    </row>
    <row r="1111" spans="1:10" hidden="1">
      <c r="A1111" t="s">
        <v>224</v>
      </c>
      <c r="B1111" t="s">
        <v>226</v>
      </c>
      <c r="C1111" s="18">
        <v>2027</v>
      </c>
      <c r="D1111" t="s">
        <v>185</v>
      </c>
      <c r="E1111" s="9">
        <v>275048.14166470402</v>
      </c>
      <c r="F1111" s="9">
        <v>259702.697516791</v>
      </c>
      <c r="G1111" s="9">
        <v>277877.509454571</v>
      </c>
      <c r="H1111" s="9">
        <v>260330.421136777</v>
      </c>
      <c r="I1111" s="21">
        <f t="shared" si="34"/>
        <v>627.72361998600536</v>
      </c>
      <c r="J1111" s="21">
        <f t="shared" si="35"/>
        <v>2829.3677898669848</v>
      </c>
    </row>
    <row r="1112" spans="1:10" hidden="1">
      <c r="A1112" t="s">
        <v>224</v>
      </c>
      <c r="B1112" t="s">
        <v>226</v>
      </c>
      <c r="C1112" s="18">
        <v>2027</v>
      </c>
      <c r="D1112" t="s">
        <v>188</v>
      </c>
      <c r="E1112" s="9">
        <v>615115.04811747605</v>
      </c>
      <c r="F1112" s="9">
        <v>349180.57648413698</v>
      </c>
      <c r="G1112" s="9">
        <v>621430.90280116105</v>
      </c>
      <c r="H1112" s="9">
        <v>349405.30073034298</v>
      </c>
      <c r="I1112" s="21">
        <f t="shared" si="34"/>
        <v>224.72424620599486</v>
      </c>
      <c r="J1112" s="21">
        <f t="shared" si="35"/>
        <v>6315.8546836850001</v>
      </c>
    </row>
    <row r="1113" spans="1:10" hidden="1">
      <c r="A1113" t="s">
        <v>224</v>
      </c>
      <c r="B1113" t="s">
        <v>226</v>
      </c>
      <c r="C1113" s="18">
        <v>2027</v>
      </c>
      <c r="D1113" t="s">
        <v>191</v>
      </c>
      <c r="E1113" s="9">
        <v>333966.971991345</v>
      </c>
      <c r="F1113" s="9">
        <v>188878.787310471</v>
      </c>
      <c r="G1113" s="9">
        <v>337398.94907172298</v>
      </c>
      <c r="H1113" s="9">
        <v>189031.10044551201</v>
      </c>
      <c r="I1113" s="21">
        <f t="shared" si="34"/>
        <v>152.31313504101126</v>
      </c>
      <c r="J1113" s="21">
        <f t="shared" si="35"/>
        <v>3431.9770803779829</v>
      </c>
    </row>
    <row r="1114" spans="1:10" hidden="1">
      <c r="A1114" t="s">
        <v>224</v>
      </c>
      <c r="B1114" t="s">
        <v>226</v>
      </c>
      <c r="C1114" s="18">
        <v>2027</v>
      </c>
      <c r="D1114" t="s">
        <v>422</v>
      </c>
      <c r="E1114" s="9">
        <v>38773.627186343103</v>
      </c>
      <c r="F1114" s="9">
        <v>4921.4971535538998</v>
      </c>
      <c r="G1114" s="9">
        <v>38773.627186343103</v>
      </c>
      <c r="H1114" s="9">
        <v>4921.4971535538998</v>
      </c>
      <c r="I1114" s="21">
        <f t="shared" si="34"/>
        <v>0</v>
      </c>
      <c r="J1114" s="21">
        <f t="shared" si="35"/>
        <v>0</v>
      </c>
    </row>
    <row r="1115" spans="1:10" hidden="1">
      <c r="A1115" t="s">
        <v>224</v>
      </c>
      <c r="B1115" t="s">
        <v>226</v>
      </c>
      <c r="C1115" s="18">
        <v>2028</v>
      </c>
      <c r="D1115" t="s">
        <v>174</v>
      </c>
      <c r="E1115" s="9">
        <v>13395.2051073109</v>
      </c>
      <c r="F1115" s="9">
        <v>9881.9220189252792</v>
      </c>
      <c r="G1115" s="9">
        <v>13394.6739315754</v>
      </c>
      <c r="H1115" s="9">
        <v>9881.9220189252792</v>
      </c>
      <c r="I1115" s="21">
        <f t="shared" si="34"/>
        <v>0</v>
      </c>
      <c r="J1115" s="21">
        <f t="shared" si="35"/>
        <v>-0.53117573549934605</v>
      </c>
    </row>
    <row r="1116" spans="1:10" hidden="1">
      <c r="A1116" t="s">
        <v>224</v>
      </c>
      <c r="B1116" t="s">
        <v>226</v>
      </c>
      <c r="C1116" s="18">
        <v>2028</v>
      </c>
      <c r="D1116" t="s">
        <v>236</v>
      </c>
      <c r="E1116" s="9">
        <v>1071834.3238905</v>
      </c>
      <c r="F1116" s="9">
        <v>152971.72938899801</v>
      </c>
      <c r="G1116" s="9">
        <v>1071826.1250559301</v>
      </c>
      <c r="H1116" s="9">
        <v>152971.72938899801</v>
      </c>
      <c r="I1116" s="21">
        <f t="shared" si="34"/>
        <v>0</v>
      </c>
      <c r="J1116" s="21">
        <f t="shared" si="35"/>
        <v>-8.1988345698919147</v>
      </c>
    </row>
    <row r="1117" spans="1:10" hidden="1">
      <c r="A1117" t="s">
        <v>224</v>
      </c>
      <c r="B1117" t="s">
        <v>226</v>
      </c>
      <c r="C1117" s="18">
        <v>2028</v>
      </c>
      <c r="D1117" t="s">
        <v>182</v>
      </c>
      <c r="E1117" s="9">
        <v>112405.350910779</v>
      </c>
      <c r="F1117" s="9">
        <v>73601.515371923699</v>
      </c>
      <c r="G1117" s="9">
        <v>114139.12292486199</v>
      </c>
      <c r="H1117" s="9">
        <v>73846.874209439702</v>
      </c>
      <c r="I1117" s="21">
        <f t="shared" si="34"/>
        <v>245.3588375160034</v>
      </c>
      <c r="J1117" s="21">
        <f t="shared" si="35"/>
        <v>1733.7720140829915</v>
      </c>
    </row>
    <row r="1118" spans="1:10" hidden="1">
      <c r="A1118" t="s">
        <v>224</v>
      </c>
      <c r="B1118" t="s">
        <v>226</v>
      </c>
      <c r="C1118" s="18">
        <v>2028</v>
      </c>
      <c r="D1118" t="s">
        <v>185</v>
      </c>
      <c r="E1118" s="9">
        <v>273515.15354826697</v>
      </c>
      <c r="F1118" s="9">
        <v>256353.44741801301</v>
      </c>
      <c r="G1118" s="9">
        <v>277735.69614120398</v>
      </c>
      <c r="H1118" s="9">
        <v>257765.32327170501</v>
      </c>
      <c r="I1118" s="21">
        <f t="shared" si="34"/>
        <v>1411.8758536920068</v>
      </c>
      <c r="J1118" s="21">
        <f t="shared" si="35"/>
        <v>4220.5425929370103</v>
      </c>
    </row>
    <row r="1119" spans="1:10" hidden="1">
      <c r="A1119" t="s">
        <v>224</v>
      </c>
      <c r="B1119" t="s">
        <v>226</v>
      </c>
      <c r="C1119" s="18">
        <v>2028</v>
      </c>
      <c r="D1119" t="s">
        <v>188</v>
      </c>
      <c r="E1119" s="9">
        <v>618222.92436043394</v>
      </c>
      <c r="F1119" s="9">
        <v>355524.93784707302</v>
      </c>
      <c r="G1119" s="9">
        <v>627723.84415529598</v>
      </c>
      <c r="H1119" s="9">
        <v>356159.25290604099</v>
      </c>
      <c r="I1119" s="21">
        <f t="shared" si="34"/>
        <v>634.31505896797171</v>
      </c>
      <c r="J1119" s="21">
        <f t="shared" si="35"/>
        <v>9500.9197948620422</v>
      </c>
    </row>
    <row r="1120" spans="1:10" hidden="1">
      <c r="A1120" t="s">
        <v>224</v>
      </c>
      <c r="B1120" t="s">
        <v>226</v>
      </c>
      <c r="C1120" s="18">
        <v>2028</v>
      </c>
      <c r="D1120" t="s">
        <v>191</v>
      </c>
      <c r="E1120" s="9">
        <v>332399.40997215599</v>
      </c>
      <c r="F1120" s="9">
        <v>186723.34088004599</v>
      </c>
      <c r="G1120" s="9">
        <v>337514.695524676</v>
      </c>
      <c r="H1120" s="9">
        <v>187116.63987946699</v>
      </c>
      <c r="I1120" s="21">
        <f t="shared" si="34"/>
        <v>393.29899942100747</v>
      </c>
      <c r="J1120" s="21">
        <f t="shared" si="35"/>
        <v>5115.2855525200139</v>
      </c>
    </row>
    <row r="1121" spans="1:10" hidden="1">
      <c r="A1121" t="s">
        <v>224</v>
      </c>
      <c r="B1121" t="s">
        <v>226</v>
      </c>
      <c r="C1121" s="18">
        <v>2028</v>
      </c>
      <c r="D1121" t="s">
        <v>422</v>
      </c>
      <c r="E1121" s="9">
        <v>38149.303015278703</v>
      </c>
      <c r="F1121" s="9">
        <v>4742.0855729783398</v>
      </c>
      <c r="G1121" s="9">
        <v>38149.291579231904</v>
      </c>
      <c r="H1121" s="9">
        <v>4742.0855729783398</v>
      </c>
      <c r="I1121" s="21">
        <f t="shared" si="34"/>
        <v>0</v>
      </c>
      <c r="J1121" s="21">
        <f t="shared" si="35"/>
        <v>-1.1436046799644828E-2</v>
      </c>
    </row>
    <row r="1122" spans="1:10" hidden="1">
      <c r="A1122" t="s">
        <v>224</v>
      </c>
      <c r="B1122" t="s">
        <v>226</v>
      </c>
      <c r="C1122" s="18">
        <v>2029</v>
      </c>
      <c r="D1122" t="s">
        <v>174</v>
      </c>
      <c r="E1122" s="9">
        <v>13831.7807969979</v>
      </c>
      <c r="F1122" s="9">
        <v>10188.485690736899</v>
      </c>
      <c r="G1122" s="9">
        <v>13830.048598278099</v>
      </c>
      <c r="H1122" s="9">
        <v>10188.394886280999</v>
      </c>
      <c r="I1122" s="21">
        <f t="shared" si="34"/>
        <v>-9.0804455900070025E-2</v>
      </c>
      <c r="J1122" s="21">
        <f t="shared" si="35"/>
        <v>-1.7321987198010902</v>
      </c>
    </row>
    <row r="1123" spans="1:10" hidden="1">
      <c r="A1123" t="s">
        <v>224</v>
      </c>
      <c r="B1123" t="s">
        <v>226</v>
      </c>
      <c r="C1123" s="18">
        <v>2029</v>
      </c>
      <c r="D1123" t="s">
        <v>236</v>
      </c>
      <c r="E1123" s="9">
        <v>1086228.6657023099</v>
      </c>
      <c r="F1123" s="9">
        <v>161038.42613247599</v>
      </c>
      <c r="G1123" s="9">
        <v>1086200.5009906101</v>
      </c>
      <c r="H1123" s="9">
        <v>161038.22768731901</v>
      </c>
      <c r="I1123" s="21">
        <f t="shared" si="34"/>
        <v>-0.19844515697332099</v>
      </c>
      <c r="J1123" s="21">
        <f t="shared" si="35"/>
        <v>-28.164711699821055</v>
      </c>
    </row>
    <row r="1124" spans="1:10" hidden="1">
      <c r="A1124" t="s">
        <v>224</v>
      </c>
      <c r="B1124" t="s">
        <v>226</v>
      </c>
      <c r="C1124" s="18">
        <v>2029</v>
      </c>
      <c r="D1124" t="s">
        <v>182</v>
      </c>
      <c r="E1124" s="9">
        <v>111753.178004003</v>
      </c>
      <c r="F1124" s="9">
        <v>75002.074209265498</v>
      </c>
      <c r="G1124" s="9">
        <v>114048.15533588199</v>
      </c>
      <c r="H1124" s="9">
        <v>75452.222577591499</v>
      </c>
      <c r="I1124" s="21">
        <f t="shared" si="34"/>
        <v>450.14836832600122</v>
      </c>
      <c r="J1124" s="21">
        <f t="shared" si="35"/>
        <v>2294.9773318789958</v>
      </c>
    </row>
    <row r="1125" spans="1:10" hidden="1">
      <c r="A1125" t="s">
        <v>224</v>
      </c>
      <c r="B1125" t="s">
        <v>226</v>
      </c>
      <c r="C1125" s="18">
        <v>2029</v>
      </c>
      <c r="D1125" t="s">
        <v>185</v>
      </c>
      <c r="E1125" s="9">
        <v>270261.21828289499</v>
      </c>
      <c r="F1125" s="9">
        <v>256019.18837238901</v>
      </c>
      <c r="G1125" s="9">
        <v>275821.08299242798</v>
      </c>
      <c r="H1125" s="9">
        <v>258334.31739486201</v>
      </c>
      <c r="I1125" s="21">
        <f t="shared" si="34"/>
        <v>2315.1290224730037</v>
      </c>
      <c r="J1125" s="21">
        <f t="shared" si="35"/>
        <v>5559.8647095329943</v>
      </c>
    </row>
    <row r="1126" spans="1:10" hidden="1">
      <c r="A1126" t="s">
        <v>224</v>
      </c>
      <c r="B1126" t="s">
        <v>226</v>
      </c>
      <c r="C1126" s="18">
        <v>2029</v>
      </c>
      <c r="D1126" t="s">
        <v>188</v>
      </c>
      <c r="E1126" s="9">
        <v>618140.50114083604</v>
      </c>
      <c r="F1126" s="9">
        <v>362686.99916009599</v>
      </c>
      <c r="G1126" s="9">
        <v>630779.36998507904</v>
      </c>
      <c r="H1126" s="9">
        <v>363892.26827992598</v>
      </c>
      <c r="I1126" s="21">
        <f t="shared" si="34"/>
        <v>1205.2691198299872</v>
      </c>
      <c r="J1126" s="21">
        <f t="shared" si="35"/>
        <v>12638.868844242999</v>
      </c>
    </row>
    <row r="1127" spans="1:10" hidden="1">
      <c r="A1127" t="s">
        <v>224</v>
      </c>
      <c r="B1127" t="s">
        <v>226</v>
      </c>
      <c r="C1127" s="18">
        <v>2029</v>
      </c>
      <c r="D1127" t="s">
        <v>191</v>
      </c>
      <c r="E1127" s="9">
        <v>329178.857278037</v>
      </c>
      <c r="F1127" s="9">
        <v>186127.81848536301</v>
      </c>
      <c r="G1127" s="9">
        <v>335921.29283179599</v>
      </c>
      <c r="H1127" s="9">
        <v>186821.56008749199</v>
      </c>
      <c r="I1127" s="21">
        <f t="shared" si="34"/>
        <v>693.74160212898278</v>
      </c>
      <c r="J1127" s="21">
        <f t="shared" si="35"/>
        <v>6742.4355537589872</v>
      </c>
    </row>
    <row r="1128" spans="1:10" hidden="1">
      <c r="A1128" t="s">
        <v>224</v>
      </c>
      <c r="B1128" t="s">
        <v>226</v>
      </c>
      <c r="C1128" s="18">
        <v>2029</v>
      </c>
      <c r="D1128" t="s">
        <v>422</v>
      </c>
      <c r="E1128" s="9">
        <v>37777.4974276539</v>
      </c>
      <c r="F1128" s="9">
        <v>4604.0689782103</v>
      </c>
      <c r="G1128" s="9">
        <v>37777.467218977603</v>
      </c>
      <c r="H1128" s="9">
        <v>4604.0681483163899</v>
      </c>
      <c r="I1128" s="21">
        <f t="shared" si="34"/>
        <v>-8.2989391012233682E-4</v>
      </c>
      <c r="J1128" s="21">
        <f t="shared" si="35"/>
        <v>-3.0208676296751946E-2</v>
      </c>
    </row>
    <row r="1129" spans="1:10" hidden="1">
      <c r="A1129" t="s">
        <v>224</v>
      </c>
      <c r="B1129" t="s">
        <v>226</v>
      </c>
      <c r="C1129" s="18">
        <v>2030</v>
      </c>
      <c r="D1129" t="s">
        <v>174</v>
      </c>
      <c r="E1129" s="9">
        <v>14285.6797640369</v>
      </c>
      <c r="F1129" s="9">
        <v>10500.6460276545</v>
      </c>
      <c r="G1129" s="9">
        <v>14281.959039535501</v>
      </c>
      <c r="H1129" s="9">
        <v>10500.2867221377</v>
      </c>
      <c r="I1129" s="21">
        <f t="shared" si="34"/>
        <v>-0.35930551680030476</v>
      </c>
      <c r="J1129" s="21">
        <f t="shared" si="35"/>
        <v>-3.7207245013996726</v>
      </c>
    </row>
    <row r="1130" spans="1:10" hidden="1">
      <c r="A1130" t="s">
        <v>224</v>
      </c>
      <c r="B1130" t="s">
        <v>226</v>
      </c>
      <c r="C1130" s="18">
        <v>2030</v>
      </c>
      <c r="D1130" t="s">
        <v>236</v>
      </c>
      <c r="E1130" s="9">
        <v>1100254.4064152001</v>
      </c>
      <c r="F1130" s="9">
        <v>169197.23014122201</v>
      </c>
      <c r="G1130" s="9">
        <v>1100191.7865472301</v>
      </c>
      <c r="H1130" s="9">
        <v>169196.385350075</v>
      </c>
      <c r="I1130" s="21">
        <f t="shared" si="34"/>
        <v>-0.84479114701389335</v>
      </c>
      <c r="J1130" s="21">
        <f t="shared" si="35"/>
        <v>-62.619867970002815</v>
      </c>
    </row>
    <row r="1131" spans="1:10" hidden="1">
      <c r="A1131" t="s">
        <v>224</v>
      </c>
      <c r="B1131" t="s">
        <v>226</v>
      </c>
      <c r="C1131" s="18">
        <v>2030</v>
      </c>
      <c r="D1131" t="s">
        <v>182</v>
      </c>
      <c r="E1131" s="9">
        <v>111913.450034863</v>
      </c>
      <c r="F1131" s="9">
        <v>75311.475584037893</v>
      </c>
      <c r="G1131" s="9">
        <v>114781.951575614</v>
      </c>
      <c r="H1131" s="9">
        <v>76004.374773711097</v>
      </c>
      <c r="I1131" s="21">
        <f t="shared" si="34"/>
        <v>692.89918967320409</v>
      </c>
      <c r="J1131" s="21">
        <f t="shared" si="35"/>
        <v>2868.5015407510073</v>
      </c>
    </row>
    <row r="1132" spans="1:10" hidden="1">
      <c r="A1132" t="s">
        <v>224</v>
      </c>
      <c r="B1132" t="s">
        <v>226</v>
      </c>
      <c r="C1132" s="18">
        <v>2030</v>
      </c>
      <c r="D1132" t="s">
        <v>185</v>
      </c>
      <c r="E1132" s="9">
        <v>268839.69131092599</v>
      </c>
      <c r="F1132" s="9">
        <v>254149.54231946901</v>
      </c>
      <c r="G1132" s="9">
        <v>275750.81654950802</v>
      </c>
      <c r="H1132" s="9">
        <v>257411.19778715901</v>
      </c>
      <c r="I1132" s="21">
        <f t="shared" si="34"/>
        <v>3261.6554676899977</v>
      </c>
      <c r="J1132" s="21">
        <f t="shared" si="35"/>
        <v>6911.1252385820262</v>
      </c>
    </row>
    <row r="1133" spans="1:10" hidden="1">
      <c r="A1133" t="s">
        <v>224</v>
      </c>
      <c r="B1133" t="s">
        <v>226</v>
      </c>
      <c r="C1133" s="18">
        <v>2030</v>
      </c>
      <c r="D1133" t="s">
        <v>188</v>
      </c>
      <c r="E1133" s="9">
        <v>622325.21773050202</v>
      </c>
      <c r="F1133" s="9">
        <v>367000.657764834</v>
      </c>
      <c r="G1133" s="9">
        <v>638199.36722691404</v>
      </c>
      <c r="H1133" s="9">
        <v>368920.44347907702</v>
      </c>
      <c r="I1133" s="21">
        <f t="shared" si="34"/>
        <v>1919.7857142430148</v>
      </c>
      <c r="J1133" s="21">
        <f t="shared" si="35"/>
        <v>15874.149496412021</v>
      </c>
    </row>
    <row r="1134" spans="1:10" hidden="1">
      <c r="A1134" t="s">
        <v>224</v>
      </c>
      <c r="B1134" t="s">
        <v>226</v>
      </c>
      <c r="C1134" s="18">
        <v>2030</v>
      </c>
      <c r="D1134" t="s">
        <v>191</v>
      </c>
      <c r="E1134" s="9">
        <v>328965.63830047799</v>
      </c>
      <c r="F1134" s="9">
        <v>184403.94671785901</v>
      </c>
      <c r="G1134" s="9">
        <v>337374.94686633401</v>
      </c>
      <c r="H1134" s="9">
        <v>185442.493190957</v>
      </c>
      <c r="I1134" s="21">
        <f t="shared" si="34"/>
        <v>1038.5464730979875</v>
      </c>
      <c r="J1134" s="21">
        <f t="shared" si="35"/>
        <v>8409.3085658560158</v>
      </c>
    </row>
    <row r="1135" spans="1:10" hidden="1">
      <c r="A1135" t="s">
        <v>224</v>
      </c>
      <c r="B1135" t="s">
        <v>226</v>
      </c>
      <c r="C1135" s="18">
        <v>2030</v>
      </c>
      <c r="D1135" t="s">
        <v>422</v>
      </c>
      <c r="E1135" s="9">
        <v>38012.727031622402</v>
      </c>
      <c r="F1135" s="9">
        <v>4432.1194573121902</v>
      </c>
      <c r="G1135" s="9">
        <v>38012.673637756197</v>
      </c>
      <c r="H1135" s="9">
        <v>4432.1168533298996</v>
      </c>
      <c r="I1135" s="21">
        <f t="shared" si="34"/>
        <v>-2.6039822905659094E-3</v>
      </c>
      <c r="J1135" s="21">
        <f t="shared" si="35"/>
        <v>-5.3393866204714868E-2</v>
      </c>
    </row>
    <row r="1136" spans="1:10" hidden="1">
      <c r="A1136" t="s">
        <v>224</v>
      </c>
      <c r="B1136" t="s">
        <v>226</v>
      </c>
      <c r="C1136" s="18">
        <v>2031</v>
      </c>
      <c r="D1136" t="s">
        <v>174</v>
      </c>
      <c r="E1136" s="9">
        <v>14760.9657903552</v>
      </c>
      <c r="F1136" s="9">
        <v>10815.808694921399</v>
      </c>
      <c r="G1136" s="9">
        <v>14754.4294987798</v>
      </c>
      <c r="H1136" s="9">
        <v>10814.9178976517</v>
      </c>
      <c r="I1136" s="21">
        <f t="shared" si="34"/>
        <v>-0.89079726969976036</v>
      </c>
      <c r="J1136" s="21">
        <f t="shared" si="35"/>
        <v>-6.5362915753994457</v>
      </c>
    </row>
    <row r="1137" spans="1:10" hidden="1">
      <c r="A1137" t="s">
        <v>224</v>
      </c>
      <c r="B1137" t="s">
        <v>226</v>
      </c>
      <c r="C1137" s="18">
        <v>2031</v>
      </c>
      <c r="D1137" t="s">
        <v>236</v>
      </c>
      <c r="E1137" s="9">
        <v>1113838.35574375</v>
      </c>
      <c r="F1137" s="9">
        <v>177422.42191224001</v>
      </c>
      <c r="G1137" s="9">
        <v>1113725.2263596801</v>
      </c>
      <c r="H1137" s="9">
        <v>177420.195676039</v>
      </c>
      <c r="I1137" s="21">
        <f t="shared" si="34"/>
        <v>-2.2262362010078505</v>
      </c>
      <c r="J1137" s="21">
        <f t="shared" si="35"/>
        <v>-113.12938406993635</v>
      </c>
    </row>
    <row r="1138" spans="1:10" hidden="1">
      <c r="A1138" t="s">
        <v>224</v>
      </c>
      <c r="B1138" t="s">
        <v>226</v>
      </c>
      <c r="C1138" s="18">
        <v>2031</v>
      </c>
      <c r="D1138" t="s">
        <v>182</v>
      </c>
      <c r="E1138" s="9">
        <v>112886.795972012</v>
      </c>
      <c r="F1138" s="9">
        <v>75589.838575323694</v>
      </c>
      <c r="G1138" s="9">
        <v>115757.018858842</v>
      </c>
      <c r="H1138" s="9">
        <v>76556.628013514899</v>
      </c>
      <c r="I1138" s="21">
        <f t="shared" si="34"/>
        <v>966.78943819120468</v>
      </c>
      <c r="J1138" s="21">
        <f t="shared" si="35"/>
        <v>2870.2228868300008</v>
      </c>
    </row>
    <row r="1139" spans="1:10" hidden="1">
      <c r="A1139" t="s">
        <v>224</v>
      </c>
      <c r="B1139" t="s">
        <v>226</v>
      </c>
      <c r="C1139" s="18">
        <v>2031</v>
      </c>
      <c r="D1139" t="s">
        <v>185</v>
      </c>
      <c r="E1139" s="9">
        <v>267870.33203228202</v>
      </c>
      <c r="F1139" s="9">
        <v>252980.12433260001</v>
      </c>
      <c r="G1139" s="9">
        <v>274719.77758767002</v>
      </c>
      <c r="H1139" s="9">
        <v>257245.00548019301</v>
      </c>
      <c r="I1139" s="21">
        <f t="shared" si="34"/>
        <v>4264.8811475929979</v>
      </c>
      <c r="J1139" s="21">
        <f t="shared" si="35"/>
        <v>6849.4455553879961</v>
      </c>
    </row>
    <row r="1140" spans="1:10" hidden="1">
      <c r="A1140" t="s">
        <v>224</v>
      </c>
      <c r="B1140" t="s">
        <v>226</v>
      </c>
      <c r="C1140" s="18">
        <v>2031</v>
      </c>
      <c r="D1140" t="s">
        <v>188</v>
      </c>
      <c r="E1140" s="9">
        <v>630195.81891629403</v>
      </c>
      <c r="F1140" s="9">
        <v>371437.29796205799</v>
      </c>
      <c r="G1140" s="9">
        <v>646110.86416985898</v>
      </c>
      <c r="H1140" s="9">
        <v>374207.72907897399</v>
      </c>
      <c r="I1140" s="21">
        <f t="shared" si="34"/>
        <v>2770.4311169160064</v>
      </c>
      <c r="J1140" s="21">
        <f t="shared" si="35"/>
        <v>15915.045253564953</v>
      </c>
    </row>
    <row r="1141" spans="1:10" hidden="1">
      <c r="A1141" t="s">
        <v>224</v>
      </c>
      <c r="B1141" t="s">
        <v>226</v>
      </c>
      <c r="C1141" s="18">
        <v>2031</v>
      </c>
      <c r="D1141" t="s">
        <v>191</v>
      </c>
      <c r="E1141" s="9">
        <v>330825.56971588201</v>
      </c>
      <c r="F1141" s="9">
        <v>182888.116561392</v>
      </c>
      <c r="G1141" s="9">
        <v>339204.41915059398</v>
      </c>
      <c r="H1141" s="9">
        <v>184315.56237323501</v>
      </c>
      <c r="I1141" s="21">
        <f t="shared" si="34"/>
        <v>1427.4458118430048</v>
      </c>
      <c r="J1141" s="21">
        <f t="shared" si="35"/>
        <v>8378.8494347119704</v>
      </c>
    </row>
    <row r="1142" spans="1:10" hidden="1">
      <c r="A1142" t="s">
        <v>224</v>
      </c>
      <c r="B1142" t="s">
        <v>226</v>
      </c>
      <c r="C1142" s="18">
        <v>2031</v>
      </c>
      <c r="D1142" t="s">
        <v>422</v>
      </c>
      <c r="E1142" s="9">
        <v>38191.7189305953</v>
      </c>
      <c r="F1142" s="9">
        <v>4274.7324129019298</v>
      </c>
      <c r="G1142" s="9">
        <v>38191.6231000681</v>
      </c>
      <c r="H1142" s="9">
        <v>4274.7272932738097</v>
      </c>
      <c r="I1142" s="21">
        <f t="shared" si="34"/>
        <v>-5.1196281201555394E-3</v>
      </c>
      <c r="J1142" s="21">
        <f t="shared" si="35"/>
        <v>-9.5830527199723292E-2</v>
      </c>
    </row>
    <row r="1143" spans="1:10" hidden="1">
      <c r="A1143" t="s">
        <v>224</v>
      </c>
      <c r="B1143" t="s">
        <v>226</v>
      </c>
      <c r="C1143" s="18">
        <v>2032</v>
      </c>
      <c r="D1143" t="s">
        <v>174</v>
      </c>
      <c r="E1143" s="9">
        <v>15258.0299744556</v>
      </c>
      <c r="F1143" s="9">
        <v>11133.9263986145</v>
      </c>
      <c r="G1143" s="9">
        <v>15247.769190462001</v>
      </c>
      <c r="H1143" s="9">
        <v>11132.1787355836</v>
      </c>
      <c r="I1143" s="21">
        <f t="shared" si="34"/>
        <v>-1.7476630308992753</v>
      </c>
      <c r="J1143" s="21">
        <f t="shared" si="35"/>
        <v>-10.260783993599034</v>
      </c>
    </row>
    <row r="1144" spans="1:10" hidden="1">
      <c r="A1144" t="s">
        <v>224</v>
      </c>
      <c r="B1144" t="s">
        <v>226</v>
      </c>
      <c r="C1144" s="18">
        <v>2032</v>
      </c>
      <c r="D1144" t="s">
        <v>236</v>
      </c>
      <c r="E1144" s="9">
        <v>1126964.4903744301</v>
      </c>
      <c r="F1144" s="9">
        <v>185696.06791205</v>
      </c>
      <c r="G1144" s="9">
        <v>1126783.31749171</v>
      </c>
      <c r="H1144" s="9">
        <v>185691.45221249</v>
      </c>
      <c r="I1144" s="21">
        <f t="shared" si="34"/>
        <v>-4.6156995600031223</v>
      </c>
      <c r="J1144" s="21">
        <f t="shared" si="35"/>
        <v>-181.17288272012956</v>
      </c>
    </row>
    <row r="1145" spans="1:10" hidden="1">
      <c r="A1145" t="s">
        <v>224</v>
      </c>
      <c r="B1145" t="s">
        <v>226</v>
      </c>
      <c r="C1145" s="18">
        <v>2032</v>
      </c>
      <c r="D1145" t="s">
        <v>182</v>
      </c>
      <c r="E1145" s="9">
        <v>114020.044447747</v>
      </c>
      <c r="F1145" s="9">
        <v>76018.942955567894</v>
      </c>
      <c r="G1145" s="9">
        <v>116892.91249656001</v>
      </c>
      <c r="H1145" s="9">
        <v>77198.389307422098</v>
      </c>
      <c r="I1145" s="21">
        <f t="shared" si="34"/>
        <v>1179.4463518542034</v>
      </c>
      <c r="J1145" s="21">
        <f t="shared" si="35"/>
        <v>2872.8680488130049</v>
      </c>
    </row>
    <row r="1146" spans="1:10" hidden="1">
      <c r="A1146" t="s">
        <v>224</v>
      </c>
      <c r="B1146" t="s">
        <v>226</v>
      </c>
      <c r="C1146" s="18">
        <v>2032</v>
      </c>
      <c r="D1146" t="s">
        <v>185</v>
      </c>
      <c r="E1146" s="9">
        <v>267610.19700990798</v>
      </c>
      <c r="F1146" s="9">
        <v>252033.78611795499</v>
      </c>
      <c r="G1146" s="9">
        <v>274412.39342979901</v>
      </c>
      <c r="H1146" s="9">
        <v>256745.67636584101</v>
      </c>
      <c r="I1146" s="21">
        <f t="shared" si="34"/>
        <v>4711.8902478860109</v>
      </c>
      <c r="J1146" s="21">
        <f t="shared" si="35"/>
        <v>6802.1964198910282</v>
      </c>
    </row>
    <row r="1147" spans="1:10" hidden="1">
      <c r="A1147" t="s">
        <v>224</v>
      </c>
      <c r="B1147" t="s">
        <v>226</v>
      </c>
      <c r="C1147" s="18">
        <v>2032</v>
      </c>
      <c r="D1147" t="s">
        <v>188</v>
      </c>
      <c r="E1147" s="9">
        <v>638557.78784822195</v>
      </c>
      <c r="F1147" s="9">
        <v>376607.564036161</v>
      </c>
      <c r="G1147" s="9">
        <v>654519.81142038899</v>
      </c>
      <c r="H1147" s="9">
        <v>380127.64784866601</v>
      </c>
      <c r="I1147" s="21">
        <f t="shared" si="34"/>
        <v>3520.0838125050068</v>
      </c>
      <c r="J1147" s="21">
        <f t="shared" si="35"/>
        <v>15962.023572167032</v>
      </c>
    </row>
    <row r="1148" spans="1:10" hidden="1">
      <c r="A1148" t="s">
        <v>224</v>
      </c>
      <c r="B1148" t="s">
        <v>226</v>
      </c>
      <c r="C1148" s="18">
        <v>2032</v>
      </c>
      <c r="D1148" t="s">
        <v>191</v>
      </c>
      <c r="E1148" s="9">
        <v>333223.97550507198</v>
      </c>
      <c r="F1148" s="9">
        <v>182001.89146584101</v>
      </c>
      <c r="G1148" s="9">
        <v>341581.65326776</v>
      </c>
      <c r="H1148" s="9">
        <v>183730.084212538</v>
      </c>
      <c r="I1148" s="21">
        <f t="shared" si="34"/>
        <v>1728.1927466969937</v>
      </c>
      <c r="J1148" s="21">
        <f t="shared" si="35"/>
        <v>8357.6777626880212</v>
      </c>
    </row>
    <row r="1149" spans="1:10" hidden="1">
      <c r="A1149" t="s">
        <v>224</v>
      </c>
      <c r="B1149" t="s">
        <v>226</v>
      </c>
      <c r="C1149" s="18">
        <v>2032</v>
      </c>
      <c r="D1149" t="s">
        <v>422</v>
      </c>
      <c r="E1149" s="9">
        <v>38037.690516091301</v>
      </c>
      <c r="F1149" s="9">
        <v>4125.7305106490303</v>
      </c>
      <c r="G1149" s="9">
        <v>38037.551792099897</v>
      </c>
      <c r="H1149" s="9">
        <v>4125.7224791710396</v>
      </c>
      <c r="I1149" s="21">
        <f t="shared" si="34"/>
        <v>-8.0314779906984768E-3</v>
      </c>
      <c r="J1149" s="21">
        <f t="shared" si="35"/>
        <v>-0.13872399140382186</v>
      </c>
    </row>
    <row r="1150" spans="1:10" hidden="1">
      <c r="A1150" t="s">
        <v>224</v>
      </c>
      <c r="B1150" t="s">
        <v>226</v>
      </c>
      <c r="C1150" s="18">
        <v>2033</v>
      </c>
      <c r="D1150" t="s">
        <v>174</v>
      </c>
      <c r="E1150" s="9">
        <v>15774.0328860554</v>
      </c>
      <c r="F1150" s="9">
        <v>11455.201324289101</v>
      </c>
      <c r="G1150" s="9">
        <v>15759.5151167894</v>
      </c>
      <c r="H1150" s="9">
        <v>11452.2049974033</v>
      </c>
      <c r="I1150" s="21">
        <f t="shared" si="34"/>
        <v>-2.9963268858009542</v>
      </c>
      <c r="J1150" s="21">
        <f t="shared" si="35"/>
        <v>-14.517769265999959</v>
      </c>
    </row>
    <row r="1151" spans="1:10" hidden="1">
      <c r="A1151" t="s">
        <v>224</v>
      </c>
      <c r="B1151" t="s">
        <v>226</v>
      </c>
      <c r="C1151" s="18">
        <v>2033</v>
      </c>
      <c r="D1151" t="s">
        <v>236</v>
      </c>
      <c r="E1151" s="9">
        <v>1139532.7263319001</v>
      </c>
      <c r="F1151" s="9">
        <v>194013.91119513099</v>
      </c>
      <c r="G1151" s="9">
        <v>1139272.75378683</v>
      </c>
      <c r="H1151" s="9">
        <v>194005.60056651599</v>
      </c>
      <c r="I1151" s="21">
        <f t="shared" si="34"/>
        <v>-8.3106286149995867</v>
      </c>
      <c r="J1151" s="21">
        <f t="shared" si="35"/>
        <v>-259.97254507010803</v>
      </c>
    </row>
    <row r="1152" spans="1:10" hidden="1">
      <c r="A1152" t="s">
        <v>224</v>
      </c>
      <c r="B1152" t="s">
        <v>226</v>
      </c>
      <c r="C1152" s="18">
        <v>2033</v>
      </c>
      <c r="D1152" t="s">
        <v>182</v>
      </c>
      <c r="E1152" s="9">
        <v>115400.527540546</v>
      </c>
      <c r="F1152" s="9">
        <v>76571.256418469406</v>
      </c>
      <c r="G1152" s="9">
        <v>118281.82855902299</v>
      </c>
      <c r="H1152" s="9">
        <v>77917.162090690195</v>
      </c>
      <c r="I1152" s="21">
        <f t="shared" si="34"/>
        <v>1345.9056722207897</v>
      </c>
      <c r="J1152" s="21">
        <f t="shared" si="35"/>
        <v>2881.3010184769955</v>
      </c>
    </row>
    <row r="1153" spans="1:10" hidden="1">
      <c r="A1153" t="s">
        <v>224</v>
      </c>
      <c r="B1153" t="s">
        <v>226</v>
      </c>
      <c r="C1153" s="18">
        <v>2033</v>
      </c>
      <c r="D1153" t="s">
        <v>185</v>
      </c>
      <c r="E1153" s="9">
        <v>267143.89777000598</v>
      </c>
      <c r="F1153" s="9">
        <v>251659.90905696401</v>
      </c>
      <c r="G1153" s="9">
        <v>273893.528221021</v>
      </c>
      <c r="H1153" s="9">
        <v>256655.55902621101</v>
      </c>
      <c r="I1153" s="21">
        <f t="shared" si="34"/>
        <v>4995.6499692469952</v>
      </c>
      <c r="J1153" s="21">
        <f t="shared" si="35"/>
        <v>6749.6304510150221</v>
      </c>
    </row>
    <row r="1154" spans="1:10" hidden="1">
      <c r="A1154" t="s">
        <v>224</v>
      </c>
      <c r="B1154" t="s">
        <v>226</v>
      </c>
      <c r="C1154" s="18">
        <v>2033</v>
      </c>
      <c r="D1154" t="s">
        <v>188</v>
      </c>
      <c r="E1154" s="9">
        <v>647971.96181627398</v>
      </c>
      <c r="F1154" s="9">
        <v>382393.78176311299</v>
      </c>
      <c r="G1154" s="9">
        <v>664009.13874492398</v>
      </c>
      <c r="H1154" s="9">
        <v>386583.230936034</v>
      </c>
      <c r="I1154" s="21">
        <f t="shared" ref="I1154:I1217" si="36">H1154-F1154</f>
        <v>4189.4491729210131</v>
      </c>
      <c r="J1154" s="21">
        <f t="shared" ref="J1154:J1217" si="37">G1154-E1154</f>
        <v>16037.176928650006</v>
      </c>
    </row>
    <row r="1155" spans="1:10" hidden="1">
      <c r="A1155" t="s">
        <v>224</v>
      </c>
      <c r="B1155" t="s">
        <v>226</v>
      </c>
      <c r="C1155" s="18">
        <v>2033</v>
      </c>
      <c r="D1155" t="s">
        <v>191</v>
      </c>
      <c r="E1155" s="9">
        <v>336631.94443885499</v>
      </c>
      <c r="F1155" s="9">
        <v>181606.19935570101</v>
      </c>
      <c r="G1155" s="9">
        <v>344995.26462988101</v>
      </c>
      <c r="H1155" s="9">
        <v>183583.04220271501</v>
      </c>
      <c r="I1155" s="21">
        <f t="shared" si="36"/>
        <v>1976.8428470139916</v>
      </c>
      <c r="J1155" s="21">
        <f t="shared" si="37"/>
        <v>8363.320191026025</v>
      </c>
    </row>
    <row r="1156" spans="1:10" hidden="1">
      <c r="A1156" t="s">
        <v>224</v>
      </c>
      <c r="B1156" t="s">
        <v>226</v>
      </c>
      <c r="C1156" s="18">
        <v>2033</v>
      </c>
      <c r="D1156" t="s">
        <v>422</v>
      </c>
      <c r="E1156" s="9">
        <v>37788.565010806102</v>
      </c>
      <c r="F1156" s="9">
        <v>3977.7254850609302</v>
      </c>
      <c r="G1156" s="9">
        <v>37788.395913351</v>
      </c>
      <c r="H1156" s="9">
        <v>3977.7143757352601</v>
      </c>
      <c r="I1156" s="21">
        <f t="shared" si="36"/>
        <v>-1.1109325670076942E-2</v>
      </c>
      <c r="J1156" s="21">
        <f t="shared" si="37"/>
        <v>-0.16909745510201901</v>
      </c>
    </row>
    <row r="1157" spans="1:10" hidden="1">
      <c r="A1157" t="s">
        <v>224</v>
      </c>
      <c r="B1157" t="s">
        <v>226</v>
      </c>
      <c r="C1157" s="18">
        <v>2034</v>
      </c>
      <c r="D1157" t="s">
        <v>174</v>
      </c>
      <c r="E1157" s="9">
        <v>16304.966324509</v>
      </c>
      <c r="F1157" s="9">
        <v>11784.0365414315</v>
      </c>
      <c r="G1157" s="9">
        <v>16285.764037622699</v>
      </c>
      <c r="H1157" s="9">
        <v>11779.4141755774</v>
      </c>
      <c r="I1157" s="21">
        <f t="shared" si="36"/>
        <v>-4.6223658541002806</v>
      </c>
      <c r="J1157" s="21">
        <f t="shared" si="37"/>
        <v>-19.202286886300499</v>
      </c>
    </row>
    <row r="1158" spans="1:10" hidden="1">
      <c r="A1158" t="s">
        <v>224</v>
      </c>
      <c r="B1158" t="s">
        <v>226</v>
      </c>
      <c r="C1158" s="18">
        <v>2034</v>
      </c>
      <c r="D1158" t="s">
        <v>236</v>
      </c>
      <c r="E1158" s="9">
        <v>1151579.11200066</v>
      </c>
      <c r="F1158" s="9">
        <v>202334.07708238999</v>
      </c>
      <c r="G1158" s="9">
        <v>1151232.62464015</v>
      </c>
      <c r="H1158" s="9">
        <v>202320.63612115101</v>
      </c>
      <c r="I1158" s="21">
        <f t="shared" si="36"/>
        <v>-13.440961238986347</v>
      </c>
      <c r="J1158" s="21">
        <f t="shared" si="37"/>
        <v>-346.4873605100438</v>
      </c>
    </row>
    <row r="1159" spans="1:10" hidden="1">
      <c r="A1159" t="s">
        <v>224</v>
      </c>
      <c r="B1159" t="s">
        <v>226</v>
      </c>
      <c r="C1159" s="18">
        <v>2034</v>
      </c>
      <c r="D1159" t="s">
        <v>182</v>
      </c>
      <c r="E1159" s="9">
        <v>116295.913830473</v>
      </c>
      <c r="F1159" s="9">
        <v>77304.591660747406</v>
      </c>
      <c r="G1159" s="9">
        <v>119173.805374547</v>
      </c>
      <c r="H1159" s="9">
        <v>78781.723235872807</v>
      </c>
      <c r="I1159" s="21">
        <f t="shared" si="36"/>
        <v>1477.1315751254006</v>
      </c>
      <c r="J1159" s="21">
        <f t="shared" si="37"/>
        <v>2877.8915440739947</v>
      </c>
    </row>
    <row r="1160" spans="1:10" hidden="1">
      <c r="A1160" t="s">
        <v>224</v>
      </c>
      <c r="B1160" t="s">
        <v>226</v>
      </c>
      <c r="C1160" s="18">
        <v>2034</v>
      </c>
      <c r="D1160" t="s">
        <v>185</v>
      </c>
      <c r="E1160" s="9">
        <v>266966.42672594899</v>
      </c>
      <c r="F1160" s="9">
        <v>251566.02825475601</v>
      </c>
      <c r="G1160" s="9">
        <v>273669.65020286699</v>
      </c>
      <c r="H1160" s="9">
        <v>256753.127116244</v>
      </c>
      <c r="I1160" s="21">
        <f t="shared" si="36"/>
        <v>5187.0988614879898</v>
      </c>
      <c r="J1160" s="21">
        <f t="shared" si="37"/>
        <v>6703.2234769180068</v>
      </c>
    </row>
    <row r="1161" spans="1:10" hidden="1">
      <c r="A1161" t="s">
        <v>224</v>
      </c>
      <c r="B1161" t="s">
        <v>226</v>
      </c>
      <c r="C1161" s="18">
        <v>2034</v>
      </c>
      <c r="D1161" t="s">
        <v>188</v>
      </c>
      <c r="E1161" s="9">
        <v>653546.31717250403</v>
      </c>
      <c r="F1161" s="9">
        <v>389009.90499319002</v>
      </c>
      <c r="G1161" s="9">
        <v>669565.09186596901</v>
      </c>
      <c r="H1161" s="9">
        <v>393806.92012191401</v>
      </c>
      <c r="I1161" s="21">
        <f t="shared" si="36"/>
        <v>4797.015128723986</v>
      </c>
      <c r="J1161" s="21">
        <f t="shared" si="37"/>
        <v>16018.774693464977</v>
      </c>
    </row>
    <row r="1162" spans="1:10" hidden="1">
      <c r="A1162" t="s">
        <v>224</v>
      </c>
      <c r="B1162" t="s">
        <v>226</v>
      </c>
      <c r="C1162" s="18">
        <v>2034</v>
      </c>
      <c r="D1162" t="s">
        <v>191</v>
      </c>
      <c r="E1162" s="9">
        <v>337617.28656092798</v>
      </c>
      <c r="F1162" s="9">
        <v>182610.45909775901</v>
      </c>
      <c r="G1162" s="9">
        <v>345926.396497523</v>
      </c>
      <c r="H1162" s="9">
        <v>184800.88501932399</v>
      </c>
      <c r="I1162" s="21">
        <f t="shared" si="36"/>
        <v>2190.4259215649799</v>
      </c>
      <c r="J1162" s="21">
        <f t="shared" si="37"/>
        <v>8309.1099365950213</v>
      </c>
    </row>
    <row r="1163" spans="1:10" hidden="1">
      <c r="A1163" t="s">
        <v>224</v>
      </c>
      <c r="B1163" t="s">
        <v>226</v>
      </c>
      <c r="C1163" s="18">
        <v>2034</v>
      </c>
      <c r="D1163" t="s">
        <v>422</v>
      </c>
      <c r="E1163" s="9">
        <v>37391.320007121103</v>
      </c>
      <c r="F1163" s="9">
        <v>3849.4500485695398</v>
      </c>
      <c r="G1163" s="9">
        <v>37391.118979539897</v>
      </c>
      <c r="H1163" s="9">
        <v>3849.43642407178</v>
      </c>
      <c r="I1163" s="21">
        <f t="shared" si="36"/>
        <v>-1.3624497759792575E-2</v>
      </c>
      <c r="J1163" s="21">
        <f t="shared" si="37"/>
        <v>-0.20102758120629005</v>
      </c>
    </row>
    <row r="1164" spans="1:10" hidden="1">
      <c r="A1164" t="s">
        <v>224</v>
      </c>
      <c r="B1164" t="s">
        <v>226</v>
      </c>
      <c r="C1164" s="18">
        <v>2035</v>
      </c>
      <c r="D1164" t="s">
        <v>174</v>
      </c>
      <c r="E1164" s="9">
        <v>16854.9069925597</v>
      </c>
      <c r="F1164" s="9">
        <v>12119.4125509979</v>
      </c>
      <c r="G1164" s="9">
        <v>16830.6420972909</v>
      </c>
      <c r="H1164" s="9">
        <v>12112.814364394</v>
      </c>
      <c r="I1164" s="21">
        <f t="shared" si="36"/>
        <v>-6.5981866039001034</v>
      </c>
      <c r="J1164" s="21">
        <f t="shared" si="37"/>
        <v>-24.264895268799592</v>
      </c>
    </row>
    <row r="1165" spans="1:10" hidden="1">
      <c r="A1165" t="s">
        <v>224</v>
      </c>
      <c r="B1165" t="s">
        <v>226</v>
      </c>
      <c r="C1165" s="18">
        <v>2035</v>
      </c>
      <c r="D1165" t="s">
        <v>236</v>
      </c>
      <c r="E1165" s="9">
        <v>1163215.92950549</v>
      </c>
      <c r="F1165" s="9">
        <v>210647.50068135399</v>
      </c>
      <c r="G1165" s="9">
        <v>1162777.28327874</v>
      </c>
      <c r="H1165" s="9">
        <v>210627.422792314</v>
      </c>
      <c r="I1165" s="21">
        <f t="shared" si="36"/>
        <v>-20.07788903999608</v>
      </c>
      <c r="J1165" s="21">
        <f t="shared" si="37"/>
        <v>-438.64622674998827</v>
      </c>
    </row>
    <row r="1166" spans="1:10" hidden="1">
      <c r="A1166" t="s">
        <v>224</v>
      </c>
      <c r="B1166" t="s">
        <v>226</v>
      </c>
      <c r="C1166" s="18">
        <v>2035</v>
      </c>
      <c r="D1166" t="s">
        <v>182</v>
      </c>
      <c r="E1166" s="9">
        <v>117906.497043738</v>
      </c>
      <c r="F1166" s="9">
        <v>77875.749503861502</v>
      </c>
      <c r="G1166" s="9">
        <v>120799.065903184</v>
      </c>
      <c r="H1166" s="9">
        <v>79456.632421187605</v>
      </c>
      <c r="I1166" s="21">
        <f t="shared" si="36"/>
        <v>1580.8829173261038</v>
      </c>
      <c r="J1166" s="21">
        <f t="shared" si="37"/>
        <v>2892.568859446008</v>
      </c>
    </row>
    <row r="1167" spans="1:10" hidden="1">
      <c r="A1167" t="s">
        <v>224</v>
      </c>
      <c r="B1167" t="s">
        <v>226</v>
      </c>
      <c r="C1167" s="18">
        <v>2035</v>
      </c>
      <c r="D1167" t="s">
        <v>185</v>
      </c>
      <c r="E1167" s="9">
        <v>266690.13397183502</v>
      </c>
      <c r="F1167" s="9">
        <v>251481.09542443801</v>
      </c>
      <c r="G1167" s="9">
        <v>273345.36006293801</v>
      </c>
      <c r="H1167" s="9">
        <v>256807.53223008101</v>
      </c>
      <c r="I1167" s="21">
        <f t="shared" si="36"/>
        <v>5326.4368056429958</v>
      </c>
      <c r="J1167" s="21">
        <f t="shared" si="37"/>
        <v>6655.226091102988</v>
      </c>
    </row>
    <row r="1168" spans="1:10" hidden="1">
      <c r="A1168" t="s">
        <v>224</v>
      </c>
      <c r="B1168" t="s">
        <v>226</v>
      </c>
      <c r="C1168" s="18">
        <v>2035</v>
      </c>
      <c r="D1168" t="s">
        <v>188</v>
      </c>
      <c r="E1168" s="9">
        <v>662549.71100706002</v>
      </c>
      <c r="F1168" s="9">
        <v>394144.89625420299</v>
      </c>
      <c r="G1168" s="9">
        <v>678638.43452144298</v>
      </c>
      <c r="H1168" s="9">
        <v>399492.95053299802</v>
      </c>
      <c r="I1168" s="21">
        <f t="shared" si="36"/>
        <v>5348.0542787950253</v>
      </c>
      <c r="J1168" s="21">
        <f t="shared" si="37"/>
        <v>16088.72351438296</v>
      </c>
    </row>
    <row r="1169" spans="1:10" hidden="1">
      <c r="A1169" t="s">
        <v>224</v>
      </c>
      <c r="B1169" t="s">
        <v>226</v>
      </c>
      <c r="C1169" s="18">
        <v>2035</v>
      </c>
      <c r="D1169" t="s">
        <v>191</v>
      </c>
      <c r="E1169" s="9">
        <v>340832.49700912501</v>
      </c>
      <c r="F1169" s="9">
        <v>182986.21133550099</v>
      </c>
      <c r="G1169" s="9">
        <v>349146.06245576398</v>
      </c>
      <c r="H1169" s="9">
        <v>185365.76110357899</v>
      </c>
      <c r="I1169" s="21">
        <f t="shared" si="36"/>
        <v>2379.5497680779954</v>
      </c>
      <c r="J1169" s="21">
        <f t="shared" si="37"/>
        <v>8313.5654466389678</v>
      </c>
    </row>
    <row r="1170" spans="1:10" hidden="1">
      <c r="A1170" t="s">
        <v>224</v>
      </c>
      <c r="B1170" t="s">
        <v>226</v>
      </c>
      <c r="C1170" s="18">
        <v>2035</v>
      </c>
      <c r="D1170" t="s">
        <v>422</v>
      </c>
      <c r="E1170" s="9">
        <v>37274.628666999401</v>
      </c>
      <c r="F1170" s="9">
        <v>3710.4474103232201</v>
      </c>
      <c r="G1170" s="9">
        <v>37274.397901844597</v>
      </c>
      <c r="H1170" s="9">
        <v>3710.43177455469</v>
      </c>
      <c r="I1170" s="21">
        <f t="shared" si="36"/>
        <v>-1.5635768530046334E-2</v>
      </c>
      <c r="J1170" s="21">
        <f t="shared" si="37"/>
        <v>-0.230765154803521</v>
      </c>
    </row>
    <row r="1171" spans="1:10" hidden="1">
      <c r="A1171" t="s">
        <v>224</v>
      </c>
      <c r="B1171" t="s">
        <v>226</v>
      </c>
      <c r="C1171" s="18">
        <v>2036</v>
      </c>
      <c r="D1171" t="s">
        <v>174</v>
      </c>
      <c r="E1171" s="9">
        <v>17422.292794055698</v>
      </c>
      <c r="F1171" s="9">
        <v>12461.757872828801</v>
      </c>
      <c r="G1171" s="9">
        <v>17392.609904070101</v>
      </c>
      <c r="H1171" s="9">
        <v>12452.864013751599</v>
      </c>
      <c r="I1171" s="21">
        <f t="shared" si="36"/>
        <v>-8.8938590772013413</v>
      </c>
      <c r="J1171" s="21">
        <f t="shared" si="37"/>
        <v>-29.682889985597285</v>
      </c>
    </row>
    <row r="1172" spans="1:10" hidden="1">
      <c r="A1172" t="s">
        <v>224</v>
      </c>
      <c r="B1172" t="s">
        <v>226</v>
      </c>
      <c r="C1172" s="18">
        <v>2036</v>
      </c>
      <c r="D1172" t="s">
        <v>236</v>
      </c>
      <c r="E1172" s="9">
        <v>1174620.50491841</v>
      </c>
      <c r="F1172" s="9">
        <v>218934.874892958</v>
      </c>
      <c r="G1172" s="9">
        <v>1174085.51289072</v>
      </c>
      <c r="H1172" s="9">
        <v>218906.62344450099</v>
      </c>
      <c r="I1172" s="21">
        <f t="shared" si="36"/>
        <v>-28.251448457012884</v>
      </c>
      <c r="J1172" s="21">
        <f t="shared" si="37"/>
        <v>-534.99202768993564</v>
      </c>
    </row>
    <row r="1173" spans="1:10" hidden="1">
      <c r="A1173" t="s">
        <v>224</v>
      </c>
      <c r="B1173" t="s">
        <v>226</v>
      </c>
      <c r="C1173" s="18">
        <v>2036</v>
      </c>
      <c r="D1173" t="s">
        <v>182</v>
      </c>
      <c r="E1173" s="9">
        <v>119707.151561537</v>
      </c>
      <c r="F1173" s="9">
        <v>78638.781643486305</v>
      </c>
      <c r="G1173" s="9">
        <v>122618.320312187</v>
      </c>
      <c r="H1173" s="9">
        <v>80302.842995522602</v>
      </c>
      <c r="I1173" s="21">
        <f t="shared" si="36"/>
        <v>1664.0613520362967</v>
      </c>
      <c r="J1173" s="21">
        <f t="shared" si="37"/>
        <v>2911.168750650002</v>
      </c>
    </row>
    <row r="1174" spans="1:10" hidden="1">
      <c r="A1174" t="s">
        <v>224</v>
      </c>
      <c r="B1174" t="s">
        <v>226</v>
      </c>
      <c r="C1174" s="18">
        <v>2036</v>
      </c>
      <c r="D1174" t="s">
        <v>185</v>
      </c>
      <c r="E1174" s="9">
        <v>266683.51480160002</v>
      </c>
      <c r="F1174" s="9">
        <v>251503.778121257</v>
      </c>
      <c r="G1174" s="9">
        <v>273297.56982222799</v>
      </c>
      <c r="H1174" s="9">
        <v>256933.39822934201</v>
      </c>
      <c r="I1174" s="21">
        <f t="shared" si="36"/>
        <v>5429.6201080850151</v>
      </c>
      <c r="J1174" s="21">
        <f t="shared" si="37"/>
        <v>6614.0550206279731</v>
      </c>
    </row>
    <row r="1175" spans="1:10" hidden="1">
      <c r="A1175" t="s">
        <v>224</v>
      </c>
      <c r="B1175" t="s">
        <v>226</v>
      </c>
      <c r="C1175" s="18">
        <v>2036</v>
      </c>
      <c r="D1175" t="s">
        <v>188</v>
      </c>
      <c r="E1175" s="9">
        <v>672021.91853857995</v>
      </c>
      <c r="F1175" s="9">
        <v>400137.42278896901</v>
      </c>
      <c r="G1175" s="9">
        <v>688194.68447559199</v>
      </c>
      <c r="H1175" s="9">
        <v>405992.65349387802</v>
      </c>
      <c r="I1175" s="21">
        <f t="shared" si="36"/>
        <v>5855.2307049090159</v>
      </c>
      <c r="J1175" s="21">
        <f t="shared" si="37"/>
        <v>16172.765937012038</v>
      </c>
    </row>
    <row r="1176" spans="1:10" hidden="1">
      <c r="A1176" t="s">
        <v>224</v>
      </c>
      <c r="B1176" t="s">
        <v>226</v>
      </c>
      <c r="C1176" s="18">
        <v>2036</v>
      </c>
      <c r="D1176" t="s">
        <v>191</v>
      </c>
      <c r="E1176" s="9">
        <v>344278.048238519</v>
      </c>
      <c r="F1176" s="9">
        <v>183866.55291050201</v>
      </c>
      <c r="G1176" s="9">
        <v>352603.07171420398</v>
      </c>
      <c r="H1176" s="9">
        <v>186417.92722248001</v>
      </c>
      <c r="I1176" s="21">
        <f t="shared" si="36"/>
        <v>2551.3743119779974</v>
      </c>
      <c r="J1176" s="21">
        <f t="shared" si="37"/>
        <v>8325.0234756849823</v>
      </c>
    </row>
    <row r="1177" spans="1:10" hidden="1">
      <c r="A1177" t="s">
        <v>224</v>
      </c>
      <c r="B1177" t="s">
        <v>226</v>
      </c>
      <c r="C1177" s="18">
        <v>2036</v>
      </c>
      <c r="D1177" t="s">
        <v>422</v>
      </c>
      <c r="E1177" s="9">
        <v>37283.284696271803</v>
      </c>
      <c r="F1177" s="9">
        <v>3578.6771837730998</v>
      </c>
      <c r="G1177" s="9">
        <v>37283.027629395598</v>
      </c>
      <c r="H1177" s="9">
        <v>3578.66006488627</v>
      </c>
      <c r="I1177" s="21">
        <f t="shared" si="36"/>
        <v>-1.7118886829848634E-2</v>
      </c>
      <c r="J1177" s="21">
        <f t="shared" si="37"/>
        <v>-0.25706687620549928</v>
      </c>
    </row>
    <row r="1178" spans="1:10" hidden="1">
      <c r="A1178" t="s">
        <v>224</v>
      </c>
      <c r="B1178" t="s">
        <v>226</v>
      </c>
      <c r="C1178" s="18">
        <v>2037</v>
      </c>
      <c r="D1178" t="s">
        <v>174</v>
      </c>
      <c r="E1178" s="9">
        <v>18006.9176192183</v>
      </c>
      <c r="F1178" s="9">
        <v>12810.9625308053</v>
      </c>
      <c r="G1178" s="9">
        <v>17971.482864064201</v>
      </c>
      <c r="H1178" s="9">
        <v>12799.479454561601</v>
      </c>
      <c r="I1178" s="21">
        <f t="shared" si="36"/>
        <v>-11.483076243699543</v>
      </c>
      <c r="J1178" s="21">
        <f t="shared" si="37"/>
        <v>-35.434755154099548</v>
      </c>
    </row>
    <row r="1179" spans="1:10" hidden="1">
      <c r="A1179" t="s">
        <v>224</v>
      </c>
      <c r="B1179" t="s">
        <v>226</v>
      </c>
      <c r="C1179" s="18">
        <v>2037</v>
      </c>
      <c r="D1179" t="s">
        <v>236</v>
      </c>
      <c r="E1179" s="9">
        <v>1185899.2087484</v>
      </c>
      <c r="F1179" s="9">
        <v>227183.79231062799</v>
      </c>
      <c r="G1179" s="9">
        <v>1185264.7438497699</v>
      </c>
      <c r="H1179" s="9">
        <v>227145.85064844001</v>
      </c>
      <c r="I1179" s="21">
        <f t="shared" si="36"/>
        <v>-37.941662187979091</v>
      </c>
      <c r="J1179" s="21">
        <f t="shared" si="37"/>
        <v>-634.46489863004535</v>
      </c>
    </row>
    <row r="1180" spans="1:10" hidden="1">
      <c r="A1180" t="s">
        <v>224</v>
      </c>
      <c r="B1180" t="s">
        <v>226</v>
      </c>
      <c r="C1180" s="18">
        <v>2037</v>
      </c>
      <c r="D1180" t="s">
        <v>182</v>
      </c>
      <c r="E1180" s="9">
        <v>121558.21323987401</v>
      </c>
      <c r="F1180" s="9">
        <v>79510.310637420698</v>
      </c>
      <c r="G1180" s="9">
        <v>124489.42976024401</v>
      </c>
      <c r="H1180" s="9">
        <v>81244.691389584303</v>
      </c>
      <c r="I1180" s="21">
        <f t="shared" si="36"/>
        <v>1734.3807521636045</v>
      </c>
      <c r="J1180" s="21">
        <f t="shared" si="37"/>
        <v>2931.2165203699988</v>
      </c>
    </row>
    <row r="1181" spans="1:10" hidden="1">
      <c r="A1181" t="s">
        <v>224</v>
      </c>
      <c r="B1181" t="s">
        <v>226</v>
      </c>
      <c r="C1181" s="18">
        <v>2037</v>
      </c>
      <c r="D1181" t="s">
        <v>185</v>
      </c>
      <c r="E1181" s="9">
        <v>266630.00267160003</v>
      </c>
      <c r="F1181" s="9">
        <v>251564.09613578601</v>
      </c>
      <c r="G1181" s="9">
        <v>273202.80227406899</v>
      </c>
      <c r="H1181" s="9">
        <v>257070.97314913399</v>
      </c>
      <c r="I1181" s="21">
        <f t="shared" si="36"/>
        <v>5506.8770133479848</v>
      </c>
      <c r="J1181" s="21">
        <f t="shared" si="37"/>
        <v>6572.7996024689637</v>
      </c>
    </row>
    <row r="1182" spans="1:10" hidden="1">
      <c r="A1182" t="s">
        <v>224</v>
      </c>
      <c r="B1182" t="s">
        <v>226</v>
      </c>
      <c r="C1182" s="18">
        <v>2037</v>
      </c>
      <c r="D1182" t="s">
        <v>188</v>
      </c>
      <c r="E1182" s="9">
        <v>681794.49057455698</v>
      </c>
      <c r="F1182" s="9">
        <v>406690.77705936099</v>
      </c>
      <c r="G1182" s="9">
        <v>698060.50212694705</v>
      </c>
      <c r="H1182" s="9">
        <v>413018.343093551</v>
      </c>
      <c r="I1182" s="21">
        <f t="shared" si="36"/>
        <v>6327.5660341900075</v>
      </c>
      <c r="J1182" s="21">
        <f t="shared" si="37"/>
        <v>16266.01155239006</v>
      </c>
    </row>
    <row r="1183" spans="1:10" hidden="1">
      <c r="A1183" t="s">
        <v>224</v>
      </c>
      <c r="B1183" t="s">
        <v>226</v>
      </c>
      <c r="C1183" s="18">
        <v>2037</v>
      </c>
      <c r="D1183" t="s">
        <v>191</v>
      </c>
      <c r="E1183" s="9">
        <v>348078.733884127</v>
      </c>
      <c r="F1183" s="9">
        <v>185077.04127698799</v>
      </c>
      <c r="G1183" s="9">
        <v>356425.67891865398</v>
      </c>
      <c r="H1183" s="9">
        <v>187788.31252848901</v>
      </c>
      <c r="I1183" s="21">
        <f t="shared" si="36"/>
        <v>2711.2712515010207</v>
      </c>
      <c r="J1183" s="21">
        <f t="shared" si="37"/>
        <v>8346.945034526987</v>
      </c>
    </row>
    <row r="1184" spans="1:10" hidden="1">
      <c r="A1184" t="s">
        <v>224</v>
      </c>
      <c r="B1184" t="s">
        <v>226</v>
      </c>
      <c r="C1184" s="18">
        <v>2037</v>
      </c>
      <c r="D1184" t="s">
        <v>422</v>
      </c>
      <c r="E1184" s="9">
        <v>36837.540917542603</v>
      </c>
      <c r="F1184" s="9">
        <v>3450.2126105973798</v>
      </c>
      <c r="G1184" s="9">
        <v>36837.277480763201</v>
      </c>
      <c r="H1184" s="9">
        <v>3450.1946557369902</v>
      </c>
      <c r="I1184" s="21">
        <f t="shared" si="36"/>
        <v>-1.7954860389636451E-2</v>
      </c>
      <c r="J1184" s="21">
        <f t="shared" si="37"/>
        <v>-0.26343677940167254</v>
      </c>
    </row>
    <row r="1185" spans="1:10" hidden="1">
      <c r="A1185" t="s">
        <v>224</v>
      </c>
      <c r="B1185" t="s">
        <v>226</v>
      </c>
      <c r="C1185" s="18">
        <v>2038</v>
      </c>
      <c r="D1185" t="s">
        <v>174</v>
      </c>
      <c r="E1185" s="9">
        <v>18606.252760208401</v>
      </c>
      <c r="F1185" s="9">
        <v>13169.945076260599</v>
      </c>
      <c r="G1185" s="9">
        <v>18564.7325343064</v>
      </c>
      <c r="H1185" s="9">
        <v>13155.6038503287</v>
      </c>
      <c r="I1185" s="21">
        <f t="shared" si="36"/>
        <v>-14.341225931899316</v>
      </c>
      <c r="J1185" s="21">
        <f t="shared" si="37"/>
        <v>-41.520225902000675</v>
      </c>
    </row>
    <row r="1186" spans="1:10" hidden="1">
      <c r="A1186" t="s">
        <v>224</v>
      </c>
      <c r="B1186" t="s">
        <v>226</v>
      </c>
      <c r="C1186" s="18">
        <v>2038</v>
      </c>
      <c r="D1186" t="s">
        <v>236</v>
      </c>
      <c r="E1186" s="9">
        <v>1197050.7609661999</v>
      </c>
      <c r="F1186" s="9">
        <v>235378.741914513</v>
      </c>
      <c r="G1186" s="9">
        <v>1196314.5451145701</v>
      </c>
      <c r="H1186" s="9">
        <v>235329.60149861901</v>
      </c>
      <c r="I1186" s="21">
        <f t="shared" si="36"/>
        <v>-49.140415893984027</v>
      </c>
      <c r="J1186" s="21">
        <f t="shared" si="37"/>
        <v>-736.21585162985139</v>
      </c>
    </row>
    <row r="1187" spans="1:10" hidden="1">
      <c r="A1187" t="s">
        <v>224</v>
      </c>
      <c r="B1187" t="s">
        <v>226</v>
      </c>
      <c r="C1187" s="18">
        <v>2038</v>
      </c>
      <c r="D1187" t="s">
        <v>182</v>
      </c>
      <c r="E1187" s="9">
        <v>123599.76527803599</v>
      </c>
      <c r="F1187" s="9">
        <v>80459.726856172099</v>
      </c>
      <c r="G1187" s="9">
        <v>126555.833855502</v>
      </c>
      <c r="H1187" s="9">
        <v>82253.930841494002</v>
      </c>
      <c r="I1187" s="21">
        <f t="shared" si="36"/>
        <v>1794.203985321903</v>
      </c>
      <c r="J1187" s="21">
        <f t="shared" si="37"/>
        <v>2956.0685774660087</v>
      </c>
    </row>
    <row r="1188" spans="1:10" hidden="1">
      <c r="A1188" t="s">
        <v>224</v>
      </c>
      <c r="B1188" t="s">
        <v>226</v>
      </c>
      <c r="C1188" s="18">
        <v>2038</v>
      </c>
      <c r="D1188" t="s">
        <v>185</v>
      </c>
      <c r="E1188" s="9">
        <v>266505.06706409401</v>
      </c>
      <c r="F1188" s="9">
        <v>251566.98707169801</v>
      </c>
      <c r="G1188" s="9">
        <v>273035.370644084</v>
      </c>
      <c r="H1188" s="9">
        <v>257130.676610817</v>
      </c>
      <c r="I1188" s="21">
        <f t="shared" si="36"/>
        <v>5563.6895391189901</v>
      </c>
      <c r="J1188" s="21">
        <f t="shared" si="37"/>
        <v>6530.3035799899953</v>
      </c>
    </row>
    <row r="1189" spans="1:10" hidden="1">
      <c r="A1189" t="s">
        <v>224</v>
      </c>
      <c r="B1189" t="s">
        <v>226</v>
      </c>
      <c r="C1189" s="18">
        <v>2038</v>
      </c>
      <c r="D1189" t="s">
        <v>188</v>
      </c>
      <c r="E1189" s="9">
        <v>692296.19929737097</v>
      </c>
      <c r="F1189" s="9">
        <v>413678.58086432202</v>
      </c>
      <c r="G1189" s="9">
        <v>708674.57496129896</v>
      </c>
      <c r="H1189" s="9">
        <v>420445.264129068</v>
      </c>
      <c r="I1189" s="21">
        <f t="shared" si="36"/>
        <v>6766.6832647459814</v>
      </c>
      <c r="J1189" s="21">
        <f t="shared" si="37"/>
        <v>16378.375663927989</v>
      </c>
    </row>
    <row r="1190" spans="1:10" hidden="1">
      <c r="A1190" t="s">
        <v>224</v>
      </c>
      <c r="B1190" t="s">
        <v>226</v>
      </c>
      <c r="C1190" s="18">
        <v>2038</v>
      </c>
      <c r="D1190" t="s">
        <v>191</v>
      </c>
      <c r="E1190" s="9">
        <v>352514.77981603902</v>
      </c>
      <c r="F1190" s="9">
        <v>186486.13963855401</v>
      </c>
      <c r="G1190" s="9">
        <v>360900.93527344998</v>
      </c>
      <c r="H1190" s="9">
        <v>189347.42226660499</v>
      </c>
      <c r="I1190" s="21">
        <f t="shared" si="36"/>
        <v>2861.2826280509762</v>
      </c>
      <c r="J1190" s="21">
        <f t="shared" si="37"/>
        <v>8386.1554574109614</v>
      </c>
    </row>
    <row r="1191" spans="1:10" hidden="1">
      <c r="A1191" t="s">
        <v>224</v>
      </c>
      <c r="B1191" t="s">
        <v>226</v>
      </c>
      <c r="C1191" s="18">
        <v>2038</v>
      </c>
      <c r="D1191" t="s">
        <v>422</v>
      </c>
      <c r="E1191" s="9">
        <v>36551.7106270761</v>
      </c>
      <c r="F1191" s="9">
        <v>3322.8392707399998</v>
      </c>
      <c r="G1191" s="9">
        <v>36551.441257778999</v>
      </c>
      <c r="H1191" s="9">
        <v>3322.8215744210102</v>
      </c>
      <c r="I1191" s="21">
        <f t="shared" si="36"/>
        <v>-1.7696318989692372E-2</v>
      </c>
      <c r="J1191" s="21">
        <f t="shared" si="37"/>
        <v>-0.26936929710063851</v>
      </c>
    </row>
    <row r="1192" spans="1:10" hidden="1">
      <c r="A1192" t="s">
        <v>224</v>
      </c>
      <c r="B1192" t="s">
        <v>226</v>
      </c>
      <c r="C1192" s="18">
        <v>2039</v>
      </c>
      <c r="D1192" t="s">
        <v>174</v>
      </c>
      <c r="E1192" s="9">
        <v>19222.298364518301</v>
      </c>
      <c r="F1192" s="9">
        <v>13534.231386929399</v>
      </c>
      <c r="G1192" s="9">
        <v>19174.345745902901</v>
      </c>
      <c r="H1192" s="9">
        <v>13516.7785061579</v>
      </c>
      <c r="I1192" s="21">
        <f t="shared" si="36"/>
        <v>-17.452880771499622</v>
      </c>
      <c r="J1192" s="21">
        <f t="shared" si="37"/>
        <v>-47.952618615399842</v>
      </c>
    </row>
    <row r="1193" spans="1:10" hidden="1">
      <c r="A1193" t="s">
        <v>224</v>
      </c>
      <c r="B1193" t="s">
        <v>226</v>
      </c>
      <c r="C1193" s="18">
        <v>2039</v>
      </c>
      <c r="D1193" t="s">
        <v>236</v>
      </c>
      <c r="E1193" s="9">
        <v>1207765.27264466</v>
      </c>
      <c r="F1193" s="9">
        <v>243545.19244981001</v>
      </c>
      <c r="G1193" s="9">
        <v>1206925.78308321</v>
      </c>
      <c r="H1193" s="9">
        <v>243483.36403446301</v>
      </c>
      <c r="I1193" s="21">
        <f t="shared" si="36"/>
        <v>-61.828415347001282</v>
      </c>
      <c r="J1193" s="21">
        <f t="shared" si="37"/>
        <v>-839.48956144996919</v>
      </c>
    </row>
    <row r="1194" spans="1:10" hidden="1">
      <c r="A1194" t="s">
        <v>224</v>
      </c>
      <c r="B1194" t="s">
        <v>226</v>
      </c>
      <c r="C1194" s="18">
        <v>2039</v>
      </c>
      <c r="D1194" t="s">
        <v>182</v>
      </c>
      <c r="E1194" s="9">
        <v>125034.926808798</v>
      </c>
      <c r="F1194" s="9">
        <v>81542.730991349294</v>
      </c>
      <c r="G1194" s="9">
        <v>128001.347826374</v>
      </c>
      <c r="H1194" s="9">
        <v>83389.180958792305</v>
      </c>
      <c r="I1194" s="21">
        <f t="shared" si="36"/>
        <v>1846.4499674430117</v>
      </c>
      <c r="J1194" s="21">
        <f t="shared" si="37"/>
        <v>2966.4210175759945</v>
      </c>
    </row>
    <row r="1195" spans="1:10" hidden="1">
      <c r="A1195" t="s">
        <v>224</v>
      </c>
      <c r="B1195" t="s">
        <v>226</v>
      </c>
      <c r="C1195" s="18">
        <v>2039</v>
      </c>
      <c r="D1195" t="s">
        <v>185</v>
      </c>
      <c r="E1195" s="9">
        <v>266482.33081213798</v>
      </c>
      <c r="F1195" s="9">
        <v>251832.902222262</v>
      </c>
      <c r="G1195" s="9">
        <v>272973.34550101002</v>
      </c>
      <c r="H1195" s="9">
        <v>257441.86914336999</v>
      </c>
      <c r="I1195" s="21">
        <f t="shared" si="36"/>
        <v>5608.966921107989</v>
      </c>
      <c r="J1195" s="21">
        <f t="shared" si="37"/>
        <v>6491.0146888720337</v>
      </c>
    </row>
    <row r="1196" spans="1:10" hidden="1">
      <c r="A1196" t="s">
        <v>224</v>
      </c>
      <c r="B1196" t="s">
        <v>226</v>
      </c>
      <c r="C1196" s="18">
        <v>2039</v>
      </c>
      <c r="D1196" t="s">
        <v>188</v>
      </c>
      <c r="E1196" s="9">
        <v>699177.17284615303</v>
      </c>
      <c r="F1196" s="9">
        <v>421264.183130441</v>
      </c>
      <c r="G1196" s="9">
        <v>715580.88708538504</v>
      </c>
      <c r="H1196" s="9">
        <v>428444.56848174502</v>
      </c>
      <c r="I1196" s="21">
        <f t="shared" si="36"/>
        <v>7180.3853513040231</v>
      </c>
      <c r="J1196" s="21">
        <f t="shared" si="37"/>
        <v>16403.714239232009</v>
      </c>
    </row>
    <row r="1197" spans="1:10" hidden="1">
      <c r="A1197" t="s">
        <v>224</v>
      </c>
      <c r="B1197" t="s">
        <v>226</v>
      </c>
      <c r="C1197" s="18">
        <v>2039</v>
      </c>
      <c r="D1197" t="s">
        <v>191</v>
      </c>
      <c r="E1197" s="9">
        <v>354601.47072491603</v>
      </c>
      <c r="F1197" s="9">
        <v>188925.62130045399</v>
      </c>
      <c r="G1197" s="9">
        <v>362969.198365508</v>
      </c>
      <c r="H1197" s="9">
        <v>191929.610855123</v>
      </c>
      <c r="I1197" s="21">
        <f t="shared" si="36"/>
        <v>3003.9895546690095</v>
      </c>
      <c r="J1197" s="21">
        <f t="shared" si="37"/>
        <v>8367.7276405919692</v>
      </c>
    </row>
    <row r="1198" spans="1:10" hidden="1">
      <c r="A1198" t="s">
        <v>224</v>
      </c>
      <c r="B1198" t="s">
        <v>226</v>
      </c>
      <c r="C1198" s="18">
        <v>2039</v>
      </c>
      <c r="D1198" t="s">
        <v>422</v>
      </c>
      <c r="E1198" s="9">
        <v>36178.511280822102</v>
      </c>
      <c r="F1198" s="9">
        <v>3198.0393258276899</v>
      </c>
      <c r="G1198" s="9">
        <v>36178.223844718399</v>
      </c>
      <c r="H1198" s="9">
        <v>3198.0230538302199</v>
      </c>
      <c r="I1198" s="21">
        <f t="shared" si="36"/>
        <v>-1.6271997470084898E-2</v>
      </c>
      <c r="J1198" s="21">
        <f t="shared" si="37"/>
        <v>-0.28743610370293027</v>
      </c>
    </row>
    <row r="1199" spans="1:10" hidden="1">
      <c r="A1199" t="s">
        <v>224</v>
      </c>
      <c r="B1199" t="s">
        <v>226</v>
      </c>
      <c r="C1199" s="18">
        <v>2040</v>
      </c>
      <c r="D1199" t="s">
        <v>174</v>
      </c>
      <c r="E1199" s="9">
        <v>19860.285236693398</v>
      </c>
      <c r="F1199" s="9">
        <v>13900.460354050199</v>
      </c>
      <c r="G1199" s="9">
        <v>19805.505805764798</v>
      </c>
      <c r="H1199" s="9">
        <v>13879.6732870407</v>
      </c>
      <c r="I1199" s="21">
        <f t="shared" si="36"/>
        <v>-20.787067009499879</v>
      </c>
      <c r="J1199" s="21">
        <f t="shared" si="37"/>
        <v>-54.77943092860005</v>
      </c>
    </row>
    <row r="1200" spans="1:10" hidden="1">
      <c r="A1200" t="s">
        <v>224</v>
      </c>
      <c r="B1200" t="s">
        <v>226</v>
      </c>
      <c r="C1200" s="18">
        <v>2040</v>
      </c>
      <c r="D1200" t="s">
        <v>236</v>
      </c>
      <c r="E1200" s="9">
        <v>1217973.3874780301</v>
      </c>
      <c r="F1200" s="9">
        <v>251667.84047401301</v>
      </c>
      <c r="G1200" s="9">
        <v>1217029.49333677</v>
      </c>
      <c r="H1200" s="9">
        <v>251591.89866486701</v>
      </c>
      <c r="I1200" s="21">
        <f t="shared" si="36"/>
        <v>-75.941809145995649</v>
      </c>
      <c r="J1200" s="21">
        <f t="shared" si="37"/>
        <v>-943.89414126006886</v>
      </c>
    </row>
    <row r="1201" spans="1:10" hidden="1">
      <c r="A1201" t="s">
        <v>224</v>
      </c>
      <c r="B1201" t="s">
        <v>226</v>
      </c>
      <c r="C1201" s="18">
        <v>2040</v>
      </c>
      <c r="D1201" t="s">
        <v>182</v>
      </c>
      <c r="E1201" s="9">
        <v>127087.53772509799</v>
      </c>
      <c r="F1201" s="9">
        <v>82541.247512295799</v>
      </c>
      <c r="G1201" s="9">
        <v>130079.117811465</v>
      </c>
      <c r="H1201" s="9">
        <v>84431.891175836907</v>
      </c>
      <c r="I1201" s="21">
        <f t="shared" si="36"/>
        <v>1890.6436635411083</v>
      </c>
      <c r="J1201" s="21">
        <f t="shared" si="37"/>
        <v>2991.5800863670011</v>
      </c>
    </row>
    <row r="1202" spans="1:10" hidden="1">
      <c r="A1202" t="s">
        <v>224</v>
      </c>
      <c r="B1202" t="s">
        <v>226</v>
      </c>
      <c r="C1202" s="18">
        <v>2040</v>
      </c>
      <c r="D1202" t="s">
        <v>185</v>
      </c>
      <c r="E1202" s="9">
        <v>266323.39051118202</v>
      </c>
      <c r="F1202" s="9">
        <v>251812.56644846001</v>
      </c>
      <c r="G1202" s="9">
        <v>272772.69297753199</v>
      </c>
      <c r="H1202" s="9">
        <v>257451.80463236</v>
      </c>
      <c r="I1202" s="21">
        <f t="shared" si="36"/>
        <v>5639.2381838999863</v>
      </c>
      <c r="J1202" s="21">
        <f t="shared" si="37"/>
        <v>6449.3024663499673</v>
      </c>
    </row>
    <row r="1203" spans="1:10" hidden="1">
      <c r="A1203" t="s">
        <v>224</v>
      </c>
      <c r="B1203" t="s">
        <v>226</v>
      </c>
      <c r="C1203" s="18">
        <v>2040</v>
      </c>
      <c r="D1203" t="s">
        <v>188</v>
      </c>
      <c r="E1203" s="9">
        <v>708567.38273238798</v>
      </c>
      <c r="F1203" s="9">
        <v>427647.67403204797</v>
      </c>
      <c r="G1203" s="9">
        <v>725057.85135654395</v>
      </c>
      <c r="H1203" s="9">
        <v>435208.84098996199</v>
      </c>
      <c r="I1203" s="21">
        <f t="shared" si="36"/>
        <v>7561.1669579140143</v>
      </c>
      <c r="J1203" s="21">
        <f t="shared" si="37"/>
        <v>16490.468624155968</v>
      </c>
    </row>
    <row r="1204" spans="1:10" hidden="1">
      <c r="A1204" t="s">
        <v>224</v>
      </c>
      <c r="B1204" t="s">
        <v>226</v>
      </c>
      <c r="C1204" s="18">
        <v>2040</v>
      </c>
      <c r="D1204" t="s">
        <v>191</v>
      </c>
      <c r="E1204" s="9">
        <v>358323.24964618502</v>
      </c>
      <c r="F1204" s="9">
        <v>190716.05069407501</v>
      </c>
      <c r="G1204" s="9">
        <v>366714.04580788402</v>
      </c>
      <c r="H1204" s="9">
        <v>193853.25074776399</v>
      </c>
      <c r="I1204" s="21">
        <f t="shared" si="36"/>
        <v>3137.2000536889827</v>
      </c>
      <c r="J1204" s="21">
        <f t="shared" si="37"/>
        <v>8390.7961616989924</v>
      </c>
    </row>
    <row r="1205" spans="1:10" hidden="1">
      <c r="A1205" t="s">
        <v>224</v>
      </c>
      <c r="B1205" t="s">
        <v>226</v>
      </c>
      <c r="C1205" s="18">
        <v>2040</v>
      </c>
      <c r="D1205" t="s">
        <v>422</v>
      </c>
      <c r="E1205" s="9">
        <v>36005.331586153399</v>
      </c>
      <c r="F1205" s="9">
        <v>3069.26694480059</v>
      </c>
      <c r="G1205" s="9">
        <v>36005.028086341903</v>
      </c>
      <c r="H1205" s="9">
        <v>3069.2518935015801</v>
      </c>
      <c r="I1205" s="21">
        <f t="shared" si="36"/>
        <v>-1.5051299009883223E-2</v>
      </c>
      <c r="J1205" s="21">
        <f t="shared" si="37"/>
        <v>-0.30349981149629457</v>
      </c>
    </row>
    <row r="1206" spans="1:10" hidden="1">
      <c r="A1206" t="s">
        <v>224</v>
      </c>
      <c r="B1206" t="s">
        <v>226</v>
      </c>
      <c r="C1206" s="18">
        <v>2041</v>
      </c>
      <c r="D1206" t="s">
        <v>174</v>
      </c>
      <c r="E1206" s="9">
        <v>20515.612508096499</v>
      </c>
      <c r="F1206" s="9">
        <v>14273.9000541162</v>
      </c>
      <c r="G1206" s="9">
        <v>20453.6267543422</v>
      </c>
      <c r="H1206" s="9">
        <v>14249.536455216699</v>
      </c>
      <c r="I1206" s="21">
        <f t="shared" si="36"/>
        <v>-24.363598899501085</v>
      </c>
      <c r="J1206" s="21">
        <f t="shared" si="37"/>
        <v>-61.985753754299367</v>
      </c>
    </row>
    <row r="1207" spans="1:10" hidden="1">
      <c r="A1207" t="s">
        <v>224</v>
      </c>
      <c r="B1207" t="s">
        <v>226</v>
      </c>
      <c r="C1207" s="18">
        <v>2041</v>
      </c>
      <c r="D1207" t="s">
        <v>236</v>
      </c>
      <c r="E1207" s="9">
        <v>1227673.64727015</v>
      </c>
      <c r="F1207" s="9">
        <v>259768.678017884</v>
      </c>
      <c r="G1207" s="9">
        <v>1226624.8107670301</v>
      </c>
      <c r="H1207" s="9">
        <v>259677.195752453</v>
      </c>
      <c r="I1207" s="21">
        <f t="shared" si="36"/>
        <v>-91.482265430997359</v>
      </c>
      <c r="J1207" s="21">
        <f t="shared" si="37"/>
        <v>-1048.8365031199064</v>
      </c>
    </row>
    <row r="1208" spans="1:10" hidden="1">
      <c r="A1208" t="s">
        <v>224</v>
      </c>
      <c r="B1208" t="s">
        <v>226</v>
      </c>
      <c r="C1208" s="18">
        <v>2041</v>
      </c>
      <c r="D1208" t="s">
        <v>182</v>
      </c>
      <c r="E1208" s="9">
        <v>129211.420894129</v>
      </c>
      <c r="F1208" s="9">
        <v>83603.608637651894</v>
      </c>
      <c r="G1208" s="9">
        <v>132229.629710176</v>
      </c>
      <c r="H1208" s="9">
        <v>85532.319590607702</v>
      </c>
      <c r="I1208" s="21">
        <f t="shared" si="36"/>
        <v>1928.7109529558074</v>
      </c>
      <c r="J1208" s="21">
        <f t="shared" si="37"/>
        <v>3018.2088160470012</v>
      </c>
    </row>
    <row r="1209" spans="1:10" hidden="1">
      <c r="A1209" t="s">
        <v>224</v>
      </c>
      <c r="B1209" t="s">
        <v>226</v>
      </c>
      <c r="C1209" s="18">
        <v>2041</v>
      </c>
      <c r="D1209" t="s">
        <v>185</v>
      </c>
      <c r="E1209" s="9">
        <v>266201.99834598001</v>
      </c>
      <c r="F1209" s="9">
        <v>251730.931318371</v>
      </c>
      <c r="G1209" s="9">
        <v>272611.75367129099</v>
      </c>
      <c r="H1209" s="9">
        <v>257389.63175428601</v>
      </c>
      <c r="I1209" s="21">
        <f t="shared" si="36"/>
        <v>5658.7004359150014</v>
      </c>
      <c r="J1209" s="21">
        <f t="shared" si="37"/>
        <v>6409.75532531098</v>
      </c>
    </row>
    <row r="1210" spans="1:10" hidden="1">
      <c r="A1210" t="s">
        <v>224</v>
      </c>
      <c r="B1210" t="s">
        <v>226</v>
      </c>
      <c r="C1210" s="18">
        <v>2041</v>
      </c>
      <c r="D1210" t="s">
        <v>188</v>
      </c>
      <c r="E1210" s="9">
        <v>718044.43740146805</v>
      </c>
      <c r="F1210" s="9">
        <v>434409.30419884901</v>
      </c>
      <c r="G1210" s="9">
        <v>734627.74007540499</v>
      </c>
      <c r="H1210" s="9">
        <v>442324.30640679202</v>
      </c>
      <c r="I1210" s="21">
        <f t="shared" si="36"/>
        <v>7915.0022079430055</v>
      </c>
      <c r="J1210" s="21">
        <f t="shared" si="37"/>
        <v>16583.302673936938</v>
      </c>
    </row>
    <row r="1211" spans="1:10" hidden="1">
      <c r="A1211" t="s">
        <v>224</v>
      </c>
      <c r="B1211" t="s">
        <v>226</v>
      </c>
      <c r="C1211" s="18">
        <v>2041</v>
      </c>
      <c r="D1211" t="s">
        <v>191</v>
      </c>
      <c r="E1211" s="9">
        <v>362021.06767537497</v>
      </c>
      <c r="F1211" s="9">
        <v>192665.28951006001</v>
      </c>
      <c r="G1211" s="9">
        <v>370436.97560679301</v>
      </c>
      <c r="H1211" s="9">
        <v>195926.90720139601</v>
      </c>
      <c r="I1211" s="21">
        <f t="shared" si="36"/>
        <v>3261.6176913359959</v>
      </c>
      <c r="J1211" s="21">
        <f t="shared" si="37"/>
        <v>8415.9079314180417</v>
      </c>
    </row>
    <row r="1212" spans="1:10" hidden="1">
      <c r="A1212" t="s">
        <v>224</v>
      </c>
      <c r="B1212" t="s">
        <v>226</v>
      </c>
      <c r="C1212" s="18">
        <v>2041</v>
      </c>
      <c r="D1212" t="s">
        <v>422</v>
      </c>
      <c r="E1212" s="9">
        <v>35901.076838622197</v>
      </c>
      <c r="F1212" s="9">
        <v>2944.02953775675</v>
      </c>
      <c r="G1212" s="9">
        <v>35900.765054072101</v>
      </c>
      <c r="H1212" s="9">
        <v>2944.01552271229</v>
      </c>
      <c r="I1212" s="21">
        <f t="shared" si="36"/>
        <v>-1.4015044459938508E-2</v>
      </c>
      <c r="J1212" s="21">
        <f t="shared" si="37"/>
        <v>-0.31178455009649042</v>
      </c>
    </row>
    <row r="1213" spans="1:10" hidden="1">
      <c r="A1213" t="s">
        <v>224</v>
      </c>
      <c r="B1213" t="s">
        <v>226</v>
      </c>
      <c r="C1213" s="18">
        <v>2042</v>
      </c>
      <c r="D1213" t="s">
        <v>174</v>
      </c>
      <c r="E1213" s="9">
        <v>21185.131153493301</v>
      </c>
      <c r="F1213" s="9">
        <v>14654.5156993864</v>
      </c>
      <c r="G1213" s="9">
        <v>21115.581702688502</v>
      </c>
      <c r="H1213" s="9">
        <v>14626.319006600401</v>
      </c>
      <c r="I1213" s="21">
        <f t="shared" si="36"/>
        <v>-28.196692785999403</v>
      </c>
      <c r="J1213" s="21">
        <f t="shared" si="37"/>
        <v>-69.549450804799562</v>
      </c>
    </row>
    <row r="1214" spans="1:10" hidden="1">
      <c r="A1214" t="s">
        <v>224</v>
      </c>
      <c r="B1214" t="s">
        <v>226</v>
      </c>
      <c r="C1214" s="18">
        <v>2042</v>
      </c>
      <c r="D1214" t="s">
        <v>236</v>
      </c>
      <c r="E1214" s="9">
        <v>1236857.6288239299</v>
      </c>
      <c r="F1214" s="9">
        <v>267887.19124410901</v>
      </c>
      <c r="G1214" s="9">
        <v>1235703.75022274</v>
      </c>
      <c r="H1214" s="9">
        <v>267778.732534162</v>
      </c>
      <c r="I1214" s="21">
        <f t="shared" si="36"/>
        <v>-108.45870994700817</v>
      </c>
      <c r="J1214" s="21">
        <f t="shared" si="37"/>
        <v>-1153.8786011899356</v>
      </c>
    </row>
    <row r="1215" spans="1:10" hidden="1">
      <c r="A1215" t="s">
        <v>224</v>
      </c>
      <c r="B1215" t="s">
        <v>226</v>
      </c>
      <c r="C1215" s="18">
        <v>2042</v>
      </c>
      <c r="D1215" t="s">
        <v>182</v>
      </c>
      <c r="E1215" s="9">
        <v>131307.36892222601</v>
      </c>
      <c r="F1215" s="9">
        <v>84694.9643793375</v>
      </c>
      <c r="G1215" s="9">
        <v>134351.62604870801</v>
      </c>
      <c r="H1215" s="9">
        <v>86657.313221329707</v>
      </c>
      <c r="I1215" s="21">
        <f t="shared" si="36"/>
        <v>1962.3488419922069</v>
      </c>
      <c r="J1215" s="21">
        <f t="shared" si="37"/>
        <v>3044.2571264819999</v>
      </c>
    </row>
    <row r="1216" spans="1:10" hidden="1">
      <c r="A1216" t="s">
        <v>224</v>
      </c>
      <c r="B1216" t="s">
        <v>226</v>
      </c>
      <c r="C1216" s="18">
        <v>2042</v>
      </c>
      <c r="D1216" t="s">
        <v>185</v>
      </c>
      <c r="E1216" s="9">
        <v>265913.47513544501</v>
      </c>
      <c r="F1216" s="9">
        <v>251529.83135339999</v>
      </c>
      <c r="G1216" s="9">
        <v>272280.658720601</v>
      </c>
      <c r="H1216" s="9">
        <v>257198.34975601899</v>
      </c>
      <c r="I1216" s="21">
        <f t="shared" si="36"/>
        <v>5668.5184026189963</v>
      </c>
      <c r="J1216" s="21">
        <f t="shared" si="37"/>
        <v>6367.1835851559881</v>
      </c>
    </row>
    <row r="1217" spans="1:10" hidden="1">
      <c r="A1217" t="s">
        <v>224</v>
      </c>
      <c r="B1217" t="s">
        <v>226</v>
      </c>
      <c r="C1217" s="18">
        <v>2042</v>
      </c>
      <c r="D1217" t="s">
        <v>188</v>
      </c>
      <c r="E1217" s="9">
        <v>727633.31751147402</v>
      </c>
      <c r="F1217" s="9">
        <v>441356.11125778902</v>
      </c>
      <c r="G1217" s="9">
        <v>744313.272667757</v>
      </c>
      <c r="H1217" s="9">
        <v>449601.26122749498</v>
      </c>
      <c r="I1217" s="21">
        <f t="shared" si="36"/>
        <v>8245.1499697059626</v>
      </c>
      <c r="J1217" s="21">
        <f t="shared" si="37"/>
        <v>16679.955156282987</v>
      </c>
    </row>
    <row r="1218" spans="1:10" hidden="1">
      <c r="A1218" t="s">
        <v>224</v>
      </c>
      <c r="B1218" t="s">
        <v>226</v>
      </c>
      <c r="C1218" s="18">
        <v>2042</v>
      </c>
      <c r="D1218" t="s">
        <v>191</v>
      </c>
      <c r="E1218" s="9">
        <v>365970.616329087</v>
      </c>
      <c r="F1218" s="9">
        <v>194703.673410455</v>
      </c>
      <c r="G1218" s="9">
        <v>374419.26204563602</v>
      </c>
      <c r="H1218" s="9">
        <v>198082.81410371399</v>
      </c>
      <c r="I1218" s="21">
        <f t="shared" ref="I1218:I1281" si="38">H1218-F1218</f>
        <v>3379.1406932589889</v>
      </c>
      <c r="J1218" s="21">
        <f t="shared" ref="J1218:J1281" si="39">G1218-E1218</f>
        <v>8448.6457165490137</v>
      </c>
    </row>
    <row r="1219" spans="1:10" hidden="1">
      <c r="A1219" t="s">
        <v>224</v>
      </c>
      <c r="B1219" t="s">
        <v>226</v>
      </c>
      <c r="C1219" s="18">
        <v>2042</v>
      </c>
      <c r="D1219" t="s">
        <v>422</v>
      </c>
      <c r="E1219" s="9">
        <v>35517.156451862204</v>
      </c>
      <c r="F1219" s="9">
        <v>2820.5252835108299</v>
      </c>
      <c r="G1219" s="9">
        <v>35516.840593533198</v>
      </c>
      <c r="H1219" s="9">
        <v>2820.5122126446799</v>
      </c>
      <c r="I1219" s="21">
        <f t="shared" si="38"/>
        <v>-1.3070866149973881E-2</v>
      </c>
      <c r="J1219" s="21">
        <f t="shared" si="39"/>
        <v>-0.31585832900600508</v>
      </c>
    </row>
    <row r="1220" spans="1:10" hidden="1">
      <c r="A1220" t="s">
        <v>224</v>
      </c>
      <c r="B1220" t="s">
        <v>226</v>
      </c>
      <c r="C1220" s="18">
        <v>2043</v>
      </c>
      <c r="D1220" t="s">
        <v>174</v>
      </c>
      <c r="E1220" s="9">
        <v>21866.594298369699</v>
      </c>
      <c r="F1220" s="9">
        <v>15036.3582647774</v>
      </c>
      <c r="G1220" s="9">
        <v>21789.125656033499</v>
      </c>
      <c r="H1220" s="9">
        <v>15004.086115812899</v>
      </c>
      <c r="I1220" s="21">
        <f t="shared" si="38"/>
        <v>-32.272148964500957</v>
      </c>
      <c r="J1220" s="21">
        <f t="shared" si="39"/>
        <v>-77.468642336199991</v>
      </c>
    </row>
    <row r="1221" spans="1:10" hidden="1">
      <c r="A1221" t="s">
        <v>224</v>
      </c>
      <c r="B1221" t="s">
        <v>226</v>
      </c>
      <c r="C1221" s="18">
        <v>2043</v>
      </c>
      <c r="D1221" t="s">
        <v>236</v>
      </c>
      <c r="E1221" s="9">
        <v>1245505.20271095</v>
      </c>
      <c r="F1221" s="9">
        <v>276003.83466288802</v>
      </c>
      <c r="G1221" s="9">
        <v>1244246.5115360599</v>
      </c>
      <c r="H1221" s="9">
        <v>275876.99548631802</v>
      </c>
      <c r="I1221" s="21">
        <f t="shared" si="38"/>
        <v>-126.83917657000711</v>
      </c>
      <c r="J1221" s="21">
        <f t="shared" si="39"/>
        <v>-1258.6911748901475</v>
      </c>
    </row>
    <row r="1222" spans="1:10" hidden="1">
      <c r="A1222" t="s">
        <v>224</v>
      </c>
      <c r="B1222" t="s">
        <v>226</v>
      </c>
      <c r="C1222" s="18">
        <v>2043</v>
      </c>
      <c r="D1222" t="s">
        <v>182</v>
      </c>
      <c r="E1222" s="9">
        <v>133528.64571747201</v>
      </c>
      <c r="F1222" s="9">
        <v>85787.2605617847</v>
      </c>
      <c r="G1222" s="9">
        <v>136601.974960575</v>
      </c>
      <c r="H1222" s="9">
        <v>87779.034425801001</v>
      </c>
      <c r="I1222" s="21">
        <f t="shared" si="38"/>
        <v>1991.7738640163006</v>
      </c>
      <c r="J1222" s="21">
        <f t="shared" si="39"/>
        <v>3073.329243102984</v>
      </c>
    </row>
    <row r="1223" spans="1:10" hidden="1">
      <c r="A1223" t="s">
        <v>224</v>
      </c>
      <c r="B1223" t="s">
        <v>226</v>
      </c>
      <c r="C1223" s="18">
        <v>2043</v>
      </c>
      <c r="D1223" t="s">
        <v>185</v>
      </c>
      <c r="E1223" s="9">
        <v>265370.25843209802</v>
      </c>
      <c r="F1223" s="9">
        <v>251109.68527783101</v>
      </c>
      <c r="G1223" s="9">
        <v>271689.79422675102</v>
      </c>
      <c r="H1223" s="9">
        <v>256777.58715706799</v>
      </c>
      <c r="I1223" s="21">
        <f t="shared" si="38"/>
        <v>5667.9018792369752</v>
      </c>
      <c r="J1223" s="21">
        <f t="shared" si="39"/>
        <v>6319.5357946529984</v>
      </c>
    </row>
    <row r="1224" spans="1:10" hidden="1">
      <c r="A1224" t="s">
        <v>224</v>
      </c>
      <c r="B1224" t="s">
        <v>226</v>
      </c>
      <c r="C1224" s="18">
        <v>2043</v>
      </c>
      <c r="D1224" t="s">
        <v>188</v>
      </c>
      <c r="E1224" s="9">
        <v>737584.82787882094</v>
      </c>
      <c r="F1224" s="9">
        <v>448365.04621068999</v>
      </c>
      <c r="G1224" s="9">
        <v>754370.89241350198</v>
      </c>
      <c r="H1224" s="9">
        <v>456915.72204617201</v>
      </c>
      <c r="I1224" s="21">
        <f t="shared" si="38"/>
        <v>8550.6758354820195</v>
      </c>
      <c r="J1224" s="21">
        <f t="shared" si="39"/>
        <v>16786.064534681034</v>
      </c>
    </row>
    <row r="1225" spans="1:10" hidden="1">
      <c r="A1225" t="s">
        <v>224</v>
      </c>
      <c r="B1225" t="s">
        <v>226</v>
      </c>
      <c r="C1225" s="18">
        <v>2043</v>
      </c>
      <c r="D1225" t="s">
        <v>191</v>
      </c>
      <c r="E1225" s="9">
        <v>370274.920646274</v>
      </c>
      <c r="F1225" s="9">
        <v>196714.65981380601</v>
      </c>
      <c r="G1225" s="9">
        <v>378766.53451535699</v>
      </c>
      <c r="H1225" s="9">
        <v>200204.274251736</v>
      </c>
      <c r="I1225" s="21">
        <f t="shared" si="38"/>
        <v>3489.6144379299949</v>
      </c>
      <c r="J1225" s="21">
        <f t="shared" si="39"/>
        <v>8491.6138690829976</v>
      </c>
    </row>
    <row r="1226" spans="1:10" hidden="1">
      <c r="A1226" t="s">
        <v>224</v>
      </c>
      <c r="B1226" t="s">
        <v>226</v>
      </c>
      <c r="C1226" s="18">
        <v>2043</v>
      </c>
      <c r="D1226" t="s">
        <v>422</v>
      </c>
      <c r="E1226" s="9">
        <v>35329.088089468103</v>
      </c>
      <c r="F1226" s="9">
        <v>2698.3431076592001</v>
      </c>
      <c r="G1226" s="9">
        <v>35328.773203308199</v>
      </c>
      <c r="H1226" s="9">
        <v>2698.3309296050402</v>
      </c>
      <c r="I1226" s="21">
        <f t="shared" si="38"/>
        <v>-1.2178054159903695E-2</v>
      </c>
      <c r="J1226" s="21">
        <f t="shared" si="39"/>
        <v>-0.31488615990383551</v>
      </c>
    </row>
    <row r="1227" spans="1:10" hidden="1">
      <c r="A1227" t="s">
        <v>224</v>
      </c>
      <c r="B1227" t="s">
        <v>226</v>
      </c>
      <c r="C1227" s="18">
        <v>2044</v>
      </c>
      <c r="D1227" t="s">
        <v>174</v>
      </c>
      <c r="E1227" s="9">
        <v>22558.136444071501</v>
      </c>
      <c r="F1227" s="9">
        <v>15425.2236906126</v>
      </c>
      <c r="G1227" s="9">
        <v>22472.405778779801</v>
      </c>
      <c r="H1227" s="9">
        <v>15388.638261887199</v>
      </c>
      <c r="I1227" s="21">
        <f t="shared" si="38"/>
        <v>-36.585428725400561</v>
      </c>
      <c r="J1227" s="21">
        <f t="shared" si="39"/>
        <v>-85.730665291699552</v>
      </c>
    </row>
    <row r="1228" spans="1:10" hidden="1">
      <c r="A1228" t="s">
        <v>224</v>
      </c>
      <c r="B1228" t="s">
        <v>226</v>
      </c>
      <c r="C1228" s="18">
        <v>2044</v>
      </c>
      <c r="D1228" t="s">
        <v>236</v>
      </c>
      <c r="E1228" s="9">
        <v>1253882.7643429399</v>
      </c>
      <c r="F1228" s="9">
        <v>284048.66128931398</v>
      </c>
      <c r="G1228" s="9">
        <v>1252519.7576166999</v>
      </c>
      <c r="H1228" s="9">
        <v>283902.05041687097</v>
      </c>
      <c r="I1228" s="21">
        <f t="shared" si="38"/>
        <v>-146.6108724430087</v>
      </c>
      <c r="J1228" s="21">
        <f t="shared" si="39"/>
        <v>-1363.0067262400407</v>
      </c>
    </row>
    <row r="1229" spans="1:10" hidden="1">
      <c r="A1229" t="s">
        <v>224</v>
      </c>
      <c r="B1229" t="s">
        <v>226</v>
      </c>
      <c r="C1229" s="18">
        <v>2044</v>
      </c>
      <c r="D1229" t="s">
        <v>182</v>
      </c>
      <c r="E1229" s="9">
        <v>135041.768497832</v>
      </c>
      <c r="F1229" s="9">
        <v>86894.632946679907</v>
      </c>
      <c r="G1229" s="9">
        <v>138127.80749224901</v>
      </c>
      <c r="H1229" s="9">
        <v>88912.446286897801</v>
      </c>
      <c r="I1229" s="21">
        <f t="shared" si="38"/>
        <v>2017.8133402178937</v>
      </c>
      <c r="J1229" s="21">
        <f t="shared" si="39"/>
        <v>3086.038994417002</v>
      </c>
    </row>
    <row r="1230" spans="1:10" hidden="1">
      <c r="A1230" t="s">
        <v>224</v>
      </c>
      <c r="B1230" t="s">
        <v>226</v>
      </c>
      <c r="C1230" s="18">
        <v>2044</v>
      </c>
      <c r="D1230" t="s">
        <v>185</v>
      </c>
      <c r="E1230" s="9">
        <v>264710.81104488601</v>
      </c>
      <c r="F1230" s="9">
        <v>250773.37059625701</v>
      </c>
      <c r="G1230" s="9">
        <v>270981.060601887</v>
      </c>
      <c r="H1230" s="9">
        <v>256436.399818879</v>
      </c>
      <c r="I1230" s="21">
        <f t="shared" si="38"/>
        <v>5663.0292226219899</v>
      </c>
      <c r="J1230" s="21">
        <f t="shared" si="39"/>
        <v>6270.2495570009924</v>
      </c>
    </row>
    <row r="1231" spans="1:10" hidden="1">
      <c r="A1231" t="s">
        <v>224</v>
      </c>
      <c r="B1231" t="s">
        <v>226</v>
      </c>
      <c r="C1231" s="18">
        <v>2044</v>
      </c>
      <c r="D1231" t="s">
        <v>188</v>
      </c>
      <c r="E1231" s="9">
        <v>743942.41598383698</v>
      </c>
      <c r="F1231" s="9">
        <v>455401.58231788198</v>
      </c>
      <c r="G1231" s="9">
        <v>760751.52916181902</v>
      </c>
      <c r="H1231" s="9">
        <v>464236.62382849702</v>
      </c>
      <c r="I1231" s="21">
        <f t="shared" si="38"/>
        <v>8835.0415106150322</v>
      </c>
      <c r="J1231" s="21">
        <f t="shared" si="39"/>
        <v>16809.113177982043</v>
      </c>
    </row>
    <row r="1232" spans="1:10" hidden="1">
      <c r="A1232" t="s">
        <v>224</v>
      </c>
      <c r="B1232" t="s">
        <v>226</v>
      </c>
      <c r="C1232" s="18">
        <v>2044</v>
      </c>
      <c r="D1232" t="s">
        <v>191</v>
      </c>
      <c r="E1232" s="9">
        <v>372274.76370830397</v>
      </c>
      <c r="F1232" s="9">
        <v>199169.46648939801</v>
      </c>
      <c r="G1232" s="9">
        <v>380754.51437457599</v>
      </c>
      <c r="H1232" s="9">
        <v>202762.43540540201</v>
      </c>
      <c r="I1232" s="21">
        <f t="shared" si="38"/>
        <v>3592.9689160039998</v>
      </c>
      <c r="J1232" s="21">
        <f t="shared" si="39"/>
        <v>8479.7506662720116</v>
      </c>
    </row>
    <row r="1233" spans="1:10" hidden="1">
      <c r="A1233" t="s">
        <v>224</v>
      </c>
      <c r="B1233" t="s">
        <v>226</v>
      </c>
      <c r="C1233" s="18">
        <v>2044</v>
      </c>
      <c r="D1233" t="s">
        <v>422</v>
      </c>
      <c r="E1233" s="9">
        <v>35046.990469434</v>
      </c>
      <c r="F1233" s="9">
        <v>2573.8030211509199</v>
      </c>
      <c r="G1233" s="9">
        <v>35046.705207959298</v>
      </c>
      <c r="H1233" s="9">
        <v>2573.7926243052102</v>
      </c>
      <c r="I1233" s="21">
        <f t="shared" si="38"/>
        <v>-1.039684570969257E-2</v>
      </c>
      <c r="J1233" s="21">
        <f t="shared" si="39"/>
        <v>-0.28526147470256547</v>
      </c>
    </row>
    <row r="1234" spans="1:10" hidden="1">
      <c r="A1234" t="s">
        <v>224</v>
      </c>
      <c r="B1234" t="s">
        <v>226</v>
      </c>
      <c r="C1234" s="18">
        <v>2045</v>
      </c>
      <c r="D1234" t="s">
        <v>174</v>
      </c>
      <c r="E1234" s="9">
        <v>23261.283497361801</v>
      </c>
      <c r="F1234" s="9">
        <v>15812.8003170836</v>
      </c>
      <c r="G1234" s="9">
        <v>23166.945688051499</v>
      </c>
      <c r="H1234" s="9">
        <v>15771.7189092791</v>
      </c>
      <c r="I1234" s="21">
        <f t="shared" si="38"/>
        <v>-41.081407804500486</v>
      </c>
      <c r="J1234" s="21">
        <f t="shared" si="39"/>
        <v>-94.337809310301964</v>
      </c>
    </row>
    <row r="1235" spans="1:10" hidden="1">
      <c r="A1235" t="s">
        <v>224</v>
      </c>
      <c r="B1235" t="s">
        <v>226</v>
      </c>
      <c r="C1235" s="18">
        <v>2045</v>
      </c>
      <c r="D1235" t="s">
        <v>236</v>
      </c>
      <c r="E1235" s="9">
        <v>1262059.45252054</v>
      </c>
      <c r="F1235" s="9">
        <v>291989.69154592301</v>
      </c>
      <c r="G1235" s="9">
        <v>1260592.98702146</v>
      </c>
      <c r="H1235" s="9">
        <v>291822.02754025703</v>
      </c>
      <c r="I1235" s="21">
        <f t="shared" si="38"/>
        <v>-167.66400566598168</v>
      </c>
      <c r="J1235" s="21">
        <f t="shared" si="39"/>
        <v>-1466.4654990800191</v>
      </c>
    </row>
    <row r="1236" spans="1:10" hidden="1">
      <c r="A1236" t="s">
        <v>224</v>
      </c>
      <c r="B1236" t="s">
        <v>226</v>
      </c>
      <c r="C1236" s="18">
        <v>2045</v>
      </c>
      <c r="D1236" t="s">
        <v>182</v>
      </c>
      <c r="E1236" s="9">
        <v>137062.35043029001</v>
      </c>
      <c r="F1236" s="9">
        <v>87999.875155473303</v>
      </c>
      <c r="G1236" s="9">
        <v>140172.77481552499</v>
      </c>
      <c r="H1236" s="9">
        <v>90041.604590588802</v>
      </c>
      <c r="I1236" s="21">
        <f t="shared" si="38"/>
        <v>2041.7294351154997</v>
      </c>
      <c r="J1236" s="21">
        <f t="shared" si="39"/>
        <v>3110.4243852349755</v>
      </c>
    </row>
    <row r="1237" spans="1:10" hidden="1">
      <c r="A1237" t="s">
        <v>224</v>
      </c>
      <c r="B1237" t="s">
        <v>226</v>
      </c>
      <c r="C1237" s="18">
        <v>2045</v>
      </c>
      <c r="D1237" t="s">
        <v>185</v>
      </c>
      <c r="E1237" s="9">
        <v>264212.25343204301</v>
      </c>
      <c r="F1237" s="9">
        <v>250322.81038303601</v>
      </c>
      <c r="G1237" s="9">
        <v>270438.60315228201</v>
      </c>
      <c r="H1237" s="9">
        <v>255976.90811330499</v>
      </c>
      <c r="I1237" s="21">
        <f t="shared" si="38"/>
        <v>5654.0977302689862</v>
      </c>
      <c r="J1237" s="21">
        <f t="shared" si="39"/>
        <v>6226.349720238999</v>
      </c>
    </row>
    <row r="1238" spans="1:10" hidden="1">
      <c r="A1238" t="s">
        <v>224</v>
      </c>
      <c r="B1238" t="s">
        <v>226</v>
      </c>
      <c r="C1238" s="18">
        <v>2045</v>
      </c>
      <c r="D1238" t="s">
        <v>188</v>
      </c>
      <c r="E1238" s="9">
        <v>752430.30729812698</v>
      </c>
      <c r="F1238" s="9">
        <v>461818.99352444598</v>
      </c>
      <c r="G1238" s="9">
        <v>769313.803212411</v>
      </c>
      <c r="H1238" s="9">
        <v>470920.29436777002</v>
      </c>
      <c r="I1238" s="21">
        <f t="shared" si="38"/>
        <v>9101.3008433240466</v>
      </c>
      <c r="J1238" s="21">
        <f t="shared" si="39"/>
        <v>16883.495914284023</v>
      </c>
    </row>
    <row r="1239" spans="1:10" hidden="1">
      <c r="A1239" t="s">
        <v>224</v>
      </c>
      <c r="B1239" t="s">
        <v>226</v>
      </c>
      <c r="C1239" s="18">
        <v>2045</v>
      </c>
      <c r="D1239" t="s">
        <v>191</v>
      </c>
      <c r="E1239" s="9">
        <v>375438.76251120801</v>
      </c>
      <c r="F1239" s="9">
        <v>201178.24025336499</v>
      </c>
      <c r="G1239" s="9">
        <v>383936.19252461498</v>
      </c>
      <c r="H1239" s="9">
        <v>204869.32889798901</v>
      </c>
      <c r="I1239" s="21">
        <f t="shared" si="38"/>
        <v>3691.0886446240183</v>
      </c>
      <c r="J1239" s="21">
        <f t="shared" si="39"/>
        <v>8497.4300134069636</v>
      </c>
    </row>
    <row r="1240" spans="1:10" hidden="1">
      <c r="A1240" t="s">
        <v>224</v>
      </c>
      <c r="B1240" t="s">
        <v>226</v>
      </c>
      <c r="C1240" s="18">
        <v>2045</v>
      </c>
      <c r="D1240" t="s">
        <v>422</v>
      </c>
      <c r="E1240" s="9">
        <v>34847.010678710903</v>
      </c>
      <c r="F1240" s="9">
        <v>2452.7552058502602</v>
      </c>
      <c r="G1240" s="9">
        <v>34846.715156222701</v>
      </c>
      <c r="H1240" s="9">
        <v>2452.74707379338</v>
      </c>
      <c r="I1240" s="21">
        <f t="shared" si="38"/>
        <v>-8.1320568801857007E-3</v>
      </c>
      <c r="J1240" s="21">
        <f t="shared" si="39"/>
        <v>-0.29552248820255045</v>
      </c>
    </row>
    <row r="1241" spans="1:10" hidden="1">
      <c r="A1241" t="s">
        <v>224</v>
      </c>
      <c r="B1241" t="s">
        <v>226</v>
      </c>
      <c r="C1241" s="18">
        <v>2046</v>
      </c>
      <c r="D1241" t="s">
        <v>174</v>
      </c>
      <c r="E1241" s="9">
        <v>23971.472939328301</v>
      </c>
      <c r="F1241" s="9">
        <v>16211.1123962937</v>
      </c>
      <c r="G1241" s="9">
        <v>23868.217944038799</v>
      </c>
      <c r="H1241" s="9">
        <v>16165.2905403234</v>
      </c>
      <c r="I1241" s="21">
        <f t="shared" si="38"/>
        <v>-45.821855970300021</v>
      </c>
      <c r="J1241" s="21">
        <f t="shared" si="39"/>
        <v>-103.2549952895024</v>
      </c>
    </row>
    <row r="1242" spans="1:10" hidden="1">
      <c r="A1242" t="s">
        <v>224</v>
      </c>
      <c r="B1242" t="s">
        <v>226</v>
      </c>
      <c r="C1242" s="18">
        <v>2046</v>
      </c>
      <c r="D1242" t="s">
        <v>236</v>
      </c>
      <c r="E1242" s="9">
        <v>1270044.64983777</v>
      </c>
      <c r="F1242" s="9">
        <v>299786.94896360702</v>
      </c>
      <c r="G1242" s="9">
        <v>1268475.9563321201</v>
      </c>
      <c r="H1242" s="9">
        <v>299596.92866613797</v>
      </c>
      <c r="I1242" s="21">
        <f t="shared" si="38"/>
        <v>-190.02029746904736</v>
      </c>
      <c r="J1242" s="21">
        <f t="shared" si="39"/>
        <v>-1568.6935056499206</v>
      </c>
    </row>
    <row r="1243" spans="1:10" hidden="1">
      <c r="A1243" t="s">
        <v>224</v>
      </c>
      <c r="B1243" t="s">
        <v>226</v>
      </c>
      <c r="C1243" s="18">
        <v>2046</v>
      </c>
      <c r="D1243" t="s">
        <v>182</v>
      </c>
      <c r="E1243" s="9">
        <v>139059.59143478799</v>
      </c>
      <c r="F1243" s="9">
        <v>89135.2869572708</v>
      </c>
      <c r="G1243" s="9">
        <v>142194.05365060701</v>
      </c>
      <c r="H1243" s="9">
        <v>91198.890942598402</v>
      </c>
      <c r="I1243" s="21">
        <f t="shared" si="38"/>
        <v>2063.6039853276015</v>
      </c>
      <c r="J1243" s="21">
        <f t="shared" si="39"/>
        <v>3134.4622158190177</v>
      </c>
    </row>
    <row r="1244" spans="1:10" hidden="1">
      <c r="A1244" t="s">
        <v>224</v>
      </c>
      <c r="B1244" t="s">
        <v>226</v>
      </c>
      <c r="C1244" s="18">
        <v>2046</v>
      </c>
      <c r="D1244" t="s">
        <v>185</v>
      </c>
      <c r="E1244" s="9">
        <v>263738.568701201</v>
      </c>
      <c r="F1244" s="9">
        <v>249790.61520876599</v>
      </c>
      <c r="G1244" s="9">
        <v>269923.25168294698</v>
      </c>
      <c r="H1244" s="9">
        <v>255431.16141281699</v>
      </c>
      <c r="I1244" s="21">
        <f t="shared" si="38"/>
        <v>5640.5462040510029</v>
      </c>
      <c r="J1244" s="21">
        <f t="shared" si="39"/>
        <v>6184.6829817459802</v>
      </c>
    </row>
    <row r="1245" spans="1:10" hidden="1">
      <c r="A1245" t="s">
        <v>224</v>
      </c>
      <c r="B1245" t="s">
        <v>226</v>
      </c>
      <c r="C1245" s="18">
        <v>2046</v>
      </c>
      <c r="D1245" t="s">
        <v>188</v>
      </c>
      <c r="E1245" s="9">
        <v>761127.65993584495</v>
      </c>
      <c r="F1245" s="9">
        <v>468478.70670393499</v>
      </c>
      <c r="G1245" s="9">
        <v>778095.84267256199</v>
      </c>
      <c r="H1245" s="9">
        <v>477828.93173194502</v>
      </c>
      <c r="I1245" s="21">
        <f t="shared" si="38"/>
        <v>9350.225028010027</v>
      </c>
      <c r="J1245" s="21">
        <f t="shared" si="39"/>
        <v>16968.182736717048</v>
      </c>
    </row>
    <row r="1246" spans="1:10" hidden="1">
      <c r="A1246" t="s">
        <v>224</v>
      </c>
      <c r="B1246" t="s">
        <v>226</v>
      </c>
      <c r="C1246" s="18">
        <v>2046</v>
      </c>
      <c r="D1246" t="s">
        <v>191</v>
      </c>
      <c r="E1246" s="9">
        <v>378632.16410793498</v>
      </c>
      <c r="F1246" s="9">
        <v>203265.48070548099</v>
      </c>
      <c r="G1246" s="9">
        <v>387151.42704479198</v>
      </c>
      <c r="H1246" s="9">
        <v>207048.94525460299</v>
      </c>
      <c r="I1246" s="21">
        <f t="shared" si="38"/>
        <v>3783.4645491219999</v>
      </c>
      <c r="J1246" s="21">
        <f t="shared" si="39"/>
        <v>8519.2629368570051</v>
      </c>
    </row>
    <row r="1247" spans="1:10" hidden="1">
      <c r="A1247" t="s">
        <v>224</v>
      </c>
      <c r="B1247" t="s">
        <v>226</v>
      </c>
      <c r="C1247" s="18">
        <v>2046</v>
      </c>
      <c r="D1247" t="s">
        <v>422</v>
      </c>
      <c r="E1247" s="9">
        <v>34688.594811235998</v>
      </c>
      <c r="F1247" s="9">
        <v>2335.6794408318301</v>
      </c>
      <c r="G1247" s="9">
        <v>34688.296767041</v>
      </c>
      <c r="H1247" s="9">
        <v>2335.6726092736399</v>
      </c>
      <c r="I1247" s="21">
        <f t="shared" si="38"/>
        <v>-6.8315581902425038E-3</v>
      </c>
      <c r="J1247" s="21">
        <f t="shared" si="39"/>
        <v>-0.29804419499851065</v>
      </c>
    </row>
    <row r="1248" spans="1:10" hidden="1">
      <c r="A1248" t="s">
        <v>224</v>
      </c>
      <c r="B1248" t="s">
        <v>226</v>
      </c>
      <c r="C1248" s="18">
        <v>2047</v>
      </c>
      <c r="D1248" t="s">
        <v>174</v>
      </c>
      <c r="E1248" s="9">
        <v>24688.154364737999</v>
      </c>
      <c r="F1248" s="9">
        <v>16619.391526098399</v>
      </c>
      <c r="G1248" s="9">
        <v>24575.685129363199</v>
      </c>
      <c r="H1248" s="9">
        <v>16568.574829924401</v>
      </c>
      <c r="I1248" s="21">
        <f t="shared" si="38"/>
        <v>-50.816696173998935</v>
      </c>
      <c r="J1248" s="21">
        <f t="shared" si="39"/>
        <v>-112.46923537479961</v>
      </c>
    </row>
    <row r="1249" spans="1:10" hidden="1">
      <c r="A1249" t="s">
        <v>224</v>
      </c>
      <c r="B1249" t="s">
        <v>226</v>
      </c>
      <c r="C1249" s="18">
        <v>2047</v>
      </c>
      <c r="D1249" t="s">
        <v>236</v>
      </c>
      <c r="E1249" s="9">
        <v>1277742.8598807901</v>
      </c>
      <c r="F1249" s="9">
        <v>307389.63600378699</v>
      </c>
      <c r="G1249" s="9">
        <v>1276073.4846977801</v>
      </c>
      <c r="H1249" s="9">
        <v>307176.00873862102</v>
      </c>
      <c r="I1249" s="21">
        <f t="shared" si="38"/>
        <v>-213.6272651659674</v>
      </c>
      <c r="J1249" s="21">
        <f t="shared" si="39"/>
        <v>-1669.3751830100082</v>
      </c>
    </row>
    <row r="1250" spans="1:10" hidden="1">
      <c r="A1250" t="s">
        <v>224</v>
      </c>
      <c r="B1250" t="s">
        <v>226</v>
      </c>
      <c r="C1250" s="18">
        <v>2047</v>
      </c>
      <c r="D1250" t="s">
        <v>182</v>
      </c>
      <c r="E1250" s="9">
        <v>141086.37260844201</v>
      </c>
      <c r="F1250" s="9">
        <v>90250.538188707797</v>
      </c>
      <c r="G1250" s="9">
        <v>144246.070856709</v>
      </c>
      <c r="H1250" s="9">
        <v>92333.888291156894</v>
      </c>
      <c r="I1250" s="21">
        <f t="shared" si="38"/>
        <v>2083.3501024490979</v>
      </c>
      <c r="J1250" s="21">
        <f t="shared" si="39"/>
        <v>3159.6982482669991</v>
      </c>
    </row>
    <row r="1251" spans="1:10" hidden="1">
      <c r="A1251" t="s">
        <v>224</v>
      </c>
      <c r="B1251" t="s">
        <v>226</v>
      </c>
      <c r="C1251" s="18">
        <v>2047</v>
      </c>
      <c r="D1251" t="s">
        <v>185</v>
      </c>
      <c r="E1251" s="9">
        <v>263007.42059751402</v>
      </c>
      <c r="F1251" s="9">
        <v>249138.46658431701</v>
      </c>
      <c r="G1251" s="9">
        <v>269145.73066835199</v>
      </c>
      <c r="H1251" s="9">
        <v>254760.803670819</v>
      </c>
      <c r="I1251" s="21">
        <f t="shared" si="38"/>
        <v>5622.337086501997</v>
      </c>
      <c r="J1251" s="21">
        <f t="shared" si="39"/>
        <v>6138.3100708379643</v>
      </c>
    </row>
    <row r="1252" spans="1:10" hidden="1">
      <c r="A1252" t="s">
        <v>224</v>
      </c>
      <c r="B1252" t="s">
        <v>226</v>
      </c>
      <c r="C1252" s="18">
        <v>2047</v>
      </c>
      <c r="D1252" t="s">
        <v>188</v>
      </c>
      <c r="E1252" s="9">
        <v>769813.16285802401</v>
      </c>
      <c r="F1252" s="9">
        <v>475086.24855281197</v>
      </c>
      <c r="G1252" s="9">
        <v>786867.36601765698</v>
      </c>
      <c r="H1252" s="9">
        <v>484667.16956347</v>
      </c>
      <c r="I1252" s="21">
        <f t="shared" si="38"/>
        <v>9580.9210106580285</v>
      </c>
      <c r="J1252" s="21">
        <f t="shared" si="39"/>
        <v>17054.203159632976</v>
      </c>
    </row>
    <row r="1253" spans="1:10" hidden="1">
      <c r="A1253" t="s">
        <v>224</v>
      </c>
      <c r="B1253" t="s">
        <v>226</v>
      </c>
      <c r="C1253" s="18">
        <v>2047</v>
      </c>
      <c r="D1253" t="s">
        <v>191</v>
      </c>
      <c r="E1253" s="9">
        <v>382049.18514164898</v>
      </c>
      <c r="F1253" s="9">
        <v>205291.15585441599</v>
      </c>
      <c r="G1253" s="9">
        <v>390597.57749152998</v>
      </c>
      <c r="H1253" s="9">
        <v>209160.85891574901</v>
      </c>
      <c r="I1253" s="21">
        <f t="shared" si="38"/>
        <v>3869.7030613330135</v>
      </c>
      <c r="J1253" s="21">
        <f t="shared" si="39"/>
        <v>8548.3923498810036</v>
      </c>
    </row>
    <row r="1254" spans="1:10" hidden="1">
      <c r="A1254" t="s">
        <v>224</v>
      </c>
      <c r="B1254" t="s">
        <v>226</v>
      </c>
      <c r="C1254" s="18">
        <v>2047</v>
      </c>
      <c r="D1254" t="s">
        <v>422</v>
      </c>
      <c r="E1254" s="9">
        <v>34402.751132493802</v>
      </c>
      <c r="F1254" s="9">
        <v>2222.2578238432002</v>
      </c>
      <c r="G1254" s="9">
        <v>34402.454286141998</v>
      </c>
      <c r="H1254" s="9">
        <v>2222.2517838233198</v>
      </c>
      <c r="I1254" s="21">
        <f t="shared" si="38"/>
        <v>-6.0400198804018146E-3</v>
      </c>
      <c r="J1254" s="21">
        <f t="shared" si="39"/>
        <v>-0.29684635180456098</v>
      </c>
    </row>
    <row r="1255" spans="1:10" hidden="1">
      <c r="A1255" t="s">
        <v>224</v>
      </c>
      <c r="B1255" t="s">
        <v>226</v>
      </c>
      <c r="C1255" s="18">
        <v>2048</v>
      </c>
      <c r="D1255" t="s">
        <v>174</v>
      </c>
      <c r="E1255" s="9">
        <v>25404.8045738767</v>
      </c>
      <c r="F1255" s="9">
        <v>17038.989648440602</v>
      </c>
      <c r="G1255" s="9">
        <v>25282.866550534</v>
      </c>
      <c r="H1255" s="9">
        <v>16982.967131377602</v>
      </c>
      <c r="I1255" s="21">
        <f t="shared" si="38"/>
        <v>-56.022517063000123</v>
      </c>
      <c r="J1255" s="21">
        <f t="shared" si="39"/>
        <v>-121.93802334270003</v>
      </c>
    </row>
    <row r="1256" spans="1:10" hidden="1">
      <c r="A1256" t="s">
        <v>224</v>
      </c>
      <c r="B1256" t="s">
        <v>226</v>
      </c>
      <c r="C1256" s="18">
        <v>2048</v>
      </c>
      <c r="D1256" t="s">
        <v>236</v>
      </c>
      <c r="E1256" s="9">
        <v>1285235.97518791</v>
      </c>
      <c r="F1256" s="9">
        <v>314788.17988237302</v>
      </c>
      <c r="G1256" s="9">
        <v>1283467.7529534199</v>
      </c>
      <c r="H1256" s="9">
        <v>314549.83162807999</v>
      </c>
      <c r="I1256" s="21">
        <f t="shared" si="38"/>
        <v>-238.34825429302873</v>
      </c>
      <c r="J1256" s="21">
        <f t="shared" si="39"/>
        <v>-1768.2222344900947</v>
      </c>
    </row>
    <row r="1257" spans="1:10" hidden="1">
      <c r="A1257" t="s">
        <v>224</v>
      </c>
      <c r="B1257" t="s">
        <v>226</v>
      </c>
      <c r="C1257" s="18">
        <v>2048</v>
      </c>
      <c r="D1257" t="s">
        <v>182</v>
      </c>
      <c r="E1257" s="9">
        <v>143225.95387612999</v>
      </c>
      <c r="F1257" s="9">
        <v>91326.687990050603</v>
      </c>
      <c r="G1257" s="9">
        <v>146413.85314917401</v>
      </c>
      <c r="H1257" s="9">
        <v>93427.507277048993</v>
      </c>
      <c r="I1257" s="21">
        <f t="shared" si="38"/>
        <v>2100.8192869983905</v>
      </c>
      <c r="J1257" s="21">
        <f t="shared" si="39"/>
        <v>3187.8992730440223</v>
      </c>
    </row>
    <row r="1258" spans="1:10" hidden="1">
      <c r="A1258" t="s">
        <v>224</v>
      </c>
      <c r="B1258" t="s">
        <v>226</v>
      </c>
      <c r="C1258" s="18">
        <v>2048</v>
      </c>
      <c r="D1258" t="s">
        <v>185</v>
      </c>
      <c r="E1258" s="9">
        <v>261998.78551245999</v>
      </c>
      <c r="F1258" s="9">
        <v>248274.22989446099</v>
      </c>
      <c r="G1258" s="9">
        <v>268085.44794583402</v>
      </c>
      <c r="H1258" s="9">
        <v>253872.04741882399</v>
      </c>
      <c r="I1258" s="21">
        <f t="shared" si="38"/>
        <v>5597.8175243629958</v>
      </c>
      <c r="J1258" s="21">
        <f t="shared" si="39"/>
        <v>6086.6624333740328</v>
      </c>
    </row>
    <row r="1259" spans="1:10" hidden="1">
      <c r="A1259" t="s">
        <v>224</v>
      </c>
      <c r="B1259" t="s">
        <v>226</v>
      </c>
      <c r="C1259" s="18">
        <v>2048</v>
      </c>
      <c r="D1259" t="s">
        <v>188</v>
      </c>
      <c r="E1259" s="9">
        <v>778651.87971797702</v>
      </c>
      <c r="F1259" s="9">
        <v>481516.010486588</v>
      </c>
      <c r="G1259" s="9">
        <v>795796.81940173404</v>
      </c>
      <c r="H1259" s="9">
        <v>491307.70932856598</v>
      </c>
      <c r="I1259" s="21">
        <f t="shared" si="38"/>
        <v>9791.6988419779809</v>
      </c>
      <c r="J1259" s="21">
        <f t="shared" si="39"/>
        <v>17144.939683757024</v>
      </c>
    </row>
    <row r="1260" spans="1:10" hidden="1">
      <c r="A1260" t="s">
        <v>224</v>
      </c>
      <c r="B1260" t="s">
        <v>226</v>
      </c>
      <c r="C1260" s="18">
        <v>2048</v>
      </c>
      <c r="D1260" t="s">
        <v>191</v>
      </c>
      <c r="E1260" s="9">
        <v>385721.04091442801</v>
      </c>
      <c r="F1260" s="9">
        <v>207239.707315712</v>
      </c>
      <c r="G1260" s="9">
        <v>394306.23400907399</v>
      </c>
      <c r="H1260" s="9">
        <v>211189.299415093</v>
      </c>
      <c r="I1260" s="21">
        <f t="shared" si="38"/>
        <v>3949.5920993809996</v>
      </c>
      <c r="J1260" s="21">
        <f t="shared" si="39"/>
        <v>8585.1930946459761</v>
      </c>
    </row>
    <row r="1261" spans="1:10" hidden="1">
      <c r="A1261" t="s">
        <v>224</v>
      </c>
      <c r="B1261" t="s">
        <v>226</v>
      </c>
      <c r="C1261" s="18">
        <v>2048</v>
      </c>
      <c r="D1261" t="s">
        <v>422</v>
      </c>
      <c r="E1261" s="9">
        <v>34279.166085448</v>
      </c>
      <c r="F1261" s="9">
        <v>2112.6672896108198</v>
      </c>
      <c r="G1261" s="9">
        <v>34278.863496812097</v>
      </c>
      <c r="H1261" s="9">
        <v>2112.6617453372501</v>
      </c>
      <c r="I1261" s="21">
        <f t="shared" si="38"/>
        <v>-5.5442735697397438E-3</v>
      </c>
      <c r="J1261" s="21">
        <f t="shared" si="39"/>
        <v>-0.30258863590279361</v>
      </c>
    </row>
    <row r="1262" spans="1:10" hidden="1">
      <c r="A1262" t="s">
        <v>224</v>
      </c>
      <c r="B1262" t="s">
        <v>226</v>
      </c>
      <c r="C1262" s="18">
        <v>2049</v>
      </c>
      <c r="D1262" t="s">
        <v>174</v>
      </c>
      <c r="E1262" s="9">
        <v>26118.1398970796</v>
      </c>
      <c r="F1262" s="9">
        <v>17468.0969558795</v>
      </c>
      <c r="G1262" s="9">
        <v>25986.5373789525</v>
      </c>
      <c r="H1262" s="9">
        <v>17406.659114093502</v>
      </c>
      <c r="I1262" s="21">
        <f t="shared" si="38"/>
        <v>-61.437841785998899</v>
      </c>
      <c r="J1262" s="21">
        <f t="shared" si="39"/>
        <v>-131.60251812709976</v>
      </c>
    </row>
    <row r="1263" spans="1:10" hidden="1">
      <c r="A1263" t="s">
        <v>224</v>
      </c>
      <c r="B1263" t="s">
        <v>226</v>
      </c>
      <c r="C1263" s="18">
        <v>2049</v>
      </c>
      <c r="D1263" t="s">
        <v>236</v>
      </c>
      <c r="E1263" s="9">
        <v>1292552.6353339299</v>
      </c>
      <c r="F1263" s="9">
        <v>322004.59964804503</v>
      </c>
      <c r="G1263" s="9">
        <v>1290687.53512959</v>
      </c>
      <c r="H1263" s="9">
        <v>321740.50114880601</v>
      </c>
      <c r="I1263" s="21">
        <f t="shared" si="38"/>
        <v>-264.09849923901493</v>
      </c>
      <c r="J1263" s="21">
        <f t="shared" si="39"/>
        <v>-1865.1002043399494</v>
      </c>
    </row>
    <row r="1264" spans="1:10" hidden="1">
      <c r="A1264" t="s">
        <v>224</v>
      </c>
      <c r="B1264" t="s">
        <v>226</v>
      </c>
      <c r="C1264" s="18">
        <v>2049</v>
      </c>
      <c r="D1264" t="s">
        <v>182</v>
      </c>
      <c r="E1264" s="9">
        <v>144681.384079479</v>
      </c>
      <c r="F1264" s="9">
        <v>92429.115861524697</v>
      </c>
      <c r="G1264" s="9">
        <v>147882.09983734801</v>
      </c>
      <c r="H1264" s="9">
        <v>94546.865675552195</v>
      </c>
      <c r="I1264" s="21">
        <f t="shared" si="38"/>
        <v>2117.7498140274984</v>
      </c>
      <c r="J1264" s="21">
        <f t="shared" si="39"/>
        <v>3200.7157578690094</v>
      </c>
    </row>
    <row r="1265" spans="1:10" hidden="1">
      <c r="A1265" t="s">
        <v>224</v>
      </c>
      <c r="B1265" t="s">
        <v>226</v>
      </c>
      <c r="C1265" s="18">
        <v>2049</v>
      </c>
      <c r="D1265" t="s">
        <v>185</v>
      </c>
      <c r="E1265" s="9">
        <v>260967.889031795</v>
      </c>
      <c r="F1265" s="9">
        <v>247531.755898856</v>
      </c>
      <c r="G1265" s="9">
        <v>267003.55015502701</v>
      </c>
      <c r="H1265" s="9">
        <v>253105.506935702</v>
      </c>
      <c r="I1265" s="21">
        <f t="shared" si="38"/>
        <v>5573.7510368459916</v>
      </c>
      <c r="J1265" s="21">
        <f t="shared" si="39"/>
        <v>6035.6611232320138</v>
      </c>
    </row>
    <row r="1266" spans="1:10" hidden="1">
      <c r="A1266" t="s">
        <v>224</v>
      </c>
      <c r="B1266" t="s">
        <v>226</v>
      </c>
      <c r="C1266" s="18">
        <v>2049</v>
      </c>
      <c r="D1266" t="s">
        <v>188</v>
      </c>
      <c r="E1266" s="9">
        <v>784429.63031891</v>
      </c>
      <c r="F1266" s="9">
        <v>488019.35273235902</v>
      </c>
      <c r="G1266" s="9">
        <v>801596.85366425803</v>
      </c>
      <c r="H1266" s="9">
        <v>498010.65152404399</v>
      </c>
      <c r="I1266" s="21">
        <f t="shared" si="38"/>
        <v>9991.298791684967</v>
      </c>
      <c r="J1266" s="21">
        <f t="shared" si="39"/>
        <v>17167.223345348029</v>
      </c>
    </row>
    <row r="1267" spans="1:10" hidden="1">
      <c r="A1267" t="s">
        <v>224</v>
      </c>
      <c r="B1267" t="s">
        <v>226</v>
      </c>
      <c r="C1267" s="18">
        <v>2049</v>
      </c>
      <c r="D1267" t="s">
        <v>191</v>
      </c>
      <c r="E1267" s="9">
        <v>387480.97197916801</v>
      </c>
      <c r="F1267" s="9">
        <v>209554.26651127799</v>
      </c>
      <c r="G1267" s="9">
        <v>396058.615955627</v>
      </c>
      <c r="H1267" s="9">
        <v>213580.236200068</v>
      </c>
      <c r="I1267" s="21">
        <f t="shared" si="38"/>
        <v>4025.9696887900063</v>
      </c>
      <c r="J1267" s="21">
        <f t="shared" si="39"/>
        <v>8577.6439764589886</v>
      </c>
    </row>
    <row r="1268" spans="1:10" hidden="1">
      <c r="A1268" t="s">
        <v>224</v>
      </c>
      <c r="B1268" t="s">
        <v>226</v>
      </c>
      <c r="C1268" s="18">
        <v>2049</v>
      </c>
      <c r="D1268" t="s">
        <v>422</v>
      </c>
      <c r="E1268" s="9">
        <v>34088.058201350097</v>
      </c>
      <c r="F1268" s="9">
        <v>1998.5972932617501</v>
      </c>
      <c r="G1268" s="9">
        <v>34087.762706701098</v>
      </c>
      <c r="H1268" s="9">
        <v>1998.5922336333499</v>
      </c>
      <c r="I1268" s="21">
        <f t="shared" si="38"/>
        <v>-5.0596284002040193E-3</v>
      </c>
      <c r="J1268" s="21">
        <f t="shared" si="39"/>
        <v>-0.29549464899901068</v>
      </c>
    </row>
    <row r="1269" spans="1:10" hidden="1">
      <c r="A1269" t="s">
        <v>224</v>
      </c>
      <c r="B1269" t="s">
        <v>226</v>
      </c>
      <c r="C1269" s="18">
        <v>2050</v>
      </c>
      <c r="D1269" t="s">
        <v>174</v>
      </c>
      <c r="E1269" s="9">
        <v>26831.576466941999</v>
      </c>
      <c r="F1269" s="9">
        <v>17895.613926765</v>
      </c>
      <c r="G1269" s="9">
        <v>26690.1101954068</v>
      </c>
      <c r="H1269" s="9">
        <v>17828.637482456001</v>
      </c>
      <c r="I1269" s="21">
        <f t="shared" si="38"/>
        <v>-66.976444308998907</v>
      </c>
      <c r="J1269" s="21">
        <f t="shared" si="39"/>
        <v>-141.46627153519876</v>
      </c>
    </row>
    <row r="1270" spans="1:10" hidden="1">
      <c r="A1270" t="s">
        <v>224</v>
      </c>
      <c r="B1270" t="s">
        <v>226</v>
      </c>
      <c r="C1270" s="18">
        <v>2050</v>
      </c>
      <c r="D1270" t="s">
        <v>236</v>
      </c>
      <c r="E1270" s="9">
        <v>1299758.2463097</v>
      </c>
      <c r="F1270" s="9">
        <v>329024.70134325401</v>
      </c>
      <c r="G1270" s="9">
        <v>1297798.19122542</v>
      </c>
      <c r="H1270" s="9">
        <v>328734.06146541203</v>
      </c>
      <c r="I1270" s="21">
        <f t="shared" si="38"/>
        <v>-290.63987784198252</v>
      </c>
      <c r="J1270" s="21">
        <f t="shared" si="39"/>
        <v>-1960.0550842799712</v>
      </c>
    </row>
    <row r="1271" spans="1:10" hidden="1">
      <c r="A1271" t="s">
        <v>224</v>
      </c>
      <c r="B1271" t="s">
        <v>226</v>
      </c>
      <c r="C1271" s="18">
        <v>2050</v>
      </c>
      <c r="D1271" t="s">
        <v>182</v>
      </c>
      <c r="E1271" s="9">
        <v>146332.14619854701</v>
      </c>
      <c r="F1271" s="9">
        <v>93492.671057107902</v>
      </c>
      <c r="G1271" s="9">
        <v>149549.878981469</v>
      </c>
      <c r="H1271" s="9">
        <v>95625.943969428394</v>
      </c>
      <c r="I1271" s="21">
        <f t="shared" si="38"/>
        <v>2133.2729123204917</v>
      </c>
      <c r="J1271" s="21">
        <f t="shared" si="39"/>
        <v>3217.7327829219867</v>
      </c>
    </row>
    <row r="1272" spans="1:10" hidden="1">
      <c r="A1272" t="s">
        <v>224</v>
      </c>
      <c r="B1272" t="s">
        <v>226</v>
      </c>
      <c r="C1272" s="18">
        <v>2050</v>
      </c>
      <c r="D1272" t="s">
        <v>185</v>
      </c>
      <c r="E1272" s="9">
        <v>260042.41287537699</v>
      </c>
      <c r="F1272" s="9">
        <v>246612.50371919799</v>
      </c>
      <c r="G1272" s="9">
        <v>266031.496410964</v>
      </c>
      <c r="H1272" s="9">
        <v>252158.93315896901</v>
      </c>
      <c r="I1272" s="21">
        <f t="shared" si="38"/>
        <v>5546.4294397710182</v>
      </c>
      <c r="J1272" s="21">
        <f t="shared" si="39"/>
        <v>5989.0835355870076</v>
      </c>
    </row>
    <row r="1273" spans="1:10" hidden="1">
      <c r="A1273" t="s">
        <v>224</v>
      </c>
      <c r="B1273" t="s">
        <v>226</v>
      </c>
      <c r="C1273" s="18">
        <v>2050</v>
      </c>
      <c r="D1273" t="s">
        <v>188</v>
      </c>
      <c r="E1273" s="9">
        <v>791789.42164639104</v>
      </c>
      <c r="F1273" s="9">
        <v>493913.68514285301</v>
      </c>
      <c r="G1273" s="9">
        <v>809018.72253896797</v>
      </c>
      <c r="H1273" s="9">
        <v>504089.42679186398</v>
      </c>
      <c r="I1273" s="21">
        <f t="shared" si="38"/>
        <v>10175.741649010975</v>
      </c>
      <c r="J1273" s="21">
        <f t="shared" si="39"/>
        <v>17229.300892576925</v>
      </c>
    </row>
    <row r="1274" spans="1:10" hidden="1">
      <c r="A1274" t="s">
        <v>224</v>
      </c>
      <c r="B1274" t="s">
        <v>226</v>
      </c>
      <c r="C1274" s="18">
        <v>2050</v>
      </c>
      <c r="D1274" t="s">
        <v>191</v>
      </c>
      <c r="E1274" s="9">
        <v>389969.706254063</v>
      </c>
      <c r="F1274" s="9">
        <v>211473.983132508</v>
      </c>
      <c r="G1274" s="9">
        <v>398560.03791860503</v>
      </c>
      <c r="H1274" s="9">
        <v>215570.73744048199</v>
      </c>
      <c r="I1274" s="21">
        <f t="shared" si="38"/>
        <v>4096.7543079739844</v>
      </c>
      <c r="J1274" s="21">
        <f t="shared" si="39"/>
        <v>8590.3316645420273</v>
      </c>
    </row>
    <row r="1275" spans="1:10" hidden="1">
      <c r="A1275" t="s">
        <v>224</v>
      </c>
      <c r="B1275" t="s">
        <v>226</v>
      </c>
      <c r="C1275" s="18">
        <v>2050</v>
      </c>
      <c r="D1275" t="s">
        <v>422</v>
      </c>
      <c r="E1275" s="9">
        <v>33926.779231222601</v>
      </c>
      <c r="F1275" s="9">
        <v>1888.5194179335699</v>
      </c>
      <c r="G1275" s="9">
        <v>33926.479042696701</v>
      </c>
      <c r="H1275" s="9">
        <v>1888.5150098655699</v>
      </c>
      <c r="I1275" s="21">
        <f t="shared" si="38"/>
        <v>-4.4080679999751737E-3</v>
      </c>
      <c r="J1275" s="21">
        <f t="shared" si="39"/>
        <v>-0.30018852590001188</v>
      </c>
    </row>
    <row r="1276" spans="1:10" hidden="1">
      <c r="A1276" t="s">
        <v>231</v>
      </c>
      <c r="B1276" t="s">
        <v>233</v>
      </c>
      <c r="C1276" s="18">
        <v>2025</v>
      </c>
      <c r="D1276" t="s">
        <v>174</v>
      </c>
      <c r="E1276" s="9">
        <v>12176.1707137429</v>
      </c>
      <c r="F1276" s="9">
        <v>8959.2701472679</v>
      </c>
      <c r="G1276" s="9">
        <v>12176.1707137429</v>
      </c>
      <c r="H1276" s="9">
        <v>8959.2701472679</v>
      </c>
      <c r="I1276" s="21">
        <f t="shared" si="38"/>
        <v>0</v>
      </c>
      <c r="J1276" s="21">
        <f t="shared" si="39"/>
        <v>0</v>
      </c>
    </row>
    <row r="1277" spans="1:10" hidden="1">
      <c r="A1277" t="s">
        <v>231</v>
      </c>
      <c r="B1277" t="s">
        <v>233</v>
      </c>
      <c r="C1277" s="18">
        <v>2025</v>
      </c>
      <c r="D1277" t="s">
        <v>236</v>
      </c>
      <c r="E1277" s="9">
        <v>1026758.5711338</v>
      </c>
      <c r="F1277" s="9">
        <v>129383.32321031499</v>
      </c>
      <c r="G1277" s="9">
        <v>1026758.5711338</v>
      </c>
      <c r="H1277" s="9">
        <v>129383.32321031499</v>
      </c>
      <c r="I1277" s="21">
        <f t="shared" si="38"/>
        <v>0</v>
      </c>
      <c r="J1277" s="21">
        <f t="shared" si="39"/>
        <v>0</v>
      </c>
    </row>
    <row r="1278" spans="1:10" hidden="1">
      <c r="A1278" t="s">
        <v>231</v>
      </c>
      <c r="B1278" t="s">
        <v>233</v>
      </c>
      <c r="C1278" s="18">
        <v>2025</v>
      </c>
      <c r="D1278" t="s">
        <v>182</v>
      </c>
      <c r="E1278" s="9">
        <v>115291.15986546699</v>
      </c>
      <c r="F1278" s="9">
        <v>67656.558989495796</v>
      </c>
      <c r="G1278" s="9">
        <v>115291.15986546699</v>
      </c>
      <c r="H1278" s="9">
        <v>67656.558989495796</v>
      </c>
      <c r="I1278" s="21">
        <f t="shared" si="38"/>
        <v>0</v>
      </c>
      <c r="J1278" s="21">
        <f t="shared" si="39"/>
        <v>0</v>
      </c>
    </row>
    <row r="1279" spans="1:10" hidden="1">
      <c r="A1279" t="s">
        <v>231</v>
      </c>
      <c r="B1279" t="s">
        <v>233</v>
      </c>
      <c r="C1279" s="18">
        <v>2025</v>
      </c>
      <c r="D1279" t="s">
        <v>185</v>
      </c>
      <c r="E1279" s="9">
        <v>281662.55341658002</v>
      </c>
      <c r="F1279" s="9">
        <v>263295.70058044</v>
      </c>
      <c r="G1279" s="9">
        <v>281662.55341658002</v>
      </c>
      <c r="H1279" s="9">
        <v>263295.70058044</v>
      </c>
      <c r="I1279" s="21">
        <f t="shared" si="38"/>
        <v>0</v>
      </c>
      <c r="J1279" s="21">
        <f t="shared" si="39"/>
        <v>0</v>
      </c>
    </row>
    <row r="1280" spans="1:10" hidden="1">
      <c r="A1280" t="s">
        <v>231</v>
      </c>
      <c r="B1280" t="s">
        <v>233</v>
      </c>
      <c r="C1280" s="18">
        <v>2025</v>
      </c>
      <c r="D1280" t="s">
        <v>188</v>
      </c>
      <c r="E1280" s="9">
        <v>612171.634776233</v>
      </c>
      <c r="F1280" s="9">
        <v>335724.86979376699</v>
      </c>
      <c r="G1280" s="9">
        <v>612171.634776233</v>
      </c>
      <c r="H1280" s="9">
        <v>335724.86979376699</v>
      </c>
      <c r="I1280" s="21">
        <f t="shared" si="38"/>
        <v>0</v>
      </c>
      <c r="J1280" s="21">
        <f t="shared" si="39"/>
        <v>0</v>
      </c>
    </row>
    <row r="1281" spans="1:10" hidden="1">
      <c r="A1281" t="s">
        <v>231</v>
      </c>
      <c r="B1281" t="s">
        <v>233</v>
      </c>
      <c r="C1281" s="18">
        <v>2025</v>
      </c>
      <c r="D1281" t="s">
        <v>191</v>
      </c>
      <c r="E1281" s="9">
        <v>339642.13012673298</v>
      </c>
      <c r="F1281" s="9">
        <v>190841.880003208</v>
      </c>
      <c r="G1281" s="9">
        <v>339642.13012673298</v>
      </c>
      <c r="H1281" s="9">
        <v>190841.880003208</v>
      </c>
      <c r="I1281" s="21">
        <f t="shared" si="38"/>
        <v>0</v>
      </c>
      <c r="J1281" s="21">
        <f t="shared" si="39"/>
        <v>0</v>
      </c>
    </row>
    <row r="1282" spans="1:10" hidden="1">
      <c r="A1282" t="s">
        <v>231</v>
      </c>
      <c r="B1282" t="s">
        <v>233</v>
      </c>
      <c r="C1282" s="18">
        <v>2025</v>
      </c>
      <c r="D1282" t="s">
        <v>422</v>
      </c>
      <c r="E1282" s="9">
        <v>39660.836547407802</v>
      </c>
      <c r="F1282" s="9">
        <v>5303.4223017440199</v>
      </c>
      <c r="G1282" s="9">
        <v>39660.836547407802</v>
      </c>
      <c r="H1282" s="9">
        <v>5303.4223017440199</v>
      </c>
      <c r="I1282" s="21">
        <f t="shared" ref="I1282:I1345" si="40">H1282-F1282</f>
        <v>0</v>
      </c>
      <c r="J1282" s="21">
        <f t="shared" ref="J1282:J1345" si="41">G1282-E1282</f>
        <v>0</v>
      </c>
    </row>
    <row r="1283" spans="1:10" hidden="1">
      <c r="A1283" t="s">
        <v>231</v>
      </c>
      <c r="B1283" t="s">
        <v>233</v>
      </c>
      <c r="C1283" s="18">
        <v>2026</v>
      </c>
      <c r="D1283" t="s">
        <v>174</v>
      </c>
      <c r="E1283" s="9">
        <v>12568.9386470114</v>
      </c>
      <c r="F1283" s="9">
        <v>9271.1333627081003</v>
      </c>
      <c r="G1283" s="9">
        <v>12568.9386470114</v>
      </c>
      <c r="H1283" s="9">
        <v>9271.1333627081003</v>
      </c>
      <c r="I1283" s="21">
        <f t="shared" si="40"/>
        <v>0</v>
      </c>
      <c r="J1283" s="21">
        <f t="shared" si="41"/>
        <v>0</v>
      </c>
    </row>
    <row r="1284" spans="1:10" hidden="1">
      <c r="A1284" t="s">
        <v>231</v>
      </c>
      <c r="B1284" t="s">
        <v>233</v>
      </c>
      <c r="C1284" s="18">
        <v>2026</v>
      </c>
      <c r="D1284" t="s">
        <v>236</v>
      </c>
      <c r="E1284" s="9">
        <v>1041471.59952382</v>
      </c>
      <c r="F1284" s="9">
        <v>137145.82895878801</v>
      </c>
      <c r="G1284" s="9">
        <v>1042135.18581351</v>
      </c>
      <c r="H1284" s="9">
        <v>137145.82895878801</v>
      </c>
      <c r="I1284" s="21">
        <f t="shared" si="40"/>
        <v>0</v>
      </c>
      <c r="J1284" s="21">
        <f t="shared" si="41"/>
        <v>663.58628968999255</v>
      </c>
    </row>
    <row r="1285" spans="1:10" hidden="1">
      <c r="A1285" t="s">
        <v>231</v>
      </c>
      <c r="B1285" t="s">
        <v>233</v>
      </c>
      <c r="C1285" s="18">
        <v>2026</v>
      </c>
      <c r="D1285" t="s">
        <v>182</v>
      </c>
      <c r="E1285" s="9">
        <v>114664.399846981</v>
      </c>
      <c r="F1285" s="9">
        <v>70326.603453519798</v>
      </c>
      <c r="G1285" s="9">
        <v>114707.986926294</v>
      </c>
      <c r="H1285" s="9">
        <v>70326.603453519798</v>
      </c>
      <c r="I1285" s="21">
        <f t="shared" si="40"/>
        <v>0</v>
      </c>
      <c r="J1285" s="21">
        <f t="shared" si="41"/>
        <v>43.587079313001595</v>
      </c>
    </row>
    <row r="1286" spans="1:10" hidden="1">
      <c r="A1286" t="s">
        <v>231</v>
      </c>
      <c r="B1286" t="s">
        <v>233</v>
      </c>
      <c r="C1286" s="18">
        <v>2026</v>
      </c>
      <c r="D1286" t="s">
        <v>185</v>
      </c>
      <c r="E1286" s="9">
        <v>282638.03644760099</v>
      </c>
      <c r="F1286" s="9">
        <v>259504.46801133201</v>
      </c>
      <c r="G1286" s="9">
        <v>282722.53786088398</v>
      </c>
      <c r="H1286" s="9">
        <v>259504.46801133201</v>
      </c>
      <c r="I1286" s="21">
        <f t="shared" si="40"/>
        <v>0</v>
      </c>
      <c r="J1286" s="21">
        <f t="shared" si="41"/>
        <v>84.501413282996509</v>
      </c>
    </row>
    <row r="1287" spans="1:10" hidden="1">
      <c r="A1287" t="s">
        <v>231</v>
      </c>
      <c r="B1287" t="s">
        <v>233</v>
      </c>
      <c r="C1287" s="18">
        <v>2026</v>
      </c>
      <c r="D1287" t="s">
        <v>188</v>
      </c>
      <c r="E1287" s="9">
        <v>616473.54293681204</v>
      </c>
      <c r="F1287" s="9">
        <v>342960.13528186502</v>
      </c>
      <c r="G1287" s="9">
        <v>616790.02915575495</v>
      </c>
      <c r="H1287" s="9">
        <v>342960.13528186502</v>
      </c>
      <c r="I1287" s="21">
        <f t="shared" si="40"/>
        <v>0</v>
      </c>
      <c r="J1287" s="21">
        <f t="shared" si="41"/>
        <v>316.48621894291136</v>
      </c>
    </row>
    <row r="1288" spans="1:10" hidden="1">
      <c r="A1288" t="s">
        <v>231</v>
      </c>
      <c r="B1288" t="s">
        <v>233</v>
      </c>
      <c r="C1288" s="18">
        <v>2026</v>
      </c>
      <c r="D1288" t="s">
        <v>191</v>
      </c>
      <c r="E1288" s="9">
        <v>338409.78052136197</v>
      </c>
      <c r="F1288" s="9">
        <v>190574.61381884801</v>
      </c>
      <c r="G1288" s="9">
        <v>338499.06942160201</v>
      </c>
      <c r="H1288" s="9">
        <v>190574.61381884801</v>
      </c>
      <c r="I1288" s="21">
        <f t="shared" si="40"/>
        <v>0</v>
      </c>
      <c r="J1288" s="21">
        <f t="shared" si="41"/>
        <v>89.288900240033399</v>
      </c>
    </row>
    <row r="1289" spans="1:10" hidden="1">
      <c r="A1289" t="s">
        <v>231</v>
      </c>
      <c r="B1289" t="s">
        <v>233</v>
      </c>
      <c r="C1289" s="18">
        <v>2026</v>
      </c>
      <c r="D1289" t="s">
        <v>422</v>
      </c>
      <c r="E1289" s="9">
        <v>39250.667018004897</v>
      </c>
      <c r="F1289" s="9">
        <v>5105.6095547855903</v>
      </c>
      <c r="G1289" s="9">
        <v>39250.667018004897</v>
      </c>
      <c r="H1289" s="9">
        <v>5105.6095547855903</v>
      </c>
      <c r="I1289" s="21">
        <f t="shared" si="40"/>
        <v>0</v>
      </c>
      <c r="J1289" s="21">
        <f t="shared" si="41"/>
        <v>0</v>
      </c>
    </row>
    <row r="1290" spans="1:10" hidden="1">
      <c r="A1290" t="s">
        <v>231</v>
      </c>
      <c r="B1290" t="s">
        <v>233</v>
      </c>
      <c r="C1290" s="18">
        <v>2027</v>
      </c>
      <c r="D1290" t="s">
        <v>174</v>
      </c>
      <c r="E1290" s="9">
        <v>12976.103113363301</v>
      </c>
      <c r="F1290" s="9">
        <v>9577.5296548643291</v>
      </c>
      <c r="G1290" s="9">
        <v>12976.103113363301</v>
      </c>
      <c r="H1290" s="9">
        <v>9577.5296548643291</v>
      </c>
      <c r="I1290" s="21">
        <f t="shared" si="40"/>
        <v>0</v>
      </c>
      <c r="J1290" s="21">
        <f t="shared" si="41"/>
        <v>0</v>
      </c>
    </row>
    <row r="1291" spans="1:10" hidden="1">
      <c r="A1291" t="s">
        <v>231</v>
      </c>
      <c r="B1291" t="s">
        <v>233</v>
      </c>
      <c r="C1291" s="18">
        <v>2027</v>
      </c>
      <c r="D1291" t="s">
        <v>236</v>
      </c>
      <c r="E1291" s="9">
        <v>1055807.0013639301</v>
      </c>
      <c r="F1291" s="9">
        <v>145005.04120286001</v>
      </c>
      <c r="G1291" s="9">
        <v>1057148.31873483</v>
      </c>
      <c r="H1291" s="9">
        <v>145009.441994705</v>
      </c>
      <c r="I1291" s="21">
        <f t="shared" si="40"/>
        <v>4.4007918449933641</v>
      </c>
      <c r="J1291" s="21">
        <f t="shared" si="41"/>
        <v>1341.3173708999529</v>
      </c>
    </row>
    <row r="1292" spans="1:10" hidden="1">
      <c r="A1292" t="s">
        <v>231</v>
      </c>
      <c r="B1292" t="s">
        <v>233</v>
      </c>
      <c r="C1292" s="18">
        <v>2027</v>
      </c>
      <c r="D1292" t="s">
        <v>182</v>
      </c>
      <c r="E1292" s="9">
        <v>114066.3400688</v>
      </c>
      <c r="F1292" s="9">
        <v>72283.471947723097</v>
      </c>
      <c r="G1292" s="9">
        <v>114152.944165875</v>
      </c>
      <c r="H1292" s="9">
        <v>72290.169991209099</v>
      </c>
      <c r="I1292" s="21">
        <f t="shared" si="40"/>
        <v>6.6980434860015521</v>
      </c>
      <c r="J1292" s="21">
        <f t="shared" si="41"/>
        <v>86.604097075003665</v>
      </c>
    </row>
    <row r="1293" spans="1:10" hidden="1">
      <c r="A1293" t="s">
        <v>231</v>
      </c>
      <c r="B1293" t="s">
        <v>233</v>
      </c>
      <c r="C1293" s="18">
        <v>2027</v>
      </c>
      <c r="D1293" t="s">
        <v>185</v>
      </c>
      <c r="E1293" s="9">
        <v>277711.79873834498</v>
      </c>
      <c r="F1293" s="9">
        <v>260292.66581986099</v>
      </c>
      <c r="G1293" s="9">
        <v>277877.509454571</v>
      </c>
      <c r="H1293" s="9">
        <v>260330.421136777</v>
      </c>
      <c r="I1293" s="21">
        <f t="shared" si="40"/>
        <v>37.755316916009178</v>
      </c>
      <c r="J1293" s="21">
        <f t="shared" si="41"/>
        <v>165.71071622602176</v>
      </c>
    </row>
    <row r="1294" spans="1:10" hidden="1">
      <c r="A1294" t="s">
        <v>231</v>
      </c>
      <c r="B1294" t="s">
        <v>233</v>
      </c>
      <c r="C1294" s="18">
        <v>2027</v>
      </c>
      <c r="D1294" t="s">
        <v>188</v>
      </c>
      <c r="E1294" s="9">
        <v>620796.01020434196</v>
      </c>
      <c r="F1294" s="9">
        <v>349382.427791906</v>
      </c>
      <c r="G1294" s="9">
        <v>621430.90280116105</v>
      </c>
      <c r="H1294" s="9">
        <v>349405.30073034298</v>
      </c>
      <c r="I1294" s="21">
        <f t="shared" si="40"/>
        <v>22.872938436979894</v>
      </c>
      <c r="J1294" s="21">
        <f t="shared" si="41"/>
        <v>634.89259681908879</v>
      </c>
    </row>
    <row r="1295" spans="1:10" hidden="1">
      <c r="A1295" t="s">
        <v>231</v>
      </c>
      <c r="B1295" t="s">
        <v>233</v>
      </c>
      <c r="C1295" s="18">
        <v>2027</v>
      </c>
      <c r="D1295" t="s">
        <v>191</v>
      </c>
      <c r="E1295" s="9">
        <v>337221.50665364799</v>
      </c>
      <c r="F1295" s="9">
        <v>189023.04560295999</v>
      </c>
      <c r="G1295" s="9">
        <v>337398.94907172298</v>
      </c>
      <c r="H1295" s="9">
        <v>189031.10044551201</v>
      </c>
      <c r="I1295" s="21">
        <f t="shared" si="40"/>
        <v>8.0548425520246383</v>
      </c>
      <c r="J1295" s="21">
        <f t="shared" si="41"/>
        <v>177.44241807499202</v>
      </c>
    </row>
    <row r="1296" spans="1:10" hidden="1">
      <c r="A1296" t="s">
        <v>231</v>
      </c>
      <c r="B1296" t="s">
        <v>233</v>
      </c>
      <c r="C1296" s="18">
        <v>2027</v>
      </c>
      <c r="D1296" t="s">
        <v>422</v>
      </c>
      <c r="E1296" s="9">
        <v>38773.627186343103</v>
      </c>
      <c r="F1296" s="9">
        <v>4921.4971535538998</v>
      </c>
      <c r="G1296" s="9">
        <v>38773.627186343103</v>
      </c>
      <c r="H1296" s="9">
        <v>4921.4971535538998</v>
      </c>
      <c r="I1296" s="21">
        <f t="shared" si="40"/>
        <v>0</v>
      </c>
      <c r="J1296" s="21">
        <f t="shared" si="41"/>
        <v>0</v>
      </c>
    </row>
    <row r="1297" spans="1:10" hidden="1">
      <c r="A1297" t="s">
        <v>231</v>
      </c>
      <c r="B1297" t="s">
        <v>233</v>
      </c>
      <c r="C1297" s="18">
        <v>2028</v>
      </c>
      <c r="D1297" t="s">
        <v>174</v>
      </c>
      <c r="E1297" s="9">
        <v>13394.711366081399</v>
      </c>
      <c r="F1297" s="9">
        <v>9881.9220189252792</v>
      </c>
      <c r="G1297" s="9">
        <v>13394.6739315754</v>
      </c>
      <c r="H1297" s="9">
        <v>9881.9220189252792</v>
      </c>
      <c r="I1297" s="21">
        <f t="shared" si="40"/>
        <v>0</v>
      </c>
      <c r="J1297" s="21">
        <f t="shared" si="41"/>
        <v>-3.7434505999044632E-2</v>
      </c>
    </row>
    <row r="1298" spans="1:10" hidden="1">
      <c r="A1298" t="s">
        <v>231</v>
      </c>
      <c r="B1298" t="s">
        <v>233</v>
      </c>
      <c r="C1298" s="18">
        <v>2028</v>
      </c>
      <c r="D1298" t="s">
        <v>236</v>
      </c>
      <c r="E1298" s="9">
        <v>1069794.1106604401</v>
      </c>
      <c r="F1298" s="9">
        <v>152958.24780481399</v>
      </c>
      <c r="G1298" s="9">
        <v>1071826.1250559301</v>
      </c>
      <c r="H1298" s="9">
        <v>152971.72938899801</v>
      </c>
      <c r="I1298" s="21">
        <f t="shared" si="40"/>
        <v>13.481584184017265</v>
      </c>
      <c r="J1298" s="21">
        <f t="shared" si="41"/>
        <v>2032.0143954900559</v>
      </c>
    </row>
    <row r="1299" spans="1:10" hidden="1">
      <c r="A1299" t="s">
        <v>231</v>
      </c>
      <c r="B1299" t="s">
        <v>233</v>
      </c>
      <c r="C1299" s="18">
        <v>2028</v>
      </c>
      <c r="D1299" t="s">
        <v>182</v>
      </c>
      <c r="E1299" s="9">
        <v>114009.693784847</v>
      </c>
      <c r="F1299" s="9">
        <v>73828.570322733794</v>
      </c>
      <c r="G1299" s="9">
        <v>114139.12292486199</v>
      </c>
      <c r="H1299" s="9">
        <v>73846.874209439702</v>
      </c>
      <c r="I1299" s="21">
        <f t="shared" si="40"/>
        <v>18.303886705907644</v>
      </c>
      <c r="J1299" s="21">
        <f t="shared" si="41"/>
        <v>129.42914001499594</v>
      </c>
    </row>
    <row r="1300" spans="1:10" hidden="1">
      <c r="A1300" t="s">
        <v>231</v>
      </c>
      <c r="B1300" t="s">
        <v>233</v>
      </c>
      <c r="C1300" s="18">
        <v>2028</v>
      </c>
      <c r="D1300" t="s">
        <v>185</v>
      </c>
      <c r="E1300" s="9">
        <v>277487.894214809</v>
      </c>
      <c r="F1300" s="9">
        <v>257680.24505344799</v>
      </c>
      <c r="G1300" s="9">
        <v>277735.69614120398</v>
      </c>
      <c r="H1300" s="9">
        <v>257765.32327170501</v>
      </c>
      <c r="I1300" s="21">
        <f t="shared" si="40"/>
        <v>85.078218257025583</v>
      </c>
      <c r="J1300" s="21">
        <f t="shared" si="41"/>
        <v>247.80192639498273</v>
      </c>
    </row>
    <row r="1301" spans="1:10" hidden="1">
      <c r="A1301" t="s">
        <v>231</v>
      </c>
      <c r="B1301" t="s">
        <v>233</v>
      </c>
      <c r="C1301" s="18">
        <v>2028</v>
      </c>
      <c r="D1301" t="s">
        <v>188</v>
      </c>
      <c r="E1301" s="9">
        <v>626766.07459343504</v>
      </c>
      <c r="F1301" s="9">
        <v>356094.62101263303</v>
      </c>
      <c r="G1301" s="9">
        <v>627723.84415529598</v>
      </c>
      <c r="H1301" s="9">
        <v>356159.25290604099</v>
      </c>
      <c r="I1301" s="21">
        <f t="shared" si="40"/>
        <v>64.631893407960888</v>
      </c>
      <c r="J1301" s="21">
        <f t="shared" si="41"/>
        <v>957.76956186094321</v>
      </c>
    </row>
    <row r="1302" spans="1:10" hidden="1">
      <c r="A1302" t="s">
        <v>231</v>
      </c>
      <c r="B1302" t="s">
        <v>233</v>
      </c>
      <c r="C1302" s="18">
        <v>2028</v>
      </c>
      <c r="D1302" t="s">
        <v>191</v>
      </c>
      <c r="E1302" s="9">
        <v>337249.71039458201</v>
      </c>
      <c r="F1302" s="9">
        <v>187095.80610209701</v>
      </c>
      <c r="G1302" s="9">
        <v>337514.695524676</v>
      </c>
      <c r="H1302" s="9">
        <v>187116.63987946699</v>
      </c>
      <c r="I1302" s="21">
        <f t="shared" si="40"/>
        <v>20.833777369989548</v>
      </c>
      <c r="J1302" s="21">
        <f t="shared" si="41"/>
        <v>264.98513009399176</v>
      </c>
    </row>
    <row r="1303" spans="1:10" hidden="1">
      <c r="A1303" t="s">
        <v>231</v>
      </c>
      <c r="B1303" t="s">
        <v>233</v>
      </c>
      <c r="C1303" s="18">
        <v>2028</v>
      </c>
      <c r="D1303" t="s">
        <v>422</v>
      </c>
      <c r="E1303" s="9">
        <v>38149.292427470697</v>
      </c>
      <c r="F1303" s="9">
        <v>4742.0855729783398</v>
      </c>
      <c r="G1303" s="9">
        <v>38149.291579231904</v>
      </c>
      <c r="H1303" s="9">
        <v>4742.0855729783398</v>
      </c>
      <c r="I1303" s="21">
        <f t="shared" si="40"/>
        <v>0</v>
      </c>
      <c r="J1303" s="21">
        <f t="shared" si="41"/>
        <v>-8.4823879296891391E-4</v>
      </c>
    </row>
    <row r="1304" spans="1:10" hidden="1">
      <c r="A1304" t="s">
        <v>231</v>
      </c>
      <c r="B1304" t="s">
        <v>233</v>
      </c>
      <c r="C1304" s="18">
        <v>2029</v>
      </c>
      <c r="D1304" t="s">
        <v>174</v>
      </c>
      <c r="E1304" s="9">
        <v>13830.1735138409</v>
      </c>
      <c r="F1304" s="9">
        <v>10188.4014384273</v>
      </c>
      <c r="G1304" s="9">
        <v>13830.048598278099</v>
      </c>
      <c r="H1304" s="9">
        <v>10188.394886280999</v>
      </c>
      <c r="I1304" s="21">
        <f t="shared" si="40"/>
        <v>-6.5521463002369273E-3</v>
      </c>
      <c r="J1304" s="21">
        <f t="shared" si="41"/>
        <v>-0.12491556280110672</v>
      </c>
    </row>
    <row r="1305" spans="1:10" hidden="1">
      <c r="A1305" t="s">
        <v>231</v>
      </c>
      <c r="B1305" t="s">
        <v>233</v>
      </c>
      <c r="C1305" s="18">
        <v>2029</v>
      </c>
      <c r="D1305" t="s">
        <v>236</v>
      </c>
      <c r="E1305" s="9">
        <v>1083465.6902731899</v>
      </c>
      <c r="F1305" s="9">
        <v>161010.730349569</v>
      </c>
      <c r="G1305" s="9">
        <v>1086200.5009906101</v>
      </c>
      <c r="H1305" s="9">
        <v>161038.22768731901</v>
      </c>
      <c r="I1305" s="21">
        <f t="shared" si="40"/>
        <v>27.497337750013685</v>
      </c>
      <c r="J1305" s="21">
        <f t="shared" si="41"/>
        <v>2734.8107174201868</v>
      </c>
    </row>
    <row r="1306" spans="1:10" hidden="1">
      <c r="A1306" t="s">
        <v>231</v>
      </c>
      <c r="B1306" t="s">
        <v>233</v>
      </c>
      <c r="C1306" s="18">
        <v>2029</v>
      </c>
      <c r="D1306" t="s">
        <v>182</v>
      </c>
      <c r="E1306" s="9">
        <v>113876.420794113</v>
      </c>
      <c r="F1306" s="9">
        <v>75418.581854151998</v>
      </c>
      <c r="G1306" s="9">
        <v>114048.15533588199</v>
      </c>
      <c r="H1306" s="9">
        <v>75452.222577591499</v>
      </c>
      <c r="I1306" s="21">
        <f t="shared" si="40"/>
        <v>33.640723439501016</v>
      </c>
      <c r="J1306" s="21">
        <f t="shared" si="41"/>
        <v>171.73454176899395</v>
      </c>
    </row>
    <row r="1307" spans="1:10" hidden="1">
      <c r="A1307" t="s">
        <v>231</v>
      </c>
      <c r="B1307" t="s">
        <v>233</v>
      </c>
      <c r="C1307" s="18">
        <v>2029</v>
      </c>
      <c r="D1307" t="s">
        <v>185</v>
      </c>
      <c r="E1307" s="9">
        <v>275493.98316498601</v>
      </c>
      <c r="F1307" s="9">
        <v>258194.59279996701</v>
      </c>
      <c r="G1307" s="9">
        <v>275821.08299242798</v>
      </c>
      <c r="H1307" s="9">
        <v>258334.31739486201</v>
      </c>
      <c r="I1307" s="21">
        <f t="shared" si="40"/>
        <v>139.72459489500034</v>
      </c>
      <c r="J1307" s="21">
        <f t="shared" si="41"/>
        <v>327.09982744196896</v>
      </c>
    </row>
    <row r="1308" spans="1:10" hidden="1">
      <c r="A1308" t="s">
        <v>231</v>
      </c>
      <c r="B1308" t="s">
        <v>233</v>
      </c>
      <c r="C1308" s="18">
        <v>2029</v>
      </c>
      <c r="D1308" t="s">
        <v>188</v>
      </c>
      <c r="E1308" s="9">
        <v>629501.55178935104</v>
      </c>
      <c r="F1308" s="9">
        <v>363769.23381636298</v>
      </c>
      <c r="G1308" s="9">
        <v>630779.36998507904</v>
      </c>
      <c r="H1308" s="9">
        <v>363892.26827992598</v>
      </c>
      <c r="I1308" s="21">
        <f t="shared" si="40"/>
        <v>123.03446356300265</v>
      </c>
      <c r="J1308" s="21">
        <f t="shared" si="41"/>
        <v>1277.818195728003</v>
      </c>
    </row>
    <row r="1309" spans="1:10" hidden="1">
      <c r="A1309" t="s">
        <v>231</v>
      </c>
      <c r="B1309" t="s">
        <v>233</v>
      </c>
      <c r="C1309" s="18">
        <v>2029</v>
      </c>
      <c r="D1309" t="s">
        <v>191</v>
      </c>
      <c r="E1309" s="9">
        <v>335571.61241966201</v>
      </c>
      <c r="F1309" s="9">
        <v>186784.79818444999</v>
      </c>
      <c r="G1309" s="9">
        <v>335921.29283179599</v>
      </c>
      <c r="H1309" s="9">
        <v>186821.56008749199</v>
      </c>
      <c r="I1309" s="21">
        <f t="shared" si="40"/>
        <v>36.761903042002814</v>
      </c>
      <c r="J1309" s="21">
        <f t="shared" si="41"/>
        <v>349.68041213398101</v>
      </c>
    </row>
    <row r="1310" spans="1:10" hidden="1">
      <c r="A1310" t="s">
        <v>231</v>
      </c>
      <c r="B1310" t="s">
        <v>233</v>
      </c>
      <c r="C1310" s="18">
        <v>2029</v>
      </c>
      <c r="D1310" t="s">
        <v>422</v>
      </c>
      <c r="E1310" s="9">
        <v>37777.469537229597</v>
      </c>
      <c r="F1310" s="9">
        <v>4604.0682104350999</v>
      </c>
      <c r="G1310" s="9">
        <v>37777.467218977603</v>
      </c>
      <c r="H1310" s="9">
        <v>4604.0681483163899</v>
      </c>
      <c r="I1310" s="21">
        <f t="shared" si="40"/>
        <v>-6.2118710047798231E-5</v>
      </c>
      <c r="J1310" s="21">
        <f t="shared" si="41"/>
        <v>-2.3182519944384694E-3</v>
      </c>
    </row>
    <row r="1311" spans="1:10" hidden="1">
      <c r="A1311" t="s">
        <v>231</v>
      </c>
      <c r="B1311" t="s">
        <v>233</v>
      </c>
      <c r="C1311" s="18">
        <v>2030</v>
      </c>
      <c r="D1311" t="s">
        <v>174</v>
      </c>
      <c r="E1311" s="9">
        <v>14282.2321747714</v>
      </c>
      <c r="F1311" s="9">
        <v>10500.313128722901</v>
      </c>
      <c r="G1311" s="9">
        <v>14281.959039535501</v>
      </c>
      <c r="H1311" s="9">
        <v>10500.2867221377</v>
      </c>
      <c r="I1311" s="21">
        <f t="shared" si="40"/>
        <v>-2.6406585200675181E-2</v>
      </c>
      <c r="J1311" s="21">
        <f t="shared" si="41"/>
        <v>-0.27313523589873512</v>
      </c>
    </row>
    <row r="1312" spans="1:10" hidden="1">
      <c r="A1312" t="s">
        <v>231</v>
      </c>
      <c r="B1312" t="s">
        <v>233</v>
      </c>
      <c r="C1312" s="18">
        <v>2030</v>
      </c>
      <c r="D1312" t="s">
        <v>236</v>
      </c>
      <c r="E1312" s="9">
        <v>1096743.1063101599</v>
      </c>
      <c r="F1312" s="9">
        <v>169149.69536975899</v>
      </c>
      <c r="G1312" s="9">
        <v>1100191.7865472301</v>
      </c>
      <c r="H1312" s="9">
        <v>169196.385350075</v>
      </c>
      <c r="I1312" s="21">
        <f t="shared" si="40"/>
        <v>46.689980316004949</v>
      </c>
      <c r="J1312" s="21">
        <f t="shared" si="41"/>
        <v>3448.6802370701917</v>
      </c>
    </row>
    <row r="1313" spans="1:10" hidden="1">
      <c r="A1313" t="s">
        <v>231</v>
      </c>
      <c r="B1313" t="s">
        <v>233</v>
      </c>
      <c r="C1313" s="18">
        <v>2030</v>
      </c>
      <c r="D1313" t="s">
        <v>182</v>
      </c>
      <c r="E1313" s="9">
        <v>114566.813680796</v>
      </c>
      <c r="F1313" s="9">
        <v>75952.501560728997</v>
      </c>
      <c r="G1313" s="9">
        <v>114781.951575614</v>
      </c>
      <c r="H1313" s="9">
        <v>76004.374773711097</v>
      </c>
      <c r="I1313" s="21">
        <f t="shared" si="40"/>
        <v>51.873212982100085</v>
      </c>
      <c r="J1313" s="21">
        <f t="shared" si="41"/>
        <v>215.13789481800632</v>
      </c>
    </row>
    <row r="1314" spans="1:10" hidden="1">
      <c r="A1314" t="s">
        <v>231</v>
      </c>
      <c r="B1314" t="s">
        <v>233</v>
      </c>
      <c r="C1314" s="18">
        <v>2030</v>
      </c>
      <c r="D1314" t="s">
        <v>185</v>
      </c>
      <c r="E1314" s="9">
        <v>275343.46816013497</v>
      </c>
      <c r="F1314" s="9">
        <v>257214.07891314899</v>
      </c>
      <c r="G1314" s="9">
        <v>275750.81654950802</v>
      </c>
      <c r="H1314" s="9">
        <v>257411.19778715901</v>
      </c>
      <c r="I1314" s="21">
        <f t="shared" si="40"/>
        <v>197.11887401001877</v>
      </c>
      <c r="J1314" s="21">
        <f t="shared" si="41"/>
        <v>407.34838937304448</v>
      </c>
    </row>
    <row r="1315" spans="1:10" hidden="1">
      <c r="A1315" t="s">
        <v>231</v>
      </c>
      <c r="B1315" t="s">
        <v>233</v>
      </c>
      <c r="C1315" s="18">
        <v>2030</v>
      </c>
      <c r="D1315" t="s">
        <v>188</v>
      </c>
      <c r="E1315" s="9">
        <v>636589.83240311104</v>
      </c>
      <c r="F1315" s="9">
        <v>368724.07413933502</v>
      </c>
      <c r="G1315" s="9">
        <v>638199.36722691404</v>
      </c>
      <c r="H1315" s="9">
        <v>368920.44347907702</v>
      </c>
      <c r="I1315" s="21">
        <f t="shared" si="40"/>
        <v>196.36933974199928</v>
      </c>
      <c r="J1315" s="21">
        <f t="shared" si="41"/>
        <v>1609.5348238029983</v>
      </c>
    </row>
    <row r="1316" spans="1:10" hidden="1">
      <c r="A1316" t="s">
        <v>231</v>
      </c>
      <c r="B1316" t="s">
        <v>233</v>
      </c>
      <c r="C1316" s="18">
        <v>2030</v>
      </c>
      <c r="D1316" t="s">
        <v>191</v>
      </c>
      <c r="E1316" s="9">
        <v>336938.371696883</v>
      </c>
      <c r="F1316" s="9">
        <v>185387.46939327399</v>
      </c>
      <c r="G1316" s="9">
        <v>337374.94686633401</v>
      </c>
      <c r="H1316" s="9">
        <v>185442.493190957</v>
      </c>
      <c r="I1316" s="21">
        <f t="shared" si="40"/>
        <v>55.023797683010343</v>
      </c>
      <c r="J1316" s="21">
        <f t="shared" si="41"/>
        <v>436.57516945101088</v>
      </c>
    </row>
    <row r="1317" spans="1:10" hidden="1">
      <c r="A1317" t="s">
        <v>231</v>
      </c>
      <c r="B1317" t="s">
        <v>233</v>
      </c>
      <c r="C1317" s="18">
        <v>2030</v>
      </c>
      <c r="D1317" t="s">
        <v>422</v>
      </c>
      <c r="E1317" s="9">
        <v>38012.677856934402</v>
      </c>
      <c r="F1317" s="9">
        <v>4432.1170529547298</v>
      </c>
      <c r="G1317" s="9">
        <v>38012.673637756197</v>
      </c>
      <c r="H1317" s="9">
        <v>4432.1168533298996</v>
      </c>
      <c r="I1317" s="21">
        <f t="shared" si="40"/>
        <v>-1.996248302020831E-4</v>
      </c>
      <c r="J1317" s="21">
        <f t="shared" si="41"/>
        <v>-4.2191782049485482E-3</v>
      </c>
    </row>
    <row r="1318" spans="1:10" hidden="1">
      <c r="A1318" t="s">
        <v>231</v>
      </c>
      <c r="B1318" t="s">
        <v>233</v>
      </c>
      <c r="C1318" s="18">
        <v>2031</v>
      </c>
      <c r="D1318" t="s">
        <v>174</v>
      </c>
      <c r="E1318" s="9">
        <v>14754.9173056494</v>
      </c>
      <c r="F1318" s="9">
        <v>10814.9842940571</v>
      </c>
      <c r="G1318" s="9">
        <v>14754.4294987798</v>
      </c>
      <c r="H1318" s="9">
        <v>10814.9178976517</v>
      </c>
      <c r="I1318" s="21">
        <f t="shared" si="40"/>
        <v>-6.6396405400155345E-2</v>
      </c>
      <c r="J1318" s="21">
        <f t="shared" si="41"/>
        <v>-0.48780686959980812</v>
      </c>
    </row>
    <row r="1319" spans="1:10" hidden="1">
      <c r="A1319" t="s">
        <v>231</v>
      </c>
      <c r="B1319" t="s">
        <v>233</v>
      </c>
      <c r="C1319" s="18">
        <v>2031</v>
      </c>
      <c r="D1319" t="s">
        <v>236</v>
      </c>
      <c r="E1319" s="9">
        <v>1110260.0497133001</v>
      </c>
      <c r="F1319" s="9">
        <v>177348.92865904901</v>
      </c>
      <c r="G1319" s="9">
        <v>1113725.2263596801</v>
      </c>
      <c r="H1319" s="9">
        <v>177420.195676039</v>
      </c>
      <c r="I1319" s="21">
        <f t="shared" si="40"/>
        <v>71.267016989993863</v>
      </c>
      <c r="J1319" s="21">
        <f t="shared" si="41"/>
        <v>3465.1766463799868</v>
      </c>
    </row>
    <row r="1320" spans="1:10" hidden="1">
      <c r="A1320" t="s">
        <v>231</v>
      </c>
      <c r="B1320" t="s">
        <v>233</v>
      </c>
      <c r="C1320" s="18">
        <v>2031</v>
      </c>
      <c r="D1320" t="s">
        <v>182</v>
      </c>
      <c r="E1320" s="9">
        <v>115541.82416036499</v>
      </c>
      <c r="F1320" s="9">
        <v>76484.130564911102</v>
      </c>
      <c r="G1320" s="9">
        <v>115757.018858842</v>
      </c>
      <c r="H1320" s="9">
        <v>76556.628013514899</v>
      </c>
      <c r="I1320" s="21">
        <f t="shared" si="40"/>
        <v>72.497448603797238</v>
      </c>
      <c r="J1320" s="21">
        <f t="shared" si="41"/>
        <v>215.19469847700384</v>
      </c>
    </row>
    <row r="1321" spans="1:10" hidden="1">
      <c r="A1321" t="s">
        <v>231</v>
      </c>
      <c r="B1321" t="s">
        <v>233</v>
      </c>
      <c r="C1321" s="18">
        <v>2031</v>
      </c>
      <c r="D1321" t="s">
        <v>185</v>
      </c>
      <c r="E1321" s="9">
        <v>274316.63305137301</v>
      </c>
      <c r="F1321" s="9">
        <v>256986.96186794899</v>
      </c>
      <c r="G1321" s="9">
        <v>274719.77758767002</v>
      </c>
      <c r="H1321" s="9">
        <v>257245.00548019301</v>
      </c>
      <c r="I1321" s="21">
        <f t="shared" si="40"/>
        <v>258.04361224401509</v>
      </c>
      <c r="J1321" s="21">
        <f t="shared" si="41"/>
        <v>403.14453629701165</v>
      </c>
    </row>
    <row r="1322" spans="1:10" hidden="1">
      <c r="A1322" t="s">
        <v>231</v>
      </c>
      <c r="B1322" t="s">
        <v>233</v>
      </c>
      <c r="C1322" s="18">
        <v>2031</v>
      </c>
      <c r="D1322" t="s">
        <v>188</v>
      </c>
      <c r="E1322" s="9">
        <v>644495.90761051804</v>
      </c>
      <c r="F1322" s="9">
        <v>373923.86253672198</v>
      </c>
      <c r="G1322" s="9">
        <v>646110.86416985898</v>
      </c>
      <c r="H1322" s="9">
        <v>374207.72907897399</v>
      </c>
      <c r="I1322" s="21">
        <f t="shared" si="40"/>
        <v>283.86654225201346</v>
      </c>
      <c r="J1322" s="21">
        <f t="shared" si="41"/>
        <v>1614.9565593409352</v>
      </c>
    </row>
    <row r="1323" spans="1:10" hidden="1">
      <c r="A1323" t="s">
        <v>231</v>
      </c>
      <c r="B1323" t="s">
        <v>233</v>
      </c>
      <c r="C1323" s="18">
        <v>2031</v>
      </c>
      <c r="D1323" t="s">
        <v>191</v>
      </c>
      <c r="E1323" s="9">
        <v>338770.74248658901</v>
      </c>
      <c r="F1323" s="9">
        <v>184239.96609944999</v>
      </c>
      <c r="G1323" s="9">
        <v>339204.41915059398</v>
      </c>
      <c r="H1323" s="9">
        <v>184315.56237323501</v>
      </c>
      <c r="I1323" s="21">
        <f t="shared" si="40"/>
        <v>75.596273785020458</v>
      </c>
      <c r="J1323" s="21">
        <f t="shared" si="41"/>
        <v>433.67666400497546</v>
      </c>
    </row>
    <row r="1324" spans="1:10" hidden="1">
      <c r="A1324" t="s">
        <v>231</v>
      </c>
      <c r="B1324" t="s">
        <v>233</v>
      </c>
      <c r="C1324" s="18">
        <v>2031</v>
      </c>
      <c r="D1324" t="s">
        <v>422</v>
      </c>
      <c r="E1324" s="9">
        <v>38191.629733189598</v>
      </c>
      <c r="F1324" s="9">
        <v>4274.7276935725404</v>
      </c>
      <c r="G1324" s="9">
        <v>38191.6231000681</v>
      </c>
      <c r="H1324" s="9">
        <v>4274.7272932738097</v>
      </c>
      <c r="I1324" s="21">
        <f t="shared" si="40"/>
        <v>-4.0029873071034672E-4</v>
      </c>
      <c r="J1324" s="21">
        <f t="shared" si="41"/>
        <v>-6.6331214984529652E-3</v>
      </c>
    </row>
    <row r="1325" spans="1:10" hidden="1">
      <c r="A1325" t="s">
        <v>231</v>
      </c>
      <c r="B1325" t="s">
        <v>233</v>
      </c>
      <c r="C1325" s="18">
        <v>2032</v>
      </c>
      <c r="D1325" t="s">
        <v>174</v>
      </c>
      <c r="E1325" s="9">
        <v>15248.546302025799</v>
      </c>
      <c r="F1325" s="9">
        <v>11132.310792582801</v>
      </c>
      <c r="G1325" s="9">
        <v>15247.769190462001</v>
      </c>
      <c r="H1325" s="9">
        <v>11132.1787355836</v>
      </c>
      <c r="I1325" s="21">
        <f t="shared" si="40"/>
        <v>-0.1320569992003584</v>
      </c>
      <c r="J1325" s="21">
        <f t="shared" si="41"/>
        <v>-0.77711156379882596</v>
      </c>
    </row>
    <row r="1326" spans="1:10" hidden="1">
      <c r="A1326" t="s">
        <v>231</v>
      </c>
      <c r="B1326" t="s">
        <v>233</v>
      </c>
      <c r="C1326" s="18">
        <v>2032</v>
      </c>
      <c r="D1326" t="s">
        <v>236</v>
      </c>
      <c r="E1326" s="9">
        <v>1123303.29140816</v>
      </c>
      <c r="F1326" s="9">
        <v>185595.09427999199</v>
      </c>
      <c r="G1326" s="9">
        <v>1126783.31749171</v>
      </c>
      <c r="H1326" s="9">
        <v>185691.45221249</v>
      </c>
      <c r="I1326" s="21">
        <f t="shared" si="40"/>
        <v>96.357932498009177</v>
      </c>
      <c r="J1326" s="21">
        <f t="shared" si="41"/>
        <v>3480.0260835499503</v>
      </c>
    </row>
    <row r="1327" spans="1:10" hidden="1">
      <c r="A1327" t="s">
        <v>231</v>
      </c>
      <c r="B1327" t="s">
        <v>233</v>
      </c>
      <c r="C1327" s="18">
        <v>2032</v>
      </c>
      <c r="D1327" t="s">
        <v>182</v>
      </c>
      <c r="E1327" s="9">
        <v>116677.629969311</v>
      </c>
      <c r="F1327" s="9">
        <v>77109.891546630199</v>
      </c>
      <c r="G1327" s="9">
        <v>116892.91249656001</v>
      </c>
      <c r="H1327" s="9">
        <v>77198.389307422098</v>
      </c>
      <c r="I1327" s="21">
        <f t="shared" si="40"/>
        <v>88.497760791899054</v>
      </c>
      <c r="J1327" s="21">
        <f t="shared" si="41"/>
        <v>215.28252724900085</v>
      </c>
    </row>
    <row r="1328" spans="1:10" hidden="1">
      <c r="A1328" t="s">
        <v>231</v>
      </c>
      <c r="B1328" t="s">
        <v>233</v>
      </c>
      <c r="C1328" s="18">
        <v>2032</v>
      </c>
      <c r="D1328" t="s">
        <v>185</v>
      </c>
      <c r="E1328" s="9">
        <v>274012.69725303102</v>
      </c>
      <c r="F1328" s="9">
        <v>256460.858112452</v>
      </c>
      <c r="G1328" s="9">
        <v>274412.39342979901</v>
      </c>
      <c r="H1328" s="9">
        <v>256745.67636584101</v>
      </c>
      <c r="I1328" s="21">
        <f t="shared" si="40"/>
        <v>284.81825338900671</v>
      </c>
      <c r="J1328" s="21">
        <f t="shared" si="41"/>
        <v>399.69617676798953</v>
      </c>
    </row>
    <row r="1329" spans="1:10" hidden="1">
      <c r="A1329" t="s">
        <v>231</v>
      </c>
      <c r="B1329" t="s">
        <v>233</v>
      </c>
      <c r="C1329" s="18">
        <v>2032</v>
      </c>
      <c r="D1329" t="s">
        <v>188</v>
      </c>
      <c r="E1329" s="9">
        <v>652897.94900304498</v>
      </c>
      <c r="F1329" s="9">
        <v>379766.56837017299</v>
      </c>
      <c r="G1329" s="9">
        <v>654519.81142038899</v>
      </c>
      <c r="H1329" s="9">
        <v>380127.64784866601</v>
      </c>
      <c r="I1329" s="21">
        <f t="shared" si="40"/>
        <v>361.07947849301854</v>
      </c>
      <c r="J1329" s="21">
        <f t="shared" si="41"/>
        <v>1621.8624173440039</v>
      </c>
    </row>
    <row r="1330" spans="1:10" hidden="1">
      <c r="A1330" t="s">
        <v>231</v>
      </c>
      <c r="B1330" t="s">
        <v>233</v>
      </c>
      <c r="C1330" s="18">
        <v>2032</v>
      </c>
      <c r="D1330" t="s">
        <v>191</v>
      </c>
      <c r="E1330" s="9">
        <v>341150.61476134101</v>
      </c>
      <c r="F1330" s="9">
        <v>183638.75160467401</v>
      </c>
      <c r="G1330" s="9">
        <v>341581.65326776</v>
      </c>
      <c r="H1330" s="9">
        <v>183730.084212538</v>
      </c>
      <c r="I1330" s="21">
        <f t="shared" si="40"/>
        <v>91.332607863994781</v>
      </c>
      <c r="J1330" s="21">
        <f t="shared" si="41"/>
        <v>431.03850641899044</v>
      </c>
    </row>
    <row r="1331" spans="1:10" hidden="1">
      <c r="A1331" t="s">
        <v>231</v>
      </c>
      <c r="B1331" t="s">
        <v>233</v>
      </c>
      <c r="C1331" s="18">
        <v>2032</v>
      </c>
      <c r="D1331" t="s">
        <v>422</v>
      </c>
      <c r="E1331" s="9">
        <v>38037.560937648697</v>
      </c>
      <c r="F1331" s="9">
        <v>4125.7231176408504</v>
      </c>
      <c r="G1331" s="9">
        <v>38037.551792099897</v>
      </c>
      <c r="H1331" s="9">
        <v>4125.7224791710396</v>
      </c>
      <c r="I1331" s="21">
        <f t="shared" si="40"/>
        <v>-6.3846981083770515E-4</v>
      </c>
      <c r="J1331" s="21">
        <f t="shared" si="41"/>
        <v>-9.1455488000065088E-3</v>
      </c>
    </row>
    <row r="1332" spans="1:10" hidden="1">
      <c r="A1332" t="s">
        <v>231</v>
      </c>
      <c r="B1332" t="s">
        <v>233</v>
      </c>
      <c r="C1332" s="18">
        <v>2033</v>
      </c>
      <c r="D1332" t="s">
        <v>174</v>
      </c>
      <c r="E1332" s="9">
        <v>15760.631178355899</v>
      </c>
      <c r="F1332" s="9">
        <v>11452.4342269475</v>
      </c>
      <c r="G1332" s="9">
        <v>15759.5151167894</v>
      </c>
      <c r="H1332" s="9">
        <v>11452.2049974033</v>
      </c>
      <c r="I1332" s="21">
        <f t="shared" si="40"/>
        <v>-0.22922954420027963</v>
      </c>
      <c r="J1332" s="21">
        <f t="shared" si="41"/>
        <v>-1.1160615664994111</v>
      </c>
    </row>
    <row r="1333" spans="1:10" hidden="1">
      <c r="A1333" t="s">
        <v>231</v>
      </c>
      <c r="B1333" t="s">
        <v>233</v>
      </c>
      <c r="C1333" s="18">
        <v>2033</v>
      </c>
      <c r="D1333" t="s">
        <v>236</v>
      </c>
      <c r="E1333" s="9">
        <v>1135779.3494291599</v>
      </c>
      <c r="F1333" s="9">
        <v>193883.710919879</v>
      </c>
      <c r="G1333" s="9">
        <v>1139272.75378683</v>
      </c>
      <c r="H1333" s="9">
        <v>194005.60056651599</v>
      </c>
      <c r="I1333" s="21">
        <f t="shared" si="40"/>
        <v>121.88964663699153</v>
      </c>
      <c r="J1333" s="21">
        <f t="shared" si="41"/>
        <v>3493.4043576701079</v>
      </c>
    </row>
    <row r="1334" spans="1:10" hidden="1">
      <c r="A1334" t="s">
        <v>231</v>
      </c>
      <c r="B1334" t="s">
        <v>233</v>
      </c>
      <c r="C1334" s="18">
        <v>2033</v>
      </c>
      <c r="D1334" t="s">
        <v>182</v>
      </c>
      <c r="E1334" s="9">
        <v>118066.084543666</v>
      </c>
      <c r="F1334" s="9">
        <v>77816.1598417231</v>
      </c>
      <c r="G1334" s="9">
        <v>118281.82855902299</v>
      </c>
      <c r="H1334" s="9">
        <v>77917.162090690195</v>
      </c>
      <c r="I1334" s="21">
        <f t="shared" si="40"/>
        <v>101.00224896709551</v>
      </c>
      <c r="J1334" s="21">
        <f t="shared" si="41"/>
        <v>215.74401535699144</v>
      </c>
    </row>
    <row r="1335" spans="1:10" hidden="1">
      <c r="A1335" t="s">
        <v>231</v>
      </c>
      <c r="B1335" t="s">
        <v>233</v>
      </c>
      <c r="C1335" s="18">
        <v>2033</v>
      </c>
      <c r="D1335" t="s">
        <v>185</v>
      </c>
      <c r="E1335" s="9">
        <v>273497.73600658501</v>
      </c>
      <c r="F1335" s="9">
        <v>256354.11166872</v>
      </c>
      <c r="G1335" s="9">
        <v>273893.528221021</v>
      </c>
      <c r="H1335" s="9">
        <v>256655.55902621101</v>
      </c>
      <c r="I1335" s="21">
        <f t="shared" si="40"/>
        <v>301.44735749100801</v>
      </c>
      <c r="J1335" s="21">
        <f t="shared" si="41"/>
        <v>395.7922144359909</v>
      </c>
    </row>
    <row r="1336" spans="1:10" hidden="1">
      <c r="A1336" t="s">
        <v>231</v>
      </c>
      <c r="B1336" t="s">
        <v>233</v>
      </c>
      <c r="C1336" s="18">
        <v>2033</v>
      </c>
      <c r="D1336" t="s">
        <v>188</v>
      </c>
      <c r="E1336" s="9">
        <v>662377.46883362695</v>
      </c>
      <c r="F1336" s="9">
        <v>386153.050532136</v>
      </c>
      <c r="G1336" s="9">
        <v>664009.13874492398</v>
      </c>
      <c r="H1336" s="9">
        <v>386583.230936034</v>
      </c>
      <c r="I1336" s="21">
        <f t="shared" si="40"/>
        <v>430.18040389800444</v>
      </c>
      <c r="J1336" s="21">
        <f t="shared" si="41"/>
        <v>1631.6699112970382</v>
      </c>
    </row>
    <row r="1337" spans="1:10" hidden="1">
      <c r="A1337" t="s">
        <v>231</v>
      </c>
      <c r="B1337" t="s">
        <v>233</v>
      </c>
      <c r="C1337" s="18">
        <v>2033</v>
      </c>
      <c r="D1337" t="s">
        <v>191</v>
      </c>
      <c r="E1337" s="9">
        <v>344565.66823522002</v>
      </c>
      <c r="F1337" s="9">
        <v>183478.88272678299</v>
      </c>
      <c r="G1337" s="9">
        <v>344995.26462988101</v>
      </c>
      <c r="H1337" s="9">
        <v>183583.04220271501</v>
      </c>
      <c r="I1337" s="21">
        <f t="shared" si="40"/>
        <v>104.15947593201417</v>
      </c>
      <c r="J1337" s="21">
        <f t="shared" si="41"/>
        <v>429.59639466099907</v>
      </c>
    </row>
    <row r="1338" spans="1:10" hidden="1">
      <c r="A1338" t="s">
        <v>231</v>
      </c>
      <c r="B1338" t="s">
        <v>233</v>
      </c>
      <c r="C1338" s="18">
        <v>2033</v>
      </c>
      <c r="D1338" t="s">
        <v>422</v>
      </c>
      <c r="E1338" s="9">
        <v>37788.406686766597</v>
      </c>
      <c r="F1338" s="9">
        <v>3977.7152716796099</v>
      </c>
      <c r="G1338" s="9">
        <v>37788.395913351</v>
      </c>
      <c r="H1338" s="9">
        <v>3977.7143757352601</v>
      </c>
      <c r="I1338" s="21">
        <f t="shared" si="40"/>
        <v>-8.9594434984974214E-4</v>
      </c>
      <c r="J1338" s="21">
        <f t="shared" si="41"/>
        <v>-1.0773415597213898E-2</v>
      </c>
    </row>
    <row r="1339" spans="1:10" hidden="1">
      <c r="A1339" t="s">
        <v>231</v>
      </c>
      <c r="B1339" t="s">
        <v>233</v>
      </c>
      <c r="C1339" s="18">
        <v>2034</v>
      </c>
      <c r="D1339" t="s">
        <v>174</v>
      </c>
      <c r="E1339" s="9">
        <v>16287.261071881199</v>
      </c>
      <c r="F1339" s="9">
        <v>11779.7720868747</v>
      </c>
      <c r="G1339" s="9">
        <v>16285.764037622699</v>
      </c>
      <c r="H1339" s="9">
        <v>11779.4141755774</v>
      </c>
      <c r="I1339" s="21">
        <f t="shared" si="40"/>
        <v>-0.35791129730023385</v>
      </c>
      <c r="J1339" s="21">
        <f t="shared" si="41"/>
        <v>-1.4970342585002072</v>
      </c>
    </row>
    <row r="1340" spans="1:10" hidden="1">
      <c r="A1340" t="s">
        <v>231</v>
      </c>
      <c r="B1340" t="s">
        <v>233</v>
      </c>
      <c r="C1340" s="18">
        <v>2034</v>
      </c>
      <c r="D1340" t="s">
        <v>236</v>
      </c>
      <c r="E1340" s="9">
        <v>1147727.87045191</v>
      </c>
      <c r="F1340" s="9">
        <v>202172.820190809</v>
      </c>
      <c r="G1340" s="9">
        <v>1151232.62464015</v>
      </c>
      <c r="H1340" s="9">
        <v>202320.63612115101</v>
      </c>
      <c r="I1340" s="21">
        <f t="shared" si="40"/>
        <v>147.81593034201069</v>
      </c>
      <c r="J1340" s="21">
        <f t="shared" si="41"/>
        <v>3504.7541882400401</v>
      </c>
    </row>
    <row r="1341" spans="1:10" hidden="1">
      <c r="A1341" t="s">
        <v>231</v>
      </c>
      <c r="B1341" t="s">
        <v>233</v>
      </c>
      <c r="C1341" s="18">
        <v>2034</v>
      </c>
      <c r="D1341" t="s">
        <v>182</v>
      </c>
      <c r="E1341" s="9">
        <v>118958.54596297401</v>
      </c>
      <c r="F1341" s="9">
        <v>78670.894095110503</v>
      </c>
      <c r="G1341" s="9">
        <v>119173.805374547</v>
      </c>
      <c r="H1341" s="9">
        <v>78781.723235872807</v>
      </c>
      <c r="I1341" s="21">
        <f t="shared" si="40"/>
        <v>110.82914076230372</v>
      </c>
      <c r="J1341" s="21">
        <f t="shared" si="41"/>
        <v>215.25941157298803</v>
      </c>
    </row>
    <row r="1342" spans="1:10" hidden="1">
      <c r="A1342" t="s">
        <v>231</v>
      </c>
      <c r="B1342" t="s">
        <v>233</v>
      </c>
      <c r="C1342" s="18">
        <v>2034</v>
      </c>
      <c r="D1342" t="s">
        <v>185</v>
      </c>
      <c r="E1342" s="9">
        <v>273277.51590644201</v>
      </c>
      <c r="F1342" s="9">
        <v>256440.80191709401</v>
      </c>
      <c r="G1342" s="9">
        <v>273669.65020286699</v>
      </c>
      <c r="H1342" s="9">
        <v>256753.127116244</v>
      </c>
      <c r="I1342" s="21">
        <f t="shared" si="40"/>
        <v>312.32519914998556</v>
      </c>
      <c r="J1342" s="21">
        <f t="shared" si="41"/>
        <v>392.13429642497795</v>
      </c>
    </row>
    <row r="1343" spans="1:10" hidden="1">
      <c r="A1343" t="s">
        <v>231</v>
      </c>
      <c r="B1343" t="s">
        <v>233</v>
      </c>
      <c r="C1343" s="18">
        <v>2034</v>
      </c>
      <c r="D1343" t="s">
        <v>188</v>
      </c>
      <c r="E1343" s="9">
        <v>667933.37398764398</v>
      </c>
      <c r="F1343" s="9">
        <v>393313.93066633202</v>
      </c>
      <c r="G1343" s="9">
        <v>669565.09186596901</v>
      </c>
      <c r="H1343" s="9">
        <v>393806.92012191401</v>
      </c>
      <c r="I1343" s="21">
        <f t="shared" si="40"/>
        <v>492.98945558199193</v>
      </c>
      <c r="J1343" s="21">
        <f t="shared" si="41"/>
        <v>1631.7178783250274</v>
      </c>
    </row>
    <row r="1344" spans="1:10" hidden="1">
      <c r="A1344" t="s">
        <v>231</v>
      </c>
      <c r="B1344" t="s">
        <v>233</v>
      </c>
      <c r="C1344" s="18">
        <v>2034</v>
      </c>
      <c r="D1344" t="s">
        <v>191</v>
      </c>
      <c r="E1344" s="9">
        <v>345501.54058420501</v>
      </c>
      <c r="F1344" s="9">
        <v>184685.874010892</v>
      </c>
      <c r="G1344" s="9">
        <v>345926.396497523</v>
      </c>
      <c r="H1344" s="9">
        <v>184800.88501932399</v>
      </c>
      <c r="I1344" s="21">
        <f t="shared" si="40"/>
        <v>115.01100843198947</v>
      </c>
      <c r="J1344" s="21">
        <f t="shared" si="41"/>
        <v>424.85591331799515</v>
      </c>
    </row>
    <row r="1345" spans="1:10" hidden="1">
      <c r="A1345" t="s">
        <v>231</v>
      </c>
      <c r="B1345" t="s">
        <v>233</v>
      </c>
      <c r="C1345" s="18">
        <v>2034</v>
      </c>
      <c r="D1345" t="s">
        <v>422</v>
      </c>
      <c r="E1345" s="9">
        <v>37391.131579990099</v>
      </c>
      <c r="F1345" s="9">
        <v>3849.4375385221401</v>
      </c>
      <c r="G1345" s="9">
        <v>37391.118979539897</v>
      </c>
      <c r="H1345" s="9">
        <v>3849.43642407178</v>
      </c>
      <c r="I1345" s="21">
        <f t="shared" si="40"/>
        <v>-1.1144503600917233E-3</v>
      </c>
      <c r="J1345" s="21">
        <f t="shared" si="41"/>
        <v>-1.260045020171674E-2</v>
      </c>
    </row>
    <row r="1346" spans="1:10" hidden="1">
      <c r="A1346" t="s">
        <v>231</v>
      </c>
      <c r="B1346" t="s">
        <v>233</v>
      </c>
      <c r="C1346" s="18">
        <v>2035</v>
      </c>
      <c r="D1346" t="s">
        <v>174</v>
      </c>
      <c r="E1346" s="9">
        <v>16832.558901603501</v>
      </c>
      <c r="F1346" s="9">
        <v>12113.3311272837</v>
      </c>
      <c r="G1346" s="9">
        <v>16830.6420972909</v>
      </c>
      <c r="H1346" s="9">
        <v>12112.814364394</v>
      </c>
      <c r="I1346" s="21">
        <f t="shared" ref="I1346:I1409" si="42">H1346-F1346</f>
        <v>-0.51676288969974848</v>
      </c>
      <c r="J1346" s="21">
        <f t="shared" ref="J1346:J1409" si="43">G1346-E1346</f>
        <v>-1.9168043126010161</v>
      </c>
    </row>
    <row r="1347" spans="1:10" hidden="1">
      <c r="A1347" t="s">
        <v>231</v>
      </c>
      <c r="B1347" t="s">
        <v>233</v>
      </c>
      <c r="C1347" s="18">
        <v>2035</v>
      </c>
      <c r="D1347" t="s">
        <v>236</v>
      </c>
      <c r="E1347" s="9">
        <v>1159263.0860053599</v>
      </c>
      <c r="F1347" s="9">
        <v>210453.31834326001</v>
      </c>
      <c r="G1347" s="9">
        <v>1162777.28327874</v>
      </c>
      <c r="H1347" s="9">
        <v>210627.422792314</v>
      </c>
      <c r="I1347" s="21">
        <f t="shared" si="42"/>
        <v>174.10444905399345</v>
      </c>
      <c r="J1347" s="21">
        <f t="shared" si="43"/>
        <v>3514.1972733801231</v>
      </c>
    </row>
    <row r="1348" spans="1:10" hidden="1">
      <c r="A1348" t="s">
        <v>231</v>
      </c>
      <c r="B1348" t="s">
        <v>233</v>
      </c>
      <c r="C1348" s="18">
        <v>2035</v>
      </c>
      <c r="D1348" t="s">
        <v>182</v>
      </c>
      <c r="E1348" s="9">
        <v>120582.995221971</v>
      </c>
      <c r="F1348" s="9">
        <v>79338.072860908505</v>
      </c>
      <c r="G1348" s="9">
        <v>120799.065903184</v>
      </c>
      <c r="H1348" s="9">
        <v>79456.632421187605</v>
      </c>
      <c r="I1348" s="21">
        <f t="shared" si="42"/>
        <v>118.55956027909997</v>
      </c>
      <c r="J1348" s="21">
        <f t="shared" si="43"/>
        <v>216.07068121300836</v>
      </c>
    </row>
    <row r="1349" spans="1:10" hidden="1">
      <c r="A1349" t="s">
        <v>231</v>
      </c>
      <c r="B1349" t="s">
        <v>233</v>
      </c>
      <c r="C1349" s="18">
        <v>2035</v>
      </c>
      <c r="D1349" t="s">
        <v>185</v>
      </c>
      <c r="E1349" s="9">
        <v>272957.08975312801</v>
      </c>
      <c r="F1349" s="9">
        <v>256487.64795116399</v>
      </c>
      <c r="G1349" s="9">
        <v>273345.36006293801</v>
      </c>
      <c r="H1349" s="9">
        <v>256807.53223008101</v>
      </c>
      <c r="I1349" s="21">
        <f t="shared" si="42"/>
        <v>319.88427891701576</v>
      </c>
      <c r="J1349" s="21">
        <f t="shared" si="43"/>
        <v>388.2703098100028</v>
      </c>
    </row>
    <row r="1350" spans="1:10" hidden="1">
      <c r="A1350" t="s">
        <v>231</v>
      </c>
      <c r="B1350" t="s">
        <v>233</v>
      </c>
      <c r="C1350" s="18">
        <v>2035</v>
      </c>
      <c r="D1350" t="s">
        <v>188</v>
      </c>
      <c r="E1350" s="9">
        <v>676997.92716316297</v>
      </c>
      <c r="F1350" s="9">
        <v>398942.921363912</v>
      </c>
      <c r="G1350" s="9">
        <v>678638.43452144298</v>
      </c>
      <c r="H1350" s="9">
        <v>399492.95053299802</v>
      </c>
      <c r="I1350" s="21">
        <f t="shared" si="42"/>
        <v>550.02916908601765</v>
      </c>
      <c r="J1350" s="21">
        <f t="shared" si="43"/>
        <v>1640.5073582800105</v>
      </c>
    </row>
    <row r="1351" spans="1:10" hidden="1">
      <c r="A1351" t="s">
        <v>231</v>
      </c>
      <c r="B1351" t="s">
        <v>233</v>
      </c>
      <c r="C1351" s="18">
        <v>2035</v>
      </c>
      <c r="D1351" t="s">
        <v>191</v>
      </c>
      <c r="E1351" s="9">
        <v>348723.00245157001</v>
      </c>
      <c r="F1351" s="9">
        <v>185241.29104364599</v>
      </c>
      <c r="G1351" s="9">
        <v>349146.06245576398</v>
      </c>
      <c r="H1351" s="9">
        <v>185365.76110357899</v>
      </c>
      <c r="I1351" s="21">
        <f t="shared" si="42"/>
        <v>124.47005993299535</v>
      </c>
      <c r="J1351" s="21">
        <f t="shared" si="43"/>
        <v>423.06000419397606</v>
      </c>
    </row>
    <row r="1352" spans="1:10" hidden="1">
      <c r="A1352" t="s">
        <v>231</v>
      </c>
      <c r="B1352" t="s">
        <v>233</v>
      </c>
      <c r="C1352" s="18">
        <v>2035</v>
      </c>
      <c r="D1352" t="s">
        <v>422</v>
      </c>
      <c r="E1352" s="9">
        <v>37274.412137383202</v>
      </c>
      <c r="F1352" s="9">
        <v>3710.4330705310299</v>
      </c>
      <c r="G1352" s="9">
        <v>37274.397901844597</v>
      </c>
      <c r="H1352" s="9">
        <v>3710.43177455469</v>
      </c>
      <c r="I1352" s="21">
        <f t="shared" si="42"/>
        <v>-1.2959763398612267E-3</v>
      </c>
      <c r="J1352" s="21">
        <f t="shared" si="43"/>
        <v>-1.4235538605134934E-2</v>
      </c>
    </row>
    <row r="1353" spans="1:10" hidden="1">
      <c r="A1353" t="s">
        <v>231</v>
      </c>
      <c r="B1353" t="s">
        <v>233</v>
      </c>
      <c r="C1353" s="18">
        <v>2036</v>
      </c>
      <c r="D1353" t="s">
        <v>174</v>
      </c>
      <c r="E1353" s="9">
        <v>17394.9839510356</v>
      </c>
      <c r="F1353" s="9">
        <v>12453.568224461</v>
      </c>
      <c r="G1353" s="9">
        <v>17392.609904070101</v>
      </c>
      <c r="H1353" s="9">
        <v>12452.864013751599</v>
      </c>
      <c r="I1353" s="21">
        <f t="shared" si="42"/>
        <v>-0.70421070940028585</v>
      </c>
      <c r="J1353" s="21">
        <f t="shared" si="43"/>
        <v>-2.3740469654985645</v>
      </c>
    </row>
    <row r="1354" spans="1:10" hidden="1">
      <c r="A1354" t="s">
        <v>231</v>
      </c>
      <c r="B1354" t="s">
        <v>233</v>
      </c>
      <c r="C1354" s="18">
        <v>2036</v>
      </c>
      <c r="D1354" t="s">
        <v>236</v>
      </c>
      <c r="E1354" s="9">
        <v>1170563.1422546699</v>
      </c>
      <c r="F1354" s="9">
        <v>218705.93737696801</v>
      </c>
      <c r="G1354" s="9">
        <v>1174085.51289072</v>
      </c>
      <c r="H1354" s="9">
        <v>218906.62344450099</v>
      </c>
      <c r="I1354" s="21">
        <f t="shared" si="42"/>
        <v>200.68606753298081</v>
      </c>
      <c r="J1354" s="21">
        <f t="shared" si="43"/>
        <v>3522.3706360501237</v>
      </c>
    </row>
    <row r="1355" spans="1:10" hidden="1">
      <c r="A1355" t="s">
        <v>231</v>
      </c>
      <c r="B1355" t="s">
        <v>233</v>
      </c>
      <c r="C1355" s="18">
        <v>2036</v>
      </c>
      <c r="D1355" t="s">
        <v>182</v>
      </c>
      <c r="E1355" s="9">
        <v>122401.20691549301</v>
      </c>
      <c r="F1355" s="9">
        <v>80178.135065544193</v>
      </c>
      <c r="G1355" s="9">
        <v>122618.320312187</v>
      </c>
      <c r="H1355" s="9">
        <v>80302.842995522602</v>
      </c>
      <c r="I1355" s="21">
        <f t="shared" si="42"/>
        <v>124.70792997840908</v>
      </c>
      <c r="J1355" s="21">
        <f t="shared" si="43"/>
        <v>217.11339669399604</v>
      </c>
    </row>
    <row r="1356" spans="1:10" hidden="1">
      <c r="A1356" t="s">
        <v>231</v>
      </c>
      <c r="B1356" t="s">
        <v>233</v>
      </c>
      <c r="C1356" s="18">
        <v>2036</v>
      </c>
      <c r="D1356" t="s">
        <v>185</v>
      </c>
      <c r="E1356" s="9">
        <v>272912.87321813602</v>
      </c>
      <c r="F1356" s="9">
        <v>256608.254454465</v>
      </c>
      <c r="G1356" s="9">
        <v>273297.56982222799</v>
      </c>
      <c r="H1356" s="9">
        <v>256933.39822934201</v>
      </c>
      <c r="I1356" s="21">
        <f t="shared" si="42"/>
        <v>325.14377487701131</v>
      </c>
      <c r="J1356" s="21">
        <f t="shared" si="43"/>
        <v>384.69660409196513</v>
      </c>
    </row>
    <row r="1357" spans="1:10" hidden="1">
      <c r="A1357" t="s">
        <v>231</v>
      </c>
      <c r="B1357" t="s">
        <v>233</v>
      </c>
      <c r="C1357" s="18">
        <v>2036</v>
      </c>
      <c r="D1357" t="s">
        <v>188</v>
      </c>
      <c r="E1357" s="9">
        <v>686544.05550649494</v>
      </c>
      <c r="F1357" s="9">
        <v>405390.06548150699</v>
      </c>
      <c r="G1357" s="9">
        <v>688194.68447559199</v>
      </c>
      <c r="H1357" s="9">
        <v>405992.65349387802</v>
      </c>
      <c r="I1357" s="21">
        <f t="shared" si="42"/>
        <v>602.58801237103762</v>
      </c>
      <c r="J1357" s="21">
        <f t="shared" si="43"/>
        <v>1650.6289690970443</v>
      </c>
    </row>
    <row r="1358" spans="1:10" hidden="1">
      <c r="A1358" t="s">
        <v>231</v>
      </c>
      <c r="B1358" t="s">
        <v>233</v>
      </c>
      <c r="C1358" s="18">
        <v>2036</v>
      </c>
      <c r="D1358" t="s">
        <v>191</v>
      </c>
      <c r="E1358" s="9">
        <v>352181.63858076598</v>
      </c>
      <c r="F1358" s="9">
        <v>186285.009952817</v>
      </c>
      <c r="G1358" s="9">
        <v>352603.07171420398</v>
      </c>
      <c r="H1358" s="9">
        <v>186417.92722248001</v>
      </c>
      <c r="I1358" s="21">
        <f t="shared" si="42"/>
        <v>132.91726966301212</v>
      </c>
      <c r="J1358" s="21">
        <f t="shared" si="43"/>
        <v>421.43313343799673</v>
      </c>
    </row>
    <row r="1359" spans="1:10" hidden="1">
      <c r="A1359" t="s">
        <v>231</v>
      </c>
      <c r="B1359" t="s">
        <v>233</v>
      </c>
      <c r="C1359" s="18">
        <v>2036</v>
      </c>
      <c r="D1359" t="s">
        <v>422</v>
      </c>
      <c r="E1359" s="9">
        <v>37283.042576347601</v>
      </c>
      <c r="F1359" s="9">
        <v>3578.6615006829202</v>
      </c>
      <c r="G1359" s="9">
        <v>37283.027629395598</v>
      </c>
      <c r="H1359" s="9">
        <v>3578.66006488627</v>
      </c>
      <c r="I1359" s="21">
        <f t="shared" si="42"/>
        <v>-1.4357966501847841E-3</v>
      </c>
      <c r="J1359" s="21">
        <f t="shared" si="43"/>
        <v>-1.494695200381102E-2</v>
      </c>
    </row>
    <row r="1360" spans="1:10" hidden="1">
      <c r="A1360" t="s">
        <v>231</v>
      </c>
      <c r="B1360" t="s">
        <v>233</v>
      </c>
      <c r="C1360" s="18">
        <v>2037</v>
      </c>
      <c r="D1360" t="s">
        <v>174</v>
      </c>
      <c r="E1360" s="9">
        <v>17974.350460708101</v>
      </c>
      <c r="F1360" s="9">
        <v>12800.398402364501</v>
      </c>
      <c r="G1360" s="9">
        <v>17971.482864064201</v>
      </c>
      <c r="H1360" s="9">
        <v>12799.479454561601</v>
      </c>
      <c r="I1360" s="21">
        <f t="shared" si="42"/>
        <v>-0.91894780290022027</v>
      </c>
      <c r="J1360" s="21">
        <f t="shared" si="43"/>
        <v>-2.8675966439004696</v>
      </c>
    </row>
    <row r="1361" spans="1:10" hidden="1">
      <c r="A1361" t="s">
        <v>231</v>
      </c>
      <c r="B1361" t="s">
        <v>233</v>
      </c>
      <c r="C1361" s="18">
        <v>2037</v>
      </c>
      <c r="D1361" t="s">
        <v>236</v>
      </c>
      <c r="E1361" s="9">
        <v>1181735.02314484</v>
      </c>
      <c r="F1361" s="9">
        <v>226918.30022104201</v>
      </c>
      <c r="G1361" s="9">
        <v>1185264.7438497699</v>
      </c>
      <c r="H1361" s="9">
        <v>227145.85064844001</v>
      </c>
      <c r="I1361" s="21">
        <f t="shared" si="42"/>
        <v>227.5504273980041</v>
      </c>
      <c r="J1361" s="21">
        <f t="shared" si="43"/>
        <v>3529.7207049299031</v>
      </c>
    </row>
    <row r="1362" spans="1:10" hidden="1">
      <c r="A1362" t="s">
        <v>231</v>
      </c>
      <c r="B1362" t="s">
        <v>233</v>
      </c>
      <c r="C1362" s="18">
        <v>2037</v>
      </c>
      <c r="D1362" t="s">
        <v>182</v>
      </c>
      <c r="E1362" s="9">
        <v>124271.20629458901</v>
      </c>
      <c r="F1362" s="9">
        <v>81114.831441016693</v>
      </c>
      <c r="G1362" s="9">
        <v>124489.42976024401</v>
      </c>
      <c r="H1362" s="9">
        <v>81244.691389584303</v>
      </c>
      <c r="I1362" s="21">
        <f t="shared" si="42"/>
        <v>129.85994856760954</v>
      </c>
      <c r="J1362" s="21">
        <f t="shared" si="43"/>
        <v>218.22346565499902</v>
      </c>
    </row>
    <row r="1363" spans="1:10" hidden="1">
      <c r="A1363" t="s">
        <v>231</v>
      </c>
      <c r="B1363" t="s">
        <v>233</v>
      </c>
      <c r="C1363" s="18">
        <v>2037</v>
      </c>
      <c r="D1363" t="s">
        <v>185</v>
      </c>
      <c r="E1363" s="9">
        <v>272821.64561525802</v>
      </c>
      <c r="F1363" s="9">
        <v>256742.26027803501</v>
      </c>
      <c r="G1363" s="9">
        <v>273202.80227406899</v>
      </c>
      <c r="H1363" s="9">
        <v>257070.97314913399</v>
      </c>
      <c r="I1363" s="21">
        <f t="shared" si="42"/>
        <v>328.71287109897821</v>
      </c>
      <c r="J1363" s="21">
        <f t="shared" si="43"/>
        <v>381.15665881097084</v>
      </c>
    </row>
    <row r="1364" spans="1:10" hidden="1">
      <c r="A1364" t="s">
        <v>231</v>
      </c>
      <c r="B1364" t="s">
        <v>233</v>
      </c>
      <c r="C1364" s="18">
        <v>2037</v>
      </c>
      <c r="D1364" t="s">
        <v>188</v>
      </c>
      <c r="E1364" s="9">
        <v>696398.30748886301</v>
      </c>
      <c r="F1364" s="9">
        <v>412366.77648545301</v>
      </c>
      <c r="G1364" s="9">
        <v>698060.50212694705</v>
      </c>
      <c r="H1364" s="9">
        <v>413018.343093551</v>
      </c>
      <c r="I1364" s="21">
        <f t="shared" si="42"/>
        <v>651.56660809798632</v>
      </c>
      <c r="J1364" s="21">
        <f t="shared" si="43"/>
        <v>1662.1946380840382</v>
      </c>
    </row>
    <row r="1365" spans="1:10" hidden="1">
      <c r="A1365" t="s">
        <v>231</v>
      </c>
      <c r="B1365" t="s">
        <v>233</v>
      </c>
      <c r="C1365" s="18">
        <v>2037</v>
      </c>
      <c r="D1365" t="s">
        <v>191</v>
      </c>
      <c r="E1365" s="9">
        <v>356005.31776235497</v>
      </c>
      <c r="F1365" s="9">
        <v>187647.66206972999</v>
      </c>
      <c r="G1365" s="9">
        <v>356425.67891865398</v>
      </c>
      <c r="H1365" s="9">
        <v>187788.31252848901</v>
      </c>
      <c r="I1365" s="21">
        <f t="shared" si="42"/>
        <v>140.65045875901706</v>
      </c>
      <c r="J1365" s="21">
        <f t="shared" si="43"/>
        <v>420.36115629901178</v>
      </c>
    </row>
    <row r="1366" spans="1:10" hidden="1">
      <c r="A1366" t="s">
        <v>231</v>
      </c>
      <c r="B1366" t="s">
        <v>233</v>
      </c>
      <c r="C1366" s="18">
        <v>2037</v>
      </c>
      <c r="D1366" t="s">
        <v>422</v>
      </c>
      <c r="E1366" s="9">
        <v>36837.291666295598</v>
      </c>
      <c r="F1366" s="9">
        <v>3450.1961764237299</v>
      </c>
      <c r="G1366" s="9">
        <v>36837.277480763201</v>
      </c>
      <c r="H1366" s="9">
        <v>3450.1946557369902</v>
      </c>
      <c r="I1366" s="21">
        <f t="shared" si="42"/>
        <v>-1.5206867396955204E-3</v>
      </c>
      <c r="J1366" s="21">
        <f t="shared" si="43"/>
        <v>-1.4185532396368217E-2</v>
      </c>
    </row>
    <row r="1367" spans="1:10" hidden="1">
      <c r="A1367" t="s">
        <v>231</v>
      </c>
      <c r="B1367" t="s">
        <v>233</v>
      </c>
      <c r="C1367" s="18">
        <v>2038</v>
      </c>
      <c r="D1367" t="s">
        <v>174</v>
      </c>
      <c r="E1367" s="9">
        <v>18568.130397659599</v>
      </c>
      <c r="F1367" s="9">
        <v>13156.763464751901</v>
      </c>
      <c r="G1367" s="9">
        <v>18564.7325343064</v>
      </c>
      <c r="H1367" s="9">
        <v>13155.6038503287</v>
      </c>
      <c r="I1367" s="21">
        <f t="shared" si="42"/>
        <v>-1.1596144232007646</v>
      </c>
      <c r="J1367" s="21">
        <f t="shared" si="43"/>
        <v>-3.3978633531987725</v>
      </c>
    </row>
    <row r="1368" spans="1:10" hidden="1">
      <c r="A1368" t="s">
        <v>231</v>
      </c>
      <c r="B1368" t="s">
        <v>233</v>
      </c>
      <c r="C1368" s="18">
        <v>2038</v>
      </c>
      <c r="D1368" t="s">
        <v>236</v>
      </c>
      <c r="E1368" s="9">
        <v>1192779.46899002</v>
      </c>
      <c r="F1368" s="9">
        <v>235074.93048823901</v>
      </c>
      <c r="G1368" s="9">
        <v>1196314.5451145701</v>
      </c>
      <c r="H1368" s="9">
        <v>235329.60149861901</v>
      </c>
      <c r="I1368" s="21">
        <f t="shared" si="42"/>
        <v>254.67101037999964</v>
      </c>
      <c r="J1368" s="21">
        <f t="shared" si="43"/>
        <v>3535.0761245500762</v>
      </c>
    </row>
    <row r="1369" spans="1:10" hidden="1">
      <c r="A1369" t="s">
        <v>231</v>
      </c>
      <c r="B1369" t="s">
        <v>233</v>
      </c>
      <c r="C1369" s="18">
        <v>2038</v>
      </c>
      <c r="D1369" t="s">
        <v>182</v>
      </c>
      <c r="E1369" s="9">
        <v>126336.210477092</v>
      </c>
      <c r="F1369" s="9">
        <v>82119.7386744018</v>
      </c>
      <c r="G1369" s="9">
        <v>126555.833855502</v>
      </c>
      <c r="H1369" s="9">
        <v>82253.930841494002</v>
      </c>
      <c r="I1369" s="21">
        <f t="shared" si="42"/>
        <v>134.192167092202</v>
      </c>
      <c r="J1369" s="21">
        <f t="shared" si="43"/>
        <v>219.62337841000408</v>
      </c>
    </row>
    <row r="1370" spans="1:10" hidden="1">
      <c r="A1370" t="s">
        <v>231</v>
      </c>
      <c r="B1370" t="s">
        <v>233</v>
      </c>
      <c r="C1370" s="18">
        <v>2038</v>
      </c>
      <c r="D1370" t="s">
        <v>185</v>
      </c>
      <c r="E1370" s="9">
        <v>272658.02140732598</v>
      </c>
      <c r="F1370" s="9">
        <v>256799.71643315599</v>
      </c>
      <c r="G1370" s="9">
        <v>273035.370644084</v>
      </c>
      <c r="H1370" s="9">
        <v>257130.676610817</v>
      </c>
      <c r="I1370" s="21">
        <f t="shared" si="42"/>
        <v>330.96017766100704</v>
      </c>
      <c r="J1370" s="21">
        <f t="shared" si="43"/>
        <v>377.34923675801838</v>
      </c>
    </row>
    <row r="1371" spans="1:10" hidden="1">
      <c r="A1371" t="s">
        <v>231</v>
      </c>
      <c r="B1371" t="s">
        <v>233</v>
      </c>
      <c r="C1371" s="18">
        <v>2038</v>
      </c>
      <c r="D1371" t="s">
        <v>188</v>
      </c>
      <c r="E1371" s="9">
        <v>706999.84003098099</v>
      </c>
      <c r="F1371" s="9">
        <v>419748.16200701398</v>
      </c>
      <c r="G1371" s="9">
        <v>708674.57496129896</v>
      </c>
      <c r="H1371" s="9">
        <v>420445.264129068</v>
      </c>
      <c r="I1371" s="21">
        <f t="shared" si="42"/>
        <v>697.10212205402786</v>
      </c>
      <c r="J1371" s="21">
        <f t="shared" si="43"/>
        <v>1674.7349303179653</v>
      </c>
    </row>
    <row r="1372" spans="1:10" hidden="1">
      <c r="A1372" t="s">
        <v>231</v>
      </c>
      <c r="B1372" t="s">
        <v>233</v>
      </c>
      <c r="C1372" s="18">
        <v>2038</v>
      </c>
      <c r="D1372" t="s">
        <v>191</v>
      </c>
      <c r="E1372" s="9">
        <v>360480.96968494402</v>
      </c>
      <c r="F1372" s="9">
        <v>189199.64217742701</v>
      </c>
      <c r="G1372" s="9">
        <v>360900.93527344998</v>
      </c>
      <c r="H1372" s="9">
        <v>189347.42226660499</v>
      </c>
      <c r="I1372" s="21">
        <f t="shared" si="42"/>
        <v>147.78008917797706</v>
      </c>
      <c r="J1372" s="21">
        <f t="shared" si="43"/>
        <v>419.96558850596193</v>
      </c>
    </row>
    <row r="1373" spans="1:10" hidden="1">
      <c r="A1373" t="s">
        <v>231</v>
      </c>
      <c r="B1373" t="s">
        <v>233</v>
      </c>
      <c r="C1373" s="18">
        <v>2038</v>
      </c>
      <c r="D1373" t="s">
        <v>422</v>
      </c>
      <c r="E1373" s="9">
        <v>36551.454575506898</v>
      </c>
      <c r="F1373" s="9">
        <v>3322.8230894066301</v>
      </c>
      <c r="G1373" s="9">
        <v>36551.441257778999</v>
      </c>
      <c r="H1373" s="9">
        <v>3322.8215744210102</v>
      </c>
      <c r="I1373" s="21">
        <f t="shared" si="42"/>
        <v>-1.5149856199059286E-3</v>
      </c>
      <c r="J1373" s="21">
        <f t="shared" si="43"/>
        <v>-1.3317727898538578E-2</v>
      </c>
    </row>
    <row r="1374" spans="1:10" hidden="1">
      <c r="A1374" t="s">
        <v>231</v>
      </c>
      <c r="B1374" t="s">
        <v>233</v>
      </c>
      <c r="C1374" s="18">
        <v>2039</v>
      </c>
      <c r="D1374" t="s">
        <v>174</v>
      </c>
      <c r="E1374" s="9">
        <v>19178.3122020599</v>
      </c>
      <c r="F1374" s="9">
        <v>13518.204033235101</v>
      </c>
      <c r="G1374" s="9">
        <v>19174.345745902901</v>
      </c>
      <c r="H1374" s="9">
        <v>13516.7785061579</v>
      </c>
      <c r="I1374" s="21">
        <f t="shared" si="42"/>
        <v>-1.4255270772009681</v>
      </c>
      <c r="J1374" s="21">
        <f t="shared" si="43"/>
        <v>-3.9664561569989019</v>
      </c>
    </row>
    <row r="1375" spans="1:10" hidden="1">
      <c r="A1375" t="s">
        <v>231</v>
      </c>
      <c r="B1375" t="s">
        <v>233</v>
      </c>
      <c r="C1375" s="18">
        <v>2039</v>
      </c>
      <c r="D1375" t="s">
        <v>236</v>
      </c>
      <c r="E1375" s="9">
        <v>1203387.11975116</v>
      </c>
      <c r="F1375" s="9">
        <v>243201.341499673</v>
      </c>
      <c r="G1375" s="9">
        <v>1206925.78308321</v>
      </c>
      <c r="H1375" s="9">
        <v>243483.36403446301</v>
      </c>
      <c r="I1375" s="21">
        <f t="shared" si="42"/>
        <v>282.02253479001229</v>
      </c>
      <c r="J1375" s="21">
        <f t="shared" si="43"/>
        <v>3538.6633320499677</v>
      </c>
    </row>
    <row r="1376" spans="1:10" hidden="1">
      <c r="A1376" t="s">
        <v>231</v>
      </c>
      <c r="B1376" t="s">
        <v>233</v>
      </c>
      <c r="C1376" s="18">
        <v>2039</v>
      </c>
      <c r="D1376" t="s">
        <v>182</v>
      </c>
      <c r="E1376" s="9">
        <v>127781.457075119</v>
      </c>
      <c r="F1376" s="9">
        <v>83251.258532874504</v>
      </c>
      <c r="G1376" s="9">
        <v>128001.347826374</v>
      </c>
      <c r="H1376" s="9">
        <v>83389.180958792305</v>
      </c>
      <c r="I1376" s="21">
        <f t="shared" si="42"/>
        <v>137.92242591780087</v>
      </c>
      <c r="J1376" s="21">
        <f t="shared" si="43"/>
        <v>219.89075125499221</v>
      </c>
    </row>
    <row r="1377" spans="1:10" hidden="1">
      <c r="A1377" t="s">
        <v>231</v>
      </c>
      <c r="B1377" t="s">
        <v>233</v>
      </c>
      <c r="C1377" s="18">
        <v>2039</v>
      </c>
      <c r="D1377" t="s">
        <v>185</v>
      </c>
      <c r="E1377" s="9">
        <v>272599.672190952</v>
      </c>
      <c r="F1377" s="9">
        <v>257109.45805996601</v>
      </c>
      <c r="G1377" s="9">
        <v>272973.34550101002</v>
      </c>
      <c r="H1377" s="9">
        <v>257441.86914336999</v>
      </c>
      <c r="I1377" s="21">
        <f t="shared" si="42"/>
        <v>332.41108340397477</v>
      </c>
      <c r="J1377" s="21">
        <f t="shared" si="43"/>
        <v>373.6733100580168</v>
      </c>
    </row>
    <row r="1378" spans="1:10" hidden="1">
      <c r="A1378" t="s">
        <v>231</v>
      </c>
      <c r="B1378" t="s">
        <v>233</v>
      </c>
      <c r="C1378" s="18">
        <v>2039</v>
      </c>
      <c r="D1378" t="s">
        <v>188</v>
      </c>
      <c r="E1378" s="9">
        <v>713902.87450025801</v>
      </c>
      <c r="F1378" s="9">
        <v>427704.59448914998</v>
      </c>
      <c r="G1378" s="9">
        <v>715580.88708538504</v>
      </c>
      <c r="H1378" s="9">
        <v>428444.56848174502</v>
      </c>
      <c r="I1378" s="21">
        <f t="shared" si="42"/>
        <v>739.97399259504164</v>
      </c>
      <c r="J1378" s="21">
        <f t="shared" si="43"/>
        <v>1678.0125851270277</v>
      </c>
    </row>
    <row r="1379" spans="1:10" hidden="1">
      <c r="A1379" t="s">
        <v>231</v>
      </c>
      <c r="B1379" t="s">
        <v>233</v>
      </c>
      <c r="C1379" s="18">
        <v>2039</v>
      </c>
      <c r="D1379" t="s">
        <v>191</v>
      </c>
      <c r="E1379" s="9">
        <v>362552.75549533602</v>
      </c>
      <c r="F1379" s="9">
        <v>191775.17293897099</v>
      </c>
      <c r="G1379" s="9">
        <v>362969.198365508</v>
      </c>
      <c r="H1379" s="9">
        <v>191929.610855123</v>
      </c>
      <c r="I1379" s="21">
        <f t="shared" si="42"/>
        <v>154.43791615200462</v>
      </c>
      <c r="J1379" s="21">
        <f t="shared" si="43"/>
        <v>416.44287017197348</v>
      </c>
    </row>
    <row r="1380" spans="1:10" hidden="1">
      <c r="A1380" t="s">
        <v>231</v>
      </c>
      <c r="B1380" t="s">
        <v>233</v>
      </c>
      <c r="C1380" s="18">
        <v>2039</v>
      </c>
      <c r="D1380" t="s">
        <v>422</v>
      </c>
      <c r="E1380" s="9">
        <v>36178.237257891204</v>
      </c>
      <c r="F1380" s="9">
        <v>3198.02446295049</v>
      </c>
      <c r="G1380" s="9">
        <v>36178.223844718399</v>
      </c>
      <c r="H1380" s="9">
        <v>3198.0230538302199</v>
      </c>
      <c r="I1380" s="21">
        <f t="shared" si="42"/>
        <v>-1.4091202701820293E-3</v>
      </c>
      <c r="J1380" s="21">
        <f t="shared" si="43"/>
        <v>-1.3413172804575879E-2</v>
      </c>
    </row>
    <row r="1381" spans="1:10" hidden="1">
      <c r="A1381" t="s">
        <v>231</v>
      </c>
      <c r="B1381" t="s">
        <v>233</v>
      </c>
      <c r="C1381" s="18">
        <v>2040</v>
      </c>
      <c r="D1381" t="s">
        <v>174</v>
      </c>
      <c r="E1381" s="9">
        <v>19810.083354464299</v>
      </c>
      <c r="F1381" s="9">
        <v>13881.3879598065</v>
      </c>
      <c r="G1381" s="9">
        <v>19805.505805764798</v>
      </c>
      <c r="H1381" s="9">
        <v>13879.6732870407</v>
      </c>
      <c r="I1381" s="21">
        <f t="shared" si="42"/>
        <v>-1.71467276580006</v>
      </c>
      <c r="J1381" s="21">
        <f t="shared" si="43"/>
        <v>-4.5775486995007668</v>
      </c>
    </row>
    <row r="1382" spans="1:10" hidden="1">
      <c r="A1382" t="s">
        <v>231</v>
      </c>
      <c r="B1382" t="s">
        <v>233</v>
      </c>
      <c r="C1382" s="18">
        <v>2040</v>
      </c>
      <c r="D1382" t="s">
        <v>236</v>
      </c>
      <c r="E1382" s="9">
        <v>1213488.9834440399</v>
      </c>
      <c r="F1382" s="9">
        <v>251282.30588921101</v>
      </c>
      <c r="G1382" s="9">
        <v>1217029.49333677</v>
      </c>
      <c r="H1382" s="9">
        <v>251591.89866486701</v>
      </c>
      <c r="I1382" s="21">
        <f t="shared" si="42"/>
        <v>309.59277565599768</v>
      </c>
      <c r="J1382" s="21">
        <f t="shared" si="43"/>
        <v>3540.5098927300423</v>
      </c>
    </row>
    <row r="1383" spans="1:10" hidden="1">
      <c r="A1383" t="s">
        <v>231</v>
      </c>
      <c r="B1383" t="s">
        <v>233</v>
      </c>
      <c r="C1383" s="18">
        <v>2040</v>
      </c>
      <c r="D1383" t="s">
        <v>182</v>
      </c>
      <c r="E1383" s="9">
        <v>129857.913163452</v>
      </c>
      <c r="F1383" s="9">
        <v>84290.8759543536</v>
      </c>
      <c r="G1383" s="9">
        <v>130079.117811465</v>
      </c>
      <c r="H1383" s="9">
        <v>84431.891175836907</v>
      </c>
      <c r="I1383" s="21">
        <f t="shared" si="42"/>
        <v>141.01522148330696</v>
      </c>
      <c r="J1383" s="21">
        <f t="shared" si="43"/>
        <v>221.20464801299386</v>
      </c>
    </row>
    <row r="1384" spans="1:10" hidden="1">
      <c r="A1384" t="s">
        <v>231</v>
      </c>
      <c r="B1384" t="s">
        <v>233</v>
      </c>
      <c r="C1384" s="18">
        <v>2040</v>
      </c>
      <c r="D1384" t="s">
        <v>185</v>
      </c>
      <c r="E1384" s="9">
        <v>272402.91500980803</v>
      </c>
      <c r="F1384" s="9">
        <v>257118.92559267301</v>
      </c>
      <c r="G1384" s="9">
        <v>272772.69297753199</v>
      </c>
      <c r="H1384" s="9">
        <v>257451.80463236</v>
      </c>
      <c r="I1384" s="21">
        <f t="shared" si="42"/>
        <v>332.87903968698811</v>
      </c>
      <c r="J1384" s="21">
        <f t="shared" si="43"/>
        <v>369.77796772395959</v>
      </c>
    </row>
    <row r="1385" spans="1:10" hidden="1">
      <c r="A1385" t="s">
        <v>231</v>
      </c>
      <c r="B1385" t="s">
        <v>233</v>
      </c>
      <c r="C1385" s="18">
        <v>2040</v>
      </c>
      <c r="D1385" t="s">
        <v>188</v>
      </c>
      <c r="E1385" s="9">
        <v>723370.54875969305</v>
      </c>
      <c r="F1385" s="9">
        <v>434429.46225682599</v>
      </c>
      <c r="G1385" s="9">
        <v>725057.85135654395</v>
      </c>
      <c r="H1385" s="9">
        <v>435208.84098996199</v>
      </c>
      <c r="I1385" s="21">
        <f t="shared" si="42"/>
        <v>779.37873313599266</v>
      </c>
      <c r="J1385" s="21">
        <f t="shared" si="43"/>
        <v>1687.3025968509028</v>
      </c>
    </row>
    <row r="1386" spans="1:10" hidden="1">
      <c r="A1386" t="s">
        <v>231</v>
      </c>
      <c r="B1386" t="s">
        <v>233</v>
      </c>
      <c r="C1386" s="18">
        <v>2040</v>
      </c>
      <c r="D1386" t="s">
        <v>191</v>
      </c>
      <c r="E1386" s="9">
        <v>366299.077535355</v>
      </c>
      <c r="F1386" s="9">
        <v>193692.74059974999</v>
      </c>
      <c r="G1386" s="9">
        <v>366714.04580788402</v>
      </c>
      <c r="H1386" s="9">
        <v>193853.25074776399</v>
      </c>
      <c r="I1386" s="21">
        <f t="shared" si="42"/>
        <v>160.51014801400015</v>
      </c>
      <c r="J1386" s="21">
        <f t="shared" si="43"/>
        <v>414.96827252901858</v>
      </c>
    </row>
    <row r="1387" spans="1:10" hidden="1">
      <c r="A1387" t="s">
        <v>231</v>
      </c>
      <c r="B1387" t="s">
        <v>233</v>
      </c>
      <c r="C1387" s="18">
        <v>2040</v>
      </c>
      <c r="D1387" t="s">
        <v>422</v>
      </c>
      <c r="E1387" s="9">
        <v>36005.041285239298</v>
      </c>
      <c r="F1387" s="9">
        <v>3069.25320494793</v>
      </c>
      <c r="G1387" s="9">
        <v>36005.028086341903</v>
      </c>
      <c r="H1387" s="9">
        <v>3069.2518935015801</v>
      </c>
      <c r="I1387" s="21">
        <f t="shared" si="42"/>
        <v>-1.3114463499732665E-3</v>
      </c>
      <c r="J1387" s="21">
        <f t="shared" si="43"/>
        <v>-1.3198897395341191E-2</v>
      </c>
    </row>
    <row r="1388" spans="1:10" hidden="1">
      <c r="A1388" t="s">
        <v>231</v>
      </c>
      <c r="B1388" t="s">
        <v>233</v>
      </c>
      <c r="C1388" s="18">
        <v>2041</v>
      </c>
      <c r="D1388" t="s">
        <v>174</v>
      </c>
      <c r="E1388" s="9">
        <v>20458.8573322884</v>
      </c>
      <c r="F1388" s="9">
        <v>14251.565662601</v>
      </c>
      <c r="G1388" s="9">
        <v>20453.6267543422</v>
      </c>
      <c r="H1388" s="9">
        <v>14249.536455216699</v>
      </c>
      <c r="I1388" s="21">
        <f t="shared" si="42"/>
        <v>-2.0292073843011167</v>
      </c>
      <c r="J1388" s="21">
        <f t="shared" si="43"/>
        <v>-5.2305779462003557</v>
      </c>
    </row>
    <row r="1389" spans="1:10" hidden="1">
      <c r="A1389" t="s">
        <v>231</v>
      </c>
      <c r="B1389" t="s">
        <v>233</v>
      </c>
      <c r="C1389" s="18">
        <v>2041</v>
      </c>
      <c r="D1389" t="s">
        <v>236</v>
      </c>
      <c r="E1389" s="9">
        <v>1223083.8183786001</v>
      </c>
      <c r="F1389" s="9">
        <v>259339.809895415</v>
      </c>
      <c r="G1389" s="9">
        <v>1226624.8107670301</v>
      </c>
      <c r="H1389" s="9">
        <v>259677.195752453</v>
      </c>
      <c r="I1389" s="21">
        <f t="shared" si="42"/>
        <v>337.38585703799617</v>
      </c>
      <c r="J1389" s="21">
        <f t="shared" si="43"/>
        <v>3540.9923884300515</v>
      </c>
    </row>
    <row r="1390" spans="1:10" hidden="1">
      <c r="A1390" t="s">
        <v>231</v>
      </c>
      <c r="B1390" t="s">
        <v>233</v>
      </c>
      <c r="C1390" s="18">
        <v>2041</v>
      </c>
      <c r="D1390" t="s">
        <v>182</v>
      </c>
      <c r="E1390" s="9">
        <v>132007.053312442</v>
      </c>
      <c r="F1390" s="9">
        <v>85388.705162586994</v>
      </c>
      <c r="G1390" s="9">
        <v>132229.629710176</v>
      </c>
      <c r="H1390" s="9">
        <v>85532.319590607702</v>
      </c>
      <c r="I1390" s="21">
        <f t="shared" si="42"/>
        <v>143.61442802070815</v>
      </c>
      <c r="J1390" s="21">
        <f t="shared" si="43"/>
        <v>222.57639773399569</v>
      </c>
    </row>
    <row r="1391" spans="1:10" hidden="1">
      <c r="A1391" t="s">
        <v>231</v>
      </c>
      <c r="B1391" t="s">
        <v>233</v>
      </c>
      <c r="C1391" s="18">
        <v>2041</v>
      </c>
      <c r="D1391" t="s">
        <v>185</v>
      </c>
      <c r="E1391" s="9">
        <v>272245.78617957898</v>
      </c>
      <c r="F1391" s="9">
        <v>257057.011832588</v>
      </c>
      <c r="G1391" s="9">
        <v>272611.75367129099</v>
      </c>
      <c r="H1391" s="9">
        <v>257389.63175428601</v>
      </c>
      <c r="I1391" s="21">
        <f t="shared" si="42"/>
        <v>332.61992169800214</v>
      </c>
      <c r="J1391" s="21">
        <f t="shared" si="43"/>
        <v>365.96749171201373</v>
      </c>
    </row>
    <row r="1392" spans="1:10" hidden="1">
      <c r="A1392" t="s">
        <v>231</v>
      </c>
      <c r="B1392" t="s">
        <v>233</v>
      </c>
      <c r="C1392" s="18">
        <v>2041</v>
      </c>
      <c r="D1392" t="s">
        <v>188</v>
      </c>
      <c r="E1392" s="9">
        <v>732930.68437895796</v>
      </c>
      <c r="F1392" s="9">
        <v>441508.36211276398</v>
      </c>
      <c r="G1392" s="9">
        <v>734627.74007540499</v>
      </c>
      <c r="H1392" s="9">
        <v>442324.30640679202</v>
      </c>
      <c r="I1392" s="21">
        <f t="shared" si="42"/>
        <v>815.94429402804235</v>
      </c>
      <c r="J1392" s="21">
        <f t="shared" si="43"/>
        <v>1697.0556964470306</v>
      </c>
    </row>
    <row r="1393" spans="1:10" hidden="1">
      <c r="A1393" t="s">
        <v>231</v>
      </c>
      <c r="B1393" t="s">
        <v>233</v>
      </c>
      <c r="C1393" s="18">
        <v>2041</v>
      </c>
      <c r="D1393" t="s">
        <v>191</v>
      </c>
      <c r="E1393" s="9">
        <v>370023.45863639901</v>
      </c>
      <c r="F1393" s="9">
        <v>195760.87922105601</v>
      </c>
      <c r="G1393" s="9">
        <v>370436.97560679301</v>
      </c>
      <c r="H1393" s="9">
        <v>195926.90720139601</v>
      </c>
      <c r="I1393" s="21">
        <f t="shared" si="42"/>
        <v>166.02798034000443</v>
      </c>
      <c r="J1393" s="21">
        <f t="shared" si="43"/>
        <v>413.5169703940046</v>
      </c>
    </row>
    <row r="1394" spans="1:10" hidden="1">
      <c r="A1394" t="s">
        <v>231</v>
      </c>
      <c r="B1394" t="s">
        <v>233</v>
      </c>
      <c r="C1394" s="18">
        <v>2041</v>
      </c>
      <c r="D1394" t="s">
        <v>422</v>
      </c>
      <c r="E1394" s="9">
        <v>35900.7778935487</v>
      </c>
      <c r="F1394" s="9">
        <v>2944.01674318287</v>
      </c>
      <c r="G1394" s="9">
        <v>35900.765054072101</v>
      </c>
      <c r="H1394" s="9">
        <v>2944.01552271229</v>
      </c>
      <c r="I1394" s="21">
        <f t="shared" si="42"/>
        <v>-1.2204705799376825E-3</v>
      </c>
      <c r="J1394" s="21">
        <f t="shared" si="43"/>
        <v>-1.2839476599765476E-2</v>
      </c>
    </row>
    <row r="1395" spans="1:10" hidden="1">
      <c r="A1395" t="s">
        <v>231</v>
      </c>
      <c r="B1395" t="s">
        <v>233</v>
      </c>
      <c r="C1395" s="18">
        <v>2042</v>
      </c>
      <c r="D1395" t="s">
        <v>174</v>
      </c>
      <c r="E1395" s="9">
        <v>21121.506775919999</v>
      </c>
      <c r="F1395" s="9">
        <v>14628.689567404999</v>
      </c>
      <c r="G1395" s="9">
        <v>21115.581702688502</v>
      </c>
      <c r="H1395" s="9">
        <v>14626.319006600401</v>
      </c>
      <c r="I1395" s="21">
        <f t="shared" si="42"/>
        <v>-2.3705608045984263</v>
      </c>
      <c r="J1395" s="21">
        <f t="shared" si="43"/>
        <v>-5.9250732314976631</v>
      </c>
    </row>
    <row r="1396" spans="1:10" hidden="1">
      <c r="A1396" t="s">
        <v>231</v>
      </c>
      <c r="B1396" t="s">
        <v>233</v>
      </c>
      <c r="C1396" s="18">
        <v>2042</v>
      </c>
      <c r="D1396" t="s">
        <v>236</v>
      </c>
      <c r="E1396" s="9">
        <v>1232163.5906457501</v>
      </c>
      <c r="F1396" s="9">
        <v>267413.36774027999</v>
      </c>
      <c r="G1396" s="9">
        <v>1235703.75022274</v>
      </c>
      <c r="H1396" s="9">
        <v>267778.732534162</v>
      </c>
      <c r="I1396" s="21">
        <f t="shared" si="42"/>
        <v>365.36479388200678</v>
      </c>
      <c r="J1396" s="21">
        <f t="shared" si="43"/>
        <v>3540.1595769899432</v>
      </c>
    </row>
    <row r="1397" spans="1:10" hidden="1">
      <c r="A1397" t="s">
        <v>231</v>
      </c>
      <c r="B1397" t="s">
        <v>233</v>
      </c>
      <c r="C1397" s="18">
        <v>2042</v>
      </c>
      <c r="D1397" t="s">
        <v>182</v>
      </c>
      <c r="E1397" s="9">
        <v>134127.774371651</v>
      </c>
      <c r="F1397" s="9">
        <v>86511.461525440202</v>
      </c>
      <c r="G1397" s="9">
        <v>134351.62604870801</v>
      </c>
      <c r="H1397" s="9">
        <v>86657.313221329707</v>
      </c>
      <c r="I1397" s="21">
        <f t="shared" si="42"/>
        <v>145.85169588950521</v>
      </c>
      <c r="J1397" s="21">
        <f t="shared" si="43"/>
        <v>223.85167705701315</v>
      </c>
    </row>
    <row r="1398" spans="1:10" hidden="1">
      <c r="A1398" t="s">
        <v>231</v>
      </c>
      <c r="B1398" t="s">
        <v>233</v>
      </c>
      <c r="C1398" s="18">
        <v>2042</v>
      </c>
      <c r="D1398" t="s">
        <v>185</v>
      </c>
      <c r="E1398" s="9">
        <v>271918.72518405598</v>
      </c>
      <c r="F1398" s="9">
        <v>256866.62443418999</v>
      </c>
      <c r="G1398" s="9">
        <v>272280.658720601</v>
      </c>
      <c r="H1398" s="9">
        <v>257198.34975601899</v>
      </c>
      <c r="I1398" s="21">
        <f t="shared" si="42"/>
        <v>331.72532182899886</v>
      </c>
      <c r="J1398" s="21">
        <f t="shared" si="43"/>
        <v>361.93353654502425</v>
      </c>
    </row>
    <row r="1399" spans="1:10" hidden="1">
      <c r="A1399" t="s">
        <v>231</v>
      </c>
      <c r="B1399" t="s">
        <v>233</v>
      </c>
      <c r="C1399" s="18">
        <v>2042</v>
      </c>
      <c r="D1399" t="s">
        <v>188</v>
      </c>
      <c r="E1399" s="9">
        <v>742606.33095879701</v>
      </c>
      <c r="F1399" s="9">
        <v>448751.24354045402</v>
      </c>
      <c r="G1399" s="9">
        <v>744313.272667757</v>
      </c>
      <c r="H1399" s="9">
        <v>449601.26122749498</v>
      </c>
      <c r="I1399" s="21">
        <f t="shared" si="42"/>
        <v>850.01768704096321</v>
      </c>
      <c r="J1399" s="21">
        <f t="shared" si="43"/>
        <v>1706.9417089599883</v>
      </c>
    </row>
    <row r="1400" spans="1:10" hidden="1">
      <c r="A1400" t="s">
        <v>231</v>
      </c>
      <c r="B1400" t="s">
        <v>233</v>
      </c>
      <c r="C1400" s="18">
        <v>2042</v>
      </c>
      <c r="D1400" t="s">
        <v>191</v>
      </c>
      <c r="E1400" s="9">
        <v>374006.88699076098</v>
      </c>
      <c r="F1400" s="9">
        <v>197911.71332926999</v>
      </c>
      <c r="G1400" s="9">
        <v>374419.26204563602</v>
      </c>
      <c r="H1400" s="9">
        <v>198082.81410371399</v>
      </c>
      <c r="I1400" s="21">
        <f t="shared" si="42"/>
        <v>171.1007744439994</v>
      </c>
      <c r="J1400" s="21">
        <f t="shared" si="43"/>
        <v>412.3750548750395</v>
      </c>
    </row>
    <row r="1401" spans="1:10" hidden="1">
      <c r="A1401" t="s">
        <v>231</v>
      </c>
      <c r="B1401" t="s">
        <v>233</v>
      </c>
      <c r="C1401" s="18">
        <v>2042</v>
      </c>
      <c r="D1401" t="s">
        <v>422</v>
      </c>
      <c r="E1401" s="9">
        <v>35516.852993098299</v>
      </c>
      <c r="F1401" s="9">
        <v>2820.51334391206</v>
      </c>
      <c r="G1401" s="9">
        <v>35516.840593533198</v>
      </c>
      <c r="H1401" s="9">
        <v>2820.5122126446799</v>
      </c>
      <c r="I1401" s="21">
        <f t="shared" si="42"/>
        <v>-1.1312673800603079E-3</v>
      </c>
      <c r="J1401" s="21">
        <f t="shared" si="43"/>
        <v>-1.2399565101077314E-2</v>
      </c>
    </row>
    <row r="1402" spans="1:10" hidden="1">
      <c r="A1402" t="s">
        <v>231</v>
      </c>
      <c r="B1402" t="s">
        <v>233</v>
      </c>
      <c r="C1402" s="18">
        <v>2043</v>
      </c>
      <c r="D1402" t="s">
        <v>174</v>
      </c>
      <c r="E1402" s="9">
        <v>21795.787846926702</v>
      </c>
      <c r="F1402" s="9">
        <v>15006.8242628427</v>
      </c>
      <c r="G1402" s="9">
        <v>21789.125656033499</v>
      </c>
      <c r="H1402" s="9">
        <v>15004.086115812899</v>
      </c>
      <c r="I1402" s="21">
        <f t="shared" si="42"/>
        <v>-2.7381470298005297</v>
      </c>
      <c r="J1402" s="21">
        <f t="shared" si="43"/>
        <v>-6.6621908932029328</v>
      </c>
    </row>
    <row r="1403" spans="1:10" hidden="1">
      <c r="A1403" t="s">
        <v>231</v>
      </c>
      <c r="B1403" t="s">
        <v>233</v>
      </c>
      <c r="C1403" s="18">
        <v>2043</v>
      </c>
      <c r="D1403" t="s">
        <v>236</v>
      </c>
      <c r="E1403" s="9">
        <v>1240708.5226958101</v>
      </c>
      <c r="F1403" s="9">
        <v>275483.55533867399</v>
      </c>
      <c r="G1403" s="9">
        <v>1244246.5115360599</v>
      </c>
      <c r="H1403" s="9">
        <v>275876.99548631802</v>
      </c>
      <c r="I1403" s="21">
        <f t="shared" si="42"/>
        <v>393.44014764402527</v>
      </c>
      <c r="J1403" s="21">
        <f t="shared" si="43"/>
        <v>3537.9888402498327</v>
      </c>
    </row>
    <row r="1404" spans="1:10" hidden="1">
      <c r="A1404" t="s">
        <v>231</v>
      </c>
      <c r="B1404" t="s">
        <v>233</v>
      </c>
      <c r="C1404" s="18">
        <v>2043</v>
      </c>
      <c r="D1404" t="s">
        <v>182</v>
      </c>
      <c r="E1404" s="9">
        <v>136376.67747374601</v>
      </c>
      <c r="F1404" s="9">
        <v>87631.291327285202</v>
      </c>
      <c r="G1404" s="9">
        <v>136601.974960575</v>
      </c>
      <c r="H1404" s="9">
        <v>87779.034425801001</v>
      </c>
      <c r="I1404" s="21">
        <f t="shared" si="42"/>
        <v>147.74309851579892</v>
      </c>
      <c r="J1404" s="21">
        <f t="shared" si="43"/>
        <v>225.29748682898935</v>
      </c>
    </row>
    <row r="1405" spans="1:10" hidden="1">
      <c r="A1405" t="s">
        <v>231</v>
      </c>
      <c r="B1405" t="s">
        <v>233</v>
      </c>
      <c r="C1405" s="18">
        <v>2043</v>
      </c>
      <c r="D1405" t="s">
        <v>185</v>
      </c>
      <c r="E1405" s="9">
        <v>271332.22613498202</v>
      </c>
      <c r="F1405" s="9">
        <v>256447.42758653901</v>
      </c>
      <c r="G1405" s="9">
        <v>271689.79422675102</v>
      </c>
      <c r="H1405" s="9">
        <v>256777.58715706799</v>
      </c>
      <c r="I1405" s="21">
        <f t="shared" si="42"/>
        <v>330.15957052898011</v>
      </c>
      <c r="J1405" s="21">
        <f t="shared" si="43"/>
        <v>357.56809176900424</v>
      </c>
    </row>
    <row r="1406" spans="1:10" hidden="1">
      <c r="A1406" t="s">
        <v>231</v>
      </c>
      <c r="B1406" t="s">
        <v>233</v>
      </c>
      <c r="C1406" s="18">
        <v>2043</v>
      </c>
      <c r="D1406" t="s">
        <v>188</v>
      </c>
      <c r="E1406" s="9">
        <v>752653.34605694795</v>
      </c>
      <c r="F1406" s="9">
        <v>456034.25905989198</v>
      </c>
      <c r="G1406" s="9">
        <v>754370.89241350198</v>
      </c>
      <c r="H1406" s="9">
        <v>456915.72204617201</v>
      </c>
      <c r="I1406" s="21">
        <f t="shared" si="42"/>
        <v>881.46298628003569</v>
      </c>
      <c r="J1406" s="21">
        <f t="shared" si="43"/>
        <v>1717.5463565540267</v>
      </c>
    </row>
    <row r="1407" spans="1:10" hidden="1">
      <c r="A1407" t="s">
        <v>231</v>
      </c>
      <c r="B1407" t="s">
        <v>233</v>
      </c>
      <c r="C1407" s="18">
        <v>2043</v>
      </c>
      <c r="D1407" t="s">
        <v>191</v>
      </c>
      <c r="E1407" s="9">
        <v>378354.850356034</v>
      </c>
      <c r="F1407" s="9">
        <v>200028.549649622</v>
      </c>
      <c r="G1407" s="9">
        <v>378766.53451535699</v>
      </c>
      <c r="H1407" s="9">
        <v>200204.274251736</v>
      </c>
      <c r="I1407" s="21">
        <f t="shared" si="42"/>
        <v>175.72460211400175</v>
      </c>
      <c r="J1407" s="21">
        <f t="shared" si="43"/>
        <v>411.68415932299104</v>
      </c>
    </row>
    <row r="1408" spans="1:10" hidden="1">
      <c r="A1408" t="s">
        <v>231</v>
      </c>
      <c r="B1408" t="s">
        <v>233</v>
      </c>
      <c r="C1408" s="18">
        <v>2043</v>
      </c>
      <c r="D1408" t="s">
        <v>422</v>
      </c>
      <c r="E1408" s="9">
        <v>35328.784374606497</v>
      </c>
      <c r="F1408" s="9">
        <v>2698.3319719244701</v>
      </c>
      <c r="G1408" s="9">
        <v>35328.773203308199</v>
      </c>
      <c r="H1408" s="9">
        <v>2698.3309296050402</v>
      </c>
      <c r="I1408" s="21">
        <f t="shared" si="42"/>
        <v>-1.0423194298709859E-3</v>
      </c>
      <c r="J1408" s="21">
        <f t="shared" si="43"/>
        <v>-1.1171298297995236E-2</v>
      </c>
    </row>
    <row r="1409" spans="1:10" hidden="1">
      <c r="A1409" t="s">
        <v>231</v>
      </c>
      <c r="B1409" t="s">
        <v>233</v>
      </c>
      <c r="C1409" s="18">
        <v>2044</v>
      </c>
      <c r="D1409" t="s">
        <v>174</v>
      </c>
      <c r="E1409" s="9">
        <v>22479.848086537</v>
      </c>
      <c r="F1409" s="9">
        <v>15391.770413988699</v>
      </c>
      <c r="G1409" s="9">
        <v>22472.405778779801</v>
      </c>
      <c r="H1409" s="9">
        <v>15388.638261887199</v>
      </c>
      <c r="I1409" s="21">
        <f t="shared" si="42"/>
        <v>-3.1321521014997415</v>
      </c>
      <c r="J1409" s="21">
        <f t="shared" si="43"/>
        <v>-7.4423077571991598</v>
      </c>
    </row>
    <row r="1410" spans="1:10" hidden="1">
      <c r="A1410" t="s">
        <v>231</v>
      </c>
      <c r="B1410" t="s">
        <v>233</v>
      </c>
      <c r="C1410" s="18">
        <v>2044</v>
      </c>
      <c r="D1410" t="s">
        <v>236</v>
      </c>
      <c r="E1410" s="9">
        <v>1248984.3849567301</v>
      </c>
      <c r="F1410" s="9">
        <v>283480.502472241</v>
      </c>
      <c r="G1410" s="9">
        <v>1252519.7576166999</v>
      </c>
      <c r="H1410" s="9">
        <v>283902.05041687097</v>
      </c>
      <c r="I1410" s="21">
        <f t="shared" ref="I1410:I1473" si="44">H1410-F1410</f>
        <v>421.54794462997233</v>
      </c>
      <c r="J1410" s="21">
        <f t="shared" ref="J1410:J1473" si="45">G1410-E1410</f>
        <v>3535.3726599698421</v>
      </c>
    </row>
    <row r="1411" spans="1:10" hidden="1">
      <c r="A1411" t="s">
        <v>231</v>
      </c>
      <c r="B1411" t="s">
        <v>233</v>
      </c>
      <c r="C1411" s="18">
        <v>2044</v>
      </c>
      <c r="D1411" t="s">
        <v>182</v>
      </c>
      <c r="E1411" s="9">
        <v>137902.31590740499</v>
      </c>
      <c r="F1411" s="9">
        <v>88763.095534520995</v>
      </c>
      <c r="G1411" s="9">
        <v>138127.80749224901</v>
      </c>
      <c r="H1411" s="9">
        <v>88912.446286897801</v>
      </c>
      <c r="I1411" s="21">
        <f t="shared" si="44"/>
        <v>149.35075237680576</v>
      </c>
      <c r="J1411" s="21">
        <f t="shared" si="45"/>
        <v>225.49158484401414</v>
      </c>
    </row>
    <row r="1412" spans="1:10" hidden="1">
      <c r="A1412" t="s">
        <v>231</v>
      </c>
      <c r="B1412" t="s">
        <v>233</v>
      </c>
      <c r="C1412" s="18">
        <v>2044</v>
      </c>
      <c r="D1412" t="s">
        <v>185</v>
      </c>
      <c r="E1412" s="9">
        <v>270627.95079253003</v>
      </c>
      <c r="F1412" s="9">
        <v>256108.10418279999</v>
      </c>
      <c r="G1412" s="9">
        <v>270981.060601887</v>
      </c>
      <c r="H1412" s="9">
        <v>256436.399818879</v>
      </c>
      <c r="I1412" s="21">
        <f t="shared" si="44"/>
        <v>328.29563607901218</v>
      </c>
      <c r="J1412" s="21">
        <f t="shared" si="45"/>
        <v>353.10980935697444</v>
      </c>
    </row>
    <row r="1413" spans="1:10" hidden="1">
      <c r="A1413" t="s">
        <v>231</v>
      </c>
      <c r="B1413" t="s">
        <v>233</v>
      </c>
      <c r="C1413" s="18">
        <v>2044</v>
      </c>
      <c r="D1413" t="s">
        <v>188</v>
      </c>
      <c r="E1413" s="9">
        <v>759032.04032816098</v>
      </c>
      <c r="F1413" s="9">
        <v>463325.99078597</v>
      </c>
      <c r="G1413" s="9">
        <v>760751.52916181902</v>
      </c>
      <c r="H1413" s="9">
        <v>464236.62382849702</v>
      </c>
      <c r="I1413" s="21">
        <f t="shared" si="44"/>
        <v>910.63304252701346</v>
      </c>
      <c r="J1413" s="21">
        <f t="shared" si="45"/>
        <v>1719.488833658048</v>
      </c>
    </row>
    <row r="1414" spans="1:10" hidden="1">
      <c r="A1414" t="s">
        <v>231</v>
      </c>
      <c r="B1414" t="s">
        <v>233</v>
      </c>
      <c r="C1414" s="18">
        <v>2044</v>
      </c>
      <c r="D1414" t="s">
        <v>191</v>
      </c>
      <c r="E1414" s="9">
        <v>380346.386574467</v>
      </c>
      <c r="F1414" s="9">
        <v>202582.53931269699</v>
      </c>
      <c r="G1414" s="9">
        <v>380754.51437457599</v>
      </c>
      <c r="H1414" s="9">
        <v>202762.43540540201</v>
      </c>
      <c r="I1414" s="21">
        <f t="shared" si="44"/>
        <v>179.89609270502115</v>
      </c>
      <c r="J1414" s="21">
        <f t="shared" si="45"/>
        <v>408.12780010898132</v>
      </c>
    </row>
    <row r="1415" spans="1:10" hidden="1">
      <c r="A1415" t="s">
        <v>231</v>
      </c>
      <c r="B1415" t="s">
        <v>233</v>
      </c>
      <c r="C1415" s="18">
        <v>2044</v>
      </c>
      <c r="D1415" t="s">
        <v>422</v>
      </c>
      <c r="E1415" s="9">
        <v>35046.712415349597</v>
      </c>
      <c r="F1415" s="9">
        <v>2573.7934887987799</v>
      </c>
      <c r="G1415" s="9">
        <v>35046.705207959298</v>
      </c>
      <c r="H1415" s="9">
        <v>2573.7926243052102</v>
      </c>
      <c r="I1415" s="21">
        <f t="shared" si="44"/>
        <v>-8.6449356967932545E-4</v>
      </c>
      <c r="J1415" s="21">
        <f t="shared" si="45"/>
        <v>-7.2073902992997319E-3</v>
      </c>
    </row>
    <row r="1416" spans="1:10" hidden="1">
      <c r="A1416" t="s">
        <v>231</v>
      </c>
      <c r="B1416" t="s">
        <v>233</v>
      </c>
      <c r="C1416" s="18">
        <v>2045</v>
      </c>
      <c r="D1416" t="s">
        <v>174</v>
      </c>
      <c r="E1416" s="9">
        <v>23175.212665658299</v>
      </c>
      <c r="F1416" s="9">
        <v>15775.2674655766</v>
      </c>
      <c r="G1416" s="9">
        <v>23166.945688051499</v>
      </c>
      <c r="H1416" s="9">
        <v>15771.7189092791</v>
      </c>
      <c r="I1416" s="21">
        <f t="shared" si="44"/>
        <v>-3.5485562975009088</v>
      </c>
      <c r="J1416" s="21">
        <f t="shared" si="45"/>
        <v>-8.2669776067996281</v>
      </c>
    </row>
    <row r="1417" spans="1:10" hidden="1">
      <c r="A1417" t="s">
        <v>231</v>
      </c>
      <c r="B1417" t="s">
        <v>233</v>
      </c>
      <c r="C1417" s="18">
        <v>2045</v>
      </c>
      <c r="D1417" t="s">
        <v>236</v>
      </c>
      <c r="E1417" s="9">
        <v>1257060.42149783</v>
      </c>
      <c r="F1417" s="9">
        <v>291372.43860606599</v>
      </c>
      <c r="G1417" s="9">
        <v>1260592.98702146</v>
      </c>
      <c r="H1417" s="9">
        <v>291822.02754025703</v>
      </c>
      <c r="I1417" s="21">
        <f t="shared" si="44"/>
        <v>449.58893419103697</v>
      </c>
      <c r="J1417" s="21">
        <f t="shared" si="45"/>
        <v>3532.5655236300081</v>
      </c>
    </row>
    <row r="1418" spans="1:10" hidden="1">
      <c r="A1418" t="s">
        <v>231</v>
      </c>
      <c r="B1418" t="s">
        <v>233</v>
      </c>
      <c r="C1418" s="18">
        <v>2045</v>
      </c>
      <c r="D1418" t="s">
        <v>182</v>
      </c>
      <c r="E1418" s="9">
        <v>139946.27979212801</v>
      </c>
      <c r="F1418" s="9">
        <v>89890.8343589898</v>
      </c>
      <c r="G1418" s="9">
        <v>140172.77481552499</v>
      </c>
      <c r="H1418" s="9">
        <v>90041.604590588802</v>
      </c>
      <c r="I1418" s="21">
        <f t="shared" si="44"/>
        <v>150.77023159900273</v>
      </c>
      <c r="J1418" s="21">
        <f t="shared" si="45"/>
        <v>226.4950233969721</v>
      </c>
    </row>
    <row r="1419" spans="1:10" hidden="1">
      <c r="A1419" t="s">
        <v>231</v>
      </c>
      <c r="B1419" t="s">
        <v>233</v>
      </c>
      <c r="C1419" s="18">
        <v>2045</v>
      </c>
      <c r="D1419" t="s">
        <v>185</v>
      </c>
      <c r="E1419" s="9">
        <v>270089.63043713098</v>
      </c>
      <c r="F1419" s="9">
        <v>255650.749572192</v>
      </c>
      <c r="G1419" s="9">
        <v>270438.60315228201</v>
      </c>
      <c r="H1419" s="9">
        <v>255976.90811330499</v>
      </c>
      <c r="I1419" s="21">
        <f t="shared" si="44"/>
        <v>326.15854111299268</v>
      </c>
      <c r="J1419" s="21">
        <f t="shared" si="45"/>
        <v>348.97271515103057</v>
      </c>
    </row>
    <row r="1420" spans="1:10" hidden="1">
      <c r="A1420" t="s">
        <v>231</v>
      </c>
      <c r="B1420" t="s">
        <v>233</v>
      </c>
      <c r="C1420" s="18">
        <v>2045</v>
      </c>
      <c r="D1420" t="s">
        <v>188</v>
      </c>
      <c r="E1420" s="9">
        <v>767587.17466735002</v>
      </c>
      <c r="F1420" s="9">
        <v>469982.46258645097</v>
      </c>
      <c r="G1420" s="9">
        <v>769313.803212411</v>
      </c>
      <c r="H1420" s="9">
        <v>470920.29436777002</v>
      </c>
      <c r="I1420" s="21">
        <f t="shared" si="44"/>
        <v>937.83178131905152</v>
      </c>
      <c r="J1420" s="21">
        <f t="shared" si="45"/>
        <v>1726.6285450609867</v>
      </c>
    </row>
    <row r="1421" spans="1:10" hidden="1">
      <c r="A1421" t="s">
        <v>231</v>
      </c>
      <c r="B1421" t="s">
        <v>233</v>
      </c>
      <c r="C1421" s="18">
        <v>2045</v>
      </c>
      <c r="D1421" t="s">
        <v>191</v>
      </c>
      <c r="E1421" s="9">
        <v>383530.14633695403</v>
      </c>
      <c r="F1421" s="9">
        <v>204685.60865734299</v>
      </c>
      <c r="G1421" s="9">
        <v>383936.19252461498</v>
      </c>
      <c r="H1421" s="9">
        <v>204869.32889798901</v>
      </c>
      <c r="I1421" s="21">
        <f t="shared" si="44"/>
        <v>183.72024064601283</v>
      </c>
      <c r="J1421" s="21">
        <f t="shared" si="45"/>
        <v>406.04618766094791</v>
      </c>
    </row>
    <row r="1422" spans="1:10" hidden="1">
      <c r="A1422" t="s">
        <v>231</v>
      </c>
      <c r="B1422" t="s">
        <v>233</v>
      </c>
      <c r="C1422" s="18">
        <v>2045</v>
      </c>
      <c r="D1422" t="s">
        <v>422</v>
      </c>
      <c r="E1422" s="9">
        <v>34846.722110070899</v>
      </c>
      <c r="F1422" s="9">
        <v>2452.7477043304398</v>
      </c>
      <c r="G1422" s="9">
        <v>34846.715156222701</v>
      </c>
      <c r="H1422" s="9">
        <v>2452.74707379338</v>
      </c>
      <c r="I1422" s="21">
        <f t="shared" si="44"/>
        <v>-6.30537059805647E-4</v>
      </c>
      <c r="J1422" s="21">
        <f t="shared" si="45"/>
        <v>-6.9538481984636746E-3</v>
      </c>
    </row>
    <row r="1423" spans="1:10" hidden="1">
      <c r="A1423" t="s">
        <v>231</v>
      </c>
      <c r="B1423" t="s">
        <v>233</v>
      </c>
      <c r="C1423" s="18">
        <v>2046</v>
      </c>
      <c r="D1423" t="s">
        <v>174</v>
      </c>
      <c r="E1423" s="9">
        <v>23877.352717136098</v>
      </c>
      <c r="F1423" s="9">
        <v>16169.2836998229</v>
      </c>
      <c r="G1423" s="9">
        <v>23868.217944038799</v>
      </c>
      <c r="H1423" s="9">
        <v>16165.2905403234</v>
      </c>
      <c r="I1423" s="21">
        <f t="shared" si="44"/>
        <v>-3.9931594994995976</v>
      </c>
      <c r="J1423" s="21">
        <f t="shared" si="45"/>
        <v>-9.1347730972993304</v>
      </c>
    </row>
    <row r="1424" spans="1:10" hidden="1">
      <c r="A1424" t="s">
        <v>231</v>
      </c>
      <c r="B1424" t="s">
        <v>233</v>
      </c>
      <c r="C1424" s="18">
        <v>2046</v>
      </c>
      <c r="D1424" t="s">
        <v>236</v>
      </c>
      <c r="E1424" s="9">
        <v>1264946.2865675299</v>
      </c>
      <c r="F1424" s="9">
        <v>299119.504740651</v>
      </c>
      <c r="G1424" s="9">
        <v>1268475.9563321201</v>
      </c>
      <c r="H1424" s="9">
        <v>299596.92866613797</v>
      </c>
      <c r="I1424" s="21">
        <f t="shared" si="44"/>
        <v>477.42392548697535</v>
      </c>
      <c r="J1424" s="21">
        <f t="shared" si="45"/>
        <v>3529.6697645902168</v>
      </c>
    </row>
    <row r="1425" spans="1:10" hidden="1">
      <c r="A1425" t="s">
        <v>231</v>
      </c>
      <c r="B1425" t="s">
        <v>233</v>
      </c>
      <c r="C1425" s="18">
        <v>2046</v>
      </c>
      <c r="D1425" t="s">
        <v>182</v>
      </c>
      <c r="E1425" s="9">
        <v>141966.62242436601</v>
      </c>
      <c r="F1425" s="9">
        <v>91046.884445154195</v>
      </c>
      <c r="G1425" s="9">
        <v>142194.05365060701</v>
      </c>
      <c r="H1425" s="9">
        <v>91198.890942598402</v>
      </c>
      <c r="I1425" s="21">
        <f t="shared" si="44"/>
        <v>152.00649744420662</v>
      </c>
      <c r="J1425" s="21">
        <f t="shared" si="45"/>
        <v>227.43122624099487</v>
      </c>
    </row>
    <row r="1426" spans="1:10" hidden="1">
      <c r="A1426" t="s">
        <v>231</v>
      </c>
      <c r="B1426" t="s">
        <v>233</v>
      </c>
      <c r="C1426" s="18">
        <v>2046</v>
      </c>
      <c r="D1426" t="s">
        <v>185</v>
      </c>
      <c r="E1426" s="9">
        <v>269578.29239200399</v>
      </c>
      <c r="F1426" s="9">
        <v>255107.44066408501</v>
      </c>
      <c r="G1426" s="9">
        <v>269923.25168294698</v>
      </c>
      <c r="H1426" s="9">
        <v>255431.16141281699</v>
      </c>
      <c r="I1426" s="21">
        <f t="shared" si="44"/>
        <v>323.72074873198289</v>
      </c>
      <c r="J1426" s="21">
        <f t="shared" si="45"/>
        <v>344.95929094299208</v>
      </c>
    </row>
    <row r="1427" spans="1:10" hidden="1">
      <c r="A1427" t="s">
        <v>231</v>
      </c>
      <c r="B1427" t="s">
        <v>233</v>
      </c>
      <c r="C1427" s="18">
        <v>2046</v>
      </c>
      <c r="D1427" t="s">
        <v>188</v>
      </c>
      <c r="E1427" s="9">
        <v>776361.22758029599</v>
      </c>
      <c r="F1427" s="9">
        <v>476865.78551807703</v>
      </c>
      <c r="G1427" s="9">
        <v>778095.84267256199</v>
      </c>
      <c r="H1427" s="9">
        <v>477828.93173194502</v>
      </c>
      <c r="I1427" s="21">
        <f t="shared" si="44"/>
        <v>963.14621386799263</v>
      </c>
      <c r="J1427" s="21">
        <f t="shared" si="45"/>
        <v>1734.6150922660017</v>
      </c>
    </row>
    <row r="1428" spans="1:10" hidden="1">
      <c r="A1428" t="s">
        <v>231</v>
      </c>
      <c r="B1428" t="s">
        <v>233</v>
      </c>
      <c r="C1428" s="18">
        <v>2046</v>
      </c>
      <c r="D1428" t="s">
        <v>191</v>
      </c>
      <c r="E1428" s="9">
        <v>386747.258563618</v>
      </c>
      <c r="F1428" s="9">
        <v>206861.78370431799</v>
      </c>
      <c r="G1428" s="9">
        <v>387151.42704479198</v>
      </c>
      <c r="H1428" s="9">
        <v>207048.94525460299</v>
      </c>
      <c r="I1428" s="21">
        <f t="shared" si="44"/>
        <v>187.16155028500361</v>
      </c>
      <c r="J1428" s="21">
        <f t="shared" si="45"/>
        <v>404.16848117398331</v>
      </c>
    </row>
    <row r="1429" spans="1:10" hidden="1">
      <c r="A1429" t="s">
        <v>231</v>
      </c>
      <c r="B1429" t="s">
        <v>233</v>
      </c>
      <c r="C1429" s="18">
        <v>2046</v>
      </c>
      <c r="D1429" t="s">
        <v>422</v>
      </c>
      <c r="E1429" s="9">
        <v>34688.303399788703</v>
      </c>
      <c r="F1429" s="9">
        <v>2335.6730950061801</v>
      </c>
      <c r="G1429" s="9">
        <v>34688.296767041</v>
      </c>
      <c r="H1429" s="9">
        <v>2335.6726092736399</v>
      </c>
      <c r="I1429" s="21">
        <f t="shared" si="44"/>
        <v>-4.8573254025541246E-4</v>
      </c>
      <c r="J1429" s="21">
        <f t="shared" si="45"/>
        <v>-6.6327477034064941E-3</v>
      </c>
    </row>
    <row r="1430" spans="1:10" hidden="1">
      <c r="A1430" t="s">
        <v>231</v>
      </c>
      <c r="B1430" t="s">
        <v>233</v>
      </c>
      <c r="C1430" s="18">
        <v>2047</v>
      </c>
      <c r="D1430" t="s">
        <v>174</v>
      </c>
      <c r="E1430" s="9">
        <v>24585.7302421807</v>
      </c>
      <c r="F1430" s="9">
        <v>16573.0422703595</v>
      </c>
      <c r="G1430" s="9">
        <v>24575.685129363199</v>
      </c>
      <c r="H1430" s="9">
        <v>16568.574829924401</v>
      </c>
      <c r="I1430" s="21">
        <f t="shared" si="44"/>
        <v>-4.4674404350989789</v>
      </c>
      <c r="J1430" s="21">
        <f t="shared" si="45"/>
        <v>-10.045112817500922</v>
      </c>
    </row>
    <row r="1431" spans="1:10" hidden="1">
      <c r="A1431" t="s">
        <v>231</v>
      </c>
      <c r="B1431" t="s">
        <v>233</v>
      </c>
      <c r="C1431" s="18">
        <v>2047</v>
      </c>
      <c r="D1431" t="s">
        <v>236</v>
      </c>
      <c r="E1431" s="9">
        <v>1272547.0275298799</v>
      </c>
      <c r="F1431" s="9">
        <v>306671.03821342997</v>
      </c>
      <c r="G1431" s="9">
        <v>1276073.4846977801</v>
      </c>
      <c r="H1431" s="9">
        <v>307176.00873862102</v>
      </c>
      <c r="I1431" s="21">
        <f t="shared" si="44"/>
        <v>504.97052519104909</v>
      </c>
      <c r="J1431" s="21">
        <f t="shared" si="45"/>
        <v>3526.4571679001674</v>
      </c>
    </row>
    <row r="1432" spans="1:10" hidden="1">
      <c r="A1432" t="s">
        <v>231</v>
      </c>
      <c r="B1432" t="s">
        <v>233</v>
      </c>
      <c r="C1432" s="18">
        <v>2047</v>
      </c>
      <c r="D1432" t="s">
        <v>182</v>
      </c>
      <c r="E1432" s="9">
        <v>144017.65783100601</v>
      </c>
      <c r="F1432" s="9">
        <v>92180.831450297395</v>
      </c>
      <c r="G1432" s="9">
        <v>144246.070856709</v>
      </c>
      <c r="H1432" s="9">
        <v>92333.888291156894</v>
      </c>
      <c r="I1432" s="21">
        <f t="shared" si="44"/>
        <v>153.05684085949906</v>
      </c>
      <c r="J1432" s="21">
        <f t="shared" si="45"/>
        <v>228.41302570299013</v>
      </c>
    </row>
    <row r="1433" spans="1:10" hidden="1">
      <c r="A1433" t="s">
        <v>231</v>
      </c>
      <c r="B1433" t="s">
        <v>233</v>
      </c>
      <c r="C1433" s="18">
        <v>2047</v>
      </c>
      <c r="D1433" t="s">
        <v>185</v>
      </c>
      <c r="E1433" s="9">
        <v>268805.05567684001</v>
      </c>
      <c r="F1433" s="9">
        <v>254439.805353331</v>
      </c>
      <c r="G1433" s="9">
        <v>269145.73066835199</v>
      </c>
      <c r="H1433" s="9">
        <v>254760.803670819</v>
      </c>
      <c r="I1433" s="21">
        <f t="shared" si="44"/>
        <v>320.99831748800352</v>
      </c>
      <c r="J1433" s="21">
        <f t="shared" si="45"/>
        <v>340.67499151197262</v>
      </c>
    </row>
    <row r="1434" spans="1:10" hidden="1">
      <c r="A1434" t="s">
        <v>231</v>
      </c>
      <c r="B1434" t="s">
        <v>233</v>
      </c>
      <c r="C1434" s="18">
        <v>2047</v>
      </c>
      <c r="D1434" t="s">
        <v>188</v>
      </c>
      <c r="E1434" s="9">
        <v>785124.84020929702</v>
      </c>
      <c r="F1434" s="9">
        <v>483680.67860992398</v>
      </c>
      <c r="G1434" s="9">
        <v>786867.36601765698</v>
      </c>
      <c r="H1434" s="9">
        <v>484667.16956347</v>
      </c>
      <c r="I1434" s="21">
        <f t="shared" si="44"/>
        <v>986.49095354601741</v>
      </c>
      <c r="J1434" s="21">
        <f t="shared" si="45"/>
        <v>1742.525808359962</v>
      </c>
    </row>
    <row r="1435" spans="1:10" hidden="1">
      <c r="A1435" t="s">
        <v>231</v>
      </c>
      <c r="B1435" t="s">
        <v>233</v>
      </c>
      <c r="C1435" s="18">
        <v>2047</v>
      </c>
      <c r="D1435" t="s">
        <v>191</v>
      </c>
      <c r="E1435" s="9">
        <v>390194.94318186899</v>
      </c>
      <c r="F1435" s="9">
        <v>208970.63568598899</v>
      </c>
      <c r="G1435" s="9">
        <v>390597.57749152998</v>
      </c>
      <c r="H1435" s="9">
        <v>209160.85891574901</v>
      </c>
      <c r="I1435" s="21">
        <f t="shared" si="44"/>
        <v>190.22322976001306</v>
      </c>
      <c r="J1435" s="21">
        <f t="shared" si="45"/>
        <v>402.63430966099259</v>
      </c>
    </row>
    <row r="1436" spans="1:10" hidden="1">
      <c r="A1436" t="s">
        <v>231</v>
      </c>
      <c r="B1436" t="s">
        <v>233</v>
      </c>
      <c r="C1436" s="18">
        <v>2047</v>
      </c>
      <c r="D1436" t="s">
        <v>422</v>
      </c>
      <c r="E1436" s="9">
        <v>34402.460520807501</v>
      </c>
      <c r="F1436" s="9">
        <v>2222.25217207183</v>
      </c>
      <c r="G1436" s="9">
        <v>34402.454286141998</v>
      </c>
      <c r="H1436" s="9">
        <v>2222.2517838233198</v>
      </c>
      <c r="I1436" s="21">
        <f t="shared" si="44"/>
        <v>-3.8824851026220131E-4</v>
      </c>
      <c r="J1436" s="21">
        <f t="shared" si="45"/>
        <v>-6.2346655031433329E-3</v>
      </c>
    </row>
    <row r="1437" spans="1:10" hidden="1">
      <c r="A1437" t="s">
        <v>231</v>
      </c>
      <c r="B1437" t="s">
        <v>233</v>
      </c>
      <c r="C1437" s="18">
        <v>2048</v>
      </c>
      <c r="D1437" t="s">
        <v>174</v>
      </c>
      <c r="E1437" s="9">
        <v>25293.861128435699</v>
      </c>
      <c r="F1437" s="9">
        <v>16987.935668946</v>
      </c>
      <c r="G1437" s="9">
        <v>25282.866550534</v>
      </c>
      <c r="H1437" s="9">
        <v>16982.967131377602</v>
      </c>
      <c r="I1437" s="21">
        <f t="shared" si="44"/>
        <v>-4.9685375683984603</v>
      </c>
      <c r="J1437" s="21">
        <f t="shared" si="45"/>
        <v>-10.994577901699813</v>
      </c>
    </row>
    <row r="1438" spans="1:10" hidden="1">
      <c r="A1438" t="s">
        <v>231</v>
      </c>
      <c r="B1438" t="s">
        <v>233</v>
      </c>
      <c r="C1438" s="18">
        <v>2048</v>
      </c>
      <c r="D1438" t="s">
        <v>236</v>
      </c>
      <c r="E1438" s="9">
        <v>1279944.52593162</v>
      </c>
      <c r="F1438" s="9">
        <v>314017.62087179098</v>
      </c>
      <c r="G1438" s="9">
        <v>1283467.7529534199</v>
      </c>
      <c r="H1438" s="9">
        <v>314549.83162807999</v>
      </c>
      <c r="I1438" s="21">
        <f t="shared" si="44"/>
        <v>532.21075628901599</v>
      </c>
      <c r="J1438" s="21">
        <f t="shared" si="45"/>
        <v>3523.2270217998885</v>
      </c>
    </row>
    <row r="1439" spans="1:10" hidden="1">
      <c r="A1439" t="s">
        <v>231</v>
      </c>
      <c r="B1439" t="s">
        <v>233</v>
      </c>
      <c r="C1439" s="18">
        <v>2048</v>
      </c>
      <c r="D1439" t="s">
        <v>182</v>
      </c>
      <c r="E1439" s="9">
        <v>146184.28627184301</v>
      </c>
      <c r="F1439" s="9">
        <v>93273.5975396758</v>
      </c>
      <c r="G1439" s="9">
        <v>146413.85314917401</v>
      </c>
      <c r="H1439" s="9">
        <v>93427.507277048993</v>
      </c>
      <c r="I1439" s="21">
        <f t="shared" si="44"/>
        <v>153.90973737319291</v>
      </c>
      <c r="J1439" s="21">
        <f t="shared" si="45"/>
        <v>229.56687733100262</v>
      </c>
    </row>
    <row r="1440" spans="1:10" hidden="1">
      <c r="A1440" t="s">
        <v>231</v>
      </c>
      <c r="B1440" t="s">
        <v>233</v>
      </c>
      <c r="C1440" s="18">
        <v>2048</v>
      </c>
      <c r="D1440" t="s">
        <v>185</v>
      </c>
      <c r="E1440" s="9">
        <v>267749.35840587202</v>
      </c>
      <c r="F1440" s="9">
        <v>253554.14739877</v>
      </c>
      <c r="G1440" s="9">
        <v>268085.44794583402</v>
      </c>
      <c r="H1440" s="9">
        <v>253872.04741882399</v>
      </c>
      <c r="I1440" s="21">
        <f t="shared" si="44"/>
        <v>317.90002005398856</v>
      </c>
      <c r="J1440" s="21">
        <f t="shared" si="45"/>
        <v>336.0895399620058</v>
      </c>
    </row>
    <row r="1441" spans="1:10" hidden="1">
      <c r="A1441" t="s">
        <v>231</v>
      </c>
      <c r="B1441" t="s">
        <v>233</v>
      </c>
      <c r="C1441" s="18">
        <v>2048</v>
      </c>
      <c r="D1441" t="s">
        <v>188</v>
      </c>
      <c r="E1441" s="9">
        <v>794046.086995541</v>
      </c>
      <c r="F1441" s="9">
        <v>490300.05308381602</v>
      </c>
      <c r="G1441" s="9">
        <v>795796.81940173404</v>
      </c>
      <c r="H1441" s="9">
        <v>491307.70932856598</v>
      </c>
      <c r="I1441" s="21">
        <f t="shared" si="44"/>
        <v>1007.65624474996</v>
      </c>
      <c r="J1441" s="21">
        <f t="shared" si="45"/>
        <v>1750.7324061930412</v>
      </c>
    </row>
    <row r="1442" spans="1:10" hidden="1">
      <c r="A1442" t="s">
        <v>231</v>
      </c>
      <c r="B1442" t="s">
        <v>233</v>
      </c>
      <c r="C1442" s="18">
        <v>2048</v>
      </c>
      <c r="D1442" t="s">
        <v>191</v>
      </c>
      <c r="E1442" s="9">
        <v>393904.77906556003</v>
      </c>
      <c r="F1442" s="9">
        <v>210996.397098449</v>
      </c>
      <c r="G1442" s="9">
        <v>394306.23400907399</v>
      </c>
      <c r="H1442" s="9">
        <v>211189.299415093</v>
      </c>
      <c r="I1442" s="21">
        <f t="shared" si="44"/>
        <v>192.90231664400198</v>
      </c>
      <c r="J1442" s="21">
        <f t="shared" si="45"/>
        <v>401.45494351396337</v>
      </c>
    </row>
    <row r="1443" spans="1:10" hidden="1">
      <c r="A1443" t="s">
        <v>231</v>
      </c>
      <c r="B1443" t="s">
        <v>233</v>
      </c>
      <c r="C1443" s="18">
        <v>2048</v>
      </c>
      <c r="D1443" t="s">
        <v>422</v>
      </c>
      <c r="E1443" s="9">
        <v>34278.8694605653</v>
      </c>
      <c r="F1443" s="9">
        <v>2112.6620649767501</v>
      </c>
      <c r="G1443" s="9">
        <v>34278.863496812097</v>
      </c>
      <c r="H1443" s="9">
        <v>2112.6617453372501</v>
      </c>
      <c r="I1443" s="21">
        <f t="shared" si="44"/>
        <v>-3.1963950004865183E-4</v>
      </c>
      <c r="J1443" s="21">
        <f t="shared" si="45"/>
        <v>-5.9637532031047158E-3</v>
      </c>
    </row>
    <row r="1444" spans="1:10" hidden="1">
      <c r="A1444" t="s">
        <v>231</v>
      </c>
      <c r="B1444" t="s">
        <v>233</v>
      </c>
      <c r="C1444" s="18">
        <v>2049</v>
      </c>
      <c r="D1444" t="s">
        <v>174</v>
      </c>
      <c r="E1444" s="9">
        <v>25998.5154600889</v>
      </c>
      <c r="F1444" s="9">
        <v>17412.156157293</v>
      </c>
      <c r="G1444" s="9">
        <v>25986.5373789525</v>
      </c>
      <c r="H1444" s="9">
        <v>17406.659114093502</v>
      </c>
      <c r="I1444" s="21">
        <f t="shared" si="44"/>
        <v>-5.4970431994988758</v>
      </c>
      <c r="J1444" s="21">
        <f t="shared" si="45"/>
        <v>-11.978081136399851</v>
      </c>
    </row>
    <row r="1445" spans="1:10" hidden="1">
      <c r="A1445" t="s">
        <v>231</v>
      </c>
      <c r="B1445" t="s">
        <v>233</v>
      </c>
      <c r="C1445" s="18">
        <v>2049</v>
      </c>
      <c r="D1445" t="s">
        <v>236</v>
      </c>
      <c r="E1445" s="9">
        <v>1287167.4642211001</v>
      </c>
      <c r="F1445" s="9">
        <v>321181.361134929</v>
      </c>
      <c r="G1445" s="9">
        <v>1290687.53512959</v>
      </c>
      <c r="H1445" s="9">
        <v>321740.50114880601</v>
      </c>
      <c r="I1445" s="21">
        <f t="shared" si="44"/>
        <v>559.14001387701137</v>
      </c>
      <c r="J1445" s="21">
        <f t="shared" si="45"/>
        <v>3520.0709084898699</v>
      </c>
    </row>
    <row r="1446" spans="1:10" hidden="1">
      <c r="A1446" t="s">
        <v>231</v>
      </c>
      <c r="B1446" t="s">
        <v>233</v>
      </c>
      <c r="C1446" s="18">
        <v>2049</v>
      </c>
      <c r="D1446" t="s">
        <v>182</v>
      </c>
      <c r="E1446" s="9">
        <v>147652.54159495901</v>
      </c>
      <c r="F1446" s="9">
        <v>94392.170573502604</v>
      </c>
      <c r="G1446" s="9">
        <v>147882.09983734801</v>
      </c>
      <c r="H1446" s="9">
        <v>94546.865675552195</v>
      </c>
      <c r="I1446" s="21">
        <f t="shared" si="44"/>
        <v>154.69510204959079</v>
      </c>
      <c r="J1446" s="21">
        <f t="shared" si="45"/>
        <v>229.55824238900095</v>
      </c>
    </row>
    <row r="1447" spans="1:10" hidden="1">
      <c r="A1447" t="s">
        <v>231</v>
      </c>
      <c r="B1447" t="s">
        <v>233</v>
      </c>
      <c r="C1447" s="18">
        <v>2049</v>
      </c>
      <c r="D1447" t="s">
        <v>185</v>
      </c>
      <c r="E1447" s="9">
        <v>266672.00652648398</v>
      </c>
      <c r="F1447" s="9">
        <v>252790.685243165</v>
      </c>
      <c r="G1447" s="9">
        <v>267003.55015502701</v>
      </c>
      <c r="H1447" s="9">
        <v>253105.506935702</v>
      </c>
      <c r="I1447" s="21">
        <f t="shared" si="44"/>
        <v>314.82169253699249</v>
      </c>
      <c r="J1447" s="21">
        <f t="shared" si="45"/>
        <v>331.54362854303326</v>
      </c>
    </row>
    <row r="1448" spans="1:10" hidden="1">
      <c r="A1448" t="s">
        <v>231</v>
      </c>
      <c r="B1448" t="s">
        <v>233</v>
      </c>
      <c r="C1448" s="18">
        <v>2049</v>
      </c>
      <c r="D1448" t="s">
        <v>188</v>
      </c>
      <c r="E1448" s="9">
        <v>799845.21472383104</v>
      </c>
      <c r="F1448" s="9">
        <v>496983.095339644</v>
      </c>
      <c r="G1448" s="9">
        <v>801596.85366425803</v>
      </c>
      <c r="H1448" s="9">
        <v>498010.65152404399</v>
      </c>
      <c r="I1448" s="21">
        <f t="shared" si="44"/>
        <v>1027.5561843999894</v>
      </c>
      <c r="J1448" s="21">
        <f t="shared" si="45"/>
        <v>1751.6389404269867</v>
      </c>
    </row>
    <row r="1449" spans="1:10" hidden="1">
      <c r="A1449" t="s">
        <v>231</v>
      </c>
      <c r="B1449" t="s">
        <v>233</v>
      </c>
      <c r="C1449" s="18">
        <v>2049</v>
      </c>
      <c r="D1449" t="s">
        <v>191</v>
      </c>
      <c r="E1449" s="9">
        <v>395660.61639548599</v>
      </c>
      <c r="F1449" s="9">
        <v>213384.890422436</v>
      </c>
      <c r="G1449" s="9">
        <v>396058.615955627</v>
      </c>
      <c r="H1449" s="9">
        <v>213580.236200068</v>
      </c>
      <c r="I1449" s="21">
        <f t="shared" si="44"/>
        <v>195.34577763199923</v>
      </c>
      <c r="J1449" s="21">
        <f t="shared" si="45"/>
        <v>397.99956014100462</v>
      </c>
    </row>
    <row r="1450" spans="1:10" hidden="1">
      <c r="A1450" t="s">
        <v>231</v>
      </c>
      <c r="B1450" t="s">
        <v>233</v>
      </c>
      <c r="C1450" s="18">
        <v>2049</v>
      </c>
      <c r="D1450" t="s">
        <v>422</v>
      </c>
      <c r="E1450" s="9">
        <v>34087.767317001497</v>
      </c>
      <c r="F1450" s="9">
        <v>1998.59248335395</v>
      </c>
      <c r="G1450" s="9">
        <v>34087.762706701098</v>
      </c>
      <c r="H1450" s="9">
        <v>1998.5922336333499</v>
      </c>
      <c r="I1450" s="21">
        <f t="shared" si="44"/>
        <v>-2.497206000953156E-4</v>
      </c>
      <c r="J1450" s="21">
        <f t="shared" si="45"/>
        <v>-4.6103003987809643E-3</v>
      </c>
    </row>
    <row r="1451" spans="1:10" hidden="1">
      <c r="A1451" t="s">
        <v>231</v>
      </c>
      <c r="B1451" t="s">
        <v>233</v>
      </c>
      <c r="C1451" s="18">
        <v>2050</v>
      </c>
      <c r="D1451" t="s">
        <v>174</v>
      </c>
      <c r="E1451" s="9">
        <v>26703.105670294801</v>
      </c>
      <c r="F1451" s="9">
        <v>17834.683308118299</v>
      </c>
      <c r="G1451" s="9">
        <v>26690.1101954068</v>
      </c>
      <c r="H1451" s="9">
        <v>17828.637482456001</v>
      </c>
      <c r="I1451" s="21">
        <f t="shared" si="44"/>
        <v>-6.0458256622987392</v>
      </c>
      <c r="J1451" s="21">
        <f t="shared" si="45"/>
        <v>-12.995474888000899</v>
      </c>
    </row>
    <row r="1452" spans="1:10" hidden="1">
      <c r="A1452" t="s">
        <v>231</v>
      </c>
      <c r="B1452" t="s">
        <v>233</v>
      </c>
      <c r="C1452" s="18">
        <v>2050</v>
      </c>
      <c r="D1452" t="s">
        <v>236</v>
      </c>
      <c r="E1452" s="9">
        <v>1294281.02880063</v>
      </c>
      <c r="F1452" s="9">
        <v>328148.33861250803</v>
      </c>
      <c r="G1452" s="9">
        <v>1297798.19122542</v>
      </c>
      <c r="H1452" s="9">
        <v>328734.06146541203</v>
      </c>
      <c r="I1452" s="21">
        <f t="shared" si="44"/>
        <v>585.72285290400032</v>
      </c>
      <c r="J1452" s="21">
        <f t="shared" si="45"/>
        <v>3517.1624247899745</v>
      </c>
    </row>
    <row r="1453" spans="1:10" hidden="1">
      <c r="A1453" t="s">
        <v>231</v>
      </c>
      <c r="B1453" t="s">
        <v>233</v>
      </c>
      <c r="C1453" s="18">
        <v>2050</v>
      </c>
      <c r="D1453" t="s">
        <v>182</v>
      </c>
      <c r="E1453" s="9">
        <v>149320.06649056499</v>
      </c>
      <c r="F1453" s="9">
        <v>95470.592805337801</v>
      </c>
      <c r="G1453" s="9">
        <v>149549.878981469</v>
      </c>
      <c r="H1453" s="9">
        <v>95625.943969428394</v>
      </c>
      <c r="I1453" s="21">
        <f t="shared" si="44"/>
        <v>155.35116409059265</v>
      </c>
      <c r="J1453" s="21">
        <f t="shared" si="45"/>
        <v>229.81249090400524</v>
      </c>
    </row>
    <row r="1454" spans="1:10" hidden="1">
      <c r="A1454" t="s">
        <v>231</v>
      </c>
      <c r="B1454" t="s">
        <v>233</v>
      </c>
      <c r="C1454" s="18">
        <v>2050</v>
      </c>
      <c r="D1454" t="s">
        <v>185</v>
      </c>
      <c r="E1454" s="9">
        <v>265704.20333683898</v>
      </c>
      <c r="F1454" s="9">
        <v>251847.37298429501</v>
      </c>
      <c r="G1454" s="9">
        <v>266031.496410964</v>
      </c>
      <c r="H1454" s="9">
        <v>252158.93315896901</v>
      </c>
      <c r="I1454" s="21">
        <f t="shared" si="44"/>
        <v>311.56017467399943</v>
      </c>
      <c r="J1454" s="21">
        <f t="shared" si="45"/>
        <v>327.29307412501657</v>
      </c>
    </row>
    <row r="1455" spans="1:10" hidden="1">
      <c r="A1455" t="s">
        <v>231</v>
      </c>
      <c r="B1455" t="s">
        <v>233</v>
      </c>
      <c r="C1455" s="18">
        <v>2050</v>
      </c>
      <c r="D1455" t="s">
        <v>188</v>
      </c>
      <c r="E1455" s="9">
        <v>807262.20950483601</v>
      </c>
      <c r="F1455" s="9">
        <v>503043.66747642</v>
      </c>
      <c r="G1455" s="9">
        <v>809018.72253896797</v>
      </c>
      <c r="H1455" s="9">
        <v>504089.42679186398</v>
      </c>
      <c r="I1455" s="21">
        <f t="shared" si="44"/>
        <v>1045.7593154439819</v>
      </c>
      <c r="J1455" s="21">
        <f t="shared" si="45"/>
        <v>1756.51303413196</v>
      </c>
    </row>
    <row r="1456" spans="1:10" hidden="1">
      <c r="A1456" t="s">
        <v>231</v>
      </c>
      <c r="B1456" t="s">
        <v>233</v>
      </c>
      <c r="C1456" s="18">
        <v>2050</v>
      </c>
      <c r="D1456" t="s">
        <v>191</v>
      </c>
      <c r="E1456" s="9">
        <v>398164.423601805</v>
      </c>
      <c r="F1456" s="9">
        <v>215373.27793304701</v>
      </c>
      <c r="G1456" s="9">
        <v>398560.03791860503</v>
      </c>
      <c r="H1456" s="9">
        <v>215570.73744048199</v>
      </c>
      <c r="I1456" s="21">
        <f t="shared" si="44"/>
        <v>197.45950743497815</v>
      </c>
      <c r="J1456" s="21">
        <f t="shared" si="45"/>
        <v>395.61431680002715</v>
      </c>
    </row>
    <row r="1457" spans="1:10" hidden="1">
      <c r="A1457" t="s">
        <v>231</v>
      </c>
      <c r="B1457" t="s">
        <v>233</v>
      </c>
      <c r="C1457" s="18">
        <v>2050</v>
      </c>
      <c r="D1457" t="s">
        <v>422</v>
      </c>
      <c r="E1457" s="9">
        <v>33926.483632470903</v>
      </c>
      <c r="F1457" s="9">
        <v>1888.51516849566</v>
      </c>
      <c r="G1457" s="9">
        <v>33926.479042696701</v>
      </c>
      <c r="H1457" s="9">
        <v>1888.5150098655699</v>
      </c>
      <c r="I1457" s="21">
        <f t="shared" si="44"/>
        <v>-1.5863009002714534E-4</v>
      </c>
      <c r="J1457" s="21">
        <f t="shared" si="45"/>
        <v>-4.5897742020315491E-3</v>
      </c>
    </row>
    <row r="1458" spans="1:10" hidden="1">
      <c r="A1458" t="s">
        <v>242</v>
      </c>
      <c r="B1458" t="s">
        <v>244</v>
      </c>
      <c r="C1458" s="18">
        <v>2025</v>
      </c>
      <c r="D1458" t="s">
        <v>174</v>
      </c>
      <c r="E1458" s="9">
        <v>12176.1707137429</v>
      </c>
      <c r="F1458" s="9">
        <v>8959.2701472679</v>
      </c>
      <c r="G1458" s="9">
        <v>12176.1707137429</v>
      </c>
      <c r="H1458" s="9">
        <v>8959.2701472679</v>
      </c>
      <c r="I1458" s="21">
        <f t="shared" si="44"/>
        <v>0</v>
      </c>
      <c r="J1458" s="21">
        <f t="shared" si="45"/>
        <v>0</v>
      </c>
    </row>
    <row r="1459" spans="1:10" hidden="1">
      <c r="A1459" t="s">
        <v>242</v>
      </c>
      <c r="B1459" t="s">
        <v>244</v>
      </c>
      <c r="C1459" s="18">
        <v>2025</v>
      </c>
      <c r="D1459" t="s">
        <v>236</v>
      </c>
      <c r="E1459" s="9">
        <v>1026758.5711338</v>
      </c>
      <c r="F1459" s="9">
        <v>129383.32321031499</v>
      </c>
      <c r="G1459" s="9">
        <v>1026758.5711338</v>
      </c>
      <c r="H1459" s="9">
        <v>129383.32321031499</v>
      </c>
      <c r="I1459" s="21">
        <f t="shared" si="44"/>
        <v>0</v>
      </c>
      <c r="J1459" s="21">
        <f t="shared" si="45"/>
        <v>0</v>
      </c>
    </row>
    <row r="1460" spans="1:10" hidden="1">
      <c r="A1460" t="s">
        <v>242</v>
      </c>
      <c r="B1460" t="s">
        <v>244</v>
      </c>
      <c r="C1460" s="18">
        <v>2025</v>
      </c>
      <c r="D1460" t="s">
        <v>182</v>
      </c>
      <c r="E1460" s="9">
        <v>115291.15986546699</v>
      </c>
      <c r="F1460" s="9">
        <v>67656.558989495796</v>
      </c>
      <c r="G1460" s="9">
        <v>115291.15986546699</v>
      </c>
      <c r="H1460" s="9">
        <v>67656.558989495796</v>
      </c>
      <c r="I1460" s="21">
        <f t="shared" si="44"/>
        <v>0</v>
      </c>
      <c r="J1460" s="21">
        <f t="shared" si="45"/>
        <v>0</v>
      </c>
    </row>
    <row r="1461" spans="1:10" hidden="1">
      <c r="A1461" t="s">
        <v>242</v>
      </c>
      <c r="B1461" t="s">
        <v>244</v>
      </c>
      <c r="C1461" s="18">
        <v>2025</v>
      </c>
      <c r="D1461" t="s">
        <v>185</v>
      </c>
      <c r="E1461" s="9">
        <v>281662.55341658002</v>
      </c>
      <c r="F1461" s="9">
        <v>263295.70058044</v>
      </c>
      <c r="G1461" s="9">
        <v>281662.55341658002</v>
      </c>
      <c r="H1461" s="9">
        <v>263295.70058044</v>
      </c>
      <c r="I1461" s="21">
        <f t="shared" si="44"/>
        <v>0</v>
      </c>
      <c r="J1461" s="21">
        <f t="shared" si="45"/>
        <v>0</v>
      </c>
    </row>
    <row r="1462" spans="1:10" hidden="1">
      <c r="A1462" t="s">
        <v>242</v>
      </c>
      <c r="B1462" t="s">
        <v>244</v>
      </c>
      <c r="C1462" s="18">
        <v>2025</v>
      </c>
      <c r="D1462" t="s">
        <v>188</v>
      </c>
      <c r="E1462" s="9">
        <v>612171.634776233</v>
      </c>
      <c r="F1462" s="9">
        <v>335724.86979376699</v>
      </c>
      <c r="G1462" s="9">
        <v>612171.634776233</v>
      </c>
      <c r="H1462" s="9">
        <v>335724.86979376699</v>
      </c>
      <c r="I1462" s="21">
        <f t="shared" si="44"/>
        <v>0</v>
      </c>
      <c r="J1462" s="21">
        <f t="shared" si="45"/>
        <v>0</v>
      </c>
    </row>
    <row r="1463" spans="1:10" hidden="1">
      <c r="A1463" t="s">
        <v>242</v>
      </c>
      <c r="B1463" t="s">
        <v>244</v>
      </c>
      <c r="C1463" s="18">
        <v>2025</v>
      </c>
      <c r="D1463" t="s">
        <v>191</v>
      </c>
      <c r="E1463" s="9">
        <v>339642.13012673298</v>
      </c>
      <c r="F1463" s="9">
        <v>190841.880003208</v>
      </c>
      <c r="G1463" s="9">
        <v>339642.13012673298</v>
      </c>
      <c r="H1463" s="9">
        <v>190841.880003208</v>
      </c>
      <c r="I1463" s="21">
        <f t="shared" si="44"/>
        <v>0</v>
      </c>
      <c r="J1463" s="21">
        <f t="shared" si="45"/>
        <v>0</v>
      </c>
    </row>
    <row r="1464" spans="1:10" hidden="1">
      <c r="A1464" t="s">
        <v>242</v>
      </c>
      <c r="B1464" t="s">
        <v>244</v>
      </c>
      <c r="C1464" s="18">
        <v>2025</v>
      </c>
      <c r="D1464" t="s">
        <v>422</v>
      </c>
      <c r="E1464" s="9">
        <v>39660.836547407802</v>
      </c>
      <c r="F1464" s="9">
        <v>5303.4223017440199</v>
      </c>
      <c r="G1464" s="9">
        <v>39660.836547407802</v>
      </c>
      <c r="H1464" s="9">
        <v>5303.4223017440199</v>
      </c>
      <c r="I1464" s="21">
        <f t="shared" si="44"/>
        <v>0</v>
      </c>
      <c r="J1464" s="21">
        <f t="shared" si="45"/>
        <v>0</v>
      </c>
    </row>
    <row r="1465" spans="1:10" hidden="1">
      <c r="A1465" t="s">
        <v>242</v>
      </c>
      <c r="B1465" t="s">
        <v>244</v>
      </c>
      <c r="C1465" s="18">
        <v>2026</v>
      </c>
      <c r="D1465" t="s">
        <v>174</v>
      </c>
      <c r="E1465" s="9">
        <v>12568.9386470114</v>
      </c>
      <c r="F1465" s="9">
        <v>9271.1333627081003</v>
      </c>
      <c r="G1465" s="9">
        <v>12568.9386470114</v>
      </c>
      <c r="H1465" s="9">
        <v>9271.1333627081003</v>
      </c>
      <c r="I1465" s="21">
        <f t="shared" si="44"/>
        <v>0</v>
      </c>
      <c r="J1465" s="21">
        <f t="shared" si="45"/>
        <v>0</v>
      </c>
    </row>
    <row r="1466" spans="1:10" hidden="1">
      <c r="A1466" t="s">
        <v>242</v>
      </c>
      <c r="B1466" t="s">
        <v>244</v>
      </c>
      <c r="C1466" s="18">
        <v>2026</v>
      </c>
      <c r="D1466" t="s">
        <v>236</v>
      </c>
      <c r="E1466" s="9">
        <v>1042135.18581351</v>
      </c>
      <c r="F1466" s="9">
        <v>137145.82895878801</v>
      </c>
      <c r="G1466" s="9">
        <v>1042135.18581351</v>
      </c>
      <c r="H1466" s="9">
        <v>137145.82895878801</v>
      </c>
      <c r="I1466" s="21">
        <f t="shared" si="44"/>
        <v>0</v>
      </c>
      <c r="J1466" s="21">
        <f t="shared" si="45"/>
        <v>0</v>
      </c>
    </row>
    <row r="1467" spans="1:10" hidden="1">
      <c r="A1467" t="s">
        <v>242</v>
      </c>
      <c r="B1467" t="s">
        <v>244</v>
      </c>
      <c r="C1467" s="18">
        <v>2026</v>
      </c>
      <c r="D1467" t="s">
        <v>182</v>
      </c>
      <c r="E1467" s="9">
        <v>114707.986926294</v>
      </c>
      <c r="F1467" s="9">
        <v>70326.603453519798</v>
      </c>
      <c r="G1467" s="9">
        <v>114707.986926294</v>
      </c>
      <c r="H1467" s="9">
        <v>70326.603453519798</v>
      </c>
      <c r="I1467" s="21">
        <f t="shared" si="44"/>
        <v>0</v>
      </c>
      <c r="J1467" s="21">
        <f t="shared" si="45"/>
        <v>0</v>
      </c>
    </row>
    <row r="1468" spans="1:10" hidden="1">
      <c r="A1468" t="s">
        <v>242</v>
      </c>
      <c r="B1468" t="s">
        <v>244</v>
      </c>
      <c r="C1468" s="18">
        <v>2026</v>
      </c>
      <c r="D1468" t="s">
        <v>185</v>
      </c>
      <c r="E1468" s="9">
        <v>282722.53786088398</v>
      </c>
      <c r="F1468" s="9">
        <v>259504.46801133201</v>
      </c>
      <c r="G1468" s="9">
        <v>282722.53786088398</v>
      </c>
      <c r="H1468" s="9">
        <v>259504.46801133201</v>
      </c>
      <c r="I1468" s="21">
        <f t="shared" si="44"/>
        <v>0</v>
      </c>
      <c r="J1468" s="21">
        <f t="shared" si="45"/>
        <v>0</v>
      </c>
    </row>
    <row r="1469" spans="1:10" hidden="1">
      <c r="A1469" t="s">
        <v>242</v>
      </c>
      <c r="B1469" t="s">
        <v>244</v>
      </c>
      <c r="C1469" s="18">
        <v>2026</v>
      </c>
      <c r="D1469" t="s">
        <v>188</v>
      </c>
      <c r="E1469" s="9">
        <v>613974.72821828397</v>
      </c>
      <c r="F1469" s="9">
        <v>342960.13528186502</v>
      </c>
      <c r="G1469" s="9">
        <v>616790.02915575495</v>
      </c>
      <c r="H1469" s="9">
        <v>342960.13528186502</v>
      </c>
      <c r="I1469" s="21">
        <f t="shared" si="44"/>
        <v>0</v>
      </c>
      <c r="J1469" s="21">
        <f t="shared" si="45"/>
        <v>2815.30093747098</v>
      </c>
    </row>
    <row r="1470" spans="1:10" hidden="1">
      <c r="A1470" t="s">
        <v>242</v>
      </c>
      <c r="B1470" t="s">
        <v>244</v>
      </c>
      <c r="C1470" s="18">
        <v>2026</v>
      </c>
      <c r="D1470" t="s">
        <v>191</v>
      </c>
      <c r="E1470" s="9">
        <v>338499.06942160201</v>
      </c>
      <c r="F1470" s="9">
        <v>190574.61381884801</v>
      </c>
      <c r="G1470" s="9">
        <v>338499.06942160201</v>
      </c>
      <c r="H1470" s="9">
        <v>190574.61381884801</v>
      </c>
      <c r="I1470" s="21">
        <f t="shared" si="44"/>
        <v>0</v>
      </c>
      <c r="J1470" s="21">
        <f t="shared" si="45"/>
        <v>0</v>
      </c>
    </row>
    <row r="1471" spans="1:10" hidden="1">
      <c r="A1471" t="s">
        <v>242</v>
      </c>
      <c r="B1471" t="s">
        <v>244</v>
      </c>
      <c r="C1471" s="18">
        <v>2026</v>
      </c>
      <c r="D1471" t="s">
        <v>422</v>
      </c>
      <c r="E1471" s="9">
        <v>39250.667018004897</v>
      </c>
      <c r="F1471" s="9">
        <v>5105.6095547855903</v>
      </c>
      <c r="G1471" s="9">
        <v>39250.667018004897</v>
      </c>
      <c r="H1471" s="9">
        <v>5105.6095547855903</v>
      </c>
      <c r="I1471" s="21">
        <f t="shared" si="44"/>
        <v>0</v>
      </c>
      <c r="J1471" s="21">
        <f t="shared" si="45"/>
        <v>0</v>
      </c>
    </row>
    <row r="1472" spans="1:10" hidden="1">
      <c r="A1472" t="s">
        <v>242</v>
      </c>
      <c r="B1472" t="s">
        <v>244</v>
      </c>
      <c r="C1472" s="18">
        <v>2027</v>
      </c>
      <c r="D1472" t="s">
        <v>174</v>
      </c>
      <c r="E1472" s="9">
        <v>12976.103113363301</v>
      </c>
      <c r="F1472" s="9">
        <v>9577.5296548643291</v>
      </c>
      <c r="G1472" s="9">
        <v>12976.103113363301</v>
      </c>
      <c r="H1472" s="9">
        <v>9577.5296548643291</v>
      </c>
      <c r="I1472" s="21">
        <f t="shared" si="44"/>
        <v>0</v>
      </c>
      <c r="J1472" s="21">
        <f t="shared" si="45"/>
        <v>0</v>
      </c>
    </row>
    <row r="1473" spans="1:10" hidden="1">
      <c r="A1473" t="s">
        <v>242</v>
      </c>
      <c r="B1473" t="s">
        <v>244</v>
      </c>
      <c r="C1473" s="18">
        <v>2027</v>
      </c>
      <c r="D1473" t="s">
        <v>236</v>
      </c>
      <c r="E1473" s="9">
        <v>1057148.31873483</v>
      </c>
      <c r="F1473" s="9">
        <v>145009.441994705</v>
      </c>
      <c r="G1473" s="9">
        <v>1057148.31873483</v>
      </c>
      <c r="H1473" s="9">
        <v>145009.441994705</v>
      </c>
      <c r="I1473" s="21">
        <f t="shared" si="44"/>
        <v>0</v>
      </c>
      <c r="J1473" s="21">
        <f t="shared" si="45"/>
        <v>0</v>
      </c>
    </row>
    <row r="1474" spans="1:10" hidden="1">
      <c r="A1474" t="s">
        <v>242</v>
      </c>
      <c r="B1474" t="s">
        <v>244</v>
      </c>
      <c r="C1474" s="18">
        <v>2027</v>
      </c>
      <c r="D1474" t="s">
        <v>182</v>
      </c>
      <c r="E1474" s="9">
        <v>114152.944165875</v>
      </c>
      <c r="F1474" s="9">
        <v>72290.169991209099</v>
      </c>
      <c r="G1474" s="9">
        <v>114152.944165875</v>
      </c>
      <c r="H1474" s="9">
        <v>72290.169991209099</v>
      </c>
      <c r="I1474" s="21">
        <f t="shared" ref="I1474:I1537" si="46">H1474-F1474</f>
        <v>0</v>
      </c>
      <c r="J1474" s="21">
        <f t="shared" ref="J1474:J1537" si="47">G1474-E1474</f>
        <v>0</v>
      </c>
    </row>
    <row r="1475" spans="1:10" hidden="1">
      <c r="A1475" t="s">
        <v>242</v>
      </c>
      <c r="B1475" t="s">
        <v>244</v>
      </c>
      <c r="C1475" s="18">
        <v>2027</v>
      </c>
      <c r="D1475" t="s">
        <v>185</v>
      </c>
      <c r="E1475" s="9">
        <v>277877.509454571</v>
      </c>
      <c r="F1475" s="9">
        <v>260330.421136777</v>
      </c>
      <c r="G1475" s="9">
        <v>277877.509454571</v>
      </c>
      <c r="H1475" s="9">
        <v>260330.421136777</v>
      </c>
      <c r="I1475" s="21">
        <f t="shared" si="46"/>
        <v>0</v>
      </c>
      <c r="J1475" s="21">
        <f t="shared" si="47"/>
        <v>0</v>
      </c>
    </row>
    <row r="1476" spans="1:10" hidden="1">
      <c r="A1476" t="s">
        <v>242</v>
      </c>
      <c r="B1476" t="s">
        <v>244</v>
      </c>
      <c r="C1476" s="18">
        <v>2027</v>
      </c>
      <c r="D1476" t="s">
        <v>188</v>
      </c>
      <c r="E1476" s="9">
        <v>615792.82089955604</v>
      </c>
      <c r="F1476" s="9">
        <v>349204.74695450201</v>
      </c>
      <c r="G1476" s="9">
        <v>621430.90280116105</v>
      </c>
      <c r="H1476" s="9">
        <v>349405.30073034298</v>
      </c>
      <c r="I1476" s="21">
        <f t="shared" si="46"/>
        <v>200.55377584096277</v>
      </c>
      <c r="J1476" s="21">
        <f t="shared" si="47"/>
        <v>5638.0819016050082</v>
      </c>
    </row>
    <row r="1477" spans="1:10" hidden="1">
      <c r="A1477" t="s">
        <v>242</v>
      </c>
      <c r="B1477" t="s">
        <v>244</v>
      </c>
      <c r="C1477" s="18">
        <v>2027</v>
      </c>
      <c r="D1477" t="s">
        <v>191</v>
      </c>
      <c r="E1477" s="9">
        <v>337398.94907172298</v>
      </c>
      <c r="F1477" s="9">
        <v>189031.10044551201</v>
      </c>
      <c r="G1477" s="9">
        <v>337398.94907172298</v>
      </c>
      <c r="H1477" s="9">
        <v>189031.10044551201</v>
      </c>
      <c r="I1477" s="21">
        <f t="shared" si="46"/>
        <v>0</v>
      </c>
      <c r="J1477" s="21">
        <f t="shared" si="47"/>
        <v>0</v>
      </c>
    </row>
    <row r="1478" spans="1:10" hidden="1">
      <c r="A1478" t="s">
        <v>242</v>
      </c>
      <c r="B1478" t="s">
        <v>244</v>
      </c>
      <c r="C1478" s="18">
        <v>2027</v>
      </c>
      <c r="D1478" t="s">
        <v>422</v>
      </c>
      <c r="E1478" s="9">
        <v>38773.627186343103</v>
      </c>
      <c r="F1478" s="9">
        <v>4921.4971535538998</v>
      </c>
      <c r="G1478" s="9">
        <v>38773.627186343103</v>
      </c>
      <c r="H1478" s="9">
        <v>4921.4971535538998</v>
      </c>
      <c r="I1478" s="21">
        <f t="shared" si="46"/>
        <v>0</v>
      </c>
      <c r="J1478" s="21">
        <f t="shared" si="47"/>
        <v>0</v>
      </c>
    </row>
    <row r="1479" spans="1:10" hidden="1">
      <c r="A1479" t="s">
        <v>242</v>
      </c>
      <c r="B1479" t="s">
        <v>244</v>
      </c>
      <c r="C1479" s="18">
        <v>2028</v>
      </c>
      <c r="D1479" t="s">
        <v>174</v>
      </c>
      <c r="E1479" s="9">
        <v>13394.773358520901</v>
      </c>
      <c r="F1479" s="9">
        <v>9881.9220189252792</v>
      </c>
      <c r="G1479" s="9">
        <v>13394.6739315754</v>
      </c>
      <c r="H1479" s="9">
        <v>9881.9220189252792</v>
      </c>
      <c r="I1479" s="21">
        <f t="shared" si="46"/>
        <v>0</v>
      </c>
      <c r="J1479" s="21">
        <f t="shared" si="47"/>
        <v>-9.9426945500454167E-2</v>
      </c>
    </row>
    <row r="1480" spans="1:10" hidden="1">
      <c r="A1480" t="s">
        <v>242</v>
      </c>
      <c r="B1480" t="s">
        <v>244</v>
      </c>
      <c r="C1480" s="18">
        <v>2028</v>
      </c>
      <c r="D1480" t="s">
        <v>236</v>
      </c>
      <c r="E1480" s="9">
        <v>1071827.66769553</v>
      </c>
      <c r="F1480" s="9">
        <v>152971.72938899801</v>
      </c>
      <c r="G1480" s="9">
        <v>1071826.1250559301</v>
      </c>
      <c r="H1480" s="9">
        <v>152971.72938899801</v>
      </c>
      <c r="I1480" s="21">
        <f t="shared" si="46"/>
        <v>0</v>
      </c>
      <c r="J1480" s="21">
        <f t="shared" si="47"/>
        <v>-1.5426395998802036</v>
      </c>
    </row>
    <row r="1481" spans="1:10" hidden="1">
      <c r="A1481" t="s">
        <v>242</v>
      </c>
      <c r="B1481" t="s">
        <v>244</v>
      </c>
      <c r="C1481" s="18">
        <v>2028</v>
      </c>
      <c r="D1481" t="s">
        <v>182</v>
      </c>
      <c r="E1481" s="9">
        <v>114139.852905502</v>
      </c>
      <c r="F1481" s="9">
        <v>73846.874209439702</v>
      </c>
      <c r="G1481" s="9">
        <v>114139.12292486199</v>
      </c>
      <c r="H1481" s="9">
        <v>73846.874209439702</v>
      </c>
      <c r="I1481" s="21">
        <f t="shared" si="46"/>
        <v>0</v>
      </c>
      <c r="J1481" s="21">
        <f t="shared" si="47"/>
        <v>-0.72998064001149032</v>
      </c>
    </row>
    <row r="1482" spans="1:10" hidden="1">
      <c r="A1482" t="s">
        <v>242</v>
      </c>
      <c r="B1482" t="s">
        <v>244</v>
      </c>
      <c r="C1482" s="18">
        <v>2028</v>
      </c>
      <c r="D1482" t="s">
        <v>185</v>
      </c>
      <c r="E1482" s="9">
        <v>277736.86087358498</v>
      </c>
      <c r="F1482" s="9">
        <v>257765.32327170501</v>
      </c>
      <c r="G1482" s="9">
        <v>277735.69614120398</v>
      </c>
      <c r="H1482" s="9">
        <v>257765.32327170501</v>
      </c>
      <c r="I1482" s="21">
        <f t="shared" si="46"/>
        <v>0</v>
      </c>
      <c r="J1482" s="21">
        <f t="shared" si="47"/>
        <v>-1.1647323810029775</v>
      </c>
    </row>
    <row r="1483" spans="1:10" hidden="1">
      <c r="A1483" t="s">
        <v>242</v>
      </c>
      <c r="B1483" t="s">
        <v>244</v>
      </c>
      <c r="C1483" s="18">
        <v>2028</v>
      </c>
      <c r="D1483" t="s">
        <v>188</v>
      </c>
      <c r="E1483" s="9">
        <v>619228.74078233202</v>
      </c>
      <c r="F1483" s="9">
        <v>355593.056455357</v>
      </c>
      <c r="G1483" s="9">
        <v>627723.84415529598</v>
      </c>
      <c r="H1483" s="9">
        <v>356159.25290604099</v>
      </c>
      <c r="I1483" s="21">
        <f t="shared" si="46"/>
        <v>566.19645068398677</v>
      </c>
      <c r="J1483" s="21">
        <f t="shared" si="47"/>
        <v>8495.1033729639603</v>
      </c>
    </row>
    <row r="1484" spans="1:10" hidden="1">
      <c r="A1484" t="s">
        <v>242</v>
      </c>
      <c r="B1484" t="s">
        <v>244</v>
      </c>
      <c r="C1484" s="18">
        <v>2028</v>
      </c>
      <c r="D1484" t="s">
        <v>191</v>
      </c>
      <c r="E1484" s="9">
        <v>337516.63442254002</v>
      </c>
      <c r="F1484" s="9">
        <v>187116.63987946699</v>
      </c>
      <c r="G1484" s="9">
        <v>337514.695524676</v>
      </c>
      <c r="H1484" s="9">
        <v>187116.63987946699</v>
      </c>
      <c r="I1484" s="21">
        <f t="shared" si="46"/>
        <v>0</v>
      </c>
      <c r="J1484" s="21">
        <f t="shared" si="47"/>
        <v>-1.9388978640199639</v>
      </c>
    </row>
    <row r="1485" spans="1:10" hidden="1">
      <c r="A1485" t="s">
        <v>242</v>
      </c>
      <c r="B1485" t="s">
        <v>244</v>
      </c>
      <c r="C1485" s="18">
        <v>2028</v>
      </c>
      <c r="D1485" t="s">
        <v>422</v>
      </c>
      <c r="E1485" s="9">
        <v>38149.294596708503</v>
      </c>
      <c r="F1485" s="9">
        <v>4742.0855729783398</v>
      </c>
      <c r="G1485" s="9">
        <v>38149.291579231904</v>
      </c>
      <c r="H1485" s="9">
        <v>4742.0855729783398</v>
      </c>
      <c r="I1485" s="21">
        <f t="shared" si="46"/>
        <v>0</v>
      </c>
      <c r="J1485" s="21">
        <f t="shared" si="47"/>
        <v>-3.0174765997799113E-3</v>
      </c>
    </row>
    <row r="1486" spans="1:10" hidden="1">
      <c r="A1486" t="s">
        <v>242</v>
      </c>
      <c r="B1486" t="s">
        <v>244</v>
      </c>
      <c r="C1486" s="18">
        <v>2029</v>
      </c>
      <c r="D1486" t="s">
        <v>174</v>
      </c>
      <c r="E1486" s="9">
        <v>13830.407855924799</v>
      </c>
      <c r="F1486" s="9">
        <v>10188.414505385699</v>
      </c>
      <c r="G1486" s="9">
        <v>13830.048598278099</v>
      </c>
      <c r="H1486" s="9">
        <v>10188.394886280999</v>
      </c>
      <c r="I1486" s="21">
        <f t="shared" si="46"/>
        <v>-1.9619104699813761E-2</v>
      </c>
      <c r="J1486" s="21">
        <f t="shared" si="47"/>
        <v>-0.35925764669991622</v>
      </c>
    </row>
    <row r="1487" spans="1:10" hidden="1">
      <c r="A1487" t="s">
        <v>242</v>
      </c>
      <c r="B1487" t="s">
        <v>244</v>
      </c>
      <c r="C1487" s="18">
        <v>2029</v>
      </c>
      <c r="D1487" t="s">
        <v>236</v>
      </c>
      <c r="E1487" s="9">
        <v>1086206.34644255</v>
      </c>
      <c r="F1487" s="9">
        <v>161038.26712780699</v>
      </c>
      <c r="G1487" s="9">
        <v>1086200.5009906101</v>
      </c>
      <c r="H1487" s="9">
        <v>161038.22768731901</v>
      </c>
      <c r="I1487" s="21">
        <f t="shared" si="46"/>
        <v>-3.94404879771173E-2</v>
      </c>
      <c r="J1487" s="21">
        <f t="shared" si="47"/>
        <v>-5.8454519398510456</v>
      </c>
    </row>
    <row r="1488" spans="1:10" hidden="1">
      <c r="A1488" t="s">
        <v>242</v>
      </c>
      <c r="B1488" t="s">
        <v>244</v>
      </c>
      <c r="C1488" s="18">
        <v>2029</v>
      </c>
      <c r="D1488" t="s">
        <v>182</v>
      </c>
      <c r="E1488" s="9">
        <v>114050.603617075</v>
      </c>
      <c r="F1488" s="9">
        <v>75452.372837097399</v>
      </c>
      <c r="G1488" s="9">
        <v>114048.15533588199</v>
      </c>
      <c r="H1488" s="9">
        <v>75452.222577591499</v>
      </c>
      <c r="I1488" s="21">
        <f t="shared" si="46"/>
        <v>-0.15025950589915738</v>
      </c>
      <c r="J1488" s="21">
        <f t="shared" si="47"/>
        <v>-2.4482811930065509</v>
      </c>
    </row>
    <row r="1489" spans="1:10" hidden="1">
      <c r="A1489" t="s">
        <v>242</v>
      </c>
      <c r="B1489" t="s">
        <v>244</v>
      </c>
      <c r="C1489" s="18">
        <v>2029</v>
      </c>
      <c r="D1489" t="s">
        <v>185</v>
      </c>
      <c r="E1489" s="9">
        <v>275824.94516795099</v>
      </c>
      <c r="F1489" s="9">
        <v>258335.13410479701</v>
      </c>
      <c r="G1489" s="9">
        <v>275821.08299242798</v>
      </c>
      <c r="H1489" s="9">
        <v>258334.31739486201</v>
      </c>
      <c r="I1489" s="21">
        <f t="shared" si="46"/>
        <v>-0.81670993499574251</v>
      </c>
      <c r="J1489" s="21">
        <f t="shared" si="47"/>
        <v>-3.8621755230124108</v>
      </c>
    </row>
    <row r="1490" spans="1:10" hidden="1">
      <c r="A1490" t="s">
        <v>242</v>
      </c>
      <c r="B1490" t="s">
        <v>244</v>
      </c>
      <c r="C1490" s="18">
        <v>2029</v>
      </c>
      <c r="D1490" t="s">
        <v>188</v>
      </c>
      <c r="E1490" s="9">
        <v>619456.58119405503</v>
      </c>
      <c r="F1490" s="9">
        <v>362814.33474541898</v>
      </c>
      <c r="G1490" s="9">
        <v>630779.36998507904</v>
      </c>
      <c r="H1490" s="9">
        <v>363892.26827992598</v>
      </c>
      <c r="I1490" s="21">
        <f t="shared" si="46"/>
        <v>1077.9335345069994</v>
      </c>
      <c r="J1490" s="21">
        <f t="shared" si="47"/>
        <v>11322.78879102401</v>
      </c>
    </row>
    <row r="1491" spans="1:10" hidden="1">
      <c r="A1491" t="s">
        <v>242</v>
      </c>
      <c r="B1491" t="s">
        <v>244</v>
      </c>
      <c r="C1491" s="18">
        <v>2029</v>
      </c>
      <c r="D1491" t="s">
        <v>191</v>
      </c>
      <c r="E1491" s="9">
        <v>335927.74040877703</v>
      </c>
      <c r="F1491" s="9">
        <v>186822.07364304899</v>
      </c>
      <c r="G1491" s="9">
        <v>335921.29283179599</v>
      </c>
      <c r="H1491" s="9">
        <v>186821.56008749199</v>
      </c>
      <c r="I1491" s="21">
        <f t="shared" si="46"/>
        <v>-0.51355555700138211</v>
      </c>
      <c r="J1491" s="21">
        <f t="shared" si="47"/>
        <v>-6.4475769810378551</v>
      </c>
    </row>
    <row r="1492" spans="1:10" hidden="1">
      <c r="A1492" t="s">
        <v>242</v>
      </c>
      <c r="B1492" t="s">
        <v>244</v>
      </c>
      <c r="C1492" s="18">
        <v>2029</v>
      </c>
      <c r="D1492" t="s">
        <v>422</v>
      </c>
      <c r="E1492" s="9">
        <v>37777.476058147302</v>
      </c>
      <c r="F1492" s="9">
        <v>4604.06838314785</v>
      </c>
      <c r="G1492" s="9">
        <v>37777.467218977603</v>
      </c>
      <c r="H1492" s="9">
        <v>4604.0681483163899</v>
      </c>
      <c r="I1492" s="21">
        <f t="shared" si="46"/>
        <v>-2.3483146014768863E-4</v>
      </c>
      <c r="J1492" s="21">
        <f t="shared" si="47"/>
        <v>-8.8391696990584023E-3</v>
      </c>
    </row>
    <row r="1493" spans="1:10" hidden="1">
      <c r="A1493" t="s">
        <v>242</v>
      </c>
      <c r="B1493" t="s">
        <v>244</v>
      </c>
      <c r="C1493" s="18">
        <v>2030</v>
      </c>
      <c r="D1493" t="s">
        <v>174</v>
      </c>
      <c r="E1493" s="9">
        <v>14282.780359890899</v>
      </c>
      <c r="F1493" s="9">
        <v>10500.3696122895</v>
      </c>
      <c r="G1493" s="9">
        <v>14281.959039535501</v>
      </c>
      <c r="H1493" s="9">
        <v>10500.2867221377</v>
      </c>
      <c r="I1493" s="21">
        <f t="shared" si="46"/>
        <v>-8.289015179980197E-2</v>
      </c>
      <c r="J1493" s="21">
        <f t="shared" si="47"/>
        <v>-0.8213203553987114</v>
      </c>
    </row>
    <row r="1494" spans="1:10" hidden="1">
      <c r="A1494" t="s">
        <v>242</v>
      </c>
      <c r="B1494" t="s">
        <v>244</v>
      </c>
      <c r="C1494" s="18">
        <v>2030</v>
      </c>
      <c r="D1494" t="s">
        <v>236</v>
      </c>
      <c r="E1494" s="9">
        <v>1100205.7190400299</v>
      </c>
      <c r="F1494" s="9">
        <v>169196.56548196499</v>
      </c>
      <c r="G1494" s="9">
        <v>1100191.7865472301</v>
      </c>
      <c r="H1494" s="9">
        <v>169196.385350075</v>
      </c>
      <c r="I1494" s="21">
        <f t="shared" si="46"/>
        <v>-0.18013188999611884</v>
      </c>
      <c r="J1494" s="21">
        <f t="shared" si="47"/>
        <v>-13.932492799824104</v>
      </c>
    </row>
    <row r="1495" spans="1:10" hidden="1">
      <c r="A1495" t="s">
        <v>242</v>
      </c>
      <c r="B1495" t="s">
        <v>244</v>
      </c>
      <c r="C1495" s="18">
        <v>2030</v>
      </c>
      <c r="D1495" t="s">
        <v>182</v>
      </c>
      <c r="E1495" s="9">
        <v>114787.20704541101</v>
      </c>
      <c r="F1495" s="9">
        <v>76004.954802279695</v>
      </c>
      <c r="G1495" s="9">
        <v>114781.951575614</v>
      </c>
      <c r="H1495" s="9">
        <v>76004.374773711097</v>
      </c>
      <c r="I1495" s="21">
        <f t="shared" si="46"/>
        <v>-0.58002856859820895</v>
      </c>
      <c r="J1495" s="21">
        <f t="shared" si="47"/>
        <v>-5.2554697970044799</v>
      </c>
    </row>
    <row r="1496" spans="1:10" hidden="1">
      <c r="A1496" t="s">
        <v>242</v>
      </c>
      <c r="B1496" t="s">
        <v>244</v>
      </c>
      <c r="C1496" s="18">
        <v>2030</v>
      </c>
      <c r="D1496" t="s">
        <v>185</v>
      </c>
      <c r="E1496" s="9">
        <v>275759.61445320299</v>
      </c>
      <c r="F1496" s="9">
        <v>257413.99180228601</v>
      </c>
      <c r="G1496" s="9">
        <v>275750.81654950802</v>
      </c>
      <c r="H1496" s="9">
        <v>257411.19778715901</v>
      </c>
      <c r="I1496" s="21">
        <f t="shared" si="46"/>
        <v>-2.7940151270013303</v>
      </c>
      <c r="J1496" s="21">
        <f t="shared" si="47"/>
        <v>-8.7979036949691363</v>
      </c>
    </row>
    <row r="1497" spans="1:10" hidden="1">
      <c r="A1497" t="s">
        <v>242</v>
      </c>
      <c r="B1497" t="s">
        <v>244</v>
      </c>
      <c r="C1497" s="18">
        <v>2030</v>
      </c>
      <c r="D1497" t="s">
        <v>188</v>
      </c>
      <c r="E1497" s="9">
        <v>623949.05452608794</v>
      </c>
      <c r="F1497" s="9">
        <v>367199.57185988798</v>
      </c>
      <c r="G1497" s="9">
        <v>638199.36722691404</v>
      </c>
      <c r="H1497" s="9">
        <v>368920.44347907702</v>
      </c>
      <c r="I1497" s="21">
        <f t="shared" si="46"/>
        <v>1720.8716191890417</v>
      </c>
      <c r="J1497" s="21">
        <f t="shared" si="47"/>
        <v>14250.312700826093</v>
      </c>
    </row>
    <row r="1498" spans="1:10" hidden="1">
      <c r="A1498" t="s">
        <v>242</v>
      </c>
      <c r="B1498" t="s">
        <v>244</v>
      </c>
      <c r="C1498" s="18">
        <v>2030</v>
      </c>
      <c r="D1498" t="s">
        <v>191</v>
      </c>
      <c r="E1498" s="9">
        <v>337388.64717657899</v>
      </c>
      <c r="F1498" s="9">
        <v>185444.333982201</v>
      </c>
      <c r="G1498" s="9">
        <v>337374.94686633401</v>
      </c>
      <c r="H1498" s="9">
        <v>185442.493190957</v>
      </c>
      <c r="I1498" s="21">
        <f t="shared" si="46"/>
        <v>-1.8407912440015934</v>
      </c>
      <c r="J1498" s="21">
        <f t="shared" si="47"/>
        <v>-13.700310244981665</v>
      </c>
    </row>
    <row r="1499" spans="1:10" hidden="1">
      <c r="A1499" t="s">
        <v>242</v>
      </c>
      <c r="B1499" t="s">
        <v>244</v>
      </c>
      <c r="C1499" s="18">
        <v>2030</v>
      </c>
      <c r="D1499" t="s">
        <v>422</v>
      </c>
      <c r="E1499" s="9">
        <v>38012.6902406831</v>
      </c>
      <c r="F1499" s="9">
        <v>4432.1176377131596</v>
      </c>
      <c r="G1499" s="9">
        <v>38012.673637756197</v>
      </c>
      <c r="H1499" s="9">
        <v>4432.1168533298996</v>
      </c>
      <c r="I1499" s="21">
        <f t="shared" si="46"/>
        <v>-7.843832599974121E-4</v>
      </c>
      <c r="J1499" s="21">
        <f t="shared" si="47"/>
        <v>-1.6602926902123727E-2</v>
      </c>
    </row>
    <row r="1500" spans="1:10" hidden="1">
      <c r="A1500" t="s">
        <v>242</v>
      </c>
      <c r="B1500" t="s">
        <v>244</v>
      </c>
      <c r="C1500" s="18">
        <v>2031</v>
      </c>
      <c r="D1500" t="s">
        <v>174</v>
      </c>
      <c r="E1500" s="9">
        <v>14755.947999984999</v>
      </c>
      <c r="F1500" s="9">
        <v>10815.1312442161</v>
      </c>
      <c r="G1500" s="9">
        <v>14754.4294987798</v>
      </c>
      <c r="H1500" s="9">
        <v>10814.9178976517</v>
      </c>
      <c r="I1500" s="21">
        <f t="shared" si="46"/>
        <v>-0.21334656440012623</v>
      </c>
      <c r="J1500" s="21">
        <f t="shared" si="47"/>
        <v>-1.5185012051988451</v>
      </c>
    </row>
    <row r="1501" spans="1:10" hidden="1">
      <c r="A1501" t="s">
        <v>242</v>
      </c>
      <c r="B1501" t="s">
        <v>244</v>
      </c>
      <c r="C1501" s="18">
        <v>2031</v>
      </c>
      <c r="D1501" t="s">
        <v>236</v>
      </c>
      <c r="E1501" s="9">
        <v>1113751.9084608201</v>
      </c>
      <c r="F1501" s="9">
        <v>177420.69330741899</v>
      </c>
      <c r="G1501" s="9">
        <v>1113725.2263596801</v>
      </c>
      <c r="H1501" s="9">
        <v>177420.195676039</v>
      </c>
      <c r="I1501" s="21">
        <f t="shared" si="46"/>
        <v>-0.49763137998525053</v>
      </c>
      <c r="J1501" s="21">
        <f t="shared" si="47"/>
        <v>-26.682101140031591</v>
      </c>
    </row>
    <row r="1502" spans="1:10" hidden="1">
      <c r="A1502" t="s">
        <v>242</v>
      </c>
      <c r="B1502" t="s">
        <v>244</v>
      </c>
      <c r="C1502" s="18">
        <v>2031</v>
      </c>
      <c r="D1502" t="s">
        <v>182</v>
      </c>
      <c r="E1502" s="9">
        <v>115766.922533052</v>
      </c>
      <c r="F1502" s="9">
        <v>76558.011130589293</v>
      </c>
      <c r="G1502" s="9">
        <v>115757.018858842</v>
      </c>
      <c r="H1502" s="9">
        <v>76556.628013514899</v>
      </c>
      <c r="I1502" s="21">
        <f t="shared" si="46"/>
        <v>-1.3831170743942494</v>
      </c>
      <c r="J1502" s="21">
        <f t="shared" si="47"/>
        <v>-9.9036742099997355</v>
      </c>
    </row>
    <row r="1503" spans="1:10" hidden="1">
      <c r="A1503" t="s">
        <v>242</v>
      </c>
      <c r="B1503" t="s">
        <v>244</v>
      </c>
      <c r="C1503" s="18">
        <v>2031</v>
      </c>
      <c r="D1503" t="s">
        <v>185</v>
      </c>
      <c r="E1503" s="9">
        <v>274735.24393996003</v>
      </c>
      <c r="F1503" s="9">
        <v>257251.42476237001</v>
      </c>
      <c r="G1503" s="9">
        <v>274719.77758767002</v>
      </c>
      <c r="H1503" s="9">
        <v>257245.00548019301</v>
      </c>
      <c r="I1503" s="21">
        <f t="shared" si="46"/>
        <v>-6.4192821769975126</v>
      </c>
      <c r="J1503" s="21">
        <f t="shared" si="47"/>
        <v>-15.466352290008217</v>
      </c>
    </row>
    <row r="1504" spans="1:10" hidden="1">
      <c r="A1504" t="s">
        <v>242</v>
      </c>
      <c r="B1504" t="s">
        <v>244</v>
      </c>
      <c r="C1504" s="18">
        <v>2031</v>
      </c>
      <c r="D1504" t="s">
        <v>188</v>
      </c>
      <c r="E1504" s="9">
        <v>631777.09095868899</v>
      </c>
      <c r="F1504" s="9">
        <v>371718.62711203098</v>
      </c>
      <c r="G1504" s="9">
        <v>646110.86416985898</v>
      </c>
      <c r="H1504" s="9">
        <v>374207.72907897399</v>
      </c>
      <c r="I1504" s="21">
        <f t="shared" si="46"/>
        <v>2489.1019669430098</v>
      </c>
      <c r="J1504" s="21">
        <f t="shared" si="47"/>
        <v>14333.773211169988</v>
      </c>
    </row>
    <row r="1505" spans="1:10" hidden="1">
      <c r="A1505" t="s">
        <v>242</v>
      </c>
      <c r="B1505" t="s">
        <v>244</v>
      </c>
      <c r="C1505" s="18">
        <v>2031</v>
      </c>
      <c r="D1505" t="s">
        <v>191</v>
      </c>
      <c r="E1505" s="9">
        <v>339230.367024187</v>
      </c>
      <c r="F1505" s="9">
        <v>184319.67531199899</v>
      </c>
      <c r="G1505" s="9">
        <v>339204.41915059398</v>
      </c>
      <c r="H1505" s="9">
        <v>184315.56237323501</v>
      </c>
      <c r="I1505" s="21">
        <f t="shared" si="46"/>
        <v>-4.1129387639812194</v>
      </c>
      <c r="J1505" s="21">
        <f t="shared" si="47"/>
        <v>-25.947873593016993</v>
      </c>
    </row>
    <row r="1506" spans="1:10" hidden="1">
      <c r="A1506" t="s">
        <v>242</v>
      </c>
      <c r="B1506" t="s">
        <v>244</v>
      </c>
      <c r="C1506" s="18">
        <v>2031</v>
      </c>
      <c r="D1506" t="s">
        <v>422</v>
      </c>
      <c r="E1506" s="9">
        <v>38191.661243387302</v>
      </c>
      <c r="F1506" s="9">
        <v>4274.7288883966503</v>
      </c>
      <c r="G1506" s="9">
        <v>38191.6231000681</v>
      </c>
      <c r="H1506" s="9">
        <v>4274.7272932738097</v>
      </c>
      <c r="I1506" s="21">
        <f t="shared" si="46"/>
        <v>-1.5951228406265727E-3</v>
      </c>
      <c r="J1506" s="21">
        <f t="shared" si="47"/>
        <v>-3.8143319201481063E-2</v>
      </c>
    </row>
    <row r="1507" spans="1:10" hidden="1">
      <c r="A1507" t="s">
        <v>242</v>
      </c>
      <c r="B1507" t="s">
        <v>244</v>
      </c>
      <c r="C1507" s="18">
        <v>2032</v>
      </c>
      <c r="D1507" t="s">
        <v>174</v>
      </c>
      <c r="E1507" s="9">
        <v>15250.2479531629</v>
      </c>
      <c r="F1507" s="9">
        <v>11132.6112427226</v>
      </c>
      <c r="G1507" s="9">
        <v>15247.769190462001</v>
      </c>
      <c r="H1507" s="9">
        <v>11132.1787355836</v>
      </c>
      <c r="I1507" s="21">
        <f t="shared" si="46"/>
        <v>-0.43250713899942639</v>
      </c>
      <c r="J1507" s="21">
        <f t="shared" si="47"/>
        <v>-2.4787627008990967</v>
      </c>
    </row>
    <row r="1508" spans="1:10" hidden="1">
      <c r="A1508" t="s">
        <v>242</v>
      </c>
      <c r="B1508" t="s">
        <v>244</v>
      </c>
      <c r="C1508" s="18">
        <v>2032</v>
      </c>
      <c r="D1508" t="s">
        <v>236</v>
      </c>
      <c r="E1508" s="9">
        <v>1126828.1572380599</v>
      </c>
      <c r="F1508" s="9">
        <v>185692.52486124501</v>
      </c>
      <c r="G1508" s="9">
        <v>1126783.31749171</v>
      </c>
      <c r="H1508" s="9">
        <v>185691.45221249</v>
      </c>
      <c r="I1508" s="21">
        <f t="shared" si="46"/>
        <v>-1.0726487550127786</v>
      </c>
      <c r="J1508" s="21">
        <f t="shared" si="47"/>
        <v>-44.83974634995684</v>
      </c>
    </row>
    <row r="1509" spans="1:10" hidden="1">
      <c r="A1509" t="s">
        <v>242</v>
      </c>
      <c r="B1509" t="s">
        <v>244</v>
      </c>
      <c r="C1509" s="18">
        <v>2032</v>
      </c>
      <c r="D1509" t="s">
        <v>182</v>
      </c>
      <c r="E1509" s="9">
        <v>116908.65595568799</v>
      </c>
      <c r="F1509" s="9">
        <v>77201.0737711892</v>
      </c>
      <c r="G1509" s="9">
        <v>116892.91249656001</v>
      </c>
      <c r="H1509" s="9">
        <v>77198.389307422098</v>
      </c>
      <c r="I1509" s="21">
        <f t="shared" si="46"/>
        <v>-2.6844637671019882</v>
      </c>
      <c r="J1509" s="21">
        <f t="shared" si="47"/>
        <v>-15.743459127988899</v>
      </c>
    </row>
    <row r="1510" spans="1:10" hidden="1">
      <c r="A1510" t="s">
        <v>242</v>
      </c>
      <c r="B1510" t="s">
        <v>244</v>
      </c>
      <c r="C1510" s="18">
        <v>2032</v>
      </c>
      <c r="D1510" t="s">
        <v>185</v>
      </c>
      <c r="E1510" s="9">
        <v>274437.19328367</v>
      </c>
      <c r="F1510" s="9">
        <v>256757.106996819</v>
      </c>
      <c r="G1510" s="9">
        <v>274412.39342979901</v>
      </c>
      <c r="H1510" s="9">
        <v>256745.67636584101</v>
      </c>
      <c r="I1510" s="21">
        <f t="shared" si="46"/>
        <v>-11.430630977993133</v>
      </c>
      <c r="J1510" s="21">
        <f t="shared" si="47"/>
        <v>-24.799853870994411</v>
      </c>
    </row>
    <row r="1511" spans="1:10" hidden="1">
      <c r="A1511" t="s">
        <v>242</v>
      </c>
      <c r="B1511" t="s">
        <v>244</v>
      </c>
      <c r="C1511" s="18">
        <v>2032</v>
      </c>
      <c r="D1511" t="s">
        <v>188</v>
      </c>
      <c r="E1511" s="9">
        <v>640086.70535742305</v>
      </c>
      <c r="F1511" s="9">
        <v>376956.71458237601</v>
      </c>
      <c r="G1511" s="9">
        <v>654519.81142038899</v>
      </c>
      <c r="H1511" s="9">
        <v>380127.64784866601</v>
      </c>
      <c r="I1511" s="21">
        <f t="shared" si="46"/>
        <v>3170.9332662899978</v>
      </c>
      <c r="J1511" s="21">
        <f t="shared" si="47"/>
        <v>14433.106062965933</v>
      </c>
    </row>
    <row r="1512" spans="1:10" hidden="1">
      <c r="A1512" t="s">
        <v>242</v>
      </c>
      <c r="B1512" t="s">
        <v>244</v>
      </c>
      <c r="C1512" s="18">
        <v>2032</v>
      </c>
      <c r="D1512" t="s">
        <v>191</v>
      </c>
      <c r="E1512" s="9">
        <v>341622.75511443499</v>
      </c>
      <c r="F1512" s="9">
        <v>183737.55617330401</v>
      </c>
      <c r="G1512" s="9">
        <v>341581.65326776</v>
      </c>
      <c r="H1512" s="9">
        <v>183730.084212538</v>
      </c>
      <c r="I1512" s="21">
        <f t="shared" si="46"/>
        <v>-7.4719607660081238</v>
      </c>
      <c r="J1512" s="21">
        <f t="shared" si="47"/>
        <v>-41.101846674981061</v>
      </c>
    </row>
    <row r="1513" spans="1:10" hidden="1">
      <c r="A1513" t="s">
        <v>242</v>
      </c>
      <c r="B1513" t="s">
        <v>244</v>
      </c>
      <c r="C1513" s="18">
        <v>2032</v>
      </c>
      <c r="D1513" t="s">
        <v>422</v>
      </c>
      <c r="E1513" s="9">
        <v>38037.6118818791</v>
      </c>
      <c r="F1513" s="9">
        <v>4125.7250684492201</v>
      </c>
      <c r="G1513" s="9">
        <v>38037.551792099897</v>
      </c>
      <c r="H1513" s="9">
        <v>4125.7224791710396</v>
      </c>
      <c r="I1513" s="21">
        <f t="shared" si="46"/>
        <v>-2.5892781804941478E-3</v>
      </c>
      <c r="J1513" s="21">
        <f t="shared" si="47"/>
        <v>-6.0089779202826321E-2</v>
      </c>
    </row>
    <row r="1514" spans="1:10" hidden="1">
      <c r="A1514" t="s">
        <v>242</v>
      </c>
      <c r="B1514" t="s">
        <v>244</v>
      </c>
      <c r="C1514" s="18">
        <v>2033</v>
      </c>
      <c r="D1514" t="s">
        <v>174</v>
      </c>
      <c r="E1514" s="9">
        <v>15763.163556830399</v>
      </c>
      <c r="F1514" s="9">
        <v>11452.965736108201</v>
      </c>
      <c r="G1514" s="9">
        <v>15759.5151167894</v>
      </c>
      <c r="H1514" s="9">
        <v>11452.2049974033</v>
      </c>
      <c r="I1514" s="21">
        <f t="shared" si="46"/>
        <v>-0.76073870490108675</v>
      </c>
      <c r="J1514" s="21">
        <f t="shared" si="47"/>
        <v>-3.6484400409990485</v>
      </c>
    </row>
    <row r="1515" spans="1:10" hidden="1">
      <c r="A1515" t="s">
        <v>242</v>
      </c>
      <c r="B1515" t="s">
        <v>244</v>
      </c>
      <c r="C1515" s="18">
        <v>2033</v>
      </c>
      <c r="D1515" t="s">
        <v>236</v>
      </c>
      <c r="E1515" s="9">
        <v>1139340.2845265199</v>
      </c>
      <c r="F1515" s="9">
        <v>194007.59631674501</v>
      </c>
      <c r="G1515" s="9">
        <v>1139272.75378683</v>
      </c>
      <c r="H1515" s="9">
        <v>194005.60056651599</v>
      </c>
      <c r="I1515" s="21">
        <f t="shared" si="46"/>
        <v>-1.9957502290199045</v>
      </c>
      <c r="J1515" s="21">
        <f t="shared" si="47"/>
        <v>-67.530739689944312</v>
      </c>
    </row>
    <row r="1516" spans="1:10" hidden="1">
      <c r="A1516" t="s">
        <v>242</v>
      </c>
      <c r="B1516" t="s">
        <v>244</v>
      </c>
      <c r="C1516" s="18">
        <v>2033</v>
      </c>
      <c r="D1516" t="s">
        <v>182</v>
      </c>
      <c r="E1516" s="9">
        <v>118304.19260084799</v>
      </c>
      <c r="F1516" s="9">
        <v>77921.690597549896</v>
      </c>
      <c r="G1516" s="9">
        <v>118281.82855902299</v>
      </c>
      <c r="H1516" s="9">
        <v>77917.162090690195</v>
      </c>
      <c r="I1516" s="21">
        <f t="shared" si="46"/>
        <v>-4.5285068597004283</v>
      </c>
      <c r="J1516" s="21">
        <f t="shared" si="47"/>
        <v>-22.364041824999731</v>
      </c>
    </row>
    <row r="1517" spans="1:10" hidden="1">
      <c r="A1517" t="s">
        <v>242</v>
      </c>
      <c r="B1517" t="s">
        <v>244</v>
      </c>
      <c r="C1517" s="18">
        <v>2033</v>
      </c>
      <c r="D1517" t="s">
        <v>185</v>
      </c>
      <c r="E1517" s="9">
        <v>273928.69309160399</v>
      </c>
      <c r="F1517" s="9">
        <v>256674.110964828</v>
      </c>
      <c r="G1517" s="9">
        <v>273893.528221021</v>
      </c>
      <c r="H1517" s="9">
        <v>256655.55902621101</v>
      </c>
      <c r="I1517" s="21">
        <f t="shared" si="46"/>
        <v>-18.55193861699081</v>
      </c>
      <c r="J1517" s="21">
        <f t="shared" si="47"/>
        <v>-35.164870582986623</v>
      </c>
    </row>
    <row r="1518" spans="1:10" hidden="1">
      <c r="A1518" t="s">
        <v>242</v>
      </c>
      <c r="B1518" t="s">
        <v>244</v>
      </c>
      <c r="C1518" s="18">
        <v>2033</v>
      </c>
      <c r="D1518" t="s">
        <v>188</v>
      </c>
      <c r="E1518" s="9">
        <v>649449.55501428095</v>
      </c>
      <c r="F1518" s="9">
        <v>382798.04129616998</v>
      </c>
      <c r="G1518" s="9">
        <v>664009.13874492398</v>
      </c>
      <c r="H1518" s="9">
        <v>386583.230936034</v>
      </c>
      <c r="I1518" s="21">
        <f t="shared" si="46"/>
        <v>3785.1896398640238</v>
      </c>
      <c r="J1518" s="21">
        <f t="shared" si="47"/>
        <v>14559.583730643033</v>
      </c>
    </row>
    <row r="1519" spans="1:10" hidden="1">
      <c r="A1519" t="s">
        <v>242</v>
      </c>
      <c r="B1519" t="s">
        <v>244</v>
      </c>
      <c r="C1519" s="18">
        <v>2033</v>
      </c>
      <c r="D1519" t="s">
        <v>191</v>
      </c>
      <c r="E1519" s="9">
        <v>345053.28009333397</v>
      </c>
      <c r="F1519" s="9">
        <v>183594.99790256299</v>
      </c>
      <c r="G1519" s="9">
        <v>344995.26462988101</v>
      </c>
      <c r="H1519" s="9">
        <v>183583.04220271501</v>
      </c>
      <c r="I1519" s="21">
        <f t="shared" si="46"/>
        <v>-11.955699847982032</v>
      </c>
      <c r="J1519" s="21">
        <f t="shared" si="47"/>
        <v>-58.01546345296083</v>
      </c>
    </row>
    <row r="1520" spans="1:10" hidden="1">
      <c r="A1520" t="s">
        <v>242</v>
      </c>
      <c r="B1520" t="s">
        <v>244</v>
      </c>
      <c r="C1520" s="18">
        <v>2033</v>
      </c>
      <c r="D1520" t="s">
        <v>422</v>
      </c>
      <c r="E1520" s="9">
        <v>37788.473872627299</v>
      </c>
      <c r="F1520" s="9">
        <v>3977.7180433622498</v>
      </c>
      <c r="G1520" s="9">
        <v>37788.395913351</v>
      </c>
      <c r="H1520" s="9">
        <v>3977.7143757352601</v>
      </c>
      <c r="I1520" s="21">
        <f t="shared" si="46"/>
        <v>-3.6676269896815938E-3</v>
      </c>
      <c r="J1520" s="21">
        <f t="shared" si="47"/>
        <v>-7.7959276299225166E-2</v>
      </c>
    </row>
    <row r="1521" spans="1:10" hidden="1">
      <c r="A1521" t="s">
        <v>242</v>
      </c>
      <c r="B1521" t="s">
        <v>244</v>
      </c>
      <c r="C1521" s="18">
        <v>2034</v>
      </c>
      <c r="D1521" t="s">
        <v>174</v>
      </c>
      <c r="E1521" s="9">
        <v>16290.7576344965</v>
      </c>
      <c r="F1521" s="9">
        <v>11780.616895851201</v>
      </c>
      <c r="G1521" s="9">
        <v>16285.764037622699</v>
      </c>
      <c r="H1521" s="9">
        <v>11779.4141755774</v>
      </c>
      <c r="I1521" s="21">
        <f t="shared" si="46"/>
        <v>-1.2027202738008782</v>
      </c>
      <c r="J1521" s="21">
        <f t="shared" si="47"/>
        <v>-4.9935968738009251</v>
      </c>
    </row>
    <row r="1522" spans="1:10" hidden="1">
      <c r="A1522" t="s">
        <v>242</v>
      </c>
      <c r="B1522" t="s">
        <v>244</v>
      </c>
      <c r="C1522" s="18">
        <v>2034</v>
      </c>
      <c r="D1522" t="s">
        <v>236</v>
      </c>
      <c r="E1522" s="9">
        <v>1151326.68231416</v>
      </c>
      <c r="F1522" s="9">
        <v>202323.96725741701</v>
      </c>
      <c r="G1522" s="9">
        <v>1151232.62464015</v>
      </c>
      <c r="H1522" s="9">
        <v>202320.63612115101</v>
      </c>
      <c r="I1522" s="21">
        <f t="shared" si="46"/>
        <v>-3.3311362660024315</v>
      </c>
      <c r="J1522" s="21">
        <f t="shared" si="47"/>
        <v>-94.057674010051414</v>
      </c>
    </row>
    <row r="1523" spans="1:10" hidden="1">
      <c r="A1523" t="s">
        <v>242</v>
      </c>
      <c r="B1523" t="s">
        <v>244</v>
      </c>
      <c r="C1523" s="18">
        <v>2034</v>
      </c>
      <c r="D1523" t="s">
        <v>182</v>
      </c>
      <c r="E1523" s="9">
        <v>119203.10552971999</v>
      </c>
      <c r="F1523" s="9">
        <v>78788.588100262306</v>
      </c>
      <c r="G1523" s="9">
        <v>119173.805374547</v>
      </c>
      <c r="H1523" s="9">
        <v>78781.723235872807</v>
      </c>
      <c r="I1523" s="21">
        <f t="shared" si="46"/>
        <v>-6.8648643894994166</v>
      </c>
      <c r="J1523" s="21">
        <f t="shared" si="47"/>
        <v>-29.30015517299762</v>
      </c>
    </row>
    <row r="1524" spans="1:10" hidden="1">
      <c r="A1524" t="s">
        <v>242</v>
      </c>
      <c r="B1524" t="s">
        <v>244</v>
      </c>
      <c r="C1524" s="18">
        <v>2034</v>
      </c>
      <c r="D1524" t="s">
        <v>185</v>
      </c>
      <c r="E1524" s="9">
        <v>273716.72450941702</v>
      </c>
      <c r="F1524" s="9">
        <v>256779.912616129</v>
      </c>
      <c r="G1524" s="9">
        <v>273669.65020286699</v>
      </c>
      <c r="H1524" s="9">
        <v>256753.127116244</v>
      </c>
      <c r="I1524" s="21">
        <f t="shared" si="46"/>
        <v>-26.785499885008903</v>
      </c>
      <c r="J1524" s="21">
        <f t="shared" si="47"/>
        <v>-47.074306550028268</v>
      </c>
    </row>
    <row r="1525" spans="1:10" hidden="1">
      <c r="A1525" t="s">
        <v>242</v>
      </c>
      <c r="B1525" t="s">
        <v>244</v>
      </c>
      <c r="C1525" s="18">
        <v>2034</v>
      </c>
      <c r="D1525" t="s">
        <v>188</v>
      </c>
      <c r="E1525" s="9">
        <v>654963.19660878496</v>
      </c>
      <c r="F1525" s="9">
        <v>389459.57364305999</v>
      </c>
      <c r="G1525" s="9">
        <v>669565.09186596901</v>
      </c>
      <c r="H1525" s="9">
        <v>393806.92012191401</v>
      </c>
      <c r="I1525" s="21">
        <f t="shared" si="46"/>
        <v>4347.346478854015</v>
      </c>
      <c r="J1525" s="21">
        <f t="shared" si="47"/>
        <v>14601.895257184049</v>
      </c>
    </row>
    <row r="1526" spans="1:10" hidden="1">
      <c r="A1526" t="s">
        <v>242</v>
      </c>
      <c r="B1526" t="s">
        <v>244</v>
      </c>
      <c r="C1526" s="18">
        <v>2034</v>
      </c>
      <c r="D1526" t="s">
        <v>191</v>
      </c>
      <c r="E1526" s="9">
        <v>346002.12323409802</v>
      </c>
      <c r="F1526" s="9">
        <v>184818.21202988201</v>
      </c>
      <c r="G1526" s="9">
        <v>345926.396497523</v>
      </c>
      <c r="H1526" s="9">
        <v>184800.88501932399</v>
      </c>
      <c r="I1526" s="21">
        <f t="shared" si="46"/>
        <v>-17.3270105580159</v>
      </c>
      <c r="J1526" s="21">
        <f t="shared" si="47"/>
        <v>-75.726736575015821</v>
      </c>
    </row>
    <row r="1527" spans="1:10" hidden="1">
      <c r="A1527" t="s">
        <v>242</v>
      </c>
      <c r="B1527" t="s">
        <v>244</v>
      </c>
      <c r="C1527" s="18">
        <v>2034</v>
      </c>
      <c r="D1527" t="s">
        <v>422</v>
      </c>
      <c r="E1527" s="9">
        <v>37391.215303729899</v>
      </c>
      <c r="F1527" s="9">
        <v>3849.4410138060798</v>
      </c>
      <c r="G1527" s="9">
        <v>37391.118979539897</v>
      </c>
      <c r="H1527" s="9">
        <v>3849.43642407178</v>
      </c>
      <c r="I1527" s="21">
        <f t="shared" si="46"/>
        <v>-4.5897342997704982E-3</v>
      </c>
      <c r="J1527" s="21">
        <f t="shared" si="47"/>
        <v>-9.6324190002633259E-2</v>
      </c>
    </row>
    <row r="1528" spans="1:10" hidden="1">
      <c r="A1528" t="s">
        <v>242</v>
      </c>
      <c r="B1528" t="s">
        <v>244</v>
      </c>
      <c r="C1528" s="18">
        <v>2035</v>
      </c>
      <c r="D1528" t="s">
        <v>174</v>
      </c>
      <c r="E1528" s="9">
        <v>16837.143235887699</v>
      </c>
      <c r="F1528" s="9">
        <v>12114.569515147001</v>
      </c>
      <c r="G1528" s="9">
        <v>16830.6420972909</v>
      </c>
      <c r="H1528" s="9">
        <v>12112.814364394</v>
      </c>
      <c r="I1528" s="21">
        <f t="shared" si="46"/>
        <v>-1.7551507530006347</v>
      </c>
      <c r="J1528" s="21">
        <f t="shared" si="47"/>
        <v>-6.5011385967991373</v>
      </c>
    </row>
    <row r="1529" spans="1:10" hidden="1">
      <c r="A1529" t="s">
        <v>242</v>
      </c>
      <c r="B1529" t="s">
        <v>244</v>
      </c>
      <c r="C1529" s="18">
        <v>2035</v>
      </c>
      <c r="D1529" t="s">
        <v>236</v>
      </c>
      <c r="E1529" s="9">
        <v>1162901.1584131501</v>
      </c>
      <c r="F1529" s="9">
        <v>210632.549171463</v>
      </c>
      <c r="G1529" s="9">
        <v>1162777.28327874</v>
      </c>
      <c r="H1529" s="9">
        <v>210627.422792314</v>
      </c>
      <c r="I1529" s="21">
        <f t="shared" si="46"/>
        <v>-5.1263791490055155</v>
      </c>
      <c r="J1529" s="21">
        <f t="shared" si="47"/>
        <v>-123.87513441010378</v>
      </c>
    </row>
    <row r="1530" spans="1:10" hidden="1">
      <c r="A1530" t="s">
        <v>242</v>
      </c>
      <c r="B1530" t="s">
        <v>244</v>
      </c>
      <c r="C1530" s="18">
        <v>2035</v>
      </c>
      <c r="D1530" t="s">
        <v>182</v>
      </c>
      <c r="E1530" s="9">
        <v>120835.878099176</v>
      </c>
      <c r="F1530" s="9">
        <v>79466.2517609442</v>
      </c>
      <c r="G1530" s="9">
        <v>120799.065903184</v>
      </c>
      <c r="H1530" s="9">
        <v>79456.632421187605</v>
      </c>
      <c r="I1530" s="21">
        <f t="shared" si="46"/>
        <v>-9.6193397565948544</v>
      </c>
      <c r="J1530" s="21">
        <f t="shared" si="47"/>
        <v>-36.812195991995395</v>
      </c>
    </row>
    <row r="1531" spans="1:10" hidden="1">
      <c r="A1531" t="s">
        <v>242</v>
      </c>
      <c r="B1531" t="s">
        <v>244</v>
      </c>
      <c r="C1531" s="18">
        <v>2035</v>
      </c>
      <c r="D1531" t="s">
        <v>185</v>
      </c>
      <c r="E1531" s="9">
        <v>273404.82312299497</v>
      </c>
      <c r="F1531" s="9">
        <v>256843.974601483</v>
      </c>
      <c r="G1531" s="9">
        <v>273345.36006293801</v>
      </c>
      <c r="H1531" s="9">
        <v>256807.53223008101</v>
      </c>
      <c r="I1531" s="21">
        <f t="shared" si="46"/>
        <v>-36.442371401994023</v>
      </c>
      <c r="J1531" s="21">
        <f t="shared" si="47"/>
        <v>-59.463060056965332</v>
      </c>
    </row>
    <row r="1532" spans="1:10" hidden="1">
      <c r="A1532" t="s">
        <v>242</v>
      </c>
      <c r="B1532" t="s">
        <v>244</v>
      </c>
      <c r="C1532" s="18">
        <v>2035</v>
      </c>
      <c r="D1532" t="s">
        <v>188</v>
      </c>
      <c r="E1532" s="9">
        <v>663915.21091863897</v>
      </c>
      <c r="F1532" s="9">
        <v>394631.55635078799</v>
      </c>
      <c r="G1532" s="9">
        <v>678638.43452144298</v>
      </c>
      <c r="H1532" s="9">
        <v>399492.95053299802</v>
      </c>
      <c r="I1532" s="21">
        <f t="shared" si="46"/>
        <v>4861.3941822100314</v>
      </c>
      <c r="J1532" s="21">
        <f t="shared" si="47"/>
        <v>14723.223602804006</v>
      </c>
    </row>
    <row r="1533" spans="1:10" hidden="1">
      <c r="A1533" t="s">
        <v>242</v>
      </c>
      <c r="B1533" t="s">
        <v>244</v>
      </c>
      <c r="C1533" s="18">
        <v>2035</v>
      </c>
      <c r="D1533" t="s">
        <v>191</v>
      </c>
      <c r="E1533" s="9">
        <v>349240.49796608498</v>
      </c>
      <c r="F1533" s="9">
        <v>185389.167813754</v>
      </c>
      <c r="G1533" s="9">
        <v>349146.06245576398</v>
      </c>
      <c r="H1533" s="9">
        <v>185365.76110357899</v>
      </c>
      <c r="I1533" s="21">
        <f t="shared" si="46"/>
        <v>-23.40671017501154</v>
      </c>
      <c r="J1533" s="21">
        <f t="shared" si="47"/>
        <v>-94.4355103209964</v>
      </c>
    </row>
    <row r="1534" spans="1:10" hidden="1">
      <c r="A1534" t="s">
        <v>242</v>
      </c>
      <c r="B1534" t="s">
        <v>244</v>
      </c>
      <c r="C1534" s="18">
        <v>2035</v>
      </c>
      <c r="D1534" t="s">
        <v>422</v>
      </c>
      <c r="E1534" s="9">
        <v>37274.512082789501</v>
      </c>
      <c r="F1534" s="9">
        <v>3710.4371369328701</v>
      </c>
      <c r="G1534" s="9">
        <v>37274.397901844597</v>
      </c>
      <c r="H1534" s="9">
        <v>3710.43177455469</v>
      </c>
      <c r="I1534" s="21">
        <f t="shared" si="46"/>
        <v>-5.3623781800524739E-3</v>
      </c>
      <c r="J1534" s="21">
        <f t="shared" si="47"/>
        <v>-0.11418094490363728</v>
      </c>
    </row>
    <row r="1535" spans="1:10" hidden="1">
      <c r="A1535" t="s">
        <v>242</v>
      </c>
      <c r="B1535" t="s">
        <v>244</v>
      </c>
      <c r="C1535" s="18">
        <v>2036</v>
      </c>
      <c r="D1535" t="s">
        <v>174</v>
      </c>
      <c r="E1535" s="9">
        <v>17400.772047267601</v>
      </c>
      <c r="F1535" s="9">
        <v>12455.278346289801</v>
      </c>
      <c r="G1535" s="9">
        <v>17392.609904070101</v>
      </c>
      <c r="H1535" s="9">
        <v>12452.864013751599</v>
      </c>
      <c r="I1535" s="21">
        <f t="shared" si="46"/>
        <v>-2.4143325382010516</v>
      </c>
      <c r="J1535" s="21">
        <f t="shared" si="47"/>
        <v>-8.1621431974999723</v>
      </c>
    </row>
    <row r="1536" spans="1:10" hidden="1">
      <c r="A1536" t="s">
        <v>242</v>
      </c>
      <c r="B1536" t="s">
        <v>244</v>
      </c>
      <c r="C1536" s="18">
        <v>2036</v>
      </c>
      <c r="D1536" t="s">
        <v>236</v>
      </c>
      <c r="E1536" s="9">
        <v>1174242.00441556</v>
      </c>
      <c r="F1536" s="9">
        <v>218914.04102786901</v>
      </c>
      <c r="G1536" s="9">
        <v>1174085.51289072</v>
      </c>
      <c r="H1536" s="9">
        <v>218906.62344450099</v>
      </c>
      <c r="I1536" s="21">
        <f t="shared" si="46"/>
        <v>-7.4175833680201322</v>
      </c>
      <c r="J1536" s="21">
        <f t="shared" si="47"/>
        <v>-156.4915248400066</v>
      </c>
    </row>
    <row r="1537" spans="1:10" hidden="1">
      <c r="A1537" t="s">
        <v>242</v>
      </c>
      <c r="B1537" t="s">
        <v>244</v>
      </c>
      <c r="C1537" s="18">
        <v>2036</v>
      </c>
      <c r="D1537" t="s">
        <v>182</v>
      </c>
      <c r="E1537" s="9">
        <v>122663.643600774</v>
      </c>
      <c r="F1537" s="9">
        <v>80315.6203190698</v>
      </c>
      <c r="G1537" s="9">
        <v>122618.320312187</v>
      </c>
      <c r="H1537" s="9">
        <v>80302.842995522602</v>
      </c>
      <c r="I1537" s="21">
        <f t="shared" si="46"/>
        <v>-12.777323547197739</v>
      </c>
      <c r="J1537" s="21">
        <f t="shared" si="47"/>
        <v>-45.323288586994749</v>
      </c>
    </row>
    <row r="1538" spans="1:10" hidden="1">
      <c r="A1538" t="s">
        <v>242</v>
      </c>
      <c r="B1538" t="s">
        <v>244</v>
      </c>
      <c r="C1538" s="18">
        <v>2036</v>
      </c>
      <c r="D1538" t="s">
        <v>185</v>
      </c>
      <c r="E1538" s="9">
        <v>273370.329483093</v>
      </c>
      <c r="F1538" s="9">
        <v>256980.117342935</v>
      </c>
      <c r="G1538" s="9">
        <v>273297.56982222799</v>
      </c>
      <c r="H1538" s="9">
        <v>256933.39822934201</v>
      </c>
      <c r="I1538" s="21">
        <f t="shared" ref="I1538:I1601" si="48">H1538-F1538</f>
        <v>-46.719113592989743</v>
      </c>
      <c r="J1538" s="21">
        <f t="shared" ref="J1538:J1601" si="49">G1538-E1538</f>
        <v>-72.759660865005571</v>
      </c>
    </row>
    <row r="1539" spans="1:10" hidden="1">
      <c r="A1539" t="s">
        <v>242</v>
      </c>
      <c r="B1539" t="s">
        <v>244</v>
      </c>
      <c r="C1539" s="18">
        <v>2036</v>
      </c>
      <c r="D1539" t="s">
        <v>188</v>
      </c>
      <c r="E1539" s="9">
        <v>673336.60025736096</v>
      </c>
      <c r="F1539" s="9">
        <v>400654.48150377098</v>
      </c>
      <c r="G1539" s="9">
        <v>688194.68447559199</v>
      </c>
      <c r="H1539" s="9">
        <v>405992.65349387802</v>
      </c>
      <c r="I1539" s="21">
        <f t="shared" si="48"/>
        <v>5338.1719901070464</v>
      </c>
      <c r="J1539" s="21">
        <f t="shared" si="49"/>
        <v>14858.08421823103</v>
      </c>
    </row>
    <row r="1540" spans="1:10" hidden="1">
      <c r="A1540" t="s">
        <v>242</v>
      </c>
      <c r="B1540" t="s">
        <v>244</v>
      </c>
      <c r="C1540" s="18">
        <v>2036</v>
      </c>
      <c r="D1540" t="s">
        <v>191</v>
      </c>
      <c r="E1540" s="9">
        <v>352718.37437824399</v>
      </c>
      <c r="F1540" s="9">
        <v>186448.03986467101</v>
      </c>
      <c r="G1540" s="9">
        <v>352603.07171420398</v>
      </c>
      <c r="H1540" s="9">
        <v>186417.92722248001</v>
      </c>
      <c r="I1540" s="21">
        <f t="shared" si="48"/>
        <v>-30.112642191001214</v>
      </c>
      <c r="J1540" s="21">
        <f t="shared" si="49"/>
        <v>-115.30266404000577</v>
      </c>
    </row>
    <row r="1541" spans="1:10" hidden="1">
      <c r="A1541" t="s">
        <v>242</v>
      </c>
      <c r="B1541" t="s">
        <v>244</v>
      </c>
      <c r="C1541" s="18">
        <v>2036</v>
      </c>
      <c r="D1541" t="s">
        <v>422</v>
      </c>
      <c r="E1541" s="9">
        <v>37283.158211201</v>
      </c>
      <c r="F1541" s="9">
        <v>3578.6660345596802</v>
      </c>
      <c r="G1541" s="9">
        <v>37283.027629395598</v>
      </c>
      <c r="H1541" s="9">
        <v>3578.66006488627</v>
      </c>
      <c r="I1541" s="21">
        <f t="shared" si="48"/>
        <v>-5.9696734101635229E-3</v>
      </c>
      <c r="J1541" s="21">
        <f t="shared" si="49"/>
        <v>-0.13058180540247122</v>
      </c>
    </row>
    <row r="1542" spans="1:10" hidden="1">
      <c r="A1542" t="s">
        <v>242</v>
      </c>
      <c r="B1542" t="s">
        <v>244</v>
      </c>
      <c r="C1542" s="18">
        <v>2037</v>
      </c>
      <c r="D1542" t="s">
        <v>174</v>
      </c>
      <c r="E1542" s="9">
        <v>17981.454390018</v>
      </c>
      <c r="F1542" s="9">
        <v>12802.6567777491</v>
      </c>
      <c r="G1542" s="9">
        <v>17971.482864064201</v>
      </c>
      <c r="H1542" s="9">
        <v>12799.479454561601</v>
      </c>
      <c r="I1542" s="21">
        <f t="shared" si="48"/>
        <v>-3.1773231874994963</v>
      </c>
      <c r="J1542" s="21">
        <f t="shared" si="49"/>
        <v>-9.9715259537988459</v>
      </c>
    </row>
    <row r="1543" spans="1:10" hidden="1">
      <c r="A1543" t="s">
        <v>242</v>
      </c>
      <c r="B1543" t="s">
        <v>244</v>
      </c>
      <c r="C1543" s="18">
        <v>2037</v>
      </c>
      <c r="D1543" t="s">
        <v>236</v>
      </c>
      <c r="E1543" s="9">
        <v>1185456.28368903</v>
      </c>
      <c r="F1543" s="9">
        <v>227156.072171654</v>
      </c>
      <c r="G1543" s="9">
        <v>1185264.7438497699</v>
      </c>
      <c r="H1543" s="9">
        <v>227145.85064844001</v>
      </c>
      <c r="I1543" s="21">
        <f t="shared" si="48"/>
        <v>-10.221523213986075</v>
      </c>
      <c r="J1543" s="21">
        <f t="shared" si="49"/>
        <v>-191.5398392600473</v>
      </c>
    </row>
    <row r="1544" spans="1:10" hidden="1">
      <c r="A1544" t="s">
        <v>242</v>
      </c>
      <c r="B1544" t="s">
        <v>244</v>
      </c>
      <c r="C1544" s="18">
        <v>2037</v>
      </c>
      <c r="D1544" t="s">
        <v>182</v>
      </c>
      <c r="E1544" s="9">
        <v>124543.60386755101</v>
      </c>
      <c r="F1544" s="9">
        <v>81261.006093891803</v>
      </c>
      <c r="G1544" s="9">
        <v>124489.42976024401</v>
      </c>
      <c r="H1544" s="9">
        <v>81244.691389584303</v>
      </c>
      <c r="I1544" s="21">
        <f t="shared" si="48"/>
        <v>-16.314704307500506</v>
      </c>
      <c r="J1544" s="21">
        <f t="shared" si="49"/>
        <v>-54.174107307000668</v>
      </c>
    </row>
    <row r="1545" spans="1:10" hidden="1">
      <c r="A1545" t="s">
        <v>242</v>
      </c>
      <c r="B1545" t="s">
        <v>244</v>
      </c>
      <c r="C1545" s="18">
        <v>2037</v>
      </c>
      <c r="D1545" t="s">
        <v>185</v>
      </c>
      <c r="E1545" s="9">
        <v>273289.120171747</v>
      </c>
      <c r="F1545" s="9">
        <v>257128.85044561399</v>
      </c>
      <c r="G1545" s="9">
        <v>273202.80227406899</v>
      </c>
      <c r="H1545" s="9">
        <v>257070.97314913399</v>
      </c>
      <c r="I1545" s="21">
        <f t="shared" si="48"/>
        <v>-57.87729648000095</v>
      </c>
      <c r="J1545" s="21">
        <f t="shared" si="49"/>
        <v>-86.317897678003646</v>
      </c>
    </row>
    <row r="1546" spans="1:10" hidden="1">
      <c r="A1546" t="s">
        <v>242</v>
      </c>
      <c r="B1546" t="s">
        <v>244</v>
      </c>
      <c r="C1546" s="18">
        <v>2037</v>
      </c>
      <c r="D1546" t="s">
        <v>188</v>
      </c>
      <c r="E1546" s="9">
        <v>683060.31140965899</v>
      </c>
      <c r="F1546" s="9">
        <v>407232.83330115001</v>
      </c>
      <c r="G1546" s="9">
        <v>698060.50212694705</v>
      </c>
      <c r="H1546" s="9">
        <v>413018.343093551</v>
      </c>
      <c r="I1546" s="21">
        <f t="shared" si="48"/>
        <v>5785.5097924009897</v>
      </c>
      <c r="J1546" s="21">
        <f t="shared" si="49"/>
        <v>15000.19071728806</v>
      </c>
    </row>
    <row r="1547" spans="1:10" hidden="1">
      <c r="A1547" t="s">
        <v>242</v>
      </c>
      <c r="B1547" t="s">
        <v>244</v>
      </c>
      <c r="C1547" s="18">
        <v>2037</v>
      </c>
      <c r="D1547" t="s">
        <v>191</v>
      </c>
      <c r="E1547" s="9">
        <v>356562.49316669902</v>
      </c>
      <c r="F1547" s="9">
        <v>187825.740590589</v>
      </c>
      <c r="G1547" s="9">
        <v>356425.67891865398</v>
      </c>
      <c r="H1547" s="9">
        <v>187788.31252848901</v>
      </c>
      <c r="I1547" s="21">
        <f t="shared" si="48"/>
        <v>-37.42806209999253</v>
      </c>
      <c r="J1547" s="21">
        <f t="shared" si="49"/>
        <v>-136.81424804503331</v>
      </c>
    </row>
    <row r="1548" spans="1:10" hidden="1">
      <c r="A1548" t="s">
        <v>242</v>
      </c>
      <c r="B1548" t="s">
        <v>244</v>
      </c>
      <c r="C1548" s="18">
        <v>2037</v>
      </c>
      <c r="D1548" t="s">
        <v>422</v>
      </c>
      <c r="E1548" s="9">
        <v>36837.418803078297</v>
      </c>
      <c r="F1548" s="9">
        <v>3450.2010124128101</v>
      </c>
      <c r="G1548" s="9">
        <v>36837.277480763201</v>
      </c>
      <c r="H1548" s="9">
        <v>3450.1946557369902</v>
      </c>
      <c r="I1548" s="21">
        <f t="shared" si="48"/>
        <v>-6.3566758199158357E-3</v>
      </c>
      <c r="J1548" s="21">
        <f t="shared" si="49"/>
        <v>-0.14132231509574922</v>
      </c>
    </row>
    <row r="1549" spans="1:10" hidden="1">
      <c r="A1549" t="s">
        <v>242</v>
      </c>
      <c r="B1549" t="s">
        <v>244</v>
      </c>
      <c r="C1549" s="18">
        <v>2038</v>
      </c>
      <c r="D1549" t="s">
        <v>174</v>
      </c>
      <c r="E1549" s="9">
        <v>18576.662994342299</v>
      </c>
      <c r="F1549" s="9">
        <v>13159.643791443699</v>
      </c>
      <c r="G1549" s="9">
        <v>18564.7325343064</v>
      </c>
      <c r="H1549" s="9">
        <v>13155.6038503287</v>
      </c>
      <c r="I1549" s="21">
        <f t="shared" si="48"/>
        <v>-4.0399411149992375</v>
      </c>
      <c r="J1549" s="21">
        <f t="shared" si="49"/>
        <v>-11.930460035899159</v>
      </c>
    </row>
    <row r="1550" spans="1:10" hidden="1">
      <c r="A1550" t="s">
        <v>242</v>
      </c>
      <c r="B1550" t="s">
        <v>244</v>
      </c>
      <c r="C1550" s="18">
        <v>2038</v>
      </c>
      <c r="D1550" t="s">
        <v>236</v>
      </c>
      <c r="E1550" s="9">
        <v>1196543.2253375</v>
      </c>
      <c r="F1550" s="9">
        <v>235343.16106827999</v>
      </c>
      <c r="G1550" s="9">
        <v>1196314.5451145701</v>
      </c>
      <c r="H1550" s="9">
        <v>235329.60149861901</v>
      </c>
      <c r="I1550" s="21">
        <f t="shared" si="48"/>
        <v>-13.559569660981651</v>
      </c>
      <c r="J1550" s="21">
        <f t="shared" si="49"/>
        <v>-228.680222929921</v>
      </c>
    </row>
    <row r="1551" spans="1:10" hidden="1">
      <c r="A1551" t="s">
        <v>242</v>
      </c>
      <c r="B1551" t="s">
        <v>244</v>
      </c>
      <c r="C1551" s="18">
        <v>2038</v>
      </c>
      <c r="D1551" t="s">
        <v>182</v>
      </c>
      <c r="E1551" s="9">
        <v>126619.245245044</v>
      </c>
      <c r="F1551" s="9">
        <v>82274.128829195004</v>
      </c>
      <c r="G1551" s="9">
        <v>126555.833855502</v>
      </c>
      <c r="H1551" s="9">
        <v>82253.930841494002</v>
      </c>
      <c r="I1551" s="21">
        <f t="shared" si="48"/>
        <v>-20.197987701001693</v>
      </c>
      <c r="J1551" s="21">
        <f t="shared" si="49"/>
        <v>-63.411389542001416</v>
      </c>
    </row>
    <row r="1552" spans="1:10" hidden="1">
      <c r="A1552" t="s">
        <v>242</v>
      </c>
      <c r="B1552" t="s">
        <v>244</v>
      </c>
      <c r="C1552" s="18">
        <v>2038</v>
      </c>
      <c r="D1552" t="s">
        <v>185</v>
      </c>
      <c r="E1552" s="9">
        <v>273135.71012682503</v>
      </c>
      <c r="F1552" s="9">
        <v>257200.17406091001</v>
      </c>
      <c r="G1552" s="9">
        <v>273035.370644084</v>
      </c>
      <c r="H1552" s="9">
        <v>257130.676610817</v>
      </c>
      <c r="I1552" s="21">
        <f t="shared" si="48"/>
        <v>-69.497450093011139</v>
      </c>
      <c r="J1552" s="21">
        <f t="shared" si="49"/>
        <v>-100.33948274102295</v>
      </c>
    </row>
    <row r="1553" spans="1:10" hidden="1">
      <c r="A1553" t="s">
        <v>242</v>
      </c>
      <c r="B1553" t="s">
        <v>244</v>
      </c>
      <c r="C1553" s="18">
        <v>2038</v>
      </c>
      <c r="D1553" t="s">
        <v>188</v>
      </c>
      <c r="E1553" s="9">
        <v>693515.89867939695</v>
      </c>
      <c r="F1553" s="9">
        <v>414240.74851106998</v>
      </c>
      <c r="G1553" s="9">
        <v>708674.57496129896</v>
      </c>
      <c r="H1553" s="9">
        <v>420445.264129068</v>
      </c>
      <c r="I1553" s="21">
        <f t="shared" si="48"/>
        <v>6204.5156179980258</v>
      </c>
      <c r="J1553" s="21">
        <f t="shared" si="49"/>
        <v>15158.676281902008</v>
      </c>
    </row>
    <row r="1554" spans="1:10" hidden="1">
      <c r="A1554" t="s">
        <v>242</v>
      </c>
      <c r="B1554" t="s">
        <v>244</v>
      </c>
      <c r="C1554" s="18">
        <v>2038</v>
      </c>
      <c r="D1554" t="s">
        <v>191</v>
      </c>
      <c r="E1554" s="9">
        <v>361059.86897463101</v>
      </c>
      <c r="F1554" s="9">
        <v>189392.745114066</v>
      </c>
      <c r="G1554" s="9">
        <v>360900.93527344998</v>
      </c>
      <c r="H1554" s="9">
        <v>189347.42226660499</v>
      </c>
      <c r="I1554" s="21">
        <f t="shared" si="48"/>
        <v>-45.322847461007768</v>
      </c>
      <c r="J1554" s="21">
        <f t="shared" si="49"/>
        <v>-158.93370118102757</v>
      </c>
    </row>
    <row r="1555" spans="1:10" hidden="1">
      <c r="A1555" t="s">
        <v>242</v>
      </c>
      <c r="B1555" t="s">
        <v>244</v>
      </c>
      <c r="C1555" s="18">
        <v>2038</v>
      </c>
      <c r="D1555" t="s">
        <v>422</v>
      </c>
      <c r="E1555" s="9">
        <v>36551.592716583298</v>
      </c>
      <c r="F1555" s="9">
        <v>3322.8280005627598</v>
      </c>
      <c r="G1555" s="9">
        <v>36551.441257778999</v>
      </c>
      <c r="H1555" s="9">
        <v>3322.8215744210102</v>
      </c>
      <c r="I1555" s="21">
        <f t="shared" si="48"/>
        <v>-6.4261417496709328E-3</v>
      </c>
      <c r="J1555" s="21">
        <f t="shared" si="49"/>
        <v>-0.15145880429918179</v>
      </c>
    </row>
    <row r="1556" spans="1:10" hidden="1">
      <c r="A1556" t="s">
        <v>242</v>
      </c>
      <c r="B1556" t="s">
        <v>244</v>
      </c>
      <c r="C1556" s="18">
        <v>2039</v>
      </c>
      <c r="D1556" t="s">
        <v>174</v>
      </c>
      <c r="E1556" s="9">
        <v>19188.390299998198</v>
      </c>
      <c r="F1556" s="9">
        <v>13521.7794563608</v>
      </c>
      <c r="G1556" s="9">
        <v>19174.345745902901</v>
      </c>
      <c r="H1556" s="9">
        <v>13516.7785061579</v>
      </c>
      <c r="I1556" s="21">
        <f t="shared" si="48"/>
        <v>-5.0009502029006399</v>
      </c>
      <c r="J1556" s="21">
        <f t="shared" si="49"/>
        <v>-14.044554095296917</v>
      </c>
    </row>
    <row r="1557" spans="1:10" hidden="1">
      <c r="A1557" t="s">
        <v>242</v>
      </c>
      <c r="B1557" t="s">
        <v>244</v>
      </c>
      <c r="C1557" s="18">
        <v>2039</v>
      </c>
      <c r="D1557" t="s">
        <v>236</v>
      </c>
      <c r="E1557" s="9">
        <v>1207193.36558819</v>
      </c>
      <c r="F1557" s="9">
        <v>243500.81388642101</v>
      </c>
      <c r="G1557" s="9">
        <v>1206925.78308321</v>
      </c>
      <c r="H1557" s="9">
        <v>243483.36403446301</v>
      </c>
      <c r="I1557" s="21">
        <f t="shared" si="48"/>
        <v>-17.449851957993815</v>
      </c>
      <c r="J1557" s="21">
        <f t="shared" si="49"/>
        <v>-267.58250498003326</v>
      </c>
    </row>
    <row r="1558" spans="1:10" hidden="1">
      <c r="A1558" t="s">
        <v>242</v>
      </c>
      <c r="B1558" t="s">
        <v>244</v>
      </c>
      <c r="C1558" s="18">
        <v>2039</v>
      </c>
      <c r="D1558" t="s">
        <v>182</v>
      </c>
      <c r="E1558" s="9">
        <v>128073.869894023</v>
      </c>
      <c r="F1558" s="9">
        <v>83413.604644508305</v>
      </c>
      <c r="G1558" s="9">
        <v>128001.347826374</v>
      </c>
      <c r="H1558" s="9">
        <v>83389.180958792305</v>
      </c>
      <c r="I1558" s="21">
        <f t="shared" si="48"/>
        <v>-24.423685715999454</v>
      </c>
      <c r="J1558" s="21">
        <f t="shared" si="49"/>
        <v>-72.522067648998927</v>
      </c>
    </row>
    <row r="1559" spans="1:10" hidden="1">
      <c r="A1559" t="s">
        <v>242</v>
      </c>
      <c r="B1559" t="s">
        <v>244</v>
      </c>
      <c r="C1559" s="18">
        <v>2039</v>
      </c>
      <c r="D1559" t="s">
        <v>185</v>
      </c>
      <c r="E1559" s="9">
        <v>273088.05013985699</v>
      </c>
      <c r="F1559" s="9">
        <v>257523.60923655401</v>
      </c>
      <c r="G1559" s="9">
        <v>272973.34550101002</v>
      </c>
      <c r="H1559" s="9">
        <v>257441.86914336999</v>
      </c>
      <c r="I1559" s="21">
        <f t="shared" si="48"/>
        <v>-81.740093184023863</v>
      </c>
      <c r="J1559" s="21">
        <f t="shared" si="49"/>
        <v>-114.70463884697529</v>
      </c>
    </row>
    <row r="1560" spans="1:10" hidden="1">
      <c r="A1560" t="s">
        <v>242</v>
      </c>
      <c r="B1560" t="s">
        <v>244</v>
      </c>
      <c r="C1560" s="18">
        <v>2039</v>
      </c>
      <c r="D1560" t="s">
        <v>188</v>
      </c>
      <c r="E1560" s="9">
        <v>700343.58526817698</v>
      </c>
      <c r="F1560" s="9">
        <v>421842.47946201701</v>
      </c>
      <c r="G1560" s="9">
        <v>715580.88708538504</v>
      </c>
      <c r="H1560" s="9">
        <v>428444.56848174502</v>
      </c>
      <c r="I1560" s="21">
        <f t="shared" si="48"/>
        <v>6602.0890197280096</v>
      </c>
      <c r="J1560" s="21">
        <f t="shared" si="49"/>
        <v>15237.301817208063</v>
      </c>
    </row>
    <row r="1561" spans="1:10" hidden="1">
      <c r="A1561" t="s">
        <v>242</v>
      </c>
      <c r="B1561" t="s">
        <v>244</v>
      </c>
      <c r="C1561" s="18">
        <v>2039</v>
      </c>
      <c r="D1561" t="s">
        <v>191</v>
      </c>
      <c r="E1561" s="9">
        <v>363150.10574935598</v>
      </c>
      <c r="F1561" s="9">
        <v>191983.443604267</v>
      </c>
      <c r="G1561" s="9">
        <v>362969.198365508</v>
      </c>
      <c r="H1561" s="9">
        <v>191929.610855123</v>
      </c>
      <c r="I1561" s="21">
        <f t="shared" si="48"/>
        <v>-53.832749143999536</v>
      </c>
      <c r="J1561" s="21">
        <f t="shared" si="49"/>
        <v>-180.90738384798169</v>
      </c>
    </row>
    <row r="1562" spans="1:10" hidden="1">
      <c r="A1562" t="s">
        <v>242</v>
      </c>
      <c r="B1562" t="s">
        <v>244</v>
      </c>
      <c r="C1562" s="18">
        <v>2039</v>
      </c>
      <c r="D1562" t="s">
        <v>422</v>
      </c>
      <c r="E1562" s="9">
        <v>36178.387786747102</v>
      </c>
      <c r="F1562" s="9">
        <v>3198.0291979179801</v>
      </c>
      <c r="G1562" s="9">
        <v>36178.223844718399</v>
      </c>
      <c r="H1562" s="9">
        <v>3198.0230538302199</v>
      </c>
      <c r="I1562" s="21">
        <f t="shared" si="48"/>
        <v>-6.1440877602763067E-3</v>
      </c>
      <c r="J1562" s="21">
        <f t="shared" si="49"/>
        <v>-0.163942028702877</v>
      </c>
    </row>
    <row r="1563" spans="1:10" hidden="1">
      <c r="A1563" t="s">
        <v>242</v>
      </c>
      <c r="B1563" t="s">
        <v>244</v>
      </c>
      <c r="C1563" s="18">
        <v>2040</v>
      </c>
      <c r="D1563" t="s">
        <v>174</v>
      </c>
      <c r="E1563" s="9">
        <v>19821.836640698399</v>
      </c>
      <c r="F1563" s="9">
        <v>13885.7261803849</v>
      </c>
      <c r="G1563" s="9">
        <v>19805.505805764798</v>
      </c>
      <c r="H1563" s="9">
        <v>13879.6732870407</v>
      </c>
      <c r="I1563" s="21">
        <f t="shared" si="48"/>
        <v>-6.0528933442001289</v>
      </c>
      <c r="J1563" s="21">
        <f t="shared" si="49"/>
        <v>-16.330834933600272</v>
      </c>
    </row>
    <row r="1564" spans="1:10" hidden="1">
      <c r="A1564" t="s">
        <v>242</v>
      </c>
      <c r="B1564" t="s">
        <v>244</v>
      </c>
      <c r="C1564" s="18">
        <v>2040</v>
      </c>
      <c r="D1564" t="s">
        <v>236</v>
      </c>
      <c r="E1564" s="9">
        <v>1217337.5297900101</v>
      </c>
      <c r="F1564" s="9">
        <v>251613.79495281601</v>
      </c>
      <c r="G1564" s="9">
        <v>1217029.49333677</v>
      </c>
      <c r="H1564" s="9">
        <v>251591.89866486701</v>
      </c>
      <c r="I1564" s="21">
        <f t="shared" si="48"/>
        <v>-21.896287948999088</v>
      </c>
      <c r="J1564" s="21">
        <f t="shared" si="49"/>
        <v>-308.03645324008539</v>
      </c>
    </row>
    <row r="1565" spans="1:10" hidden="1">
      <c r="A1565" t="s">
        <v>242</v>
      </c>
      <c r="B1565" t="s">
        <v>244</v>
      </c>
      <c r="C1565" s="18">
        <v>2040</v>
      </c>
      <c r="D1565" t="s">
        <v>182</v>
      </c>
      <c r="E1565" s="9">
        <v>130161.442000578</v>
      </c>
      <c r="F1565" s="9">
        <v>84460.822723901394</v>
      </c>
      <c r="G1565" s="9">
        <v>130079.117811465</v>
      </c>
      <c r="H1565" s="9">
        <v>84431.891175836907</v>
      </c>
      <c r="I1565" s="21">
        <f t="shared" si="48"/>
        <v>-28.931548064487288</v>
      </c>
      <c r="J1565" s="21">
        <f t="shared" si="49"/>
        <v>-82.324189113001921</v>
      </c>
    </row>
    <row r="1566" spans="1:10" hidden="1">
      <c r="A1566" t="s">
        <v>242</v>
      </c>
      <c r="B1566" t="s">
        <v>244</v>
      </c>
      <c r="C1566" s="18">
        <v>2040</v>
      </c>
      <c r="D1566" t="s">
        <v>185</v>
      </c>
      <c r="E1566" s="9">
        <v>272901.92439425801</v>
      </c>
      <c r="F1566" s="9">
        <v>257546.148851131</v>
      </c>
      <c r="G1566" s="9">
        <v>272772.69297753199</v>
      </c>
      <c r="H1566" s="9">
        <v>257451.80463236</v>
      </c>
      <c r="I1566" s="21">
        <f t="shared" si="48"/>
        <v>-94.344218771002488</v>
      </c>
      <c r="J1566" s="21">
        <f t="shared" si="49"/>
        <v>-129.23141672601923</v>
      </c>
    </row>
    <row r="1567" spans="1:10" hidden="1">
      <c r="A1567" t="s">
        <v>242</v>
      </c>
      <c r="B1567" t="s">
        <v>244</v>
      </c>
      <c r="C1567" s="18">
        <v>2040</v>
      </c>
      <c r="D1567" t="s">
        <v>188</v>
      </c>
      <c r="E1567" s="9">
        <v>709686.74431062303</v>
      </c>
      <c r="F1567" s="9">
        <v>428237.666967767</v>
      </c>
      <c r="G1567" s="9">
        <v>725057.85135654395</v>
      </c>
      <c r="H1567" s="9">
        <v>435208.84098996199</v>
      </c>
      <c r="I1567" s="21">
        <f t="shared" si="48"/>
        <v>6971.1740221949876</v>
      </c>
      <c r="J1567" s="21">
        <f t="shared" si="49"/>
        <v>15371.107045920915</v>
      </c>
    </row>
    <row r="1568" spans="1:10" hidden="1">
      <c r="A1568" t="s">
        <v>242</v>
      </c>
      <c r="B1568" t="s">
        <v>244</v>
      </c>
      <c r="C1568" s="18">
        <v>2040</v>
      </c>
      <c r="D1568" t="s">
        <v>191</v>
      </c>
      <c r="E1568" s="9">
        <v>366917.88583586703</v>
      </c>
      <c r="F1568" s="9">
        <v>193916.155387926</v>
      </c>
      <c r="G1568" s="9">
        <v>366714.04580788402</v>
      </c>
      <c r="H1568" s="9">
        <v>193853.25074776399</v>
      </c>
      <c r="I1568" s="21">
        <f t="shared" si="48"/>
        <v>-62.904640162014402</v>
      </c>
      <c r="J1568" s="21">
        <f t="shared" si="49"/>
        <v>-203.84002798300935</v>
      </c>
    </row>
    <row r="1569" spans="1:10" hidden="1">
      <c r="A1569" t="s">
        <v>242</v>
      </c>
      <c r="B1569" t="s">
        <v>244</v>
      </c>
      <c r="C1569" s="18">
        <v>2040</v>
      </c>
      <c r="D1569" t="s">
        <v>422</v>
      </c>
      <c r="E1569" s="9">
        <v>36005.2041016359</v>
      </c>
      <c r="F1569" s="9">
        <v>3069.2577760209501</v>
      </c>
      <c r="G1569" s="9">
        <v>36005.028086341903</v>
      </c>
      <c r="H1569" s="9">
        <v>3069.2518935015801</v>
      </c>
      <c r="I1569" s="21">
        <f t="shared" si="48"/>
        <v>-5.8825193700613454E-3</v>
      </c>
      <c r="J1569" s="21">
        <f t="shared" si="49"/>
        <v>-0.17601529399689753</v>
      </c>
    </row>
    <row r="1570" spans="1:10" hidden="1">
      <c r="A1570" t="s">
        <v>242</v>
      </c>
      <c r="B1570" t="s">
        <v>244</v>
      </c>
      <c r="C1570" s="18">
        <v>2041</v>
      </c>
      <c r="D1570" t="s">
        <v>174</v>
      </c>
      <c r="E1570" s="9">
        <v>20472.415306852301</v>
      </c>
      <c r="F1570" s="9">
        <v>14256.7426655953</v>
      </c>
      <c r="G1570" s="9">
        <v>20453.6267543422</v>
      </c>
      <c r="H1570" s="9">
        <v>14249.536455216699</v>
      </c>
      <c r="I1570" s="21">
        <f t="shared" si="48"/>
        <v>-7.2062103786010994</v>
      </c>
      <c r="J1570" s="21">
        <f t="shared" si="49"/>
        <v>-18.788552510100999</v>
      </c>
    </row>
    <row r="1571" spans="1:10" hidden="1">
      <c r="A1571" t="s">
        <v>242</v>
      </c>
      <c r="B1571" t="s">
        <v>244</v>
      </c>
      <c r="C1571" s="18">
        <v>2041</v>
      </c>
      <c r="D1571" t="s">
        <v>236</v>
      </c>
      <c r="E1571" s="9">
        <v>1226974.5548521399</v>
      </c>
      <c r="F1571" s="9">
        <v>259704.11707822801</v>
      </c>
      <c r="G1571" s="9">
        <v>1226624.8107670301</v>
      </c>
      <c r="H1571" s="9">
        <v>259677.195752453</v>
      </c>
      <c r="I1571" s="21">
        <f t="shared" si="48"/>
        <v>-26.921325775008881</v>
      </c>
      <c r="J1571" s="21">
        <f t="shared" si="49"/>
        <v>-349.74408510979265</v>
      </c>
    </row>
    <row r="1572" spans="1:10" hidden="1">
      <c r="A1572" t="s">
        <v>242</v>
      </c>
      <c r="B1572" t="s">
        <v>244</v>
      </c>
      <c r="C1572" s="18">
        <v>2041</v>
      </c>
      <c r="D1572" t="s">
        <v>182</v>
      </c>
      <c r="E1572" s="9">
        <v>132322.28075884501</v>
      </c>
      <c r="F1572" s="9">
        <v>85566.064337534903</v>
      </c>
      <c r="G1572" s="9">
        <v>132229.629710176</v>
      </c>
      <c r="H1572" s="9">
        <v>85532.319590607702</v>
      </c>
      <c r="I1572" s="21">
        <f t="shared" si="48"/>
        <v>-33.744746927201049</v>
      </c>
      <c r="J1572" s="21">
        <f t="shared" si="49"/>
        <v>-92.651048669009469</v>
      </c>
    </row>
    <row r="1573" spans="1:10" hidden="1">
      <c r="A1573" t="s">
        <v>242</v>
      </c>
      <c r="B1573" t="s">
        <v>244</v>
      </c>
      <c r="C1573" s="18">
        <v>2041</v>
      </c>
      <c r="D1573" t="s">
        <v>185</v>
      </c>
      <c r="E1573" s="9">
        <v>272755.54151311802</v>
      </c>
      <c r="F1573" s="9">
        <v>257496.81295841601</v>
      </c>
      <c r="G1573" s="9">
        <v>272611.75367129099</v>
      </c>
      <c r="H1573" s="9">
        <v>257389.63175428601</v>
      </c>
      <c r="I1573" s="21">
        <f t="shared" si="48"/>
        <v>-107.18120412999997</v>
      </c>
      <c r="J1573" s="21">
        <f t="shared" si="49"/>
        <v>-143.78784182702657</v>
      </c>
    </row>
    <row r="1574" spans="1:10" hidden="1">
      <c r="A1574" t="s">
        <v>242</v>
      </c>
      <c r="B1574" t="s">
        <v>244</v>
      </c>
      <c r="C1574" s="18">
        <v>2041</v>
      </c>
      <c r="D1574" t="s">
        <v>188</v>
      </c>
      <c r="E1574" s="9">
        <v>719118.19921661704</v>
      </c>
      <c r="F1574" s="9">
        <v>435007.25123187102</v>
      </c>
      <c r="G1574" s="9">
        <v>734627.74007540499</v>
      </c>
      <c r="H1574" s="9">
        <v>442324.30640679202</v>
      </c>
      <c r="I1574" s="21">
        <f t="shared" si="48"/>
        <v>7317.055174920999</v>
      </c>
      <c r="J1574" s="21">
        <f t="shared" si="49"/>
        <v>15509.54085878795</v>
      </c>
    </row>
    <row r="1575" spans="1:10" hidden="1">
      <c r="A1575" t="s">
        <v>242</v>
      </c>
      <c r="B1575" t="s">
        <v>244</v>
      </c>
      <c r="C1575" s="18">
        <v>2041</v>
      </c>
      <c r="D1575" t="s">
        <v>191</v>
      </c>
      <c r="E1575" s="9">
        <v>370664.42533455498</v>
      </c>
      <c r="F1575" s="9">
        <v>195999.43913029699</v>
      </c>
      <c r="G1575" s="9">
        <v>370436.97560679301</v>
      </c>
      <c r="H1575" s="9">
        <v>195926.90720139601</v>
      </c>
      <c r="I1575" s="21">
        <f t="shared" si="48"/>
        <v>-72.531928900978528</v>
      </c>
      <c r="J1575" s="21">
        <f t="shared" si="49"/>
        <v>-227.44972776196664</v>
      </c>
    </row>
    <row r="1576" spans="1:10" hidden="1">
      <c r="A1576" t="s">
        <v>242</v>
      </c>
      <c r="B1576" t="s">
        <v>244</v>
      </c>
      <c r="C1576" s="18">
        <v>2041</v>
      </c>
      <c r="D1576" t="s">
        <v>422</v>
      </c>
      <c r="E1576" s="9">
        <v>35900.946206577501</v>
      </c>
      <c r="F1576" s="9">
        <v>2944.0211657507398</v>
      </c>
      <c r="G1576" s="9">
        <v>35900.765054072101</v>
      </c>
      <c r="H1576" s="9">
        <v>2944.01552271229</v>
      </c>
      <c r="I1576" s="21">
        <f t="shared" si="48"/>
        <v>-5.6430384497616615E-3</v>
      </c>
      <c r="J1576" s="21">
        <f t="shared" si="49"/>
        <v>-0.18115250539995031</v>
      </c>
    </row>
    <row r="1577" spans="1:10" hidden="1">
      <c r="A1577" t="s">
        <v>242</v>
      </c>
      <c r="B1577" t="s">
        <v>244</v>
      </c>
      <c r="C1577" s="18">
        <v>2042</v>
      </c>
      <c r="D1577" t="s">
        <v>174</v>
      </c>
      <c r="E1577" s="9">
        <v>21136.997072391499</v>
      </c>
      <c r="F1577" s="9">
        <v>14634.7873744266</v>
      </c>
      <c r="G1577" s="9">
        <v>21115.581702688502</v>
      </c>
      <c r="H1577" s="9">
        <v>14626.319006600401</v>
      </c>
      <c r="I1577" s="21">
        <f t="shared" si="48"/>
        <v>-8.4683678261990281</v>
      </c>
      <c r="J1577" s="21">
        <f t="shared" si="49"/>
        <v>-21.41536970299785</v>
      </c>
    </row>
    <row r="1578" spans="1:10" hidden="1">
      <c r="A1578" t="s">
        <v>242</v>
      </c>
      <c r="B1578" t="s">
        <v>244</v>
      </c>
      <c r="C1578" s="18">
        <v>2042</v>
      </c>
      <c r="D1578" t="s">
        <v>236</v>
      </c>
      <c r="E1578" s="9">
        <v>1236096.2125758999</v>
      </c>
      <c r="F1578" s="9">
        <v>267811.26619633602</v>
      </c>
      <c r="G1578" s="9">
        <v>1235703.75022274</v>
      </c>
      <c r="H1578" s="9">
        <v>267778.732534162</v>
      </c>
      <c r="I1578" s="21">
        <f t="shared" si="48"/>
        <v>-32.533662174013443</v>
      </c>
      <c r="J1578" s="21">
        <f t="shared" si="49"/>
        <v>-392.46235315990634</v>
      </c>
    </row>
    <row r="1579" spans="1:10" hidden="1">
      <c r="A1579" t="s">
        <v>242</v>
      </c>
      <c r="B1579" t="s">
        <v>244</v>
      </c>
      <c r="C1579" s="18">
        <v>2042</v>
      </c>
      <c r="D1579" t="s">
        <v>182</v>
      </c>
      <c r="E1579" s="9">
        <v>134454.824304371</v>
      </c>
      <c r="F1579" s="9">
        <v>86696.139525872102</v>
      </c>
      <c r="G1579" s="9">
        <v>134351.62604870801</v>
      </c>
      <c r="H1579" s="9">
        <v>86657.313221329707</v>
      </c>
      <c r="I1579" s="21">
        <f t="shared" si="48"/>
        <v>-38.826304542395519</v>
      </c>
      <c r="J1579" s="21">
        <f t="shared" si="49"/>
        <v>-103.19825566298096</v>
      </c>
    </row>
    <row r="1580" spans="1:10" hidden="1">
      <c r="A1580" t="s">
        <v>242</v>
      </c>
      <c r="B1580" t="s">
        <v>244</v>
      </c>
      <c r="C1580" s="18">
        <v>2042</v>
      </c>
      <c r="D1580" t="s">
        <v>185</v>
      </c>
      <c r="E1580" s="9">
        <v>272438.95514375501</v>
      </c>
      <c r="F1580" s="9">
        <v>257318.49123398299</v>
      </c>
      <c r="G1580" s="9">
        <v>272280.658720601</v>
      </c>
      <c r="H1580" s="9">
        <v>257198.34975601899</v>
      </c>
      <c r="I1580" s="21">
        <f t="shared" si="48"/>
        <v>-120.14147796400357</v>
      </c>
      <c r="J1580" s="21">
        <f t="shared" si="49"/>
        <v>-158.29642315400997</v>
      </c>
    </row>
    <row r="1581" spans="1:10" hidden="1">
      <c r="A1581" t="s">
        <v>242</v>
      </c>
      <c r="B1581" t="s">
        <v>244</v>
      </c>
      <c r="C1581" s="18">
        <v>2042</v>
      </c>
      <c r="D1581" t="s">
        <v>188</v>
      </c>
      <c r="E1581" s="9">
        <v>728662.96572723903</v>
      </c>
      <c r="F1581" s="9">
        <v>441958.78406236001</v>
      </c>
      <c r="G1581" s="9">
        <v>744313.272667757</v>
      </c>
      <c r="H1581" s="9">
        <v>449601.26122749498</v>
      </c>
      <c r="I1581" s="21">
        <f t="shared" si="48"/>
        <v>7642.4771651349729</v>
      </c>
      <c r="J1581" s="21">
        <f t="shared" si="49"/>
        <v>15650.30694051797</v>
      </c>
    </row>
    <row r="1582" spans="1:10" hidden="1">
      <c r="A1582" t="s">
        <v>242</v>
      </c>
      <c r="B1582" t="s">
        <v>244</v>
      </c>
      <c r="C1582" s="18">
        <v>2042</v>
      </c>
      <c r="D1582" t="s">
        <v>191</v>
      </c>
      <c r="E1582" s="9">
        <v>374670.640389807</v>
      </c>
      <c r="F1582" s="9">
        <v>198165.50249064501</v>
      </c>
      <c r="G1582" s="9">
        <v>374419.26204563602</v>
      </c>
      <c r="H1582" s="9">
        <v>198082.81410371399</v>
      </c>
      <c r="I1582" s="21">
        <f t="shared" si="48"/>
        <v>-82.688386931025889</v>
      </c>
      <c r="J1582" s="21">
        <f t="shared" si="49"/>
        <v>-251.37834417098202</v>
      </c>
    </row>
    <row r="1583" spans="1:10" hidden="1">
      <c r="A1583" t="s">
        <v>242</v>
      </c>
      <c r="B1583" t="s">
        <v>244</v>
      </c>
      <c r="C1583" s="18">
        <v>2042</v>
      </c>
      <c r="D1583" t="s">
        <v>422</v>
      </c>
      <c r="E1583" s="9">
        <v>35517.0243158835</v>
      </c>
      <c r="F1583" s="9">
        <v>2820.51761936602</v>
      </c>
      <c r="G1583" s="9">
        <v>35516.840593533198</v>
      </c>
      <c r="H1583" s="9">
        <v>2820.5122126446799</v>
      </c>
      <c r="I1583" s="21">
        <f t="shared" si="48"/>
        <v>-5.4067213400230685E-3</v>
      </c>
      <c r="J1583" s="21">
        <f t="shared" si="49"/>
        <v>-0.18372235030255979</v>
      </c>
    </row>
    <row r="1584" spans="1:10" hidden="1">
      <c r="A1584" t="s">
        <v>242</v>
      </c>
      <c r="B1584" t="s">
        <v>244</v>
      </c>
      <c r="C1584" s="18">
        <v>2043</v>
      </c>
      <c r="D1584" t="s">
        <v>174</v>
      </c>
      <c r="E1584" s="9">
        <v>21813.338728870502</v>
      </c>
      <c r="F1584" s="9">
        <v>15013.9241007032</v>
      </c>
      <c r="G1584" s="9">
        <v>21789.125656033499</v>
      </c>
      <c r="H1584" s="9">
        <v>15004.086115812899</v>
      </c>
      <c r="I1584" s="21">
        <f t="shared" si="48"/>
        <v>-9.837984890300504</v>
      </c>
      <c r="J1584" s="21">
        <f t="shared" si="49"/>
        <v>-24.213072837002983</v>
      </c>
    </row>
    <row r="1585" spans="1:10" hidden="1">
      <c r="A1585" t="s">
        <v>242</v>
      </c>
      <c r="B1585" t="s">
        <v>244</v>
      </c>
      <c r="C1585" s="18">
        <v>2043</v>
      </c>
      <c r="D1585" t="s">
        <v>236</v>
      </c>
      <c r="E1585" s="9">
        <v>1244682.49738569</v>
      </c>
      <c r="F1585" s="9">
        <v>275915.73711279599</v>
      </c>
      <c r="G1585" s="9">
        <v>1244246.5115360599</v>
      </c>
      <c r="H1585" s="9">
        <v>275876.99548631802</v>
      </c>
      <c r="I1585" s="21">
        <f t="shared" si="48"/>
        <v>-38.741626477974933</v>
      </c>
      <c r="J1585" s="21">
        <f t="shared" si="49"/>
        <v>-435.98584963008761</v>
      </c>
    </row>
    <row r="1586" spans="1:10" hidden="1">
      <c r="A1586" t="s">
        <v>242</v>
      </c>
      <c r="B1586" t="s">
        <v>244</v>
      </c>
      <c r="C1586" s="18">
        <v>2043</v>
      </c>
      <c r="D1586" t="s">
        <v>182</v>
      </c>
      <c r="E1586" s="9">
        <v>136716.03969437099</v>
      </c>
      <c r="F1586" s="9">
        <v>87823.176505231502</v>
      </c>
      <c r="G1586" s="9">
        <v>136601.974960575</v>
      </c>
      <c r="H1586" s="9">
        <v>87779.034425801001</v>
      </c>
      <c r="I1586" s="21">
        <f t="shared" si="48"/>
        <v>-44.142079430501326</v>
      </c>
      <c r="J1586" s="21">
        <f t="shared" si="49"/>
        <v>-114.06473379599629</v>
      </c>
    </row>
    <row r="1587" spans="1:10" hidden="1">
      <c r="A1587" t="s">
        <v>242</v>
      </c>
      <c r="B1587" t="s">
        <v>244</v>
      </c>
      <c r="C1587" s="18">
        <v>2043</v>
      </c>
      <c r="D1587" t="s">
        <v>185</v>
      </c>
      <c r="E1587" s="9">
        <v>271862.42467586102</v>
      </c>
      <c r="F1587" s="9">
        <v>256910.665948721</v>
      </c>
      <c r="G1587" s="9">
        <v>271689.79422675102</v>
      </c>
      <c r="H1587" s="9">
        <v>256777.58715706799</v>
      </c>
      <c r="I1587" s="21">
        <f t="shared" si="48"/>
        <v>-133.07879165300983</v>
      </c>
      <c r="J1587" s="21">
        <f t="shared" si="49"/>
        <v>-172.63044911000179</v>
      </c>
    </row>
    <row r="1588" spans="1:10" hidden="1">
      <c r="A1588" t="s">
        <v>242</v>
      </c>
      <c r="B1588" t="s">
        <v>244</v>
      </c>
      <c r="C1588" s="18">
        <v>2043</v>
      </c>
      <c r="D1588" t="s">
        <v>188</v>
      </c>
      <c r="E1588" s="9">
        <v>738572.216679062</v>
      </c>
      <c r="F1588" s="9">
        <v>448969.36975760898</v>
      </c>
      <c r="G1588" s="9">
        <v>754370.89241350198</v>
      </c>
      <c r="H1588" s="9">
        <v>456915.72204617201</v>
      </c>
      <c r="I1588" s="21">
        <f t="shared" si="48"/>
        <v>7946.3522885630373</v>
      </c>
      <c r="J1588" s="21">
        <f t="shared" si="49"/>
        <v>15798.675734439981</v>
      </c>
    </row>
    <row r="1589" spans="1:10" hidden="1">
      <c r="A1589" t="s">
        <v>242</v>
      </c>
      <c r="B1589" t="s">
        <v>244</v>
      </c>
      <c r="C1589" s="18">
        <v>2043</v>
      </c>
      <c r="D1589" t="s">
        <v>191</v>
      </c>
      <c r="E1589" s="9">
        <v>379042.11119328602</v>
      </c>
      <c r="F1589" s="9">
        <v>200297.582994305</v>
      </c>
      <c r="G1589" s="9">
        <v>378766.53451535699</v>
      </c>
      <c r="H1589" s="9">
        <v>200204.274251736</v>
      </c>
      <c r="I1589" s="21">
        <f t="shared" si="48"/>
        <v>-93.308742569002789</v>
      </c>
      <c r="J1589" s="21">
        <f t="shared" si="49"/>
        <v>-275.57667792902794</v>
      </c>
    </row>
    <row r="1590" spans="1:10" hidden="1">
      <c r="A1590" t="s">
        <v>242</v>
      </c>
      <c r="B1590" t="s">
        <v>244</v>
      </c>
      <c r="C1590" s="18">
        <v>2043</v>
      </c>
      <c r="D1590" t="s">
        <v>422</v>
      </c>
      <c r="E1590" s="9">
        <v>35328.9581622037</v>
      </c>
      <c r="F1590" s="9">
        <v>2698.3361022880899</v>
      </c>
      <c r="G1590" s="9">
        <v>35328.773203308199</v>
      </c>
      <c r="H1590" s="9">
        <v>2698.3309296050402</v>
      </c>
      <c r="I1590" s="21">
        <f t="shared" si="48"/>
        <v>-5.1726830497500487E-3</v>
      </c>
      <c r="J1590" s="21">
        <f t="shared" si="49"/>
        <v>-0.18495889550104039</v>
      </c>
    </row>
    <row r="1591" spans="1:10" hidden="1">
      <c r="A1591" t="s">
        <v>242</v>
      </c>
      <c r="B1591" t="s">
        <v>244</v>
      </c>
      <c r="C1591" s="18">
        <v>2044</v>
      </c>
      <c r="D1591" t="s">
        <v>174</v>
      </c>
      <c r="E1591" s="9">
        <v>22499.586121922501</v>
      </c>
      <c r="F1591" s="9">
        <v>15399.954548211201</v>
      </c>
      <c r="G1591" s="9">
        <v>22472.405778779801</v>
      </c>
      <c r="H1591" s="9">
        <v>15388.638261887199</v>
      </c>
      <c r="I1591" s="21">
        <f t="shared" si="48"/>
        <v>-11.316286324001339</v>
      </c>
      <c r="J1591" s="21">
        <f t="shared" si="49"/>
        <v>-27.180343142699712</v>
      </c>
    </row>
    <row r="1592" spans="1:10" hidden="1">
      <c r="A1592" t="s">
        <v>242</v>
      </c>
      <c r="B1592" t="s">
        <v>244</v>
      </c>
      <c r="C1592" s="18">
        <v>2044</v>
      </c>
      <c r="D1592" t="s">
        <v>236</v>
      </c>
      <c r="E1592" s="9">
        <v>1252999.8838983499</v>
      </c>
      <c r="F1592" s="9">
        <v>283947.60840892303</v>
      </c>
      <c r="G1592" s="9">
        <v>1252519.7576166999</v>
      </c>
      <c r="H1592" s="9">
        <v>283902.05041687097</v>
      </c>
      <c r="I1592" s="21">
        <f t="shared" si="48"/>
        <v>-45.557992052054033</v>
      </c>
      <c r="J1592" s="21">
        <f t="shared" si="49"/>
        <v>-480.12628165003844</v>
      </c>
    </row>
    <row r="1593" spans="1:10" hidden="1">
      <c r="A1593" t="s">
        <v>242</v>
      </c>
      <c r="B1593" t="s">
        <v>244</v>
      </c>
      <c r="C1593" s="18">
        <v>2044</v>
      </c>
      <c r="D1593" t="s">
        <v>182</v>
      </c>
      <c r="E1593" s="9">
        <v>138252.22089229501</v>
      </c>
      <c r="F1593" s="9">
        <v>88962.116776162002</v>
      </c>
      <c r="G1593" s="9">
        <v>138127.80749224901</v>
      </c>
      <c r="H1593" s="9">
        <v>88912.446286897801</v>
      </c>
      <c r="I1593" s="21">
        <f t="shared" si="48"/>
        <v>-49.670489264201024</v>
      </c>
      <c r="J1593" s="21">
        <f t="shared" si="49"/>
        <v>-124.41340004600352</v>
      </c>
    </row>
    <row r="1594" spans="1:10" hidden="1">
      <c r="A1594" t="s">
        <v>242</v>
      </c>
      <c r="B1594" t="s">
        <v>244</v>
      </c>
      <c r="C1594" s="18">
        <v>2044</v>
      </c>
      <c r="D1594" t="s">
        <v>185</v>
      </c>
      <c r="E1594" s="9">
        <v>271167.87137873902</v>
      </c>
      <c r="F1594" s="9">
        <v>256582.44266576599</v>
      </c>
      <c r="G1594" s="9">
        <v>270981.060601887</v>
      </c>
      <c r="H1594" s="9">
        <v>256436.399818879</v>
      </c>
      <c r="I1594" s="21">
        <f t="shared" si="48"/>
        <v>-146.04284688699408</v>
      </c>
      <c r="J1594" s="21">
        <f t="shared" si="49"/>
        <v>-186.81077685201308</v>
      </c>
    </row>
    <row r="1595" spans="1:10" hidden="1">
      <c r="A1595" t="s">
        <v>242</v>
      </c>
      <c r="B1595" t="s">
        <v>244</v>
      </c>
      <c r="C1595" s="18">
        <v>2044</v>
      </c>
      <c r="D1595" t="s">
        <v>188</v>
      </c>
      <c r="E1595" s="9">
        <v>744882.02858726995</v>
      </c>
      <c r="F1595" s="9">
        <v>456005.020404879</v>
      </c>
      <c r="G1595" s="9">
        <v>760751.52916181902</v>
      </c>
      <c r="H1595" s="9">
        <v>464236.62382849702</v>
      </c>
      <c r="I1595" s="21">
        <f t="shared" si="48"/>
        <v>8231.603423618013</v>
      </c>
      <c r="J1595" s="21">
        <f t="shared" si="49"/>
        <v>15869.500574549078</v>
      </c>
    </row>
    <row r="1596" spans="1:10" hidden="1">
      <c r="A1596" t="s">
        <v>242</v>
      </c>
      <c r="B1596" t="s">
        <v>244</v>
      </c>
      <c r="C1596" s="18">
        <v>2044</v>
      </c>
      <c r="D1596" t="s">
        <v>191</v>
      </c>
      <c r="E1596" s="9">
        <v>381053.32377967099</v>
      </c>
      <c r="F1596" s="9">
        <v>202866.80078905099</v>
      </c>
      <c r="G1596" s="9">
        <v>380754.51437457599</v>
      </c>
      <c r="H1596" s="9">
        <v>202762.43540540201</v>
      </c>
      <c r="I1596" s="21">
        <f t="shared" si="48"/>
        <v>-104.36538364898297</v>
      </c>
      <c r="J1596" s="21">
        <f t="shared" si="49"/>
        <v>-298.80940509500215</v>
      </c>
    </row>
    <row r="1597" spans="1:10" hidden="1">
      <c r="A1597" t="s">
        <v>242</v>
      </c>
      <c r="B1597" t="s">
        <v>244</v>
      </c>
      <c r="C1597" s="18">
        <v>2044</v>
      </c>
      <c r="D1597" t="s">
        <v>422</v>
      </c>
      <c r="E1597" s="9">
        <v>35046.881825673903</v>
      </c>
      <c r="F1597" s="9">
        <v>2573.79720766026</v>
      </c>
      <c r="G1597" s="9">
        <v>35046.705207959298</v>
      </c>
      <c r="H1597" s="9">
        <v>2573.7926243052102</v>
      </c>
      <c r="I1597" s="21">
        <f t="shared" si="48"/>
        <v>-4.5833550498173281E-3</v>
      </c>
      <c r="J1597" s="21">
        <f t="shared" si="49"/>
        <v>-0.176617714605527</v>
      </c>
    </row>
    <row r="1598" spans="1:10" hidden="1">
      <c r="A1598" t="s">
        <v>242</v>
      </c>
      <c r="B1598" t="s">
        <v>244</v>
      </c>
      <c r="C1598" s="18">
        <v>2045</v>
      </c>
      <c r="D1598" t="s">
        <v>174</v>
      </c>
      <c r="E1598" s="9">
        <v>23197.267083377301</v>
      </c>
      <c r="F1598" s="9">
        <v>15784.605898453499</v>
      </c>
      <c r="G1598" s="9">
        <v>23166.945688051499</v>
      </c>
      <c r="H1598" s="9">
        <v>15771.7189092791</v>
      </c>
      <c r="I1598" s="21">
        <f t="shared" si="48"/>
        <v>-12.886989174399787</v>
      </c>
      <c r="J1598" s="21">
        <f t="shared" si="49"/>
        <v>-30.321395325801859</v>
      </c>
    </row>
    <row r="1599" spans="1:10" hidden="1">
      <c r="A1599" t="s">
        <v>242</v>
      </c>
      <c r="B1599" t="s">
        <v>244</v>
      </c>
      <c r="C1599" s="18">
        <v>2045</v>
      </c>
      <c r="D1599" t="s">
        <v>236</v>
      </c>
      <c r="E1599" s="9">
        <v>1261117.6590767801</v>
      </c>
      <c r="F1599" s="9">
        <v>291874.99309747701</v>
      </c>
      <c r="G1599" s="9">
        <v>1260592.98702146</v>
      </c>
      <c r="H1599" s="9">
        <v>291822.02754025703</v>
      </c>
      <c r="I1599" s="21">
        <f t="shared" si="48"/>
        <v>-52.965557219984476</v>
      </c>
      <c r="J1599" s="21">
        <f t="shared" si="49"/>
        <v>-524.67205532011576</v>
      </c>
    </row>
    <row r="1600" spans="1:10" hidden="1">
      <c r="A1600" t="s">
        <v>242</v>
      </c>
      <c r="B1600" t="s">
        <v>244</v>
      </c>
      <c r="C1600" s="18">
        <v>2045</v>
      </c>
      <c r="D1600" t="s">
        <v>182</v>
      </c>
      <c r="E1600" s="9">
        <v>140308.28751840701</v>
      </c>
      <c r="F1600" s="9">
        <v>90096.979649924906</v>
      </c>
      <c r="G1600" s="9">
        <v>140172.77481552499</v>
      </c>
      <c r="H1600" s="9">
        <v>90041.604590588802</v>
      </c>
      <c r="I1600" s="21">
        <f t="shared" si="48"/>
        <v>-55.375059336103732</v>
      </c>
      <c r="J1600" s="21">
        <f t="shared" si="49"/>
        <v>-135.51270288202795</v>
      </c>
    </row>
    <row r="1601" spans="1:10" hidden="1">
      <c r="A1601" t="s">
        <v>242</v>
      </c>
      <c r="B1601" t="s">
        <v>244</v>
      </c>
      <c r="C1601" s="18">
        <v>2045</v>
      </c>
      <c r="D1601" t="s">
        <v>185</v>
      </c>
      <c r="E1601" s="9">
        <v>270639.41564399301</v>
      </c>
      <c r="F1601" s="9">
        <v>256135.80375358101</v>
      </c>
      <c r="G1601" s="9">
        <v>270438.60315228201</v>
      </c>
      <c r="H1601" s="9">
        <v>255976.90811330499</v>
      </c>
      <c r="I1601" s="21">
        <f t="shared" si="48"/>
        <v>-158.89564027602319</v>
      </c>
      <c r="J1601" s="21">
        <f t="shared" si="49"/>
        <v>-200.81249171099626</v>
      </c>
    </row>
    <row r="1602" spans="1:10" hidden="1">
      <c r="A1602" t="s">
        <v>242</v>
      </c>
      <c r="B1602" t="s">
        <v>244</v>
      </c>
      <c r="C1602" s="18">
        <v>2045</v>
      </c>
      <c r="D1602" t="s">
        <v>188</v>
      </c>
      <c r="E1602" s="9">
        <v>753327.27522738604</v>
      </c>
      <c r="F1602" s="9">
        <v>462419.48579218501</v>
      </c>
      <c r="G1602" s="9">
        <v>769313.803212411</v>
      </c>
      <c r="H1602" s="9">
        <v>470920.29436777002</v>
      </c>
      <c r="I1602" s="21">
        <f t="shared" ref="I1602:I1665" si="50">H1602-F1602</f>
        <v>8500.8085755850188</v>
      </c>
      <c r="J1602" s="21">
        <f t="shared" ref="J1602:J1665" si="51">G1602-E1602</f>
        <v>15986.527985024964</v>
      </c>
    </row>
    <row r="1603" spans="1:10" hidden="1">
      <c r="A1603" t="s">
        <v>242</v>
      </c>
      <c r="B1603" t="s">
        <v>244</v>
      </c>
      <c r="C1603" s="18">
        <v>2045</v>
      </c>
      <c r="D1603" t="s">
        <v>191</v>
      </c>
      <c r="E1603" s="9">
        <v>384258.922131503</v>
      </c>
      <c r="F1603" s="9">
        <v>204985.123955794</v>
      </c>
      <c r="G1603" s="9">
        <v>383936.19252461498</v>
      </c>
      <c r="H1603" s="9">
        <v>204869.32889798901</v>
      </c>
      <c r="I1603" s="21">
        <f t="shared" si="50"/>
        <v>-115.79505780499312</v>
      </c>
      <c r="J1603" s="21">
        <f t="shared" si="51"/>
        <v>-322.72960688802414</v>
      </c>
    </row>
    <row r="1604" spans="1:10" hidden="1">
      <c r="A1604" t="s">
        <v>242</v>
      </c>
      <c r="B1604" t="s">
        <v>244</v>
      </c>
      <c r="C1604" s="18">
        <v>2045</v>
      </c>
      <c r="D1604" t="s">
        <v>422</v>
      </c>
      <c r="E1604" s="9">
        <v>34846.896005520997</v>
      </c>
      <c r="F1604" s="9">
        <v>2452.7509280010499</v>
      </c>
      <c r="G1604" s="9">
        <v>34846.715156222701</v>
      </c>
      <c r="H1604" s="9">
        <v>2452.74707379338</v>
      </c>
      <c r="I1604" s="21">
        <f t="shared" si="50"/>
        <v>-3.8542076699741301E-3</v>
      </c>
      <c r="J1604" s="21">
        <f t="shared" si="51"/>
        <v>-0.18084929829637986</v>
      </c>
    </row>
    <row r="1605" spans="1:10" hidden="1">
      <c r="A1605" t="s">
        <v>242</v>
      </c>
      <c r="B1605" t="s">
        <v>244</v>
      </c>
      <c r="C1605" s="18">
        <v>2046</v>
      </c>
      <c r="D1605" t="s">
        <v>174</v>
      </c>
      <c r="E1605" s="9">
        <v>23901.8442046296</v>
      </c>
      <c r="F1605" s="9">
        <v>16179.8644523406</v>
      </c>
      <c r="G1605" s="9">
        <v>23868.217944038799</v>
      </c>
      <c r="H1605" s="9">
        <v>16165.2905403234</v>
      </c>
      <c r="I1605" s="21">
        <f t="shared" si="50"/>
        <v>-14.5739120172002</v>
      </c>
      <c r="J1605" s="21">
        <f t="shared" si="51"/>
        <v>-33.626260590801394</v>
      </c>
    </row>
    <row r="1606" spans="1:10" hidden="1">
      <c r="A1606" t="s">
        <v>242</v>
      </c>
      <c r="B1606" t="s">
        <v>244</v>
      </c>
      <c r="C1606" s="18">
        <v>2046</v>
      </c>
      <c r="D1606" t="s">
        <v>236</v>
      </c>
      <c r="E1606" s="9">
        <v>1269045.3663004199</v>
      </c>
      <c r="F1606" s="9">
        <v>299657.91462684801</v>
      </c>
      <c r="G1606" s="9">
        <v>1268475.9563321201</v>
      </c>
      <c r="H1606" s="9">
        <v>299596.92866613797</v>
      </c>
      <c r="I1606" s="21">
        <f t="shared" si="50"/>
        <v>-60.985960710037034</v>
      </c>
      <c r="J1606" s="21">
        <f t="shared" si="51"/>
        <v>-569.40996829979122</v>
      </c>
    </row>
    <row r="1607" spans="1:10" hidden="1">
      <c r="A1607" t="s">
        <v>242</v>
      </c>
      <c r="B1607" t="s">
        <v>244</v>
      </c>
      <c r="C1607" s="18">
        <v>2046</v>
      </c>
      <c r="D1607" t="s">
        <v>182</v>
      </c>
      <c r="E1607" s="9">
        <v>142340.77494523599</v>
      </c>
      <c r="F1607" s="9">
        <v>91260.184252823106</v>
      </c>
      <c r="G1607" s="9">
        <v>142194.05365060701</v>
      </c>
      <c r="H1607" s="9">
        <v>91198.890942598402</v>
      </c>
      <c r="I1607" s="21">
        <f t="shared" si="50"/>
        <v>-61.293310224704328</v>
      </c>
      <c r="J1607" s="21">
        <f t="shared" si="51"/>
        <v>-146.7212946289801</v>
      </c>
    </row>
    <row r="1608" spans="1:10" hidden="1">
      <c r="A1608" t="s">
        <v>242</v>
      </c>
      <c r="B1608" t="s">
        <v>244</v>
      </c>
      <c r="C1608" s="18">
        <v>2046</v>
      </c>
      <c r="D1608" t="s">
        <v>185</v>
      </c>
      <c r="E1608" s="9">
        <v>270137.72697577497</v>
      </c>
      <c r="F1608" s="9">
        <v>255602.67317238901</v>
      </c>
      <c r="G1608" s="9">
        <v>269923.25168294698</v>
      </c>
      <c r="H1608" s="9">
        <v>255431.16141281699</v>
      </c>
      <c r="I1608" s="21">
        <f t="shared" si="50"/>
        <v>-171.51175957202213</v>
      </c>
      <c r="J1608" s="21">
        <f t="shared" si="51"/>
        <v>-214.47529282799223</v>
      </c>
    </row>
    <row r="1609" spans="1:10" hidden="1">
      <c r="A1609" t="s">
        <v>242</v>
      </c>
      <c r="B1609" t="s">
        <v>244</v>
      </c>
      <c r="C1609" s="18">
        <v>2046</v>
      </c>
      <c r="D1609" t="s">
        <v>188</v>
      </c>
      <c r="E1609" s="9">
        <v>761984.59836416796</v>
      </c>
      <c r="F1609" s="9">
        <v>469074.16776625603</v>
      </c>
      <c r="G1609" s="9">
        <v>778095.84267256199</v>
      </c>
      <c r="H1609" s="9">
        <v>477828.93173194502</v>
      </c>
      <c r="I1609" s="21">
        <f t="shared" si="50"/>
        <v>8754.7639656889951</v>
      </c>
      <c r="J1609" s="21">
        <f t="shared" si="51"/>
        <v>16111.244308394031</v>
      </c>
    </row>
    <row r="1610" spans="1:10" hidden="1">
      <c r="A1610" t="s">
        <v>242</v>
      </c>
      <c r="B1610" t="s">
        <v>244</v>
      </c>
      <c r="C1610" s="18">
        <v>2046</v>
      </c>
      <c r="D1610" t="s">
        <v>191</v>
      </c>
      <c r="E1610" s="9">
        <v>387497.76667620399</v>
      </c>
      <c r="F1610" s="9">
        <v>207176.56855956899</v>
      </c>
      <c r="G1610" s="9">
        <v>387151.42704479198</v>
      </c>
      <c r="H1610" s="9">
        <v>207048.94525460299</v>
      </c>
      <c r="I1610" s="21">
        <f t="shared" si="50"/>
        <v>-127.62330496599316</v>
      </c>
      <c r="J1610" s="21">
        <f t="shared" si="51"/>
        <v>-346.33963141200365</v>
      </c>
    </row>
    <row r="1611" spans="1:10" hidden="1">
      <c r="A1611" t="s">
        <v>242</v>
      </c>
      <c r="B1611" t="s">
        <v>244</v>
      </c>
      <c r="C1611" s="18">
        <v>2046</v>
      </c>
      <c r="D1611" t="s">
        <v>422</v>
      </c>
      <c r="E1611" s="9">
        <v>34688.476493798902</v>
      </c>
      <c r="F1611" s="9">
        <v>2335.6760471048301</v>
      </c>
      <c r="G1611" s="9">
        <v>34688.296767041</v>
      </c>
      <c r="H1611" s="9">
        <v>2335.6726092736399</v>
      </c>
      <c r="I1611" s="21">
        <f t="shared" si="50"/>
        <v>-3.4378311902401038E-3</v>
      </c>
      <c r="J1611" s="21">
        <f t="shared" si="51"/>
        <v>-0.17972675790224457</v>
      </c>
    </row>
    <row r="1612" spans="1:10" hidden="1">
      <c r="A1612" t="s">
        <v>242</v>
      </c>
      <c r="B1612" t="s">
        <v>244</v>
      </c>
      <c r="C1612" s="18">
        <v>2047</v>
      </c>
      <c r="D1612" t="s">
        <v>174</v>
      </c>
      <c r="E1612" s="9">
        <v>24612.778052377202</v>
      </c>
      <c r="F1612" s="9">
        <v>16584.955224554298</v>
      </c>
      <c r="G1612" s="9">
        <v>24575.685129363199</v>
      </c>
      <c r="H1612" s="9">
        <v>16568.574829924401</v>
      </c>
      <c r="I1612" s="21">
        <f t="shared" si="50"/>
        <v>-16.380394629897637</v>
      </c>
      <c r="J1612" s="21">
        <f t="shared" si="51"/>
        <v>-37.092923014002736</v>
      </c>
    </row>
    <row r="1613" spans="1:10" hidden="1">
      <c r="A1613" t="s">
        <v>242</v>
      </c>
      <c r="B1613" t="s">
        <v>244</v>
      </c>
      <c r="C1613" s="18">
        <v>2047</v>
      </c>
      <c r="D1613" t="s">
        <v>236</v>
      </c>
      <c r="E1613" s="9">
        <v>1276687.6070039801</v>
      </c>
      <c r="F1613" s="9">
        <v>307245.61342569598</v>
      </c>
      <c r="G1613" s="9">
        <v>1276073.4846977801</v>
      </c>
      <c r="H1613" s="9">
        <v>307176.00873862102</v>
      </c>
      <c r="I1613" s="21">
        <f t="shared" si="50"/>
        <v>-69.604687074956018</v>
      </c>
      <c r="J1613" s="21">
        <f t="shared" si="51"/>
        <v>-614.12230619997717</v>
      </c>
    </row>
    <row r="1614" spans="1:10" hidden="1">
      <c r="A1614" t="s">
        <v>242</v>
      </c>
      <c r="B1614" t="s">
        <v>244</v>
      </c>
      <c r="C1614" s="18">
        <v>2047</v>
      </c>
      <c r="D1614" t="s">
        <v>182</v>
      </c>
      <c r="E1614" s="9">
        <v>144404.05944944601</v>
      </c>
      <c r="F1614" s="9">
        <v>92401.221239357299</v>
      </c>
      <c r="G1614" s="9">
        <v>144246.070856709</v>
      </c>
      <c r="H1614" s="9">
        <v>92333.888291156894</v>
      </c>
      <c r="I1614" s="21">
        <f t="shared" si="50"/>
        <v>-67.332948200404644</v>
      </c>
      <c r="J1614" s="21">
        <f t="shared" si="51"/>
        <v>-157.98859273700509</v>
      </c>
    </row>
    <row r="1615" spans="1:10" hidden="1">
      <c r="A1615" t="s">
        <v>242</v>
      </c>
      <c r="B1615" t="s">
        <v>244</v>
      </c>
      <c r="C1615" s="18">
        <v>2047</v>
      </c>
      <c r="D1615" t="s">
        <v>185</v>
      </c>
      <c r="E1615" s="9">
        <v>269373.36019432102</v>
      </c>
      <c r="F1615" s="9">
        <v>254944.609521618</v>
      </c>
      <c r="G1615" s="9">
        <v>269145.73066835199</v>
      </c>
      <c r="H1615" s="9">
        <v>254760.803670819</v>
      </c>
      <c r="I1615" s="21">
        <f t="shared" si="50"/>
        <v>-183.80585079899174</v>
      </c>
      <c r="J1615" s="21">
        <f t="shared" si="51"/>
        <v>-227.62952596903779</v>
      </c>
    </row>
    <row r="1616" spans="1:10" hidden="1">
      <c r="A1616" t="s">
        <v>242</v>
      </c>
      <c r="B1616" t="s">
        <v>244</v>
      </c>
      <c r="C1616" s="18">
        <v>2047</v>
      </c>
      <c r="D1616" t="s">
        <v>188</v>
      </c>
      <c r="E1616" s="9">
        <v>770631.69304916903</v>
      </c>
      <c r="F1616" s="9">
        <v>475675.01371206</v>
      </c>
      <c r="G1616" s="9">
        <v>786867.36601765698</v>
      </c>
      <c r="H1616" s="9">
        <v>484667.16956347</v>
      </c>
      <c r="I1616" s="21">
        <f t="shared" si="50"/>
        <v>8992.1558514100034</v>
      </c>
      <c r="J1616" s="21">
        <f t="shared" si="51"/>
        <v>16235.672968487954</v>
      </c>
    </row>
    <row r="1617" spans="1:10" hidden="1">
      <c r="A1617" t="s">
        <v>242</v>
      </c>
      <c r="B1617" t="s">
        <v>244</v>
      </c>
      <c r="C1617" s="18">
        <v>2047</v>
      </c>
      <c r="D1617" t="s">
        <v>191</v>
      </c>
      <c r="E1617" s="9">
        <v>390967.45530683402</v>
      </c>
      <c r="F1617" s="9">
        <v>209300.517324727</v>
      </c>
      <c r="G1617" s="9">
        <v>390597.57749152998</v>
      </c>
      <c r="H1617" s="9">
        <v>209160.85891574901</v>
      </c>
      <c r="I1617" s="21">
        <f t="shared" si="50"/>
        <v>-139.65840897799353</v>
      </c>
      <c r="J1617" s="21">
        <f t="shared" si="51"/>
        <v>-369.87781530403299</v>
      </c>
    </row>
    <row r="1618" spans="1:10" hidden="1">
      <c r="A1618" t="s">
        <v>242</v>
      </c>
      <c r="B1618" t="s">
        <v>244</v>
      </c>
      <c r="C1618" s="18">
        <v>2047</v>
      </c>
      <c r="D1618" t="s">
        <v>422</v>
      </c>
      <c r="E1618" s="9">
        <v>34402.6304444009</v>
      </c>
      <c r="F1618" s="9">
        <v>2222.2549638109799</v>
      </c>
      <c r="G1618" s="9">
        <v>34402.454286141998</v>
      </c>
      <c r="H1618" s="9">
        <v>2222.2517838233198</v>
      </c>
      <c r="I1618" s="21">
        <f t="shared" si="50"/>
        <v>-3.1799876601326105E-3</v>
      </c>
      <c r="J1618" s="21">
        <f t="shared" si="51"/>
        <v>-0.17615825890243286</v>
      </c>
    </row>
    <row r="1619" spans="1:10" hidden="1">
      <c r="A1619" t="s">
        <v>242</v>
      </c>
      <c r="B1619" t="s">
        <v>244</v>
      </c>
      <c r="C1619" s="18">
        <v>2048</v>
      </c>
      <c r="D1619" t="s">
        <v>174</v>
      </c>
      <c r="E1619" s="9">
        <v>25323.575229743699</v>
      </c>
      <c r="F1619" s="9">
        <v>17001.260212877802</v>
      </c>
      <c r="G1619" s="9">
        <v>25282.866550534</v>
      </c>
      <c r="H1619" s="9">
        <v>16982.967131377602</v>
      </c>
      <c r="I1619" s="21">
        <f t="shared" si="50"/>
        <v>-18.29308150020006</v>
      </c>
      <c r="J1619" s="21">
        <f t="shared" si="51"/>
        <v>-40.708679209699767</v>
      </c>
    </row>
    <row r="1620" spans="1:10" hidden="1">
      <c r="A1620" t="s">
        <v>242</v>
      </c>
      <c r="B1620" t="s">
        <v>244</v>
      </c>
      <c r="C1620" s="18">
        <v>2048</v>
      </c>
      <c r="D1620" t="s">
        <v>236</v>
      </c>
      <c r="E1620" s="9">
        <v>1284126.39506116</v>
      </c>
      <c r="F1620" s="9">
        <v>314628.61557136901</v>
      </c>
      <c r="G1620" s="9">
        <v>1283467.7529534199</v>
      </c>
      <c r="H1620" s="9">
        <v>314549.83162807999</v>
      </c>
      <c r="I1620" s="21">
        <f t="shared" si="50"/>
        <v>-78.78394328901777</v>
      </c>
      <c r="J1620" s="21">
        <f t="shared" si="51"/>
        <v>-658.64210774004459</v>
      </c>
    </row>
    <row r="1621" spans="1:10" hidden="1">
      <c r="A1621" t="s">
        <v>242</v>
      </c>
      <c r="B1621" t="s">
        <v>244</v>
      </c>
      <c r="C1621" s="18">
        <v>2048</v>
      </c>
      <c r="D1621" t="s">
        <v>182</v>
      </c>
      <c r="E1621" s="9">
        <v>146583.28380536701</v>
      </c>
      <c r="F1621" s="9">
        <v>93500.972444384504</v>
      </c>
      <c r="G1621" s="9">
        <v>146413.85314917401</v>
      </c>
      <c r="H1621" s="9">
        <v>93427.507277048993</v>
      </c>
      <c r="I1621" s="21">
        <f t="shared" si="50"/>
        <v>-73.465167335511069</v>
      </c>
      <c r="J1621" s="21">
        <f t="shared" si="51"/>
        <v>-169.43065619299887</v>
      </c>
    </row>
    <row r="1622" spans="1:10" hidden="1">
      <c r="A1622" t="s">
        <v>242</v>
      </c>
      <c r="B1622" t="s">
        <v>244</v>
      </c>
      <c r="C1622" s="18">
        <v>2048</v>
      </c>
      <c r="D1622" t="s">
        <v>185</v>
      </c>
      <c r="E1622" s="9">
        <v>268325.70012535597</v>
      </c>
      <c r="F1622" s="9">
        <v>254067.706261454</v>
      </c>
      <c r="G1622" s="9">
        <v>268085.44794583402</v>
      </c>
      <c r="H1622" s="9">
        <v>253872.04741882399</v>
      </c>
      <c r="I1622" s="21">
        <f t="shared" si="50"/>
        <v>-195.65884263001499</v>
      </c>
      <c r="J1622" s="21">
        <f t="shared" si="51"/>
        <v>-240.25217952195089</v>
      </c>
    </row>
    <row r="1623" spans="1:10" hidden="1">
      <c r="A1623" t="s">
        <v>242</v>
      </c>
      <c r="B1623" t="s">
        <v>244</v>
      </c>
      <c r="C1623" s="18">
        <v>2048</v>
      </c>
      <c r="D1623" t="s">
        <v>188</v>
      </c>
      <c r="E1623" s="9">
        <v>779433.60797836899</v>
      </c>
      <c r="F1623" s="9">
        <v>482096.388264179</v>
      </c>
      <c r="G1623" s="9">
        <v>795796.81940173404</v>
      </c>
      <c r="H1623" s="9">
        <v>491307.70932856598</v>
      </c>
      <c r="I1623" s="21">
        <f t="shared" si="50"/>
        <v>9211.3210643869825</v>
      </c>
      <c r="J1623" s="21">
        <f t="shared" si="51"/>
        <v>16363.21142336505</v>
      </c>
    </row>
    <row r="1624" spans="1:10" hidden="1">
      <c r="A1624" t="s">
        <v>242</v>
      </c>
      <c r="B1624" t="s">
        <v>244</v>
      </c>
      <c r="C1624" s="18">
        <v>2048</v>
      </c>
      <c r="D1624" t="s">
        <v>191</v>
      </c>
      <c r="E1624" s="9">
        <v>394699.629852338</v>
      </c>
      <c r="F1624" s="9">
        <v>211341.11947207799</v>
      </c>
      <c r="G1624" s="9">
        <v>394306.23400907399</v>
      </c>
      <c r="H1624" s="9">
        <v>211189.299415093</v>
      </c>
      <c r="I1624" s="21">
        <f t="shared" si="50"/>
        <v>-151.82005698498688</v>
      </c>
      <c r="J1624" s="21">
        <f t="shared" si="51"/>
        <v>-393.39584326400654</v>
      </c>
    </row>
    <row r="1625" spans="1:10" hidden="1">
      <c r="A1625" t="s">
        <v>242</v>
      </c>
      <c r="B1625" t="s">
        <v>244</v>
      </c>
      <c r="C1625" s="18">
        <v>2048</v>
      </c>
      <c r="D1625" t="s">
        <v>422</v>
      </c>
      <c r="E1625" s="9">
        <v>34279.040836906097</v>
      </c>
      <c r="F1625" s="9">
        <v>2112.66475966293</v>
      </c>
      <c r="G1625" s="9">
        <v>34278.863496812097</v>
      </c>
      <c r="H1625" s="9">
        <v>2112.6617453372501</v>
      </c>
      <c r="I1625" s="21">
        <f t="shared" si="50"/>
        <v>-3.014325679941976E-3</v>
      </c>
      <c r="J1625" s="21">
        <f t="shared" si="51"/>
        <v>-0.17734009400010109</v>
      </c>
    </row>
    <row r="1626" spans="1:10" hidden="1">
      <c r="A1626" t="s">
        <v>242</v>
      </c>
      <c r="B1626" t="s">
        <v>244</v>
      </c>
      <c r="C1626" s="18">
        <v>2049</v>
      </c>
      <c r="D1626" t="s">
        <v>174</v>
      </c>
      <c r="E1626" s="9">
        <v>26030.9923979743</v>
      </c>
      <c r="F1626" s="9">
        <v>17426.9739971913</v>
      </c>
      <c r="G1626" s="9">
        <v>25986.5373789525</v>
      </c>
      <c r="H1626" s="9">
        <v>17406.659114093502</v>
      </c>
      <c r="I1626" s="21">
        <f t="shared" si="50"/>
        <v>-20.314883097798884</v>
      </c>
      <c r="J1626" s="21">
        <f t="shared" si="51"/>
        <v>-44.455019021799671</v>
      </c>
    </row>
    <row r="1627" spans="1:10" hidden="1">
      <c r="A1627" t="s">
        <v>242</v>
      </c>
      <c r="B1627" t="s">
        <v>244</v>
      </c>
      <c r="C1627" s="18">
        <v>2049</v>
      </c>
      <c r="D1627" t="s">
        <v>236</v>
      </c>
      <c r="E1627" s="9">
        <v>1291390.41032731</v>
      </c>
      <c r="F1627" s="9">
        <v>321829.00528118201</v>
      </c>
      <c r="G1627" s="9">
        <v>1290687.53512959</v>
      </c>
      <c r="H1627" s="9">
        <v>321740.50114880601</v>
      </c>
      <c r="I1627" s="21">
        <f t="shared" si="50"/>
        <v>-88.504132375994232</v>
      </c>
      <c r="J1627" s="21">
        <f t="shared" si="51"/>
        <v>-702.87519772001542</v>
      </c>
    </row>
    <row r="1628" spans="1:10" hidden="1">
      <c r="A1628" t="s">
        <v>242</v>
      </c>
      <c r="B1628" t="s">
        <v>244</v>
      </c>
      <c r="C1628" s="18">
        <v>2049</v>
      </c>
      <c r="D1628" t="s">
        <v>182</v>
      </c>
      <c r="E1628" s="9">
        <v>148062.20851952801</v>
      </c>
      <c r="F1628" s="9">
        <v>94626.573103686897</v>
      </c>
      <c r="G1628" s="9">
        <v>147882.09983734801</v>
      </c>
      <c r="H1628" s="9">
        <v>94546.865675552195</v>
      </c>
      <c r="I1628" s="21">
        <f t="shared" si="50"/>
        <v>-79.707428134701331</v>
      </c>
      <c r="J1628" s="21">
        <f t="shared" si="51"/>
        <v>-180.10868217999814</v>
      </c>
    </row>
    <row r="1629" spans="1:10" hidden="1">
      <c r="A1629" t="s">
        <v>242</v>
      </c>
      <c r="B1629" t="s">
        <v>244</v>
      </c>
      <c r="C1629" s="18">
        <v>2049</v>
      </c>
      <c r="D1629" t="s">
        <v>185</v>
      </c>
      <c r="E1629" s="9">
        <v>267256.11278125102</v>
      </c>
      <c r="F1629" s="9">
        <v>253312.775977685</v>
      </c>
      <c r="G1629" s="9">
        <v>267003.55015502701</v>
      </c>
      <c r="H1629" s="9">
        <v>253105.506935702</v>
      </c>
      <c r="I1629" s="21">
        <f t="shared" si="50"/>
        <v>-207.26904198300326</v>
      </c>
      <c r="J1629" s="21">
        <f t="shared" si="51"/>
        <v>-252.56262622401118</v>
      </c>
    </row>
    <row r="1630" spans="1:10" hidden="1">
      <c r="A1630" t="s">
        <v>242</v>
      </c>
      <c r="B1630" t="s">
        <v>244</v>
      </c>
      <c r="C1630" s="18">
        <v>2049</v>
      </c>
      <c r="D1630" t="s">
        <v>188</v>
      </c>
      <c r="E1630" s="9">
        <v>785170.92838900699</v>
      </c>
      <c r="F1630" s="9">
        <v>488590.52347989997</v>
      </c>
      <c r="G1630" s="9">
        <v>801596.85366425803</v>
      </c>
      <c r="H1630" s="9">
        <v>498010.65152404399</v>
      </c>
      <c r="I1630" s="21">
        <f t="shared" si="50"/>
        <v>9420.1280441440176</v>
      </c>
      <c r="J1630" s="21">
        <f t="shared" si="51"/>
        <v>16425.925275251037</v>
      </c>
    </row>
    <row r="1631" spans="1:10" hidden="1">
      <c r="A1631" t="s">
        <v>242</v>
      </c>
      <c r="B1631" t="s">
        <v>244</v>
      </c>
      <c r="C1631" s="18">
        <v>2049</v>
      </c>
      <c r="D1631" t="s">
        <v>191</v>
      </c>
      <c r="E1631" s="9">
        <v>396474.159108961</v>
      </c>
      <c r="F1631" s="9">
        <v>213744.384901132</v>
      </c>
      <c r="G1631" s="9">
        <v>396058.615955627</v>
      </c>
      <c r="H1631" s="9">
        <v>213580.236200068</v>
      </c>
      <c r="I1631" s="21">
        <f t="shared" si="50"/>
        <v>-164.14870106399758</v>
      </c>
      <c r="J1631" s="21">
        <f t="shared" si="51"/>
        <v>-415.54315333400154</v>
      </c>
    </row>
    <row r="1632" spans="1:10" hidden="1">
      <c r="A1632" t="s">
        <v>242</v>
      </c>
      <c r="B1632" t="s">
        <v>244</v>
      </c>
      <c r="C1632" s="18">
        <v>2049</v>
      </c>
      <c r="D1632" t="s">
        <v>422</v>
      </c>
      <c r="E1632" s="9">
        <v>34087.934684579297</v>
      </c>
      <c r="F1632" s="9">
        <v>1998.5950678654799</v>
      </c>
      <c r="G1632" s="9">
        <v>34087.762706701098</v>
      </c>
      <c r="H1632" s="9">
        <v>1998.5922336333499</v>
      </c>
      <c r="I1632" s="21">
        <f t="shared" si="50"/>
        <v>-2.8342321299987816E-3</v>
      </c>
      <c r="J1632" s="21">
        <f t="shared" si="51"/>
        <v>-0.17197787819895893</v>
      </c>
    </row>
    <row r="1633" spans="1:10" hidden="1">
      <c r="A1633" t="s">
        <v>242</v>
      </c>
      <c r="B1633" t="s">
        <v>244</v>
      </c>
      <c r="C1633" s="18">
        <v>2050</v>
      </c>
      <c r="D1633" t="s">
        <v>174</v>
      </c>
      <c r="E1633" s="9">
        <v>26738.445176712699</v>
      </c>
      <c r="F1633" s="9">
        <v>17851.0531251783</v>
      </c>
      <c r="G1633" s="9">
        <v>26690.1101954068</v>
      </c>
      <c r="H1633" s="9">
        <v>17828.637482456001</v>
      </c>
      <c r="I1633" s="21">
        <f t="shared" si="50"/>
        <v>-22.415642722298799</v>
      </c>
      <c r="J1633" s="21">
        <f t="shared" si="51"/>
        <v>-48.334981305899419</v>
      </c>
    </row>
    <row r="1634" spans="1:10" hidden="1">
      <c r="A1634" t="s">
        <v>242</v>
      </c>
      <c r="B1634" t="s">
        <v>244</v>
      </c>
      <c r="C1634" s="18">
        <v>2050</v>
      </c>
      <c r="D1634" t="s">
        <v>236</v>
      </c>
      <c r="E1634" s="9">
        <v>1298544.98184196</v>
      </c>
      <c r="F1634" s="9">
        <v>328832.75130725099</v>
      </c>
      <c r="G1634" s="9">
        <v>1297798.19122542</v>
      </c>
      <c r="H1634" s="9">
        <v>328734.06146541203</v>
      </c>
      <c r="I1634" s="21">
        <f t="shared" si="50"/>
        <v>-98.689841838961001</v>
      </c>
      <c r="J1634" s="21">
        <f t="shared" si="51"/>
        <v>-746.79061654000543</v>
      </c>
    </row>
    <row r="1635" spans="1:10" hidden="1">
      <c r="A1635" t="s">
        <v>242</v>
      </c>
      <c r="B1635" t="s">
        <v>244</v>
      </c>
      <c r="C1635" s="18">
        <v>2050</v>
      </c>
      <c r="D1635" t="s">
        <v>182</v>
      </c>
      <c r="E1635" s="9">
        <v>149741.172592533</v>
      </c>
      <c r="F1635" s="9">
        <v>95711.918475099606</v>
      </c>
      <c r="G1635" s="9">
        <v>149549.878981469</v>
      </c>
      <c r="H1635" s="9">
        <v>95625.943969428394</v>
      </c>
      <c r="I1635" s="21">
        <f t="shared" si="50"/>
        <v>-85.974505671212683</v>
      </c>
      <c r="J1635" s="21">
        <f t="shared" si="51"/>
        <v>-191.29361106400029</v>
      </c>
    </row>
    <row r="1636" spans="1:10" hidden="1">
      <c r="A1636" t="s">
        <v>242</v>
      </c>
      <c r="B1636" t="s">
        <v>244</v>
      </c>
      <c r="C1636" s="18">
        <v>2050</v>
      </c>
      <c r="D1636" t="s">
        <v>185</v>
      </c>
      <c r="E1636" s="9">
        <v>266295.84582291701</v>
      </c>
      <c r="F1636" s="9">
        <v>252377.30131657</v>
      </c>
      <c r="G1636" s="9">
        <v>266031.496410964</v>
      </c>
      <c r="H1636" s="9">
        <v>252158.93315896901</v>
      </c>
      <c r="I1636" s="21">
        <f t="shared" si="50"/>
        <v>-218.36815760098398</v>
      </c>
      <c r="J1636" s="21">
        <f t="shared" si="51"/>
        <v>-264.3494119530078</v>
      </c>
    </row>
    <row r="1637" spans="1:10" hidden="1">
      <c r="A1637" t="s">
        <v>242</v>
      </c>
      <c r="B1637" t="s">
        <v>244</v>
      </c>
      <c r="C1637" s="18">
        <v>2050</v>
      </c>
      <c r="D1637" t="s">
        <v>188</v>
      </c>
      <c r="E1637" s="9">
        <v>792495.04752105603</v>
      </c>
      <c r="F1637" s="9">
        <v>494474.74483174301</v>
      </c>
      <c r="G1637" s="9">
        <v>809018.72253896797</v>
      </c>
      <c r="H1637" s="9">
        <v>504089.42679186398</v>
      </c>
      <c r="I1637" s="21">
        <f t="shared" si="50"/>
        <v>9614.6819601209718</v>
      </c>
      <c r="J1637" s="21">
        <f t="shared" si="51"/>
        <v>16523.675017911941</v>
      </c>
    </row>
    <row r="1638" spans="1:10" hidden="1">
      <c r="A1638" t="s">
        <v>242</v>
      </c>
      <c r="B1638" t="s">
        <v>244</v>
      </c>
      <c r="C1638" s="18">
        <v>2050</v>
      </c>
      <c r="D1638" t="s">
        <v>191</v>
      </c>
      <c r="E1638" s="9">
        <v>398997.66790439002</v>
      </c>
      <c r="F1638" s="9">
        <v>215747.229576874</v>
      </c>
      <c r="G1638" s="9">
        <v>398560.03791860503</v>
      </c>
      <c r="H1638" s="9">
        <v>215570.73744048199</v>
      </c>
      <c r="I1638" s="21">
        <f t="shared" si="50"/>
        <v>-176.4921363920148</v>
      </c>
      <c r="J1638" s="21">
        <f t="shared" si="51"/>
        <v>-437.62998578499537</v>
      </c>
    </row>
    <row r="1639" spans="1:10" hidden="1">
      <c r="A1639" t="s">
        <v>242</v>
      </c>
      <c r="B1639" t="s">
        <v>244</v>
      </c>
      <c r="C1639" s="18">
        <v>2050</v>
      </c>
      <c r="D1639" t="s">
        <v>422</v>
      </c>
      <c r="E1639" s="9">
        <v>33926.651010537302</v>
      </c>
      <c r="F1639" s="9">
        <v>1888.5175754966699</v>
      </c>
      <c r="G1639" s="9">
        <v>33926.479042696701</v>
      </c>
      <c r="H1639" s="9">
        <v>1888.5150098655699</v>
      </c>
      <c r="I1639" s="21">
        <f t="shared" si="50"/>
        <v>-2.5656310999693233E-3</v>
      </c>
      <c r="J1639" s="21">
        <f t="shared" si="51"/>
        <v>-0.17196784060070058</v>
      </c>
    </row>
    <row r="1640" spans="1:10" hidden="1">
      <c r="A1640" t="s">
        <v>261</v>
      </c>
      <c r="B1640" t="s">
        <v>424</v>
      </c>
      <c r="C1640" s="18">
        <v>2025</v>
      </c>
      <c r="D1640" t="s">
        <v>174</v>
      </c>
      <c r="E1640" s="9">
        <v>12176.1707137429</v>
      </c>
      <c r="F1640" s="9">
        <v>8959.2701472679</v>
      </c>
      <c r="G1640" s="9">
        <v>12176.1707137429</v>
      </c>
      <c r="H1640" s="9">
        <v>8959.2701472679</v>
      </c>
      <c r="I1640" s="21">
        <f t="shared" si="50"/>
        <v>0</v>
      </c>
      <c r="J1640" s="21">
        <f t="shared" si="51"/>
        <v>0</v>
      </c>
    </row>
    <row r="1641" spans="1:10" hidden="1">
      <c r="A1641" t="s">
        <v>261</v>
      </c>
      <c r="B1641" t="s">
        <v>424</v>
      </c>
      <c r="C1641" s="18">
        <v>2025</v>
      </c>
      <c r="D1641" t="s">
        <v>236</v>
      </c>
      <c r="E1641" s="9">
        <v>1026758.5711338</v>
      </c>
      <c r="F1641" s="9">
        <v>129383.32321031499</v>
      </c>
      <c r="G1641" s="9">
        <v>1026758.5711338</v>
      </c>
      <c r="H1641" s="9">
        <v>129383.32321031499</v>
      </c>
      <c r="I1641" s="21">
        <f t="shared" si="50"/>
        <v>0</v>
      </c>
      <c r="J1641" s="21">
        <f t="shared" si="51"/>
        <v>0</v>
      </c>
    </row>
    <row r="1642" spans="1:10" hidden="1">
      <c r="A1642" t="s">
        <v>261</v>
      </c>
      <c r="B1642" t="s">
        <v>424</v>
      </c>
      <c r="C1642" s="18">
        <v>2025</v>
      </c>
      <c r="D1642" t="s">
        <v>182</v>
      </c>
      <c r="E1642" s="9">
        <v>115291.15986546699</v>
      </c>
      <c r="F1642" s="9">
        <v>67656.558989495796</v>
      </c>
      <c r="G1642" s="9">
        <v>115291.15986546699</v>
      </c>
      <c r="H1642" s="9">
        <v>67656.558989495796</v>
      </c>
      <c r="I1642" s="21">
        <f t="shared" si="50"/>
        <v>0</v>
      </c>
      <c r="J1642" s="21">
        <f t="shared" si="51"/>
        <v>0</v>
      </c>
    </row>
    <row r="1643" spans="1:10" hidden="1">
      <c r="A1643" t="s">
        <v>261</v>
      </c>
      <c r="B1643" t="s">
        <v>424</v>
      </c>
      <c r="C1643" s="18">
        <v>2025</v>
      </c>
      <c r="D1643" t="s">
        <v>185</v>
      </c>
      <c r="E1643" s="9">
        <v>281662.55341658002</v>
      </c>
      <c r="F1643" s="9">
        <v>263295.70058044</v>
      </c>
      <c r="G1643" s="9">
        <v>281662.55341658002</v>
      </c>
      <c r="H1643" s="9">
        <v>263295.70058044</v>
      </c>
      <c r="I1643" s="21">
        <f t="shared" si="50"/>
        <v>0</v>
      </c>
      <c r="J1643" s="21">
        <f t="shared" si="51"/>
        <v>0</v>
      </c>
    </row>
    <row r="1644" spans="1:10" hidden="1">
      <c r="A1644" t="s">
        <v>261</v>
      </c>
      <c r="B1644" t="s">
        <v>424</v>
      </c>
      <c r="C1644" s="18">
        <v>2025</v>
      </c>
      <c r="D1644" t="s">
        <v>188</v>
      </c>
      <c r="E1644" s="9">
        <v>612171.634776233</v>
      </c>
      <c r="F1644" s="9">
        <v>335724.86979376699</v>
      </c>
      <c r="G1644" s="9">
        <v>612171.634776233</v>
      </c>
      <c r="H1644" s="9">
        <v>335724.86979376699</v>
      </c>
      <c r="I1644" s="21">
        <f t="shared" si="50"/>
        <v>0</v>
      </c>
      <c r="J1644" s="21">
        <f t="shared" si="51"/>
        <v>0</v>
      </c>
    </row>
    <row r="1645" spans="1:10" hidden="1">
      <c r="A1645" t="s">
        <v>261</v>
      </c>
      <c r="B1645" t="s">
        <v>424</v>
      </c>
      <c r="C1645" s="18">
        <v>2025</v>
      </c>
      <c r="D1645" t="s">
        <v>191</v>
      </c>
      <c r="E1645" s="9">
        <v>339642.13012673298</v>
      </c>
      <c r="F1645" s="9">
        <v>190841.880003208</v>
      </c>
      <c r="G1645" s="9">
        <v>339642.13012673298</v>
      </c>
      <c r="H1645" s="9">
        <v>190841.880003208</v>
      </c>
      <c r="I1645" s="21">
        <f t="shared" si="50"/>
        <v>0</v>
      </c>
      <c r="J1645" s="21">
        <f t="shared" si="51"/>
        <v>0</v>
      </c>
    </row>
    <row r="1646" spans="1:10" hidden="1">
      <c r="A1646" t="s">
        <v>261</v>
      </c>
      <c r="B1646" t="s">
        <v>424</v>
      </c>
      <c r="C1646" s="18">
        <v>2025</v>
      </c>
      <c r="D1646" t="s">
        <v>422</v>
      </c>
      <c r="E1646" s="9">
        <v>39660.836547407802</v>
      </c>
      <c r="F1646" s="9">
        <v>5303.4223017440199</v>
      </c>
      <c r="G1646" s="9">
        <v>39660.836547407802</v>
      </c>
      <c r="H1646" s="9">
        <v>5303.4223017440199</v>
      </c>
      <c r="I1646" s="21">
        <f t="shared" si="50"/>
        <v>0</v>
      </c>
      <c r="J1646" s="21">
        <f t="shared" si="51"/>
        <v>0</v>
      </c>
    </row>
    <row r="1647" spans="1:10" hidden="1">
      <c r="A1647" t="s">
        <v>261</v>
      </c>
      <c r="B1647" t="s">
        <v>424</v>
      </c>
      <c r="C1647" s="18">
        <v>2026</v>
      </c>
      <c r="D1647" t="s">
        <v>174</v>
      </c>
      <c r="E1647" s="9">
        <v>12568.9386470114</v>
      </c>
      <c r="F1647" s="9">
        <v>9271.1333627081003</v>
      </c>
      <c r="G1647" s="9">
        <v>12568.9386470114</v>
      </c>
      <c r="H1647" s="9">
        <v>9271.1333627081003</v>
      </c>
      <c r="I1647" s="21">
        <f t="shared" si="50"/>
        <v>0</v>
      </c>
      <c r="J1647" s="21">
        <f t="shared" si="51"/>
        <v>0</v>
      </c>
    </row>
    <row r="1648" spans="1:10" hidden="1">
      <c r="A1648" t="s">
        <v>261</v>
      </c>
      <c r="B1648" t="s">
        <v>424</v>
      </c>
      <c r="C1648" s="18">
        <v>2026</v>
      </c>
      <c r="D1648" t="s">
        <v>236</v>
      </c>
      <c r="E1648" s="9">
        <v>1042135.18581351</v>
      </c>
      <c r="F1648" s="9">
        <v>137145.82895878801</v>
      </c>
      <c r="G1648" s="9">
        <v>1042135.18581351</v>
      </c>
      <c r="H1648" s="9">
        <v>137145.82895878801</v>
      </c>
      <c r="I1648" s="21">
        <f t="shared" si="50"/>
        <v>0</v>
      </c>
      <c r="J1648" s="21">
        <f t="shared" si="51"/>
        <v>0</v>
      </c>
    </row>
    <row r="1649" spans="1:10" hidden="1">
      <c r="A1649" t="s">
        <v>261</v>
      </c>
      <c r="B1649" t="s">
        <v>424</v>
      </c>
      <c r="C1649" s="18">
        <v>2026</v>
      </c>
      <c r="D1649" t="s">
        <v>182</v>
      </c>
      <c r="E1649" s="9">
        <v>114707.986926294</v>
      </c>
      <c r="F1649" s="9">
        <v>70326.603453519798</v>
      </c>
      <c r="G1649" s="9">
        <v>114707.986926294</v>
      </c>
      <c r="H1649" s="9">
        <v>70326.603453519798</v>
      </c>
      <c r="I1649" s="21">
        <f t="shared" si="50"/>
        <v>0</v>
      </c>
      <c r="J1649" s="21">
        <f t="shared" si="51"/>
        <v>0</v>
      </c>
    </row>
    <row r="1650" spans="1:10" hidden="1">
      <c r="A1650" t="s">
        <v>261</v>
      </c>
      <c r="B1650" t="s">
        <v>424</v>
      </c>
      <c r="C1650" s="18">
        <v>2026</v>
      </c>
      <c r="D1650" t="s">
        <v>185</v>
      </c>
      <c r="E1650" s="9">
        <v>282722.53786088398</v>
      </c>
      <c r="F1650" s="9">
        <v>259504.46801133201</v>
      </c>
      <c r="G1650" s="9">
        <v>282722.53786088398</v>
      </c>
      <c r="H1650" s="9">
        <v>259504.46801133201</v>
      </c>
      <c r="I1650" s="21">
        <f t="shared" si="50"/>
        <v>0</v>
      </c>
      <c r="J1650" s="21">
        <f t="shared" si="51"/>
        <v>0</v>
      </c>
    </row>
    <row r="1651" spans="1:10" hidden="1">
      <c r="A1651" t="s">
        <v>261</v>
      </c>
      <c r="B1651" t="s">
        <v>424</v>
      </c>
      <c r="C1651" s="18">
        <v>2026</v>
      </c>
      <c r="D1651" t="s">
        <v>188</v>
      </c>
      <c r="E1651" s="9">
        <v>616790.02915575495</v>
      </c>
      <c r="F1651" s="9">
        <v>342960.13528186502</v>
      </c>
      <c r="G1651" s="9">
        <v>616790.02915575495</v>
      </c>
      <c r="H1651" s="9">
        <v>342960.13528186502</v>
      </c>
      <c r="I1651" s="21">
        <f t="shared" si="50"/>
        <v>0</v>
      </c>
      <c r="J1651" s="21">
        <f t="shared" si="51"/>
        <v>0</v>
      </c>
    </row>
    <row r="1652" spans="1:10" hidden="1">
      <c r="A1652" t="s">
        <v>261</v>
      </c>
      <c r="B1652" t="s">
        <v>424</v>
      </c>
      <c r="C1652" s="18">
        <v>2026</v>
      </c>
      <c r="D1652" t="s">
        <v>191</v>
      </c>
      <c r="E1652" s="9">
        <v>338499.06942160201</v>
      </c>
      <c r="F1652" s="9">
        <v>190574.61381884801</v>
      </c>
      <c r="G1652" s="9">
        <v>338499.06942160201</v>
      </c>
      <c r="H1652" s="9">
        <v>190574.61381884801</v>
      </c>
      <c r="I1652" s="21">
        <f t="shared" si="50"/>
        <v>0</v>
      </c>
      <c r="J1652" s="21">
        <f t="shared" si="51"/>
        <v>0</v>
      </c>
    </row>
    <row r="1653" spans="1:10" hidden="1">
      <c r="A1653" t="s">
        <v>261</v>
      </c>
      <c r="B1653" t="s">
        <v>424</v>
      </c>
      <c r="C1653" s="18">
        <v>2026</v>
      </c>
      <c r="D1653" t="s">
        <v>422</v>
      </c>
      <c r="E1653" s="9">
        <v>39250.667018004897</v>
      </c>
      <c r="F1653" s="9">
        <v>5105.6095547855903</v>
      </c>
      <c r="G1653" s="9">
        <v>39250.667018004897</v>
      </c>
      <c r="H1653" s="9">
        <v>5105.6095547855903</v>
      </c>
      <c r="I1653" s="21">
        <f t="shared" si="50"/>
        <v>0</v>
      </c>
      <c r="J1653" s="21">
        <f t="shared" si="51"/>
        <v>0</v>
      </c>
    </row>
    <row r="1654" spans="1:10" hidden="1">
      <c r="A1654" t="s">
        <v>261</v>
      </c>
      <c r="B1654" t="s">
        <v>424</v>
      </c>
      <c r="C1654" s="18">
        <v>2027</v>
      </c>
      <c r="D1654" t="s">
        <v>174</v>
      </c>
      <c r="E1654" s="9">
        <v>12976.103113363301</v>
      </c>
      <c r="F1654" s="9">
        <v>9577.5296548643291</v>
      </c>
      <c r="G1654" s="9">
        <v>12976.103113363301</v>
      </c>
      <c r="H1654" s="9">
        <v>9577.5296548643291</v>
      </c>
      <c r="I1654" s="21">
        <f t="shared" si="50"/>
        <v>0</v>
      </c>
      <c r="J1654" s="21">
        <f t="shared" si="51"/>
        <v>0</v>
      </c>
    </row>
    <row r="1655" spans="1:10" hidden="1">
      <c r="A1655" t="s">
        <v>261</v>
      </c>
      <c r="B1655" t="s">
        <v>424</v>
      </c>
      <c r="C1655" s="18">
        <v>2027</v>
      </c>
      <c r="D1655" t="s">
        <v>236</v>
      </c>
      <c r="E1655" s="9">
        <v>1056139.2892265499</v>
      </c>
      <c r="F1655" s="9">
        <v>145009.441994705</v>
      </c>
      <c r="G1655" s="9">
        <v>1057148.31873483</v>
      </c>
      <c r="H1655" s="9">
        <v>145009.441994705</v>
      </c>
      <c r="I1655" s="21">
        <f t="shared" si="50"/>
        <v>0</v>
      </c>
      <c r="J1655" s="21">
        <f t="shared" si="51"/>
        <v>1009.0295082801022</v>
      </c>
    </row>
    <row r="1656" spans="1:10" hidden="1">
      <c r="A1656" t="s">
        <v>261</v>
      </c>
      <c r="B1656" t="s">
        <v>424</v>
      </c>
      <c r="C1656" s="18">
        <v>2027</v>
      </c>
      <c r="D1656" t="s">
        <v>182</v>
      </c>
      <c r="E1656" s="9">
        <v>114152.944165875</v>
      </c>
      <c r="F1656" s="9">
        <v>72290.169991209099</v>
      </c>
      <c r="G1656" s="9">
        <v>114152.944165875</v>
      </c>
      <c r="H1656" s="9">
        <v>72290.169991209099</v>
      </c>
      <c r="I1656" s="21">
        <f t="shared" si="50"/>
        <v>0</v>
      </c>
      <c r="J1656" s="21">
        <f t="shared" si="51"/>
        <v>0</v>
      </c>
    </row>
    <row r="1657" spans="1:10" hidden="1">
      <c r="A1657" t="s">
        <v>261</v>
      </c>
      <c r="B1657" t="s">
        <v>424</v>
      </c>
      <c r="C1657" s="18">
        <v>2027</v>
      </c>
      <c r="D1657" t="s">
        <v>185</v>
      </c>
      <c r="E1657" s="9">
        <v>277732.98105811101</v>
      </c>
      <c r="F1657" s="9">
        <v>260330.421136777</v>
      </c>
      <c r="G1657" s="9">
        <v>277877.509454571</v>
      </c>
      <c r="H1657" s="9">
        <v>260330.421136777</v>
      </c>
      <c r="I1657" s="21">
        <f t="shared" si="50"/>
        <v>0</v>
      </c>
      <c r="J1657" s="21">
        <f t="shared" si="51"/>
        <v>144.52839645999484</v>
      </c>
    </row>
    <row r="1658" spans="1:10" hidden="1">
      <c r="A1658" t="s">
        <v>261</v>
      </c>
      <c r="B1658" t="s">
        <v>424</v>
      </c>
      <c r="C1658" s="18">
        <v>2027</v>
      </c>
      <c r="D1658" t="s">
        <v>188</v>
      </c>
      <c r="E1658" s="9">
        <v>620510.16106240498</v>
      </c>
      <c r="F1658" s="9">
        <v>349405.30073034298</v>
      </c>
      <c r="G1658" s="9">
        <v>621430.90280116105</v>
      </c>
      <c r="H1658" s="9">
        <v>349405.30073034298</v>
      </c>
      <c r="I1658" s="21">
        <f t="shared" si="50"/>
        <v>0</v>
      </c>
      <c r="J1658" s="21">
        <f t="shared" si="51"/>
        <v>920.74173875607084</v>
      </c>
    </row>
    <row r="1659" spans="1:10" hidden="1">
      <c r="A1659" t="s">
        <v>261</v>
      </c>
      <c r="B1659" t="s">
        <v>424</v>
      </c>
      <c r="C1659" s="18">
        <v>2027</v>
      </c>
      <c r="D1659" t="s">
        <v>191</v>
      </c>
      <c r="E1659" s="9">
        <v>337064.77009447198</v>
      </c>
      <c r="F1659" s="9">
        <v>189031.10044551201</v>
      </c>
      <c r="G1659" s="9">
        <v>337398.94907172298</v>
      </c>
      <c r="H1659" s="9">
        <v>189031.10044551201</v>
      </c>
      <c r="I1659" s="21">
        <f t="shared" si="50"/>
        <v>0</v>
      </c>
      <c r="J1659" s="21">
        <f t="shared" si="51"/>
        <v>334.17897725099465</v>
      </c>
    </row>
    <row r="1660" spans="1:10" hidden="1">
      <c r="A1660" t="s">
        <v>261</v>
      </c>
      <c r="B1660" t="s">
        <v>424</v>
      </c>
      <c r="C1660" s="18">
        <v>2027</v>
      </c>
      <c r="D1660" t="s">
        <v>422</v>
      </c>
      <c r="E1660" s="9">
        <v>38773.627186343103</v>
      </c>
      <c r="F1660" s="9">
        <v>4921.4971535538998</v>
      </c>
      <c r="G1660" s="9">
        <v>38773.627186343103</v>
      </c>
      <c r="H1660" s="9">
        <v>4921.4971535538998</v>
      </c>
      <c r="I1660" s="21">
        <f t="shared" si="50"/>
        <v>0</v>
      </c>
      <c r="J1660" s="21">
        <f t="shared" si="51"/>
        <v>0</v>
      </c>
    </row>
    <row r="1661" spans="1:10" hidden="1">
      <c r="A1661" t="s">
        <v>261</v>
      </c>
      <c r="B1661" t="s">
        <v>424</v>
      </c>
      <c r="C1661" s="18">
        <v>2028</v>
      </c>
      <c r="D1661" t="s">
        <v>174</v>
      </c>
      <c r="E1661" s="9">
        <v>13394.6739315754</v>
      </c>
      <c r="F1661" s="9">
        <v>9881.9220189252792</v>
      </c>
      <c r="G1661" s="9">
        <v>13394.6739315754</v>
      </c>
      <c r="H1661" s="9">
        <v>9881.9220189252792</v>
      </c>
      <c r="I1661" s="21">
        <f t="shared" si="50"/>
        <v>0</v>
      </c>
      <c r="J1661" s="21">
        <f t="shared" si="51"/>
        <v>0</v>
      </c>
    </row>
    <row r="1662" spans="1:10" hidden="1">
      <c r="A1662" t="s">
        <v>261</v>
      </c>
      <c r="B1662" t="s">
        <v>424</v>
      </c>
      <c r="C1662" s="18">
        <v>2028</v>
      </c>
      <c r="D1662" t="s">
        <v>236</v>
      </c>
      <c r="E1662" s="9">
        <v>1069850.38377699</v>
      </c>
      <c r="F1662" s="9">
        <v>152964.934030996</v>
      </c>
      <c r="G1662" s="9">
        <v>1071826.1250559301</v>
      </c>
      <c r="H1662" s="9">
        <v>152971.72938899801</v>
      </c>
      <c r="I1662" s="21">
        <f t="shared" si="50"/>
        <v>6.7953580020111986</v>
      </c>
      <c r="J1662" s="21">
        <f t="shared" si="51"/>
        <v>1975.7412789401133</v>
      </c>
    </row>
    <row r="1663" spans="1:10" hidden="1">
      <c r="A1663" t="s">
        <v>261</v>
      </c>
      <c r="B1663" t="s">
        <v>424</v>
      </c>
      <c r="C1663" s="18">
        <v>2028</v>
      </c>
      <c r="D1663" t="s">
        <v>182</v>
      </c>
      <c r="E1663" s="9">
        <v>114139.12292486199</v>
      </c>
      <c r="F1663" s="9">
        <v>73846.874209439702</v>
      </c>
      <c r="G1663" s="9">
        <v>114139.12292486199</v>
      </c>
      <c r="H1663" s="9">
        <v>73846.874209439702</v>
      </c>
      <c r="I1663" s="21">
        <f t="shared" si="50"/>
        <v>0</v>
      </c>
      <c r="J1663" s="21">
        <f t="shared" si="51"/>
        <v>0</v>
      </c>
    </row>
    <row r="1664" spans="1:10" hidden="1">
      <c r="A1664" t="s">
        <v>261</v>
      </c>
      <c r="B1664" t="s">
        <v>424</v>
      </c>
      <c r="C1664" s="18">
        <v>2028</v>
      </c>
      <c r="D1664" t="s">
        <v>185</v>
      </c>
      <c r="E1664" s="9">
        <v>277456.16065425699</v>
      </c>
      <c r="F1664" s="9">
        <v>257701.80898958401</v>
      </c>
      <c r="G1664" s="9">
        <v>277735.69614120398</v>
      </c>
      <c r="H1664" s="9">
        <v>257765.32327170501</v>
      </c>
      <c r="I1664" s="21">
        <f t="shared" si="50"/>
        <v>63.514282121002907</v>
      </c>
      <c r="J1664" s="21">
        <f t="shared" si="51"/>
        <v>279.53548694698839</v>
      </c>
    </row>
    <row r="1665" spans="1:10" hidden="1">
      <c r="A1665" t="s">
        <v>261</v>
      </c>
      <c r="B1665" t="s">
        <v>424</v>
      </c>
      <c r="C1665" s="18">
        <v>2028</v>
      </c>
      <c r="D1665" t="s">
        <v>188</v>
      </c>
      <c r="E1665" s="9">
        <v>625928.43688566703</v>
      </c>
      <c r="F1665" s="9">
        <v>356093.821288254</v>
      </c>
      <c r="G1665" s="9">
        <v>627723.84415529598</v>
      </c>
      <c r="H1665" s="9">
        <v>356159.25290604099</v>
      </c>
      <c r="I1665" s="21">
        <f t="shared" si="50"/>
        <v>65.43161778699141</v>
      </c>
      <c r="J1665" s="21">
        <f t="shared" si="51"/>
        <v>1795.4072696289513</v>
      </c>
    </row>
    <row r="1666" spans="1:10" hidden="1">
      <c r="A1666" t="s">
        <v>261</v>
      </c>
      <c r="B1666" t="s">
        <v>424</v>
      </c>
      <c r="C1666" s="18">
        <v>2028</v>
      </c>
      <c r="D1666" t="s">
        <v>191</v>
      </c>
      <c r="E1666" s="9">
        <v>336868.51373616297</v>
      </c>
      <c r="F1666" s="9">
        <v>187087.84933289199</v>
      </c>
      <c r="G1666" s="9">
        <v>337514.695524676</v>
      </c>
      <c r="H1666" s="9">
        <v>187116.63987946699</v>
      </c>
      <c r="I1666" s="21">
        <f t="shared" ref="I1666:I1729" si="52">H1666-F1666</f>
        <v>28.790546575008193</v>
      </c>
      <c r="J1666" s="21">
        <f t="shared" ref="J1666:J1729" si="53">G1666-E1666</f>
        <v>646.18178851302946</v>
      </c>
    </row>
    <row r="1667" spans="1:10" hidden="1">
      <c r="A1667" t="s">
        <v>261</v>
      </c>
      <c r="B1667" t="s">
        <v>424</v>
      </c>
      <c r="C1667" s="18">
        <v>2028</v>
      </c>
      <c r="D1667" t="s">
        <v>422</v>
      </c>
      <c r="E1667" s="9">
        <v>38149.291579231904</v>
      </c>
      <c r="F1667" s="9">
        <v>4742.0855729783398</v>
      </c>
      <c r="G1667" s="9">
        <v>38149.291579231904</v>
      </c>
      <c r="H1667" s="9">
        <v>4742.0855729783398</v>
      </c>
      <c r="I1667" s="21">
        <f t="shared" si="52"/>
        <v>0</v>
      </c>
      <c r="J1667" s="21">
        <f t="shared" si="53"/>
        <v>0</v>
      </c>
    </row>
    <row r="1668" spans="1:10" hidden="1">
      <c r="A1668" t="s">
        <v>261</v>
      </c>
      <c r="B1668" t="s">
        <v>424</v>
      </c>
      <c r="C1668" s="18">
        <v>2029</v>
      </c>
      <c r="D1668" t="s">
        <v>174</v>
      </c>
      <c r="E1668" s="9">
        <v>13830.128630794101</v>
      </c>
      <c r="F1668" s="9">
        <v>10188.394886280999</v>
      </c>
      <c r="G1668" s="9">
        <v>13830.048598278099</v>
      </c>
      <c r="H1668" s="9">
        <v>10188.394886280999</v>
      </c>
      <c r="I1668" s="21">
        <f t="shared" si="52"/>
        <v>0</v>
      </c>
      <c r="J1668" s="21">
        <f t="shared" si="53"/>
        <v>-8.0032516001665499E-2</v>
      </c>
    </row>
    <row r="1669" spans="1:10" hidden="1">
      <c r="A1669" t="s">
        <v>261</v>
      </c>
      <c r="B1669" t="s">
        <v>424</v>
      </c>
      <c r="C1669" s="18">
        <v>2029</v>
      </c>
      <c r="D1669" t="s">
        <v>236</v>
      </c>
      <c r="E1669" s="9">
        <v>1083300.5420037201</v>
      </c>
      <c r="F1669" s="9">
        <v>161017.855950103</v>
      </c>
      <c r="G1669" s="9">
        <v>1086200.5009906101</v>
      </c>
      <c r="H1669" s="9">
        <v>161038.22768731901</v>
      </c>
      <c r="I1669" s="21">
        <f t="shared" si="52"/>
        <v>20.371737216017209</v>
      </c>
      <c r="J1669" s="21">
        <f t="shared" si="53"/>
        <v>2899.9589868900366</v>
      </c>
    </row>
    <row r="1670" spans="1:10" hidden="1">
      <c r="A1670" t="s">
        <v>261</v>
      </c>
      <c r="B1670" t="s">
        <v>424</v>
      </c>
      <c r="C1670" s="18">
        <v>2029</v>
      </c>
      <c r="D1670" t="s">
        <v>182</v>
      </c>
      <c r="E1670" s="9">
        <v>114048.764426219</v>
      </c>
      <c r="F1670" s="9">
        <v>75452.222577591499</v>
      </c>
      <c r="G1670" s="9">
        <v>114048.15533588199</v>
      </c>
      <c r="H1670" s="9">
        <v>75452.222577591499</v>
      </c>
      <c r="I1670" s="21">
        <f t="shared" si="52"/>
        <v>0</v>
      </c>
      <c r="J1670" s="21">
        <f t="shared" si="53"/>
        <v>-0.60909033700590953</v>
      </c>
    </row>
    <row r="1671" spans="1:10" hidden="1">
      <c r="A1671" t="s">
        <v>261</v>
      </c>
      <c r="B1671" t="s">
        <v>424</v>
      </c>
      <c r="C1671" s="18">
        <v>2029</v>
      </c>
      <c r="D1671" t="s">
        <v>185</v>
      </c>
      <c r="E1671" s="9">
        <v>275418.64059108199</v>
      </c>
      <c r="F1671" s="9">
        <v>258190.676059658</v>
      </c>
      <c r="G1671" s="9">
        <v>275821.08299242798</v>
      </c>
      <c r="H1671" s="9">
        <v>258334.31739486201</v>
      </c>
      <c r="I1671" s="21">
        <f t="shared" si="52"/>
        <v>143.64133520401083</v>
      </c>
      <c r="J1671" s="21">
        <f t="shared" si="53"/>
        <v>402.44240134599386</v>
      </c>
    </row>
    <row r="1672" spans="1:10" hidden="1">
      <c r="A1672" t="s">
        <v>261</v>
      </c>
      <c r="B1672" t="s">
        <v>424</v>
      </c>
      <c r="C1672" s="18">
        <v>2029</v>
      </c>
      <c r="D1672" t="s">
        <v>188</v>
      </c>
      <c r="E1672" s="9">
        <v>628166.67708117305</v>
      </c>
      <c r="F1672" s="9">
        <v>363710.19260820397</v>
      </c>
      <c r="G1672" s="9">
        <v>630779.36998507904</v>
      </c>
      <c r="H1672" s="9">
        <v>363892.26827992598</v>
      </c>
      <c r="I1672" s="21">
        <f t="shared" si="52"/>
        <v>182.07567172200652</v>
      </c>
      <c r="J1672" s="21">
        <f t="shared" si="53"/>
        <v>2612.6929039059905</v>
      </c>
    </row>
    <row r="1673" spans="1:10" hidden="1">
      <c r="A1673" t="s">
        <v>261</v>
      </c>
      <c r="B1673" t="s">
        <v>424</v>
      </c>
      <c r="C1673" s="18">
        <v>2029</v>
      </c>
      <c r="D1673" t="s">
        <v>191</v>
      </c>
      <c r="E1673" s="9">
        <v>334989.67320359102</v>
      </c>
      <c r="F1673" s="9">
        <v>186748.05782220699</v>
      </c>
      <c r="G1673" s="9">
        <v>335921.29283179599</v>
      </c>
      <c r="H1673" s="9">
        <v>186821.56008749199</v>
      </c>
      <c r="I1673" s="21">
        <f t="shared" si="52"/>
        <v>73.502265285002068</v>
      </c>
      <c r="J1673" s="21">
        <f t="shared" si="53"/>
        <v>931.6196282049641</v>
      </c>
    </row>
    <row r="1674" spans="1:10" hidden="1">
      <c r="A1674" t="s">
        <v>261</v>
      </c>
      <c r="B1674" t="s">
        <v>424</v>
      </c>
      <c r="C1674" s="18">
        <v>2029</v>
      </c>
      <c r="D1674" t="s">
        <v>422</v>
      </c>
      <c r="E1674" s="9">
        <v>37777.468875311803</v>
      </c>
      <c r="F1674" s="9">
        <v>4604.0681483163899</v>
      </c>
      <c r="G1674" s="9">
        <v>37777.467218977603</v>
      </c>
      <c r="H1674" s="9">
        <v>4604.0681483163899</v>
      </c>
      <c r="I1674" s="21">
        <f t="shared" si="52"/>
        <v>0</v>
      </c>
      <c r="J1674" s="21">
        <f t="shared" si="53"/>
        <v>-1.6563341996516101E-3</v>
      </c>
    </row>
    <row r="1675" spans="1:10" hidden="1">
      <c r="A1675" t="s">
        <v>261</v>
      </c>
      <c r="B1675" t="s">
        <v>424</v>
      </c>
      <c r="C1675" s="18">
        <v>2030</v>
      </c>
      <c r="D1675" t="s">
        <v>174</v>
      </c>
      <c r="E1675" s="9">
        <v>14282.229868939799</v>
      </c>
      <c r="F1675" s="9">
        <v>10500.300815721201</v>
      </c>
      <c r="G1675" s="9">
        <v>14281.959039535501</v>
      </c>
      <c r="H1675" s="9">
        <v>10500.2867221377</v>
      </c>
      <c r="I1675" s="21">
        <f t="shared" si="52"/>
        <v>-1.409358350065304E-2</v>
      </c>
      <c r="J1675" s="21">
        <f t="shared" si="53"/>
        <v>-0.27082940429863811</v>
      </c>
    </row>
    <row r="1676" spans="1:10" hidden="1">
      <c r="A1676" t="s">
        <v>261</v>
      </c>
      <c r="B1676" t="s">
        <v>424</v>
      </c>
      <c r="C1676" s="18">
        <v>2030</v>
      </c>
      <c r="D1676" t="s">
        <v>236</v>
      </c>
      <c r="E1676" s="9">
        <v>1096409.9033501099</v>
      </c>
      <c r="F1676" s="9">
        <v>169155.72489281301</v>
      </c>
      <c r="G1676" s="9">
        <v>1100191.7865472301</v>
      </c>
      <c r="H1676" s="9">
        <v>169196.385350075</v>
      </c>
      <c r="I1676" s="21">
        <f t="shared" si="52"/>
        <v>40.660457261983538</v>
      </c>
      <c r="J1676" s="21">
        <f t="shared" si="53"/>
        <v>3781.883197120158</v>
      </c>
    </row>
    <row r="1677" spans="1:10" hidden="1">
      <c r="A1677" t="s">
        <v>261</v>
      </c>
      <c r="B1677" t="s">
        <v>424</v>
      </c>
      <c r="C1677" s="18">
        <v>2030</v>
      </c>
      <c r="D1677" t="s">
        <v>182</v>
      </c>
      <c r="E1677" s="9">
        <v>114783.877626003</v>
      </c>
      <c r="F1677" s="9">
        <v>76004.494495599007</v>
      </c>
      <c r="G1677" s="9">
        <v>114781.951575614</v>
      </c>
      <c r="H1677" s="9">
        <v>76004.374773711097</v>
      </c>
      <c r="I1677" s="21">
        <f t="shared" si="52"/>
        <v>-0.11972188790969085</v>
      </c>
      <c r="J1677" s="21">
        <f t="shared" si="53"/>
        <v>-1.9260503889963729</v>
      </c>
    </row>
    <row r="1678" spans="1:10" hidden="1">
      <c r="A1678" t="s">
        <v>261</v>
      </c>
      <c r="B1678" t="s">
        <v>424</v>
      </c>
      <c r="C1678" s="18">
        <v>2030</v>
      </c>
      <c r="D1678" t="s">
        <v>185</v>
      </c>
      <c r="E1678" s="9">
        <v>275232.60802465299</v>
      </c>
      <c r="F1678" s="9">
        <v>257182.93868253499</v>
      </c>
      <c r="G1678" s="9">
        <v>275750.81654950802</v>
      </c>
      <c r="H1678" s="9">
        <v>257411.19778715901</v>
      </c>
      <c r="I1678" s="21">
        <f t="shared" si="52"/>
        <v>228.25910462401225</v>
      </c>
      <c r="J1678" s="21">
        <f t="shared" si="53"/>
        <v>518.20852485502837</v>
      </c>
    </row>
    <row r="1679" spans="1:10" hidden="1">
      <c r="A1679" t="s">
        <v>261</v>
      </c>
      <c r="B1679" t="s">
        <v>424</v>
      </c>
      <c r="C1679" s="18">
        <v>2030</v>
      </c>
      <c r="D1679" t="s">
        <v>188</v>
      </c>
      <c r="E1679" s="9">
        <v>634795.05509822303</v>
      </c>
      <c r="F1679" s="9">
        <v>368580.54866191797</v>
      </c>
      <c r="G1679" s="9">
        <v>638199.36722691404</v>
      </c>
      <c r="H1679" s="9">
        <v>368920.44347907702</v>
      </c>
      <c r="I1679" s="21">
        <f t="shared" si="52"/>
        <v>339.89481715904549</v>
      </c>
      <c r="J1679" s="21">
        <f t="shared" si="53"/>
        <v>3404.3121286910027</v>
      </c>
    </row>
    <row r="1680" spans="1:10" hidden="1">
      <c r="A1680" t="s">
        <v>261</v>
      </c>
      <c r="B1680" t="s">
        <v>424</v>
      </c>
      <c r="C1680" s="18">
        <v>2030</v>
      </c>
      <c r="D1680" t="s">
        <v>191</v>
      </c>
      <c r="E1680" s="9">
        <v>336169.84675726201</v>
      </c>
      <c r="F1680" s="9">
        <v>185314.57168765701</v>
      </c>
      <c r="G1680" s="9">
        <v>337374.94686633401</v>
      </c>
      <c r="H1680" s="9">
        <v>185442.493190957</v>
      </c>
      <c r="I1680" s="21">
        <f t="shared" si="52"/>
        <v>127.92150329999276</v>
      </c>
      <c r="J1680" s="21">
        <f t="shared" si="53"/>
        <v>1205.1001090719947</v>
      </c>
    </row>
    <row r="1681" spans="1:10" hidden="1">
      <c r="A1681" t="s">
        <v>261</v>
      </c>
      <c r="B1681" t="s">
        <v>424</v>
      </c>
      <c r="C1681" s="18">
        <v>2030</v>
      </c>
      <c r="D1681" t="s">
        <v>422</v>
      </c>
      <c r="E1681" s="9">
        <v>38012.678253431201</v>
      </c>
      <c r="F1681" s="9">
        <v>4432.1169722243603</v>
      </c>
      <c r="G1681" s="9">
        <v>38012.673637756197</v>
      </c>
      <c r="H1681" s="9">
        <v>4432.1168533298996</v>
      </c>
      <c r="I1681" s="21">
        <f t="shared" si="52"/>
        <v>-1.1889446068380494E-4</v>
      </c>
      <c r="J1681" s="21">
        <f t="shared" si="53"/>
        <v>-4.6156750031514093E-3</v>
      </c>
    </row>
    <row r="1682" spans="1:10" hidden="1">
      <c r="A1682" t="s">
        <v>261</v>
      </c>
      <c r="B1682" t="s">
        <v>424</v>
      </c>
      <c r="C1682" s="18">
        <v>2031</v>
      </c>
      <c r="D1682" t="s">
        <v>174</v>
      </c>
      <c r="E1682" s="9">
        <v>14755.016454160301</v>
      </c>
      <c r="F1682" s="9">
        <v>10814.9755244628</v>
      </c>
      <c r="G1682" s="9">
        <v>14754.4294987798</v>
      </c>
      <c r="H1682" s="9">
        <v>10814.9178976517</v>
      </c>
      <c r="I1682" s="21">
        <f t="shared" si="52"/>
        <v>-5.7626811099908082E-2</v>
      </c>
      <c r="J1682" s="21">
        <f t="shared" si="53"/>
        <v>-0.58695538050051255</v>
      </c>
    </row>
    <row r="1683" spans="1:10" hidden="1">
      <c r="A1683" t="s">
        <v>261</v>
      </c>
      <c r="B1683" t="s">
        <v>424</v>
      </c>
      <c r="C1683" s="18">
        <v>2031</v>
      </c>
      <c r="D1683" t="s">
        <v>236</v>
      </c>
      <c r="E1683" s="9">
        <v>1109102.6296482999</v>
      </c>
      <c r="F1683" s="9">
        <v>177352.65799616301</v>
      </c>
      <c r="G1683" s="9">
        <v>1113725.2263596801</v>
      </c>
      <c r="H1683" s="9">
        <v>177420.195676039</v>
      </c>
      <c r="I1683" s="21">
        <f t="shared" si="52"/>
        <v>67.537679875997128</v>
      </c>
      <c r="J1683" s="21">
        <f t="shared" si="53"/>
        <v>4622.5967113801744</v>
      </c>
    </row>
    <row r="1684" spans="1:10" hidden="1">
      <c r="A1684" t="s">
        <v>261</v>
      </c>
      <c r="B1684" t="s">
        <v>424</v>
      </c>
      <c r="C1684" s="18">
        <v>2031</v>
      </c>
      <c r="D1684" t="s">
        <v>182</v>
      </c>
      <c r="E1684" s="9">
        <v>115760.95538769499</v>
      </c>
      <c r="F1684" s="9">
        <v>76557.071224085303</v>
      </c>
      <c r="G1684" s="9">
        <v>115757.018858842</v>
      </c>
      <c r="H1684" s="9">
        <v>76556.628013514899</v>
      </c>
      <c r="I1684" s="21">
        <f t="shared" si="52"/>
        <v>-0.44321057040360756</v>
      </c>
      <c r="J1684" s="21">
        <f t="shared" si="53"/>
        <v>-3.9365288529952522</v>
      </c>
    </row>
    <row r="1685" spans="1:10" hidden="1">
      <c r="A1685" t="s">
        <v>261</v>
      </c>
      <c r="B1685" t="s">
        <v>424</v>
      </c>
      <c r="C1685" s="18">
        <v>2031</v>
      </c>
      <c r="D1685" t="s">
        <v>185</v>
      </c>
      <c r="E1685" s="9">
        <v>274096.54277772899</v>
      </c>
      <c r="F1685" s="9">
        <v>256929.66970375401</v>
      </c>
      <c r="G1685" s="9">
        <v>274719.77758767002</v>
      </c>
      <c r="H1685" s="9">
        <v>257245.00548019301</v>
      </c>
      <c r="I1685" s="21">
        <f t="shared" si="52"/>
        <v>315.3357764389948</v>
      </c>
      <c r="J1685" s="21">
        <f t="shared" si="53"/>
        <v>623.23480994103011</v>
      </c>
    </row>
    <row r="1686" spans="1:10" hidden="1">
      <c r="A1686" t="s">
        <v>261</v>
      </c>
      <c r="B1686" t="s">
        <v>424</v>
      </c>
      <c r="C1686" s="18">
        <v>2031</v>
      </c>
      <c r="D1686" t="s">
        <v>188</v>
      </c>
      <c r="E1686" s="9">
        <v>641948.17875553505</v>
      </c>
      <c r="F1686" s="9">
        <v>373674.922526446</v>
      </c>
      <c r="G1686" s="9">
        <v>646110.86416985898</v>
      </c>
      <c r="H1686" s="9">
        <v>374207.72907897399</v>
      </c>
      <c r="I1686" s="21">
        <f t="shared" si="52"/>
        <v>532.80655252799625</v>
      </c>
      <c r="J1686" s="21">
        <f t="shared" si="53"/>
        <v>4162.6854143239325</v>
      </c>
    </row>
    <row r="1687" spans="1:10" hidden="1">
      <c r="A1687" t="s">
        <v>261</v>
      </c>
      <c r="B1687" t="s">
        <v>424</v>
      </c>
      <c r="C1687" s="18">
        <v>2031</v>
      </c>
      <c r="D1687" t="s">
        <v>191</v>
      </c>
      <c r="E1687" s="9">
        <v>337740.896823655</v>
      </c>
      <c r="F1687" s="9">
        <v>184126.639209288</v>
      </c>
      <c r="G1687" s="9">
        <v>339204.41915059398</v>
      </c>
      <c r="H1687" s="9">
        <v>184315.56237323501</v>
      </c>
      <c r="I1687" s="21">
        <f t="shared" si="52"/>
        <v>188.92316394700902</v>
      </c>
      <c r="J1687" s="21">
        <f t="shared" si="53"/>
        <v>1463.5223269389826</v>
      </c>
    </row>
    <row r="1688" spans="1:10" hidden="1">
      <c r="A1688" t="s">
        <v>261</v>
      </c>
      <c r="B1688" t="s">
        <v>424</v>
      </c>
      <c r="C1688" s="18">
        <v>2031</v>
      </c>
      <c r="D1688" t="s">
        <v>422</v>
      </c>
      <c r="E1688" s="9">
        <v>38191.631399340098</v>
      </c>
      <c r="F1688" s="9">
        <v>4274.7276816347303</v>
      </c>
      <c r="G1688" s="9">
        <v>38191.6231000681</v>
      </c>
      <c r="H1688" s="9">
        <v>4274.7272932738097</v>
      </c>
      <c r="I1688" s="21">
        <f t="shared" si="52"/>
        <v>-3.8836092062410899E-4</v>
      </c>
      <c r="J1688" s="21">
        <f t="shared" si="53"/>
        <v>-8.2992719981120899E-3</v>
      </c>
    </row>
    <row r="1689" spans="1:10" hidden="1">
      <c r="A1689" t="s">
        <v>261</v>
      </c>
      <c r="B1689" t="s">
        <v>424</v>
      </c>
      <c r="C1689" s="18">
        <v>2032</v>
      </c>
      <c r="D1689" t="s">
        <v>174</v>
      </c>
      <c r="E1689" s="9">
        <v>15248.8104216872</v>
      </c>
      <c r="F1689" s="9">
        <v>11132.322544412</v>
      </c>
      <c r="G1689" s="9">
        <v>15247.769190462001</v>
      </c>
      <c r="H1689" s="9">
        <v>11132.1787355836</v>
      </c>
      <c r="I1689" s="21">
        <f t="shared" si="52"/>
        <v>-0.14380882839941478</v>
      </c>
      <c r="J1689" s="21">
        <f t="shared" si="53"/>
        <v>-1.0412312251992262</v>
      </c>
    </row>
    <row r="1690" spans="1:10" hidden="1">
      <c r="A1690" t="s">
        <v>261</v>
      </c>
      <c r="B1690" t="s">
        <v>424</v>
      </c>
      <c r="C1690" s="18">
        <v>2032</v>
      </c>
      <c r="D1690" t="s">
        <v>236</v>
      </c>
      <c r="E1690" s="9">
        <v>1121359.7375406299</v>
      </c>
      <c r="F1690" s="9">
        <v>185590.60828345199</v>
      </c>
      <c r="G1690" s="9">
        <v>1126783.31749171</v>
      </c>
      <c r="H1690" s="9">
        <v>185691.45221249</v>
      </c>
      <c r="I1690" s="21">
        <f t="shared" si="52"/>
        <v>100.84392903800472</v>
      </c>
      <c r="J1690" s="21">
        <f t="shared" si="53"/>
        <v>5423.579951080028</v>
      </c>
    </row>
    <row r="1691" spans="1:10" hidden="1">
      <c r="A1691" t="s">
        <v>261</v>
      </c>
      <c r="B1691" t="s">
        <v>424</v>
      </c>
      <c r="C1691" s="18">
        <v>2032</v>
      </c>
      <c r="D1691" t="s">
        <v>182</v>
      </c>
      <c r="E1691" s="9">
        <v>116899.857138141</v>
      </c>
      <c r="F1691" s="9">
        <v>77199.408281309705</v>
      </c>
      <c r="G1691" s="9">
        <v>116892.91249656001</v>
      </c>
      <c r="H1691" s="9">
        <v>77198.389307422098</v>
      </c>
      <c r="I1691" s="21">
        <f t="shared" si="52"/>
        <v>-1.0189738876069896</v>
      </c>
      <c r="J1691" s="21">
        <f t="shared" si="53"/>
        <v>-6.9446415809943574</v>
      </c>
    </row>
    <row r="1692" spans="1:10" hidden="1">
      <c r="A1692" t="s">
        <v>261</v>
      </c>
      <c r="B1692" t="s">
        <v>424</v>
      </c>
      <c r="C1692" s="18">
        <v>2032</v>
      </c>
      <c r="D1692" t="s">
        <v>185</v>
      </c>
      <c r="E1692" s="9">
        <v>273690.90163724101</v>
      </c>
      <c r="F1692" s="9">
        <v>256344.943518054</v>
      </c>
      <c r="G1692" s="9">
        <v>274412.39342979901</v>
      </c>
      <c r="H1692" s="9">
        <v>256745.67636584101</v>
      </c>
      <c r="I1692" s="21">
        <f t="shared" si="52"/>
        <v>400.73284778700327</v>
      </c>
      <c r="J1692" s="21">
        <f t="shared" si="53"/>
        <v>721.4917925579939</v>
      </c>
    </row>
    <row r="1693" spans="1:10" hidden="1">
      <c r="A1693" t="s">
        <v>261</v>
      </c>
      <c r="B1693" t="s">
        <v>424</v>
      </c>
      <c r="C1693" s="18">
        <v>2032</v>
      </c>
      <c r="D1693" t="s">
        <v>188</v>
      </c>
      <c r="E1693" s="9">
        <v>649631.65823576797</v>
      </c>
      <c r="F1693" s="9">
        <v>379371.37238419498</v>
      </c>
      <c r="G1693" s="9">
        <v>654519.81142038899</v>
      </c>
      <c r="H1693" s="9">
        <v>380127.64784866601</v>
      </c>
      <c r="I1693" s="21">
        <f t="shared" si="52"/>
        <v>756.27546447102213</v>
      </c>
      <c r="J1693" s="21">
        <f t="shared" si="53"/>
        <v>4888.1531846210128</v>
      </c>
    </row>
    <row r="1694" spans="1:10" hidden="1">
      <c r="A1694" t="s">
        <v>261</v>
      </c>
      <c r="B1694" t="s">
        <v>424</v>
      </c>
      <c r="C1694" s="18">
        <v>2032</v>
      </c>
      <c r="D1694" t="s">
        <v>191</v>
      </c>
      <c r="E1694" s="9">
        <v>339874.01666992903</v>
      </c>
      <c r="F1694" s="9">
        <v>183473.74653278099</v>
      </c>
      <c r="G1694" s="9">
        <v>341581.65326776</v>
      </c>
      <c r="H1694" s="9">
        <v>183730.084212538</v>
      </c>
      <c r="I1694" s="21">
        <f t="shared" si="52"/>
        <v>256.33767975700903</v>
      </c>
      <c r="J1694" s="21">
        <f t="shared" si="53"/>
        <v>1707.6365978309768</v>
      </c>
    </row>
    <row r="1695" spans="1:10" hidden="1">
      <c r="A1695" t="s">
        <v>261</v>
      </c>
      <c r="B1695" t="s">
        <v>424</v>
      </c>
      <c r="C1695" s="18">
        <v>2032</v>
      </c>
      <c r="D1695" t="s">
        <v>422</v>
      </c>
      <c r="E1695" s="9">
        <v>38037.565116478698</v>
      </c>
      <c r="F1695" s="9">
        <v>4125.7232515815303</v>
      </c>
      <c r="G1695" s="9">
        <v>38037.551792099897</v>
      </c>
      <c r="H1695" s="9">
        <v>4125.7224791710396</v>
      </c>
      <c r="I1695" s="21">
        <f t="shared" si="52"/>
        <v>-7.7241049075382762E-4</v>
      </c>
      <c r="J1695" s="21">
        <f t="shared" si="53"/>
        <v>-1.3324378800462E-2</v>
      </c>
    </row>
    <row r="1696" spans="1:10" hidden="1">
      <c r="A1696" t="s">
        <v>261</v>
      </c>
      <c r="B1696" t="s">
        <v>424</v>
      </c>
      <c r="C1696" s="18">
        <v>2033</v>
      </c>
      <c r="D1696" t="s">
        <v>174</v>
      </c>
      <c r="E1696" s="9">
        <v>15761.1568432072</v>
      </c>
      <c r="F1696" s="9">
        <v>11452.4889528355</v>
      </c>
      <c r="G1696" s="9">
        <v>15759.5151167894</v>
      </c>
      <c r="H1696" s="9">
        <v>11452.2049974033</v>
      </c>
      <c r="I1696" s="21">
        <f t="shared" si="52"/>
        <v>-0.28395543219994579</v>
      </c>
      <c r="J1696" s="21">
        <f t="shared" si="53"/>
        <v>-1.6417264177998732</v>
      </c>
    </row>
    <row r="1697" spans="1:10" hidden="1">
      <c r="A1697" t="s">
        <v>261</v>
      </c>
      <c r="B1697" t="s">
        <v>424</v>
      </c>
      <c r="C1697" s="18">
        <v>2033</v>
      </c>
      <c r="D1697" t="s">
        <v>236</v>
      </c>
      <c r="E1697" s="9">
        <v>1133087.19634615</v>
      </c>
      <c r="F1697" s="9">
        <v>193865.19586074699</v>
      </c>
      <c r="G1697" s="9">
        <v>1139272.75378683</v>
      </c>
      <c r="H1697" s="9">
        <v>194005.60056651599</v>
      </c>
      <c r="I1697" s="21">
        <f t="shared" si="52"/>
        <v>140.40470576900407</v>
      </c>
      <c r="J1697" s="21">
        <f t="shared" si="53"/>
        <v>6185.557440679986</v>
      </c>
    </row>
    <row r="1698" spans="1:10" hidden="1">
      <c r="A1698" t="s">
        <v>261</v>
      </c>
      <c r="B1698" t="s">
        <v>424</v>
      </c>
      <c r="C1698" s="18">
        <v>2033</v>
      </c>
      <c r="D1698" t="s">
        <v>182</v>
      </c>
      <c r="E1698" s="9">
        <v>118292.43083493201</v>
      </c>
      <c r="F1698" s="9">
        <v>77919.065435991797</v>
      </c>
      <c r="G1698" s="9">
        <v>118281.82855902299</v>
      </c>
      <c r="H1698" s="9">
        <v>77917.162090690195</v>
      </c>
      <c r="I1698" s="21">
        <f t="shared" si="52"/>
        <v>-1.9033453016018029</v>
      </c>
      <c r="J1698" s="21">
        <f t="shared" si="53"/>
        <v>-10.602275909011951</v>
      </c>
    </row>
    <row r="1699" spans="1:10" hidden="1">
      <c r="A1699" t="s">
        <v>261</v>
      </c>
      <c r="B1699" t="s">
        <v>424</v>
      </c>
      <c r="C1699" s="18">
        <v>2033</v>
      </c>
      <c r="D1699" t="s">
        <v>185</v>
      </c>
      <c r="E1699" s="9">
        <v>273081.987169448</v>
      </c>
      <c r="F1699" s="9">
        <v>256170.939725651</v>
      </c>
      <c r="G1699" s="9">
        <v>273893.528221021</v>
      </c>
      <c r="H1699" s="9">
        <v>256655.55902621101</v>
      </c>
      <c r="I1699" s="21">
        <f t="shared" si="52"/>
        <v>484.6193005600071</v>
      </c>
      <c r="J1699" s="21">
        <f t="shared" si="53"/>
        <v>811.54105157300364</v>
      </c>
    </row>
    <row r="1700" spans="1:10" hidden="1">
      <c r="A1700" t="s">
        <v>261</v>
      </c>
      <c r="B1700" t="s">
        <v>424</v>
      </c>
      <c r="C1700" s="18">
        <v>2033</v>
      </c>
      <c r="D1700" t="s">
        <v>188</v>
      </c>
      <c r="E1700" s="9">
        <v>658415.67744350794</v>
      </c>
      <c r="F1700" s="9">
        <v>385581.57400264498</v>
      </c>
      <c r="G1700" s="9">
        <v>664009.13874492398</v>
      </c>
      <c r="H1700" s="9">
        <v>386583.230936034</v>
      </c>
      <c r="I1700" s="21">
        <f t="shared" si="52"/>
        <v>1001.656933389022</v>
      </c>
      <c r="J1700" s="21">
        <f t="shared" si="53"/>
        <v>5593.4613014160423</v>
      </c>
    </row>
    <row r="1701" spans="1:10" hidden="1">
      <c r="A1701" t="s">
        <v>261</v>
      </c>
      <c r="B1701" t="s">
        <v>424</v>
      </c>
      <c r="C1701" s="18">
        <v>2033</v>
      </c>
      <c r="D1701" t="s">
        <v>191</v>
      </c>
      <c r="E1701" s="9">
        <v>343050.80352340499</v>
      </c>
      <c r="F1701" s="9">
        <v>183255.49642488101</v>
      </c>
      <c r="G1701" s="9">
        <v>344995.26462988101</v>
      </c>
      <c r="H1701" s="9">
        <v>183583.04220271501</v>
      </c>
      <c r="I1701" s="21">
        <f t="shared" si="52"/>
        <v>327.54577783399145</v>
      </c>
      <c r="J1701" s="21">
        <f t="shared" si="53"/>
        <v>1944.4611064760247</v>
      </c>
    </row>
    <row r="1702" spans="1:10" hidden="1">
      <c r="A1702" t="s">
        <v>261</v>
      </c>
      <c r="B1702" t="s">
        <v>424</v>
      </c>
      <c r="C1702" s="18">
        <v>2033</v>
      </c>
      <c r="D1702" t="s">
        <v>422</v>
      </c>
      <c r="E1702" s="9">
        <v>37788.413310363801</v>
      </c>
      <c r="F1702" s="9">
        <v>3977.71560586131</v>
      </c>
      <c r="G1702" s="9">
        <v>37788.395913351</v>
      </c>
      <c r="H1702" s="9">
        <v>3977.7143757352601</v>
      </c>
      <c r="I1702" s="21">
        <f t="shared" si="52"/>
        <v>-1.2301260499043565E-3</v>
      </c>
      <c r="J1702" s="21">
        <f t="shared" si="53"/>
        <v>-1.7397012801666278E-2</v>
      </c>
    </row>
    <row r="1703" spans="1:10" hidden="1">
      <c r="A1703" t="s">
        <v>261</v>
      </c>
      <c r="B1703" t="s">
        <v>424</v>
      </c>
      <c r="C1703" s="18">
        <v>2034</v>
      </c>
      <c r="D1703" t="s">
        <v>174</v>
      </c>
      <c r="E1703" s="9">
        <v>16288.160683874999</v>
      </c>
      <c r="F1703" s="9">
        <v>11779.9026255222</v>
      </c>
      <c r="G1703" s="9">
        <v>16285.764037622699</v>
      </c>
      <c r="H1703" s="9">
        <v>11779.4141755774</v>
      </c>
      <c r="I1703" s="21">
        <f t="shared" si="52"/>
        <v>-0.48844994479986781</v>
      </c>
      <c r="J1703" s="21">
        <f t="shared" si="53"/>
        <v>-2.3966462523003429</v>
      </c>
    </row>
    <row r="1704" spans="1:10" hidden="1">
      <c r="A1704" t="s">
        <v>261</v>
      </c>
      <c r="B1704" t="s">
        <v>424</v>
      </c>
      <c r="C1704" s="18">
        <v>2034</v>
      </c>
      <c r="D1704" t="s">
        <v>236</v>
      </c>
      <c r="E1704" s="9">
        <v>1144324.5050214899</v>
      </c>
      <c r="F1704" s="9">
        <v>202134.60629978299</v>
      </c>
      <c r="G1704" s="9">
        <v>1151232.62464015</v>
      </c>
      <c r="H1704" s="9">
        <v>202320.63612115101</v>
      </c>
      <c r="I1704" s="21">
        <f t="shared" si="52"/>
        <v>186.02982136802166</v>
      </c>
      <c r="J1704" s="21">
        <f t="shared" si="53"/>
        <v>6908.1196186600719</v>
      </c>
    </row>
    <row r="1705" spans="1:10" hidden="1">
      <c r="A1705" t="s">
        <v>261</v>
      </c>
      <c r="B1705" t="s">
        <v>424</v>
      </c>
      <c r="C1705" s="18">
        <v>2034</v>
      </c>
      <c r="D1705" t="s">
        <v>182</v>
      </c>
      <c r="E1705" s="9">
        <v>119188.599028312</v>
      </c>
      <c r="F1705" s="9">
        <v>78784.829014269097</v>
      </c>
      <c r="G1705" s="9">
        <v>119173.805374547</v>
      </c>
      <c r="H1705" s="9">
        <v>78781.723235872807</v>
      </c>
      <c r="I1705" s="21">
        <f t="shared" si="52"/>
        <v>-3.1057783962896792</v>
      </c>
      <c r="J1705" s="21">
        <f t="shared" si="53"/>
        <v>-14.793653765009367</v>
      </c>
    </row>
    <row r="1706" spans="1:10" hidden="1">
      <c r="A1706" t="s">
        <v>261</v>
      </c>
      <c r="B1706" t="s">
        <v>424</v>
      </c>
      <c r="C1706" s="18">
        <v>2034</v>
      </c>
      <c r="D1706" t="s">
        <v>185</v>
      </c>
      <c r="E1706" s="9">
        <v>272774.51114839403</v>
      </c>
      <c r="F1706" s="9">
        <v>256187.921800918</v>
      </c>
      <c r="G1706" s="9">
        <v>273669.65020286699</v>
      </c>
      <c r="H1706" s="9">
        <v>256753.127116244</v>
      </c>
      <c r="I1706" s="21">
        <f t="shared" si="52"/>
        <v>565.20531532599125</v>
      </c>
      <c r="J1706" s="21">
        <f t="shared" si="53"/>
        <v>895.13905447296565</v>
      </c>
    </row>
    <row r="1707" spans="1:10" hidden="1">
      <c r="A1707" t="s">
        <v>261</v>
      </c>
      <c r="B1707" t="s">
        <v>424</v>
      </c>
      <c r="C1707" s="18">
        <v>2034</v>
      </c>
      <c r="D1707" t="s">
        <v>188</v>
      </c>
      <c r="E1707" s="9">
        <v>663329.95981266</v>
      </c>
      <c r="F1707" s="9">
        <v>392539.69973685499</v>
      </c>
      <c r="G1707" s="9">
        <v>669565.09186596901</v>
      </c>
      <c r="H1707" s="9">
        <v>393806.92012191401</v>
      </c>
      <c r="I1707" s="21">
        <f t="shared" si="52"/>
        <v>1267.2203850590158</v>
      </c>
      <c r="J1707" s="21">
        <f t="shared" si="53"/>
        <v>6235.1320533090038</v>
      </c>
    </row>
    <row r="1708" spans="1:10" hidden="1">
      <c r="A1708" t="s">
        <v>261</v>
      </c>
      <c r="B1708" t="s">
        <v>424</v>
      </c>
      <c r="C1708" s="18">
        <v>2034</v>
      </c>
      <c r="D1708" t="s">
        <v>191</v>
      </c>
      <c r="E1708" s="9">
        <v>343772.28639985702</v>
      </c>
      <c r="F1708" s="9">
        <v>184399.11862660301</v>
      </c>
      <c r="G1708" s="9">
        <v>345926.396497523</v>
      </c>
      <c r="H1708" s="9">
        <v>184800.88501932399</v>
      </c>
      <c r="I1708" s="21">
        <f t="shared" si="52"/>
        <v>401.76639272097964</v>
      </c>
      <c r="J1708" s="21">
        <f t="shared" si="53"/>
        <v>2154.11009766598</v>
      </c>
    </row>
    <row r="1709" spans="1:10" hidden="1">
      <c r="A1709" t="s">
        <v>261</v>
      </c>
      <c r="B1709" t="s">
        <v>424</v>
      </c>
      <c r="C1709" s="18">
        <v>2034</v>
      </c>
      <c r="D1709" t="s">
        <v>422</v>
      </c>
      <c r="E1709" s="9">
        <v>37391.141040802897</v>
      </c>
      <c r="F1709" s="9">
        <v>3849.4381044565498</v>
      </c>
      <c r="G1709" s="9">
        <v>37391.118979539897</v>
      </c>
      <c r="H1709" s="9">
        <v>3849.43642407178</v>
      </c>
      <c r="I1709" s="21">
        <f t="shared" si="52"/>
        <v>-1.6803847697701713E-3</v>
      </c>
      <c r="J1709" s="21">
        <f t="shared" si="53"/>
        <v>-2.206126300006872E-2</v>
      </c>
    </row>
    <row r="1710" spans="1:10" hidden="1">
      <c r="A1710" t="s">
        <v>261</v>
      </c>
      <c r="B1710" t="s">
        <v>424</v>
      </c>
      <c r="C1710" s="18">
        <v>2035</v>
      </c>
      <c r="D1710" t="s">
        <v>174</v>
      </c>
      <c r="E1710" s="9">
        <v>16833.956102504701</v>
      </c>
      <c r="F1710" s="9">
        <v>12113.580400496599</v>
      </c>
      <c r="G1710" s="9">
        <v>16830.6420972909</v>
      </c>
      <c r="H1710" s="9">
        <v>12112.814364394</v>
      </c>
      <c r="I1710" s="21">
        <f t="shared" si="52"/>
        <v>-0.76603610259917332</v>
      </c>
      <c r="J1710" s="21">
        <f t="shared" si="53"/>
        <v>-3.3140052138005558</v>
      </c>
    </row>
    <row r="1711" spans="1:10" hidden="1">
      <c r="A1711" t="s">
        <v>261</v>
      </c>
      <c r="B1711" t="s">
        <v>424</v>
      </c>
      <c r="C1711" s="18">
        <v>2035</v>
      </c>
      <c r="D1711" t="s">
        <v>236</v>
      </c>
      <c r="E1711" s="9">
        <v>1155185.35077462</v>
      </c>
      <c r="F1711" s="9">
        <v>210389.89974313701</v>
      </c>
      <c r="G1711" s="9">
        <v>1162777.28327874</v>
      </c>
      <c r="H1711" s="9">
        <v>210627.422792314</v>
      </c>
      <c r="I1711" s="21">
        <f t="shared" si="52"/>
        <v>237.52304917699075</v>
      </c>
      <c r="J1711" s="21">
        <f t="shared" si="53"/>
        <v>7591.93250412005</v>
      </c>
    </row>
    <row r="1712" spans="1:10" hidden="1">
      <c r="A1712" t="s">
        <v>261</v>
      </c>
      <c r="B1712" t="s">
        <v>424</v>
      </c>
      <c r="C1712" s="18">
        <v>2035</v>
      </c>
      <c r="D1712" t="s">
        <v>182</v>
      </c>
      <c r="E1712" s="9">
        <v>120818.73545978501</v>
      </c>
      <c r="F1712" s="9">
        <v>79461.258499882606</v>
      </c>
      <c r="G1712" s="9">
        <v>120799.065903184</v>
      </c>
      <c r="H1712" s="9">
        <v>79456.632421187605</v>
      </c>
      <c r="I1712" s="21">
        <f t="shared" si="52"/>
        <v>-4.626078695000615</v>
      </c>
      <c r="J1712" s="21">
        <f t="shared" si="53"/>
        <v>-19.669556601002114</v>
      </c>
    </row>
    <row r="1713" spans="1:10" hidden="1">
      <c r="A1713" t="s">
        <v>261</v>
      </c>
      <c r="B1713" t="s">
        <v>424</v>
      </c>
      <c r="C1713" s="18">
        <v>2035</v>
      </c>
      <c r="D1713" t="s">
        <v>185</v>
      </c>
      <c r="E1713" s="9">
        <v>272373.71306619397</v>
      </c>
      <c r="F1713" s="9">
        <v>256164.879964491</v>
      </c>
      <c r="G1713" s="9">
        <v>273345.36006293801</v>
      </c>
      <c r="H1713" s="9">
        <v>256807.53223008101</v>
      </c>
      <c r="I1713" s="21">
        <f t="shared" si="52"/>
        <v>642.65226559000439</v>
      </c>
      <c r="J1713" s="21">
        <f t="shared" si="53"/>
        <v>971.64699674403528</v>
      </c>
    </row>
    <row r="1714" spans="1:10" hidden="1">
      <c r="A1714" t="s">
        <v>261</v>
      </c>
      <c r="B1714" t="s">
        <v>424</v>
      </c>
      <c r="C1714" s="18">
        <v>2035</v>
      </c>
      <c r="D1714" t="s">
        <v>188</v>
      </c>
      <c r="E1714" s="9">
        <v>671757.88411576801</v>
      </c>
      <c r="F1714" s="9">
        <v>397944.00043194799</v>
      </c>
      <c r="G1714" s="9">
        <v>678638.43452144298</v>
      </c>
      <c r="H1714" s="9">
        <v>399492.95053299802</v>
      </c>
      <c r="I1714" s="21">
        <f t="shared" si="52"/>
        <v>1548.9501010500244</v>
      </c>
      <c r="J1714" s="21">
        <f t="shared" si="53"/>
        <v>6880.5504056749633</v>
      </c>
    </row>
    <row r="1715" spans="1:10" hidden="1">
      <c r="A1715" t="s">
        <v>261</v>
      </c>
      <c r="B1715" t="s">
        <v>424</v>
      </c>
      <c r="C1715" s="18">
        <v>2035</v>
      </c>
      <c r="D1715" t="s">
        <v>191</v>
      </c>
      <c r="E1715" s="9">
        <v>346779.90994545398</v>
      </c>
      <c r="F1715" s="9">
        <v>184887.40423991499</v>
      </c>
      <c r="G1715" s="9">
        <v>349146.06245576398</v>
      </c>
      <c r="H1715" s="9">
        <v>185365.76110357899</v>
      </c>
      <c r="I1715" s="21">
        <f t="shared" si="52"/>
        <v>478.3568636639975</v>
      </c>
      <c r="J1715" s="21">
        <f t="shared" si="53"/>
        <v>2366.1525103099993</v>
      </c>
    </row>
    <row r="1716" spans="1:10" hidden="1">
      <c r="A1716" t="s">
        <v>261</v>
      </c>
      <c r="B1716" t="s">
        <v>424</v>
      </c>
      <c r="C1716" s="18">
        <v>2035</v>
      </c>
      <c r="D1716" t="s">
        <v>422</v>
      </c>
      <c r="E1716" s="9">
        <v>37274.424623224397</v>
      </c>
      <c r="F1716" s="9">
        <v>3710.4338944818401</v>
      </c>
      <c r="G1716" s="9">
        <v>37274.397901844597</v>
      </c>
      <c r="H1716" s="9">
        <v>3710.43177455469</v>
      </c>
      <c r="I1716" s="21">
        <f t="shared" si="52"/>
        <v>-2.1199271500336181E-3</v>
      </c>
      <c r="J1716" s="21">
        <f t="shared" si="53"/>
        <v>-2.6721379799710121E-2</v>
      </c>
    </row>
    <row r="1717" spans="1:10" hidden="1">
      <c r="A1717" t="s">
        <v>261</v>
      </c>
      <c r="B1717" t="s">
        <v>424</v>
      </c>
      <c r="C1717" s="18">
        <v>2036</v>
      </c>
      <c r="D1717" t="s">
        <v>174</v>
      </c>
      <c r="E1717" s="9">
        <v>17397.0148016196</v>
      </c>
      <c r="F1717" s="9">
        <v>12453.9885620317</v>
      </c>
      <c r="G1717" s="9">
        <v>17392.609904070101</v>
      </c>
      <c r="H1717" s="9">
        <v>12452.864013751599</v>
      </c>
      <c r="I1717" s="21">
        <f t="shared" si="52"/>
        <v>-1.1245482801004982</v>
      </c>
      <c r="J1717" s="21">
        <f t="shared" si="53"/>
        <v>-4.4048975494988554</v>
      </c>
    </row>
    <row r="1718" spans="1:10" hidden="1">
      <c r="A1718" t="s">
        <v>261</v>
      </c>
      <c r="B1718" t="s">
        <v>424</v>
      </c>
      <c r="C1718" s="18">
        <v>2036</v>
      </c>
      <c r="D1718" t="s">
        <v>236</v>
      </c>
      <c r="E1718" s="9">
        <v>1165846.5093442199</v>
      </c>
      <c r="F1718" s="9">
        <v>218612.012666959</v>
      </c>
      <c r="G1718" s="9">
        <v>1174085.51289072</v>
      </c>
      <c r="H1718" s="9">
        <v>218906.62344450099</v>
      </c>
      <c r="I1718" s="21">
        <f t="shared" si="52"/>
        <v>294.61077754199505</v>
      </c>
      <c r="J1718" s="21">
        <f t="shared" si="53"/>
        <v>8239.0035465001129</v>
      </c>
    </row>
    <row r="1719" spans="1:10" hidden="1">
      <c r="A1719" t="s">
        <v>261</v>
      </c>
      <c r="B1719" t="s">
        <v>424</v>
      </c>
      <c r="C1719" s="18">
        <v>2036</v>
      </c>
      <c r="D1719" t="s">
        <v>182</v>
      </c>
      <c r="E1719" s="9">
        <v>122643.520254174</v>
      </c>
      <c r="F1719" s="9">
        <v>80309.328066523696</v>
      </c>
      <c r="G1719" s="9">
        <v>122618.320312187</v>
      </c>
      <c r="H1719" s="9">
        <v>80302.842995522602</v>
      </c>
      <c r="I1719" s="21">
        <f t="shared" si="52"/>
        <v>-6.4850710010941839</v>
      </c>
      <c r="J1719" s="21">
        <f t="shared" si="53"/>
        <v>-25.199941986997146</v>
      </c>
    </row>
    <row r="1720" spans="1:10" hidden="1">
      <c r="A1720" t="s">
        <v>261</v>
      </c>
      <c r="B1720" t="s">
        <v>424</v>
      </c>
      <c r="C1720" s="18">
        <v>2036</v>
      </c>
      <c r="D1720" t="s">
        <v>185</v>
      </c>
      <c r="E1720" s="9">
        <v>272254.91679719999</v>
      </c>
      <c r="F1720" s="9">
        <v>256216.97535736801</v>
      </c>
      <c r="G1720" s="9">
        <v>273297.56982222799</v>
      </c>
      <c r="H1720" s="9">
        <v>256933.39822934201</v>
      </c>
      <c r="I1720" s="21">
        <f t="shared" si="52"/>
        <v>716.42287197400583</v>
      </c>
      <c r="J1720" s="21">
        <f t="shared" si="53"/>
        <v>1042.6530250280048</v>
      </c>
    </row>
    <row r="1721" spans="1:10" hidden="1">
      <c r="A1721" t="s">
        <v>261</v>
      </c>
      <c r="B1721" t="s">
        <v>424</v>
      </c>
      <c r="C1721" s="18">
        <v>2036</v>
      </c>
      <c r="D1721" t="s">
        <v>188</v>
      </c>
      <c r="E1721" s="9">
        <v>680688.54740667704</v>
      </c>
      <c r="F1721" s="9">
        <v>404145.39677331899</v>
      </c>
      <c r="G1721" s="9">
        <v>688194.68447559199</v>
      </c>
      <c r="H1721" s="9">
        <v>405992.65349387802</v>
      </c>
      <c r="I1721" s="21">
        <f t="shared" si="52"/>
        <v>1847.2567205590312</v>
      </c>
      <c r="J1721" s="21">
        <f t="shared" si="53"/>
        <v>7506.137068914948</v>
      </c>
    </row>
    <row r="1722" spans="1:10" hidden="1">
      <c r="A1722" t="s">
        <v>261</v>
      </c>
      <c r="B1722" t="s">
        <v>424</v>
      </c>
      <c r="C1722" s="18">
        <v>2036</v>
      </c>
      <c r="D1722" t="s">
        <v>191</v>
      </c>
      <c r="E1722" s="9">
        <v>350033.433954924</v>
      </c>
      <c r="F1722" s="9">
        <v>185860.18544596201</v>
      </c>
      <c r="G1722" s="9">
        <v>352603.07171420398</v>
      </c>
      <c r="H1722" s="9">
        <v>186417.92722248001</v>
      </c>
      <c r="I1722" s="21">
        <f t="shared" si="52"/>
        <v>557.74177651799982</v>
      </c>
      <c r="J1722" s="21">
        <f t="shared" si="53"/>
        <v>2569.6377592799836</v>
      </c>
    </row>
    <row r="1723" spans="1:10" hidden="1">
      <c r="A1723" t="s">
        <v>261</v>
      </c>
      <c r="B1723" t="s">
        <v>424</v>
      </c>
      <c r="C1723" s="18">
        <v>2036</v>
      </c>
      <c r="D1723" t="s">
        <v>422</v>
      </c>
      <c r="E1723" s="9">
        <v>37283.058166652998</v>
      </c>
      <c r="F1723" s="9">
        <v>3578.6625937807999</v>
      </c>
      <c r="G1723" s="9">
        <v>37283.027629395598</v>
      </c>
      <c r="H1723" s="9">
        <v>3578.66006488627</v>
      </c>
      <c r="I1723" s="21">
        <f t="shared" si="52"/>
        <v>-2.5288945298598264E-3</v>
      </c>
      <c r="J1723" s="21">
        <f t="shared" si="53"/>
        <v>-3.0537257400283124E-2</v>
      </c>
    </row>
    <row r="1724" spans="1:10" hidden="1">
      <c r="A1724" t="s">
        <v>261</v>
      </c>
      <c r="B1724" t="s">
        <v>424</v>
      </c>
      <c r="C1724" s="18">
        <v>2037</v>
      </c>
      <c r="D1724" t="s">
        <v>174</v>
      </c>
      <c r="E1724" s="9">
        <v>17977.164166051702</v>
      </c>
      <c r="F1724" s="9">
        <v>12801.050669276699</v>
      </c>
      <c r="G1724" s="9">
        <v>17971.482864064201</v>
      </c>
      <c r="H1724" s="9">
        <v>12799.479454561601</v>
      </c>
      <c r="I1724" s="21">
        <f t="shared" si="52"/>
        <v>-1.571214715098904</v>
      </c>
      <c r="J1724" s="21">
        <f t="shared" si="53"/>
        <v>-5.681301987500774</v>
      </c>
    </row>
    <row r="1725" spans="1:10" hidden="1">
      <c r="A1725" t="s">
        <v>261</v>
      </c>
      <c r="B1725" t="s">
        <v>424</v>
      </c>
      <c r="C1725" s="18">
        <v>2037</v>
      </c>
      <c r="D1725" t="s">
        <v>236</v>
      </c>
      <c r="E1725" s="9">
        <v>1176413.5383045501</v>
      </c>
      <c r="F1725" s="9">
        <v>226788.80344482299</v>
      </c>
      <c r="G1725" s="9">
        <v>1185264.7438497699</v>
      </c>
      <c r="H1725" s="9">
        <v>227145.85064844001</v>
      </c>
      <c r="I1725" s="21">
        <f t="shared" si="52"/>
        <v>357.04720361702493</v>
      </c>
      <c r="J1725" s="21">
        <f t="shared" si="53"/>
        <v>8851.2055452198256</v>
      </c>
    </row>
    <row r="1726" spans="1:10" hidden="1">
      <c r="A1726" t="s">
        <v>261</v>
      </c>
      <c r="B1726" t="s">
        <v>424</v>
      </c>
      <c r="C1726" s="18">
        <v>2037</v>
      </c>
      <c r="D1726" t="s">
        <v>182</v>
      </c>
      <c r="E1726" s="9">
        <v>124521.398409437</v>
      </c>
      <c r="F1726" s="9">
        <v>81253.391611333704</v>
      </c>
      <c r="G1726" s="9">
        <v>124489.42976024401</v>
      </c>
      <c r="H1726" s="9">
        <v>81244.691389584303</v>
      </c>
      <c r="I1726" s="21">
        <f t="shared" si="52"/>
        <v>-8.7002217494009528</v>
      </c>
      <c r="J1726" s="21">
        <f t="shared" si="53"/>
        <v>-31.968649192989687</v>
      </c>
    </row>
    <row r="1727" spans="1:10" hidden="1">
      <c r="A1727" t="s">
        <v>261</v>
      </c>
      <c r="B1727" t="s">
        <v>424</v>
      </c>
      <c r="C1727" s="18">
        <v>2037</v>
      </c>
      <c r="D1727" t="s">
        <v>185</v>
      </c>
      <c r="E1727" s="9">
        <v>272094.90512451401</v>
      </c>
      <c r="F1727" s="9">
        <v>256284.60175386601</v>
      </c>
      <c r="G1727" s="9">
        <v>273202.80227406899</v>
      </c>
      <c r="H1727" s="9">
        <v>257070.97314913399</v>
      </c>
      <c r="I1727" s="21">
        <f t="shared" si="52"/>
        <v>786.37139526798273</v>
      </c>
      <c r="J1727" s="21">
        <f t="shared" si="53"/>
        <v>1107.8971495549777</v>
      </c>
    </row>
    <row r="1728" spans="1:10" hidden="1">
      <c r="A1728" t="s">
        <v>261</v>
      </c>
      <c r="B1728" t="s">
        <v>424</v>
      </c>
      <c r="C1728" s="18">
        <v>2037</v>
      </c>
      <c r="D1728" t="s">
        <v>188</v>
      </c>
      <c r="E1728" s="9">
        <v>689950.06598285702</v>
      </c>
      <c r="F1728" s="9">
        <v>410858.70655190898</v>
      </c>
      <c r="G1728" s="9">
        <v>698060.50212694705</v>
      </c>
      <c r="H1728" s="9">
        <v>413018.343093551</v>
      </c>
      <c r="I1728" s="21">
        <f t="shared" si="52"/>
        <v>2159.6365416420158</v>
      </c>
      <c r="J1728" s="21">
        <f t="shared" si="53"/>
        <v>8110.4361440900248</v>
      </c>
    </row>
    <row r="1729" spans="1:10" hidden="1">
      <c r="A1729" t="s">
        <v>261</v>
      </c>
      <c r="B1729" t="s">
        <v>424</v>
      </c>
      <c r="C1729" s="18">
        <v>2037</v>
      </c>
      <c r="D1729" t="s">
        <v>191</v>
      </c>
      <c r="E1729" s="9">
        <v>353661.20878237498</v>
      </c>
      <c r="F1729" s="9">
        <v>187147.880693599</v>
      </c>
      <c r="G1729" s="9">
        <v>356425.67891865398</v>
      </c>
      <c r="H1729" s="9">
        <v>187788.31252848901</v>
      </c>
      <c r="I1729" s="21">
        <f t="shared" si="52"/>
        <v>640.4318348900124</v>
      </c>
      <c r="J1729" s="21">
        <f t="shared" si="53"/>
        <v>2764.4701362790074</v>
      </c>
    </row>
    <row r="1730" spans="1:10" hidden="1">
      <c r="A1730" t="s">
        <v>261</v>
      </c>
      <c r="B1730" t="s">
        <v>424</v>
      </c>
      <c r="C1730" s="18">
        <v>2037</v>
      </c>
      <c r="D1730" t="s">
        <v>422</v>
      </c>
      <c r="E1730" s="9">
        <v>36837.308927315898</v>
      </c>
      <c r="F1730" s="9">
        <v>3450.1975215136199</v>
      </c>
      <c r="G1730" s="9">
        <v>36837.277480763201</v>
      </c>
      <c r="H1730" s="9">
        <v>3450.1946557369902</v>
      </c>
      <c r="I1730" s="21">
        <f t="shared" ref="I1730:I1793" si="54">H1730-F1730</f>
        <v>-2.8657766297328635E-3</v>
      </c>
      <c r="J1730" s="21">
        <f t="shared" ref="J1730:J1793" si="55">G1730-E1730</f>
        <v>-3.1446552697161678E-2</v>
      </c>
    </row>
    <row r="1731" spans="1:10" hidden="1">
      <c r="A1731" t="s">
        <v>261</v>
      </c>
      <c r="B1731" t="s">
        <v>424</v>
      </c>
      <c r="C1731" s="18">
        <v>2038</v>
      </c>
      <c r="D1731" t="s">
        <v>174</v>
      </c>
      <c r="E1731" s="9">
        <v>18571.886296380901</v>
      </c>
      <c r="F1731" s="9">
        <v>13157.716598933401</v>
      </c>
      <c r="G1731" s="9">
        <v>18564.7325343064</v>
      </c>
      <c r="H1731" s="9">
        <v>13155.6038503287</v>
      </c>
      <c r="I1731" s="21">
        <f t="shared" si="54"/>
        <v>-2.1127486047007551</v>
      </c>
      <c r="J1731" s="21">
        <f t="shared" si="55"/>
        <v>-7.1537620745002641</v>
      </c>
    </row>
    <row r="1732" spans="1:10" hidden="1">
      <c r="A1732" t="s">
        <v>261</v>
      </c>
      <c r="B1732" t="s">
        <v>424</v>
      </c>
      <c r="C1732" s="18">
        <v>2038</v>
      </c>
      <c r="D1732" t="s">
        <v>236</v>
      </c>
      <c r="E1732" s="9">
        <v>1186888.0666084599</v>
      </c>
      <c r="F1732" s="9">
        <v>234904.99326944101</v>
      </c>
      <c r="G1732" s="9">
        <v>1196314.5451145701</v>
      </c>
      <c r="H1732" s="9">
        <v>235329.60149861901</v>
      </c>
      <c r="I1732" s="21">
        <f t="shared" si="54"/>
        <v>424.60822917800397</v>
      </c>
      <c r="J1732" s="21">
        <f t="shared" si="55"/>
        <v>9426.4785061101429</v>
      </c>
    </row>
    <row r="1733" spans="1:10" hidden="1">
      <c r="A1733" t="s">
        <v>261</v>
      </c>
      <c r="B1733" t="s">
        <v>424</v>
      </c>
      <c r="C1733" s="18">
        <v>2038</v>
      </c>
      <c r="D1733" t="s">
        <v>182</v>
      </c>
      <c r="E1733" s="9">
        <v>126595.231967407</v>
      </c>
      <c r="F1733" s="9">
        <v>82265.238836431206</v>
      </c>
      <c r="G1733" s="9">
        <v>126555.833855502</v>
      </c>
      <c r="H1733" s="9">
        <v>82253.930841494002</v>
      </c>
      <c r="I1733" s="21">
        <f t="shared" si="54"/>
        <v>-11.307994937204057</v>
      </c>
      <c r="J1733" s="21">
        <f t="shared" si="55"/>
        <v>-39.398111905000405</v>
      </c>
    </row>
    <row r="1734" spans="1:10" hidden="1">
      <c r="A1734" t="s">
        <v>261</v>
      </c>
      <c r="B1734" t="s">
        <v>424</v>
      </c>
      <c r="C1734" s="18">
        <v>2038</v>
      </c>
      <c r="D1734" t="s">
        <v>185</v>
      </c>
      <c r="E1734" s="9">
        <v>271868.50368861598</v>
      </c>
      <c r="F1734" s="9">
        <v>256278.60846889101</v>
      </c>
      <c r="G1734" s="9">
        <v>273035.370644084</v>
      </c>
      <c r="H1734" s="9">
        <v>257130.676610817</v>
      </c>
      <c r="I1734" s="21">
        <f t="shared" si="54"/>
        <v>852.06814192599268</v>
      </c>
      <c r="J1734" s="21">
        <f t="shared" si="55"/>
        <v>1166.8669554680237</v>
      </c>
    </row>
    <row r="1735" spans="1:10" hidden="1">
      <c r="A1735" t="s">
        <v>261</v>
      </c>
      <c r="B1735" t="s">
        <v>424</v>
      </c>
      <c r="C1735" s="18">
        <v>2038</v>
      </c>
      <c r="D1735" t="s">
        <v>188</v>
      </c>
      <c r="E1735" s="9">
        <v>699975.78446618002</v>
      </c>
      <c r="F1735" s="9">
        <v>417964.55192546197</v>
      </c>
      <c r="G1735" s="9">
        <v>708674.57496129896</v>
      </c>
      <c r="H1735" s="9">
        <v>420445.264129068</v>
      </c>
      <c r="I1735" s="21">
        <f t="shared" si="54"/>
        <v>2480.7122036060318</v>
      </c>
      <c r="J1735" s="21">
        <f t="shared" si="55"/>
        <v>8698.7904951189412</v>
      </c>
    </row>
    <row r="1736" spans="1:10" hidden="1">
      <c r="A1736" t="s">
        <v>261</v>
      </c>
      <c r="B1736" t="s">
        <v>424</v>
      </c>
      <c r="C1736" s="18">
        <v>2038</v>
      </c>
      <c r="D1736" t="s">
        <v>191</v>
      </c>
      <c r="E1736" s="9">
        <v>357945.52342683799</v>
      </c>
      <c r="F1736" s="9">
        <v>188622.55258093201</v>
      </c>
      <c r="G1736" s="9">
        <v>360900.93527344998</v>
      </c>
      <c r="H1736" s="9">
        <v>189347.42226660499</v>
      </c>
      <c r="I1736" s="21">
        <f t="shared" si="54"/>
        <v>724.86968567298027</v>
      </c>
      <c r="J1736" s="21">
        <f t="shared" si="55"/>
        <v>2955.411846611998</v>
      </c>
    </row>
    <row r="1737" spans="1:10" hidden="1">
      <c r="A1737" t="s">
        <v>261</v>
      </c>
      <c r="B1737" t="s">
        <v>424</v>
      </c>
      <c r="C1737" s="18">
        <v>2038</v>
      </c>
      <c r="D1737" t="s">
        <v>422</v>
      </c>
      <c r="E1737" s="9">
        <v>36551.473088863997</v>
      </c>
      <c r="F1737" s="9">
        <v>3322.8246092989102</v>
      </c>
      <c r="G1737" s="9">
        <v>36551.441257778999</v>
      </c>
      <c r="H1737" s="9">
        <v>3322.8215744210102</v>
      </c>
      <c r="I1737" s="21">
        <f t="shared" si="54"/>
        <v>-3.0348779000632931E-3</v>
      </c>
      <c r="J1737" s="21">
        <f t="shared" si="55"/>
        <v>-3.1831084997975267E-2</v>
      </c>
    </row>
    <row r="1738" spans="1:10" hidden="1">
      <c r="A1738" t="s">
        <v>261</v>
      </c>
      <c r="B1738" t="s">
        <v>424</v>
      </c>
      <c r="C1738" s="18">
        <v>2039</v>
      </c>
      <c r="D1738" t="s">
        <v>174</v>
      </c>
      <c r="E1738" s="9">
        <v>19183.182351977499</v>
      </c>
      <c r="F1738" s="9">
        <v>13519.5353655984</v>
      </c>
      <c r="G1738" s="9">
        <v>19174.345745902901</v>
      </c>
      <c r="H1738" s="9">
        <v>13516.7785061579</v>
      </c>
      <c r="I1738" s="21">
        <f t="shared" si="54"/>
        <v>-2.7568594405001932</v>
      </c>
      <c r="J1738" s="21">
        <f t="shared" si="55"/>
        <v>-8.8366060745975119</v>
      </c>
    </row>
    <row r="1739" spans="1:10" hidden="1">
      <c r="A1739" t="s">
        <v>261</v>
      </c>
      <c r="B1739" t="s">
        <v>424</v>
      </c>
      <c r="C1739" s="18">
        <v>2039</v>
      </c>
      <c r="D1739" t="s">
        <v>236</v>
      </c>
      <c r="E1739" s="9">
        <v>1196959.8898795701</v>
      </c>
      <c r="F1739" s="9">
        <v>242986.327291664</v>
      </c>
      <c r="G1739" s="9">
        <v>1206925.78308321</v>
      </c>
      <c r="H1739" s="9">
        <v>243483.36403446301</v>
      </c>
      <c r="I1739" s="21">
        <f t="shared" si="54"/>
        <v>497.03674279901315</v>
      </c>
      <c r="J1739" s="21">
        <f t="shared" si="55"/>
        <v>9965.893203639891</v>
      </c>
    </row>
    <row r="1740" spans="1:10" hidden="1">
      <c r="A1740" t="s">
        <v>261</v>
      </c>
      <c r="B1740" t="s">
        <v>424</v>
      </c>
      <c r="C1740" s="18">
        <v>2039</v>
      </c>
      <c r="D1740" t="s">
        <v>182</v>
      </c>
      <c r="E1740" s="9">
        <v>128048.56395180699</v>
      </c>
      <c r="F1740" s="9">
        <v>83403.504400564605</v>
      </c>
      <c r="G1740" s="9">
        <v>128001.347826374</v>
      </c>
      <c r="H1740" s="9">
        <v>83389.180958792305</v>
      </c>
      <c r="I1740" s="21">
        <f t="shared" si="54"/>
        <v>-14.323441772299702</v>
      </c>
      <c r="J1740" s="21">
        <f t="shared" si="55"/>
        <v>-47.216125432998524</v>
      </c>
    </row>
    <row r="1741" spans="1:10" hidden="1">
      <c r="A1741" t="s">
        <v>261</v>
      </c>
      <c r="B1741" t="s">
        <v>424</v>
      </c>
      <c r="C1741" s="18">
        <v>2039</v>
      </c>
      <c r="D1741" t="s">
        <v>185</v>
      </c>
      <c r="E1741" s="9">
        <v>271752.36097634898</v>
      </c>
      <c r="F1741" s="9">
        <v>256527.74553856099</v>
      </c>
      <c r="G1741" s="9">
        <v>272973.34550101002</v>
      </c>
      <c r="H1741" s="9">
        <v>257441.86914336999</v>
      </c>
      <c r="I1741" s="21">
        <f t="shared" si="54"/>
        <v>914.12360480899224</v>
      </c>
      <c r="J1741" s="21">
        <f t="shared" si="55"/>
        <v>1220.9845246610348</v>
      </c>
    </row>
    <row r="1742" spans="1:10" hidden="1">
      <c r="A1742" t="s">
        <v>261</v>
      </c>
      <c r="B1742" t="s">
        <v>424</v>
      </c>
      <c r="C1742" s="18">
        <v>2039</v>
      </c>
      <c r="D1742" t="s">
        <v>188</v>
      </c>
      <c r="E1742" s="9">
        <v>706363.25889580301</v>
      </c>
      <c r="F1742" s="9">
        <v>425633.25908244803</v>
      </c>
      <c r="G1742" s="9">
        <v>715580.88708538504</v>
      </c>
      <c r="H1742" s="9">
        <v>428444.56848174502</v>
      </c>
      <c r="I1742" s="21">
        <f t="shared" si="54"/>
        <v>2811.3093992969953</v>
      </c>
      <c r="J1742" s="21">
        <f t="shared" si="55"/>
        <v>9217.6281895820284</v>
      </c>
    </row>
    <row r="1743" spans="1:10" hidden="1">
      <c r="A1743" t="s">
        <v>261</v>
      </c>
      <c r="B1743" t="s">
        <v>424</v>
      </c>
      <c r="C1743" s="18">
        <v>2039</v>
      </c>
      <c r="D1743" t="s">
        <v>191</v>
      </c>
      <c r="E1743" s="9">
        <v>359852.37447583303</v>
      </c>
      <c r="F1743" s="9">
        <v>191118.458200983</v>
      </c>
      <c r="G1743" s="9">
        <v>362969.198365508</v>
      </c>
      <c r="H1743" s="9">
        <v>191929.610855123</v>
      </c>
      <c r="I1743" s="21">
        <f t="shared" si="54"/>
        <v>811.15265413999441</v>
      </c>
      <c r="J1743" s="21">
        <f t="shared" si="55"/>
        <v>3116.8238896749681</v>
      </c>
    </row>
    <row r="1744" spans="1:10" hidden="1">
      <c r="A1744" t="s">
        <v>261</v>
      </c>
      <c r="B1744" t="s">
        <v>424</v>
      </c>
      <c r="C1744" s="18">
        <v>2039</v>
      </c>
      <c r="D1744" t="s">
        <v>422</v>
      </c>
      <c r="E1744" s="9">
        <v>36178.258099100902</v>
      </c>
      <c r="F1744" s="9">
        <v>3198.0260413417</v>
      </c>
      <c r="G1744" s="9">
        <v>36178.223844718399</v>
      </c>
      <c r="H1744" s="9">
        <v>3198.0230538302199</v>
      </c>
      <c r="I1744" s="21">
        <f t="shared" si="54"/>
        <v>-2.9875114801143354E-3</v>
      </c>
      <c r="J1744" s="21">
        <f t="shared" si="55"/>
        <v>-3.425438250269508E-2</v>
      </c>
    </row>
    <row r="1745" spans="1:10" hidden="1">
      <c r="A1745" t="s">
        <v>261</v>
      </c>
      <c r="B1745" t="s">
        <v>424</v>
      </c>
      <c r="C1745" s="18">
        <v>2040</v>
      </c>
      <c r="D1745" t="s">
        <v>174</v>
      </c>
      <c r="E1745" s="9">
        <v>19816.257011391099</v>
      </c>
      <c r="F1745" s="9">
        <v>13883.1806931385</v>
      </c>
      <c r="G1745" s="9">
        <v>19805.505805764798</v>
      </c>
      <c r="H1745" s="9">
        <v>13879.6732870407</v>
      </c>
      <c r="I1745" s="21">
        <f t="shared" si="54"/>
        <v>-3.5074060978004127</v>
      </c>
      <c r="J1745" s="21">
        <f t="shared" si="55"/>
        <v>-10.751205626300361</v>
      </c>
    </row>
    <row r="1746" spans="1:10" hidden="1">
      <c r="A1746" t="s">
        <v>261</v>
      </c>
      <c r="B1746" t="s">
        <v>424</v>
      </c>
      <c r="C1746" s="18">
        <v>2040</v>
      </c>
      <c r="D1746" t="s">
        <v>236</v>
      </c>
      <c r="E1746" s="9">
        <v>1206559.3603725899</v>
      </c>
      <c r="F1746" s="9">
        <v>251017.81204128099</v>
      </c>
      <c r="G1746" s="9">
        <v>1217029.49333677</v>
      </c>
      <c r="H1746" s="9">
        <v>251591.89866486701</v>
      </c>
      <c r="I1746" s="21">
        <f t="shared" si="54"/>
        <v>574.08662358601578</v>
      </c>
      <c r="J1746" s="21">
        <f t="shared" si="55"/>
        <v>10470.132964180084</v>
      </c>
    </row>
    <row r="1747" spans="1:10" hidden="1">
      <c r="A1747" t="s">
        <v>261</v>
      </c>
      <c r="B1747" t="s">
        <v>424</v>
      </c>
      <c r="C1747" s="18">
        <v>2040</v>
      </c>
      <c r="D1747" t="s">
        <v>182</v>
      </c>
      <c r="E1747" s="9">
        <v>130135.016212886</v>
      </c>
      <c r="F1747" s="9">
        <v>84449.618800526703</v>
      </c>
      <c r="G1747" s="9">
        <v>130079.117811465</v>
      </c>
      <c r="H1747" s="9">
        <v>84431.891175836907</v>
      </c>
      <c r="I1747" s="21">
        <f t="shared" si="54"/>
        <v>-17.727624689796357</v>
      </c>
      <c r="J1747" s="21">
        <f t="shared" si="55"/>
        <v>-55.898401421000017</v>
      </c>
    </row>
    <row r="1748" spans="1:10" hidden="1">
      <c r="A1748" t="s">
        <v>261</v>
      </c>
      <c r="B1748" t="s">
        <v>424</v>
      </c>
      <c r="C1748" s="18">
        <v>2040</v>
      </c>
      <c r="D1748" t="s">
        <v>185</v>
      </c>
      <c r="E1748" s="9">
        <v>271503.320716694</v>
      </c>
      <c r="F1748" s="9">
        <v>256480.289236287</v>
      </c>
      <c r="G1748" s="9">
        <v>272772.69297753199</v>
      </c>
      <c r="H1748" s="9">
        <v>257451.80463236</v>
      </c>
      <c r="I1748" s="21">
        <f t="shared" si="54"/>
        <v>971.51539607299492</v>
      </c>
      <c r="J1748" s="21">
        <f t="shared" si="55"/>
        <v>1269.3722608379903</v>
      </c>
    </row>
    <row r="1749" spans="1:10" hidden="1">
      <c r="A1749" t="s">
        <v>261</v>
      </c>
      <c r="B1749" t="s">
        <v>424</v>
      </c>
      <c r="C1749" s="18">
        <v>2040</v>
      </c>
      <c r="D1749" t="s">
        <v>188</v>
      </c>
      <c r="E1749" s="9">
        <v>715310.73553792306</v>
      </c>
      <c r="F1749" s="9">
        <v>432063.06663658301</v>
      </c>
      <c r="G1749" s="9">
        <v>725057.85135654395</v>
      </c>
      <c r="H1749" s="9">
        <v>435208.84098996199</v>
      </c>
      <c r="I1749" s="21">
        <f t="shared" si="54"/>
        <v>3145.7743533789762</v>
      </c>
      <c r="J1749" s="21">
        <f t="shared" si="55"/>
        <v>9747.1158186208922</v>
      </c>
    </row>
    <row r="1750" spans="1:10" hidden="1">
      <c r="A1750" t="s">
        <v>261</v>
      </c>
      <c r="B1750" t="s">
        <v>424</v>
      </c>
      <c r="C1750" s="18">
        <v>2040</v>
      </c>
      <c r="D1750" t="s">
        <v>191</v>
      </c>
      <c r="E1750" s="9">
        <v>363429.76202758698</v>
      </c>
      <c r="F1750" s="9">
        <v>192955.3512377</v>
      </c>
      <c r="G1750" s="9">
        <v>366714.04580788402</v>
      </c>
      <c r="H1750" s="9">
        <v>193853.25074776399</v>
      </c>
      <c r="I1750" s="21">
        <f t="shared" si="54"/>
        <v>897.89951006398769</v>
      </c>
      <c r="J1750" s="21">
        <f t="shared" si="55"/>
        <v>3284.2837802970316</v>
      </c>
    </row>
    <row r="1751" spans="1:10" hidden="1">
      <c r="A1751" t="s">
        <v>261</v>
      </c>
      <c r="B1751" t="s">
        <v>424</v>
      </c>
      <c r="C1751" s="18">
        <v>2040</v>
      </c>
      <c r="D1751" t="s">
        <v>422</v>
      </c>
      <c r="E1751" s="9">
        <v>36005.064048772198</v>
      </c>
      <c r="F1751" s="9">
        <v>3069.2548349210001</v>
      </c>
      <c r="G1751" s="9">
        <v>36005.028086341903</v>
      </c>
      <c r="H1751" s="9">
        <v>3069.2518935015801</v>
      </c>
      <c r="I1751" s="21">
        <f t="shared" si="54"/>
        <v>-2.9414194200398924E-3</v>
      </c>
      <c r="J1751" s="21">
        <f t="shared" si="55"/>
        <v>-3.5962430294603109E-2</v>
      </c>
    </row>
    <row r="1752" spans="1:10" hidden="1">
      <c r="A1752" t="s">
        <v>261</v>
      </c>
      <c r="B1752" t="s">
        <v>424</v>
      </c>
      <c r="C1752" s="18">
        <v>2041</v>
      </c>
      <c r="D1752" t="s">
        <v>174</v>
      </c>
      <c r="E1752" s="9">
        <v>20466.5368615236</v>
      </c>
      <c r="F1752" s="9">
        <v>14253.9136767949</v>
      </c>
      <c r="G1752" s="9">
        <v>20453.6267543422</v>
      </c>
      <c r="H1752" s="9">
        <v>14249.536455216699</v>
      </c>
      <c r="I1752" s="21">
        <f t="shared" si="54"/>
        <v>-4.377221578200988</v>
      </c>
      <c r="J1752" s="21">
        <f t="shared" si="55"/>
        <v>-12.910107181400235</v>
      </c>
    </row>
    <row r="1753" spans="1:10" hidden="1">
      <c r="A1753" t="s">
        <v>261</v>
      </c>
      <c r="B1753" t="s">
        <v>424</v>
      </c>
      <c r="C1753" s="18">
        <v>2041</v>
      </c>
      <c r="D1753" t="s">
        <v>236</v>
      </c>
      <c r="E1753" s="9">
        <v>1215683.8589913701</v>
      </c>
      <c r="F1753" s="9">
        <v>259021.663925022</v>
      </c>
      <c r="G1753" s="9">
        <v>1226624.8107670301</v>
      </c>
      <c r="H1753" s="9">
        <v>259677.195752453</v>
      </c>
      <c r="I1753" s="21">
        <f t="shared" si="54"/>
        <v>655.53182743099751</v>
      </c>
      <c r="J1753" s="21">
        <f t="shared" si="55"/>
        <v>10940.95177566004</v>
      </c>
    </row>
    <row r="1754" spans="1:10" hidden="1">
      <c r="A1754" t="s">
        <v>261</v>
      </c>
      <c r="B1754" t="s">
        <v>424</v>
      </c>
      <c r="C1754" s="18">
        <v>2041</v>
      </c>
      <c r="D1754" t="s">
        <v>182</v>
      </c>
      <c r="E1754" s="9">
        <v>132294.861346419</v>
      </c>
      <c r="F1754" s="9">
        <v>85553.870957324005</v>
      </c>
      <c r="G1754" s="9">
        <v>132229.629710176</v>
      </c>
      <c r="H1754" s="9">
        <v>85532.319590607702</v>
      </c>
      <c r="I1754" s="21">
        <f t="shared" si="54"/>
        <v>-21.551366716303164</v>
      </c>
      <c r="J1754" s="21">
        <f t="shared" si="55"/>
        <v>-65.23163624299923</v>
      </c>
    </row>
    <row r="1755" spans="1:10" hidden="1">
      <c r="A1755" t="s">
        <v>261</v>
      </c>
      <c r="B1755" t="s">
        <v>424</v>
      </c>
      <c r="C1755" s="18">
        <v>2041</v>
      </c>
      <c r="D1755" t="s">
        <v>185</v>
      </c>
      <c r="E1755" s="9">
        <v>271298.54973676801</v>
      </c>
      <c r="F1755" s="9">
        <v>256365.21532034199</v>
      </c>
      <c r="G1755" s="9">
        <v>272611.75367129099</v>
      </c>
      <c r="H1755" s="9">
        <v>257389.63175428601</v>
      </c>
      <c r="I1755" s="21">
        <f t="shared" si="54"/>
        <v>1024.4164339440176</v>
      </c>
      <c r="J1755" s="21">
        <f t="shared" si="55"/>
        <v>1313.2039345229859</v>
      </c>
    </row>
    <row r="1756" spans="1:10" hidden="1">
      <c r="A1756" t="s">
        <v>261</v>
      </c>
      <c r="B1756" t="s">
        <v>424</v>
      </c>
      <c r="C1756" s="18">
        <v>2041</v>
      </c>
      <c r="D1756" t="s">
        <v>188</v>
      </c>
      <c r="E1756" s="9">
        <v>724369.83961851301</v>
      </c>
      <c r="F1756" s="9">
        <v>438839.20921858499</v>
      </c>
      <c r="G1756" s="9">
        <v>734627.74007540499</v>
      </c>
      <c r="H1756" s="9">
        <v>442324.30640679202</v>
      </c>
      <c r="I1756" s="21">
        <f t="shared" si="54"/>
        <v>3485.0971882070298</v>
      </c>
      <c r="J1756" s="21">
        <f t="shared" si="55"/>
        <v>10257.900456891977</v>
      </c>
    </row>
    <row r="1757" spans="1:10" hidden="1">
      <c r="A1757" t="s">
        <v>261</v>
      </c>
      <c r="B1757" t="s">
        <v>424</v>
      </c>
      <c r="C1757" s="18">
        <v>2041</v>
      </c>
      <c r="D1757" t="s">
        <v>191</v>
      </c>
      <c r="E1757" s="9">
        <v>366993.11994653801</v>
      </c>
      <c r="F1757" s="9">
        <v>194941.630435086</v>
      </c>
      <c r="G1757" s="9">
        <v>370436.97560679301</v>
      </c>
      <c r="H1757" s="9">
        <v>195926.90720139601</v>
      </c>
      <c r="I1757" s="21">
        <f t="shared" si="54"/>
        <v>985.27676631000941</v>
      </c>
      <c r="J1757" s="21">
        <f t="shared" si="55"/>
        <v>3443.8556602550088</v>
      </c>
    </row>
    <row r="1758" spans="1:10" hidden="1">
      <c r="A1758" t="s">
        <v>261</v>
      </c>
      <c r="B1758" t="s">
        <v>424</v>
      </c>
      <c r="C1758" s="18">
        <v>2041</v>
      </c>
      <c r="D1758" t="s">
        <v>422</v>
      </c>
      <c r="E1758" s="9">
        <v>35900.802404350798</v>
      </c>
      <c r="F1758" s="9">
        <v>2944.0184088845999</v>
      </c>
      <c r="G1758" s="9">
        <v>35900.765054072101</v>
      </c>
      <c r="H1758" s="9">
        <v>2944.01552271229</v>
      </c>
      <c r="I1758" s="21">
        <f t="shared" si="54"/>
        <v>-2.8861723098998482E-3</v>
      </c>
      <c r="J1758" s="21">
        <f t="shared" si="55"/>
        <v>-3.7350278696976602E-2</v>
      </c>
    </row>
    <row r="1759" spans="1:10" hidden="1">
      <c r="A1759" t="s">
        <v>261</v>
      </c>
      <c r="B1759" t="s">
        <v>424</v>
      </c>
      <c r="C1759" s="18">
        <v>2042</v>
      </c>
      <c r="D1759" t="s">
        <v>174</v>
      </c>
      <c r="E1759" s="9">
        <v>21130.9062209248</v>
      </c>
      <c r="F1759" s="9">
        <v>14631.6954012244</v>
      </c>
      <c r="G1759" s="9">
        <v>21115.581702688502</v>
      </c>
      <c r="H1759" s="9">
        <v>14626.319006600401</v>
      </c>
      <c r="I1759" s="21">
        <f t="shared" si="54"/>
        <v>-5.3763946239996585</v>
      </c>
      <c r="J1759" s="21">
        <f t="shared" si="55"/>
        <v>-15.3245182362989</v>
      </c>
    </row>
    <row r="1760" spans="1:10" hidden="1">
      <c r="A1760" t="s">
        <v>261</v>
      </c>
      <c r="B1760" t="s">
        <v>424</v>
      </c>
      <c r="C1760" s="18">
        <v>2042</v>
      </c>
      <c r="D1760" t="s">
        <v>236</v>
      </c>
      <c r="E1760" s="9">
        <v>1224324.43693247</v>
      </c>
      <c r="F1760" s="9">
        <v>267037.52827666199</v>
      </c>
      <c r="G1760" s="9">
        <v>1235703.75022274</v>
      </c>
      <c r="H1760" s="9">
        <v>267778.732534162</v>
      </c>
      <c r="I1760" s="21">
        <f t="shared" si="54"/>
        <v>741.20425750000868</v>
      </c>
      <c r="J1760" s="21">
        <f t="shared" si="55"/>
        <v>11379.313290270045</v>
      </c>
    </row>
    <row r="1761" spans="1:10" hidden="1">
      <c r="A1761" t="s">
        <v>261</v>
      </c>
      <c r="B1761" t="s">
        <v>424</v>
      </c>
      <c r="C1761" s="18">
        <v>2042</v>
      </c>
      <c r="D1761" t="s">
        <v>182</v>
      </c>
      <c r="E1761" s="9">
        <v>134427.553608235</v>
      </c>
      <c r="F1761" s="9">
        <v>86683.117474436396</v>
      </c>
      <c r="G1761" s="9">
        <v>134351.62604870801</v>
      </c>
      <c r="H1761" s="9">
        <v>86657.313221329707</v>
      </c>
      <c r="I1761" s="21">
        <f t="shared" si="54"/>
        <v>-25.80425310668943</v>
      </c>
      <c r="J1761" s="21">
        <f t="shared" si="55"/>
        <v>-75.927559526986443</v>
      </c>
    </row>
    <row r="1762" spans="1:10" hidden="1">
      <c r="A1762" t="s">
        <v>261</v>
      </c>
      <c r="B1762" t="s">
        <v>424</v>
      </c>
      <c r="C1762" s="18">
        <v>2042</v>
      </c>
      <c r="D1762" t="s">
        <v>185</v>
      </c>
      <c r="E1762" s="9">
        <v>270928.928329007</v>
      </c>
      <c r="F1762" s="9">
        <v>256125.497861738</v>
      </c>
      <c r="G1762" s="9">
        <v>272280.658720601</v>
      </c>
      <c r="H1762" s="9">
        <v>257198.34975601899</v>
      </c>
      <c r="I1762" s="21">
        <f t="shared" si="54"/>
        <v>1072.8518942809897</v>
      </c>
      <c r="J1762" s="21">
        <f t="shared" si="55"/>
        <v>1351.7303915939992</v>
      </c>
    </row>
    <row r="1763" spans="1:10" hidden="1">
      <c r="A1763" t="s">
        <v>261</v>
      </c>
      <c r="B1763" t="s">
        <v>424</v>
      </c>
      <c r="C1763" s="18">
        <v>2042</v>
      </c>
      <c r="D1763" t="s">
        <v>188</v>
      </c>
      <c r="E1763" s="9">
        <v>733566.68846124399</v>
      </c>
      <c r="F1763" s="9">
        <v>445774.42655996099</v>
      </c>
      <c r="G1763" s="9">
        <v>744313.272667757</v>
      </c>
      <c r="H1763" s="9">
        <v>449601.26122749498</v>
      </c>
      <c r="I1763" s="21">
        <f t="shared" si="54"/>
        <v>3826.8346675339853</v>
      </c>
      <c r="J1763" s="21">
        <f t="shared" si="55"/>
        <v>10746.584206513013</v>
      </c>
    </row>
    <row r="1764" spans="1:10" hidden="1">
      <c r="A1764" t="s">
        <v>261</v>
      </c>
      <c r="B1764" t="s">
        <v>424</v>
      </c>
      <c r="C1764" s="18">
        <v>2042</v>
      </c>
      <c r="D1764" t="s">
        <v>191</v>
      </c>
      <c r="E1764" s="9">
        <v>370823.13905391598</v>
      </c>
      <c r="F1764" s="9">
        <v>197009.39276383599</v>
      </c>
      <c r="G1764" s="9">
        <v>374419.26204563602</v>
      </c>
      <c r="H1764" s="9">
        <v>198082.81410371399</v>
      </c>
      <c r="I1764" s="21">
        <f t="shared" si="54"/>
        <v>1073.4213398779975</v>
      </c>
      <c r="J1764" s="21">
        <f t="shared" si="55"/>
        <v>3596.1229917200399</v>
      </c>
    </row>
    <row r="1765" spans="1:10" hidden="1">
      <c r="A1765" t="s">
        <v>261</v>
      </c>
      <c r="B1765" t="s">
        <v>424</v>
      </c>
      <c r="C1765" s="18">
        <v>2042</v>
      </c>
      <c r="D1765" t="s">
        <v>422</v>
      </c>
      <c r="E1765" s="9">
        <v>35516.878972473598</v>
      </c>
      <c r="F1765" s="9">
        <v>2820.5150229395299</v>
      </c>
      <c r="G1765" s="9">
        <v>35516.840593533198</v>
      </c>
      <c r="H1765" s="9">
        <v>2820.5122126446799</v>
      </c>
      <c r="I1765" s="21">
        <f t="shared" si="54"/>
        <v>-2.8102948499508784E-3</v>
      </c>
      <c r="J1765" s="21">
        <f t="shared" si="55"/>
        <v>-3.8378940400434658E-2</v>
      </c>
    </row>
    <row r="1766" spans="1:10" hidden="1">
      <c r="A1766" t="s">
        <v>261</v>
      </c>
      <c r="B1766" t="s">
        <v>424</v>
      </c>
      <c r="C1766" s="18">
        <v>2043</v>
      </c>
      <c r="D1766" t="s">
        <v>174</v>
      </c>
      <c r="E1766" s="9">
        <v>21807.130598191601</v>
      </c>
      <c r="F1766" s="9">
        <v>15010.6020650015</v>
      </c>
      <c r="G1766" s="9">
        <v>21789.125656033499</v>
      </c>
      <c r="H1766" s="9">
        <v>15004.086115812899</v>
      </c>
      <c r="I1766" s="21">
        <f t="shared" si="54"/>
        <v>-6.5159491886006435</v>
      </c>
      <c r="J1766" s="21">
        <f t="shared" si="55"/>
        <v>-18.004942158102494</v>
      </c>
    </row>
    <row r="1767" spans="1:10" hidden="1">
      <c r="A1767" t="s">
        <v>261</v>
      </c>
      <c r="B1767" t="s">
        <v>424</v>
      </c>
      <c r="C1767" s="18">
        <v>2043</v>
      </c>
      <c r="D1767" t="s">
        <v>236</v>
      </c>
      <c r="E1767" s="9">
        <v>1232460.47314068</v>
      </c>
      <c r="F1767" s="9">
        <v>275046.20645524102</v>
      </c>
      <c r="G1767" s="9">
        <v>1244246.5115360599</v>
      </c>
      <c r="H1767" s="9">
        <v>275876.99548631802</v>
      </c>
      <c r="I1767" s="21">
        <f t="shared" si="54"/>
        <v>830.78903107700171</v>
      </c>
      <c r="J1767" s="21">
        <f t="shared" si="55"/>
        <v>11786.038395379903</v>
      </c>
    </row>
    <row r="1768" spans="1:10" hidden="1">
      <c r="A1768" t="s">
        <v>261</v>
      </c>
      <c r="B1768" t="s">
        <v>424</v>
      </c>
      <c r="C1768" s="18">
        <v>2043</v>
      </c>
      <c r="D1768" t="s">
        <v>182</v>
      </c>
      <c r="E1768" s="9">
        <v>136689.27605904601</v>
      </c>
      <c r="F1768" s="9">
        <v>87809.532618544399</v>
      </c>
      <c r="G1768" s="9">
        <v>136601.974960575</v>
      </c>
      <c r="H1768" s="9">
        <v>87779.034425801001</v>
      </c>
      <c r="I1768" s="21">
        <f t="shared" si="54"/>
        <v>-30.498192743398249</v>
      </c>
      <c r="J1768" s="21">
        <f t="shared" si="55"/>
        <v>-87.301098471012665</v>
      </c>
    </row>
    <row r="1769" spans="1:10" hidden="1">
      <c r="A1769" t="s">
        <v>261</v>
      </c>
      <c r="B1769" t="s">
        <v>424</v>
      </c>
      <c r="C1769" s="18">
        <v>2043</v>
      </c>
      <c r="D1769" t="s">
        <v>185</v>
      </c>
      <c r="E1769" s="9">
        <v>270305.102702267</v>
      </c>
      <c r="F1769" s="9">
        <v>255661.22734415499</v>
      </c>
      <c r="G1769" s="9">
        <v>271689.79422675102</v>
      </c>
      <c r="H1769" s="9">
        <v>256777.58715706799</v>
      </c>
      <c r="I1769" s="21">
        <f t="shared" si="54"/>
        <v>1116.3598129129969</v>
      </c>
      <c r="J1769" s="21">
        <f t="shared" si="55"/>
        <v>1384.6915244840202</v>
      </c>
    </row>
    <row r="1770" spans="1:10" hidden="1">
      <c r="A1770" t="s">
        <v>261</v>
      </c>
      <c r="B1770" t="s">
        <v>424</v>
      </c>
      <c r="C1770" s="18">
        <v>2043</v>
      </c>
      <c r="D1770" t="s">
        <v>188</v>
      </c>
      <c r="E1770" s="9">
        <v>743148.33657434001</v>
      </c>
      <c r="F1770" s="9">
        <v>452749.073225195</v>
      </c>
      <c r="G1770" s="9">
        <v>754370.89241350198</v>
      </c>
      <c r="H1770" s="9">
        <v>456915.72204617201</v>
      </c>
      <c r="I1770" s="21">
        <f t="shared" si="54"/>
        <v>4166.6488209770177</v>
      </c>
      <c r="J1770" s="21">
        <f t="shared" si="55"/>
        <v>11222.555839161971</v>
      </c>
    </row>
    <row r="1771" spans="1:10" hidden="1">
      <c r="A1771" t="s">
        <v>261</v>
      </c>
      <c r="B1771" t="s">
        <v>424</v>
      </c>
      <c r="C1771" s="18">
        <v>2043</v>
      </c>
      <c r="D1771" t="s">
        <v>191</v>
      </c>
      <c r="E1771" s="9">
        <v>375021.02677455998</v>
      </c>
      <c r="F1771" s="9">
        <v>199043.35130098401</v>
      </c>
      <c r="G1771" s="9">
        <v>378766.53451535699</v>
      </c>
      <c r="H1771" s="9">
        <v>200204.274251736</v>
      </c>
      <c r="I1771" s="21">
        <f t="shared" si="54"/>
        <v>1160.9229507519922</v>
      </c>
      <c r="J1771" s="21">
        <f t="shared" si="55"/>
        <v>3745.5077407970093</v>
      </c>
    </row>
    <row r="1772" spans="1:10" hidden="1">
      <c r="A1772" t="s">
        <v>261</v>
      </c>
      <c r="B1772" t="s">
        <v>424</v>
      </c>
      <c r="C1772" s="18">
        <v>2043</v>
      </c>
      <c r="D1772" t="s">
        <v>422</v>
      </c>
      <c r="E1772" s="9">
        <v>35328.810042687997</v>
      </c>
      <c r="F1772" s="9">
        <v>2698.3336429706301</v>
      </c>
      <c r="G1772" s="9">
        <v>35328.773203308199</v>
      </c>
      <c r="H1772" s="9">
        <v>2698.3309296050402</v>
      </c>
      <c r="I1772" s="21">
        <f t="shared" si="54"/>
        <v>-2.7133655898978759E-3</v>
      </c>
      <c r="J1772" s="21">
        <f t="shared" si="55"/>
        <v>-3.6839379798038863E-2</v>
      </c>
    </row>
    <row r="1773" spans="1:10" hidden="1">
      <c r="A1773" t="s">
        <v>261</v>
      </c>
      <c r="B1773" t="s">
        <v>424</v>
      </c>
      <c r="C1773" s="18">
        <v>2044</v>
      </c>
      <c r="D1773" t="s">
        <v>174</v>
      </c>
      <c r="E1773" s="9">
        <v>22493.3667422871</v>
      </c>
      <c r="F1773" s="9">
        <v>15396.4409653407</v>
      </c>
      <c r="G1773" s="9">
        <v>22472.405778779801</v>
      </c>
      <c r="H1773" s="9">
        <v>15388.638261887199</v>
      </c>
      <c r="I1773" s="21">
        <f t="shared" si="54"/>
        <v>-7.802703453500726</v>
      </c>
      <c r="J1773" s="21">
        <f t="shared" si="55"/>
        <v>-20.960963507299311</v>
      </c>
    </row>
    <row r="1774" spans="1:10" hidden="1">
      <c r="A1774" t="s">
        <v>261</v>
      </c>
      <c r="B1774" t="s">
        <v>424</v>
      </c>
      <c r="C1774" s="18">
        <v>2044</v>
      </c>
      <c r="D1774" t="s">
        <v>236</v>
      </c>
      <c r="E1774" s="9">
        <v>1240354.75774433</v>
      </c>
      <c r="F1774" s="9">
        <v>282978.03123341303</v>
      </c>
      <c r="G1774" s="9">
        <v>1252519.7576166999</v>
      </c>
      <c r="H1774" s="9">
        <v>283902.05041687097</v>
      </c>
      <c r="I1774" s="21">
        <f t="shared" si="54"/>
        <v>924.01918345794547</v>
      </c>
      <c r="J1774" s="21">
        <f t="shared" si="55"/>
        <v>12164.999872369925</v>
      </c>
    </row>
    <row r="1775" spans="1:10" hidden="1">
      <c r="A1775" t="s">
        <v>261</v>
      </c>
      <c r="B1775" t="s">
        <v>424</v>
      </c>
      <c r="C1775" s="18">
        <v>2044</v>
      </c>
      <c r="D1775" t="s">
        <v>182</v>
      </c>
      <c r="E1775" s="9">
        <v>138226.557124249</v>
      </c>
      <c r="F1775" s="9">
        <v>88948.071862651006</v>
      </c>
      <c r="G1775" s="9">
        <v>138127.80749224901</v>
      </c>
      <c r="H1775" s="9">
        <v>88912.446286897801</v>
      </c>
      <c r="I1775" s="21">
        <f t="shared" si="54"/>
        <v>-35.625575753205339</v>
      </c>
      <c r="J1775" s="21">
        <f t="shared" si="55"/>
        <v>-98.749631999991834</v>
      </c>
    </row>
    <row r="1776" spans="1:10" hidden="1">
      <c r="A1776" t="s">
        <v>261</v>
      </c>
      <c r="B1776" t="s">
        <v>424</v>
      </c>
      <c r="C1776" s="18">
        <v>2044</v>
      </c>
      <c r="D1776" t="s">
        <v>185</v>
      </c>
      <c r="E1776" s="9">
        <v>269567.950297957</v>
      </c>
      <c r="F1776" s="9">
        <v>255280.386159785</v>
      </c>
      <c r="G1776" s="9">
        <v>270981.060601887</v>
      </c>
      <c r="H1776" s="9">
        <v>256436.399818879</v>
      </c>
      <c r="I1776" s="21">
        <f t="shared" si="54"/>
        <v>1156.0136590939946</v>
      </c>
      <c r="J1776" s="21">
        <f t="shared" si="55"/>
        <v>1413.1103039300069</v>
      </c>
    </row>
    <row r="1777" spans="1:10" hidden="1">
      <c r="A1777" t="s">
        <v>261</v>
      </c>
      <c r="B1777" t="s">
        <v>424</v>
      </c>
      <c r="C1777" s="18">
        <v>2044</v>
      </c>
      <c r="D1777" t="s">
        <v>188</v>
      </c>
      <c r="E1777" s="9">
        <v>749126.73746103502</v>
      </c>
      <c r="F1777" s="9">
        <v>459731.83426655899</v>
      </c>
      <c r="G1777" s="9">
        <v>760751.52916181902</v>
      </c>
      <c r="H1777" s="9">
        <v>464236.62382849702</v>
      </c>
      <c r="I1777" s="21">
        <f t="shared" si="54"/>
        <v>4504.7895619380288</v>
      </c>
      <c r="J1777" s="21">
        <f t="shared" si="55"/>
        <v>11624.791700784001</v>
      </c>
    </row>
    <row r="1778" spans="1:10" hidden="1">
      <c r="A1778" t="s">
        <v>261</v>
      </c>
      <c r="B1778" t="s">
        <v>424</v>
      </c>
      <c r="C1778" s="18">
        <v>2044</v>
      </c>
      <c r="D1778" t="s">
        <v>191</v>
      </c>
      <c r="E1778" s="9">
        <v>376890.82545661199</v>
      </c>
      <c r="F1778" s="9">
        <v>201515.063111928</v>
      </c>
      <c r="G1778" s="9">
        <v>380754.51437457599</v>
      </c>
      <c r="H1778" s="9">
        <v>202762.43540540201</v>
      </c>
      <c r="I1778" s="21">
        <f t="shared" si="54"/>
        <v>1247.3722934740072</v>
      </c>
      <c r="J1778" s="21">
        <f t="shared" si="55"/>
        <v>3863.6889179639984</v>
      </c>
    </row>
    <row r="1779" spans="1:10" hidden="1">
      <c r="A1779" t="s">
        <v>261</v>
      </c>
      <c r="B1779" t="s">
        <v>424</v>
      </c>
      <c r="C1779" s="18">
        <v>2044</v>
      </c>
      <c r="D1779" t="s">
        <v>422</v>
      </c>
      <c r="E1779" s="9">
        <v>35046.732107364202</v>
      </c>
      <c r="F1779" s="9">
        <v>2573.79496387581</v>
      </c>
      <c r="G1779" s="9">
        <v>35046.705207959298</v>
      </c>
      <c r="H1779" s="9">
        <v>2573.7926243052102</v>
      </c>
      <c r="I1779" s="21">
        <f t="shared" si="54"/>
        <v>-2.3395705998154881E-3</v>
      </c>
      <c r="J1779" s="21">
        <f t="shared" si="55"/>
        <v>-2.6899404903815594E-2</v>
      </c>
    </row>
    <row r="1780" spans="1:10" hidden="1">
      <c r="A1780" t="s">
        <v>261</v>
      </c>
      <c r="B1780" t="s">
        <v>424</v>
      </c>
      <c r="C1780" s="18">
        <v>2045</v>
      </c>
      <c r="D1780" t="s">
        <v>174</v>
      </c>
      <c r="E1780" s="9">
        <v>23191.151995628101</v>
      </c>
      <c r="F1780" s="9">
        <v>15780.950889710301</v>
      </c>
      <c r="G1780" s="9">
        <v>23166.945688051499</v>
      </c>
      <c r="H1780" s="9">
        <v>15771.7189092791</v>
      </c>
      <c r="I1780" s="21">
        <f t="shared" si="54"/>
        <v>-9.2319804312010092</v>
      </c>
      <c r="J1780" s="21">
        <f t="shared" si="55"/>
        <v>-24.20630757660183</v>
      </c>
    </row>
    <row r="1781" spans="1:10" hidden="1">
      <c r="A1781" t="s">
        <v>261</v>
      </c>
      <c r="B1781" t="s">
        <v>424</v>
      </c>
      <c r="C1781" s="18">
        <v>2045</v>
      </c>
      <c r="D1781" t="s">
        <v>236</v>
      </c>
      <c r="E1781" s="9">
        <v>1248074.80050329</v>
      </c>
      <c r="F1781" s="9">
        <v>290801.46569351997</v>
      </c>
      <c r="G1781" s="9">
        <v>1260592.98702146</v>
      </c>
      <c r="H1781" s="9">
        <v>291822.02754025703</v>
      </c>
      <c r="I1781" s="21">
        <f t="shared" si="54"/>
        <v>1020.5618467370514</v>
      </c>
      <c r="J1781" s="21">
        <f t="shared" si="55"/>
        <v>12518.18651816994</v>
      </c>
    </row>
    <row r="1782" spans="1:10" hidden="1">
      <c r="A1782" t="s">
        <v>261</v>
      </c>
      <c r="B1782" t="s">
        <v>424</v>
      </c>
      <c r="C1782" s="18">
        <v>2045</v>
      </c>
      <c r="D1782" t="s">
        <v>182</v>
      </c>
      <c r="E1782" s="9">
        <v>140283.956023604</v>
      </c>
      <c r="F1782" s="9">
        <v>90082.767233853898</v>
      </c>
      <c r="G1782" s="9">
        <v>140172.77481552499</v>
      </c>
      <c r="H1782" s="9">
        <v>90041.604590588802</v>
      </c>
      <c r="I1782" s="21">
        <f t="shared" si="54"/>
        <v>-41.162643265095539</v>
      </c>
      <c r="J1782" s="21">
        <f t="shared" si="55"/>
        <v>-111.18120807901141</v>
      </c>
    </row>
    <row r="1783" spans="1:10" hidden="1">
      <c r="A1783" t="s">
        <v>261</v>
      </c>
      <c r="B1783" t="s">
        <v>424</v>
      </c>
      <c r="C1783" s="18">
        <v>2045</v>
      </c>
      <c r="D1783" t="s">
        <v>185</v>
      </c>
      <c r="E1783" s="9">
        <v>268999.78388892103</v>
      </c>
      <c r="F1783" s="9">
        <v>254785.103113914</v>
      </c>
      <c r="G1783" s="9">
        <v>270438.60315228201</v>
      </c>
      <c r="H1783" s="9">
        <v>255976.90811330499</v>
      </c>
      <c r="I1783" s="21">
        <f t="shared" si="54"/>
        <v>1191.8049993909954</v>
      </c>
      <c r="J1783" s="21">
        <f t="shared" si="55"/>
        <v>1438.819263360987</v>
      </c>
    </row>
    <row r="1784" spans="1:10" hidden="1">
      <c r="A1784" t="s">
        <v>261</v>
      </c>
      <c r="B1784" t="s">
        <v>424</v>
      </c>
      <c r="C1784" s="18">
        <v>2045</v>
      </c>
      <c r="D1784" t="s">
        <v>188</v>
      </c>
      <c r="E1784" s="9">
        <v>757270.40827831905</v>
      </c>
      <c r="F1784" s="9">
        <v>466079.65058550698</v>
      </c>
      <c r="G1784" s="9">
        <v>769313.803212411</v>
      </c>
      <c r="H1784" s="9">
        <v>470920.29436777002</v>
      </c>
      <c r="I1784" s="21">
        <f t="shared" si="54"/>
        <v>4840.6437822630396</v>
      </c>
      <c r="J1784" s="21">
        <f t="shared" si="55"/>
        <v>12043.39493409195</v>
      </c>
    </row>
    <row r="1785" spans="1:10" hidden="1">
      <c r="A1785" t="s">
        <v>261</v>
      </c>
      <c r="B1785" t="s">
        <v>424</v>
      </c>
      <c r="C1785" s="18">
        <v>2045</v>
      </c>
      <c r="D1785" t="s">
        <v>191</v>
      </c>
      <c r="E1785" s="9">
        <v>379948.31314688799</v>
      </c>
      <c r="F1785" s="9">
        <v>203536.593540765</v>
      </c>
      <c r="G1785" s="9">
        <v>383936.19252461498</v>
      </c>
      <c r="H1785" s="9">
        <v>204869.32889798901</v>
      </c>
      <c r="I1785" s="21">
        <f t="shared" si="54"/>
        <v>1332.7353572240099</v>
      </c>
      <c r="J1785" s="21">
        <f t="shared" si="55"/>
        <v>3987.8793777269893</v>
      </c>
    </row>
    <row r="1786" spans="1:10" hidden="1">
      <c r="A1786" t="s">
        <v>261</v>
      </c>
      <c r="B1786" t="s">
        <v>424</v>
      </c>
      <c r="C1786" s="18">
        <v>2045</v>
      </c>
      <c r="D1786" t="s">
        <v>422</v>
      </c>
      <c r="E1786" s="9">
        <v>34846.742585548898</v>
      </c>
      <c r="F1786" s="9">
        <v>2452.7488318669002</v>
      </c>
      <c r="G1786" s="9">
        <v>34846.715156222701</v>
      </c>
      <c r="H1786" s="9">
        <v>2452.74707379338</v>
      </c>
      <c r="I1786" s="21">
        <f t="shared" si="54"/>
        <v>-1.7580735202500364E-3</v>
      </c>
      <c r="J1786" s="21">
        <f t="shared" si="55"/>
        <v>-2.7429326197307091E-2</v>
      </c>
    </row>
    <row r="1787" spans="1:10" hidden="1">
      <c r="A1787" t="s">
        <v>261</v>
      </c>
      <c r="B1787" t="s">
        <v>424</v>
      </c>
      <c r="C1787" s="18">
        <v>2046</v>
      </c>
      <c r="D1787" t="s">
        <v>174</v>
      </c>
      <c r="E1787" s="9">
        <v>23895.964489056099</v>
      </c>
      <c r="F1787" s="9">
        <v>16176.1171368946</v>
      </c>
      <c r="G1787" s="9">
        <v>23868.217944038799</v>
      </c>
      <c r="H1787" s="9">
        <v>16165.2905403234</v>
      </c>
      <c r="I1787" s="21">
        <f t="shared" si="54"/>
        <v>-10.826596571199843</v>
      </c>
      <c r="J1787" s="21">
        <f t="shared" si="55"/>
        <v>-27.746545017300377</v>
      </c>
    </row>
    <row r="1788" spans="1:10" hidden="1">
      <c r="A1788" t="s">
        <v>261</v>
      </c>
      <c r="B1788" t="s">
        <v>424</v>
      </c>
      <c r="C1788" s="18">
        <v>2046</v>
      </c>
      <c r="D1788" t="s">
        <v>236</v>
      </c>
      <c r="E1788" s="9">
        <v>1255628.8674889801</v>
      </c>
      <c r="F1788" s="9">
        <v>298476.94249911699</v>
      </c>
      <c r="G1788" s="9">
        <v>1268475.9563321201</v>
      </c>
      <c r="H1788" s="9">
        <v>299596.92866613797</v>
      </c>
      <c r="I1788" s="21">
        <f t="shared" si="54"/>
        <v>1119.9861670209793</v>
      </c>
      <c r="J1788" s="21">
        <f t="shared" si="55"/>
        <v>12847.088843140053</v>
      </c>
    </row>
    <row r="1789" spans="1:10" hidden="1">
      <c r="A1789" t="s">
        <v>261</v>
      </c>
      <c r="B1789" t="s">
        <v>424</v>
      </c>
      <c r="C1789" s="18">
        <v>2046</v>
      </c>
      <c r="D1789" t="s">
        <v>182</v>
      </c>
      <c r="E1789" s="9">
        <v>142318.227140412</v>
      </c>
      <c r="F1789" s="9">
        <v>91246.043500817599</v>
      </c>
      <c r="G1789" s="9">
        <v>142194.05365060701</v>
      </c>
      <c r="H1789" s="9">
        <v>91198.890942598402</v>
      </c>
      <c r="I1789" s="21">
        <f t="shared" si="54"/>
        <v>-47.15255821919709</v>
      </c>
      <c r="J1789" s="21">
        <f t="shared" si="55"/>
        <v>-124.17348980499082</v>
      </c>
    </row>
    <row r="1790" spans="1:10" hidden="1">
      <c r="A1790" t="s">
        <v>261</v>
      </c>
      <c r="B1790" t="s">
        <v>424</v>
      </c>
      <c r="C1790" s="18">
        <v>2046</v>
      </c>
      <c r="D1790" t="s">
        <v>185</v>
      </c>
      <c r="E1790" s="9">
        <v>268461.97544488701</v>
      </c>
      <c r="F1790" s="9">
        <v>254207.51384737401</v>
      </c>
      <c r="G1790" s="9">
        <v>269923.25168294698</v>
      </c>
      <c r="H1790" s="9">
        <v>255431.16141281699</v>
      </c>
      <c r="I1790" s="21">
        <f t="shared" si="54"/>
        <v>1223.6475654429814</v>
      </c>
      <c r="J1790" s="21">
        <f t="shared" si="55"/>
        <v>1461.2762380599743</v>
      </c>
    </row>
    <row r="1791" spans="1:10" hidden="1">
      <c r="A1791" t="s">
        <v>261</v>
      </c>
      <c r="B1791" t="s">
        <v>424</v>
      </c>
      <c r="C1791" s="18">
        <v>2046</v>
      </c>
      <c r="D1791" t="s">
        <v>188</v>
      </c>
      <c r="E1791" s="9">
        <v>765646.83875295694</v>
      </c>
      <c r="F1791" s="9">
        <v>472654.73002187698</v>
      </c>
      <c r="G1791" s="9">
        <v>778095.84267256199</v>
      </c>
      <c r="H1791" s="9">
        <v>477828.93173194502</v>
      </c>
      <c r="I1791" s="21">
        <f t="shared" si="54"/>
        <v>5174.2017100680387</v>
      </c>
      <c r="J1791" s="21">
        <f t="shared" si="55"/>
        <v>12449.003919605049</v>
      </c>
    </row>
    <row r="1792" spans="1:10" hidden="1">
      <c r="A1792" t="s">
        <v>261</v>
      </c>
      <c r="B1792" t="s">
        <v>424</v>
      </c>
      <c r="C1792" s="18">
        <v>2046</v>
      </c>
      <c r="D1792" t="s">
        <v>191</v>
      </c>
      <c r="E1792" s="9">
        <v>383045.169622507</v>
      </c>
      <c r="F1792" s="9">
        <v>205631.86335116901</v>
      </c>
      <c r="G1792" s="9">
        <v>387151.42704479198</v>
      </c>
      <c r="H1792" s="9">
        <v>207048.94525460299</v>
      </c>
      <c r="I1792" s="21">
        <f t="shared" si="54"/>
        <v>1417.0819034339802</v>
      </c>
      <c r="J1792" s="21">
        <f t="shared" si="55"/>
        <v>4106.2574222849798</v>
      </c>
    </row>
    <row r="1793" spans="1:10" hidden="1">
      <c r="A1793" t="s">
        <v>261</v>
      </c>
      <c r="B1793" t="s">
        <v>424</v>
      </c>
      <c r="C1793" s="18">
        <v>2046</v>
      </c>
      <c r="D1793" t="s">
        <v>422</v>
      </c>
      <c r="E1793" s="9">
        <v>34688.324369105001</v>
      </c>
      <c r="F1793" s="9">
        <v>2335.6740144303299</v>
      </c>
      <c r="G1793" s="9">
        <v>34688.296767041</v>
      </c>
      <c r="H1793" s="9">
        <v>2335.6726092736399</v>
      </c>
      <c r="I1793" s="21">
        <f t="shared" si="54"/>
        <v>-1.4051566899979662E-3</v>
      </c>
      <c r="J1793" s="21">
        <f t="shared" si="55"/>
        <v>-2.7602064001257531E-2</v>
      </c>
    </row>
    <row r="1794" spans="1:10" hidden="1">
      <c r="A1794" t="s">
        <v>261</v>
      </c>
      <c r="B1794" t="s">
        <v>424</v>
      </c>
      <c r="C1794" s="18">
        <v>2047</v>
      </c>
      <c r="D1794" t="s">
        <v>174</v>
      </c>
      <c r="E1794" s="9">
        <v>24607.278460429701</v>
      </c>
      <c r="F1794" s="9">
        <v>16581.170143327599</v>
      </c>
      <c r="G1794" s="9">
        <v>24575.685129363199</v>
      </c>
      <c r="H1794" s="9">
        <v>16568.574829924401</v>
      </c>
      <c r="I1794" s="21">
        <f t="shared" ref="I1794:I1857" si="56">H1794-F1794</f>
        <v>-12.595313403198816</v>
      </c>
      <c r="J1794" s="21">
        <f t="shared" ref="J1794:J1857" si="57">G1794-E1794</f>
        <v>-31.593331066502287</v>
      </c>
    </row>
    <row r="1795" spans="1:10" hidden="1">
      <c r="A1795" t="s">
        <v>261</v>
      </c>
      <c r="B1795" t="s">
        <v>424</v>
      </c>
      <c r="C1795" s="18">
        <v>2047</v>
      </c>
      <c r="D1795" t="s">
        <v>236</v>
      </c>
      <c r="E1795" s="9">
        <v>1262921.5449192901</v>
      </c>
      <c r="F1795" s="9">
        <v>305954.17432988703</v>
      </c>
      <c r="G1795" s="9">
        <v>1276073.4846977801</v>
      </c>
      <c r="H1795" s="9">
        <v>307176.00873862102</v>
      </c>
      <c r="I1795" s="21">
        <f t="shared" si="56"/>
        <v>1221.8344087339938</v>
      </c>
      <c r="J1795" s="21">
        <f t="shared" si="57"/>
        <v>13151.939778489992</v>
      </c>
    </row>
    <row r="1796" spans="1:10" hidden="1">
      <c r="A1796" t="s">
        <v>261</v>
      </c>
      <c r="B1796" t="s">
        <v>424</v>
      </c>
      <c r="C1796" s="18">
        <v>2047</v>
      </c>
      <c r="D1796" t="s">
        <v>182</v>
      </c>
      <c r="E1796" s="9">
        <v>144384.477511918</v>
      </c>
      <c r="F1796" s="9">
        <v>92387.436715594595</v>
      </c>
      <c r="G1796" s="9">
        <v>144246.070856709</v>
      </c>
      <c r="H1796" s="9">
        <v>92333.888291156894</v>
      </c>
      <c r="I1796" s="21">
        <f t="shared" si="56"/>
        <v>-53.548424437700305</v>
      </c>
      <c r="J1796" s="21">
        <f t="shared" si="57"/>
        <v>-138.40665520899347</v>
      </c>
    </row>
    <row r="1797" spans="1:10" hidden="1">
      <c r="A1797" t="s">
        <v>261</v>
      </c>
      <c r="B1797" t="s">
        <v>424</v>
      </c>
      <c r="C1797" s="18">
        <v>2047</v>
      </c>
      <c r="D1797" t="s">
        <v>185</v>
      </c>
      <c r="E1797" s="9">
        <v>267666.58689097501</v>
      </c>
      <c r="F1797" s="9">
        <v>253509.160820755</v>
      </c>
      <c r="G1797" s="9">
        <v>269145.73066835199</v>
      </c>
      <c r="H1797" s="9">
        <v>254760.803670819</v>
      </c>
      <c r="I1797" s="21">
        <f t="shared" si="56"/>
        <v>1251.6428500640031</v>
      </c>
      <c r="J1797" s="21">
        <f t="shared" si="57"/>
        <v>1479.1437773769721</v>
      </c>
    </row>
    <row r="1798" spans="1:10" hidden="1">
      <c r="A1798" t="s">
        <v>261</v>
      </c>
      <c r="B1798" t="s">
        <v>424</v>
      </c>
      <c r="C1798" s="18">
        <v>2047</v>
      </c>
      <c r="D1798" t="s">
        <v>188</v>
      </c>
      <c r="E1798" s="9">
        <v>774032.31226607005</v>
      </c>
      <c r="F1798" s="9">
        <v>479165.157099184</v>
      </c>
      <c r="G1798" s="9">
        <v>786867.36601765698</v>
      </c>
      <c r="H1798" s="9">
        <v>484667.16956347</v>
      </c>
      <c r="I1798" s="21">
        <f t="shared" si="56"/>
        <v>5502.0124642860028</v>
      </c>
      <c r="J1798" s="21">
        <f t="shared" si="57"/>
        <v>12835.053751586936</v>
      </c>
    </row>
    <row r="1799" spans="1:10" hidden="1">
      <c r="A1799" t="s">
        <v>261</v>
      </c>
      <c r="B1799" t="s">
        <v>424</v>
      </c>
      <c r="C1799" s="18">
        <v>2047</v>
      </c>
      <c r="D1799" t="s">
        <v>191</v>
      </c>
      <c r="E1799" s="9">
        <v>386378.113091217</v>
      </c>
      <c r="F1799" s="9">
        <v>207661.050440099</v>
      </c>
      <c r="G1799" s="9">
        <v>390597.57749152998</v>
      </c>
      <c r="H1799" s="9">
        <v>209160.85891574901</v>
      </c>
      <c r="I1799" s="21">
        <f t="shared" si="56"/>
        <v>1499.8084756500029</v>
      </c>
      <c r="J1799" s="21">
        <f t="shared" si="57"/>
        <v>4219.4644003129797</v>
      </c>
    </row>
    <row r="1800" spans="1:10" hidden="1">
      <c r="A1800" t="s">
        <v>261</v>
      </c>
      <c r="B1800" t="s">
        <v>424</v>
      </c>
      <c r="C1800" s="18">
        <v>2047</v>
      </c>
      <c r="D1800" t="s">
        <v>422</v>
      </c>
      <c r="E1800" s="9">
        <v>34402.481475127403</v>
      </c>
      <c r="F1800" s="9">
        <v>2222.2529509978299</v>
      </c>
      <c r="G1800" s="9">
        <v>34402.454286141998</v>
      </c>
      <c r="H1800" s="9">
        <v>2222.2517838233198</v>
      </c>
      <c r="I1800" s="21">
        <f t="shared" si="56"/>
        <v>-1.1671745101011766E-3</v>
      </c>
      <c r="J1800" s="21">
        <f t="shared" si="57"/>
        <v>-2.718898540479131E-2</v>
      </c>
    </row>
    <row r="1801" spans="1:10" hidden="1">
      <c r="A1801" t="s">
        <v>261</v>
      </c>
      <c r="B1801" t="s">
        <v>424</v>
      </c>
      <c r="C1801" s="18">
        <v>2048</v>
      </c>
      <c r="D1801" t="s">
        <v>174</v>
      </c>
      <c r="E1801" s="9">
        <v>25318.6071289623</v>
      </c>
      <c r="F1801" s="9">
        <v>16997.510490458899</v>
      </c>
      <c r="G1801" s="9">
        <v>25282.866550534</v>
      </c>
      <c r="H1801" s="9">
        <v>16982.967131377602</v>
      </c>
      <c r="I1801" s="21">
        <f t="shared" si="56"/>
        <v>-14.54335908129724</v>
      </c>
      <c r="J1801" s="21">
        <f t="shared" si="57"/>
        <v>-35.740578428300068</v>
      </c>
    </row>
    <row r="1802" spans="1:10" hidden="1">
      <c r="A1802" t="s">
        <v>261</v>
      </c>
      <c r="B1802" t="s">
        <v>424</v>
      </c>
      <c r="C1802" s="18">
        <v>2048</v>
      </c>
      <c r="D1802" t="s">
        <v>236</v>
      </c>
      <c r="E1802" s="9">
        <v>1270032.8380077099</v>
      </c>
      <c r="F1802" s="9">
        <v>313224.01800731599</v>
      </c>
      <c r="G1802" s="9">
        <v>1283467.7529534199</v>
      </c>
      <c r="H1802" s="9">
        <v>314549.83162807999</v>
      </c>
      <c r="I1802" s="21">
        <f t="shared" si="56"/>
        <v>1325.8136207640055</v>
      </c>
      <c r="J1802" s="21">
        <f t="shared" si="57"/>
        <v>13434.914945709985</v>
      </c>
    </row>
    <row r="1803" spans="1:10" hidden="1">
      <c r="A1803" t="s">
        <v>261</v>
      </c>
      <c r="B1803" t="s">
        <v>424</v>
      </c>
      <c r="C1803" s="18">
        <v>2048</v>
      </c>
      <c r="D1803" t="s">
        <v>182</v>
      </c>
      <c r="E1803" s="9">
        <v>146567.04538350101</v>
      </c>
      <c r="F1803" s="9">
        <v>93487.848461603295</v>
      </c>
      <c r="G1803" s="9">
        <v>146413.85314917401</v>
      </c>
      <c r="H1803" s="9">
        <v>93427.507277048993</v>
      </c>
      <c r="I1803" s="21">
        <f t="shared" si="56"/>
        <v>-60.341184554301435</v>
      </c>
      <c r="J1803" s="21">
        <f t="shared" si="57"/>
        <v>-153.192234326998</v>
      </c>
    </row>
    <row r="1804" spans="1:10" hidden="1">
      <c r="A1804" t="s">
        <v>261</v>
      </c>
      <c r="B1804" t="s">
        <v>424</v>
      </c>
      <c r="C1804" s="18">
        <v>2048</v>
      </c>
      <c r="D1804" t="s">
        <v>185</v>
      </c>
      <c r="E1804" s="9">
        <v>266593.03643719002</v>
      </c>
      <c r="F1804" s="9">
        <v>252596.65267918701</v>
      </c>
      <c r="G1804" s="9">
        <v>268085.44794583402</v>
      </c>
      <c r="H1804" s="9">
        <v>253872.04741882399</v>
      </c>
      <c r="I1804" s="21">
        <f t="shared" si="56"/>
        <v>1275.3947396369767</v>
      </c>
      <c r="J1804" s="21">
        <f t="shared" si="57"/>
        <v>1492.4115086439997</v>
      </c>
    </row>
    <row r="1805" spans="1:10" hidden="1">
      <c r="A1805" t="s">
        <v>261</v>
      </c>
      <c r="B1805" t="s">
        <v>424</v>
      </c>
      <c r="C1805" s="18">
        <v>2048</v>
      </c>
      <c r="D1805" t="s">
        <v>188</v>
      </c>
      <c r="E1805" s="9">
        <v>782587.83639167901</v>
      </c>
      <c r="F1805" s="9">
        <v>485487.11028716603</v>
      </c>
      <c r="G1805" s="9">
        <v>795796.81940173404</v>
      </c>
      <c r="H1805" s="9">
        <v>491307.70932856598</v>
      </c>
      <c r="I1805" s="21">
        <f t="shared" si="56"/>
        <v>5820.5990413999534</v>
      </c>
      <c r="J1805" s="21">
        <f t="shared" si="57"/>
        <v>13208.983010055032</v>
      </c>
    </row>
    <row r="1806" spans="1:10" hidden="1">
      <c r="A1806" t="s">
        <v>261</v>
      </c>
      <c r="B1806" t="s">
        <v>424</v>
      </c>
      <c r="C1806" s="18">
        <v>2048</v>
      </c>
      <c r="D1806" t="s">
        <v>191</v>
      </c>
      <c r="E1806" s="9">
        <v>389975.68233860802</v>
      </c>
      <c r="F1806" s="9">
        <v>209609.35781146301</v>
      </c>
      <c r="G1806" s="9">
        <v>394306.23400907399</v>
      </c>
      <c r="H1806" s="9">
        <v>211189.299415093</v>
      </c>
      <c r="I1806" s="21">
        <f t="shared" si="56"/>
        <v>1579.9416036299954</v>
      </c>
      <c r="J1806" s="21">
        <f t="shared" si="57"/>
        <v>4330.5516704659676</v>
      </c>
    </row>
    <row r="1807" spans="1:10" hidden="1">
      <c r="A1807" t="s">
        <v>261</v>
      </c>
      <c r="B1807" t="s">
        <v>424</v>
      </c>
      <c r="C1807" s="18">
        <v>2048</v>
      </c>
      <c r="D1807" t="s">
        <v>422</v>
      </c>
      <c r="E1807" s="9">
        <v>34278.890762684801</v>
      </c>
      <c r="F1807" s="9">
        <v>2112.6627442006402</v>
      </c>
      <c r="G1807" s="9">
        <v>34278.863496812097</v>
      </c>
      <c r="H1807" s="9">
        <v>2112.6617453372501</v>
      </c>
      <c r="I1807" s="21">
        <f t="shared" si="56"/>
        <v>-9.9886339012300596E-4</v>
      </c>
      <c r="J1807" s="21">
        <f t="shared" si="57"/>
        <v>-2.7265872704447247E-2</v>
      </c>
    </row>
    <row r="1808" spans="1:10" hidden="1">
      <c r="A1808" t="s">
        <v>261</v>
      </c>
      <c r="B1808" t="s">
        <v>424</v>
      </c>
      <c r="C1808" s="18">
        <v>2049</v>
      </c>
      <c r="D1808" t="s">
        <v>174</v>
      </c>
      <c r="E1808" s="9">
        <v>26026.715751181</v>
      </c>
      <c r="F1808" s="9">
        <v>17423.3352796691</v>
      </c>
      <c r="G1808" s="9">
        <v>25986.5373789525</v>
      </c>
      <c r="H1808" s="9">
        <v>17406.659114093502</v>
      </c>
      <c r="I1808" s="21">
        <f t="shared" si="56"/>
        <v>-16.676165575598134</v>
      </c>
      <c r="J1808" s="21">
        <f t="shared" si="57"/>
        <v>-40.178372228499939</v>
      </c>
    </row>
    <row r="1809" spans="1:10" hidden="1">
      <c r="A1809" t="s">
        <v>261</v>
      </c>
      <c r="B1809" t="s">
        <v>424</v>
      </c>
      <c r="C1809" s="18">
        <v>2049</v>
      </c>
      <c r="D1809" t="s">
        <v>236</v>
      </c>
      <c r="E1809" s="9">
        <v>1276990.0716591801</v>
      </c>
      <c r="F1809" s="9">
        <v>320308.82103648002</v>
      </c>
      <c r="G1809" s="9">
        <v>1290687.53512959</v>
      </c>
      <c r="H1809" s="9">
        <v>321740.50114880601</v>
      </c>
      <c r="I1809" s="21">
        <f t="shared" si="56"/>
        <v>1431.6801123259938</v>
      </c>
      <c r="J1809" s="21">
        <f t="shared" si="57"/>
        <v>13697.463470409857</v>
      </c>
    </row>
    <row r="1810" spans="1:10" hidden="1">
      <c r="A1810" t="s">
        <v>261</v>
      </c>
      <c r="B1810" t="s">
        <v>424</v>
      </c>
      <c r="C1810" s="18">
        <v>2049</v>
      </c>
      <c r="D1810" t="s">
        <v>182</v>
      </c>
      <c r="E1810" s="9">
        <v>148049.817725776</v>
      </c>
      <c r="F1810" s="9">
        <v>94614.408263421297</v>
      </c>
      <c r="G1810" s="9">
        <v>147882.09983734801</v>
      </c>
      <c r="H1810" s="9">
        <v>94546.865675552195</v>
      </c>
      <c r="I1810" s="21">
        <f t="shared" si="56"/>
        <v>-67.542587869102135</v>
      </c>
      <c r="J1810" s="21">
        <f t="shared" si="57"/>
        <v>-167.7178884279856</v>
      </c>
    </row>
    <row r="1811" spans="1:10" hidden="1">
      <c r="A1811" t="s">
        <v>261</v>
      </c>
      <c r="B1811" t="s">
        <v>424</v>
      </c>
      <c r="C1811" s="18">
        <v>2049</v>
      </c>
      <c r="D1811" t="s">
        <v>185</v>
      </c>
      <c r="E1811" s="9">
        <v>265500.84444315702</v>
      </c>
      <c r="F1811" s="9">
        <v>251809.02759890599</v>
      </c>
      <c r="G1811" s="9">
        <v>267003.55015502701</v>
      </c>
      <c r="H1811" s="9">
        <v>253105.506935702</v>
      </c>
      <c r="I1811" s="21">
        <f t="shared" si="56"/>
        <v>1296.4793367960083</v>
      </c>
      <c r="J1811" s="21">
        <f t="shared" si="57"/>
        <v>1502.7057118699886</v>
      </c>
    </row>
    <row r="1812" spans="1:10" hidden="1">
      <c r="A1812" t="s">
        <v>261</v>
      </c>
      <c r="B1812" t="s">
        <v>424</v>
      </c>
      <c r="C1812" s="18">
        <v>2049</v>
      </c>
      <c r="D1812" t="s">
        <v>188</v>
      </c>
      <c r="E1812" s="9">
        <v>788082.48639607301</v>
      </c>
      <c r="F1812" s="9">
        <v>491876.41081402398</v>
      </c>
      <c r="G1812" s="9">
        <v>801596.85366425803</v>
      </c>
      <c r="H1812" s="9">
        <v>498010.65152404399</v>
      </c>
      <c r="I1812" s="21">
        <f t="shared" si="56"/>
        <v>6134.2407100200071</v>
      </c>
      <c r="J1812" s="21">
        <f t="shared" si="57"/>
        <v>13514.367268185015</v>
      </c>
    </row>
    <row r="1813" spans="1:10" hidden="1">
      <c r="A1813" t="s">
        <v>261</v>
      </c>
      <c r="B1813" t="s">
        <v>424</v>
      </c>
      <c r="C1813" s="18">
        <v>2049</v>
      </c>
      <c r="D1813" t="s">
        <v>191</v>
      </c>
      <c r="E1813" s="9">
        <v>391645.09634136898</v>
      </c>
      <c r="F1813" s="9">
        <v>211921.81099973299</v>
      </c>
      <c r="G1813" s="9">
        <v>396058.615955627</v>
      </c>
      <c r="H1813" s="9">
        <v>213580.236200068</v>
      </c>
      <c r="I1813" s="21">
        <f t="shared" si="56"/>
        <v>1658.4252003350121</v>
      </c>
      <c r="J1813" s="21">
        <f t="shared" si="57"/>
        <v>4413.5196142580244</v>
      </c>
    </row>
    <row r="1814" spans="1:10" hidden="1">
      <c r="A1814" t="s">
        <v>261</v>
      </c>
      <c r="B1814" t="s">
        <v>424</v>
      </c>
      <c r="C1814" s="18">
        <v>2049</v>
      </c>
      <c r="D1814" t="s">
        <v>422</v>
      </c>
      <c r="E1814" s="9">
        <v>34087.786060094397</v>
      </c>
      <c r="F1814" s="9">
        <v>1998.5930445645699</v>
      </c>
      <c r="G1814" s="9">
        <v>34087.762706701098</v>
      </c>
      <c r="H1814" s="9">
        <v>1998.5922336333499</v>
      </c>
      <c r="I1814" s="21">
        <f t="shared" si="56"/>
        <v>-8.1093122003039753E-4</v>
      </c>
      <c r="J1814" s="21">
        <f t="shared" si="57"/>
        <v>-2.3353393298748415E-2</v>
      </c>
    </row>
    <row r="1815" spans="1:10" hidden="1">
      <c r="A1815" t="s">
        <v>261</v>
      </c>
      <c r="B1815" t="s">
        <v>424</v>
      </c>
      <c r="C1815" s="18">
        <v>2050</v>
      </c>
      <c r="D1815" t="s">
        <v>174</v>
      </c>
      <c r="E1815" s="9">
        <v>26735.025647045801</v>
      </c>
      <c r="F1815" s="9">
        <v>17847.6119117819</v>
      </c>
      <c r="G1815" s="9">
        <v>26690.1101954068</v>
      </c>
      <c r="H1815" s="9">
        <v>17828.637482456001</v>
      </c>
      <c r="I1815" s="21">
        <f t="shared" si="56"/>
        <v>-18.974429325899109</v>
      </c>
      <c r="J1815" s="21">
        <f t="shared" si="57"/>
        <v>-44.915451639000821</v>
      </c>
    </row>
    <row r="1816" spans="1:10" hidden="1">
      <c r="A1816" t="s">
        <v>261</v>
      </c>
      <c r="B1816" t="s">
        <v>424</v>
      </c>
      <c r="C1816" s="18">
        <v>2050</v>
      </c>
      <c r="D1816" t="s">
        <v>236</v>
      </c>
      <c r="E1816" s="9">
        <v>1283856.86729478</v>
      </c>
      <c r="F1816" s="9">
        <v>327194.951464877</v>
      </c>
      <c r="G1816" s="9">
        <v>1297798.19122542</v>
      </c>
      <c r="H1816" s="9">
        <v>328734.06146541203</v>
      </c>
      <c r="I1816" s="21">
        <f t="shared" si="56"/>
        <v>1539.1100005350308</v>
      </c>
      <c r="J1816" s="21">
        <f t="shared" si="57"/>
        <v>13941.323930640006</v>
      </c>
    </row>
    <row r="1817" spans="1:10" hidden="1">
      <c r="A1817" t="s">
        <v>261</v>
      </c>
      <c r="B1817" t="s">
        <v>424</v>
      </c>
      <c r="C1817" s="18">
        <v>2050</v>
      </c>
      <c r="D1817" t="s">
        <v>182</v>
      </c>
      <c r="E1817" s="9">
        <v>149732.92225803301</v>
      </c>
      <c r="F1817" s="9">
        <v>95701.015641482794</v>
      </c>
      <c r="G1817" s="9">
        <v>149549.878981469</v>
      </c>
      <c r="H1817" s="9">
        <v>95625.943969428394</v>
      </c>
      <c r="I1817" s="21">
        <f t="shared" si="56"/>
        <v>-75.071672054400551</v>
      </c>
      <c r="J1817" s="21">
        <f t="shared" si="57"/>
        <v>-183.04327656401438</v>
      </c>
    </row>
    <row r="1818" spans="1:10" hidden="1">
      <c r="A1818" t="s">
        <v>261</v>
      </c>
      <c r="B1818" t="s">
        <v>424</v>
      </c>
      <c r="C1818" s="18">
        <v>2050</v>
      </c>
      <c r="D1818" t="s">
        <v>185</v>
      </c>
      <c r="E1818" s="9">
        <v>264520.21202142001</v>
      </c>
      <c r="F1818" s="9">
        <v>250844.801811843</v>
      </c>
      <c r="G1818" s="9">
        <v>266031.496410964</v>
      </c>
      <c r="H1818" s="9">
        <v>252158.93315896901</v>
      </c>
      <c r="I1818" s="21">
        <f t="shared" si="56"/>
        <v>1314.1313471260073</v>
      </c>
      <c r="J1818" s="21">
        <f t="shared" si="57"/>
        <v>1511.2843895439873</v>
      </c>
    </row>
    <row r="1819" spans="1:10" hidden="1">
      <c r="A1819" t="s">
        <v>261</v>
      </c>
      <c r="B1819" t="s">
        <v>424</v>
      </c>
      <c r="C1819" s="18">
        <v>2050</v>
      </c>
      <c r="D1819" t="s">
        <v>188</v>
      </c>
      <c r="E1819" s="9">
        <v>795184.50312520505</v>
      </c>
      <c r="F1819" s="9">
        <v>497650.30157515802</v>
      </c>
      <c r="G1819" s="9">
        <v>809018.72253896797</v>
      </c>
      <c r="H1819" s="9">
        <v>504089.42679186398</v>
      </c>
      <c r="I1819" s="21">
        <f t="shared" si="56"/>
        <v>6439.1252167059574</v>
      </c>
      <c r="J1819" s="21">
        <f t="shared" si="57"/>
        <v>13834.219413762912</v>
      </c>
    </row>
    <row r="1820" spans="1:10" hidden="1">
      <c r="A1820" t="s">
        <v>261</v>
      </c>
      <c r="B1820" t="s">
        <v>424</v>
      </c>
      <c r="C1820" s="18">
        <v>2050</v>
      </c>
      <c r="D1820" t="s">
        <v>191</v>
      </c>
      <c r="E1820" s="9">
        <v>394059.342752998</v>
      </c>
      <c r="F1820" s="9">
        <v>213836.724971966</v>
      </c>
      <c r="G1820" s="9">
        <v>398560.03791860503</v>
      </c>
      <c r="H1820" s="9">
        <v>215570.73744048199</v>
      </c>
      <c r="I1820" s="21">
        <f t="shared" si="56"/>
        <v>1734.0124685159826</v>
      </c>
      <c r="J1820" s="21">
        <f t="shared" si="57"/>
        <v>4500.6951656070305</v>
      </c>
    </row>
    <row r="1821" spans="1:10" hidden="1">
      <c r="A1821" t="s">
        <v>261</v>
      </c>
      <c r="B1821" t="s">
        <v>424</v>
      </c>
      <c r="C1821" s="18">
        <v>2050</v>
      </c>
      <c r="D1821" t="s">
        <v>422</v>
      </c>
      <c r="E1821" s="9">
        <v>33926.503078960297</v>
      </c>
      <c r="F1821" s="9">
        <v>1888.5155369233</v>
      </c>
      <c r="G1821" s="9">
        <v>33926.479042696701</v>
      </c>
      <c r="H1821" s="9">
        <v>1888.5150098655699</v>
      </c>
      <c r="I1821" s="21">
        <f t="shared" si="56"/>
        <v>-5.2705773009620316E-4</v>
      </c>
      <c r="J1821" s="21">
        <f t="shared" si="57"/>
        <v>-2.4036263595917262E-2</v>
      </c>
    </row>
    <row r="1822" spans="1:10">
      <c r="A1822" t="s">
        <v>247</v>
      </c>
      <c r="B1822" t="s">
        <v>249</v>
      </c>
      <c r="C1822" s="18">
        <v>2025</v>
      </c>
      <c r="D1822" t="s">
        <v>174</v>
      </c>
      <c r="E1822" s="9">
        <v>12176.1707137429</v>
      </c>
      <c r="F1822" s="9">
        <v>8959.2701472679</v>
      </c>
      <c r="G1822" s="9">
        <v>12176.1707137429</v>
      </c>
      <c r="H1822" s="9">
        <v>8959.2701472679</v>
      </c>
      <c r="I1822" s="21">
        <f t="shared" si="56"/>
        <v>0</v>
      </c>
      <c r="J1822" s="21">
        <f t="shared" si="57"/>
        <v>0</v>
      </c>
    </row>
    <row r="1823" spans="1:10">
      <c r="A1823" t="s">
        <v>247</v>
      </c>
      <c r="B1823" t="s">
        <v>249</v>
      </c>
      <c r="C1823" s="18">
        <v>2025</v>
      </c>
      <c r="D1823" t="s">
        <v>236</v>
      </c>
      <c r="E1823" s="9">
        <v>1026758.5711338</v>
      </c>
      <c r="F1823" s="9">
        <v>129383.32321031499</v>
      </c>
      <c r="G1823" s="9">
        <v>1026758.5711338</v>
      </c>
      <c r="H1823" s="9">
        <v>129383.32321031499</v>
      </c>
      <c r="I1823" s="21">
        <f t="shared" si="56"/>
        <v>0</v>
      </c>
      <c r="J1823" s="21">
        <f t="shared" si="57"/>
        <v>0</v>
      </c>
    </row>
    <row r="1824" spans="1:10">
      <c r="A1824" t="s">
        <v>247</v>
      </c>
      <c r="B1824" t="s">
        <v>249</v>
      </c>
      <c r="C1824" s="18">
        <v>2025</v>
      </c>
      <c r="D1824" t="s">
        <v>182</v>
      </c>
      <c r="E1824" s="9">
        <v>115291.15986546699</v>
      </c>
      <c r="F1824" s="9">
        <v>67656.558989495796</v>
      </c>
      <c r="G1824" s="9">
        <v>115291.15986546699</v>
      </c>
      <c r="H1824" s="9">
        <v>67656.558989495796</v>
      </c>
      <c r="I1824" s="21">
        <f t="shared" si="56"/>
        <v>0</v>
      </c>
      <c r="J1824" s="21">
        <f t="shared" si="57"/>
        <v>0</v>
      </c>
    </row>
    <row r="1825" spans="1:10">
      <c r="A1825" t="s">
        <v>247</v>
      </c>
      <c r="B1825" t="s">
        <v>249</v>
      </c>
      <c r="C1825" s="18">
        <v>2025</v>
      </c>
      <c r="D1825" t="s">
        <v>185</v>
      </c>
      <c r="E1825" s="9">
        <v>281662.55341658002</v>
      </c>
      <c r="F1825" s="9">
        <v>263295.70058044</v>
      </c>
      <c r="G1825" s="9">
        <v>281662.55341658002</v>
      </c>
      <c r="H1825" s="9">
        <v>263295.70058044</v>
      </c>
      <c r="I1825" s="21">
        <f t="shared" si="56"/>
        <v>0</v>
      </c>
      <c r="J1825" s="21">
        <f t="shared" si="57"/>
        <v>0</v>
      </c>
    </row>
    <row r="1826" spans="1:10">
      <c r="A1826" t="s">
        <v>247</v>
      </c>
      <c r="B1826" t="s">
        <v>249</v>
      </c>
      <c r="C1826" s="18">
        <v>2025</v>
      </c>
      <c r="D1826" t="s">
        <v>188</v>
      </c>
      <c r="E1826" s="9">
        <v>612171.634776233</v>
      </c>
      <c r="F1826" s="9">
        <v>335724.86979376699</v>
      </c>
      <c r="G1826" s="9">
        <v>612171.634776233</v>
      </c>
      <c r="H1826" s="9">
        <v>335724.86979376699</v>
      </c>
      <c r="I1826" s="21">
        <f t="shared" si="56"/>
        <v>0</v>
      </c>
      <c r="J1826" s="21">
        <f t="shared" si="57"/>
        <v>0</v>
      </c>
    </row>
    <row r="1827" spans="1:10">
      <c r="A1827" t="s">
        <v>247</v>
      </c>
      <c r="B1827" t="s">
        <v>249</v>
      </c>
      <c r="C1827" s="18">
        <v>2025</v>
      </c>
      <c r="D1827" t="s">
        <v>191</v>
      </c>
      <c r="E1827" s="9">
        <v>339642.13012673298</v>
      </c>
      <c r="F1827" s="9">
        <v>190841.880003208</v>
      </c>
      <c r="G1827" s="9">
        <v>339642.13012673298</v>
      </c>
      <c r="H1827" s="9">
        <v>190841.880003208</v>
      </c>
      <c r="I1827" s="21">
        <f t="shared" si="56"/>
        <v>0</v>
      </c>
      <c r="J1827" s="21">
        <f t="shared" si="57"/>
        <v>0</v>
      </c>
    </row>
    <row r="1828" spans="1:10">
      <c r="A1828" t="s">
        <v>247</v>
      </c>
      <c r="B1828" t="s">
        <v>249</v>
      </c>
      <c r="C1828" s="18">
        <v>2025</v>
      </c>
      <c r="D1828" t="s">
        <v>422</v>
      </c>
      <c r="E1828" s="9">
        <v>39660.836547407802</v>
      </c>
      <c r="F1828" s="9">
        <v>5303.4223017440199</v>
      </c>
      <c r="G1828" s="9">
        <v>39660.836547407802</v>
      </c>
      <c r="H1828" s="9">
        <v>5303.4223017440199</v>
      </c>
      <c r="I1828" s="21">
        <f t="shared" si="56"/>
        <v>0</v>
      </c>
      <c r="J1828" s="21">
        <f t="shared" si="57"/>
        <v>0</v>
      </c>
    </row>
    <row r="1829" spans="1:10">
      <c r="A1829" t="s">
        <v>247</v>
      </c>
      <c r="B1829" t="s">
        <v>249</v>
      </c>
      <c r="C1829" s="18">
        <v>2026</v>
      </c>
      <c r="D1829" t="s">
        <v>174</v>
      </c>
      <c r="E1829" s="9">
        <v>12568.9386470114</v>
      </c>
      <c r="F1829" s="9">
        <v>9271.1333627081003</v>
      </c>
      <c r="G1829" s="9">
        <v>12568.9386470114</v>
      </c>
      <c r="H1829" s="9">
        <v>9271.1333627081003</v>
      </c>
      <c r="I1829" s="21">
        <f t="shared" si="56"/>
        <v>0</v>
      </c>
      <c r="J1829" s="21">
        <f t="shared" si="57"/>
        <v>0</v>
      </c>
    </row>
    <row r="1830" spans="1:10">
      <c r="A1830" t="s">
        <v>247</v>
      </c>
      <c r="B1830" t="s">
        <v>249</v>
      </c>
      <c r="C1830" s="18">
        <v>2026</v>
      </c>
      <c r="D1830" t="s">
        <v>236</v>
      </c>
      <c r="E1830" s="9">
        <v>1042135.18581351</v>
      </c>
      <c r="F1830" s="9">
        <v>137145.82895878801</v>
      </c>
      <c r="G1830" s="9">
        <v>1042135.18581351</v>
      </c>
      <c r="H1830" s="9">
        <v>137145.82895878801</v>
      </c>
      <c r="I1830" s="21">
        <f t="shared" si="56"/>
        <v>0</v>
      </c>
      <c r="J1830" s="21">
        <f t="shared" si="57"/>
        <v>0</v>
      </c>
    </row>
    <row r="1831" spans="1:10">
      <c r="A1831" t="s">
        <v>247</v>
      </c>
      <c r="B1831" t="s">
        <v>249</v>
      </c>
      <c r="C1831" s="18">
        <v>2026</v>
      </c>
      <c r="D1831" t="s">
        <v>182</v>
      </c>
      <c r="E1831" s="9">
        <v>114707.986926294</v>
      </c>
      <c r="F1831" s="9">
        <v>70326.603453519798</v>
      </c>
      <c r="G1831" s="9">
        <v>114707.986926294</v>
      </c>
      <c r="H1831" s="9">
        <v>70326.603453519798</v>
      </c>
      <c r="I1831" s="21">
        <f t="shared" si="56"/>
        <v>0</v>
      </c>
      <c r="J1831" s="21">
        <f t="shared" si="57"/>
        <v>0</v>
      </c>
    </row>
    <row r="1832" spans="1:10">
      <c r="A1832" t="s">
        <v>247</v>
      </c>
      <c r="B1832" t="s">
        <v>249</v>
      </c>
      <c r="C1832" s="18">
        <v>2026</v>
      </c>
      <c r="D1832" t="s">
        <v>185</v>
      </c>
      <c r="E1832" s="9">
        <v>282722.53786088398</v>
      </c>
      <c r="F1832" s="9">
        <v>259504.46801133201</v>
      </c>
      <c r="G1832" s="9">
        <v>282722.53786088398</v>
      </c>
      <c r="H1832" s="9">
        <v>259504.46801133201</v>
      </c>
      <c r="I1832" s="21">
        <f t="shared" si="56"/>
        <v>0</v>
      </c>
      <c r="J1832" s="21">
        <f t="shared" si="57"/>
        <v>0</v>
      </c>
    </row>
    <row r="1833" spans="1:10">
      <c r="A1833" t="s">
        <v>247</v>
      </c>
      <c r="B1833" t="s">
        <v>249</v>
      </c>
      <c r="C1833" s="18">
        <v>2026</v>
      </c>
      <c r="D1833" t="s">
        <v>188</v>
      </c>
      <c r="E1833" s="9">
        <v>616790.02915575495</v>
      </c>
      <c r="F1833" s="9">
        <v>342960.13528186502</v>
      </c>
      <c r="G1833" s="9">
        <v>616790.02915575495</v>
      </c>
      <c r="H1833" s="9">
        <v>342960.13528186502</v>
      </c>
      <c r="I1833" s="21">
        <f t="shared" si="56"/>
        <v>0</v>
      </c>
      <c r="J1833" s="21">
        <f t="shared" si="57"/>
        <v>0</v>
      </c>
    </row>
    <row r="1834" spans="1:10">
      <c r="A1834" t="s">
        <v>247</v>
      </c>
      <c r="B1834" t="s">
        <v>249</v>
      </c>
      <c r="C1834" s="18">
        <v>2026</v>
      </c>
      <c r="D1834" t="s">
        <v>191</v>
      </c>
      <c r="E1834" s="9">
        <v>338499.06942160201</v>
      </c>
      <c r="F1834" s="9">
        <v>190574.61381884801</v>
      </c>
      <c r="G1834" s="9">
        <v>338499.06942160201</v>
      </c>
      <c r="H1834" s="9">
        <v>190574.61381884801</v>
      </c>
      <c r="I1834" s="21">
        <f t="shared" si="56"/>
        <v>0</v>
      </c>
      <c r="J1834" s="21">
        <f t="shared" si="57"/>
        <v>0</v>
      </c>
    </row>
    <row r="1835" spans="1:10">
      <c r="A1835" t="s">
        <v>247</v>
      </c>
      <c r="B1835" t="s">
        <v>249</v>
      </c>
      <c r="C1835" s="18">
        <v>2026</v>
      </c>
      <c r="D1835" t="s">
        <v>422</v>
      </c>
      <c r="E1835" s="9">
        <v>39250.667018004897</v>
      </c>
      <c r="F1835" s="9">
        <v>5105.6095547855903</v>
      </c>
      <c r="G1835" s="9">
        <v>39250.667018004897</v>
      </c>
      <c r="H1835" s="9">
        <v>5105.6095547855903</v>
      </c>
      <c r="I1835" s="21">
        <f t="shared" si="56"/>
        <v>0</v>
      </c>
      <c r="J1835" s="21">
        <f t="shared" si="57"/>
        <v>0</v>
      </c>
    </row>
    <row r="1836" spans="1:10">
      <c r="A1836" t="s">
        <v>247</v>
      </c>
      <c r="B1836" t="s">
        <v>249</v>
      </c>
      <c r="C1836" s="18">
        <v>2027</v>
      </c>
      <c r="D1836" t="s">
        <v>174</v>
      </c>
      <c r="E1836" s="9">
        <v>12976.103113363301</v>
      </c>
      <c r="F1836" s="9">
        <v>9577.5296548643291</v>
      </c>
      <c r="G1836" s="9">
        <v>12976.103113363301</v>
      </c>
      <c r="H1836" s="9">
        <v>9577.5296548643291</v>
      </c>
      <c r="I1836" s="21">
        <f t="shared" si="56"/>
        <v>0</v>
      </c>
      <c r="J1836" s="21">
        <f t="shared" si="57"/>
        <v>0</v>
      </c>
    </row>
    <row r="1837" spans="1:10">
      <c r="A1837" t="s">
        <v>247</v>
      </c>
      <c r="B1837" t="s">
        <v>249</v>
      </c>
      <c r="C1837" s="18">
        <v>2027</v>
      </c>
      <c r="D1837" t="s">
        <v>236</v>
      </c>
      <c r="E1837" s="9">
        <v>1054968.10739137</v>
      </c>
      <c r="F1837" s="9">
        <v>145009.441994705</v>
      </c>
      <c r="G1837" s="9">
        <v>1057148.31873483</v>
      </c>
      <c r="H1837" s="9">
        <v>145009.441994705</v>
      </c>
      <c r="I1837" s="21">
        <f t="shared" si="56"/>
        <v>0</v>
      </c>
      <c r="J1837" s="21">
        <f t="shared" si="57"/>
        <v>2180.2113434600178</v>
      </c>
    </row>
    <row r="1838" spans="1:10">
      <c r="A1838" t="s">
        <v>247</v>
      </c>
      <c r="B1838" t="s">
        <v>249</v>
      </c>
      <c r="C1838" s="18">
        <v>2027</v>
      </c>
      <c r="D1838" t="s">
        <v>182</v>
      </c>
      <c r="E1838" s="9">
        <v>114152.944165875</v>
      </c>
      <c r="F1838" s="9">
        <v>72290.169991209099</v>
      </c>
      <c r="G1838" s="9">
        <v>114152.944165875</v>
      </c>
      <c r="H1838" s="9">
        <v>72290.169991209099</v>
      </c>
      <c r="I1838" s="21">
        <f t="shared" si="56"/>
        <v>0</v>
      </c>
      <c r="J1838" s="21">
        <f t="shared" si="57"/>
        <v>0</v>
      </c>
    </row>
    <row r="1839" spans="1:10">
      <c r="A1839" t="s">
        <v>247</v>
      </c>
      <c r="B1839" t="s">
        <v>249</v>
      </c>
      <c r="C1839" s="18">
        <v>2027</v>
      </c>
      <c r="D1839" t="s">
        <v>185</v>
      </c>
      <c r="E1839" s="9">
        <v>277565.27339301701</v>
      </c>
      <c r="F1839" s="9">
        <v>260330.421136777</v>
      </c>
      <c r="G1839" s="9">
        <v>277877.509454571</v>
      </c>
      <c r="H1839" s="9">
        <v>260330.421136777</v>
      </c>
      <c r="I1839" s="21">
        <f t="shared" si="56"/>
        <v>0</v>
      </c>
      <c r="J1839" s="21">
        <f t="shared" si="57"/>
        <v>312.23606155399466</v>
      </c>
    </row>
    <row r="1840" spans="1:10">
      <c r="A1840" t="s">
        <v>247</v>
      </c>
      <c r="B1840" t="s">
        <v>249</v>
      </c>
      <c r="C1840" s="18">
        <v>2027</v>
      </c>
      <c r="D1840" t="s">
        <v>188</v>
      </c>
      <c r="E1840" s="9">
        <v>619441.11520936305</v>
      </c>
      <c r="F1840" s="9">
        <v>349405.30073034298</v>
      </c>
      <c r="G1840" s="9">
        <v>621430.90280116105</v>
      </c>
      <c r="H1840" s="9">
        <v>349405.30073034298</v>
      </c>
      <c r="I1840" s="21">
        <f t="shared" si="56"/>
        <v>0</v>
      </c>
      <c r="J1840" s="21">
        <f t="shared" si="57"/>
        <v>1989.7875917979982</v>
      </c>
    </row>
    <row r="1841" spans="1:10">
      <c r="A1841" t="s">
        <v>247</v>
      </c>
      <c r="B1841" t="s">
        <v>249</v>
      </c>
      <c r="C1841" s="18">
        <v>2027</v>
      </c>
      <c r="D1841" t="s">
        <v>191</v>
      </c>
      <c r="E1841" s="9">
        <v>336676.882448925</v>
      </c>
      <c r="F1841" s="9">
        <v>189031.10044551201</v>
      </c>
      <c r="G1841" s="9">
        <v>337398.94907172298</v>
      </c>
      <c r="H1841" s="9">
        <v>189031.10044551201</v>
      </c>
      <c r="I1841" s="21">
        <f t="shared" si="56"/>
        <v>0</v>
      </c>
      <c r="J1841" s="21">
        <f t="shared" si="57"/>
        <v>722.06662279798184</v>
      </c>
    </row>
    <row r="1842" spans="1:10">
      <c r="A1842" t="s">
        <v>247</v>
      </c>
      <c r="B1842" t="s">
        <v>249</v>
      </c>
      <c r="C1842" s="18">
        <v>2027</v>
      </c>
      <c r="D1842" t="s">
        <v>422</v>
      </c>
      <c r="E1842" s="9">
        <v>38773.627186343103</v>
      </c>
      <c r="F1842" s="9">
        <v>4921.4971535538998</v>
      </c>
      <c r="G1842" s="9">
        <v>38773.627186343103</v>
      </c>
      <c r="H1842" s="9">
        <v>4921.4971535538998</v>
      </c>
      <c r="I1842" s="21">
        <f t="shared" si="56"/>
        <v>0</v>
      </c>
      <c r="J1842" s="21">
        <f t="shared" si="57"/>
        <v>0</v>
      </c>
    </row>
    <row r="1843" spans="1:10">
      <c r="A1843" t="s">
        <v>247</v>
      </c>
      <c r="B1843" t="s">
        <v>249</v>
      </c>
      <c r="C1843" s="18">
        <v>2028</v>
      </c>
      <c r="D1843" t="s">
        <v>174</v>
      </c>
      <c r="E1843" s="9">
        <v>13394.6739315754</v>
      </c>
      <c r="F1843" s="9">
        <v>9881.9220189252792</v>
      </c>
      <c r="G1843" s="9">
        <v>13394.6739315754</v>
      </c>
      <c r="H1843" s="9">
        <v>9881.9220189252792</v>
      </c>
      <c r="I1843" s="21">
        <f t="shared" si="56"/>
        <v>0</v>
      </c>
      <c r="J1843" s="21">
        <f t="shared" si="57"/>
        <v>0</v>
      </c>
    </row>
    <row r="1844" spans="1:10">
      <c r="A1844" t="s">
        <v>247</v>
      </c>
      <c r="B1844" t="s">
        <v>249</v>
      </c>
      <c r="C1844" s="18">
        <v>2028</v>
      </c>
      <c r="D1844" t="s">
        <v>236</v>
      </c>
      <c r="E1844" s="9">
        <v>1067555.7971445399</v>
      </c>
      <c r="F1844" s="9">
        <v>152957.04665030999</v>
      </c>
      <c r="G1844" s="9">
        <v>1071826.1250559301</v>
      </c>
      <c r="H1844" s="9">
        <v>152971.72938899801</v>
      </c>
      <c r="I1844" s="21">
        <f t="shared" si="56"/>
        <v>14.682738688017707</v>
      </c>
      <c r="J1844" s="21">
        <f t="shared" si="57"/>
        <v>4270.3279113902245</v>
      </c>
    </row>
    <row r="1845" spans="1:10">
      <c r="A1845" t="s">
        <v>247</v>
      </c>
      <c r="B1845" t="s">
        <v>249</v>
      </c>
      <c r="C1845" s="18">
        <v>2028</v>
      </c>
      <c r="D1845" t="s">
        <v>182</v>
      </c>
      <c r="E1845" s="9">
        <v>114139.12292486199</v>
      </c>
      <c r="F1845" s="9">
        <v>73846.874209439702</v>
      </c>
      <c r="G1845" s="9">
        <v>114139.12292486199</v>
      </c>
      <c r="H1845" s="9">
        <v>73846.874209439702</v>
      </c>
      <c r="I1845" s="21">
        <f t="shared" si="56"/>
        <v>0</v>
      </c>
      <c r="J1845" s="21">
        <f t="shared" si="57"/>
        <v>0</v>
      </c>
    </row>
    <row r="1846" spans="1:10">
      <c r="A1846" t="s">
        <v>247</v>
      </c>
      <c r="B1846" t="s">
        <v>249</v>
      </c>
      <c r="C1846" s="18">
        <v>2028</v>
      </c>
      <c r="D1846" t="s">
        <v>185</v>
      </c>
      <c r="E1846" s="9">
        <v>277131.692590833</v>
      </c>
      <c r="F1846" s="9">
        <v>257628.10837284999</v>
      </c>
      <c r="G1846" s="9">
        <v>277735.69614120398</v>
      </c>
      <c r="H1846" s="9">
        <v>257765.32327170501</v>
      </c>
      <c r="I1846" s="21">
        <f t="shared" si="56"/>
        <v>137.21489885501796</v>
      </c>
      <c r="J1846" s="21">
        <f t="shared" si="57"/>
        <v>604.00355037098052</v>
      </c>
    </row>
    <row r="1847" spans="1:10">
      <c r="A1847" t="s">
        <v>247</v>
      </c>
      <c r="B1847" t="s">
        <v>249</v>
      </c>
      <c r="C1847" s="18">
        <v>2028</v>
      </c>
      <c r="D1847" t="s">
        <v>188</v>
      </c>
      <c r="E1847" s="9">
        <v>623841.97998012602</v>
      </c>
      <c r="F1847" s="9">
        <v>356017.85058256099</v>
      </c>
      <c r="G1847" s="9">
        <v>627723.84415529598</v>
      </c>
      <c r="H1847" s="9">
        <v>356159.25290604099</v>
      </c>
      <c r="I1847" s="21">
        <f t="shared" si="56"/>
        <v>141.40232347999699</v>
      </c>
      <c r="J1847" s="21">
        <f t="shared" si="57"/>
        <v>3881.8641751699615</v>
      </c>
    </row>
    <row r="1848" spans="1:10">
      <c r="A1848" t="s">
        <v>247</v>
      </c>
      <c r="B1848" t="s">
        <v>249</v>
      </c>
      <c r="C1848" s="18">
        <v>2028</v>
      </c>
      <c r="D1848" t="s">
        <v>191</v>
      </c>
      <c r="E1848" s="9">
        <v>336118.03222887201</v>
      </c>
      <c r="F1848" s="9">
        <v>187054.431619376</v>
      </c>
      <c r="G1848" s="9">
        <v>337514.695524676</v>
      </c>
      <c r="H1848" s="9">
        <v>187116.63987946699</v>
      </c>
      <c r="I1848" s="21">
        <f t="shared" si="56"/>
        <v>62.208260090992553</v>
      </c>
      <c r="J1848" s="21">
        <f t="shared" si="57"/>
        <v>1396.6632958039991</v>
      </c>
    </row>
    <row r="1849" spans="1:10">
      <c r="A1849" t="s">
        <v>247</v>
      </c>
      <c r="B1849" t="s">
        <v>249</v>
      </c>
      <c r="C1849" s="18">
        <v>2028</v>
      </c>
      <c r="D1849" t="s">
        <v>422</v>
      </c>
      <c r="E1849" s="9">
        <v>38149.291579231904</v>
      </c>
      <c r="F1849" s="9">
        <v>4742.0855729783398</v>
      </c>
      <c r="G1849" s="9">
        <v>38149.291579231904</v>
      </c>
      <c r="H1849" s="9">
        <v>4742.0855729783398</v>
      </c>
      <c r="I1849" s="21">
        <f t="shared" si="56"/>
        <v>0</v>
      </c>
      <c r="J1849" s="21">
        <f t="shared" si="57"/>
        <v>0</v>
      </c>
    </row>
    <row r="1850" spans="1:10">
      <c r="A1850" t="s">
        <v>247</v>
      </c>
      <c r="B1850" t="s">
        <v>249</v>
      </c>
      <c r="C1850" s="18">
        <v>2029</v>
      </c>
      <c r="D1850" t="s">
        <v>174</v>
      </c>
      <c r="E1850" s="9">
        <v>13830.221528571101</v>
      </c>
      <c r="F1850" s="9">
        <v>10188.394886280999</v>
      </c>
      <c r="G1850" s="9">
        <v>13830.048598278099</v>
      </c>
      <c r="H1850" s="9">
        <v>10188.394886280999</v>
      </c>
      <c r="I1850" s="21">
        <f t="shared" si="56"/>
        <v>0</v>
      </c>
      <c r="J1850" s="21">
        <f t="shared" si="57"/>
        <v>-0.17293029300162743</v>
      </c>
    </row>
    <row r="1851" spans="1:10">
      <c r="A1851" t="s">
        <v>247</v>
      </c>
      <c r="B1851" t="s">
        <v>249</v>
      </c>
      <c r="C1851" s="18">
        <v>2029</v>
      </c>
      <c r="D1851" t="s">
        <v>236</v>
      </c>
      <c r="E1851" s="9">
        <v>1079930.6734976601</v>
      </c>
      <c r="F1851" s="9">
        <v>160994.20122474601</v>
      </c>
      <c r="G1851" s="9">
        <v>1086200.5009906101</v>
      </c>
      <c r="H1851" s="9">
        <v>161038.22768731901</v>
      </c>
      <c r="I1851" s="21">
        <f t="shared" si="56"/>
        <v>44.026462573005119</v>
      </c>
      <c r="J1851" s="21">
        <f t="shared" si="57"/>
        <v>6269.8274929500185</v>
      </c>
    </row>
    <row r="1852" spans="1:10">
      <c r="A1852" t="s">
        <v>247</v>
      </c>
      <c r="B1852" t="s">
        <v>249</v>
      </c>
      <c r="C1852" s="18">
        <v>2029</v>
      </c>
      <c r="D1852" t="s">
        <v>182</v>
      </c>
      <c r="E1852" s="9">
        <v>114049.47141031999</v>
      </c>
      <c r="F1852" s="9">
        <v>75452.222577591499</v>
      </c>
      <c r="G1852" s="9">
        <v>114048.15533588199</v>
      </c>
      <c r="H1852" s="9">
        <v>75452.222577591499</v>
      </c>
      <c r="I1852" s="21">
        <f t="shared" si="56"/>
        <v>0</v>
      </c>
      <c r="J1852" s="21">
        <f t="shared" si="57"/>
        <v>-1.3160744380002143</v>
      </c>
    </row>
    <row r="1853" spans="1:10">
      <c r="A1853" t="s">
        <v>247</v>
      </c>
      <c r="B1853" t="s">
        <v>249</v>
      </c>
      <c r="C1853" s="18">
        <v>2029</v>
      </c>
      <c r="D1853" t="s">
        <v>185</v>
      </c>
      <c r="E1853" s="9">
        <v>274951.36874407099</v>
      </c>
      <c r="F1853" s="9">
        <v>258023.95321529801</v>
      </c>
      <c r="G1853" s="9">
        <v>275821.08299242798</v>
      </c>
      <c r="H1853" s="9">
        <v>258334.31739486201</v>
      </c>
      <c r="I1853" s="21">
        <f t="shared" si="56"/>
        <v>310.36417956399964</v>
      </c>
      <c r="J1853" s="21">
        <f t="shared" si="57"/>
        <v>869.71424835699145</v>
      </c>
    </row>
    <row r="1854" spans="1:10">
      <c r="A1854" t="s">
        <v>247</v>
      </c>
      <c r="B1854" t="s">
        <v>249</v>
      </c>
      <c r="C1854" s="18">
        <v>2029</v>
      </c>
      <c r="D1854" t="s">
        <v>188</v>
      </c>
      <c r="E1854" s="9">
        <v>625127.81535047397</v>
      </c>
      <c r="F1854" s="9">
        <v>363498.65614634601</v>
      </c>
      <c r="G1854" s="9">
        <v>630779.36998507904</v>
      </c>
      <c r="H1854" s="9">
        <v>363892.26827992598</v>
      </c>
      <c r="I1854" s="21">
        <f t="shared" si="56"/>
        <v>393.61213357996894</v>
      </c>
      <c r="J1854" s="21">
        <f t="shared" si="57"/>
        <v>5651.5546346050687</v>
      </c>
    </row>
    <row r="1855" spans="1:10">
      <c r="A1855" t="s">
        <v>247</v>
      </c>
      <c r="B1855" t="s">
        <v>249</v>
      </c>
      <c r="C1855" s="18">
        <v>2029</v>
      </c>
      <c r="D1855" t="s">
        <v>191</v>
      </c>
      <c r="E1855" s="9">
        <v>333907.056326891</v>
      </c>
      <c r="F1855" s="9">
        <v>186662.704317881</v>
      </c>
      <c r="G1855" s="9">
        <v>335921.29283179599</v>
      </c>
      <c r="H1855" s="9">
        <v>186821.56008749199</v>
      </c>
      <c r="I1855" s="21">
        <f t="shared" si="56"/>
        <v>158.85576961099287</v>
      </c>
      <c r="J1855" s="21">
        <f t="shared" si="57"/>
        <v>2014.236504904984</v>
      </c>
    </row>
    <row r="1856" spans="1:10">
      <c r="A1856" t="s">
        <v>247</v>
      </c>
      <c r="B1856" t="s">
        <v>249</v>
      </c>
      <c r="C1856" s="18">
        <v>2029</v>
      </c>
      <c r="D1856" t="s">
        <v>422</v>
      </c>
      <c r="E1856" s="9">
        <v>37777.470798043199</v>
      </c>
      <c r="F1856" s="9">
        <v>4604.0681483163899</v>
      </c>
      <c r="G1856" s="9">
        <v>37777.467218977603</v>
      </c>
      <c r="H1856" s="9">
        <v>4604.0681483163899</v>
      </c>
      <c r="I1856" s="21">
        <f t="shared" si="56"/>
        <v>0</v>
      </c>
      <c r="J1856" s="21">
        <f t="shared" si="57"/>
        <v>-3.5790655965683982E-3</v>
      </c>
    </row>
    <row r="1857" spans="1:10">
      <c r="A1857" t="s">
        <v>247</v>
      </c>
      <c r="B1857" t="s">
        <v>249</v>
      </c>
      <c r="C1857" s="18">
        <v>2030</v>
      </c>
      <c r="D1857" t="s">
        <v>174</v>
      </c>
      <c r="E1857" s="9">
        <v>14282.544353261899</v>
      </c>
      <c r="F1857" s="9">
        <v>10500.317175231499</v>
      </c>
      <c r="G1857" s="9">
        <v>14281.959039535501</v>
      </c>
      <c r="H1857" s="9">
        <v>10500.2867221377</v>
      </c>
      <c r="I1857" s="21">
        <f t="shared" si="56"/>
        <v>-3.0453093799224007E-2</v>
      </c>
      <c r="J1857" s="21">
        <f t="shared" si="57"/>
        <v>-0.58531372639845358</v>
      </c>
    </row>
    <row r="1858" spans="1:10">
      <c r="A1858" t="s">
        <v>247</v>
      </c>
      <c r="B1858" t="s">
        <v>249</v>
      </c>
      <c r="C1858" s="18">
        <v>2030</v>
      </c>
      <c r="D1858" t="s">
        <v>236</v>
      </c>
      <c r="E1858" s="9">
        <v>1092012.77024403</v>
      </c>
      <c r="F1858" s="9">
        <v>169108.49361009599</v>
      </c>
      <c r="G1858" s="9">
        <v>1100191.7865472301</v>
      </c>
      <c r="H1858" s="9">
        <v>169196.385350075</v>
      </c>
      <c r="I1858" s="21">
        <f t="shared" ref="I1858:I1921" si="58">H1858-F1858</f>
        <v>87.89173997900798</v>
      </c>
      <c r="J1858" s="21">
        <f t="shared" ref="J1858:J1921" si="59">G1858-E1858</f>
        <v>8179.0163032000419</v>
      </c>
    </row>
    <row r="1859" spans="1:10">
      <c r="A1859" t="s">
        <v>247</v>
      </c>
      <c r="B1859" t="s">
        <v>249</v>
      </c>
      <c r="C1859" s="18">
        <v>2030</v>
      </c>
      <c r="D1859" t="s">
        <v>182</v>
      </c>
      <c r="E1859" s="9">
        <v>114786.114054477</v>
      </c>
      <c r="F1859" s="9">
        <v>76004.633461625301</v>
      </c>
      <c r="G1859" s="9">
        <v>114781.951575614</v>
      </c>
      <c r="H1859" s="9">
        <v>76004.374773711097</v>
      </c>
      <c r="I1859" s="21">
        <f t="shared" si="58"/>
        <v>-0.25868791420361958</v>
      </c>
      <c r="J1859" s="21">
        <f t="shared" si="59"/>
        <v>-4.1624788629997056</v>
      </c>
    </row>
    <row r="1860" spans="1:10">
      <c r="A1860" t="s">
        <v>247</v>
      </c>
      <c r="B1860" t="s">
        <v>249</v>
      </c>
      <c r="C1860" s="18">
        <v>2030</v>
      </c>
      <c r="D1860" t="s">
        <v>185</v>
      </c>
      <c r="E1860" s="9">
        <v>274630.744769877</v>
      </c>
      <c r="F1860" s="9">
        <v>256917.93067015201</v>
      </c>
      <c r="G1860" s="9">
        <v>275750.81654950802</v>
      </c>
      <c r="H1860" s="9">
        <v>257411.19778715901</v>
      </c>
      <c r="I1860" s="21">
        <f t="shared" si="58"/>
        <v>493.26711700699525</v>
      </c>
      <c r="J1860" s="21">
        <f t="shared" si="59"/>
        <v>1120.07177963102</v>
      </c>
    </row>
    <row r="1861" spans="1:10">
      <c r="A1861" t="s">
        <v>247</v>
      </c>
      <c r="B1861" t="s">
        <v>249</v>
      </c>
      <c r="C1861" s="18">
        <v>2030</v>
      </c>
      <c r="D1861" t="s">
        <v>188</v>
      </c>
      <c r="E1861" s="9">
        <v>630832.13086010504</v>
      </c>
      <c r="F1861" s="9">
        <v>368185.40804921498</v>
      </c>
      <c r="G1861" s="9">
        <v>638199.36722691404</v>
      </c>
      <c r="H1861" s="9">
        <v>368920.44347907702</v>
      </c>
      <c r="I1861" s="21">
        <f t="shared" si="58"/>
        <v>735.03542986203684</v>
      </c>
      <c r="J1861" s="21">
        <f t="shared" si="59"/>
        <v>7367.2363668089965</v>
      </c>
    </row>
    <row r="1862" spans="1:10">
      <c r="A1862" t="s">
        <v>247</v>
      </c>
      <c r="B1862" t="s">
        <v>249</v>
      </c>
      <c r="C1862" s="18">
        <v>2030</v>
      </c>
      <c r="D1862" t="s">
        <v>191</v>
      </c>
      <c r="E1862" s="9">
        <v>334768.63895685301</v>
      </c>
      <c r="F1862" s="9">
        <v>185165.95717705</v>
      </c>
      <c r="G1862" s="9">
        <v>337374.94686633401</v>
      </c>
      <c r="H1862" s="9">
        <v>185442.493190957</v>
      </c>
      <c r="I1862" s="21">
        <f t="shared" si="58"/>
        <v>276.53601390699623</v>
      </c>
      <c r="J1862" s="21">
        <f t="shared" si="59"/>
        <v>2606.3079094809946</v>
      </c>
    </row>
    <row r="1863" spans="1:10">
      <c r="A1863" t="s">
        <v>247</v>
      </c>
      <c r="B1863" t="s">
        <v>249</v>
      </c>
      <c r="C1863" s="18">
        <v>2030</v>
      </c>
      <c r="D1863" t="s">
        <v>422</v>
      </c>
      <c r="E1863" s="9">
        <v>38012.683613900699</v>
      </c>
      <c r="F1863" s="9">
        <v>4432.11711024325</v>
      </c>
      <c r="G1863" s="9">
        <v>38012.673637756197</v>
      </c>
      <c r="H1863" s="9">
        <v>4432.1168533298996</v>
      </c>
      <c r="I1863" s="21">
        <f t="shared" si="58"/>
        <v>-2.5691335031297058E-4</v>
      </c>
      <c r="J1863" s="21">
        <f t="shared" si="59"/>
        <v>-9.9761445017065853E-3</v>
      </c>
    </row>
    <row r="1864" spans="1:10">
      <c r="A1864" t="s">
        <v>247</v>
      </c>
      <c r="B1864" t="s">
        <v>249</v>
      </c>
      <c r="C1864" s="18">
        <v>2031</v>
      </c>
      <c r="D1864" t="s">
        <v>174</v>
      </c>
      <c r="E1864" s="9">
        <v>14755.698289681901</v>
      </c>
      <c r="F1864" s="9">
        <v>10815.0424381213</v>
      </c>
      <c r="G1864" s="9">
        <v>14754.4294987798</v>
      </c>
      <c r="H1864" s="9">
        <v>10814.9178976517</v>
      </c>
      <c r="I1864" s="21">
        <f t="shared" si="58"/>
        <v>-0.12454046960010601</v>
      </c>
      <c r="J1864" s="21">
        <f t="shared" si="59"/>
        <v>-1.2687909021005908</v>
      </c>
    </row>
    <row r="1865" spans="1:10">
      <c r="A1865" t="s">
        <v>247</v>
      </c>
      <c r="B1865" t="s">
        <v>249</v>
      </c>
      <c r="C1865" s="18">
        <v>2031</v>
      </c>
      <c r="D1865" t="s">
        <v>236</v>
      </c>
      <c r="E1865" s="9">
        <v>1103725.1077117799</v>
      </c>
      <c r="F1865" s="9">
        <v>177274.176002397</v>
      </c>
      <c r="G1865" s="9">
        <v>1113725.2263596801</v>
      </c>
      <c r="H1865" s="9">
        <v>177420.195676039</v>
      </c>
      <c r="I1865" s="21">
        <f t="shared" si="58"/>
        <v>146.01967364200391</v>
      </c>
      <c r="J1865" s="21">
        <f t="shared" si="59"/>
        <v>10000.118647900177</v>
      </c>
    </row>
    <row r="1866" spans="1:10">
      <c r="A1866" t="s">
        <v>247</v>
      </c>
      <c r="B1866" t="s">
        <v>249</v>
      </c>
      <c r="C1866" s="18">
        <v>2031</v>
      </c>
      <c r="D1866" t="s">
        <v>182</v>
      </c>
      <c r="E1866" s="9">
        <v>115765.52801710401</v>
      </c>
      <c r="F1866" s="9">
        <v>76557.585838864601</v>
      </c>
      <c r="G1866" s="9">
        <v>115757.018858842</v>
      </c>
      <c r="H1866" s="9">
        <v>76556.628013514899</v>
      </c>
      <c r="I1866" s="21">
        <f t="shared" si="58"/>
        <v>-0.95782534970203415</v>
      </c>
      <c r="J1866" s="21">
        <f t="shared" si="59"/>
        <v>-8.5091582620079862</v>
      </c>
    </row>
    <row r="1867" spans="1:10">
      <c r="A1867" t="s">
        <v>247</v>
      </c>
      <c r="B1867" t="s">
        <v>249</v>
      </c>
      <c r="C1867" s="18">
        <v>2031</v>
      </c>
      <c r="D1867" t="s">
        <v>185</v>
      </c>
      <c r="E1867" s="9">
        <v>273372.492351958</v>
      </c>
      <c r="F1867" s="9">
        <v>256563.46900704401</v>
      </c>
      <c r="G1867" s="9">
        <v>274719.77758767002</v>
      </c>
      <c r="H1867" s="9">
        <v>257245.00548019301</v>
      </c>
      <c r="I1867" s="21">
        <f t="shared" si="58"/>
        <v>681.53647314899717</v>
      </c>
      <c r="J1867" s="21">
        <f t="shared" si="59"/>
        <v>1347.2852357120137</v>
      </c>
    </row>
    <row r="1868" spans="1:10">
      <c r="A1868" t="s">
        <v>247</v>
      </c>
      <c r="B1868" t="s">
        <v>249</v>
      </c>
      <c r="C1868" s="18">
        <v>2031</v>
      </c>
      <c r="D1868" t="s">
        <v>188</v>
      </c>
      <c r="E1868" s="9">
        <v>637098.51802033605</v>
      </c>
      <c r="F1868" s="9">
        <v>373055.12752405199</v>
      </c>
      <c r="G1868" s="9">
        <v>646110.86416985898</v>
      </c>
      <c r="H1868" s="9">
        <v>374207.72907897399</v>
      </c>
      <c r="I1868" s="21">
        <f t="shared" si="58"/>
        <v>1152.6015549220028</v>
      </c>
      <c r="J1868" s="21">
        <f t="shared" si="59"/>
        <v>9012.3461495229276</v>
      </c>
    </row>
    <row r="1869" spans="1:10">
      <c r="A1869" t="s">
        <v>247</v>
      </c>
      <c r="B1869" t="s">
        <v>249</v>
      </c>
      <c r="C1869" s="18">
        <v>2031</v>
      </c>
      <c r="D1869" t="s">
        <v>191</v>
      </c>
      <c r="E1869" s="9">
        <v>336038.29058536998</v>
      </c>
      <c r="F1869" s="9">
        <v>183907.054963303</v>
      </c>
      <c r="G1869" s="9">
        <v>339204.41915059398</v>
      </c>
      <c r="H1869" s="9">
        <v>184315.56237323501</v>
      </c>
      <c r="I1869" s="21">
        <f t="shared" si="58"/>
        <v>408.50740993200452</v>
      </c>
      <c r="J1869" s="21">
        <f t="shared" si="59"/>
        <v>3166.128565224004</v>
      </c>
    </row>
    <row r="1870" spans="1:10">
      <c r="A1870" t="s">
        <v>247</v>
      </c>
      <c r="B1870" t="s">
        <v>249</v>
      </c>
      <c r="C1870" s="18">
        <v>2031</v>
      </c>
      <c r="D1870" t="s">
        <v>422</v>
      </c>
      <c r="E1870" s="9">
        <v>38191.641042596799</v>
      </c>
      <c r="F1870" s="9">
        <v>4274.72813263849</v>
      </c>
      <c r="G1870" s="9">
        <v>38191.6231000681</v>
      </c>
      <c r="H1870" s="9">
        <v>4274.7272932738097</v>
      </c>
      <c r="I1870" s="21">
        <f t="shared" si="58"/>
        <v>-8.3936468035972212E-4</v>
      </c>
      <c r="J1870" s="21">
        <f t="shared" si="59"/>
        <v>-1.7942528698768001E-2</v>
      </c>
    </row>
    <row r="1871" spans="1:10">
      <c r="A1871" t="s">
        <v>247</v>
      </c>
      <c r="B1871" t="s">
        <v>249</v>
      </c>
      <c r="C1871" s="18">
        <v>2032</v>
      </c>
      <c r="D1871" t="s">
        <v>174</v>
      </c>
      <c r="E1871" s="9">
        <v>15250.0204542638</v>
      </c>
      <c r="F1871" s="9">
        <v>11132.489585847299</v>
      </c>
      <c r="G1871" s="9">
        <v>15247.769190462001</v>
      </c>
      <c r="H1871" s="9">
        <v>11132.1787355836</v>
      </c>
      <c r="I1871" s="21">
        <f t="shared" si="58"/>
        <v>-0.31085026369873958</v>
      </c>
      <c r="J1871" s="21">
        <f t="shared" si="59"/>
        <v>-2.2512638017997233</v>
      </c>
    </row>
    <row r="1872" spans="1:10">
      <c r="A1872" t="s">
        <v>247</v>
      </c>
      <c r="B1872" t="s">
        <v>249</v>
      </c>
      <c r="C1872" s="18">
        <v>2032</v>
      </c>
      <c r="D1872" t="s">
        <v>236</v>
      </c>
      <c r="E1872" s="9">
        <v>1115047.08833043</v>
      </c>
      <c r="F1872" s="9">
        <v>185473.37822175899</v>
      </c>
      <c r="G1872" s="9">
        <v>1126783.31749171</v>
      </c>
      <c r="H1872" s="9">
        <v>185691.45221249</v>
      </c>
      <c r="I1872" s="21">
        <f t="shared" si="58"/>
        <v>218.07399073100532</v>
      </c>
      <c r="J1872" s="21">
        <f t="shared" si="59"/>
        <v>11736.229161279975</v>
      </c>
    </row>
    <row r="1873" spans="1:10">
      <c r="A1873" t="s">
        <v>247</v>
      </c>
      <c r="B1873" t="s">
        <v>249</v>
      </c>
      <c r="C1873" s="18">
        <v>2032</v>
      </c>
      <c r="D1873" t="s">
        <v>182</v>
      </c>
      <c r="E1873" s="9">
        <v>116907.926764634</v>
      </c>
      <c r="F1873" s="9">
        <v>77200.591807953402</v>
      </c>
      <c r="G1873" s="9">
        <v>116892.91249656001</v>
      </c>
      <c r="H1873" s="9">
        <v>77198.389307422098</v>
      </c>
      <c r="I1873" s="21">
        <f t="shared" si="58"/>
        <v>-2.2025005313043948</v>
      </c>
      <c r="J1873" s="21">
        <f t="shared" si="59"/>
        <v>-15.014268073995481</v>
      </c>
    </row>
    <row r="1874" spans="1:10">
      <c r="A1874" t="s">
        <v>247</v>
      </c>
      <c r="B1874" t="s">
        <v>249</v>
      </c>
      <c r="C1874" s="18">
        <v>2032</v>
      </c>
      <c r="D1874" t="s">
        <v>185</v>
      </c>
      <c r="E1874" s="9">
        <v>272852.46595483902</v>
      </c>
      <c r="F1874" s="9">
        <v>255879.449614882</v>
      </c>
      <c r="G1874" s="9">
        <v>274412.39342979901</v>
      </c>
      <c r="H1874" s="9">
        <v>256745.67636584101</v>
      </c>
      <c r="I1874" s="21">
        <f t="shared" si="58"/>
        <v>866.22675095900195</v>
      </c>
      <c r="J1874" s="21">
        <f t="shared" si="59"/>
        <v>1559.9274749599863</v>
      </c>
    </row>
    <row r="1875" spans="1:10">
      <c r="A1875" t="s">
        <v>247</v>
      </c>
      <c r="B1875" t="s">
        <v>249</v>
      </c>
      <c r="C1875" s="18">
        <v>2032</v>
      </c>
      <c r="D1875" t="s">
        <v>188</v>
      </c>
      <c r="E1875" s="9">
        <v>643932.22792759596</v>
      </c>
      <c r="F1875" s="9">
        <v>378491.08322312002</v>
      </c>
      <c r="G1875" s="9">
        <v>654519.81142038899</v>
      </c>
      <c r="H1875" s="9">
        <v>380127.64784866601</v>
      </c>
      <c r="I1875" s="21">
        <f t="shared" si="58"/>
        <v>1636.5646255459869</v>
      </c>
      <c r="J1875" s="21">
        <f t="shared" si="59"/>
        <v>10587.583492793026</v>
      </c>
    </row>
    <row r="1876" spans="1:10">
      <c r="A1876" t="s">
        <v>247</v>
      </c>
      <c r="B1876" t="s">
        <v>249</v>
      </c>
      <c r="C1876" s="18">
        <v>2032</v>
      </c>
      <c r="D1876" t="s">
        <v>191</v>
      </c>
      <c r="E1876" s="9">
        <v>337886.33555829898</v>
      </c>
      <c r="F1876" s="9">
        <v>183175.674455848</v>
      </c>
      <c r="G1876" s="9">
        <v>341581.65326776</v>
      </c>
      <c r="H1876" s="9">
        <v>183730.084212538</v>
      </c>
      <c r="I1876" s="21">
        <f t="shared" si="58"/>
        <v>554.40975669000181</v>
      </c>
      <c r="J1876" s="21">
        <f t="shared" si="59"/>
        <v>3695.3177094610292</v>
      </c>
    </row>
    <row r="1877" spans="1:10">
      <c r="A1877" t="s">
        <v>247</v>
      </c>
      <c r="B1877" t="s">
        <v>249</v>
      </c>
      <c r="C1877" s="18">
        <v>2032</v>
      </c>
      <c r="D1877" t="s">
        <v>422</v>
      </c>
      <c r="E1877" s="9">
        <v>38037.580605262097</v>
      </c>
      <c r="F1877" s="9">
        <v>4125.7241489704702</v>
      </c>
      <c r="G1877" s="9">
        <v>38037.551792099897</v>
      </c>
      <c r="H1877" s="9">
        <v>4125.7224791710396</v>
      </c>
      <c r="I1877" s="21">
        <f t="shared" si="58"/>
        <v>-1.6697994306014152E-3</v>
      </c>
      <c r="J1877" s="21">
        <f t="shared" si="59"/>
        <v>-2.8813162200094666E-2</v>
      </c>
    </row>
    <row r="1878" spans="1:10">
      <c r="A1878" t="s">
        <v>247</v>
      </c>
      <c r="B1878" t="s">
        <v>249</v>
      </c>
      <c r="C1878" s="18">
        <v>2033</v>
      </c>
      <c r="D1878" t="s">
        <v>174</v>
      </c>
      <c r="E1878" s="9">
        <v>15763.0654998382</v>
      </c>
      <c r="F1878" s="9">
        <v>11452.8188988853</v>
      </c>
      <c r="G1878" s="9">
        <v>15759.5151167894</v>
      </c>
      <c r="H1878" s="9">
        <v>11452.2049974033</v>
      </c>
      <c r="I1878" s="21">
        <f t="shared" si="58"/>
        <v>-0.61390148200007388</v>
      </c>
      <c r="J1878" s="21">
        <f t="shared" si="59"/>
        <v>-3.5503830487996311</v>
      </c>
    </row>
    <row r="1879" spans="1:10">
      <c r="A1879" t="s">
        <v>247</v>
      </c>
      <c r="B1879" t="s">
        <v>249</v>
      </c>
      <c r="C1879" s="18">
        <v>2033</v>
      </c>
      <c r="D1879" t="s">
        <v>236</v>
      </c>
      <c r="E1879" s="9">
        <v>1125883.9374625799</v>
      </c>
      <c r="F1879" s="9">
        <v>193701.91508225899</v>
      </c>
      <c r="G1879" s="9">
        <v>1139272.75378683</v>
      </c>
      <c r="H1879" s="9">
        <v>194005.60056651599</v>
      </c>
      <c r="I1879" s="21">
        <f t="shared" si="58"/>
        <v>303.68548425700283</v>
      </c>
      <c r="J1879" s="21">
        <f t="shared" si="59"/>
        <v>13388.816324250074</v>
      </c>
    </row>
    <row r="1880" spans="1:10">
      <c r="A1880" t="s">
        <v>247</v>
      </c>
      <c r="B1880" t="s">
        <v>249</v>
      </c>
      <c r="C1880" s="18">
        <v>2033</v>
      </c>
      <c r="D1880" t="s">
        <v>182</v>
      </c>
      <c r="E1880" s="9">
        <v>118304.755571595</v>
      </c>
      <c r="F1880" s="9">
        <v>77921.276874517396</v>
      </c>
      <c r="G1880" s="9">
        <v>118281.82855902299</v>
      </c>
      <c r="H1880" s="9">
        <v>77917.162090690195</v>
      </c>
      <c r="I1880" s="21">
        <f t="shared" si="58"/>
        <v>-4.1147838272008812</v>
      </c>
      <c r="J1880" s="21">
        <f t="shared" si="59"/>
        <v>-22.927012572006788</v>
      </c>
    </row>
    <row r="1881" spans="1:10">
      <c r="A1881" t="s">
        <v>247</v>
      </c>
      <c r="B1881" t="s">
        <v>249</v>
      </c>
      <c r="C1881" s="18">
        <v>2033</v>
      </c>
      <c r="D1881" t="s">
        <v>185</v>
      </c>
      <c r="E1881" s="9">
        <v>272138.65045351902</v>
      </c>
      <c r="F1881" s="9">
        <v>255607.85693961501</v>
      </c>
      <c r="G1881" s="9">
        <v>273893.528221021</v>
      </c>
      <c r="H1881" s="9">
        <v>256655.55902621101</v>
      </c>
      <c r="I1881" s="21">
        <f t="shared" si="58"/>
        <v>1047.702086595993</v>
      </c>
      <c r="J1881" s="21">
        <f t="shared" si="59"/>
        <v>1754.877767501981</v>
      </c>
    </row>
    <row r="1882" spans="1:10">
      <c r="A1882" t="s">
        <v>247</v>
      </c>
      <c r="B1882" t="s">
        <v>249</v>
      </c>
      <c r="C1882" s="18">
        <v>2033</v>
      </c>
      <c r="D1882" t="s">
        <v>188</v>
      </c>
      <c r="E1882" s="9">
        <v>651888.83844465902</v>
      </c>
      <c r="F1882" s="9">
        <v>384414.94191538199</v>
      </c>
      <c r="G1882" s="9">
        <v>664009.13874492398</v>
      </c>
      <c r="H1882" s="9">
        <v>386583.230936034</v>
      </c>
      <c r="I1882" s="21">
        <f t="shared" si="58"/>
        <v>2168.2890206520096</v>
      </c>
      <c r="J1882" s="21">
        <f t="shared" si="59"/>
        <v>12120.300300264964</v>
      </c>
    </row>
    <row r="1883" spans="1:10">
      <c r="A1883" t="s">
        <v>247</v>
      </c>
      <c r="B1883" t="s">
        <v>249</v>
      </c>
      <c r="C1883" s="18">
        <v>2033</v>
      </c>
      <c r="D1883" t="s">
        <v>191</v>
      </c>
      <c r="E1883" s="9">
        <v>340786.27293455403</v>
      </c>
      <c r="F1883" s="9">
        <v>182874.45191205299</v>
      </c>
      <c r="G1883" s="9">
        <v>344995.26462988101</v>
      </c>
      <c r="H1883" s="9">
        <v>183583.04220271501</v>
      </c>
      <c r="I1883" s="21">
        <f t="shared" si="58"/>
        <v>708.59029066201765</v>
      </c>
      <c r="J1883" s="21">
        <f t="shared" si="59"/>
        <v>4208.9916953269858</v>
      </c>
    </row>
    <row r="1884" spans="1:10">
      <c r="A1884" t="s">
        <v>247</v>
      </c>
      <c r="B1884" t="s">
        <v>249</v>
      </c>
      <c r="C1884" s="18">
        <v>2033</v>
      </c>
      <c r="D1884" t="s">
        <v>422</v>
      </c>
      <c r="E1884" s="9">
        <v>37788.433544216699</v>
      </c>
      <c r="F1884" s="9">
        <v>3977.7170356879901</v>
      </c>
      <c r="G1884" s="9">
        <v>37788.395913351</v>
      </c>
      <c r="H1884" s="9">
        <v>3977.7143757352601</v>
      </c>
      <c r="I1884" s="21">
        <f t="shared" si="58"/>
        <v>-2.6599527300277259E-3</v>
      </c>
      <c r="J1884" s="21">
        <f t="shared" si="59"/>
        <v>-3.7630865699611604E-2</v>
      </c>
    </row>
    <row r="1885" spans="1:10">
      <c r="A1885" t="s">
        <v>247</v>
      </c>
      <c r="B1885" t="s">
        <v>249</v>
      </c>
      <c r="C1885" s="18">
        <v>2034</v>
      </c>
      <c r="D1885" t="s">
        <v>174</v>
      </c>
      <c r="E1885" s="9">
        <v>16290.9481456666</v>
      </c>
      <c r="F1885" s="9">
        <v>11780.4703913215</v>
      </c>
      <c r="G1885" s="9">
        <v>16285.764037622699</v>
      </c>
      <c r="H1885" s="9">
        <v>11779.4141755774</v>
      </c>
      <c r="I1885" s="21">
        <f t="shared" si="58"/>
        <v>-1.0562157440999727</v>
      </c>
      <c r="J1885" s="21">
        <f t="shared" si="59"/>
        <v>-5.1841080439007783</v>
      </c>
    </row>
    <row r="1886" spans="1:10">
      <c r="A1886" t="s">
        <v>247</v>
      </c>
      <c r="B1886" t="s">
        <v>249</v>
      </c>
      <c r="C1886" s="18">
        <v>2034</v>
      </c>
      <c r="D1886" t="s">
        <v>236</v>
      </c>
      <c r="E1886" s="9">
        <v>1136275.7246053701</v>
      </c>
      <c r="F1886" s="9">
        <v>201918.18549902001</v>
      </c>
      <c r="G1886" s="9">
        <v>1151232.62464015</v>
      </c>
      <c r="H1886" s="9">
        <v>202320.63612115101</v>
      </c>
      <c r="I1886" s="21">
        <f t="shared" si="58"/>
        <v>402.45062213100027</v>
      </c>
      <c r="J1886" s="21">
        <f t="shared" si="59"/>
        <v>14956.900034779916</v>
      </c>
    </row>
    <row r="1887" spans="1:10">
      <c r="A1887" t="s">
        <v>247</v>
      </c>
      <c r="B1887" t="s">
        <v>249</v>
      </c>
      <c r="C1887" s="18">
        <v>2034</v>
      </c>
      <c r="D1887" t="s">
        <v>182</v>
      </c>
      <c r="E1887" s="9">
        <v>119205.803151513</v>
      </c>
      <c r="F1887" s="9">
        <v>78788.438748884801</v>
      </c>
      <c r="G1887" s="9">
        <v>119173.805374547</v>
      </c>
      <c r="H1887" s="9">
        <v>78781.723235872807</v>
      </c>
      <c r="I1887" s="21">
        <f t="shared" si="58"/>
        <v>-6.7155130119936075</v>
      </c>
      <c r="J1887" s="21">
        <f t="shared" si="59"/>
        <v>-31.997776966003585</v>
      </c>
    </row>
    <row r="1888" spans="1:10">
      <c r="A1888" t="s">
        <v>247</v>
      </c>
      <c r="B1888" t="s">
        <v>249</v>
      </c>
      <c r="C1888" s="18">
        <v>2034</v>
      </c>
      <c r="D1888" t="s">
        <v>185</v>
      </c>
      <c r="E1888" s="9">
        <v>271733.72297743399</v>
      </c>
      <c r="F1888" s="9">
        <v>255531.038182483</v>
      </c>
      <c r="G1888" s="9">
        <v>273669.65020286699</v>
      </c>
      <c r="H1888" s="9">
        <v>256753.127116244</v>
      </c>
      <c r="I1888" s="21">
        <f t="shared" si="58"/>
        <v>1222.0889337609988</v>
      </c>
      <c r="J1888" s="21">
        <f t="shared" si="59"/>
        <v>1935.927225432999</v>
      </c>
    </row>
    <row r="1889" spans="1:10">
      <c r="A1889" t="s">
        <v>247</v>
      </c>
      <c r="B1889" t="s">
        <v>249</v>
      </c>
      <c r="C1889" s="18">
        <v>2034</v>
      </c>
      <c r="D1889" t="s">
        <v>188</v>
      </c>
      <c r="E1889" s="9">
        <v>656048.95081774006</v>
      </c>
      <c r="F1889" s="9">
        <v>391062.859761475</v>
      </c>
      <c r="G1889" s="9">
        <v>669565.09186596901</v>
      </c>
      <c r="H1889" s="9">
        <v>393806.92012191401</v>
      </c>
      <c r="I1889" s="21">
        <f t="shared" si="58"/>
        <v>2744.0603604390053</v>
      </c>
      <c r="J1889" s="21">
        <f t="shared" si="59"/>
        <v>13516.14104822895</v>
      </c>
    </row>
    <row r="1890" spans="1:10">
      <c r="A1890" t="s">
        <v>247</v>
      </c>
      <c r="B1890" t="s">
        <v>249</v>
      </c>
      <c r="C1890" s="18">
        <v>2034</v>
      </c>
      <c r="D1890" t="s">
        <v>191</v>
      </c>
      <c r="E1890" s="9">
        <v>341262.32372947002</v>
      </c>
      <c r="F1890" s="9">
        <v>183931.52256282599</v>
      </c>
      <c r="G1890" s="9">
        <v>345926.396497523</v>
      </c>
      <c r="H1890" s="9">
        <v>184800.88501932399</v>
      </c>
      <c r="I1890" s="21">
        <f t="shared" si="58"/>
        <v>869.36245649799821</v>
      </c>
      <c r="J1890" s="21">
        <f t="shared" si="59"/>
        <v>4664.0727680529817</v>
      </c>
    </row>
    <row r="1891" spans="1:10">
      <c r="A1891" t="s">
        <v>247</v>
      </c>
      <c r="B1891" t="s">
        <v>249</v>
      </c>
      <c r="C1891" s="18">
        <v>2034</v>
      </c>
      <c r="D1891" t="s">
        <v>422</v>
      </c>
      <c r="E1891" s="9">
        <v>37391.166713921601</v>
      </c>
      <c r="F1891" s="9">
        <v>3849.4400585902599</v>
      </c>
      <c r="G1891" s="9">
        <v>37391.118979539897</v>
      </c>
      <c r="H1891" s="9">
        <v>3849.43642407178</v>
      </c>
      <c r="I1891" s="21">
        <f t="shared" si="58"/>
        <v>-3.6345184798847185E-3</v>
      </c>
      <c r="J1891" s="21">
        <f t="shared" si="59"/>
        <v>-4.7734381703776307E-2</v>
      </c>
    </row>
    <row r="1892" spans="1:10">
      <c r="A1892" t="s">
        <v>247</v>
      </c>
      <c r="B1892" t="s">
        <v>249</v>
      </c>
      <c r="C1892" s="18">
        <v>2035</v>
      </c>
      <c r="D1892" t="s">
        <v>174</v>
      </c>
      <c r="E1892" s="9">
        <v>16837.8120913046</v>
      </c>
      <c r="F1892" s="9">
        <v>12114.4711514758</v>
      </c>
      <c r="G1892" s="9">
        <v>16830.6420972909</v>
      </c>
      <c r="H1892" s="9">
        <v>12112.814364394</v>
      </c>
      <c r="I1892" s="21">
        <f t="shared" si="58"/>
        <v>-1.6567870817998482</v>
      </c>
      <c r="J1892" s="21">
        <f t="shared" si="59"/>
        <v>-7.1699940137004887</v>
      </c>
    </row>
    <row r="1893" spans="1:10">
      <c r="A1893" t="s">
        <v>247</v>
      </c>
      <c r="B1893" t="s">
        <v>249</v>
      </c>
      <c r="C1893" s="18">
        <v>2035</v>
      </c>
      <c r="D1893" t="s">
        <v>236</v>
      </c>
      <c r="E1893" s="9">
        <v>1146335.45010774</v>
      </c>
      <c r="F1893" s="9">
        <v>210113.470409395</v>
      </c>
      <c r="G1893" s="9">
        <v>1162777.28327874</v>
      </c>
      <c r="H1893" s="9">
        <v>210627.422792314</v>
      </c>
      <c r="I1893" s="21">
        <f t="shared" si="58"/>
        <v>513.95238291900023</v>
      </c>
      <c r="J1893" s="21">
        <f t="shared" si="59"/>
        <v>16441.833171000006</v>
      </c>
    </row>
    <row r="1894" spans="1:10">
      <c r="A1894" t="s">
        <v>247</v>
      </c>
      <c r="B1894" t="s">
        <v>249</v>
      </c>
      <c r="C1894" s="18">
        <v>2035</v>
      </c>
      <c r="D1894" t="s">
        <v>182</v>
      </c>
      <c r="E1894" s="9">
        <v>120841.619296819</v>
      </c>
      <c r="F1894" s="9">
        <v>79466.637080747198</v>
      </c>
      <c r="G1894" s="9">
        <v>120799.065903184</v>
      </c>
      <c r="H1894" s="9">
        <v>79456.632421187605</v>
      </c>
      <c r="I1894" s="21">
        <f t="shared" si="58"/>
        <v>-10.004659559592255</v>
      </c>
      <c r="J1894" s="21">
        <f t="shared" si="59"/>
        <v>-42.55339363499661</v>
      </c>
    </row>
    <row r="1895" spans="1:10">
      <c r="A1895" t="s">
        <v>247</v>
      </c>
      <c r="B1895" t="s">
        <v>249</v>
      </c>
      <c r="C1895" s="18">
        <v>2035</v>
      </c>
      <c r="D1895" t="s">
        <v>185</v>
      </c>
      <c r="E1895" s="9">
        <v>271243.67479157902</v>
      </c>
      <c r="F1895" s="9">
        <v>255417.79848768801</v>
      </c>
      <c r="G1895" s="9">
        <v>273345.36006293801</v>
      </c>
      <c r="H1895" s="9">
        <v>256807.53223008101</v>
      </c>
      <c r="I1895" s="21">
        <f t="shared" si="58"/>
        <v>1389.7337423930003</v>
      </c>
      <c r="J1895" s="21">
        <f t="shared" si="59"/>
        <v>2101.6852713589906</v>
      </c>
    </row>
    <row r="1896" spans="1:10">
      <c r="A1896" t="s">
        <v>247</v>
      </c>
      <c r="B1896" t="s">
        <v>249</v>
      </c>
      <c r="C1896" s="18">
        <v>2035</v>
      </c>
      <c r="D1896" t="s">
        <v>188</v>
      </c>
      <c r="E1896" s="9">
        <v>663717.42615194898</v>
      </c>
      <c r="F1896" s="9">
        <v>396137.74661614699</v>
      </c>
      <c r="G1896" s="9">
        <v>678638.43452144298</v>
      </c>
      <c r="H1896" s="9">
        <v>399492.95053299802</v>
      </c>
      <c r="I1896" s="21">
        <f t="shared" si="58"/>
        <v>3355.2039168510237</v>
      </c>
      <c r="J1896" s="21">
        <f t="shared" si="59"/>
        <v>14921.008369493997</v>
      </c>
    </row>
    <row r="1897" spans="1:10">
      <c r="A1897" t="s">
        <v>247</v>
      </c>
      <c r="B1897" t="s">
        <v>249</v>
      </c>
      <c r="C1897" s="18">
        <v>2035</v>
      </c>
      <c r="D1897" t="s">
        <v>191</v>
      </c>
      <c r="E1897" s="9">
        <v>344021.527710694</v>
      </c>
      <c r="F1897" s="9">
        <v>184330.424561964</v>
      </c>
      <c r="G1897" s="9">
        <v>349146.06245576398</v>
      </c>
      <c r="H1897" s="9">
        <v>185365.76110357899</v>
      </c>
      <c r="I1897" s="21">
        <f t="shared" si="58"/>
        <v>1035.33654161499</v>
      </c>
      <c r="J1897" s="21">
        <f t="shared" si="59"/>
        <v>5124.5347450699774</v>
      </c>
    </row>
    <row r="1898" spans="1:10">
      <c r="A1898" t="s">
        <v>247</v>
      </c>
      <c r="B1898" t="s">
        <v>249</v>
      </c>
      <c r="C1898" s="18">
        <v>2035</v>
      </c>
      <c r="D1898" t="s">
        <v>422</v>
      </c>
      <c r="E1898" s="9">
        <v>37274.455736781099</v>
      </c>
      <c r="F1898" s="9">
        <v>3710.4363610256</v>
      </c>
      <c r="G1898" s="9">
        <v>37274.397901844597</v>
      </c>
      <c r="H1898" s="9">
        <v>3710.43177455469</v>
      </c>
      <c r="I1898" s="21">
        <f t="shared" si="58"/>
        <v>-4.5864709099987522E-3</v>
      </c>
      <c r="J1898" s="21">
        <f t="shared" si="59"/>
        <v>-5.7834936502331402E-2</v>
      </c>
    </row>
    <row r="1899" spans="1:10">
      <c r="A1899" t="s">
        <v>247</v>
      </c>
      <c r="B1899" t="s">
        <v>249</v>
      </c>
      <c r="C1899" s="18">
        <v>2036</v>
      </c>
      <c r="D1899" t="s">
        <v>174</v>
      </c>
      <c r="E1899" s="9">
        <v>17402.142167947699</v>
      </c>
      <c r="F1899" s="9">
        <v>12455.296669912301</v>
      </c>
      <c r="G1899" s="9">
        <v>17392.609904070101</v>
      </c>
      <c r="H1899" s="9">
        <v>12452.864013751599</v>
      </c>
      <c r="I1899" s="21">
        <f t="shared" si="58"/>
        <v>-2.4326561607012991</v>
      </c>
      <c r="J1899" s="21">
        <f t="shared" si="59"/>
        <v>-9.5322638775978703</v>
      </c>
    </row>
    <row r="1900" spans="1:10">
      <c r="A1900" t="s">
        <v>247</v>
      </c>
      <c r="B1900" t="s">
        <v>249</v>
      </c>
      <c r="C1900" s="18">
        <v>2036</v>
      </c>
      <c r="D1900" t="s">
        <v>236</v>
      </c>
      <c r="E1900" s="9">
        <v>1156237.63414357</v>
      </c>
      <c r="F1900" s="9">
        <v>218269.01762292301</v>
      </c>
      <c r="G1900" s="9">
        <v>1174085.51289072</v>
      </c>
      <c r="H1900" s="9">
        <v>218906.62344450099</v>
      </c>
      <c r="I1900" s="21">
        <f t="shared" si="58"/>
        <v>637.60582157797762</v>
      </c>
      <c r="J1900" s="21">
        <f t="shared" si="59"/>
        <v>17847.878747150069</v>
      </c>
    </row>
    <row r="1901" spans="1:10">
      <c r="A1901" t="s">
        <v>247</v>
      </c>
      <c r="B1901" t="s">
        <v>249</v>
      </c>
      <c r="C1901" s="18">
        <v>2036</v>
      </c>
      <c r="D1901" t="s">
        <v>182</v>
      </c>
      <c r="E1901" s="9">
        <v>122672.84999214399</v>
      </c>
      <c r="F1901" s="9">
        <v>80316.870654284401</v>
      </c>
      <c r="G1901" s="9">
        <v>122618.320312187</v>
      </c>
      <c r="H1901" s="9">
        <v>80302.842995522602</v>
      </c>
      <c r="I1901" s="21">
        <f t="shared" si="58"/>
        <v>-14.027658761799103</v>
      </c>
      <c r="J1901" s="21">
        <f t="shared" si="59"/>
        <v>-54.529679956991458</v>
      </c>
    </row>
    <row r="1902" spans="1:10">
      <c r="A1902" t="s">
        <v>247</v>
      </c>
      <c r="B1902" t="s">
        <v>249</v>
      </c>
      <c r="C1902" s="18">
        <v>2036</v>
      </c>
      <c r="D1902" t="s">
        <v>185</v>
      </c>
      <c r="E1902" s="9">
        <v>271041.987950482</v>
      </c>
      <c r="F1902" s="9">
        <v>255383.928574397</v>
      </c>
      <c r="G1902" s="9">
        <v>273297.56982222799</v>
      </c>
      <c r="H1902" s="9">
        <v>256933.39822934201</v>
      </c>
      <c r="I1902" s="21">
        <f t="shared" si="58"/>
        <v>1549.4696549450164</v>
      </c>
      <c r="J1902" s="21">
        <f t="shared" si="59"/>
        <v>2255.5818717459915</v>
      </c>
    </row>
    <row r="1903" spans="1:10">
      <c r="A1903" t="s">
        <v>247</v>
      </c>
      <c r="B1903" t="s">
        <v>249</v>
      </c>
      <c r="C1903" s="18">
        <v>2036</v>
      </c>
      <c r="D1903" t="s">
        <v>188</v>
      </c>
      <c r="E1903" s="9">
        <v>671910.96568788798</v>
      </c>
      <c r="F1903" s="9">
        <v>401990.020890799</v>
      </c>
      <c r="G1903" s="9">
        <v>688194.68447559199</v>
      </c>
      <c r="H1903" s="9">
        <v>405992.65349387802</v>
      </c>
      <c r="I1903" s="21">
        <f t="shared" si="58"/>
        <v>4002.6326030790224</v>
      </c>
      <c r="J1903" s="21">
        <f t="shared" si="59"/>
        <v>16283.718787704012</v>
      </c>
    </row>
    <row r="1904" spans="1:10">
      <c r="A1904" t="s">
        <v>247</v>
      </c>
      <c r="B1904" t="s">
        <v>249</v>
      </c>
      <c r="C1904" s="18">
        <v>2036</v>
      </c>
      <c r="D1904" t="s">
        <v>191</v>
      </c>
      <c r="E1904" s="9">
        <v>347036.42045140301</v>
      </c>
      <c r="F1904" s="9">
        <v>185210.494293884</v>
      </c>
      <c r="G1904" s="9">
        <v>352603.07171420398</v>
      </c>
      <c r="H1904" s="9">
        <v>186417.92722248001</v>
      </c>
      <c r="I1904" s="21">
        <f t="shared" si="58"/>
        <v>1207.4329285960121</v>
      </c>
      <c r="J1904" s="21">
        <f t="shared" si="59"/>
        <v>5566.6512628009659</v>
      </c>
    </row>
    <row r="1905" spans="1:10">
      <c r="A1905" t="s">
        <v>247</v>
      </c>
      <c r="B1905" t="s">
        <v>249</v>
      </c>
      <c r="C1905" s="18">
        <v>2036</v>
      </c>
      <c r="D1905" t="s">
        <v>422</v>
      </c>
      <c r="E1905" s="9">
        <v>37283.093742828001</v>
      </c>
      <c r="F1905" s="9">
        <v>3578.6655377062202</v>
      </c>
      <c r="G1905" s="9">
        <v>37283.027629395598</v>
      </c>
      <c r="H1905" s="9">
        <v>3578.66006488627</v>
      </c>
      <c r="I1905" s="21">
        <f t="shared" si="58"/>
        <v>-5.4728199502278585E-3</v>
      </c>
      <c r="J1905" s="21">
        <f t="shared" si="59"/>
        <v>-6.611343240365386E-2</v>
      </c>
    </row>
    <row r="1906" spans="1:10">
      <c r="A1906" t="s">
        <v>247</v>
      </c>
      <c r="B1906" t="s">
        <v>249</v>
      </c>
      <c r="C1906" s="18">
        <v>2037</v>
      </c>
      <c r="D1906" t="s">
        <v>174</v>
      </c>
      <c r="E1906" s="9">
        <v>17983.779936073799</v>
      </c>
      <c r="F1906" s="9">
        <v>12802.8790189308</v>
      </c>
      <c r="G1906" s="9">
        <v>17971.482864064201</v>
      </c>
      <c r="H1906" s="9">
        <v>12799.479454561601</v>
      </c>
      <c r="I1906" s="21">
        <f t="shared" si="58"/>
        <v>-3.399564369199652</v>
      </c>
      <c r="J1906" s="21">
        <f t="shared" si="59"/>
        <v>-12.297072009598196</v>
      </c>
    </row>
    <row r="1907" spans="1:10">
      <c r="A1907" t="s">
        <v>247</v>
      </c>
      <c r="B1907" t="s">
        <v>249</v>
      </c>
      <c r="C1907" s="18">
        <v>2037</v>
      </c>
      <c r="D1907" t="s">
        <v>236</v>
      </c>
      <c r="E1907" s="9">
        <v>1166085.7271763999</v>
      </c>
      <c r="F1907" s="9">
        <v>226372.96501981199</v>
      </c>
      <c r="G1907" s="9">
        <v>1185264.7438497699</v>
      </c>
      <c r="H1907" s="9">
        <v>227145.85064844001</v>
      </c>
      <c r="I1907" s="21">
        <f t="shared" si="58"/>
        <v>772.88562862802064</v>
      </c>
      <c r="J1907" s="21">
        <f t="shared" si="59"/>
        <v>19179.016673370032</v>
      </c>
    </row>
    <row r="1908" spans="1:10">
      <c r="A1908" t="s">
        <v>247</v>
      </c>
      <c r="B1908" t="s">
        <v>249</v>
      </c>
      <c r="C1908" s="18">
        <v>2037</v>
      </c>
      <c r="D1908" t="s">
        <v>182</v>
      </c>
      <c r="E1908" s="9">
        <v>124558.619122178</v>
      </c>
      <c r="F1908" s="9">
        <v>81263.514085352494</v>
      </c>
      <c r="G1908" s="9">
        <v>124489.42976024401</v>
      </c>
      <c r="H1908" s="9">
        <v>81244.691389584303</v>
      </c>
      <c r="I1908" s="21">
        <f t="shared" si="58"/>
        <v>-18.822695768190897</v>
      </c>
      <c r="J1908" s="21">
        <f t="shared" si="59"/>
        <v>-69.189361933997134</v>
      </c>
    </row>
    <row r="1909" spans="1:10">
      <c r="A1909" t="s">
        <v>247</v>
      </c>
      <c r="B1909" t="s">
        <v>249</v>
      </c>
      <c r="C1909" s="18">
        <v>2037</v>
      </c>
      <c r="D1909" t="s">
        <v>185</v>
      </c>
      <c r="E1909" s="9">
        <v>270805.75515169301</v>
      </c>
      <c r="F1909" s="9">
        <v>255369.99528795001</v>
      </c>
      <c r="G1909" s="9">
        <v>273202.80227406899</v>
      </c>
      <c r="H1909" s="9">
        <v>257070.97314913399</v>
      </c>
      <c r="I1909" s="21">
        <f t="shared" si="58"/>
        <v>1700.9778611839865</v>
      </c>
      <c r="J1909" s="21">
        <f t="shared" si="59"/>
        <v>2397.0471223759814</v>
      </c>
    </row>
    <row r="1910" spans="1:10">
      <c r="A1910" t="s">
        <v>247</v>
      </c>
      <c r="B1910" t="s">
        <v>249</v>
      </c>
      <c r="C1910" s="18">
        <v>2037</v>
      </c>
      <c r="D1910" t="s">
        <v>188</v>
      </c>
      <c r="E1910" s="9">
        <v>680459.285490765</v>
      </c>
      <c r="F1910" s="9">
        <v>408337.40110688302</v>
      </c>
      <c r="G1910" s="9">
        <v>698060.50212694705</v>
      </c>
      <c r="H1910" s="9">
        <v>413018.343093551</v>
      </c>
      <c r="I1910" s="21">
        <f t="shared" si="58"/>
        <v>4680.9419866679818</v>
      </c>
      <c r="J1910" s="21">
        <f t="shared" si="59"/>
        <v>17601.216636182042</v>
      </c>
    </row>
    <row r="1911" spans="1:10">
      <c r="A1911" t="s">
        <v>247</v>
      </c>
      <c r="B1911" t="s">
        <v>249</v>
      </c>
      <c r="C1911" s="18">
        <v>2037</v>
      </c>
      <c r="D1911" t="s">
        <v>191</v>
      </c>
      <c r="E1911" s="9">
        <v>350435.41518023697</v>
      </c>
      <c r="F1911" s="9">
        <v>186401.55723470301</v>
      </c>
      <c r="G1911" s="9">
        <v>356425.67891865398</v>
      </c>
      <c r="H1911" s="9">
        <v>187788.31252848901</v>
      </c>
      <c r="I1911" s="21">
        <f t="shared" si="58"/>
        <v>1386.7552937860019</v>
      </c>
      <c r="J1911" s="21">
        <f t="shared" si="59"/>
        <v>5990.2637384170084</v>
      </c>
    </row>
    <row r="1912" spans="1:10">
      <c r="A1912" t="s">
        <v>247</v>
      </c>
      <c r="B1912" t="s">
        <v>249</v>
      </c>
      <c r="C1912" s="18">
        <v>2037</v>
      </c>
      <c r="D1912" t="s">
        <v>422</v>
      </c>
      <c r="E1912" s="9">
        <v>36837.345583939597</v>
      </c>
      <c r="F1912" s="9">
        <v>3450.2008593833998</v>
      </c>
      <c r="G1912" s="9">
        <v>36837.277480763201</v>
      </c>
      <c r="H1912" s="9">
        <v>3450.1946557369902</v>
      </c>
      <c r="I1912" s="21">
        <f t="shared" si="58"/>
        <v>-6.2036464096308919E-3</v>
      </c>
      <c r="J1912" s="21">
        <f t="shared" si="59"/>
        <v>-6.8103176396107301E-2</v>
      </c>
    </row>
    <row r="1913" spans="1:10">
      <c r="A1913" t="s">
        <v>247</v>
      </c>
      <c r="B1913" t="s">
        <v>249</v>
      </c>
      <c r="C1913" s="18">
        <v>2038</v>
      </c>
      <c r="D1913" t="s">
        <v>174</v>
      </c>
      <c r="E1913" s="9">
        <v>18580.220026645999</v>
      </c>
      <c r="F1913" s="9">
        <v>13160.1760007025</v>
      </c>
      <c r="G1913" s="9">
        <v>18564.7325343064</v>
      </c>
      <c r="H1913" s="9">
        <v>13155.6038503287</v>
      </c>
      <c r="I1913" s="21">
        <f t="shared" si="58"/>
        <v>-4.5721503738004685</v>
      </c>
      <c r="J1913" s="21">
        <f t="shared" si="59"/>
        <v>-15.487492339598248</v>
      </c>
    </row>
    <row r="1914" spans="1:10">
      <c r="A1914" t="s">
        <v>247</v>
      </c>
      <c r="B1914" t="s">
        <v>249</v>
      </c>
      <c r="C1914" s="18">
        <v>2038</v>
      </c>
      <c r="D1914" t="s">
        <v>236</v>
      </c>
      <c r="E1914" s="9">
        <v>1175883.8323591901</v>
      </c>
      <c r="F1914" s="9">
        <v>234410.28882039999</v>
      </c>
      <c r="G1914" s="9">
        <v>1196314.5451145701</v>
      </c>
      <c r="H1914" s="9">
        <v>235329.60149861901</v>
      </c>
      <c r="I1914" s="21">
        <f t="shared" si="58"/>
        <v>919.31267821902293</v>
      </c>
      <c r="J1914" s="21">
        <f t="shared" si="59"/>
        <v>20430.712755379966</v>
      </c>
    </row>
    <row r="1915" spans="1:10">
      <c r="A1915" t="s">
        <v>247</v>
      </c>
      <c r="B1915" t="s">
        <v>249</v>
      </c>
      <c r="C1915" s="18">
        <v>2038</v>
      </c>
      <c r="D1915" t="s">
        <v>182</v>
      </c>
      <c r="E1915" s="9">
        <v>126641.119922299</v>
      </c>
      <c r="F1915" s="9">
        <v>82278.399879909601</v>
      </c>
      <c r="G1915" s="9">
        <v>126555.833855502</v>
      </c>
      <c r="H1915" s="9">
        <v>82253.930841494002</v>
      </c>
      <c r="I1915" s="21">
        <f t="shared" si="58"/>
        <v>-24.469038415598334</v>
      </c>
      <c r="J1915" s="21">
        <f t="shared" si="59"/>
        <v>-85.286066796994419</v>
      </c>
    </row>
    <row r="1916" spans="1:10">
      <c r="A1916" t="s">
        <v>247</v>
      </c>
      <c r="B1916" t="s">
        <v>249</v>
      </c>
      <c r="C1916" s="18">
        <v>2038</v>
      </c>
      <c r="D1916" t="s">
        <v>185</v>
      </c>
      <c r="E1916" s="9">
        <v>270510.40311980399</v>
      </c>
      <c r="F1916" s="9">
        <v>255287.35235603401</v>
      </c>
      <c r="G1916" s="9">
        <v>273035.370644084</v>
      </c>
      <c r="H1916" s="9">
        <v>257130.676610817</v>
      </c>
      <c r="I1916" s="21">
        <f t="shared" si="58"/>
        <v>1843.3242547829868</v>
      </c>
      <c r="J1916" s="21">
        <f t="shared" si="59"/>
        <v>2524.9675242800149</v>
      </c>
    </row>
    <row r="1917" spans="1:10">
      <c r="A1917" t="s">
        <v>247</v>
      </c>
      <c r="B1917" t="s">
        <v>249</v>
      </c>
      <c r="C1917" s="18">
        <v>2038</v>
      </c>
      <c r="D1917" t="s">
        <v>188</v>
      </c>
      <c r="E1917" s="9">
        <v>689789.74507662503</v>
      </c>
      <c r="F1917" s="9">
        <v>415066.74845014798</v>
      </c>
      <c r="G1917" s="9">
        <v>708674.57496129896</v>
      </c>
      <c r="H1917" s="9">
        <v>420445.264129068</v>
      </c>
      <c r="I1917" s="21">
        <f t="shared" si="58"/>
        <v>5378.5156789200264</v>
      </c>
      <c r="J1917" s="21">
        <f t="shared" si="59"/>
        <v>18884.829884673934</v>
      </c>
    </row>
    <row r="1918" spans="1:10">
      <c r="A1918" t="s">
        <v>247</v>
      </c>
      <c r="B1918" t="s">
        <v>249</v>
      </c>
      <c r="C1918" s="18">
        <v>2038</v>
      </c>
      <c r="D1918" t="s">
        <v>191</v>
      </c>
      <c r="E1918" s="9">
        <v>354495.33319966297</v>
      </c>
      <c r="F1918" s="9">
        <v>187777.481109916</v>
      </c>
      <c r="G1918" s="9">
        <v>360900.93527344998</v>
      </c>
      <c r="H1918" s="9">
        <v>189347.42226660499</v>
      </c>
      <c r="I1918" s="21">
        <f t="shared" si="58"/>
        <v>1569.9411566889903</v>
      </c>
      <c r="J1918" s="21">
        <f t="shared" si="59"/>
        <v>6405.6020737870131</v>
      </c>
    </row>
    <row r="1919" spans="1:10">
      <c r="A1919" t="s">
        <v>247</v>
      </c>
      <c r="B1919" t="s">
        <v>249</v>
      </c>
      <c r="C1919" s="18">
        <v>2038</v>
      </c>
      <c r="D1919" t="s">
        <v>422</v>
      </c>
      <c r="E1919" s="9">
        <v>36551.510214957998</v>
      </c>
      <c r="F1919" s="9">
        <v>3322.82814606082</v>
      </c>
      <c r="G1919" s="9">
        <v>36551.441257778999</v>
      </c>
      <c r="H1919" s="9">
        <v>3322.8215744210102</v>
      </c>
      <c r="I1919" s="21">
        <f t="shared" si="58"/>
        <v>-6.5716398098629725E-3</v>
      </c>
      <c r="J1919" s="21">
        <f t="shared" si="59"/>
        <v>-6.8957178998971358E-2</v>
      </c>
    </row>
    <row r="1920" spans="1:10">
      <c r="A1920" t="s">
        <v>247</v>
      </c>
      <c r="B1920" t="s">
        <v>249</v>
      </c>
      <c r="C1920" s="18">
        <v>2039</v>
      </c>
      <c r="D1920" t="s">
        <v>174</v>
      </c>
      <c r="E1920" s="9">
        <v>19193.4805521745</v>
      </c>
      <c r="F1920" s="9">
        <v>13522.7457271025</v>
      </c>
      <c r="G1920" s="9">
        <v>19174.345745902901</v>
      </c>
      <c r="H1920" s="9">
        <v>13516.7785061579</v>
      </c>
      <c r="I1920" s="21">
        <f t="shared" si="58"/>
        <v>-5.9672209445998305</v>
      </c>
      <c r="J1920" s="21">
        <f t="shared" si="59"/>
        <v>-19.134806271598791</v>
      </c>
    </row>
    <row r="1921" spans="1:10">
      <c r="A1921" t="s">
        <v>247</v>
      </c>
      <c r="B1921" t="s">
        <v>249</v>
      </c>
      <c r="C1921" s="18">
        <v>2039</v>
      </c>
      <c r="D1921" t="s">
        <v>236</v>
      </c>
      <c r="E1921" s="9">
        <v>1185320.56921846</v>
      </c>
      <c r="F1921" s="9">
        <v>242407.02799794299</v>
      </c>
      <c r="G1921" s="9">
        <v>1206925.78308321</v>
      </c>
      <c r="H1921" s="9">
        <v>243483.36403446301</v>
      </c>
      <c r="I1921" s="21">
        <f t="shared" si="58"/>
        <v>1076.3360365200206</v>
      </c>
      <c r="J1921" s="21">
        <f t="shared" si="59"/>
        <v>21605.213864749996</v>
      </c>
    </row>
    <row r="1922" spans="1:10">
      <c r="A1922" t="s">
        <v>247</v>
      </c>
      <c r="B1922" t="s">
        <v>249</v>
      </c>
      <c r="C1922" s="18">
        <v>2039</v>
      </c>
      <c r="D1922" t="s">
        <v>182</v>
      </c>
      <c r="E1922" s="9">
        <v>128103.57884637501</v>
      </c>
      <c r="F1922" s="9">
        <v>83420.180713154405</v>
      </c>
      <c r="G1922" s="9">
        <v>128001.347826374</v>
      </c>
      <c r="H1922" s="9">
        <v>83389.180958792305</v>
      </c>
      <c r="I1922" s="21">
        <f t="shared" ref="I1922:I1985" si="60">H1922-F1922</f>
        <v>-30.999754362099338</v>
      </c>
      <c r="J1922" s="21">
        <f t="shared" ref="J1922:J1985" si="61">G1922-E1922</f>
        <v>-102.23102000101062</v>
      </c>
    </row>
    <row r="1923" spans="1:10">
      <c r="A1923" t="s">
        <v>247</v>
      </c>
      <c r="B1923" t="s">
        <v>249</v>
      </c>
      <c r="C1923" s="18">
        <v>2039</v>
      </c>
      <c r="D1923" t="s">
        <v>185</v>
      </c>
      <c r="E1923" s="9">
        <v>270330.93072099303</v>
      </c>
      <c r="F1923" s="9">
        <v>255464.04280795599</v>
      </c>
      <c r="G1923" s="9">
        <v>272973.34550101002</v>
      </c>
      <c r="H1923" s="9">
        <v>257441.86914336999</v>
      </c>
      <c r="I1923" s="21">
        <f t="shared" si="60"/>
        <v>1977.8263354139926</v>
      </c>
      <c r="J1923" s="21">
        <f t="shared" si="61"/>
        <v>2642.4147800169885</v>
      </c>
    </row>
    <row r="1924" spans="1:10">
      <c r="A1924" t="s">
        <v>247</v>
      </c>
      <c r="B1924" t="s">
        <v>249</v>
      </c>
      <c r="C1924" s="18">
        <v>2039</v>
      </c>
      <c r="D1924" t="s">
        <v>188</v>
      </c>
      <c r="E1924" s="9">
        <v>695562.71815978596</v>
      </c>
      <c r="F1924" s="9">
        <v>422347.42172832298</v>
      </c>
      <c r="G1924" s="9">
        <v>715580.88708538504</v>
      </c>
      <c r="H1924" s="9">
        <v>428444.56848174502</v>
      </c>
      <c r="I1924" s="21">
        <f t="shared" si="60"/>
        <v>6097.1467534220428</v>
      </c>
      <c r="J1924" s="21">
        <f t="shared" si="61"/>
        <v>20018.168925599079</v>
      </c>
    </row>
    <row r="1925" spans="1:10">
      <c r="A1925" t="s">
        <v>247</v>
      </c>
      <c r="B1925" t="s">
        <v>249</v>
      </c>
      <c r="C1925" s="18">
        <v>2039</v>
      </c>
      <c r="D1925" t="s">
        <v>191</v>
      </c>
      <c r="E1925" s="9">
        <v>356212.11117374501</v>
      </c>
      <c r="F1925" s="9">
        <v>190172.40847167801</v>
      </c>
      <c r="G1925" s="9">
        <v>362969.198365508</v>
      </c>
      <c r="H1925" s="9">
        <v>191929.610855123</v>
      </c>
      <c r="I1925" s="21">
        <f t="shared" si="60"/>
        <v>1757.2023834449938</v>
      </c>
      <c r="J1925" s="21">
        <f t="shared" si="61"/>
        <v>6757.0871917629847</v>
      </c>
    </row>
    <row r="1926" spans="1:10">
      <c r="A1926" t="s">
        <v>247</v>
      </c>
      <c r="B1926" t="s">
        <v>249</v>
      </c>
      <c r="C1926" s="18">
        <v>2039</v>
      </c>
      <c r="D1926" t="s">
        <v>422</v>
      </c>
      <c r="E1926" s="9">
        <v>36178.298072532903</v>
      </c>
      <c r="F1926" s="9">
        <v>3198.02952494081</v>
      </c>
      <c r="G1926" s="9">
        <v>36178.223844718399</v>
      </c>
      <c r="H1926" s="9">
        <v>3198.0230538302199</v>
      </c>
      <c r="I1926" s="21">
        <f t="shared" si="60"/>
        <v>-6.4711105901551491E-3</v>
      </c>
      <c r="J1926" s="21">
        <f t="shared" si="61"/>
        <v>-7.4227814504411072E-2</v>
      </c>
    </row>
    <row r="1927" spans="1:10">
      <c r="A1927" t="s">
        <v>247</v>
      </c>
      <c r="B1927" t="s">
        <v>249</v>
      </c>
      <c r="C1927" s="18">
        <v>2040</v>
      </c>
      <c r="D1927" t="s">
        <v>174</v>
      </c>
      <c r="E1927" s="9">
        <v>19828.7913876846</v>
      </c>
      <c r="F1927" s="9">
        <v>13887.2665428767</v>
      </c>
      <c r="G1927" s="9">
        <v>19805.505805764798</v>
      </c>
      <c r="H1927" s="9">
        <v>13879.6732870407</v>
      </c>
      <c r="I1927" s="21">
        <f t="shared" si="60"/>
        <v>-7.5932558360000257</v>
      </c>
      <c r="J1927" s="21">
        <f t="shared" si="61"/>
        <v>-23.285581919801189</v>
      </c>
    </row>
    <row r="1928" spans="1:10">
      <c r="A1928" t="s">
        <v>247</v>
      </c>
      <c r="B1928" t="s">
        <v>249</v>
      </c>
      <c r="C1928" s="18">
        <v>2040</v>
      </c>
      <c r="D1928" t="s">
        <v>236</v>
      </c>
      <c r="E1928" s="9">
        <v>1194325.55837002</v>
      </c>
      <c r="F1928" s="9">
        <v>250348.47072142101</v>
      </c>
      <c r="G1928" s="9">
        <v>1217029.49333677</v>
      </c>
      <c r="H1928" s="9">
        <v>251591.89866486701</v>
      </c>
      <c r="I1928" s="21">
        <f t="shared" si="60"/>
        <v>1243.4279434460041</v>
      </c>
      <c r="J1928" s="21">
        <f t="shared" si="61"/>
        <v>22703.934966749977</v>
      </c>
    </row>
    <row r="1929" spans="1:10">
      <c r="A1929" t="s">
        <v>247</v>
      </c>
      <c r="B1929" t="s">
        <v>249</v>
      </c>
      <c r="C1929" s="18">
        <v>2040</v>
      </c>
      <c r="D1929" t="s">
        <v>182</v>
      </c>
      <c r="E1929" s="9">
        <v>130200.172647639</v>
      </c>
      <c r="F1929" s="9">
        <v>84470.265499807298</v>
      </c>
      <c r="G1929" s="9">
        <v>130079.117811465</v>
      </c>
      <c r="H1929" s="9">
        <v>84431.891175836907</v>
      </c>
      <c r="I1929" s="21">
        <f t="shared" si="60"/>
        <v>-38.374323970390833</v>
      </c>
      <c r="J1929" s="21">
        <f t="shared" si="61"/>
        <v>-121.05483617400751</v>
      </c>
    </row>
    <row r="1930" spans="1:10">
      <c r="A1930" t="s">
        <v>247</v>
      </c>
      <c r="B1930" t="s">
        <v>249</v>
      </c>
      <c r="C1930" s="18">
        <v>2040</v>
      </c>
      <c r="D1930" t="s">
        <v>185</v>
      </c>
      <c r="E1930" s="9">
        <v>270025.208130977</v>
      </c>
      <c r="F1930" s="9">
        <v>255349.53632207401</v>
      </c>
      <c r="G1930" s="9">
        <v>272772.69297753199</v>
      </c>
      <c r="H1930" s="9">
        <v>257451.80463236</v>
      </c>
      <c r="I1930" s="21">
        <f t="shared" si="60"/>
        <v>2102.2683102859883</v>
      </c>
      <c r="J1930" s="21">
        <f t="shared" si="61"/>
        <v>2747.4848465549876</v>
      </c>
    </row>
    <row r="1931" spans="1:10">
      <c r="A1931" t="s">
        <v>247</v>
      </c>
      <c r="B1931" t="s">
        <v>249</v>
      </c>
      <c r="C1931" s="18">
        <v>2040</v>
      </c>
      <c r="D1931" t="s">
        <v>188</v>
      </c>
      <c r="E1931" s="9">
        <v>703882.666850282</v>
      </c>
      <c r="F1931" s="9">
        <v>428384.27373927302</v>
      </c>
      <c r="G1931" s="9">
        <v>725057.85135654395</v>
      </c>
      <c r="H1931" s="9">
        <v>435208.84098996199</v>
      </c>
      <c r="I1931" s="21">
        <f t="shared" si="60"/>
        <v>6824.5672506889678</v>
      </c>
      <c r="J1931" s="21">
        <f t="shared" si="61"/>
        <v>21175.184506261954</v>
      </c>
    </row>
    <row r="1932" spans="1:10">
      <c r="A1932" t="s">
        <v>247</v>
      </c>
      <c r="B1932" t="s">
        <v>249</v>
      </c>
      <c r="C1932" s="18">
        <v>2040</v>
      </c>
      <c r="D1932" t="s">
        <v>191</v>
      </c>
      <c r="E1932" s="9">
        <v>359592.24897396698</v>
      </c>
      <c r="F1932" s="9">
        <v>191907.704827009</v>
      </c>
      <c r="G1932" s="9">
        <v>366714.04580788402</v>
      </c>
      <c r="H1932" s="9">
        <v>193853.25074776399</v>
      </c>
      <c r="I1932" s="21">
        <f t="shared" si="60"/>
        <v>1945.5459207549866</v>
      </c>
      <c r="J1932" s="21">
        <f t="shared" si="61"/>
        <v>7121.7968339170329</v>
      </c>
    </row>
    <row r="1933" spans="1:10">
      <c r="A1933" t="s">
        <v>247</v>
      </c>
      <c r="B1933" t="s">
        <v>249</v>
      </c>
      <c r="C1933" s="18">
        <v>2040</v>
      </c>
      <c r="D1933" t="s">
        <v>422</v>
      </c>
      <c r="E1933" s="9">
        <v>36005.106035899902</v>
      </c>
      <c r="F1933" s="9">
        <v>3069.2582668395298</v>
      </c>
      <c r="G1933" s="9">
        <v>36005.028086341903</v>
      </c>
      <c r="H1933" s="9">
        <v>3069.2518935015801</v>
      </c>
      <c r="I1933" s="21">
        <f t="shared" si="60"/>
        <v>-6.373337949753477E-3</v>
      </c>
      <c r="J1933" s="21">
        <f t="shared" si="61"/>
        <v>-7.7949557999090757E-2</v>
      </c>
    </row>
    <row r="1934" spans="1:10">
      <c r="A1934" t="s">
        <v>247</v>
      </c>
      <c r="B1934" t="s">
        <v>249</v>
      </c>
      <c r="C1934" s="18">
        <v>2041</v>
      </c>
      <c r="D1934" t="s">
        <v>174</v>
      </c>
      <c r="E1934" s="9">
        <v>20481.594042264402</v>
      </c>
      <c r="F1934" s="9">
        <v>14259.0146349963</v>
      </c>
      <c r="G1934" s="9">
        <v>20453.6267543422</v>
      </c>
      <c r="H1934" s="9">
        <v>14249.536455216699</v>
      </c>
      <c r="I1934" s="21">
        <f t="shared" si="60"/>
        <v>-9.4781797796003957</v>
      </c>
      <c r="J1934" s="21">
        <f t="shared" si="61"/>
        <v>-27.967287922201649</v>
      </c>
    </row>
    <row r="1935" spans="1:10">
      <c r="A1935" t="s">
        <v>247</v>
      </c>
      <c r="B1935" t="s">
        <v>249</v>
      </c>
      <c r="C1935" s="18">
        <v>2041</v>
      </c>
      <c r="D1935" t="s">
        <v>236</v>
      </c>
      <c r="E1935" s="9">
        <v>1202894.1987545299</v>
      </c>
      <c r="F1935" s="9">
        <v>258257.091798076</v>
      </c>
      <c r="G1935" s="9">
        <v>1226624.8107670301</v>
      </c>
      <c r="H1935" s="9">
        <v>259677.195752453</v>
      </c>
      <c r="I1935" s="21">
        <f t="shared" si="60"/>
        <v>1420.1039543770021</v>
      </c>
      <c r="J1935" s="21">
        <f t="shared" si="61"/>
        <v>23730.612012500176</v>
      </c>
    </row>
    <row r="1936" spans="1:10">
      <c r="A1936" t="s">
        <v>247</v>
      </c>
      <c r="B1936" t="s">
        <v>249</v>
      </c>
      <c r="C1936" s="18">
        <v>2041</v>
      </c>
      <c r="D1936" t="s">
        <v>182</v>
      </c>
      <c r="E1936" s="9">
        <v>132370.92609547201</v>
      </c>
      <c r="F1936" s="9">
        <v>85578.979573293007</v>
      </c>
      <c r="G1936" s="9">
        <v>132229.629710176</v>
      </c>
      <c r="H1936" s="9">
        <v>85532.319590607702</v>
      </c>
      <c r="I1936" s="21">
        <f t="shared" si="60"/>
        <v>-46.659982685305295</v>
      </c>
      <c r="J1936" s="21">
        <f t="shared" si="61"/>
        <v>-141.29638529600925</v>
      </c>
    </row>
    <row r="1937" spans="1:10">
      <c r="A1937" t="s">
        <v>247</v>
      </c>
      <c r="B1937" t="s">
        <v>249</v>
      </c>
      <c r="C1937" s="18">
        <v>2041</v>
      </c>
      <c r="D1937" t="s">
        <v>185</v>
      </c>
      <c r="E1937" s="9">
        <v>269769.04039766197</v>
      </c>
      <c r="F1937" s="9">
        <v>255172.61202767599</v>
      </c>
      <c r="G1937" s="9">
        <v>272611.75367129099</v>
      </c>
      <c r="H1937" s="9">
        <v>257389.63175428601</v>
      </c>
      <c r="I1937" s="21">
        <f t="shared" si="60"/>
        <v>2217.0197266100149</v>
      </c>
      <c r="J1937" s="21">
        <f t="shared" si="61"/>
        <v>2842.7132736290223</v>
      </c>
    </row>
    <row r="1938" spans="1:10">
      <c r="A1938" t="s">
        <v>247</v>
      </c>
      <c r="B1938" t="s">
        <v>249</v>
      </c>
      <c r="C1938" s="18">
        <v>2041</v>
      </c>
      <c r="D1938" t="s">
        <v>188</v>
      </c>
      <c r="E1938" s="9">
        <v>712335.65253116901</v>
      </c>
      <c r="F1938" s="9">
        <v>434761.38019286399</v>
      </c>
      <c r="G1938" s="9">
        <v>734627.74007540499</v>
      </c>
      <c r="H1938" s="9">
        <v>442324.30640679202</v>
      </c>
      <c r="I1938" s="21">
        <f t="shared" si="60"/>
        <v>7562.9262139280327</v>
      </c>
      <c r="J1938" s="21">
        <f t="shared" si="61"/>
        <v>22292.087544235983</v>
      </c>
    </row>
    <row r="1939" spans="1:10">
      <c r="A1939" t="s">
        <v>247</v>
      </c>
      <c r="B1939" t="s">
        <v>249</v>
      </c>
      <c r="C1939" s="18">
        <v>2041</v>
      </c>
      <c r="D1939" t="s">
        <v>191</v>
      </c>
      <c r="E1939" s="9">
        <v>362967.46293963399</v>
      </c>
      <c r="F1939" s="9">
        <v>193791.575877467</v>
      </c>
      <c r="G1939" s="9">
        <v>370436.97560679301</v>
      </c>
      <c r="H1939" s="9">
        <v>195926.90720139601</v>
      </c>
      <c r="I1939" s="21">
        <f t="shared" si="60"/>
        <v>2135.3313239290146</v>
      </c>
      <c r="J1939" s="21">
        <f t="shared" si="61"/>
        <v>7469.512667159026</v>
      </c>
    </row>
    <row r="1940" spans="1:10">
      <c r="A1940" t="s">
        <v>247</v>
      </c>
      <c r="B1940" t="s">
        <v>249</v>
      </c>
      <c r="C1940" s="18">
        <v>2041</v>
      </c>
      <c r="D1940" t="s">
        <v>422</v>
      </c>
      <c r="E1940" s="9">
        <v>35900.846032121699</v>
      </c>
      <c r="F1940" s="9">
        <v>2944.0217782988102</v>
      </c>
      <c r="G1940" s="9">
        <v>35900.765054072101</v>
      </c>
      <c r="H1940" s="9">
        <v>2944.01552271229</v>
      </c>
      <c r="I1940" s="21">
        <f t="shared" si="60"/>
        <v>-6.2555865201829874E-3</v>
      </c>
      <c r="J1940" s="21">
        <f t="shared" si="61"/>
        <v>-8.0978049598343205E-2</v>
      </c>
    </row>
    <row r="1941" spans="1:10">
      <c r="A1941" t="s">
        <v>247</v>
      </c>
      <c r="B1941" t="s">
        <v>249</v>
      </c>
      <c r="C1941" s="18">
        <v>2042</v>
      </c>
      <c r="D1941" t="s">
        <v>174</v>
      </c>
      <c r="E1941" s="9">
        <v>21148.786221780501</v>
      </c>
      <c r="F1941" s="9">
        <v>14637.9629968399</v>
      </c>
      <c r="G1941" s="9">
        <v>21115.581702688502</v>
      </c>
      <c r="H1941" s="9">
        <v>14626.319006600401</v>
      </c>
      <c r="I1941" s="21">
        <f t="shared" si="60"/>
        <v>-11.643990239499544</v>
      </c>
      <c r="J1941" s="21">
        <f t="shared" si="61"/>
        <v>-33.204519091999828</v>
      </c>
    </row>
    <row r="1942" spans="1:10">
      <c r="A1942" t="s">
        <v>247</v>
      </c>
      <c r="B1942" t="s">
        <v>249</v>
      </c>
      <c r="C1942" s="18">
        <v>2042</v>
      </c>
      <c r="D1942" t="s">
        <v>236</v>
      </c>
      <c r="E1942" s="9">
        <v>1211016.4764658201</v>
      </c>
      <c r="F1942" s="9">
        <v>266172.72773189202</v>
      </c>
      <c r="G1942" s="9">
        <v>1235703.75022274</v>
      </c>
      <c r="H1942" s="9">
        <v>267778.732534162</v>
      </c>
      <c r="I1942" s="21">
        <f t="shared" si="60"/>
        <v>1606.0048022699775</v>
      </c>
      <c r="J1942" s="21">
        <f t="shared" si="61"/>
        <v>24687.273756919894</v>
      </c>
    </row>
    <row r="1943" spans="1:10">
      <c r="A1943" t="s">
        <v>247</v>
      </c>
      <c r="B1943" t="s">
        <v>249</v>
      </c>
      <c r="C1943" s="18">
        <v>2042</v>
      </c>
      <c r="D1943" t="s">
        <v>182</v>
      </c>
      <c r="E1943" s="9">
        <v>134516.12126619901</v>
      </c>
      <c r="F1943" s="9">
        <v>86713.191197838998</v>
      </c>
      <c r="G1943" s="9">
        <v>134351.62604870801</v>
      </c>
      <c r="H1943" s="9">
        <v>86657.313221329707</v>
      </c>
      <c r="I1943" s="21">
        <f t="shared" si="60"/>
        <v>-55.877976509291329</v>
      </c>
      <c r="J1943" s="21">
        <f t="shared" si="61"/>
        <v>-164.49521749099949</v>
      </c>
    </row>
    <row r="1944" spans="1:10">
      <c r="A1944" t="s">
        <v>247</v>
      </c>
      <c r="B1944" t="s">
        <v>249</v>
      </c>
      <c r="C1944" s="18">
        <v>2042</v>
      </c>
      <c r="D1944" t="s">
        <v>185</v>
      </c>
      <c r="E1944" s="9">
        <v>269354.18509602599</v>
      </c>
      <c r="F1944" s="9">
        <v>254876.22021360401</v>
      </c>
      <c r="G1944" s="9">
        <v>272280.658720601</v>
      </c>
      <c r="H1944" s="9">
        <v>257198.34975601899</v>
      </c>
      <c r="I1944" s="21">
        <f t="shared" si="60"/>
        <v>2322.1295424149721</v>
      </c>
      <c r="J1944" s="21">
        <f t="shared" si="61"/>
        <v>2926.47362457501</v>
      </c>
    </row>
    <row r="1945" spans="1:10">
      <c r="A1945" t="s">
        <v>247</v>
      </c>
      <c r="B1945" t="s">
        <v>249</v>
      </c>
      <c r="C1945" s="18">
        <v>2042</v>
      </c>
      <c r="D1945" t="s">
        <v>188</v>
      </c>
      <c r="E1945" s="9">
        <v>720951.61143144302</v>
      </c>
      <c r="F1945" s="9">
        <v>441294.34243678401</v>
      </c>
      <c r="G1945" s="9">
        <v>744313.272667757</v>
      </c>
      <c r="H1945" s="9">
        <v>449601.26122749498</v>
      </c>
      <c r="I1945" s="21">
        <f t="shared" si="60"/>
        <v>8306.9187907109736</v>
      </c>
      <c r="J1945" s="21">
        <f t="shared" si="61"/>
        <v>23361.661236313987</v>
      </c>
    </row>
    <row r="1946" spans="1:10">
      <c r="A1946" t="s">
        <v>247</v>
      </c>
      <c r="B1946" t="s">
        <v>249</v>
      </c>
      <c r="C1946" s="18">
        <v>2042</v>
      </c>
      <c r="D1946" t="s">
        <v>191</v>
      </c>
      <c r="E1946" s="9">
        <v>366617.69133531098</v>
      </c>
      <c r="F1946" s="9">
        <v>195755.96341615901</v>
      </c>
      <c r="G1946" s="9">
        <v>374419.26204563602</v>
      </c>
      <c r="H1946" s="9">
        <v>198082.81410371399</v>
      </c>
      <c r="I1946" s="21">
        <f t="shared" si="60"/>
        <v>2326.8506875549792</v>
      </c>
      <c r="J1946" s="21">
        <f t="shared" si="61"/>
        <v>7801.5707103250315</v>
      </c>
    </row>
    <row r="1947" spans="1:10">
      <c r="A1947" t="s">
        <v>247</v>
      </c>
      <c r="B1947" t="s">
        <v>249</v>
      </c>
      <c r="C1947" s="18">
        <v>2042</v>
      </c>
      <c r="D1947" t="s">
        <v>422</v>
      </c>
      <c r="E1947" s="9">
        <v>35516.923822119003</v>
      </c>
      <c r="F1947" s="9">
        <v>2820.51830561119</v>
      </c>
      <c r="G1947" s="9">
        <v>35516.840593533198</v>
      </c>
      <c r="H1947" s="9">
        <v>2820.5122126446799</v>
      </c>
      <c r="I1947" s="21">
        <f t="shared" si="60"/>
        <v>-6.0929665100957209E-3</v>
      </c>
      <c r="J1947" s="21">
        <f t="shared" si="61"/>
        <v>-8.3228585805045441E-2</v>
      </c>
    </row>
    <row r="1948" spans="1:10">
      <c r="A1948" t="s">
        <v>247</v>
      </c>
      <c r="B1948" t="s">
        <v>249</v>
      </c>
      <c r="C1948" s="18">
        <v>2043</v>
      </c>
      <c r="D1948" t="s">
        <v>174</v>
      </c>
      <c r="E1948" s="9">
        <v>21828.146028369702</v>
      </c>
      <c r="F1948" s="9">
        <v>15018.2008404144</v>
      </c>
      <c r="G1948" s="9">
        <v>21789.125656033499</v>
      </c>
      <c r="H1948" s="9">
        <v>15004.086115812899</v>
      </c>
      <c r="I1948" s="21">
        <f t="shared" si="60"/>
        <v>-14.114724601500711</v>
      </c>
      <c r="J1948" s="21">
        <f t="shared" si="61"/>
        <v>-39.020372336202854</v>
      </c>
    </row>
    <row r="1949" spans="1:10">
      <c r="A1949" t="s">
        <v>247</v>
      </c>
      <c r="B1949" t="s">
        <v>249</v>
      </c>
      <c r="C1949" s="18">
        <v>2043</v>
      </c>
      <c r="D1949" t="s">
        <v>236</v>
      </c>
      <c r="E1949" s="9">
        <v>1218670.8677326599</v>
      </c>
      <c r="F1949" s="9">
        <v>274076.54279469402</v>
      </c>
      <c r="G1949" s="9">
        <v>1244246.5115360599</v>
      </c>
      <c r="H1949" s="9">
        <v>275876.99548631802</v>
      </c>
      <c r="I1949" s="21">
        <f t="shared" si="60"/>
        <v>1800.4526916239993</v>
      </c>
      <c r="J1949" s="21">
        <f t="shared" si="61"/>
        <v>25575.643803399988</v>
      </c>
    </row>
    <row r="1950" spans="1:10">
      <c r="A1950" t="s">
        <v>247</v>
      </c>
      <c r="B1950" t="s">
        <v>249</v>
      </c>
      <c r="C1950" s="18">
        <v>2043</v>
      </c>
      <c r="D1950" t="s">
        <v>182</v>
      </c>
      <c r="E1950" s="9">
        <v>136791.147382503</v>
      </c>
      <c r="F1950" s="9">
        <v>87845.088990067001</v>
      </c>
      <c r="G1950" s="9">
        <v>136601.974960575</v>
      </c>
      <c r="H1950" s="9">
        <v>87779.034425801001</v>
      </c>
      <c r="I1950" s="21">
        <f t="shared" si="60"/>
        <v>-66.054564265999943</v>
      </c>
      <c r="J1950" s="21">
        <f t="shared" si="61"/>
        <v>-189.1724219280004</v>
      </c>
    </row>
    <row r="1951" spans="1:10">
      <c r="A1951" t="s">
        <v>247</v>
      </c>
      <c r="B1951" t="s">
        <v>249</v>
      </c>
      <c r="C1951" s="18">
        <v>2043</v>
      </c>
      <c r="D1951" t="s">
        <v>185</v>
      </c>
      <c r="E1951" s="9">
        <v>268691.59608988598</v>
      </c>
      <c r="F1951" s="9">
        <v>254360.99332038101</v>
      </c>
      <c r="G1951" s="9">
        <v>271689.79422675102</v>
      </c>
      <c r="H1951" s="9">
        <v>256777.58715706799</v>
      </c>
      <c r="I1951" s="21">
        <f t="shared" si="60"/>
        <v>2416.5938366869814</v>
      </c>
      <c r="J1951" s="21">
        <f t="shared" si="61"/>
        <v>2998.1981368650449</v>
      </c>
    </row>
    <row r="1952" spans="1:10">
      <c r="A1952" t="s">
        <v>247</v>
      </c>
      <c r="B1952" t="s">
        <v>249</v>
      </c>
      <c r="C1952" s="18">
        <v>2043</v>
      </c>
      <c r="D1952" t="s">
        <v>188</v>
      </c>
      <c r="E1952" s="9">
        <v>729966.86393761903</v>
      </c>
      <c r="F1952" s="9">
        <v>447868.57816166</v>
      </c>
      <c r="G1952" s="9">
        <v>754370.89241350198</v>
      </c>
      <c r="H1952" s="9">
        <v>456915.72204617201</v>
      </c>
      <c r="I1952" s="21">
        <f t="shared" si="60"/>
        <v>9047.1438845120138</v>
      </c>
      <c r="J1952" s="21">
        <f t="shared" si="61"/>
        <v>24404.028475882951</v>
      </c>
    </row>
    <row r="1953" spans="1:10">
      <c r="A1953" t="s">
        <v>247</v>
      </c>
      <c r="B1953" t="s">
        <v>249</v>
      </c>
      <c r="C1953" s="18">
        <v>2043</v>
      </c>
      <c r="D1953" t="s">
        <v>191</v>
      </c>
      <c r="E1953" s="9">
        <v>370639.07555281301</v>
      </c>
      <c r="F1953" s="9">
        <v>197687.22127157799</v>
      </c>
      <c r="G1953" s="9">
        <v>378766.53451535699</v>
      </c>
      <c r="H1953" s="9">
        <v>200204.274251736</v>
      </c>
      <c r="I1953" s="21">
        <f t="shared" si="60"/>
        <v>2517.0529801580124</v>
      </c>
      <c r="J1953" s="21">
        <f t="shared" si="61"/>
        <v>8127.4589625439839</v>
      </c>
    </row>
    <row r="1954" spans="1:10">
      <c r="A1954" t="s">
        <v>247</v>
      </c>
      <c r="B1954" t="s">
        <v>249</v>
      </c>
      <c r="C1954" s="18">
        <v>2043</v>
      </c>
      <c r="D1954" t="s">
        <v>422</v>
      </c>
      <c r="E1954" s="9">
        <v>35328.853110873497</v>
      </c>
      <c r="F1954" s="9">
        <v>2698.3368141562501</v>
      </c>
      <c r="G1954" s="9">
        <v>35328.773203308199</v>
      </c>
      <c r="H1954" s="9">
        <v>2698.3309296050402</v>
      </c>
      <c r="I1954" s="21">
        <f t="shared" si="60"/>
        <v>-5.8845512098741892E-3</v>
      </c>
      <c r="J1954" s="21">
        <f t="shared" si="61"/>
        <v>-7.9907565297617111E-2</v>
      </c>
    </row>
    <row r="1955" spans="1:10">
      <c r="A1955" t="s">
        <v>247</v>
      </c>
      <c r="B1955" t="s">
        <v>249</v>
      </c>
      <c r="C1955" s="18">
        <v>2044</v>
      </c>
      <c r="D1955" t="s">
        <v>174</v>
      </c>
      <c r="E1955" s="9">
        <v>22517.841734223901</v>
      </c>
      <c r="F1955" s="9">
        <v>15405.5436069016</v>
      </c>
      <c r="G1955" s="9">
        <v>22472.405778779801</v>
      </c>
      <c r="H1955" s="9">
        <v>15388.638261887199</v>
      </c>
      <c r="I1955" s="21">
        <f t="shared" si="60"/>
        <v>-16.905345014400154</v>
      </c>
      <c r="J1955" s="21">
        <f t="shared" si="61"/>
        <v>-45.435955444099818</v>
      </c>
    </row>
    <row r="1956" spans="1:10">
      <c r="A1956" t="s">
        <v>247</v>
      </c>
      <c r="B1956" t="s">
        <v>249</v>
      </c>
      <c r="C1956" s="18">
        <v>2044</v>
      </c>
      <c r="D1956" t="s">
        <v>236</v>
      </c>
      <c r="E1956" s="9">
        <v>1226115.6903865701</v>
      </c>
      <c r="F1956" s="9">
        <v>281899.17696788698</v>
      </c>
      <c r="G1956" s="9">
        <v>1252519.7576166999</v>
      </c>
      <c r="H1956" s="9">
        <v>283902.05041687097</v>
      </c>
      <c r="I1956" s="21">
        <f t="shared" si="60"/>
        <v>2002.873448983999</v>
      </c>
      <c r="J1956" s="21">
        <f t="shared" si="61"/>
        <v>26404.067230129847</v>
      </c>
    </row>
    <row r="1957" spans="1:10">
      <c r="A1957" t="s">
        <v>247</v>
      </c>
      <c r="B1957" t="s">
        <v>249</v>
      </c>
      <c r="C1957" s="18">
        <v>2044</v>
      </c>
      <c r="D1957" t="s">
        <v>182</v>
      </c>
      <c r="E1957" s="9">
        <v>138341.829786599</v>
      </c>
      <c r="F1957" s="9">
        <v>88989.620077024098</v>
      </c>
      <c r="G1957" s="9">
        <v>138127.80749224901</v>
      </c>
      <c r="H1957" s="9">
        <v>88912.446286897801</v>
      </c>
      <c r="I1957" s="21">
        <f t="shared" si="60"/>
        <v>-77.173790126296808</v>
      </c>
      <c r="J1957" s="21">
        <f t="shared" si="61"/>
        <v>-214.02229434999754</v>
      </c>
    </row>
    <row r="1958" spans="1:10">
      <c r="A1958" t="s">
        <v>247</v>
      </c>
      <c r="B1958" t="s">
        <v>249</v>
      </c>
      <c r="C1958" s="18">
        <v>2044</v>
      </c>
      <c r="D1958" t="s">
        <v>185</v>
      </c>
      <c r="E1958" s="9">
        <v>267920.963087246</v>
      </c>
      <c r="F1958" s="9">
        <v>253933.667106762</v>
      </c>
      <c r="G1958" s="9">
        <v>270981.060601887</v>
      </c>
      <c r="H1958" s="9">
        <v>256436.399818879</v>
      </c>
      <c r="I1958" s="21">
        <f t="shared" si="60"/>
        <v>2502.7327121169947</v>
      </c>
      <c r="J1958" s="21">
        <f t="shared" si="61"/>
        <v>3060.0975146410055</v>
      </c>
    </row>
    <row r="1959" spans="1:10">
      <c r="A1959" t="s">
        <v>247</v>
      </c>
      <c r="B1959" t="s">
        <v>249</v>
      </c>
      <c r="C1959" s="18">
        <v>2044</v>
      </c>
      <c r="D1959" t="s">
        <v>188</v>
      </c>
      <c r="E1959" s="9">
        <v>735465.09284251404</v>
      </c>
      <c r="F1959" s="9">
        <v>454452.499589235</v>
      </c>
      <c r="G1959" s="9">
        <v>760751.52916181902</v>
      </c>
      <c r="H1959" s="9">
        <v>464236.62382849702</v>
      </c>
      <c r="I1959" s="21">
        <f t="shared" si="60"/>
        <v>9784.1242392620188</v>
      </c>
      <c r="J1959" s="21">
        <f t="shared" si="61"/>
        <v>25286.436319304979</v>
      </c>
    </row>
    <row r="1960" spans="1:10">
      <c r="A1960" t="s">
        <v>247</v>
      </c>
      <c r="B1960" t="s">
        <v>249</v>
      </c>
      <c r="C1960" s="18">
        <v>2044</v>
      </c>
      <c r="D1960" t="s">
        <v>191</v>
      </c>
      <c r="E1960" s="9">
        <v>372368.78222861601</v>
      </c>
      <c r="F1960" s="9">
        <v>200057.38722030199</v>
      </c>
      <c r="G1960" s="9">
        <v>380754.51437457599</v>
      </c>
      <c r="H1960" s="9">
        <v>202762.43540540201</v>
      </c>
      <c r="I1960" s="21">
        <f t="shared" si="60"/>
        <v>2705.0481851000222</v>
      </c>
      <c r="J1960" s="21">
        <f t="shared" si="61"/>
        <v>8385.7321459599771</v>
      </c>
    </row>
    <row r="1961" spans="1:10">
      <c r="A1961" t="s">
        <v>247</v>
      </c>
      <c r="B1961" t="s">
        <v>249</v>
      </c>
      <c r="C1961" s="18">
        <v>2044</v>
      </c>
      <c r="D1961" t="s">
        <v>422</v>
      </c>
      <c r="E1961" s="9">
        <v>35046.763559874104</v>
      </c>
      <c r="F1961" s="9">
        <v>2573.7976995998802</v>
      </c>
      <c r="G1961" s="9">
        <v>35046.705207959298</v>
      </c>
      <c r="H1961" s="9">
        <v>2573.7926243052102</v>
      </c>
      <c r="I1961" s="21">
        <f t="shared" si="60"/>
        <v>-5.0752946699503809E-3</v>
      </c>
      <c r="J1961" s="21">
        <f t="shared" si="61"/>
        <v>-5.83519148058258E-2</v>
      </c>
    </row>
    <row r="1962" spans="1:10">
      <c r="A1962" t="s">
        <v>247</v>
      </c>
      <c r="B1962" t="s">
        <v>249</v>
      </c>
      <c r="C1962" s="18">
        <v>2045</v>
      </c>
      <c r="D1962" t="s">
        <v>174</v>
      </c>
      <c r="E1962" s="9">
        <v>23219.4270598929</v>
      </c>
      <c r="F1962" s="9">
        <v>15791.724802475301</v>
      </c>
      <c r="G1962" s="9">
        <v>23166.945688051499</v>
      </c>
      <c r="H1962" s="9">
        <v>15771.7189092791</v>
      </c>
      <c r="I1962" s="21">
        <f t="shared" si="60"/>
        <v>-20.005893196201214</v>
      </c>
      <c r="J1962" s="21">
        <f t="shared" si="61"/>
        <v>-52.481371841400687</v>
      </c>
    </row>
    <row r="1963" spans="1:10">
      <c r="A1963" t="s">
        <v>247</v>
      </c>
      <c r="B1963" t="s">
        <v>249</v>
      </c>
      <c r="C1963" s="18">
        <v>2045</v>
      </c>
      <c r="D1963" t="s">
        <v>236</v>
      </c>
      <c r="E1963" s="9">
        <v>1233416.1765173599</v>
      </c>
      <c r="F1963" s="9">
        <v>289609.47841298999</v>
      </c>
      <c r="G1963" s="9">
        <v>1260592.98702146</v>
      </c>
      <c r="H1963" s="9">
        <v>291822.02754025703</v>
      </c>
      <c r="I1963" s="21">
        <f t="shared" si="60"/>
        <v>2212.5491272670333</v>
      </c>
      <c r="J1963" s="21">
        <f t="shared" si="61"/>
        <v>27176.810504100053</v>
      </c>
    </row>
    <row r="1964" spans="1:10">
      <c r="A1964" t="s">
        <v>247</v>
      </c>
      <c r="B1964" t="s">
        <v>249</v>
      </c>
      <c r="C1964" s="18">
        <v>2045</v>
      </c>
      <c r="D1964" t="s">
        <v>182</v>
      </c>
      <c r="E1964" s="9">
        <v>140413.78805386199</v>
      </c>
      <c r="F1964" s="9">
        <v>90130.789185646907</v>
      </c>
      <c r="G1964" s="9">
        <v>140172.77481552499</v>
      </c>
      <c r="H1964" s="9">
        <v>90041.604590588802</v>
      </c>
      <c r="I1964" s="21">
        <f t="shared" si="60"/>
        <v>-89.184595058104605</v>
      </c>
      <c r="J1964" s="21">
        <f t="shared" si="61"/>
        <v>-241.01323833700735</v>
      </c>
    </row>
    <row r="1965" spans="1:10">
      <c r="A1965" t="s">
        <v>247</v>
      </c>
      <c r="B1965" t="s">
        <v>249</v>
      </c>
      <c r="C1965" s="18">
        <v>2045</v>
      </c>
      <c r="D1965" t="s">
        <v>185</v>
      </c>
      <c r="E1965" s="9">
        <v>267322.46770148998</v>
      </c>
      <c r="F1965" s="9">
        <v>253396.38412785501</v>
      </c>
      <c r="G1965" s="9">
        <v>270438.60315228201</v>
      </c>
      <c r="H1965" s="9">
        <v>255976.90811330499</v>
      </c>
      <c r="I1965" s="21">
        <f t="shared" si="60"/>
        <v>2580.5239854499814</v>
      </c>
      <c r="J1965" s="21">
        <f t="shared" si="61"/>
        <v>3116.1354507920332</v>
      </c>
    </row>
    <row r="1966" spans="1:10">
      <c r="A1966" t="s">
        <v>247</v>
      </c>
      <c r="B1966" t="s">
        <v>249</v>
      </c>
      <c r="C1966" s="18">
        <v>2045</v>
      </c>
      <c r="D1966" t="s">
        <v>188</v>
      </c>
      <c r="E1966" s="9">
        <v>743109.07345853595</v>
      </c>
      <c r="F1966" s="9">
        <v>460403.79603656899</v>
      </c>
      <c r="G1966" s="9">
        <v>769313.803212411</v>
      </c>
      <c r="H1966" s="9">
        <v>470920.29436777002</v>
      </c>
      <c r="I1966" s="21">
        <f t="shared" si="60"/>
        <v>10516.49833120103</v>
      </c>
      <c r="J1966" s="21">
        <f t="shared" si="61"/>
        <v>26204.729753875057</v>
      </c>
    </row>
    <row r="1967" spans="1:10">
      <c r="A1967" t="s">
        <v>247</v>
      </c>
      <c r="B1967" t="s">
        <v>249</v>
      </c>
      <c r="C1967" s="18">
        <v>2045</v>
      </c>
      <c r="D1967" t="s">
        <v>191</v>
      </c>
      <c r="E1967" s="9">
        <v>375279.09819885198</v>
      </c>
      <c r="F1967" s="9">
        <v>201978.57267028201</v>
      </c>
      <c r="G1967" s="9">
        <v>383936.19252461498</v>
      </c>
      <c r="H1967" s="9">
        <v>204869.32889798901</v>
      </c>
      <c r="I1967" s="21">
        <f t="shared" si="60"/>
        <v>2890.7562277069956</v>
      </c>
      <c r="J1967" s="21">
        <f t="shared" si="61"/>
        <v>8657.0943257629988</v>
      </c>
    </row>
    <row r="1968" spans="1:10">
      <c r="A1968" t="s">
        <v>247</v>
      </c>
      <c r="B1968" t="s">
        <v>249</v>
      </c>
      <c r="C1968" s="18">
        <v>2045</v>
      </c>
      <c r="D1968" t="s">
        <v>422</v>
      </c>
      <c r="E1968" s="9">
        <v>34846.774668935599</v>
      </c>
      <c r="F1968" s="9">
        <v>2452.7508884655999</v>
      </c>
      <c r="G1968" s="9">
        <v>34846.715156222701</v>
      </c>
      <c r="H1968" s="9">
        <v>2452.74707379338</v>
      </c>
      <c r="I1968" s="21">
        <f t="shared" si="60"/>
        <v>-3.8146722199599026E-3</v>
      </c>
      <c r="J1968" s="21">
        <f t="shared" si="61"/>
        <v>-5.9512712898140308E-2</v>
      </c>
    </row>
    <row r="1969" spans="1:10">
      <c r="A1969" t="s">
        <v>247</v>
      </c>
      <c r="B1969" t="s">
        <v>249</v>
      </c>
      <c r="C1969" s="18">
        <v>2046</v>
      </c>
      <c r="D1969" t="s">
        <v>174</v>
      </c>
      <c r="E1969" s="9">
        <v>23928.386975426602</v>
      </c>
      <c r="F1969" s="9">
        <v>16188.7565551387</v>
      </c>
      <c r="G1969" s="9">
        <v>23868.217944038799</v>
      </c>
      <c r="H1969" s="9">
        <v>16165.2905403234</v>
      </c>
      <c r="I1969" s="21">
        <f t="shared" si="60"/>
        <v>-23.466014815299786</v>
      </c>
      <c r="J1969" s="21">
        <f t="shared" si="61"/>
        <v>-60.169031387802534</v>
      </c>
    </row>
    <row r="1970" spans="1:10">
      <c r="A1970" t="s">
        <v>247</v>
      </c>
      <c r="B1970" t="s">
        <v>249</v>
      </c>
      <c r="C1970" s="18">
        <v>2046</v>
      </c>
      <c r="D1970" t="s">
        <v>236</v>
      </c>
      <c r="E1970" s="9">
        <v>1240578.89616634</v>
      </c>
      <c r="F1970" s="9">
        <v>297168.37897714699</v>
      </c>
      <c r="G1970" s="9">
        <v>1268475.9563321201</v>
      </c>
      <c r="H1970" s="9">
        <v>299596.92866613797</v>
      </c>
      <c r="I1970" s="21">
        <f t="shared" si="60"/>
        <v>2428.5496889909846</v>
      </c>
      <c r="J1970" s="21">
        <f t="shared" si="61"/>
        <v>27897.060165780131</v>
      </c>
    </row>
    <row r="1971" spans="1:10">
      <c r="A1971" t="s">
        <v>247</v>
      </c>
      <c r="B1971" t="s">
        <v>249</v>
      </c>
      <c r="C1971" s="18">
        <v>2046</v>
      </c>
      <c r="D1971" t="s">
        <v>182</v>
      </c>
      <c r="E1971" s="9">
        <v>142463.28404209699</v>
      </c>
      <c r="F1971" s="9">
        <v>91301.072038884493</v>
      </c>
      <c r="G1971" s="9">
        <v>142194.05365060701</v>
      </c>
      <c r="H1971" s="9">
        <v>91198.890942598402</v>
      </c>
      <c r="I1971" s="21">
        <f t="shared" si="60"/>
        <v>-102.18109628609091</v>
      </c>
      <c r="J1971" s="21">
        <f t="shared" si="61"/>
        <v>-269.23039148998214</v>
      </c>
    </row>
    <row r="1972" spans="1:10">
      <c r="A1972" t="s">
        <v>247</v>
      </c>
      <c r="B1972" t="s">
        <v>249</v>
      </c>
      <c r="C1972" s="18">
        <v>2046</v>
      </c>
      <c r="D1972" t="s">
        <v>185</v>
      </c>
      <c r="E1972" s="9">
        <v>266758.11657247797</v>
      </c>
      <c r="F1972" s="9">
        <v>252781.383876976</v>
      </c>
      <c r="G1972" s="9">
        <v>269923.25168294698</v>
      </c>
      <c r="H1972" s="9">
        <v>255431.16141281699</v>
      </c>
      <c r="I1972" s="21">
        <f t="shared" si="60"/>
        <v>2649.7775358409854</v>
      </c>
      <c r="J1972" s="21">
        <f t="shared" si="61"/>
        <v>3165.1351104690111</v>
      </c>
    </row>
    <row r="1973" spans="1:10">
      <c r="A1973" t="s">
        <v>247</v>
      </c>
      <c r="B1973" t="s">
        <v>249</v>
      </c>
      <c r="C1973" s="18">
        <v>2046</v>
      </c>
      <c r="D1973" t="s">
        <v>188</v>
      </c>
      <c r="E1973" s="9">
        <v>751000.81888281298</v>
      </c>
      <c r="F1973" s="9">
        <v>466584.69080552302</v>
      </c>
      <c r="G1973" s="9">
        <v>778095.84267256199</v>
      </c>
      <c r="H1973" s="9">
        <v>477828.93173194502</v>
      </c>
      <c r="I1973" s="21">
        <f t="shared" si="60"/>
        <v>11244.240926422004</v>
      </c>
      <c r="J1973" s="21">
        <f t="shared" si="61"/>
        <v>27095.023789749015</v>
      </c>
    </row>
    <row r="1974" spans="1:10">
      <c r="A1974" t="s">
        <v>247</v>
      </c>
      <c r="B1974" t="s">
        <v>249</v>
      </c>
      <c r="C1974" s="18">
        <v>2046</v>
      </c>
      <c r="D1974" t="s">
        <v>191</v>
      </c>
      <c r="E1974" s="9">
        <v>378235.53612671501</v>
      </c>
      <c r="F1974" s="9">
        <v>203974.618637251</v>
      </c>
      <c r="G1974" s="9">
        <v>387151.42704479198</v>
      </c>
      <c r="H1974" s="9">
        <v>207048.94525460299</v>
      </c>
      <c r="I1974" s="21">
        <f t="shared" si="60"/>
        <v>3074.3266173519951</v>
      </c>
      <c r="J1974" s="21">
        <f t="shared" si="61"/>
        <v>8915.8909180769697</v>
      </c>
    </row>
    <row r="1975" spans="1:10">
      <c r="A1975" t="s">
        <v>247</v>
      </c>
      <c r="B1975" t="s">
        <v>249</v>
      </c>
      <c r="C1975" s="18">
        <v>2046</v>
      </c>
      <c r="D1975" t="s">
        <v>422</v>
      </c>
      <c r="E1975" s="9">
        <v>34688.356664395003</v>
      </c>
      <c r="F1975" s="9">
        <v>2335.6756589239499</v>
      </c>
      <c r="G1975" s="9">
        <v>34688.296767041</v>
      </c>
      <c r="H1975" s="9">
        <v>2335.6726092736399</v>
      </c>
      <c r="I1975" s="21">
        <f t="shared" si="60"/>
        <v>-3.0496503100039263E-3</v>
      </c>
      <c r="J1975" s="21">
        <f t="shared" si="61"/>
        <v>-5.9897354003624059E-2</v>
      </c>
    </row>
    <row r="1976" spans="1:10">
      <c r="A1976" t="s">
        <v>247</v>
      </c>
      <c r="B1976" t="s">
        <v>249</v>
      </c>
      <c r="C1976" s="18">
        <v>2047</v>
      </c>
      <c r="D1976" t="s">
        <v>174</v>
      </c>
      <c r="E1976" s="9">
        <v>24644.209696052701</v>
      </c>
      <c r="F1976" s="9">
        <v>16595.879736609801</v>
      </c>
      <c r="G1976" s="9">
        <v>24575.685129363199</v>
      </c>
      <c r="H1976" s="9">
        <v>16568.574829924401</v>
      </c>
      <c r="I1976" s="21">
        <f t="shared" si="60"/>
        <v>-27.304906685400056</v>
      </c>
      <c r="J1976" s="21">
        <f t="shared" si="61"/>
        <v>-68.524566689502535</v>
      </c>
    </row>
    <row r="1977" spans="1:10">
      <c r="A1977" t="s">
        <v>247</v>
      </c>
      <c r="B1977" t="s">
        <v>249</v>
      </c>
      <c r="C1977" s="18">
        <v>2047</v>
      </c>
      <c r="D1977" t="s">
        <v>236</v>
      </c>
      <c r="E1977" s="9">
        <v>1247508.20635844</v>
      </c>
      <c r="F1977" s="9">
        <v>304526.12311550003</v>
      </c>
      <c r="G1977" s="9">
        <v>1276073.4846977801</v>
      </c>
      <c r="H1977" s="9">
        <v>307176.00873862102</v>
      </c>
      <c r="I1977" s="21">
        <f t="shared" si="60"/>
        <v>2649.8856231209938</v>
      </c>
      <c r="J1977" s="21">
        <f t="shared" si="61"/>
        <v>28565.278339340119</v>
      </c>
    </row>
    <row r="1978" spans="1:10">
      <c r="A1978" t="s">
        <v>247</v>
      </c>
      <c r="B1978" t="s">
        <v>249</v>
      </c>
      <c r="C1978" s="18">
        <v>2047</v>
      </c>
      <c r="D1978" t="s">
        <v>182</v>
      </c>
      <c r="E1978" s="9">
        <v>144546.21599682499</v>
      </c>
      <c r="F1978" s="9">
        <v>92449.950416814507</v>
      </c>
      <c r="G1978" s="9">
        <v>144246.070856709</v>
      </c>
      <c r="H1978" s="9">
        <v>92333.888291156894</v>
      </c>
      <c r="I1978" s="21">
        <f t="shared" si="60"/>
        <v>-116.06212565761234</v>
      </c>
      <c r="J1978" s="21">
        <f t="shared" si="61"/>
        <v>-300.14514011598658</v>
      </c>
    </row>
    <row r="1979" spans="1:10">
      <c r="A1979" t="s">
        <v>247</v>
      </c>
      <c r="B1979" t="s">
        <v>249</v>
      </c>
      <c r="C1979" s="18">
        <v>2047</v>
      </c>
      <c r="D1979" t="s">
        <v>185</v>
      </c>
      <c r="E1979" s="9">
        <v>265941.53454950103</v>
      </c>
      <c r="F1979" s="9">
        <v>252050.09599728399</v>
      </c>
      <c r="G1979" s="9">
        <v>269145.73066835199</v>
      </c>
      <c r="H1979" s="9">
        <v>254760.803670819</v>
      </c>
      <c r="I1979" s="21">
        <f t="shared" si="60"/>
        <v>2710.7076735350129</v>
      </c>
      <c r="J1979" s="21">
        <f t="shared" si="61"/>
        <v>3204.1961188509595</v>
      </c>
    </row>
    <row r="1980" spans="1:10">
      <c r="A1980" t="s">
        <v>247</v>
      </c>
      <c r="B1980" t="s">
        <v>249</v>
      </c>
      <c r="C1980" s="18">
        <v>2047</v>
      </c>
      <c r="D1980" t="s">
        <v>188</v>
      </c>
      <c r="E1980" s="9">
        <v>758924.13770143304</v>
      </c>
      <c r="F1980" s="9">
        <v>472707.33794192999</v>
      </c>
      <c r="G1980" s="9">
        <v>786867.36601765698</v>
      </c>
      <c r="H1980" s="9">
        <v>484667.16956347</v>
      </c>
      <c r="I1980" s="21">
        <f t="shared" si="60"/>
        <v>11959.831621540012</v>
      </c>
      <c r="J1980" s="21">
        <f t="shared" si="61"/>
        <v>27943.228316223947</v>
      </c>
    </row>
    <row r="1981" spans="1:10">
      <c r="A1981" t="s">
        <v>247</v>
      </c>
      <c r="B1981" t="s">
        <v>249</v>
      </c>
      <c r="C1981" s="18">
        <v>2047</v>
      </c>
      <c r="D1981" t="s">
        <v>191</v>
      </c>
      <c r="E1981" s="9">
        <v>381433.99201214599</v>
      </c>
      <c r="F1981" s="9">
        <v>205906.416748185</v>
      </c>
      <c r="G1981" s="9">
        <v>390597.57749152998</v>
      </c>
      <c r="H1981" s="9">
        <v>209160.85891574901</v>
      </c>
      <c r="I1981" s="21">
        <f t="shared" si="60"/>
        <v>3254.4421675640042</v>
      </c>
      <c r="J1981" s="21">
        <f t="shared" si="61"/>
        <v>9163.5854793839972</v>
      </c>
    </row>
    <row r="1982" spans="1:10">
      <c r="A1982" t="s">
        <v>247</v>
      </c>
      <c r="B1982" t="s">
        <v>249</v>
      </c>
      <c r="C1982" s="18">
        <v>2047</v>
      </c>
      <c r="D1982" t="s">
        <v>422</v>
      </c>
      <c r="E1982" s="9">
        <v>34402.513296663201</v>
      </c>
      <c r="F1982" s="9">
        <v>2222.2543175495098</v>
      </c>
      <c r="G1982" s="9">
        <v>34402.454286141998</v>
      </c>
      <c r="H1982" s="9">
        <v>2222.2517838233198</v>
      </c>
      <c r="I1982" s="21">
        <f t="shared" si="60"/>
        <v>-2.5337261899949226E-3</v>
      </c>
      <c r="J1982" s="21">
        <f t="shared" si="61"/>
        <v>-5.901052120316308E-2</v>
      </c>
    </row>
    <row r="1983" spans="1:10">
      <c r="A1983" t="s">
        <v>247</v>
      </c>
      <c r="B1983" t="s">
        <v>249</v>
      </c>
      <c r="C1983" s="18">
        <v>2048</v>
      </c>
      <c r="D1983" t="s">
        <v>174</v>
      </c>
      <c r="E1983" s="9">
        <v>25360.401695546101</v>
      </c>
      <c r="F1983" s="9">
        <v>17014.501234885302</v>
      </c>
      <c r="G1983" s="9">
        <v>25282.866550534</v>
      </c>
      <c r="H1983" s="9">
        <v>16982.967131377602</v>
      </c>
      <c r="I1983" s="21">
        <f t="shared" si="60"/>
        <v>-31.534103507699911</v>
      </c>
      <c r="J1983" s="21">
        <f t="shared" si="61"/>
        <v>-77.535145012101566</v>
      </c>
    </row>
    <row r="1984" spans="1:10">
      <c r="A1984" t="s">
        <v>247</v>
      </c>
      <c r="B1984" t="s">
        <v>249</v>
      </c>
      <c r="C1984" s="18">
        <v>2048</v>
      </c>
      <c r="D1984" t="s">
        <v>236</v>
      </c>
      <c r="E1984" s="9">
        <v>1254281.6087851101</v>
      </c>
      <c r="F1984" s="9">
        <v>311673.908700692</v>
      </c>
      <c r="G1984" s="9">
        <v>1283467.7529534199</v>
      </c>
      <c r="H1984" s="9">
        <v>314549.83162807999</v>
      </c>
      <c r="I1984" s="21">
        <f t="shared" si="60"/>
        <v>2875.9229273879901</v>
      </c>
      <c r="J1984" s="21">
        <f t="shared" si="61"/>
        <v>29186.144168309867</v>
      </c>
    </row>
    <row r="1985" spans="1:10">
      <c r="A1985" t="s">
        <v>247</v>
      </c>
      <c r="B1985" t="s">
        <v>249</v>
      </c>
      <c r="C1985" s="18">
        <v>2048</v>
      </c>
      <c r="D1985" t="s">
        <v>182</v>
      </c>
      <c r="E1985" s="9">
        <v>146746.12357347799</v>
      </c>
      <c r="F1985" s="9">
        <v>93558.315768180502</v>
      </c>
      <c r="G1985" s="9">
        <v>146413.85314917401</v>
      </c>
      <c r="H1985" s="9">
        <v>93427.507277048993</v>
      </c>
      <c r="I1985" s="21">
        <f t="shared" si="60"/>
        <v>-130.80849113150907</v>
      </c>
      <c r="J1985" s="21">
        <f t="shared" si="61"/>
        <v>-332.27042430397705</v>
      </c>
    </row>
    <row r="1986" spans="1:10">
      <c r="A1986" t="s">
        <v>247</v>
      </c>
      <c r="B1986" t="s">
        <v>249</v>
      </c>
      <c r="C1986" s="18">
        <v>2048</v>
      </c>
      <c r="D1986" t="s">
        <v>185</v>
      </c>
      <c r="E1986" s="9">
        <v>264852.15500468801</v>
      </c>
      <c r="F1986" s="9">
        <v>251109.59373630901</v>
      </c>
      <c r="G1986" s="9">
        <v>268085.44794583402</v>
      </c>
      <c r="H1986" s="9">
        <v>253872.04741882399</v>
      </c>
      <c r="I1986" s="21">
        <f t="shared" ref="I1986:I2049" si="62">H1986-F1986</f>
        <v>2762.4536825149844</v>
      </c>
      <c r="J1986" s="21">
        <f t="shared" ref="J1986:J2049" si="63">G1986-E1986</f>
        <v>3233.2929411460063</v>
      </c>
    </row>
    <row r="1987" spans="1:10">
      <c r="A1987" t="s">
        <v>247</v>
      </c>
      <c r="B1987" t="s">
        <v>249</v>
      </c>
      <c r="C1987" s="18">
        <v>2048</v>
      </c>
      <c r="D1987" t="s">
        <v>188</v>
      </c>
      <c r="E1987" s="9">
        <v>767031.54823181697</v>
      </c>
      <c r="F1987" s="9">
        <v>478651.99781078898</v>
      </c>
      <c r="G1987" s="9">
        <v>795796.81940173404</v>
      </c>
      <c r="H1987" s="9">
        <v>491307.70932856598</v>
      </c>
      <c r="I1987" s="21">
        <f t="shared" si="62"/>
        <v>12655.711517777003</v>
      </c>
      <c r="J1987" s="21">
        <f t="shared" si="63"/>
        <v>28765.271169917076</v>
      </c>
    </row>
    <row r="1988" spans="1:10">
      <c r="A1988" t="s">
        <v>247</v>
      </c>
      <c r="B1988" t="s">
        <v>249</v>
      </c>
      <c r="C1988" s="18">
        <v>2048</v>
      </c>
      <c r="D1988" t="s">
        <v>191</v>
      </c>
      <c r="E1988" s="9">
        <v>384899.52639930602</v>
      </c>
      <c r="F1988" s="9">
        <v>207760.30736395999</v>
      </c>
      <c r="G1988" s="9">
        <v>394306.23400907399</v>
      </c>
      <c r="H1988" s="9">
        <v>211189.299415093</v>
      </c>
      <c r="I1988" s="21">
        <f t="shared" si="62"/>
        <v>3428.9920511330129</v>
      </c>
      <c r="J1988" s="21">
        <f t="shared" si="63"/>
        <v>9406.7076097679674</v>
      </c>
    </row>
    <row r="1989" spans="1:10">
      <c r="A1989" t="s">
        <v>247</v>
      </c>
      <c r="B1989" t="s">
        <v>249</v>
      </c>
      <c r="C1989" s="18">
        <v>2048</v>
      </c>
      <c r="D1989" t="s">
        <v>422</v>
      </c>
      <c r="E1989" s="9">
        <v>34278.922682543402</v>
      </c>
      <c r="F1989" s="9">
        <v>2112.66391413255</v>
      </c>
      <c r="G1989" s="9">
        <v>34278.863496812097</v>
      </c>
      <c r="H1989" s="9">
        <v>2112.6617453372501</v>
      </c>
      <c r="I1989" s="21">
        <f t="shared" si="62"/>
        <v>-2.1687952998945548E-3</v>
      </c>
      <c r="J1989" s="21">
        <f t="shared" si="63"/>
        <v>-5.9185731304751243E-2</v>
      </c>
    </row>
    <row r="1990" spans="1:10">
      <c r="A1990" t="s">
        <v>247</v>
      </c>
      <c r="B1990" t="s">
        <v>249</v>
      </c>
      <c r="C1990" s="18">
        <v>2049</v>
      </c>
      <c r="D1990" t="s">
        <v>174</v>
      </c>
      <c r="E1990" s="9">
        <v>26073.716969463399</v>
      </c>
      <c r="F1990" s="9">
        <v>17442.8247399826</v>
      </c>
      <c r="G1990" s="9">
        <v>25986.5373789525</v>
      </c>
      <c r="H1990" s="9">
        <v>17406.659114093502</v>
      </c>
      <c r="I1990" s="21">
        <f t="shared" si="62"/>
        <v>-36.16562588909801</v>
      </c>
      <c r="J1990" s="21">
        <f t="shared" si="63"/>
        <v>-87.179590510899288</v>
      </c>
    </row>
    <row r="1991" spans="1:10">
      <c r="A1991" t="s">
        <v>247</v>
      </c>
      <c r="B1991" t="s">
        <v>249</v>
      </c>
      <c r="C1991" s="18">
        <v>2049</v>
      </c>
      <c r="D1991" t="s">
        <v>236</v>
      </c>
      <c r="E1991" s="9">
        <v>1260924.7666827</v>
      </c>
      <c r="F1991" s="9">
        <v>318634.366708174</v>
      </c>
      <c r="G1991" s="9">
        <v>1290687.53512959</v>
      </c>
      <c r="H1991" s="9">
        <v>321740.50114880601</v>
      </c>
      <c r="I1991" s="21">
        <f t="shared" si="62"/>
        <v>3106.1344406320131</v>
      </c>
      <c r="J1991" s="21">
        <f t="shared" si="63"/>
        <v>29762.768446889939</v>
      </c>
    </row>
    <row r="1992" spans="1:10">
      <c r="A1992" t="s">
        <v>247</v>
      </c>
      <c r="B1992" t="s">
        <v>249</v>
      </c>
      <c r="C1992" s="18">
        <v>2049</v>
      </c>
      <c r="D1992" t="s">
        <v>182</v>
      </c>
      <c r="E1992" s="9">
        <v>148245.94392290901</v>
      </c>
      <c r="F1992" s="9">
        <v>94693.3117277969</v>
      </c>
      <c r="G1992" s="9">
        <v>147882.09983734801</v>
      </c>
      <c r="H1992" s="9">
        <v>94546.865675552195</v>
      </c>
      <c r="I1992" s="21">
        <f t="shared" si="62"/>
        <v>-146.44605224470433</v>
      </c>
      <c r="J1992" s="21">
        <f t="shared" si="63"/>
        <v>-363.84408556099515</v>
      </c>
    </row>
    <row r="1993" spans="1:10">
      <c r="A1993" t="s">
        <v>247</v>
      </c>
      <c r="B1993" t="s">
        <v>249</v>
      </c>
      <c r="C1993" s="18">
        <v>2049</v>
      </c>
      <c r="D1993" t="s">
        <v>185</v>
      </c>
      <c r="E1993" s="9">
        <v>263747.60352607898</v>
      </c>
      <c r="F1993" s="9">
        <v>250297.08016143099</v>
      </c>
      <c r="G1993" s="9">
        <v>267003.55015502701</v>
      </c>
      <c r="H1993" s="9">
        <v>253105.506935702</v>
      </c>
      <c r="I1993" s="21">
        <f t="shared" si="62"/>
        <v>2808.4267742710072</v>
      </c>
      <c r="J1993" s="21">
        <f t="shared" si="63"/>
        <v>3255.9466289480333</v>
      </c>
    </row>
    <row r="1994" spans="1:10">
      <c r="A1994" t="s">
        <v>247</v>
      </c>
      <c r="B1994" t="s">
        <v>249</v>
      </c>
      <c r="C1994" s="18">
        <v>2049</v>
      </c>
      <c r="D1994" t="s">
        <v>188</v>
      </c>
      <c r="E1994" s="9">
        <v>772158.59489093698</v>
      </c>
      <c r="F1994" s="9">
        <v>484669.49951806798</v>
      </c>
      <c r="G1994" s="9">
        <v>801596.85366425803</v>
      </c>
      <c r="H1994" s="9">
        <v>498010.65152404399</v>
      </c>
      <c r="I1994" s="21">
        <f t="shared" si="62"/>
        <v>13341.152005976008</v>
      </c>
      <c r="J1994" s="21">
        <f t="shared" si="63"/>
        <v>29438.258773321053</v>
      </c>
    </row>
    <row r="1995" spans="1:10">
      <c r="A1995" t="s">
        <v>247</v>
      </c>
      <c r="B1995" t="s">
        <v>249</v>
      </c>
      <c r="C1995" s="18">
        <v>2049</v>
      </c>
      <c r="D1995" t="s">
        <v>191</v>
      </c>
      <c r="E1995" s="9">
        <v>386469.80999225401</v>
      </c>
      <c r="F1995" s="9">
        <v>209980.21660740301</v>
      </c>
      <c r="G1995" s="9">
        <v>396058.615955627</v>
      </c>
      <c r="H1995" s="9">
        <v>213580.236200068</v>
      </c>
      <c r="I1995" s="21">
        <f t="shared" si="62"/>
        <v>3600.0195926649903</v>
      </c>
      <c r="J1995" s="21">
        <f t="shared" si="63"/>
        <v>9588.8059633729863</v>
      </c>
    </row>
    <row r="1996" spans="1:10">
      <c r="A1996" t="s">
        <v>247</v>
      </c>
      <c r="B1996" t="s">
        <v>249</v>
      </c>
      <c r="C1996" s="18">
        <v>2049</v>
      </c>
      <c r="D1996" t="s">
        <v>422</v>
      </c>
      <c r="E1996" s="9">
        <v>34087.813392831798</v>
      </c>
      <c r="F1996" s="9">
        <v>1998.5939945989601</v>
      </c>
      <c r="G1996" s="9">
        <v>34087.762706701098</v>
      </c>
      <c r="H1996" s="9">
        <v>1998.5922336333499</v>
      </c>
      <c r="I1996" s="21">
        <f t="shared" si="62"/>
        <v>-1.7609656101740256E-3</v>
      </c>
      <c r="J1996" s="21">
        <f t="shared" si="63"/>
        <v>-5.0686130700341891E-2</v>
      </c>
    </row>
    <row r="1997" spans="1:10">
      <c r="A1997" t="s">
        <v>247</v>
      </c>
      <c r="B1997" t="s">
        <v>249</v>
      </c>
      <c r="C1997" s="18">
        <v>2050</v>
      </c>
      <c r="D1997" t="s">
        <v>174</v>
      </c>
      <c r="E1997" s="9">
        <v>26787.5873956701</v>
      </c>
      <c r="F1997" s="9">
        <v>17869.795285452699</v>
      </c>
      <c r="G1997" s="9">
        <v>26690.1101954068</v>
      </c>
      <c r="H1997" s="9">
        <v>17828.637482456001</v>
      </c>
      <c r="I1997" s="21">
        <f t="shared" si="62"/>
        <v>-41.157802996698592</v>
      </c>
      <c r="J1997" s="21">
        <f t="shared" si="63"/>
        <v>-97.477200263299892</v>
      </c>
    </row>
    <row r="1998" spans="1:10">
      <c r="A1998" t="s">
        <v>247</v>
      </c>
      <c r="B1998" t="s">
        <v>249</v>
      </c>
      <c r="C1998" s="18">
        <v>2050</v>
      </c>
      <c r="D1998" t="s">
        <v>236</v>
      </c>
      <c r="E1998" s="9">
        <v>1267499.2937396399</v>
      </c>
      <c r="F1998" s="9">
        <v>325394.24395408097</v>
      </c>
      <c r="G1998" s="9">
        <v>1297798.19122542</v>
      </c>
      <c r="H1998" s="9">
        <v>328734.06146541203</v>
      </c>
      <c r="I1998" s="21">
        <f t="shared" si="62"/>
        <v>3339.8175113310572</v>
      </c>
      <c r="J1998" s="21">
        <f t="shared" si="63"/>
        <v>30298.897485780064</v>
      </c>
    </row>
    <row r="1999" spans="1:10">
      <c r="A1999" t="s">
        <v>247</v>
      </c>
      <c r="B1999" t="s">
        <v>249</v>
      </c>
      <c r="C1999" s="18">
        <v>2050</v>
      </c>
      <c r="D1999" t="s">
        <v>182</v>
      </c>
      <c r="E1999" s="9">
        <v>149947.043972963</v>
      </c>
      <c r="F1999" s="9">
        <v>95788.743526382896</v>
      </c>
      <c r="G1999" s="9">
        <v>149549.878981469</v>
      </c>
      <c r="H1999" s="9">
        <v>95625.943969428394</v>
      </c>
      <c r="I1999" s="21">
        <f t="shared" si="62"/>
        <v>-162.7995569545019</v>
      </c>
      <c r="J1999" s="21">
        <f t="shared" si="63"/>
        <v>-397.16499149400624</v>
      </c>
    </row>
    <row r="2000" spans="1:10">
      <c r="A2000" t="s">
        <v>247</v>
      </c>
      <c r="B2000" t="s">
        <v>249</v>
      </c>
      <c r="C2000" s="18">
        <v>2050</v>
      </c>
      <c r="D2000" t="s">
        <v>185</v>
      </c>
      <c r="E2000" s="9">
        <v>262756.61934833101</v>
      </c>
      <c r="F2000" s="9">
        <v>249311.96697525401</v>
      </c>
      <c r="G2000" s="9">
        <v>266031.496410964</v>
      </c>
      <c r="H2000" s="9">
        <v>252158.93315896901</v>
      </c>
      <c r="I2000" s="21">
        <f t="shared" si="62"/>
        <v>2846.9661837150052</v>
      </c>
      <c r="J2000" s="21">
        <f t="shared" si="63"/>
        <v>3274.8770626329933</v>
      </c>
    </row>
    <row r="2001" spans="1:10">
      <c r="A2001" t="s">
        <v>247</v>
      </c>
      <c r="B2001" t="s">
        <v>249</v>
      </c>
      <c r="C2001" s="18">
        <v>2050</v>
      </c>
      <c r="D2001" t="s">
        <v>188</v>
      </c>
      <c r="E2001" s="9">
        <v>778875.896197289</v>
      </c>
      <c r="F2001" s="9">
        <v>490081.59832281899</v>
      </c>
      <c r="G2001" s="9">
        <v>809018.72253896797</v>
      </c>
      <c r="H2001" s="9">
        <v>504089.42679186398</v>
      </c>
      <c r="I2001" s="21">
        <f t="shared" si="62"/>
        <v>14007.828469044995</v>
      </c>
      <c r="J2001" s="21">
        <f t="shared" si="63"/>
        <v>30142.82634167897</v>
      </c>
    </row>
    <row r="2002" spans="1:10">
      <c r="A2002" t="s">
        <v>247</v>
      </c>
      <c r="B2002" t="s">
        <v>249</v>
      </c>
      <c r="C2002" s="18">
        <v>2050</v>
      </c>
      <c r="D2002" t="s">
        <v>191</v>
      </c>
      <c r="E2002" s="9">
        <v>388780.00720430998</v>
      </c>
      <c r="F2002" s="9">
        <v>211805.925706182</v>
      </c>
      <c r="G2002" s="9">
        <v>398560.03791860503</v>
      </c>
      <c r="H2002" s="9">
        <v>215570.73744048199</v>
      </c>
      <c r="I2002" s="21">
        <f t="shared" si="62"/>
        <v>3764.8117342999903</v>
      </c>
      <c r="J2002" s="21">
        <f t="shared" si="63"/>
        <v>9780.0307142950478</v>
      </c>
    </row>
    <row r="2003" spans="1:10">
      <c r="A2003" t="s">
        <v>247</v>
      </c>
      <c r="B2003" t="s">
        <v>249</v>
      </c>
      <c r="C2003" s="18">
        <v>2050</v>
      </c>
      <c r="D2003" t="s">
        <v>422</v>
      </c>
      <c r="E2003" s="9">
        <v>33926.531218976997</v>
      </c>
      <c r="F2003" s="9">
        <v>1888.51615402108</v>
      </c>
      <c r="G2003" s="9">
        <v>33926.479042696701</v>
      </c>
      <c r="H2003" s="9">
        <v>1888.5150098655699</v>
      </c>
      <c r="I2003" s="21">
        <f t="shared" si="62"/>
        <v>-1.1441555100191181E-3</v>
      </c>
      <c r="J2003" s="21">
        <f t="shared" si="63"/>
        <v>-5.217628029640764E-2</v>
      </c>
    </row>
    <row r="2004" spans="1:10" hidden="1">
      <c r="A2004" t="s">
        <v>257</v>
      </c>
      <c r="B2004" t="s">
        <v>259</v>
      </c>
      <c r="C2004" s="18">
        <v>2025</v>
      </c>
      <c r="D2004" t="s">
        <v>174</v>
      </c>
      <c r="E2004" s="9">
        <v>12176.1707137429</v>
      </c>
      <c r="F2004" s="9">
        <v>8959.2701472679</v>
      </c>
      <c r="G2004" s="9">
        <v>12176.1707137429</v>
      </c>
      <c r="H2004" s="9">
        <v>8959.2701472679</v>
      </c>
      <c r="I2004" s="21">
        <f t="shared" si="62"/>
        <v>0</v>
      </c>
      <c r="J2004" s="21">
        <f t="shared" si="63"/>
        <v>0</v>
      </c>
    </row>
    <row r="2005" spans="1:10" hidden="1">
      <c r="A2005" t="s">
        <v>257</v>
      </c>
      <c r="B2005" t="s">
        <v>259</v>
      </c>
      <c r="C2005" s="18">
        <v>2025</v>
      </c>
      <c r="D2005" t="s">
        <v>236</v>
      </c>
      <c r="E2005" s="9">
        <v>1026758.5711338</v>
      </c>
      <c r="F2005" s="9">
        <v>129383.32321031499</v>
      </c>
      <c r="G2005" s="9">
        <v>1026758.5711338</v>
      </c>
      <c r="H2005" s="9">
        <v>129383.32321031499</v>
      </c>
      <c r="I2005" s="21">
        <f t="shared" si="62"/>
        <v>0</v>
      </c>
      <c r="J2005" s="21">
        <f t="shared" si="63"/>
        <v>0</v>
      </c>
    </row>
    <row r="2006" spans="1:10" hidden="1">
      <c r="A2006" t="s">
        <v>257</v>
      </c>
      <c r="B2006" t="s">
        <v>259</v>
      </c>
      <c r="C2006" s="18">
        <v>2025</v>
      </c>
      <c r="D2006" t="s">
        <v>182</v>
      </c>
      <c r="E2006" s="9">
        <v>115291.15986546699</v>
      </c>
      <c r="F2006" s="9">
        <v>67656.558989495796</v>
      </c>
      <c r="G2006" s="9">
        <v>115291.15986546699</v>
      </c>
      <c r="H2006" s="9">
        <v>67656.558989495796</v>
      </c>
      <c r="I2006" s="21">
        <f t="shared" si="62"/>
        <v>0</v>
      </c>
      <c r="J2006" s="21">
        <f t="shared" si="63"/>
        <v>0</v>
      </c>
    </row>
    <row r="2007" spans="1:10" hidden="1">
      <c r="A2007" t="s">
        <v>257</v>
      </c>
      <c r="B2007" t="s">
        <v>259</v>
      </c>
      <c r="C2007" s="18">
        <v>2025</v>
      </c>
      <c r="D2007" t="s">
        <v>185</v>
      </c>
      <c r="E2007" s="9">
        <v>281662.55341658002</v>
      </c>
      <c r="F2007" s="9">
        <v>263295.70058044</v>
      </c>
      <c r="G2007" s="9">
        <v>281662.55341658002</v>
      </c>
      <c r="H2007" s="9">
        <v>263295.70058044</v>
      </c>
      <c r="I2007" s="21">
        <f t="shared" si="62"/>
        <v>0</v>
      </c>
      <c r="J2007" s="21">
        <f t="shared" si="63"/>
        <v>0</v>
      </c>
    </row>
    <row r="2008" spans="1:10" hidden="1">
      <c r="A2008" t="s">
        <v>257</v>
      </c>
      <c r="B2008" t="s">
        <v>259</v>
      </c>
      <c r="C2008" s="18">
        <v>2025</v>
      </c>
      <c r="D2008" t="s">
        <v>188</v>
      </c>
      <c r="E2008" s="9">
        <v>612171.634776233</v>
      </c>
      <c r="F2008" s="9">
        <v>335724.86979376699</v>
      </c>
      <c r="G2008" s="9">
        <v>612171.634776233</v>
      </c>
      <c r="H2008" s="9">
        <v>335724.86979376699</v>
      </c>
      <c r="I2008" s="21">
        <f t="shared" si="62"/>
        <v>0</v>
      </c>
      <c r="J2008" s="21">
        <f t="shared" si="63"/>
        <v>0</v>
      </c>
    </row>
    <row r="2009" spans="1:10" hidden="1">
      <c r="A2009" t="s">
        <v>257</v>
      </c>
      <c r="B2009" t="s">
        <v>259</v>
      </c>
      <c r="C2009" s="18">
        <v>2025</v>
      </c>
      <c r="D2009" t="s">
        <v>191</v>
      </c>
      <c r="E2009" s="9">
        <v>339642.13012673298</v>
      </c>
      <c r="F2009" s="9">
        <v>190841.880003208</v>
      </c>
      <c r="G2009" s="9">
        <v>339642.13012673298</v>
      </c>
      <c r="H2009" s="9">
        <v>190841.880003208</v>
      </c>
      <c r="I2009" s="21">
        <f t="shared" si="62"/>
        <v>0</v>
      </c>
      <c r="J2009" s="21">
        <f t="shared" si="63"/>
        <v>0</v>
      </c>
    </row>
    <row r="2010" spans="1:10" hidden="1">
      <c r="A2010" t="s">
        <v>257</v>
      </c>
      <c r="B2010" t="s">
        <v>259</v>
      </c>
      <c r="C2010" s="18">
        <v>2025</v>
      </c>
      <c r="D2010" t="s">
        <v>422</v>
      </c>
      <c r="E2010" s="9">
        <v>39660.836547407802</v>
      </c>
      <c r="F2010" s="9">
        <v>5303.4223017440199</v>
      </c>
      <c r="G2010" s="9">
        <v>39660.836547407802</v>
      </c>
      <c r="H2010" s="9">
        <v>5303.4223017440199</v>
      </c>
      <c r="I2010" s="21">
        <f t="shared" si="62"/>
        <v>0</v>
      </c>
      <c r="J2010" s="21">
        <f t="shared" si="63"/>
        <v>0</v>
      </c>
    </row>
    <row r="2011" spans="1:10" hidden="1">
      <c r="A2011" t="s">
        <v>257</v>
      </c>
      <c r="B2011" t="s">
        <v>259</v>
      </c>
      <c r="C2011" s="18">
        <v>2026</v>
      </c>
      <c r="D2011" t="s">
        <v>174</v>
      </c>
      <c r="E2011" s="9">
        <v>12568.9386470114</v>
      </c>
      <c r="F2011" s="9">
        <v>9271.1333627081003</v>
      </c>
      <c r="G2011" s="9">
        <v>12568.9386470114</v>
      </c>
      <c r="H2011" s="9">
        <v>9271.1333627081003</v>
      </c>
      <c r="I2011" s="21">
        <f t="shared" si="62"/>
        <v>0</v>
      </c>
      <c r="J2011" s="21">
        <f t="shared" si="63"/>
        <v>0</v>
      </c>
    </row>
    <row r="2012" spans="1:10" hidden="1">
      <c r="A2012" t="s">
        <v>257</v>
      </c>
      <c r="B2012" t="s">
        <v>259</v>
      </c>
      <c r="C2012" s="18">
        <v>2026</v>
      </c>
      <c r="D2012" t="s">
        <v>236</v>
      </c>
      <c r="E2012" s="9">
        <v>1042135.18581351</v>
      </c>
      <c r="F2012" s="9">
        <v>137145.82895878801</v>
      </c>
      <c r="G2012" s="9">
        <v>1042135.18581351</v>
      </c>
      <c r="H2012" s="9">
        <v>137145.82895878801</v>
      </c>
      <c r="I2012" s="21">
        <f t="shared" si="62"/>
        <v>0</v>
      </c>
      <c r="J2012" s="21">
        <f t="shared" si="63"/>
        <v>0</v>
      </c>
    </row>
    <row r="2013" spans="1:10" hidden="1">
      <c r="A2013" t="s">
        <v>257</v>
      </c>
      <c r="B2013" t="s">
        <v>259</v>
      </c>
      <c r="C2013" s="18">
        <v>2026</v>
      </c>
      <c r="D2013" t="s">
        <v>182</v>
      </c>
      <c r="E2013" s="9">
        <v>114707.986926294</v>
      </c>
      <c r="F2013" s="9">
        <v>70326.603453519798</v>
      </c>
      <c r="G2013" s="9">
        <v>114707.986926294</v>
      </c>
      <c r="H2013" s="9">
        <v>70326.603453519798</v>
      </c>
      <c r="I2013" s="21">
        <f t="shared" si="62"/>
        <v>0</v>
      </c>
      <c r="J2013" s="21">
        <f t="shared" si="63"/>
        <v>0</v>
      </c>
    </row>
    <row r="2014" spans="1:10" hidden="1">
      <c r="A2014" t="s">
        <v>257</v>
      </c>
      <c r="B2014" t="s">
        <v>259</v>
      </c>
      <c r="C2014" s="18">
        <v>2026</v>
      </c>
      <c r="D2014" t="s">
        <v>185</v>
      </c>
      <c r="E2014" s="9">
        <v>282722.53786088398</v>
      </c>
      <c r="F2014" s="9">
        <v>259504.46801133201</v>
      </c>
      <c r="G2014" s="9">
        <v>282722.53786088398</v>
      </c>
      <c r="H2014" s="9">
        <v>259504.46801133201</v>
      </c>
      <c r="I2014" s="21">
        <f t="shared" si="62"/>
        <v>0</v>
      </c>
      <c r="J2014" s="21">
        <f t="shared" si="63"/>
        <v>0</v>
      </c>
    </row>
    <row r="2015" spans="1:10" hidden="1">
      <c r="A2015" t="s">
        <v>257</v>
      </c>
      <c r="B2015" t="s">
        <v>259</v>
      </c>
      <c r="C2015" s="18">
        <v>2026</v>
      </c>
      <c r="D2015" t="s">
        <v>188</v>
      </c>
      <c r="E2015" s="9">
        <v>616790.02915575495</v>
      </c>
      <c r="F2015" s="9">
        <v>342960.13528186502</v>
      </c>
      <c r="G2015" s="9">
        <v>616790.02915575495</v>
      </c>
      <c r="H2015" s="9">
        <v>342960.13528186502</v>
      </c>
      <c r="I2015" s="21">
        <f t="shared" si="62"/>
        <v>0</v>
      </c>
      <c r="J2015" s="21">
        <f t="shared" si="63"/>
        <v>0</v>
      </c>
    </row>
    <row r="2016" spans="1:10" hidden="1">
      <c r="A2016" t="s">
        <v>257</v>
      </c>
      <c r="B2016" t="s">
        <v>259</v>
      </c>
      <c r="C2016" s="18">
        <v>2026</v>
      </c>
      <c r="D2016" t="s">
        <v>191</v>
      </c>
      <c r="E2016" s="9">
        <v>338499.06942160201</v>
      </c>
      <c r="F2016" s="9">
        <v>190574.61381884801</v>
      </c>
      <c r="G2016" s="9">
        <v>338499.06942160201</v>
      </c>
      <c r="H2016" s="9">
        <v>190574.61381884801</v>
      </c>
      <c r="I2016" s="21">
        <f t="shared" si="62"/>
        <v>0</v>
      </c>
      <c r="J2016" s="21">
        <f t="shared" si="63"/>
        <v>0</v>
      </c>
    </row>
    <row r="2017" spans="1:10" hidden="1">
      <c r="A2017" t="s">
        <v>257</v>
      </c>
      <c r="B2017" t="s">
        <v>259</v>
      </c>
      <c r="C2017" s="18">
        <v>2026</v>
      </c>
      <c r="D2017" t="s">
        <v>422</v>
      </c>
      <c r="E2017" s="9">
        <v>39250.667018004897</v>
      </c>
      <c r="F2017" s="9">
        <v>5105.6095547855903</v>
      </c>
      <c r="G2017" s="9">
        <v>39250.667018004897</v>
      </c>
      <c r="H2017" s="9">
        <v>5105.6095547855903</v>
      </c>
      <c r="I2017" s="21">
        <f t="shared" si="62"/>
        <v>0</v>
      </c>
      <c r="J2017" s="21">
        <f t="shared" si="63"/>
        <v>0</v>
      </c>
    </row>
    <row r="2018" spans="1:10" hidden="1">
      <c r="A2018" t="s">
        <v>257</v>
      </c>
      <c r="B2018" t="s">
        <v>259</v>
      </c>
      <c r="C2018" s="18">
        <v>2027</v>
      </c>
      <c r="D2018" t="s">
        <v>174</v>
      </c>
      <c r="E2018" s="9">
        <v>12976.103113363301</v>
      </c>
      <c r="F2018" s="9">
        <v>9577.5296548643291</v>
      </c>
      <c r="G2018" s="9">
        <v>12976.103113363301</v>
      </c>
      <c r="H2018" s="9">
        <v>9577.5296548643291</v>
      </c>
      <c r="I2018" s="21">
        <f t="shared" si="62"/>
        <v>0</v>
      </c>
      <c r="J2018" s="21">
        <f t="shared" si="63"/>
        <v>0</v>
      </c>
    </row>
    <row r="2019" spans="1:10" hidden="1">
      <c r="A2019" t="s">
        <v>257</v>
      </c>
      <c r="B2019" t="s">
        <v>259</v>
      </c>
      <c r="C2019" s="18">
        <v>2027</v>
      </c>
      <c r="D2019" t="s">
        <v>236</v>
      </c>
      <c r="E2019" s="9">
        <v>1056895.97945897</v>
      </c>
      <c r="F2019" s="9">
        <v>145009.441994705</v>
      </c>
      <c r="G2019" s="9">
        <v>1057148.31873483</v>
      </c>
      <c r="H2019" s="9">
        <v>145009.441994705</v>
      </c>
      <c r="I2019" s="21">
        <f t="shared" si="62"/>
        <v>0</v>
      </c>
      <c r="J2019" s="21">
        <f t="shared" si="63"/>
        <v>252.33927585999481</v>
      </c>
    </row>
    <row r="2020" spans="1:10" hidden="1">
      <c r="A2020" t="s">
        <v>257</v>
      </c>
      <c r="B2020" t="s">
        <v>259</v>
      </c>
      <c r="C2020" s="18">
        <v>2027</v>
      </c>
      <c r="D2020" t="s">
        <v>182</v>
      </c>
      <c r="E2020" s="9">
        <v>114152.944165875</v>
      </c>
      <c r="F2020" s="9">
        <v>72290.169991209099</v>
      </c>
      <c r="G2020" s="9">
        <v>114152.944165875</v>
      </c>
      <c r="H2020" s="9">
        <v>72290.169991209099</v>
      </c>
      <c r="I2020" s="21">
        <f t="shared" si="62"/>
        <v>0</v>
      </c>
      <c r="J2020" s="21">
        <f t="shared" si="63"/>
        <v>0</v>
      </c>
    </row>
    <row r="2021" spans="1:10" hidden="1">
      <c r="A2021" t="s">
        <v>257</v>
      </c>
      <c r="B2021" t="s">
        <v>259</v>
      </c>
      <c r="C2021" s="18">
        <v>2027</v>
      </c>
      <c r="D2021" t="s">
        <v>185</v>
      </c>
      <c r="E2021" s="9">
        <v>277841.37102152</v>
      </c>
      <c r="F2021" s="9">
        <v>260330.421136777</v>
      </c>
      <c r="G2021" s="9">
        <v>277877.509454571</v>
      </c>
      <c r="H2021" s="9">
        <v>260330.421136777</v>
      </c>
      <c r="I2021" s="21">
        <f t="shared" si="62"/>
        <v>0</v>
      </c>
      <c r="J2021" s="21">
        <f t="shared" si="63"/>
        <v>36.13843305100454</v>
      </c>
    </row>
    <row r="2022" spans="1:10" hidden="1">
      <c r="A2022" t="s">
        <v>257</v>
      </c>
      <c r="B2022" t="s">
        <v>259</v>
      </c>
      <c r="C2022" s="18">
        <v>2027</v>
      </c>
      <c r="D2022" t="s">
        <v>188</v>
      </c>
      <c r="E2022" s="9">
        <v>621200.60331136896</v>
      </c>
      <c r="F2022" s="9">
        <v>349405.30073034298</v>
      </c>
      <c r="G2022" s="9">
        <v>621430.90280116105</v>
      </c>
      <c r="H2022" s="9">
        <v>349405.30073034298</v>
      </c>
      <c r="I2022" s="21">
        <f t="shared" si="62"/>
        <v>0</v>
      </c>
      <c r="J2022" s="21">
        <f t="shared" si="63"/>
        <v>230.29948979208712</v>
      </c>
    </row>
    <row r="2023" spans="1:10" hidden="1">
      <c r="A2023" t="s">
        <v>257</v>
      </c>
      <c r="B2023" t="s">
        <v>259</v>
      </c>
      <c r="C2023" s="18">
        <v>2027</v>
      </c>
      <c r="D2023" t="s">
        <v>191</v>
      </c>
      <c r="E2023" s="9">
        <v>337315.37654593698</v>
      </c>
      <c r="F2023" s="9">
        <v>189031.10044551201</v>
      </c>
      <c r="G2023" s="9">
        <v>337398.94907172298</v>
      </c>
      <c r="H2023" s="9">
        <v>189031.10044551201</v>
      </c>
      <c r="I2023" s="21">
        <f t="shared" si="62"/>
        <v>0</v>
      </c>
      <c r="J2023" s="21">
        <f t="shared" si="63"/>
        <v>83.572525786003098</v>
      </c>
    </row>
    <row r="2024" spans="1:10" hidden="1">
      <c r="A2024" t="s">
        <v>257</v>
      </c>
      <c r="B2024" t="s">
        <v>259</v>
      </c>
      <c r="C2024" s="18">
        <v>2027</v>
      </c>
      <c r="D2024" t="s">
        <v>422</v>
      </c>
      <c r="E2024" s="9">
        <v>38773.627186343103</v>
      </c>
      <c r="F2024" s="9">
        <v>4921.4971535538998</v>
      </c>
      <c r="G2024" s="9">
        <v>38773.627186343103</v>
      </c>
      <c r="H2024" s="9">
        <v>4921.4971535538998</v>
      </c>
      <c r="I2024" s="21">
        <f t="shared" si="62"/>
        <v>0</v>
      </c>
      <c r="J2024" s="21">
        <f t="shared" si="63"/>
        <v>0</v>
      </c>
    </row>
    <row r="2025" spans="1:10" hidden="1">
      <c r="A2025" t="s">
        <v>257</v>
      </c>
      <c r="B2025" t="s">
        <v>259</v>
      </c>
      <c r="C2025" s="18">
        <v>2028</v>
      </c>
      <c r="D2025" t="s">
        <v>174</v>
      </c>
      <c r="E2025" s="9">
        <v>13394.6739315754</v>
      </c>
      <c r="F2025" s="9">
        <v>9881.9220189252792</v>
      </c>
      <c r="G2025" s="9">
        <v>13394.6739315754</v>
      </c>
      <c r="H2025" s="9">
        <v>9881.9220189252792</v>
      </c>
      <c r="I2025" s="21">
        <f t="shared" si="62"/>
        <v>0</v>
      </c>
      <c r="J2025" s="21">
        <f t="shared" si="63"/>
        <v>0</v>
      </c>
    </row>
    <row r="2026" spans="1:10" hidden="1">
      <c r="A2026" t="s">
        <v>257</v>
      </c>
      <c r="B2026" t="s">
        <v>259</v>
      </c>
      <c r="C2026" s="18">
        <v>2028</v>
      </c>
      <c r="D2026" t="s">
        <v>236</v>
      </c>
      <c r="E2026" s="9">
        <v>1071331.88090555</v>
      </c>
      <c r="F2026" s="9">
        <v>152970.029997946</v>
      </c>
      <c r="G2026" s="9">
        <v>1071826.1250559301</v>
      </c>
      <c r="H2026" s="9">
        <v>152971.72938899801</v>
      </c>
      <c r="I2026" s="21">
        <f t="shared" si="62"/>
        <v>1.6993910520104691</v>
      </c>
      <c r="J2026" s="21">
        <f t="shared" si="63"/>
        <v>494.24415038013831</v>
      </c>
    </row>
    <row r="2027" spans="1:10" hidden="1">
      <c r="A2027" t="s">
        <v>257</v>
      </c>
      <c r="B2027" t="s">
        <v>259</v>
      </c>
      <c r="C2027" s="18">
        <v>2028</v>
      </c>
      <c r="D2027" t="s">
        <v>182</v>
      </c>
      <c r="E2027" s="9">
        <v>114139.12292486199</v>
      </c>
      <c r="F2027" s="9">
        <v>73846.874209439702</v>
      </c>
      <c r="G2027" s="9">
        <v>114139.12292486199</v>
      </c>
      <c r="H2027" s="9">
        <v>73846.874209439702</v>
      </c>
      <c r="I2027" s="21">
        <f t="shared" si="62"/>
        <v>0</v>
      </c>
      <c r="J2027" s="21">
        <f t="shared" si="63"/>
        <v>0</v>
      </c>
    </row>
    <row r="2028" spans="1:10" hidden="1">
      <c r="A2028" t="s">
        <v>257</v>
      </c>
      <c r="B2028" t="s">
        <v>259</v>
      </c>
      <c r="C2028" s="18">
        <v>2028</v>
      </c>
      <c r="D2028" t="s">
        <v>185</v>
      </c>
      <c r="E2028" s="9">
        <v>277665.78860728903</v>
      </c>
      <c r="F2028" s="9">
        <v>257749.44191767101</v>
      </c>
      <c r="G2028" s="9">
        <v>277735.69614120398</v>
      </c>
      <c r="H2028" s="9">
        <v>257765.32327170501</v>
      </c>
      <c r="I2028" s="21">
        <f t="shared" si="62"/>
        <v>15.881354034005199</v>
      </c>
      <c r="J2028" s="21">
        <f t="shared" si="63"/>
        <v>69.90753391495673</v>
      </c>
    </row>
    <row r="2029" spans="1:10" hidden="1">
      <c r="A2029" t="s">
        <v>257</v>
      </c>
      <c r="B2029" t="s">
        <v>259</v>
      </c>
      <c r="C2029" s="18">
        <v>2028</v>
      </c>
      <c r="D2029" t="s">
        <v>188</v>
      </c>
      <c r="E2029" s="9">
        <v>627274.56410708895</v>
      </c>
      <c r="F2029" s="9">
        <v>356142.886896379</v>
      </c>
      <c r="G2029" s="9">
        <v>627723.84415529598</v>
      </c>
      <c r="H2029" s="9">
        <v>356159.25290604099</v>
      </c>
      <c r="I2029" s="21">
        <f t="shared" si="62"/>
        <v>16.366009661986027</v>
      </c>
      <c r="J2029" s="21">
        <f t="shared" si="63"/>
        <v>449.28004820703063</v>
      </c>
    </row>
    <row r="2030" spans="1:10" hidden="1">
      <c r="A2030" t="s">
        <v>257</v>
      </c>
      <c r="B2030" t="s">
        <v>259</v>
      </c>
      <c r="C2030" s="18">
        <v>2028</v>
      </c>
      <c r="D2030" t="s">
        <v>191</v>
      </c>
      <c r="E2030" s="9">
        <v>337353.04647788598</v>
      </c>
      <c r="F2030" s="9">
        <v>187109.439849363</v>
      </c>
      <c r="G2030" s="9">
        <v>337514.695524676</v>
      </c>
      <c r="H2030" s="9">
        <v>187116.63987946699</v>
      </c>
      <c r="I2030" s="21">
        <f t="shared" si="62"/>
        <v>7.2000301039952319</v>
      </c>
      <c r="J2030" s="21">
        <f t="shared" si="63"/>
        <v>161.64904679002939</v>
      </c>
    </row>
    <row r="2031" spans="1:10" hidden="1">
      <c r="A2031" t="s">
        <v>257</v>
      </c>
      <c r="B2031" t="s">
        <v>259</v>
      </c>
      <c r="C2031" s="18">
        <v>2028</v>
      </c>
      <c r="D2031" t="s">
        <v>422</v>
      </c>
      <c r="E2031" s="9">
        <v>38149.291579231904</v>
      </c>
      <c r="F2031" s="9">
        <v>4742.0855729783398</v>
      </c>
      <c r="G2031" s="9">
        <v>38149.291579231904</v>
      </c>
      <c r="H2031" s="9">
        <v>4742.0855729783398</v>
      </c>
      <c r="I2031" s="21">
        <f t="shared" si="62"/>
        <v>0</v>
      </c>
      <c r="J2031" s="21">
        <f t="shared" si="63"/>
        <v>0</v>
      </c>
    </row>
    <row r="2032" spans="1:10" hidden="1">
      <c r="A2032" t="s">
        <v>257</v>
      </c>
      <c r="B2032" t="s">
        <v>259</v>
      </c>
      <c r="C2032" s="18">
        <v>2029</v>
      </c>
      <c r="D2032" t="s">
        <v>174</v>
      </c>
      <c r="E2032" s="9">
        <v>13830.0686133583</v>
      </c>
      <c r="F2032" s="9">
        <v>10188.394886280999</v>
      </c>
      <c r="G2032" s="9">
        <v>13830.048598278099</v>
      </c>
      <c r="H2032" s="9">
        <v>10188.394886280999</v>
      </c>
      <c r="I2032" s="21">
        <f t="shared" si="62"/>
        <v>0</v>
      </c>
      <c r="J2032" s="21">
        <f t="shared" si="63"/>
        <v>-2.0015080201119417E-2</v>
      </c>
    </row>
    <row r="2033" spans="1:10" hidden="1">
      <c r="A2033" t="s">
        <v>257</v>
      </c>
      <c r="B2033" t="s">
        <v>259</v>
      </c>
      <c r="C2033" s="18">
        <v>2029</v>
      </c>
      <c r="D2033" t="s">
        <v>236</v>
      </c>
      <c r="E2033" s="9">
        <v>1085474.8571250001</v>
      </c>
      <c r="F2033" s="9">
        <v>161033.132087918</v>
      </c>
      <c r="G2033" s="9">
        <v>1086200.5009906101</v>
      </c>
      <c r="H2033" s="9">
        <v>161038.22768731901</v>
      </c>
      <c r="I2033" s="21">
        <f t="shared" si="62"/>
        <v>5.0955994010146242</v>
      </c>
      <c r="J2033" s="21">
        <f t="shared" si="63"/>
        <v>725.6438656100072</v>
      </c>
    </row>
    <row r="2034" spans="1:10" hidden="1">
      <c r="A2034" t="s">
        <v>257</v>
      </c>
      <c r="B2034" t="s">
        <v>259</v>
      </c>
      <c r="C2034" s="18">
        <v>2029</v>
      </c>
      <c r="D2034" t="s">
        <v>182</v>
      </c>
      <c r="E2034" s="9">
        <v>114048.30765931201</v>
      </c>
      <c r="F2034" s="9">
        <v>75452.222577591499</v>
      </c>
      <c r="G2034" s="9">
        <v>114048.15533588199</v>
      </c>
      <c r="H2034" s="9">
        <v>75452.222577591499</v>
      </c>
      <c r="I2034" s="21">
        <f t="shared" si="62"/>
        <v>0</v>
      </c>
      <c r="J2034" s="21">
        <f t="shared" si="63"/>
        <v>-0.15232343001116533</v>
      </c>
    </row>
    <row r="2035" spans="1:10" hidden="1">
      <c r="A2035" t="s">
        <v>257</v>
      </c>
      <c r="B2035" t="s">
        <v>259</v>
      </c>
      <c r="C2035" s="18">
        <v>2029</v>
      </c>
      <c r="D2035" t="s">
        <v>185</v>
      </c>
      <c r="E2035" s="9">
        <v>275720.423176713</v>
      </c>
      <c r="F2035" s="9">
        <v>258298.39579708301</v>
      </c>
      <c r="G2035" s="9">
        <v>275821.08299242798</v>
      </c>
      <c r="H2035" s="9">
        <v>258334.31739486201</v>
      </c>
      <c r="I2035" s="21">
        <f t="shared" si="62"/>
        <v>35.921597779000876</v>
      </c>
      <c r="J2035" s="21">
        <f t="shared" si="63"/>
        <v>100.6598157149856</v>
      </c>
    </row>
    <row r="2036" spans="1:10" hidden="1">
      <c r="A2036" t="s">
        <v>257</v>
      </c>
      <c r="B2036" t="s">
        <v>259</v>
      </c>
      <c r="C2036" s="18">
        <v>2029</v>
      </c>
      <c r="D2036" t="s">
        <v>188</v>
      </c>
      <c r="E2036" s="9">
        <v>630125.29706163495</v>
      </c>
      <c r="F2036" s="9">
        <v>363846.71264063299</v>
      </c>
      <c r="G2036" s="9">
        <v>630779.36998507904</v>
      </c>
      <c r="H2036" s="9">
        <v>363892.26827992598</v>
      </c>
      <c r="I2036" s="21">
        <f t="shared" si="62"/>
        <v>45.555639292986598</v>
      </c>
      <c r="J2036" s="21">
        <f t="shared" si="63"/>
        <v>654.07292344409507</v>
      </c>
    </row>
    <row r="2037" spans="1:10" hidden="1">
      <c r="A2037" t="s">
        <v>257</v>
      </c>
      <c r="B2037" t="s">
        <v>259</v>
      </c>
      <c r="C2037" s="18">
        <v>2029</v>
      </c>
      <c r="D2037" t="s">
        <v>191</v>
      </c>
      <c r="E2037" s="9">
        <v>335688.17216442502</v>
      </c>
      <c r="F2037" s="9">
        <v>186803.17439239699</v>
      </c>
      <c r="G2037" s="9">
        <v>335921.29283179599</v>
      </c>
      <c r="H2037" s="9">
        <v>186821.56008749199</v>
      </c>
      <c r="I2037" s="21">
        <f t="shared" si="62"/>
        <v>18.385695094999392</v>
      </c>
      <c r="J2037" s="21">
        <f t="shared" si="63"/>
        <v>233.12066737096757</v>
      </c>
    </row>
    <row r="2038" spans="1:10" hidden="1">
      <c r="A2038" t="s">
        <v>257</v>
      </c>
      <c r="B2038" t="s">
        <v>259</v>
      </c>
      <c r="C2038" s="18">
        <v>2029</v>
      </c>
      <c r="D2038" t="s">
        <v>422</v>
      </c>
      <c r="E2038" s="9">
        <v>37777.467633221298</v>
      </c>
      <c r="F2038" s="9">
        <v>4604.0681483163899</v>
      </c>
      <c r="G2038" s="9">
        <v>37777.467218977603</v>
      </c>
      <c r="H2038" s="9">
        <v>4604.0681483163899</v>
      </c>
      <c r="I2038" s="21">
        <f t="shared" si="62"/>
        <v>0</v>
      </c>
      <c r="J2038" s="21">
        <f t="shared" si="63"/>
        <v>-4.1424369555898011E-4</v>
      </c>
    </row>
    <row r="2039" spans="1:10" hidden="1">
      <c r="A2039" t="s">
        <v>257</v>
      </c>
      <c r="B2039" t="s">
        <v>259</v>
      </c>
      <c r="C2039" s="18">
        <v>2030</v>
      </c>
      <c r="D2039" t="s">
        <v>174</v>
      </c>
      <c r="E2039" s="9">
        <v>14282.0267823213</v>
      </c>
      <c r="F2039" s="9">
        <v>10500.2902468013</v>
      </c>
      <c r="G2039" s="9">
        <v>14281.959039535501</v>
      </c>
      <c r="H2039" s="9">
        <v>10500.2867221377</v>
      </c>
      <c r="I2039" s="21">
        <f t="shared" si="62"/>
        <v>-3.5246635998191778E-3</v>
      </c>
      <c r="J2039" s="21">
        <f t="shared" si="63"/>
        <v>-6.7742785799055127E-2</v>
      </c>
    </row>
    <row r="2040" spans="1:10" hidden="1">
      <c r="A2040" t="s">
        <v>257</v>
      </c>
      <c r="B2040" t="s">
        <v>259</v>
      </c>
      <c r="C2040" s="18">
        <v>2030</v>
      </c>
      <c r="D2040" t="s">
        <v>236</v>
      </c>
      <c r="E2040" s="9">
        <v>1099245.2220952599</v>
      </c>
      <c r="F2040" s="9">
        <v>169186.21303490899</v>
      </c>
      <c r="G2040" s="9">
        <v>1100191.7865472301</v>
      </c>
      <c r="H2040" s="9">
        <v>169196.385350075</v>
      </c>
      <c r="I2040" s="21">
        <f t="shared" si="62"/>
        <v>10.172315166011686</v>
      </c>
      <c r="J2040" s="21">
        <f t="shared" si="63"/>
        <v>946.56445197016001</v>
      </c>
    </row>
    <row r="2041" spans="1:10" hidden="1">
      <c r="A2041" t="s">
        <v>257</v>
      </c>
      <c r="B2041" t="s">
        <v>259</v>
      </c>
      <c r="C2041" s="18">
        <v>2030</v>
      </c>
      <c r="D2041" t="s">
        <v>182</v>
      </c>
      <c r="E2041" s="9">
        <v>114782.433333012</v>
      </c>
      <c r="F2041" s="9">
        <v>76004.404714441902</v>
      </c>
      <c r="G2041" s="9">
        <v>114781.951575614</v>
      </c>
      <c r="H2041" s="9">
        <v>76004.374773711097</v>
      </c>
      <c r="I2041" s="21">
        <f t="shared" si="62"/>
        <v>-2.99407308048103E-2</v>
      </c>
      <c r="J2041" s="21">
        <f t="shared" si="63"/>
        <v>-0.48175739799626172</v>
      </c>
    </row>
    <row r="2042" spans="1:10" hidden="1">
      <c r="A2042" t="s">
        <v>257</v>
      </c>
      <c r="B2042" t="s">
        <v>259</v>
      </c>
      <c r="C2042" s="18">
        <v>2030</v>
      </c>
      <c r="D2042" t="s">
        <v>185</v>
      </c>
      <c r="E2042" s="9">
        <v>275621.183217693</v>
      </c>
      <c r="F2042" s="9">
        <v>257354.10774362701</v>
      </c>
      <c r="G2042" s="9">
        <v>275750.81654950802</v>
      </c>
      <c r="H2042" s="9">
        <v>257411.19778715901</v>
      </c>
      <c r="I2042" s="21">
        <f t="shared" si="62"/>
        <v>57.090043531992706</v>
      </c>
      <c r="J2042" s="21">
        <f t="shared" si="63"/>
        <v>129.63333181501366</v>
      </c>
    </row>
    <row r="2043" spans="1:10" hidden="1">
      <c r="A2043" t="s">
        <v>257</v>
      </c>
      <c r="B2043" t="s">
        <v>259</v>
      </c>
      <c r="C2043" s="18">
        <v>2030</v>
      </c>
      <c r="D2043" t="s">
        <v>188</v>
      </c>
      <c r="E2043" s="9">
        <v>637346.78410322801</v>
      </c>
      <c r="F2043" s="9">
        <v>368835.376412421</v>
      </c>
      <c r="G2043" s="9">
        <v>638199.36722691404</v>
      </c>
      <c r="H2043" s="9">
        <v>368920.44347907702</v>
      </c>
      <c r="I2043" s="21">
        <f t="shared" si="62"/>
        <v>85.067066656018142</v>
      </c>
      <c r="J2043" s="21">
        <f t="shared" si="63"/>
        <v>852.58312368602492</v>
      </c>
    </row>
    <row r="2044" spans="1:10" hidden="1">
      <c r="A2044" t="s">
        <v>257</v>
      </c>
      <c r="B2044" t="s">
        <v>259</v>
      </c>
      <c r="C2044" s="18">
        <v>2030</v>
      </c>
      <c r="D2044" t="s">
        <v>191</v>
      </c>
      <c r="E2044" s="9">
        <v>337073.31353866</v>
      </c>
      <c r="F2044" s="9">
        <v>185410.48870801899</v>
      </c>
      <c r="G2044" s="9">
        <v>337374.94686633401</v>
      </c>
      <c r="H2044" s="9">
        <v>185442.493190957</v>
      </c>
      <c r="I2044" s="21">
        <f t="shared" si="62"/>
        <v>32.004482938005822</v>
      </c>
      <c r="J2044" s="21">
        <f t="shared" si="63"/>
        <v>301.63332767400425</v>
      </c>
    </row>
    <row r="2045" spans="1:10" hidden="1">
      <c r="A2045" t="s">
        <v>257</v>
      </c>
      <c r="B2045" t="s">
        <v>259</v>
      </c>
      <c r="C2045" s="18">
        <v>2030</v>
      </c>
      <c r="D2045" t="s">
        <v>422</v>
      </c>
      <c r="E2045" s="9">
        <v>38012.674792336598</v>
      </c>
      <c r="F2045" s="9">
        <v>4432.1168830652396</v>
      </c>
      <c r="G2045" s="9">
        <v>38012.673637756197</v>
      </c>
      <c r="H2045" s="9">
        <v>4432.1168533298996</v>
      </c>
      <c r="I2045" s="21">
        <f t="shared" si="62"/>
        <v>-2.973533992189914E-5</v>
      </c>
      <c r="J2045" s="21">
        <f t="shared" si="63"/>
        <v>-1.1545804009074345E-3</v>
      </c>
    </row>
    <row r="2046" spans="1:10" hidden="1">
      <c r="A2046" t="s">
        <v>257</v>
      </c>
      <c r="B2046" t="s">
        <v>259</v>
      </c>
      <c r="C2046" s="18">
        <v>2031</v>
      </c>
      <c r="D2046" t="s">
        <v>174</v>
      </c>
      <c r="E2046" s="9">
        <v>14754.576338638701</v>
      </c>
      <c r="F2046" s="9">
        <v>10814.93231163</v>
      </c>
      <c r="G2046" s="9">
        <v>14754.4294987798</v>
      </c>
      <c r="H2046" s="9">
        <v>10814.9178976517</v>
      </c>
      <c r="I2046" s="21">
        <f t="shared" si="62"/>
        <v>-1.4413978300581221E-2</v>
      </c>
      <c r="J2046" s="21">
        <f t="shared" si="63"/>
        <v>-0.14683985890042095</v>
      </c>
    </row>
    <row r="2047" spans="1:10" hidden="1">
      <c r="A2047" t="s">
        <v>257</v>
      </c>
      <c r="B2047" t="s">
        <v>259</v>
      </c>
      <c r="C2047" s="18">
        <v>2031</v>
      </c>
      <c r="D2047" t="s">
        <v>236</v>
      </c>
      <c r="E2047" s="9">
        <v>1112567.9710107399</v>
      </c>
      <c r="F2047" s="9">
        <v>177403.296393317</v>
      </c>
      <c r="G2047" s="9">
        <v>1113725.2263596801</v>
      </c>
      <c r="H2047" s="9">
        <v>177420.195676039</v>
      </c>
      <c r="I2047" s="21">
        <f t="shared" si="62"/>
        <v>16.899282722006319</v>
      </c>
      <c r="J2047" s="21">
        <f t="shared" si="63"/>
        <v>1157.2553489401471</v>
      </c>
    </row>
    <row r="2048" spans="1:10" hidden="1">
      <c r="A2048" t="s">
        <v>257</v>
      </c>
      <c r="B2048" t="s">
        <v>259</v>
      </c>
      <c r="C2048" s="18">
        <v>2031</v>
      </c>
      <c r="D2048" t="s">
        <v>182</v>
      </c>
      <c r="E2048" s="9">
        <v>115758.00365514601</v>
      </c>
      <c r="F2048" s="9">
        <v>76556.738870324203</v>
      </c>
      <c r="G2048" s="9">
        <v>115757.018858842</v>
      </c>
      <c r="H2048" s="9">
        <v>76556.628013514899</v>
      </c>
      <c r="I2048" s="21">
        <f t="shared" si="62"/>
        <v>-0.1108568093040958</v>
      </c>
      <c r="J2048" s="21">
        <f t="shared" si="63"/>
        <v>-0.98479630400834139</v>
      </c>
    </row>
    <row r="2049" spans="1:10" hidden="1">
      <c r="A2049" t="s">
        <v>257</v>
      </c>
      <c r="B2049" t="s">
        <v>259</v>
      </c>
      <c r="C2049" s="18">
        <v>2031</v>
      </c>
      <c r="D2049" t="s">
        <v>185</v>
      </c>
      <c r="E2049" s="9">
        <v>274563.851704853</v>
      </c>
      <c r="F2049" s="9">
        <v>257166.127191059</v>
      </c>
      <c r="G2049" s="9">
        <v>274719.77758767002</v>
      </c>
      <c r="H2049" s="9">
        <v>257245.00548019301</v>
      </c>
      <c r="I2049" s="21">
        <f t="shared" si="62"/>
        <v>78.87828913400881</v>
      </c>
      <c r="J2049" s="21">
        <f t="shared" si="63"/>
        <v>155.92588281701319</v>
      </c>
    </row>
    <row r="2050" spans="1:10" hidden="1">
      <c r="A2050" t="s">
        <v>257</v>
      </c>
      <c r="B2050" t="s">
        <v>259</v>
      </c>
      <c r="C2050" s="18">
        <v>2031</v>
      </c>
      <c r="D2050" t="s">
        <v>188</v>
      </c>
      <c r="E2050" s="9">
        <v>645067.97663121601</v>
      </c>
      <c r="F2050" s="9">
        <v>374074.34434792202</v>
      </c>
      <c r="G2050" s="9">
        <v>646110.86416985898</v>
      </c>
      <c r="H2050" s="9">
        <v>374207.72907897399</v>
      </c>
      <c r="I2050" s="21">
        <f t="shared" ref="I2050:I2113" si="64">H2050-F2050</f>
        <v>133.38473105197772</v>
      </c>
      <c r="J2050" s="21">
        <f t="shared" ref="J2050:J2113" si="65">G2050-E2050</f>
        <v>1042.8875386429718</v>
      </c>
    </row>
    <row r="2051" spans="1:10" hidden="1">
      <c r="A2051" t="s">
        <v>257</v>
      </c>
      <c r="B2051" t="s">
        <v>259</v>
      </c>
      <c r="C2051" s="18">
        <v>2031</v>
      </c>
      <c r="D2051" t="s">
        <v>191</v>
      </c>
      <c r="E2051" s="9">
        <v>338838.014790516</v>
      </c>
      <c r="F2051" s="9">
        <v>184268.287084079</v>
      </c>
      <c r="G2051" s="9">
        <v>339204.41915059398</v>
      </c>
      <c r="H2051" s="9">
        <v>184315.56237323501</v>
      </c>
      <c r="I2051" s="21">
        <f t="shared" si="64"/>
        <v>47.275289156008512</v>
      </c>
      <c r="J2051" s="21">
        <f t="shared" si="65"/>
        <v>366.40436007798417</v>
      </c>
    </row>
    <row r="2052" spans="1:10" hidden="1">
      <c r="A2052" t="s">
        <v>257</v>
      </c>
      <c r="B2052" t="s">
        <v>259</v>
      </c>
      <c r="C2052" s="18">
        <v>2031</v>
      </c>
      <c r="D2052" t="s">
        <v>422</v>
      </c>
      <c r="E2052" s="9">
        <v>38191.625176425398</v>
      </c>
      <c r="F2052" s="9">
        <v>4274.7273904168997</v>
      </c>
      <c r="G2052" s="9">
        <v>38191.6231000681</v>
      </c>
      <c r="H2052" s="9">
        <v>4274.7272932738097</v>
      </c>
      <c r="I2052" s="21">
        <f t="shared" si="64"/>
        <v>-9.7143089988094289E-5</v>
      </c>
      <c r="J2052" s="21">
        <f t="shared" si="65"/>
        <v>-2.0763572974829003E-3</v>
      </c>
    </row>
    <row r="2053" spans="1:10" hidden="1">
      <c r="A2053" t="s">
        <v>257</v>
      </c>
      <c r="B2053" t="s">
        <v>259</v>
      </c>
      <c r="C2053" s="18">
        <v>2032</v>
      </c>
      <c r="D2053" t="s">
        <v>174</v>
      </c>
      <c r="E2053" s="9">
        <v>15248.029717539601</v>
      </c>
      <c r="F2053" s="9">
        <v>11132.2147109095</v>
      </c>
      <c r="G2053" s="9">
        <v>15247.769190462001</v>
      </c>
      <c r="H2053" s="9">
        <v>11132.1787355836</v>
      </c>
      <c r="I2053" s="21">
        <f t="shared" si="64"/>
        <v>-3.5975325899926247E-2</v>
      </c>
      <c r="J2053" s="21">
        <f t="shared" si="65"/>
        <v>-0.26052707760027261</v>
      </c>
    </row>
    <row r="2054" spans="1:10" hidden="1">
      <c r="A2054" t="s">
        <v>257</v>
      </c>
      <c r="B2054" t="s">
        <v>259</v>
      </c>
      <c r="C2054" s="18">
        <v>2032</v>
      </c>
      <c r="D2054" t="s">
        <v>236</v>
      </c>
      <c r="E2054" s="9">
        <v>1125425.2493650101</v>
      </c>
      <c r="F2054" s="9">
        <v>185666.21502413301</v>
      </c>
      <c r="G2054" s="9">
        <v>1126783.31749171</v>
      </c>
      <c r="H2054" s="9">
        <v>185691.45221249</v>
      </c>
      <c r="I2054" s="21">
        <f t="shared" si="64"/>
        <v>25.237188356986735</v>
      </c>
      <c r="J2054" s="21">
        <f t="shared" si="65"/>
        <v>1358.0681266998872</v>
      </c>
    </row>
    <row r="2055" spans="1:10" hidden="1">
      <c r="A2055" t="s">
        <v>257</v>
      </c>
      <c r="B2055" t="s">
        <v>259</v>
      </c>
      <c r="C2055" s="18">
        <v>2032</v>
      </c>
      <c r="D2055" t="s">
        <v>182</v>
      </c>
      <c r="E2055" s="9">
        <v>116894.65007011101</v>
      </c>
      <c r="F2055" s="9">
        <v>77198.644211142804</v>
      </c>
      <c r="G2055" s="9">
        <v>116892.91249656001</v>
      </c>
      <c r="H2055" s="9">
        <v>77198.389307422098</v>
      </c>
      <c r="I2055" s="21">
        <f t="shared" si="64"/>
        <v>-0.25490372070635203</v>
      </c>
      <c r="J2055" s="21">
        <f t="shared" si="65"/>
        <v>-1.7375735509995138</v>
      </c>
    </row>
    <row r="2056" spans="1:10" hidden="1">
      <c r="A2056" t="s">
        <v>257</v>
      </c>
      <c r="B2056" t="s">
        <v>259</v>
      </c>
      <c r="C2056" s="18">
        <v>2032</v>
      </c>
      <c r="D2056" t="s">
        <v>185</v>
      </c>
      <c r="E2056" s="9">
        <v>274231.864477508</v>
      </c>
      <c r="F2056" s="9">
        <v>256645.42579596999</v>
      </c>
      <c r="G2056" s="9">
        <v>274412.39342979901</v>
      </c>
      <c r="H2056" s="9">
        <v>256745.67636584101</v>
      </c>
      <c r="I2056" s="21">
        <f t="shared" si="64"/>
        <v>100.25056987101561</v>
      </c>
      <c r="J2056" s="21">
        <f t="shared" si="65"/>
        <v>180.5289522910025</v>
      </c>
    </row>
    <row r="2057" spans="1:10" hidden="1">
      <c r="A2057" t="s">
        <v>257</v>
      </c>
      <c r="B2057" t="s">
        <v>259</v>
      </c>
      <c r="C2057" s="18">
        <v>2032</v>
      </c>
      <c r="D2057" t="s">
        <v>188</v>
      </c>
      <c r="E2057" s="9">
        <v>653294.76838040596</v>
      </c>
      <c r="F2057" s="9">
        <v>379938.26977187302</v>
      </c>
      <c r="G2057" s="9">
        <v>654519.81142038899</v>
      </c>
      <c r="H2057" s="9">
        <v>380127.64784866601</v>
      </c>
      <c r="I2057" s="21">
        <f t="shared" si="64"/>
        <v>189.37807679298567</v>
      </c>
      <c r="J2057" s="21">
        <f t="shared" si="65"/>
        <v>1225.043039983022</v>
      </c>
    </row>
    <row r="2058" spans="1:10" hidden="1">
      <c r="A2058" t="s">
        <v>257</v>
      </c>
      <c r="B2058" t="s">
        <v>259</v>
      </c>
      <c r="C2058" s="18">
        <v>2032</v>
      </c>
      <c r="D2058" t="s">
        <v>191</v>
      </c>
      <c r="E2058" s="9">
        <v>341154.0393525</v>
      </c>
      <c r="F2058" s="9">
        <v>183665.92846642499</v>
      </c>
      <c r="G2058" s="9">
        <v>341581.65326776</v>
      </c>
      <c r="H2058" s="9">
        <v>183730.084212538</v>
      </c>
      <c r="I2058" s="21">
        <f t="shared" si="64"/>
        <v>64.155746113014175</v>
      </c>
      <c r="J2058" s="21">
        <f t="shared" si="65"/>
        <v>427.61391526000807</v>
      </c>
    </row>
    <row r="2059" spans="1:10" hidden="1">
      <c r="A2059" t="s">
        <v>257</v>
      </c>
      <c r="B2059" t="s">
        <v>259</v>
      </c>
      <c r="C2059" s="18">
        <v>2032</v>
      </c>
      <c r="D2059" t="s">
        <v>422</v>
      </c>
      <c r="E2059" s="9">
        <v>38037.555126066203</v>
      </c>
      <c r="F2059" s="9">
        <v>4125.72267240573</v>
      </c>
      <c r="G2059" s="9">
        <v>38037.551792099897</v>
      </c>
      <c r="H2059" s="9">
        <v>4125.7224791710396</v>
      </c>
      <c r="I2059" s="21">
        <f t="shared" si="64"/>
        <v>-1.9323469041410135E-4</v>
      </c>
      <c r="J2059" s="21">
        <f t="shared" si="65"/>
        <v>-3.3339663059450686E-3</v>
      </c>
    </row>
    <row r="2060" spans="1:10" hidden="1">
      <c r="A2060" t="s">
        <v>257</v>
      </c>
      <c r="B2060" t="s">
        <v>259</v>
      </c>
      <c r="C2060" s="18">
        <v>2033</v>
      </c>
      <c r="D2060" t="s">
        <v>174</v>
      </c>
      <c r="E2060" s="9">
        <v>15759.9259534058</v>
      </c>
      <c r="F2060" s="9">
        <v>11452.2760413013</v>
      </c>
      <c r="G2060" s="9">
        <v>15759.5151167894</v>
      </c>
      <c r="H2060" s="9">
        <v>11452.2049974033</v>
      </c>
      <c r="I2060" s="21">
        <f t="shared" si="64"/>
        <v>-7.1043898000425543E-2</v>
      </c>
      <c r="J2060" s="21">
        <f t="shared" si="65"/>
        <v>-0.41083661640004721</v>
      </c>
    </row>
    <row r="2061" spans="1:10" hidden="1">
      <c r="A2061" t="s">
        <v>257</v>
      </c>
      <c r="B2061" t="s">
        <v>259</v>
      </c>
      <c r="C2061" s="18">
        <v>2033</v>
      </c>
      <c r="D2061" t="s">
        <v>236</v>
      </c>
      <c r="E2061" s="9">
        <v>1137723.5863343901</v>
      </c>
      <c r="F2061" s="9">
        <v>193970.45774233199</v>
      </c>
      <c r="G2061" s="9">
        <v>1139272.75378683</v>
      </c>
      <c r="H2061" s="9">
        <v>194005.60056651599</v>
      </c>
      <c r="I2061" s="21">
        <f t="shared" si="64"/>
        <v>35.142824184003985</v>
      </c>
      <c r="J2061" s="21">
        <f t="shared" si="65"/>
        <v>1549.1674524398986</v>
      </c>
    </row>
    <row r="2062" spans="1:10" hidden="1">
      <c r="A2062" t="s">
        <v>257</v>
      </c>
      <c r="B2062" t="s">
        <v>259</v>
      </c>
      <c r="C2062" s="18">
        <v>2033</v>
      </c>
      <c r="D2062" t="s">
        <v>182</v>
      </c>
      <c r="E2062" s="9">
        <v>118284.48171365799</v>
      </c>
      <c r="F2062" s="9">
        <v>77917.638288369795</v>
      </c>
      <c r="G2062" s="9">
        <v>118281.82855902299</v>
      </c>
      <c r="H2062" s="9">
        <v>77917.162090690195</v>
      </c>
      <c r="I2062" s="21">
        <f t="shared" si="64"/>
        <v>-0.47619767959986348</v>
      </c>
      <c r="J2062" s="21">
        <f t="shared" si="65"/>
        <v>-2.653154635001556</v>
      </c>
    </row>
    <row r="2063" spans="1:10" hidden="1">
      <c r="A2063" t="s">
        <v>257</v>
      </c>
      <c r="B2063" t="s">
        <v>259</v>
      </c>
      <c r="C2063" s="18">
        <v>2033</v>
      </c>
      <c r="D2063" t="s">
        <v>185</v>
      </c>
      <c r="E2063" s="9">
        <v>273690.44687241898</v>
      </c>
      <c r="F2063" s="9">
        <v>256534.310573683</v>
      </c>
      <c r="G2063" s="9">
        <v>273893.528221021</v>
      </c>
      <c r="H2063" s="9">
        <v>256655.55902621101</v>
      </c>
      <c r="I2063" s="21">
        <f t="shared" si="64"/>
        <v>121.24845252800151</v>
      </c>
      <c r="J2063" s="21">
        <f t="shared" si="65"/>
        <v>203.08134860201972</v>
      </c>
    </row>
    <row r="2064" spans="1:10" hidden="1">
      <c r="A2064" t="s">
        <v>257</v>
      </c>
      <c r="B2064" t="s">
        <v>259</v>
      </c>
      <c r="C2064" s="18">
        <v>2033</v>
      </c>
      <c r="D2064" t="s">
        <v>188</v>
      </c>
      <c r="E2064" s="9">
        <v>662606.91148838901</v>
      </c>
      <c r="F2064" s="9">
        <v>386332.34412490099</v>
      </c>
      <c r="G2064" s="9">
        <v>664009.13874492398</v>
      </c>
      <c r="H2064" s="9">
        <v>386583.230936034</v>
      </c>
      <c r="I2064" s="21">
        <f t="shared" si="64"/>
        <v>250.88681113300845</v>
      </c>
      <c r="J2064" s="21">
        <f t="shared" si="65"/>
        <v>1402.2272565349704</v>
      </c>
    </row>
    <row r="2065" spans="1:10" hidden="1">
      <c r="A2065" t="s">
        <v>257</v>
      </c>
      <c r="B2065" t="s">
        <v>259</v>
      </c>
      <c r="C2065" s="18">
        <v>2033</v>
      </c>
      <c r="D2065" t="s">
        <v>191</v>
      </c>
      <c r="E2065" s="9">
        <v>344508.24919798097</v>
      </c>
      <c r="F2065" s="9">
        <v>183501.051385495</v>
      </c>
      <c r="G2065" s="9">
        <v>344995.26462988101</v>
      </c>
      <c r="H2065" s="9">
        <v>183583.04220271501</v>
      </c>
      <c r="I2065" s="21">
        <f t="shared" si="64"/>
        <v>81.990817220008466</v>
      </c>
      <c r="J2065" s="21">
        <f t="shared" si="65"/>
        <v>487.01543190004304</v>
      </c>
    </row>
    <row r="2066" spans="1:10" hidden="1">
      <c r="A2066" t="s">
        <v>257</v>
      </c>
      <c r="B2066" t="s">
        <v>259</v>
      </c>
      <c r="C2066" s="18">
        <v>2033</v>
      </c>
      <c r="D2066" t="s">
        <v>422</v>
      </c>
      <c r="E2066" s="9">
        <v>37788.400267017401</v>
      </c>
      <c r="F2066" s="9">
        <v>3977.71468351557</v>
      </c>
      <c r="G2066" s="9">
        <v>37788.395913351</v>
      </c>
      <c r="H2066" s="9">
        <v>3977.7143757352601</v>
      </c>
      <c r="I2066" s="21">
        <f t="shared" si="64"/>
        <v>-3.077803098676668E-4</v>
      </c>
      <c r="J2066" s="21">
        <f t="shared" si="65"/>
        <v>-4.3536664015846327E-3</v>
      </c>
    </row>
    <row r="2067" spans="1:10" hidden="1">
      <c r="A2067" t="s">
        <v>257</v>
      </c>
      <c r="B2067" t="s">
        <v>259</v>
      </c>
      <c r="C2067" s="18">
        <v>2034</v>
      </c>
      <c r="D2067" t="s">
        <v>174</v>
      </c>
      <c r="E2067" s="9">
        <v>16286.3638718766</v>
      </c>
      <c r="F2067" s="9">
        <v>11779.536398101</v>
      </c>
      <c r="G2067" s="9">
        <v>16285.764037622699</v>
      </c>
      <c r="H2067" s="9">
        <v>11779.4141755774</v>
      </c>
      <c r="I2067" s="21">
        <f t="shared" si="64"/>
        <v>-0.12222252359970298</v>
      </c>
      <c r="J2067" s="21">
        <f t="shared" si="65"/>
        <v>-0.59983425390055345</v>
      </c>
    </row>
    <row r="2068" spans="1:10" hidden="1">
      <c r="A2068" t="s">
        <v>257</v>
      </c>
      <c r="B2068" t="s">
        <v>259</v>
      </c>
      <c r="C2068" s="18">
        <v>2034</v>
      </c>
      <c r="D2068" t="s">
        <v>236</v>
      </c>
      <c r="E2068" s="9">
        <v>1149502.1886841899</v>
      </c>
      <c r="F2068" s="9">
        <v>202274.067185377</v>
      </c>
      <c r="G2068" s="9">
        <v>1151232.62464015</v>
      </c>
      <c r="H2068" s="9">
        <v>202320.63612115101</v>
      </c>
      <c r="I2068" s="21">
        <f t="shared" si="64"/>
        <v>46.568935774004785</v>
      </c>
      <c r="J2068" s="21">
        <f t="shared" si="65"/>
        <v>1730.4359559600707</v>
      </c>
    </row>
    <row r="2069" spans="1:10" hidden="1">
      <c r="A2069" t="s">
        <v>257</v>
      </c>
      <c r="B2069" t="s">
        <v>259</v>
      </c>
      <c r="C2069" s="18">
        <v>2034</v>
      </c>
      <c r="D2069" t="s">
        <v>182</v>
      </c>
      <c r="E2069" s="9">
        <v>119177.507984868</v>
      </c>
      <c r="F2069" s="9">
        <v>78782.500372223702</v>
      </c>
      <c r="G2069" s="9">
        <v>119173.805374547</v>
      </c>
      <c r="H2069" s="9">
        <v>78781.723235872807</v>
      </c>
      <c r="I2069" s="21">
        <f t="shared" si="64"/>
        <v>-0.77713635089457966</v>
      </c>
      <c r="J2069" s="21">
        <f t="shared" si="65"/>
        <v>-3.702610321008251</v>
      </c>
    </row>
    <row r="2070" spans="1:10" hidden="1">
      <c r="A2070" t="s">
        <v>257</v>
      </c>
      <c r="B2070" t="s">
        <v>259</v>
      </c>
      <c r="C2070" s="18">
        <v>2034</v>
      </c>
      <c r="D2070" t="s">
        <v>185</v>
      </c>
      <c r="E2070" s="9">
        <v>273445.62901135598</v>
      </c>
      <c r="F2070" s="9">
        <v>256611.703656142</v>
      </c>
      <c r="G2070" s="9">
        <v>273669.65020286699</v>
      </c>
      <c r="H2070" s="9">
        <v>256753.127116244</v>
      </c>
      <c r="I2070" s="21">
        <f t="shared" si="64"/>
        <v>141.42346010199981</v>
      </c>
      <c r="J2070" s="21">
        <f t="shared" si="65"/>
        <v>224.02119151101215</v>
      </c>
    </row>
    <row r="2071" spans="1:10" hidden="1">
      <c r="A2071" t="s">
        <v>257</v>
      </c>
      <c r="B2071" t="s">
        <v>259</v>
      </c>
      <c r="C2071" s="18">
        <v>2034</v>
      </c>
      <c r="D2071" t="s">
        <v>188</v>
      </c>
      <c r="E2071" s="9">
        <v>668001.56995797402</v>
      </c>
      <c r="F2071" s="9">
        <v>393489.44146075897</v>
      </c>
      <c r="G2071" s="9">
        <v>669565.09186596901</v>
      </c>
      <c r="H2071" s="9">
        <v>393806.92012191401</v>
      </c>
      <c r="I2071" s="21">
        <f t="shared" si="64"/>
        <v>317.47866115503712</v>
      </c>
      <c r="J2071" s="21">
        <f t="shared" si="65"/>
        <v>1563.5219079949893</v>
      </c>
    </row>
    <row r="2072" spans="1:10" hidden="1">
      <c r="A2072" t="s">
        <v>257</v>
      </c>
      <c r="B2072" t="s">
        <v>259</v>
      </c>
      <c r="C2072" s="18">
        <v>2034</v>
      </c>
      <c r="D2072" t="s">
        <v>191</v>
      </c>
      <c r="E2072" s="9">
        <v>345386.77303404699</v>
      </c>
      <c r="F2072" s="9">
        <v>184700.30016389801</v>
      </c>
      <c r="G2072" s="9">
        <v>345926.396497523</v>
      </c>
      <c r="H2072" s="9">
        <v>184800.88501932399</v>
      </c>
      <c r="I2072" s="21">
        <f t="shared" si="64"/>
        <v>100.58485542598646</v>
      </c>
      <c r="J2072" s="21">
        <f t="shared" si="65"/>
        <v>539.62346347601851</v>
      </c>
    </row>
    <row r="2073" spans="1:10" hidden="1">
      <c r="A2073" t="s">
        <v>257</v>
      </c>
      <c r="B2073" t="s">
        <v>259</v>
      </c>
      <c r="C2073" s="18">
        <v>2034</v>
      </c>
      <c r="D2073" t="s">
        <v>422</v>
      </c>
      <c r="E2073" s="9">
        <v>37391.124501325699</v>
      </c>
      <c r="F2073" s="9">
        <v>3849.4368445545001</v>
      </c>
      <c r="G2073" s="9">
        <v>37391.118979539897</v>
      </c>
      <c r="H2073" s="9">
        <v>3849.43642407178</v>
      </c>
      <c r="I2073" s="21">
        <f t="shared" si="64"/>
        <v>-4.2048272007377818E-4</v>
      </c>
      <c r="J2073" s="21">
        <f t="shared" si="65"/>
        <v>-5.5217858025571331E-3</v>
      </c>
    </row>
    <row r="2074" spans="1:10" hidden="1">
      <c r="A2074" t="s">
        <v>257</v>
      </c>
      <c r="B2074" t="s">
        <v>259</v>
      </c>
      <c r="C2074" s="18">
        <v>2035</v>
      </c>
      <c r="D2074" t="s">
        <v>174</v>
      </c>
      <c r="E2074" s="9">
        <v>16831.471635363301</v>
      </c>
      <c r="F2074" s="9">
        <v>12113.0060690149</v>
      </c>
      <c r="G2074" s="9">
        <v>16830.6420972909</v>
      </c>
      <c r="H2074" s="9">
        <v>12112.814364394</v>
      </c>
      <c r="I2074" s="21">
        <f t="shared" si="64"/>
        <v>-0.19170462090005458</v>
      </c>
      <c r="J2074" s="21">
        <f t="shared" si="65"/>
        <v>-0.82953807240119204</v>
      </c>
    </row>
    <row r="2075" spans="1:10" hidden="1">
      <c r="A2075" t="s">
        <v>257</v>
      </c>
      <c r="B2075" t="s">
        <v>259</v>
      </c>
      <c r="C2075" s="18">
        <v>2035</v>
      </c>
      <c r="D2075" t="s">
        <v>236</v>
      </c>
      <c r="E2075" s="9">
        <v>1160875.2558683299</v>
      </c>
      <c r="F2075" s="9">
        <v>210567.95614101199</v>
      </c>
      <c r="G2075" s="9">
        <v>1162777.28327874</v>
      </c>
      <c r="H2075" s="9">
        <v>210627.422792314</v>
      </c>
      <c r="I2075" s="21">
        <f t="shared" si="64"/>
        <v>59.46665130200563</v>
      </c>
      <c r="J2075" s="21">
        <f t="shared" si="65"/>
        <v>1902.0274104101118</v>
      </c>
    </row>
    <row r="2076" spans="1:10" hidden="1">
      <c r="A2076" t="s">
        <v>257</v>
      </c>
      <c r="B2076" t="s">
        <v>259</v>
      </c>
      <c r="C2076" s="18">
        <v>2035</v>
      </c>
      <c r="D2076" t="s">
        <v>182</v>
      </c>
      <c r="E2076" s="9">
        <v>120803.98962527</v>
      </c>
      <c r="F2076" s="9">
        <v>79457.790122212595</v>
      </c>
      <c r="G2076" s="9">
        <v>120799.065903184</v>
      </c>
      <c r="H2076" s="9">
        <v>79456.632421187605</v>
      </c>
      <c r="I2076" s="21">
        <f t="shared" si="64"/>
        <v>-1.1577010249893647</v>
      </c>
      <c r="J2076" s="21">
        <f t="shared" si="65"/>
        <v>-4.9237220859940862</v>
      </c>
    </row>
    <row r="2077" spans="1:10" hidden="1">
      <c r="A2077" t="s">
        <v>257</v>
      </c>
      <c r="B2077" t="s">
        <v>259</v>
      </c>
      <c r="C2077" s="18">
        <v>2035</v>
      </c>
      <c r="D2077" t="s">
        <v>185</v>
      </c>
      <c r="E2077" s="9">
        <v>273102.17235119402</v>
      </c>
      <c r="F2077" s="9">
        <v>256646.71710091701</v>
      </c>
      <c r="G2077" s="9">
        <v>273345.36006293801</v>
      </c>
      <c r="H2077" s="9">
        <v>256807.53223008101</v>
      </c>
      <c r="I2077" s="21">
        <f t="shared" si="64"/>
        <v>160.81512916399515</v>
      </c>
      <c r="J2077" s="21">
        <f t="shared" si="65"/>
        <v>243.18771174398717</v>
      </c>
    </row>
    <row r="2078" spans="1:10" hidden="1">
      <c r="A2078" t="s">
        <v>257</v>
      </c>
      <c r="B2078" t="s">
        <v>259</v>
      </c>
      <c r="C2078" s="18">
        <v>2035</v>
      </c>
      <c r="D2078" t="s">
        <v>188</v>
      </c>
      <c r="E2078" s="9">
        <v>676912.62719930999</v>
      </c>
      <c r="F2078" s="9">
        <v>399104.80299622798</v>
      </c>
      <c r="G2078" s="9">
        <v>678638.43452144298</v>
      </c>
      <c r="H2078" s="9">
        <v>399492.95053299802</v>
      </c>
      <c r="I2078" s="21">
        <f t="shared" si="64"/>
        <v>388.14753677003318</v>
      </c>
      <c r="J2078" s="21">
        <f t="shared" si="65"/>
        <v>1725.8073221329832</v>
      </c>
    </row>
    <row r="2079" spans="1:10" hidden="1">
      <c r="A2079" t="s">
        <v>257</v>
      </c>
      <c r="B2079" t="s">
        <v>259</v>
      </c>
      <c r="C2079" s="18">
        <v>2035</v>
      </c>
      <c r="D2079" t="s">
        <v>191</v>
      </c>
      <c r="E2079" s="9">
        <v>348553.22124340001</v>
      </c>
      <c r="F2079" s="9">
        <v>185245.98449168401</v>
      </c>
      <c r="G2079" s="9">
        <v>349146.06245576398</v>
      </c>
      <c r="H2079" s="9">
        <v>185365.76110357899</v>
      </c>
      <c r="I2079" s="21">
        <f t="shared" si="64"/>
        <v>119.77661189498031</v>
      </c>
      <c r="J2079" s="21">
        <f t="shared" si="65"/>
        <v>592.84121236397186</v>
      </c>
    </row>
    <row r="2080" spans="1:10" hidden="1">
      <c r="A2080" t="s">
        <v>257</v>
      </c>
      <c r="B2080" t="s">
        <v>259</v>
      </c>
      <c r="C2080" s="18">
        <v>2035</v>
      </c>
      <c r="D2080" t="s">
        <v>422</v>
      </c>
      <c r="E2080" s="9">
        <v>37274.404591053099</v>
      </c>
      <c r="F2080" s="9">
        <v>3710.4323050785301</v>
      </c>
      <c r="G2080" s="9">
        <v>37274.397901844597</v>
      </c>
      <c r="H2080" s="9">
        <v>3710.43177455469</v>
      </c>
      <c r="I2080" s="21">
        <f t="shared" si="64"/>
        <v>-5.3052384009788511E-4</v>
      </c>
      <c r="J2080" s="21">
        <f t="shared" si="65"/>
        <v>-6.6892085014842451E-3</v>
      </c>
    </row>
    <row r="2081" spans="1:10" hidden="1">
      <c r="A2081" t="s">
        <v>257</v>
      </c>
      <c r="B2081" t="s">
        <v>259</v>
      </c>
      <c r="C2081" s="18">
        <v>2036</v>
      </c>
      <c r="D2081" t="s">
        <v>174</v>
      </c>
      <c r="E2081" s="9">
        <v>17393.712639928399</v>
      </c>
      <c r="F2081" s="9">
        <v>12453.1454704031</v>
      </c>
      <c r="G2081" s="9">
        <v>17392.609904070101</v>
      </c>
      <c r="H2081" s="9">
        <v>12452.864013751599</v>
      </c>
      <c r="I2081" s="21">
        <f t="shared" si="64"/>
        <v>-0.28145665150077548</v>
      </c>
      <c r="J2081" s="21">
        <f t="shared" si="65"/>
        <v>-1.1027358582978195</v>
      </c>
    </row>
    <row r="2082" spans="1:10" hidden="1">
      <c r="A2082" t="s">
        <v>257</v>
      </c>
      <c r="B2082" t="s">
        <v>259</v>
      </c>
      <c r="C2082" s="18">
        <v>2036</v>
      </c>
      <c r="D2082" t="s">
        <v>236</v>
      </c>
      <c r="E2082" s="9">
        <v>1172021.0793835099</v>
      </c>
      <c r="F2082" s="9">
        <v>218832.855821203</v>
      </c>
      <c r="G2082" s="9">
        <v>1174085.51289072</v>
      </c>
      <c r="H2082" s="9">
        <v>218906.62344450099</v>
      </c>
      <c r="I2082" s="21">
        <f t="shared" si="64"/>
        <v>73.767623297986574</v>
      </c>
      <c r="J2082" s="21">
        <f t="shared" si="65"/>
        <v>2064.4335072101094</v>
      </c>
    </row>
    <row r="2083" spans="1:10" hidden="1">
      <c r="A2083" t="s">
        <v>257</v>
      </c>
      <c r="B2083" t="s">
        <v>259</v>
      </c>
      <c r="C2083" s="18">
        <v>2036</v>
      </c>
      <c r="D2083" t="s">
        <v>182</v>
      </c>
      <c r="E2083" s="9">
        <v>122624.629328261</v>
      </c>
      <c r="F2083" s="9">
        <v>80304.466128499407</v>
      </c>
      <c r="G2083" s="9">
        <v>122618.320312187</v>
      </c>
      <c r="H2083" s="9">
        <v>80302.842995522602</v>
      </c>
      <c r="I2083" s="21">
        <f t="shared" si="64"/>
        <v>-1.6231329768052092</v>
      </c>
      <c r="J2083" s="21">
        <f t="shared" si="65"/>
        <v>-6.3090160739957355</v>
      </c>
    </row>
    <row r="2084" spans="1:10" hidden="1">
      <c r="A2084" t="s">
        <v>257</v>
      </c>
      <c r="B2084" t="s">
        <v>259</v>
      </c>
      <c r="C2084" s="18">
        <v>2036</v>
      </c>
      <c r="D2084" t="s">
        <v>185</v>
      </c>
      <c r="E2084" s="9">
        <v>273036.59249408101</v>
      </c>
      <c r="F2084" s="9">
        <v>256754.109839877</v>
      </c>
      <c r="G2084" s="9">
        <v>273297.56982222799</v>
      </c>
      <c r="H2084" s="9">
        <v>256933.39822934201</v>
      </c>
      <c r="I2084" s="21">
        <f t="shared" si="64"/>
        <v>179.28838946501492</v>
      </c>
      <c r="J2084" s="21">
        <f t="shared" si="65"/>
        <v>260.97732814698247</v>
      </c>
    </row>
    <row r="2085" spans="1:10" hidden="1">
      <c r="A2085" t="s">
        <v>257</v>
      </c>
      <c r="B2085" t="s">
        <v>259</v>
      </c>
      <c r="C2085" s="18">
        <v>2036</v>
      </c>
      <c r="D2085" t="s">
        <v>188</v>
      </c>
      <c r="E2085" s="9">
        <v>686311.52442537004</v>
      </c>
      <c r="F2085" s="9">
        <v>405529.656807805</v>
      </c>
      <c r="G2085" s="9">
        <v>688194.68447559199</v>
      </c>
      <c r="H2085" s="9">
        <v>405992.65349387802</v>
      </c>
      <c r="I2085" s="21">
        <f t="shared" si="64"/>
        <v>462.9966860730201</v>
      </c>
      <c r="J2085" s="21">
        <f t="shared" si="65"/>
        <v>1883.1600502219517</v>
      </c>
    </row>
    <row r="2086" spans="1:10" hidden="1">
      <c r="A2086" t="s">
        <v>257</v>
      </c>
      <c r="B2086" t="s">
        <v>259</v>
      </c>
      <c r="C2086" s="18">
        <v>2036</v>
      </c>
      <c r="D2086" t="s">
        <v>191</v>
      </c>
      <c r="E2086" s="9">
        <v>351959.14878246799</v>
      </c>
      <c r="F2086" s="9">
        <v>186278.25498747599</v>
      </c>
      <c r="G2086" s="9">
        <v>352603.07171420398</v>
      </c>
      <c r="H2086" s="9">
        <v>186417.92722248001</v>
      </c>
      <c r="I2086" s="21">
        <f t="shared" si="64"/>
        <v>139.67223500402179</v>
      </c>
      <c r="J2086" s="21">
        <f t="shared" si="65"/>
        <v>643.92293173598591</v>
      </c>
    </row>
    <row r="2087" spans="1:10" hidden="1">
      <c r="A2087" t="s">
        <v>257</v>
      </c>
      <c r="B2087" t="s">
        <v>259</v>
      </c>
      <c r="C2087" s="18">
        <v>2036</v>
      </c>
      <c r="D2087" t="s">
        <v>422</v>
      </c>
      <c r="E2087" s="9">
        <v>37283.035274972797</v>
      </c>
      <c r="F2087" s="9">
        <v>3578.6606978166801</v>
      </c>
      <c r="G2087" s="9">
        <v>37283.027629395598</v>
      </c>
      <c r="H2087" s="9">
        <v>3578.66006488627</v>
      </c>
      <c r="I2087" s="21">
        <f t="shared" si="64"/>
        <v>-6.3293041012002504E-4</v>
      </c>
      <c r="J2087" s="21">
        <f t="shared" si="65"/>
        <v>-7.6455771995824762E-3</v>
      </c>
    </row>
    <row r="2088" spans="1:10" hidden="1">
      <c r="A2088" t="s">
        <v>257</v>
      </c>
      <c r="B2088" t="s">
        <v>259</v>
      </c>
      <c r="C2088" s="18">
        <v>2037</v>
      </c>
      <c r="D2088" t="s">
        <v>174</v>
      </c>
      <c r="E2088" s="9">
        <v>17972.905301806499</v>
      </c>
      <c r="F2088" s="9">
        <v>12799.8727482754</v>
      </c>
      <c r="G2088" s="9">
        <v>17971.482864064201</v>
      </c>
      <c r="H2088" s="9">
        <v>12799.479454561601</v>
      </c>
      <c r="I2088" s="21">
        <f t="shared" si="64"/>
        <v>-0.39329371379972144</v>
      </c>
      <c r="J2088" s="21">
        <f t="shared" si="65"/>
        <v>-1.422437742297916</v>
      </c>
    </row>
    <row r="2089" spans="1:10" hidden="1">
      <c r="A2089" t="s">
        <v>257</v>
      </c>
      <c r="B2089" t="s">
        <v>259</v>
      </c>
      <c r="C2089" s="18">
        <v>2037</v>
      </c>
      <c r="D2089" t="s">
        <v>236</v>
      </c>
      <c r="E2089" s="9">
        <v>1183046.6299910201</v>
      </c>
      <c r="F2089" s="9">
        <v>227056.44027212099</v>
      </c>
      <c r="G2089" s="9">
        <v>1185264.7438497699</v>
      </c>
      <c r="H2089" s="9">
        <v>227145.85064844001</v>
      </c>
      <c r="I2089" s="21">
        <f t="shared" si="64"/>
        <v>89.410376319021452</v>
      </c>
      <c r="J2089" s="21">
        <f t="shared" si="65"/>
        <v>2218.1138587498572</v>
      </c>
    </row>
    <row r="2090" spans="1:10" hidden="1">
      <c r="A2090" t="s">
        <v>257</v>
      </c>
      <c r="B2090" t="s">
        <v>259</v>
      </c>
      <c r="C2090" s="18">
        <v>2037</v>
      </c>
      <c r="D2090" t="s">
        <v>182</v>
      </c>
      <c r="E2090" s="9">
        <v>124497.43428376</v>
      </c>
      <c r="F2090" s="9">
        <v>81246.869221845802</v>
      </c>
      <c r="G2090" s="9">
        <v>124489.42976024401</v>
      </c>
      <c r="H2090" s="9">
        <v>81244.691389584303</v>
      </c>
      <c r="I2090" s="21">
        <f t="shared" si="64"/>
        <v>-2.1778322614991339</v>
      </c>
      <c r="J2090" s="21">
        <f t="shared" si="65"/>
        <v>-8.0045235159923322</v>
      </c>
    </row>
    <row r="2091" spans="1:10" hidden="1">
      <c r="A2091" t="s">
        <v>257</v>
      </c>
      <c r="B2091" t="s">
        <v>259</v>
      </c>
      <c r="C2091" s="18">
        <v>2037</v>
      </c>
      <c r="D2091" t="s">
        <v>185</v>
      </c>
      <c r="E2091" s="9">
        <v>272925.477908484</v>
      </c>
      <c r="F2091" s="9">
        <v>256874.16711613501</v>
      </c>
      <c r="G2091" s="9">
        <v>273202.80227406899</v>
      </c>
      <c r="H2091" s="9">
        <v>257070.97314913399</v>
      </c>
      <c r="I2091" s="21">
        <f t="shared" si="64"/>
        <v>196.80603299898212</v>
      </c>
      <c r="J2091" s="21">
        <f t="shared" si="65"/>
        <v>277.32436558499467</v>
      </c>
    </row>
    <row r="2092" spans="1:10" hidden="1">
      <c r="A2092" t="s">
        <v>257</v>
      </c>
      <c r="B2092" t="s">
        <v>259</v>
      </c>
      <c r="C2092" s="18">
        <v>2037</v>
      </c>
      <c r="D2092" t="s">
        <v>188</v>
      </c>
      <c r="E2092" s="9">
        <v>696025.30499517696</v>
      </c>
      <c r="F2092" s="9">
        <v>412476.94458287698</v>
      </c>
      <c r="G2092" s="9">
        <v>698060.50212694705</v>
      </c>
      <c r="H2092" s="9">
        <v>413018.343093551</v>
      </c>
      <c r="I2092" s="21">
        <f t="shared" si="64"/>
        <v>541.39851067401469</v>
      </c>
      <c r="J2092" s="21">
        <f t="shared" si="65"/>
        <v>2035.1971317700809</v>
      </c>
    </row>
    <row r="2093" spans="1:10" hidden="1">
      <c r="A2093" t="s">
        <v>257</v>
      </c>
      <c r="B2093" t="s">
        <v>259</v>
      </c>
      <c r="C2093" s="18">
        <v>2037</v>
      </c>
      <c r="D2093" t="s">
        <v>191</v>
      </c>
      <c r="E2093" s="9">
        <v>355732.83958030702</v>
      </c>
      <c r="F2093" s="9">
        <v>187627.913488964</v>
      </c>
      <c r="G2093" s="9">
        <v>356425.67891865398</v>
      </c>
      <c r="H2093" s="9">
        <v>187788.31252848901</v>
      </c>
      <c r="I2093" s="21">
        <f t="shared" si="64"/>
        <v>160.39903952501481</v>
      </c>
      <c r="J2093" s="21">
        <f t="shared" si="65"/>
        <v>692.83933834696654</v>
      </c>
    </row>
    <row r="2094" spans="1:10" hidden="1">
      <c r="A2094" t="s">
        <v>257</v>
      </c>
      <c r="B2094" t="s">
        <v>259</v>
      </c>
      <c r="C2094" s="18">
        <v>2037</v>
      </c>
      <c r="D2094" t="s">
        <v>422</v>
      </c>
      <c r="E2094" s="9">
        <v>36837.285355222397</v>
      </c>
      <c r="F2094" s="9">
        <v>3450.1953730435998</v>
      </c>
      <c r="G2094" s="9">
        <v>36837.277480763201</v>
      </c>
      <c r="H2094" s="9">
        <v>3450.1946557369902</v>
      </c>
      <c r="I2094" s="21">
        <f t="shared" si="64"/>
        <v>-7.1730660965840798E-4</v>
      </c>
      <c r="J2094" s="21">
        <f t="shared" si="65"/>
        <v>-7.8744591955910437E-3</v>
      </c>
    </row>
    <row r="2095" spans="1:10" hidden="1">
      <c r="A2095" t="s">
        <v>257</v>
      </c>
      <c r="B2095" t="s">
        <v>259</v>
      </c>
      <c r="C2095" s="18">
        <v>2038</v>
      </c>
      <c r="D2095" t="s">
        <v>174</v>
      </c>
      <c r="E2095" s="9">
        <v>18566.523829996899</v>
      </c>
      <c r="F2095" s="9">
        <v>13156.1327529382</v>
      </c>
      <c r="G2095" s="9">
        <v>18564.7325343064</v>
      </c>
      <c r="H2095" s="9">
        <v>13155.6038503287</v>
      </c>
      <c r="I2095" s="21">
        <f t="shared" si="64"/>
        <v>-0.5289026094997098</v>
      </c>
      <c r="J2095" s="21">
        <f t="shared" si="65"/>
        <v>-1.791295690498373</v>
      </c>
    </row>
    <row r="2096" spans="1:10" hidden="1">
      <c r="A2096" t="s">
        <v>257</v>
      </c>
      <c r="B2096" t="s">
        <v>259</v>
      </c>
      <c r="C2096" s="18">
        <v>2038</v>
      </c>
      <c r="D2096" t="s">
        <v>236</v>
      </c>
      <c r="E2096" s="9">
        <v>1193952.00137123</v>
      </c>
      <c r="F2096" s="9">
        <v>235223.26271950701</v>
      </c>
      <c r="G2096" s="9">
        <v>1196314.5451145701</v>
      </c>
      <c r="H2096" s="9">
        <v>235329.60149861901</v>
      </c>
      <c r="I2096" s="21">
        <f t="shared" si="64"/>
        <v>106.33877911200398</v>
      </c>
      <c r="J2096" s="21">
        <f t="shared" si="65"/>
        <v>2362.5437433400657</v>
      </c>
    </row>
    <row r="2097" spans="1:10" hidden="1">
      <c r="A2097" t="s">
        <v>257</v>
      </c>
      <c r="B2097" t="s">
        <v>259</v>
      </c>
      <c r="C2097" s="18">
        <v>2038</v>
      </c>
      <c r="D2097" t="s">
        <v>182</v>
      </c>
      <c r="E2097" s="9">
        <v>126565.699843386</v>
      </c>
      <c r="F2097" s="9">
        <v>82256.761788076896</v>
      </c>
      <c r="G2097" s="9">
        <v>126555.833855502</v>
      </c>
      <c r="H2097" s="9">
        <v>82253.930841494002</v>
      </c>
      <c r="I2097" s="21">
        <f t="shared" si="64"/>
        <v>-2.8309465828933753</v>
      </c>
      <c r="J2097" s="21">
        <f t="shared" si="65"/>
        <v>-9.8659878839971498</v>
      </c>
    </row>
    <row r="2098" spans="1:10" hidden="1">
      <c r="A2098" t="s">
        <v>257</v>
      </c>
      <c r="B2098" t="s">
        <v>259</v>
      </c>
      <c r="C2098" s="18">
        <v>2038</v>
      </c>
      <c r="D2098" t="s">
        <v>185</v>
      </c>
      <c r="E2098" s="9">
        <v>272743.27085601201</v>
      </c>
      <c r="F2098" s="9">
        <v>256917.416596631</v>
      </c>
      <c r="G2098" s="9">
        <v>273035.370644084</v>
      </c>
      <c r="H2098" s="9">
        <v>257130.676610817</v>
      </c>
      <c r="I2098" s="21">
        <f t="shared" si="64"/>
        <v>213.26001418600208</v>
      </c>
      <c r="J2098" s="21">
        <f t="shared" si="65"/>
        <v>292.09978807199514</v>
      </c>
    </row>
    <row r="2099" spans="1:10" hidden="1">
      <c r="A2099" t="s">
        <v>257</v>
      </c>
      <c r="B2099" t="s">
        <v>259</v>
      </c>
      <c r="C2099" s="18">
        <v>2038</v>
      </c>
      <c r="D2099" t="s">
        <v>188</v>
      </c>
      <c r="E2099" s="9">
        <v>706491.31981784198</v>
      </c>
      <c r="F2099" s="9">
        <v>419823.25850668299</v>
      </c>
      <c r="G2099" s="9">
        <v>708674.57496129896</v>
      </c>
      <c r="H2099" s="9">
        <v>420445.264129068</v>
      </c>
      <c r="I2099" s="21">
        <f t="shared" si="64"/>
        <v>622.00562238501152</v>
      </c>
      <c r="J2099" s="21">
        <f t="shared" si="65"/>
        <v>2183.2551434569759</v>
      </c>
    </row>
    <row r="2100" spans="1:10" hidden="1">
      <c r="A2100" t="s">
        <v>257</v>
      </c>
      <c r="B2100" t="s">
        <v>259</v>
      </c>
      <c r="C2100" s="18">
        <v>2038</v>
      </c>
      <c r="D2100" t="s">
        <v>191</v>
      </c>
      <c r="E2100" s="9">
        <v>360160.15141558798</v>
      </c>
      <c r="F2100" s="9">
        <v>189165.85509760899</v>
      </c>
      <c r="G2100" s="9">
        <v>360900.93527344998</v>
      </c>
      <c r="H2100" s="9">
        <v>189347.42226660499</v>
      </c>
      <c r="I2100" s="21">
        <f t="shared" si="64"/>
        <v>181.56716899599996</v>
      </c>
      <c r="J2100" s="21">
        <f t="shared" si="65"/>
        <v>740.78385786199942</v>
      </c>
    </row>
    <row r="2101" spans="1:10" hidden="1">
      <c r="A2101" t="s">
        <v>257</v>
      </c>
      <c r="B2101" t="s">
        <v>259</v>
      </c>
      <c r="C2101" s="18">
        <v>2038</v>
      </c>
      <c r="D2101" t="s">
        <v>422</v>
      </c>
      <c r="E2101" s="9">
        <v>36551.449229845603</v>
      </c>
      <c r="F2101" s="9">
        <v>3322.8223341091798</v>
      </c>
      <c r="G2101" s="9">
        <v>36551.441257778999</v>
      </c>
      <c r="H2101" s="9">
        <v>3322.8215744210102</v>
      </c>
      <c r="I2101" s="21">
        <f t="shared" si="64"/>
        <v>-7.5968816963722929E-4</v>
      </c>
      <c r="J2101" s="21">
        <f t="shared" si="65"/>
        <v>-7.9720666035427712E-3</v>
      </c>
    </row>
    <row r="2102" spans="1:10" hidden="1">
      <c r="A2102" t="s">
        <v>257</v>
      </c>
      <c r="B2102" t="s">
        <v>259</v>
      </c>
      <c r="C2102" s="18">
        <v>2039</v>
      </c>
      <c r="D2102" t="s">
        <v>174</v>
      </c>
      <c r="E2102" s="9">
        <v>19176.558654460201</v>
      </c>
      <c r="F2102" s="9">
        <v>13517.4687258879</v>
      </c>
      <c r="G2102" s="9">
        <v>19174.345745902901</v>
      </c>
      <c r="H2102" s="9">
        <v>13516.7785061579</v>
      </c>
      <c r="I2102" s="21">
        <f t="shared" si="64"/>
        <v>-0.69021973000053549</v>
      </c>
      <c r="J2102" s="21">
        <f t="shared" si="65"/>
        <v>-2.2129085572996701</v>
      </c>
    </row>
    <row r="2103" spans="1:10" hidden="1">
      <c r="A2103" t="s">
        <v>257</v>
      </c>
      <c r="B2103" t="s">
        <v>259</v>
      </c>
      <c r="C2103" s="18">
        <v>2039</v>
      </c>
      <c r="D2103" t="s">
        <v>236</v>
      </c>
      <c r="E2103" s="9">
        <v>1204427.79871076</v>
      </c>
      <c r="F2103" s="9">
        <v>243358.87567415499</v>
      </c>
      <c r="G2103" s="9">
        <v>1206925.78308321</v>
      </c>
      <c r="H2103" s="9">
        <v>243483.36403446301</v>
      </c>
      <c r="I2103" s="21">
        <f t="shared" si="64"/>
        <v>124.4883603080234</v>
      </c>
      <c r="J2103" s="21">
        <f t="shared" si="65"/>
        <v>2497.9843724500388</v>
      </c>
    </row>
    <row r="2104" spans="1:10" hidden="1">
      <c r="A2104" t="s">
        <v>257</v>
      </c>
      <c r="B2104" t="s">
        <v>259</v>
      </c>
      <c r="C2104" s="18">
        <v>2039</v>
      </c>
      <c r="D2104" t="s">
        <v>182</v>
      </c>
      <c r="E2104" s="9">
        <v>128013.173064569</v>
      </c>
      <c r="F2104" s="9">
        <v>83392.767238105705</v>
      </c>
      <c r="G2104" s="9">
        <v>128001.347826374</v>
      </c>
      <c r="H2104" s="9">
        <v>83389.180958792305</v>
      </c>
      <c r="I2104" s="21">
        <f t="shared" si="64"/>
        <v>-3.5862793134001549</v>
      </c>
      <c r="J2104" s="21">
        <f t="shared" si="65"/>
        <v>-11.825238195000566</v>
      </c>
    </row>
    <row r="2105" spans="1:10" hidden="1">
      <c r="A2105" t="s">
        <v>257</v>
      </c>
      <c r="B2105" t="s">
        <v>259</v>
      </c>
      <c r="C2105" s="18">
        <v>2039</v>
      </c>
      <c r="D2105" t="s">
        <v>185</v>
      </c>
      <c r="E2105" s="9">
        <v>272667.68643700302</v>
      </c>
      <c r="F2105" s="9">
        <v>257213.066646508</v>
      </c>
      <c r="G2105" s="9">
        <v>272973.34550101002</v>
      </c>
      <c r="H2105" s="9">
        <v>257441.86914336999</v>
      </c>
      <c r="I2105" s="21">
        <f t="shared" si="64"/>
        <v>228.80249686198658</v>
      </c>
      <c r="J2105" s="21">
        <f t="shared" si="65"/>
        <v>305.65906400699168</v>
      </c>
    </row>
    <row r="2106" spans="1:10" hidden="1">
      <c r="A2106" t="s">
        <v>257</v>
      </c>
      <c r="B2106" t="s">
        <v>259</v>
      </c>
      <c r="C2106" s="18">
        <v>2039</v>
      </c>
      <c r="D2106" t="s">
        <v>188</v>
      </c>
      <c r="E2106" s="9">
        <v>713267.00985077501</v>
      </c>
      <c r="F2106" s="9">
        <v>427739.54524433601</v>
      </c>
      <c r="G2106" s="9">
        <v>715580.88708538504</v>
      </c>
      <c r="H2106" s="9">
        <v>428444.56848174502</v>
      </c>
      <c r="I2106" s="21">
        <f t="shared" si="64"/>
        <v>705.02323740901193</v>
      </c>
      <c r="J2106" s="21">
        <f t="shared" si="65"/>
        <v>2313.8772346100304</v>
      </c>
    </row>
    <row r="2107" spans="1:10" hidden="1">
      <c r="A2107" t="s">
        <v>257</v>
      </c>
      <c r="B2107" t="s">
        <v>259</v>
      </c>
      <c r="C2107" s="18">
        <v>2039</v>
      </c>
      <c r="D2107" t="s">
        <v>191</v>
      </c>
      <c r="E2107" s="9">
        <v>362187.87162627501</v>
      </c>
      <c r="F2107" s="9">
        <v>191726.41021962499</v>
      </c>
      <c r="G2107" s="9">
        <v>362969.198365508</v>
      </c>
      <c r="H2107" s="9">
        <v>191929.610855123</v>
      </c>
      <c r="I2107" s="21">
        <f t="shared" si="64"/>
        <v>203.20063549801125</v>
      </c>
      <c r="J2107" s="21">
        <f t="shared" si="65"/>
        <v>781.32673923298717</v>
      </c>
    </row>
    <row r="2108" spans="1:10" hidden="1">
      <c r="A2108" t="s">
        <v>257</v>
      </c>
      <c r="B2108" t="s">
        <v>259</v>
      </c>
      <c r="C2108" s="18">
        <v>2039</v>
      </c>
      <c r="D2108" t="s">
        <v>422</v>
      </c>
      <c r="E2108" s="9">
        <v>36178.232424977803</v>
      </c>
      <c r="F2108" s="9">
        <v>3198.0238017063498</v>
      </c>
      <c r="G2108" s="9">
        <v>36178.223844718399</v>
      </c>
      <c r="H2108" s="9">
        <v>3198.0230538302199</v>
      </c>
      <c r="I2108" s="21">
        <f t="shared" si="64"/>
        <v>-7.4787612993532093E-4</v>
      </c>
      <c r="J2108" s="21">
        <f t="shared" si="65"/>
        <v>-8.5802594039705582E-3</v>
      </c>
    </row>
    <row r="2109" spans="1:10" hidden="1">
      <c r="A2109" t="s">
        <v>257</v>
      </c>
      <c r="B2109" t="s">
        <v>259</v>
      </c>
      <c r="C2109" s="18">
        <v>2040</v>
      </c>
      <c r="D2109" t="s">
        <v>174</v>
      </c>
      <c r="E2109" s="9">
        <v>19808.198445419301</v>
      </c>
      <c r="F2109" s="9">
        <v>13880.5515047633</v>
      </c>
      <c r="G2109" s="9">
        <v>19805.505805764798</v>
      </c>
      <c r="H2109" s="9">
        <v>13879.6732870407</v>
      </c>
      <c r="I2109" s="21">
        <f t="shared" si="64"/>
        <v>-0.87821772260031139</v>
      </c>
      <c r="J2109" s="21">
        <f t="shared" si="65"/>
        <v>-2.6926396545022726</v>
      </c>
    </row>
    <row r="2110" spans="1:10" hidden="1">
      <c r="A2110" t="s">
        <v>257</v>
      </c>
      <c r="B2110" t="s">
        <v>259</v>
      </c>
      <c r="C2110" s="18">
        <v>2040</v>
      </c>
      <c r="D2110" t="s">
        <v>236</v>
      </c>
      <c r="E2110" s="9">
        <v>1214404.8925339801</v>
      </c>
      <c r="F2110" s="9">
        <v>251448.10131046001</v>
      </c>
      <c r="G2110" s="9">
        <v>1217029.49333677</v>
      </c>
      <c r="H2110" s="9">
        <v>251591.89866486701</v>
      </c>
      <c r="I2110" s="21">
        <f t="shared" si="64"/>
        <v>143.79735440699733</v>
      </c>
      <c r="J2110" s="21">
        <f t="shared" si="65"/>
        <v>2624.6008027899079</v>
      </c>
    </row>
    <row r="2111" spans="1:10" hidden="1">
      <c r="A2111" t="s">
        <v>257</v>
      </c>
      <c r="B2111" t="s">
        <v>259</v>
      </c>
      <c r="C2111" s="18">
        <v>2040</v>
      </c>
      <c r="D2111" t="s">
        <v>182</v>
      </c>
      <c r="E2111" s="9">
        <v>130093.11925812</v>
      </c>
      <c r="F2111" s="9">
        <v>84436.330293794701</v>
      </c>
      <c r="G2111" s="9">
        <v>130079.117811465</v>
      </c>
      <c r="H2111" s="9">
        <v>84431.891175836907</v>
      </c>
      <c r="I2111" s="21">
        <f t="shared" si="64"/>
        <v>-4.4391179577942239</v>
      </c>
      <c r="J2111" s="21">
        <f t="shared" si="65"/>
        <v>-14.001446655005566</v>
      </c>
    </row>
    <row r="2112" spans="1:10" hidden="1">
      <c r="A2112" t="s">
        <v>257</v>
      </c>
      <c r="B2112" t="s">
        <v>259</v>
      </c>
      <c r="C2112" s="18">
        <v>2040</v>
      </c>
      <c r="D2112" t="s">
        <v>185</v>
      </c>
      <c r="E2112" s="9">
        <v>272454.91091554699</v>
      </c>
      <c r="F2112" s="9">
        <v>257208.62752390499</v>
      </c>
      <c r="G2112" s="9">
        <v>272772.69297753199</v>
      </c>
      <c r="H2112" s="9">
        <v>257451.80463236</v>
      </c>
      <c r="I2112" s="21">
        <f t="shared" si="64"/>
        <v>243.17710845501279</v>
      </c>
      <c r="J2112" s="21">
        <f t="shared" si="65"/>
        <v>317.78206198499538</v>
      </c>
    </row>
    <row r="2113" spans="1:10" hidden="1">
      <c r="A2113" t="s">
        <v>257</v>
      </c>
      <c r="B2113" t="s">
        <v>259</v>
      </c>
      <c r="C2113" s="18">
        <v>2040</v>
      </c>
      <c r="D2113" t="s">
        <v>188</v>
      </c>
      <c r="E2113" s="9">
        <v>722610.67242048297</v>
      </c>
      <c r="F2113" s="9">
        <v>434419.81015843299</v>
      </c>
      <c r="G2113" s="9">
        <v>725057.85135654395</v>
      </c>
      <c r="H2113" s="9">
        <v>435208.84098996199</v>
      </c>
      <c r="I2113" s="21">
        <f t="shared" si="64"/>
        <v>789.03083152900217</v>
      </c>
      <c r="J2113" s="21">
        <f t="shared" si="65"/>
        <v>2447.1789360609837</v>
      </c>
    </row>
    <row r="2114" spans="1:10" hidden="1">
      <c r="A2114" t="s">
        <v>257</v>
      </c>
      <c r="B2114" t="s">
        <v>259</v>
      </c>
      <c r="C2114" s="18">
        <v>2040</v>
      </c>
      <c r="D2114" t="s">
        <v>191</v>
      </c>
      <c r="E2114" s="9">
        <v>365890.66052034701</v>
      </c>
      <c r="F2114" s="9">
        <v>193628.29790113401</v>
      </c>
      <c r="G2114" s="9">
        <v>366714.04580788402</v>
      </c>
      <c r="H2114" s="9">
        <v>193853.25074776399</v>
      </c>
      <c r="I2114" s="21">
        <f t="shared" ref="I2114:I2177" si="66">H2114-F2114</f>
        <v>224.95284662998165</v>
      </c>
      <c r="J2114" s="21">
        <f t="shared" ref="J2114:J2177" si="67">G2114-E2114</f>
        <v>823.38528753700666</v>
      </c>
    </row>
    <row r="2115" spans="1:10" hidden="1">
      <c r="A2115" t="s">
        <v>257</v>
      </c>
      <c r="B2115" t="s">
        <v>259</v>
      </c>
      <c r="C2115" s="18">
        <v>2040</v>
      </c>
      <c r="D2115" t="s">
        <v>422</v>
      </c>
      <c r="E2115" s="9">
        <v>36005.037095913402</v>
      </c>
      <c r="F2115" s="9">
        <v>3069.2526298826201</v>
      </c>
      <c r="G2115" s="9">
        <v>36005.028086341903</v>
      </c>
      <c r="H2115" s="9">
        <v>3069.2518935015801</v>
      </c>
      <c r="I2115" s="21">
        <f t="shared" si="66"/>
        <v>-7.3638104004203342E-4</v>
      </c>
      <c r="J2115" s="21">
        <f t="shared" si="67"/>
        <v>-9.009571498609148E-3</v>
      </c>
    </row>
    <row r="2116" spans="1:10" hidden="1">
      <c r="A2116" t="s">
        <v>257</v>
      </c>
      <c r="B2116" t="s">
        <v>259</v>
      </c>
      <c r="C2116" s="18">
        <v>2041</v>
      </c>
      <c r="D2116" t="s">
        <v>174</v>
      </c>
      <c r="E2116" s="9">
        <v>20456.8603949137</v>
      </c>
      <c r="F2116" s="9">
        <v>14250.6325715124</v>
      </c>
      <c r="G2116" s="9">
        <v>20453.6267543422</v>
      </c>
      <c r="H2116" s="9">
        <v>14249.536455216699</v>
      </c>
      <c r="I2116" s="21">
        <f t="shared" si="66"/>
        <v>-1.0961162957009947</v>
      </c>
      <c r="J2116" s="21">
        <f t="shared" si="67"/>
        <v>-3.2336405714995635</v>
      </c>
    </row>
    <row r="2117" spans="1:10" hidden="1">
      <c r="A2117" t="s">
        <v>257</v>
      </c>
      <c r="B2117" t="s">
        <v>259</v>
      </c>
      <c r="C2117" s="18">
        <v>2041</v>
      </c>
      <c r="D2117" t="s">
        <v>236</v>
      </c>
      <c r="E2117" s="9">
        <v>1223881.9829082601</v>
      </c>
      <c r="F2117" s="9">
        <v>259512.98679185499</v>
      </c>
      <c r="G2117" s="9">
        <v>1226624.8107670301</v>
      </c>
      <c r="H2117" s="9">
        <v>259677.195752453</v>
      </c>
      <c r="I2117" s="21">
        <f t="shared" si="66"/>
        <v>164.20896059801453</v>
      </c>
      <c r="J2117" s="21">
        <f t="shared" si="67"/>
        <v>2742.8278587700333</v>
      </c>
    </row>
    <row r="2118" spans="1:10" hidden="1">
      <c r="A2118" t="s">
        <v>257</v>
      </c>
      <c r="B2118" t="s">
        <v>259</v>
      </c>
      <c r="C2118" s="18">
        <v>2041</v>
      </c>
      <c r="D2118" t="s">
        <v>182</v>
      </c>
      <c r="E2118" s="9">
        <v>132245.97090913801</v>
      </c>
      <c r="F2118" s="9">
        <v>85537.716802495503</v>
      </c>
      <c r="G2118" s="9">
        <v>132229.629710176</v>
      </c>
      <c r="H2118" s="9">
        <v>85532.319590607702</v>
      </c>
      <c r="I2118" s="21">
        <f t="shared" si="66"/>
        <v>-5.3972118878009496</v>
      </c>
      <c r="J2118" s="21">
        <f t="shared" si="67"/>
        <v>-16.341198962007184</v>
      </c>
    </row>
    <row r="2119" spans="1:10" hidden="1">
      <c r="A2119" t="s">
        <v>257</v>
      </c>
      <c r="B2119" t="s">
        <v>259</v>
      </c>
      <c r="C2119" s="18">
        <v>2041</v>
      </c>
      <c r="D2119" t="s">
        <v>185</v>
      </c>
      <c r="E2119" s="9">
        <v>272282.99134784902</v>
      </c>
      <c r="F2119" s="9">
        <v>257133.205106198</v>
      </c>
      <c r="G2119" s="9">
        <v>272611.75367129099</v>
      </c>
      <c r="H2119" s="9">
        <v>257389.63175428601</v>
      </c>
      <c r="I2119" s="21">
        <f t="shared" si="66"/>
        <v>256.42664808800328</v>
      </c>
      <c r="J2119" s="21">
        <f t="shared" si="67"/>
        <v>328.76232344197342</v>
      </c>
    </row>
    <row r="2120" spans="1:10" hidden="1">
      <c r="A2120" t="s">
        <v>257</v>
      </c>
      <c r="B2120" t="s">
        <v>259</v>
      </c>
      <c r="C2120" s="18">
        <v>2041</v>
      </c>
      <c r="D2120" t="s">
        <v>188</v>
      </c>
      <c r="E2120" s="9">
        <v>732051.95292882004</v>
      </c>
      <c r="F2120" s="9">
        <v>441450.03138399002</v>
      </c>
      <c r="G2120" s="9">
        <v>734627.74007540499</v>
      </c>
      <c r="H2120" s="9">
        <v>442324.30640679202</v>
      </c>
      <c r="I2120" s="21">
        <f t="shared" si="66"/>
        <v>874.27502280200133</v>
      </c>
      <c r="J2120" s="21">
        <f t="shared" si="67"/>
        <v>2575.7871465849457</v>
      </c>
    </row>
    <row r="2121" spans="1:10" hidden="1">
      <c r="A2121" t="s">
        <v>257</v>
      </c>
      <c r="B2121" t="s">
        <v>259</v>
      </c>
      <c r="C2121" s="18">
        <v>2041</v>
      </c>
      <c r="D2121" t="s">
        <v>191</v>
      </c>
      <c r="E2121" s="9">
        <v>369573.51073222101</v>
      </c>
      <c r="F2121" s="9">
        <v>195680.04198167601</v>
      </c>
      <c r="G2121" s="9">
        <v>370436.97560679301</v>
      </c>
      <c r="H2121" s="9">
        <v>195926.90720139601</v>
      </c>
      <c r="I2121" s="21">
        <f t="shared" si="66"/>
        <v>246.865219719999</v>
      </c>
      <c r="J2121" s="21">
        <f t="shared" si="67"/>
        <v>863.46487457200419</v>
      </c>
    </row>
    <row r="2122" spans="1:10" hidden="1">
      <c r="A2122" t="s">
        <v>257</v>
      </c>
      <c r="B2122" t="s">
        <v>259</v>
      </c>
      <c r="C2122" s="18">
        <v>2041</v>
      </c>
      <c r="D2122" t="s">
        <v>422</v>
      </c>
      <c r="E2122" s="9">
        <v>35900.774412936</v>
      </c>
      <c r="F2122" s="9">
        <v>2944.01624530345</v>
      </c>
      <c r="G2122" s="9">
        <v>35900.765054072101</v>
      </c>
      <c r="H2122" s="9">
        <v>2944.01552271229</v>
      </c>
      <c r="I2122" s="21">
        <f t="shared" si="66"/>
        <v>-7.2259115995620959E-4</v>
      </c>
      <c r="J2122" s="21">
        <f t="shared" si="67"/>
        <v>-9.3588638992514461E-3</v>
      </c>
    </row>
    <row r="2123" spans="1:10" hidden="1">
      <c r="A2123" t="s">
        <v>257</v>
      </c>
      <c r="B2123" t="s">
        <v>259</v>
      </c>
      <c r="C2123" s="18">
        <v>2042</v>
      </c>
      <c r="D2123" t="s">
        <v>174</v>
      </c>
      <c r="E2123" s="9">
        <v>21119.4204304655</v>
      </c>
      <c r="F2123" s="9">
        <v>14627.665454776399</v>
      </c>
      <c r="G2123" s="9">
        <v>21115.581702688502</v>
      </c>
      <c r="H2123" s="9">
        <v>14626.319006600401</v>
      </c>
      <c r="I2123" s="21">
        <f t="shared" si="66"/>
        <v>-1.3464481759983755</v>
      </c>
      <c r="J2123" s="21">
        <f t="shared" si="67"/>
        <v>-3.8387277769979846</v>
      </c>
    </row>
    <row r="2124" spans="1:10" hidden="1">
      <c r="A2124" t="s">
        <v>257</v>
      </c>
      <c r="B2124" t="s">
        <v>259</v>
      </c>
      <c r="C2124" s="18">
        <v>2042</v>
      </c>
      <c r="D2124" t="s">
        <v>236</v>
      </c>
      <c r="E2124" s="9">
        <v>1232850.8471399799</v>
      </c>
      <c r="F2124" s="9">
        <v>267593.051675928</v>
      </c>
      <c r="G2124" s="9">
        <v>1235703.75022274</v>
      </c>
      <c r="H2124" s="9">
        <v>267778.732534162</v>
      </c>
      <c r="I2124" s="21">
        <f t="shared" si="66"/>
        <v>185.68085823400179</v>
      </c>
      <c r="J2124" s="21">
        <f t="shared" si="67"/>
        <v>2852.9030827600509</v>
      </c>
    </row>
    <row r="2125" spans="1:10" hidden="1">
      <c r="A2125" t="s">
        <v>257</v>
      </c>
      <c r="B2125" t="s">
        <v>259</v>
      </c>
      <c r="C2125" s="18">
        <v>2042</v>
      </c>
      <c r="D2125" t="s">
        <v>182</v>
      </c>
      <c r="E2125" s="9">
        <v>134370.64846891601</v>
      </c>
      <c r="F2125" s="9">
        <v>86663.776207084506</v>
      </c>
      <c r="G2125" s="9">
        <v>134351.62604870801</v>
      </c>
      <c r="H2125" s="9">
        <v>86657.313221329707</v>
      </c>
      <c r="I2125" s="21">
        <f t="shared" si="66"/>
        <v>-6.4629857547988649</v>
      </c>
      <c r="J2125" s="21">
        <f t="shared" si="67"/>
        <v>-19.022420207998948</v>
      </c>
    </row>
    <row r="2126" spans="1:10" hidden="1">
      <c r="A2126" t="s">
        <v>257</v>
      </c>
      <c r="B2126" t="s">
        <v>259</v>
      </c>
      <c r="C2126" s="18">
        <v>2042</v>
      </c>
      <c r="D2126" t="s">
        <v>185</v>
      </c>
      <c r="E2126" s="9">
        <v>271942.24671108602</v>
      </c>
      <c r="F2126" s="9">
        <v>256929.792648531</v>
      </c>
      <c r="G2126" s="9">
        <v>272280.658720601</v>
      </c>
      <c r="H2126" s="9">
        <v>257198.34975601899</v>
      </c>
      <c r="I2126" s="21">
        <f t="shared" si="66"/>
        <v>268.55710748798447</v>
      </c>
      <c r="J2126" s="21">
        <f t="shared" si="67"/>
        <v>338.41200951498467</v>
      </c>
    </row>
    <row r="2127" spans="1:10" hidden="1">
      <c r="A2127" t="s">
        <v>257</v>
      </c>
      <c r="B2127" t="s">
        <v>259</v>
      </c>
      <c r="C2127" s="18">
        <v>2042</v>
      </c>
      <c r="D2127" t="s">
        <v>188</v>
      </c>
      <c r="E2127" s="9">
        <v>741614.43759493297</v>
      </c>
      <c r="F2127" s="9">
        <v>448641.120189715</v>
      </c>
      <c r="G2127" s="9">
        <v>744313.272667757</v>
      </c>
      <c r="H2127" s="9">
        <v>449601.26122749498</v>
      </c>
      <c r="I2127" s="21">
        <f t="shared" si="66"/>
        <v>960.14103777997661</v>
      </c>
      <c r="J2127" s="21">
        <f t="shared" si="67"/>
        <v>2698.835072824033</v>
      </c>
    </row>
    <row r="2128" spans="1:10" hidden="1">
      <c r="A2128" t="s">
        <v>257</v>
      </c>
      <c r="B2128" t="s">
        <v>259</v>
      </c>
      <c r="C2128" s="18">
        <v>2042</v>
      </c>
      <c r="D2128" t="s">
        <v>191</v>
      </c>
      <c r="E2128" s="9">
        <v>373517.55454083602</v>
      </c>
      <c r="F2128" s="9">
        <v>197813.84283561501</v>
      </c>
      <c r="G2128" s="9">
        <v>374419.26204563602</v>
      </c>
      <c r="H2128" s="9">
        <v>198082.81410371399</v>
      </c>
      <c r="I2128" s="21">
        <f t="shared" si="66"/>
        <v>268.971268098976</v>
      </c>
      <c r="J2128" s="21">
        <f t="shared" si="67"/>
        <v>901.70750479999697</v>
      </c>
    </row>
    <row r="2129" spans="1:10" hidden="1">
      <c r="A2129" t="s">
        <v>257</v>
      </c>
      <c r="B2129" t="s">
        <v>259</v>
      </c>
      <c r="C2129" s="18">
        <v>2042</v>
      </c>
      <c r="D2129" t="s">
        <v>422</v>
      </c>
      <c r="E2129" s="9">
        <v>35516.850211791803</v>
      </c>
      <c r="F2129" s="9">
        <v>2820.5129162762901</v>
      </c>
      <c r="G2129" s="9">
        <v>35516.840593533198</v>
      </c>
      <c r="H2129" s="9">
        <v>2820.5122126446799</v>
      </c>
      <c r="I2129" s="21">
        <f t="shared" si="66"/>
        <v>-7.0363161012210185E-4</v>
      </c>
      <c r="J2129" s="21">
        <f t="shared" si="67"/>
        <v>-9.6182586057693698E-3</v>
      </c>
    </row>
    <row r="2130" spans="1:10" hidden="1">
      <c r="A2130" t="s">
        <v>257</v>
      </c>
      <c r="B2130" t="s">
        <v>259</v>
      </c>
      <c r="C2130" s="18">
        <v>2043</v>
      </c>
      <c r="D2130" t="s">
        <v>174</v>
      </c>
      <c r="E2130" s="9">
        <v>21793.636198483298</v>
      </c>
      <c r="F2130" s="9">
        <v>15005.718095088399</v>
      </c>
      <c r="G2130" s="9">
        <v>21789.125656033499</v>
      </c>
      <c r="H2130" s="9">
        <v>15004.086115812899</v>
      </c>
      <c r="I2130" s="21">
        <f t="shared" si="66"/>
        <v>-1.6319792755002709</v>
      </c>
      <c r="J2130" s="21">
        <f t="shared" si="67"/>
        <v>-4.5105424497996864</v>
      </c>
    </row>
    <row r="2131" spans="1:10" hidden="1">
      <c r="A2131" t="s">
        <v>257</v>
      </c>
      <c r="B2131" t="s">
        <v>259</v>
      </c>
      <c r="C2131" s="18">
        <v>2043</v>
      </c>
      <c r="D2131" t="s">
        <v>236</v>
      </c>
      <c r="E2131" s="9">
        <v>1241291.48254259</v>
      </c>
      <c r="F2131" s="9">
        <v>275668.86152109999</v>
      </c>
      <c r="G2131" s="9">
        <v>1244246.5115360599</v>
      </c>
      <c r="H2131" s="9">
        <v>275876.99548631802</v>
      </c>
      <c r="I2131" s="21">
        <f t="shared" si="66"/>
        <v>208.13396521803224</v>
      </c>
      <c r="J2131" s="21">
        <f t="shared" si="67"/>
        <v>2955.0289934698958</v>
      </c>
    </row>
    <row r="2132" spans="1:10" hidden="1">
      <c r="A2132" t="s">
        <v>257</v>
      </c>
      <c r="B2132" t="s">
        <v>259</v>
      </c>
      <c r="C2132" s="18">
        <v>2043</v>
      </c>
      <c r="D2132" t="s">
        <v>182</v>
      </c>
      <c r="E2132" s="9">
        <v>136623.84899425699</v>
      </c>
      <c r="F2132" s="9">
        <v>87786.673858683207</v>
      </c>
      <c r="G2132" s="9">
        <v>136601.974960575</v>
      </c>
      <c r="H2132" s="9">
        <v>87779.034425801001</v>
      </c>
      <c r="I2132" s="21">
        <f t="shared" si="66"/>
        <v>-7.6394328822061652</v>
      </c>
      <c r="J2132" s="21">
        <f t="shared" si="67"/>
        <v>-21.874033681990113</v>
      </c>
    </row>
    <row r="2133" spans="1:10" hidden="1">
      <c r="A2133" t="s">
        <v>257</v>
      </c>
      <c r="B2133" t="s">
        <v>259</v>
      </c>
      <c r="C2133" s="18">
        <v>2043</v>
      </c>
      <c r="D2133" t="s">
        <v>185</v>
      </c>
      <c r="E2133" s="9">
        <v>271343.12841863302</v>
      </c>
      <c r="F2133" s="9">
        <v>256498.13458781401</v>
      </c>
      <c r="G2133" s="9">
        <v>271689.79422675102</v>
      </c>
      <c r="H2133" s="9">
        <v>256777.58715706799</v>
      </c>
      <c r="I2133" s="21">
        <f t="shared" si="66"/>
        <v>279.45256925397553</v>
      </c>
      <c r="J2133" s="21">
        <f t="shared" si="67"/>
        <v>346.66580811800668</v>
      </c>
    </row>
    <row r="2134" spans="1:10" hidden="1">
      <c r="A2134" t="s">
        <v>257</v>
      </c>
      <c r="B2134" t="s">
        <v>259</v>
      </c>
      <c r="C2134" s="18">
        <v>2043</v>
      </c>
      <c r="D2134" t="s">
        <v>188</v>
      </c>
      <c r="E2134" s="9">
        <v>751552.20943924994</v>
      </c>
      <c r="F2134" s="9">
        <v>455870.18255183898</v>
      </c>
      <c r="G2134" s="9">
        <v>754370.89241350198</v>
      </c>
      <c r="H2134" s="9">
        <v>456915.72204617201</v>
      </c>
      <c r="I2134" s="21">
        <f t="shared" si="66"/>
        <v>1045.5394943330321</v>
      </c>
      <c r="J2134" s="21">
        <f t="shared" si="67"/>
        <v>2818.6829742520349</v>
      </c>
    </row>
    <row r="2135" spans="1:10" hidden="1">
      <c r="A2135" t="s">
        <v>257</v>
      </c>
      <c r="B2135" t="s">
        <v>259</v>
      </c>
      <c r="C2135" s="18">
        <v>2043</v>
      </c>
      <c r="D2135" t="s">
        <v>191</v>
      </c>
      <c r="E2135" s="9">
        <v>377827.31053709402</v>
      </c>
      <c r="F2135" s="9">
        <v>199913.35667628699</v>
      </c>
      <c r="G2135" s="9">
        <v>378766.53451535699</v>
      </c>
      <c r="H2135" s="9">
        <v>200204.274251736</v>
      </c>
      <c r="I2135" s="21">
        <f t="shared" si="66"/>
        <v>290.91757544901338</v>
      </c>
      <c r="J2135" s="21">
        <f t="shared" si="67"/>
        <v>939.22397826297674</v>
      </c>
    </row>
    <row r="2136" spans="1:10" hidden="1">
      <c r="A2136" t="s">
        <v>257</v>
      </c>
      <c r="B2136" t="s">
        <v>259</v>
      </c>
      <c r="C2136" s="18">
        <v>2043</v>
      </c>
      <c r="D2136" t="s">
        <v>422</v>
      </c>
      <c r="E2136" s="9">
        <v>35328.782437681301</v>
      </c>
      <c r="F2136" s="9">
        <v>2698.3316090010999</v>
      </c>
      <c r="G2136" s="9">
        <v>35328.773203308199</v>
      </c>
      <c r="H2136" s="9">
        <v>2698.3309296050402</v>
      </c>
      <c r="I2136" s="21">
        <f t="shared" si="66"/>
        <v>-6.793960596951365E-4</v>
      </c>
      <c r="J2136" s="21">
        <f t="shared" si="67"/>
        <v>-9.2343731012078933E-3</v>
      </c>
    </row>
    <row r="2137" spans="1:10" hidden="1">
      <c r="A2137" t="s">
        <v>257</v>
      </c>
      <c r="B2137" t="s">
        <v>259</v>
      </c>
      <c r="C2137" s="18">
        <v>2044</v>
      </c>
      <c r="D2137" t="s">
        <v>174</v>
      </c>
      <c r="E2137" s="9">
        <v>22477.657271852298</v>
      </c>
      <c r="F2137" s="9">
        <v>15390.592686875199</v>
      </c>
      <c r="G2137" s="9">
        <v>22472.405778779801</v>
      </c>
      <c r="H2137" s="9">
        <v>15388.638261887199</v>
      </c>
      <c r="I2137" s="21">
        <f t="shared" si="66"/>
        <v>-1.954424988000028</v>
      </c>
      <c r="J2137" s="21">
        <f t="shared" si="67"/>
        <v>-5.2514930724973965</v>
      </c>
    </row>
    <row r="2138" spans="1:10" hidden="1">
      <c r="A2138" t="s">
        <v>257</v>
      </c>
      <c r="B2138" t="s">
        <v>259</v>
      </c>
      <c r="C2138" s="18">
        <v>2044</v>
      </c>
      <c r="D2138" t="s">
        <v>236</v>
      </c>
      <c r="E2138" s="9">
        <v>1249469.5831984901</v>
      </c>
      <c r="F2138" s="9">
        <v>283670.54925518099</v>
      </c>
      <c r="G2138" s="9">
        <v>1252519.7576166999</v>
      </c>
      <c r="H2138" s="9">
        <v>283902.05041687097</v>
      </c>
      <c r="I2138" s="21">
        <f t="shared" si="66"/>
        <v>231.50116168998647</v>
      </c>
      <c r="J2138" s="21">
        <f t="shared" si="67"/>
        <v>3050.1744182098191</v>
      </c>
    </row>
    <row r="2139" spans="1:10" hidden="1">
      <c r="A2139" t="s">
        <v>257</v>
      </c>
      <c r="B2139" t="s">
        <v>259</v>
      </c>
      <c r="C2139" s="18">
        <v>2044</v>
      </c>
      <c r="D2139" t="s">
        <v>182</v>
      </c>
      <c r="E2139" s="9">
        <v>138152.552472921</v>
      </c>
      <c r="F2139" s="9">
        <v>88921.370961720299</v>
      </c>
      <c r="G2139" s="9">
        <v>138127.80749224901</v>
      </c>
      <c r="H2139" s="9">
        <v>88912.446286897801</v>
      </c>
      <c r="I2139" s="21">
        <f t="shared" si="66"/>
        <v>-8.9246748224977637</v>
      </c>
      <c r="J2139" s="21">
        <f t="shared" si="67"/>
        <v>-24.744980671996018</v>
      </c>
    </row>
    <row r="2140" spans="1:10" hidden="1">
      <c r="A2140" t="s">
        <v>257</v>
      </c>
      <c r="B2140" t="s">
        <v>259</v>
      </c>
      <c r="C2140" s="18">
        <v>2044</v>
      </c>
      <c r="D2140" t="s">
        <v>185</v>
      </c>
      <c r="E2140" s="9">
        <v>270627.28089207201</v>
      </c>
      <c r="F2140" s="9">
        <v>256147.01832574699</v>
      </c>
      <c r="G2140" s="9">
        <v>270981.060601887</v>
      </c>
      <c r="H2140" s="9">
        <v>256436.399818879</v>
      </c>
      <c r="I2140" s="21">
        <f t="shared" si="66"/>
        <v>289.38149313200847</v>
      </c>
      <c r="J2140" s="21">
        <f t="shared" si="67"/>
        <v>353.77970981498947</v>
      </c>
    </row>
    <row r="2141" spans="1:10" hidden="1">
      <c r="A2141" t="s">
        <v>257</v>
      </c>
      <c r="B2141" t="s">
        <v>259</v>
      </c>
      <c r="C2141" s="18">
        <v>2044</v>
      </c>
      <c r="D2141" t="s">
        <v>188</v>
      </c>
      <c r="E2141" s="9">
        <v>757831.53122279805</v>
      </c>
      <c r="F2141" s="9">
        <v>463106.093389649</v>
      </c>
      <c r="G2141" s="9">
        <v>760751.52916181902</v>
      </c>
      <c r="H2141" s="9">
        <v>464236.62382849702</v>
      </c>
      <c r="I2141" s="21">
        <f t="shared" si="66"/>
        <v>1130.5304388480145</v>
      </c>
      <c r="J2141" s="21">
        <f t="shared" si="67"/>
        <v>2919.9979390209774</v>
      </c>
    </row>
    <row r="2142" spans="1:10" hidden="1">
      <c r="A2142" t="s">
        <v>257</v>
      </c>
      <c r="B2142" t="s">
        <v>259</v>
      </c>
      <c r="C2142" s="18">
        <v>2044</v>
      </c>
      <c r="D2142" t="s">
        <v>191</v>
      </c>
      <c r="E2142" s="9">
        <v>379785.60454422602</v>
      </c>
      <c r="F2142" s="9">
        <v>202449.834304135</v>
      </c>
      <c r="G2142" s="9">
        <v>380754.51437457599</v>
      </c>
      <c r="H2142" s="9">
        <v>202762.43540540201</v>
      </c>
      <c r="I2142" s="21">
        <f t="shared" si="66"/>
        <v>312.60110126700602</v>
      </c>
      <c r="J2142" s="21">
        <f t="shared" si="67"/>
        <v>968.90983034996316</v>
      </c>
    </row>
    <row r="2143" spans="1:10" hidden="1">
      <c r="A2143" t="s">
        <v>257</v>
      </c>
      <c r="B2143" t="s">
        <v>259</v>
      </c>
      <c r="C2143" s="18">
        <v>2044</v>
      </c>
      <c r="D2143" t="s">
        <v>422</v>
      </c>
      <c r="E2143" s="9">
        <v>35046.711954941202</v>
      </c>
      <c r="F2143" s="9">
        <v>2573.7932101268798</v>
      </c>
      <c r="G2143" s="9">
        <v>35046.705207959298</v>
      </c>
      <c r="H2143" s="9">
        <v>2573.7926243052102</v>
      </c>
      <c r="I2143" s="21">
        <f t="shared" si="66"/>
        <v>-5.8582166957421578E-4</v>
      </c>
      <c r="J2143" s="21">
        <f t="shared" si="67"/>
        <v>-6.7469819041434675E-3</v>
      </c>
    </row>
    <row r="2144" spans="1:10" hidden="1">
      <c r="A2144" t="s">
        <v>257</v>
      </c>
      <c r="B2144" t="s">
        <v>259</v>
      </c>
      <c r="C2144" s="18">
        <v>2045</v>
      </c>
      <c r="D2144" t="s">
        <v>174</v>
      </c>
      <c r="E2144" s="9">
        <v>23173.010713371899</v>
      </c>
      <c r="F2144" s="9">
        <v>15774.0315292945</v>
      </c>
      <c r="G2144" s="9">
        <v>23166.945688051499</v>
      </c>
      <c r="H2144" s="9">
        <v>15771.7189092791</v>
      </c>
      <c r="I2144" s="21">
        <f t="shared" si="66"/>
        <v>-2.3126200154001708</v>
      </c>
      <c r="J2144" s="21">
        <f t="shared" si="67"/>
        <v>-6.0650253204003093</v>
      </c>
    </row>
    <row r="2145" spans="1:10" hidden="1">
      <c r="A2145" t="s">
        <v>257</v>
      </c>
      <c r="B2145" t="s">
        <v>259</v>
      </c>
      <c r="C2145" s="18">
        <v>2045</v>
      </c>
      <c r="D2145" t="s">
        <v>236</v>
      </c>
      <c r="E2145" s="9">
        <v>1257454.15064963</v>
      </c>
      <c r="F2145" s="9">
        <v>291566.32871590601</v>
      </c>
      <c r="G2145" s="9">
        <v>1260592.98702146</v>
      </c>
      <c r="H2145" s="9">
        <v>291822.02754025703</v>
      </c>
      <c r="I2145" s="21">
        <f t="shared" si="66"/>
        <v>255.69882435101317</v>
      </c>
      <c r="J2145" s="21">
        <f t="shared" si="67"/>
        <v>3138.8363718299661</v>
      </c>
    </row>
    <row r="2146" spans="1:10" hidden="1">
      <c r="A2146" t="s">
        <v>257</v>
      </c>
      <c r="B2146" t="s">
        <v>259</v>
      </c>
      <c r="C2146" s="18">
        <v>2045</v>
      </c>
      <c r="D2146" t="s">
        <v>182</v>
      </c>
      <c r="E2146" s="9">
        <v>140200.63764410801</v>
      </c>
      <c r="F2146" s="9">
        <v>90051.917367112794</v>
      </c>
      <c r="G2146" s="9">
        <v>140172.77481552499</v>
      </c>
      <c r="H2146" s="9">
        <v>90041.604590588802</v>
      </c>
      <c r="I2146" s="21">
        <f t="shared" si="66"/>
        <v>-10.312776523991488</v>
      </c>
      <c r="J2146" s="21">
        <f t="shared" si="67"/>
        <v>-27.862828583020018</v>
      </c>
    </row>
    <row r="2147" spans="1:10" hidden="1">
      <c r="A2147" t="s">
        <v>257</v>
      </c>
      <c r="B2147" t="s">
        <v>259</v>
      </c>
      <c r="C2147" s="18">
        <v>2045</v>
      </c>
      <c r="D2147" t="s">
        <v>185</v>
      </c>
      <c r="E2147" s="9">
        <v>270078.39054616599</v>
      </c>
      <c r="F2147" s="9">
        <v>255678.56648680201</v>
      </c>
      <c r="G2147" s="9">
        <v>270438.60315228201</v>
      </c>
      <c r="H2147" s="9">
        <v>255976.90811330499</v>
      </c>
      <c r="I2147" s="21">
        <f t="shared" si="66"/>
        <v>298.34162650298094</v>
      </c>
      <c r="J2147" s="21">
        <f t="shared" si="67"/>
        <v>360.21260611602338</v>
      </c>
    </row>
    <row r="2148" spans="1:10" hidden="1">
      <c r="A2148" t="s">
        <v>257</v>
      </c>
      <c r="B2148" t="s">
        <v>259</v>
      </c>
      <c r="C2148" s="18">
        <v>2045</v>
      </c>
      <c r="D2148" t="s">
        <v>188</v>
      </c>
      <c r="E2148" s="9">
        <v>766288.39257707796</v>
      </c>
      <c r="F2148" s="9">
        <v>469705.33754169801</v>
      </c>
      <c r="G2148" s="9">
        <v>769313.803212411</v>
      </c>
      <c r="H2148" s="9">
        <v>470920.29436777002</v>
      </c>
      <c r="I2148" s="21">
        <f t="shared" si="66"/>
        <v>1214.9568260720116</v>
      </c>
      <c r="J2148" s="21">
        <f t="shared" si="67"/>
        <v>3025.4106353330426</v>
      </c>
    </row>
    <row r="2149" spans="1:10" hidden="1">
      <c r="A2149" t="s">
        <v>257</v>
      </c>
      <c r="B2149" t="s">
        <v>259</v>
      </c>
      <c r="C2149" s="18">
        <v>2045</v>
      </c>
      <c r="D2149" t="s">
        <v>191</v>
      </c>
      <c r="E2149" s="9">
        <v>382936.094471741</v>
      </c>
      <c r="F2149" s="9">
        <v>204535.31614973099</v>
      </c>
      <c r="G2149" s="9">
        <v>383936.19252461498</v>
      </c>
      <c r="H2149" s="9">
        <v>204869.32889798901</v>
      </c>
      <c r="I2149" s="21">
        <f t="shared" si="66"/>
        <v>334.01274825801374</v>
      </c>
      <c r="J2149" s="21">
        <f t="shared" si="67"/>
        <v>1000.0980528739747</v>
      </c>
    </row>
    <row r="2150" spans="1:10" hidden="1">
      <c r="A2150" t="s">
        <v>257</v>
      </c>
      <c r="B2150" t="s">
        <v>259</v>
      </c>
      <c r="C2150" s="18">
        <v>2045</v>
      </c>
      <c r="D2150" t="s">
        <v>422</v>
      </c>
      <c r="E2150" s="9">
        <v>34846.722037516098</v>
      </c>
      <c r="F2150" s="9">
        <v>2452.7475140302199</v>
      </c>
      <c r="G2150" s="9">
        <v>34846.715156222701</v>
      </c>
      <c r="H2150" s="9">
        <v>2452.74707379338</v>
      </c>
      <c r="I2150" s="21">
        <f t="shared" si="66"/>
        <v>-4.4023683994964813E-4</v>
      </c>
      <c r="J2150" s="21">
        <f t="shared" si="67"/>
        <v>-6.881293396872934E-3</v>
      </c>
    </row>
    <row r="2151" spans="1:10" hidden="1">
      <c r="A2151" t="s">
        <v>257</v>
      </c>
      <c r="B2151" t="s">
        <v>259</v>
      </c>
      <c r="C2151" s="18">
        <v>2046</v>
      </c>
      <c r="D2151" t="s">
        <v>174</v>
      </c>
      <c r="E2151" s="9">
        <v>23875.170482198198</v>
      </c>
      <c r="F2151" s="9">
        <v>16168.002824579</v>
      </c>
      <c r="G2151" s="9">
        <v>23868.217944038799</v>
      </c>
      <c r="H2151" s="9">
        <v>16165.2905403234</v>
      </c>
      <c r="I2151" s="21">
        <f t="shared" si="66"/>
        <v>-2.7122842556000251</v>
      </c>
      <c r="J2151" s="21">
        <f t="shared" si="67"/>
        <v>-6.9525381593994098</v>
      </c>
    </row>
    <row r="2152" spans="1:10" hidden="1">
      <c r="A2152" t="s">
        <v>257</v>
      </c>
      <c r="B2152" t="s">
        <v>259</v>
      </c>
      <c r="C2152" s="18">
        <v>2046</v>
      </c>
      <c r="D2152" t="s">
        <v>236</v>
      </c>
      <c r="E2152" s="9">
        <v>1265254.56862632</v>
      </c>
      <c r="F2152" s="9">
        <v>299316.30995713</v>
      </c>
      <c r="G2152" s="9">
        <v>1268475.9563321201</v>
      </c>
      <c r="H2152" s="9">
        <v>299596.92866613797</v>
      </c>
      <c r="I2152" s="21">
        <f t="shared" si="66"/>
        <v>280.61870900797658</v>
      </c>
      <c r="J2152" s="21">
        <f t="shared" si="67"/>
        <v>3221.3877058001235</v>
      </c>
    </row>
    <row r="2153" spans="1:10" hidden="1">
      <c r="A2153" t="s">
        <v>257</v>
      </c>
      <c r="B2153" t="s">
        <v>259</v>
      </c>
      <c r="C2153" s="18">
        <v>2046</v>
      </c>
      <c r="D2153" t="s">
        <v>182</v>
      </c>
      <c r="E2153" s="9">
        <v>142225.17535607601</v>
      </c>
      <c r="F2153" s="9">
        <v>91210.705516513204</v>
      </c>
      <c r="G2153" s="9">
        <v>142194.05365060701</v>
      </c>
      <c r="H2153" s="9">
        <v>91198.890942598402</v>
      </c>
      <c r="I2153" s="21">
        <f t="shared" si="66"/>
        <v>-11.814573914802168</v>
      </c>
      <c r="J2153" s="21">
        <f t="shared" si="67"/>
        <v>-31.121705469005974</v>
      </c>
    </row>
    <row r="2154" spans="1:10" hidden="1">
      <c r="A2154" t="s">
        <v>257</v>
      </c>
      <c r="B2154" t="s">
        <v>259</v>
      </c>
      <c r="C2154" s="18">
        <v>2046</v>
      </c>
      <c r="D2154" t="s">
        <v>185</v>
      </c>
      <c r="E2154" s="9">
        <v>269557.422901768</v>
      </c>
      <c r="F2154" s="9">
        <v>255124.85014033801</v>
      </c>
      <c r="G2154" s="9">
        <v>269923.25168294698</v>
      </c>
      <c r="H2154" s="9">
        <v>255431.16141281699</v>
      </c>
      <c r="I2154" s="21">
        <f t="shared" si="66"/>
        <v>306.31127247898257</v>
      </c>
      <c r="J2154" s="21">
        <f t="shared" si="67"/>
        <v>365.82878117897781</v>
      </c>
    </row>
    <row r="2155" spans="1:10" hidden="1">
      <c r="A2155" t="s">
        <v>257</v>
      </c>
      <c r="B2155" t="s">
        <v>259</v>
      </c>
      <c r="C2155" s="18">
        <v>2046</v>
      </c>
      <c r="D2155" t="s">
        <v>188</v>
      </c>
      <c r="E2155" s="9">
        <v>774968.29810935201</v>
      </c>
      <c r="F2155" s="9">
        <v>476530.117509061</v>
      </c>
      <c r="G2155" s="9">
        <v>778095.84267256199</v>
      </c>
      <c r="H2155" s="9">
        <v>477828.93173194502</v>
      </c>
      <c r="I2155" s="21">
        <f t="shared" si="66"/>
        <v>1298.8142228840152</v>
      </c>
      <c r="J2155" s="21">
        <f t="shared" si="67"/>
        <v>3127.5445632099872</v>
      </c>
    </row>
    <row r="2156" spans="1:10" hidden="1">
      <c r="A2156" t="s">
        <v>257</v>
      </c>
      <c r="B2156" t="s">
        <v>259</v>
      </c>
      <c r="C2156" s="18">
        <v>2046</v>
      </c>
      <c r="D2156" t="s">
        <v>191</v>
      </c>
      <c r="E2156" s="9">
        <v>386121.60360864003</v>
      </c>
      <c r="F2156" s="9">
        <v>206693.77557748099</v>
      </c>
      <c r="G2156" s="9">
        <v>387151.42704479198</v>
      </c>
      <c r="H2156" s="9">
        <v>207048.94525460299</v>
      </c>
      <c r="I2156" s="21">
        <f t="shared" si="66"/>
        <v>355.1696771220013</v>
      </c>
      <c r="J2156" s="21">
        <f t="shared" si="67"/>
        <v>1029.8234361519571</v>
      </c>
    </row>
    <row r="2157" spans="1:10" hidden="1">
      <c r="A2157" t="s">
        <v>257</v>
      </c>
      <c r="B2157" t="s">
        <v>259</v>
      </c>
      <c r="C2157" s="18">
        <v>2046</v>
      </c>
      <c r="D2157" t="s">
        <v>422</v>
      </c>
      <c r="E2157" s="9">
        <v>34688.303693203998</v>
      </c>
      <c r="F2157" s="9">
        <v>2335.67296116117</v>
      </c>
      <c r="G2157" s="9">
        <v>34688.296767041</v>
      </c>
      <c r="H2157" s="9">
        <v>2335.6726092736399</v>
      </c>
      <c r="I2157" s="21">
        <f t="shared" si="66"/>
        <v>-3.5188753008696949E-4</v>
      </c>
      <c r="J2157" s="21">
        <f t="shared" si="67"/>
        <v>-6.9261629978427663E-3</v>
      </c>
    </row>
    <row r="2158" spans="1:10" hidden="1">
      <c r="A2158" t="s">
        <v>257</v>
      </c>
      <c r="B2158" t="s">
        <v>259</v>
      </c>
      <c r="C2158" s="18">
        <v>2047</v>
      </c>
      <c r="D2158" t="s">
        <v>174</v>
      </c>
      <c r="E2158" s="9">
        <v>24583.602084714901</v>
      </c>
      <c r="F2158" s="9">
        <v>16571.730446730799</v>
      </c>
      <c r="G2158" s="9">
        <v>24575.685129363199</v>
      </c>
      <c r="H2158" s="9">
        <v>16568.574829924401</v>
      </c>
      <c r="I2158" s="21">
        <f t="shared" si="66"/>
        <v>-3.1556168063980294</v>
      </c>
      <c r="J2158" s="21">
        <f t="shared" si="67"/>
        <v>-7.9169553517021996</v>
      </c>
    </row>
    <row r="2159" spans="1:10" hidden="1">
      <c r="A2159" t="s">
        <v>257</v>
      </c>
      <c r="B2159" t="s">
        <v>259</v>
      </c>
      <c r="C2159" s="18">
        <v>2047</v>
      </c>
      <c r="D2159" t="s">
        <v>236</v>
      </c>
      <c r="E2159" s="9">
        <v>1272775.5985133001</v>
      </c>
      <c r="F2159" s="9">
        <v>306869.86289773299</v>
      </c>
      <c r="G2159" s="9">
        <v>1276073.4846977801</v>
      </c>
      <c r="H2159" s="9">
        <v>307176.00873862102</v>
      </c>
      <c r="I2159" s="21">
        <f t="shared" si="66"/>
        <v>306.14584088802803</v>
      </c>
      <c r="J2159" s="21">
        <f t="shared" si="67"/>
        <v>3297.8861844800413</v>
      </c>
    </row>
    <row r="2160" spans="1:10" hidden="1">
      <c r="A2160" t="s">
        <v>257</v>
      </c>
      <c r="B2160" t="s">
        <v>259</v>
      </c>
      <c r="C2160" s="18">
        <v>2047</v>
      </c>
      <c r="D2160" t="s">
        <v>182</v>
      </c>
      <c r="E2160" s="9">
        <v>144280.76239217201</v>
      </c>
      <c r="F2160" s="9">
        <v>92347.306620710704</v>
      </c>
      <c r="G2160" s="9">
        <v>144246.070856709</v>
      </c>
      <c r="H2160" s="9">
        <v>92333.888291156894</v>
      </c>
      <c r="I2160" s="21">
        <f t="shared" si="66"/>
        <v>-13.418329553809599</v>
      </c>
      <c r="J2160" s="21">
        <f t="shared" si="67"/>
        <v>-34.691535463003675</v>
      </c>
    </row>
    <row r="2161" spans="1:10" hidden="1">
      <c r="A2161" t="s">
        <v>257</v>
      </c>
      <c r="B2161" t="s">
        <v>259</v>
      </c>
      <c r="C2161" s="18">
        <v>2047</v>
      </c>
      <c r="D2161" t="s">
        <v>185</v>
      </c>
      <c r="E2161" s="9">
        <v>268775.43727449898</v>
      </c>
      <c r="F2161" s="9">
        <v>254447.48780929</v>
      </c>
      <c r="G2161" s="9">
        <v>269145.73066835199</v>
      </c>
      <c r="H2161" s="9">
        <v>254760.803670819</v>
      </c>
      <c r="I2161" s="21">
        <f t="shared" si="66"/>
        <v>313.31586152900127</v>
      </c>
      <c r="J2161" s="21">
        <f t="shared" si="67"/>
        <v>370.29339385300409</v>
      </c>
    </row>
    <row r="2162" spans="1:10" hidden="1">
      <c r="A2162" t="s">
        <v>257</v>
      </c>
      <c r="B2162" t="s">
        <v>259</v>
      </c>
      <c r="C2162" s="18">
        <v>2047</v>
      </c>
      <c r="D2162" t="s">
        <v>188</v>
      </c>
      <c r="E2162" s="9">
        <v>783642.62612150295</v>
      </c>
      <c r="F2162" s="9">
        <v>483285.93472960999</v>
      </c>
      <c r="G2162" s="9">
        <v>786867.36601765698</v>
      </c>
      <c r="H2162" s="9">
        <v>484667.16956347</v>
      </c>
      <c r="I2162" s="21">
        <f t="shared" si="66"/>
        <v>1381.2348338600132</v>
      </c>
      <c r="J2162" s="21">
        <f t="shared" si="67"/>
        <v>3224.7398961540312</v>
      </c>
    </row>
    <row r="2163" spans="1:10" hidden="1">
      <c r="A2163" t="s">
        <v>257</v>
      </c>
      <c r="B2163" t="s">
        <v>259</v>
      </c>
      <c r="C2163" s="18">
        <v>2047</v>
      </c>
      <c r="D2163" t="s">
        <v>191</v>
      </c>
      <c r="E2163" s="9">
        <v>389539.33369178599</v>
      </c>
      <c r="F2163" s="9">
        <v>208784.938829491</v>
      </c>
      <c r="G2163" s="9">
        <v>390597.57749152998</v>
      </c>
      <c r="H2163" s="9">
        <v>209160.85891574901</v>
      </c>
      <c r="I2163" s="21">
        <f t="shared" si="66"/>
        <v>375.92008625800372</v>
      </c>
      <c r="J2163" s="21">
        <f t="shared" si="67"/>
        <v>1058.2437997439993</v>
      </c>
    </row>
    <row r="2164" spans="1:10" hidden="1">
      <c r="A2164" t="s">
        <v>257</v>
      </c>
      <c r="B2164" t="s">
        <v>259</v>
      </c>
      <c r="C2164" s="18">
        <v>2047</v>
      </c>
      <c r="D2164" t="s">
        <v>422</v>
      </c>
      <c r="E2164" s="9">
        <v>34402.461109977397</v>
      </c>
      <c r="F2164" s="9">
        <v>2222.25207614086</v>
      </c>
      <c r="G2164" s="9">
        <v>34402.454286141998</v>
      </c>
      <c r="H2164" s="9">
        <v>2222.2517838233198</v>
      </c>
      <c r="I2164" s="21">
        <f t="shared" si="66"/>
        <v>-2.9231754024294787E-4</v>
      </c>
      <c r="J2164" s="21">
        <f t="shared" si="67"/>
        <v>-6.8238353997003287E-3</v>
      </c>
    </row>
    <row r="2165" spans="1:10" hidden="1">
      <c r="A2165" t="s">
        <v>257</v>
      </c>
      <c r="B2165" t="s">
        <v>259</v>
      </c>
      <c r="C2165" s="18">
        <v>2048</v>
      </c>
      <c r="D2165" t="s">
        <v>174</v>
      </c>
      <c r="E2165" s="9">
        <v>25291.823308926101</v>
      </c>
      <c r="F2165" s="9">
        <v>16986.611059571798</v>
      </c>
      <c r="G2165" s="9">
        <v>25282.866550534</v>
      </c>
      <c r="H2165" s="9">
        <v>16982.967131377602</v>
      </c>
      <c r="I2165" s="21">
        <f t="shared" si="66"/>
        <v>-3.6439281941966328</v>
      </c>
      <c r="J2165" s="21">
        <f t="shared" si="67"/>
        <v>-8.9567583921016194</v>
      </c>
    </row>
    <row r="2166" spans="1:10" hidden="1">
      <c r="A2166" t="s">
        <v>257</v>
      </c>
      <c r="B2166" t="s">
        <v>259</v>
      </c>
      <c r="C2166" s="18">
        <v>2048</v>
      </c>
      <c r="D2166" t="s">
        <v>236</v>
      </c>
      <c r="E2166" s="9">
        <v>1280098.8756017699</v>
      </c>
      <c r="F2166" s="9">
        <v>314217.62509936898</v>
      </c>
      <c r="G2166" s="9">
        <v>1283467.7529534199</v>
      </c>
      <c r="H2166" s="9">
        <v>314549.83162807999</v>
      </c>
      <c r="I2166" s="21">
        <f t="shared" si="66"/>
        <v>332.20652871101629</v>
      </c>
      <c r="J2166" s="21">
        <f t="shared" si="67"/>
        <v>3368.8773516500369</v>
      </c>
    </row>
    <row r="2167" spans="1:10" hidden="1">
      <c r="A2167" t="s">
        <v>257</v>
      </c>
      <c r="B2167" t="s">
        <v>259</v>
      </c>
      <c r="C2167" s="18">
        <v>2048</v>
      </c>
      <c r="D2167" t="s">
        <v>182</v>
      </c>
      <c r="E2167" s="9">
        <v>146452.25358997699</v>
      </c>
      <c r="F2167" s="9">
        <v>93442.629045641195</v>
      </c>
      <c r="G2167" s="9">
        <v>146413.85314917401</v>
      </c>
      <c r="H2167" s="9">
        <v>93427.507277048993</v>
      </c>
      <c r="I2167" s="21">
        <f t="shared" si="66"/>
        <v>-15.121768592201988</v>
      </c>
      <c r="J2167" s="21">
        <f t="shared" si="67"/>
        <v>-38.400440802972298</v>
      </c>
    </row>
    <row r="2168" spans="1:10" hidden="1">
      <c r="A2168" t="s">
        <v>257</v>
      </c>
      <c r="B2168" t="s">
        <v>259</v>
      </c>
      <c r="C2168" s="18">
        <v>2048</v>
      </c>
      <c r="D2168" t="s">
        <v>185</v>
      </c>
      <c r="E2168" s="9">
        <v>267711.84405635</v>
      </c>
      <c r="F2168" s="9">
        <v>253552.79120065199</v>
      </c>
      <c r="G2168" s="9">
        <v>268085.44794583402</v>
      </c>
      <c r="H2168" s="9">
        <v>253872.04741882399</v>
      </c>
      <c r="I2168" s="21">
        <f t="shared" si="66"/>
        <v>319.25621817199863</v>
      </c>
      <c r="J2168" s="21">
        <f t="shared" si="67"/>
        <v>373.60388948401669</v>
      </c>
    </row>
    <row r="2169" spans="1:10" hidden="1">
      <c r="A2169" t="s">
        <v>257</v>
      </c>
      <c r="B2169" t="s">
        <v>259</v>
      </c>
      <c r="C2169" s="18">
        <v>2048</v>
      </c>
      <c r="D2169" t="s">
        <v>188</v>
      </c>
      <c r="E2169" s="9">
        <v>792477.948551493</v>
      </c>
      <c r="F2169" s="9">
        <v>489846.36484276102</v>
      </c>
      <c r="G2169" s="9">
        <v>795796.81940173404</v>
      </c>
      <c r="H2169" s="9">
        <v>491307.70932856598</v>
      </c>
      <c r="I2169" s="21">
        <f t="shared" si="66"/>
        <v>1461.3444858049625</v>
      </c>
      <c r="J2169" s="21">
        <f t="shared" si="67"/>
        <v>3318.8708502410445</v>
      </c>
    </row>
    <row r="2170" spans="1:10" hidden="1">
      <c r="A2170" t="s">
        <v>257</v>
      </c>
      <c r="B2170" t="s">
        <v>259</v>
      </c>
      <c r="C2170" s="18">
        <v>2048</v>
      </c>
      <c r="D2170" t="s">
        <v>191</v>
      </c>
      <c r="E2170" s="9">
        <v>393220.10698434</v>
      </c>
      <c r="F2170" s="9">
        <v>210793.27946639399</v>
      </c>
      <c r="G2170" s="9">
        <v>394306.23400907399</v>
      </c>
      <c r="H2170" s="9">
        <v>211189.299415093</v>
      </c>
      <c r="I2170" s="21">
        <f t="shared" si="66"/>
        <v>396.01994869901682</v>
      </c>
      <c r="J2170" s="21">
        <f t="shared" si="67"/>
        <v>1086.1270247339853</v>
      </c>
    </row>
    <row r="2171" spans="1:10" hidden="1">
      <c r="A2171" t="s">
        <v>257</v>
      </c>
      <c r="B2171" t="s">
        <v>259</v>
      </c>
      <c r="C2171" s="18">
        <v>2048</v>
      </c>
      <c r="D2171" t="s">
        <v>422</v>
      </c>
      <c r="E2171" s="9">
        <v>34278.870341416703</v>
      </c>
      <c r="F2171" s="9">
        <v>2112.6619955281999</v>
      </c>
      <c r="G2171" s="9">
        <v>34278.863496812097</v>
      </c>
      <c r="H2171" s="9">
        <v>2112.6617453372501</v>
      </c>
      <c r="I2171" s="21">
        <f t="shared" si="66"/>
        <v>-2.5019094982781098E-4</v>
      </c>
      <c r="J2171" s="21">
        <f t="shared" si="67"/>
        <v>-6.8446046061581001E-3</v>
      </c>
    </row>
    <row r="2172" spans="1:10" hidden="1">
      <c r="A2172" t="s">
        <v>257</v>
      </c>
      <c r="B2172" t="s">
        <v>259</v>
      </c>
      <c r="C2172" s="18">
        <v>2049</v>
      </c>
      <c r="D2172" t="s">
        <v>174</v>
      </c>
      <c r="E2172" s="9">
        <v>25996.606843695201</v>
      </c>
      <c r="F2172" s="9">
        <v>17410.837700618598</v>
      </c>
      <c r="G2172" s="9">
        <v>25986.5373789525</v>
      </c>
      <c r="H2172" s="9">
        <v>17406.659114093502</v>
      </c>
      <c r="I2172" s="21">
        <f t="shared" si="66"/>
        <v>-4.1785865250967618</v>
      </c>
      <c r="J2172" s="21">
        <f t="shared" si="67"/>
        <v>-10.069464742700802</v>
      </c>
    </row>
    <row r="2173" spans="1:10" hidden="1">
      <c r="A2173" t="s">
        <v>257</v>
      </c>
      <c r="B2173" t="s">
        <v>259</v>
      </c>
      <c r="C2173" s="18">
        <v>2049</v>
      </c>
      <c r="D2173" t="s">
        <v>236</v>
      </c>
      <c r="E2173" s="9">
        <v>1287252.81047978</v>
      </c>
      <c r="F2173" s="9">
        <v>321381.76172491699</v>
      </c>
      <c r="G2173" s="9">
        <v>1290687.53512959</v>
      </c>
      <c r="H2173" s="9">
        <v>321740.50114880601</v>
      </c>
      <c r="I2173" s="21">
        <f t="shared" si="66"/>
        <v>358.73942388902651</v>
      </c>
      <c r="J2173" s="21">
        <f t="shared" si="67"/>
        <v>3434.7246498099994</v>
      </c>
    </row>
    <row r="2174" spans="1:10" hidden="1">
      <c r="A2174" t="s">
        <v>257</v>
      </c>
      <c r="B2174" t="s">
        <v>259</v>
      </c>
      <c r="C2174" s="18">
        <v>2049</v>
      </c>
      <c r="D2174" t="s">
        <v>182</v>
      </c>
      <c r="E2174" s="9">
        <v>147924.14450600499</v>
      </c>
      <c r="F2174" s="9">
        <v>94563.793525977802</v>
      </c>
      <c r="G2174" s="9">
        <v>147882.09983734801</v>
      </c>
      <c r="H2174" s="9">
        <v>94546.865675552195</v>
      </c>
      <c r="I2174" s="21">
        <f t="shared" si="66"/>
        <v>-16.927850425607176</v>
      </c>
      <c r="J2174" s="21">
        <f t="shared" si="67"/>
        <v>-42.044668656977592</v>
      </c>
    </row>
    <row r="2175" spans="1:10" hidden="1">
      <c r="A2175" t="s">
        <v>257</v>
      </c>
      <c r="B2175" t="s">
        <v>259</v>
      </c>
      <c r="C2175" s="18">
        <v>2049</v>
      </c>
      <c r="D2175" t="s">
        <v>185</v>
      </c>
      <c r="E2175" s="9">
        <v>266627.38270393398</v>
      </c>
      <c r="F2175" s="9">
        <v>252780.98008976199</v>
      </c>
      <c r="G2175" s="9">
        <v>267003.55015502701</v>
      </c>
      <c r="H2175" s="9">
        <v>253105.506935702</v>
      </c>
      <c r="I2175" s="21">
        <f t="shared" si="66"/>
        <v>324.52684594001039</v>
      </c>
      <c r="J2175" s="21">
        <f t="shared" si="67"/>
        <v>376.16745109303156</v>
      </c>
    </row>
    <row r="2176" spans="1:10" hidden="1">
      <c r="A2176" t="s">
        <v>257</v>
      </c>
      <c r="B2176" t="s">
        <v>259</v>
      </c>
      <c r="C2176" s="18">
        <v>2049</v>
      </c>
      <c r="D2176" t="s">
        <v>188</v>
      </c>
      <c r="E2176" s="9">
        <v>798201.09706189204</v>
      </c>
      <c r="F2176" s="9">
        <v>496470.43601730798</v>
      </c>
      <c r="G2176" s="9">
        <v>801596.85366425803</v>
      </c>
      <c r="H2176" s="9">
        <v>498010.65152404399</v>
      </c>
      <c r="I2176" s="21">
        <f t="shared" si="66"/>
        <v>1540.2155067360145</v>
      </c>
      <c r="J2176" s="21">
        <f t="shared" si="67"/>
        <v>3395.7566023659892</v>
      </c>
    </row>
    <row r="2177" spans="1:10" hidden="1">
      <c r="A2177" t="s">
        <v>257</v>
      </c>
      <c r="B2177" t="s">
        <v>259</v>
      </c>
      <c r="C2177" s="18">
        <v>2049</v>
      </c>
      <c r="D2177" t="s">
        <v>191</v>
      </c>
      <c r="E2177" s="9">
        <v>394951.66624183703</v>
      </c>
      <c r="F2177" s="9">
        <v>213164.53059861501</v>
      </c>
      <c r="G2177" s="9">
        <v>396058.615955627</v>
      </c>
      <c r="H2177" s="9">
        <v>213580.236200068</v>
      </c>
      <c r="I2177" s="21">
        <f t="shared" si="66"/>
        <v>415.70560145299532</v>
      </c>
      <c r="J2177" s="21">
        <f t="shared" si="67"/>
        <v>1106.9497137899743</v>
      </c>
    </row>
    <row r="2178" spans="1:10" hidden="1">
      <c r="A2178" t="s">
        <v>257</v>
      </c>
      <c r="B2178" t="s">
        <v>259</v>
      </c>
      <c r="C2178" s="18">
        <v>2049</v>
      </c>
      <c r="D2178" t="s">
        <v>422</v>
      </c>
      <c r="E2178" s="9">
        <v>34087.768572959903</v>
      </c>
      <c r="F2178" s="9">
        <v>1998.5924367837599</v>
      </c>
      <c r="G2178" s="9">
        <v>34087.762706701098</v>
      </c>
      <c r="H2178" s="9">
        <v>1998.5922336333499</v>
      </c>
      <c r="I2178" s="21">
        <f t="shared" ref="I2178:I2241" si="68">H2178-F2178</f>
        <v>-2.0315041001595091E-4</v>
      </c>
      <c r="J2178" s="21">
        <f t="shared" ref="J2178:J2241" si="69">G2178-E2178</f>
        <v>-5.8662588053266518E-3</v>
      </c>
    </row>
    <row r="2179" spans="1:10" hidden="1">
      <c r="A2179" t="s">
        <v>257</v>
      </c>
      <c r="B2179" t="s">
        <v>259</v>
      </c>
      <c r="C2179" s="18">
        <v>2050</v>
      </c>
      <c r="D2179" t="s">
        <v>174</v>
      </c>
      <c r="E2179" s="9">
        <v>26701.367462564001</v>
      </c>
      <c r="F2179" s="9">
        <v>17833.392241445799</v>
      </c>
      <c r="G2179" s="9">
        <v>26690.1101954068</v>
      </c>
      <c r="H2179" s="9">
        <v>17828.637482456001</v>
      </c>
      <c r="I2179" s="21">
        <f t="shared" si="68"/>
        <v>-4.7547589897985745</v>
      </c>
      <c r="J2179" s="21">
        <f t="shared" si="69"/>
        <v>-11.257267157201568</v>
      </c>
    </row>
    <row r="2180" spans="1:10" hidden="1">
      <c r="A2180" t="s">
        <v>257</v>
      </c>
      <c r="B2180" t="s">
        <v>259</v>
      </c>
      <c r="C2180" s="18">
        <v>2050</v>
      </c>
      <c r="D2180" t="s">
        <v>236</v>
      </c>
      <c r="E2180" s="9">
        <v>1294302.32706371</v>
      </c>
      <c r="F2180" s="9">
        <v>328348.39830499399</v>
      </c>
      <c r="G2180" s="9">
        <v>1297798.19122542</v>
      </c>
      <c r="H2180" s="9">
        <v>328734.06146541203</v>
      </c>
      <c r="I2180" s="21">
        <f t="shared" si="68"/>
        <v>385.66316041804384</v>
      </c>
      <c r="J2180" s="21">
        <f t="shared" si="69"/>
        <v>3495.864161710022</v>
      </c>
    </row>
    <row r="2181" spans="1:10" hidden="1">
      <c r="A2181" t="s">
        <v>257</v>
      </c>
      <c r="B2181" t="s">
        <v>259</v>
      </c>
      <c r="C2181" s="18">
        <v>2050</v>
      </c>
      <c r="D2181" t="s">
        <v>182</v>
      </c>
      <c r="E2181" s="9">
        <v>149595.76887247301</v>
      </c>
      <c r="F2181" s="9">
        <v>95644.760254758905</v>
      </c>
      <c r="G2181" s="9">
        <v>149549.878981469</v>
      </c>
      <c r="H2181" s="9">
        <v>95625.943969428394</v>
      </c>
      <c r="I2181" s="21">
        <f t="shared" si="68"/>
        <v>-18.816285330511164</v>
      </c>
      <c r="J2181" s="21">
        <f t="shared" si="69"/>
        <v>-45.889891004015226</v>
      </c>
    </row>
    <row r="2182" spans="1:10" hidden="1">
      <c r="A2182" t="s">
        <v>257</v>
      </c>
      <c r="B2182" t="s">
        <v>259</v>
      </c>
      <c r="C2182" s="18">
        <v>2050</v>
      </c>
      <c r="D2182" t="s">
        <v>185</v>
      </c>
      <c r="E2182" s="9">
        <v>265653.196838248</v>
      </c>
      <c r="F2182" s="9">
        <v>251829.996845791</v>
      </c>
      <c r="G2182" s="9">
        <v>266031.496410964</v>
      </c>
      <c r="H2182" s="9">
        <v>252158.93315896901</v>
      </c>
      <c r="I2182" s="21">
        <f t="shared" si="68"/>
        <v>328.93631317801191</v>
      </c>
      <c r="J2182" s="21">
        <f t="shared" si="69"/>
        <v>378.29957271600142</v>
      </c>
    </row>
    <row r="2183" spans="1:10" hidden="1">
      <c r="A2183" t="s">
        <v>257</v>
      </c>
      <c r="B2183" t="s">
        <v>259</v>
      </c>
      <c r="C2183" s="18">
        <v>2050</v>
      </c>
      <c r="D2183" t="s">
        <v>188</v>
      </c>
      <c r="E2183" s="9">
        <v>805542.46188175899</v>
      </c>
      <c r="F2183" s="9">
        <v>502472.53852986899</v>
      </c>
      <c r="G2183" s="9">
        <v>809018.72253896797</v>
      </c>
      <c r="H2183" s="9">
        <v>504089.42679186398</v>
      </c>
      <c r="I2183" s="21">
        <f t="shared" si="68"/>
        <v>1616.8882619949873</v>
      </c>
      <c r="J2183" s="21">
        <f t="shared" si="69"/>
        <v>3476.2606572089717</v>
      </c>
    </row>
    <row r="2184" spans="1:10" hidden="1">
      <c r="A2184" t="s">
        <v>257</v>
      </c>
      <c r="B2184" t="s">
        <v>259</v>
      </c>
      <c r="C2184" s="18">
        <v>2050</v>
      </c>
      <c r="D2184" t="s">
        <v>191</v>
      </c>
      <c r="E2184" s="9">
        <v>397431.21446032298</v>
      </c>
      <c r="F2184" s="9">
        <v>215136.073311496</v>
      </c>
      <c r="G2184" s="9">
        <v>398560.03791860503</v>
      </c>
      <c r="H2184" s="9">
        <v>215570.73744048199</v>
      </c>
      <c r="I2184" s="21">
        <f t="shared" si="68"/>
        <v>434.66412898598355</v>
      </c>
      <c r="J2184" s="21">
        <f t="shared" si="69"/>
        <v>1128.8234582820442</v>
      </c>
    </row>
    <row r="2185" spans="1:10" hidden="1">
      <c r="A2185" t="s">
        <v>257</v>
      </c>
      <c r="B2185" t="s">
        <v>259</v>
      </c>
      <c r="C2185" s="18">
        <v>2050</v>
      </c>
      <c r="D2185" t="s">
        <v>422</v>
      </c>
      <c r="E2185" s="9">
        <v>33926.485081413499</v>
      </c>
      <c r="F2185" s="9">
        <v>1888.5151419500501</v>
      </c>
      <c r="G2185" s="9">
        <v>33926.479042696701</v>
      </c>
      <c r="H2185" s="9">
        <v>1888.5150098655699</v>
      </c>
      <c r="I2185" s="21">
        <f t="shared" si="68"/>
        <v>-1.3208448012846929E-4</v>
      </c>
      <c r="J2185" s="21">
        <f t="shared" si="69"/>
        <v>-6.0387167977751233E-3</v>
      </c>
    </row>
    <row r="2186" spans="1:10" hidden="1">
      <c r="A2186" t="s">
        <v>265</v>
      </c>
      <c r="B2186" t="s">
        <v>267</v>
      </c>
      <c r="C2186" s="18">
        <v>2025</v>
      </c>
      <c r="D2186" t="s">
        <v>174</v>
      </c>
      <c r="E2186" s="9">
        <v>12176.1707137429</v>
      </c>
      <c r="F2186" s="9">
        <v>8959.2701472679</v>
      </c>
      <c r="G2186" s="9">
        <v>12176.1707137429</v>
      </c>
      <c r="H2186" s="9">
        <v>8959.2701472679</v>
      </c>
      <c r="I2186" s="21">
        <f t="shared" si="68"/>
        <v>0</v>
      </c>
      <c r="J2186" s="21">
        <f t="shared" si="69"/>
        <v>0</v>
      </c>
    </row>
    <row r="2187" spans="1:10" hidden="1">
      <c r="A2187" t="s">
        <v>265</v>
      </c>
      <c r="B2187" t="s">
        <v>267</v>
      </c>
      <c r="C2187" s="18">
        <v>2025</v>
      </c>
      <c r="D2187" t="s">
        <v>236</v>
      </c>
      <c r="E2187" s="9">
        <v>1026758.5711338</v>
      </c>
      <c r="F2187" s="9">
        <v>129383.32321031499</v>
      </c>
      <c r="G2187" s="9">
        <v>1026758.5711338</v>
      </c>
      <c r="H2187" s="9">
        <v>129383.32321031499</v>
      </c>
      <c r="I2187" s="21">
        <f t="shared" si="68"/>
        <v>0</v>
      </c>
      <c r="J2187" s="21">
        <f t="shared" si="69"/>
        <v>0</v>
      </c>
    </row>
    <row r="2188" spans="1:10" hidden="1">
      <c r="A2188" t="s">
        <v>265</v>
      </c>
      <c r="B2188" t="s">
        <v>267</v>
      </c>
      <c r="C2188" s="18">
        <v>2025</v>
      </c>
      <c r="D2188" t="s">
        <v>182</v>
      </c>
      <c r="E2188" s="9">
        <v>115291.15986546699</v>
      </c>
      <c r="F2188" s="9">
        <v>67656.558989495796</v>
      </c>
      <c r="G2188" s="9">
        <v>115291.15986546699</v>
      </c>
      <c r="H2188" s="9">
        <v>67656.558989495796</v>
      </c>
      <c r="I2188" s="21">
        <f t="shared" si="68"/>
        <v>0</v>
      </c>
      <c r="J2188" s="21">
        <f t="shared" si="69"/>
        <v>0</v>
      </c>
    </row>
    <row r="2189" spans="1:10" hidden="1">
      <c r="A2189" t="s">
        <v>265</v>
      </c>
      <c r="B2189" t="s">
        <v>267</v>
      </c>
      <c r="C2189" s="18">
        <v>2025</v>
      </c>
      <c r="D2189" t="s">
        <v>185</v>
      </c>
      <c r="E2189" s="9">
        <v>281662.55341658002</v>
      </c>
      <c r="F2189" s="9">
        <v>263295.70058044</v>
      </c>
      <c r="G2189" s="9">
        <v>281662.55341658002</v>
      </c>
      <c r="H2189" s="9">
        <v>263295.70058044</v>
      </c>
      <c r="I2189" s="21">
        <f t="shared" si="68"/>
        <v>0</v>
      </c>
      <c r="J2189" s="21">
        <f t="shared" si="69"/>
        <v>0</v>
      </c>
    </row>
    <row r="2190" spans="1:10" hidden="1">
      <c r="A2190" t="s">
        <v>265</v>
      </c>
      <c r="B2190" t="s">
        <v>267</v>
      </c>
      <c r="C2190" s="18">
        <v>2025</v>
      </c>
      <c r="D2190" t="s">
        <v>188</v>
      </c>
      <c r="E2190" s="9">
        <v>612171.634776233</v>
      </c>
      <c r="F2190" s="9">
        <v>335724.86979376699</v>
      </c>
      <c r="G2190" s="9">
        <v>612171.634776233</v>
      </c>
      <c r="H2190" s="9">
        <v>335724.86979376699</v>
      </c>
      <c r="I2190" s="21">
        <f t="shared" si="68"/>
        <v>0</v>
      </c>
      <c r="J2190" s="21">
        <f t="shared" si="69"/>
        <v>0</v>
      </c>
    </row>
    <row r="2191" spans="1:10" hidden="1">
      <c r="A2191" t="s">
        <v>265</v>
      </c>
      <c r="B2191" t="s">
        <v>267</v>
      </c>
      <c r="C2191" s="18">
        <v>2025</v>
      </c>
      <c r="D2191" t="s">
        <v>191</v>
      </c>
      <c r="E2191" s="9">
        <v>339642.13012673298</v>
      </c>
      <c r="F2191" s="9">
        <v>190841.880003208</v>
      </c>
      <c r="G2191" s="9">
        <v>339642.13012673298</v>
      </c>
      <c r="H2191" s="9">
        <v>190841.880003208</v>
      </c>
      <c r="I2191" s="21">
        <f t="shared" si="68"/>
        <v>0</v>
      </c>
      <c r="J2191" s="21">
        <f t="shared" si="69"/>
        <v>0</v>
      </c>
    </row>
    <row r="2192" spans="1:10" hidden="1">
      <c r="A2192" t="s">
        <v>265</v>
      </c>
      <c r="B2192" t="s">
        <v>267</v>
      </c>
      <c r="C2192" s="18">
        <v>2025</v>
      </c>
      <c r="D2192" t="s">
        <v>422</v>
      </c>
      <c r="E2192" s="9">
        <v>39660.836547407802</v>
      </c>
      <c r="F2192" s="9">
        <v>5303.4223017440199</v>
      </c>
      <c r="G2192" s="9">
        <v>39660.836547407802</v>
      </c>
      <c r="H2192" s="9">
        <v>5303.4223017440199</v>
      </c>
      <c r="I2192" s="21">
        <f t="shared" si="68"/>
        <v>0</v>
      </c>
      <c r="J2192" s="21">
        <f t="shared" si="69"/>
        <v>0</v>
      </c>
    </row>
    <row r="2193" spans="1:10" hidden="1">
      <c r="A2193" t="s">
        <v>265</v>
      </c>
      <c r="B2193" t="s">
        <v>267</v>
      </c>
      <c r="C2193" s="18">
        <v>2026</v>
      </c>
      <c r="D2193" t="s">
        <v>174</v>
      </c>
      <c r="E2193" s="9">
        <v>12568.9386470114</v>
      </c>
      <c r="F2193" s="9">
        <v>9271.1333627081003</v>
      </c>
      <c r="G2193" s="9">
        <v>12568.9386470114</v>
      </c>
      <c r="H2193" s="9">
        <v>9271.1333627081003</v>
      </c>
      <c r="I2193" s="21">
        <f t="shared" si="68"/>
        <v>0</v>
      </c>
      <c r="J2193" s="21">
        <f t="shared" si="69"/>
        <v>0</v>
      </c>
    </row>
    <row r="2194" spans="1:10" hidden="1">
      <c r="A2194" t="s">
        <v>265</v>
      </c>
      <c r="B2194" t="s">
        <v>267</v>
      </c>
      <c r="C2194" s="18">
        <v>2026</v>
      </c>
      <c r="D2194" t="s">
        <v>236</v>
      </c>
      <c r="E2194" s="9">
        <v>1042135.18581351</v>
      </c>
      <c r="F2194" s="9">
        <v>137145.82895878801</v>
      </c>
      <c r="G2194" s="9">
        <v>1042135.18581351</v>
      </c>
      <c r="H2194" s="9">
        <v>137145.82895878801</v>
      </c>
      <c r="I2194" s="21">
        <f t="shared" si="68"/>
        <v>0</v>
      </c>
      <c r="J2194" s="21">
        <f t="shared" si="69"/>
        <v>0</v>
      </c>
    </row>
    <row r="2195" spans="1:10" hidden="1">
      <c r="A2195" t="s">
        <v>265</v>
      </c>
      <c r="B2195" t="s">
        <v>267</v>
      </c>
      <c r="C2195" s="18">
        <v>2026</v>
      </c>
      <c r="D2195" t="s">
        <v>182</v>
      </c>
      <c r="E2195" s="9">
        <v>114707.986926294</v>
      </c>
      <c r="F2195" s="9">
        <v>70326.603453519798</v>
      </c>
      <c r="G2195" s="9">
        <v>114707.986926294</v>
      </c>
      <c r="H2195" s="9">
        <v>70326.603453519798</v>
      </c>
      <c r="I2195" s="21">
        <f t="shared" si="68"/>
        <v>0</v>
      </c>
      <c r="J2195" s="21">
        <f t="shared" si="69"/>
        <v>0</v>
      </c>
    </row>
    <row r="2196" spans="1:10" hidden="1">
      <c r="A2196" t="s">
        <v>265</v>
      </c>
      <c r="B2196" t="s">
        <v>267</v>
      </c>
      <c r="C2196" s="18">
        <v>2026</v>
      </c>
      <c r="D2196" t="s">
        <v>185</v>
      </c>
      <c r="E2196" s="9">
        <v>282722.53786088398</v>
      </c>
      <c r="F2196" s="9">
        <v>259504.46801133201</v>
      </c>
      <c r="G2196" s="9">
        <v>282722.53786088398</v>
      </c>
      <c r="H2196" s="9">
        <v>259504.46801133201</v>
      </c>
      <c r="I2196" s="21">
        <f t="shared" si="68"/>
        <v>0</v>
      </c>
      <c r="J2196" s="21">
        <f t="shared" si="69"/>
        <v>0</v>
      </c>
    </row>
    <row r="2197" spans="1:10" hidden="1">
      <c r="A2197" t="s">
        <v>265</v>
      </c>
      <c r="B2197" t="s">
        <v>267</v>
      </c>
      <c r="C2197" s="18">
        <v>2026</v>
      </c>
      <c r="D2197" t="s">
        <v>188</v>
      </c>
      <c r="E2197" s="9">
        <v>616790.02915575495</v>
      </c>
      <c r="F2197" s="9">
        <v>342960.13528186502</v>
      </c>
      <c r="G2197" s="9">
        <v>616790.02915575495</v>
      </c>
      <c r="H2197" s="9">
        <v>342960.13528186502</v>
      </c>
      <c r="I2197" s="21">
        <f t="shared" si="68"/>
        <v>0</v>
      </c>
      <c r="J2197" s="21">
        <f t="shared" si="69"/>
        <v>0</v>
      </c>
    </row>
    <row r="2198" spans="1:10" hidden="1">
      <c r="A2198" t="s">
        <v>265</v>
      </c>
      <c r="B2198" t="s">
        <v>267</v>
      </c>
      <c r="C2198" s="18">
        <v>2026</v>
      </c>
      <c r="D2198" t="s">
        <v>191</v>
      </c>
      <c r="E2198" s="9">
        <v>338499.06942160201</v>
      </c>
      <c r="F2198" s="9">
        <v>190574.61381884801</v>
      </c>
      <c r="G2198" s="9">
        <v>338499.06942160201</v>
      </c>
      <c r="H2198" s="9">
        <v>190574.61381884801</v>
      </c>
      <c r="I2198" s="21">
        <f t="shared" si="68"/>
        <v>0</v>
      </c>
      <c r="J2198" s="21">
        <f t="shared" si="69"/>
        <v>0</v>
      </c>
    </row>
    <row r="2199" spans="1:10" hidden="1">
      <c r="A2199" t="s">
        <v>265</v>
      </c>
      <c r="B2199" t="s">
        <v>267</v>
      </c>
      <c r="C2199" s="18">
        <v>2026</v>
      </c>
      <c r="D2199" t="s">
        <v>422</v>
      </c>
      <c r="E2199" s="9">
        <v>39250.667018004897</v>
      </c>
      <c r="F2199" s="9">
        <v>5105.6095547855903</v>
      </c>
      <c r="G2199" s="9">
        <v>39250.667018004897</v>
      </c>
      <c r="H2199" s="9">
        <v>5105.6095547855903</v>
      </c>
      <c r="I2199" s="21">
        <f t="shared" si="68"/>
        <v>0</v>
      </c>
      <c r="J2199" s="21">
        <f t="shared" si="69"/>
        <v>0</v>
      </c>
    </row>
    <row r="2200" spans="1:10" hidden="1">
      <c r="A2200" t="s">
        <v>265</v>
      </c>
      <c r="B2200" t="s">
        <v>267</v>
      </c>
      <c r="C2200" s="18">
        <v>2027</v>
      </c>
      <c r="D2200" t="s">
        <v>174</v>
      </c>
      <c r="E2200" s="9">
        <v>12976.103113363301</v>
      </c>
      <c r="F2200" s="9">
        <v>9577.5296548643291</v>
      </c>
      <c r="G2200" s="9">
        <v>12976.103113363301</v>
      </c>
      <c r="H2200" s="9">
        <v>9577.5296548643291</v>
      </c>
      <c r="I2200" s="21">
        <f t="shared" si="68"/>
        <v>0</v>
      </c>
      <c r="J2200" s="21">
        <f t="shared" si="69"/>
        <v>0</v>
      </c>
    </row>
    <row r="2201" spans="1:10" hidden="1">
      <c r="A2201" t="s">
        <v>265</v>
      </c>
      <c r="B2201" t="s">
        <v>267</v>
      </c>
      <c r="C2201" s="18">
        <v>2027</v>
      </c>
      <c r="D2201" t="s">
        <v>236</v>
      </c>
      <c r="E2201" s="9">
        <v>1056801.35223052</v>
      </c>
      <c r="F2201" s="9">
        <v>145009.441994705</v>
      </c>
      <c r="G2201" s="9">
        <v>1057148.31873483</v>
      </c>
      <c r="H2201" s="9">
        <v>145009.441994705</v>
      </c>
      <c r="I2201" s="21">
        <f t="shared" si="68"/>
        <v>0</v>
      </c>
      <c r="J2201" s="21">
        <f t="shared" si="69"/>
        <v>346.9665043100249</v>
      </c>
    </row>
    <row r="2202" spans="1:10" hidden="1">
      <c r="A2202" t="s">
        <v>265</v>
      </c>
      <c r="B2202" t="s">
        <v>267</v>
      </c>
      <c r="C2202" s="18">
        <v>2027</v>
      </c>
      <c r="D2202" t="s">
        <v>182</v>
      </c>
      <c r="E2202" s="9">
        <v>114152.944165875</v>
      </c>
      <c r="F2202" s="9">
        <v>72290.169991209099</v>
      </c>
      <c r="G2202" s="9">
        <v>114152.944165875</v>
      </c>
      <c r="H2202" s="9">
        <v>72290.169991209099</v>
      </c>
      <c r="I2202" s="21">
        <f t="shared" si="68"/>
        <v>0</v>
      </c>
      <c r="J2202" s="21">
        <f t="shared" si="69"/>
        <v>0</v>
      </c>
    </row>
    <row r="2203" spans="1:10" hidden="1">
      <c r="A2203" t="s">
        <v>265</v>
      </c>
      <c r="B2203" t="s">
        <v>267</v>
      </c>
      <c r="C2203" s="18">
        <v>2027</v>
      </c>
      <c r="D2203" t="s">
        <v>185</v>
      </c>
      <c r="E2203" s="9">
        <v>277827.81910912599</v>
      </c>
      <c r="F2203" s="9">
        <v>260330.421136777</v>
      </c>
      <c r="G2203" s="9">
        <v>277877.509454571</v>
      </c>
      <c r="H2203" s="9">
        <v>260330.421136777</v>
      </c>
      <c r="I2203" s="21">
        <f t="shared" si="68"/>
        <v>0</v>
      </c>
      <c r="J2203" s="21">
        <f t="shared" si="69"/>
        <v>49.690345445007551</v>
      </c>
    </row>
    <row r="2204" spans="1:10" hidden="1">
      <c r="A2204" t="s">
        <v>265</v>
      </c>
      <c r="B2204" t="s">
        <v>267</v>
      </c>
      <c r="C2204" s="18">
        <v>2027</v>
      </c>
      <c r="D2204" t="s">
        <v>188</v>
      </c>
      <c r="E2204" s="9">
        <v>621114.24100269796</v>
      </c>
      <c r="F2204" s="9">
        <v>349405.30073034298</v>
      </c>
      <c r="G2204" s="9">
        <v>621430.90280116105</v>
      </c>
      <c r="H2204" s="9">
        <v>349405.30073034298</v>
      </c>
      <c r="I2204" s="21">
        <f t="shared" si="68"/>
        <v>0</v>
      </c>
      <c r="J2204" s="21">
        <f t="shared" si="69"/>
        <v>316.6617984630866</v>
      </c>
    </row>
    <row r="2205" spans="1:10" hidden="1">
      <c r="A2205" t="s">
        <v>265</v>
      </c>
      <c r="B2205" t="s">
        <v>267</v>
      </c>
      <c r="C2205" s="18">
        <v>2027</v>
      </c>
      <c r="D2205" t="s">
        <v>191</v>
      </c>
      <c r="E2205" s="9">
        <v>337284.03684876597</v>
      </c>
      <c r="F2205" s="9">
        <v>189031.10044551201</v>
      </c>
      <c r="G2205" s="9">
        <v>337398.94907172298</v>
      </c>
      <c r="H2205" s="9">
        <v>189031.10044551201</v>
      </c>
      <c r="I2205" s="21">
        <f t="shared" si="68"/>
        <v>0</v>
      </c>
      <c r="J2205" s="21">
        <f t="shared" si="69"/>
        <v>114.91222295700572</v>
      </c>
    </row>
    <row r="2206" spans="1:10" hidden="1">
      <c r="A2206" t="s">
        <v>265</v>
      </c>
      <c r="B2206" t="s">
        <v>267</v>
      </c>
      <c r="C2206" s="18">
        <v>2027</v>
      </c>
      <c r="D2206" t="s">
        <v>422</v>
      </c>
      <c r="E2206" s="9">
        <v>38773.627186343103</v>
      </c>
      <c r="F2206" s="9">
        <v>4921.4971535538998</v>
      </c>
      <c r="G2206" s="9">
        <v>38773.627186343103</v>
      </c>
      <c r="H2206" s="9">
        <v>4921.4971535538998</v>
      </c>
      <c r="I2206" s="21">
        <f t="shared" si="68"/>
        <v>0</v>
      </c>
      <c r="J2206" s="21">
        <f t="shared" si="69"/>
        <v>0</v>
      </c>
    </row>
    <row r="2207" spans="1:10" hidden="1">
      <c r="A2207" t="s">
        <v>265</v>
      </c>
      <c r="B2207" t="s">
        <v>267</v>
      </c>
      <c r="C2207" s="18">
        <v>2028</v>
      </c>
      <c r="D2207" t="s">
        <v>174</v>
      </c>
      <c r="E2207" s="9">
        <v>13394.6739315754</v>
      </c>
      <c r="F2207" s="9">
        <v>9881.9220189252792</v>
      </c>
      <c r="G2207" s="9">
        <v>13394.6739315754</v>
      </c>
      <c r="H2207" s="9">
        <v>9881.9220189252792</v>
      </c>
      <c r="I2207" s="21">
        <f t="shared" si="68"/>
        <v>0</v>
      </c>
      <c r="J2207" s="21">
        <f t="shared" si="69"/>
        <v>0</v>
      </c>
    </row>
    <row r="2208" spans="1:10" hidden="1">
      <c r="A2208" t="s">
        <v>265</v>
      </c>
      <c r="B2208" t="s">
        <v>267</v>
      </c>
      <c r="C2208" s="18">
        <v>2028</v>
      </c>
      <c r="D2208" t="s">
        <v>236</v>
      </c>
      <c r="E2208" s="9">
        <v>1071146.53889257</v>
      </c>
      <c r="F2208" s="9">
        <v>152969.39272630101</v>
      </c>
      <c r="G2208" s="9">
        <v>1071826.1250559301</v>
      </c>
      <c r="H2208" s="9">
        <v>152971.72938899801</v>
      </c>
      <c r="I2208" s="21">
        <f t="shared" si="68"/>
        <v>2.3366626969946083</v>
      </c>
      <c r="J2208" s="21">
        <f t="shared" si="69"/>
        <v>679.58616336015984</v>
      </c>
    </row>
    <row r="2209" spans="1:10" hidden="1">
      <c r="A2209" t="s">
        <v>265</v>
      </c>
      <c r="B2209" t="s">
        <v>267</v>
      </c>
      <c r="C2209" s="18">
        <v>2028</v>
      </c>
      <c r="D2209" t="s">
        <v>182</v>
      </c>
      <c r="E2209" s="9">
        <v>114139.12292486199</v>
      </c>
      <c r="F2209" s="9">
        <v>73846.874209439702</v>
      </c>
      <c r="G2209" s="9">
        <v>114139.12292486199</v>
      </c>
      <c r="H2209" s="9">
        <v>73846.874209439702</v>
      </c>
      <c r="I2209" s="21">
        <f t="shared" si="68"/>
        <v>0</v>
      </c>
      <c r="J2209" s="21">
        <f t="shared" si="69"/>
        <v>0</v>
      </c>
    </row>
    <row r="2210" spans="1:10" hidden="1">
      <c r="A2210" t="s">
        <v>265</v>
      </c>
      <c r="B2210" t="s">
        <v>267</v>
      </c>
      <c r="C2210" s="18">
        <v>2028</v>
      </c>
      <c r="D2210" t="s">
        <v>185</v>
      </c>
      <c r="E2210" s="9">
        <v>277639.57326287503</v>
      </c>
      <c r="F2210" s="9">
        <v>257743.48640990799</v>
      </c>
      <c r="G2210" s="9">
        <v>277735.69614120398</v>
      </c>
      <c r="H2210" s="9">
        <v>257765.32327170501</v>
      </c>
      <c r="I2210" s="21">
        <f t="shared" si="68"/>
        <v>21.836861797026359</v>
      </c>
      <c r="J2210" s="21">
        <f t="shared" si="69"/>
        <v>96.122878328955267</v>
      </c>
    </row>
    <row r="2211" spans="1:10" hidden="1">
      <c r="A2211" t="s">
        <v>265</v>
      </c>
      <c r="B2211" t="s">
        <v>267</v>
      </c>
      <c r="C2211" s="18">
        <v>2028</v>
      </c>
      <c r="D2211" t="s">
        <v>188</v>
      </c>
      <c r="E2211" s="9">
        <v>627106.083428493</v>
      </c>
      <c r="F2211" s="9">
        <v>356136.74964275601</v>
      </c>
      <c r="G2211" s="9">
        <v>627723.84415529598</v>
      </c>
      <c r="H2211" s="9">
        <v>356159.25290604099</v>
      </c>
      <c r="I2211" s="21">
        <f t="shared" si="68"/>
        <v>22.503263284976128</v>
      </c>
      <c r="J2211" s="21">
        <f t="shared" si="69"/>
        <v>617.76072680298239</v>
      </c>
    </row>
    <row r="2212" spans="1:10" hidden="1">
      <c r="A2212" t="s">
        <v>265</v>
      </c>
      <c r="B2212" t="s">
        <v>267</v>
      </c>
      <c r="C2212" s="18">
        <v>2028</v>
      </c>
      <c r="D2212" t="s">
        <v>191</v>
      </c>
      <c r="E2212" s="9">
        <v>337292.42796401703</v>
      </c>
      <c r="F2212" s="9">
        <v>187106.73983807501</v>
      </c>
      <c r="G2212" s="9">
        <v>337514.695524676</v>
      </c>
      <c r="H2212" s="9">
        <v>187116.63987946699</v>
      </c>
      <c r="I2212" s="21">
        <f t="shared" si="68"/>
        <v>9.9000413919857237</v>
      </c>
      <c r="J2212" s="21">
        <f t="shared" si="69"/>
        <v>222.26756065897644</v>
      </c>
    </row>
    <row r="2213" spans="1:10" hidden="1">
      <c r="A2213" t="s">
        <v>265</v>
      </c>
      <c r="B2213" t="s">
        <v>267</v>
      </c>
      <c r="C2213" s="18">
        <v>2028</v>
      </c>
      <c r="D2213" t="s">
        <v>422</v>
      </c>
      <c r="E2213" s="9">
        <v>38149.291579231904</v>
      </c>
      <c r="F2213" s="9">
        <v>4742.0855729783398</v>
      </c>
      <c r="G2213" s="9">
        <v>38149.291579231904</v>
      </c>
      <c r="H2213" s="9">
        <v>4742.0855729783398</v>
      </c>
      <c r="I2213" s="21">
        <f t="shared" si="68"/>
        <v>0</v>
      </c>
      <c r="J2213" s="21">
        <f t="shared" si="69"/>
        <v>0</v>
      </c>
    </row>
    <row r="2214" spans="1:10" hidden="1">
      <c r="A2214" t="s">
        <v>265</v>
      </c>
      <c r="B2214" t="s">
        <v>267</v>
      </c>
      <c r="C2214" s="18">
        <v>2029</v>
      </c>
      <c r="D2214" t="s">
        <v>174</v>
      </c>
      <c r="E2214" s="9">
        <v>13830.0761190134</v>
      </c>
      <c r="F2214" s="9">
        <v>10188.394886280999</v>
      </c>
      <c r="G2214" s="9">
        <v>13830.048598278099</v>
      </c>
      <c r="H2214" s="9">
        <v>10188.394886280999</v>
      </c>
      <c r="I2214" s="21">
        <f t="shared" si="68"/>
        <v>0</v>
      </c>
      <c r="J2214" s="21">
        <f t="shared" si="69"/>
        <v>-2.7520735300640808E-2</v>
      </c>
    </row>
    <row r="2215" spans="1:10" hidden="1">
      <c r="A2215" t="s">
        <v>265</v>
      </c>
      <c r="B2215" t="s">
        <v>267</v>
      </c>
      <c r="C2215" s="18">
        <v>2029</v>
      </c>
      <c r="D2215" t="s">
        <v>236</v>
      </c>
      <c r="E2215" s="9">
        <v>1085202.7386093501</v>
      </c>
      <c r="F2215" s="9">
        <v>161031.221234364</v>
      </c>
      <c r="G2215" s="9">
        <v>1086200.5009906101</v>
      </c>
      <c r="H2215" s="9">
        <v>161038.22768731901</v>
      </c>
      <c r="I2215" s="21">
        <f t="shared" si="68"/>
        <v>7.006452955014538</v>
      </c>
      <c r="J2215" s="21">
        <f t="shared" si="69"/>
        <v>997.76238126005046</v>
      </c>
    </row>
    <row r="2216" spans="1:10" hidden="1">
      <c r="A2216" t="s">
        <v>265</v>
      </c>
      <c r="B2216" t="s">
        <v>267</v>
      </c>
      <c r="C2216" s="18">
        <v>2029</v>
      </c>
      <c r="D2216" t="s">
        <v>182</v>
      </c>
      <c r="E2216" s="9">
        <v>114048.364780599</v>
      </c>
      <c r="F2216" s="9">
        <v>75452.222577591499</v>
      </c>
      <c r="G2216" s="9">
        <v>114048.15533588199</v>
      </c>
      <c r="H2216" s="9">
        <v>75452.222577591499</v>
      </c>
      <c r="I2216" s="21">
        <f t="shared" si="68"/>
        <v>0</v>
      </c>
      <c r="J2216" s="21">
        <f t="shared" si="69"/>
        <v>-0.20944471700931899</v>
      </c>
    </row>
    <row r="2217" spans="1:10" hidden="1">
      <c r="A2217" t="s">
        <v>265</v>
      </c>
      <c r="B2217" t="s">
        <v>267</v>
      </c>
      <c r="C2217" s="18">
        <v>2029</v>
      </c>
      <c r="D2217" t="s">
        <v>185</v>
      </c>
      <c r="E2217" s="9">
        <v>275682.675640831</v>
      </c>
      <c r="F2217" s="9">
        <v>258284.92518561499</v>
      </c>
      <c r="G2217" s="9">
        <v>275821.08299242798</v>
      </c>
      <c r="H2217" s="9">
        <v>258334.31739486201</v>
      </c>
      <c r="I2217" s="21">
        <f t="shared" si="68"/>
        <v>49.392209247016581</v>
      </c>
      <c r="J2217" s="21">
        <f t="shared" si="69"/>
        <v>138.40735159697942</v>
      </c>
    </row>
    <row r="2218" spans="1:10" hidden="1">
      <c r="A2218" t="s">
        <v>265</v>
      </c>
      <c r="B2218" t="s">
        <v>267</v>
      </c>
      <c r="C2218" s="18">
        <v>2029</v>
      </c>
      <c r="D2218" t="s">
        <v>188</v>
      </c>
      <c r="E2218" s="9">
        <v>629880.01686759596</v>
      </c>
      <c r="F2218" s="9">
        <v>363829.62918677001</v>
      </c>
      <c r="G2218" s="9">
        <v>630779.36998507904</v>
      </c>
      <c r="H2218" s="9">
        <v>363892.26827992598</v>
      </c>
      <c r="I2218" s="21">
        <f t="shared" si="68"/>
        <v>62.63909315597266</v>
      </c>
      <c r="J2218" s="21">
        <f t="shared" si="69"/>
        <v>899.35311748308595</v>
      </c>
    </row>
    <row r="2219" spans="1:10" hidden="1">
      <c r="A2219" t="s">
        <v>265</v>
      </c>
      <c r="B2219" t="s">
        <v>267</v>
      </c>
      <c r="C2219" s="18">
        <v>2029</v>
      </c>
      <c r="D2219" t="s">
        <v>191</v>
      </c>
      <c r="E2219" s="9">
        <v>335600.75133660599</v>
      </c>
      <c r="F2219" s="9">
        <v>186796.27973045901</v>
      </c>
      <c r="G2219" s="9">
        <v>335921.29283179599</v>
      </c>
      <c r="H2219" s="9">
        <v>186821.56008749199</v>
      </c>
      <c r="I2219" s="21">
        <f t="shared" si="68"/>
        <v>25.280357032985194</v>
      </c>
      <c r="J2219" s="21">
        <f t="shared" si="69"/>
        <v>320.54149519000202</v>
      </c>
    </row>
    <row r="2220" spans="1:10" hidden="1">
      <c r="A2220" t="s">
        <v>265</v>
      </c>
      <c r="B2220" t="s">
        <v>267</v>
      </c>
      <c r="C2220" s="18">
        <v>2029</v>
      </c>
      <c r="D2220" t="s">
        <v>422</v>
      </c>
      <c r="E2220" s="9">
        <v>37777.467788562702</v>
      </c>
      <c r="F2220" s="9">
        <v>4604.0681483163899</v>
      </c>
      <c r="G2220" s="9">
        <v>37777.467218977603</v>
      </c>
      <c r="H2220" s="9">
        <v>4604.0681483163899</v>
      </c>
      <c r="I2220" s="21">
        <f t="shared" si="68"/>
        <v>0</v>
      </c>
      <c r="J2220" s="21">
        <f t="shared" si="69"/>
        <v>-5.6958509958349168E-4</v>
      </c>
    </row>
    <row r="2221" spans="1:10" hidden="1">
      <c r="A2221" t="s">
        <v>265</v>
      </c>
      <c r="B2221" t="s">
        <v>267</v>
      </c>
      <c r="C2221" s="18">
        <v>2030</v>
      </c>
      <c r="D2221" t="s">
        <v>174</v>
      </c>
      <c r="E2221" s="9">
        <v>14282.052185991401</v>
      </c>
      <c r="F2221" s="9">
        <v>10500.291568550199</v>
      </c>
      <c r="G2221" s="9">
        <v>14281.959039535501</v>
      </c>
      <c r="H2221" s="9">
        <v>10500.2867221377</v>
      </c>
      <c r="I2221" s="21">
        <f t="shared" si="68"/>
        <v>-4.8464124993188307E-3</v>
      </c>
      <c r="J2221" s="21">
        <f t="shared" si="69"/>
        <v>-9.3146455899841385E-2</v>
      </c>
    </row>
    <row r="2222" spans="1:10" hidden="1">
      <c r="A2222" t="s">
        <v>265</v>
      </c>
      <c r="B2222" t="s">
        <v>267</v>
      </c>
      <c r="C2222" s="18">
        <v>2030</v>
      </c>
      <c r="D2222" t="s">
        <v>236</v>
      </c>
      <c r="E2222" s="9">
        <v>1098890.25496235</v>
      </c>
      <c r="F2222" s="9">
        <v>169182.39839377999</v>
      </c>
      <c r="G2222" s="9">
        <v>1100191.7865472301</v>
      </c>
      <c r="H2222" s="9">
        <v>169196.385350075</v>
      </c>
      <c r="I2222" s="21">
        <f t="shared" si="68"/>
        <v>13.986956295004347</v>
      </c>
      <c r="J2222" s="21">
        <f t="shared" si="69"/>
        <v>1301.5315848800819</v>
      </c>
    </row>
    <row r="2223" spans="1:10" hidden="1">
      <c r="A2223" t="s">
        <v>265</v>
      </c>
      <c r="B2223" t="s">
        <v>267</v>
      </c>
      <c r="C2223" s="18">
        <v>2030</v>
      </c>
      <c r="D2223" t="s">
        <v>182</v>
      </c>
      <c r="E2223" s="9">
        <v>114782.613992777</v>
      </c>
      <c r="F2223" s="9">
        <v>76004.415942215899</v>
      </c>
      <c r="G2223" s="9">
        <v>114781.951575614</v>
      </c>
      <c r="H2223" s="9">
        <v>76004.374773711097</v>
      </c>
      <c r="I2223" s="21">
        <f t="shared" si="68"/>
        <v>-4.1168504802044481E-2</v>
      </c>
      <c r="J2223" s="21">
        <f t="shared" si="69"/>
        <v>-0.66241716299555264</v>
      </c>
    </row>
    <row r="2224" spans="1:10" hidden="1">
      <c r="A2224" t="s">
        <v>265</v>
      </c>
      <c r="B2224" t="s">
        <v>267</v>
      </c>
      <c r="C2224" s="18">
        <v>2030</v>
      </c>
      <c r="D2224" t="s">
        <v>185</v>
      </c>
      <c r="E2224" s="9">
        <v>275572.57040743303</v>
      </c>
      <c r="F2224" s="9">
        <v>257332.6989059</v>
      </c>
      <c r="G2224" s="9">
        <v>275750.81654950802</v>
      </c>
      <c r="H2224" s="9">
        <v>257411.19778715901</v>
      </c>
      <c r="I2224" s="21">
        <f t="shared" si="68"/>
        <v>78.498881259001791</v>
      </c>
      <c r="J2224" s="21">
        <f t="shared" si="69"/>
        <v>178.24614207498962</v>
      </c>
    </row>
    <row r="2225" spans="1:10" hidden="1">
      <c r="A2225" t="s">
        <v>265</v>
      </c>
      <c r="B2225" t="s">
        <v>267</v>
      </c>
      <c r="C2225" s="18">
        <v>2030</v>
      </c>
      <c r="D2225" t="s">
        <v>188</v>
      </c>
      <c r="E2225" s="9">
        <v>637027.05826017295</v>
      </c>
      <c r="F2225" s="9">
        <v>368803.47582521098</v>
      </c>
      <c r="G2225" s="9">
        <v>638199.36722691404</v>
      </c>
      <c r="H2225" s="9">
        <v>368920.44347907702</v>
      </c>
      <c r="I2225" s="21">
        <f t="shared" si="68"/>
        <v>116.96765386604238</v>
      </c>
      <c r="J2225" s="21">
        <f t="shared" si="69"/>
        <v>1172.3089667410823</v>
      </c>
    </row>
    <row r="2226" spans="1:10" hidden="1">
      <c r="A2226" t="s">
        <v>265</v>
      </c>
      <c r="B2226" t="s">
        <v>267</v>
      </c>
      <c r="C2226" s="18">
        <v>2030</v>
      </c>
      <c r="D2226" t="s">
        <v>191</v>
      </c>
      <c r="E2226" s="9">
        <v>336960.199510145</v>
      </c>
      <c r="F2226" s="9">
        <v>185398.486891929</v>
      </c>
      <c r="G2226" s="9">
        <v>337374.94686633401</v>
      </c>
      <c r="H2226" s="9">
        <v>185442.493190957</v>
      </c>
      <c r="I2226" s="21">
        <f t="shared" si="68"/>
        <v>44.006299027998466</v>
      </c>
      <c r="J2226" s="21">
        <f t="shared" si="69"/>
        <v>414.74735618900741</v>
      </c>
    </row>
    <row r="2227" spans="1:10" hidden="1">
      <c r="A2227" t="s">
        <v>265</v>
      </c>
      <c r="B2227" t="s">
        <v>267</v>
      </c>
      <c r="C2227" s="18">
        <v>2030</v>
      </c>
      <c r="D2227" t="s">
        <v>422</v>
      </c>
      <c r="E2227" s="9">
        <v>38012.675225308703</v>
      </c>
      <c r="F2227" s="9">
        <v>4432.1168942159902</v>
      </c>
      <c r="G2227" s="9">
        <v>38012.673637756197</v>
      </c>
      <c r="H2227" s="9">
        <v>4432.1168533298996</v>
      </c>
      <c r="I2227" s="21">
        <f t="shared" si="68"/>
        <v>-4.0886090573621914E-5</v>
      </c>
      <c r="J2227" s="21">
        <f t="shared" si="69"/>
        <v>-1.5875525059527718E-3</v>
      </c>
    </row>
    <row r="2228" spans="1:10" hidden="1">
      <c r="A2228" t="s">
        <v>265</v>
      </c>
      <c r="B2228" t="s">
        <v>267</v>
      </c>
      <c r="C2228" s="18">
        <v>2031</v>
      </c>
      <c r="D2228" t="s">
        <v>174</v>
      </c>
      <c r="E2228" s="9">
        <v>14754.6314043241</v>
      </c>
      <c r="F2228" s="9">
        <v>10814.9377169008</v>
      </c>
      <c r="G2228" s="9">
        <v>14754.4294987798</v>
      </c>
      <c r="H2228" s="9">
        <v>10814.9178976517</v>
      </c>
      <c r="I2228" s="21">
        <f t="shared" si="68"/>
        <v>-1.9819249100692105E-2</v>
      </c>
      <c r="J2228" s="21">
        <f t="shared" si="69"/>
        <v>-0.20190554429973417</v>
      </c>
    </row>
    <row r="2229" spans="1:10" hidden="1">
      <c r="A2229" t="s">
        <v>265</v>
      </c>
      <c r="B2229" t="s">
        <v>267</v>
      </c>
      <c r="C2229" s="18">
        <v>2031</v>
      </c>
      <c r="D2229" t="s">
        <v>236</v>
      </c>
      <c r="E2229" s="9">
        <v>1112133.9890662101</v>
      </c>
      <c r="F2229" s="9">
        <v>177396.95908519201</v>
      </c>
      <c r="G2229" s="9">
        <v>1113725.2263596801</v>
      </c>
      <c r="H2229" s="9">
        <v>177420.195676039</v>
      </c>
      <c r="I2229" s="21">
        <f t="shared" si="68"/>
        <v>23.236590846994659</v>
      </c>
      <c r="J2229" s="21">
        <f t="shared" si="69"/>
        <v>1591.2372934699524</v>
      </c>
    </row>
    <row r="2230" spans="1:10" hidden="1">
      <c r="A2230" t="s">
        <v>265</v>
      </c>
      <c r="B2230" t="s">
        <v>267</v>
      </c>
      <c r="C2230" s="18">
        <v>2031</v>
      </c>
      <c r="D2230" t="s">
        <v>182</v>
      </c>
      <c r="E2230" s="9">
        <v>115758.37295780799</v>
      </c>
      <c r="F2230" s="9">
        <v>76556.780441803494</v>
      </c>
      <c r="G2230" s="9">
        <v>115757.018858842</v>
      </c>
      <c r="H2230" s="9">
        <v>76556.628013514899</v>
      </c>
      <c r="I2230" s="21">
        <f t="shared" si="68"/>
        <v>-0.15242828859481961</v>
      </c>
      <c r="J2230" s="21">
        <f t="shared" si="69"/>
        <v>-1.354098965995945</v>
      </c>
    </row>
    <row r="2231" spans="1:10" hidden="1">
      <c r="A2231" t="s">
        <v>265</v>
      </c>
      <c r="B2231" t="s">
        <v>267</v>
      </c>
      <c r="C2231" s="18">
        <v>2031</v>
      </c>
      <c r="D2231" t="s">
        <v>185</v>
      </c>
      <c r="E2231" s="9">
        <v>274505.37883011001</v>
      </c>
      <c r="F2231" s="9">
        <v>257136.54761348999</v>
      </c>
      <c r="G2231" s="9">
        <v>274719.77758767002</v>
      </c>
      <c r="H2231" s="9">
        <v>257245.00548019301</v>
      </c>
      <c r="I2231" s="21">
        <f t="shared" si="68"/>
        <v>108.45786670301459</v>
      </c>
      <c r="J2231" s="21">
        <f t="shared" si="69"/>
        <v>214.39875756000401</v>
      </c>
    </row>
    <row r="2232" spans="1:10" hidden="1">
      <c r="A2232" t="s">
        <v>265</v>
      </c>
      <c r="B2232" t="s">
        <v>267</v>
      </c>
      <c r="C2232" s="18">
        <v>2031</v>
      </c>
      <c r="D2232" t="s">
        <v>188</v>
      </c>
      <c r="E2232" s="9">
        <v>644676.87976270297</v>
      </c>
      <c r="F2232" s="9">
        <v>374024.32384377898</v>
      </c>
      <c r="G2232" s="9">
        <v>646110.86416985898</v>
      </c>
      <c r="H2232" s="9">
        <v>374207.72907897399</v>
      </c>
      <c r="I2232" s="21">
        <f t="shared" si="68"/>
        <v>183.40523519500857</v>
      </c>
      <c r="J2232" s="21">
        <f t="shared" si="69"/>
        <v>1433.9844071560074</v>
      </c>
    </row>
    <row r="2233" spans="1:10" hidden="1">
      <c r="A2233" t="s">
        <v>265</v>
      </c>
      <c r="B2233" t="s">
        <v>267</v>
      </c>
      <c r="C2233" s="18">
        <v>2031</v>
      </c>
      <c r="D2233" t="s">
        <v>191</v>
      </c>
      <c r="E2233" s="9">
        <v>338700.61007108202</v>
      </c>
      <c r="F2233" s="9">
        <v>184250.55846860001</v>
      </c>
      <c r="G2233" s="9">
        <v>339204.41915059398</v>
      </c>
      <c r="H2233" s="9">
        <v>184315.56237323501</v>
      </c>
      <c r="I2233" s="21">
        <f t="shared" si="68"/>
        <v>65.003904634999344</v>
      </c>
      <c r="J2233" s="21">
        <f t="shared" si="69"/>
        <v>503.80907951196423</v>
      </c>
    </row>
    <row r="2234" spans="1:10" hidden="1">
      <c r="A2234" t="s">
        <v>265</v>
      </c>
      <c r="B2234" t="s">
        <v>267</v>
      </c>
      <c r="C2234" s="18">
        <v>2031</v>
      </c>
      <c r="D2234" t="s">
        <v>422</v>
      </c>
      <c r="E2234" s="9">
        <v>38191.625955081297</v>
      </c>
      <c r="F2234" s="9">
        <v>4274.7274268459396</v>
      </c>
      <c r="G2234" s="9">
        <v>38191.6231000681</v>
      </c>
      <c r="H2234" s="9">
        <v>4274.7272932738097</v>
      </c>
      <c r="I2234" s="21">
        <f t="shared" si="68"/>
        <v>-1.3357212992559653E-4</v>
      </c>
      <c r="J2234" s="21">
        <f t="shared" si="69"/>
        <v>-2.8550131974043325E-3</v>
      </c>
    </row>
    <row r="2235" spans="1:10" hidden="1">
      <c r="A2235" t="s">
        <v>265</v>
      </c>
      <c r="B2235" t="s">
        <v>267</v>
      </c>
      <c r="C2235" s="18">
        <v>2032</v>
      </c>
      <c r="D2235" t="s">
        <v>174</v>
      </c>
      <c r="E2235" s="9">
        <v>15248.1274176139</v>
      </c>
      <c r="F2235" s="9">
        <v>11132.2282018398</v>
      </c>
      <c r="G2235" s="9">
        <v>15247.769190462001</v>
      </c>
      <c r="H2235" s="9">
        <v>11132.1787355836</v>
      </c>
      <c r="I2235" s="21">
        <f t="shared" si="68"/>
        <v>-4.9466256199593772E-2</v>
      </c>
      <c r="J2235" s="21">
        <f t="shared" si="69"/>
        <v>-0.35822715189897281</v>
      </c>
    </row>
    <row r="2236" spans="1:10" hidden="1">
      <c r="A2236" t="s">
        <v>265</v>
      </c>
      <c r="B2236" t="s">
        <v>267</v>
      </c>
      <c r="C2236" s="18">
        <v>2032</v>
      </c>
      <c r="D2236" t="s">
        <v>236</v>
      </c>
      <c r="E2236" s="9">
        <v>1124915.95413025</v>
      </c>
      <c r="F2236" s="9">
        <v>185656.750885699</v>
      </c>
      <c r="G2236" s="9">
        <v>1126783.31749171</v>
      </c>
      <c r="H2236" s="9">
        <v>185691.45221249</v>
      </c>
      <c r="I2236" s="21">
        <f t="shared" si="68"/>
        <v>34.701326790993335</v>
      </c>
      <c r="J2236" s="21">
        <f t="shared" si="69"/>
        <v>1867.3633614599239</v>
      </c>
    </row>
    <row r="2237" spans="1:10" hidden="1">
      <c r="A2237" t="s">
        <v>265</v>
      </c>
      <c r="B2237" t="s">
        <v>267</v>
      </c>
      <c r="C2237" s="18">
        <v>2032</v>
      </c>
      <c r="D2237" t="s">
        <v>182</v>
      </c>
      <c r="E2237" s="9">
        <v>116895.301672944</v>
      </c>
      <c r="F2237" s="9">
        <v>77198.739801072195</v>
      </c>
      <c r="G2237" s="9">
        <v>116892.91249656001</v>
      </c>
      <c r="H2237" s="9">
        <v>77198.389307422098</v>
      </c>
      <c r="I2237" s="21">
        <f t="shared" si="68"/>
        <v>-0.35049365009763278</v>
      </c>
      <c r="J2237" s="21">
        <f t="shared" si="69"/>
        <v>-2.3891763839928899</v>
      </c>
    </row>
    <row r="2238" spans="1:10" hidden="1">
      <c r="A2238" t="s">
        <v>265</v>
      </c>
      <c r="B2238" t="s">
        <v>267</v>
      </c>
      <c r="C2238" s="18">
        <v>2032</v>
      </c>
      <c r="D2238" t="s">
        <v>185</v>
      </c>
      <c r="E2238" s="9">
        <v>274164.16489155998</v>
      </c>
      <c r="F2238" s="9">
        <v>256607.831349335</v>
      </c>
      <c r="G2238" s="9">
        <v>274412.39342979901</v>
      </c>
      <c r="H2238" s="9">
        <v>256745.67636584101</v>
      </c>
      <c r="I2238" s="21">
        <f t="shared" si="68"/>
        <v>137.84501650600578</v>
      </c>
      <c r="J2238" s="21">
        <f t="shared" si="69"/>
        <v>248.22853823902551</v>
      </c>
    </row>
    <row r="2239" spans="1:10" hidden="1">
      <c r="A2239" t="s">
        <v>265</v>
      </c>
      <c r="B2239" t="s">
        <v>267</v>
      </c>
      <c r="C2239" s="18">
        <v>2032</v>
      </c>
      <c r="D2239" t="s">
        <v>188</v>
      </c>
      <c r="E2239" s="9">
        <v>652835.35215806297</v>
      </c>
      <c r="F2239" s="9">
        <v>379867.25035294599</v>
      </c>
      <c r="G2239" s="9">
        <v>654519.81142038899</v>
      </c>
      <c r="H2239" s="9">
        <v>380127.64784866601</v>
      </c>
      <c r="I2239" s="21">
        <f t="shared" si="68"/>
        <v>260.39749572001165</v>
      </c>
      <c r="J2239" s="21">
        <f t="shared" si="69"/>
        <v>1684.4592623260105</v>
      </c>
    </row>
    <row r="2240" spans="1:10" hidden="1">
      <c r="A2240" t="s">
        <v>265</v>
      </c>
      <c r="B2240" t="s">
        <v>267</v>
      </c>
      <c r="C2240" s="18">
        <v>2032</v>
      </c>
      <c r="D2240" t="s">
        <v>191</v>
      </c>
      <c r="E2240" s="9">
        <v>340993.67840551399</v>
      </c>
      <c r="F2240" s="9">
        <v>183641.86924847399</v>
      </c>
      <c r="G2240" s="9">
        <v>341581.65326776</v>
      </c>
      <c r="H2240" s="9">
        <v>183730.084212538</v>
      </c>
      <c r="I2240" s="21">
        <f t="shared" si="68"/>
        <v>88.214964064012747</v>
      </c>
      <c r="J2240" s="21">
        <f t="shared" si="69"/>
        <v>587.97486224601744</v>
      </c>
    </row>
    <row r="2241" spans="1:10" hidden="1">
      <c r="A2241" t="s">
        <v>265</v>
      </c>
      <c r="B2241" t="s">
        <v>267</v>
      </c>
      <c r="C2241" s="18">
        <v>2032</v>
      </c>
      <c r="D2241" t="s">
        <v>422</v>
      </c>
      <c r="E2241" s="9">
        <v>38037.556376363602</v>
      </c>
      <c r="F2241" s="9">
        <v>4125.7227448707099</v>
      </c>
      <c r="G2241" s="9">
        <v>38037.551792099897</v>
      </c>
      <c r="H2241" s="9">
        <v>4125.7224791710396</v>
      </c>
      <c r="I2241" s="21">
        <f t="shared" si="68"/>
        <v>-2.6569967030809494E-4</v>
      </c>
      <c r="J2241" s="21">
        <f t="shared" si="69"/>
        <v>-4.5842637046007439E-3</v>
      </c>
    </row>
    <row r="2242" spans="1:10" hidden="1">
      <c r="A2242" t="s">
        <v>265</v>
      </c>
      <c r="B2242" t="s">
        <v>267</v>
      </c>
      <c r="C2242" s="18">
        <v>2033</v>
      </c>
      <c r="D2242" t="s">
        <v>174</v>
      </c>
      <c r="E2242" s="9">
        <v>15760.0800230311</v>
      </c>
      <c r="F2242" s="9">
        <v>11452.3026834051</v>
      </c>
      <c r="G2242" s="9">
        <v>15759.5151167894</v>
      </c>
      <c r="H2242" s="9">
        <v>11452.2049974033</v>
      </c>
      <c r="I2242" s="21">
        <f t="shared" ref="I2242:I2305" si="70">H2242-F2242</f>
        <v>-9.7686001799957012E-2</v>
      </c>
      <c r="J2242" s="21">
        <f t="shared" ref="J2242:J2305" si="71">G2242-E2242</f>
        <v>-0.56490624169964576</v>
      </c>
    </row>
    <row r="2243" spans="1:10" hidden="1">
      <c r="A2243" t="s">
        <v>265</v>
      </c>
      <c r="B2243" t="s">
        <v>267</v>
      </c>
      <c r="C2243" s="18">
        <v>2033</v>
      </c>
      <c r="D2243" t="s">
        <v>236</v>
      </c>
      <c r="E2243" s="9">
        <v>1137142.61722363</v>
      </c>
      <c r="F2243" s="9">
        <v>193957.27878114299</v>
      </c>
      <c r="G2243" s="9">
        <v>1139272.75378683</v>
      </c>
      <c r="H2243" s="9">
        <v>194005.60056651599</v>
      </c>
      <c r="I2243" s="21">
        <f t="shared" si="70"/>
        <v>48.321785373002058</v>
      </c>
      <c r="J2243" s="21">
        <f t="shared" si="71"/>
        <v>2130.1365632000379</v>
      </c>
    </row>
    <row r="2244" spans="1:10" hidden="1">
      <c r="A2244" t="s">
        <v>265</v>
      </c>
      <c r="B2244" t="s">
        <v>267</v>
      </c>
      <c r="C2244" s="18">
        <v>2033</v>
      </c>
      <c r="D2244" t="s">
        <v>182</v>
      </c>
      <c r="E2244" s="9">
        <v>118285.47667598601</v>
      </c>
      <c r="F2244" s="9">
        <v>77917.816865904198</v>
      </c>
      <c r="G2244" s="9">
        <v>118281.82855902299</v>
      </c>
      <c r="H2244" s="9">
        <v>77917.162090690195</v>
      </c>
      <c r="I2244" s="21">
        <f t="shared" si="70"/>
        <v>-0.65477521400316618</v>
      </c>
      <c r="J2244" s="21">
        <f t="shared" si="71"/>
        <v>-3.6481169630133081</v>
      </c>
    </row>
    <row r="2245" spans="1:10" hidden="1">
      <c r="A2245" t="s">
        <v>265</v>
      </c>
      <c r="B2245" t="s">
        <v>267</v>
      </c>
      <c r="C2245" s="18">
        <v>2033</v>
      </c>
      <c r="D2245" t="s">
        <v>185</v>
      </c>
      <c r="E2245" s="9">
        <v>273614.2893757</v>
      </c>
      <c r="F2245" s="9">
        <v>256488.84150218399</v>
      </c>
      <c r="G2245" s="9">
        <v>273893.528221021</v>
      </c>
      <c r="H2245" s="9">
        <v>256655.55902621101</v>
      </c>
      <c r="I2245" s="21">
        <f t="shared" si="70"/>
        <v>166.71752402701532</v>
      </c>
      <c r="J2245" s="21">
        <f t="shared" si="71"/>
        <v>279.23884532100055</v>
      </c>
    </row>
    <row r="2246" spans="1:10" hidden="1">
      <c r="A2246" t="s">
        <v>265</v>
      </c>
      <c r="B2246" t="s">
        <v>267</v>
      </c>
      <c r="C2246" s="18">
        <v>2033</v>
      </c>
      <c r="D2246" t="s">
        <v>188</v>
      </c>
      <c r="E2246" s="9">
        <v>662081.03677692404</v>
      </c>
      <c r="F2246" s="9">
        <v>386238.25667436997</v>
      </c>
      <c r="G2246" s="9">
        <v>664009.13874492398</v>
      </c>
      <c r="H2246" s="9">
        <v>386583.230936034</v>
      </c>
      <c r="I2246" s="21">
        <f t="shared" si="70"/>
        <v>344.97426166402875</v>
      </c>
      <c r="J2246" s="21">
        <f t="shared" si="71"/>
        <v>1928.1019679999445</v>
      </c>
    </row>
    <row r="2247" spans="1:10" hidden="1">
      <c r="A2247" t="s">
        <v>265</v>
      </c>
      <c r="B2247" t="s">
        <v>267</v>
      </c>
      <c r="C2247" s="18">
        <v>2033</v>
      </c>
      <c r="D2247" t="s">
        <v>191</v>
      </c>
      <c r="E2247" s="9">
        <v>344325.609208034</v>
      </c>
      <c r="F2247" s="9">
        <v>183470.30334800799</v>
      </c>
      <c r="G2247" s="9">
        <v>344995.26462988101</v>
      </c>
      <c r="H2247" s="9">
        <v>183583.04220271501</v>
      </c>
      <c r="I2247" s="21">
        <f t="shared" si="70"/>
        <v>112.73885470701498</v>
      </c>
      <c r="J2247" s="21">
        <f t="shared" si="71"/>
        <v>669.65542184701189</v>
      </c>
    </row>
    <row r="2248" spans="1:10" hidden="1">
      <c r="A2248" t="s">
        <v>265</v>
      </c>
      <c r="B2248" t="s">
        <v>267</v>
      </c>
      <c r="C2248" s="18">
        <v>2033</v>
      </c>
      <c r="D2248" t="s">
        <v>422</v>
      </c>
      <c r="E2248" s="9">
        <v>37788.401899760902</v>
      </c>
      <c r="F2248" s="9">
        <v>3977.71479893889</v>
      </c>
      <c r="G2248" s="9">
        <v>37788.395913351</v>
      </c>
      <c r="H2248" s="9">
        <v>3977.7143757352601</v>
      </c>
      <c r="I2248" s="21">
        <f t="shared" si="70"/>
        <v>-4.232036299072206E-4</v>
      </c>
      <c r="J2248" s="21">
        <f t="shared" si="71"/>
        <v>-5.9864099021069705E-3</v>
      </c>
    </row>
    <row r="2249" spans="1:10" hidden="1">
      <c r="A2249" t="s">
        <v>265</v>
      </c>
      <c r="B2249" t="s">
        <v>267</v>
      </c>
      <c r="C2249" s="18">
        <v>2034</v>
      </c>
      <c r="D2249" t="s">
        <v>174</v>
      </c>
      <c r="E2249" s="9">
        <v>16286.588821749399</v>
      </c>
      <c r="F2249" s="9">
        <v>11779.582233211901</v>
      </c>
      <c r="G2249" s="9">
        <v>16285.764037622699</v>
      </c>
      <c r="H2249" s="9">
        <v>11779.4141755774</v>
      </c>
      <c r="I2249" s="21">
        <f t="shared" si="70"/>
        <v>-0.16805763450065569</v>
      </c>
      <c r="J2249" s="21">
        <f t="shared" si="71"/>
        <v>-0.82478412670025136</v>
      </c>
    </row>
    <row r="2250" spans="1:10" hidden="1">
      <c r="A2250" t="s">
        <v>265</v>
      </c>
      <c r="B2250" t="s">
        <v>267</v>
      </c>
      <c r="C2250" s="18">
        <v>2034</v>
      </c>
      <c r="D2250" t="s">
        <v>236</v>
      </c>
      <c r="E2250" s="9">
        <v>1148853.2288607601</v>
      </c>
      <c r="F2250" s="9">
        <v>202256.603092342</v>
      </c>
      <c r="G2250" s="9">
        <v>1151232.62464015</v>
      </c>
      <c r="H2250" s="9">
        <v>202320.63612115101</v>
      </c>
      <c r="I2250" s="21">
        <f t="shared" si="70"/>
        <v>64.033028809004463</v>
      </c>
      <c r="J2250" s="21">
        <f t="shared" si="71"/>
        <v>2379.395779389888</v>
      </c>
    </row>
    <row r="2251" spans="1:10" hidden="1">
      <c r="A2251" t="s">
        <v>265</v>
      </c>
      <c r="B2251" t="s">
        <v>267</v>
      </c>
      <c r="C2251" s="18">
        <v>2034</v>
      </c>
      <c r="D2251" t="s">
        <v>182</v>
      </c>
      <c r="E2251" s="9">
        <v>119178.89652015601</v>
      </c>
      <c r="F2251" s="9">
        <v>78782.791806594803</v>
      </c>
      <c r="G2251" s="9">
        <v>119173.805374547</v>
      </c>
      <c r="H2251" s="9">
        <v>78781.723235872807</v>
      </c>
      <c r="I2251" s="21">
        <f t="shared" si="70"/>
        <v>-1.068570721996366</v>
      </c>
      <c r="J2251" s="21">
        <f t="shared" si="71"/>
        <v>-5.0911456090107094</v>
      </c>
    </row>
    <row r="2252" spans="1:10" hidden="1">
      <c r="A2252" t="s">
        <v>265</v>
      </c>
      <c r="B2252" t="s">
        <v>267</v>
      </c>
      <c r="C2252" s="18">
        <v>2034</v>
      </c>
      <c r="D2252" t="s">
        <v>185</v>
      </c>
      <c r="E2252" s="9">
        <v>273361.61806447402</v>
      </c>
      <c r="F2252" s="9">
        <v>256558.66837276501</v>
      </c>
      <c r="G2252" s="9">
        <v>273669.65020286699</v>
      </c>
      <c r="H2252" s="9">
        <v>256753.127116244</v>
      </c>
      <c r="I2252" s="21">
        <f t="shared" si="70"/>
        <v>194.45874347898643</v>
      </c>
      <c r="J2252" s="21">
        <f t="shared" si="71"/>
        <v>308.0321383929695</v>
      </c>
    </row>
    <row r="2253" spans="1:10" hidden="1">
      <c r="A2253" t="s">
        <v>265</v>
      </c>
      <c r="B2253" t="s">
        <v>267</v>
      </c>
      <c r="C2253" s="18">
        <v>2034</v>
      </c>
      <c r="D2253" t="s">
        <v>188</v>
      </c>
      <c r="E2253" s="9">
        <v>667415.19214666204</v>
      </c>
      <c r="F2253" s="9">
        <v>393370.37880457699</v>
      </c>
      <c r="G2253" s="9">
        <v>669565.09186596901</v>
      </c>
      <c r="H2253" s="9">
        <v>393806.92012191401</v>
      </c>
      <c r="I2253" s="21">
        <f t="shared" si="70"/>
        <v>436.54131733701797</v>
      </c>
      <c r="J2253" s="21">
        <f t="shared" si="71"/>
        <v>2149.8997193069663</v>
      </c>
    </row>
    <row r="2254" spans="1:10" hidden="1">
      <c r="A2254" t="s">
        <v>265</v>
      </c>
      <c r="B2254" t="s">
        <v>267</v>
      </c>
      <c r="C2254" s="18">
        <v>2034</v>
      </c>
      <c r="D2254" t="s">
        <v>191</v>
      </c>
      <c r="E2254" s="9">
        <v>345184.400755679</v>
      </c>
      <c r="F2254" s="9">
        <v>184662.578427556</v>
      </c>
      <c r="G2254" s="9">
        <v>345926.396497523</v>
      </c>
      <c r="H2254" s="9">
        <v>184800.88501932399</v>
      </c>
      <c r="I2254" s="21">
        <f t="shared" si="70"/>
        <v>138.30659176799236</v>
      </c>
      <c r="J2254" s="21">
        <f t="shared" si="71"/>
        <v>741.99574184400262</v>
      </c>
    </row>
    <row r="2255" spans="1:10" hidden="1">
      <c r="A2255" t="s">
        <v>265</v>
      </c>
      <c r="B2255" t="s">
        <v>267</v>
      </c>
      <c r="C2255" s="18">
        <v>2034</v>
      </c>
      <c r="D2255" t="s">
        <v>422</v>
      </c>
      <c r="E2255" s="9">
        <v>37391.126572199602</v>
      </c>
      <c r="F2255" s="9">
        <v>3849.4370022476101</v>
      </c>
      <c r="G2255" s="9">
        <v>37391.118979539897</v>
      </c>
      <c r="H2255" s="9">
        <v>3849.43642407178</v>
      </c>
      <c r="I2255" s="21">
        <f t="shared" si="70"/>
        <v>-5.7817583001451567E-4</v>
      </c>
      <c r="J2255" s="21">
        <f t="shared" si="71"/>
        <v>-7.5926597055513412E-3</v>
      </c>
    </row>
    <row r="2256" spans="1:10" hidden="1">
      <c r="A2256" t="s">
        <v>265</v>
      </c>
      <c r="B2256" t="s">
        <v>267</v>
      </c>
      <c r="C2256" s="18">
        <v>2035</v>
      </c>
      <c r="D2256" t="s">
        <v>174</v>
      </c>
      <c r="E2256" s="9">
        <v>16831.782733889198</v>
      </c>
      <c r="F2256" s="9">
        <v>12113.0779618335</v>
      </c>
      <c r="G2256" s="9">
        <v>16830.6420972909</v>
      </c>
      <c r="H2256" s="9">
        <v>12112.814364394</v>
      </c>
      <c r="I2256" s="21">
        <f t="shared" si="70"/>
        <v>-0.2635974394997902</v>
      </c>
      <c r="J2256" s="21">
        <f t="shared" si="71"/>
        <v>-1.1406365982984426</v>
      </c>
    </row>
    <row r="2257" spans="1:10" hidden="1">
      <c r="A2257" t="s">
        <v>265</v>
      </c>
      <c r="B2257" t="s">
        <v>267</v>
      </c>
      <c r="C2257" s="18">
        <v>2035</v>
      </c>
      <c r="D2257" t="s">
        <v>236</v>
      </c>
      <c r="E2257" s="9">
        <v>1160161.9306417201</v>
      </c>
      <c r="F2257" s="9">
        <v>210545.654893142</v>
      </c>
      <c r="G2257" s="9">
        <v>1162777.28327874</v>
      </c>
      <c r="H2257" s="9">
        <v>210627.422792314</v>
      </c>
      <c r="I2257" s="21">
        <f t="shared" si="70"/>
        <v>81.767899172002217</v>
      </c>
      <c r="J2257" s="21">
        <f t="shared" si="71"/>
        <v>2615.3526370199397</v>
      </c>
    </row>
    <row r="2258" spans="1:10" hidden="1">
      <c r="A2258" t="s">
        <v>265</v>
      </c>
      <c r="B2258" t="s">
        <v>267</v>
      </c>
      <c r="C2258" s="18">
        <v>2035</v>
      </c>
      <c r="D2258" t="s">
        <v>182</v>
      </c>
      <c r="E2258" s="9">
        <v>120805.83611816099</v>
      </c>
      <c r="F2258" s="9">
        <v>79458.224276675101</v>
      </c>
      <c r="G2258" s="9">
        <v>120799.065903184</v>
      </c>
      <c r="H2258" s="9">
        <v>79456.632421187605</v>
      </c>
      <c r="I2258" s="21">
        <f t="shared" si="70"/>
        <v>-1.5918554874951951</v>
      </c>
      <c r="J2258" s="21">
        <f t="shared" si="71"/>
        <v>-6.7702149769902462</v>
      </c>
    </row>
    <row r="2259" spans="1:10" hidden="1">
      <c r="A2259" t="s">
        <v>265</v>
      </c>
      <c r="B2259" t="s">
        <v>267</v>
      </c>
      <c r="C2259" s="18">
        <v>2035</v>
      </c>
      <c r="D2259" t="s">
        <v>185</v>
      </c>
      <c r="E2259" s="9">
        <v>273010.97271522798</v>
      </c>
      <c r="F2259" s="9">
        <v>256586.40915455899</v>
      </c>
      <c r="G2259" s="9">
        <v>273345.36006293801</v>
      </c>
      <c r="H2259" s="9">
        <v>256807.53223008101</v>
      </c>
      <c r="I2259" s="21">
        <f t="shared" si="70"/>
        <v>221.12307552201673</v>
      </c>
      <c r="J2259" s="21">
        <f t="shared" si="71"/>
        <v>334.38734771002783</v>
      </c>
    </row>
    <row r="2260" spans="1:10" hidden="1">
      <c r="A2260" t="s">
        <v>265</v>
      </c>
      <c r="B2260" t="s">
        <v>267</v>
      </c>
      <c r="C2260" s="18">
        <v>2035</v>
      </c>
      <c r="D2260" t="s">
        <v>188</v>
      </c>
      <c r="E2260" s="9">
        <v>676265.37111343304</v>
      </c>
      <c r="F2260" s="9">
        <v>398959.23510466301</v>
      </c>
      <c r="G2260" s="9">
        <v>678638.43452144298</v>
      </c>
      <c r="H2260" s="9">
        <v>399492.95053299802</v>
      </c>
      <c r="I2260" s="21">
        <f t="shared" si="70"/>
        <v>533.71542833501007</v>
      </c>
      <c r="J2260" s="21">
        <f t="shared" si="71"/>
        <v>2373.0634080099408</v>
      </c>
    </row>
    <row r="2261" spans="1:10" hidden="1">
      <c r="A2261" t="s">
        <v>265</v>
      </c>
      <c r="B2261" t="s">
        <v>267</v>
      </c>
      <c r="C2261" s="18">
        <v>2035</v>
      </c>
      <c r="D2261" t="s">
        <v>191</v>
      </c>
      <c r="E2261" s="9">
        <v>348330.88715119002</v>
      </c>
      <c r="F2261" s="9">
        <v>185201.06461838499</v>
      </c>
      <c r="G2261" s="9">
        <v>349146.06245576398</v>
      </c>
      <c r="H2261" s="9">
        <v>185365.76110357899</v>
      </c>
      <c r="I2261" s="21">
        <f t="shared" si="70"/>
        <v>164.69648519399925</v>
      </c>
      <c r="J2261" s="21">
        <f t="shared" si="71"/>
        <v>815.1753045739606</v>
      </c>
    </row>
    <row r="2262" spans="1:10" hidden="1">
      <c r="A2262" t="s">
        <v>265</v>
      </c>
      <c r="B2262" t="s">
        <v>267</v>
      </c>
      <c r="C2262" s="18">
        <v>2035</v>
      </c>
      <c r="D2262" t="s">
        <v>422</v>
      </c>
      <c r="E2262" s="9">
        <v>37274.407099819997</v>
      </c>
      <c r="F2262" s="9">
        <v>3710.4325040464</v>
      </c>
      <c r="G2262" s="9">
        <v>37274.397901844597</v>
      </c>
      <c r="H2262" s="9">
        <v>3710.43177455469</v>
      </c>
      <c r="I2262" s="21">
        <f t="shared" si="70"/>
        <v>-7.2949170998981572E-4</v>
      </c>
      <c r="J2262" s="21">
        <f t="shared" si="71"/>
        <v>-9.1979753997293301E-3</v>
      </c>
    </row>
    <row r="2263" spans="1:10" hidden="1">
      <c r="A2263" t="s">
        <v>265</v>
      </c>
      <c r="B2263" t="s">
        <v>267</v>
      </c>
      <c r="C2263" s="18">
        <v>2036</v>
      </c>
      <c r="D2263" t="s">
        <v>174</v>
      </c>
      <c r="E2263" s="9">
        <v>17394.126201997798</v>
      </c>
      <c r="F2263" s="9">
        <v>12453.251023446601</v>
      </c>
      <c r="G2263" s="9">
        <v>17392.609904070101</v>
      </c>
      <c r="H2263" s="9">
        <v>12452.864013751599</v>
      </c>
      <c r="I2263" s="21">
        <f t="shared" si="70"/>
        <v>-0.38700969500132487</v>
      </c>
      <c r="J2263" s="21">
        <f t="shared" si="71"/>
        <v>-1.5162979276974511</v>
      </c>
    </row>
    <row r="2264" spans="1:10" hidden="1">
      <c r="A2264" t="s">
        <v>265</v>
      </c>
      <c r="B2264" t="s">
        <v>267</v>
      </c>
      <c r="C2264" s="18">
        <v>2036</v>
      </c>
      <c r="D2264" t="s">
        <v>236</v>
      </c>
      <c r="E2264" s="9">
        <v>1171246.8295642</v>
      </c>
      <c r="F2264" s="9">
        <v>218805.190982286</v>
      </c>
      <c r="G2264" s="9">
        <v>1174085.51289072</v>
      </c>
      <c r="H2264" s="9">
        <v>218906.62344450099</v>
      </c>
      <c r="I2264" s="21">
        <f t="shared" si="70"/>
        <v>101.43246221498703</v>
      </c>
      <c r="J2264" s="21">
        <f t="shared" si="71"/>
        <v>2838.6833265200257</v>
      </c>
    </row>
    <row r="2265" spans="1:10" hidden="1">
      <c r="A2265" t="s">
        <v>265</v>
      </c>
      <c r="B2265" t="s">
        <v>267</v>
      </c>
      <c r="C2265" s="18">
        <v>2036</v>
      </c>
      <c r="D2265" t="s">
        <v>182</v>
      </c>
      <c r="E2265" s="9">
        <v>122626.995363758</v>
      </c>
      <c r="F2265" s="9">
        <v>80305.074832962098</v>
      </c>
      <c r="G2265" s="9">
        <v>122618.320312187</v>
      </c>
      <c r="H2265" s="9">
        <v>80302.842995522602</v>
      </c>
      <c r="I2265" s="21">
        <f t="shared" si="70"/>
        <v>-2.231837439496303</v>
      </c>
      <c r="J2265" s="21">
        <f t="shared" si="71"/>
        <v>-8.6750515710009495</v>
      </c>
    </row>
    <row r="2266" spans="1:10" hidden="1">
      <c r="A2266" t="s">
        <v>265</v>
      </c>
      <c r="B2266" t="s">
        <v>267</v>
      </c>
      <c r="C2266" s="18">
        <v>2036</v>
      </c>
      <c r="D2266" t="s">
        <v>185</v>
      </c>
      <c r="E2266" s="9">
        <v>272938.72023479198</v>
      </c>
      <c r="F2266" s="9">
        <v>256686.873429645</v>
      </c>
      <c r="G2266" s="9">
        <v>273297.56982222799</v>
      </c>
      <c r="H2266" s="9">
        <v>256933.39822934201</v>
      </c>
      <c r="I2266" s="21">
        <f t="shared" si="70"/>
        <v>246.5247996970138</v>
      </c>
      <c r="J2266" s="21">
        <f t="shared" si="71"/>
        <v>358.84958743600873</v>
      </c>
    </row>
    <row r="2267" spans="1:10" hidden="1">
      <c r="A2267" t="s">
        <v>265</v>
      </c>
      <c r="B2267" t="s">
        <v>267</v>
      </c>
      <c r="C2267" s="18">
        <v>2036</v>
      </c>
      <c r="D2267" t="s">
        <v>188</v>
      </c>
      <c r="E2267" s="9">
        <v>685605.23622268799</v>
      </c>
      <c r="F2267" s="9">
        <v>405356.01477055601</v>
      </c>
      <c r="G2267" s="9">
        <v>688194.68447559199</v>
      </c>
      <c r="H2267" s="9">
        <v>405992.65349387802</v>
      </c>
      <c r="I2267" s="21">
        <f t="shared" si="70"/>
        <v>636.63872332201572</v>
      </c>
      <c r="J2267" s="21">
        <f t="shared" si="71"/>
        <v>2589.448252903996</v>
      </c>
    </row>
    <row r="2268" spans="1:10" hidden="1">
      <c r="A2268" t="s">
        <v>265</v>
      </c>
      <c r="B2268" t="s">
        <v>267</v>
      </c>
      <c r="C2268" s="18">
        <v>2036</v>
      </c>
      <c r="D2268" t="s">
        <v>191</v>
      </c>
      <c r="E2268" s="9">
        <v>351717.65303057397</v>
      </c>
      <c r="F2268" s="9">
        <v>186225.87270808101</v>
      </c>
      <c r="G2268" s="9">
        <v>352603.07171420398</v>
      </c>
      <c r="H2268" s="9">
        <v>186417.92722248001</v>
      </c>
      <c r="I2268" s="21">
        <f t="shared" si="70"/>
        <v>192.05451439900207</v>
      </c>
      <c r="J2268" s="21">
        <f t="shared" si="71"/>
        <v>885.41868363000685</v>
      </c>
    </row>
    <row r="2269" spans="1:10" hidden="1">
      <c r="A2269" t="s">
        <v>265</v>
      </c>
      <c r="B2269" t="s">
        <v>267</v>
      </c>
      <c r="C2269" s="18">
        <v>2036</v>
      </c>
      <c r="D2269" t="s">
        <v>422</v>
      </c>
      <c r="E2269" s="9">
        <v>37283.038142498597</v>
      </c>
      <c r="F2269" s="9">
        <v>3578.6609351991701</v>
      </c>
      <c r="G2269" s="9">
        <v>37283.027629395598</v>
      </c>
      <c r="H2269" s="9">
        <v>3578.66006488627</v>
      </c>
      <c r="I2269" s="21">
        <f t="shared" si="70"/>
        <v>-8.7031290013328544E-4</v>
      </c>
      <c r="J2269" s="21">
        <f t="shared" si="71"/>
        <v>-1.0513102999539115E-2</v>
      </c>
    </row>
    <row r="2270" spans="1:10" hidden="1">
      <c r="A2270" t="s">
        <v>265</v>
      </c>
      <c r="B2270" t="s">
        <v>267</v>
      </c>
      <c r="C2270" s="18">
        <v>2037</v>
      </c>
      <c r="D2270" t="s">
        <v>174</v>
      </c>
      <c r="E2270" s="9">
        <v>17973.438772254201</v>
      </c>
      <c r="F2270" s="9">
        <v>12800.020245182801</v>
      </c>
      <c r="G2270" s="9">
        <v>17971.482864064201</v>
      </c>
      <c r="H2270" s="9">
        <v>12799.479454561601</v>
      </c>
      <c r="I2270" s="21">
        <f t="shared" si="70"/>
        <v>-0.54079062120035815</v>
      </c>
      <c r="J2270" s="21">
        <f t="shared" si="71"/>
        <v>-1.9559081900006277</v>
      </c>
    </row>
    <row r="2271" spans="1:10" hidden="1">
      <c r="A2271" t="s">
        <v>265</v>
      </c>
      <c r="B2271" t="s">
        <v>267</v>
      </c>
      <c r="C2271" s="18">
        <v>2037</v>
      </c>
      <c r="D2271" t="s">
        <v>236</v>
      </c>
      <c r="E2271" s="9">
        <v>1182214.7239666099</v>
      </c>
      <c r="F2271" s="9">
        <v>227022.90841368801</v>
      </c>
      <c r="G2271" s="9">
        <v>1185264.7438497699</v>
      </c>
      <c r="H2271" s="9">
        <v>227145.85064844001</v>
      </c>
      <c r="I2271" s="21">
        <f t="shared" si="70"/>
        <v>122.94223475200124</v>
      </c>
      <c r="J2271" s="21">
        <f t="shared" si="71"/>
        <v>3050.0198831600137</v>
      </c>
    </row>
    <row r="2272" spans="1:10" hidden="1">
      <c r="A2272" t="s">
        <v>265</v>
      </c>
      <c r="B2272" t="s">
        <v>267</v>
      </c>
      <c r="C2272" s="18">
        <v>2037</v>
      </c>
      <c r="D2272" t="s">
        <v>182</v>
      </c>
      <c r="E2272" s="9">
        <v>124500.43621651</v>
      </c>
      <c r="F2272" s="9">
        <v>81247.685957554902</v>
      </c>
      <c r="G2272" s="9">
        <v>124489.42976024401</v>
      </c>
      <c r="H2272" s="9">
        <v>81244.691389584303</v>
      </c>
      <c r="I2272" s="21">
        <f t="shared" si="70"/>
        <v>-2.9945679705997463</v>
      </c>
      <c r="J2272" s="21">
        <f t="shared" si="71"/>
        <v>-11.006456265997258</v>
      </c>
    </row>
    <row r="2273" spans="1:10" hidden="1">
      <c r="A2273" t="s">
        <v>265</v>
      </c>
      <c r="B2273" t="s">
        <v>267</v>
      </c>
      <c r="C2273" s="18">
        <v>2037</v>
      </c>
      <c r="D2273" t="s">
        <v>185</v>
      </c>
      <c r="E2273" s="9">
        <v>272821.47373914497</v>
      </c>
      <c r="F2273" s="9">
        <v>256800.36037336601</v>
      </c>
      <c r="G2273" s="9">
        <v>273202.80227406899</v>
      </c>
      <c r="H2273" s="9">
        <v>257070.97314913399</v>
      </c>
      <c r="I2273" s="21">
        <f t="shared" si="70"/>
        <v>270.61277576797875</v>
      </c>
      <c r="J2273" s="21">
        <f t="shared" si="71"/>
        <v>381.32853492401773</v>
      </c>
    </row>
    <row r="2274" spans="1:10" hidden="1">
      <c r="A2274" t="s">
        <v>265</v>
      </c>
      <c r="B2274" t="s">
        <v>267</v>
      </c>
      <c r="C2274" s="18">
        <v>2037</v>
      </c>
      <c r="D2274" t="s">
        <v>188</v>
      </c>
      <c r="E2274" s="9">
        <v>695261.972468919</v>
      </c>
      <c r="F2274" s="9">
        <v>412273.89469868998</v>
      </c>
      <c r="G2274" s="9">
        <v>698060.50212694705</v>
      </c>
      <c r="H2274" s="9">
        <v>413018.343093551</v>
      </c>
      <c r="I2274" s="21">
        <f t="shared" si="70"/>
        <v>744.44839486101409</v>
      </c>
      <c r="J2274" s="21">
        <f t="shared" si="71"/>
        <v>2798.529658028041</v>
      </c>
    </row>
    <row r="2275" spans="1:10" hidden="1">
      <c r="A2275" t="s">
        <v>265</v>
      </c>
      <c r="B2275" t="s">
        <v>267</v>
      </c>
      <c r="C2275" s="18">
        <v>2037</v>
      </c>
      <c r="D2275" t="s">
        <v>191</v>
      </c>
      <c r="E2275" s="9">
        <v>355472.99256700499</v>
      </c>
      <c r="F2275" s="9">
        <v>187567.75676265499</v>
      </c>
      <c r="G2275" s="9">
        <v>356425.67891865398</v>
      </c>
      <c r="H2275" s="9">
        <v>187788.31252848901</v>
      </c>
      <c r="I2275" s="21">
        <f t="shared" si="70"/>
        <v>220.55576583402581</v>
      </c>
      <c r="J2275" s="21">
        <f t="shared" si="71"/>
        <v>952.68635164899752</v>
      </c>
    </row>
    <row r="2276" spans="1:10" hidden="1">
      <c r="A2276" t="s">
        <v>265</v>
      </c>
      <c r="B2276" t="s">
        <v>267</v>
      </c>
      <c r="C2276" s="18">
        <v>2037</v>
      </c>
      <c r="D2276" t="s">
        <v>422</v>
      </c>
      <c r="E2276" s="9">
        <v>36837.2883086742</v>
      </c>
      <c r="F2276" s="9">
        <v>3450.1956420813399</v>
      </c>
      <c r="G2276" s="9">
        <v>36837.277480763201</v>
      </c>
      <c r="H2276" s="9">
        <v>3450.1946557369902</v>
      </c>
      <c r="I2276" s="21">
        <f t="shared" si="70"/>
        <v>-9.8634434971245355E-4</v>
      </c>
      <c r="J2276" s="21">
        <f t="shared" si="71"/>
        <v>-1.082791099906899E-2</v>
      </c>
    </row>
    <row r="2277" spans="1:10" hidden="1">
      <c r="A2277" t="s">
        <v>265</v>
      </c>
      <c r="B2277" t="s">
        <v>267</v>
      </c>
      <c r="C2277" s="18">
        <v>2038</v>
      </c>
      <c r="D2277" t="s">
        <v>174</v>
      </c>
      <c r="E2277" s="9">
        <v>18567.195649400299</v>
      </c>
      <c r="F2277" s="9">
        <v>13156.3311104039</v>
      </c>
      <c r="G2277" s="9">
        <v>18564.7325343064</v>
      </c>
      <c r="H2277" s="9">
        <v>13155.6038503287</v>
      </c>
      <c r="I2277" s="21">
        <f t="shared" si="70"/>
        <v>-0.72726007520031999</v>
      </c>
      <c r="J2277" s="21">
        <f t="shared" si="71"/>
        <v>-2.4631150938985229</v>
      </c>
    </row>
    <row r="2278" spans="1:10" hidden="1">
      <c r="A2278" t="s">
        <v>265</v>
      </c>
      <c r="B2278" t="s">
        <v>267</v>
      </c>
      <c r="C2278" s="18">
        <v>2038</v>
      </c>
      <c r="D2278" t="s">
        <v>236</v>
      </c>
      <c r="E2278" s="9">
        <v>1193065.90430568</v>
      </c>
      <c r="F2278" s="9">
        <v>235183.38141669199</v>
      </c>
      <c r="G2278" s="9">
        <v>1196314.5451145701</v>
      </c>
      <c r="H2278" s="9">
        <v>235329.60149861901</v>
      </c>
      <c r="I2278" s="21">
        <f t="shared" si="70"/>
        <v>146.22008192702197</v>
      </c>
      <c r="J2278" s="21">
        <f t="shared" si="71"/>
        <v>3248.640808890108</v>
      </c>
    </row>
    <row r="2279" spans="1:10" hidden="1">
      <c r="A2279" t="s">
        <v>265</v>
      </c>
      <c r="B2279" t="s">
        <v>267</v>
      </c>
      <c r="C2279" s="18">
        <v>2038</v>
      </c>
      <c r="D2279" t="s">
        <v>182</v>
      </c>
      <c r="E2279" s="9">
        <v>126569.399931861</v>
      </c>
      <c r="F2279" s="9">
        <v>82257.823468475399</v>
      </c>
      <c r="G2279" s="9">
        <v>126555.833855502</v>
      </c>
      <c r="H2279" s="9">
        <v>82253.930841494002</v>
      </c>
      <c r="I2279" s="21">
        <f t="shared" si="70"/>
        <v>-3.8926269813964609</v>
      </c>
      <c r="J2279" s="21">
        <f t="shared" si="71"/>
        <v>-13.566076358998544</v>
      </c>
    </row>
    <row r="2280" spans="1:10" hidden="1">
      <c r="A2280" t="s">
        <v>265</v>
      </c>
      <c r="B2280" t="s">
        <v>267</v>
      </c>
      <c r="C2280" s="18">
        <v>2038</v>
      </c>
      <c r="D2280" t="s">
        <v>185</v>
      </c>
      <c r="E2280" s="9">
        <v>272633.72386777401</v>
      </c>
      <c r="F2280" s="9">
        <v>256837.43817442199</v>
      </c>
      <c r="G2280" s="9">
        <v>273035.370644084</v>
      </c>
      <c r="H2280" s="9">
        <v>257130.676610817</v>
      </c>
      <c r="I2280" s="21">
        <f t="shared" si="70"/>
        <v>293.23843639501138</v>
      </c>
      <c r="J2280" s="21">
        <f t="shared" si="71"/>
        <v>401.64677630999358</v>
      </c>
    </row>
    <row r="2281" spans="1:10" hidden="1">
      <c r="A2281" t="s">
        <v>265</v>
      </c>
      <c r="B2281" t="s">
        <v>267</v>
      </c>
      <c r="C2281" s="18">
        <v>2038</v>
      </c>
      <c r="D2281" t="s">
        <v>188</v>
      </c>
      <c r="E2281" s="9">
        <v>705672.43126450398</v>
      </c>
      <c r="F2281" s="9">
        <v>419589.97214974102</v>
      </c>
      <c r="G2281" s="9">
        <v>708674.57496129896</v>
      </c>
      <c r="H2281" s="9">
        <v>420445.264129068</v>
      </c>
      <c r="I2281" s="21">
        <f t="shared" si="70"/>
        <v>855.29197932698298</v>
      </c>
      <c r="J2281" s="21">
        <f t="shared" si="71"/>
        <v>3002.1436967949849</v>
      </c>
    </row>
    <row r="2282" spans="1:10" hidden="1">
      <c r="A2282" t="s">
        <v>265</v>
      </c>
      <c r="B2282" t="s">
        <v>267</v>
      </c>
      <c r="C2282" s="18">
        <v>2038</v>
      </c>
      <c r="D2282" t="s">
        <v>191</v>
      </c>
      <c r="E2282" s="9">
        <v>359882.31663968798</v>
      </c>
      <c r="F2282" s="9">
        <v>189097.75803391499</v>
      </c>
      <c r="G2282" s="9">
        <v>360900.93527344998</v>
      </c>
      <c r="H2282" s="9">
        <v>189347.42226660499</v>
      </c>
      <c r="I2282" s="21">
        <f t="shared" si="70"/>
        <v>249.6642326900037</v>
      </c>
      <c r="J2282" s="21">
        <f t="shared" si="71"/>
        <v>1018.618633762002</v>
      </c>
    </row>
    <row r="2283" spans="1:10" hidden="1">
      <c r="A2283" t="s">
        <v>265</v>
      </c>
      <c r="B2283" t="s">
        <v>267</v>
      </c>
      <c r="C2283" s="18">
        <v>2038</v>
      </c>
      <c r="D2283" t="s">
        <v>422</v>
      </c>
      <c r="E2283" s="9">
        <v>36551.452219983301</v>
      </c>
      <c r="F2283" s="9">
        <v>3322.82261905417</v>
      </c>
      <c r="G2283" s="9">
        <v>36551.441257778999</v>
      </c>
      <c r="H2283" s="9">
        <v>3322.8215744210102</v>
      </c>
      <c r="I2283" s="21">
        <f t="shared" si="70"/>
        <v>-1.0446331598359393E-3</v>
      </c>
      <c r="J2283" s="21">
        <f t="shared" si="71"/>
        <v>-1.0962204301904421E-2</v>
      </c>
    </row>
    <row r="2284" spans="1:10" hidden="1">
      <c r="A2284" t="s">
        <v>265</v>
      </c>
      <c r="B2284" t="s">
        <v>267</v>
      </c>
      <c r="C2284" s="18">
        <v>2039</v>
      </c>
      <c r="D2284" t="s">
        <v>174</v>
      </c>
      <c r="E2284" s="9">
        <v>19177.388614427498</v>
      </c>
      <c r="F2284" s="9">
        <v>13517.7275873488</v>
      </c>
      <c r="G2284" s="9">
        <v>19174.345745902901</v>
      </c>
      <c r="H2284" s="9">
        <v>13516.7785061579</v>
      </c>
      <c r="I2284" s="21">
        <f t="shared" si="70"/>
        <v>-0.94908119089996035</v>
      </c>
      <c r="J2284" s="21">
        <f t="shared" si="71"/>
        <v>-3.0428685245969973</v>
      </c>
    </row>
    <row r="2285" spans="1:10" hidden="1">
      <c r="A2285" t="s">
        <v>265</v>
      </c>
      <c r="B2285" t="s">
        <v>267</v>
      </c>
      <c r="C2285" s="18">
        <v>2039</v>
      </c>
      <c r="D2285" t="s">
        <v>236</v>
      </c>
      <c r="E2285" s="9">
        <v>1203490.87789286</v>
      </c>
      <c r="F2285" s="9">
        <v>243312.186631305</v>
      </c>
      <c r="G2285" s="9">
        <v>1206925.78308321</v>
      </c>
      <c r="H2285" s="9">
        <v>243483.36403446301</v>
      </c>
      <c r="I2285" s="21">
        <f t="shared" si="70"/>
        <v>171.17740315801348</v>
      </c>
      <c r="J2285" s="21">
        <f t="shared" si="71"/>
        <v>3434.9051903500222</v>
      </c>
    </row>
    <row r="2286" spans="1:10" hidden="1">
      <c r="A2286" t="s">
        <v>265</v>
      </c>
      <c r="B2286" t="s">
        <v>267</v>
      </c>
      <c r="C2286" s="18">
        <v>2039</v>
      </c>
      <c r="D2286" t="s">
        <v>182</v>
      </c>
      <c r="E2286" s="9">
        <v>128017.608004858</v>
      </c>
      <c r="F2286" s="9">
        <v>83394.112204512596</v>
      </c>
      <c r="G2286" s="9">
        <v>128001.347826374</v>
      </c>
      <c r="H2286" s="9">
        <v>83389.180958792305</v>
      </c>
      <c r="I2286" s="21">
        <f t="shared" si="70"/>
        <v>-4.9312457202904625</v>
      </c>
      <c r="J2286" s="21">
        <f t="shared" si="71"/>
        <v>-16.260178484008065</v>
      </c>
    </row>
    <row r="2287" spans="1:10" hidden="1">
      <c r="A2287" t="s">
        <v>265</v>
      </c>
      <c r="B2287" t="s">
        <v>267</v>
      </c>
      <c r="C2287" s="18">
        <v>2039</v>
      </c>
      <c r="D2287" t="s">
        <v>185</v>
      </c>
      <c r="E2287" s="9">
        <v>272553.05241686798</v>
      </c>
      <c r="F2287" s="9">
        <v>257127.25811469401</v>
      </c>
      <c r="G2287" s="9">
        <v>272973.34550101002</v>
      </c>
      <c r="H2287" s="9">
        <v>257441.86914336999</v>
      </c>
      <c r="I2287" s="21">
        <f t="shared" si="70"/>
        <v>314.61102867597947</v>
      </c>
      <c r="J2287" s="21">
        <f t="shared" si="71"/>
        <v>420.29308414203115</v>
      </c>
    </row>
    <row r="2288" spans="1:10" hidden="1">
      <c r="A2288" t="s">
        <v>265</v>
      </c>
      <c r="B2288" t="s">
        <v>267</v>
      </c>
      <c r="C2288" s="18">
        <v>2039</v>
      </c>
      <c r="D2288" t="s">
        <v>188</v>
      </c>
      <c r="E2288" s="9">
        <v>712399.10084301804</v>
      </c>
      <c r="F2288" s="9">
        <v>427475.11667702702</v>
      </c>
      <c r="G2288" s="9">
        <v>715580.88708538504</v>
      </c>
      <c r="H2288" s="9">
        <v>428444.56848174502</v>
      </c>
      <c r="I2288" s="21">
        <f t="shared" si="70"/>
        <v>969.45180471800268</v>
      </c>
      <c r="J2288" s="21">
        <f t="shared" si="71"/>
        <v>3181.7862423670013</v>
      </c>
    </row>
    <row r="2289" spans="1:10" hidden="1">
      <c r="A2289" t="s">
        <v>265</v>
      </c>
      <c r="B2289" t="s">
        <v>267</v>
      </c>
      <c r="C2289" s="18">
        <v>2039</v>
      </c>
      <c r="D2289" t="s">
        <v>191</v>
      </c>
      <c r="E2289" s="9">
        <v>361894.82394682401</v>
      </c>
      <c r="F2289" s="9">
        <v>191650.197889275</v>
      </c>
      <c r="G2289" s="9">
        <v>362969.198365508</v>
      </c>
      <c r="H2289" s="9">
        <v>191929.610855123</v>
      </c>
      <c r="I2289" s="21">
        <f t="shared" si="70"/>
        <v>279.4129658479942</v>
      </c>
      <c r="J2289" s="21">
        <f t="shared" si="71"/>
        <v>1074.3744186839904</v>
      </c>
    </row>
    <row r="2290" spans="1:10" hidden="1">
      <c r="A2290" t="s">
        <v>265</v>
      </c>
      <c r="B2290" t="s">
        <v>267</v>
      </c>
      <c r="C2290" s="18">
        <v>2039</v>
      </c>
      <c r="D2290" t="s">
        <v>422</v>
      </c>
      <c r="E2290" s="9">
        <v>36178.235643311396</v>
      </c>
      <c r="F2290" s="9">
        <v>3198.02408223373</v>
      </c>
      <c r="G2290" s="9">
        <v>36178.223844718399</v>
      </c>
      <c r="H2290" s="9">
        <v>3198.0230538302199</v>
      </c>
      <c r="I2290" s="21">
        <f t="shared" si="70"/>
        <v>-1.028403510190401E-3</v>
      </c>
      <c r="J2290" s="21">
        <f t="shared" si="71"/>
        <v>-1.1798592997365631E-2</v>
      </c>
    </row>
    <row r="2291" spans="1:10" hidden="1">
      <c r="A2291" t="s">
        <v>265</v>
      </c>
      <c r="B2291" t="s">
        <v>267</v>
      </c>
      <c r="C2291" s="18">
        <v>2040</v>
      </c>
      <c r="D2291" t="s">
        <v>174</v>
      </c>
      <c r="E2291" s="9">
        <v>19809.208350587502</v>
      </c>
      <c r="F2291" s="9">
        <v>13880.8808789922</v>
      </c>
      <c r="G2291" s="9">
        <v>19805.505805764798</v>
      </c>
      <c r="H2291" s="9">
        <v>13879.6732870407</v>
      </c>
      <c r="I2291" s="21">
        <f t="shared" si="70"/>
        <v>-1.2075919515009446</v>
      </c>
      <c r="J2291" s="21">
        <f t="shared" si="71"/>
        <v>-3.702544822703203</v>
      </c>
    </row>
    <row r="2292" spans="1:10" hidden="1">
      <c r="A2292" t="s">
        <v>265</v>
      </c>
      <c r="B2292" t="s">
        <v>267</v>
      </c>
      <c r="C2292" s="18">
        <v>2040</v>
      </c>
      <c r="D2292" t="s">
        <v>236</v>
      </c>
      <c r="E2292" s="9">
        <v>1213420.45344433</v>
      </c>
      <c r="F2292" s="9">
        <v>251394.16934804499</v>
      </c>
      <c r="G2292" s="9">
        <v>1217029.49333677</v>
      </c>
      <c r="H2292" s="9">
        <v>251591.89866486701</v>
      </c>
      <c r="I2292" s="21">
        <f t="shared" si="70"/>
        <v>197.72931682202034</v>
      </c>
      <c r="J2292" s="21">
        <f t="shared" si="71"/>
        <v>3609.0398924399633</v>
      </c>
    </row>
    <row r="2293" spans="1:10" hidden="1">
      <c r="A2293" t="s">
        <v>265</v>
      </c>
      <c r="B2293" t="s">
        <v>267</v>
      </c>
      <c r="C2293" s="18">
        <v>2040</v>
      </c>
      <c r="D2293" t="s">
        <v>182</v>
      </c>
      <c r="E2293" s="9">
        <v>130098.370443433</v>
      </c>
      <c r="F2293" s="9">
        <v>84437.995121874395</v>
      </c>
      <c r="G2293" s="9">
        <v>130079.117811465</v>
      </c>
      <c r="H2293" s="9">
        <v>84431.891175836907</v>
      </c>
      <c r="I2293" s="21">
        <f t="shared" si="70"/>
        <v>-6.1039460374886403</v>
      </c>
      <c r="J2293" s="21">
        <f t="shared" si="71"/>
        <v>-19.252631968003698</v>
      </c>
    </row>
    <row r="2294" spans="1:10" hidden="1">
      <c r="A2294" t="s">
        <v>265</v>
      </c>
      <c r="B2294" t="s">
        <v>267</v>
      </c>
      <c r="C2294" s="18">
        <v>2040</v>
      </c>
      <c r="D2294" t="s">
        <v>185</v>
      </c>
      <c r="E2294" s="9">
        <v>272335.72821635503</v>
      </c>
      <c r="F2294" s="9">
        <v>257117.42659782001</v>
      </c>
      <c r="G2294" s="9">
        <v>272772.69297753199</v>
      </c>
      <c r="H2294" s="9">
        <v>257451.80463236</v>
      </c>
      <c r="I2294" s="21">
        <f t="shared" si="70"/>
        <v>334.3780345399864</v>
      </c>
      <c r="J2294" s="21">
        <f t="shared" si="71"/>
        <v>436.96476117696147</v>
      </c>
    </row>
    <row r="2295" spans="1:10" hidden="1">
      <c r="A2295" t="s">
        <v>265</v>
      </c>
      <c r="B2295" t="s">
        <v>267</v>
      </c>
      <c r="C2295" s="18">
        <v>2040</v>
      </c>
      <c r="D2295" t="s">
        <v>188</v>
      </c>
      <c r="E2295" s="9">
        <v>721692.73401711404</v>
      </c>
      <c r="F2295" s="9">
        <v>434123.86629834998</v>
      </c>
      <c r="G2295" s="9">
        <v>725057.85135654395</v>
      </c>
      <c r="H2295" s="9">
        <v>435208.84098996199</v>
      </c>
      <c r="I2295" s="21">
        <f t="shared" si="70"/>
        <v>1084.9746916120057</v>
      </c>
      <c r="J2295" s="21">
        <f t="shared" si="71"/>
        <v>3365.1173394299112</v>
      </c>
    </row>
    <row r="2296" spans="1:10" hidden="1">
      <c r="A2296" t="s">
        <v>265</v>
      </c>
      <c r="B2296" t="s">
        <v>267</v>
      </c>
      <c r="C2296" s="18">
        <v>2040</v>
      </c>
      <c r="D2296" t="s">
        <v>191</v>
      </c>
      <c r="E2296" s="9">
        <v>365581.83055557101</v>
      </c>
      <c r="F2296" s="9">
        <v>193543.925335376</v>
      </c>
      <c r="G2296" s="9">
        <v>366714.04580788402</v>
      </c>
      <c r="H2296" s="9">
        <v>193853.25074776399</v>
      </c>
      <c r="I2296" s="21">
        <f t="shared" si="70"/>
        <v>309.32541238798876</v>
      </c>
      <c r="J2296" s="21">
        <f t="shared" si="71"/>
        <v>1132.2152523130062</v>
      </c>
    </row>
    <row r="2297" spans="1:10" hidden="1">
      <c r="A2297" t="s">
        <v>265</v>
      </c>
      <c r="B2297" t="s">
        <v>267</v>
      </c>
      <c r="C2297" s="18">
        <v>2040</v>
      </c>
      <c r="D2297" t="s">
        <v>422</v>
      </c>
      <c r="E2297" s="9">
        <v>36005.040475336398</v>
      </c>
      <c r="F2297" s="9">
        <v>3069.2529061113901</v>
      </c>
      <c r="G2297" s="9">
        <v>36005.028086341903</v>
      </c>
      <c r="H2297" s="9">
        <v>3069.2518935015801</v>
      </c>
      <c r="I2297" s="21">
        <f t="shared" si="70"/>
        <v>-1.0126098100045056E-3</v>
      </c>
      <c r="J2297" s="21">
        <f t="shared" si="71"/>
        <v>-1.238899449526798E-2</v>
      </c>
    </row>
    <row r="2298" spans="1:10" hidden="1">
      <c r="A2298" t="s">
        <v>265</v>
      </c>
      <c r="B2298" t="s">
        <v>267</v>
      </c>
      <c r="C2298" s="18">
        <v>2041</v>
      </c>
      <c r="D2298" t="s">
        <v>174</v>
      </c>
      <c r="E2298" s="9">
        <v>20458.073233627802</v>
      </c>
      <c r="F2298" s="9">
        <v>14251.043675503101</v>
      </c>
      <c r="G2298" s="9">
        <v>20453.6267543422</v>
      </c>
      <c r="H2298" s="9">
        <v>14249.536455216699</v>
      </c>
      <c r="I2298" s="21">
        <f t="shared" si="70"/>
        <v>-1.507220286401207</v>
      </c>
      <c r="J2298" s="21">
        <f t="shared" si="71"/>
        <v>-4.4464792856015265</v>
      </c>
    </row>
    <row r="2299" spans="1:10" hidden="1">
      <c r="A2299" t="s">
        <v>265</v>
      </c>
      <c r="B2299" t="s">
        <v>267</v>
      </c>
      <c r="C2299" s="18">
        <v>2041</v>
      </c>
      <c r="D2299" t="s">
        <v>236</v>
      </c>
      <c r="E2299" s="9">
        <v>1222853.16813287</v>
      </c>
      <c r="F2299" s="9">
        <v>259451.39798144999</v>
      </c>
      <c r="G2299" s="9">
        <v>1226624.8107670301</v>
      </c>
      <c r="H2299" s="9">
        <v>259677.195752453</v>
      </c>
      <c r="I2299" s="21">
        <f t="shared" si="70"/>
        <v>225.79777100300998</v>
      </c>
      <c r="J2299" s="21">
        <f t="shared" si="71"/>
        <v>3771.6426341601182</v>
      </c>
    </row>
    <row r="2300" spans="1:10" hidden="1">
      <c r="A2300" t="s">
        <v>265</v>
      </c>
      <c r="B2300" t="s">
        <v>267</v>
      </c>
      <c r="C2300" s="18">
        <v>2041</v>
      </c>
      <c r="D2300" t="s">
        <v>182</v>
      </c>
      <c r="E2300" s="9">
        <v>132252.099705195</v>
      </c>
      <c r="F2300" s="9">
        <v>85539.740976118206</v>
      </c>
      <c r="G2300" s="9">
        <v>132229.629710176</v>
      </c>
      <c r="H2300" s="9">
        <v>85532.319590607702</v>
      </c>
      <c r="I2300" s="21">
        <f t="shared" si="70"/>
        <v>-7.4213855105044786</v>
      </c>
      <c r="J2300" s="21">
        <f t="shared" si="71"/>
        <v>-22.469995018996997</v>
      </c>
    </row>
    <row r="2301" spans="1:10" hidden="1">
      <c r="A2301" t="s">
        <v>265</v>
      </c>
      <c r="B2301" t="s">
        <v>267</v>
      </c>
      <c r="C2301" s="18">
        <v>2041</v>
      </c>
      <c r="D2301" t="s">
        <v>185</v>
      </c>
      <c r="E2301" s="9">
        <v>272159.68824954203</v>
      </c>
      <c r="F2301" s="9">
        <v>257037.033453443</v>
      </c>
      <c r="G2301" s="9">
        <v>272611.75367129099</v>
      </c>
      <c r="H2301" s="9">
        <v>257389.63175428601</v>
      </c>
      <c r="I2301" s="21">
        <f t="shared" si="70"/>
        <v>352.59830084300484</v>
      </c>
      <c r="J2301" s="21">
        <f t="shared" si="71"/>
        <v>452.06542174896458</v>
      </c>
    </row>
    <row r="2302" spans="1:10" hidden="1">
      <c r="A2302" t="s">
        <v>265</v>
      </c>
      <c r="B2302" t="s">
        <v>267</v>
      </c>
      <c r="C2302" s="18">
        <v>2041</v>
      </c>
      <c r="D2302" t="s">
        <v>188</v>
      </c>
      <c r="E2302" s="9">
        <v>731085.74177047703</v>
      </c>
      <c r="F2302" s="9">
        <v>441122.10652497999</v>
      </c>
      <c r="G2302" s="9">
        <v>734627.74007540499</v>
      </c>
      <c r="H2302" s="9">
        <v>442324.30640679202</v>
      </c>
      <c r="I2302" s="21">
        <f t="shared" si="70"/>
        <v>1202.1998818120337</v>
      </c>
      <c r="J2302" s="21">
        <f t="shared" si="71"/>
        <v>3541.9983049279545</v>
      </c>
    </row>
    <row r="2303" spans="1:10" hidden="1">
      <c r="A2303" t="s">
        <v>265</v>
      </c>
      <c r="B2303" t="s">
        <v>267</v>
      </c>
      <c r="C2303" s="18">
        <v>2041</v>
      </c>
      <c r="D2303" t="s">
        <v>191</v>
      </c>
      <c r="E2303" s="9">
        <v>369249.63977944601</v>
      </c>
      <c r="F2303" s="9">
        <v>195587.44866702901</v>
      </c>
      <c r="G2303" s="9">
        <v>370436.97560679301</v>
      </c>
      <c r="H2303" s="9">
        <v>195926.90720139601</v>
      </c>
      <c r="I2303" s="21">
        <f t="shared" si="70"/>
        <v>339.45853436700418</v>
      </c>
      <c r="J2303" s="21">
        <f t="shared" si="71"/>
        <v>1187.3358273470076</v>
      </c>
    </row>
    <row r="2304" spans="1:10" hidden="1">
      <c r="A2304" t="s">
        <v>265</v>
      </c>
      <c r="B2304" t="s">
        <v>267</v>
      </c>
      <c r="C2304" s="18">
        <v>2041</v>
      </c>
      <c r="D2304" t="s">
        <v>422</v>
      </c>
      <c r="E2304" s="9">
        <v>35900.7779234263</v>
      </c>
      <c r="F2304" s="9">
        <v>2944.0165163718798</v>
      </c>
      <c r="G2304" s="9">
        <v>35900.765054072101</v>
      </c>
      <c r="H2304" s="9">
        <v>2944.01552271229</v>
      </c>
      <c r="I2304" s="21">
        <f t="shared" si="70"/>
        <v>-9.936595897670486E-4</v>
      </c>
      <c r="J2304" s="21">
        <f t="shared" si="71"/>
        <v>-1.2869354199210647E-2</v>
      </c>
    </row>
    <row r="2305" spans="1:10" hidden="1">
      <c r="A2305" t="s">
        <v>265</v>
      </c>
      <c r="B2305" t="s">
        <v>267</v>
      </c>
      <c r="C2305" s="18">
        <v>2042</v>
      </c>
      <c r="D2305" t="s">
        <v>174</v>
      </c>
      <c r="E2305" s="9">
        <v>21120.8602492768</v>
      </c>
      <c r="F2305" s="9">
        <v>14628.1704561897</v>
      </c>
      <c r="G2305" s="9">
        <v>21115.581702688502</v>
      </c>
      <c r="H2305" s="9">
        <v>14626.319006600401</v>
      </c>
      <c r="I2305" s="21">
        <f t="shared" si="70"/>
        <v>-1.851449589299591</v>
      </c>
      <c r="J2305" s="21">
        <f t="shared" si="71"/>
        <v>-5.2785465882989229</v>
      </c>
    </row>
    <row r="2306" spans="1:10" hidden="1">
      <c r="A2306" t="s">
        <v>265</v>
      </c>
      <c r="B2306" t="s">
        <v>267</v>
      </c>
      <c r="C2306" s="18">
        <v>2042</v>
      </c>
      <c r="D2306" t="s">
        <v>236</v>
      </c>
      <c r="E2306" s="9">
        <v>1231780.71037201</v>
      </c>
      <c r="F2306" s="9">
        <v>267523.40790962899</v>
      </c>
      <c r="G2306" s="9">
        <v>1235703.75022274</v>
      </c>
      <c r="H2306" s="9">
        <v>267778.732534162</v>
      </c>
      <c r="I2306" s="21">
        <f t="shared" ref="I2306:I2369" si="72">H2306-F2306</f>
        <v>255.32462453300832</v>
      </c>
      <c r="J2306" s="21">
        <f t="shared" ref="J2306:J2369" si="73">G2306-E2306</f>
        <v>3923.0398507299833</v>
      </c>
    </row>
    <row r="2307" spans="1:10" hidden="1">
      <c r="A2307" t="s">
        <v>265</v>
      </c>
      <c r="B2307" t="s">
        <v>267</v>
      </c>
      <c r="C2307" s="18">
        <v>2042</v>
      </c>
      <c r="D2307" t="s">
        <v>182</v>
      </c>
      <c r="E2307" s="9">
        <v>134377.782981122</v>
      </c>
      <c r="F2307" s="9">
        <v>86666.200121680697</v>
      </c>
      <c r="G2307" s="9">
        <v>134351.62604870801</v>
      </c>
      <c r="H2307" s="9">
        <v>86657.313221329707</v>
      </c>
      <c r="I2307" s="21">
        <f t="shared" si="72"/>
        <v>-8.8869003509898903</v>
      </c>
      <c r="J2307" s="21">
        <f t="shared" si="73"/>
        <v>-26.156932413985487</v>
      </c>
    </row>
    <row r="2308" spans="1:10" hidden="1">
      <c r="A2308" t="s">
        <v>265</v>
      </c>
      <c r="B2308" t="s">
        <v>267</v>
      </c>
      <c r="C2308" s="18">
        <v>2042</v>
      </c>
      <c r="D2308" t="s">
        <v>185</v>
      </c>
      <c r="E2308" s="9">
        <v>271815.32196065498</v>
      </c>
      <c r="F2308" s="9">
        <v>256829.069711813</v>
      </c>
      <c r="G2308" s="9">
        <v>272280.658720601</v>
      </c>
      <c r="H2308" s="9">
        <v>257198.34975601899</v>
      </c>
      <c r="I2308" s="21">
        <f t="shared" si="72"/>
        <v>369.28004420598154</v>
      </c>
      <c r="J2308" s="21">
        <f t="shared" si="73"/>
        <v>465.33675994601799</v>
      </c>
    </row>
    <row r="2309" spans="1:10" hidden="1">
      <c r="A2309" t="s">
        <v>265</v>
      </c>
      <c r="B2309" t="s">
        <v>267</v>
      </c>
      <c r="C2309" s="18">
        <v>2042</v>
      </c>
      <c r="D2309" t="s">
        <v>188</v>
      </c>
      <c r="E2309" s="9">
        <v>740602.03324721602</v>
      </c>
      <c r="F2309" s="9">
        <v>448280.97911334102</v>
      </c>
      <c r="G2309" s="9">
        <v>744313.272667757</v>
      </c>
      <c r="H2309" s="9">
        <v>449601.26122749498</v>
      </c>
      <c r="I2309" s="21">
        <f t="shared" si="72"/>
        <v>1320.2821141539607</v>
      </c>
      <c r="J2309" s="21">
        <f t="shared" si="73"/>
        <v>3711.2394205409801</v>
      </c>
    </row>
    <row r="2310" spans="1:10" hidden="1">
      <c r="A2310" t="s">
        <v>265</v>
      </c>
      <c r="B2310" t="s">
        <v>267</v>
      </c>
      <c r="C2310" s="18">
        <v>2042</v>
      </c>
      <c r="D2310" t="s">
        <v>191</v>
      </c>
      <c r="E2310" s="9">
        <v>373179.32979448902</v>
      </c>
      <c r="F2310" s="9">
        <v>197712.95567139899</v>
      </c>
      <c r="G2310" s="9">
        <v>374419.26204563602</v>
      </c>
      <c r="H2310" s="9">
        <v>198082.81410371399</v>
      </c>
      <c r="I2310" s="21">
        <f t="shared" si="72"/>
        <v>369.85843231499894</v>
      </c>
      <c r="J2310" s="21">
        <f t="shared" si="73"/>
        <v>1239.9322511469945</v>
      </c>
    </row>
    <row r="2311" spans="1:10" hidden="1">
      <c r="A2311" t="s">
        <v>265</v>
      </c>
      <c r="B2311" t="s">
        <v>267</v>
      </c>
      <c r="C2311" s="18">
        <v>2042</v>
      </c>
      <c r="D2311" t="s">
        <v>422</v>
      </c>
      <c r="E2311" s="9">
        <v>35516.853819627999</v>
      </c>
      <c r="F2311" s="9">
        <v>2820.5131802441601</v>
      </c>
      <c r="G2311" s="9">
        <v>35516.840593533198</v>
      </c>
      <c r="H2311" s="9">
        <v>2820.5122126446799</v>
      </c>
      <c r="I2311" s="21">
        <f t="shared" si="72"/>
        <v>-9.6759948019098374E-4</v>
      </c>
      <c r="J2311" s="21">
        <f t="shared" si="73"/>
        <v>-1.322609480121173E-2</v>
      </c>
    </row>
    <row r="2312" spans="1:10" hidden="1">
      <c r="A2312" t="s">
        <v>265</v>
      </c>
      <c r="B2312" t="s">
        <v>267</v>
      </c>
      <c r="C2312" s="18">
        <v>2043</v>
      </c>
      <c r="D2312" t="s">
        <v>174</v>
      </c>
      <c r="E2312" s="9">
        <v>21795.328036544699</v>
      </c>
      <c r="F2312" s="9">
        <v>15006.330199893</v>
      </c>
      <c r="G2312" s="9">
        <v>21789.125656033499</v>
      </c>
      <c r="H2312" s="9">
        <v>15004.086115812899</v>
      </c>
      <c r="I2312" s="21">
        <f t="shared" si="72"/>
        <v>-2.2440840801009472</v>
      </c>
      <c r="J2312" s="21">
        <f t="shared" si="73"/>
        <v>-6.2023805112003174</v>
      </c>
    </row>
    <row r="2313" spans="1:10" hidden="1">
      <c r="A2313" t="s">
        <v>265</v>
      </c>
      <c r="B2313" t="s">
        <v>267</v>
      </c>
      <c r="C2313" s="18">
        <v>2043</v>
      </c>
      <c r="D2313" t="s">
        <v>236</v>
      </c>
      <c r="E2313" s="9">
        <v>1240183.00173605</v>
      </c>
      <c r="F2313" s="9">
        <v>275590.79430419498</v>
      </c>
      <c r="G2313" s="9">
        <v>1244246.5115360599</v>
      </c>
      <c r="H2313" s="9">
        <v>275876.99548631802</v>
      </c>
      <c r="I2313" s="21">
        <f t="shared" si="72"/>
        <v>286.20118212304078</v>
      </c>
      <c r="J2313" s="21">
        <f t="shared" si="73"/>
        <v>4063.5098000098951</v>
      </c>
    </row>
    <row r="2314" spans="1:10" hidden="1">
      <c r="A2314" t="s">
        <v>265</v>
      </c>
      <c r="B2314" t="s">
        <v>267</v>
      </c>
      <c r="C2314" s="18">
        <v>2043</v>
      </c>
      <c r="D2314" t="s">
        <v>182</v>
      </c>
      <c r="E2314" s="9">
        <v>136632.05316792801</v>
      </c>
      <c r="F2314" s="9">
        <v>87789.539035272304</v>
      </c>
      <c r="G2314" s="9">
        <v>136601.974960575</v>
      </c>
      <c r="H2314" s="9">
        <v>87779.034425801001</v>
      </c>
      <c r="I2314" s="21">
        <f t="shared" si="72"/>
        <v>-10.504609471303411</v>
      </c>
      <c r="J2314" s="21">
        <f t="shared" si="73"/>
        <v>-30.078207353013568</v>
      </c>
    </row>
    <row r="2315" spans="1:10" hidden="1">
      <c r="A2315" t="s">
        <v>265</v>
      </c>
      <c r="B2315" t="s">
        <v>267</v>
      </c>
      <c r="C2315" s="18">
        <v>2043</v>
      </c>
      <c r="D2315" t="s">
        <v>185</v>
      </c>
      <c r="E2315" s="9">
        <v>271213.10528224299</v>
      </c>
      <c r="F2315" s="9">
        <v>256393.323297639</v>
      </c>
      <c r="G2315" s="9">
        <v>271689.79422675102</v>
      </c>
      <c r="H2315" s="9">
        <v>256777.58715706799</v>
      </c>
      <c r="I2315" s="21">
        <f t="shared" si="72"/>
        <v>384.26385942898924</v>
      </c>
      <c r="J2315" s="21">
        <f t="shared" si="73"/>
        <v>476.68894450803054</v>
      </c>
    </row>
    <row r="2316" spans="1:10" hidden="1">
      <c r="A2316" t="s">
        <v>265</v>
      </c>
      <c r="B2316" t="s">
        <v>267</v>
      </c>
      <c r="C2316" s="18">
        <v>2043</v>
      </c>
      <c r="D2316" t="s">
        <v>188</v>
      </c>
      <c r="E2316" s="9">
        <v>750494.80847662</v>
      </c>
      <c r="F2316" s="9">
        <v>455477.998471628</v>
      </c>
      <c r="G2316" s="9">
        <v>754370.89241350198</v>
      </c>
      <c r="H2316" s="9">
        <v>456915.72204617201</v>
      </c>
      <c r="I2316" s="21">
        <f t="shared" si="72"/>
        <v>1437.7235745440121</v>
      </c>
      <c r="J2316" s="21">
        <f t="shared" si="73"/>
        <v>3876.0839368819725</v>
      </c>
    </row>
    <row r="2317" spans="1:10" hidden="1">
      <c r="A2317" t="s">
        <v>265</v>
      </c>
      <c r="B2317" t="s">
        <v>267</v>
      </c>
      <c r="C2317" s="18">
        <v>2043</v>
      </c>
      <c r="D2317" t="s">
        <v>191</v>
      </c>
      <c r="E2317" s="9">
        <v>377475.00349517597</v>
      </c>
      <c r="F2317" s="9">
        <v>199804.23507368701</v>
      </c>
      <c r="G2317" s="9">
        <v>378766.53451535699</v>
      </c>
      <c r="H2317" s="9">
        <v>200204.274251736</v>
      </c>
      <c r="I2317" s="21">
        <f t="shared" si="72"/>
        <v>400.03917804898811</v>
      </c>
      <c r="J2317" s="21">
        <f t="shared" si="73"/>
        <v>1291.5310201810207</v>
      </c>
    </row>
    <row r="2318" spans="1:10" hidden="1">
      <c r="A2318" t="s">
        <v>265</v>
      </c>
      <c r="B2318" t="s">
        <v>267</v>
      </c>
      <c r="C2318" s="18">
        <v>2043</v>
      </c>
      <c r="D2318" t="s">
        <v>422</v>
      </c>
      <c r="E2318" s="9">
        <v>35328.785901527102</v>
      </c>
      <c r="F2318" s="9">
        <v>2698.3318638882702</v>
      </c>
      <c r="G2318" s="9">
        <v>35328.773203308199</v>
      </c>
      <c r="H2318" s="9">
        <v>2698.3309296050402</v>
      </c>
      <c r="I2318" s="21">
        <f t="shared" si="72"/>
        <v>-9.3428322998079238E-4</v>
      </c>
      <c r="J2318" s="21">
        <f t="shared" si="73"/>
        <v>-1.2698218903096858E-2</v>
      </c>
    </row>
    <row r="2319" spans="1:10" hidden="1">
      <c r="A2319" t="s">
        <v>265</v>
      </c>
      <c r="B2319" t="s">
        <v>267</v>
      </c>
      <c r="C2319" s="18">
        <v>2044</v>
      </c>
      <c r="D2319" t="s">
        <v>174</v>
      </c>
      <c r="E2319" s="9">
        <v>22479.627073822401</v>
      </c>
      <c r="F2319" s="9">
        <v>15391.325745412199</v>
      </c>
      <c r="G2319" s="9">
        <v>22472.405778779801</v>
      </c>
      <c r="H2319" s="9">
        <v>15388.638261887199</v>
      </c>
      <c r="I2319" s="21">
        <f t="shared" si="72"/>
        <v>-2.6874835250000615</v>
      </c>
      <c r="J2319" s="21">
        <f t="shared" si="73"/>
        <v>-7.2212950426001044</v>
      </c>
    </row>
    <row r="2320" spans="1:10" hidden="1">
      <c r="A2320" t="s">
        <v>265</v>
      </c>
      <c r="B2320" t="s">
        <v>267</v>
      </c>
      <c r="C2320" s="18">
        <v>2044</v>
      </c>
      <c r="D2320" t="s">
        <v>236</v>
      </c>
      <c r="E2320" s="9">
        <v>1248325.37319802</v>
      </c>
      <c r="F2320" s="9">
        <v>283583.71521823399</v>
      </c>
      <c r="G2320" s="9">
        <v>1252519.7576166999</v>
      </c>
      <c r="H2320" s="9">
        <v>283902.05041687097</v>
      </c>
      <c r="I2320" s="21">
        <f t="shared" si="72"/>
        <v>318.33519863698166</v>
      </c>
      <c r="J2320" s="21">
        <f t="shared" si="73"/>
        <v>4194.3844186798669</v>
      </c>
    </row>
    <row r="2321" spans="1:10" hidden="1">
      <c r="A2321" t="s">
        <v>265</v>
      </c>
      <c r="B2321" t="s">
        <v>267</v>
      </c>
      <c r="C2321" s="18">
        <v>2044</v>
      </c>
      <c r="D2321" t="s">
        <v>182</v>
      </c>
      <c r="E2321" s="9">
        <v>138161.83360199901</v>
      </c>
      <c r="F2321" s="9">
        <v>88924.718219038696</v>
      </c>
      <c r="G2321" s="9">
        <v>138127.80749224901</v>
      </c>
      <c r="H2321" s="9">
        <v>88912.446286897801</v>
      </c>
      <c r="I2321" s="21">
        <f t="shared" si="72"/>
        <v>-12.271932140894933</v>
      </c>
      <c r="J2321" s="21">
        <f t="shared" si="73"/>
        <v>-34.026109750004252</v>
      </c>
    </row>
    <row r="2322" spans="1:10" hidden="1">
      <c r="A2322" t="s">
        <v>265</v>
      </c>
      <c r="B2322" t="s">
        <v>267</v>
      </c>
      <c r="C2322" s="18">
        <v>2044</v>
      </c>
      <c r="D2322" t="s">
        <v>185</v>
      </c>
      <c r="E2322" s="9">
        <v>270494.586647738</v>
      </c>
      <c r="F2322" s="9">
        <v>256038.48093551601</v>
      </c>
      <c r="G2322" s="9">
        <v>270981.060601887</v>
      </c>
      <c r="H2322" s="9">
        <v>256436.399818879</v>
      </c>
      <c r="I2322" s="21">
        <f t="shared" si="72"/>
        <v>397.91888336298871</v>
      </c>
      <c r="J2322" s="21">
        <f t="shared" si="73"/>
        <v>486.47395414899802</v>
      </c>
    </row>
    <row r="2323" spans="1:10" hidden="1">
      <c r="A2323" t="s">
        <v>265</v>
      </c>
      <c r="B2323" t="s">
        <v>267</v>
      </c>
      <c r="C2323" s="18">
        <v>2044</v>
      </c>
      <c r="D2323" t="s">
        <v>188</v>
      </c>
      <c r="E2323" s="9">
        <v>756736.08222149895</v>
      </c>
      <c r="F2323" s="9">
        <v>462682.01697169902</v>
      </c>
      <c r="G2323" s="9">
        <v>760751.52916181902</v>
      </c>
      <c r="H2323" s="9">
        <v>464236.62382849702</v>
      </c>
      <c r="I2323" s="21">
        <f t="shared" si="72"/>
        <v>1554.6068567979964</v>
      </c>
      <c r="J2323" s="21">
        <f t="shared" si="73"/>
        <v>4015.4469403200783</v>
      </c>
    </row>
    <row r="2324" spans="1:10" hidden="1">
      <c r="A2324" t="s">
        <v>265</v>
      </c>
      <c r="B2324" t="s">
        <v>267</v>
      </c>
      <c r="C2324" s="18">
        <v>2044</v>
      </c>
      <c r="D2324" t="s">
        <v>191</v>
      </c>
      <c r="E2324" s="9">
        <v>379422.15136891801</v>
      </c>
      <c r="F2324" s="9">
        <v>202332.57631270701</v>
      </c>
      <c r="G2324" s="9">
        <v>380754.51437457599</v>
      </c>
      <c r="H2324" s="9">
        <v>202762.43540540201</v>
      </c>
      <c r="I2324" s="21">
        <f t="shared" si="72"/>
        <v>429.85909269499825</v>
      </c>
      <c r="J2324" s="21">
        <f t="shared" si="73"/>
        <v>1332.3630056579714</v>
      </c>
    </row>
    <row r="2325" spans="1:10" hidden="1">
      <c r="A2325" t="s">
        <v>265</v>
      </c>
      <c r="B2325" t="s">
        <v>267</v>
      </c>
      <c r="C2325" s="18">
        <v>2044</v>
      </c>
      <c r="D2325" t="s">
        <v>422</v>
      </c>
      <c r="E2325" s="9">
        <v>35046.714485511402</v>
      </c>
      <c r="F2325" s="9">
        <v>2573.7934299176</v>
      </c>
      <c r="G2325" s="9">
        <v>35046.705207959298</v>
      </c>
      <c r="H2325" s="9">
        <v>2573.7926243052102</v>
      </c>
      <c r="I2325" s="21">
        <f t="shared" si="72"/>
        <v>-8.0561238974041771E-4</v>
      </c>
      <c r="J2325" s="21">
        <f t="shared" si="73"/>
        <v>-9.2775521043222398E-3</v>
      </c>
    </row>
    <row r="2326" spans="1:10" hidden="1">
      <c r="A2326" t="s">
        <v>265</v>
      </c>
      <c r="B2326" t="s">
        <v>267</v>
      </c>
      <c r="C2326" s="18">
        <v>2045</v>
      </c>
      <c r="D2326" t="s">
        <v>174</v>
      </c>
      <c r="E2326" s="9">
        <v>23175.285718629799</v>
      </c>
      <c r="F2326" s="9">
        <v>15774.898955774501</v>
      </c>
      <c r="G2326" s="9">
        <v>23166.945688051499</v>
      </c>
      <c r="H2326" s="9">
        <v>15771.7189092791</v>
      </c>
      <c r="I2326" s="21">
        <f t="shared" si="72"/>
        <v>-3.1800464954012568</v>
      </c>
      <c r="J2326" s="21">
        <f t="shared" si="73"/>
        <v>-8.3400305782997748</v>
      </c>
    </row>
    <row r="2327" spans="1:10" hidden="1">
      <c r="A2327" t="s">
        <v>265</v>
      </c>
      <c r="B2327" t="s">
        <v>267</v>
      </c>
      <c r="C2327" s="18">
        <v>2045</v>
      </c>
      <c r="D2327" t="s">
        <v>236</v>
      </c>
      <c r="E2327" s="9">
        <v>1256276.64013695</v>
      </c>
      <c r="F2327" s="9">
        <v>291470.41581280198</v>
      </c>
      <c r="G2327" s="9">
        <v>1260592.98702146</v>
      </c>
      <c r="H2327" s="9">
        <v>291822.02754025703</v>
      </c>
      <c r="I2327" s="21">
        <f t="shared" si="72"/>
        <v>351.61172745504882</v>
      </c>
      <c r="J2327" s="21">
        <f t="shared" si="73"/>
        <v>4316.3468845100142</v>
      </c>
    </row>
    <row r="2328" spans="1:10" hidden="1">
      <c r="A2328" t="s">
        <v>265</v>
      </c>
      <c r="B2328" t="s">
        <v>267</v>
      </c>
      <c r="C2328" s="18">
        <v>2045</v>
      </c>
      <c r="D2328" t="s">
        <v>182</v>
      </c>
      <c r="E2328" s="9">
        <v>140211.08837763601</v>
      </c>
      <c r="F2328" s="9">
        <v>90055.785299964395</v>
      </c>
      <c r="G2328" s="9">
        <v>140172.77481552499</v>
      </c>
      <c r="H2328" s="9">
        <v>90041.604590588802</v>
      </c>
      <c r="I2328" s="21">
        <f t="shared" si="72"/>
        <v>-14.180709375592414</v>
      </c>
      <c r="J2328" s="21">
        <f t="shared" si="73"/>
        <v>-38.31356211102684</v>
      </c>
    </row>
    <row r="2329" spans="1:10" hidden="1">
      <c r="A2329" t="s">
        <v>265</v>
      </c>
      <c r="B2329" t="s">
        <v>267</v>
      </c>
      <c r="C2329" s="18">
        <v>2045</v>
      </c>
      <c r="D2329" t="s">
        <v>185</v>
      </c>
      <c r="E2329" s="9">
        <v>269943.28039649001</v>
      </c>
      <c r="F2329" s="9">
        <v>255566.66611596601</v>
      </c>
      <c r="G2329" s="9">
        <v>270438.60315228201</v>
      </c>
      <c r="H2329" s="9">
        <v>255976.90811330499</v>
      </c>
      <c r="I2329" s="21">
        <f t="shared" si="72"/>
        <v>410.24199733897694</v>
      </c>
      <c r="J2329" s="21">
        <f t="shared" si="73"/>
        <v>495.32275579200359</v>
      </c>
    </row>
    <row r="2330" spans="1:10" hidden="1">
      <c r="A2330" t="s">
        <v>265</v>
      </c>
      <c r="B2330" t="s">
        <v>267</v>
      </c>
      <c r="C2330" s="18">
        <v>2045</v>
      </c>
      <c r="D2330" t="s">
        <v>188</v>
      </c>
      <c r="E2330" s="9">
        <v>765153.35514769994</v>
      </c>
      <c r="F2330" s="9">
        <v>469249.57838112401</v>
      </c>
      <c r="G2330" s="9">
        <v>769313.803212411</v>
      </c>
      <c r="H2330" s="9">
        <v>470920.29436777002</v>
      </c>
      <c r="I2330" s="21">
        <f t="shared" si="72"/>
        <v>1670.7159866460133</v>
      </c>
      <c r="J2330" s="21">
        <f t="shared" si="73"/>
        <v>4160.4480647110613</v>
      </c>
    </row>
    <row r="2331" spans="1:10" hidden="1">
      <c r="A2331" t="s">
        <v>265</v>
      </c>
      <c r="B2331" t="s">
        <v>267</v>
      </c>
      <c r="C2331" s="18">
        <v>2045</v>
      </c>
      <c r="D2331" t="s">
        <v>191</v>
      </c>
      <c r="E2331" s="9">
        <v>382560.93093017698</v>
      </c>
      <c r="F2331" s="9">
        <v>204410.02324218099</v>
      </c>
      <c r="G2331" s="9">
        <v>383936.19252461498</v>
      </c>
      <c r="H2331" s="9">
        <v>204869.32889798901</v>
      </c>
      <c r="I2331" s="21">
        <f t="shared" si="72"/>
        <v>459.3056558080134</v>
      </c>
      <c r="J2331" s="21">
        <f t="shared" si="73"/>
        <v>1375.2615944379941</v>
      </c>
    </row>
    <row r="2332" spans="1:10" hidden="1">
      <c r="A2332" t="s">
        <v>265</v>
      </c>
      <c r="B2332" t="s">
        <v>267</v>
      </c>
      <c r="C2332" s="18">
        <v>2045</v>
      </c>
      <c r="D2332" t="s">
        <v>422</v>
      </c>
      <c r="E2332" s="9">
        <v>34846.724618455803</v>
      </c>
      <c r="F2332" s="9">
        <v>2452.7476792050002</v>
      </c>
      <c r="G2332" s="9">
        <v>34846.715156222701</v>
      </c>
      <c r="H2332" s="9">
        <v>2452.74707379338</v>
      </c>
      <c r="I2332" s="21">
        <f t="shared" si="72"/>
        <v>-6.054116201994475E-4</v>
      </c>
      <c r="J2332" s="21">
        <f t="shared" si="73"/>
        <v>-9.4622331016580574E-3</v>
      </c>
    </row>
    <row r="2333" spans="1:10" hidden="1">
      <c r="A2333" t="s">
        <v>265</v>
      </c>
      <c r="B2333" t="s">
        <v>267</v>
      </c>
      <c r="C2333" s="18">
        <v>2046</v>
      </c>
      <c r="D2333" t="s">
        <v>174</v>
      </c>
      <c r="E2333" s="9">
        <v>23877.778457247699</v>
      </c>
      <c r="F2333" s="9">
        <v>16169.020179933699</v>
      </c>
      <c r="G2333" s="9">
        <v>23868.217944038799</v>
      </c>
      <c r="H2333" s="9">
        <v>16165.2905403234</v>
      </c>
      <c r="I2333" s="21">
        <f t="shared" si="72"/>
        <v>-3.729639610299273</v>
      </c>
      <c r="J2333" s="21">
        <f t="shared" si="73"/>
        <v>-9.5605132089003746</v>
      </c>
    </row>
    <row r="2334" spans="1:10" hidden="1">
      <c r="A2334" t="s">
        <v>265</v>
      </c>
      <c r="B2334" t="s">
        <v>267</v>
      </c>
      <c r="C2334" s="18">
        <v>2046</v>
      </c>
      <c r="D2334" t="s">
        <v>236</v>
      </c>
      <c r="E2334" s="9">
        <v>1264046.0467372199</v>
      </c>
      <c r="F2334" s="9">
        <v>299211.04669299797</v>
      </c>
      <c r="G2334" s="9">
        <v>1268475.9563321201</v>
      </c>
      <c r="H2334" s="9">
        <v>299596.92866613797</v>
      </c>
      <c r="I2334" s="21">
        <f t="shared" si="72"/>
        <v>385.8819731399999</v>
      </c>
      <c r="J2334" s="21">
        <f t="shared" si="73"/>
        <v>4429.9095949002076</v>
      </c>
    </row>
    <row r="2335" spans="1:10" hidden="1">
      <c r="A2335" t="s">
        <v>265</v>
      </c>
      <c r="B2335" t="s">
        <v>267</v>
      </c>
      <c r="C2335" s="18">
        <v>2046</v>
      </c>
      <c r="D2335" t="s">
        <v>182</v>
      </c>
      <c r="E2335" s="9">
        <v>142236.84864009701</v>
      </c>
      <c r="F2335" s="9">
        <v>91215.136787031894</v>
      </c>
      <c r="G2335" s="9">
        <v>142194.05365060701</v>
      </c>
      <c r="H2335" s="9">
        <v>91198.890942598402</v>
      </c>
      <c r="I2335" s="21">
        <f t="shared" si="72"/>
        <v>-16.245844433491584</v>
      </c>
      <c r="J2335" s="21">
        <f t="shared" si="73"/>
        <v>-42.794989490008447</v>
      </c>
    </row>
    <row r="2336" spans="1:10" hidden="1">
      <c r="A2336" t="s">
        <v>265</v>
      </c>
      <c r="B2336" t="s">
        <v>267</v>
      </c>
      <c r="C2336" s="18">
        <v>2046</v>
      </c>
      <c r="D2336" t="s">
        <v>185</v>
      </c>
      <c r="E2336" s="9">
        <v>269420.202976042</v>
      </c>
      <c r="F2336" s="9">
        <v>255009.95806550799</v>
      </c>
      <c r="G2336" s="9">
        <v>269923.25168294698</v>
      </c>
      <c r="H2336" s="9">
        <v>255431.16141281699</v>
      </c>
      <c r="I2336" s="21">
        <f t="shared" si="72"/>
        <v>421.20334730899776</v>
      </c>
      <c r="J2336" s="21">
        <f t="shared" si="73"/>
        <v>503.04870690498501</v>
      </c>
    </row>
    <row r="2337" spans="1:10" hidden="1">
      <c r="A2337" t="s">
        <v>265</v>
      </c>
      <c r="B2337" t="s">
        <v>267</v>
      </c>
      <c r="C2337" s="18">
        <v>2046</v>
      </c>
      <c r="D2337" t="s">
        <v>188</v>
      </c>
      <c r="E2337" s="9">
        <v>773794.89923779503</v>
      </c>
      <c r="F2337" s="9">
        <v>476042.88676233601</v>
      </c>
      <c r="G2337" s="9">
        <v>778095.84267256199</v>
      </c>
      <c r="H2337" s="9">
        <v>477828.93173194502</v>
      </c>
      <c r="I2337" s="21">
        <f t="shared" si="72"/>
        <v>1786.0449696090072</v>
      </c>
      <c r="J2337" s="21">
        <f t="shared" si="73"/>
        <v>4300.9434347669594</v>
      </c>
    </row>
    <row r="2338" spans="1:10" hidden="1">
      <c r="A2338" t="s">
        <v>265</v>
      </c>
      <c r="B2338" t="s">
        <v>267</v>
      </c>
      <c r="C2338" s="18">
        <v>2046</v>
      </c>
      <c r="D2338" t="s">
        <v>191</v>
      </c>
      <c r="E2338" s="9">
        <v>385735.27769653802</v>
      </c>
      <c r="F2338" s="9">
        <v>206560.54278174299</v>
      </c>
      <c r="G2338" s="9">
        <v>387151.42704479198</v>
      </c>
      <c r="H2338" s="9">
        <v>207048.94525460299</v>
      </c>
      <c r="I2338" s="21">
        <f t="shared" si="72"/>
        <v>488.40247286000522</v>
      </c>
      <c r="J2338" s="21">
        <f t="shared" si="73"/>
        <v>1416.1493482539663</v>
      </c>
    </row>
    <row r="2339" spans="1:10" hidden="1">
      <c r="A2339" t="s">
        <v>265</v>
      </c>
      <c r="B2339" t="s">
        <v>267</v>
      </c>
      <c r="C2339" s="18">
        <v>2046</v>
      </c>
      <c r="D2339" t="s">
        <v>422</v>
      </c>
      <c r="E2339" s="9">
        <v>34688.306290946202</v>
      </c>
      <c r="F2339" s="9">
        <v>2335.67309319183</v>
      </c>
      <c r="G2339" s="9">
        <v>34688.296767041</v>
      </c>
      <c r="H2339" s="9">
        <v>2335.6726092736399</v>
      </c>
      <c r="I2339" s="21">
        <f t="shared" si="72"/>
        <v>-4.8391819018434035E-4</v>
      </c>
      <c r="J2339" s="21">
        <f t="shared" si="73"/>
        <v>-9.5239052025135607E-3</v>
      </c>
    </row>
    <row r="2340" spans="1:10" hidden="1">
      <c r="A2340" t="s">
        <v>265</v>
      </c>
      <c r="B2340" t="s">
        <v>267</v>
      </c>
      <c r="C2340" s="18">
        <v>2047</v>
      </c>
      <c r="D2340" t="s">
        <v>174</v>
      </c>
      <c r="E2340" s="9">
        <v>24586.571895361001</v>
      </c>
      <c r="F2340" s="9">
        <v>16572.9141180851</v>
      </c>
      <c r="G2340" s="9">
        <v>24575.685129363199</v>
      </c>
      <c r="H2340" s="9">
        <v>16568.574829924401</v>
      </c>
      <c r="I2340" s="21">
        <f t="shared" si="72"/>
        <v>-4.3392881606996525</v>
      </c>
      <c r="J2340" s="21">
        <f t="shared" si="73"/>
        <v>-10.886765997802286</v>
      </c>
    </row>
    <row r="2341" spans="1:10" hidden="1">
      <c r="A2341" t="s">
        <v>265</v>
      </c>
      <c r="B2341" t="s">
        <v>267</v>
      </c>
      <c r="C2341" s="18">
        <v>2047</v>
      </c>
      <c r="D2341" t="s">
        <v>236</v>
      </c>
      <c r="E2341" s="9">
        <v>1271538.33301126</v>
      </c>
      <c r="F2341" s="9">
        <v>306755.02086324</v>
      </c>
      <c r="G2341" s="9">
        <v>1276073.4846977801</v>
      </c>
      <c r="H2341" s="9">
        <v>307176.00873862102</v>
      </c>
      <c r="I2341" s="21">
        <f t="shared" si="72"/>
        <v>420.98787538101897</v>
      </c>
      <c r="J2341" s="21">
        <f t="shared" si="73"/>
        <v>4535.1516865200829</v>
      </c>
    </row>
    <row r="2342" spans="1:10" hidden="1">
      <c r="A2342" t="s">
        <v>265</v>
      </c>
      <c r="B2342" t="s">
        <v>267</v>
      </c>
      <c r="C2342" s="18">
        <v>2047</v>
      </c>
      <c r="D2342" t="s">
        <v>182</v>
      </c>
      <c r="E2342" s="9">
        <v>144293.774919563</v>
      </c>
      <c r="F2342" s="9">
        <v>92352.339491383405</v>
      </c>
      <c r="G2342" s="9">
        <v>144246.070856709</v>
      </c>
      <c r="H2342" s="9">
        <v>92333.888291156894</v>
      </c>
      <c r="I2342" s="21">
        <f t="shared" si="72"/>
        <v>-18.451200226510991</v>
      </c>
      <c r="J2342" s="21">
        <f t="shared" si="73"/>
        <v>-47.704062853998039</v>
      </c>
    </row>
    <row r="2343" spans="1:10" hidden="1">
      <c r="A2343" t="s">
        <v>265</v>
      </c>
      <c r="B2343" t="s">
        <v>267</v>
      </c>
      <c r="C2343" s="18">
        <v>2047</v>
      </c>
      <c r="D2343" t="s">
        <v>185</v>
      </c>
      <c r="E2343" s="9">
        <v>268636.53932479903</v>
      </c>
      <c r="F2343" s="9">
        <v>254329.96581290799</v>
      </c>
      <c r="G2343" s="9">
        <v>269145.73066835199</v>
      </c>
      <c r="H2343" s="9">
        <v>254760.803670819</v>
      </c>
      <c r="I2343" s="21">
        <f t="shared" si="72"/>
        <v>430.837857911014</v>
      </c>
      <c r="J2343" s="21">
        <f t="shared" si="73"/>
        <v>509.19134355295682</v>
      </c>
    </row>
    <row r="2344" spans="1:10" hidden="1">
      <c r="A2344" t="s">
        <v>265</v>
      </c>
      <c r="B2344" t="s">
        <v>267</v>
      </c>
      <c r="C2344" s="18">
        <v>2047</v>
      </c>
      <c r="D2344" t="s">
        <v>188</v>
      </c>
      <c r="E2344" s="9">
        <v>782432.71327492304</v>
      </c>
      <c r="F2344" s="9">
        <v>482767.76915401098</v>
      </c>
      <c r="G2344" s="9">
        <v>786867.36601765698</v>
      </c>
      <c r="H2344" s="9">
        <v>484667.16956347</v>
      </c>
      <c r="I2344" s="21">
        <f t="shared" si="72"/>
        <v>1899.40040945902</v>
      </c>
      <c r="J2344" s="21">
        <f t="shared" si="73"/>
        <v>4434.6527427339461</v>
      </c>
    </row>
    <row r="2345" spans="1:10" hidden="1">
      <c r="A2345" t="s">
        <v>265</v>
      </c>
      <c r="B2345" t="s">
        <v>267</v>
      </c>
      <c r="C2345" s="18">
        <v>2047</v>
      </c>
      <c r="D2345" t="s">
        <v>191</v>
      </c>
      <c r="E2345" s="9">
        <v>389142.333442559</v>
      </c>
      <c r="F2345" s="9">
        <v>208643.91814309699</v>
      </c>
      <c r="G2345" s="9">
        <v>390597.57749152998</v>
      </c>
      <c r="H2345" s="9">
        <v>209160.85891574901</v>
      </c>
      <c r="I2345" s="21">
        <f t="shared" si="72"/>
        <v>516.94077265201486</v>
      </c>
      <c r="J2345" s="21">
        <f t="shared" si="73"/>
        <v>1455.2440489709843</v>
      </c>
    </row>
    <row r="2346" spans="1:10" hidden="1">
      <c r="A2346" t="s">
        <v>265</v>
      </c>
      <c r="B2346" t="s">
        <v>267</v>
      </c>
      <c r="C2346" s="18">
        <v>2047</v>
      </c>
      <c r="D2346" t="s">
        <v>422</v>
      </c>
      <c r="E2346" s="9">
        <v>34402.4636693254</v>
      </c>
      <c r="F2346" s="9">
        <v>2222.2521858230898</v>
      </c>
      <c r="G2346" s="9">
        <v>34402.454286141998</v>
      </c>
      <c r="H2346" s="9">
        <v>2222.2517838233198</v>
      </c>
      <c r="I2346" s="21">
        <f t="shared" si="72"/>
        <v>-4.019997700197564E-4</v>
      </c>
      <c r="J2346" s="21">
        <f t="shared" si="73"/>
        <v>-9.3831834019511007E-3</v>
      </c>
    </row>
    <row r="2347" spans="1:10" hidden="1">
      <c r="A2347" t="s">
        <v>265</v>
      </c>
      <c r="B2347" t="s">
        <v>267</v>
      </c>
      <c r="C2347" s="18">
        <v>2048</v>
      </c>
      <c r="D2347" t="s">
        <v>174</v>
      </c>
      <c r="E2347" s="9">
        <v>25295.183253767002</v>
      </c>
      <c r="F2347" s="9">
        <v>16987.977927146901</v>
      </c>
      <c r="G2347" s="9">
        <v>25282.866550534</v>
      </c>
      <c r="H2347" s="9">
        <v>16982.967131377602</v>
      </c>
      <c r="I2347" s="21">
        <f t="shared" si="72"/>
        <v>-5.0107957692998752</v>
      </c>
      <c r="J2347" s="21">
        <f t="shared" si="73"/>
        <v>-12.316703233002045</v>
      </c>
    </row>
    <row r="2348" spans="1:10" hidden="1">
      <c r="A2348" t="s">
        <v>265</v>
      </c>
      <c r="B2348" t="s">
        <v>267</v>
      </c>
      <c r="C2348" s="18">
        <v>2048</v>
      </c>
      <c r="D2348" t="s">
        <v>236</v>
      </c>
      <c r="E2348" s="9">
        <v>1278834.9299401599</v>
      </c>
      <c r="F2348" s="9">
        <v>314093.00349864102</v>
      </c>
      <c r="G2348" s="9">
        <v>1283467.7529534199</v>
      </c>
      <c r="H2348" s="9">
        <v>314549.83162807999</v>
      </c>
      <c r="I2348" s="21">
        <f t="shared" si="72"/>
        <v>456.82812943897443</v>
      </c>
      <c r="J2348" s="21">
        <f t="shared" si="73"/>
        <v>4632.8230132600293</v>
      </c>
    </row>
    <row r="2349" spans="1:10" hidden="1">
      <c r="A2349" t="s">
        <v>265</v>
      </c>
      <c r="B2349" t="s">
        <v>267</v>
      </c>
      <c r="C2349" s="18">
        <v>2048</v>
      </c>
      <c r="D2349" t="s">
        <v>182</v>
      </c>
      <c r="E2349" s="9">
        <v>146466.657583544</v>
      </c>
      <c r="F2349" s="9">
        <v>93448.300929489706</v>
      </c>
      <c r="G2349" s="9">
        <v>146413.85314917401</v>
      </c>
      <c r="H2349" s="9">
        <v>93427.507277048993</v>
      </c>
      <c r="I2349" s="21">
        <f t="shared" si="72"/>
        <v>-20.793652440712322</v>
      </c>
      <c r="J2349" s="21">
        <f t="shared" si="73"/>
        <v>-52.804434369987575</v>
      </c>
    </row>
    <row r="2350" spans="1:10" hidden="1">
      <c r="A2350" t="s">
        <v>265</v>
      </c>
      <c r="B2350" t="s">
        <v>267</v>
      </c>
      <c r="C2350" s="18">
        <v>2048</v>
      </c>
      <c r="D2350" t="s">
        <v>185</v>
      </c>
      <c r="E2350" s="9">
        <v>267571.70081983198</v>
      </c>
      <c r="F2350" s="9">
        <v>253433.03828597401</v>
      </c>
      <c r="G2350" s="9">
        <v>268085.44794583402</v>
      </c>
      <c r="H2350" s="9">
        <v>253872.04741882399</v>
      </c>
      <c r="I2350" s="21">
        <f t="shared" si="72"/>
        <v>439.00913284998387</v>
      </c>
      <c r="J2350" s="21">
        <f t="shared" si="73"/>
        <v>513.74712600203929</v>
      </c>
    </row>
    <row r="2351" spans="1:10" hidden="1">
      <c r="A2351" t="s">
        <v>265</v>
      </c>
      <c r="B2351" t="s">
        <v>267</v>
      </c>
      <c r="C2351" s="18">
        <v>2048</v>
      </c>
      <c r="D2351" t="s">
        <v>188</v>
      </c>
      <c r="E2351" s="9">
        <v>791232.66843599104</v>
      </c>
      <c r="F2351" s="9">
        <v>489298.12905862898</v>
      </c>
      <c r="G2351" s="9">
        <v>795796.81940173404</v>
      </c>
      <c r="H2351" s="9">
        <v>491307.70932856598</v>
      </c>
      <c r="I2351" s="21">
        <f t="shared" si="72"/>
        <v>2009.580269936996</v>
      </c>
      <c r="J2351" s="21">
        <f t="shared" si="73"/>
        <v>4564.1509657429997</v>
      </c>
    </row>
    <row r="2352" spans="1:10" hidden="1">
      <c r="A2352" t="s">
        <v>265</v>
      </c>
      <c r="B2352" t="s">
        <v>267</v>
      </c>
      <c r="C2352" s="18">
        <v>2048</v>
      </c>
      <c r="D2352" t="s">
        <v>191</v>
      </c>
      <c r="E2352" s="9">
        <v>392812.63329449802</v>
      </c>
      <c r="F2352" s="9">
        <v>210644.71441613301</v>
      </c>
      <c r="G2352" s="9">
        <v>394306.23400907399</v>
      </c>
      <c r="H2352" s="9">
        <v>211189.299415093</v>
      </c>
      <c r="I2352" s="21">
        <f t="shared" si="72"/>
        <v>544.58499895999557</v>
      </c>
      <c r="J2352" s="21">
        <f t="shared" si="73"/>
        <v>1493.600714575965</v>
      </c>
    </row>
    <row r="2353" spans="1:10" hidden="1">
      <c r="A2353" t="s">
        <v>265</v>
      </c>
      <c r="B2353" t="s">
        <v>267</v>
      </c>
      <c r="C2353" s="18">
        <v>2048</v>
      </c>
      <c r="D2353" t="s">
        <v>422</v>
      </c>
      <c r="E2353" s="9">
        <v>34278.872908520098</v>
      </c>
      <c r="F2353" s="9">
        <v>2112.66208940549</v>
      </c>
      <c r="G2353" s="9">
        <v>34278.863496812097</v>
      </c>
      <c r="H2353" s="9">
        <v>2112.6617453372501</v>
      </c>
      <c r="I2353" s="21">
        <f t="shared" si="72"/>
        <v>-3.4406823988319957E-4</v>
      </c>
      <c r="J2353" s="21">
        <f t="shared" si="73"/>
        <v>-9.4117080006981269E-3</v>
      </c>
    </row>
    <row r="2354" spans="1:10" hidden="1">
      <c r="A2354" t="s">
        <v>265</v>
      </c>
      <c r="B2354" t="s">
        <v>267</v>
      </c>
      <c r="C2354" s="18">
        <v>2049</v>
      </c>
      <c r="D2354" t="s">
        <v>174</v>
      </c>
      <c r="E2354" s="9">
        <v>26000.384292500701</v>
      </c>
      <c r="F2354" s="9">
        <v>17412.4051592334</v>
      </c>
      <c r="G2354" s="9">
        <v>25986.5373789525</v>
      </c>
      <c r="H2354" s="9">
        <v>17406.659114093502</v>
      </c>
      <c r="I2354" s="21">
        <f t="shared" si="72"/>
        <v>-5.7460451398983423</v>
      </c>
      <c r="J2354" s="21">
        <f t="shared" si="73"/>
        <v>-13.846913548200973</v>
      </c>
    </row>
    <row r="2355" spans="1:10" hidden="1">
      <c r="A2355" t="s">
        <v>265</v>
      </c>
      <c r="B2355" t="s">
        <v>267</v>
      </c>
      <c r="C2355" s="18">
        <v>2049</v>
      </c>
      <c r="D2355" t="s">
        <v>236</v>
      </c>
      <c r="E2355" s="9">
        <v>1285964.11205074</v>
      </c>
      <c r="F2355" s="9">
        <v>321247.18274547701</v>
      </c>
      <c r="G2355" s="9">
        <v>1290687.53512959</v>
      </c>
      <c r="H2355" s="9">
        <v>321740.50114880601</v>
      </c>
      <c r="I2355" s="21">
        <f t="shared" si="72"/>
        <v>493.31840332900174</v>
      </c>
      <c r="J2355" s="21">
        <f t="shared" si="73"/>
        <v>4723.4230788499117</v>
      </c>
    </row>
    <row r="2356" spans="1:10" hidden="1">
      <c r="A2356" t="s">
        <v>265</v>
      </c>
      <c r="B2356" t="s">
        <v>267</v>
      </c>
      <c r="C2356" s="18">
        <v>2049</v>
      </c>
      <c r="D2356" t="s">
        <v>182</v>
      </c>
      <c r="E2356" s="9">
        <v>147939.91576769101</v>
      </c>
      <c r="F2356" s="9">
        <v>94570.142948056106</v>
      </c>
      <c r="G2356" s="9">
        <v>147882.09983734801</v>
      </c>
      <c r="H2356" s="9">
        <v>94546.865675552195</v>
      </c>
      <c r="I2356" s="21">
        <f t="shared" si="72"/>
        <v>-23.277272503910353</v>
      </c>
      <c r="J2356" s="21">
        <f t="shared" si="73"/>
        <v>-57.815930343000218</v>
      </c>
    </row>
    <row r="2357" spans="1:10" hidden="1">
      <c r="A2357" t="s">
        <v>265</v>
      </c>
      <c r="B2357" t="s">
        <v>267</v>
      </c>
      <c r="C2357" s="18">
        <v>2049</v>
      </c>
      <c r="D2357" t="s">
        <v>185</v>
      </c>
      <c r="E2357" s="9">
        <v>266486.27420082397</v>
      </c>
      <c r="F2357" s="9">
        <v>252659.247300196</v>
      </c>
      <c r="G2357" s="9">
        <v>267003.55015502701</v>
      </c>
      <c r="H2357" s="9">
        <v>253105.506935702</v>
      </c>
      <c r="I2357" s="21">
        <f t="shared" si="72"/>
        <v>446.25963550599408</v>
      </c>
      <c r="J2357" s="21">
        <f t="shared" si="73"/>
        <v>517.27595420303987</v>
      </c>
    </row>
    <row r="2358" spans="1:10" hidden="1">
      <c r="A2358" t="s">
        <v>265</v>
      </c>
      <c r="B2358" t="s">
        <v>267</v>
      </c>
      <c r="C2358" s="18">
        <v>2049</v>
      </c>
      <c r="D2358" t="s">
        <v>188</v>
      </c>
      <c r="E2358" s="9">
        <v>796926.91708922305</v>
      </c>
      <c r="F2358" s="9">
        <v>495892.59247209801</v>
      </c>
      <c r="G2358" s="9">
        <v>801596.85366425803</v>
      </c>
      <c r="H2358" s="9">
        <v>498010.65152404399</v>
      </c>
      <c r="I2358" s="21">
        <f t="shared" si="72"/>
        <v>2118.0590519459802</v>
      </c>
      <c r="J2358" s="21">
        <f t="shared" si="73"/>
        <v>4669.9365750349825</v>
      </c>
    </row>
    <row r="2359" spans="1:10" hidden="1">
      <c r="A2359" t="s">
        <v>265</v>
      </c>
      <c r="B2359" t="s">
        <v>267</v>
      </c>
      <c r="C2359" s="18">
        <v>2049</v>
      </c>
      <c r="D2359" t="s">
        <v>191</v>
      </c>
      <c r="E2359" s="9">
        <v>394536.366978493</v>
      </c>
      <c r="F2359" s="9">
        <v>213008.576074324</v>
      </c>
      <c r="G2359" s="9">
        <v>396058.615955627</v>
      </c>
      <c r="H2359" s="9">
        <v>213580.236200068</v>
      </c>
      <c r="I2359" s="21">
        <f t="shared" si="72"/>
        <v>571.6601257440052</v>
      </c>
      <c r="J2359" s="21">
        <f t="shared" si="73"/>
        <v>1522.2489771340042</v>
      </c>
    </row>
    <row r="2360" spans="1:10" hidden="1">
      <c r="A2360" t="s">
        <v>265</v>
      </c>
      <c r="B2360" t="s">
        <v>267</v>
      </c>
      <c r="C2360" s="18">
        <v>2049</v>
      </c>
      <c r="D2360" t="s">
        <v>422</v>
      </c>
      <c r="E2360" s="9">
        <v>34087.770772819902</v>
      </c>
      <c r="F2360" s="9">
        <v>1998.5925130099399</v>
      </c>
      <c r="G2360" s="9">
        <v>34087.762706701098</v>
      </c>
      <c r="H2360" s="9">
        <v>1998.5922336333499</v>
      </c>
      <c r="I2360" s="21">
        <f t="shared" si="72"/>
        <v>-2.7937659001509019E-4</v>
      </c>
      <c r="J2360" s="21">
        <f t="shared" si="73"/>
        <v>-8.0661188039812259E-3</v>
      </c>
    </row>
    <row r="2361" spans="1:10" hidden="1">
      <c r="A2361" t="s">
        <v>265</v>
      </c>
      <c r="B2361" t="s">
        <v>267</v>
      </c>
      <c r="C2361" s="18">
        <v>2050</v>
      </c>
      <c r="D2361" t="s">
        <v>174</v>
      </c>
      <c r="E2361" s="9">
        <v>26705.590610120598</v>
      </c>
      <c r="F2361" s="9">
        <v>17835.175874272401</v>
      </c>
      <c r="G2361" s="9">
        <v>26690.1101954068</v>
      </c>
      <c r="H2361" s="9">
        <v>17828.637482456001</v>
      </c>
      <c r="I2361" s="21">
        <f t="shared" si="72"/>
        <v>-6.53839181640069</v>
      </c>
      <c r="J2361" s="21">
        <f t="shared" si="73"/>
        <v>-15.480414713798382</v>
      </c>
    </row>
    <row r="2362" spans="1:10" hidden="1">
      <c r="A2362" t="s">
        <v>265</v>
      </c>
      <c r="B2362" t="s">
        <v>267</v>
      </c>
      <c r="C2362" s="18">
        <v>2050</v>
      </c>
      <c r="D2362" t="s">
        <v>236</v>
      </c>
      <c r="E2362" s="9">
        <v>1292990.6398963199</v>
      </c>
      <c r="F2362" s="9">
        <v>328203.71464408899</v>
      </c>
      <c r="G2362" s="9">
        <v>1297798.19122542</v>
      </c>
      <c r="H2362" s="9">
        <v>328734.06146541203</v>
      </c>
      <c r="I2362" s="21">
        <f t="shared" si="72"/>
        <v>530.34682132303715</v>
      </c>
      <c r="J2362" s="21">
        <f t="shared" si="73"/>
        <v>4807.5513291000389</v>
      </c>
    </row>
    <row r="2363" spans="1:10" hidden="1">
      <c r="A2363" t="s">
        <v>265</v>
      </c>
      <c r="B2363" t="s">
        <v>267</v>
      </c>
      <c r="C2363" s="18">
        <v>2050</v>
      </c>
      <c r="D2363" t="s">
        <v>182</v>
      </c>
      <c r="E2363" s="9">
        <v>149612.982858212</v>
      </c>
      <c r="F2363" s="9">
        <v>95651.818131865701</v>
      </c>
      <c r="G2363" s="9">
        <v>149549.878981469</v>
      </c>
      <c r="H2363" s="9">
        <v>95625.943969428394</v>
      </c>
      <c r="I2363" s="21">
        <f t="shared" si="72"/>
        <v>-25.87416243730695</v>
      </c>
      <c r="J2363" s="21">
        <f t="shared" si="73"/>
        <v>-63.103876743000001</v>
      </c>
    </row>
    <row r="2364" spans="1:10" hidden="1">
      <c r="A2364" t="s">
        <v>265</v>
      </c>
      <c r="B2364" t="s">
        <v>267</v>
      </c>
      <c r="C2364" s="18">
        <v>2050</v>
      </c>
      <c r="D2364" t="s">
        <v>185</v>
      </c>
      <c r="E2364" s="9">
        <v>265511.28482526698</v>
      </c>
      <c r="F2364" s="9">
        <v>251706.607064668</v>
      </c>
      <c r="G2364" s="9">
        <v>266031.496410964</v>
      </c>
      <c r="H2364" s="9">
        <v>252158.93315896901</v>
      </c>
      <c r="I2364" s="21">
        <f t="shared" si="72"/>
        <v>452.32609430101002</v>
      </c>
      <c r="J2364" s="21">
        <f t="shared" si="73"/>
        <v>520.21158569701947</v>
      </c>
    </row>
    <row r="2365" spans="1:10" hidden="1">
      <c r="A2365" t="s">
        <v>265</v>
      </c>
      <c r="B2365" t="s">
        <v>267</v>
      </c>
      <c r="C2365" s="18">
        <v>2050</v>
      </c>
      <c r="D2365" t="s">
        <v>188</v>
      </c>
      <c r="E2365" s="9">
        <v>804238.02272832196</v>
      </c>
      <c r="F2365" s="9">
        <v>501865.90979511302</v>
      </c>
      <c r="G2365" s="9">
        <v>809018.72253896797</v>
      </c>
      <c r="H2365" s="9">
        <v>504089.42679186398</v>
      </c>
      <c r="I2365" s="21">
        <f t="shared" si="72"/>
        <v>2223.5169967509573</v>
      </c>
      <c r="J2365" s="21">
        <f t="shared" si="73"/>
        <v>4780.6998106460087</v>
      </c>
    </row>
    <row r="2366" spans="1:10" hidden="1">
      <c r="A2366" t="s">
        <v>265</v>
      </c>
      <c r="B2366" t="s">
        <v>267</v>
      </c>
      <c r="C2366" s="18">
        <v>2050</v>
      </c>
      <c r="D2366" t="s">
        <v>191</v>
      </c>
      <c r="E2366" s="9">
        <v>397007.69512818003</v>
      </c>
      <c r="F2366" s="9">
        <v>214973.001620375</v>
      </c>
      <c r="G2366" s="9">
        <v>398560.03791860503</v>
      </c>
      <c r="H2366" s="9">
        <v>215570.73744048199</v>
      </c>
      <c r="I2366" s="21">
        <f t="shared" si="72"/>
        <v>597.73582010698738</v>
      </c>
      <c r="J2366" s="21">
        <f t="shared" si="73"/>
        <v>1552.3427904249984</v>
      </c>
    </row>
    <row r="2367" spans="1:10" hidden="1">
      <c r="A2367" t="s">
        <v>265</v>
      </c>
      <c r="B2367" t="s">
        <v>267</v>
      </c>
      <c r="C2367" s="18">
        <v>2050</v>
      </c>
      <c r="D2367" t="s">
        <v>422</v>
      </c>
      <c r="E2367" s="9">
        <v>33926.487345946101</v>
      </c>
      <c r="F2367" s="9">
        <v>1888.5151915046799</v>
      </c>
      <c r="G2367" s="9">
        <v>33926.479042696701</v>
      </c>
      <c r="H2367" s="9">
        <v>1888.5150098655699</v>
      </c>
      <c r="I2367" s="21">
        <f t="shared" si="72"/>
        <v>-1.816391099964676E-4</v>
      </c>
      <c r="J2367" s="21">
        <f t="shared" si="73"/>
        <v>-8.3032494003418833E-3</v>
      </c>
    </row>
    <row r="2368" spans="1:10" hidden="1">
      <c r="A2368" t="s">
        <v>272</v>
      </c>
      <c r="B2368" t="s">
        <v>274</v>
      </c>
      <c r="C2368" s="18">
        <v>2025</v>
      </c>
      <c r="D2368" t="s">
        <v>174</v>
      </c>
      <c r="E2368" s="9">
        <v>12176.1707137429</v>
      </c>
      <c r="F2368" s="9">
        <v>8959.2701472679</v>
      </c>
      <c r="G2368" s="9">
        <v>12176.1707137429</v>
      </c>
      <c r="H2368" s="9">
        <v>8959.2701472679</v>
      </c>
      <c r="I2368" s="21">
        <f t="shared" si="72"/>
        <v>0</v>
      </c>
      <c r="J2368" s="21">
        <f t="shared" si="73"/>
        <v>0</v>
      </c>
    </row>
    <row r="2369" spans="1:10" hidden="1">
      <c r="A2369" t="s">
        <v>272</v>
      </c>
      <c r="B2369" t="s">
        <v>274</v>
      </c>
      <c r="C2369" s="18">
        <v>2025</v>
      </c>
      <c r="D2369" t="s">
        <v>236</v>
      </c>
      <c r="E2369" s="9">
        <v>1026758.5711338</v>
      </c>
      <c r="F2369" s="9">
        <v>129383.32321031499</v>
      </c>
      <c r="G2369" s="9">
        <v>1026758.5711338</v>
      </c>
      <c r="H2369" s="9">
        <v>129383.32321031499</v>
      </c>
      <c r="I2369" s="21">
        <f t="shared" si="72"/>
        <v>0</v>
      </c>
      <c r="J2369" s="21">
        <f t="shared" si="73"/>
        <v>0</v>
      </c>
    </row>
    <row r="2370" spans="1:10" hidden="1">
      <c r="A2370" t="s">
        <v>272</v>
      </c>
      <c r="B2370" t="s">
        <v>274</v>
      </c>
      <c r="C2370" s="18">
        <v>2025</v>
      </c>
      <c r="D2370" t="s">
        <v>182</v>
      </c>
      <c r="E2370" s="9">
        <v>115291.15986546699</v>
      </c>
      <c r="F2370" s="9">
        <v>67656.558989495796</v>
      </c>
      <c r="G2370" s="9">
        <v>115291.15986546699</v>
      </c>
      <c r="H2370" s="9">
        <v>67656.558989495796</v>
      </c>
      <c r="I2370" s="21">
        <f t="shared" ref="I2370:I2433" si="74">H2370-F2370</f>
        <v>0</v>
      </c>
      <c r="J2370" s="21">
        <f t="shared" ref="J2370:J2433" si="75">G2370-E2370</f>
        <v>0</v>
      </c>
    </row>
    <row r="2371" spans="1:10" hidden="1">
      <c r="A2371" t="s">
        <v>272</v>
      </c>
      <c r="B2371" t="s">
        <v>274</v>
      </c>
      <c r="C2371" s="18">
        <v>2025</v>
      </c>
      <c r="D2371" t="s">
        <v>185</v>
      </c>
      <c r="E2371" s="9">
        <v>281662.55341658002</v>
      </c>
      <c r="F2371" s="9">
        <v>263295.70058044</v>
      </c>
      <c r="G2371" s="9">
        <v>281662.55341658002</v>
      </c>
      <c r="H2371" s="9">
        <v>263295.70058044</v>
      </c>
      <c r="I2371" s="21">
        <f t="shared" si="74"/>
        <v>0</v>
      </c>
      <c r="J2371" s="21">
        <f t="shared" si="75"/>
        <v>0</v>
      </c>
    </row>
    <row r="2372" spans="1:10" hidden="1">
      <c r="A2372" t="s">
        <v>272</v>
      </c>
      <c r="B2372" t="s">
        <v>274</v>
      </c>
      <c r="C2372" s="18">
        <v>2025</v>
      </c>
      <c r="D2372" t="s">
        <v>188</v>
      </c>
      <c r="E2372" s="9">
        <v>612171.634776233</v>
      </c>
      <c r="F2372" s="9">
        <v>335724.86979376699</v>
      </c>
      <c r="G2372" s="9">
        <v>612171.634776233</v>
      </c>
      <c r="H2372" s="9">
        <v>335724.86979376699</v>
      </c>
      <c r="I2372" s="21">
        <f t="shared" si="74"/>
        <v>0</v>
      </c>
      <c r="J2372" s="21">
        <f t="shared" si="75"/>
        <v>0</v>
      </c>
    </row>
    <row r="2373" spans="1:10" hidden="1">
      <c r="A2373" t="s">
        <v>272</v>
      </c>
      <c r="B2373" t="s">
        <v>274</v>
      </c>
      <c r="C2373" s="18">
        <v>2025</v>
      </c>
      <c r="D2373" t="s">
        <v>191</v>
      </c>
      <c r="E2373" s="9">
        <v>339642.13012673298</v>
      </c>
      <c r="F2373" s="9">
        <v>190841.880003208</v>
      </c>
      <c r="G2373" s="9">
        <v>339642.13012673298</v>
      </c>
      <c r="H2373" s="9">
        <v>190841.880003208</v>
      </c>
      <c r="I2373" s="21">
        <f t="shared" si="74"/>
        <v>0</v>
      </c>
      <c r="J2373" s="21">
        <f t="shared" si="75"/>
        <v>0</v>
      </c>
    </row>
    <row r="2374" spans="1:10" hidden="1">
      <c r="A2374" t="s">
        <v>272</v>
      </c>
      <c r="B2374" t="s">
        <v>274</v>
      </c>
      <c r="C2374" s="18">
        <v>2025</v>
      </c>
      <c r="D2374" t="s">
        <v>422</v>
      </c>
      <c r="E2374" s="9">
        <v>39660.836547407802</v>
      </c>
      <c r="F2374" s="9">
        <v>5303.4223017440199</v>
      </c>
      <c r="G2374" s="9">
        <v>39660.836547407802</v>
      </c>
      <c r="H2374" s="9">
        <v>5303.4223017440199</v>
      </c>
      <c r="I2374" s="21">
        <f t="shared" si="74"/>
        <v>0</v>
      </c>
      <c r="J2374" s="21">
        <f t="shared" si="75"/>
        <v>0</v>
      </c>
    </row>
    <row r="2375" spans="1:10" hidden="1">
      <c r="A2375" t="s">
        <v>272</v>
      </c>
      <c r="B2375" t="s">
        <v>274</v>
      </c>
      <c r="C2375" s="18">
        <v>2026</v>
      </c>
      <c r="D2375" t="s">
        <v>174</v>
      </c>
      <c r="E2375" s="9">
        <v>12568.9386470114</v>
      </c>
      <c r="F2375" s="9">
        <v>9271.1333627081003</v>
      </c>
      <c r="G2375" s="9">
        <v>12568.9386470114</v>
      </c>
      <c r="H2375" s="9">
        <v>9271.1333627081003</v>
      </c>
      <c r="I2375" s="21">
        <f t="shared" si="74"/>
        <v>0</v>
      </c>
      <c r="J2375" s="21">
        <f t="shared" si="75"/>
        <v>0</v>
      </c>
    </row>
    <row r="2376" spans="1:10" hidden="1">
      <c r="A2376" t="s">
        <v>272</v>
      </c>
      <c r="B2376" t="s">
        <v>274</v>
      </c>
      <c r="C2376" s="18">
        <v>2026</v>
      </c>
      <c r="D2376" t="s">
        <v>236</v>
      </c>
      <c r="E2376" s="9">
        <v>1042135.18581351</v>
      </c>
      <c r="F2376" s="9">
        <v>137145.82895878801</v>
      </c>
      <c r="G2376" s="9">
        <v>1042135.18581351</v>
      </c>
      <c r="H2376" s="9">
        <v>137145.82895878801</v>
      </c>
      <c r="I2376" s="21">
        <f t="shared" si="74"/>
        <v>0</v>
      </c>
      <c r="J2376" s="21">
        <f t="shared" si="75"/>
        <v>0</v>
      </c>
    </row>
    <row r="2377" spans="1:10" hidden="1">
      <c r="A2377" t="s">
        <v>272</v>
      </c>
      <c r="B2377" t="s">
        <v>274</v>
      </c>
      <c r="C2377" s="18">
        <v>2026</v>
      </c>
      <c r="D2377" t="s">
        <v>182</v>
      </c>
      <c r="E2377" s="9">
        <v>114707.986926294</v>
      </c>
      <c r="F2377" s="9">
        <v>70326.603453519798</v>
      </c>
      <c r="G2377" s="9">
        <v>114707.986926294</v>
      </c>
      <c r="H2377" s="9">
        <v>70326.603453519798</v>
      </c>
      <c r="I2377" s="21">
        <f t="shared" si="74"/>
        <v>0</v>
      </c>
      <c r="J2377" s="21">
        <f t="shared" si="75"/>
        <v>0</v>
      </c>
    </row>
    <row r="2378" spans="1:10" hidden="1">
      <c r="A2378" t="s">
        <v>272</v>
      </c>
      <c r="B2378" t="s">
        <v>274</v>
      </c>
      <c r="C2378" s="18">
        <v>2026</v>
      </c>
      <c r="D2378" t="s">
        <v>185</v>
      </c>
      <c r="E2378" s="9">
        <v>282722.53786088398</v>
      </c>
      <c r="F2378" s="9">
        <v>259504.46801133201</v>
      </c>
      <c r="G2378" s="9">
        <v>282722.53786088398</v>
      </c>
      <c r="H2378" s="9">
        <v>259504.46801133201</v>
      </c>
      <c r="I2378" s="21">
        <f t="shared" si="74"/>
        <v>0</v>
      </c>
      <c r="J2378" s="21">
        <f t="shared" si="75"/>
        <v>0</v>
      </c>
    </row>
    <row r="2379" spans="1:10" hidden="1">
      <c r="A2379" t="s">
        <v>272</v>
      </c>
      <c r="B2379" t="s">
        <v>274</v>
      </c>
      <c r="C2379" s="18">
        <v>2026</v>
      </c>
      <c r="D2379" t="s">
        <v>188</v>
      </c>
      <c r="E2379" s="9">
        <v>616790.02915575495</v>
      </c>
      <c r="F2379" s="9">
        <v>342960.13528186502</v>
      </c>
      <c r="G2379" s="9">
        <v>616790.02915575495</v>
      </c>
      <c r="H2379" s="9">
        <v>342960.13528186502</v>
      </c>
      <c r="I2379" s="21">
        <f t="shared" si="74"/>
        <v>0</v>
      </c>
      <c r="J2379" s="21">
        <f t="shared" si="75"/>
        <v>0</v>
      </c>
    </row>
    <row r="2380" spans="1:10" hidden="1">
      <c r="A2380" t="s">
        <v>272</v>
      </c>
      <c r="B2380" t="s">
        <v>274</v>
      </c>
      <c r="C2380" s="18">
        <v>2026</v>
      </c>
      <c r="D2380" t="s">
        <v>191</v>
      </c>
      <c r="E2380" s="9">
        <v>338499.06942160201</v>
      </c>
      <c r="F2380" s="9">
        <v>190574.61381884801</v>
      </c>
      <c r="G2380" s="9">
        <v>338499.06942160201</v>
      </c>
      <c r="H2380" s="9">
        <v>190574.61381884801</v>
      </c>
      <c r="I2380" s="21">
        <f t="shared" si="74"/>
        <v>0</v>
      </c>
      <c r="J2380" s="21">
        <f t="shared" si="75"/>
        <v>0</v>
      </c>
    </row>
    <row r="2381" spans="1:10" hidden="1">
      <c r="A2381" t="s">
        <v>272</v>
      </c>
      <c r="B2381" t="s">
        <v>274</v>
      </c>
      <c r="C2381" s="18">
        <v>2026</v>
      </c>
      <c r="D2381" t="s">
        <v>422</v>
      </c>
      <c r="E2381" s="9">
        <v>39250.667018004897</v>
      </c>
      <c r="F2381" s="9">
        <v>5105.6095547855903</v>
      </c>
      <c r="G2381" s="9">
        <v>39250.667018004897</v>
      </c>
      <c r="H2381" s="9">
        <v>5105.6095547855903</v>
      </c>
      <c r="I2381" s="21">
        <f t="shared" si="74"/>
        <v>0</v>
      </c>
      <c r="J2381" s="21">
        <f t="shared" si="75"/>
        <v>0</v>
      </c>
    </row>
    <row r="2382" spans="1:10" hidden="1">
      <c r="A2382" t="s">
        <v>272</v>
      </c>
      <c r="B2382" t="s">
        <v>274</v>
      </c>
      <c r="C2382" s="18">
        <v>2027</v>
      </c>
      <c r="D2382" t="s">
        <v>174</v>
      </c>
      <c r="E2382" s="9">
        <v>12976.103113363301</v>
      </c>
      <c r="F2382" s="9">
        <v>9577.5296548643291</v>
      </c>
      <c r="G2382" s="9">
        <v>12976.103113363301</v>
      </c>
      <c r="H2382" s="9">
        <v>9577.5296548643291</v>
      </c>
      <c r="I2382" s="21">
        <f t="shared" si="74"/>
        <v>0</v>
      </c>
      <c r="J2382" s="21">
        <f t="shared" si="75"/>
        <v>0</v>
      </c>
    </row>
    <row r="2383" spans="1:10" hidden="1">
      <c r="A2383" t="s">
        <v>272</v>
      </c>
      <c r="B2383" t="s">
        <v>274</v>
      </c>
      <c r="C2383" s="18">
        <v>2027</v>
      </c>
      <c r="D2383" t="s">
        <v>236</v>
      </c>
      <c r="E2383" s="9">
        <v>1056738.26741155</v>
      </c>
      <c r="F2383" s="9">
        <v>145009.441994705</v>
      </c>
      <c r="G2383" s="9">
        <v>1057148.31873483</v>
      </c>
      <c r="H2383" s="9">
        <v>145009.441994705</v>
      </c>
      <c r="I2383" s="21">
        <f t="shared" si="74"/>
        <v>0</v>
      </c>
      <c r="J2383" s="21">
        <f t="shared" si="75"/>
        <v>410.05132327997126</v>
      </c>
    </row>
    <row r="2384" spans="1:10" hidden="1">
      <c r="A2384" t="s">
        <v>272</v>
      </c>
      <c r="B2384" t="s">
        <v>274</v>
      </c>
      <c r="C2384" s="18">
        <v>2027</v>
      </c>
      <c r="D2384" t="s">
        <v>182</v>
      </c>
      <c r="E2384" s="9">
        <v>114152.944165875</v>
      </c>
      <c r="F2384" s="9">
        <v>72290.169991209099</v>
      </c>
      <c r="G2384" s="9">
        <v>114152.944165875</v>
      </c>
      <c r="H2384" s="9">
        <v>72290.169991209099</v>
      </c>
      <c r="I2384" s="21">
        <f t="shared" si="74"/>
        <v>0</v>
      </c>
      <c r="J2384" s="21">
        <f t="shared" si="75"/>
        <v>0</v>
      </c>
    </row>
    <row r="2385" spans="1:10" hidden="1">
      <c r="A2385" t="s">
        <v>272</v>
      </c>
      <c r="B2385" t="s">
        <v>274</v>
      </c>
      <c r="C2385" s="18">
        <v>2027</v>
      </c>
      <c r="D2385" t="s">
        <v>185</v>
      </c>
      <c r="E2385" s="9">
        <v>277818.78450086399</v>
      </c>
      <c r="F2385" s="9">
        <v>260330.421136777</v>
      </c>
      <c r="G2385" s="9">
        <v>277877.509454571</v>
      </c>
      <c r="H2385" s="9">
        <v>260330.421136777</v>
      </c>
      <c r="I2385" s="21">
        <f t="shared" si="74"/>
        <v>0</v>
      </c>
      <c r="J2385" s="21">
        <f t="shared" si="75"/>
        <v>58.724953707016539</v>
      </c>
    </row>
    <row r="2386" spans="1:10" hidden="1">
      <c r="A2386" t="s">
        <v>272</v>
      </c>
      <c r="B2386" t="s">
        <v>274</v>
      </c>
      <c r="C2386" s="18">
        <v>2027</v>
      </c>
      <c r="D2386" t="s">
        <v>188</v>
      </c>
      <c r="E2386" s="9">
        <v>621056.66613024997</v>
      </c>
      <c r="F2386" s="9">
        <v>349405.30073034298</v>
      </c>
      <c r="G2386" s="9">
        <v>621430.90280116105</v>
      </c>
      <c r="H2386" s="9">
        <v>349405.30073034298</v>
      </c>
      <c r="I2386" s="21">
        <f t="shared" si="74"/>
        <v>0</v>
      </c>
      <c r="J2386" s="21">
        <f t="shared" si="75"/>
        <v>374.23667091107927</v>
      </c>
    </row>
    <row r="2387" spans="1:10" hidden="1">
      <c r="A2387" t="s">
        <v>272</v>
      </c>
      <c r="B2387" t="s">
        <v>274</v>
      </c>
      <c r="C2387" s="18">
        <v>2027</v>
      </c>
      <c r="D2387" t="s">
        <v>191</v>
      </c>
      <c r="E2387" s="9">
        <v>337263.14371732</v>
      </c>
      <c r="F2387" s="9">
        <v>189031.10044551201</v>
      </c>
      <c r="G2387" s="9">
        <v>337398.94907172298</v>
      </c>
      <c r="H2387" s="9">
        <v>189031.10044551201</v>
      </c>
      <c r="I2387" s="21">
        <f t="shared" si="74"/>
        <v>0</v>
      </c>
      <c r="J2387" s="21">
        <f t="shared" si="75"/>
        <v>135.80535440298263</v>
      </c>
    </row>
    <row r="2388" spans="1:10" hidden="1">
      <c r="A2388" t="s">
        <v>272</v>
      </c>
      <c r="B2388" t="s">
        <v>274</v>
      </c>
      <c r="C2388" s="18">
        <v>2027</v>
      </c>
      <c r="D2388" t="s">
        <v>422</v>
      </c>
      <c r="E2388" s="9">
        <v>38773.627186343103</v>
      </c>
      <c r="F2388" s="9">
        <v>4921.4971535538998</v>
      </c>
      <c r="G2388" s="9">
        <v>38773.627186343103</v>
      </c>
      <c r="H2388" s="9">
        <v>4921.4971535538998</v>
      </c>
      <c r="I2388" s="21">
        <f t="shared" si="74"/>
        <v>0</v>
      </c>
      <c r="J2388" s="21">
        <f t="shared" si="75"/>
        <v>0</v>
      </c>
    </row>
    <row r="2389" spans="1:10" hidden="1">
      <c r="A2389" t="s">
        <v>272</v>
      </c>
      <c r="B2389" t="s">
        <v>274</v>
      </c>
      <c r="C2389" s="18">
        <v>2028</v>
      </c>
      <c r="D2389" t="s">
        <v>174</v>
      </c>
      <c r="E2389" s="9">
        <v>13394.6739315754</v>
      </c>
      <c r="F2389" s="9">
        <v>9881.9220189252792</v>
      </c>
      <c r="G2389" s="9">
        <v>13394.6739315754</v>
      </c>
      <c r="H2389" s="9">
        <v>9881.9220189252792</v>
      </c>
      <c r="I2389" s="21">
        <f t="shared" si="74"/>
        <v>0</v>
      </c>
      <c r="J2389" s="21">
        <f t="shared" si="75"/>
        <v>0</v>
      </c>
    </row>
    <row r="2390" spans="1:10" hidden="1">
      <c r="A2390" t="s">
        <v>272</v>
      </c>
      <c r="B2390" t="s">
        <v>274</v>
      </c>
      <c r="C2390" s="18">
        <v>2028</v>
      </c>
      <c r="D2390" t="s">
        <v>236</v>
      </c>
      <c r="E2390" s="9">
        <v>1071022.9774122101</v>
      </c>
      <c r="F2390" s="9">
        <v>152968.96787853801</v>
      </c>
      <c r="G2390" s="9">
        <v>1071826.1250559301</v>
      </c>
      <c r="H2390" s="9">
        <v>152971.72938899801</v>
      </c>
      <c r="I2390" s="21">
        <f t="shared" si="74"/>
        <v>2.7615104599972256</v>
      </c>
      <c r="J2390" s="21">
        <f t="shared" si="75"/>
        <v>803.14764372003265</v>
      </c>
    </row>
    <row r="2391" spans="1:10" hidden="1">
      <c r="A2391" t="s">
        <v>272</v>
      </c>
      <c r="B2391" t="s">
        <v>274</v>
      </c>
      <c r="C2391" s="18">
        <v>2028</v>
      </c>
      <c r="D2391" t="s">
        <v>182</v>
      </c>
      <c r="E2391" s="9">
        <v>114139.12292486199</v>
      </c>
      <c r="F2391" s="9">
        <v>73846.874209439702</v>
      </c>
      <c r="G2391" s="9">
        <v>114139.12292486199</v>
      </c>
      <c r="H2391" s="9">
        <v>73846.874209439702</v>
      </c>
      <c r="I2391" s="21">
        <f t="shared" si="74"/>
        <v>0</v>
      </c>
      <c r="J2391" s="21">
        <f t="shared" si="75"/>
        <v>0</v>
      </c>
    </row>
    <row r="2392" spans="1:10" hidden="1">
      <c r="A2392" t="s">
        <v>272</v>
      </c>
      <c r="B2392" t="s">
        <v>274</v>
      </c>
      <c r="C2392" s="18">
        <v>2028</v>
      </c>
      <c r="D2392" t="s">
        <v>185</v>
      </c>
      <c r="E2392" s="9">
        <v>277622.09636078298</v>
      </c>
      <c r="F2392" s="9">
        <v>257739.516071399</v>
      </c>
      <c r="G2392" s="9">
        <v>277735.69614120398</v>
      </c>
      <c r="H2392" s="9">
        <v>257765.32327170501</v>
      </c>
      <c r="I2392" s="21">
        <f t="shared" si="74"/>
        <v>25.807200306007871</v>
      </c>
      <c r="J2392" s="21">
        <f t="shared" si="75"/>
        <v>113.59978042100556</v>
      </c>
    </row>
    <row r="2393" spans="1:10" hidden="1">
      <c r="A2393" t="s">
        <v>272</v>
      </c>
      <c r="B2393" t="s">
        <v>274</v>
      </c>
      <c r="C2393" s="18">
        <v>2028</v>
      </c>
      <c r="D2393" t="s">
        <v>188</v>
      </c>
      <c r="E2393" s="9">
        <v>626993.76277593803</v>
      </c>
      <c r="F2393" s="9">
        <v>356132.65814034001</v>
      </c>
      <c r="G2393" s="9">
        <v>627723.84415529598</v>
      </c>
      <c r="H2393" s="9">
        <v>356159.25290604099</v>
      </c>
      <c r="I2393" s="21">
        <f t="shared" si="74"/>
        <v>26.594765700981952</v>
      </c>
      <c r="J2393" s="21">
        <f t="shared" si="75"/>
        <v>730.08137935795821</v>
      </c>
    </row>
    <row r="2394" spans="1:10" hidden="1">
      <c r="A2394" t="s">
        <v>272</v>
      </c>
      <c r="B2394" t="s">
        <v>274</v>
      </c>
      <c r="C2394" s="18">
        <v>2028</v>
      </c>
      <c r="D2394" t="s">
        <v>191</v>
      </c>
      <c r="E2394" s="9">
        <v>337252.01558467298</v>
      </c>
      <c r="F2394" s="9">
        <v>187104.939830549</v>
      </c>
      <c r="G2394" s="9">
        <v>337514.695524676</v>
      </c>
      <c r="H2394" s="9">
        <v>187116.63987946699</v>
      </c>
      <c r="I2394" s="21">
        <f t="shared" si="74"/>
        <v>11.700048917991808</v>
      </c>
      <c r="J2394" s="21">
        <f t="shared" si="75"/>
        <v>262.67994000302861</v>
      </c>
    </row>
    <row r="2395" spans="1:10" hidden="1">
      <c r="A2395" t="s">
        <v>272</v>
      </c>
      <c r="B2395" t="s">
        <v>274</v>
      </c>
      <c r="C2395" s="18">
        <v>2028</v>
      </c>
      <c r="D2395" t="s">
        <v>422</v>
      </c>
      <c r="E2395" s="9">
        <v>38149.291579231904</v>
      </c>
      <c r="F2395" s="9">
        <v>4742.0855729783398</v>
      </c>
      <c r="G2395" s="9">
        <v>38149.291579231904</v>
      </c>
      <c r="H2395" s="9">
        <v>4742.0855729783398</v>
      </c>
      <c r="I2395" s="21">
        <f t="shared" si="74"/>
        <v>0</v>
      </c>
      <c r="J2395" s="21">
        <f t="shared" si="75"/>
        <v>0</v>
      </c>
    </row>
    <row r="2396" spans="1:10" hidden="1">
      <c r="A2396" t="s">
        <v>272</v>
      </c>
      <c r="B2396" t="s">
        <v>274</v>
      </c>
      <c r="C2396" s="18">
        <v>2029</v>
      </c>
      <c r="D2396" t="s">
        <v>174</v>
      </c>
      <c r="E2396" s="9">
        <v>13830.0811227834</v>
      </c>
      <c r="F2396" s="9">
        <v>10188.394886280999</v>
      </c>
      <c r="G2396" s="9">
        <v>13830.048598278099</v>
      </c>
      <c r="H2396" s="9">
        <v>10188.394886280999</v>
      </c>
      <c r="I2396" s="21">
        <f t="shared" si="74"/>
        <v>0</v>
      </c>
      <c r="J2396" s="21">
        <f t="shared" si="75"/>
        <v>-3.2524505300898454E-2</v>
      </c>
    </row>
    <row r="2397" spans="1:10" hidden="1">
      <c r="A2397" t="s">
        <v>272</v>
      </c>
      <c r="B2397" t="s">
        <v>274</v>
      </c>
      <c r="C2397" s="18">
        <v>2029</v>
      </c>
      <c r="D2397" t="s">
        <v>236</v>
      </c>
      <c r="E2397" s="9">
        <v>1085021.3256395101</v>
      </c>
      <c r="F2397" s="9">
        <v>161029.94733085</v>
      </c>
      <c r="G2397" s="9">
        <v>1086200.5009906101</v>
      </c>
      <c r="H2397" s="9">
        <v>161038.22768731901</v>
      </c>
      <c r="I2397" s="21">
        <f t="shared" si="74"/>
        <v>8.2803564690111671</v>
      </c>
      <c r="J2397" s="21">
        <f t="shared" si="75"/>
        <v>1179.1753511000425</v>
      </c>
    </row>
    <row r="2398" spans="1:10" hidden="1">
      <c r="A2398" t="s">
        <v>272</v>
      </c>
      <c r="B2398" t="s">
        <v>274</v>
      </c>
      <c r="C2398" s="18">
        <v>2029</v>
      </c>
      <c r="D2398" t="s">
        <v>182</v>
      </c>
      <c r="E2398" s="9">
        <v>114048.40286145599</v>
      </c>
      <c r="F2398" s="9">
        <v>75452.222577591499</v>
      </c>
      <c r="G2398" s="9">
        <v>114048.15533588199</v>
      </c>
      <c r="H2398" s="9">
        <v>75452.222577591499</v>
      </c>
      <c r="I2398" s="21">
        <f t="shared" si="74"/>
        <v>0</v>
      </c>
      <c r="J2398" s="21">
        <f t="shared" si="75"/>
        <v>-0.24752557399915531</v>
      </c>
    </row>
    <row r="2399" spans="1:10" hidden="1">
      <c r="A2399" t="s">
        <v>272</v>
      </c>
      <c r="B2399" t="s">
        <v>274</v>
      </c>
      <c r="C2399" s="18">
        <v>2029</v>
      </c>
      <c r="D2399" t="s">
        <v>185</v>
      </c>
      <c r="E2399" s="9">
        <v>275657.51058509399</v>
      </c>
      <c r="F2399" s="9">
        <v>258275.944774242</v>
      </c>
      <c r="G2399" s="9">
        <v>275821.08299242798</v>
      </c>
      <c r="H2399" s="9">
        <v>258334.31739486201</v>
      </c>
      <c r="I2399" s="21">
        <f t="shared" si="74"/>
        <v>58.372620620008092</v>
      </c>
      <c r="J2399" s="21">
        <f t="shared" si="75"/>
        <v>163.57240733399522</v>
      </c>
    </row>
    <row r="2400" spans="1:10" hidden="1">
      <c r="A2400" t="s">
        <v>272</v>
      </c>
      <c r="B2400" t="s">
        <v>274</v>
      </c>
      <c r="C2400" s="18">
        <v>2029</v>
      </c>
      <c r="D2400" t="s">
        <v>188</v>
      </c>
      <c r="E2400" s="9">
        <v>629716.49587527604</v>
      </c>
      <c r="F2400" s="9">
        <v>363818.24019051902</v>
      </c>
      <c r="G2400" s="9">
        <v>630779.36998507904</v>
      </c>
      <c r="H2400" s="9">
        <v>363892.26827992598</v>
      </c>
      <c r="I2400" s="21">
        <f t="shared" si="74"/>
        <v>74.028089406958316</v>
      </c>
      <c r="J2400" s="21">
        <f t="shared" si="75"/>
        <v>1062.8741098030005</v>
      </c>
    </row>
    <row r="2401" spans="1:10" hidden="1">
      <c r="A2401" t="s">
        <v>272</v>
      </c>
      <c r="B2401" t="s">
        <v>274</v>
      </c>
      <c r="C2401" s="18">
        <v>2029</v>
      </c>
      <c r="D2401" t="s">
        <v>191</v>
      </c>
      <c r="E2401" s="9">
        <v>335542.47060971003</v>
      </c>
      <c r="F2401" s="9">
        <v>186791.68328120501</v>
      </c>
      <c r="G2401" s="9">
        <v>335921.29283179599</v>
      </c>
      <c r="H2401" s="9">
        <v>186821.56008749199</v>
      </c>
      <c r="I2401" s="21">
        <f t="shared" si="74"/>
        <v>29.876806286978535</v>
      </c>
      <c r="J2401" s="21">
        <f t="shared" si="75"/>
        <v>378.82222208596068</v>
      </c>
    </row>
    <row r="2402" spans="1:10" hidden="1">
      <c r="A2402" t="s">
        <v>272</v>
      </c>
      <c r="B2402" t="s">
        <v>274</v>
      </c>
      <c r="C2402" s="18">
        <v>2029</v>
      </c>
      <c r="D2402" t="s">
        <v>422</v>
      </c>
      <c r="E2402" s="9">
        <v>37777.467892123597</v>
      </c>
      <c r="F2402" s="9">
        <v>4604.0681483163899</v>
      </c>
      <c r="G2402" s="9">
        <v>37777.467218977603</v>
      </c>
      <c r="H2402" s="9">
        <v>4604.0681483163899</v>
      </c>
      <c r="I2402" s="21">
        <f t="shared" si="74"/>
        <v>0</v>
      </c>
      <c r="J2402" s="21">
        <f t="shared" si="75"/>
        <v>-6.7314599436940625E-4</v>
      </c>
    </row>
    <row r="2403" spans="1:10" hidden="1">
      <c r="A2403" t="s">
        <v>272</v>
      </c>
      <c r="B2403" t="s">
        <v>274</v>
      </c>
      <c r="C2403" s="18">
        <v>2030</v>
      </c>
      <c r="D2403" t="s">
        <v>174</v>
      </c>
      <c r="E2403" s="9">
        <v>14282.0691218095</v>
      </c>
      <c r="F2403" s="9">
        <v>10500.2924497161</v>
      </c>
      <c r="G2403" s="9">
        <v>14281.959039535501</v>
      </c>
      <c r="H2403" s="9">
        <v>10500.2867221377</v>
      </c>
      <c r="I2403" s="21">
        <f t="shared" si="74"/>
        <v>-5.7275784001831198E-3</v>
      </c>
      <c r="J2403" s="21">
        <f t="shared" si="75"/>
        <v>-0.110082273999069</v>
      </c>
    </row>
    <row r="2404" spans="1:10" hidden="1">
      <c r="A2404" t="s">
        <v>272</v>
      </c>
      <c r="B2404" t="s">
        <v>274</v>
      </c>
      <c r="C2404" s="18">
        <v>2030</v>
      </c>
      <c r="D2404" t="s">
        <v>236</v>
      </c>
      <c r="E2404" s="9">
        <v>1098653.6085514801</v>
      </c>
      <c r="F2404" s="9">
        <v>169179.85529274301</v>
      </c>
      <c r="G2404" s="9">
        <v>1100191.7865472301</v>
      </c>
      <c r="H2404" s="9">
        <v>169196.385350075</v>
      </c>
      <c r="I2404" s="21">
        <f t="shared" si="74"/>
        <v>16.530057331983699</v>
      </c>
      <c r="J2404" s="21">
        <f t="shared" si="75"/>
        <v>1538.1779957499821</v>
      </c>
    </row>
    <row r="2405" spans="1:10" hidden="1">
      <c r="A2405" t="s">
        <v>272</v>
      </c>
      <c r="B2405" t="s">
        <v>274</v>
      </c>
      <c r="C2405" s="18">
        <v>2030</v>
      </c>
      <c r="D2405" t="s">
        <v>182</v>
      </c>
      <c r="E2405" s="9">
        <v>114782.734432846</v>
      </c>
      <c r="F2405" s="9">
        <v>76004.423427398695</v>
      </c>
      <c r="G2405" s="9">
        <v>114781.951575614</v>
      </c>
      <c r="H2405" s="9">
        <v>76004.374773711097</v>
      </c>
      <c r="I2405" s="21">
        <f t="shared" si="74"/>
        <v>-4.8653687597834505E-2</v>
      </c>
      <c r="J2405" s="21">
        <f t="shared" si="75"/>
        <v>-0.78285723199951462</v>
      </c>
    </row>
    <row r="2406" spans="1:10" hidden="1">
      <c r="A2406" t="s">
        <v>272</v>
      </c>
      <c r="B2406" t="s">
        <v>274</v>
      </c>
      <c r="C2406" s="18">
        <v>2030</v>
      </c>
      <c r="D2406" t="s">
        <v>185</v>
      </c>
      <c r="E2406" s="9">
        <v>275540.16177306802</v>
      </c>
      <c r="F2406" s="9">
        <v>257318.42632577801</v>
      </c>
      <c r="G2406" s="9">
        <v>275750.81654950802</v>
      </c>
      <c r="H2406" s="9">
        <v>257411.19778715901</v>
      </c>
      <c r="I2406" s="21">
        <f t="shared" si="74"/>
        <v>92.771461380994879</v>
      </c>
      <c r="J2406" s="21">
        <f t="shared" si="75"/>
        <v>210.65477644000202</v>
      </c>
    </row>
    <row r="2407" spans="1:10" hidden="1">
      <c r="A2407" t="s">
        <v>272</v>
      </c>
      <c r="B2407" t="s">
        <v>274</v>
      </c>
      <c r="C2407" s="18">
        <v>2030</v>
      </c>
      <c r="D2407" t="s">
        <v>188</v>
      </c>
      <c r="E2407" s="9">
        <v>636813.90552486503</v>
      </c>
      <c r="F2407" s="9">
        <v>368782.20863458101</v>
      </c>
      <c r="G2407" s="9">
        <v>638199.36722691404</v>
      </c>
      <c r="H2407" s="9">
        <v>368920.44347907702</v>
      </c>
      <c r="I2407" s="21">
        <f t="shared" si="74"/>
        <v>138.23484449600801</v>
      </c>
      <c r="J2407" s="21">
        <f t="shared" si="75"/>
        <v>1385.4617020490114</v>
      </c>
    </row>
    <row r="2408" spans="1:10" hidden="1">
      <c r="A2408" t="s">
        <v>272</v>
      </c>
      <c r="B2408" t="s">
        <v>274</v>
      </c>
      <c r="C2408" s="18">
        <v>2030</v>
      </c>
      <c r="D2408" t="s">
        <v>191</v>
      </c>
      <c r="E2408" s="9">
        <v>336884.78969396802</v>
      </c>
      <c r="F2408" s="9">
        <v>185390.48564029601</v>
      </c>
      <c r="G2408" s="9">
        <v>337374.94686633401</v>
      </c>
      <c r="H2408" s="9">
        <v>185442.493190957</v>
      </c>
      <c r="I2408" s="21">
        <f t="shared" si="74"/>
        <v>52.007550660986453</v>
      </c>
      <c r="J2408" s="21">
        <f t="shared" si="75"/>
        <v>490.15717236598721</v>
      </c>
    </row>
    <row r="2409" spans="1:10" hidden="1">
      <c r="A2409" t="s">
        <v>272</v>
      </c>
      <c r="B2409" t="s">
        <v>274</v>
      </c>
      <c r="C2409" s="18">
        <v>2030</v>
      </c>
      <c r="D2409" t="s">
        <v>422</v>
      </c>
      <c r="E2409" s="9">
        <v>38012.6755139581</v>
      </c>
      <c r="F2409" s="9">
        <v>4432.1169016498297</v>
      </c>
      <c r="G2409" s="9">
        <v>38012.673637756197</v>
      </c>
      <c r="H2409" s="9">
        <v>4432.1168533298996</v>
      </c>
      <c r="I2409" s="21">
        <f t="shared" si="74"/>
        <v>-4.8319930101570208E-5</v>
      </c>
      <c r="J2409" s="21">
        <f t="shared" si="75"/>
        <v>-1.8762019026326016E-3</v>
      </c>
    </row>
    <row r="2410" spans="1:10" hidden="1">
      <c r="A2410" t="s">
        <v>272</v>
      </c>
      <c r="B2410" t="s">
        <v>274</v>
      </c>
      <c r="C2410" s="18">
        <v>2031</v>
      </c>
      <c r="D2410" t="s">
        <v>174</v>
      </c>
      <c r="E2410" s="9">
        <v>14754.668115004701</v>
      </c>
      <c r="F2410" s="9">
        <v>10814.941320423401</v>
      </c>
      <c r="G2410" s="9">
        <v>14754.4294987798</v>
      </c>
      <c r="H2410" s="9">
        <v>10814.9178976517</v>
      </c>
      <c r="I2410" s="21">
        <f t="shared" si="74"/>
        <v>-2.342277170100715E-2</v>
      </c>
      <c r="J2410" s="21">
        <f t="shared" si="75"/>
        <v>-0.23861622490039736</v>
      </c>
    </row>
    <row r="2411" spans="1:10" hidden="1">
      <c r="A2411" t="s">
        <v>272</v>
      </c>
      <c r="B2411" t="s">
        <v>274</v>
      </c>
      <c r="C2411" s="18">
        <v>2031</v>
      </c>
      <c r="D2411" t="s">
        <v>236</v>
      </c>
      <c r="E2411" s="9">
        <v>1111844.6643793101</v>
      </c>
      <c r="F2411" s="9">
        <v>177392.73418974399</v>
      </c>
      <c r="G2411" s="9">
        <v>1113725.2263596801</v>
      </c>
      <c r="H2411" s="9">
        <v>177420.195676039</v>
      </c>
      <c r="I2411" s="21">
        <f t="shared" si="74"/>
        <v>27.461486295011127</v>
      </c>
      <c r="J2411" s="21">
        <f t="shared" si="75"/>
        <v>1880.5619803699665</v>
      </c>
    </row>
    <row r="2412" spans="1:10" hidden="1">
      <c r="A2412" t="s">
        <v>272</v>
      </c>
      <c r="B2412" t="s">
        <v>274</v>
      </c>
      <c r="C2412" s="18">
        <v>2031</v>
      </c>
      <c r="D2412" t="s">
        <v>182</v>
      </c>
      <c r="E2412" s="9">
        <v>115758.619160809</v>
      </c>
      <c r="F2412" s="9">
        <v>76556.808156176397</v>
      </c>
      <c r="G2412" s="9">
        <v>115757.018858842</v>
      </c>
      <c r="H2412" s="9">
        <v>76556.628013514899</v>
      </c>
      <c r="I2412" s="21">
        <f t="shared" si="74"/>
        <v>-0.18014266149839386</v>
      </c>
      <c r="J2412" s="21">
        <f t="shared" si="75"/>
        <v>-1.6003019670024514</v>
      </c>
    </row>
    <row r="2413" spans="1:10" hidden="1">
      <c r="A2413" t="s">
        <v>272</v>
      </c>
      <c r="B2413" t="s">
        <v>274</v>
      </c>
      <c r="C2413" s="18">
        <v>2031</v>
      </c>
      <c r="D2413" t="s">
        <v>185</v>
      </c>
      <c r="E2413" s="9">
        <v>274466.39671098097</v>
      </c>
      <c r="F2413" s="9">
        <v>257116.82782870301</v>
      </c>
      <c r="G2413" s="9">
        <v>274719.77758767002</v>
      </c>
      <c r="H2413" s="9">
        <v>257245.00548019301</v>
      </c>
      <c r="I2413" s="21">
        <f t="shared" si="74"/>
        <v>128.17765148999752</v>
      </c>
      <c r="J2413" s="21">
        <f t="shared" si="75"/>
        <v>253.38087668904336</v>
      </c>
    </row>
    <row r="2414" spans="1:10" hidden="1">
      <c r="A2414" t="s">
        <v>272</v>
      </c>
      <c r="B2414" t="s">
        <v>274</v>
      </c>
      <c r="C2414" s="18">
        <v>2031</v>
      </c>
      <c r="D2414" t="s">
        <v>188</v>
      </c>
      <c r="E2414" s="9">
        <v>644416.14426189405</v>
      </c>
      <c r="F2414" s="9">
        <v>373990.97646828101</v>
      </c>
      <c r="G2414" s="9">
        <v>646110.86416985898</v>
      </c>
      <c r="H2414" s="9">
        <v>374207.72907897399</v>
      </c>
      <c r="I2414" s="21">
        <f t="shared" si="74"/>
        <v>216.75261069298722</v>
      </c>
      <c r="J2414" s="21">
        <f t="shared" si="75"/>
        <v>1694.719907964929</v>
      </c>
    </row>
    <row r="2415" spans="1:10" hidden="1">
      <c r="A2415" t="s">
        <v>272</v>
      </c>
      <c r="B2415" t="s">
        <v>274</v>
      </c>
      <c r="C2415" s="18">
        <v>2031</v>
      </c>
      <c r="D2415" t="s">
        <v>191</v>
      </c>
      <c r="E2415" s="9">
        <v>338609.00599010801</v>
      </c>
      <c r="F2415" s="9">
        <v>184238.73927583999</v>
      </c>
      <c r="G2415" s="9">
        <v>339204.41915059398</v>
      </c>
      <c r="H2415" s="9">
        <v>184315.56237323501</v>
      </c>
      <c r="I2415" s="21">
        <f t="shared" si="74"/>
        <v>76.823097395012155</v>
      </c>
      <c r="J2415" s="21">
        <f t="shared" si="75"/>
        <v>595.41316048597218</v>
      </c>
    </row>
    <row r="2416" spans="1:10" hidden="1">
      <c r="A2416" t="s">
        <v>272</v>
      </c>
      <c r="B2416" t="s">
        <v>274</v>
      </c>
      <c r="C2416" s="18">
        <v>2031</v>
      </c>
      <c r="D2416" t="s">
        <v>422</v>
      </c>
      <c r="E2416" s="9">
        <v>38191.626474191798</v>
      </c>
      <c r="F2416" s="9">
        <v>4274.7274511320802</v>
      </c>
      <c r="G2416" s="9">
        <v>38191.6231000681</v>
      </c>
      <c r="H2416" s="9">
        <v>4274.7272932738097</v>
      </c>
      <c r="I2416" s="21">
        <f t="shared" si="74"/>
        <v>-1.5785827054060064E-4</v>
      </c>
      <c r="J2416" s="21">
        <f t="shared" si="75"/>
        <v>-3.3741236984496936E-3</v>
      </c>
    </row>
    <row r="2417" spans="1:10" hidden="1">
      <c r="A2417" t="s">
        <v>272</v>
      </c>
      <c r="B2417" t="s">
        <v>274</v>
      </c>
      <c r="C2417" s="18">
        <v>2032</v>
      </c>
      <c r="D2417" t="s">
        <v>174</v>
      </c>
      <c r="E2417" s="9">
        <v>15248.192551730101</v>
      </c>
      <c r="F2417" s="9">
        <v>11132.2371958489</v>
      </c>
      <c r="G2417" s="9">
        <v>15247.769190462001</v>
      </c>
      <c r="H2417" s="9">
        <v>11132.1787355836</v>
      </c>
      <c r="I2417" s="21">
        <f t="shared" si="74"/>
        <v>-5.8460265299800085E-2</v>
      </c>
      <c r="J2417" s="21">
        <f t="shared" si="75"/>
        <v>-0.42336126810005226</v>
      </c>
    </row>
    <row r="2418" spans="1:10" hidden="1">
      <c r="A2418" t="s">
        <v>272</v>
      </c>
      <c r="B2418" t="s">
        <v>274</v>
      </c>
      <c r="C2418" s="18">
        <v>2032</v>
      </c>
      <c r="D2418" t="s">
        <v>236</v>
      </c>
      <c r="E2418" s="9">
        <v>1124576.4180077901</v>
      </c>
      <c r="F2418" s="9">
        <v>185650.44140165101</v>
      </c>
      <c r="G2418" s="9">
        <v>1126783.31749171</v>
      </c>
      <c r="H2418" s="9">
        <v>185691.45221249</v>
      </c>
      <c r="I2418" s="21">
        <f t="shared" si="74"/>
        <v>41.010810838983161</v>
      </c>
      <c r="J2418" s="21">
        <f t="shared" si="75"/>
        <v>2206.8994839198422</v>
      </c>
    </row>
    <row r="2419" spans="1:10" hidden="1">
      <c r="A2419" t="s">
        <v>272</v>
      </c>
      <c r="B2419" t="s">
        <v>274</v>
      </c>
      <c r="C2419" s="18">
        <v>2032</v>
      </c>
      <c r="D2419" t="s">
        <v>182</v>
      </c>
      <c r="E2419" s="9">
        <v>116895.73607869699</v>
      </c>
      <c r="F2419" s="9">
        <v>77198.803528005097</v>
      </c>
      <c r="G2419" s="9">
        <v>116892.91249656001</v>
      </c>
      <c r="H2419" s="9">
        <v>77198.389307422098</v>
      </c>
      <c r="I2419" s="21">
        <f t="shared" si="74"/>
        <v>-0.41422058299940545</v>
      </c>
      <c r="J2419" s="21">
        <f t="shared" si="75"/>
        <v>-2.8235821369889891</v>
      </c>
    </row>
    <row r="2420" spans="1:10" hidden="1">
      <c r="A2420" t="s">
        <v>272</v>
      </c>
      <c r="B2420" t="s">
        <v>274</v>
      </c>
      <c r="C2420" s="18">
        <v>2032</v>
      </c>
      <c r="D2420" t="s">
        <v>185</v>
      </c>
      <c r="E2420" s="9">
        <v>274119.03146187903</v>
      </c>
      <c r="F2420" s="9">
        <v>256582.76823856699</v>
      </c>
      <c r="G2420" s="9">
        <v>274412.39342979901</v>
      </c>
      <c r="H2420" s="9">
        <v>256745.67636584101</v>
      </c>
      <c r="I2420" s="21">
        <f t="shared" si="74"/>
        <v>162.90812727401499</v>
      </c>
      <c r="J2420" s="21">
        <f t="shared" si="75"/>
        <v>293.36196791997645</v>
      </c>
    </row>
    <row r="2421" spans="1:10" hidden="1">
      <c r="A2421" t="s">
        <v>272</v>
      </c>
      <c r="B2421" t="s">
        <v>274</v>
      </c>
      <c r="C2421" s="18">
        <v>2032</v>
      </c>
      <c r="D2421" t="s">
        <v>188</v>
      </c>
      <c r="E2421" s="9">
        <v>652529.06707545905</v>
      </c>
      <c r="F2421" s="9">
        <v>379819.903273592</v>
      </c>
      <c r="G2421" s="9">
        <v>654519.81142038899</v>
      </c>
      <c r="H2421" s="9">
        <v>380127.64784866601</v>
      </c>
      <c r="I2421" s="21">
        <f t="shared" si="74"/>
        <v>307.74457507400075</v>
      </c>
      <c r="J2421" s="21">
        <f t="shared" si="75"/>
        <v>1990.7443449299317</v>
      </c>
    </row>
    <row r="2422" spans="1:10" hidden="1">
      <c r="A2422" t="s">
        <v>272</v>
      </c>
      <c r="B2422" t="s">
        <v>274</v>
      </c>
      <c r="C2422" s="18">
        <v>2032</v>
      </c>
      <c r="D2422" t="s">
        <v>191</v>
      </c>
      <c r="E2422" s="9">
        <v>340886.76937148598</v>
      </c>
      <c r="F2422" s="9">
        <v>183625.829523422</v>
      </c>
      <c r="G2422" s="9">
        <v>341581.65326776</v>
      </c>
      <c r="H2422" s="9">
        <v>183730.084212538</v>
      </c>
      <c r="I2422" s="21">
        <f t="shared" si="74"/>
        <v>104.25468911600183</v>
      </c>
      <c r="J2422" s="21">
        <f t="shared" si="75"/>
        <v>694.88389627402648</v>
      </c>
    </row>
    <row r="2423" spans="1:10" hidden="1">
      <c r="A2423" t="s">
        <v>272</v>
      </c>
      <c r="B2423" t="s">
        <v>274</v>
      </c>
      <c r="C2423" s="18">
        <v>2032</v>
      </c>
      <c r="D2423" t="s">
        <v>422</v>
      </c>
      <c r="E2423" s="9">
        <v>38037.557209913401</v>
      </c>
      <c r="F2423" s="9">
        <v>4125.7227931812804</v>
      </c>
      <c r="G2423" s="9">
        <v>38037.551792099897</v>
      </c>
      <c r="H2423" s="9">
        <v>4125.7224791710396</v>
      </c>
      <c r="I2423" s="21">
        <f t="shared" si="74"/>
        <v>-3.140102407996892E-4</v>
      </c>
      <c r="J2423" s="21">
        <f t="shared" si="75"/>
        <v>-5.4178135032998398E-3</v>
      </c>
    </row>
    <row r="2424" spans="1:10" hidden="1">
      <c r="A2424" t="s">
        <v>272</v>
      </c>
      <c r="B2424" t="s">
        <v>274</v>
      </c>
      <c r="C2424" s="18">
        <v>2033</v>
      </c>
      <c r="D2424" t="s">
        <v>174</v>
      </c>
      <c r="E2424" s="9">
        <v>15760.182737900899</v>
      </c>
      <c r="F2424" s="9">
        <v>11452.3204450021</v>
      </c>
      <c r="G2424" s="9">
        <v>15759.5151167894</v>
      </c>
      <c r="H2424" s="9">
        <v>11452.2049974033</v>
      </c>
      <c r="I2424" s="21">
        <f t="shared" si="74"/>
        <v>-0.11544759880052879</v>
      </c>
      <c r="J2424" s="21">
        <f t="shared" si="75"/>
        <v>-0.66762111149910197</v>
      </c>
    </row>
    <row r="2425" spans="1:10" hidden="1">
      <c r="A2425" t="s">
        <v>272</v>
      </c>
      <c r="B2425" t="s">
        <v>274</v>
      </c>
      <c r="C2425" s="18">
        <v>2033</v>
      </c>
      <c r="D2425" t="s">
        <v>236</v>
      </c>
      <c r="E2425" s="9">
        <v>1136755.29499315</v>
      </c>
      <c r="F2425" s="9">
        <v>193948.492685159</v>
      </c>
      <c r="G2425" s="9">
        <v>1139272.75378683</v>
      </c>
      <c r="H2425" s="9">
        <v>194005.60056651599</v>
      </c>
      <c r="I2425" s="21">
        <f t="shared" si="74"/>
        <v>57.107881356991129</v>
      </c>
      <c r="J2425" s="21">
        <f t="shared" si="75"/>
        <v>2517.4587936799508</v>
      </c>
    </row>
    <row r="2426" spans="1:10" hidden="1">
      <c r="A2426" t="s">
        <v>272</v>
      </c>
      <c r="B2426" t="s">
        <v>274</v>
      </c>
      <c r="C2426" s="18">
        <v>2033</v>
      </c>
      <c r="D2426" t="s">
        <v>182</v>
      </c>
      <c r="E2426" s="9">
        <v>118286.139993095</v>
      </c>
      <c r="F2426" s="9">
        <v>77917.935918625401</v>
      </c>
      <c r="G2426" s="9">
        <v>118281.82855902299</v>
      </c>
      <c r="H2426" s="9">
        <v>77917.162090690195</v>
      </c>
      <c r="I2426" s="21">
        <f t="shared" si="74"/>
        <v>-0.77382793520519044</v>
      </c>
      <c r="J2426" s="21">
        <f t="shared" si="75"/>
        <v>-4.3114340720057953</v>
      </c>
    </row>
    <row r="2427" spans="1:10" hidden="1">
      <c r="A2427" t="s">
        <v>272</v>
      </c>
      <c r="B2427" t="s">
        <v>274</v>
      </c>
      <c r="C2427" s="18">
        <v>2033</v>
      </c>
      <c r="D2427" t="s">
        <v>185</v>
      </c>
      <c r="E2427" s="9">
        <v>273563.51710787299</v>
      </c>
      <c r="F2427" s="9">
        <v>256458.52851457399</v>
      </c>
      <c r="G2427" s="9">
        <v>273893.528221021</v>
      </c>
      <c r="H2427" s="9">
        <v>256655.55902621101</v>
      </c>
      <c r="I2427" s="21">
        <f t="shared" si="74"/>
        <v>197.03051163701457</v>
      </c>
      <c r="J2427" s="21">
        <f t="shared" si="75"/>
        <v>330.01111314800801</v>
      </c>
    </row>
    <row r="2428" spans="1:10" hidden="1">
      <c r="A2428" t="s">
        <v>272</v>
      </c>
      <c r="B2428" t="s">
        <v>274</v>
      </c>
      <c r="C2428" s="18">
        <v>2033</v>
      </c>
      <c r="D2428" t="s">
        <v>188</v>
      </c>
      <c r="E2428" s="9">
        <v>661730.44166850299</v>
      </c>
      <c r="F2428" s="9">
        <v>386175.53022352798</v>
      </c>
      <c r="G2428" s="9">
        <v>664009.13874492398</v>
      </c>
      <c r="H2428" s="9">
        <v>386583.230936034</v>
      </c>
      <c r="I2428" s="21">
        <f t="shared" si="74"/>
        <v>407.70071250601904</v>
      </c>
      <c r="J2428" s="21">
        <f t="shared" si="75"/>
        <v>2278.6970764209982</v>
      </c>
    </row>
    <row r="2429" spans="1:10" hidden="1">
      <c r="A2429" t="s">
        <v>272</v>
      </c>
      <c r="B2429" t="s">
        <v>274</v>
      </c>
      <c r="C2429" s="18">
        <v>2033</v>
      </c>
      <c r="D2429" t="s">
        <v>191</v>
      </c>
      <c r="E2429" s="9">
        <v>344203.84642584203</v>
      </c>
      <c r="F2429" s="9">
        <v>183449.804207537</v>
      </c>
      <c r="G2429" s="9">
        <v>344995.26462988101</v>
      </c>
      <c r="H2429" s="9">
        <v>183583.04220271501</v>
      </c>
      <c r="I2429" s="21">
        <f t="shared" si="74"/>
        <v>133.23799517800217</v>
      </c>
      <c r="J2429" s="21">
        <f t="shared" si="75"/>
        <v>791.418204038986</v>
      </c>
    </row>
    <row r="2430" spans="1:10" hidden="1">
      <c r="A2430" t="s">
        <v>272</v>
      </c>
      <c r="B2430" t="s">
        <v>274</v>
      </c>
      <c r="C2430" s="18">
        <v>2033</v>
      </c>
      <c r="D2430" t="s">
        <v>422</v>
      </c>
      <c r="E2430" s="9">
        <v>37788.402988292502</v>
      </c>
      <c r="F2430" s="9">
        <v>3977.71487588951</v>
      </c>
      <c r="G2430" s="9">
        <v>37788.395913351</v>
      </c>
      <c r="H2430" s="9">
        <v>3977.7143757352601</v>
      </c>
      <c r="I2430" s="21">
        <f t="shared" si="74"/>
        <v>-5.0015424994853674E-4</v>
      </c>
      <c r="J2430" s="21">
        <f t="shared" si="75"/>
        <v>-7.0749415026511997E-3</v>
      </c>
    </row>
    <row r="2431" spans="1:10" hidden="1">
      <c r="A2431" t="s">
        <v>272</v>
      </c>
      <c r="B2431" t="s">
        <v>274</v>
      </c>
      <c r="C2431" s="18">
        <v>2034</v>
      </c>
      <c r="D2431" t="s">
        <v>174</v>
      </c>
      <c r="E2431" s="9">
        <v>16286.7387919761</v>
      </c>
      <c r="F2431" s="9">
        <v>11779.612790457</v>
      </c>
      <c r="G2431" s="9">
        <v>16285.764037622699</v>
      </c>
      <c r="H2431" s="9">
        <v>11779.4141755774</v>
      </c>
      <c r="I2431" s="21">
        <f t="shared" si="74"/>
        <v>-0.19861487960042723</v>
      </c>
      <c r="J2431" s="21">
        <f t="shared" si="75"/>
        <v>-0.97475435340129479</v>
      </c>
    </row>
    <row r="2432" spans="1:10" hidden="1">
      <c r="A2432" t="s">
        <v>272</v>
      </c>
      <c r="B2432" t="s">
        <v>274</v>
      </c>
      <c r="C2432" s="18">
        <v>2034</v>
      </c>
      <c r="D2432" t="s">
        <v>236</v>
      </c>
      <c r="E2432" s="9">
        <v>1148420.5749355301</v>
      </c>
      <c r="F2432" s="9">
        <v>202244.96013876001</v>
      </c>
      <c r="G2432" s="9">
        <v>1151232.62464015</v>
      </c>
      <c r="H2432" s="9">
        <v>202320.63612115101</v>
      </c>
      <c r="I2432" s="21">
        <f t="shared" si="74"/>
        <v>75.675982390996069</v>
      </c>
      <c r="J2432" s="21">
        <f t="shared" si="75"/>
        <v>2812.0497046199162</v>
      </c>
    </row>
    <row r="2433" spans="1:10" hidden="1">
      <c r="A2433" t="s">
        <v>272</v>
      </c>
      <c r="B2433" t="s">
        <v>274</v>
      </c>
      <c r="C2433" s="18">
        <v>2034</v>
      </c>
      <c r="D2433" t="s">
        <v>182</v>
      </c>
      <c r="E2433" s="9">
        <v>119179.822227444</v>
      </c>
      <c r="F2433" s="9">
        <v>78782.986098672307</v>
      </c>
      <c r="G2433" s="9">
        <v>119173.805374547</v>
      </c>
      <c r="H2433" s="9">
        <v>78781.723235872807</v>
      </c>
      <c r="I2433" s="21">
        <f t="shared" si="74"/>
        <v>-1.2628627994999988</v>
      </c>
      <c r="J2433" s="21">
        <f t="shared" si="75"/>
        <v>-6.0168528970098123</v>
      </c>
    </row>
    <row r="2434" spans="1:10" hidden="1">
      <c r="A2434" t="s">
        <v>272</v>
      </c>
      <c r="B2434" t="s">
        <v>274</v>
      </c>
      <c r="C2434" s="18">
        <v>2034</v>
      </c>
      <c r="D2434" t="s">
        <v>185</v>
      </c>
      <c r="E2434" s="9">
        <v>273305.60985740699</v>
      </c>
      <c r="F2434" s="9">
        <v>256523.311066914</v>
      </c>
      <c r="G2434" s="9">
        <v>273669.65020286699</v>
      </c>
      <c r="H2434" s="9">
        <v>256753.127116244</v>
      </c>
      <c r="I2434" s="21">
        <f t="shared" ref="I2434:I2497" si="76">H2434-F2434</f>
        <v>229.81604932999471</v>
      </c>
      <c r="J2434" s="21">
        <f t="shared" ref="J2434:J2497" si="77">G2434-E2434</f>
        <v>364.04034546000184</v>
      </c>
    </row>
    <row r="2435" spans="1:10" hidden="1">
      <c r="A2435" t="s">
        <v>272</v>
      </c>
      <c r="B2435" t="s">
        <v>274</v>
      </c>
      <c r="C2435" s="18">
        <v>2034</v>
      </c>
      <c r="D2435" t="s">
        <v>188</v>
      </c>
      <c r="E2435" s="9">
        <v>667024.256302736</v>
      </c>
      <c r="F2435" s="9">
        <v>393291.00122808898</v>
      </c>
      <c r="G2435" s="9">
        <v>669565.09186596901</v>
      </c>
      <c r="H2435" s="9">
        <v>393806.92012191401</v>
      </c>
      <c r="I2435" s="21">
        <f t="shared" si="76"/>
        <v>515.91889382502995</v>
      </c>
      <c r="J2435" s="21">
        <f t="shared" si="77"/>
        <v>2540.8355632330058</v>
      </c>
    </row>
    <row r="2436" spans="1:10" hidden="1">
      <c r="A2436" t="s">
        <v>272</v>
      </c>
      <c r="B2436" t="s">
        <v>274</v>
      </c>
      <c r="C2436" s="18">
        <v>2034</v>
      </c>
      <c r="D2436" t="s">
        <v>191</v>
      </c>
      <c r="E2436" s="9">
        <v>345049.48181850102</v>
      </c>
      <c r="F2436" s="9">
        <v>184637.42987130399</v>
      </c>
      <c r="G2436" s="9">
        <v>345926.396497523</v>
      </c>
      <c r="H2436" s="9">
        <v>184800.88501932399</v>
      </c>
      <c r="I2436" s="21">
        <f t="shared" si="76"/>
        <v>163.45514802000253</v>
      </c>
      <c r="J2436" s="21">
        <f t="shared" si="77"/>
        <v>876.91467902198201</v>
      </c>
    </row>
    <row r="2437" spans="1:10" hidden="1">
      <c r="A2437" t="s">
        <v>272</v>
      </c>
      <c r="B2437" t="s">
        <v>274</v>
      </c>
      <c r="C2437" s="18">
        <v>2034</v>
      </c>
      <c r="D2437" t="s">
        <v>422</v>
      </c>
      <c r="E2437" s="9">
        <v>37391.127952843999</v>
      </c>
      <c r="F2437" s="9">
        <v>3849.4371073800098</v>
      </c>
      <c r="G2437" s="9">
        <v>37391.118979539897</v>
      </c>
      <c r="H2437" s="9">
        <v>3849.43642407178</v>
      </c>
      <c r="I2437" s="21">
        <f t="shared" si="76"/>
        <v>-6.8330822978168726E-4</v>
      </c>
      <c r="J2437" s="21">
        <f t="shared" si="77"/>
        <v>-8.9733041022554971E-3</v>
      </c>
    </row>
    <row r="2438" spans="1:10" hidden="1">
      <c r="A2438" t="s">
        <v>272</v>
      </c>
      <c r="B2438" t="s">
        <v>274</v>
      </c>
      <c r="C2438" s="18">
        <v>2035</v>
      </c>
      <c r="D2438" t="s">
        <v>174</v>
      </c>
      <c r="E2438" s="9">
        <v>16831.990139497499</v>
      </c>
      <c r="F2438" s="9">
        <v>12113.125891465899</v>
      </c>
      <c r="G2438" s="9">
        <v>16830.6420972909</v>
      </c>
      <c r="H2438" s="9">
        <v>12112.814364394</v>
      </c>
      <c r="I2438" s="21">
        <f t="shared" si="76"/>
        <v>-0.31152707189903595</v>
      </c>
      <c r="J2438" s="21">
        <f t="shared" si="77"/>
        <v>-1.3480422065986204</v>
      </c>
    </row>
    <row r="2439" spans="1:10" hidden="1">
      <c r="A2439" t="s">
        <v>272</v>
      </c>
      <c r="B2439" t="s">
        <v>274</v>
      </c>
      <c r="C2439" s="18">
        <v>2035</v>
      </c>
      <c r="D2439" t="s">
        <v>236</v>
      </c>
      <c r="E2439" s="9">
        <v>1159686.3608085499</v>
      </c>
      <c r="F2439" s="9">
        <v>210530.787014659</v>
      </c>
      <c r="G2439" s="9">
        <v>1162777.28327874</v>
      </c>
      <c r="H2439" s="9">
        <v>210627.422792314</v>
      </c>
      <c r="I2439" s="21">
        <f t="shared" si="76"/>
        <v>96.635777654999401</v>
      </c>
      <c r="J2439" s="21">
        <f t="shared" si="77"/>
        <v>3090.9224701900966</v>
      </c>
    </row>
    <row r="2440" spans="1:10" hidden="1">
      <c r="A2440" t="s">
        <v>272</v>
      </c>
      <c r="B2440" t="s">
        <v>274</v>
      </c>
      <c r="C2440" s="18">
        <v>2035</v>
      </c>
      <c r="D2440" t="s">
        <v>182</v>
      </c>
      <c r="E2440" s="9">
        <v>120807.06714285001</v>
      </c>
      <c r="F2440" s="9">
        <v>79458.513718007103</v>
      </c>
      <c r="G2440" s="9">
        <v>120799.065903184</v>
      </c>
      <c r="H2440" s="9">
        <v>79456.632421187605</v>
      </c>
      <c r="I2440" s="21">
        <f t="shared" si="76"/>
        <v>-1.8812968194979476</v>
      </c>
      <c r="J2440" s="21">
        <f t="shared" si="77"/>
        <v>-8.0012396660022205</v>
      </c>
    </row>
    <row r="2441" spans="1:10" hidden="1">
      <c r="A2441" t="s">
        <v>272</v>
      </c>
      <c r="B2441" t="s">
        <v>274</v>
      </c>
      <c r="C2441" s="18">
        <v>2035</v>
      </c>
      <c r="D2441" t="s">
        <v>185</v>
      </c>
      <c r="E2441" s="9">
        <v>272950.17167177401</v>
      </c>
      <c r="F2441" s="9">
        <v>256546.20316819701</v>
      </c>
      <c r="G2441" s="9">
        <v>273345.36006293801</v>
      </c>
      <c r="H2441" s="9">
        <v>256807.53223008101</v>
      </c>
      <c r="I2441" s="21">
        <f t="shared" si="76"/>
        <v>261.32906188399647</v>
      </c>
      <c r="J2441" s="21">
        <f t="shared" si="77"/>
        <v>395.18839116400341</v>
      </c>
    </row>
    <row r="2442" spans="1:10" hidden="1">
      <c r="A2442" t="s">
        <v>272</v>
      </c>
      <c r="B2442" t="s">
        <v>274</v>
      </c>
      <c r="C2442" s="18">
        <v>2035</v>
      </c>
      <c r="D2442" t="s">
        <v>188</v>
      </c>
      <c r="E2442" s="9">
        <v>675833.84331458597</v>
      </c>
      <c r="F2442" s="9">
        <v>398862.18603563699</v>
      </c>
      <c r="G2442" s="9">
        <v>678638.43452144298</v>
      </c>
      <c r="H2442" s="9">
        <v>399492.95053299802</v>
      </c>
      <c r="I2442" s="21">
        <f t="shared" si="76"/>
        <v>630.7644973610295</v>
      </c>
      <c r="J2442" s="21">
        <f t="shared" si="77"/>
        <v>2804.5912068570033</v>
      </c>
    </row>
    <row r="2443" spans="1:10" hidden="1">
      <c r="A2443" t="s">
        <v>272</v>
      </c>
      <c r="B2443" t="s">
        <v>274</v>
      </c>
      <c r="C2443" s="18">
        <v>2035</v>
      </c>
      <c r="D2443" t="s">
        <v>191</v>
      </c>
      <c r="E2443" s="9">
        <v>348182.65877492202</v>
      </c>
      <c r="F2443" s="9">
        <v>185171.11693192099</v>
      </c>
      <c r="G2443" s="9">
        <v>349146.06245576398</v>
      </c>
      <c r="H2443" s="9">
        <v>185365.76110357899</v>
      </c>
      <c r="I2443" s="21">
        <f t="shared" si="76"/>
        <v>194.64417165800114</v>
      </c>
      <c r="J2443" s="21">
        <f t="shared" si="77"/>
        <v>963.40368084196234</v>
      </c>
    </row>
    <row r="2444" spans="1:10" hidden="1">
      <c r="A2444" t="s">
        <v>272</v>
      </c>
      <c r="B2444" t="s">
        <v>274</v>
      </c>
      <c r="C2444" s="18">
        <v>2035</v>
      </c>
      <c r="D2444" t="s">
        <v>422</v>
      </c>
      <c r="E2444" s="9">
        <v>37274.408772426301</v>
      </c>
      <c r="F2444" s="9">
        <v>3710.43263669815</v>
      </c>
      <c r="G2444" s="9">
        <v>37274.397901844597</v>
      </c>
      <c r="H2444" s="9">
        <v>3710.43177455469</v>
      </c>
      <c r="I2444" s="21">
        <f t="shared" si="76"/>
        <v>-8.6214345992630115E-4</v>
      </c>
      <c r="J2444" s="21">
        <f t="shared" si="77"/>
        <v>-1.087058170378441E-2</v>
      </c>
    </row>
    <row r="2445" spans="1:10" hidden="1">
      <c r="A2445" t="s">
        <v>272</v>
      </c>
      <c r="B2445" t="s">
        <v>274</v>
      </c>
      <c r="C2445" s="18">
        <v>2036</v>
      </c>
      <c r="D2445" t="s">
        <v>174</v>
      </c>
      <c r="E2445" s="9">
        <v>17394.401920991299</v>
      </c>
      <c r="F2445" s="9">
        <v>12453.3213942027</v>
      </c>
      <c r="G2445" s="9">
        <v>17392.609904070101</v>
      </c>
      <c r="H2445" s="9">
        <v>12452.864013751599</v>
      </c>
      <c r="I2445" s="21">
        <f t="shared" si="76"/>
        <v>-0.45738045110010717</v>
      </c>
      <c r="J2445" s="21">
        <f t="shared" si="77"/>
        <v>-1.7920169211975008</v>
      </c>
    </row>
    <row r="2446" spans="1:10" hidden="1">
      <c r="A2446" t="s">
        <v>272</v>
      </c>
      <c r="B2446" t="s">
        <v>274</v>
      </c>
      <c r="C2446" s="18">
        <v>2036</v>
      </c>
      <c r="D2446" t="s">
        <v>236</v>
      </c>
      <c r="E2446" s="9">
        <v>1170730.63657571</v>
      </c>
      <c r="F2446" s="9">
        <v>218786.747156258</v>
      </c>
      <c r="G2446" s="9">
        <v>1174085.51289072</v>
      </c>
      <c r="H2446" s="9">
        <v>218906.62344450099</v>
      </c>
      <c r="I2446" s="21">
        <f t="shared" si="76"/>
        <v>119.87628824298736</v>
      </c>
      <c r="J2446" s="21">
        <f t="shared" si="77"/>
        <v>3354.8763150100131</v>
      </c>
    </row>
    <row r="2447" spans="1:10" hidden="1">
      <c r="A2447" t="s">
        <v>272</v>
      </c>
      <c r="B2447" t="s">
        <v>274</v>
      </c>
      <c r="C2447" s="18">
        <v>2036</v>
      </c>
      <c r="D2447" t="s">
        <v>182</v>
      </c>
      <c r="E2447" s="9">
        <v>122628.572767568</v>
      </c>
      <c r="F2447" s="9">
        <v>80305.480644906405</v>
      </c>
      <c r="G2447" s="9">
        <v>122618.320312187</v>
      </c>
      <c r="H2447" s="9">
        <v>80302.842995522602</v>
      </c>
      <c r="I2447" s="21">
        <f t="shared" si="76"/>
        <v>-2.6376493838033639</v>
      </c>
      <c r="J2447" s="21">
        <f t="shared" si="77"/>
        <v>-10.252455380992615</v>
      </c>
    </row>
    <row r="2448" spans="1:10" hidden="1">
      <c r="A2448" t="s">
        <v>272</v>
      </c>
      <c r="B2448" t="s">
        <v>274</v>
      </c>
      <c r="C2448" s="18">
        <v>2036</v>
      </c>
      <c r="D2448" t="s">
        <v>185</v>
      </c>
      <c r="E2448" s="9">
        <v>272873.47031599202</v>
      </c>
      <c r="F2448" s="9">
        <v>256642.048166961</v>
      </c>
      <c r="G2448" s="9">
        <v>273297.56982222799</v>
      </c>
      <c r="H2448" s="9">
        <v>256933.39822934201</v>
      </c>
      <c r="I2448" s="21">
        <f t="shared" si="76"/>
        <v>291.3500623810105</v>
      </c>
      <c r="J2448" s="21">
        <f t="shared" si="77"/>
        <v>424.09950623597251</v>
      </c>
    </row>
    <row r="2449" spans="1:10" hidden="1">
      <c r="A2449" t="s">
        <v>272</v>
      </c>
      <c r="B2449" t="s">
        <v>274</v>
      </c>
      <c r="C2449" s="18">
        <v>2036</v>
      </c>
      <c r="D2449" t="s">
        <v>188</v>
      </c>
      <c r="E2449" s="9">
        <v>685134.346149627</v>
      </c>
      <c r="F2449" s="9">
        <v>405240.24787244602</v>
      </c>
      <c r="G2449" s="9">
        <v>688194.68447559199</v>
      </c>
      <c r="H2449" s="9">
        <v>405992.65349387802</v>
      </c>
      <c r="I2449" s="21">
        <f t="shared" si="76"/>
        <v>752.40562143200077</v>
      </c>
      <c r="J2449" s="21">
        <f t="shared" si="77"/>
        <v>3060.3383259649854</v>
      </c>
    </row>
    <row r="2450" spans="1:10" hidden="1">
      <c r="A2450" t="s">
        <v>272</v>
      </c>
      <c r="B2450" t="s">
        <v>274</v>
      </c>
      <c r="C2450" s="18">
        <v>2036</v>
      </c>
      <c r="D2450" t="s">
        <v>191</v>
      </c>
      <c r="E2450" s="9">
        <v>351556.64839158102</v>
      </c>
      <c r="F2450" s="9">
        <v>186190.94961524601</v>
      </c>
      <c r="G2450" s="9">
        <v>352603.07171420398</v>
      </c>
      <c r="H2450" s="9">
        <v>186417.92722248001</v>
      </c>
      <c r="I2450" s="21">
        <f t="shared" si="76"/>
        <v>226.97760723400279</v>
      </c>
      <c r="J2450" s="21">
        <f t="shared" si="77"/>
        <v>1046.4233226229553</v>
      </c>
    </row>
    <row r="2451" spans="1:10" hidden="1">
      <c r="A2451" t="s">
        <v>272</v>
      </c>
      <c r="B2451" t="s">
        <v>274</v>
      </c>
      <c r="C2451" s="18">
        <v>2036</v>
      </c>
      <c r="D2451" t="s">
        <v>422</v>
      </c>
      <c r="E2451" s="9">
        <v>37283.0400543141</v>
      </c>
      <c r="F2451" s="9">
        <v>3578.66109346434</v>
      </c>
      <c r="G2451" s="9">
        <v>37283.027629395598</v>
      </c>
      <c r="H2451" s="9">
        <v>3578.66006488627</v>
      </c>
      <c r="I2451" s="21">
        <f t="shared" si="76"/>
        <v>-1.0285780699632596E-3</v>
      </c>
      <c r="J2451" s="21">
        <f t="shared" si="77"/>
        <v>-1.2424918502802029E-2</v>
      </c>
    </row>
    <row r="2452" spans="1:10" hidden="1">
      <c r="A2452" t="s">
        <v>272</v>
      </c>
      <c r="B2452" t="s">
        <v>274</v>
      </c>
      <c r="C2452" s="18">
        <v>2037</v>
      </c>
      <c r="D2452" t="s">
        <v>174</v>
      </c>
      <c r="E2452" s="9">
        <v>17973.794436280001</v>
      </c>
      <c r="F2452" s="9">
        <v>12800.1185800197</v>
      </c>
      <c r="G2452" s="9">
        <v>17971.482864064201</v>
      </c>
      <c r="H2452" s="9">
        <v>12799.479454561601</v>
      </c>
      <c r="I2452" s="21">
        <f t="shared" si="76"/>
        <v>-0.63912545809944277</v>
      </c>
      <c r="J2452" s="21">
        <f t="shared" si="77"/>
        <v>-2.3115722157999699</v>
      </c>
    </row>
    <row r="2453" spans="1:10" hidden="1">
      <c r="A2453" t="s">
        <v>272</v>
      </c>
      <c r="B2453" t="s">
        <v>274</v>
      </c>
      <c r="C2453" s="18">
        <v>2037</v>
      </c>
      <c r="D2453" t="s">
        <v>236</v>
      </c>
      <c r="E2453" s="9">
        <v>1181660.08560611</v>
      </c>
      <c r="F2453" s="9">
        <v>227000.552942157</v>
      </c>
      <c r="G2453" s="9">
        <v>1185264.7438497699</v>
      </c>
      <c r="H2453" s="9">
        <v>227145.85064844001</v>
      </c>
      <c r="I2453" s="21">
        <f t="shared" si="76"/>
        <v>145.29770628301776</v>
      </c>
      <c r="J2453" s="21">
        <f t="shared" si="77"/>
        <v>3604.6582436598837</v>
      </c>
    </row>
    <row r="2454" spans="1:10" hidden="1">
      <c r="A2454" t="s">
        <v>272</v>
      </c>
      <c r="B2454" t="s">
        <v>274</v>
      </c>
      <c r="C2454" s="18">
        <v>2037</v>
      </c>
      <c r="D2454" t="s">
        <v>182</v>
      </c>
      <c r="E2454" s="9">
        <v>124502.43757666201</v>
      </c>
      <c r="F2454" s="9">
        <v>81248.230462759195</v>
      </c>
      <c r="G2454" s="9">
        <v>124489.42976024401</v>
      </c>
      <c r="H2454" s="9">
        <v>81244.691389584303</v>
      </c>
      <c r="I2454" s="21">
        <f t="shared" si="76"/>
        <v>-3.5390731748921098</v>
      </c>
      <c r="J2454" s="21">
        <f t="shared" si="77"/>
        <v>-13.007816418001312</v>
      </c>
    </row>
    <row r="2455" spans="1:10" hidden="1">
      <c r="A2455" t="s">
        <v>272</v>
      </c>
      <c r="B2455" t="s">
        <v>274</v>
      </c>
      <c r="C2455" s="18">
        <v>2037</v>
      </c>
      <c r="D2455" t="s">
        <v>185</v>
      </c>
      <c r="E2455" s="9">
        <v>272752.13534357701</v>
      </c>
      <c r="F2455" s="9">
        <v>256751.15452040601</v>
      </c>
      <c r="G2455" s="9">
        <v>273202.80227406899</v>
      </c>
      <c r="H2455" s="9">
        <v>257070.97314913399</v>
      </c>
      <c r="I2455" s="21">
        <f t="shared" si="76"/>
        <v>319.81862872798229</v>
      </c>
      <c r="J2455" s="21">
        <f t="shared" si="77"/>
        <v>450.66693049197784</v>
      </c>
    </row>
    <row r="2456" spans="1:10" hidden="1">
      <c r="A2456" t="s">
        <v>272</v>
      </c>
      <c r="B2456" t="s">
        <v>274</v>
      </c>
      <c r="C2456" s="18">
        <v>2037</v>
      </c>
      <c r="D2456" t="s">
        <v>188</v>
      </c>
      <c r="E2456" s="9">
        <v>694753.04362743604</v>
      </c>
      <c r="F2456" s="9">
        <v>412138.52039841801</v>
      </c>
      <c r="G2456" s="9">
        <v>698060.50212694705</v>
      </c>
      <c r="H2456" s="9">
        <v>413018.343093551</v>
      </c>
      <c r="I2456" s="21">
        <f t="shared" si="76"/>
        <v>879.82269513298525</v>
      </c>
      <c r="J2456" s="21">
        <f t="shared" si="77"/>
        <v>3307.4584995110054</v>
      </c>
    </row>
    <row r="2457" spans="1:10" hidden="1">
      <c r="A2457" t="s">
        <v>272</v>
      </c>
      <c r="B2457" t="s">
        <v>274</v>
      </c>
      <c r="C2457" s="18">
        <v>2037</v>
      </c>
      <c r="D2457" t="s">
        <v>191</v>
      </c>
      <c r="E2457" s="9">
        <v>355299.75144766603</v>
      </c>
      <c r="F2457" s="9">
        <v>187527.650130822</v>
      </c>
      <c r="G2457" s="9">
        <v>356425.67891865398</v>
      </c>
      <c r="H2457" s="9">
        <v>187788.31252848901</v>
      </c>
      <c r="I2457" s="21">
        <f t="shared" si="76"/>
        <v>260.66239766700892</v>
      </c>
      <c r="J2457" s="21">
        <f t="shared" si="77"/>
        <v>1125.9274709879537</v>
      </c>
    </row>
    <row r="2458" spans="1:10" hidden="1">
      <c r="A2458" t="s">
        <v>272</v>
      </c>
      <c r="B2458" t="s">
        <v>274</v>
      </c>
      <c r="C2458" s="18">
        <v>2037</v>
      </c>
      <c r="D2458" t="s">
        <v>422</v>
      </c>
      <c r="E2458" s="9">
        <v>36837.290277802502</v>
      </c>
      <c r="F2458" s="9">
        <v>3450.1958214543101</v>
      </c>
      <c r="G2458" s="9">
        <v>36837.277480763201</v>
      </c>
      <c r="H2458" s="9">
        <v>3450.1946557369902</v>
      </c>
      <c r="I2458" s="21">
        <f t="shared" si="76"/>
        <v>-1.1657173199637327E-3</v>
      </c>
      <c r="J2458" s="21">
        <f t="shared" si="77"/>
        <v>-1.2797039300494362E-2</v>
      </c>
    </row>
    <row r="2459" spans="1:10" hidden="1">
      <c r="A2459" t="s">
        <v>272</v>
      </c>
      <c r="B2459" t="s">
        <v>274</v>
      </c>
      <c r="C2459" s="18">
        <v>2038</v>
      </c>
      <c r="D2459" t="s">
        <v>174</v>
      </c>
      <c r="E2459" s="9">
        <v>18567.6435543144</v>
      </c>
      <c r="F2459" s="9">
        <v>13156.4633544686</v>
      </c>
      <c r="G2459" s="9">
        <v>18564.7325343064</v>
      </c>
      <c r="H2459" s="9">
        <v>13155.6038503287</v>
      </c>
      <c r="I2459" s="21">
        <f t="shared" si="76"/>
        <v>-0.85950413990030938</v>
      </c>
      <c r="J2459" s="21">
        <f t="shared" si="77"/>
        <v>-2.9110200079994684</v>
      </c>
    </row>
    <row r="2460" spans="1:10" hidden="1">
      <c r="A2460" t="s">
        <v>272</v>
      </c>
      <c r="B2460" t="s">
        <v>274</v>
      </c>
      <c r="C2460" s="18">
        <v>2038</v>
      </c>
      <c r="D2460" t="s">
        <v>236</v>
      </c>
      <c r="E2460" s="9">
        <v>1192475.1295423501</v>
      </c>
      <c r="F2460" s="9">
        <v>235156.79259028001</v>
      </c>
      <c r="G2460" s="9">
        <v>1196314.5451145701</v>
      </c>
      <c r="H2460" s="9">
        <v>235329.60149861901</v>
      </c>
      <c r="I2460" s="21">
        <f t="shared" si="76"/>
        <v>172.80890833900776</v>
      </c>
      <c r="J2460" s="21">
        <f t="shared" si="77"/>
        <v>3839.4155722199939</v>
      </c>
    </row>
    <row r="2461" spans="1:10" hidden="1">
      <c r="A2461" t="s">
        <v>272</v>
      </c>
      <c r="B2461" t="s">
        <v>274</v>
      </c>
      <c r="C2461" s="18">
        <v>2038</v>
      </c>
      <c r="D2461" t="s">
        <v>182</v>
      </c>
      <c r="E2461" s="9">
        <v>126571.866761467</v>
      </c>
      <c r="F2461" s="9">
        <v>82258.531278267095</v>
      </c>
      <c r="G2461" s="9">
        <v>126555.833855502</v>
      </c>
      <c r="H2461" s="9">
        <v>82253.930841494002</v>
      </c>
      <c r="I2461" s="21">
        <f t="shared" si="76"/>
        <v>-4.6004367730929516</v>
      </c>
      <c r="J2461" s="21">
        <f t="shared" si="77"/>
        <v>-16.032905964995734</v>
      </c>
    </row>
    <row r="2462" spans="1:10" hidden="1">
      <c r="A2462" t="s">
        <v>272</v>
      </c>
      <c r="B2462" t="s">
        <v>274</v>
      </c>
      <c r="C2462" s="18">
        <v>2038</v>
      </c>
      <c r="D2462" t="s">
        <v>185</v>
      </c>
      <c r="E2462" s="9">
        <v>272560.68964270502</v>
      </c>
      <c r="F2462" s="9">
        <v>256784.11743314899</v>
      </c>
      <c r="G2462" s="9">
        <v>273035.370644084</v>
      </c>
      <c r="H2462" s="9">
        <v>257130.676610817</v>
      </c>
      <c r="I2462" s="21">
        <f t="shared" si="76"/>
        <v>346.55917766800849</v>
      </c>
      <c r="J2462" s="21">
        <f t="shared" si="77"/>
        <v>474.68100137898</v>
      </c>
    </row>
    <row r="2463" spans="1:10" hidden="1">
      <c r="A2463" t="s">
        <v>272</v>
      </c>
      <c r="B2463" t="s">
        <v>274</v>
      </c>
      <c r="C2463" s="18">
        <v>2038</v>
      </c>
      <c r="D2463" t="s">
        <v>188</v>
      </c>
      <c r="E2463" s="9">
        <v>705126.45468359801</v>
      </c>
      <c r="F2463" s="9">
        <v>419434.437532029</v>
      </c>
      <c r="G2463" s="9">
        <v>708674.57496129896</v>
      </c>
      <c r="H2463" s="9">
        <v>420445.264129068</v>
      </c>
      <c r="I2463" s="21">
        <f t="shared" si="76"/>
        <v>1010.8265970390057</v>
      </c>
      <c r="J2463" s="21">
        <f t="shared" si="77"/>
        <v>3548.1202777009457</v>
      </c>
    </row>
    <row r="2464" spans="1:10" hidden="1">
      <c r="A2464" t="s">
        <v>272</v>
      </c>
      <c r="B2464" t="s">
        <v>274</v>
      </c>
      <c r="C2464" s="18">
        <v>2038</v>
      </c>
      <c r="D2464" t="s">
        <v>191</v>
      </c>
      <c r="E2464" s="9">
        <v>359697.08108186902</v>
      </c>
      <c r="F2464" s="9">
        <v>189052.35715012799</v>
      </c>
      <c r="G2464" s="9">
        <v>360900.93527344998</v>
      </c>
      <c r="H2464" s="9">
        <v>189347.42226660499</v>
      </c>
      <c r="I2464" s="21">
        <f t="shared" si="76"/>
        <v>295.06511647699517</v>
      </c>
      <c r="J2464" s="21">
        <f t="shared" si="77"/>
        <v>1203.8541915809619</v>
      </c>
    </row>
    <row r="2465" spans="1:10" hidden="1">
      <c r="A2465" t="s">
        <v>272</v>
      </c>
      <c r="B2465" t="s">
        <v>274</v>
      </c>
      <c r="C2465" s="18">
        <v>2038</v>
      </c>
      <c r="D2465" t="s">
        <v>422</v>
      </c>
      <c r="E2465" s="9">
        <v>36551.454213594297</v>
      </c>
      <c r="F2465" s="9">
        <v>3322.82280903628</v>
      </c>
      <c r="G2465" s="9">
        <v>36551.441257778999</v>
      </c>
      <c r="H2465" s="9">
        <v>3322.8215744210102</v>
      </c>
      <c r="I2465" s="21">
        <f t="shared" si="76"/>
        <v>-1.2346152698228252E-3</v>
      </c>
      <c r="J2465" s="21">
        <f t="shared" si="77"/>
        <v>-1.2955815298482776E-2</v>
      </c>
    </row>
    <row r="2466" spans="1:10" hidden="1">
      <c r="A2466" t="s">
        <v>272</v>
      </c>
      <c r="B2466" t="s">
        <v>274</v>
      </c>
      <c r="C2466" s="18">
        <v>2039</v>
      </c>
      <c r="D2466" t="s">
        <v>174</v>
      </c>
      <c r="E2466" s="9">
        <v>19177.941957216099</v>
      </c>
      <c r="F2466" s="9">
        <v>13517.900170463699</v>
      </c>
      <c r="G2466" s="9">
        <v>19174.345745902901</v>
      </c>
      <c r="H2466" s="9">
        <v>13516.7785061579</v>
      </c>
      <c r="I2466" s="21">
        <f t="shared" si="76"/>
        <v>-1.1216643057996407</v>
      </c>
      <c r="J2466" s="21">
        <f t="shared" si="77"/>
        <v>-3.5962113131972728</v>
      </c>
    </row>
    <row r="2467" spans="1:10" hidden="1">
      <c r="A2467" t="s">
        <v>272</v>
      </c>
      <c r="B2467" t="s">
        <v>274</v>
      </c>
      <c r="C2467" s="18">
        <v>2039</v>
      </c>
      <c r="D2467" t="s">
        <v>236</v>
      </c>
      <c r="E2467" s="9">
        <v>1202866.2104697099</v>
      </c>
      <c r="F2467" s="9">
        <v>243281.05881235501</v>
      </c>
      <c r="G2467" s="9">
        <v>1206925.78308321</v>
      </c>
      <c r="H2467" s="9">
        <v>243483.36403446301</v>
      </c>
      <c r="I2467" s="21">
        <f t="shared" si="76"/>
        <v>202.30522210799973</v>
      </c>
      <c r="J2467" s="21">
        <f t="shared" si="77"/>
        <v>4059.5726135000587</v>
      </c>
    </row>
    <row r="2468" spans="1:10" hidden="1">
      <c r="A2468" t="s">
        <v>272</v>
      </c>
      <c r="B2468" t="s">
        <v>274</v>
      </c>
      <c r="C2468" s="18">
        <v>2039</v>
      </c>
      <c r="D2468" t="s">
        <v>182</v>
      </c>
      <c r="E2468" s="9">
        <v>128020.56477596601</v>
      </c>
      <c r="F2468" s="9">
        <v>83395.008882624694</v>
      </c>
      <c r="G2468" s="9">
        <v>128001.347826374</v>
      </c>
      <c r="H2468" s="9">
        <v>83389.180958792305</v>
      </c>
      <c r="I2468" s="21">
        <f t="shared" si="76"/>
        <v>-5.8279238323884783</v>
      </c>
      <c r="J2468" s="21">
        <f t="shared" si="77"/>
        <v>-19.216949592009769</v>
      </c>
    </row>
    <row r="2469" spans="1:10" hidden="1">
      <c r="A2469" t="s">
        <v>272</v>
      </c>
      <c r="B2469" t="s">
        <v>274</v>
      </c>
      <c r="C2469" s="18">
        <v>2039</v>
      </c>
      <c r="D2469" t="s">
        <v>185</v>
      </c>
      <c r="E2469" s="9">
        <v>272476.62613907299</v>
      </c>
      <c r="F2469" s="9">
        <v>257070.050124942</v>
      </c>
      <c r="G2469" s="9">
        <v>272973.34550101002</v>
      </c>
      <c r="H2469" s="9">
        <v>257441.86914336999</v>
      </c>
      <c r="I2469" s="21">
        <f t="shared" si="76"/>
        <v>371.81901842798106</v>
      </c>
      <c r="J2469" s="21">
        <f t="shared" si="77"/>
        <v>496.71936193702277</v>
      </c>
    </row>
    <row r="2470" spans="1:10" hidden="1">
      <c r="A2470" t="s">
        <v>272</v>
      </c>
      <c r="B2470" t="s">
        <v>274</v>
      </c>
      <c r="C2470" s="18">
        <v>2039</v>
      </c>
      <c r="D2470" t="s">
        <v>188</v>
      </c>
      <c r="E2470" s="9">
        <v>711820.43269244605</v>
      </c>
      <c r="F2470" s="9">
        <v>427298.817371507</v>
      </c>
      <c r="G2470" s="9">
        <v>715580.88708538504</v>
      </c>
      <c r="H2470" s="9">
        <v>428444.56848174502</v>
      </c>
      <c r="I2470" s="21">
        <f t="shared" si="76"/>
        <v>1145.7511102380231</v>
      </c>
      <c r="J2470" s="21">
        <f t="shared" si="77"/>
        <v>3760.4543929389911</v>
      </c>
    </row>
    <row r="2471" spans="1:10" hidden="1">
      <c r="A2471" t="s">
        <v>272</v>
      </c>
      <c r="B2471" t="s">
        <v>274</v>
      </c>
      <c r="C2471" s="18">
        <v>2039</v>
      </c>
      <c r="D2471" t="s">
        <v>191</v>
      </c>
      <c r="E2471" s="9">
        <v>361699.44362756098</v>
      </c>
      <c r="F2471" s="9">
        <v>191599.38600431799</v>
      </c>
      <c r="G2471" s="9">
        <v>362969.198365508</v>
      </c>
      <c r="H2471" s="9">
        <v>191929.610855123</v>
      </c>
      <c r="I2471" s="21">
        <f t="shared" si="76"/>
        <v>330.22485080501065</v>
      </c>
      <c r="J2471" s="21">
        <f t="shared" si="77"/>
        <v>1269.7547379470197</v>
      </c>
    </row>
    <row r="2472" spans="1:10" hidden="1">
      <c r="A2472" t="s">
        <v>272</v>
      </c>
      <c r="B2472" t="s">
        <v>274</v>
      </c>
      <c r="C2472" s="18">
        <v>2039</v>
      </c>
      <c r="D2472" t="s">
        <v>422</v>
      </c>
      <c r="E2472" s="9">
        <v>36178.237789090403</v>
      </c>
      <c r="F2472" s="9">
        <v>3198.02426927437</v>
      </c>
      <c r="G2472" s="9">
        <v>36178.223844718399</v>
      </c>
      <c r="H2472" s="9">
        <v>3198.0230538302199</v>
      </c>
      <c r="I2472" s="21">
        <f t="shared" si="76"/>
        <v>-1.2154441501479596E-3</v>
      </c>
      <c r="J2472" s="21">
        <f t="shared" si="77"/>
        <v>-1.3944372003606986E-2</v>
      </c>
    </row>
    <row r="2473" spans="1:10" hidden="1">
      <c r="A2473" t="s">
        <v>272</v>
      </c>
      <c r="B2473" t="s">
        <v>274</v>
      </c>
      <c r="C2473" s="18">
        <v>2040</v>
      </c>
      <c r="D2473" t="s">
        <v>174</v>
      </c>
      <c r="E2473" s="9">
        <v>19809.881670797298</v>
      </c>
      <c r="F2473" s="9">
        <v>13881.100474717099</v>
      </c>
      <c r="G2473" s="9">
        <v>19805.505805764798</v>
      </c>
      <c r="H2473" s="9">
        <v>13879.6732870407</v>
      </c>
      <c r="I2473" s="21">
        <f t="shared" si="76"/>
        <v>-1.4271876763996261</v>
      </c>
      <c r="J2473" s="21">
        <f t="shared" si="77"/>
        <v>-4.3758650324998598</v>
      </c>
    </row>
    <row r="2474" spans="1:10" hidden="1">
      <c r="A2474" t="s">
        <v>272</v>
      </c>
      <c r="B2474" t="s">
        <v>274</v>
      </c>
      <c r="C2474" s="18">
        <v>2040</v>
      </c>
      <c r="D2474" t="s">
        <v>236</v>
      </c>
      <c r="E2474" s="9">
        <v>1212764.0959254701</v>
      </c>
      <c r="F2474" s="9">
        <v>251358.21229572501</v>
      </c>
      <c r="G2474" s="9">
        <v>1217029.49333677</v>
      </c>
      <c r="H2474" s="9">
        <v>251591.89866486701</v>
      </c>
      <c r="I2474" s="21">
        <f t="shared" si="76"/>
        <v>233.68636914200033</v>
      </c>
      <c r="J2474" s="21">
        <f t="shared" si="77"/>
        <v>4265.3974112998694</v>
      </c>
    </row>
    <row r="2475" spans="1:10" hidden="1">
      <c r="A2475" t="s">
        <v>272</v>
      </c>
      <c r="B2475" t="s">
        <v>274</v>
      </c>
      <c r="C2475" s="18">
        <v>2040</v>
      </c>
      <c r="D2475" t="s">
        <v>182</v>
      </c>
      <c r="E2475" s="9">
        <v>130101.871428457</v>
      </c>
      <c r="F2475" s="9">
        <v>84439.105055401</v>
      </c>
      <c r="G2475" s="9">
        <v>130079.117811465</v>
      </c>
      <c r="H2475" s="9">
        <v>84431.891175836907</v>
      </c>
      <c r="I2475" s="21">
        <f t="shared" si="76"/>
        <v>-7.2138795640930766</v>
      </c>
      <c r="J2475" s="21">
        <f t="shared" si="77"/>
        <v>-22.753616992005846</v>
      </c>
    </row>
    <row r="2476" spans="1:10" hidden="1">
      <c r="A2476" t="s">
        <v>272</v>
      </c>
      <c r="B2476" t="s">
        <v>274</v>
      </c>
      <c r="C2476" s="18">
        <v>2040</v>
      </c>
      <c r="D2476" t="s">
        <v>185</v>
      </c>
      <c r="E2476" s="9">
        <v>272256.26871151</v>
      </c>
      <c r="F2476" s="9">
        <v>257056.62309817699</v>
      </c>
      <c r="G2476" s="9">
        <v>272772.69297753199</v>
      </c>
      <c r="H2476" s="9">
        <v>257451.80463236</v>
      </c>
      <c r="I2476" s="21">
        <f t="shared" si="76"/>
        <v>395.1815341830079</v>
      </c>
      <c r="J2476" s="21">
        <f t="shared" si="77"/>
        <v>516.42426602198975</v>
      </c>
    </row>
    <row r="2477" spans="1:10" hidden="1">
      <c r="A2477" t="s">
        <v>272</v>
      </c>
      <c r="B2477" t="s">
        <v>274</v>
      </c>
      <c r="C2477" s="18">
        <v>2040</v>
      </c>
      <c r="D2477" t="s">
        <v>188</v>
      </c>
      <c r="E2477" s="9">
        <v>721080.70043006202</v>
      </c>
      <c r="F2477" s="9">
        <v>433926.55302554503</v>
      </c>
      <c r="G2477" s="9">
        <v>725057.85135654395</v>
      </c>
      <c r="H2477" s="9">
        <v>435208.84098996199</v>
      </c>
      <c r="I2477" s="21">
        <f t="shared" si="76"/>
        <v>1282.2879644169589</v>
      </c>
      <c r="J2477" s="21">
        <f t="shared" si="77"/>
        <v>3977.1509264819324</v>
      </c>
    </row>
    <row r="2478" spans="1:10" hidden="1">
      <c r="A2478" t="s">
        <v>272</v>
      </c>
      <c r="B2478" t="s">
        <v>274</v>
      </c>
      <c r="C2478" s="18">
        <v>2040</v>
      </c>
      <c r="D2478" t="s">
        <v>191</v>
      </c>
      <c r="E2478" s="9">
        <v>365375.92558180599</v>
      </c>
      <c r="F2478" s="9">
        <v>193487.672336847</v>
      </c>
      <c r="G2478" s="9">
        <v>366714.04580788402</v>
      </c>
      <c r="H2478" s="9">
        <v>193853.25074776399</v>
      </c>
      <c r="I2478" s="21">
        <f t="shared" si="76"/>
        <v>365.57841091699083</v>
      </c>
      <c r="J2478" s="21">
        <f t="shared" si="77"/>
        <v>1338.1202260780265</v>
      </c>
    </row>
    <row r="2479" spans="1:10" hidden="1">
      <c r="A2479" t="s">
        <v>272</v>
      </c>
      <c r="B2479" t="s">
        <v>274</v>
      </c>
      <c r="C2479" s="18">
        <v>2040</v>
      </c>
      <c r="D2479" t="s">
        <v>422</v>
      </c>
      <c r="E2479" s="9">
        <v>36005.042728537701</v>
      </c>
      <c r="F2479" s="9">
        <v>3069.2530902899398</v>
      </c>
      <c r="G2479" s="9">
        <v>36005.028086341903</v>
      </c>
      <c r="H2479" s="9">
        <v>3069.2518935015801</v>
      </c>
      <c r="I2479" s="21">
        <f t="shared" si="76"/>
        <v>-1.1967883597208129E-3</v>
      </c>
      <c r="J2479" s="21">
        <f t="shared" si="77"/>
        <v>-1.46421957979328E-2</v>
      </c>
    </row>
    <row r="2480" spans="1:10" hidden="1">
      <c r="A2480" t="s">
        <v>272</v>
      </c>
      <c r="B2480" t="s">
        <v>274</v>
      </c>
      <c r="C2480" s="18">
        <v>2041</v>
      </c>
      <c r="D2480" t="s">
        <v>174</v>
      </c>
      <c r="E2480" s="9">
        <v>20458.881860508998</v>
      </c>
      <c r="F2480" s="9">
        <v>14251.31776313</v>
      </c>
      <c r="G2480" s="9">
        <v>20453.6267543422</v>
      </c>
      <c r="H2480" s="9">
        <v>14249.536455216699</v>
      </c>
      <c r="I2480" s="21">
        <f t="shared" si="76"/>
        <v>-1.7813079133011342</v>
      </c>
      <c r="J2480" s="21">
        <f t="shared" si="77"/>
        <v>-5.255106166798214</v>
      </c>
    </row>
    <row r="2481" spans="1:10" hidden="1">
      <c r="A2481" t="s">
        <v>272</v>
      </c>
      <c r="B2481" t="s">
        <v>274</v>
      </c>
      <c r="C2481" s="18">
        <v>2041</v>
      </c>
      <c r="D2481" t="s">
        <v>236</v>
      </c>
      <c r="E2481" s="9">
        <v>1222167.2145358699</v>
      </c>
      <c r="F2481" s="9">
        <v>259410.33560741201</v>
      </c>
      <c r="G2481" s="9">
        <v>1226624.8107670301</v>
      </c>
      <c r="H2481" s="9">
        <v>259677.195752453</v>
      </c>
      <c r="I2481" s="21">
        <f t="shared" si="76"/>
        <v>266.86014504099148</v>
      </c>
      <c r="J2481" s="21">
        <f t="shared" si="77"/>
        <v>4457.5962311602198</v>
      </c>
    </row>
    <row r="2482" spans="1:10" hidden="1">
      <c r="A2482" t="s">
        <v>272</v>
      </c>
      <c r="B2482" t="s">
        <v>274</v>
      </c>
      <c r="C2482" s="18">
        <v>2041</v>
      </c>
      <c r="D2482" t="s">
        <v>182</v>
      </c>
      <c r="E2482" s="9">
        <v>132256.185825767</v>
      </c>
      <c r="F2482" s="9">
        <v>85541.090491621493</v>
      </c>
      <c r="G2482" s="9">
        <v>132229.629710176</v>
      </c>
      <c r="H2482" s="9">
        <v>85532.319590607702</v>
      </c>
      <c r="I2482" s="21">
        <f t="shared" si="76"/>
        <v>-8.7709010137914447</v>
      </c>
      <c r="J2482" s="21">
        <f t="shared" si="77"/>
        <v>-26.556115590996342</v>
      </c>
    </row>
    <row r="2483" spans="1:10" hidden="1">
      <c r="A2483" t="s">
        <v>272</v>
      </c>
      <c r="B2483" t="s">
        <v>274</v>
      </c>
      <c r="C2483" s="18">
        <v>2041</v>
      </c>
      <c r="D2483" t="s">
        <v>185</v>
      </c>
      <c r="E2483" s="9">
        <v>272077.48096294497</v>
      </c>
      <c r="F2483" s="9">
        <v>256972.91548458699</v>
      </c>
      <c r="G2483" s="9">
        <v>272611.75367129099</v>
      </c>
      <c r="H2483" s="9">
        <v>257389.63175428601</v>
      </c>
      <c r="I2483" s="21">
        <f t="shared" si="76"/>
        <v>416.71626969901263</v>
      </c>
      <c r="J2483" s="21">
        <f t="shared" si="77"/>
        <v>534.2727083460195</v>
      </c>
    </row>
    <row r="2484" spans="1:10" hidden="1">
      <c r="A2484" t="s">
        <v>272</v>
      </c>
      <c r="B2484" t="s">
        <v>274</v>
      </c>
      <c r="C2484" s="18">
        <v>2041</v>
      </c>
      <c r="D2484" t="s">
        <v>188</v>
      </c>
      <c r="E2484" s="9">
        <v>730441.51280396304</v>
      </c>
      <c r="F2484" s="9">
        <v>440903.46821318002</v>
      </c>
      <c r="G2484" s="9">
        <v>734627.74007540499</v>
      </c>
      <c r="H2484" s="9">
        <v>442324.30640679202</v>
      </c>
      <c r="I2484" s="21">
        <f t="shared" si="76"/>
        <v>1420.8381936119986</v>
      </c>
      <c r="J2484" s="21">
        <f t="shared" si="77"/>
        <v>4186.2272714419523</v>
      </c>
    </row>
    <row r="2485" spans="1:10" hidden="1">
      <c r="A2485" t="s">
        <v>272</v>
      </c>
      <c r="B2485" t="s">
        <v>274</v>
      </c>
      <c r="C2485" s="18">
        <v>2041</v>
      </c>
      <c r="D2485" t="s">
        <v>191</v>
      </c>
      <c r="E2485" s="9">
        <v>369033.704102822</v>
      </c>
      <c r="F2485" s="9">
        <v>195525.71407535399</v>
      </c>
      <c r="G2485" s="9">
        <v>370436.97560679301</v>
      </c>
      <c r="H2485" s="9">
        <v>195926.90720139601</v>
      </c>
      <c r="I2485" s="21">
        <f t="shared" si="76"/>
        <v>401.19312604202423</v>
      </c>
      <c r="J2485" s="21">
        <f t="shared" si="77"/>
        <v>1403.2715039710165</v>
      </c>
    </row>
    <row r="2486" spans="1:10" hidden="1">
      <c r="A2486" t="s">
        <v>272</v>
      </c>
      <c r="B2486" t="s">
        <v>274</v>
      </c>
      <c r="C2486" s="18">
        <v>2041</v>
      </c>
      <c r="D2486" t="s">
        <v>422</v>
      </c>
      <c r="E2486" s="9">
        <v>35900.780264030902</v>
      </c>
      <c r="F2486" s="9">
        <v>2944.0166971134799</v>
      </c>
      <c r="G2486" s="9">
        <v>35900.765054072101</v>
      </c>
      <c r="H2486" s="9">
        <v>2944.01552271229</v>
      </c>
      <c r="I2486" s="21">
        <f t="shared" si="76"/>
        <v>-1.1744011899281759E-3</v>
      </c>
      <c r="J2486" s="21">
        <f t="shared" si="77"/>
        <v>-1.5209958801278844E-2</v>
      </c>
    </row>
    <row r="2487" spans="1:10" hidden="1">
      <c r="A2487" t="s">
        <v>272</v>
      </c>
      <c r="B2487" t="s">
        <v>274</v>
      </c>
      <c r="C2487" s="18">
        <v>2042</v>
      </c>
      <c r="D2487" t="s">
        <v>174</v>
      </c>
      <c r="E2487" s="9">
        <v>21121.820218166002</v>
      </c>
      <c r="F2487" s="9">
        <v>14628.5071490596</v>
      </c>
      <c r="G2487" s="9">
        <v>21115.581702688502</v>
      </c>
      <c r="H2487" s="9">
        <v>14626.319006600401</v>
      </c>
      <c r="I2487" s="21">
        <f t="shared" si="76"/>
        <v>-2.1881424591992982</v>
      </c>
      <c r="J2487" s="21">
        <f t="shared" si="77"/>
        <v>-6.2385154775001865</v>
      </c>
    </row>
    <row r="2488" spans="1:10" hidden="1">
      <c r="A2488" t="s">
        <v>272</v>
      </c>
      <c r="B2488" t="s">
        <v>274</v>
      </c>
      <c r="C2488" s="18">
        <v>2042</v>
      </c>
      <c r="D2488" t="s">
        <v>236</v>
      </c>
      <c r="E2488" s="9">
        <v>1231067.1955086701</v>
      </c>
      <c r="F2488" s="9">
        <v>267476.97465746402</v>
      </c>
      <c r="G2488" s="9">
        <v>1235703.75022274</v>
      </c>
      <c r="H2488" s="9">
        <v>267778.732534162</v>
      </c>
      <c r="I2488" s="21">
        <f t="shared" si="76"/>
        <v>301.75787669798592</v>
      </c>
      <c r="J2488" s="21">
        <f t="shared" si="77"/>
        <v>4636.5547140699346</v>
      </c>
    </row>
    <row r="2489" spans="1:10" hidden="1">
      <c r="A2489" t="s">
        <v>272</v>
      </c>
      <c r="B2489" t="s">
        <v>274</v>
      </c>
      <c r="C2489" s="18">
        <v>2042</v>
      </c>
      <c r="D2489" t="s">
        <v>182</v>
      </c>
      <c r="E2489" s="9">
        <v>134382.53965737901</v>
      </c>
      <c r="F2489" s="9">
        <v>86667.816154131797</v>
      </c>
      <c r="G2489" s="9">
        <v>134351.62604870801</v>
      </c>
      <c r="H2489" s="9">
        <v>86657.313221329707</v>
      </c>
      <c r="I2489" s="21">
        <f t="shared" si="76"/>
        <v>-10.502932802090072</v>
      </c>
      <c r="J2489" s="21">
        <f t="shared" si="77"/>
        <v>-30.91360867099138</v>
      </c>
    </row>
    <row r="2490" spans="1:10" hidden="1">
      <c r="A2490" t="s">
        <v>272</v>
      </c>
      <c r="B2490" t="s">
        <v>274</v>
      </c>
      <c r="C2490" s="18">
        <v>2042</v>
      </c>
      <c r="D2490" t="s">
        <v>185</v>
      </c>
      <c r="E2490" s="9">
        <v>271730.69932395697</v>
      </c>
      <c r="F2490" s="9">
        <v>256761.91683782401</v>
      </c>
      <c r="G2490" s="9">
        <v>272280.658720601</v>
      </c>
      <c r="H2490" s="9">
        <v>257198.34975601899</v>
      </c>
      <c r="I2490" s="21">
        <f t="shared" si="76"/>
        <v>436.43291819497244</v>
      </c>
      <c r="J2490" s="21">
        <f t="shared" si="77"/>
        <v>549.95939664402977</v>
      </c>
    </row>
    <row r="2491" spans="1:10" hidden="1">
      <c r="A2491" t="s">
        <v>272</v>
      </c>
      <c r="B2491" t="s">
        <v>274</v>
      </c>
      <c r="C2491" s="18">
        <v>2042</v>
      </c>
      <c r="D2491" t="s">
        <v>188</v>
      </c>
      <c r="E2491" s="9">
        <v>739926.993598075</v>
      </c>
      <c r="F2491" s="9">
        <v>448040.85833341</v>
      </c>
      <c r="G2491" s="9">
        <v>744313.272667757</v>
      </c>
      <c r="H2491" s="9">
        <v>449601.26122749498</v>
      </c>
      <c r="I2491" s="21">
        <f t="shared" si="76"/>
        <v>1560.4028940849821</v>
      </c>
      <c r="J2491" s="21">
        <f t="shared" si="77"/>
        <v>4386.2790696820011</v>
      </c>
    </row>
    <row r="2492" spans="1:10" hidden="1">
      <c r="A2492" t="s">
        <v>272</v>
      </c>
      <c r="B2492" t="s">
        <v>274</v>
      </c>
      <c r="C2492" s="18">
        <v>2042</v>
      </c>
      <c r="D2492" t="s">
        <v>191</v>
      </c>
      <c r="E2492" s="9">
        <v>372953.82104003098</v>
      </c>
      <c r="F2492" s="9">
        <v>197645.69060956201</v>
      </c>
      <c r="G2492" s="9">
        <v>374419.26204563602</v>
      </c>
      <c r="H2492" s="9">
        <v>198082.81410371399</v>
      </c>
      <c r="I2492" s="21">
        <f t="shared" si="76"/>
        <v>437.12349415197968</v>
      </c>
      <c r="J2492" s="21">
        <f t="shared" si="77"/>
        <v>1465.4410056050401</v>
      </c>
    </row>
    <row r="2493" spans="1:10" hidden="1">
      <c r="A2493" t="s">
        <v>272</v>
      </c>
      <c r="B2493" t="s">
        <v>274</v>
      </c>
      <c r="C2493" s="18">
        <v>2042</v>
      </c>
      <c r="D2493" t="s">
        <v>422</v>
      </c>
      <c r="E2493" s="9">
        <v>35516.856225151998</v>
      </c>
      <c r="F2493" s="9">
        <v>2820.5133562548699</v>
      </c>
      <c r="G2493" s="9">
        <v>35516.840593533198</v>
      </c>
      <c r="H2493" s="9">
        <v>2820.5122126446799</v>
      </c>
      <c r="I2493" s="21">
        <f t="shared" si="76"/>
        <v>-1.1436101899562345E-3</v>
      </c>
      <c r="J2493" s="21">
        <f t="shared" si="77"/>
        <v>-1.5631618800398428E-2</v>
      </c>
    </row>
    <row r="2494" spans="1:10" hidden="1">
      <c r="A2494" t="s">
        <v>272</v>
      </c>
      <c r="B2494" t="s">
        <v>274</v>
      </c>
      <c r="C2494" s="18">
        <v>2043</v>
      </c>
      <c r="D2494" t="s">
        <v>174</v>
      </c>
      <c r="E2494" s="9">
        <v>21796.456045167401</v>
      </c>
      <c r="F2494" s="9">
        <v>15006.738303882899</v>
      </c>
      <c r="G2494" s="9">
        <v>21789.125656033499</v>
      </c>
      <c r="H2494" s="9">
        <v>15004.086115812899</v>
      </c>
      <c r="I2494" s="21">
        <f t="shared" si="76"/>
        <v>-2.652188070000193</v>
      </c>
      <c r="J2494" s="21">
        <f t="shared" si="77"/>
        <v>-7.3303891339019174</v>
      </c>
    </row>
    <row r="2495" spans="1:10" hidden="1">
      <c r="A2495" t="s">
        <v>272</v>
      </c>
      <c r="B2495" t="s">
        <v>274</v>
      </c>
      <c r="C2495" s="18">
        <v>2043</v>
      </c>
      <c r="D2495" t="s">
        <v>236</v>
      </c>
      <c r="E2495" s="9">
        <v>1239443.90998754</v>
      </c>
      <c r="F2495" s="9">
        <v>275538.74434670201</v>
      </c>
      <c r="G2495" s="9">
        <v>1244246.5115360599</v>
      </c>
      <c r="H2495" s="9">
        <v>275876.99548631802</v>
      </c>
      <c r="I2495" s="21">
        <f t="shared" si="76"/>
        <v>338.25113961601164</v>
      </c>
      <c r="J2495" s="21">
        <f t="shared" si="77"/>
        <v>4802.6015485199168</v>
      </c>
    </row>
    <row r="2496" spans="1:10" hidden="1">
      <c r="A2496" t="s">
        <v>272</v>
      </c>
      <c r="B2496" t="s">
        <v>274</v>
      </c>
      <c r="C2496" s="18">
        <v>2043</v>
      </c>
      <c r="D2496" t="s">
        <v>182</v>
      </c>
      <c r="E2496" s="9">
        <v>136637.52304470001</v>
      </c>
      <c r="F2496" s="9">
        <v>87791.449270972298</v>
      </c>
      <c r="G2496" s="9">
        <v>136601.974960575</v>
      </c>
      <c r="H2496" s="9">
        <v>87779.034425801001</v>
      </c>
      <c r="I2496" s="21">
        <f t="shared" si="76"/>
        <v>-12.414845171297202</v>
      </c>
      <c r="J2496" s="21">
        <f t="shared" si="77"/>
        <v>-35.548084125010064</v>
      </c>
    </row>
    <row r="2497" spans="1:10" hidden="1">
      <c r="A2497" t="s">
        <v>272</v>
      </c>
      <c r="B2497" t="s">
        <v>274</v>
      </c>
      <c r="C2497" s="18">
        <v>2043</v>
      </c>
      <c r="D2497" t="s">
        <v>185</v>
      </c>
      <c r="E2497" s="9">
        <v>271126.41608142998</v>
      </c>
      <c r="F2497" s="9">
        <v>256323.44408014399</v>
      </c>
      <c r="G2497" s="9">
        <v>271689.79422675102</v>
      </c>
      <c r="H2497" s="9">
        <v>256777.58715706799</v>
      </c>
      <c r="I2497" s="21">
        <f t="shared" si="76"/>
        <v>454.14307692399598</v>
      </c>
      <c r="J2497" s="21">
        <f t="shared" si="77"/>
        <v>563.37814532103948</v>
      </c>
    </row>
    <row r="2498" spans="1:10" hidden="1">
      <c r="A2498" t="s">
        <v>272</v>
      </c>
      <c r="B2498" t="s">
        <v>274</v>
      </c>
      <c r="C2498" s="18">
        <v>2043</v>
      </c>
      <c r="D2498" t="s">
        <v>188</v>
      </c>
      <c r="E2498" s="9">
        <v>749789.75481922098</v>
      </c>
      <c r="F2498" s="9">
        <v>455216.51005618501</v>
      </c>
      <c r="G2498" s="9">
        <v>754370.89241350198</v>
      </c>
      <c r="H2498" s="9">
        <v>456915.72204617201</v>
      </c>
      <c r="I2498" s="21">
        <f t="shared" ref="I2498:I2561" si="78">H2498-F2498</f>
        <v>1699.2119899870013</v>
      </c>
      <c r="J2498" s="21">
        <f t="shared" ref="J2498:J2561" si="79">G2498-E2498</f>
        <v>4581.1375942809973</v>
      </c>
    </row>
    <row r="2499" spans="1:10" hidden="1">
      <c r="A2499" t="s">
        <v>272</v>
      </c>
      <c r="B2499" t="s">
        <v>274</v>
      </c>
      <c r="C2499" s="18">
        <v>2043</v>
      </c>
      <c r="D2499" t="s">
        <v>191</v>
      </c>
      <c r="E2499" s="9">
        <v>377240.10241564101</v>
      </c>
      <c r="F2499" s="9">
        <v>199731.479000066</v>
      </c>
      <c r="G2499" s="9">
        <v>378766.53451535699</v>
      </c>
      <c r="H2499" s="9">
        <v>200204.274251736</v>
      </c>
      <c r="I2499" s="21">
        <f t="shared" si="78"/>
        <v>472.79525167000247</v>
      </c>
      <c r="J2499" s="21">
        <f t="shared" si="79"/>
        <v>1526.4320997159812</v>
      </c>
    </row>
    <row r="2500" spans="1:10" hidden="1">
      <c r="A2500" t="s">
        <v>272</v>
      </c>
      <c r="B2500" t="s">
        <v>274</v>
      </c>
      <c r="C2500" s="18">
        <v>2043</v>
      </c>
      <c r="D2500" t="s">
        <v>422</v>
      </c>
      <c r="E2500" s="9">
        <v>35328.788211047497</v>
      </c>
      <c r="F2500" s="9">
        <v>2698.33203384749</v>
      </c>
      <c r="G2500" s="9">
        <v>35328.773203308199</v>
      </c>
      <c r="H2500" s="9">
        <v>2698.3309296050402</v>
      </c>
      <c r="I2500" s="21">
        <f t="shared" si="78"/>
        <v>-1.1042424498555192E-3</v>
      </c>
      <c r="J2500" s="21">
        <f t="shared" si="79"/>
        <v>-1.5007739297288936E-2</v>
      </c>
    </row>
    <row r="2501" spans="1:10" hidden="1">
      <c r="A2501" t="s">
        <v>272</v>
      </c>
      <c r="B2501" t="s">
        <v>274</v>
      </c>
      <c r="C2501" s="18">
        <v>2044</v>
      </c>
      <c r="D2501" t="s">
        <v>174</v>
      </c>
      <c r="E2501" s="9">
        <v>22480.940424279899</v>
      </c>
      <c r="F2501" s="9">
        <v>15391.814496314601</v>
      </c>
      <c r="G2501" s="9">
        <v>22472.405778779801</v>
      </c>
      <c r="H2501" s="9">
        <v>15388.638261887199</v>
      </c>
      <c r="I2501" s="21">
        <f t="shared" si="78"/>
        <v>-3.1762344274011411</v>
      </c>
      <c r="J2501" s="21">
        <f t="shared" si="79"/>
        <v>-8.5346455000981223</v>
      </c>
    </row>
    <row r="2502" spans="1:10" hidden="1">
      <c r="A2502" t="s">
        <v>272</v>
      </c>
      <c r="B2502" t="s">
        <v>274</v>
      </c>
      <c r="C2502" s="18">
        <v>2044</v>
      </c>
      <c r="D2502" t="s">
        <v>236</v>
      </c>
      <c r="E2502" s="9">
        <v>1247562.4469334299</v>
      </c>
      <c r="F2502" s="9">
        <v>283525.81946484698</v>
      </c>
      <c r="G2502" s="9">
        <v>1252519.7576166999</v>
      </c>
      <c r="H2502" s="9">
        <v>283902.05041687097</v>
      </c>
      <c r="I2502" s="21">
        <f t="shared" si="78"/>
        <v>376.23095202399418</v>
      </c>
      <c r="J2502" s="21">
        <f t="shared" si="79"/>
        <v>4957.310683269985</v>
      </c>
    </row>
    <row r="2503" spans="1:10" hidden="1">
      <c r="A2503" t="s">
        <v>272</v>
      </c>
      <c r="B2503" t="s">
        <v>274</v>
      </c>
      <c r="C2503" s="18">
        <v>2044</v>
      </c>
      <c r="D2503" t="s">
        <v>182</v>
      </c>
      <c r="E2503" s="9">
        <v>138168.021555213</v>
      </c>
      <c r="F2503" s="9">
        <v>88926.949876747502</v>
      </c>
      <c r="G2503" s="9">
        <v>138127.80749224901</v>
      </c>
      <c r="H2503" s="9">
        <v>88912.446286897801</v>
      </c>
      <c r="I2503" s="21">
        <f t="shared" si="78"/>
        <v>-14.503589849700802</v>
      </c>
      <c r="J2503" s="21">
        <f t="shared" si="79"/>
        <v>-40.214062963990727</v>
      </c>
    </row>
    <row r="2504" spans="1:10" hidden="1">
      <c r="A2504" t="s">
        <v>272</v>
      </c>
      <c r="B2504" t="s">
        <v>274</v>
      </c>
      <c r="C2504" s="18">
        <v>2044</v>
      </c>
      <c r="D2504" t="s">
        <v>185</v>
      </c>
      <c r="E2504" s="9">
        <v>270406.11567921302</v>
      </c>
      <c r="F2504" s="9">
        <v>255966.11681664901</v>
      </c>
      <c r="G2504" s="9">
        <v>270981.060601887</v>
      </c>
      <c r="H2504" s="9">
        <v>256436.399818879</v>
      </c>
      <c r="I2504" s="21">
        <f t="shared" si="78"/>
        <v>470.28300222998951</v>
      </c>
      <c r="J2504" s="21">
        <f t="shared" si="79"/>
        <v>574.94492267398164</v>
      </c>
    </row>
    <row r="2505" spans="1:10" hidden="1">
      <c r="A2505" t="s">
        <v>272</v>
      </c>
      <c r="B2505" t="s">
        <v>274</v>
      </c>
      <c r="C2505" s="18">
        <v>2044</v>
      </c>
      <c r="D2505" t="s">
        <v>188</v>
      </c>
      <c r="E2505" s="9">
        <v>756005.64655260602</v>
      </c>
      <c r="F2505" s="9">
        <v>462399.26071258797</v>
      </c>
      <c r="G2505" s="9">
        <v>760751.52916181902</v>
      </c>
      <c r="H2505" s="9">
        <v>464236.62382849702</v>
      </c>
      <c r="I2505" s="21">
        <f t="shared" si="78"/>
        <v>1837.3631159090437</v>
      </c>
      <c r="J2505" s="21">
        <f t="shared" si="79"/>
        <v>4745.8826092130039</v>
      </c>
    </row>
    <row r="2506" spans="1:10" hidden="1">
      <c r="A2506" t="s">
        <v>272</v>
      </c>
      <c r="B2506" t="s">
        <v>274</v>
      </c>
      <c r="C2506" s="18">
        <v>2044</v>
      </c>
      <c r="D2506" t="s">
        <v>191</v>
      </c>
      <c r="E2506" s="9">
        <v>379179.81530831201</v>
      </c>
      <c r="F2506" s="9">
        <v>202254.39444403601</v>
      </c>
      <c r="G2506" s="9">
        <v>380754.51437457599</v>
      </c>
      <c r="H2506" s="9">
        <v>202762.43540540201</v>
      </c>
      <c r="I2506" s="21">
        <f t="shared" si="78"/>
        <v>508.04096136600128</v>
      </c>
      <c r="J2506" s="21">
        <f t="shared" si="79"/>
        <v>1574.6990662639728</v>
      </c>
    </row>
    <row r="2507" spans="1:10" hidden="1">
      <c r="A2507" t="s">
        <v>272</v>
      </c>
      <c r="B2507" t="s">
        <v>274</v>
      </c>
      <c r="C2507" s="18">
        <v>2044</v>
      </c>
      <c r="D2507" t="s">
        <v>422</v>
      </c>
      <c r="E2507" s="9">
        <v>35046.716172695298</v>
      </c>
      <c r="F2507" s="9">
        <v>2573.7935764773501</v>
      </c>
      <c r="G2507" s="9">
        <v>35046.705207959298</v>
      </c>
      <c r="H2507" s="9">
        <v>2573.7926243052102</v>
      </c>
      <c r="I2507" s="21">
        <f t="shared" si="78"/>
        <v>-9.5217213993237237E-4</v>
      </c>
      <c r="J2507" s="21">
        <f t="shared" si="79"/>
        <v>-1.0964736000460107E-2</v>
      </c>
    </row>
    <row r="2508" spans="1:10" hidden="1">
      <c r="A2508" t="s">
        <v>272</v>
      </c>
      <c r="B2508" t="s">
        <v>274</v>
      </c>
      <c r="C2508" s="18">
        <v>2045</v>
      </c>
      <c r="D2508" t="s">
        <v>174</v>
      </c>
      <c r="E2508" s="9">
        <v>23176.802576955899</v>
      </c>
      <c r="F2508" s="9">
        <v>15775.477298887299</v>
      </c>
      <c r="G2508" s="9">
        <v>23166.945688051499</v>
      </c>
      <c r="H2508" s="9">
        <v>15771.7189092791</v>
      </c>
      <c r="I2508" s="21">
        <f t="shared" si="78"/>
        <v>-3.75838960819965</v>
      </c>
      <c r="J2508" s="21">
        <f t="shared" si="79"/>
        <v>-9.8568889043999661</v>
      </c>
    </row>
    <row r="2509" spans="1:10" hidden="1">
      <c r="A2509" t="s">
        <v>272</v>
      </c>
      <c r="B2509" t="s">
        <v>274</v>
      </c>
      <c r="C2509" s="18">
        <v>2045</v>
      </c>
      <c r="D2509" t="s">
        <v>236</v>
      </c>
      <c r="E2509" s="9">
        <v>1255491.4976826599</v>
      </c>
      <c r="F2509" s="9">
        <v>291406.46604442399</v>
      </c>
      <c r="G2509" s="9">
        <v>1260592.98702146</v>
      </c>
      <c r="H2509" s="9">
        <v>291822.02754025703</v>
      </c>
      <c r="I2509" s="21">
        <f t="shared" si="78"/>
        <v>415.56149583304068</v>
      </c>
      <c r="J2509" s="21">
        <f t="shared" si="79"/>
        <v>5101.4893388000783</v>
      </c>
    </row>
    <row r="2510" spans="1:10" hidden="1">
      <c r="A2510" t="s">
        <v>272</v>
      </c>
      <c r="B2510" t="s">
        <v>274</v>
      </c>
      <c r="C2510" s="18">
        <v>2045</v>
      </c>
      <c r="D2510" t="s">
        <v>182</v>
      </c>
      <c r="E2510" s="9">
        <v>140218.05619187499</v>
      </c>
      <c r="F2510" s="9">
        <v>90058.364116339202</v>
      </c>
      <c r="G2510" s="9">
        <v>140172.77481552499</v>
      </c>
      <c r="H2510" s="9">
        <v>90041.604590588802</v>
      </c>
      <c r="I2510" s="21">
        <f t="shared" si="78"/>
        <v>-16.759525750399916</v>
      </c>
      <c r="J2510" s="21">
        <f t="shared" si="79"/>
        <v>-45.281376350001665</v>
      </c>
    </row>
    <row r="2511" spans="1:10" hidden="1">
      <c r="A2511" t="s">
        <v>272</v>
      </c>
      <c r="B2511" t="s">
        <v>274</v>
      </c>
      <c r="C2511" s="18">
        <v>2045</v>
      </c>
      <c r="D2511" t="s">
        <v>185</v>
      </c>
      <c r="E2511" s="9">
        <v>269853.19774240401</v>
      </c>
      <c r="F2511" s="9">
        <v>255492.059121681</v>
      </c>
      <c r="G2511" s="9">
        <v>270438.60315228201</v>
      </c>
      <c r="H2511" s="9">
        <v>255976.90811330499</v>
      </c>
      <c r="I2511" s="21">
        <f t="shared" si="78"/>
        <v>484.84899162399233</v>
      </c>
      <c r="J2511" s="21">
        <f t="shared" si="79"/>
        <v>585.40540987800341</v>
      </c>
    </row>
    <row r="2512" spans="1:10" hidden="1">
      <c r="A2512" t="s">
        <v>272</v>
      </c>
      <c r="B2512" t="s">
        <v>274</v>
      </c>
      <c r="C2512" s="18">
        <v>2045</v>
      </c>
      <c r="D2512" t="s">
        <v>188</v>
      </c>
      <c r="E2512" s="9">
        <v>764396.50940641901</v>
      </c>
      <c r="F2512" s="9">
        <v>468945.69336738298</v>
      </c>
      <c r="G2512" s="9">
        <v>769313.803212411</v>
      </c>
      <c r="H2512" s="9">
        <v>470920.29436777002</v>
      </c>
      <c r="I2512" s="21">
        <f t="shared" si="78"/>
        <v>1974.601000387047</v>
      </c>
      <c r="J2512" s="21">
        <f t="shared" si="79"/>
        <v>4917.2938059919979</v>
      </c>
    </row>
    <row r="2513" spans="1:10" hidden="1">
      <c r="A2513" t="s">
        <v>272</v>
      </c>
      <c r="B2513" t="s">
        <v>274</v>
      </c>
      <c r="C2513" s="18">
        <v>2045</v>
      </c>
      <c r="D2513" t="s">
        <v>191</v>
      </c>
      <c r="E2513" s="9">
        <v>382310.783477263</v>
      </c>
      <c r="F2513" s="9">
        <v>204326.48308081599</v>
      </c>
      <c r="G2513" s="9">
        <v>383936.19252461498</v>
      </c>
      <c r="H2513" s="9">
        <v>204869.32889798901</v>
      </c>
      <c r="I2513" s="21">
        <f t="shared" si="78"/>
        <v>542.84581717301626</v>
      </c>
      <c r="J2513" s="21">
        <f t="shared" si="79"/>
        <v>1625.4090473519755</v>
      </c>
    </row>
    <row r="2514" spans="1:10" hidden="1">
      <c r="A2514" t="s">
        <v>272</v>
      </c>
      <c r="B2514" t="s">
        <v>274</v>
      </c>
      <c r="C2514" s="18">
        <v>2045</v>
      </c>
      <c r="D2514" t="s">
        <v>422</v>
      </c>
      <c r="E2514" s="9">
        <v>34846.726339220098</v>
      </c>
      <c r="F2514" s="9">
        <v>2452.7477893475898</v>
      </c>
      <c r="G2514" s="9">
        <v>34846.715156222701</v>
      </c>
      <c r="H2514" s="9">
        <v>2452.74707379338</v>
      </c>
      <c r="I2514" s="21">
        <f t="shared" si="78"/>
        <v>-7.1555420981894713E-4</v>
      </c>
      <c r="J2514" s="21">
        <f t="shared" si="79"/>
        <v>-1.1182997397554573E-2</v>
      </c>
    </row>
    <row r="2515" spans="1:10" hidden="1">
      <c r="A2515" t="s">
        <v>272</v>
      </c>
      <c r="B2515" t="s">
        <v>274</v>
      </c>
      <c r="C2515" s="18">
        <v>2046</v>
      </c>
      <c r="D2515" t="s">
        <v>174</v>
      </c>
      <c r="E2515" s="9">
        <v>23879.517341655301</v>
      </c>
      <c r="F2515" s="9">
        <v>16169.698492235901</v>
      </c>
      <c r="G2515" s="9">
        <v>23868.217944038799</v>
      </c>
      <c r="H2515" s="9">
        <v>16165.2905403234</v>
      </c>
      <c r="I2515" s="21">
        <f t="shared" si="78"/>
        <v>-4.4079519125007209</v>
      </c>
      <c r="J2515" s="21">
        <f t="shared" si="79"/>
        <v>-11.299397616501665</v>
      </c>
    </row>
    <row r="2516" spans="1:10" hidden="1">
      <c r="A2516" t="s">
        <v>272</v>
      </c>
      <c r="B2516" t="s">
        <v>274</v>
      </c>
      <c r="C2516" s="18">
        <v>2046</v>
      </c>
      <c r="D2516" t="s">
        <v>236</v>
      </c>
      <c r="E2516" s="9">
        <v>1263240.21347172</v>
      </c>
      <c r="F2516" s="9">
        <v>299140.86171245901</v>
      </c>
      <c r="G2516" s="9">
        <v>1268475.9563321201</v>
      </c>
      <c r="H2516" s="9">
        <v>299596.92866613797</v>
      </c>
      <c r="I2516" s="21">
        <f t="shared" si="78"/>
        <v>456.06695367896464</v>
      </c>
      <c r="J2516" s="21">
        <f t="shared" si="79"/>
        <v>5235.7428604001179</v>
      </c>
    </row>
    <row r="2517" spans="1:10" hidden="1">
      <c r="A2517" t="s">
        <v>272</v>
      </c>
      <c r="B2517" t="s">
        <v>274</v>
      </c>
      <c r="C2517" s="18">
        <v>2046</v>
      </c>
      <c r="D2517" t="s">
        <v>182</v>
      </c>
      <c r="E2517" s="9">
        <v>142244.63163096699</v>
      </c>
      <c r="F2517" s="9">
        <v>91218.091211452804</v>
      </c>
      <c r="G2517" s="9">
        <v>142194.05365060701</v>
      </c>
      <c r="H2517" s="9">
        <v>91198.890942598402</v>
      </c>
      <c r="I2517" s="21">
        <f t="shared" si="78"/>
        <v>-19.200268854401656</v>
      </c>
      <c r="J2517" s="21">
        <f t="shared" si="79"/>
        <v>-50.577980359987123</v>
      </c>
    </row>
    <row r="2518" spans="1:10" hidden="1">
      <c r="A2518" t="s">
        <v>272</v>
      </c>
      <c r="B2518" t="s">
        <v>274</v>
      </c>
      <c r="C2518" s="18">
        <v>2046</v>
      </c>
      <c r="D2518" t="s">
        <v>185</v>
      </c>
      <c r="E2518" s="9">
        <v>269328.71267974499</v>
      </c>
      <c r="F2518" s="9">
        <v>254933.355666171</v>
      </c>
      <c r="G2518" s="9">
        <v>269923.25168294698</v>
      </c>
      <c r="H2518" s="9">
        <v>255431.16141281699</v>
      </c>
      <c r="I2518" s="21">
        <f t="shared" si="78"/>
        <v>497.8057466459868</v>
      </c>
      <c r="J2518" s="21">
        <f t="shared" si="79"/>
        <v>594.53900320199318</v>
      </c>
    </row>
    <row r="2519" spans="1:10" hidden="1">
      <c r="A2519" t="s">
        <v>272</v>
      </c>
      <c r="B2519" t="s">
        <v>274</v>
      </c>
      <c r="C2519" s="18">
        <v>2046</v>
      </c>
      <c r="D2519" t="s">
        <v>188</v>
      </c>
      <c r="E2519" s="9">
        <v>773012.46064003406</v>
      </c>
      <c r="F2519" s="9">
        <v>475718.01309321099</v>
      </c>
      <c r="G2519" s="9">
        <v>778095.84267256199</v>
      </c>
      <c r="H2519" s="9">
        <v>477828.93173194502</v>
      </c>
      <c r="I2519" s="21">
        <f t="shared" si="78"/>
        <v>2110.9186387340305</v>
      </c>
      <c r="J2519" s="21">
        <f t="shared" si="79"/>
        <v>5083.3820325279376</v>
      </c>
    </row>
    <row r="2520" spans="1:10" hidden="1">
      <c r="A2520" t="s">
        <v>272</v>
      </c>
      <c r="B2520" t="s">
        <v>274</v>
      </c>
      <c r="C2520" s="18">
        <v>2046</v>
      </c>
      <c r="D2520" t="s">
        <v>191</v>
      </c>
      <c r="E2520" s="9">
        <v>385477.684009107</v>
      </c>
      <c r="F2520" s="9">
        <v>206471.707530632</v>
      </c>
      <c r="G2520" s="9">
        <v>387151.42704479198</v>
      </c>
      <c r="H2520" s="9">
        <v>207048.94525460299</v>
      </c>
      <c r="I2520" s="21">
        <f t="shared" si="78"/>
        <v>577.23772397098946</v>
      </c>
      <c r="J2520" s="21">
        <f t="shared" si="79"/>
        <v>1673.74303568498</v>
      </c>
    </row>
    <row r="2521" spans="1:10" hidden="1">
      <c r="A2521" t="s">
        <v>272</v>
      </c>
      <c r="B2521" t="s">
        <v>274</v>
      </c>
      <c r="C2521" s="18">
        <v>2046</v>
      </c>
      <c r="D2521" t="s">
        <v>422</v>
      </c>
      <c r="E2521" s="9">
        <v>34688.308022904901</v>
      </c>
      <c r="F2521" s="9">
        <v>2335.6731812343401</v>
      </c>
      <c r="G2521" s="9">
        <v>34688.296767041</v>
      </c>
      <c r="H2521" s="9">
        <v>2335.6726092736399</v>
      </c>
      <c r="I2521" s="21">
        <f t="shared" si="78"/>
        <v>-5.7196070019926992E-4</v>
      </c>
      <c r="J2521" s="21">
        <f t="shared" si="79"/>
        <v>-1.1255863901169505E-2</v>
      </c>
    </row>
    <row r="2522" spans="1:10" hidden="1">
      <c r="A2522" t="s">
        <v>272</v>
      </c>
      <c r="B2522" t="s">
        <v>274</v>
      </c>
      <c r="C2522" s="18">
        <v>2047</v>
      </c>
      <c r="D2522" t="s">
        <v>174</v>
      </c>
      <c r="E2522" s="9">
        <v>24588.552057806701</v>
      </c>
      <c r="F2522" s="9">
        <v>16573.703327815401</v>
      </c>
      <c r="G2522" s="9">
        <v>24575.685129363199</v>
      </c>
      <c r="H2522" s="9">
        <v>16568.574829924401</v>
      </c>
      <c r="I2522" s="21">
        <f t="shared" si="78"/>
        <v>-5.1284978910007339</v>
      </c>
      <c r="J2522" s="21">
        <f t="shared" si="79"/>
        <v>-12.86692844350182</v>
      </c>
    </row>
    <row r="2523" spans="1:10" hidden="1">
      <c r="A2523" t="s">
        <v>272</v>
      </c>
      <c r="B2523" t="s">
        <v>274</v>
      </c>
      <c r="C2523" s="18">
        <v>2047</v>
      </c>
      <c r="D2523" t="s">
        <v>236</v>
      </c>
      <c r="E2523" s="9">
        <v>1270713.32015252</v>
      </c>
      <c r="F2523" s="9">
        <v>306678.44818795501</v>
      </c>
      <c r="G2523" s="9">
        <v>1276073.4846977801</v>
      </c>
      <c r="H2523" s="9">
        <v>307176.00873862102</v>
      </c>
      <c r="I2523" s="21">
        <f t="shared" si="78"/>
        <v>497.56055066600675</v>
      </c>
      <c r="J2523" s="21">
        <f t="shared" si="79"/>
        <v>5360.1645452601369</v>
      </c>
    </row>
    <row r="2524" spans="1:10" hidden="1">
      <c r="A2524" t="s">
        <v>272</v>
      </c>
      <c r="B2524" t="s">
        <v>274</v>
      </c>
      <c r="C2524" s="18">
        <v>2047</v>
      </c>
      <c r="D2524" t="s">
        <v>182</v>
      </c>
      <c r="E2524" s="9">
        <v>144302.45090821999</v>
      </c>
      <c r="F2524" s="9">
        <v>92355.695040706501</v>
      </c>
      <c r="G2524" s="9">
        <v>144246.070856709</v>
      </c>
      <c r="H2524" s="9">
        <v>92333.888291156894</v>
      </c>
      <c r="I2524" s="21">
        <f t="shared" si="78"/>
        <v>-21.806749549607048</v>
      </c>
      <c r="J2524" s="21">
        <f t="shared" si="79"/>
        <v>-56.380051510990597</v>
      </c>
    </row>
    <row r="2525" spans="1:10" hidden="1">
      <c r="A2525" t="s">
        <v>272</v>
      </c>
      <c r="B2525" t="s">
        <v>274</v>
      </c>
      <c r="C2525" s="18">
        <v>2047</v>
      </c>
      <c r="D2525" t="s">
        <v>185</v>
      </c>
      <c r="E2525" s="9">
        <v>268543.929195548</v>
      </c>
      <c r="F2525" s="9">
        <v>254251.60916224701</v>
      </c>
      <c r="G2525" s="9">
        <v>269145.73066835199</v>
      </c>
      <c r="H2525" s="9">
        <v>254760.803670819</v>
      </c>
      <c r="I2525" s="21">
        <f t="shared" si="78"/>
        <v>509.19450857199263</v>
      </c>
      <c r="J2525" s="21">
        <f t="shared" si="79"/>
        <v>601.80147280398523</v>
      </c>
    </row>
    <row r="2526" spans="1:10" hidden="1">
      <c r="A2526" t="s">
        <v>272</v>
      </c>
      <c r="B2526" t="s">
        <v>274</v>
      </c>
      <c r="C2526" s="18">
        <v>2047</v>
      </c>
      <c r="D2526" t="s">
        <v>188</v>
      </c>
      <c r="E2526" s="9">
        <v>781625.91209837201</v>
      </c>
      <c r="F2526" s="9">
        <v>482422.26404970599</v>
      </c>
      <c r="G2526" s="9">
        <v>786867.36601765698</v>
      </c>
      <c r="H2526" s="9">
        <v>484667.16956347</v>
      </c>
      <c r="I2526" s="21">
        <f t="shared" si="78"/>
        <v>2244.9055137640098</v>
      </c>
      <c r="J2526" s="21">
        <f t="shared" si="79"/>
        <v>5241.453919284977</v>
      </c>
    </row>
    <row r="2527" spans="1:10" hidden="1">
      <c r="A2527" t="s">
        <v>272</v>
      </c>
      <c r="B2527" t="s">
        <v>274</v>
      </c>
      <c r="C2527" s="18">
        <v>2047</v>
      </c>
      <c r="D2527" t="s">
        <v>191</v>
      </c>
      <c r="E2527" s="9">
        <v>388877.61846710002</v>
      </c>
      <c r="F2527" s="9">
        <v>208549.88899824501</v>
      </c>
      <c r="G2527" s="9">
        <v>390597.57749152998</v>
      </c>
      <c r="H2527" s="9">
        <v>209160.85891574901</v>
      </c>
      <c r="I2527" s="21">
        <f t="shared" si="78"/>
        <v>610.96991750400048</v>
      </c>
      <c r="J2527" s="21">
        <f t="shared" si="79"/>
        <v>1719.9590244299616</v>
      </c>
    </row>
    <row r="2528" spans="1:10" hidden="1">
      <c r="A2528" t="s">
        <v>272</v>
      </c>
      <c r="B2528" t="s">
        <v>274</v>
      </c>
      <c r="C2528" s="18">
        <v>2047</v>
      </c>
      <c r="D2528" t="s">
        <v>422</v>
      </c>
      <c r="E2528" s="9">
        <v>34402.465375681597</v>
      </c>
      <c r="F2528" s="9">
        <v>2222.2522589637301</v>
      </c>
      <c r="G2528" s="9">
        <v>34402.454286141998</v>
      </c>
      <c r="H2528" s="9">
        <v>2222.2517838233198</v>
      </c>
      <c r="I2528" s="21">
        <f t="shared" si="78"/>
        <v>-4.7514041034446564E-4</v>
      </c>
      <c r="J2528" s="21">
        <f t="shared" si="79"/>
        <v>-1.1089539599197451E-2</v>
      </c>
    </row>
    <row r="2529" spans="1:10" hidden="1">
      <c r="A2529" t="s">
        <v>272</v>
      </c>
      <c r="B2529" t="s">
        <v>274</v>
      </c>
      <c r="C2529" s="18">
        <v>2048</v>
      </c>
      <c r="D2529" t="s">
        <v>174</v>
      </c>
      <c r="E2529" s="9">
        <v>25297.423568746599</v>
      </c>
      <c r="F2529" s="9">
        <v>16988.889291775002</v>
      </c>
      <c r="G2529" s="9">
        <v>25282.866550534</v>
      </c>
      <c r="H2529" s="9">
        <v>16982.967131377602</v>
      </c>
      <c r="I2529" s="21">
        <f t="shared" si="78"/>
        <v>-5.9221603974001482</v>
      </c>
      <c r="J2529" s="21">
        <f t="shared" si="79"/>
        <v>-14.55701821259936</v>
      </c>
    </row>
    <row r="2530" spans="1:10" hidden="1">
      <c r="A2530" t="s">
        <v>272</v>
      </c>
      <c r="B2530" t="s">
        <v>274</v>
      </c>
      <c r="C2530" s="18">
        <v>2048</v>
      </c>
      <c r="D2530" t="s">
        <v>236</v>
      </c>
      <c r="E2530" s="9">
        <v>1277992.11258082</v>
      </c>
      <c r="F2530" s="9">
        <v>314009.90904868499</v>
      </c>
      <c r="G2530" s="9">
        <v>1283467.7529534199</v>
      </c>
      <c r="H2530" s="9">
        <v>314549.83162807999</v>
      </c>
      <c r="I2530" s="21">
        <f t="shared" si="78"/>
        <v>539.92257939500269</v>
      </c>
      <c r="J2530" s="21">
        <f t="shared" si="79"/>
        <v>5475.6403725999407</v>
      </c>
    </row>
    <row r="2531" spans="1:10" hidden="1">
      <c r="A2531" t="s">
        <v>272</v>
      </c>
      <c r="B2531" t="s">
        <v>274</v>
      </c>
      <c r="C2531" s="18">
        <v>2048</v>
      </c>
      <c r="D2531" t="s">
        <v>182</v>
      </c>
      <c r="E2531" s="9">
        <v>146476.26140628001</v>
      </c>
      <c r="F2531" s="9">
        <v>93452.082555353598</v>
      </c>
      <c r="G2531" s="9">
        <v>146413.85314917401</v>
      </c>
      <c r="H2531" s="9">
        <v>93427.507277048993</v>
      </c>
      <c r="I2531" s="21">
        <f t="shared" si="78"/>
        <v>-24.575278304604581</v>
      </c>
      <c r="J2531" s="21">
        <f t="shared" si="79"/>
        <v>-62.408257105998928</v>
      </c>
    </row>
    <row r="2532" spans="1:10" hidden="1">
      <c r="A2532" t="s">
        <v>272</v>
      </c>
      <c r="B2532" t="s">
        <v>274</v>
      </c>
      <c r="C2532" s="18">
        <v>2048</v>
      </c>
      <c r="D2532" t="s">
        <v>185</v>
      </c>
      <c r="E2532" s="9">
        <v>267478.25933180598</v>
      </c>
      <c r="F2532" s="9">
        <v>253353.19336068301</v>
      </c>
      <c r="G2532" s="9">
        <v>268085.44794583402</v>
      </c>
      <c r="H2532" s="9">
        <v>253872.04741882399</v>
      </c>
      <c r="I2532" s="21">
        <f t="shared" si="78"/>
        <v>518.85405814097612</v>
      </c>
      <c r="J2532" s="21">
        <f t="shared" si="79"/>
        <v>607.18861402804032</v>
      </c>
    </row>
    <row r="2533" spans="1:10" hidden="1">
      <c r="A2533" t="s">
        <v>272</v>
      </c>
      <c r="B2533" t="s">
        <v>274</v>
      </c>
      <c r="C2533" s="18">
        <v>2048</v>
      </c>
      <c r="D2533" t="s">
        <v>188</v>
      </c>
      <c r="E2533" s="9">
        <v>790402.26841178199</v>
      </c>
      <c r="F2533" s="9">
        <v>488932.56832924503</v>
      </c>
      <c r="G2533" s="9">
        <v>795796.81940173404</v>
      </c>
      <c r="H2533" s="9">
        <v>491307.70932856598</v>
      </c>
      <c r="I2533" s="21">
        <f t="shared" si="78"/>
        <v>2375.1409993209527</v>
      </c>
      <c r="J2533" s="21">
        <f t="shared" si="79"/>
        <v>5394.5509899520548</v>
      </c>
    </row>
    <row r="2534" spans="1:10" hidden="1">
      <c r="A2534" t="s">
        <v>272</v>
      </c>
      <c r="B2534" t="s">
        <v>274</v>
      </c>
      <c r="C2534" s="18">
        <v>2048</v>
      </c>
      <c r="D2534" t="s">
        <v>191</v>
      </c>
      <c r="E2534" s="9">
        <v>392540.93080098502</v>
      </c>
      <c r="F2534" s="9">
        <v>210545.65359884501</v>
      </c>
      <c r="G2534" s="9">
        <v>394306.23400907399</v>
      </c>
      <c r="H2534" s="9">
        <v>211189.299415093</v>
      </c>
      <c r="I2534" s="21">
        <f t="shared" si="78"/>
        <v>643.64581624799757</v>
      </c>
      <c r="J2534" s="21">
        <f t="shared" si="79"/>
        <v>1765.3032080889679</v>
      </c>
    </row>
    <row r="2535" spans="1:10" hidden="1">
      <c r="A2535" t="s">
        <v>272</v>
      </c>
      <c r="B2535" t="s">
        <v>274</v>
      </c>
      <c r="C2535" s="18">
        <v>2048</v>
      </c>
      <c r="D2535" t="s">
        <v>422</v>
      </c>
      <c r="E2535" s="9">
        <v>34278.8746200366</v>
      </c>
      <c r="F2535" s="9">
        <v>2112.6621520072399</v>
      </c>
      <c r="G2535" s="9">
        <v>34278.863496812097</v>
      </c>
      <c r="H2535" s="9">
        <v>2112.6617453372501</v>
      </c>
      <c r="I2535" s="21">
        <f t="shared" si="78"/>
        <v>-4.0666998984306701E-4</v>
      </c>
      <c r="J2535" s="21">
        <f t="shared" si="79"/>
        <v>-1.1123224503535312E-2</v>
      </c>
    </row>
    <row r="2536" spans="1:10" hidden="1">
      <c r="A2536" t="s">
        <v>272</v>
      </c>
      <c r="B2536" t="s">
        <v>274</v>
      </c>
      <c r="C2536" s="18">
        <v>2049</v>
      </c>
      <c r="D2536" t="s">
        <v>174</v>
      </c>
      <c r="E2536" s="9">
        <v>26002.903015935401</v>
      </c>
      <c r="F2536" s="9">
        <v>17413.450279766701</v>
      </c>
      <c r="G2536" s="9">
        <v>25986.5373789525</v>
      </c>
      <c r="H2536" s="9">
        <v>17406.659114093502</v>
      </c>
      <c r="I2536" s="21">
        <f t="shared" si="78"/>
        <v>-6.7911656731994299</v>
      </c>
      <c r="J2536" s="21">
        <f t="shared" si="79"/>
        <v>-16.365636982900469</v>
      </c>
    </row>
    <row r="2537" spans="1:10" hidden="1">
      <c r="A2537" t="s">
        <v>272</v>
      </c>
      <c r="B2537" t="s">
        <v>274</v>
      </c>
      <c r="C2537" s="18">
        <v>2049</v>
      </c>
      <c r="D2537" t="s">
        <v>236</v>
      </c>
      <c r="E2537" s="9">
        <v>1285104.7746455299</v>
      </c>
      <c r="F2537" s="9">
        <v>321157.44775640802</v>
      </c>
      <c r="G2537" s="9">
        <v>1290687.53512959</v>
      </c>
      <c r="H2537" s="9">
        <v>321740.50114880601</v>
      </c>
      <c r="I2537" s="21">
        <f t="shared" si="78"/>
        <v>583.0533923979965</v>
      </c>
      <c r="J2537" s="21">
        <f t="shared" si="79"/>
        <v>5582.7604840600397</v>
      </c>
    </row>
    <row r="2538" spans="1:10" hidden="1">
      <c r="A2538" t="s">
        <v>272</v>
      </c>
      <c r="B2538" t="s">
        <v>274</v>
      </c>
      <c r="C2538" s="18">
        <v>2049</v>
      </c>
      <c r="D2538" t="s">
        <v>182</v>
      </c>
      <c r="E2538" s="9">
        <v>147950.431309451</v>
      </c>
      <c r="F2538" s="9">
        <v>94574.376344139397</v>
      </c>
      <c r="G2538" s="9">
        <v>147882.09983734801</v>
      </c>
      <c r="H2538" s="9">
        <v>94546.865675552195</v>
      </c>
      <c r="I2538" s="21">
        <f t="shared" si="78"/>
        <v>-27.510668587201508</v>
      </c>
      <c r="J2538" s="21">
        <f t="shared" si="79"/>
        <v>-68.33147210298921</v>
      </c>
    </row>
    <row r="2539" spans="1:10" hidden="1">
      <c r="A2539" t="s">
        <v>272</v>
      </c>
      <c r="B2539" t="s">
        <v>274</v>
      </c>
      <c r="C2539" s="18">
        <v>2049</v>
      </c>
      <c r="D2539" t="s">
        <v>185</v>
      </c>
      <c r="E2539" s="9">
        <v>266392.188009854</v>
      </c>
      <c r="F2539" s="9">
        <v>252578.08143069601</v>
      </c>
      <c r="G2539" s="9">
        <v>267003.55015502701</v>
      </c>
      <c r="H2539" s="9">
        <v>253105.506935702</v>
      </c>
      <c r="I2539" s="21">
        <f t="shared" si="78"/>
        <v>527.42550500598736</v>
      </c>
      <c r="J2539" s="21">
        <f t="shared" si="79"/>
        <v>611.36214517301414</v>
      </c>
    </row>
    <row r="2540" spans="1:10" hidden="1">
      <c r="A2540" t="s">
        <v>272</v>
      </c>
      <c r="B2540" t="s">
        <v>274</v>
      </c>
      <c r="C2540" s="18">
        <v>2049</v>
      </c>
      <c r="D2540" t="s">
        <v>188</v>
      </c>
      <c r="E2540" s="9">
        <v>796077.22996367305</v>
      </c>
      <c r="F2540" s="9">
        <v>495507.28379731101</v>
      </c>
      <c r="G2540" s="9">
        <v>801596.85366425803</v>
      </c>
      <c r="H2540" s="9">
        <v>498010.65152404399</v>
      </c>
      <c r="I2540" s="21">
        <f t="shared" si="78"/>
        <v>2503.3677267329767</v>
      </c>
      <c r="J2540" s="21">
        <f t="shared" si="79"/>
        <v>5519.6237005849835</v>
      </c>
    </row>
    <row r="2541" spans="1:10" hidden="1">
      <c r="A2541" t="s">
        <v>272</v>
      </c>
      <c r="B2541" t="s">
        <v>274</v>
      </c>
      <c r="C2541" s="18">
        <v>2049</v>
      </c>
      <c r="D2541" t="s">
        <v>191</v>
      </c>
      <c r="E2541" s="9">
        <v>394259.44226173701</v>
      </c>
      <c r="F2541" s="9">
        <v>212904.58671138799</v>
      </c>
      <c r="G2541" s="9">
        <v>396058.615955627</v>
      </c>
      <c r="H2541" s="9">
        <v>213580.236200068</v>
      </c>
      <c r="I2541" s="21">
        <f t="shared" si="78"/>
        <v>675.64948868000647</v>
      </c>
      <c r="J2541" s="21">
        <f t="shared" si="79"/>
        <v>1799.1736938899849</v>
      </c>
    </row>
    <row r="2542" spans="1:10" hidden="1">
      <c r="A2542" t="s">
        <v>272</v>
      </c>
      <c r="B2542" t="s">
        <v>274</v>
      </c>
      <c r="C2542" s="18">
        <v>2049</v>
      </c>
      <c r="D2542" t="s">
        <v>422</v>
      </c>
      <c r="E2542" s="9">
        <v>34087.772239397098</v>
      </c>
      <c r="F2542" s="9">
        <v>1998.5925638409699</v>
      </c>
      <c r="G2542" s="9">
        <v>34087.762706701098</v>
      </c>
      <c r="H2542" s="9">
        <v>1998.5922336333499</v>
      </c>
      <c r="I2542" s="21">
        <f t="shared" si="78"/>
        <v>-3.3020761998159287E-4</v>
      </c>
      <c r="J2542" s="21">
        <f t="shared" si="79"/>
        <v>-9.5326959999511018E-3</v>
      </c>
    </row>
    <row r="2543" spans="1:10" hidden="1">
      <c r="A2543" t="s">
        <v>272</v>
      </c>
      <c r="B2543" t="s">
        <v>274</v>
      </c>
      <c r="C2543" s="18">
        <v>2050</v>
      </c>
      <c r="D2543" t="s">
        <v>174</v>
      </c>
      <c r="E2543" s="9">
        <v>26708.406548772298</v>
      </c>
      <c r="F2543" s="9">
        <v>17836.365144152802</v>
      </c>
      <c r="G2543" s="9">
        <v>26690.1101954068</v>
      </c>
      <c r="H2543" s="9">
        <v>17828.637482456001</v>
      </c>
      <c r="I2543" s="21">
        <f t="shared" si="78"/>
        <v>-7.7276616968010785</v>
      </c>
      <c r="J2543" s="21">
        <f t="shared" si="79"/>
        <v>-18.296353365498362</v>
      </c>
    </row>
    <row r="2544" spans="1:10" hidden="1">
      <c r="A2544" t="s">
        <v>272</v>
      </c>
      <c r="B2544" t="s">
        <v>274</v>
      </c>
      <c r="C2544" s="18">
        <v>2050</v>
      </c>
      <c r="D2544" t="s">
        <v>236</v>
      </c>
      <c r="E2544" s="9">
        <v>1292115.9580421201</v>
      </c>
      <c r="F2544" s="9">
        <v>328107.24069050403</v>
      </c>
      <c r="G2544" s="9">
        <v>1297798.19122542</v>
      </c>
      <c r="H2544" s="9">
        <v>328734.06146541203</v>
      </c>
      <c r="I2544" s="21">
        <f t="shared" si="78"/>
        <v>626.82077490800293</v>
      </c>
      <c r="J2544" s="21">
        <f t="shared" si="79"/>
        <v>5682.2331832998898</v>
      </c>
    </row>
    <row r="2545" spans="1:10" hidden="1">
      <c r="A2545" t="s">
        <v>272</v>
      </c>
      <c r="B2545" t="s">
        <v>274</v>
      </c>
      <c r="C2545" s="18">
        <v>2050</v>
      </c>
      <c r="D2545" t="s">
        <v>182</v>
      </c>
      <c r="E2545" s="9">
        <v>149624.460448117</v>
      </c>
      <c r="F2545" s="9">
        <v>95656.523919796193</v>
      </c>
      <c r="G2545" s="9">
        <v>149549.878981469</v>
      </c>
      <c r="H2545" s="9">
        <v>95625.943969428394</v>
      </c>
      <c r="I2545" s="21">
        <f t="shared" si="78"/>
        <v>-30.579950367799029</v>
      </c>
      <c r="J2545" s="21">
        <f t="shared" si="79"/>
        <v>-74.58146664800006</v>
      </c>
    </row>
    <row r="2546" spans="1:10" hidden="1">
      <c r="A2546" t="s">
        <v>272</v>
      </c>
      <c r="B2546" t="s">
        <v>274</v>
      </c>
      <c r="C2546" s="18">
        <v>2050</v>
      </c>
      <c r="D2546" t="s">
        <v>185</v>
      </c>
      <c r="E2546" s="9">
        <v>265416.66175901599</v>
      </c>
      <c r="F2546" s="9">
        <v>251624.33549074101</v>
      </c>
      <c r="G2546" s="9">
        <v>266031.496410964</v>
      </c>
      <c r="H2546" s="9">
        <v>252158.93315896901</v>
      </c>
      <c r="I2546" s="21">
        <f t="shared" si="78"/>
        <v>534.59766822800157</v>
      </c>
      <c r="J2546" s="21">
        <f t="shared" si="79"/>
        <v>614.83465194801101</v>
      </c>
    </row>
    <row r="2547" spans="1:10" hidden="1">
      <c r="A2547" t="s">
        <v>272</v>
      </c>
      <c r="B2547" t="s">
        <v>274</v>
      </c>
      <c r="C2547" s="18">
        <v>2050</v>
      </c>
      <c r="D2547" t="s">
        <v>188</v>
      </c>
      <c r="E2547" s="9">
        <v>803368.14153869299</v>
      </c>
      <c r="F2547" s="9">
        <v>501461.40101640997</v>
      </c>
      <c r="G2547" s="9">
        <v>809018.72253896797</v>
      </c>
      <c r="H2547" s="9">
        <v>504089.42679186398</v>
      </c>
      <c r="I2547" s="21">
        <f t="shared" si="78"/>
        <v>2628.0257754540071</v>
      </c>
      <c r="J2547" s="21">
        <f t="shared" si="79"/>
        <v>5650.5810002749786</v>
      </c>
    </row>
    <row r="2548" spans="1:10" hidden="1">
      <c r="A2548" t="s">
        <v>272</v>
      </c>
      <c r="B2548" t="s">
        <v>274</v>
      </c>
      <c r="C2548" s="18">
        <v>2050</v>
      </c>
      <c r="D2548" t="s">
        <v>191</v>
      </c>
      <c r="E2548" s="9">
        <v>396725.28508512297</v>
      </c>
      <c r="F2548" s="9">
        <v>214864.26513925</v>
      </c>
      <c r="G2548" s="9">
        <v>398560.03791860503</v>
      </c>
      <c r="H2548" s="9">
        <v>215570.73744048199</v>
      </c>
      <c r="I2548" s="21">
        <f t="shared" si="78"/>
        <v>706.47230123198824</v>
      </c>
      <c r="J2548" s="21">
        <f t="shared" si="79"/>
        <v>1834.7528334820527</v>
      </c>
    </row>
    <row r="2549" spans="1:10" hidden="1">
      <c r="A2549" t="s">
        <v>272</v>
      </c>
      <c r="B2549" t="s">
        <v>274</v>
      </c>
      <c r="C2549" s="18">
        <v>2050</v>
      </c>
      <c r="D2549" t="s">
        <v>422</v>
      </c>
      <c r="E2549" s="9">
        <v>33926.488855638701</v>
      </c>
      <c r="F2549" s="9">
        <v>1888.5152245480599</v>
      </c>
      <c r="G2549" s="9">
        <v>33926.479042696701</v>
      </c>
      <c r="H2549" s="9">
        <v>1888.5150098655699</v>
      </c>
      <c r="I2549" s="21">
        <f t="shared" si="78"/>
        <v>-2.1468248996825423E-4</v>
      </c>
      <c r="J2549" s="21">
        <f t="shared" si="79"/>
        <v>-9.8129420002806E-3</v>
      </c>
    </row>
    <row r="2550" spans="1:10" hidden="1">
      <c r="A2550" t="s">
        <v>76</v>
      </c>
      <c r="B2550" t="s">
        <v>425</v>
      </c>
      <c r="C2550" s="18">
        <v>2025</v>
      </c>
      <c r="D2550" t="s">
        <v>174</v>
      </c>
      <c r="E2550" s="9">
        <v>12176.1707137429</v>
      </c>
      <c r="F2550" s="9">
        <v>8959.2701472679</v>
      </c>
      <c r="G2550" s="9">
        <v>12176.1707137429</v>
      </c>
      <c r="H2550" s="9">
        <v>8959.2701472679</v>
      </c>
      <c r="I2550" s="21">
        <f t="shared" si="78"/>
        <v>0</v>
      </c>
      <c r="J2550" s="21">
        <f t="shared" si="79"/>
        <v>0</v>
      </c>
    </row>
    <row r="2551" spans="1:10" hidden="1">
      <c r="A2551" t="s">
        <v>76</v>
      </c>
      <c r="B2551" t="s">
        <v>425</v>
      </c>
      <c r="C2551" s="18">
        <v>2025</v>
      </c>
      <c r="D2551" t="s">
        <v>236</v>
      </c>
      <c r="E2551" s="9">
        <v>1026758.5711338</v>
      </c>
      <c r="F2551" s="9">
        <v>129383.32321031499</v>
      </c>
      <c r="G2551" s="9">
        <v>1026758.5711338</v>
      </c>
      <c r="H2551" s="9">
        <v>129383.32321031499</v>
      </c>
      <c r="I2551" s="21">
        <f t="shared" si="78"/>
        <v>0</v>
      </c>
      <c r="J2551" s="21">
        <f t="shared" si="79"/>
        <v>0</v>
      </c>
    </row>
    <row r="2552" spans="1:10" hidden="1">
      <c r="A2552" t="s">
        <v>76</v>
      </c>
      <c r="B2552" t="s">
        <v>425</v>
      </c>
      <c r="C2552" s="18">
        <v>2025</v>
      </c>
      <c r="D2552" t="s">
        <v>182</v>
      </c>
      <c r="E2552" s="9">
        <v>115291.15986546699</v>
      </c>
      <c r="F2552" s="9">
        <v>67656.558989495796</v>
      </c>
      <c r="G2552" s="9">
        <v>115291.15986546699</v>
      </c>
      <c r="H2552" s="9">
        <v>67656.558989495796</v>
      </c>
      <c r="I2552" s="21">
        <f t="shared" si="78"/>
        <v>0</v>
      </c>
      <c r="J2552" s="21">
        <f t="shared" si="79"/>
        <v>0</v>
      </c>
    </row>
    <row r="2553" spans="1:10" hidden="1">
      <c r="A2553" t="s">
        <v>76</v>
      </c>
      <c r="B2553" t="s">
        <v>425</v>
      </c>
      <c r="C2553" s="18">
        <v>2025</v>
      </c>
      <c r="D2553" t="s">
        <v>185</v>
      </c>
      <c r="E2553" s="9">
        <v>281662.55341658002</v>
      </c>
      <c r="F2553" s="9">
        <v>263295.70058044</v>
      </c>
      <c r="G2553" s="9">
        <v>281662.55341658002</v>
      </c>
      <c r="H2553" s="9">
        <v>263295.70058044</v>
      </c>
      <c r="I2553" s="21">
        <f t="shared" si="78"/>
        <v>0</v>
      </c>
      <c r="J2553" s="21">
        <f t="shared" si="79"/>
        <v>0</v>
      </c>
    </row>
    <row r="2554" spans="1:10" hidden="1">
      <c r="A2554" t="s">
        <v>76</v>
      </c>
      <c r="B2554" t="s">
        <v>425</v>
      </c>
      <c r="C2554" s="18">
        <v>2025</v>
      </c>
      <c r="D2554" t="s">
        <v>188</v>
      </c>
      <c r="E2554" s="9">
        <v>612171.634776233</v>
      </c>
      <c r="F2554" s="9">
        <v>335724.86979376699</v>
      </c>
      <c r="G2554" s="9">
        <v>612171.634776233</v>
      </c>
      <c r="H2554" s="9">
        <v>335724.86979376699</v>
      </c>
      <c r="I2554" s="21">
        <f t="shared" si="78"/>
        <v>0</v>
      </c>
      <c r="J2554" s="21">
        <f t="shared" si="79"/>
        <v>0</v>
      </c>
    </row>
    <row r="2555" spans="1:10" hidden="1">
      <c r="A2555" t="s">
        <v>76</v>
      </c>
      <c r="B2555" t="s">
        <v>425</v>
      </c>
      <c r="C2555" s="18">
        <v>2025</v>
      </c>
      <c r="D2555" t="s">
        <v>191</v>
      </c>
      <c r="E2555" s="9">
        <v>339642.13012673298</v>
      </c>
      <c r="F2555" s="9">
        <v>190841.880003208</v>
      </c>
      <c r="G2555" s="9">
        <v>339642.13012673298</v>
      </c>
      <c r="H2555" s="9">
        <v>190841.880003208</v>
      </c>
      <c r="I2555" s="21">
        <f t="shared" si="78"/>
        <v>0</v>
      </c>
      <c r="J2555" s="21">
        <f t="shared" si="79"/>
        <v>0</v>
      </c>
    </row>
    <row r="2556" spans="1:10" hidden="1">
      <c r="A2556" t="s">
        <v>76</v>
      </c>
      <c r="B2556" t="s">
        <v>425</v>
      </c>
      <c r="C2556" s="18">
        <v>2025</v>
      </c>
      <c r="D2556" t="s">
        <v>422</v>
      </c>
      <c r="E2556" s="9">
        <v>39660.836547407802</v>
      </c>
      <c r="F2556" s="9">
        <v>5303.4223017440199</v>
      </c>
      <c r="G2556" s="9">
        <v>39660.836547407802</v>
      </c>
      <c r="H2556" s="9">
        <v>5303.4223017440199</v>
      </c>
      <c r="I2556" s="21">
        <f t="shared" si="78"/>
        <v>0</v>
      </c>
      <c r="J2556" s="21">
        <f t="shared" si="79"/>
        <v>0</v>
      </c>
    </row>
    <row r="2557" spans="1:10" hidden="1">
      <c r="A2557" t="s">
        <v>76</v>
      </c>
      <c r="B2557" t="s">
        <v>425</v>
      </c>
      <c r="C2557" s="18">
        <v>2026</v>
      </c>
      <c r="D2557" t="s">
        <v>174</v>
      </c>
      <c r="E2557" s="9">
        <v>12568.144279644301</v>
      </c>
      <c r="F2557" s="9">
        <v>9271.1333627081003</v>
      </c>
      <c r="G2557" s="9">
        <v>12568.9386470114</v>
      </c>
      <c r="H2557" s="9">
        <v>9271.1333627081003</v>
      </c>
      <c r="I2557" s="21">
        <f t="shared" si="78"/>
        <v>0</v>
      </c>
      <c r="J2557" s="21">
        <f t="shared" si="79"/>
        <v>0.79436736709976685</v>
      </c>
    </row>
    <row r="2558" spans="1:10" hidden="1">
      <c r="A2558" t="s">
        <v>76</v>
      </c>
      <c r="B2558" t="s">
        <v>425</v>
      </c>
      <c r="C2558" s="18">
        <v>2026</v>
      </c>
      <c r="D2558" t="s">
        <v>236</v>
      </c>
      <c r="E2558" s="9">
        <v>1041471.59952382</v>
      </c>
      <c r="F2558" s="9">
        <v>137145.82895878801</v>
      </c>
      <c r="G2558" s="9">
        <v>1042135.18581351</v>
      </c>
      <c r="H2558" s="9">
        <v>137145.82895878801</v>
      </c>
      <c r="I2558" s="21">
        <f t="shared" si="78"/>
        <v>0</v>
      </c>
      <c r="J2558" s="21">
        <f t="shared" si="79"/>
        <v>663.58628968999255</v>
      </c>
    </row>
    <row r="2559" spans="1:10" hidden="1">
      <c r="A2559" t="s">
        <v>76</v>
      </c>
      <c r="B2559" t="s">
        <v>425</v>
      </c>
      <c r="C2559" s="18">
        <v>2026</v>
      </c>
      <c r="D2559" t="s">
        <v>182</v>
      </c>
      <c r="E2559" s="9">
        <v>113562.821682444</v>
      </c>
      <c r="F2559" s="9">
        <v>70326.603453519798</v>
      </c>
      <c r="G2559" s="9">
        <v>114707.986926294</v>
      </c>
      <c r="H2559" s="9">
        <v>70326.603453519798</v>
      </c>
      <c r="I2559" s="21">
        <f t="shared" si="78"/>
        <v>0</v>
      </c>
      <c r="J2559" s="21">
        <f t="shared" si="79"/>
        <v>1145.1652438500023</v>
      </c>
    </row>
    <row r="2560" spans="1:10" hidden="1">
      <c r="A2560" t="s">
        <v>76</v>
      </c>
      <c r="B2560" t="s">
        <v>425</v>
      </c>
      <c r="C2560" s="18">
        <v>2026</v>
      </c>
      <c r="D2560" t="s">
        <v>185</v>
      </c>
      <c r="E2560" s="9">
        <v>279941.77889619098</v>
      </c>
      <c r="F2560" s="9">
        <v>259504.46801133201</v>
      </c>
      <c r="G2560" s="9">
        <v>282722.53786088398</v>
      </c>
      <c r="H2560" s="9">
        <v>259504.46801133201</v>
      </c>
      <c r="I2560" s="21">
        <f t="shared" si="78"/>
        <v>0</v>
      </c>
      <c r="J2560" s="21">
        <f t="shared" si="79"/>
        <v>2780.7589646929991</v>
      </c>
    </row>
    <row r="2561" spans="1:10" hidden="1">
      <c r="A2561" t="s">
        <v>76</v>
      </c>
      <c r="B2561" t="s">
        <v>425</v>
      </c>
      <c r="C2561" s="18">
        <v>2026</v>
      </c>
      <c r="D2561" t="s">
        <v>188</v>
      </c>
      <c r="E2561" s="9">
        <v>607838.87482111994</v>
      </c>
      <c r="F2561" s="9">
        <v>342960.13528186502</v>
      </c>
      <c r="G2561" s="9">
        <v>616790.02915575495</v>
      </c>
      <c r="H2561" s="9">
        <v>342960.13528186502</v>
      </c>
      <c r="I2561" s="21">
        <f t="shared" si="78"/>
        <v>0</v>
      </c>
      <c r="J2561" s="21">
        <f t="shared" si="79"/>
        <v>8951.1543346350081</v>
      </c>
    </row>
    <row r="2562" spans="1:10" hidden="1">
      <c r="A2562" t="s">
        <v>76</v>
      </c>
      <c r="B2562" t="s">
        <v>425</v>
      </c>
      <c r="C2562" s="18">
        <v>2026</v>
      </c>
      <c r="D2562" t="s">
        <v>191</v>
      </c>
      <c r="E2562" s="9">
        <v>335181.353425826</v>
      </c>
      <c r="F2562" s="9">
        <v>190574.61381884801</v>
      </c>
      <c r="G2562" s="9">
        <v>338499.06942160201</v>
      </c>
      <c r="H2562" s="9">
        <v>190574.61381884801</v>
      </c>
      <c r="I2562" s="21">
        <f t="shared" ref="I2562:I2625" si="80">H2562-F2562</f>
        <v>0</v>
      </c>
      <c r="J2562" s="21">
        <f t="shared" ref="J2562:J2625" si="81">G2562-E2562</f>
        <v>3317.7159957760014</v>
      </c>
    </row>
    <row r="2563" spans="1:10" hidden="1">
      <c r="A2563" t="s">
        <v>76</v>
      </c>
      <c r="B2563" t="s">
        <v>425</v>
      </c>
      <c r="C2563" s="18">
        <v>2026</v>
      </c>
      <c r="D2563" t="s">
        <v>422</v>
      </c>
      <c r="E2563" s="9">
        <v>39250.667018004897</v>
      </c>
      <c r="F2563" s="9">
        <v>5105.6095547855903</v>
      </c>
      <c r="G2563" s="9">
        <v>39250.667018004897</v>
      </c>
      <c r="H2563" s="9">
        <v>5105.6095547855903</v>
      </c>
      <c r="I2563" s="21">
        <f t="shared" si="80"/>
        <v>0</v>
      </c>
      <c r="J2563" s="21">
        <f t="shared" si="81"/>
        <v>0</v>
      </c>
    </row>
    <row r="2564" spans="1:10" hidden="1">
      <c r="A2564" t="s">
        <v>76</v>
      </c>
      <c r="B2564" t="s">
        <v>425</v>
      </c>
      <c r="C2564" s="18">
        <v>2027</v>
      </c>
      <c r="D2564" t="s">
        <v>174</v>
      </c>
      <c r="E2564" s="9">
        <v>12974.4595932827</v>
      </c>
      <c r="F2564" s="9">
        <v>9577.3987000032794</v>
      </c>
      <c r="G2564" s="9">
        <v>12976.103113363301</v>
      </c>
      <c r="H2564" s="9">
        <v>9577.5296548643291</v>
      </c>
      <c r="I2564" s="21">
        <f t="shared" si="80"/>
        <v>0.13095486104975862</v>
      </c>
      <c r="J2564" s="21">
        <f t="shared" si="81"/>
        <v>1.6435200806008652</v>
      </c>
    </row>
    <row r="2565" spans="1:10" hidden="1">
      <c r="A2565" t="s">
        <v>76</v>
      </c>
      <c r="B2565" t="s">
        <v>425</v>
      </c>
      <c r="C2565" s="18">
        <v>2027</v>
      </c>
      <c r="D2565" t="s">
        <v>236</v>
      </c>
      <c r="E2565" s="9">
        <v>1052624.12515496</v>
      </c>
      <c r="F2565" s="9">
        <v>145005.04120286001</v>
      </c>
      <c r="G2565" s="9">
        <v>1057148.31873483</v>
      </c>
      <c r="H2565" s="9">
        <v>145009.441994705</v>
      </c>
      <c r="I2565" s="21">
        <f t="shared" si="80"/>
        <v>4.4007918449933641</v>
      </c>
      <c r="J2565" s="21">
        <f t="shared" si="81"/>
        <v>4524.1935798700433</v>
      </c>
    </row>
    <row r="2566" spans="1:10" hidden="1">
      <c r="A2566" t="s">
        <v>76</v>
      </c>
      <c r="B2566" t="s">
        <v>425</v>
      </c>
      <c r="C2566" s="18">
        <v>2027</v>
      </c>
      <c r="D2566" t="s">
        <v>182</v>
      </c>
      <c r="E2566" s="9">
        <v>111888.36185123101</v>
      </c>
      <c r="F2566" s="9">
        <v>72114.604480861599</v>
      </c>
      <c r="G2566" s="9">
        <v>114152.944165875</v>
      </c>
      <c r="H2566" s="9">
        <v>72290.169991209099</v>
      </c>
      <c r="I2566" s="21">
        <f t="shared" si="80"/>
        <v>175.56551034750009</v>
      </c>
      <c r="J2566" s="21">
        <f t="shared" si="81"/>
        <v>2264.5823146439943</v>
      </c>
    </row>
    <row r="2567" spans="1:10" hidden="1">
      <c r="A2567" t="s">
        <v>76</v>
      </c>
      <c r="B2567" t="s">
        <v>425</v>
      </c>
      <c r="C2567" s="18">
        <v>2027</v>
      </c>
      <c r="D2567" t="s">
        <v>185</v>
      </c>
      <c r="E2567" s="9">
        <v>272001.58969710098</v>
      </c>
      <c r="F2567" s="9">
        <v>259121.846546049</v>
      </c>
      <c r="G2567" s="9">
        <v>277877.509454571</v>
      </c>
      <c r="H2567" s="9">
        <v>260330.421136777</v>
      </c>
      <c r="I2567" s="21">
        <f t="shared" si="80"/>
        <v>1208.574590728007</v>
      </c>
      <c r="J2567" s="21">
        <f t="shared" si="81"/>
        <v>5875.9197574700229</v>
      </c>
    </row>
    <row r="2568" spans="1:10" hidden="1">
      <c r="A2568" t="s">
        <v>76</v>
      </c>
      <c r="B2568" t="s">
        <v>425</v>
      </c>
      <c r="C2568" s="18">
        <v>2027</v>
      </c>
      <c r="D2568" t="s">
        <v>188</v>
      </c>
      <c r="E2568" s="9">
        <v>600769.34203325899</v>
      </c>
      <c r="F2568" s="9">
        <v>348767.29596718698</v>
      </c>
      <c r="G2568" s="9">
        <v>621430.90280116105</v>
      </c>
      <c r="H2568" s="9">
        <v>349405.30073034298</v>
      </c>
      <c r="I2568" s="21">
        <f t="shared" si="80"/>
        <v>638.00476315600099</v>
      </c>
      <c r="J2568" s="21">
        <f t="shared" si="81"/>
        <v>20661.560767902061</v>
      </c>
    </row>
    <row r="2569" spans="1:10" hidden="1">
      <c r="A2569" t="s">
        <v>76</v>
      </c>
      <c r="B2569" t="s">
        <v>425</v>
      </c>
      <c r="C2569" s="18">
        <v>2027</v>
      </c>
      <c r="D2569" t="s">
        <v>191</v>
      </c>
      <c r="E2569" s="9">
        <v>329802.39823124098</v>
      </c>
      <c r="F2569" s="9">
        <v>188738.942869046</v>
      </c>
      <c r="G2569" s="9">
        <v>337398.94907172298</v>
      </c>
      <c r="H2569" s="9">
        <v>189031.10044551201</v>
      </c>
      <c r="I2569" s="21">
        <f t="shared" si="80"/>
        <v>292.15757646600832</v>
      </c>
      <c r="J2569" s="21">
        <f t="shared" si="81"/>
        <v>7596.5508404819993</v>
      </c>
    </row>
    <row r="2570" spans="1:10" hidden="1">
      <c r="A2570" t="s">
        <v>76</v>
      </c>
      <c r="B2570" t="s">
        <v>425</v>
      </c>
      <c r="C2570" s="18">
        <v>2027</v>
      </c>
      <c r="D2570" t="s">
        <v>422</v>
      </c>
      <c r="E2570" s="9">
        <v>38773.627186343103</v>
      </c>
      <c r="F2570" s="9">
        <v>4921.4971535538998</v>
      </c>
      <c r="G2570" s="9">
        <v>38773.627186343103</v>
      </c>
      <c r="H2570" s="9">
        <v>4921.4971535538998</v>
      </c>
      <c r="I2570" s="21">
        <f t="shared" si="80"/>
        <v>0</v>
      </c>
      <c r="J2570" s="21">
        <f t="shared" si="81"/>
        <v>0</v>
      </c>
    </row>
    <row r="2571" spans="1:10" hidden="1">
      <c r="A2571" t="s">
        <v>76</v>
      </c>
      <c r="B2571" t="s">
        <v>425</v>
      </c>
      <c r="C2571" s="18">
        <v>2028</v>
      </c>
      <c r="D2571" t="s">
        <v>174</v>
      </c>
      <c r="E2571" s="9">
        <v>13393.249555471701</v>
      </c>
      <c r="F2571" s="9">
        <v>9881.5505338365692</v>
      </c>
      <c r="G2571" s="9">
        <v>13394.6739315754</v>
      </c>
      <c r="H2571" s="9">
        <v>9881.9220189252792</v>
      </c>
      <c r="I2571" s="21">
        <f t="shared" si="80"/>
        <v>0.37148508870996011</v>
      </c>
      <c r="J2571" s="21">
        <f t="shared" si="81"/>
        <v>1.4243761036996148</v>
      </c>
    </row>
    <row r="2572" spans="1:10" hidden="1">
      <c r="A2572" t="s">
        <v>76</v>
      </c>
      <c r="B2572" t="s">
        <v>425</v>
      </c>
      <c r="C2572" s="18">
        <v>2028</v>
      </c>
      <c r="D2572" t="s">
        <v>236</v>
      </c>
      <c r="E2572" s="9">
        <v>1063585.1330442601</v>
      </c>
      <c r="F2572" s="9">
        <v>152936.81254956199</v>
      </c>
      <c r="G2572" s="9">
        <v>1071826.1250559301</v>
      </c>
      <c r="H2572" s="9">
        <v>152971.72938899801</v>
      </c>
      <c r="I2572" s="21">
        <f t="shared" si="80"/>
        <v>34.916839436016744</v>
      </c>
      <c r="J2572" s="21">
        <f t="shared" si="81"/>
        <v>8240.9920116700232</v>
      </c>
    </row>
    <row r="2573" spans="1:10" hidden="1">
      <c r="A2573" t="s">
        <v>76</v>
      </c>
      <c r="B2573" t="s">
        <v>425</v>
      </c>
      <c r="C2573" s="18">
        <v>2028</v>
      </c>
      <c r="D2573" t="s">
        <v>182</v>
      </c>
      <c r="E2573" s="9">
        <v>110771.82531805801</v>
      </c>
      <c r="F2573" s="9">
        <v>73368.716577986095</v>
      </c>
      <c r="G2573" s="9">
        <v>114139.12292486199</v>
      </c>
      <c r="H2573" s="9">
        <v>73846.874209439702</v>
      </c>
      <c r="I2573" s="21">
        <f t="shared" si="80"/>
        <v>478.15763145360688</v>
      </c>
      <c r="J2573" s="21">
        <f t="shared" si="81"/>
        <v>3367.2976068039861</v>
      </c>
    </row>
    <row r="2574" spans="1:10" hidden="1">
      <c r="A2574" t="s">
        <v>76</v>
      </c>
      <c r="B2574" t="s">
        <v>425</v>
      </c>
      <c r="C2574" s="18">
        <v>2028</v>
      </c>
      <c r="D2574" t="s">
        <v>185</v>
      </c>
      <c r="E2574" s="9">
        <v>268801.06896559498</v>
      </c>
      <c r="F2574" s="9">
        <v>254855.740903578</v>
      </c>
      <c r="G2574" s="9">
        <v>277735.69614120398</v>
      </c>
      <c r="H2574" s="9">
        <v>257765.32327170501</v>
      </c>
      <c r="I2574" s="21">
        <f t="shared" si="80"/>
        <v>2909.5823681270122</v>
      </c>
      <c r="J2574" s="21">
        <f t="shared" si="81"/>
        <v>8934.6271756089991</v>
      </c>
    </row>
    <row r="2575" spans="1:10" hidden="1">
      <c r="A2575" t="s">
        <v>76</v>
      </c>
      <c r="B2575" t="s">
        <v>425</v>
      </c>
      <c r="C2575" s="18">
        <v>2028</v>
      </c>
      <c r="D2575" t="s">
        <v>188</v>
      </c>
      <c r="E2575" s="9">
        <v>595576.78807642695</v>
      </c>
      <c r="F2575" s="9">
        <v>354163.48144212097</v>
      </c>
      <c r="G2575" s="9">
        <v>627723.84415529598</v>
      </c>
      <c r="H2575" s="9">
        <v>356159.25290604099</v>
      </c>
      <c r="I2575" s="21">
        <f t="shared" si="80"/>
        <v>1995.771463920013</v>
      </c>
      <c r="J2575" s="21">
        <f t="shared" si="81"/>
        <v>32147.056078869035</v>
      </c>
    </row>
    <row r="2576" spans="1:10" hidden="1">
      <c r="A2576" t="s">
        <v>76</v>
      </c>
      <c r="B2576" t="s">
        <v>425</v>
      </c>
      <c r="C2576" s="18">
        <v>2028</v>
      </c>
      <c r="D2576" t="s">
        <v>191</v>
      </c>
      <c r="E2576" s="9">
        <v>325777.90632762801</v>
      </c>
      <c r="F2576" s="9">
        <v>186274.32811214199</v>
      </c>
      <c r="G2576" s="9">
        <v>337514.695524676</v>
      </c>
      <c r="H2576" s="9">
        <v>187116.63987946699</v>
      </c>
      <c r="I2576" s="21">
        <f t="shared" si="80"/>
        <v>842.31176732500899</v>
      </c>
      <c r="J2576" s="21">
        <f t="shared" si="81"/>
        <v>11736.789197047998</v>
      </c>
    </row>
    <row r="2577" spans="1:10" hidden="1">
      <c r="A2577" t="s">
        <v>76</v>
      </c>
      <c r="B2577" t="s">
        <v>425</v>
      </c>
      <c r="C2577" s="18">
        <v>2028</v>
      </c>
      <c r="D2577" t="s">
        <v>422</v>
      </c>
      <c r="E2577" s="9">
        <v>38149.316719902497</v>
      </c>
      <c r="F2577" s="9">
        <v>4742.0855729783398</v>
      </c>
      <c r="G2577" s="9">
        <v>38149.291579231904</v>
      </c>
      <c r="H2577" s="9">
        <v>4742.0855729783398</v>
      </c>
      <c r="I2577" s="21">
        <f t="shared" si="80"/>
        <v>0</v>
      </c>
      <c r="J2577" s="21">
        <f t="shared" si="81"/>
        <v>-2.5140670593827963E-2</v>
      </c>
    </row>
    <row r="2578" spans="1:10" hidden="1">
      <c r="A2578" t="s">
        <v>76</v>
      </c>
      <c r="B2578" t="s">
        <v>425</v>
      </c>
      <c r="C2578" s="18">
        <v>2029</v>
      </c>
      <c r="D2578" t="s">
        <v>174</v>
      </c>
      <c r="E2578" s="9">
        <v>13830.4794255448</v>
      </c>
      <c r="F2578" s="9">
        <v>10187.8829097175</v>
      </c>
      <c r="G2578" s="9">
        <v>13830.048598278099</v>
      </c>
      <c r="H2578" s="9">
        <v>10188.394886280999</v>
      </c>
      <c r="I2578" s="21">
        <f t="shared" si="80"/>
        <v>0.51197656349904719</v>
      </c>
      <c r="J2578" s="21">
        <f t="shared" si="81"/>
        <v>-0.43082726670036209</v>
      </c>
    </row>
    <row r="2579" spans="1:10" hidden="1">
      <c r="A2579" t="s">
        <v>76</v>
      </c>
      <c r="B2579" t="s">
        <v>425</v>
      </c>
      <c r="C2579" s="18">
        <v>2029</v>
      </c>
      <c r="D2579" t="s">
        <v>236</v>
      </c>
      <c r="E2579" s="9">
        <v>1074394.4483813699</v>
      </c>
      <c r="F2579" s="9">
        <v>160946.92030730401</v>
      </c>
      <c r="G2579" s="9">
        <v>1086200.5009906101</v>
      </c>
      <c r="H2579" s="9">
        <v>161038.22768731901</v>
      </c>
      <c r="I2579" s="21">
        <f t="shared" si="80"/>
        <v>91.307380015001399</v>
      </c>
      <c r="J2579" s="21">
        <f t="shared" si="81"/>
        <v>11806.052609240171</v>
      </c>
    </row>
    <row r="2580" spans="1:10" hidden="1">
      <c r="A2580" t="s">
        <v>76</v>
      </c>
      <c r="B2580" t="s">
        <v>425</v>
      </c>
      <c r="C2580" s="18">
        <v>2029</v>
      </c>
      <c r="D2580" t="s">
        <v>182</v>
      </c>
      <c r="E2580" s="9">
        <v>109604.468667322</v>
      </c>
      <c r="F2580" s="9">
        <v>74576.643983710499</v>
      </c>
      <c r="G2580" s="9">
        <v>114048.15533588199</v>
      </c>
      <c r="H2580" s="9">
        <v>75452.222577591499</v>
      </c>
      <c r="I2580" s="21">
        <f t="shared" si="80"/>
        <v>875.57859388100042</v>
      </c>
      <c r="J2580" s="21">
        <f t="shared" si="81"/>
        <v>4443.6866685599962</v>
      </c>
    </row>
    <row r="2581" spans="1:10" hidden="1">
      <c r="A2581" t="s">
        <v>76</v>
      </c>
      <c r="B2581" t="s">
        <v>425</v>
      </c>
      <c r="C2581" s="18">
        <v>2029</v>
      </c>
      <c r="D2581" t="s">
        <v>185</v>
      </c>
      <c r="E2581" s="9">
        <v>263985.13073725603</v>
      </c>
      <c r="F2581" s="9">
        <v>253454.53115847</v>
      </c>
      <c r="G2581" s="9">
        <v>275821.08299242798</v>
      </c>
      <c r="H2581" s="9">
        <v>258334.31739486201</v>
      </c>
      <c r="I2581" s="21">
        <f t="shared" si="80"/>
        <v>4879.786236392014</v>
      </c>
      <c r="J2581" s="21">
        <f t="shared" si="81"/>
        <v>11835.952255171956</v>
      </c>
    </row>
    <row r="2582" spans="1:10" hidden="1">
      <c r="A2582" t="s">
        <v>76</v>
      </c>
      <c r="B2582" t="s">
        <v>425</v>
      </c>
      <c r="C2582" s="18">
        <v>2029</v>
      </c>
      <c r="D2582" t="s">
        <v>188</v>
      </c>
      <c r="E2582" s="9">
        <v>587593.03042171698</v>
      </c>
      <c r="F2582" s="9">
        <v>359937.41890952201</v>
      </c>
      <c r="G2582" s="9">
        <v>630779.36998507904</v>
      </c>
      <c r="H2582" s="9">
        <v>363892.26827992598</v>
      </c>
      <c r="I2582" s="21">
        <f t="shared" si="80"/>
        <v>3954.849370403972</v>
      </c>
      <c r="J2582" s="21">
        <f t="shared" si="81"/>
        <v>43186.339563362068</v>
      </c>
    </row>
    <row r="2583" spans="1:10" hidden="1">
      <c r="A2583" t="s">
        <v>76</v>
      </c>
      <c r="B2583" t="s">
        <v>425</v>
      </c>
      <c r="C2583" s="18">
        <v>2029</v>
      </c>
      <c r="D2583" t="s">
        <v>191</v>
      </c>
      <c r="E2583" s="9">
        <v>320267.183943437</v>
      </c>
      <c r="F2583" s="9">
        <v>185269.736028552</v>
      </c>
      <c r="G2583" s="9">
        <v>335921.29283179599</v>
      </c>
      <c r="H2583" s="9">
        <v>186821.56008749199</v>
      </c>
      <c r="I2583" s="21">
        <f t="shared" si="80"/>
        <v>1551.8240589399938</v>
      </c>
      <c r="J2583" s="21">
        <f t="shared" si="81"/>
        <v>15654.108888358984</v>
      </c>
    </row>
    <row r="2584" spans="1:10" hidden="1">
      <c r="A2584" t="s">
        <v>76</v>
      </c>
      <c r="B2584" t="s">
        <v>425</v>
      </c>
      <c r="C2584" s="18">
        <v>2029</v>
      </c>
      <c r="D2584" t="s">
        <v>422</v>
      </c>
      <c r="E2584" s="9">
        <v>37777.539552660797</v>
      </c>
      <c r="F2584" s="9">
        <v>4604.0699888173103</v>
      </c>
      <c r="G2584" s="9">
        <v>37777.467218977603</v>
      </c>
      <c r="H2584" s="9">
        <v>4604.0681483163899</v>
      </c>
      <c r="I2584" s="21">
        <f t="shared" si="80"/>
        <v>-1.8405009204798262E-3</v>
      </c>
      <c r="J2584" s="21">
        <f t="shared" si="81"/>
        <v>-7.2333683194301557E-2</v>
      </c>
    </row>
    <row r="2585" spans="1:10" hidden="1">
      <c r="A2585" t="s">
        <v>76</v>
      </c>
      <c r="B2585" t="s">
        <v>425</v>
      </c>
      <c r="C2585" s="18">
        <v>2030</v>
      </c>
      <c r="D2585" t="s">
        <v>174</v>
      </c>
      <c r="E2585" s="9">
        <v>14286.2303310977</v>
      </c>
      <c r="F2585" s="9">
        <v>10499.978656179699</v>
      </c>
      <c r="G2585" s="9">
        <v>14281.959039535501</v>
      </c>
      <c r="H2585" s="9">
        <v>10500.2867221377</v>
      </c>
      <c r="I2585" s="21">
        <f t="shared" si="80"/>
        <v>0.30806595800095238</v>
      </c>
      <c r="J2585" s="21">
        <f t="shared" si="81"/>
        <v>-4.2712915621996217</v>
      </c>
    </row>
    <row r="2586" spans="1:10" hidden="1">
      <c r="A2586" t="s">
        <v>76</v>
      </c>
      <c r="B2586" t="s">
        <v>425</v>
      </c>
      <c r="C2586" s="18">
        <v>2030</v>
      </c>
      <c r="D2586" t="s">
        <v>236</v>
      </c>
      <c r="E2586" s="9">
        <v>1084977.45667758</v>
      </c>
      <c r="F2586" s="9">
        <v>169023.340515152</v>
      </c>
      <c r="G2586" s="9">
        <v>1100191.7865472301</v>
      </c>
      <c r="H2586" s="9">
        <v>169196.385350075</v>
      </c>
      <c r="I2586" s="21">
        <f t="shared" si="80"/>
        <v>173.04483492299914</v>
      </c>
      <c r="J2586" s="21">
        <f t="shared" si="81"/>
        <v>15214.329869650071</v>
      </c>
    </row>
    <row r="2587" spans="1:10" hidden="1">
      <c r="A2587" t="s">
        <v>76</v>
      </c>
      <c r="B2587" t="s">
        <v>425</v>
      </c>
      <c r="C2587" s="18">
        <v>2030</v>
      </c>
      <c r="D2587" t="s">
        <v>182</v>
      </c>
      <c r="E2587" s="9">
        <v>109245.886109678</v>
      </c>
      <c r="F2587" s="9">
        <v>74659.673316551998</v>
      </c>
      <c r="G2587" s="9">
        <v>114781.951575614</v>
      </c>
      <c r="H2587" s="9">
        <v>76004.374773711097</v>
      </c>
      <c r="I2587" s="21">
        <f t="shared" si="80"/>
        <v>1344.7014571590989</v>
      </c>
      <c r="J2587" s="21">
        <f t="shared" si="81"/>
        <v>5536.0654659360007</v>
      </c>
    </row>
    <row r="2588" spans="1:10" hidden="1">
      <c r="A2588" t="s">
        <v>76</v>
      </c>
      <c r="B2588" t="s">
        <v>425</v>
      </c>
      <c r="C2588" s="18">
        <v>2030</v>
      </c>
      <c r="D2588" t="s">
        <v>185</v>
      </c>
      <c r="E2588" s="9">
        <v>261032.686763921</v>
      </c>
      <c r="F2588" s="9">
        <v>250476.84997040901</v>
      </c>
      <c r="G2588" s="9">
        <v>275750.81654950802</v>
      </c>
      <c r="H2588" s="9">
        <v>257411.19778715901</v>
      </c>
      <c r="I2588" s="21">
        <f t="shared" si="80"/>
        <v>6934.3478167499998</v>
      </c>
      <c r="J2588" s="21">
        <f t="shared" si="81"/>
        <v>14718.129785587022</v>
      </c>
    </row>
    <row r="2589" spans="1:10" hidden="1">
      <c r="A2589" t="s">
        <v>76</v>
      </c>
      <c r="B2589" t="s">
        <v>425</v>
      </c>
      <c r="C2589" s="18">
        <v>2030</v>
      </c>
      <c r="D2589" t="s">
        <v>188</v>
      </c>
      <c r="E2589" s="9">
        <v>583910.099201957</v>
      </c>
      <c r="F2589" s="9">
        <v>362493.13186522102</v>
      </c>
      <c r="G2589" s="9">
        <v>638199.36722691404</v>
      </c>
      <c r="H2589" s="9">
        <v>368920.44347907702</v>
      </c>
      <c r="I2589" s="21">
        <f t="shared" si="80"/>
        <v>6427.3116138559999</v>
      </c>
      <c r="J2589" s="21">
        <f t="shared" si="81"/>
        <v>54289.26802495704</v>
      </c>
    </row>
    <row r="2590" spans="1:10" hidden="1">
      <c r="A2590" t="s">
        <v>76</v>
      </c>
      <c r="B2590" t="s">
        <v>425</v>
      </c>
      <c r="C2590" s="18">
        <v>2030</v>
      </c>
      <c r="D2590" t="s">
        <v>191</v>
      </c>
      <c r="E2590" s="9">
        <v>317796.24705120799</v>
      </c>
      <c r="F2590" s="9">
        <v>183071.31274910399</v>
      </c>
      <c r="G2590" s="9">
        <v>337374.94686633401</v>
      </c>
      <c r="H2590" s="9">
        <v>185442.493190957</v>
      </c>
      <c r="I2590" s="21">
        <f t="shared" si="80"/>
        <v>2371.1804418530082</v>
      </c>
      <c r="J2590" s="21">
        <f t="shared" si="81"/>
        <v>19578.69981512602</v>
      </c>
    </row>
    <row r="2591" spans="1:10" hidden="1">
      <c r="A2591" t="s">
        <v>76</v>
      </c>
      <c r="B2591" t="s">
        <v>425</v>
      </c>
      <c r="C2591" s="18">
        <v>2030</v>
      </c>
      <c r="D2591" t="s">
        <v>422</v>
      </c>
      <c r="E2591" s="9">
        <v>38012.807498987699</v>
      </c>
      <c r="F2591" s="9">
        <v>4432.1230383498796</v>
      </c>
      <c r="G2591" s="9">
        <v>38012.673637756197</v>
      </c>
      <c r="H2591" s="9">
        <v>4432.1168533298996</v>
      </c>
      <c r="I2591" s="21">
        <f t="shared" si="80"/>
        <v>-6.1850199799664551E-3</v>
      </c>
      <c r="J2591" s="21">
        <f t="shared" si="81"/>
        <v>-0.13386123150121421</v>
      </c>
    </row>
    <row r="2592" spans="1:10" hidden="1">
      <c r="A2592" t="s">
        <v>76</v>
      </c>
      <c r="B2592" t="s">
        <v>425</v>
      </c>
      <c r="C2592" s="18">
        <v>2031</v>
      </c>
      <c r="D2592" t="s">
        <v>174</v>
      </c>
      <c r="E2592" s="9">
        <v>14765.607028099899</v>
      </c>
      <c r="F2592" s="9">
        <v>10815.3988335172</v>
      </c>
      <c r="G2592" s="9">
        <v>14754.4294987798</v>
      </c>
      <c r="H2592" s="9">
        <v>10814.9178976517</v>
      </c>
      <c r="I2592" s="21">
        <f t="shared" si="80"/>
        <v>-0.48093586550021428</v>
      </c>
      <c r="J2592" s="21">
        <f t="shared" si="81"/>
        <v>-11.177529320098984</v>
      </c>
    </row>
    <row r="2593" spans="1:10" hidden="1">
      <c r="A2593" t="s">
        <v>76</v>
      </c>
      <c r="B2593" t="s">
        <v>425</v>
      </c>
      <c r="C2593" s="18">
        <v>2031</v>
      </c>
      <c r="D2593" t="s">
        <v>236</v>
      </c>
      <c r="E2593" s="9">
        <v>1095957.34095808</v>
      </c>
      <c r="F2593" s="9">
        <v>177140.86930114499</v>
      </c>
      <c r="G2593" s="9">
        <v>1113725.2263596801</v>
      </c>
      <c r="H2593" s="9">
        <v>177420.195676039</v>
      </c>
      <c r="I2593" s="21">
        <f t="shared" si="80"/>
        <v>279.32637489400804</v>
      </c>
      <c r="J2593" s="21">
        <f t="shared" si="81"/>
        <v>17767.88540160004</v>
      </c>
    </row>
    <row r="2594" spans="1:10" hidden="1">
      <c r="A2594" t="s">
        <v>76</v>
      </c>
      <c r="B2594" t="s">
        <v>425</v>
      </c>
      <c r="C2594" s="18">
        <v>2031</v>
      </c>
      <c r="D2594" t="s">
        <v>182</v>
      </c>
      <c r="E2594" s="9">
        <v>110226.572684169</v>
      </c>
      <c r="F2594" s="9">
        <v>74685.043231311996</v>
      </c>
      <c r="G2594" s="9">
        <v>115757.018858842</v>
      </c>
      <c r="H2594" s="9">
        <v>76556.628013514899</v>
      </c>
      <c r="I2594" s="21">
        <f t="shared" si="80"/>
        <v>1871.5847822029027</v>
      </c>
      <c r="J2594" s="21">
        <f t="shared" si="81"/>
        <v>5530.4461746729939</v>
      </c>
    </row>
    <row r="2595" spans="1:10" hidden="1">
      <c r="A2595" t="s">
        <v>76</v>
      </c>
      <c r="B2595" t="s">
        <v>425</v>
      </c>
      <c r="C2595" s="18">
        <v>2031</v>
      </c>
      <c r="D2595" t="s">
        <v>185</v>
      </c>
      <c r="E2595" s="9">
        <v>259807.74750409101</v>
      </c>
      <c r="F2595" s="9">
        <v>248153.42953102899</v>
      </c>
      <c r="G2595" s="9">
        <v>274719.77758767002</v>
      </c>
      <c r="H2595" s="9">
        <v>257245.00548019301</v>
      </c>
      <c r="I2595" s="21">
        <f t="shared" si="80"/>
        <v>9091.5759491640201</v>
      </c>
      <c r="J2595" s="21">
        <f t="shared" si="81"/>
        <v>14912.030083579011</v>
      </c>
    </row>
    <row r="2596" spans="1:10" hidden="1">
      <c r="A2596" t="s">
        <v>76</v>
      </c>
      <c r="B2596" t="s">
        <v>425</v>
      </c>
      <c r="C2596" s="18">
        <v>2031</v>
      </c>
      <c r="D2596" t="s">
        <v>188</v>
      </c>
      <c r="E2596" s="9">
        <v>589413.46035915904</v>
      </c>
      <c r="F2596" s="9">
        <v>364840.22788353998</v>
      </c>
      <c r="G2596" s="9">
        <v>646110.86416985898</v>
      </c>
      <c r="H2596" s="9">
        <v>374207.72907897399</v>
      </c>
      <c r="I2596" s="21">
        <f t="shared" si="80"/>
        <v>9367.5011954340152</v>
      </c>
      <c r="J2596" s="21">
        <f t="shared" si="81"/>
        <v>56697.403810699936</v>
      </c>
    </row>
    <row r="2597" spans="1:10" hidden="1">
      <c r="A2597" t="s">
        <v>76</v>
      </c>
      <c r="B2597" t="s">
        <v>425</v>
      </c>
      <c r="C2597" s="18">
        <v>2031</v>
      </c>
      <c r="D2597" t="s">
        <v>191</v>
      </c>
      <c r="E2597" s="9">
        <v>318914.31603074499</v>
      </c>
      <c r="F2597" s="9">
        <v>181026.09534843999</v>
      </c>
      <c r="G2597" s="9">
        <v>339204.41915059398</v>
      </c>
      <c r="H2597" s="9">
        <v>184315.56237323501</v>
      </c>
      <c r="I2597" s="21">
        <f t="shared" si="80"/>
        <v>3289.4670247950125</v>
      </c>
      <c r="J2597" s="21">
        <f t="shared" si="81"/>
        <v>20290.103119848995</v>
      </c>
    </row>
    <row r="2598" spans="1:10" hidden="1">
      <c r="A2598" t="s">
        <v>76</v>
      </c>
      <c r="B2598" t="s">
        <v>425</v>
      </c>
      <c r="C2598" s="18">
        <v>2031</v>
      </c>
      <c r="D2598" t="s">
        <v>422</v>
      </c>
      <c r="E2598" s="9">
        <v>38191.870182799001</v>
      </c>
      <c r="F2598" s="9">
        <v>4274.7399692050703</v>
      </c>
      <c r="G2598" s="9">
        <v>38191.6231000681</v>
      </c>
      <c r="H2598" s="9">
        <v>4274.7272932738097</v>
      </c>
      <c r="I2598" s="21">
        <f t="shared" si="80"/>
        <v>-1.2675931260673678E-2</v>
      </c>
      <c r="J2598" s="21">
        <f t="shared" si="81"/>
        <v>-0.24708273090072908</v>
      </c>
    </row>
    <row r="2599" spans="1:10" hidden="1">
      <c r="A2599" t="s">
        <v>76</v>
      </c>
      <c r="B2599" t="s">
        <v>425</v>
      </c>
      <c r="C2599" s="18">
        <v>2032</v>
      </c>
      <c r="D2599" t="s">
        <v>174</v>
      </c>
      <c r="E2599" s="9">
        <v>15268.2495912624</v>
      </c>
      <c r="F2599" s="9">
        <v>11134.3779429638</v>
      </c>
      <c r="G2599" s="9">
        <v>15247.769190462001</v>
      </c>
      <c r="H2599" s="9">
        <v>11132.1787355836</v>
      </c>
      <c r="I2599" s="21">
        <f t="shared" si="80"/>
        <v>-2.1992073801993683</v>
      </c>
      <c r="J2599" s="21">
        <f t="shared" si="81"/>
        <v>-20.480400800399366</v>
      </c>
    </row>
    <row r="2600" spans="1:10" hidden="1">
      <c r="A2600" t="s">
        <v>76</v>
      </c>
      <c r="B2600" t="s">
        <v>425</v>
      </c>
      <c r="C2600" s="18">
        <v>2032</v>
      </c>
      <c r="D2600" t="s">
        <v>236</v>
      </c>
      <c r="E2600" s="9">
        <v>1106624.79247501</v>
      </c>
      <c r="F2600" s="9">
        <v>185287.19127111</v>
      </c>
      <c r="G2600" s="9">
        <v>1126783.31749171</v>
      </c>
      <c r="H2600" s="9">
        <v>185691.45221249</v>
      </c>
      <c r="I2600" s="21">
        <f t="shared" si="80"/>
        <v>404.26094137999462</v>
      </c>
      <c r="J2600" s="21">
        <f t="shared" si="81"/>
        <v>20158.525016699918</v>
      </c>
    </row>
    <row r="2601" spans="1:10" hidden="1">
      <c r="A2601" t="s">
        <v>76</v>
      </c>
      <c r="B2601" t="s">
        <v>425</v>
      </c>
      <c r="C2601" s="18">
        <v>2032</v>
      </c>
      <c r="D2601" t="s">
        <v>182</v>
      </c>
      <c r="E2601" s="9">
        <v>111369.938733638</v>
      </c>
      <c r="F2601" s="9">
        <v>74919.192768557405</v>
      </c>
      <c r="G2601" s="9">
        <v>116892.91249656001</v>
      </c>
      <c r="H2601" s="9">
        <v>77198.389307422098</v>
      </c>
      <c r="I2601" s="21">
        <f t="shared" si="80"/>
        <v>2279.1965388646931</v>
      </c>
      <c r="J2601" s="21">
        <f t="shared" si="81"/>
        <v>5522.9737629220035</v>
      </c>
    </row>
    <row r="2602" spans="1:10" hidden="1">
      <c r="A2602" t="s">
        <v>76</v>
      </c>
      <c r="B2602" t="s">
        <v>425</v>
      </c>
      <c r="C2602" s="18">
        <v>2032</v>
      </c>
      <c r="D2602" t="s">
        <v>185</v>
      </c>
      <c r="E2602" s="9">
        <v>259301.11440524401</v>
      </c>
      <c r="F2602" s="9">
        <v>246553.021860501</v>
      </c>
      <c r="G2602" s="9">
        <v>274412.39342979901</v>
      </c>
      <c r="H2602" s="9">
        <v>256745.67636584101</v>
      </c>
      <c r="I2602" s="21">
        <f t="shared" si="80"/>
        <v>10192.654505340004</v>
      </c>
      <c r="J2602" s="21">
        <f t="shared" si="81"/>
        <v>15111.279024554999</v>
      </c>
    </row>
    <row r="2603" spans="1:10" hidden="1">
      <c r="A2603" t="s">
        <v>76</v>
      </c>
      <c r="B2603" t="s">
        <v>425</v>
      </c>
      <c r="C2603" s="18">
        <v>2032</v>
      </c>
      <c r="D2603" t="s">
        <v>188</v>
      </c>
      <c r="E2603" s="9">
        <v>595479.60867750703</v>
      </c>
      <c r="F2603" s="9">
        <v>368005.22833242198</v>
      </c>
      <c r="G2603" s="9">
        <v>654519.81142038899</v>
      </c>
      <c r="H2603" s="9">
        <v>380127.64784866601</v>
      </c>
      <c r="I2603" s="21">
        <f t="shared" si="80"/>
        <v>12122.41951624403</v>
      </c>
      <c r="J2603" s="21">
        <f t="shared" si="81"/>
        <v>59040.202742881957</v>
      </c>
    </row>
    <row r="2604" spans="1:10" hidden="1">
      <c r="A2604" t="s">
        <v>76</v>
      </c>
      <c r="B2604" t="s">
        <v>425</v>
      </c>
      <c r="C2604" s="18">
        <v>2032</v>
      </c>
      <c r="D2604" t="s">
        <v>191</v>
      </c>
      <c r="E2604" s="9">
        <v>320606.66049088299</v>
      </c>
      <c r="F2604" s="9">
        <v>179669.93799924399</v>
      </c>
      <c r="G2604" s="9">
        <v>341581.65326776</v>
      </c>
      <c r="H2604" s="9">
        <v>183730.084212538</v>
      </c>
      <c r="I2604" s="21">
        <f t="shared" si="80"/>
        <v>4060.1462132940069</v>
      </c>
      <c r="J2604" s="21">
        <f t="shared" si="81"/>
        <v>20974.992776877014</v>
      </c>
    </row>
    <row r="2605" spans="1:10" hidden="1">
      <c r="A2605" t="s">
        <v>76</v>
      </c>
      <c r="B2605" t="s">
        <v>425</v>
      </c>
      <c r="C2605" s="18">
        <v>2032</v>
      </c>
      <c r="D2605" t="s">
        <v>422</v>
      </c>
      <c r="E2605" s="9">
        <v>38037.916886320199</v>
      </c>
      <c r="F2605" s="9">
        <v>4125.74292813994</v>
      </c>
      <c r="G2605" s="9">
        <v>38037.551792099897</v>
      </c>
      <c r="H2605" s="9">
        <v>4125.7224791710396</v>
      </c>
      <c r="I2605" s="21">
        <f t="shared" si="80"/>
        <v>-2.044896890038217E-2</v>
      </c>
      <c r="J2605" s="21">
        <f t="shared" si="81"/>
        <v>-0.3650942203021259</v>
      </c>
    </row>
    <row r="2606" spans="1:10" hidden="1">
      <c r="A2606" t="s">
        <v>76</v>
      </c>
      <c r="B2606" t="s">
        <v>425</v>
      </c>
      <c r="C2606" s="18">
        <v>2033</v>
      </c>
      <c r="D2606" t="s">
        <v>174</v>
      </c>
      <c r="E2606" s="9">
        <v>15790.9597731053</v>
      </c>
      <c r="F2606" s="9">
        <v>11457.206522127201</v>
      </c>
      <c r="G2606" s="9">
        <v>15759.5151167894</v>
      </c>
      <c r="H2606" s="9">
        <v>11452.2049974033</v>
      </c>
      <c r="I2606" s="21">
        <f t="shared" si="80"/>
        <v>-5.0015247239007294</v>
      </c>
      <c r="J2606" s="21">
        <f t="shared" si="81"/>
        <v>-31.44465631589992</v>
      </c>
    </row>
    <row r="2607" spans="1:10" hidden="1">
      <c r="A2607" t="s">
        <v>76</v>
      </c>
      <c r="B2607" t="s">
        <v>425</v>
      </c>
      <c r="C2607" s="18">
        <v>2033</v>
      </c>
      <c r="D2607" t="s">
        <v>236</v>
      </c>
      <c r="E2607" s="9">
        <v>1116870.5872466899</v>
      </c>
      <c r="F2607" s="9">
        <v>193458.97642161799</v>
      </c>
      <c r="G2607" s="9">
        <v>1139272.75378683</v>
      </c>
      <c r="H2607" s="9">
        <v>194005.60056651599</v>
      </c>
      <c r="I2607" s="21">
        <f t="shared" si="80"/>
        <v>546.62414489799994</v>
      </c>
      <c r="J2607" s="21">
        <f t="shared" si="81"/>
        <v>22402.166540140053</v>
      </c>
    </row>
    <row r="2608" spans="1:10" hidden="1">
      <c r="A2608" t="s">
        <v>76</v>
      </c>
      <c r="B2608" t="s">
        <v>425</v>
      </c>
      <c r="C2608" s="18">
        <v>2033</v>
      </c>
      <c r="D2608" t="s">
        <v>182</v>
      </c>
      <c r="E2608" s="9">
        <v>112757.62399239599</v>
      </c>
      <c r="F2608" s="9">
        <v>75320.759944264006</v>
      </c>
      <c r="G2608" s="9">
        <v>118281.82855902299</v>
      </c>
      <c r="H2608" s="9">
        <v>77917.162090690195</v>
      </c>
      <c r="I2608" s="21">
        <f t="shared" si="80"/>
        <v>2596.4021464261896</v>
      </c>
      <c r="J2608" s="21">
        <f t="shared" si="81"/>
        <v>5524.2045666269987</v>
      </c>
    </row>
    <row r="2609" spans="1:10" hidden="1">
      <c r="A2609" t="s">
        <v>76</v>
      </c>
      <c r="B2609" t="s">
        <v>425</v>
      </c>
      <c r="C2609" s="18">
        <v>2033</v>
      </c>
      <c r="D2609" t="s">
        <v>185</v>
      </c>
      <c r="E2609" s="9">
        <v>258618.484541015</v>
      </c>
      <c r="F2609" s="9">
        <v>245676.864233284</v>
      </c>
      <c r="G2609" s="9">
        <v>273893.528221021</v>
      </c>
      <c r="H2609" s="9">
        <v>256655.55902621101</v>
      </c>
      <c r="I2609" s="21">
        <f t="shared" si="80"/>
        <v>10978.69479292701</v>
      </c>
      <c r="J2609" s="21">
        <f t="shared" si="81"/>
        <v>15275.043680005998</v>
      </c>
    </row>
    <row r="2610" spans="1:10" hidden="1">
      <c r="A2610" t="s">
        <v>76</v>
      </c>
      <c r="B2610" t="s">
        <v>425</v>
      </c>
      <c r="C2610" s="18">
        <v>2033</v>
      </c>
      <c r="D2610" t="s">
        <v>188</v>
      </c>
      <c r="E2610" s="9">
        <v>602602.510876738</v>
      </c>
      <c r="F2610" s="9">
        <v>371859.36377416301</v>
      </c>
      <c r="G2610" s="9">
        <v>664009.13874492398</v>
      </c>
      <c r="H2610" s="9">
        <v>386583.230936034</v>
      </c>
      <c r="I2610" s="21">
        <f t="shared" si="80"/>
        <v>14723.867161870992</v>
      </c>
      <c r="J2610" s="21">
        <f t="shared" si="81"/>
        <v>61406.627868185984</v>
      </c>
    </row>
    <row r="2611" spans="1:10" hidden="1">
      <c r="A2611" t="s">
        <v>76</v>
      </c>
      <c r="B2611" t="s">
        <v>425</v>
      </c>
      <c r="C2611" s="18">
        <v>2033</v>
      </c>
      <c r="D2611" t="s">
        <v>191</v>
      </c>
      <c r="E2611" s="9">
        <v>323307.13197655597</v>
      </c>
      <c r="F2611" s="9">
        <v>178839.99958473301</v>
      </c>
      <c r="G2611" s="9">
        <v>344995.26462988101</v>
      </c>
      <c r="H2611" s="9">
        <v>183583.04220271501</v>
      </c>
      <c r="I2611" s="21">
        <f t="shared" si="80"/>
        <v>4743.0426179819915</v>
      </c>
      <c r="J2611" s="21">
        <f t="shared" si="81"/>
        <v>21688.132653325039</v>
      </c>
    </row>
    <row r="2612" spans="1:10" hidden="1">
      <c r="A2612" t="s">
        <v>76</v>
      </c>
      <c r="B2612" t="s">
        <v>425</v>
      </c>
      <c r="C2612" s="18">
        <v>2033</v>
      </c>
      <c r="D2612" t="s">
        <v>422</v>
      </c>
      <c r="E2612" s="9">
        <v>37788.847692094103</v>
      </c>
      <c r="F2612" s="9">
        <v>3977.7432068778498</v>
      </c>
      <c r="G2612" s="9">
        <v>37788.395913351</v>
      </c>
      <c r="H2612" s="9">
        <v>3977.7143757352601</v>
      </c>
      <c r="I2612" s="21">
        <f t="shared" si="80"/>
        <v>-2.8831142589751835E-2</v>
      </c>
      <c r="J2612" s="21">
        <f t="shared" si="81"/>
        <v>-0.45177874310320476</v>
      </c>
    </row>
    <row r="2613" spans="1:10" hidden="1">
      <c r="A2613" t="s">
        <v>76</v>
      </c>
      <c r="B2613" t="s">
        <v>425</v>
      </c>
      <c r="C2613" s="18">
        <v>2034</v>
      </c>
      <c r="D2613" t="s">
        <v>174</v>
      </c>
      <c r="E2613" s="9">
        <v>16329.630785826999</v>
      </c>
      <c r="F2613" s="9">
        <v>11788.2941347898</v>
      </c>
      <c r="G2613" s="9">
        <v>16285.764037622699</v>
      </c>
      <c r="H2613" s="9">
        <v>11779.4141755774</v>
      </c>
      <c r="I2613" s="21">
        <f t="shared" si="80"/>
        <v>-8.8799592123996263</v>
      </c>
      <c r="J2613" s="21">
        <f t="shared" si="81"/>
        <v>-43.866748204300166</v>
      </c>
    </row>
    <row r="2614" spans="1:10" hidden="1">
      <c r="A2614" t="s">
        <v>76</v>
      </c>
      <c r="B2614" t="s">
        <v>425</v>
      </c>
      <c r="C2614" s="18">
        <v>2034</v>
      </c>
      <c r="D2614" t="s">
        <v>236</v>
      </c>
      <c r="E2614" s="9">
        <v>1126729.2125247901</v>
      </c>
      <c r="F2614" s="9">
        <v>201615.13830211901</v>
      </c>
      <c r="G2614" s="9">
        <v>1151232.62464015</v>
      </c>
      <c r="H2614" s="9">
        <v>202320.63612115101</v>
      </c>
      <c r="I2614" s="21">
        <f t="shared" si="80"/>
        <v>705.49781903199619</v>
      </c>
      <c r="J2614" s="21">
        <f t="shared" si="81"/>
        <v>24503.412115359912</v>
      </c>
    </row>
    <row r="2615" spans="1:10" hidden="1">
      <c r="A2615" t="s">
        <v>76</v>
      </c>
      <c r="B2615" t="s">
        <v>425</v>
      </c>
      <c r="C2615" s="18">
        <v>2034</v>
      </c>
      <c r="D2615" t="s">
        <v>182</v>
      </c>
      <c r="E2615" s="9">
        <v>113673.096808221</v>
      </c>
      <c r="F2615" s="9">
        <v>75937.341958172707</v>
      </c>
      <c r="G2615" s="9">
        <v>119173.805374547</v>
      </c>
      <c r="H2615" s="9">
        <v>78781.723235872807</v>
      </c>
      <c r="I2615" s="21">
        <f t="shared" si="80"/>
        <v>2844.3812777001003</v>
      </c>
      <c r="J2615" s="21">
        <f t="shared" si="81"/>
        <v>5500.7085663259932</v>
      </c>
    </row>
    <row r="2616" spans="1:10" hidden="1">
      <c r="A2616" t="s">
        <v>76</v>
      </c>
      <c r="B2616" t="s">
        <v>425</v>
      </c>
      <c r="C2616" s="18">
        <v>2034</v>
      </c>
      <c r="D2616" t="s">
        <v>185</v>
      </c>
      <c r="E2616" s="9">
        <v>258239.53669345099</v>
      </c>
      <c r="F2616" s="9">
        <v>245174.11606019101</v>
      </c>
      <c r="G2616" s="9">
        <v>273669.65020286699</v>
      </c>
      <c r="H2616" s="9">
        <v>256753.127116244</v>
      </c>
      <c r="I2616" s="21">
        <f t="shared" si="80"/>
        <v>11579.011056052987</v>
      </c>
      <c r="J2616" s="21">
        <f t="shared" si="81"/>
        <v>15430.113509415998</v>
      </c>
    </row>
    <row r="2617" spans="1:10" hidden="1">
      <c r="A2617" t="s">
        <v>76</v>
      </c>
      <c r="B2617" t="s">
        <v>425</v>
      </c>
      <c r="C2617" s="18">
        <v>2034</v>
      </c>
      <c r="D2617" t="s">
        <v>188</v>
      </c>
      <c r="E2617" s="9">
        <v>606238.39792949299</v>
      </c>
      <c r="F2617" s="9">
        <v>376589.28692001099</v>
      </c>
      <c r="G2617" s="9">
        <v>669565.09186596901</v>
      </c>
      <c r="H2617" s="9">
        <v>393806.92012191401</v>
      </c>
      <c r="I2617" s="21">
        <f t="shared" si="80"/>
        <v>17217.633201903023</v>
      </c>
      <c r="J2617" s="21">
        <f t="shared" si="81"/>
        <v>63326.693936476018</v>
      </c>
    </row>
    <row r="2618" spans="1:10" hidden="1">
      <c r="A2618" t="s">
        <v>76</v>
      </c>
      <c r="B2618" t="s">
        <v>425</v>
      </c>
      <c r="C2618" s="18">
        <v>2034</v>
      </c>
      <c r="D2618" t="s">
        <v>191</v>
      </c>
      <c r="E2618" s="9">
        <v>323720.502264023</v>
      </c>
      <c r="F2618" s="9">
        <v>179432.79115959699</v>
      </c>
      <c r="G2618" s="9">
        <v>345926.396497523</v>
      </c>
      <c r="H2618" s="9">
        <v>184800.88501932399</v>
      </c>
      <c r="I2618" s="21">
        <f t="shared" si="80"/>
        <v>5368.0938597269997</v>
      </c>
      <c r="J2618" s="21">
        <f t="shared" si="81"/>
        <v>22205.894233500003</v>
      </c>
    </row>
    <row r="2619" spans="1:10" hidden="1">
      <c r="A2619" t="s">
        <v>76</v>
      </c>
      <c r="B2619" t="s">
        <v>425</v>
      </c>
      <c r="C2619" s="18">
        <v>2034</v>
      </c>
      <c r="D2619" t="s">
        <v>422</v>
      </c>
      <c r="E2619" s="9">
        <v>37391.662457675498</v>
      </c>
      <c r="F2619" s="9">
        <v>3849.4723740362601</v>
      </c>
      <c r="G2619" s="9">
        <v>37391.118979539897</v>
      </c>
      <c r="H2619" s="9">
        <v>3849.43642407178</v>
      </c>
      <c r="I2619" s="21">
        <f t="shared" si="80"/>
        <v>-3.5949964480096241E-2</v>
      </c>
      <c r="J2619" s="21">
        <f t="shared" si="81"/>
        <v>-0.5434781356016174</v>
      </c>
    </row>
    <row r="2620" spans="1:10" hidden="1">
      <c r="A2620" t="s">
        <v>76</v>
      </c>
      <c r="B2620" t="s">
        <v>425</v>
      </c>
      <c r="C2620" s="18">
        <v>2035</v>
      </c>
      <c r="D2620" t="s">
        <v>174</v>
      </c>
      <c r="E2620" s="9">
        <v>16888.307336336999</v>
      </c>
      <c r="F2620" s="9">
        <v>12126.6092750893</v>
      </c>
      <c r="G2620" s="9">
        <v>16830.6420972909</v>
      </c>
      <c r="H2620" s="9">
        <v>12112.814364394</v>
      </c>
      <c r="I2620" s="21">
        <f t="shared" si="80"/>
        <v>-13.794910695300132</v>
      </c>
      <c r="J2620" s="21">
        <f t="shared" si="81"/>
        <v>-57.665239046098577</v>
      </c>
    </row>
    <row r="2621" spans="1:10" hidden="1">
      <c r="A2621" t="s">
        <v>76</v>
      </c>
      <c r="B2621" t="s">
        <v>425</v>
      </c>
      <c r="C2621" s="18">
        <v>2035</v>
      </c>
      <c r="D2621" t="s">
        <v>236</v>
      </c>
      <c r="E2621" s="9">
        <v>1136308.33618527</v>
      </c>
      <c r="F2621" s="9">
        <v>209747.341592335</v>
      </c>
      <c r="G2621" s="9">
        <v>1162777.28327874</v>
      </c>
      <c r="H2621" s="9">
        <v>210627.422792314</v>
      </c>
      <c r="I2621" s="21">
        <f t="shared" si="80"/>
        <v>880.08119997900212</v>
      </c>
      <c r="J2621" s="21">
        <f t="shared" si="81"/>
        <v>26468.947093470022</v>
      </c>
    </row>
    <row r="2622" spans="1:10" hidden="1">
      <c r="A2622" t="s">
        <v>76</v>
      </c>
      <c r="B2622" t="s">
        <v>425</v>
      </c>
      <c r="C2622" s="18">
        <v>2035</v>
      </c>
      <c r="D2622" t="s">
        <v>182</v>
      </c>
      <c r="E2622" s="9">
        <v>115289.346509098</v>
      </c>
      <c r="F2622" s="9">
        <v>76418.452277401593</v>
      </c>
      <c r="G2622" s="9">
        <v>120799.065903184</v>
      </c>
      <c r="H2622" s="9">
        <v>79456.632421187605</v>
      </c>
      <c r="I2622" s="21">
        <f t="shared" si="80"/>
        <v>3038.1801437860122</v>
      </c>
      <c r="J2622" s="21">
        <f t="shared" si="81"/>
        <v>5509.7193940860016</v>
      </c>
    </row>
    <row r="2623" spans="1:10" hidden="1">
      <c r="A2623" t="s">
        <v>76</v>
      </c>
      <c r="B2623" t="s">
        <v>425</v>
      </c>
      <c r="C2623" s="18">
        <v>2035</v>
      </c>
      <c r="D2623" t="s">
        <v>185</v>
      </c>
      <c r="E2623" s="9">
        <v>257784.80294278299</v>
      </c>
      <c r="F2623" s="9">
        <v>244737.52003203399</v>
      </c>
      <c r="G2623" s="9">
        <v>273345.36006293801</v>
      </c>
      <c r="H2623" s="9">
        <v>256807.53223008101</v>
      </c>
      <c r="I2623" s="21">
        <f t="shared" si="80"/>
        <v>12070.012198047014</v>
      </c>
      <c r="J2623" s="21">
        <f t="shared" si="81"/>
        <v>15560.557120155019</v>
      </c>
    </row>
    <row r="2624" spans="1:10" hidden="1">
      <c r="A2624" t="s">
        <v>76</v>
      </c>
      <c r="B2624" t="s">
        <v>425</v>
      </c>
      <c r="C2624" s="18">
        <v>2035</v>
      </c>
      <c r="D2624" t="s">
        <v>188</v>
      </c>
      <c r="E2624" s="9">
        <v>613132.22448520001</v>
      </c>
      <c r="F2624" s="9">
        <v>379886.45432211901</v>
      </c>
      <c r="G2624" s="9">
        <v>678638.43452144298</v>
      </c>
      <c r="H2624" s="9">
        <v>399492.95053299802</v>
      </c>
      <c r="I2624" s="21">
        <f t="shared" si="80"/>
        <v>19606.496210879006</v>
      </c>
      <c r="J2624" s="21">
        <f t="shared" si="81"/>
        <v>65506.210036242963</v>
      </c>
    </row>
    <row r="2625" spans="1:10" hidden="1">
      <c r="A2625" t="s">
        <v>76</v>
      </c>
      <c r="B2625" t="s">
        <v>425</v>
      </c>
      <c r="C2625" s="18">
        <v>2035</v>
      </c>
      <c r="D2625" t="s">
        <v>191</v>
      </c>
      <c r="E2625" s="9">
        <v>326303.98944341799</v>
      </c>
      <c r="F2625" s="9">
        <v>179412.17614512501</v>
      </c>
      <c r="G2625" s="9">
        <v>349146.06245576398</v>
      </c>
      <c r="H2625" s="9">
        <v>185365.76110357899</v>
      </c>
      <c r="I2625" s="21">
        <f t="shared" si="80"/>
        <v>5953.5849584539828</v>
      </c>
      <c r="J2625" s="21">
        <f t="shared" si="81"/>
        <v>22842.073012345994</v>
      </c>
    </row>
    <row r="2626" spans="1:10" hidden="1">
      <c r="A2626" t="s">
        <v>76</v>
      </c>
      <c r="B2626" t="s">
        <v>425</v>
      </c>
      <c r="C2626" s="18">
        <v>2035</v>
      </c>
      <c r="D2626" t="s">
        <v>422</v>
      </c>
      <c r="E2626" s="9">
        <v>37275.027975360601</v>
      </c>
      <c r="F2626" s="9">
        <v>3710.4736982653899</v>
      </c>
      <c r="G2626" s="9">
        <v>37274.397901844597</v>
      </c>
      <c r="H2626" s="9">
        <v>3710.43177455469</v>
      </c>
      <c r="I2626" s="21">
        <f t="shared" ref="I2626:I2689" si="82">H2626-F2626</f>
        <v>-4.1923710699848016E-2</v>
      </c>
      <c r="J2626" s="21">
        <f t="shared" ref="J2626:J2689" si="83">G2626-E2626</f>
        <v>-0.63007351600390393</v>
      </c>
    </row>
    <row r="2627" spans="1:10" hidden="1">
      <c r="A2627" t="s">
        <v>76</v>
      </c>
      <c r="B2627" t="s">
        <v>425</v>
      </c>
      <c r="C2627" s="18">
        <v>2036</v>
      </c>
      <c r="D2627" t="s">
        <v>174</v>
      </c>
      <c r="E2627" s="9">
        <v>17465.434345286802</v>
      </c>
      <c r="F2627" s="9">
        <v>12472.5662749939</v>
      </c>
      <c r="G2627" s="9">
        <v>17392.609904070101</v>
      </c>
      <c r="H2627" s="9">
        <v>12452.864013751599</v>
      </c>
      <c r="I2627" s="21">
        <f t="shared" si="82"/>
        <v>-19.702261242300665</v>
      </c>
      <c r="J2627" s="21">
        <f t="shared" si="83"/>
        <v>-72.824441216700507</v>
      </c>
    </row>
    <row r="2628" spans="1:10" hidden="1">
      <c r="A2628" t="s">
        <v>76</v>
      </c>
      <c r="B2628" t="s">
        <v>425</v>
      </c>
      <c r="C2628" s="18">
        <v>2036</v>
      </c>
      <c r="D2628" t="s">
        <v>236</v>
      </c>
      <c r="E2628" s="9">
        <v>1145776.5635309501</v>
      </c>
      <c r="F2628" s="9">
        <v>217837.24442406601</v>
      </c>
      <c r="G2628" s="9">
        <v>1174085.51289072</v>
      </c>
      <c r="H2628" s="9">
        <v>218906.62344450099</v>
      </c>
      <c r="I2628" s="21">
        <f t="shared" si="82"/>
        <v>1069.3790204349789</v>
      </c>
      <c r="J2628" s="21">
        <f t="shared" si="83"/>
        <v>28308.949359769933</v>
      </c>
    </row>
    <row r="2629" spans="1:10" hidden="1">
      <c r="A2629" t="s">
        <v>76</v>
      </c>
      <c r="B2629" t="s">
        <v>425</v>
      </c>
      <c r="C2629" s="18">
        <v>2036</v>
      </c>
      <c r="D2629" t="s">
        <v>182</v>
      </c>
      <c r="E2629" s="9">
        <v>117094.988712576</v>
      </c>
      <c r="F2629" s="9">
        <v>77111.726655377701</v>
      </c>
      <c r="G2629" s="9">
        <v>122618.320312187</v>
      </c>
      <c r="H2629" s="9">
        <v>80302.842995522602</v>
      </c>
      <c r="I2629" s="21">
        <f t="shared" si="82"/>
        <v>3191.1163401449012</v>
      </c>
      <c r="J2629" s="21">
        <f t="shared" si="83"/>
        <v>5523.3315996110032</v>
      </c>
    </row>
    <row r="2630" spans="1:10" hidden="1">
      <c r="A2630" t="s">
        <v>76</v>
      </c>
      <c r="B2630" t="s">
        <v>425</v>
      </c>
      <c r="C2630" s="18">
        <v>2036</v>
      </c>
      <c r="D2630" t="s">
        <v>185</v>
      </c>
      <c r="E2630" s="9">
        <v>257610.68806854601</v>
      </c>
      <c r="F2630" s="9">
        <v>244452.384978452</v>
      </c>
      <c r="G2630" s="9">
        <v>273297.56982222799</v>
      </c>
      <c r="H2630" s="9">
        <v>256933.39822934201</v>
      </c>
      <c r="I2630" s="21">
        <f t="shared" si="82"/>
        <v>12481.013250890013</v>
      </c>
      <c r="J2630" s="21">
        <f t="shared" si="83"/>
        <v>15686.881753681984</v>
      </c>
    </row>
    <row r="2631" spans="1:10" hidden="1">
      <c r="A2631" t="s">
        <v>76</v>
      </c>
      <c r="B2631" t="s">
        <v>425</v>
      </c>
      <c r="C2631" s="18">
        <v>2036</v>
      </c>
      <c r="D2631" t="s">
        <v>188</v>
      </c>
      <c r="E2631" s="9">
        <v>620528.20683534699</v>
      </c>
      <c r="F2631" s="9">
        <v>384065.64550634898</v>
      </c>
      <c r="G2631" s="9">
        <v>688194.68447559199</v>
      </c>
      <c r="H2631" s="9">
        <v>405992.65349387802</v>
      </c>
      <c r="I2631" s="21">
        <f t="shared" si="82"/>
        <v>21927.007987529039</v>
      </c>
      <c r="J2631" s="21">
        <f t="shared" si="83"/>
        <v>67666.477640244993</v>
      </c>
    </row>
    <row r="2632" spans="1:10" hidden="1">
      <c r="A2632" t="s">
        <v>76</v>
      </c>
      <c r="B2632" t="s">
        <v>425</v>
      </c>
      <c r="C2632" s="18">
        <v>2036</v>
      </c>
      <c r="D2632" t="s">
        <v>191</v>
      </c>
      <c r="E2632" s="9">
        <v>329139.68881924398</v>
      </c>
      <c r="F2632" s="9">
        <v>179903.084412236</v>
      </c>
      <c r="G2632" s="9">
        <v>352603.07171420398</v>
      </c>
      <c r="H2632" s="9">
        <v>186417.92722248001</v>
      </c>
      <c r="I2632" s="21">
        <f t="shared" si="82"/>
        <v>6514.8428102440084</v>
      </c>
      <c r="J2632" s="21">
        <f t="shared" si="83"/>
        <v>23463.382894959999</v>
      </c>
    </row>
    <row r="2633" spans="1:10" hidden="1">
      <c r="A2633" t="s">
        <v>76</v>
      </c>
      <c r="B2633" t="s">
        <v>425</v>
      </c>
      <c r="C2633" s="18">
        <v>2036</v>
      </c>
      <c r="D2633" t="s">
        <v>422</v>
      </c>
      <c r="E2633" s="9">
        <v>37283.734688154</v>
      </c>
      <c r="F2633" s="9">
        <v>3578.70669582746</v>
      </c>
      <c r="G2633" s="9">
        <v>37283.027629395598</v>
      </c>
      <c r="H2633" s="9">
        <v>3578.66006488627</v>
      </c>
      <c r="I2633" s="21">
        <f t="shared" si="82"/>
        <v>-4.663094118996014E-2</v>
      </c>
      <c r="J2633" s="21">
        <f t="shared" si="83"/>
        <v>-0.70705875840212684</v>
      </c>
    </row>
    <row r="2634" spans="1:10" hidden="1">
      <c r="A2634" t="s">
        <v>76</v>
      </c>
      <c r="B2634" t="s">
        <v>425</v>
      </c>
      <c r="C2634" s="18">
        <v>2037</v>
      </c>
      <c r="D2634" t="s">
        <v>174</v>
      </c>
      <c r="E2634" s="9">
        <v>18060.8184820688</v>
      </c>
      <c r="F2634" s="9">
        <v>12826.045005440799</v>
      </c>
      <c r="G2634" s="9">
        <v>17971.482864064201</v>
      </c>
      <c r="H2634" s="9">
        <v>12799.479454561601</v>
      </c>
      <c r="I2634" s="21">
        <f t="shared" si="82"/>
        <v>-26.565550879198781</v>
      </c>
      <c r="J2634" s="21">
        <f t="shared" si="83"/>
        <v>-89.335618004599382</v>
      </c>
    </row>
    <row r="2635" spans="1:10" hidden="1">
      <c r="A2635" t="s">
        <v>76</v>
      </c>
      <c r="B2635" t="s">
        <v>425</v>
      </c>
      <c r="C2635" s="18">
        <v>2037</v>
      </c>
      <c r="D2635" t="s">
        <v>236</v>
      </c>
      <c r="E2635" s="9">
        <v>1155232.6306227001</v>
      </c>
      <c r="F2635" s="9">
        <v>225873.19716631199</v>
      </c>
      <c r="G2635" s="9">
        <v>1185264.7438497699</v>
      </c>
      <c r="H2635" s="9">
        <v>227145.85064844001</v>
      </c>
      <c r="I2635" s="21">
        <f t="shared" si="82"/>
        <v>1272.653482128022</v>
      </c>
      <c r="J2635" s="21">
        <f t="shared" si="83"/>
        <v>30032.113227069844</v>
      </c>
    </row>
    <row r="2636" spans="1:10" hidden="1">
      <c r="A2636" t="s">
        <v>76</v>
      </c>
      <c r="B2636" t="s">
        <v>425</v>
      </c>
      <c r="C2636" s="18">
        <v>2037</v>
      </c>
      <c r="D2636" t="s">
        <v>182</v>
      </c>
      <c r="E2636" s="9">
        <v>118953.58702566499</v>
      </c>
      <c r="F2636" s="9">
        <v>77926.821918465299</v>
      </c>
      <c r="G2636" s="9">
        <v>124489.42976024401</v>
      </c>
      <c r="H2636" s="9">
        <v>81244.691389584303</v>
      </c>
      <c r="I2636" s="21">
        <f t="shared" si="82"/>
        <v>3317.8694711190037</v>
      </c>
      <c r="J2636" s="21">
        <f t="shared" si="83"/>
        <v>5535.8427345790114</v>
      </c>
    </row>
    <row r="2637" spans="1:10" hidden="1">
      <c r="A2637" t="s">
        <v>76</v>
      </c>
      <c r="B2637" t="s">
        <v>425</v>
      </c>
      <c r="C2637" s="18">
        <v>2037</v>
      </c>
      <c r="D2637" t="s">
        <v>185</v>
      </c>
      <c r="E2637" s="9">
        <v>257407.00779747599</v>
      </c>
      <c r="F2637" s="9">
        <v>244240.297235256</v>
      </c>
      <c r="G2637" s="9">
        <v>273202.80227406899</v>
      </c>
      <c r="H2637" s="9">
        <v>257070.97314913399</v>
      </c>
      <c r="I2637" s="21">
        <f t="shared" si="82"/>
        <v>12830.675913877989</v>
      </c>
      <c r="J2637" s="21">
        <f t="shared" si="83"/>
        <v>15795.794476593001</v>
      </c>
    </row>
    <row r="2638" spans="1:10" hidden="1">
      <c r="A2638" t="s">
        <v>76</v>
      </c>
      <c r="B2638" t="s">
        <v>425</v>
      </c>
      <c r="C2638" s="18">
        <v>2037</v>
      </c>
      <c r="D2638" t="s">
        <v>188</v>
      </c>
      <c r="E2638" s="9">
        <v>628268.37830097298</v>
      </c>
      <c r="F2638" s="9">
        <v>388824.0572257</v>
      </c>
      <c r="G2638" s="9">
        <v>698060.50212694705</v>
      </c>
      <c r="H2638" s="9">
        <v>413018.343093551</v>
      </c>
      <c r="I2638" s="21">
        <f t="shared" si="82"/>
        <v>24194.285867850995</v>
      </c>
      <c r="J2638" s="21">
        <f t="shared" si="83"/>
        <v>69792.123825974064</v>
      </c>
    </row>
    <row r="2639" spans="1:10" hidden="1">
      <c r="A2639" t="s">
        <v>76</v>
      </c>
      <c r="B2639" t="s">
        <v>425</v>
      </c>
      <c r="C2639" s="18">
        <v>2037</v>
      </c>
      <c r="D2639" t="s">
        <v>191</v>
      </c>
      <c r="E2639" s="9">
        <v>332346.67848143302</v>
      </c>
      <c r="F2639" s="9">
        <v>180725.109187989</v>
      </c>
      <c r="G2639" s="9">
        <v>356425.67891865398</v>
      </c>
      <c r="H2639" s="9">
        <v>187788.31252848901</v>
      </c>
      <c r="I2639" s="21">
        <f t="shared" si="82"/>
        <v>7063.2033405000111</v>
      </c>
      <c r="J2639" s="21">
        <f t="shared" si="83"/>
        <v>24079.000437220966</v>
      </c>
    </row>
    <row r="2640" spans="1:10" hidden="1">
      <c r="A2640" t="s">
        <v>76</v>
      </c>
      <c r="B2640" t="s">
        <v>425</v>
      </c>
      <c r="C2640" s="18">
        <v>2037</v>
      </c>
      <c r="D2640" t="s">
        <v>422</v>
      </c>
      <c r="E2640" s="9">
        <v>36838.008527940401</v>
      </c>
      <c r="F2640" s="9">
        <v>3450.24431805224</v>
      </c>
      <c r="G2640" s="9">
        <v>36837.277480763201</v>
      </c>
      <c r="H2640" s="9">
        <v>3450.1946557369902</v>
      </c>
      <c r="I2640" s="21">
        <f t="shared" si="82"/>
        <v>-4.9662315249861422E-2</v>
      </c>
      <c r="J2640" s="21">
        <f t="shared" si="83"/>
        <v>-0.73104717719979817</v>
      </c>
    </row>
    <row r="2641" spans="1:10" hidden="1">
      <c r="A2641" t="s">
        <v>76</v>
      </c>
      <c r="B2641" t="s">
        <v>425</v>
      </c>
      <c r="C2641" s="18">
        <v>2038</v>
      </c>
      <c r="D2641" t="s">
        <v>174</v>
      </c>
      <c r="E2641" s="9">
        <v>18671.965963684499</v>
      </c>
      <c r="F2641" s="9">
        <v>13189.953866191199</v>
      </c>
      <c r="G2641" s="9">
        <v>18564.7325343064</v>
      </c>
      <c r="H2641" s="9">
        <v>13155.6038503287</v>
      </c>
      <c r="I2641" s="21">
        <f t="shared" si="82"/>
        <v>-34.350015862499276</v>
      </c>
      <c r="J2641" s="21">
        <f t="shared" si="83"/>
        <v>-107.23342937809866</v>
      </c>
    </row>
    <row r="2642" spans="1:10" hidden="1">
      <c r="A2642" t="s">
        <v>76</v>
      </c>
      <c r="B2642" t="s">
        <v>425</v>
      </c>
      <c r="C2642" s="18">
        <v>2038</v>
      </c>
      <c r="D2642" t="s">
        <v>236</v>
      </c>
      <c r="E2642" s="9">
        <v>1164681.81700973</v>
      </c>
      <c r="F2642" s="9">
        <v>233840.41108358599</v>
      </c>
      <c r="G2642" s="9">
        <v>1196314.5451145701</v>
      </c>
      <c r="H2642" s="9">
        <v>235329.60149861901</v>
      </c>
      <c r="I2642" s="21">
        <f t="shared" si="82"/>
        <v>1489.1904150330229</v>
      </c>
      <c r="J2642" s="21">
        <f t="shared" si="83"/>
        <v>31632.728104840033</v>
      </c>
    </row>
    <row r="2643" spans="1:10" hidden="1">
      <c r="A2643" t="s">
        <v>76</v>
      </c>
      <c r="B2643" t="s">
        <v>425</v>
      </c>
      <c r="C2643" s="18">
        <v>2038</v>
      </c>
      <c r="D2643" t="s">
        <v>182</v>
      </c>
      <c r="E2643" s="9">
        <v>121000.41382822199</v>
      </c>
      <c r="F2643" s="9">
        <v>78831.003234849399</v>
      </c>
      <c r="G2643" s="9">
        <v>126555.833855502</v>
      </c>
      <c r="H2643" s="9">
        <v>82253.930841494002</v>
      </c>
      <c r="I2643" s="21">
        <f t="shared" si="82"/>
        <v>3422.9276066446037</v>
      </c>
      <c r="J2643" s="21">
        <f t="shared" si="83"/>
        <v>5555.4200272800081</v>
      </c>
    </row>
    <row r="2644" spans="1:10" hidden="1">
      <c r="A2644" t="s">
        <v>76</v>
      </c>
      <c r="B2644" t="s">
        <v>425</v>
      </c>
      <c r="C2644" s="18">
        <v>2038</v>
      </c>
      <c r="D2644" t="s">
        <v>185</v>
      </c>
      <c r="E2644" s="9">
        <v>257152.27123489999</v>
      </c>
      <c r="F2644" s="9">
        <v>244002.26240111201</v>
      </c>
      <c r="G2644" s="9">
        <v>273035.370644084</v>
      </c>
      <c r="H2644" s="9">
        <v>257130.676610817</v>
      </c>
      <c r="I2644" s="21">
        <f t="shared" si="82"/>
        <v>13128.414209704992</v>
      </c>
      <c r="J2644" s="21">
        <f t="shared" si="83"/>
        <v>15883.099409184011</v>
      </c>
    </row>
    <row r="2645" spans="1:10" hidden="1">
      <c r="A2645" t="s">
        <v>76</v>
      </c>
      <c r="B2645" t="s">
        <v>425</v>
      </c>
      <c r="C2645" s="18">
        <v>2038</v>
      </c>
      <c r="D2645" t="s">
        <v>188</v>
      </c>
      <c r="E2645" s="9">
        <v>636749.42013120698</v>
      </c>
      <c r="F2645" s="9">
        <v>394048.67241863499</v>
      </c>
      <c r="G2645" s="9">
        <v>708674.57496129896</v>
      </c>
      <c r="H2645" s="9">
        <v>420445.264129068</v>
      </c>
      <c r="I2645" s="21">
        <f t="shared" si="82"/>
        <v>26396.591710433015</v>
      </c>
      <c r="J2645" s="21">
        <f t="shared" si="83"/>
        <v>71925.154830091982</v>
      </c>
    </row>
    <row r="2646" spans="1:10" hidden="1">
      <c r="A2646" t="s">
        <v>76</v>
      </c>
      <c r="B2646" t="s">
        <v>425</v>
      </c>
      <c r="C2646" s="18">
        <v>2038</v>
      </c>
      <c r="D2646" t="s">
        <v>191</v>
      </c>
      <c r="E2646" s="9">
        <v>336185.11783424398</v>
      </c>
      <c r="F2646" s="9">
        <v>181749.70651079601</v>
      </c>
      <c r="G2646" s="9">
        <v>360900.93527344998</v>
      </c>
      <c r="H2646" s="9">
        <v>189347.42226660499</v>
      </c>
      <c r="I2646" s="21">
        <f t="shared" si="82"/>
        <v>7597.7157558089821</v>
      </c>
      <c r="J2646" s="21">
        <f t="shared" si="83"/>
        <v>24715.817439206003</v>
      </c>
    </row>
    <row r="2647" spans="1:10" hidden="1">
      <c r="A2647" t="s">
        <v>76</v>
      </c>
      <c r="B2647" t="s">
        <v>425</v>
      </c>
      <c r="C2647" s="18">
        <v>2038</v>
      </c>
      <c r="D2647" t="s">
        <v>422</v>
      </c>
      <c r="E2647" s="9">
        <v>36552.192749232301</v>
      </c>
      <c r="F2647" s="9">
        <v>3322.87134174116</v>
      </c>
      <c r="G2647" s="9">
        <v>36551.441257778999</v>
      </c>
      <c r="H2647" s="9">
        <v>3322.8215744210102</v>
      </c>
      <c r="I2647" s="21">
        <f t="shared" si="82"/>
        <v>-4.9767320149840089E-2</v>
      </c>
      <c r="J2647" s="21">
        <f t="shared" si="83"/>
        <v>-0.75149145330215106</v>
      </c>
    </row>
    <row r="2648" spans="1:10" hidden="1">
      <c r="A2648" t="s">
        <v>76</v>
      </c>
      <c r="B2648" t="s">
        <v>425</v>
      </c>
      <c r="C2648" s="18">
        <v>2039</v>
      </c>
      <c r="D2648" t="s">
        <v>174</v>
      </c>
      <c r="E2648" s="9">
        <v>19300.937975472702</v>
      </c>
      <c r="F2648" s="9">
        <v>13559.8238558516</v>
      </c>
      <c r="G2648" s="9">
        <v>19174.345745902901</v>
      </c>
      <c r="H2648" s="9">
        <v>13516.7785061579</v>
      </c>
      <c r="I2648" s="21">
        <f t="shared" si="82"/>
        <v>-43.0453496937007</v>
      </c>
      <c r="J2648" s="21">
        <f t="shared" si="83"/>
        <v>-126.59222956980011</v>
      </c>
    </row>
    <row r="2649" spans="1:10" hidden="1">
      <c r="A2649" t="s">
        <v>76</v>
      </c>
      <c r="B2649" t="s">
        <v>425</v>
      </c>
      <c r="C2649" s="18">
        <v>2039</v>
      </c>
      <c r="D2649" t="s">
        <v>236</v>
      </c>
      <c r="E2649" s="9">
        <v>1173809.7011967199</v>
      </c>
      <c r="F2649" s="9">
        <v>241765.16784686499</v>
      </c>
      <c r="G2649" s="9">
        <v>1206925.78308321</v>
      </c>
      <c r="H2649" s="9">
        <v>243483.36403446301</v>
      </c>
      <c r="I2649" s="21">
        <f t="shared" si="82"/>
        <v>1718.1961875980196</v>
      </c>
      <c r="J2649" s="21">
        <f t="shared" si="83"/>
        <v>33116.081886490108</v>
      </c>
    </row>
    <row r="2650" spans="1:10" hidden="1">
      <c r="A2650" t="s">
        <v>76</v>
      </c>
      <c r="B2650" t="s">
        <v>425</v>
      </c>
      <c r="C2650" s="18">
        <v>2039</v>
      </c>
      <c r="D2650" t="s">
        <v>182</v>
      </c>
      <c r="E2650" s="9">
        <v>122455.41351920601</v>
      </c>
      <c r="F2650" s="9">
        <v>79877.279797761206</v>
      </c>
      <c r="G2650" s="9">
        <v>128001.347826374</v>
      </c>
      <c r="H2650" s="9">
        <v>83389.180958792305</v>
      </c>
      <c r="I2650" s="21">
        <f t="shared" si="82"/>
        <v>3511.901161031099</v>
      </c>
      <c r="J2650" s="21">
        <f t="shared" si="83"/>
        <v>5545.9343071679905</v>
      </c>
    </row>
    <row r="2651" spans="1:10" hidden="1">
      <c r="A2651" t="s">
        <v>76</v>
      </c>
      <c r="B2651" t="s">
        <v>425</v>
      </c>
      <c r="C2651" s="18">
        <v>2039</v>
      </c>
      <c r="D2651" t="s">
        <v>185</v>
      </c>
      <c r="E2651" s="9">
        <v>257011.53957365299</v>
      </c>
      <c r="F2651" s="9">
        <v>244048.98006595499</v>
      </c>
      <c r="G2651" s="9">
        <v>272973.34550101002</v>
      </c>
      <c r="H2651" s="9">
        <v>257441.86914336999</v>
      </c>
      <c r="I2651" s="21">
        <f t="shared" si="82"/>
        <v>13392.889077414991</v>
      </c>
      <c r="J2651" s="21">
        <f t="shared" si="83"/>
        <v>15961.805927357025</v>
      </c>
    </row>
    <row r="2652" spans="1:10" hidden="1">
      <c r="A2652" t="s">
        <v>76</v>
      </c>
      <c r="B2652" t="s">
        <v>425</v>
      </c>
      <c r="C2652" s="18">
        <v>2039</v>
      </c>
      <c r="D2652" t="s">
        <v>188</v>
      </c>
      <c r="E2652" s="9">
        <v>641970.104848327</v>
      </c>
      <c r="F2652" s="9">
        <v>399885.82753058599</v>
      </c>
      <c r="G2652" s="9">
        <v>715580.88708538504</v>
      </c>
      <c r="H2652" s="9">
        <v>428444.56848174502</v>
      </c>
      <c r="I2652" s="21">
        <f t="shared" si="82"/>
        <v>28558.740951159038</v>
      </c>
      <c r="J2652" s="21">
        <f t="shared" si="83"/>
        <v>73610.78223705804</v>
      </c>
    </row>
    <row r="2653" spans="1:10" hidden="1">
      <c r="A2653" t="s">
        <v>76</v>
      </c>
      <c r="B2653" t="s">
        <v>425</v>
      </c>
      <c r="C2653" s="18">
        <v>2039</v>
      </c>
      <c r="D2653" t="s">
        <v>191</v>
      </c>
      <c r="E2653" s="9">
        <v>337814.05679457402</v>
      </c>
      <c r="F2653" s="9">
        <v>183806.02622151299</v>
      </c>
      <c r="G2653" s="9">
        <v>362969.198365508</v>
      </c>
      <c r="H2653" s="9">
        <v>191929.610855123</v>
      </c>
      <c r="I2653" s="21">
        <f t="shared" si="82"/>
        <v>8123.5846336100076</v>
      </c>
      <c r="J2653" s="21">
        <f t="shared" si="83"/>
        <v>25155.141570933978</v>
      </c>
    </row>
    <row r="2654" spans="1:10" hidden="1">
      <c r="A2654" t="s">
        <v>76</v>
      </c>
      <c r="B2654" t="s">
        <v>425</v>
      </c>
      <c r="C2654" s="18">
        <v>2039</v>
      </c>
      <c r="D2654" t="s">
        <v>422</v>
      </c>
      <c r="E2654" s="9">
        <v>36179.0273152152</v>
      </c>
      <c r="F2654" s="9">
        <v>3198.0696736944901</v>
      </c>
      <c r="G2654" s="9">
        <v>36178.223844718399</v>
      </c>
      <c r="H2654" s="9">
        <v>3198.0230538302199</v>
      </c>
      <c r="I2654" s="21">
        <f t="shared" si="82"/>
        <v>-4.6619864270269318E-2</v>
      </c>
      <c r="J2654" s="21">
        <f t="shared" si="83"/>
        <v>-0.80347049680131022</v>
      </c>
    </row>
    <row r="2655" spans="1:10" hidden="1">
      <c r="A2655" t="s">
        <v>76</v>
      </c>
      <c r="B2655" t="s">
        <v>425</v>
      </c>
      <c r="C2655" s="18">
        <v>2040</v>
      </c>
      <c r="D2655" t="s">
        <v>174</v>
      </c>
      <c r="E2655" s="9">
        <v>19953.090726517301</v>
      </c>
      <c r="F2655" s="9">
        <v>13932.268412702801</v>
      </c>
      <c r="G2655" s="9">
        <v>19805.505805764798</v>
      </c>
      <c r="H2655" s="9">
        <v>13879.6732870407</v>
      </c>
      <c r="I2655" s="21">
        <f t="shared" si="82"/>
        <v>-52.595125662101054</v>
      </c>
      <c r="J2655" s="21">
        <f t="shared" si="83"/>
        <v>-147.58492075250251</v>
      </c>
    </row>
    <row r="2656" spans="1:10" hidden="1">
      <c r="A2656" t="s">
        <v>76</v>
      </c>
      <c r="B2656" t="s">
        <v>425</v>
      </c>
      <c r="C2656" s="18">
        <v>2040</v>
      </c>
      <c r="D2656" t="s">
        <v>236</v>
      </c>
      <c r="E2656" s="9">
        <v>1182544.2257626301</v>
      </c>
      <c r="F2656" s="9">
        <v>249632.883317867</v>
      </c>
      <c r="G2656" s="9">
        <v>1217029.49333677</v>
      </c>
      <c r="H2656" s="9">
        <v>251591.89866486701</v>
      </c>
      <c r="I2656" s="21">
        <f t="shared" si="82"/>
        <v>1959.0153470000078</v>
      </c>
      <c r="J2656" s="21">
        <f t="shared" si="83"/>
        <v>34485.267574139871</v>
      </c>
    </row>
    <row r="2657" spans="1:10" hidden="1">
      <c r="A2657" t="s">
        <v>76</v>
      </c>
      <c r="B2657" t="s">
        <v>425</v>
      </c>
      <c r="C2657" s="18">
        <v>2040</v>
      </c>
      <c r="D2657" t="s">
        <v>182</v>
      </c>
      <c r="E2657" s="9">
        <v>124517.061034012</v>
      </c>
      <c r="F2657" s="9">
        <v>80847.9147626208</v>
      </c>
      <c r="G2657" s="9">
        <v>130079.117811465</v>
      </c>
      <c r="H2657" s="9">
        <v>84431.891175836907</v>
      </c>
      <c r="I2657" s="21">
        <f t="shared" si="82"/>
        <v>3583.9764132161072</v>
      </c>
      <c r="J2657" s="21">
        <f t="shared" si="83"/>
        <v>5562.0567774529918</v>
      </c>
    </row>
    <row r="2658" spans="1:10" hidden="1">
      <c r="A2658" t="s">
        <v>76</v>
      </c>
      <c r="B2658" t="s">
        <v>425</v>
      </c>
      <c r="C2658" s="18">
        <v>2040</v>
      </c>
      <c r="D2658" t="s">
        <v>185</v>
      </c>
      <c r="E2658" s="9">
        <v>256754.09264450299</v>
      </c>
      <c r="F2658" s="9">
        <v>243837.224086773</v>
      </c>
      <c r="G2658" s="9">
        <v>272772.69297753199</v>
      </c>
      <c r="H2658" s="9">
        <v>257451.80463236</v>
      </c>
      <c r="I2658" s="21">
        <f t="shared" si="82"/>
        <v>13614.580545587</v>
      </c>
      <c r="J2658" s="21">
        <f t="shared" si="83"/>
        <v>16018.600333028997</v>
      </c>
    </row>
    <row r="2659" spans="1:10" hidden="1">
      <c r="A2659" t="s">
        <v>76</v>
      </c>
      <c r="B2659" t="s">
        <v>425</v>
      </c>
      <c r="C2659" s="18">
        <v>2040</v>
      </c>
      <c r="D2659" t="s">
        <v>188</v>
      </c>
      <c r="E2659" s="9">
        <v>649556.02818685595</v>
      </c>
      <c r="F2659" s="9">
        <v>404565.50095322903</v>
      </c>
      <c r="G2659" s="9">
        <v>725057.85135654395</v>
      </c>
      <c r="H2659" s="9">
        <v>435208.84098996199</v>
      </c>
      <c r="I2659" s="21">
        <f t="shared" si="82"/>
        <v>30643.34003673296</v>
      </c>
      <c r="J2659" s="21">
        <f t="shared" si="83"/>
        <v>75501.823169687996</v>
      </c>
    </row>
    <row r="2660" spans="1:10" hidden="1">
      <c r="A2660" t="s">
        <v>76</v>
      </c>
      <c r="B2660" t="s">
        <v>425</v>
      </c>
      <c r="C2660" s="18">
        <v>2040</v>
      </c>
      <c r="D2660" t="s">
        <v>191</v>
      </c>
      <c r="E2660" s="9">
        <v>341022.63390719303</v>
      </c>
      <c r="F2660" s="9">
        <v>185220.69612375801</v>
      </c>
      <c r="G2660" s="9">
        <v>366714.04580788402</v>
      </c>
      <c r="H2660" s="9">
        <v>193853.25074776399</v>
      </c>
      <c r="I2660" s="21">
        <f t="shared" si="82"/>
        <v>8632.5546240059775</v>
      </c>
      <c r="J2660" s="21">
        <f t="shared" si="83"/>
        <v>25691.41190069099</v>
      </c>
    </row>
    <row r="2661" spans="1:10" hidden="1">
      <c r="A2661" t="s">
        <v>76</v>
      </c>
      <c r="B2661" t="s">
        <v>425</v>
      </c>
      <c r="C2661" s="18">
        <v>2040</v>
      </c>
      <c r="D2661" t="s">
        <v>422</v>
      </c>
      <c r="E2661" s="9">
        <v>36005.876489098096</v>
      </c>
      <c r="F2661" s="9">
        <v>3069.29577461384</v>
      </c>
      <c r="G2661" s="9">
        <v>36005.028086341903</v>
      </c>
      <c r="H2661" s="9">
        <v>3069.2518935015801</v>
      </c>
      <c r="I2661" s="21">
        <f t="shared" si="82"/>
        <v>-4.3881112259896327E-2</v>
      </c>
      <c r="J2661" s="21">
        <f t="shared" si="83"/>
        <v>-0.84840275619353633</v>
      </c>
    </row>
    <row r="2662" spans="1:10" hidden="1">
      <c r="A2662" t="s">
        <v>76</v>
      </c>
      <c r="B2662" t="s">
        <v>425</v>
      </c>
      <c r="C2662" s="18">
        <v>2041</v>
      </c>
      <c r="D2662" t="s">
        <v>174</v>
      </c>
      <c r="E2662" s="9">
        <v>20623.850926367901</v>
      </c>
      <c r="F2662" s="9">
        <v>14312.619454100501</v>
      </c>
      <c r="G2662" s="9">
        <v>20453.6267543422</v>
      </c>
      <c r="H2662" s="9">
        <v>14249.536455216699</v>
      </c>
      <c r="I2662" s="21">
        <f t="shared" si="82"/>
        <v>-63.082998883801338</v>
      </c>
      <c r="J2662" s="21">
        <f t="shared" si="83"/>
        <v>-170.22417202570068</v>
      </c>
    </row>
    <row r="2663" spans="1:10" hidden="1">
      <c r="A2663" t="s">
        <v>76</v>
      </c>
      <c r="B2663" t="s">
        <v>425</v>
      </c>
      <c r="C2663" s="18">
        <v>2041</v>
      </c>
      <c r="D2663" t="s">
        <v>236</v>
      </c>
      <c r="E2663" s="9">
        <v>1190877.3374530899</v>
      </c>
      <c r="F2663" s="9">
        <v>257466.25825017499</v>
      </c>
      <c r="G2663" s="9">
        <v>1226624.8107670301</v>
      </c>
      <c r="H2663" s="9">
        <v>259677.195752453</v>
      </c>
      <c r="I2663" s="21">
        <f t="shared" si="82"/>
        <v>2210.937502278015</v>
      </c>
      <c r="J2663" s="21">
        <f t="shared" si="83"/>
        <v>35747.473313940223</v>
      </c>
    </row>
    <row r="2664" spans="1:10" hidden="1">
      <c r="A2664" t="s">
        <v>76</v>
      </c>
      <c r="B2664" t="s">
        <v>425</v>
      </c>
      <c r="C2664" s="18">
        <v>2041</v>
      </c>
      <c r="D2664" t="s">
        <v>182</v>
      </c>
      <c r="E2664" s="9">
        <v>126651.299446349</v>
      </c>
      <c r="F2664" s="9">
        <v>81889.534249512595</v>
      </c>
      <c r="G2664" s="9">
        <v>132229.629710176</v>
      </c>
      <c r="H2664" s="9">
        <v>85532.319590607702</v>
      </c>
      <c r="I2664" s="21">
        <f t="shared" si="82"/>
        <v>3642.7853410951066</v>
      </c>
      <c r="J2664" s="21">
        <f t="shared" si="83"/>
        <v>5578.3302638269961</v>
      </c>
    </row>
    <row r="2665" spans="1:10" hidden="1">
      <c r="A2665" t="s">
        <v>76</v>
      </c>
      <c r="B2665" t="s">
        <v>425</v>
      </c>
      <c r="C2665" s="18">
        <v>2041</v>
      </c>
      <c r="D2665" t="s">
        <v>185</v>
      </c>
      <c r="E2665" s="9">
        <v>256545.84996694201</v>
      </c>
      <c r="F2665" s="9">
        <v>243587.47705240699</v>
      </c>
      <c r="G2665" s="9">
        <v>272611.75367129099</v>
      </c>
      <c r="H2665" s="9">
        <v>257389.63175428601</v>
      </c>
      <c r="I2665" s="21">
        <f t="shared" si="82"/>
        <v>13802.154701879015</v>
      </c>
      <c r="J2665" s="21">
        <f t="shared" si="83"/>
        <v>16065.903704348981</v>
      </c>
    </row>
    <row r="2666" spans="1:10" hidden="1">
      <c r="A2666" t="s">
        <v>76</v>
      </c>
      <c r="B2666" t="s">
        <v>425</v>
      </c>
      <c r="C2666" s="18">
        <v>2041</v>
      </c>
      <c r="D2666" t="s">
        <v>188</v>
      </c>
      <c r="E2666" s="9">
        <v>657275.202748843</v>
      </c>
      <c r="F2666" s="9">
        <v>409653.99214404903</v>
      </c>
      <c r="G2666" s="9">
        <v>734627.74007540499</v>
      </c>
      <c r="H2666" s="9">
        <v>442324.30640679202</v>
      </c>
      <c r="I2666" s="21">
        <f t="shared" si="82"/>
        <v>32670.314262742992</v>
      </c>
      <c r="J2666" s="21">
        <f t="shared" si="83"/>
        <v>77352.537326561986</v>
      </c>
    </row>
    <row r="2667" spans="1:10" hidden="1">
      <c r="A2667" t="s">
        <v>76</v>
      </c>
      <c r="B2667" t="s">
        <v>425</v>
      </c>
      <c r="C2667" s="18">
        <v>2041</v>
      </c>
      <c r="D2667" t="s">
        <v>191</v>
      </c>
      <c r="E2667" s="9">
        <v>344230.57184215402</v>
      </c>
      <c r="F2667" s="9">
        <v>186800.13454043001</v>
      </c>
      <c r="G2667" s="9">
        <v>370436.97560679301</v>
      </c>
      <c r="H2667" s="9">
        <v>195926.90720139601</v>
      </c>
      <c r="I2667" s="21">
        <f t="shared" si="82"/>
        <v>9126.7726609660021</v>
      </c>
      <c r="J2667" s="21">
        <f t="shared" si="83"/>
        <v>26206.403764638992</v>
      </c>
    </row>
    <row r="2668" spans="1:10" hidden="1">
      <c r="A2668" t="s">
        <v>76</v>
      </c>
      <c r="B2668" t="s">
        <v>425</v>
      </c>
      <c r="C2668" s="18">
        <v>2041</v>
      </c>
      <c r="D2668" t="s">
        <v>422</v>
      </c>
      <c r="E2668" s="9">
        <v>35901.637587871002</v>
      </c>
      <c r="F2668" s="9">
        <v>2944.0570022379502</v>
      </c>
      <c r="G2668" s="9">
        <v>35900.765054072101</v>
      </c>
      <c r="H2668" s="9">
        <v>2944.01552271229</v>
      </c>
      <c r="I2668" s="21">
        <f t="shared" si="82"/>
        <v>-4.1479525660179206E-2</v>
      </c>
      <c r="J2668" s="21">
        <f t="shared" si="83"/>
        <v>-0.87253379890171345</v>
      </c>
    </row>
    <row r="2669" spans="1:10" hidden="1">
      <c r="A2669" t="s">
        <v>76</v>
      </c>
      <c r="B2669" t="s">
        <v>425</v>
      </c>
      <c r="C2669" s="18">
        <v>2042</v>
      </c>
      <c r="D2669" t="s">
        <v>174</v>
      </c>
      <c r="E2669" s="9">
        <v>21310.083346367101</v>
      </c>
      <c r="F2669" s="9">
        <v>14700.892768456901</v>
      </c>
      <c r="G2669" s="9">
        <v>21115.581702688502</v>
      </c>
      <c r="H2669" s="9">
        <v>14626.319006600401</v>
      </c>
      <c r="I2669" s="21">
        <f t="shared" si="82"/>
        <v>-74.573761856499914</v>
      </c>
      <c r="J2669" s="21">
        <f t="shared" si="83"/>
        <v>-194.50164367859907</v>
      </c>
    </row>
    <row r="2670" spans="1:10" hidden="1">
      <c r="A2670" t="s">
        <v>76</v>
      </c>
      <c r="B2670" t="s">
        <v>425</v>
      </c>
      <c r="C2670" s="18">
        <v>2042</v>
      </c>
      <c r="D2670" t="s">
        <v>236</v>
      </c>
      <c r="E2670" s="9">
        <v>1198796.99890917</v>
      </c>
      <c r="F2670" s="9">
        <v>265305.33383684</v>
      </c>
      <c r="G2670" s="9">
        <v>1235703.75022274</v>
      </c>
      <c r="H2670" s="9">
        <v>267778.732534162</v>
      </c>
      <c r="I2670" s="21">
        <f t="shared" si="82"/>
        <v>2473.3986973220017</v>
      </c>
      <c r="J2670" s="21">
        <f t="shared" si="83"/>
        <v>36906.751313569956</v>
      </c>
    </row>
    <row r="2671" spans="1:10" hidden="1">
      <c r="A2671" t="s">
        <v>76</v>
      </c>
      <c r="B2671" t="s">
        <v>425</v>
      </c>
      <c r="C2671" s="18">
        <v>2042</v>
      </c>
      <c r="D2671" t="s">
        <v>182</v>
      </c>
      <c r="E2671" s="9">
        <v>128762.33518572099</v>
      </c>
      <c r="F2671" s="9">
        <v>82965.768791993294</v>
      </c>
      <c r="G2671" s="9">
        <v>134351.62604870801</v>
      </c>
      <c r="H2671" s="9">
        <v>86657.313221329707</v>
      </c>
      <c r="I2671" s="21">
        <f t="shared" si="82"/>
        <v>3691.5444293364126</v>
      </c>
      <c r="J2671" s="21">
        <f t="shared" si="83"/>
        <v>5589.2908629870217</v>
      </c>
    </row>
    <row r="2672" spans="1:10" hidden="1">
      <c r="A2672" t="s">
        <v>76</v>
      </c>
      <c r="B2672" t="s">
        <v>425</v>
      </c>
      <c r="C2672" s="18">
        <v>2042</v>
      </c>
      <c r="D2672" t="s">
        <v>185</v>
      </c>
      <c r="E2672" s="9">
        <v>256189.04034175101</v>
      </c>
      <c r="F2672" s="9">
        <v>243240.41712965499</v>
      </c>
      <c r="G2672" s="9">
        <v>272280.658720601</v>
      </c>
      <c r="H2672" s="9">
        <v>257198.34975601899</v>
      </c>
      <c r="I2672" s="21">
        <f t="shared" si="82"/>
        <v>13957.932626363996</v>
      </c>
      <c r="J2672" s="21">
        <f t="shared" si="83"/>
        <v>16091.618378849991</v>
      </c>
    </row>
    <row r="2673" spans="1:10" hidden="1">
      <c r="A2673" t="s">
        <v>76</v>
      </c>
      <c r="B2673" t="s">
        <v>425</v>
      </c>
      <c r="C2673" s="18">
        <v>2042</v>
      </c>
      <c r="D2673" t="s">
        <v>188</v>
      </c>
      <c r="E2673" s="9">
        <v>665163.05386160803</v>
      </c>
      <c r="F2673" s="9">
        <v>414961.41236254398</v>
      </c>
      <c r="G2673" s="9">
        <v>744313.272667757</v>
      </c>
      <c r="H2673" s="9">
        <v>449601.26122749498</v>
      </c>
      <c r="I2673" s="21">
        <f t="shared" si="82"/>
        <v>34639.848864950996</v>
      </c>
      <c r="J2673" s="21">
        <f t="shared" si="83"/>
        <v>79150.218806148972</v>
      </c>
    </row>
    <row r="2674" spans="1:10" hidden="1">
      <c r="A2674" t="s">
        <v>76</v>
      </c>
      <c r="B2674" t="s">
        <v>425</v>
      </c>
      <c r="C2674" s="18">
        <v>2042</v>
      </c>
      <c r="D2674" t="s">
        <v>191</v>
      </c>
      <c r="E2674" s="9">
        <v>347704.869887512</v>
      </c>
      <c r="F2674" s="9">
        <v>188472.805807842</v>
      </c>
      <c r="G2674" s="9">
        <v>374419.26204563602</v>
      </c>
      <c r="H2674" s="9">
        <v>198082.81410371399</v>
      </c>
      <c r="I2674" s="21">
        <f t="shared" si="82"/>
        <v>9610.0082958719868</v>
      </c>
      <c r="J2674" s="21">
        <f t="shared" si="83"/>
        <v>26714.392158124014</v>
      </c>
    </row>
    <row r="2675" spans="1:10" hidden="1">
      <c r="A2675" t="s">
        <v>76</v>
      </c>
      <c r="B2675" t="s">
        <v>425</v>
      </c>
      <c r="C2675" s="18">
        <v>2042</v>
      </c>
      <c r="D2675" t="s">
        <v>422</v>
      </c>
      <c r="E2675" s="9">
        <v>35517.725683017903</v>
      </c>
      <c r="F2675" s="9">
        <v>2820.5514006458002</v>
      </c>
      <c r="G2675" s="9">
        <v>35516.840593533198</v>
      </c>
      <c r="H2675" s="9">
        <v>2820.5122126446799</v>
      </c>
      <c r="I2675" s="21">
        <f t="shared" si="82"/>
        <v>-3.9188001120237459E-2</v>
      </c>
      <c r="J2675" s="21">
        <f t="shared" si="83"/>
        <v>-0.8850894847055315</v>
      </c>
    </row>
    <row r="2676" spans="1:10" hidden="1">
      <c r="A2676" t="s">
        <v>76</v>
      </c>
      <c r="B2676" t="s">
        <v>425</v>
      </c>
      <c r="C2676" s="18">
        <v>2043</v>
      </c>
      <c r="D2676" t="s">
        <v>174</v>
      </c>
      <c r="E2676" s="9">
        <v>22009.575850446399</v>
      </c>
      <c r="F2676" s="9">
        <v>15091.157705453301</v>
      </c>
      <c r="G2676" s="9">
        <v>21789.125656033499</v>
      </c>
      <c r="H2676" s="9">
        <v>15004.086115812899</v>
      </c>
      <c r="I2676" s="21">
        <f t="shared" si="82"/>
        <v>-87.071589640401726</v>
      </c>
      <c r="J2676" s="21">
        <f t="shared" si="83"/>
        <v>-220.4501944129006</v>
      </c>
    </row>
    <row r="2677" spans="1:10" hidden="1">
      <c r="A2677" t="s">
        <v>76</v>
      </c>
      <c r="B2677" t="s">
        <v>425</v>
      </c>
      <c r="C2677" s="18">
        <v>2043</v>
      </c>
      <c r="D2677" t="s">
        <v>236</v>
      </c>
      <c r="E2677" s="9">
        <v>1206280.1236692499</v>
      </c>
      <c r="F2677" s="9">
        <v>273131.60816179699</v>
      </c>
      <c r="G2677" s="9">
        <v>1244246.5115360599</v>
      </c>
      <c r="H2677" s="9">
        <v>275876.99548631802</v>
      </c>
      <c r="I2677" s="21">
        <f t="shared" si="82"/>
        <v>2745.387324521027</v>
      </c>
      <c r="J2677" s="21">
        <f t="shared" si="83"/>
        <v>37966.387866809964</v>
      </c>
    </row>
    <row r="2678" spans="1:10" hidden="1">
      <c r="A2678" t="s">
        <v>76</v>
      </c>
      <c r="B2678" t="s">
        <v>425</v>
      </c>
      <c r="C2678" s="18">
        <v>2043</v>
      </c>
      <c r="D2678" t="s">
        <v>182</v>
      </c>
      <c r="E2678" s="9">
        <v>130998.058006992</v>
      </c>
      <c r="F2678" s="9">
        <v>84048.368181818107</v>
      </c>
      <c r="G2678" s="9">
        <v>136601.974960575</v>
      </c>
      <c r="H2678" s="9">
        <v>87779.034425801001</v>
      </c>
      <c r="I2678" s="21">
        <f t="shared" si="82"/>
        <v>3730.6662439828942</v>
      </c>
      <c r="J2678" s="21">
        <f t="shared" si="83"/>
        <v>5603.9169535830006</v>
      </c>
    </row>
    <row r="2679" spans="1:10" hidden="1">
      <c r="A2679" t="s">
        <v>76</v>
      </c>
      <c r="B2679" t="s">
        <v>425</v>
      </c>
      <c r="C2679" s="18">
        <v>2043</v>
      </c>
      <c r="D2679" t="s">
        <v>185</v>
      </c>
      <c r="E2679" s="9">
        <v>255598.671385444</v>
      </c>
      <c r="F2679" s="9">
        <v>242698.50530254701</v>
      </c>
      <c r="G2679" s="9">
        <v>271689.79422675102</v>
      </c>
      <c r="H2679" s="9">
        <v>256777.58715706799</v>
      </c>
      <c r="I2679" s="21">
        <f t="shared" si="82"/>
        <v>14079.081854520977</v>
      </c>
      <c r="J2679" s="21">
        <f t="shared" si="83"/>
        <v>16091.12284130702</v>
      </c>
    </row>
    <row r="2680" spans="1:10" hidden="1">
      <c r="A2680" t="s">
        <v>76</v>
      </c>
      <c r="B2680" t="s">
        <v>425</v>
      </c>
      <c r="C2680" s="18">
        <v>2043</v>
      </c>
      <c r="D2680" t="s">
        <v>188</v>
      </c>
      <c r="E2680" s="9">
        <v>673432.766932706</v>
      </c>
      <c r="F2680" s="9">
        <v>420379.47038952197</v>
      </c>
      <c r="G2680" s="9">
        <v>754370.89241350198</v>
      </c>
      <c r="H2680" s="9">
        <v>456915.72204617201</v>
      </c>
      <c r="I2680" s="21">
        <f t="shared" si="82"/>
        <v>36536.251656650042</v>
      </c>
      <c r="J2680" s="21">
        <f t="shared" si="83"/>
        <v>80938.125480795978</v>
      </c>
    </row>
    <row r="2681" spans="1:10" hidden="1">
      <c r="A2681" t="s">
        <v>76</v>
      </c>
      <c r="B2681" t="s">
        <v>425</v>
      </c>
      <c r="C2681" s="18">
        <v>2043</v>
      </c>
      <c r="D2681" t="s">
        <v>191</v>
      </c>
      <c r="E2681" s="9">
        <v>351533.04672643199</v>
      </c>
      <c r="F2681" s="9">
        <v>190126.61255213199</v>
      </c>
      <c r="G2681" s="9">
        <v>378766.53451535699</v>
      </c>
      <c r="H2681" s="9">
        <v>200204.274251736</v>
      </c>
      <c r="I2681" s="21">
        <f t="shared" si="82"/>
        <v>10077.66169960401</v>
      </c>
      <c r="J2681" s="21">
        <f t="shared" si="83"/>
        <v>27233.487788925006</v>
      </c>
    </row>
    <row r="2682" spans="1:10" hidden="1">
      <c r="A2682" t="s">
        <v>76</v>
      </c>
      <c r="B2682" t="s">
        <v>425</v>
      </c>
      <c r="C2682" s="18">
        <v>2043</v>
      </c>
      <c r="D2682" t="s">
        <v>422</v>
      </c>
      <c r="E2682" s="9">
        <v>35329.651263363703</v>
      </c>
      <c r="F2682" s="9">
        <v>2698.3678567513002</v>
      </c>
      <c r="G2682" s="9">
        <v>35328.773203308199</v>
      </c>
      <c r="H2682" s="9">
        <v>2698.3309296050402</v>
      </c>
      <c r="I2682" s="21">
        <f t="shared" si="82"/>
        <v>-3.69271462600409E-2</v>
      </c>
      <c r="J2682" s="21">
        <f t="shared" si="83"/>
        <v>-0.87806005550373811</v>
      </c>
    </row>
    <row r="2683" spans="1:10" hidden="1">
      <c r="A2683" t="s">
        <v>76</v>
      </c>
      <c r="B2683" t="s">
        <v>425</v>
      </c>
      <c r="C2683" s="18">
        <v>2044</v>
      </c>
      <c r="D2683" t="s">
        <v>174</v>
      </c>
      <c r="E2683" s="9">
        <v>22720.4818935351</v>
      </c>
      <c r="F2683" s="9">
        <v>15489.2278121195</v>
      </c>
      <c r="G2683" s="9">
        <v>22472.405778779801</v>
      </c>
      <c r="H2683" s="9">
        <v>15388.638261887199</v>
      </c>
      <c r="I2683" s="21">
        <f t="shared" si="82"/>
        <v>-100.5895502323001</v>
      </c>
      <c r="J2683" s="21">
        <f t="shared" si="83"/>
        <v>-248.07611475529848</v>
      </c>
    </row>
    <row r="2684" spans="1:10" hidden="1">
      <c r="A2684" t="s">
        <v>76</v>
      </c>
      <c r="B2684" t="s">
        <v>425</v>
      </c>
      <c r="C2684" s="18">
        <v>2044</v>
      </c>
      <c r="D2684" t="s">
        <v>236</v>
      </c>
      <c r="E2684" s="9">
        <v>1213579.7460368001</v>
      </c>
      <c r="F2684" s="9">
        <v>280876.02115979401</v>
      </c>
      <c r="G2684" s="9">
        <v>1252519.7576166999</v>
      </c>
      <c r="H2684" s="9">
        <v>283902.05041687097</v>
      </c>
      <c r="I2684" s="21">
        <f t="shared" si="82"/>
        <v>3026.029257076967</v>
      </c>
      <c r="J2684" s="21">
        <f t="shared" si="83"/>
        <v>38940.011579899816</v>
      </c>
    </row>
    <row r="2685" spans="1:10" hidden="1">
      <c r="A2685" t="s">
        <v>76</v>
      </c>
      <c r="B2685" t="s">
        <v>425</v>
      </c>
      <c r="C2685" s="18">
        <v>2044</v>
      </c>
      <c r="D2685" t="s">
        <v>182</v>
      </c>
      <c r="E2685" s="9">
        <v>132540.69983195001</v>
      </c>
      <c r="F2685" s="9">
        <v>85150.650986899098</v>
      </c>
      <c r="G2685" s="9">
        <v>138127.80749224901</v>
      </c>
      <c r="H2685" s="9">
        <v>88912.446286897801</v>
      </c>
      <c r="I2685" s="21">
        <f t="shared" si="82"/>
        <v>3761.7952999987028</v>
      </c>
      <c r="J2685" s="21">
        <f t="shared" si="83"/>
        <v>5587.1076602989924</v>
      </c>
    </row>
    <row r="2686" spans="1:10" hidden="1">
      <c r="A2686" t="s">
        <v>76</v>
      </c>
      <c r="B2686" t="s">
        <v>425</v>
      </c>
      <c r="C2686" s="18">
        <v>2044</v>
      </c>
      <c r="D2686" t="s">
        <v>185</v>
      </c>
      <c r="E2686" s="9">
        <v>254907.01509851299</v>
      </c>
      <c r="F2686" s="9">
        <v>242255.82606223601</v>
      </c>
      <c r="G2686" s="9">
        <v>270981.060601887</v>
      </c>
      <c r="H2686" s="9">
        <v>256436.399818879</v>
      </c>
      <c r="I2686" s="21">
        <f t="shared" si="82"/>
        <v>14180.573756642989</v>
      </c>
      <c r="J2686" s="21">
        <f t="shared" si="83"/>
        <v>16074.045503374015</v>
      </c>
    </row>
    <row r="2687" spans="1:10" hidden="1">
      <c r="A2687" t="s">
        <v>76</v>
      </c>
      <c r="B2687" t="s">
        <v>425</v>
      </c>
      <c r="C2687" s="18">
        <v>2044</v>
      </c>
      <c r="D2687" t="s">
        <v>188</v>
      </c>
      <c r="E2687" s="9">
        <v>678476.58064820606</v>
      </c>
      <c r="F2687" s="9">
        <v>425866.46990432497</v>
      </c>
      <c r="G2687" s="9">
        <v>760751.52916181902</v>
      </c>
      <c r="H2687" s="9">
        <v>464236.62382849702</v>
      </c>
      <c r="I2687" s="21">
        <f t="shared" si="82"/>
        <v>38370.153924172046</v>
      </c>
      <c r="J2687" s="21">
        <f t="shared" si="83"/>
        <v>82274.948513612966</v>
      </c>
    </row>
    <row r="2688" spans="1:10" hidden="1">
      <c r="A2688" t="s">
        <v>76</v>
      </c>
      <c r="B2688" t="s">
        <v>425</v>
      </c>
      <c r="C2688" s="18">
        <v>2044</v>
      </c>
      <c r="D2688" t="s">
        <v>191</v>
      </c>
      <c r="E2688" s="9">
        <v>353198.71195305203</v>
      </c>
      <c r="F2688" s="9">
        <v>192234.02825952301</v>
      </c>
      <c r="G2688" s="9">
        <v>380754.51437457599</v>
      </c>
      <c r="H2688" s="9">
        <v>202762.43540540201</v>
      </c>
      <c r="I2688" s="21">
        <f t="shared" si="82"/>
        <v>10528.407145878999</v>
      </c>
      <c r="J2688" s="21">
        <f t="shared" si="83"/>
        <v>27555.802421523957</v>
      </c>
    </row>
    <row r="2689" spans="1:10" hidden="1">
      <c r="A2689" t="s">
        <v>76</v>
      </c>
      <c r="B2689" t="s">
        <v>425</v>
      </c>
      <c r="C2689" s="18">
        <v>2044</v>
      </c>
      <c r="D2689" t="s">
        <v>422</v>
      </c>
      <c r="E2689" s="9">
        <v>35047.484841437297</v>
      </c>
      <c r="F2689" s="9">
        <v>2573.8243581730399</v>
      </c>
      <c r="G2689" s="9">
        <v>35046.705207959298</v>
      </c>
      <c r="H2689" s="9">
        <v>2573.7926243052102</v>
      </c>
      <c r="I2689" s="21">
        <f t="shared" si="82"/>
        <v>-3.1733867829643714E-2</v>
      </c>
      <c r="J2689" s="21">
        <f t="shared" si="83"/>
        <v>-0.77963347799959593</v>
      </c>
    </row>
    <row r="2690" spans="1:10" hidden="1">
      <c r="A2690" t="s">
        <v>76</v>
      </c>
      <c r="B2690" t="s">
        <v>425</v>
      </c>
      <c r="C2690" s="18">
        <v>2045</v>
      </c>
      <c r="D2690" t="s">
        <v>174</v>
      </c>
      <c r="E2690" s="9">
        <v>23444.378616781902</v>
      </c>
      <c r="F2690" s="9">
        <v>15886.713359617899</v>
      </c>
      <c r="G2690" s="9">
        <v>23166.945688051499</v>
      </c>
      <c r="H2690" s="9">
        <v>15771.7189092791</v>
      </c>
      <c r="I2690" s="21">
        <f t="shared" ref="I2690:I2753" si="84">H2690-F2690</f>
        <v>-114.99445033879965</v>
      </c>
      <c r="J2690" s="21">
        <f t="shared" ref="J2690:J2731" si="85">G2690-E2690</f>
        <v>-277.43292873040264</v>
      </c>
    </row>
    <row r="2691" spans="1:10" hidden="1">
      <c r="A2691" t="s">
        <v>76</v>
      </c>
      <c r="B2691" t="s">
        <v>425</v>
      </c>
      <c r="C2691" s="18">
        <v>2045</v>
      </c>
      <c r="D2691" t="s">
        <v>236</v>
      </c>
      <c r="E2691" s="9">
        <v>1220758.1154599299</v>
      </c>
      <c r="F2691" s="9">
        <v>288507.624589885</v>
      </c>
      <c r="G2691" s="9">
        <v>1260592.98702146</v>
      </c>
      <c r="H2691" s="9">
        <v>291822.02754025703</v>
      </c>
      <c r="I2691" s="21">
        <f t="shared" si="84"/>
        <v>3314.402950372023</v>
      </c>
      <c r="J2691" s="21">
        <f t="shared" si="85"/>
        <v>39834.871561530046</v>
      </c>
    </row>
    <row r="2692" spans="1:10" hidden="1">
      <c r="A2692" t="s">
        <v>76</v>
      </c>
      <c r="B2692" t="s">
        <v>425</v>
      </c>
      <c r="C2692" s="18">
        <v>2045</v>
      </c>
      <c r="D2692" t="s">
        <v>182</v>
      </c>
      <c r="E2692" s="9">
        <v>134583.29320225501</v>
      </c>
      <c r="F2692" s="9">
        <v>86254.129961598694</v>
      </c>
      <c r="G2692" s="9">
        <v>140172.77481552499</v>
      </c>
      <c r="H2692" s="9">
        <v>90041.604590588802</v>
      </c>
      <c r="I2692" s="21">
        <f t="shared" si="84"/>
        <v>3787.4746289901086</v>
      </c>
      <c r="J2692" s="21">
        <f t="shared" si="85"/>
        <v>5589.481613269978</v>
      </c>
    </row>
    <row r="2693" spans="1:10" hidden="1">
      <c r="A2693" t="s">
        <v>76</v>
      </c>
      <c r="B2693" t="s">
        <v>425</v>
      </c>
      <c r="C2693" s="18">
        <v>2045</v>
      </c>
      <c r="D2693" t="s">
        <v>185</v>
      </c>
      <c r="E2693" s="9">
        <v>254379.32775754799</v>
      </c>
      <c r="F2693" s="9">
        <v>241714.07579105999</v>
      </c>
      <c r="G2693" s="9">
        <v>270438.60315228201</v>
      </c>
      <c r="H2693" s="9">
        <v>255976.90811330499</v>
      </c>
      <c r="I2693" s="21">
        <f t="shared" si="84"/>
        <v>14262.832322244998</v>
      </c>
      <c r="J2693" s="21">
        <f t="shared" si="85"/>
        <v>16059.275394734024</v>
      </c>
    </row>
    <row r="2694" spans="1:10" hidden="1">
      <c r="A2694" t="s">
        <v>76</v>
      </c>
      <c r="B2694" t="s">
        <v>425</v>
      </c>
      <c r="C2694" s="18">
        <v>2045</v>
      </c>
      <c r="D2694" t="s">
        <v>188</v>
      </c>
      <c r="E2694" s="9">
        <v>685508.03793786606</v>
      </c>
      <c r="F2694" s="9">
        <v>430771.835765169</v>
      </c>
      <c r="G2694" s="9">
        <v>769313.803212411</v>
      </c>
      <c r="H2694" s="9">
        <v>470920.29436777002</v>
      </c>
      <c r="I2694" s="21">
        <f t="shared" si="84"/>
        <v>40148.458602601022</v>
      </c>
      <c r="J2694" s="21">
        <f t="shared" si="85"/>
        <v>83805.765274544945</v>
      </c>
    </row>
    <row r="2695" spans="1:10" hidden="1">
      <c r="A2695" t="s">
        <v>76</v>
      </c>
      <c r="B2695" t="s">
        <v>425</v>
      </c>
      <c r="C2695" s="18">
        <v>2045</v>
      </c>
      <c r="D2695" t="s">
        <v>191</v>
      </c>
      <c r="E2695" s="9">
        <v>355983.834049322</v>
      </c>
      <c r="F2695" s="9">
        <v>193903.538581651</v>
      </c>
      <c r="G2695" s="9">
        <v>383936.19252461498</v>
      </c>
      <c r="H2695" s="9">
        <v>204869.32889798901</v>
      </c>
      <c r="I2695" s="21">
        <f t="shared" si="84"/>
        <v>10965.790316338011</v>
      </c>
      <c r="J2695" s="21">
        <f t="shared" si="85"/>
        <v>27952.358475292975</v>
      </c>
    </row>
    <row r="2696" spans="1:10" hidden="1">
      <c r="A2696" t="s">
        <v>76</v>
      </c>
      <c r="B2696" t="s">
        <v>425</v>
      </c>
      <c r="C2696" s="18">
        <v>2045</v>
      </c>
      <c r="D2696" t="s">
        <v>422</v>
      </c>
      <c r="E2696" s="9">
        <v>34847.5184182417</v>
      </c>
      <c r="F2696" s="9">
        <v>2452.7718715915398</v>
      </c>
      <c r="G2696" s="9">
        <v>34846.715156222701</v>
      </c>
      <c r="H2696" s="9">
        <v>2452.74707379338</v>
      </c>
      <c r="I2696" s="21">
        <f t="shared" si="84"/>
        <v>-2.4797798159852391E-2</v>
      </c>
      <c r="J2696" s="21">
        <f t="shared" si="85"/>
        <v>-0.80326201899879379</v>
      </c>
    </row>
    <row r="2697" spans="1:10" hidden="1">
      <c r="A2697" t="s">
        <v>76</v>
      </c>
      <c r="B2697" t="s">
        <v>425</v>
      </c>
      <c r="C2697" s="18">
        <v>2046</v>
      </c>
      <c r="D2697" t="s">
        <v>174</v>
      </c>
      <c r="E2697" s="9">
        <v>24176.684231684801</v>
      </c>
      <c r="F2697" s="9">
        <v>16295.7857669359</v>
      </c>
      <c r="G2697" s="9">
        <v>23868.217944038799</v>
      </c>
      <c r="H2697" s="9">
        <v>16165.2905403234</v>
      </c>
      <c r="I2697" s="21">
        <f t="shared" si="84"/>
        <v>-130.49522661250012</v>
      </c>
      <c r="J2697" s="21">
        <f t="shared" si="85"/>
        <v>-308.46628764600246</v>
      </c>
    </row>
    <row r="2698" spans="1:10" hidden="1">
      <c r="A2698" t="s">
        <v>76</v>
      </c>
      <c r="B2698" t="s">
        <v>425</v>
      </c>
      <c r="C2698" s="18">
        <v>2046</v>
      </c>
      <c r="D2698" t="s">
        <v>236</v>
      </c>
      <c r="E2698" s="9">
        <v>1227819.4495078099</v>
      </c>
      <c r="F2698" s="9">
        <v>295987.95740742702</v>
      </c>
      <c r="G2698" s="9">
        <v>1268475.9563321201</v>
      </c>
      <c r="H2698" s="9">
        <v>299596.92866613797</v>
      </c>
      <c r="I2698" s="21">
        <f t="shared" si="84"/>
        <v>3608.9712587109534</v>
      </c>
      <c r="J2698" s="21">
        <f t="shared" si="85"/>
        <v>40656.50682431017</v>
      </c>
    </row>
    <row r="2699" spans="1:10" hidden="1">
      <c r="A2699" t="s">
        <v>76</v>
      </c>
      <c r="B2699" t="s">
        <v>425</v>
      </c>
      <c r="C2699" s="18">
        <v>2046</v>
      </c>
      <c r="D2699" t="s">
        <v>182</v>
      </c>
      <c r="E2699" s="9">
        <v>136605.009444536</v>
      </c>
      <c r="F2699" s="9">
        <v>87391.176918218596</v>
      </c>
      <c r="G2699" s="9">
        <v>142194.05365060701</v>
      </c>
      <c r="H2699" s="9">
        <v>91198.890942598402</v>
      </c>
      <c r="I2699" s="21">
        <f t="shared" si="84"/>
        <v>3807.7140243798058</v>
      </c>
      <c r="J2699" s="21">
        <f t="shared" si="85"/>
        <v>5589.0442060710047</v>
      </c>
    </row>
    <row r="2700" spans="1:10" hidden="1">
      <c r="A2700" t="s">
        <v>76</v>
      </c>
      <c r="B2700" t="s">
        <v>425</v>
      </c>
      <c r="C2700" s="18">
        <v>2046</v>
      </c>
      <c r="D2700" t="s">
        <v>185</v>
      </c>
      <c r="E2700" s="9">
        <v>253883.98217011499</v>
      </c>
      <c r="F2700" s="9">
        <v>241106.486592656</v>
      </c>
      <c r="G2700" s="9">
        <v>269923.25168294698</v>
      </c>
      <c r="H2700" s="9">
        <v>255431.16141281699</v>
      </c>
      <c r="I2700" s="21">
        <f t="shared" si="84"/>
        <v>14324.674820160988</v>
      </c>
      <c r="J2700" s="21">
        <f t="shared" si="85"/>
        <v>16039.26951283199</v>
      </c>
    </row>
    <row r="2701" spans="1:10" hidden="1">
      <c r="A2701" t="s">
        <v>76</v>
      </c>
      <c r="B2701" t="s">
        <v>425</v>
      </c>
      <c r="C2701" s="18">
        <v>2046</v>
      </c>
      <c r="D2701" t="s">
        <v>188</v>
      </c>
      <c r="E2701" s="9">
        <v>692772.23048241006</v>
      </c>
      <c r="F2701" s="9">
        <v>435955.26794373</v>
      </c>
      <c r="G2701" s="9">
        <v>778095.84267256199</v>
      </c>
      <c r="H2701" s="9">
        <v>477828.93173194502</v>
      </c>
      <c r="I2701" s="21">
        <f t="shared" si="84"/>
        <v>41873.663788215024</v>
      </c>
      <c r="J2701" s="21">
        <f t="shared" si="85"/>
        <v>85323.612190151936</v>
      </c>
    </row>
    <row r="2702" spans="1:10" hidden="1">
      <c r="A2702" t="s">
        <v>76</v>
      </c>
      <c r="B2702" t="s">
        <v>425</v>
      </c>
      <c r="C2702" s="18">
        <v>2046</v>
      </c>
      <c r="D2702" t="s">
        <v>191</v>
      </c>
      <c r="E2702" s="9">
        <v>358812.85171449702</v>
      </c>
      <c r="F2702" s="9">
        <v>195659.70170910101</v>
      </c>
      <c r="G2702" s="9">
        <v>387151.42704479198</v>
      </c>
      <c r="H2702" s="9">
        <v>207048.94525460299</v>
      </c>
      <c r="I2702" s="21">
        <f t="shared" si="84"/>
        <v>11389.243545501988</v>
      </c>
      <c r="J2702" s="21">
        <f t="shared" si="85"/>
        <v>28338.57533029496</v>
      </c>
    </row>
    <row r="2703" spans="1:10" hidden="1">
      <c r="A2703" t="s">
        <v>76</v>
      </c>
      <c r="B2703" t="s">
        <v>425</v>
      </c>
      <c r="C2703" s="18">
        <v>2046</v>
      </c>
      <c r="D2703" t="s">
        <v>422</v>
      </c>
      <c r="E2703" s="9">
        <v>34689.103667249903</v>
      </c>
      <c r="F2703" s="9">
        <v>2335.6933517774701</v>
      </c>
      <c r="G2703" s="9">
        <v>34688.296767041</v>
      </c>
      <c r="H2703" s="9">
        <v>2335.6726092736399</v>
      </c>
      <c r="I2703" s="21">
        <f t="shared" si="84"/>
        <v>-2.074250383020626E-2</v>
      </c>
      <c r="J2703" s="21">
        <f t="shared" si="85"/>
        <v>-0.80690020890324377</v>
      </c>
    </row>
    <row r="2704" spans="1:10" hidden="1">
      <c r="A2704" t="s">
        <v>76</v>
      </c>
      <c r="B2704" t="s">
        <v>425</v>
      </c>
      <c r="C2704" s="18">
        <v>2047</v>
      </c>
      <c r="D2704" t="s">
        <v>174</v>
      </c>
      <c r="E2704" s="9">
        <v>24916.870257929299</v>
      </c>
      <c r="F2704" s="9">
        <v>16715.718953185198</v>
      </c>
      <c r="G2704" s="9">
        <v>24575.685129363199</v>
      </c>
      <c r="H2704" s="9">
        <v>16568.574829924401</v>
      </c>
      <c r="I2704" s="21">
        <f t="shared" si="84"/>
        <v>-147.14412326079764</v>
      </c>
      <c r="J2704" s="21">
        <f t="shared" si="85"/>
        <v>-341.18512856609959</v>
      </c>
    </row>
    <row r="2705" spans="1:10" hidden="1">
      <c r="A2705" t="s">
        <v>76</v>
      </c>
      <c r="B2705" t="s">
        <v>425</v>
      </c>
      <c r="C2705" s="18">
        <v>2047</v>
      </c>
      <c r="D2705" t="s">
        <v>236</v>
      </c>
      <c r="E2705" s="9">
        <v>1234667.3904702801</v>
      </c>
      <c r="F2705" s="9">
        <v>303267.67134759499</v>
      </c>
      <c r="G2705" s="9">
        <v>1276073.4846977801</v>
      </c>
      <c r="H2705" s="9">
        <v>307176.00873862102</v>
      </c>
      <c r="I2705" s="21">
        <f t="shared" si="84"/>
        <v>3908.337391026027</v>
      </c>
      <c r="J2705" s="21">
        <f t="shared" si="85"/>
        <v>41406.094227500027</v>
      </c>
    </row>
    <row r="2706" spans="1:10" hidden="1">
      <c r="A2706" t="s">
        <v>76</v>
      </c>
      <c r="B2706" t="s">
        <v>425</v>
      </c>
      <c r="C2706" s="18">
        <v>2047</v>
      </c>
      <c r="D2706" t="s">
        <v>182</v>
      </c>
      <c r="E2706" s="9">
        <v>138658.86810048699</v>
      </c>
      <c r="F2706" s="9">
        <v>88511.366807259299</v>
      </c>
      <c r="G2706" s="9">
        <v>144246.070856709</v>
      </c>
      <c r="H2706" s="9">
        <v>92333.888291156894</v>
      </c>
      <c r="I2706" s="21">
        <f t="shared" si="84"/>
        <v>3822.5214838975953</v>
      </c>
      <c r="J2706" s="21">
        <f t="shared" si="85"/>
        <v>5587.2027562220173</v>
      </c>
    </row>
    <row r="2707" spans="1:10" hidden="1">
      <c r="A2707" t="s">
        <v>76</v>
      </c>
      <c r="B2707" t="s">
        <v>425</v>
      </c>
      <c r="C2707" s="18">
        <v>2047</v>
      </c>
      <c r="D2707" t="s">
        <v>185</v>
      </c>
      <c r="E2707" s="9">
        <v>253148.833928115</v>
      </c>
      <c r="F2707" s="9">
        <v>240394.453026565</v>
      </c>
      <c r="G2707" s="9">
        <v>269145.73066835199</v>
      </c>
      <c r="H2707" s="9">
        <v>254760.803670819</v>
      </c>
      <c r="I2707" s="21">
        <f t="shared" si="84"/>
        <v>14366.350644254009</v>
      </c>
      <c r="J2707" s="21">
        <f t="shared" si="85"/>
        <v>15996.896740236989</v>
      </c>
    </row>
    <row r="2708" spans="1:10" hidden="1">
      <c r="A2708" t="s">
        <v>76</v>
      </c>
      <c r="B2708" t="s">
        <v>425</v>
      </c>
      <c r="C2708" s="18">
        <v>2047</v>
      </c>
      <c r="D2708" t="s">
        <v>188</v>
      </c>
      <c r="E2708" s="9">
        <v>700079.43114673602</v>
      </c>
      <c r="F2708" s="9">
        <v>441135.77602674899</v>
      </c>
      <c r="G2708" s="9">
        <v>786867.36601765698</v>
      </c>
      <c r="H2708" s="9">
        <v>484667.16956347</v>
      </c>
      <c r="I2708" s="21">
        <f t="shared" si="84"/>
        <v>43531.393536721007</v>
      </c>
      <c r="J2708" s="21">
        <f t="shared" si="85"/>
        <v>86787.934870920959</v>
      </c>
    </row>
    <row r="2709" spans="1:10" hidden="1">
      <c r="A2709" t="s">
        <v>76</v>
      </c>
      <c r="B2709" t="s">
        <v>425</v>
      </c>
      <c r="C2709" s="18">
        <v>2047</v>
      </c>
      <c r="D2709" t="s">
        <v>191</v>
      </c>
      <c r="E2709" s="9">
        <v>361873.9069684</v>
      </c>
      <c r="F2709" s="9">
        <v>197364.73666789601</v>
      </c>
      <c r="G2709" s="9">
        <v>390597.57749152998</v>
      </c>
      <c r="H2709" s="9">
        <v>209160.85891574901</v>
      </c>
      <c r="I2709" s="21">
        <f t="shared" si="84"/>
        <v>11796.122247852996</v>
      </c>
      <c r="J2709" s="21">
        <f t="shared" si="85"/>
        <v>28723.670523129986</v>
      </c>
    </row>
    <row r="2710" spans="1:10" hidden="1">
      <c r="A2710" t="s">
        <v>76</v>
      </c>
      <c r="B2710" t="s">
        <v>425</v>
      </c>
      <c r="C2710" s="18">
        <v>2047</v>
      </c>
      <c r="D2710" t="s">
        <v>422</v>
      </c>
      <c r="E2710" s="9">
        <v>34403.253831284899</v>
      </c>
      <c r="F2710" s="9">
        <v>2222.2699681096601</v>
      </c>
      <c r="G2710" s="9">
        <v>34402.454286141998</v>
      </c>
      <c r="H2710" s="9">
        <v>2222.2517838233198</v>
      </c>
      <c r="I2710" s="21">
        <f t="shared" si="84"/>
        <v>-1.8184286340328981E-2</v>
      </c>
      <c r="J2710" s="21">
        <f t="shared" si="85"/>
        <v>-0.79954514290147927</v>
      </c>
    </row>
    <row r="2711" spans="1:10" hidden="1">
      <c r="A2711" t="s">
        <v>76</v>
      </c>
      <c r="B2711" t="s">
        <v>425</v>
      </c>
      <c r="C2711" s="18">
        <v>2048</v>
      </c>
      <c r="D2711" t="s">
        <v>174</v>
      </c>
      <c r="E2711" s="9">
        <v>25658.3463701779</v>
      </c>
      <c r="F2711" s="9">
        <v>17147.828559833099</v>
      </c>
      <c r="G2711" s="9">
        <v>25282.866550534</v>
      </c>
      <c r="H2711" s="9">
        <v>16982.967131377602</v>
      </c>
      <c r="I2711" s="21">
        <f t="shared" si="84"/>
        <v>-164.86142845549693</v>
      </c>
      <c r="J2711" s="21">
        <f t="shared" si="85"/>
        <v>-375.47981964390056</v>
      </c>
    </row>
    <row r="2712" spans="1:10" hidden="1">
      <c r="A2712" t="s">
        <v>76</v>
      </c>
      <c r="B2712" t="s">
        <v>425</v>
      </c>
      <c r="C2712" s="18">
        <v>2048</v>
      </c>
      <c r="D2712" t="s">
        <v>236</v>
      </c>
      <c r="E2712" s="9">
        <v>1241376.43212532</v>
      </c>
      <c r="F2712" s="9">
        <v>310337.98120929801</v>
      </c>
      <c r="G2712" s="9">
        <v>1283467.7529534199</v>
      </c>
      <c r="H2712" s="9">
        <v>314549.83162807999</v>
      </c>
      <c r="I2712" s="21">
        <f t="shared" si="84"/>
        <v>4211.8504187819781</v>
      </c>
      <c r="J2712" s="21">
        <f t="shared" si="85"/>
        <v>42091.320828099968</v>
      </c>
    </row>
    <row r="2713" spans="1:10" hidden="1">
      <c r="A2713" t="s">
        <v>76</v>
      </c>
      <c r="B2713" t="s">
        <v>425</v>
      </c>
      <c r="C2713" s="18">
        <v>2048</v>
      </c>
      <c r="D2713" t="s">
        <v>182</v>
      </c>
      <c r="E2713" s="9">
        <v>140824.46850679701</v>
      </c>
      <c r="F2713" s="9">
        <v>89595.849559657698</v>
      </c>
      <c r="G2713" s="9">
        <v>146413.85314917401</v>
      </c>
      <c r="H2713" s="9">
        <v>93427.507277048993</v>
      </c>
      <c r="I2713" s="21">
        <f t="shared" si="84"/>
        <v>3831.6577173912956</v>
      </c>
      <c r="J2713" s="21">
        <f t="shared" si="85"/>
        <v>5589.384642377001</v>
      </c>
    </row>
    <row r="2714" spans="1:10" hidden="1">
      <c r="A2714" t="s">
        <v>76</v>
      </c>
      <c r="B2714" t="s">
        <v>425</v>
      </c>
      <c r="C2714" s="18">
        <v>2048</v>
      </c>
      <c r="D2714" t="s">
        <v>185</v>
      </c>
      <c r="E2714" s="9">
        <v>252154.41706066599</v>
      </c>
      <c r="F2714" s="9">
        <v>239488.48207023399</v>
      </c>
      <c r="G2714" s="9">
        <v>268085.44794583402</v>
      </c>
      <c r="H2714" s="9">
        <v>253872.04741882399</v>
      </c>
      <c r="I2714" s="21">
        <f t="shared" si="84"/>
        <v>14383.565348589997</v>
      </c>
      <c r="J2714" s="21">
        <f t="shared" si="85"/>
        <v>15931.030885168031</v>
      </c>
    </row>
    <row r="2715" spans="1:10" hidden="1">
      <c r="A2715" t="s">
        <v>76</v>
      </c>
      <c r="B2715" t="s">
        <v>425</v>
      </c>
      <c r="C2715" s="18">
        <v>2048</v>
      </c>
      <c r="D2715" t="s">
        <v>188</v>
      </c>
      <c r="E2715" s="9">
        <v>707566.66005960805</v>
      </c>
      <c r="F2715" s="9">
        <v>446201.23330383701</v>
      </c>
      <c r="G2715" s="9">
        <v>795796.81940173404</v>
      </c>
      <c r="H2715" s="9">
        <v>491307.70932856598</v>
      </c>
      <c r="I2715" s="21">
        <f t="shared" si="84"/>
        <v>45106.476024728967</v>
      </c>
      <c r="J2715" s="21">
        <f t="shared" si="85"/>
        <v>88230.159342125989</v>
      </c>
    </row>
    <row r="2716" spans="1:10" hidden="1">
      <c r="A2716" t="s">
        <v>76</v>
      </c>
      <c r="B2716" t="s">
        <v>425</v>
      </c>
      <c r="C2716" s="18">
        <v>2048</v>
      </c>
      <c r="D2716" t="s">
        <v>191</v>
      </c>
      <c r="E2716" s="9">
        <v>365188.85995332099</v>
      </c>
      <c r="F2716" s="9">
        <v>199006.227321524</v>
      </c>
      <c r="G2716" s="9">
        <v>394306.23400907399</v>
      </c>
      <c r="H2716" s="9">
        <v>211189.299415093</v>
      </c>
      <c r="I2716" s="21">
        <f t="shared" si="84"/>
        <v>12183.072093569004</v>
      </c>
      <c r="J2716" s="21">
        <f t="shared" si="85"/>
        <v>29117.374055752996</v>
      </c>
    </row>
    <row r="2717" spans="1:10" hidden="1">
      <c r="A2717" t="s">
        <v>76</v>
      </c>
      <c r="B2717" t="s">
        <v>425</v>
      </c>
      <c r="C2717" s="18">
        <v>2048</v>
      </c>
      <c r="D2717" t="s">
        <v>422</v>
      </c>
      <c r="E2717" s="9">
        <v>34279.674418939401</v>
      </c>
      <c r="F2717" s="9">
        <v>2112.67825283911</v>
      </c>
      <c r="G2717" s="9">
        <v>34278.863496812097</v>
      </c>
      <c r="H2717" s="9">
        <v>2112.6617453372501</v>
      </c>
      <c r="I2717" s="21">
        <f t="shared" si="84"/>
        <v>-1.650750185990546E-2</v>
      </c>
      <c r="J2717" s="21">
        <f t="shared" si="85"/>
        <v>-0.81092212730436586</v>
      </c>
    </row>
    <row r="2718" spans="1:10" hidden="1">
      <c r="A2718" t="s">
        <v>76</v>
      </c>
      <c r="B2718" t="s">
        <v>425</v>
      </c>
      <c r="C2718" s="18">
        <v>2049</v>
      </c>
      <c r="D2718" t="s">
        <v>174</v>
      </c>
      <c r="E2718" s="9">
        <v>26397.728080353801</v>
      </c>
      <c r="F2718" s="9">
        <v>17590.321412015801</v>
      </c>
      <c r="G2718" s="9">
        <v>25986.5373789525</v>
      </c>
      <c r="H2718" s="9">
        <v>17406.659114093502</v>
      </c>
      <c r="I2718" s="21">
        <f t="shared" si="84"/>
        <v>-183.66229792229933</v>
      </c>
      <c r="J2718" s="21">
        <f t="shared" si="85"/>
        <v>-411.19070140130134</v>
      </c>
    </row>
    <row r="2719" spans="1:10" hidden="1">
      <c r="A2719" t="s">
        <v>76</v>
      </c>
      <c r="B2719" t="s">
        <v>425</v>
      </c>
      <c r="C2719" s="18">
        <v>2049</v>
      </c>
      <c r="D2719" t="s">
        <v>236</v>
      </c>
      <c r="E2719" s="9">
        <v>1247970.47491988</v>
      </c>
      <c r="F2719" s="9">
        <v>317221.58365326101</v>
      </c>
      <c r="G2719" s="9">
        <v>1290687.53512959</v>
      </c>
      <c r="H2719" s="9">
        <v>321740.50114880601</v>
      </c>
      <c r="I2719" s="21">
        <f t="shared" si="84"/>
        <v>4518.9174955449998</v>
      </c>
      <c r="J2719" s="21">
        <f t="shared" si="85"/>
        <v>42717.060209709918</v>
      </c>
    </row>
    <row r="2720" spans="1:10" hidden="1">
      <c r="A2720" t="s">
        <v>76</v>
      </c>
      <c r="B2720" t="s">
        <v>425</v>
      </c>
      <c r="C2720" s="18">
        <v>2049</v>
      </c>
      <c r="D2720" t="s">
        <v>182</v>
      </c>
      <c r="E2720" s="9">
        <v>142318.914810897</v>
      </c>
      <c r="F2720" s="9">
        <v>90708.423164171094</v>
      </c>
      <c r="G2720" s="9">
        <v>147882.09983734801</v>
      </c>
      <c r="H2720" s="9">
        <v>94546.865675552195</v>
      </c>
      <c r="I2720" s="21">
        <f t="shared" si="84"/>
        <v>3838.4425113811012</v>
      </c>
      <c r="J2720" s="21">
        <f t="shared" si="85"/>
        <v>5563.185026451014</v>
      </c>
    </row>
    <row r="2721" spans="1:10" hidden="1">
      <c r="A2721" t="s">
        <v>76</v>
      </c>
      <c r="B2721" t="s">
        <v>425</v>
      </c>
      <c r="C2721" s="18">
        <v>2049</v>
      </c>
      <c r="D2721" t="s">
        <v>185</v>
      </c>
      <c r="E2721" s="9">
        <v>251145.85706332</v>
      </c>
      <c r="F2721" s="9">
        <v>238711.689034921</v>
      </c>
      <c r="G2721" s="9">
        <v>267003.55015502701</v>
      </c>
      <c r="H2721" s="9">
        <v>253105.506935702</v>
      </c>
      <c r="I2721" s="21">
        <f t="shared" si="84"/>
        <v>14393.817900780996</v>
      </c>
      <c r="J2721" s="21">
        <f t="shared" si="85"/>
        <v>15857.693091707013</v>
      </c>
    </row>
    <row r="2722" spans="1:10" hidden="1">
      <c r="A2722" t="s">
        <v>76</v>
      </c>
      <c r="B2722" t="s">
        <v>425</v>
      </c>
      <c r="C2722" s="18">
        <v>2049</v>
      </c>
      <c r="D2722" t="s">
        <v>188</v>
      </c>
      <c r="E2722" s="9">
        <v>712321.07734556403</v>
      </c>
      <c r="F2722" s="9">
        <v>451374.384957292</v>
      </c>
      <c r="G2722" s="9">
        <v>801596.85366425803</v>
      </c>
      <c r="H2722" s="9">
        <v>498010.65152404399</v>
      </c>
      <c r="I2722" s="21">
        <f t="shared" si="84"/>
        <v>46636.26656675199</v>
      </c>
      <c r="J2722" s="21">
        <f t="shared" si="85"/>
        <v>89275.776318693999</v>
      </c>
    </row>
    <row r="2723" spans="1:10" hidden="1">
      <c r="A2723" t="s">
        <v>76</v>
      </c>
      <c r="B2723" t="s">
        <v>425</v>
      </c>
      <c r="C2723" s="18">
        <v>2049</v>
      </c>
      <c r="D2723" t="s">
        <v>191</v>
      </c>
      <c r="E2723" s="9">
        <v>366715.12401161698</v>
      </c>
      <c r="F2723" s="9">
        <v>201021.90807412201</v>
      </c>
      <c r="G2723" s="9">
        <v>396058.615955627</v>
      </c>
      <c r="H2723" s="9">
        <v>213580.236200068</v>
      </c>
      <c r="I2723" s="21">
        <f t="shared" si="84"/>
        <v>12558.328125945991</v>
      </c>
      <c r="J2723" s="21">
        <f t="shared" si="85"/>
        <v>29343.49194401002</v>
      </c>
    </row>
    <row r="2724" spans="1:10" hidden="1">
      <c r="A2724" t="s">
        <v>76</v>
      </c>
      <c r="B2724" t="s">
        <v>425</v>
      </c>
      <c r="C2724" s="18">
        <v>2049</v>
      </c>
      <c r="D2724" t="s">
        <v>422</v>
      </c>
      <c r="E2724" s="9">
        <v>34088.541476188097</v>
      </c>
      <c r="F2724" s="9">
        <v>1998.6070072427599</v>
      </c>
      <c r="G2724" s="9">
        <v>34087.762706701098</v>
      </c>
      <c r="H2724" s="9">
        <v>1998.5922336333499</v>
      </c>
      <c r="I2724" s="21">
        <f t="shared" si="84"/>
        <v>-1.4773609409985511E-2</v>
      </c>
      <c r="J2724" s="21">
        <f t="shared" si="85"/>
        <v>-0.77876948699849891</v>
      </c>
    </row>
    <row r="2725" spans="1:10" hidden="1">
      <c r="A2725" t="s">
        <v>76</v>
      </c>
      <c r="B2725" t="s">
        <v>425</v>
      </c>
      <c r="C2725" s="18">
        <v>2050</v>
      </c>
      <c r="D2725" t="s">
        <v>174</v>
      </c>
      <c r="E2725" s="9">
        <v>27138.4649679621</v>
      </c>
      <c r="F2725" s="9">
        <v>18031.933937117101</v>
      </c>
      <c r="G2725" s="9">
        <v>26690.1101954068</v>
      </c>
      <c r="H2725" s="9">
        <v>17828.637482456001</v>
      </c>
      <c r="I2725" s="21">
        <f t="shared" si="84"/>
        <v>-203.29645466110014</v>
      </c>
      <c r="J2725" s="21">
        <f t="shared" si="85"/>
        <v>-448.35477255529986</v>
      </c>
    </row>
    <row r="2726" spans="1:10" hidden="1">
      <c r="A2726" t="s">
        <v>76</v>
      </c>
      <c r="B2726" t="s">
        <v>425</v>
      </c>
      <c r="C2726" s="18">
        <v>2050</v>
      </c>
      <c r="D2726" t="s">
        <v>236</v>
      </c>
      <c r="E2726" s="9">
        <v>1254509.3758357901</v>
      </c>
      <c r="F2726" s="9">
        <v>323905.08658786101</v>
      </c>
      <c r="G2726" s="9">
        <v>1297798.19122542</v>
      </c>
      <c r="H2726" s="9">
        <v>328734.06146541203</v>
      </c>
      <c r="I2726" s="21">
        <f t="shared" si="84"/>
        <v>4828.9748775510234</v>
      </c>
      <c r="J2726" s="21">
        <f t="shared" si="85"/>
        <v>43288.815389629919</v>
      </c>
    </row>
    <row r="2727" spans="1:10" hidden="1">
      <c r="A2727" t="s">
        <v>76</v>
      </c>
      <c r="B2727" t="s">
        <v>425</v>
      </c>
      <c r="C2727" s="18">
        <v>2050</v>
      </c>
      <c r="D2727" t="s">
        <v>182</v>
      </c>
      <c r="E2727" s="9">
        <v>144007.44802249499</v>
      </c>
      <c r="F2727" s="9">
        <v>91784.446359895999</v>
      </c>
      <c r="G2727" s="9">
        <v>149549.878981469</v>
      </c>
      <c r="H2727" s="9">
        <v>95625.943969428394</v>
      </c>
      <c r="I2727" s="21">
        <f t="shared" si="84"/>
        <v>3841.4976095323946</v>
      </c>
      <c r="J2727" s="21">
        <f t="shared" si="85"/>
        <v>5542.4309589740005</v>
      </c>
    </row>
    <row r="2728" spans="1:10" hidden="1">
      <c r="A2728" t="s">
        <v>76</v>
      </c>
      <c r="B2728" t="s">
        <v>425</v>
      </c>
      <c r="C2728" s="18">
        <v>2050</v>
      </c>
      <c r="D2728" t="s">
        <v>185</v>
      </c>
      <c r="E2728" s="9">
        <v>250243.515613536</v>
      </c>
      <c r="F2728" s="9">
        <v>237771.04955188499</v>
      </c>
      <c r="G2728" s="9">
        <v>266031.496410964</v>
      </c>
      <c r="H2728" s="9">
        <v>252158.93315896901</v>
      </c>
      <c r="I2728" s="21">
        <f t="shared" si="84"/>
        <v>14387.883607084019</v>
      </c>
      <c r="J2728" s="21">
        <f t="shared" si="85"/>
        <v>15787.980797427997</v>
      </c>
    </row>
    <row r="2729" spans="1:10" hidden="1">
      <c r="A2729" t="s">
        <v>76</v>
      </c>
      <c r="B2729" t="s">
        <v>425</v>
      </c>
      <c r="C2729" s="18">
        <v>2050</v>
      </c>
      <c r="D2729" t="s">
        <v>188</v>
      </c>
      <c r="E2729" s="9">
        <v>718543.17222822295</v>
      </c>
      <c r="F2729" s="9">
        <v>455991.27422049601</v>
      </c>
      <c r="G2729" s="9">
        <v>809018.72253896797</v>
      </c>
      <c r="H2729" s="9">
        <v>504089.42679186398</v>
      </c>
      <c r="I2729" s="21">
        <f t="shared" si="84"/>
        <v>48098.152571367973</v>
      </c>
      <c r="J2729" s="21">
        <f t="shared" si="85"/>
        <v>90475.55031074502</v>
      </c>
    </row>
    <row r="2730" spans="1:10" hidden="1">
      <c r="A2730" t="s">
        <v>76</v>
      </c>
      <c r="B2730" t="s">
        <v>425</v>
      </c>
      <c r="C2730" s="18">
        <v>2050</v>
      </c>
      <c r="D2730" t="s">
        <v>191</v>
      </c>
      <c r="E2730" s="9">
        <v>368939.072169233</v>
      </c>
      <c r="F2730" s="9">
        <v>202656.462223329</v>
      </c>
      <c r="G2730" s="9">
        <v>398560.03791860503</v>
      </c>
      <c r="H2730" s="9">
        <v>215570.73744048199</v>
      </c>
      <c r="I2730" s="21">
        <f t="shared" si="84"/>
        <v>12914.275217152986</v>
      </c>
      <c r="J2730" s="21">
        <f t="shared" si="85"/>
        <v>29620.96574937203</v>
      </c>
    </row>
    <row r="2731" spans="1:10" hidden="1">
      <c r="A2731" t="s">
        <v>76</v>
      </c>
      <c r="B2731" t="s">
        <v>425</v>
      </c>
      <c r="C2731" s="18">
        <v>2050</v>
      </c>
      <c r="D2731" t="s">
        <v>422</v>
      </c>
      <c r="E2731" s="9">
        <v>33927.268312351996</v>
      </c>
      <c r="F2731" s="9">
        <v>1888.5273326128199</v>
      </c>
      <c r="G2731" s="9">
        <v>33926.479042696701</v>
      </c>
      <c r="H2731" s="9">
        <v>1888.5150098655699</v>
      </c>
      <c r="I2731" s="21">
        <f t="shared" si="84"/>
        <v>-1.2322747249982058E-2</v>
      </c>
      <c r="J2731" s="21">
        <f t="shared" si="85"/>
        <v>-0.78926965529535664</v>
      </c>
    </row>
  </sheetData>
  <autoFilter ref="A1:J2731" xr:uid="{00000000-0009-0000-0000-00000A000000}">
    <filterColumn colId="1">
      <filters>
        <filter val="Tobacco tax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A807"/>
  <sheetViews>
    <sheetView workbookViewId="0">
      <pane ySplit="1" topLeftCell="A8" activePane="bottomLeft" state="frozen"/>
      <selection pane="bottomLeft"/>
    </sheetView>
  </sheetViews>
  <sheetFormatPr defaultColWidth="11.19921875" defaultRowHeight="13.8"/>
  <cols>
    <col min="1" max="2" width="11.69921875" customWidth="1"/>
    <col min="3" max="3" width="17.69921875" customWidth="1"/>
    <col min="4" max="4" width="16.69921875" customWidth="1"/>
    <col min="5" max="5" width="20.69921875" customWidth="1"/>
    <col min="6" max="6" width="15.69921875" customWidth="1"/>
    <col min="7" max="7" width="12.69921875" customWidth="1"/>
    <col min="8" max="8" width="28.69921875" customWidth="1"/>
    <col min="9" max="9" width="29.69921875" customWidth="1"/>
    <col min="10" max="10" width="20.69921875" customWidth="1"/>
    <col min="11" max="11" width="15.69921875" customWidth="1"/>
    <col min="12" max="13" width="14.69921875" customWidth="1"/>
    <col min="14" max="14" width="16.69921875" customWidth="1"/>
    <col min="15" max="16" width="14.69921875" customWidth="1"/>
    <col min="17" max="18" width="22.69921875" customWidth="1"/>
    <col min="19" max="19" width="25.69921875" customWidth="1"/>
    <col min="20" max="20" width="17.69921875" customWidth="1"/>
    <col min="21" max="22" width="20.69921875" customWidth="1"/>
    <col min="23" max="23" width="23.69921875" customWidth="1"/>
    <col min="24" max="24" width="25.69921875" customWidth="1"/>
    <col min="25" max="25" width="12.69921875" customWidth="1"/>
    <col min="26" max="26" width="15.69921875" customWidth="1"/>
    <col min="27" max="27" width="24.69921875" customWidth="1"/>
  </cols>
  <sheetData>
    <row r="1" spans="1:27" ht="28.05" customHeight="1">
      <c r="A1" s="1" t="s">
        <v>413</v>
      </c>
      <c r="B1" s="1" t="s">
        <v>28</v>
      </c>
      <c r="C1" s="1" t="s">
        <v>145</v>
      </c>
      <c r="D1" s="1" t="s">
        <v>362</v>
      </c>
      <c r="E1" s="1" t="s">
        <v>363</v>
      </c>
      <c r="F1" s="1" t="s">
        <v>162</v>
      </c>
      <c r="G1" s="1" t="s">
        <v>364</v>
      </c>
      <c r="H1" s="1" t="s">
        <v>367</v>
      </c>
      <c r="I1" s="1" t="s">
        <v>368</v>
      </c>
      <c r="J1" s="1" t="s">
        <v>369</v>
      </c>
      <c r="K1" s="1" t="s">
        <v>370</v>
      </c>
      <c r="L1" s="1" t="s">
        <v>426</v>
      </c>
      <c r="M1" s="1" t="s">
        <v>427</v>
      </c>
      <c r="N1" s="1" t="s">
        <v>428</v>
      </c>
      <c r="O1" s="1" t="s">
        <v>429</v>
      </c>
      <c r="P1" s="1" t="s">
        <v>430</v>
      </c>
      <c r="Q1" s="1" t="s">
        <v>431</v>
      </c>
      <c r="R1" s="1" t="s">
        <v>432</v>
      </c>
      <c r="S1" s="1" t="s">
        <v>433</v>
      </c>
      <c r="T1" s="1" t="s">
        <v>434</v>
      </c>
      <c r="U1" s="1" t="s">
        <v>435</v>
      </c>
      <c r="V1" s="1" t="s">
        <v>436</v>
      </c>
      <c r="W1" s="1" t="s">
        <v>437</v>
      </c>
      <c r="X1" s="1" t="s">
        <v>376</v>
      </c>
      <c r="Y1" s="1" t="s">
        <v>375</v>
      </c>
      <c r="Z1" s="1" t="s">
        <v>163</v>
      </c>
      <c r="AA1" s="1" t="s">
        <v>438</v>
      </c>
    </row>
    <row r="2" spans="1:27">
      <c r="A2" t="s">
        <v>247</v>
      </c>
      <c r="B2" s="18">
        <v>2025</v>
      </c>
      <c r="C2" t="s">
        <v>247</v>
      </c>
      <c r="D2" s="20" t="s">
        <v>405</v>
      </c>
      <c r="E2" s="20" t="s">
        <v>406</v>
      </c>
      <c r="F2" s="20" t="s">
        <v>253</v>
      </c>
      <c r="G2" s="20" t="s">
        <v>382</v>
      </c>
      <c r="H2" s="20" t="s">
        <v>384</v>
      </c>
      <c r="I2" s="29">
        <v>1</v>
      </c>
      <c r="J2" s="30">
        <v>1</v>
      </c>
      <c r="K2" s="31">
        <v>4.0000000000000001E-3</v>
      </c>
      <c r="L2" s="9">
        <v>575134853.59312999</v>
      </c>
      <c r="M2" s="9">
        <v>575134853.59312999</v>
      </c>
      <c r="N2" s="32">
        <f>MIN(MAX((B2-Calculation_Assumptions!$B$5+1)/Calculation_Assumptions!$B$7,0),1)</f>
        <v>0</v>
      </c>
      <c r="O2" s="21">
        <f t="shared" ref="O2:O65" si="0">L2*I2</f>
        <v>575134853.59312999</v>
      </c>
      <c r="P2" s="21">
        <f t="shared" ref="P2:P65" si="1">M2*I2</f>
        <v>575134853.59312999</v>
      </c>
      <c r="Q2" s="21">
        <f>P2*Calculation_Assumptions!$B$14*J2*K2</f>
        <v>0</v>
      </c>
      <c r="R2" s="21">
        <f t="shared" ref="R2:R65" si="2">O2*N2*J2*K2</f>
        <v>0</v>
      </c>
      <c r="S2" s="21">
        <f t="shared" ref="S2:S65" si="3">R2-Q2</f>
        <v>0</v>
      </c>
      <c r="T2" s="32">
        <f>1/(1+Calculation_Assumptions!$B$8)^(B2-Calculation_Assumptions!$B$2)</f>
        <v>1</v>
      </c>
      <c r="U2" s="21">
        <f t="shared" ref="U2:U65" si="4">Q2*T2</f>
        <v>0</v>
      </c>
      <c r="V2" s="21">
        <f t="shared" ref="V2:V65" si="5">R2*T2</f>
        <v>0</v>
      </c>
      <c r="W2" s="21">
        <f t="shared" ref="W2:W65" si="6">S2*T2</f>
        <v>0</v>
      </c>
      <c r="X2">
        <v>0</v>
      </c>
      <c r="Y2" s="18">
        <v>2017</v>
      </c>
      <c r="Z2" t="s">
        <v>387</v>
      </c>
      <c r="AA2" s="21">
        <f t="shared" ref="AA2:AA65" si="7">IF(G2="shared-count-once",COUNTIFS($A$2:$A$807,A2,$B$2:$B$807,B2,$D$2:$D$807,D2),1)</f>
        <v>1</v>
      </c>
    </row>
    <row r="3" spans="1:27">
      <c r="A3" t="s">
        <v>247</v>
      </c>
      <c r="B3" s="18">
        <v>2026</v>
      </c>
      <c r="C3" t="s">
        <v>247</v>
      </c>
      <c r="D3" s="20" t="s">
        <v>405</v>
      </c>
      <c r="E3" s="20" t="s">
        <v>406</v>
      </c>
      <c r="F3" s="20" t="s">
        <v>253</v>
      </c>
      <c r="G3" s="20" t="s">
        <v>382</v>
      </c>
      <c r="H3" s="20" t="s">
        <v>384</v>
      </c>
      <c r="I3" s="29">
        <v>1</v>
      </c>
      <c r="J3" s="30">
        <v>1</v>
      </c>
      <c r="K3" s="31">
        <v>4.0000000000000001E-3</v>
      </c>
      <c r="L3" s="9">
        <v>579268647.32329595</v>
      </c>
      <c r="M3" s="9">
        <v>579268647.32329595</v>
      </c>
      <c r="N3" s="32">
        <f>MIN(MAX((B3-Calculation_Assumptions!$B$5+1)/Calculation_Assumptions!$B$7,0),1)</f>
        <v>0.33333333333333331</v>
      </c>
      <c r="O3" s="21">
        <f t="shared" si="0"/>
        <v>579268647.32329595</v>
      </c>
      <c r="P3" s="21">
        <f t="shared" si="1"/>
        <v>579268647.32329595</v>
      </c>
      <c r="Q3" s="21">
        <f>P3*Calculation_Assumptions!$B$14*J3*K3</f>
        <v>0</v>
      </c>
      <c r="R3" s="21">
        <f t="shared" si="2"/>
        <v>772358.19643106125</v>
      </c>
      <c r="S3" s="21">
        <f t="shared" si="3"/>
        <v>772358.19643106125</v>
      </c>
      <c r="T3" s="32">
        <f>1/(1+Calculation_Assumptions!$B$8)^(B3-Calculation_Assumptions!$B$2)</f>
        <v>0.970873786407767</v>
      </c>
      <c r="U3" s="21">
        <f t="shared" si="4"/>
        <v>0</v>
      </c>
      <c r="V3" s="21">
        <f t="shared" si="5"/>
        <v>749862.32663209829</v>
      </c>
      <c r="W3" s="21">
        <f t="shared" si="6"/>
        <v>749862.32663209829</v>
      </c>
      <c r="X3">
        <v>0</v>
      </c>
      <c r="Y3" s="18">
        <v>2017</v>
      </c>
      <c r="Z3" t="s">
        <v>387</v>
      </c>
      <c r="AA3" s="21">
        <f t="shared" si="7"/>
        <v>1</v>
      </c>
    </row>
    <row r="4" spans="1:27">
      <c r="A4" t="s">
        <v>247</v>
      </c>
      <c r="B4" s="18">
        <v>2027</v>
      </c>
      <c r="C4" t="s">
        <v>247</v>
      </c>
      <c r="D4" s="20" t="s">
        <v>405</v>
      </c>
      <c r="E4" s="20" t="s">
        <v>406</v>
      </c>
      <c r="F4" s="20" t="s">
        <v>253</v>
      </c>
      <c r="G4" s="20" t="s">
        <v>382</v>
      </c>
      <c r="H4" s="20" t="s">
        <v>384</v>
      </c>
      <c r="I4" s="29">
        <v>1</v>
      </c>
      <c r="J4" s="30">
        <v>1</v>
      </c>
      <c r="K4" s="31">
        <v>4.0000000000000001E-3</v>
      </c>
      <c r="L4" s="9">
        <v>583039014.28645599</v>
      </c>
      <c r="M4" s="9">
        <v>583039014.28645599</v>
      </c>
      <c r="N4" s="32">
        <f>MIN(MAX((B4-Calculation_Assumptions!$B$5+1)/Calculation_Assumptions!$B$7,0),1)</f>
        <v>0.66666666666666663</v>
      </c>
      <c r="O4" s="21">
        <f t="shared" si="0"/>
        <v>583039014.28645599</v>
      </c>
      <c r="P4" s="21">
        <f t="shared" si="1"/>
        <v>583039014.28645599</v>
      </c>
      <c r="Q4" s="21">
        <f>P4*Calculation_Assumptions!$B$14*J4*K4</f>
        <v>0</v>
      </c>
      <c r="R4" s="21">
        <f t="shared" si="2"/>
        <v>1554770.7047638826</v>
      </c>
      <c r="S4" s="21">
        <f t="shared" si="3"/>
        <v>1554770.7047638826</v>
      </c>
      <c r="T4" s="32">
        <f>1/(1+Calculation_Assumptions!$B$8)^(B4-Calculation_Assumptions!$B$2)</f>
        <v>0.94259590913375435</v>
      </c>
      <c r="U4" s="21">
        <f t="shared" si="4"/>
        <v>0</v>
      </c>
      <c r="V4" s="21">
        <f t="shared" si="5"/>
        <v>1465520.50595144</v>
      </c>
      <c r="W4" s="21">
        <f t="shared" si="6"/>
        <v>1465520.50595144</v>
      </c>
      <c r="X4">
        <v>0</v>
      </c>
      <c r="Y4" s="18">
        <v>2017</v>
      </c>
      <c r="Z4" t="s">
        <v>387</v>
      </c>
      <c r="AA4" s="21">
        <f t="shared" si="7"/>
        <v>1</v>
      </c>
    </row>
    <row r="5" spans="1:27">
      <c r="A5" t="s">
        <v>247</v>
      </c>
      <c r="B5" s="18">
        <v>2028</v>
      </c>
      <c r="C5" t="s">
        <v>247</v>
      </c>
      <c r="D5" s="20" t="s">
        <v>405</v>
      </c>
      <c r="E5" s="20" t="s">
        <v>406</v>
      </c>
      <c r="F5" s="20" t="s">
        <v>253</v>
      </c>
      <c r="G5" s="20" t="s">
        <v>382</v>
      </c>
      <c r="H5" s="20" t="s">
        <v>384</v>
      </c>
      <c r="I5" s="29">
        <v>1</v>
      </c>
      <c r="J5" s="30">
        <v>1</v>
      </c>
      <c r="K5" s="31">
        <v>4.0000000000000001E-3</v>
      </c>
      <c r="L5" s="9">
        <v>587035116.25746298</v>
      </c>
      <c r="M5" s="9">
        <v>587035116.25746298</v>
      </c>
      <c r="N5" s="32">
        <f>MIN(MAX((B5-Calculation_Assumptions!$B$5+1)/Calculation_Assumptions!$B$7,0),1)</f>
        <v>1</v>
      </c>
      <c r="O5" s="21">
        <f t="shared" si="0"/>
        <v>587035116.25746298</v>
      </c>
      <c r="P5" s="21">
        <f t="shared" si="1"/>
        <v>587035116.25746298</v>
      </c>
      <c r="Q5" s="21">
        <f>P5*Calculation_Assumptions!$B$14*J5*K5</f>
        <v>0</v>
      </c>
      <c r="R5" s="21">
        <f t="shared" si="2"/>
        <v>2348140.465029852</v>
      </c>
      <c r="S5" s="21">
        <f t="shared" si="3"/>
        <v>2348140.465029852</v>
      </c>
      <c r="T5" s="32">
        <f>1/(1+Calculation_Assumptions!$B$8)^(B5-Calculation_Assumptions!$B$2)</f>
        <v>0.91514165935315961</v>
      </c>
      <c r="U5" s="21">
        <f t="shared" si="4"/>
        <v>0</v>
      </c>
      <c r="V5" s="21">
        <f t="shared" si="5"/>
        <v>2148881.1615617187</v>
      </c>
      <c r="W5" s="21">
        <f t="shared" si="6"/>
        <v>2148881.1615617187</v>
      </c>
      <c r="X5">
        <v>0</v>
      </c>
      <c r="Y5" s="18">
        <v>2017</v>
      </c>
      <c r="Z5" t="s">
        <v>387</v>
      </c>
      <c r="AA5" s="21">
        <f t="shared" si="7"/>
        <v>1</v>
      </c>
    </row>
    <row r="6" spans="1:27">
      <c r="A6" t="s">
        <v>247</v>
      </c>
      <c r="B6" s="18">
        <v>2029</v>
      </c>
      <c r="C6" t="s">
        <v>247</v>
      </c>
      <c r="D6" s="20" t="s">
        <v>405</v>
      </c>
      <c r="E6" s="20" t="s">
        <v>406</v>
      </c>
      <c r="F6" s="20" t="s">
        <v>253</v>
      </c>
      <c r="G6" s="20" t="s">
        <v>382</v>
      </c>
      <c r="H6" s="20" t="s">
        <v>384</v>
      </c>
      <c r="I6" s="29">
        <v>1</v>
      </c>
      <c r="J6" s="30">
        <v>1</v>
      </c>
      <c r="K6" s="31">
        <v>4.0000000000000001E-3</v>
      </c>
      <c r="L6" s="9">
        <v>590968778.61837697</v>
      </c>
      <c r="M6" s="9">
        <v>590968059.72178304</v>
      </c>
      <c r="N6" s="32">
        <f>MIN(MAX((B6-Calculation_Assumptions!$B$5+1)/Calculation_Assumptions!$B$7,0),1)</f>
        <v>1</v>
      </c>
      <c r="O6" s="21">
        <f t="shared" si="0"/>
        <v>590968778.61837697</v>
      </c>
      <c r="P6" s="21">
        <f t="shared" si="1"/>
        <v>590968059.72178304</v>
      </c>
      <c r="Q6" s="21">
        <f>P6*Calculation_Assumptions!$B$14*J6*K6</f>
        <v>0</v>
      </c>
      <c r="R6" s="21">
        <f t="shared" si="2"/>
        <v>2363875.1144735077</v>
      </c>
      <c r="S6" s="21">
        <f t="shared" si="3"/>
        <v>2363875.1144735077</v>
      </c>
      <c r="T6" s="32">
        <f>1/(1+Calculation_Assumptions!$B$8)^(B6-Calculation_Assumptions!$B$2)</f>
        <v>0.888487047915689</v>
      </c>
      <c r="U6" s="21">
        <f t="shared" si="4"/>
        <v>0</v>
      </c>
      <c r="V6" s="21">
        <f t="shared" si="5"/>
        <v>2100272.4220999284</v>
      </c>
      <c r="W6" s="21">
        <f t="shared" si="6"/>
        <v>2100272.4220999284</v>
      </c>
      <c r="X6">
        <v>0</v>
      </c>
      <c r="Y6" s="18">
        <v>2017</v>
      </c>
      <c r="Z6" t="s">
        <v>387</v>
      </c>
      <c r="AA6" s="21">
        <f t="shared" si="7"/>
        <v>1</v>
      </c>
    </row>
    <row r="7" spans="1:27">
      <c r="A7" t="s">
        <v>247</v>
      </c>
      <c r="B7" s="18">
        <v>2030</v>
      </c>
      <c r="C7" t="s">
        <v>247</v>
      </c>
      <c r="D7" s="20" t="s">
        <v>405</v>
      </c>
      <c r="E7" s="20" t="s">
        <v>406</v>
      </c>
      <c r="F7" s="20" t="s">
        <v>253</v>
      </c>
      <c r="G7" s="20" t="s">
        <v>382</v>
      </c>
      <c r="H7" s="20" t="s">
        <v>384</v>
      </c>
      <c r="I7" s="29">
        <v>1</v>
      </c>
      <c r="J7" s="30">
        <v>1</v>
      </c>
      <c r="K7" s="31">
        <v>4.0000000000000001E-3</v>
      </c>
      <c r="L7" s="9">
        <v>594810540.13000405</v>
      </c>
      <c r="M7" s="9">
        <v>594808018.62654305</v>
      </c>
      <c r="N7" s="32">
        <f>MIN(MAX((B7-Calculation_Assumptions!$B$5+1)/Calculation_Assumptions!$B$7,0),1)</f>
        <v>1</v>
      </c>
      <c r="O7" s="21">
        <f t="shared" si="0"/>
        <v>594810540.13000405</v>
      </c>
      <c r="P7" s="21">
        <f t="shared" si="1"/>
        <v>594808018.62654305</v>
      </c>
      <c r="Q7" s="21">
        <f>P7*Calculation_Assumptions!$B$14*J7*K7</f>
        <v>0</v>
      </c>
      <c r="R7" s="21">
        <f t="shared" si="2"/>
        <v>2379242.1605200162</v>
      </c>
      <c r="S7" s="21">
        <f t="shared" si="3"/>
        <v>2379242.1605200162</v>
      </c>
      <c r="T7" s="32">
        <f>1/(1+Calculation_Assumptions!$B$8)^(B7-Calculation_Assumptions!$B$2)</f>
        <v>0.86260878438416411</v>
      </c>
      <c r="U7" s="21">
        <f t="shared" si="4"/>
        <v>0</v>
      </c>
      <c r="V7" s="21">
        <f t="shared" si="5"/>
        <v>2052355.1878417234</v>
      </c>
      <c r="W7" s="21">
        <f t="shared" si="6"/>
        <v>2052355.1878417234</v>
      </c>
      <c r="X7">
        <v>0</v>
      </c>
      <c r="Y7" s="18">
        <v>2017</v>
      </c>
      <c r="Z7" t="s">
        <v>387</v>
      </c>
      <c r="AA7" s="21">
        <f t="shared" si="7"/>
        <v>1</v>
      </c>
    </row>
    <row r="8" spans="1:27">
      <c r="A8" t="s">
        <v>247</v>
      </c>
      <c r="B8" s="18">
        <v>2031</v>
      </c>
      <c r="C8" t="s">
        <v>247</v>
      </c>
      <c r="D8" s="20" t="s">
        <v>405</v>
      </c>
      <c r="E8" s="20" t="s">
        <v>406</v>
      </c>
      <c r="F8" s="20" t="s">
        <v>253</v>
      </c>
      <c r="G8" s="20" t="s">
        <v>382</v>
      </c>
      <c r="H8" s="20" t="s">
        <v>384</v>
      </c>
      <c r="I8" s="29">
        <v>1</v>
      </c>
      <c r="J8" s="30">
        <v>1</v>
      </c>
      <c r="K8" s="31">
        <v>4.0000000000000001E-3</v>
      </c>
      <c r="L8" s="9">
        <v>598570305.70473504</v>
      </c>
      <c r="M8" s="9">
        <v>598581381.03442597</v>
      </c>
      <c r="N8" s="32">
        <f>MIN(MAX((B8-Calculation_Assumptions!$B$5+1)/Calculation_Assumptions!$B$7,0),1)</f>
        <v>1</v>
      </c>
      <c r="O8" s="21">
        <f t="shared" si="0"/>
        <v>598570305.70473504</v>
      </c>
      <c r="P8" s="21">
        <f t="shared" si="1"/>
        <v>598581381.03442597</v>
      </c>
      <c r="Q8" s="21">
        <f>P8*Calculation_Assumptions!$B$14*J8*K8</f>
        <v>0</v>
      </c>
      <c r="R8" s="21">
        <f t="shared" si="2"/>
        <v>2394281.2228189404</v>
      </c>
      <c r="S8" s="21">
        <f t="shared" si="3"/>
        <v>2394281.2228189404</v>
      </c>
      <c r="T8" s="32">
        <f>1/(1+Calculation_Assumptions!$B$8)^(B8-Calculation_Assumptions!$B$2)</f>
        <v>0.83748425668365445</v>
      </c>
      <c r="U8" s="21">
        <f t="shared" si="4"/>
        <v>0</v>
      </c>
      <c r="V8" s="21">
        <f t="shared" si="5"/>
        <v>2005172.8301841517</v>
      </c>
      <c r="W8" s="21">
        <f t="shared" si="6"/>
        <v>2005172.8301841517</v>
      </c>
      <c r="X8">
        <v>0</v>
      </c>
      <c r="Y8" s="18">
        <v>2017</v>
      </c>
      <c r="Z8" t="s">
        <v>387</v>
      </c>
      <c r="AA8" s="21">
        <f t="shared" si="7"/>
        <v>1</v>
      </c>
    </row>
    <row r="9" spans="1:27">
      <c r="A9" t="s">
        <v>247</v>
      </c>
      <c r="B9" s="18">
        <v>2032</v>
      </c>
      <c r="C9" t="s">
        <v>247</v>
      </c>
      <c r="D9" s="20" t="s">
        <v>405</v>
      </c>
      <c r="E9" s="20" t="s">
        <v>406</v>
      </c>
      <c r="F9" s="20" t="s">
        <v>253</v>
      </c>
      <c r="G9" s="20" t="s">
        <v>382</v>
      </c>
      <c r="H9" s="20" t="s">
        <v>384</v>
      </c>
      <c r="I9" s="29">
        <v>1</v>
      </c>
      <c r="J9" s="30">
        <v>1</v>
      </c>
      <c r="K9" s="31">
        <v>4.0000000000000001E-3</v>
      </c>
      <c r="L9" s="9">
        <v>602276779.02279305</v>
      </c>
      <c r="M9" s="9">
        <v>602283583.58638096</v>
      </c>
      <c r="N9" s="32">
        <f>MIN(MAX((B9-Calculation_Assumptions!$B$5+1)/Calculation_Assumptions!$B$7,0),1)</f>
        <v>1</v>
      </c>
      <c r="O9" s="21">
        <f t="shared" si="0"/>
        <v>602276779.02279305</v>
      </c>
      <c r="P9" s="21">
        <f t="shared" si="1"/>
        <v>602283583.58638096</v>
      </c>
      <c r="Q9" s="21">
        <f>P9*Calculation_Assumptions!$B$14*J9*K9</f>
        <v>0</v>
      </c>
      <c r="R9" s="21">
        <f t="shared" si="2"/>
        <v>2409107.1160911722</v>
      </c>
      <c r="S9" s="21">
        <f t="shared" si="3"/>
        <v>2409107.1160911722</v>
      </c>
      <c r="T9" s="32">
        <f>1/(1+Calculation_Assumptions!$B$8)^(B9-Calculation_Assumptions!$B$2)</f>
        <v>0.81309151134335378</v>
      </c>
      <c r="U9" s="21">
        <f t="shared" si="4"/>
        <v>0</v>
      </c>
      <c r="V9" s="21">
        <f t="shared" si="5"/>
        <v>1958824.5460105997</v>
      </c>
      <c r="W9" s="21">
        <f t="shared" si="6"/>
        <v>1958824.5460105997</v>
      </c>
      <c r="X9">
        <v>0</v>
      </c>
      <c r="Y9" s="18">
        <v>2017</v>
      </c>
      <c r="Z9" t="s">
        <v>387</v>
      </c>
      <c r="AA9" s="21">
        <f t="shared" si="7"/>
        <v>1</v>
      </c>
    </row>
    <row r="10" spans="1:27">
      <c r="A10" t="s">
        <v>247</v>
      </c>
      <c r="B10" s="18">
        <v>2033</v>
      </c>
      <c r="C10" t="s">
        <v>247</v>
      </c>
      <c r="D10" s="20" t="s">
        <v>405</v>
      </c>
      <c r="E10" s="20" t="s">
        <v>406</v>
      </c>
      <c r="F10" s="20" t="s">
        <v>253</v>
      </c>
      <c r="G10" s="20" t="s">
        <v>382</v>
      </c>
      <c r="H10" s="20" t="s">
        <v>384</v>
      </c>
      <c r="I10" s="29">
        <v>1</v>
      </c>
      <c r="J10" s="30">
        <v>1</v>
      </c>
      <c r="K10" s="31">
        <v>4.0000000000000001E-3</v>
      </c>
      <c r="L10" s="9">
        <v>605910569.05179501</v>
      </c>
      <c r="M10" s="9">
        <v>605911902.99473</v>
      </c>
      <c r="N10" s="32">
        <f>MIN(MAX((B10-Calculation_Assumptions!$B$5+1)/Calculation_Assumptions!$B$7,0),1)</f>
        <v>1</v>
      </c>
      <c r="O10" s="21">
        <f t="shared" si="0"/>
        <v>605910569.05179501</v>
      </c>
      <c r="P10" s="21">
        <f t="shared" si="1"/>
        <v>605911902.99473</v>
      </c>
      <c r="Q10" s="21">
        <f>P10*Calculation_Assumptions!$B$14*J10*K10</f>
        <v>0</v>
      </c>
      <c r="R10" s="21">
        <f t="shared" si="2"/>
        <v>2423642.2762071802</v>
      </c>
      <c r="S10" s="21">
        <f t="shared" si="3"/>
        <v>2423642.2762071802</v>
      </c>
      <c r="T10" s="32">
        <f>1/(1+Calculation_Assumptions!$B$8)^(B10-Calculation_Assumptions!$B$2)</f>
        <v>0.78940923431393573</v>
      </c>
      <c r="U10" s="21">
        <f t="shared" si="4"/>
        <v>0</v>
      </c>
      <c r="V10" s="21">
        <f t="shared" si="5"/>
        <v>1913245.5935115945</v>
      </c>
      <c r="W10" s="21">
        <f t="shared" si="6"/>
        <v>1913245.5935115945</v>
      </c>
      <c r="X10">
        <v>0</v>
      </c>
      <c r="Y10" s="18">
        <v>2017</v>
      </c>
      <c r="Z10" t="s">
        <v>387</v>
      </c>
      <c r="AA10" s="21">
        <f t="shared" si="7"/>
        <v>1</v>
      </c>
    </row>
    <row r="11" spans="1:27">
      <c r="A11" t="s">
        <v>247</v>
      </c>
      <c r="B11" s="18">
        <v>2034</v>
      </c>
      <c r="C11" t="s">
        <v>247</v>
      </c>
      <c r="D11" s="20" t="s">
        <v>405</v>
      </c>
      <c r="E11" s="20" t="s">
        <v>406</v>
      </c>
      <c r="F11" s="20" t="s">
        <v>253</v>
      </c>
      <c r="G11" s="20" t="s">
        <v>382</v>
      </c>
      <c r="H11" s="20" t="s">
        <v>384</v>
      </c>
      <c r="I11" s="29">
        <v>1</v>
      </c>
      <c r="J11" s="30">
        <v>1</v>
      </c>
      <c r="K11" s="31">
        <v>4.0000000000000001E-3</v>
      </c>
      <c r="L11" s="9">
        <v>609461350.02992702</v>
      </c>
      <c r="M11" s="9">
        <v>609455548.12077105</v>
      </c>
      <c r="N11" s="32">
        <f>MIN(MAX((B11-Calculation_Assumptions!$B$5+1)/Calculation_Assumptions!$B$7,0),1)</f>
        <v>1</v>
      </c>
      <c r="O11" s="21">
        <f t="shared" si="0"/>
        <v>609461350.02992702</v>
      </c>
      <c r="P11" s="21">
        <f t="shared" si="1"/>
        <v>609455548.12077105</v>
      </c>
      <c r="Q11" s="21">
        <f>P11*Calculation_Assumptions!$B$14*J11*K11</f>
        <v>0</v>
      </c>
      <c r="R11" s="21">
        <f t="shared" si="2"/>
        <v>2437845.4001197079</v>
      </c>
      <c r="S11" s="21">
        <f t="shared" si="3"/>
        <v>2437845.4001197079</v>
      </c>
      <c r="T11" s="32">
        <f>1/(1+Calculation_Assumptions!$B$8)^(B11-Calculation_Assumptions!$B$2)</f>
        <v>0.76641673234362695</v>
      </c>
      <c r="U11" s="21">
        <f t="shared" si="4"/>
        <v>0</v>
      </c>
      <c r="V11" s="21">
        <f t="shared" si="5"/>
        <v>1868405.5055186884</v>
      </c>
      <c r="W11" s="21">
        <f t="shared" si="6"/>
        <v>1868405.5055186884</v>
      </c>
      <c r="X11">
        <v>0</v>
      </c>
      <c r="Y11" s="18">
        <v>2017</v>
      </c>
      <c r="Z11" t="s">
        <v>387</v>
      </c>
      <c r="AA11" s="21">
        <f t="shared" si="7"/>
        <v>1</v>
      </c>
    </row>
    <row r="12" spans="1:27">
      <c r="A12" t="s">
        <v>247</v>
      </c>
      <c r="B12" s="18">
        <v>2035</v>
      </c>
      <c r="C12" t="s">
        <v>247</v>
      </c>
      <c r="D12" s="20" t="s">
        <v>405</v>
      </c>
      <c r="E12" s="20" t="s">
        <v>406</v>
      </c>
      <c r="F12" s="20" t="s">
        <v>253</v>
      </c>
      <c r="G12" s="20" t="s">
        <v>382</v>
      </c>
      <c r="H12" s="20" t="s">
        <v>384</v>
      </c>
      <c r="I12" s="29">
        <v>1</v>
      </c>
      <c r="J12" s="30">
        <v>1</v>
      </c>
      <c r="K12" s="31">
        <v>4.0000000000000001E-3</v>
      </c>
      <c r="L12" s="9">
        <v>612918131.47240603</v>
      </c>
      <c r="M12" s="9">
        <v>612884294.47334194</v>
      </c>
      <c r="N12" s="32">
        <f>MIN(MAX((B12-Calculation_Assumptions!$B$5+1)/Calculation_Assumptions!$B$7,0),1)</f>
        <v>1</v>
      </c>
      <c r="O12" s="21">
        <f t="shared" si="0"/>
        <v>612918131.47240603</v>
      </c>
      <c r="P12" s="21">
        <f t="shared" si="1"/>
        <v>612884294.47334194</v>
      </c>
      <c r="Q12" s="21">
        <f>P12*Calculation_Assumptions!$B$14*J12*K12</f>
        <v>0</v>
      </c>
      <c r="R12" s="21">
        <f t="shared" si="2"/>
        <v>2451672.5258896244</v>
      </c>
      <c r="S12" s="21">
        <f t="shared" si="3"/>
        <v>2451672.5258896244</v>
      </c>
      <c r="T12" s="32">
        <f>1/(1+Calculation_Assumptions!$B$8)^(B12-Calculation_Assumptions!$B$2)</f>
        <v>0.74409391489672516</v>
      </c>
      <c r="U12" s="21">
        <f t="shared" si="4"/>
        <v>0</v>
      </c>
      <c r="V12" s="21">
        <f t="shared" si="5"/>
        <v>1824274.6078339533</v>
      </c>
      <c r="W12" s="21">
        <f t="shared" si="6"/>
        <v>1824274.6078339533</v>
      </c>
      <c r="X12">
        <v>0</v>
      </c>
      <c r="Y12" s="18">
        <v>2017</v>
      </c>
      <c r="Z12" t="s">
        <v>387</v>
      </c>
      <c r="AA12" s="21">
        <f t="shared" si="7"/>
        <v>1</v>
      </c>
    </row>
    <row r="13" spans="1:27">
      <c r="A13" t="s">
        <v>247</v>
      </c>
      <c r="B13" s="18">
        <v>2036</v>
      </c>
      <c r="C13" t="s">
        <v>247</v>
      </c>
      <c r="D13" s="20" t="s">
        <v>405</v>
      </c>
      <c r="E13" s="20" t="s">
        <v>406</v>
      </c>
      <c r="F13" s="20" t="s">
        <v>253</v>
      </c>
      <c r="G13" s="20" t="s">
        <v>382</v>
      </c>
      <c r="H13" s="20" t="s">
        <v>384</v>
      </c>
      <c r="I13" s="29">
        <v>1</v>
      </c>
      <c r="J13" s="30">
        <v>1</v>
      </c>
      <c r="K13" s="31">
        <v>4.0000000000000001E-3</v>
      </c>
      <c r="L13" s="9">
        <v>616287566.08103204</v>
      </c>
      <c r="M13" s="9">
        <v>616262053.85817397</v>
      </c>
      <c r="N13" s="32">
        <f>MIN(MAX((B13-Calculation_Assumptions!$B$5+1)/Calculation_Assumptions!$B$7,0),1)</f>
        <v>1</v>
      </c>
      <c r="O13" s="21">
        <f t="shared" si="0"/>
        <v>616287566.08103204</v>
      </c>
      <c r="P13" s="21">
        <f t="shared" si="1"/>
        <v>616262053.85817397</v>
      </c>
      <c r="Q13" s="21">
        <f>P13*Calculation_Assumptions!$B$14*J13*K13</f>
        <v>0</v>
      </c>
      <c r="R13" s="21">
        <f t="shared" si="2"/>
        <v>2465150.2643241282</v>
      </c>
      <c r="S13" s="21">
        <f t="shared" si="3"/>
        <v>2465150.2643241282</v>
      </c>
      <c r="T13" s="32">
        <f>1/(1+Calculation_Assumptions!$B$8)^(B13-Calculation_Assumptions!$B$2)</f>
        <v>0.72242127659876232</v>
      </c>
      <c r="U13" s="21">
        <f t="shared" si="4"/>
        <v>0</v>
      </c>
      <c r="V13" s="21">
        <f t="shared" si="5"/>
        <v>1780877.0009608131</v>
      </c>
      <c r="W13" s="21">
        <f t="shared" si="6"/>
        <v>1780877.0009608131</v>
      </c>
      <c r="X13">
        <v>0</v>
      </c>
      <c r="Y13" s="18">
        <v>2017</v>
      </c>
      <c r="Z13" t="s">
        <v>387</v>
      </c>
      <c r="AA13" s="21">
        <f t="shared" si="7"/>
        <v>1</v>
      </c>
    </row>
    <row r="14" spans="1:27">
      <c r="A14" t="s">
        <v>247</v>
      </c>
      <c r="B14" s="18">
        <v>2037</v>
      </c>
      <c r="C14" t="s">
        <v>247</v>
      </c>
      <c r="D14" s="20" t="s">
        <v>405</v>
      </c>
      <c r="E14" s="20" t="s">
        <v>406</v>
      </c>
      <c r="F14" s="20" t="s">
        <v>253</v>
      </c>
      <c r="G14" s="20" t="s">
        <v>382</v>
      </c>
      <c r="H14" s="20" t="s">
        <v>384</v>
      </c>
      <c r="I14" s="29">
        <v>1</v>
      </c>
      <c r="J14" s="30">
        <v>1</v>
      </c>
      <c r="K14" s="31">
        <v>4.0000000000000001E-3</v>
      </c>
      <c r="L14" s="9">
        <v>619567519.20992601</v>
      </c>
      <c r="M14" s="9">
        <v>619529380.90729904</v>
      </c>
      <c r="N14" s="32">
        <f>MIN(MAX((B14-Calculation_Assumptions!$B$5+1)/Calculation_Assumptions!$B$7,0),1)</f>
        <v>1</v>
      </c>
      <c r="O14" s="21">
        <f t="shared" si="0"/>
        <v>619567519.20992601</v>
      </c>
      <c r="P14" s="21">
        <f t="shared" si="1"/>
        <v>619529380.90729904</v>
      </c>
      <c r="Q14" s="21">
        <f>P14*Calculation_Assumptions!$B$14*J14*K14</f>
        <v>0</v>
      </c>
      <c r="R14" s="21">
        <f t="shared" si="2"/>
        <v>2478270.0768397041</v>
      </c>
      <c r="S14" s="21">
        <f t="shared" si="3"/>
        <v>2478270.0768397041</v>
      </c>
      <c r="T14" s="32">
        <f>1/(1+Calculation_Assumptions!$B$8)^(B14-Calculation_Assumptions!$B$2)</f>
        <v>0.70137988019297326</v>
      </c>
      <c r="U14" s="21">
        <f t="shared" si="4"/>
        <v>0</v>
      </c>
      <c r="V14" s="21">
        <f t="shared" si="5"/>
        <v>1738208.7695796622</v>
      </c>
      <c r="W14" s="21">
        <f t="shared" si="6"/>
        <v>1738208.7695796622</v>
      </c>
      <c r="X14">
        <v>0</v>
      </c>
      <c r="Y14" s="18">
        <v>2017</v>
      </c>
      <c r="Z14" t="s">
        <v>387</v>
      </c>
      <c r="AA14" s="21">
        <f t="shared" si="7"/>
        <v>1</v>
      </c>
    </row>
    <row r="15" spans="1:27">
      <c r="A15" t="s">
        <v>247</v>
      </c>
      <c r="B15" s="18">
        <v>2038</v>
      </c>
      <c r="C15" t="s">
        <v>247</v>
      </c>
      <c r="D15" s="20" t="s">
        <v>405</v>
      </c>
      <c r="E15" s="20" t="s">
        <v>406</v>
      </c>
      <c r="F15" s="20" t="s">
        <v>253</v>
      </c>
      <c r="G15" s="20" t="s">
        <v>382</v>
      </c>
      <c r="H15" s="20" t="s">
        <v>384</v>
      </c>
      <c r="I15" s="29">
        <v>1</v>
      </c>
      <c r="J15" s="30">
        <v>1</v>
      </c>
      <c r="K15" s="31">
        <v>4.0000000000000001E-3</v>
      </c>
      <c r="L15" s="9">
        <v>622746703.91559601</v>
      </c>
      <c r="M15" s="9">
        <v>622673191.62836504</v>
      </c>
      <c r="N15" s="32">
        <f>MIN(MAX((B15-Calculation_Assumptions!$B$5+1)/Calculation_Assumptions!$B$7,0),1)</f>
        <v>1</v>
      </c>
      <c r="O15" s="21">
        <f t="shared" si="0"/>
        <v>622746703.91559601</v>
      </c>
      <c r="P15" s="21">
        <f t="shared" si="1"/>
        <v>622673191.62836504</v>
      </c>
      <c r="Q15" s="21">
        <f>P15*Calculation_Assumptions!$B$14*J15*K15</f>
        <v>0</v>
      </c>
      <c r="R15" s="21">
        <f t="shared" si="2"/>
        <v>2490986.815662384</v>
      </c>
      <c r="S15" s="21">
        <f t="shared" si="3"/>
        <v>2490986.815662384</v>
      </c>
      <c r="T15" s="32">
        <f>1/(1+Calculation_Assumptions!$B$8)^(B15-Calculation_Assumptions!$B$2)</f>
        <v>0.68095133999317792</v>
      </c>
      <c r="U15" s="21">
        <f t="shared" si="4"/>
        <v>0</v>
      </c>
      <c r="V15" s="21">
        <f t="shared" si="5"/>
        <v>1696240.8100306396</v>
      </c>
      <c r="W15" s="21">
        <f t="shared" si="6"/>
        <v>1696240.8100306396</v>
      </c>
      <c r="X15">
        <v>0</v>
      </c>
      <c r="Y15" s="18">
        <v>2017</v>
      </c>
      <c r="Z15" t="s">
        <v>387</v>
      </c>
      <c r="AA15" s="21">
        <f t="shared" si="7"/>
        <v>1</v>
      </c>
    </row>
    <row r="16" spans="1:27">
      <c r="A16" t="s">
        <v>247</v>
      </c>
      <c r="B16" s="18">
        <v>2039</v>
      </c>
      <c r="C16" t="s">
        <v>247</v>
      </c>
      <c r="D16" s="20" t="s">
        <v>405</v>
      </c>
      <c r="E16" s="20" t="s">
        <v>406</v>
      </c>
      <c r="F16" s="20" t="s">
        <v>253</v>
      </c>
      <c r="G16" s="20" t="s">
        <v>382</v>
      </c>
      <c r="H16" s="20" t="s">
        <v>384</v>
      </c>
      <c r="I16" s="29">
        <v>1</v>
      </c>
      <c r="J16" s="30">
        <v>1</v>
      </c>
      <c r="K16" s="31">
        <v>4.0000000000000001E-3</v>
      </c>
      <c r="L16" s="9">
        <v>625822165.43891394</v>
      </c>
      <c r="M16" s="9">
        <v>625731758.218045</v>
      </c>
      <c r="N16" s="32">
        <f>MIN(MAX((B16-Calculation_Assumptions!$B$5+1)/Calculation_Assumptions!$B$7,0),1)</f>
        <v>1</v>
      </c>
      <c r="O16" s="21">
        <f t="shared" si="0"/>
        <v>625822165.43891394</v>
      </c>
      <c r="P16" s="21">
        <f t="shared" si="1"/>
        <v>625731758.218045</v>
      </c>
      <c r="Q16" s="21">
        <f>P16*Calculation_Assumptions!$B$14*J16*K16</f>
        <v>0</v>
      </c>
      <c r="R16" s="21">
        <f t="shared" si="2"/>
        <v>2503288.6617556559</v>
      </c>
      <c r="S16" s="21">
        <f t="shared" si="3"/>
        <v>2503288.6617556559</v>
      </c>
      <c r="T16" s="32">
        <f>1/(1+Calculation_Assumptions!$B$8)^(B16-Calculation_Assumptions!$B$2)</f>
        <v>0.66111780581861923</v>
      </c>
      <c r="U16" s="21">
        <f t="shared" si="4"/>
        <v>0</v>
      </c>
      <c r="V16" s="21">
        <f t="shared" si="5"/>
        <v>1654968.707390527</v>
      </c>
      <c r="W16" s="21">
        <f t="shared" si="6"/>
        <v>1654968.707390527</v>
      </c>
      <c r="X16">
        <v>0</v>
      </c>
      <c r="Y16" s="18">
        <v>2017</v>
      </c>
      <c r="Z16" t="s">
        <v>387</v>
      </c>
      <c r="AA16" s="21">
        <f t="shared" si="7"/>
        <v>1</v>
      </c>
    </row>
    <row r="17" spans="1:27">
      <c r="A17" t="s">
        <v>247</v>
      </c>
      <c r="B17" s="18">
        <v>2040</v>
      </c>
      <c r="C17" t="s">
        <v>247</v>
      </c>
      <c r="D17" s="20" t="s">
        <v>405</v>
      </c>
      <c r="E17" s="20" t="s">
        <v>406</v>
      </c>
      <c r="F17" s="20" t="s">
        <v>253</v>
      </c>
      <c r="G17" s="20" t="s">
        <v>382</v>
      </c>
      <c r="H17" s="20" t="s">
        <v>384</v>
      </c>
      <c r="I17" s="29">
        <v>1</v>
      </c>
      <c r="J17" s="30">
        <v>1</v>
      </c>
      <c r="K17" s="31">
        <v>4.0000000000000001E-3</v>
      </c>
      <c r="L17" s="9">
        <v>628776623.73631096</v>
      </c>
      <c r="M17" s="9">
        <v>628667498.21665299</v>
      </c>
      <c r="N17" s="32">
        <f>MIN(MAX((B17-Calculation_Assumptions!$B$5+1)/Calculation_Assumptions!$B$7,0),1)</f>
        <v>1</v>
      </c>
      <c r="O17" s="21">
        <f t="shared" si="0"/>
        <v>628776623.73631096</v>
      </c>
      <c r="P17" s="21">
        <f t="shared" si="1"/>
        <v>628667498.21665299</v>
      </c>
      <c r="Q17" s="21">
        <f>P17*Calculation_Assumptions!$B$14*J17*K17</f>
        <v>0</v>
      </c>
      <c r="R17" s="21">
        <f t="shared" si="2"/>
        <v>2515106.4949452439</v>
      </c>
      <c r="S17" s="21">
        <f t="shared" si="3"/>
        <v>2515106.4949452439</v>
      </c>
      <c r="T17" s="32">
        <f>1/(1+Calculation_Assumptions!$B$8)^(B17-Calculation_Assumptions!$B$2)</f>
        <v>0.64186194739671765</v>
      </c>
      <c r="U17" s="21">
        <f t="shared" si="4"/>
        <v>0</v>
      </c>
      <c r="V17" s="21">
        <f t="shared" si="5"/>
        <v>1614351.152755687</v>
      </c>
      <c r="W17" s="21">
        <f t="shared" si="6"/>
        <v>1614351.152755687</v>
      </c>
      <c r="X17">
        <v>0</v>
      </c>
      <c r="Y17" s="18">
        <v>2017</v>
      </c>
      <c r="Z17" t="s">
        <v>387</v>
      </c>
      <c r="AA17" s="21">
        <f t="shared" si="7"/>
        <v>1</v>
      </c>
    </row>
    <row r="18" spans="1:27">
      <c r="A18" t="s">
        <v>247</v>
      </c>
      <c r="B18" s="18">
        <v>2041</v>
      </c>
      <c r="C18" t="s">
        <v>247</v>
      </c>
      <c r="D18" s="20" t="s">
        <v>405</v>
      </c>
      <c r="E18" s="20" t="s">
        <v>406</v>
      </c>
      <c r="F18" s="20" t="s">
        <v>253</v>
      </c>
      <c r="G18" s="20" t="s">
        <v>382</v>
      </c>
      <c r="H18" s="20" t="s">
        <v>384</v>
      </c>
      <c r="I18" s="29">
        <v>1</v>
      </c>
      <c r="J18" s="30">
        <v>1</v>
      </c>
      <c r="K18" s="31">
        <v>4.0000000000000001E-3</v>
      </c>
      <c r="L18" s="9">
        <v>631618030.99252295</v>
      </c>
      <c r="M18" s="9">
        <v>631488405.68781996</v>
      </c>
      <c r="N18" s="32">
        <f>MIN(MAX((B18-Calculation_Assumptions!$B$5+1)/Calculation_Assumptions!$B$7,0),1)</f>
        <v>1</v>
      </c>
      <c r="O18" s="21">
        <f t="shared" si="0"/>
        <v>631618030.99252295</v>
      </c>
      <c r="P18" s="21">
        <f t="shared" si="1"/>
        <v>631488405.68781996</v>
      </c>
      <c r="Q18" s="21">
        <f>P18*Calculation_Assumptions!$B$14*J18*K18</f>
        <v>0</v>
      </c>
      <c r="R18" s="21">
        <f t="shared" si="2"/>
        <v>2526472.1239700918</v>
      </c>
      <c r="S18" s="21">
        <f t="shared" si="3"/>
        <v>2526472.1239700918</v>
      </c>
      <c r="T18" s="32">
        <f>1/(1+Calculation_Assumptions!$B$8)^(B18-Calculation_Assumptions!$B$2)</f>
        <v>0.62316693922011435</v>
      </c>
      <c r="U18" s="21">
        <f t="shared" si="4"/>
        <v>0</v>
      </c>
      <c r="V18" s="21">
        <f t="shared" si="5"/>
        <v>1574413.9005193834</v>
      </c>
      <c r="W18" s="21">
        <f t="shared" si="6"/>
        <v>1574413.9005193834</v>
      </c>
      <c r="X18">
        <v>0</v>
      </c>
      <c r="Y18" s="18">
        <v>2017</v>
      </c>
      <c r="Z18" t="s">
        <v>387</v>
      </c>
      <c r="AA18" s="21">
        <f t="shared" si="7"/>
        <v>1</v>
      </c>
    </row>
    <row r="19" spans="1:27">
      <c r="A19" t="s">
        <v>247</v>
      </c>
      <c r="B19" s="18">
        <v>2042</v>
      </c>
      <c r="C19" t="s">
        <v>247</v>
      </c>
      <c r="D19" s="20" t="s">
        <v>405</v>
      </c>
      <c r="E19" s="20" t="s">
        <v>406</v>
      </c>
      <c r="F19" s="20" t="s">
        <v>253</v>
      </c>
      <c r="G19" s="20" t="s">
        <v>382</v>
      </c>
      <c r="H19" s="20" t="s">
        <v>384</v>
      </c>
      <c r="I19" s="29">
        <v>1</v>
      </c>
      <c r="J19" s="30">
        <v>1</v>
      </c>
      <c r="K19" s="31">
        <v>4.0000000000000001E-3</v>
      </c>
      <c r="L19" s="9">
        <v>634336424.61443496</v>
      </c>
      <c r="M19" s="9">
        <v>634184560.98858297</v>
      </c>
      <c r="N19" s="32">
        <f>MIN(MAX((B19-Calculation_Assumptions!$B$5+1)/Calculation_Assumptions!$B$7,0),1)</f>
        <v>1</v>
      </c>
      <c r="O19" s="21">
        <f t="shared" si="0"/>
        <v>634336424.61443496</v>
      </c>
      <c r="P19" s="21">
        <f t="shared" si="1"/>
        <v>634184560.98858297</v>
      </c>
      <c r="Q19" s="21">
        <f>P19*Calculation_Assumptions!$B$14*J19*K19</f>
        <v>0</v>
      </c>
      <c r="R19" s="21">
        <f t="shared" si="2"/>
        <v>2537345.6984577398</v>
      </c>
      <c r="S19" s="21">
        <f t="shared" si="3"/>
        <v>2537345.6984577398</v>
      </c>
      <c r="T19" s="32">
        <f>1/(1+Calculation_Assumptions!$B$8)^(B19-Calculation_Assumptions!$B$2)</f>
        <v>0.60501644584477121</v>
      </c>
      <c r="U19" s="21">
        <f t="shared" si="4"/>
        <v>0</v>
      </c>
      <c r="V19" s="21">
        <f t="shared" si="5"/>
        <v>1535135.8763604204</v>
      </c>
      <c r="W19" s="21">
        <f t="shared" si="6"/>
        <v>1535135.8763604204</v>
      </c>
      <c r="X19">
        <v>0</v>
      </c>
      <c r="Y19" s="18">
        <v>2017</v>
      </c>
      <c r="Z19" t="s">
        <v>387</v>
      </c>
      <c r="AA19" s="21">
        <f t="shared" si="7"/>
        <v>1</v>
      </c>
    </row>
    <row r="20" spans="1:27">
      <c r="A20" t="s">
        <v>247</v>
      </c>
      <c r="B20" s="18">
        <v>2043</v>
      </c>
      <c r="C20" t="s">
        <v>247</v>
      </c>
      <c r="D20" s="20" t="s">
        <v>405</v>
      </c>
      <c r="E20" s="20" t="s">
        <v>406</v>
      </c>
      <c r="F20" s="20" t="s">
        <v>253</v>
      </c>
      <c r="G20" s="20" t="s">
        <v>382</v>
      </c>
      <c r="H20" s="20" t="s">
        <v>384</v>
      </c>
      <c r="I20" s="29">
        <v>1</v>
      </c>
      <c r="J20" s="30">
        <v>1</v>
      </c>
      <c r="K20" s="31">
        <v>4.0000000000000001E-3</v>
      </c>
      <c r="L20" s="9">
        <v>636943138.72416604</v>
      </c>
      <c r="M20" s="9">
        <v>636767020.67603099</v>
      </c>
      <c r="N20" s="32">
        <f>MIN(MAX((B20-Calculation_Assumptions!$B$5+1)/Calculation_Assumptions!$B$7,0),1)</f>
        <v>1</v>
      </c>
      <c r="O20" s="21">
        <f t="shared" si="0"/>
        <v>636943138.72416604</v>
      </c>
      <c r="P20" s="21">
        <f t="shared" si="1"/>
        <v>636767020.67603099</v>
      </c>
      <c r="Q20" s="21">
        <f>P20*Calculation_Assumptions!$B$14*J20*K20</f>
        <v>0</v>
      </c>
      <c r="R20" s="21">
        <f t="shared" si="2"/>
        <v>2547772.5548966643</v>
      </c>
      <c r="S20" s="21">
        <f t="shared" si="3"/>
        <v>2547772.5548966643</v>
      </c>
      <c r="T20" s="32">
        <f>1/(1+Calculation_Assumptions!$B$8)^(B20-Calculation_Assumptions!$B$2)</f>
        <v>0.5873946076162827</v>
      </c>
      <c r="U20" s="21">
        <f t="shared" si="4"/>
        <v>0</v>
      </c>
      <c r="V20" s="21">
        <f t="shared" si="5"/>
        <v>1496547.8601790601</v>
      </c>
      <c r="W20" s="21">
        <f t="shared" si="6"/>
        <v>1496547.8601790601</v>
      </c>
      <c r="X20">
        <v>0</v>
      </c>
      <c r="Y20" s="18">
        <v>2017</v>
      </c>
      <c r="Z20" t="s">
        <v>387</v>
      </c>
      <c r="AA20" s="21">
        <f t="shared" si="7"/>
        <v>1</v>
      </c>
    </row>
    <row r="21" spans="1:27">
      <c r="A21" t="s">
        <v>247</v>
      </c>
      <c r="B21" s="18">
        <v>2044</v>
      </c>
      <c r="C21" t="s">
        <v>247</v>
      </c>
      <c r="D21" s="20" t="s">
        <v>405</v>
      </c>
      <c r="E21" s="20" t="s">
        <v>406</v>
      </c>
      <c r="F21" s="20" t="s">
        <v>253</v>
      </c>
      <c r="G21" s="20" t="s">
        <v>382</v>
      </c>
      <c r="H21" s="20" t="s">
        <v>384</v>
      </c>
      <c r="I21" s="29">
        <v>1</v>
      </c>
      <c r="J21" s="30">
        <v>1</v>
      </c>
      <c r="K21" s="31">
        <v>4.0000000000000001E-3</v>
      </c>
      <c r="L21" s="9">
        <v>639413256.98073304</v>
      </c>
      <c r="M21" s="9">
        <v>639211548.58069301</v>
      </c>
      <c r="N21" s="32">
        <f>MIN(MAX((B21-Calculation_Assumptions!$B$5+1)/Calculation_Assumptions!$B$7,0),1)</f>
        <v>1</v>
      </c>
      <c r="O21" s="21">
        <f t="shared" si="0"/>
        <v>639413256.98073304</v>
      </c>
      <c r="P21" s="21">
        <f t="shared" si="1"/>
        <v>639211548.58069301</v>
      </c>
      <c r="Q21" s="21">
        <f>P21*Calculation_Assumptions!$B$14*J21*K21</f>
        <v>0</v>
      </c>
      <c r="R21" s="21">
        <f t="shared" si="2"/>
        <v>2557653.0279229321</v>
      </c>
      <c r="S21" s="21">
        <f t="shared" si="3"/>
        <v>2557653.0279229321</v>
      </c>
      <c r="T21" s="32">
        <f>1/(1+Calculation_Assumptions!$B$8)^(B21-Calculation_Assumptions!$B$2)</f>
        <v>0.57028602681192497</v>
      </c>
      <c r="U21" s="21">
        <f t="shared" si="4"/>
        <v>0</v>
      </c>
      <c r="V21" s="21">
        <f t="shared" si="5"/>
        <v>1458593.7832576584</v>
      </c>
      <c r="W21" s="21">
        <f t="shared" si="6"/>
        <v>1458593.7832576584</v>
      </c>
      <c r="X21">
        <v>0</v>
      </c>
      <c r="Y21" s="18">
        <v>2017</v>
      </c>
      <c r="Z21" t="s">
        <v>387</v>
      </c>
      <c r="AA21" s="21">
        <f t="shared" si="7"/>
        <v>1</v>
      </c>
    </row>
    <row r="22" spans="1:27">
      <c r="A22" t="s">
        <v>247</v>
      </c>
      <c r="B22" s="18">
        <v>2045</v>
      </c>
      <c r="C22" t="s">
        <v>247</v>
      </c>
      <c r="D22" s="20" t="s">
        <v>405</v>
      </c>
      <c r="E22" s="20" t="s">
        <v>406</v>
      </c>
      <c r="F22" s="20" t="s">
        <v>253</v>
      </c>
      <c r="G22" s="20" t="s">
        <v>382</v>
      </c>
      <c r="H22" s="20" t="s">
        <v>384</v>
      </c>
      <c r="I22" s="29">
        <v>1</v>
      </c>
      <c r="J22" s="30">
        <v>1</v>
      </c>
      <c r="K22" s="31">
        <v>4.0000000000000001E-3</v>
      </c>
      <c r="L22" s="9">
        <v>641749576.49863696</v>
      </c>
      <c r="M22" s="9">
        <v>641520754.67294204</v>
      </c>
      <c r="N22" s="32">
        <f>MIN(MAX((B22-Calculation_Assumptions!$B$5+1)/Calculation_Assumptions!$B$7,0),1)</f>
        <v>1</v>
      </c>
      <c r="O22" s="21">
        <f t="shared" si="0"/>
        <v>641749576.49863696</v>
      </c>
      <c r="P22" s="21">
        <f t="shared" si="1"/>
        <v>641520754.67294204</v>
      </c>
      <c r="Q22" s="21">
        <f>P22*Calculation_Assumptions!$B$14*J22*K22</f>
        <v>0</v>
      </c>
      <c r="R22" s="21">
        <f t="shared" si="2"/>
        <v>2566998.3059945479</v>
      </c>
      <c r="S22" s="21">
        <f t="shared" si="3"/>
        <v>2566998.3059945479</v>
      </c>
      <c r="T22" s="32">
        <f>1/(1+Calculation_Assumptions!$B$8)^(B22-Calculation_Assumptions!$B$2)</f>
        <v>0.55367575418633497</v>
      </c>
      <c r="U22" s="21">
        <f t="shared" si="4"/>
        <v>0</v>
      </c>
      <c r="V22" s="21">
        <f t="shared" si="5"/>
        <v>1421284.7230665756</v>
      </c>
      <c r="W22" s="21">
        <f t="shared" si="6"/>
        <v>1421284.7230665756</v>
      </c>
      <c r="X22">
        <v>0</v>
      </c>
      <c r="Y22" s="18">
        <v>2017</v>
      </c>
      <c r="Z22" t="s">
        <v>387</v>
      </c>
      <c r="AA22" s="21">
        <f t="shared" si="7"/>
        <v>1</v>
      </c>
    </row>
    <row r="23" spans="1:27">
      <c r="A23" t="s">
        <v>247</v>
      </c>
      <c r="B23" s="18">
        <v>2046</v>
      </c>
      <c r="C23" t="s">
        <v>247</v>
      </c>
      <c r="D23" s="20" t="s">
        <v>405</v>
      </c>
      <c r="E23" s="20" t="s">
        <v>406</v>
      </c>
      <c r="F23" s="20" t="s">
        <v>253</v>
      </c>
      <c r="G23" s="20" t="s">
        <v>382</v>
      </c>
      <c r="H23" s="20" t="s">
        <v>384</v>
      </c>
      <c r="I23" s="29">
        <v>1</v>
      </c>
      <c r="J23" s="30">
        <v>1</v>
      </c>
      <c r="K23" s="31">
        <v>4.0000000000000001E-3</v>
      </c>
      <c r="L23" s="9">
        <v>643928003.03039503</v>
      </c>
      <c r="M23" s="9">
        <v>643697330.762573</v>
      </c>
      <c r="N23" s="32">
        <f>MIN(MAX((B23-Calculation_Assumptions!$B$5+1)/Calculation_Assumptions!$B$7,0),1)</f>
        <v>1</v>
      </c>
      <c r="O23" s="21">
        <f t="shared" si="0"/>
        <v>643928003.03039503</v>
      </c>
      <c r="P23" s="21">
        <f t="shared" si="1"/>
        <v>643697330.762573</v>
      </c>
      <c r="Q23" s="21">
        <f>P23*Calculation_Assumptions!$B$14*J23*K23</f>
        <v>0</v>
      </c>
      <c r="R23" s="21">
        <f t="shared" si="2"/>
        <v>2575712.0121215801</v>
      </c>
      <c r="S23" s="21">
        <f t="shared" si="3"/>
        <v>2575712.0121215801</v>
      </c>
      <c r="T23" s="32">
        <f>1/(1+Calculation_Assumptions!$B$8)^(B23-Calculation_Assumptions!$B$2)</f>
        <v>0.5375492759090631</v>
      </c>
      <c r="U23" s="21">
        <f t="shared" si="4"/>
        <v>0</v>
      </c>
      <c r="V23" s="21">
        <f t="shared" si="5"/>
        <v>1384572.1270662313</v>
      </c>
      <c r="W23" s="21">
        <f t="shared" si="6"/>
        <v>1384572.1270662313</v>
      </c>
      <c r="X23">
        <v>0</v>
      </c>
      <c r="Y23" s="18">
        <v>2017</v>
      </c>
      <c r="Z23" t="s">
        <v>387</v>
      </c>
      <c r="AA23" s="21">
        <f t="shared" si="7"/>
        <v>1</v>
      </c>
    </row>
    <row r="24" spans="1:27">
      <c r="A24" t="s">
        <v>247</v>
      </c>
      <c r="B24" s="18">
        <v>2047</v>
      </c>
      <c r="C24" t="s">
        <v>247</v>
      </c>
      <c r="D24" s="20" t="s">
        <v>405</v>
      </c>
      <c r="E24" s="20" t="s">
        <v>406</v>
      </c>
      <c r="F24" s="20" t="s">
        <v>253</v>
      </c>
      <c r="G24" s="20" t="s">
        <v>382</v>
      </c>
      <c r="H24" s="20" t="s">
        <v>384</v>
      </c>
      <c r="I24" s="29">
        <v>1</v>
      </c>
      <c r="J24" s="30">
        <v>1</v>
      </c>
      <c r="K24" s="31">
        <v>4.0000000000000001E-3</v>
      </c>
      <c r="L24" s="9">
        <v>646003694.73092198</v>
      </c>
      <c r="M24" s="9">
        <v>645745914.53009498</v>
      </c>
      <c r="N24" s="32">
        <f>MIN(MAX((B24-Calculation_Assumptions!$B$5+1)/Calculation_Assumptions!$B$7,0),1)</f>
        <v>1</v>
      </c>
      <c r="O24" s="21">
        <f t="shared" si="0"/>
        <v>646003694.73092198</v>
      </c>
      <c r="P24" s="21">
        <f t="shared" si="1"/>
        <v>645745914.53009498</v>
      </c>
      <c r="Q24" s="21">
        <f>P24*Calculation_Assumptions!$B$14*J24*K24</f>
        <v>0</v>
      </c>
      <c r="R24" s="21">
        <f t="shared" si="2"/>
        <v>2584014.778923688</v>
      </c>
      <c r="S24" s="21">
        <f t="shared" si="3"/>
        <v>2584014.778923688</v>
      </c>
      <c r="T24" s="32">
        <f>1/(1+Calculation_Assumptions!$B$8)^(B24-Calculation_Assumptions!$B$2)</f>
        <v>0.52189250088258554</v>
      </c>
      <c r="U24" s="21">
        <f t="shared" si="4"/>
        <v>0</v>
      </c>
      <c r="V24" s="21">
        <f t="shared" si="5"/>
        <v>1348577.9352900449</v>
      </c>
      <c r="W24" s="21">
        <f t="shared" si="6"/>
        <v>1348577.9352900449</v>
      </c>
      <c r="X24">
        <v>0</v>
      </c>
      <c r="Y24" s="18">
        <v>2017</v>
      </c>
      <c r="Z24" t="s">
        <v>387</v>
      </c>
      <c r="AA24" s="21">
        <f t="shared" si="7"/>
        <v>1</v>
      </c>
    </row>
    <row r="25" spans="1:27">
      <c r="A25" t="s">
        <v>247</v>
      </c>
      <c r="B25" s="18">
        <v>2048</v>
      </c>
      <c r="C25" t="s">
        <v>247</v>
      </c>
      <c r="D25" s="20" t="s">
        <v>405</v>
      </c>
      <c r="E25" s="20" t="s">
        <v>406</v>
      </c>
      <c r="F25" s="20" t="s">
        <v>253</v>
      </c>
      <c r="G25" s="20" t="s">
        <v>382</v>
      </c>
      <c r="H25" s="20" t="s">
        <v>384</v>
      </c>
      <c r="I25" s="29">
        <v>1</v>
      </c>
      <c r="J25" s="30">
        <v>1</v>
      </c>
      <c r="K25" s="31">
        <v>4.0000000000000001E-3</v>
      </c>
      <c r="L25" s="9">
        <v>647952113.36404002</v>
      </c>
      <c r="M25" s="9">
        <v>647666796.64810395</v>
      </c>
      <c r="N25" s="32">
        <f>MIN(MAX((B25-Calculation_Assumptions!$B$5+1)/Calculation_Assumptions!$B$7,0),1)</f>
        <v>1</v>
      </c>
      <c r="O25" s="21">
        <f t="shared" si="0"/>
        <v>647952113.36404002</v>
      </c>
      <c r="P25" s="21">
        <f t="shared" si="1"/>
        <v>647666796.64810395</v>
      </c>
      <c r="Q25" s="21">
        <f>P25*Calculation_Assumptions!$B$14*J25*K25</f>
        <v>0</v>
      </c>
      <c r="R25" s="21">
        <f t="shared" si="2"/>
        <v>2591808.4534561601</v>
      </c>
      <c r="S25" s="21">
        <f t="shared" si="3"/>
        <v>2591808.4534561601</v>
      </c>
      <c r="T25" s="32">
        <f>1/(1+Calculation_Assumptions!$B$8)^(B25-Calculation_Assumptions!$B$2)</f>
        <v>0.50669174842969467</v>
      </c>
      <c r="U25" s="21">
        <f t="shared" si="4"/>
        <v>0</v>
      </c>
      <c r="V25" s="21">
        <f t="shared" si="5"/>
        <v>1313247.9568765648</v>
      </c>
      <c r="W25" s="21">
        <f t="shared" si="6"/>
        <v>1313247.9568765648</v>
      </c>
      <c r="X25">
        <v>0</v>
      </c>
      <c r="Y25" s="18">
        <v>2017</v>
      </c>
      <c r="Z25" t="s">
        <v>387</v>
      </c>
      <c r="AA25" s="21">
        <f t="shared" si="7"/>
        <v>1</v>
      </c>
    </row>
    <row r="26" spans="1:27">
      <c r="A26" t="s">
        <v>247</v>
      </c>
      <c r="B26" s="18">
        <v>2049</v>
      </c>
      <c r="C26" t="s">
        <v>247</v>
      </c>
      <c r="D26" s="20" t="s">
        <v>405</v>
      </c>
      <c r="E26" s="20" t="s">
        <v>406</v>
      </c>
      <c r="F26" s="20" t="s">
        <v>253</v>
      </c>
      <c r="G26" s="20" t="s">
        <v>382</v>
      </c>
      <c r="H26" s="20" t="s">
        <v>384</v>
      </c>
      <c r="I26" s="29">
        <v>1</v>
      </c>
      <c r="J26" s="30">
        <v>1</v>
      </c>
      <c r="K26" s="31">
        <v>4.0000000000000001E-3</v>
      </c>
      <c r="L26" s="9">
        <v>649771573.64493096</v>
      </c>
      <c r="M26" s="9">
        <v>649421968.02473402</v>
      </c>
      <c r="N26" s="32">
        <f>MIN(MAX((B26-Calculation_Assumptions!$B$5+1)/Calculation_Assumptions!$B$7,0),1)</f>
        <v>1</v>
      </c>
      <c r="O26" s="21">
        <f t="shared" si="0"/>
        <v>649771573.64493096</v>
      </c>
      <c r="P26" s="21">
        <f t="shared" si="1"/>
        <v>649421968.02473402</v>
      </c>
      <c r="Q26" s="21">
        <f>P26*Calculation_Assumptions!$B$14*J26*K26</f>
        <v>0</v>
      </c>
      <c r="R26" s="21">
        <f t="shared" si="2"/>
        <v>2599086.2945797238</v>
      </c>
      <c r="S26" s="21">
        <f t="shared" si="3"/>
        <v>2599086.2945797238</v>
      </c>
      <c r="T26" s="32">
        <f>1/(1+Calculation_Assumptions!$B$8)^(B26-Calculation_Assumptions!$B$2)</f>
        <v>0.49193373633950943</v>
      </c>
      <c r="U26" s="21">
        <f t="shared" si="4"/>
        <v>0</v>
      </c>
      <c r="V26" s="21">
        <f t="shared" si="5"/>
        <v>1278578.2319614145</v>
      </c>
      <c r="W26" s="21">
        <f t="shared" si="6"/>
        <v>1278578.2319614145</v>
      </c>
      <c r="X26">
        <v>0</v>
      </c>
      <c r="Y26" s="18">
        <v>2017</v>
      </c>
      <c r="Z26" t="s">
        <v>387</v>
      </c>
      <c r="AA26" s="21">
        <f t="shared" si="7"/>
        <v>1</v>
      </c>
    </row>
    <row r="27" spans="1:27">
      <c r="A27" t="s">
        <v>247</v>
      </c>
      <c r="B27" s="18">
        <v>2050</v>
      </c>
      <c r="C27" t="s">
        <v>247</v>
      </c>
      <c r="D27" s="20" t="s">
        <v>405</v>
      </c>
      <c r="E27" s="20" t="s">
        <v>406</v>
      </c>
      <c r="F27" s="20" t="s">
        <v>253</v>
      </c>
      <c r="G27" s="20" t="s">
        <v>382</v>
      </c>
      <c r="H27" s="20" t="s">
        <v>384</v>
      </c>
      <c r="I27" s="29">
        <v>1</v>
      </c>
      <c r="J27" s="30">
        <v>1</v>
      </c>
      <c r="K27" s="31">
        <v>4.0000000000000001E-3</v>
      </c>
      <c r="L27" s="9">
        <v>651457111.59992695</v>
      </c>
      <c r="M27" s="9">
        <v>651074457.25957894</v>
      </c>
      <c r="N27" s="32">
        <f>MIN(MAX((B27-Calculation_Assumptions!$B$5+1)/Calculation_Assumptions!$B$7,0),1)</f>
        <v>1</v>
      </c>
      <c r="O27" s="21">
        <f t="shared" si="0"/>
        <v>651457111.59992695</v>
      </c>
      <c r="P27" s="21">
        <f t="shared" si="1"/>
        <v>651074457.25957894</v>
      </c>
      <c r="Q27" s="21">
        <f>P27*Calculation_Assumptions!$B$14*J27*K27</f>
        <v>0</v>
      </c>
      <c r="R27" s="21">
        <f t="shared" si="2"/>
        <v>2605828.4463997078</v>
      </c>
      <c r="S27" s="21">
        <f t="shared" si="3"/>
        <v>2605828.4463997078</v>
      </c>
      <c r="T27" s="32">
        <f>1/(1+Calculation_Assumptions!$B$8)^(B27-Calculation_Assumptions!$B$2)</f>
        <v>0.47760556926165965</v>
      </c>
      <c r="U27" s="21">
        <f t="shared" si="4"/>
        <v>0</v>
      </c>
      <c r="V27" s="21">
        <f t="shared" si="5"/>
        <v>1244558.1785409586</v>
      </c>
      <c r="W27" s="21">
        <f t="shared" si="6"/>
        <v>1244558.1785409586</v>
      </c>
      <c r="X27">
        <v>0</v>
      </c>
      <c r="Y27" s="18">
        <v>2017</v>
      </c>
      <c r="Z27" t="s">
        <v>387</v>
      </c>
      <c r="AA27" s="21">
        <f t="shared" si="7"/>
        <v>1</v>
      </c>
    </row>
    <row r="28" spans="1:27">
      <c r="A28" t="s">
        <v>192</v>
      </c>
      <c r="B28" s="18">
        <v>2025</v>
      </c>
      <c r="C28" t="s">
        <v>192</v>
      </c>
      <c r="D28" s="20" t="s">
        <v>389</v>
      </c>
      <c r="E28" s="20" t="s">
        <v>390</v>
      </c>
      <c r="F28" s="20" t="s">
        <v>195</v>
      </c>
      <c r="G28" s="20" t="s">
        <v>382</v>
      </c>
      <c r="H28" s="20" t="s">
        <v>384</v>
      </c>
      <c r="I28" s="29">
        <v>1</v>
      </c>
      <c r="J28" s="30">
        <v>1</v>
      </c>
      <c r="K28" s="31">
        <v>4.0000000000000001E-3</v>
      </c>
      <c r="L28" s="9">
        <v>575134853.59312999</v>
      </c>
      <c r="M28" s="9">
        <v>575134853.59312999</v>
      </c>
      <c r="N28" s="32">
        <f>MIN(MAX((B28-Calculation_Assumptions!$B$5+1)/Calculation_Assumptions!$B$7,0),1)</f>
        <v>0</v>
      </c>
      <c r="O28" s="21">
        <f t="shared" si="0"/>
        <v>575134853.59312999</v>
      </c>
      <c r="P28" s="21">
        <f t="shared" si="1"/>
        <v>575134853.59312999</v>
      </c>
      <c r="Q28" s="21">
        <f>P28*Calculation_Assumptions!$B$14*J28*K28</f>
        <v>0</v>
      </c>
      <c r="R28" s="21">
        <f t="shared" si="2"/>
        <v>0</v>
      </c>
      <c r="S28" s="21">
        <f t="shared" si="3"/>
        <v>0</v>
      </c>
      <c r="T28" s="32">
        <f>1/(1+Calculation_Assumptions!$B$8)^(B28-Calculation_Assumptions!$B$2)</f>
        <v>1</v>
      </c>
      <c r="U28" s="21">
        <f t="shared" si="4"/>
        <v>0</v>
      </c>
      <c r="V28" s="21">
        <f t="shared" si="5"/>
        <v>0</v>
      </c>
      <c r="W28" s="21">
        <f t="shared" si="6"/>
        <v>0</v>
      </c>
      <c r="X28">
        <v>0</v>
      </c>
      <c r="Y28" s="18">
        <v>2017</v>
      </c>
      <c r="Z28" t="s">
        <v>387</v>
      </c>
      <c r="AA28" s="21">
        <f t="shared" si="7"/>
        <v>1</v>
      </c>
    </row>
    <row r="29" spans="1:27">
      <c r="A29" t="s">
        <v>192</v>
      </c>
      <c r="B29" s="18">
        <v>2026</v>
      </c>
      <c r="C29" t="s">
        <v>192</v>
      </c>
      <c r="D29" s="20" t="s">
        <v>389</v>
      </c>
      <c r="E29" s="20" t="s">
        <v>390</v>
      </c>
      <c r="F29" s="20" t="s">
        <v>195</v>
      </c>
      <c r="G29" s="20" t="s">
        <v>382</v>
      </c>
      <c r="H29" s="20" t="s">
        <v>384</v>
      </c>
      <c r="I29" s="29">
        <v>1</v>
      </c>
      <c r="J29" s="30">
        <v>1</v>
      </c>
      <c r="K29" s="31">
        <v>4.0000000000000001E-3</v>
      </c>
      <c r="L29" s="9">
        <v>579268647.32329595</v>
      </c>
      <c r="M29" s="9">
        <v>579268647.32329595</v>
      </c>
      <c r="N29" s="32">
        <f>MIN(MAX((B29-Calculation_Assumptions!$B$5+1)/Calculation_Assumptions!$B$7,0),1)</f>
        <v>0.33333333333333331</v>
      </c>
      <c r="O29" s="21">
        <f t="shared" si="0"/>
        <v>579268647.32329595</v>
      </c>
      <c r="P29" s="21">
        <f t="shared" si="1"/>
        <v>579268647.32329595</v>
      </c>
      <c r="Q29" s="21">
        <f>P29*Calculation_Assumptions!$B$14*J29*K29</f>
        <v>0</v>
      </c>
      <c r="R29" s="21">
        <f t="shared" si="2"/>
        <v>772358.19643106125</v>
      </c>
      <c r="S29" s="21">
        <f t="shared" si="3"/>
        <v>772358.19643106125</v>
      </c>
      <c r="T29" s="32">
        <f>1/(1+Calculation_Assumptions!$B$8)^(B29-Calculation_Assumptions!$B$2)</f>
        <v>0.970873786407767</v>
      </c>
      <c r="U29" s="21">
        <f t="shared" si="4"/>
        <v>0</v>
      </c>
      <c r="V29" s="21">
        <f t="shared" si="5"/>
        <v>749862.32663209829</v>
      </c>
      <c r="W29" s="21">
        <f t="shared" si="6"/>
        <v>749862.32663209829</v>
      </c>
      <c r="X29">
        <v>0</v>
      </c>
      <c r="Y29" s="18">
        <v>2017</v>
      </c>
      <c r="Z29" t="s">
        <v>387</v>
      </c>
      <c r="AA29" s="21">
        <f t="shared" si="7"/>
        <v>1</v>
      </c>
    </row>
    <row r="30" spans="1:27">
      <c r="A30" t="s">
        <v>192</v>
      </c>
      <c r="B30" s="18">
        <v>2027</v>
      </c>
      <c r="C30" t="s">
        <v>192</v>
      </c>
      <c r="D30" s="20" t="s">
        <v>389</v>
      </c>
      <c r="E30" s="20" t="s">
        <v>390</v>
      </c>
      <c r="F30" s="20" t="s">
        <v>195</v>
      </c>
      <c r="G30" s="20" t="s">
        <v>382</v>
      </c>
      <c r="H30" s="20" t="s">
        <v>384</v>
      </c>
      <c r="I30" s="29">
        <v>1</v>
      </c>
      <c r="J30" s="30">
        <v>1</v>
      </c>
      <c r="K30" s="31">
        <v>4.0000000000000001E-3</v>
      </c>
      <c r="L30" s="9">
        <v>583039014.28645599</v>
      </c>
      <c r="M30" s="9">
        <v>583039014.28645599</v>
      </c>
      <c r="N30" s="32">
        <f>MIN(MAX((B30-Calculation_Assumptions!$B$5+1)/Calculation_Assumptions!$B$7,0),1)</f>
        <v>0.66666666666666663</v>
      </c>
      <c r="O30" s="21">
        <f t="shared" si="0"/>
        <v>583039014.28645599</v>
      </c>
      <c r="P30" s="21">
        <f t="shared" si="1"/>
        <v>583039014.28645599</v>
      </c>
      <c r="Q30" s="21">
        <f>P30*Calculation_Assumptions!$B$14*J30*K30</f>
        <v>0</v>
      </c>
      <c r="R30" s="21">
        <f t="shared" si="2"/>
        <v>1554770.7047638826</v>
      </c>
      <c r="S30" s="21">
        <f t="shared" si="3"/>
        <v>1554770.7047638826</v>
      </c>
      <c r="T30" s="32">
        <f>1/(1+Calculation_Assumptions!$B$8)^(B30-Calculation_Assumptions!$B$2)</f>
        <v>0.94259590913375435</v>
      </c>
      <c r="U30" s="21">
        <f t="shared" si="4"/>
        <v>0</v>
      </c>
      <c r="V30" s="21">
        <f t="shared" si="5"/>
        <v>1465520.50595144</v>
      </c>
      <c r="W30" s="21">
        <f t="shared" si="6"/>
        <v>1465520.50595144</v>
      </c>
      <c r="X30">
        <v>0</v>
      </c>
      <c r="Y30" s="18">
        <v>2017</v>
      </c>
      <c r="Z30" t="s">
        <v>387</v>
      </c>
      <c r="AA30" s="21">
        <f t="shared" si="7"/>
        <v>1</v>
      </c>
    </row>
    <row r="31" spans="1:27">
      <c r="A31" t="s">
        <v>192</v>
      </c>
      <c r="B31" s="18">
        <v>2028</v>
      </c>
      <c r="C31" t="s">
        <v>192</v>
      </c>
      <c r="D31" s="20" t="s">
        <v>389</v>
      </c>
      <c r="E31" s="20" t="s">
        <v>390</v>
      </c>
      <c r="F31" s="20" t="s">
        <v>195</v>
      </c>
      <c r="G31" s="20" t="s">
        <v>382</v>
      </c>
      <c r="H31" s="20" t="s">
        <v>384</v>
      </c>
      <c r="I31" s="29">
        <v>1</v>
      </c>
      <c r="J31" s="30">
        <v>1</v>
      </c>
      <c r="K31" s="31">
        <v>4.0000000000000001E-3</v>
      </c>
      <c r="L31" s="9">
        <v>587035136.10332596</v>
      </c>
      <c r="M31" s="9">
        <v>587035116.25746298</v>
      </c>
      <c r="N31" s="32">
        <f>MIN(MAX((B31-Calculation_Assumptions!$B$5+1)/Calculation_Assumptions!$B$7,0),1)</f>
        <v>1</v>
      </c>
      <c r="O31" s="21">
        <f t="shared" si="0"/>
        <v>587035136.10332596</v>
      </c>
      <c r="P31" s="21">
        <f t="shared" si="1"/>
        <v>587035116.25746298</v>
      </c>
      <c r="Q31" s="21">
        <f>P31*Calculation_Assumptions!$B$14*J31*K31</f>
        <v>0</v>
      </c>
      <c r="R31" s="21">
        <f t="shared" si="2"/>
        <v>2348140.544413304</v>
      </c>
      <c r="S31" s="21">
        <f t="shared" si="3"/>
        <v>2348140.544413304</v>
      </c>
      <c r="T31" s="32">
        <f>1/(1+Calculation_Assumptions!$B$8)^(B31-Calculation_Assumptions!$B$2)</f>
        <v>0.91514165935315961</v>
      </c>
      <c r="U31" s="21">
        <f t="shared" si="4"/>
        <v>0</v>
      </c>
      <c r="V31" s="21">
        <f t="shared" si="5"/>
        <v>2148881.2342088227</v>
      </c>
      <c r="W31" s="21">
        <f t="shared" si="6"/>
        <v>2148881.2342088227</v>
      </c>
      <c r="X31">
        <v>0</v>
      </c>
      <c r="Y31" s="18">
        <v>2017</v>
      </c>
      <c r="Z31" t="s">
        <v>387</v>
      </c>
      <c r="AA31" s="21">
        <f t="shared" si="7"/>
        <v>1</v>
      </c>
    </row>
    <row r="32" spans="1:27">
      <c r="A32" t="s">
        <v>192</v>
      </c>
      <c r="B32" s="18">
        <v>2029</v>
      </c>
      <c r="C32" t="s">
        <v>192</v>
      </c>
      <c r="D32" s="20" t="s">
        <v>389</v>
      </c>
      <c r="E32" s="20" t="s">
        <v>390</v>
      </c>
      <c r="F32" s="20" t="s">
        <v>195</v>
      </c>
      <c r="G32" s="20" t="s">
        <v>382</v>
      </c>
      <c r="H32" s="20" t="s">
        <v>384</v>
      </c>
      <c r="I32" s="29">
        <v>1</v>
      </c>
      <c r="J32" s="30">
        <v>1</v>
      </c>
      <c r="K32" s="31">
        <v>4.0000000000000001E-3</v>
      </c>
      <c r="L32" s="9">
        <v>590968126.95693302</v>
      </c>
      <c r="M32" s="9">
        <v>590968059.72178304</v>
      </c>
      <c r="N32" s="32">
        <f>MIN(MAX((B32-Calculation_Assumptions!$B$5+1)/Calculation_Assumptions!$B$7,0),1)</f>
        <v>1</v>
      </c>
      <c r="O32" s="21">
        <f t="shared" si="0"/>
        <v>590968126.95693302</v>
      </c>
      <c r="P32" s="21">
        <f t="shared" si="1"/>
        <v>590968059.72178304</v>
      </c>
      <c r="Q32" s="21">
        <f>P32*Calculation_Assumptions!$B$14*J32*K32</f>
        <v>0</v>
      </c>
      <c r="R32" s="21">
        <f t="shared" si="2"/>
        <v>2363872.5078277322</v>
      </c>
      <c r="S32" s="21">
        <f t="shared" si="3"/>
        <v>2363872.5078277322</v>
      </c>
      <c r="T32" s="32">
        <f>1/(1+Calculation_Assumptions!$B$8)^(B32-Calculation_Assumptions!$B$2)</f>
        <v>0.888487047915689</v>
      </c>
      <c r="U32" s="21">
        <f t="shared" si="4"/>
        <v>0</v>
      </c>
      <c r="V32" s="21">
        <f t="shared" si="5"/>
        <v>2100270.1061289185</v>
      </c>
      <c r="W32" s="21">
        <f t="shared" si="6"/>
        <v>2100270.1061289185</v>
      </c>
      <c r="X32">
        <v>0</v>
      </c>
      <c r="Y32" s="18">
        <v>2017</v>
      </c>
      <c r="Z32" t="s">
        <v>387</v>
      </c>
      <c r="AA32" s="21">
        <f t="shared" si="7"/>
        <v>1</v>
      </c>
    </row>
    <row r="33" spans="1:27">
      <c r="A33" t="s">
        <v>192</v>
      </c>
      <c r="B33" s="18">
        <v>2030</v>
      </c>
      <c r="C33" t="s">
        <v>192</v>
      </c>
      <c r="D33" s="20" t="s">
        <v>389</v>
      </c>
      <c r="E33" s="20" t="s">
        <v>390</v>
      </c>
      <c r="F33" s="20" t="s">
        <v>195</v>
      </c>
      <c r="G33" s="20" t="s">
        <v>382</v>
      </c>
      <c r="H33" s="20" t="s">
        <v>384</v>
      </c>
      <c r="I33" s="29">
        <v>1</v>
      </c>
      <c r="J33" s="30">
        <v>1</v>
      </c>
      <c r="K33" s="31">
        <v>4.0000000000000001E-3</v>
      </c>
      <c r="L33" s="9">
        <v>594808166.25038695</v>
      </c>
      <c r="M33" s="9">
        <v>594808018.62654305</v>
      </c>
      <c r="N33" s="32">
        <f>MIN(MAX((B33-Calculation_Assumptions!$B$5+1)/Calculation_Assumptions!$B$7,0),1)</f>
        <v>1</v>
      </c>
      <c r="O33" s="21">
        <f t="shared" si="0"/>
        <v>594808166.25038695</v>
      </c>
      <c r="P33" s="21">
        <f t="shared" si="1"/>
        <v>594808018.62654305</v>
      </c>
      <c r="Q33" s="21">
        <f>P33*Calculation_Assumptions!$B$14*J33*K33</f>
        <v>0</v>
      </c>
      <c r="R33" s="21">
        <f t="shared" si="2"/>
        <v>2379232.6650015479</v>
      </c>
      <c r="S33" s="21">
        <f t="shared" si="3"/>
        <v>2379232.6650015479</v>
      </c>
      <c r="T33" s="32">
        <f>1/(1+Calculation_Assumptions!$B$8)^(B33-Calculation_Assumptions!$B$2)</f>
        <v>0.86260878438416411</v>
      </c>
      <c r="U33" s="21">
        <f t="shared" si="4"/>
        <v>0</v>
      </c>
      <c r="V33" s="21">
        <f t="shared" si="5"/>
        <v>2052346.9969240804</v>
      </c>
      <c r="W33" s="21">
        <f t="shared" si="6"/>
        <v>2052346.9969240804</v>
      </c>
      <c r="X33">
        <v>0</v>
      </c>
      <c r="Y33" s="18">
        <v>2017</v>
      </c>
      <c r="Z33" t="s">
        <v>387</v>
      </c>
      <c r="AA33" s="21">
        <f t="shared" si="7"/>
        <v>1</v>
      </c>
    </row>
    <row r="34" spans="1:27">
      <c r="A34" t="s">
        <v>192</v>
      </c>
      <c r="B34" s="18">
        <v>2031</v>
      </c>
      <c r="C34" t="s">
        <v>192</v>
      </c>
      <c r="D34" s="20" t="s">
        <v>389</v>
      </c>
      <c r="E34" s="20" t="s">
        <v>390</v>
      </c>
      <c r="F34" s="20" t="s">
        <v>195</v>
      </c>
      <c r="G34" s="20" t="s">
        <v>382</v>
      </c>
      <c r="H34" s="20" t="s">
        <v>384</v>
      </c>
      <c r="I34" s="29">
        <v>1</v>
      </c>
      <c r="J34" s="30">
        <v>1</v>
      </c>
      <c r="K34" s="31">
        <v>4.0000000000000001E-3</v>
      </c>
      <c r="L34" s="9">
        <v>598581645.08678997</v>
      </c>
      <c r="M34" s="9">
        <v>598581381.03442597</v>
      </c>
      <c r="N34" s="32">
        <f>MIN(MAX((B34-Calculation_Assumptions!$B$5+1)/Calculation_Assumptions!$B$7,0),1)</f>
        <v>1</v>
      </c>
      <c r="O34" s="21">
        <f t="shared" si="0"/>
        <v>598581645.08678997</v>
      </c>
      <c r="P34" s="21">
        <f t="shared" si="1"/>
        <v>598581381.03442597</v>
      </c>
      <c r="Q34" s="21">
        <f>P34*Calculation_Assumptions!$B$14*J34*K34</f>
        <v>0</v>
      </c>
      <c r="R34" s="21">
        <f t="shared" si="2"/>
        <v>2394326.5803471599</v>
      </c>
      <c r="S34" s="21">
        <f t="shared" si="3"/>
        <v>2394326.5803471599</v>
      </c>
      <c r="T34" s="32">
        <f>1/(1+Calculation_Assumptions!$B$8)^(B34-Calculation_Assumptions!$B$2)</f>
        <v>0.83748425668365445</v>
      </c>
      <c r="U34" s="21">
        <f t="shared" si="4"/>
        <v>0</v>
      </c>
      <c r="V34" s="21">
        <f t="shared" si="5"/>
        <v>2005210.8163999575</v>
      </c>
      <c r="W34" s="21">
        <f t="shared" si="6"/>
        <v>2005210.8163999575</v>
      </c>
      <c r="X34">
        <v>0</v>
      </c>
      <c r="Y34" s="18">
        <v>2017</v>
      </c>
      <c r="Z34" t="s">
        <v>387</v>
      </c>
      <c r="AA34" s="21">
        <f t="shared" si="7"/>
        <v>1</v>
      </c>
    </row>
    <row r="35" spans="1:27">
      <c r="A35" t="s">
        <v>192</v>
      </c>
      <c r="B35" s="18">
        <v>2032</v>
      </c>
      <c r="C35" t="s">
        <v>192</v>
      </c>
      <c r="D35" s="20" t="s">
        <v>389</v>
      </c>
      <c r="E35" s="20" t="s">
        <v>390</v>
      </c>
      <c r="F35" s="20" t="s">
        <v>195</v>
      </c>
      <c r="G35" s="20" t="s">
        <v>382</v>
      </c>
      <c r="H35" s="20" t="s">
        <v>384</v>
      </c>
      <c r="I35" s="29">
        <v>1</v>
      </c>
      <c r="J35" s="30">
        <v>1</v>
      </c>
      <c r="K35" s="31">
        <v>4.0000000000000001E-3</v>
      </c>
      <c r="L35" s="9">
        <v>602284003.14954197</v>
      </c>
      <c r="M35" s="9">
        <v>602283583.58638096</v>
      </c>
      <c r="N35" s="32">
        <f>MIN(MAX((B35-Calculation_Assumptions!$B$5+1)/Calculation_Assumptions!$B$7,0),1)</f>
        <v>1</v>
      </c>
      <c r="O35" s="21">
        <f t="shared" si="0"/>
        <v>602284003.14954197</v>
      </c>
      <c r="P35" s="21">
        <f t="shared" si="1"/>
        <v>602283583.58638096</v>
      </c>
      <c r="Q35" s="21">
        <f>P35*Calculation_Assumptions!$B$14*J35*K35</f>
        <v>0</v>
      </c>
      <c r="R35" s="21">
        <f t="shared" si="2"/>
        <v>2409136.0125981681</v>
      </c>
      <c r="S35" s="21">
        <f t="shared" si="3"/>
        <v>2409136.0125981681</v>
      </c>
      <c r="T35" s="32">
        <f>1/(1+Calculation_Assumptions!$B$8)^(B35-Calculation_Assumptions!$B$2)</f>
        <v>0.81309151134335378</v>
      </c>
      <c r="U35" s="21">
        <f t="shared" si="4"/>
        <v>0</v>
      </c>
      <c r="V35" s="21">
        <f t="shared" si="5"/>
        <v>1958848.0415151455</v>
      </c>
      <c r="W35" s="21">
        <f t="shared" si="6"/>
        <v>1958848.0415151455</v>
      </c>
      <c r="X35">
        <v>0</v>
      </c>
      <c r="Y35" s="18">
        <v>2017</v>
      </c>
      <c r="Z35" t="s">
        <v>387</v>
      </c>
      <c r="AA35" s="21">
        <f t="shared" si="7"/>
        <v>1</v>
      </c>
    </row>
    <row r="36" spans="1:27">
      <c r="A36" t="s">
        <v>192</v>
      </c>
      <c r="B36" s="18">
        <v>2033</v>
      </c>
      <c r="C36" t="s">
        <v>192</v>
      </c>
      <c r="D36" s="20" t="s">
        <v>389</v>
      </c>
      <c r="E36" s="20" t="s">
        <v>390</v>
      </c>
      <c r="F36" s="20" t="s">
        <v>195</v>
      </c>
      <c r="G36" s="20" t="s">
        <v>382</v>
      </c>
      <c r="H36" s="20" t="s">
        <v>384</v>
      </c>
      <c r="I36" s="29">
        <v>1</v>
      </c>
      <c r="J36" s="30">
        <v>1</v>
      </c>
      <c r="K36" s="31">
        <v>4.0000000000000001E-3</v>
      </c>
      <c r="L36" s="9">
        <v>605912500.369187</v>
      </c>
      <c r="M36" s="9">
        <v>605911902.99473</v>
      </c>
      <c r="N36" s="32">
        <f>MIN(MAX((B36-Calculation_Assumptions!$B$5+1)/Calculation_Assumptions!$B$7,0),1)</f>
        <v>1</v>
      </c>
      <c r="O36" s="21">
        <f t="shared" si="0"/>
        <v>605912500.369187</v>
      </c>
      <c r="P36" s="21">
        <f t="shared" si="1"/>
        <v>605911902.99473</v>
      </c>
      <c r="Q36" s="21">
        <f>P36*Calculation_Assumptions!$B$14*J36*K36</f>
        <v>0</v>
      </c>
      <c r="R36" s="21">
        <f t="shared" si="2"/>
        <v>2423650.0014767479</v>
      </c>
      <c r="S36" s="21">
        <f t="shared" si="3"/>
        <v>2423650.0014767479</v>
      </c>
      <c r="T36" s="32">
        <f>1/(1+Calculation_Assumptions!$B$8)^(B36-Calculation_Assumptions!$B$2)</f>
        <v>0.78940923431393573</v>
      </c>
      <c r="U36" s="21">
        <f t="shared" si="4"/>
        <v>0</v>
      </c>
      <c r="V36" s="21">
        <f t="shared" si="5"/>
        <v>1913251.6919107288</v>
      </c>
      <c r="W36" s="21">
        <f t="shared" si="6"/>
        <v>1913251.6919107288</v>
      </c>
      <c r="X36">
        <v>0</v>
      </c>
      <c r="Y36" s="18">
        <v>2017</v>
      </c>
      <c r="Z36" t="s">
        <v>387</v>
      </c>
      <c r="AA36" s="21">
        <f t="shared" si="7"/>
        <v>1</v>
      </c>
    </row>
    <row r="37" spans="1:27">
      <c r="A37" t="s">
        <v>192</v>
      </c>
      <c r="B37" s="18">
        <v>2034</v>
      </c>
      <c r="C37" t="s">
        <v>192</v>
      </c>
      <c r="D37" s="20" t="s">
        <v>389</v>
      </c>
      <c r="E37" s="20" t="s">
        <v>390</v>
      </c>
      <c r="F37" s="20" t="s">
        <v>195</v>
      </c>
      <c r="G37" s="20" t="s">
        <v>382</v>
      </c>
      <c r="H37" s="20" t="s">
        <v>384</v>
      </c>
      <c r="I37" s="29">
        <v>1</v>
      </c>
      <c r="J37" s="30">
        <v>1</v>
      </c>
      <c r="K37" s="31">
        <v>4.0000000000000001E-3</v>
      </c>
      <c r="L37" s="9">
        <v>609456338.51623702</v>
      </c>
      <c r="M37" s="9">
        <v>609455548.12077105</v>
      </c>
      <c r="N37" s="32">
        <f>MIN(MAX((B37-Calculation_Assumptions!$B$5+1)/Calculation_Assumptions!$B$7,0),1)</f>
        <v>1</v>
      </c>
      <c r="O37" s="21">
        <f t="shared" si="0"/>
        <v>609456338.51623702</v>
      </c>
      <c r="P37" s="21">
        <f t="shared" si="1"/>
        <v>609455548.12077105</v>
      </c>
      <c r="Q37" s="21">
        <f>P37*Calculation_Assumptions!$B$14*J37*K37</f>
        <v>0</v>
      </c>
      <c r="R37" s="21">
        <f t="shared" si="2"/>
        <v>2437825.3540649479</v>
      </c>
      <c r="S37" s="21">
        <f t="shared" si="3"/>
        <v>2437825.3540649479</v>
      </c>
      <c r="T37" s="32">
        <f>1/(1+Calculation_Assumptions!$B$8)^(B37-Calculation_Assumptions!$B$2)</f>
        <v>0.76641673234362695</v>
      </c>
      <c r="U37" s="21">
        <f t="shared" si="4"/>
        <v>0</v>
      </c>
      <c r="V37" s="21">
        <f t="shared" si="5"/>
        <v>1868390.1418869027</v>
      </c>
      <c r="W37" s="21">
        <f t="shared" si="6"/>
        <v>1868390.1418869027</v>
      </c>
      <c r="X37">
        <v>0</v>
      </c>
      <c r="Y37" s="18">
        <v>2017</v>
      </c>
      <c r="Z37" t="s">
        <v>387</v>
      </c>
      <c r="AA37" s="21">
        <f t="shared" si="7"/>
        <v>1</v>
      </c>
    </row>
    <row r="38" spans="1:27">
      <c r="A38" t="s">
        <v>192</v>
      </c>
      <c r="B38" s="18">
        <v>2035</v>
      </c>
      <c r="C38" t="s">
        <v>192</v>
      </c>
      <c r="D38" s="20" t="s">
        <v>389</v>
      </c>
      <c r="E38" s="20" t="s">
        <v>390</v>
      </c>
      <c r="F38" s="20" t="s">
        <v>195</v>
      </c>
      <c r="G38" s="20" t="s">
        <v>382</v>
      </c>
      <c r="H38" s="20" t="s">
        <v>384</v>
      </c>
      <c r="I38" s="29">
        <v>1</v>
      </c>
      <c r="J38" s="30">
        <v>1</v>
      </c>
      <c r="K38" s="31">
        <v>4.0000000000000001E-3</v>
      </c>
      <c r="L38" s="9">
        <v>612904401.99745297</v>
      </c>
      <c r="M38" s="9">
        <v>612884294.47334194</v>
      </c>
      <c r="N38" s="32">
        <f>MIN(MAX((B38-Calculation_Assumptions!$B$5+1)/Calculation_Assumptions!$B$7,0),1)</f>
        <v>1</v>
      </c>
      <c r="O38" s="21">
        <f t="shared" si="0"/>
        <v>612904401.99745297</v>
      </c>
      <c r="P38" s="21">
        <f t="shared" si="1"/>
        <v>612884294.47334194</v>
      </c>
      <c r="Q38" s="21">
        <f>P38*Calculation_Assumptions!$B$14*J38*K38</f>
        <v>0</v>
      </c>
      <c r="R38" s="21">
        <f t="shared" si="2"/>
        <v>2451617.6079898118</v>
      </c>
      <c r="S38" s="21">
        <f t="shared" si="3"/>
        <v>2451617.6079898118</v>
      </c>
      <c r="T38" s="32">
        <f>1/(1+Calculation_Assumptions!$B$8)^(B38-Calculation_Assumptions!$B$2)</f>
        <v>0.74409391489672516</v>
      </c>
      <c r="U38" s="21">
        <f t="shared" si="4"/>
        <v>0</v>
      </c>
      <c r="V38" s="21">
        <f t="shared" si="5"/>
        <v>1824233.743758884</v>
      </c>
      <c r="W38" s="21">
        <f t="shared" si="6"/>
        <v>1824233.743758884</v>
      </c>
      <c r="X38">
        <v>0</v>
      </c>
      <c r="Y38" s="18">
        <v>2017</v>
      </c>
      <c r="Z38" t="s">
        <v>387</v>
      </c>
      <c r="AA38" s="21">
        <f t="shared" si="7"/>
        <v>1</v>
      </c>
    </row>
    <row r="39" spans="1:27">
      <c r="A39" t="s">
        <v>192</v>
      </c>
      <c r="B39" s="18">
        <v>2036</v>
      </c>
      <c r="C39" t="s">
        <v>192</v>
      </c>
      <c r="D39" s="20" t="s">
        <v>389</v>
      </c>
      <c r="E39" s="20" t="s">
        <v>390</v>
      </c>
      <c r="F39" s="20" t="s">
        <v>195</v>
      </c>
      <c r="G39" s="20" t="s">
        <v>382</v>
      </c>
      <c r="H39" s="20" t="s">
        <v>384</v>
      </c>
      <c r="I39" s="29">
        <v>1</v>
      </c>
      <c r="J39" s="30">
        <v>1</v>
      </c>
      <c r="K39" s="31">
        <v>4.0000000000000001E-3</v>
      </c>
      <c r="L39" s="9">
        <v>616263258.94873405</v>
      </c>
      <c r="M39" s="9">
        <v>616262053.85817397</v>
      </c>
      <c r="N39" s="32">
        <f>MIN(MAX((B39-Calculation_Assumptions!$B$5+1)/Calculation_Assumptions!$B$7,0),1)</f>
        <v>1</v>
      </c>
      <c r="O39" s="21">
        <f t="shared" si="0"/>
        <v>616263258.94873405</v>
      </c>
      <c r="P39" s="21">
        <f t="shared" si="1"/>
        <v>616262053.85817397</v>
      </c>
      <c r="Q39" s="21">
        <f>P39*Calculation_Assumptions!$B$14*J39*K39</f>
        <v>0</v>
      </c>
      <c r="R39" s="21">
        <f t="shared" si="2"/>
        <v>2465053.0357949361</v>
      </c>
      <c r="S39" s="21">
        <f t="shared" si="3"/>
        <v>2465053.0357949361</v>
      </c>
      <c r="T39" s="32">
        <f>1/(1+Calculation_Assumptions!$B$8)^(B39-Calculation_Assumptions!$B$2)</f>
        <v>0.72242127659876232</v>
      </c>
      <c r="U39" s="21">
        <f t="shared" si="4"/>
        <v>0</v>
      </c>
      <c r="V39" s="21">
        <f t="shared" si="5"/>
        <v>1780806.7610026323</v>
      </c>
      <c r="W39" s="21">
        <f t="shared" si="6"/>
        <v>1780806.7610026323</v>
      </c>
      <c r="X39">
        <v>0</v>
      </c>
      <c r="Y39" s="18">
        <v>2017</v>
      </c>
      <c r="Z39" t="s">
        <v>387</v>
      </c>
      <c r="AA39" s="21">
        <f t="shared" si="7"/>
        <v>1</v>
      </c>
    </row>
    <row r="40" spans="1:27">
      <c r="A40" t="s">
        <v>192</v>
      </c>
      <c r="B40" s="18">
        <v>2037</v>
      </c>
      <c r="C40" t="s">
        <v>192</v>
      </c>
      <c r="D40" s="20" t="s">
        <v>389</v>
      </c>
      <c r="E40" s="20" t="s">
        <v>390</v>
      </c>
      <c r="F40" s="20" t="s">
        <v>195</v>
      </c>
      <c r="G40" s="20" t="s">
        <v>382</v>
      </c>
      <c r="H40" s="20" t="s">
        <v>384</v>
      </c>
      <c r="I40" s="29">
        <v>1</v>
      </c>
      <c r="J40" s="30">
        <v>1</v>
      </c>
      <c r="K40" s="31">
        <v>4.0000000000000001E-3</v>
      </c>
      <c r="L40" s="9">
        <v>619530802.11193895</v>
      </c>
      <c r="M40" s="9">
        <v>619529380.90729904</v>
      </c>
      <c r="N40" s="32">
        <f>MIN(MAX((B40-Calculation_Assumptions!$B$5+1)/Calculation_Assumptions!$B$7,0),1)</f>
        <v>1</v>
      </c>
      <c r="O40" s="21">
        <f t="shared" si="0"/>
        <v>619530802.11193895</v>
      </c>
      <c r="P40" s="21">
        <f t="shared" si="1"/>
        <v>619529380.90729904</v>
      </c>
      <c r="Q40" s="21">
        <f>P40*Calculation_Assumptions!$B$14*J40*K40</f>
        <v>0</v>
      </c>
      <c r="R40" s="21">
        <f t="shared" si="2"/>
        <v>2478123.2084477558</v>
      </c>
      <c r="S40" s="21">
        <f t="shared" si="3"/>
        <v>2478123.2084477558</v>
      </c>
      <c r="T40" s="32">
        <f>1/(1+Calculation_Assumptions!$B$8)^(B40-Calculation_Assumptions!$B$2)</f>
        <v>0.70137988019297326</v>
      </c>
      <c r="U40" s="21">
        <f t="shared" si="4"/>
        <v>0</v>
      </c>
      <c r="V40" s="21">
        <f t="shared" si="5"/>
        <v>1738105.7590445133</v>
      </c>
      <c r="W40" s="21">
        <f t="shared" si="6"/>
        <v>1738105.7590445133</v>
      </c>
      <c r="X40">
        <v>0</v>
      </c>
      <c r="Y40" s="18">
        <v>2017</v>
      </c>
      <c r="Z40" t="s">
        <v>387</v>
      </c>
      <c r="AA40" s="21">
        <f t="shared" si="7"/>
        <v>1</v>
      </c>
    </row>
    <row r="41" spans="1:27">
      <c r="A41" t="s">
        <v>192</v>
      </c>
      <c r="B41" s="18">
        <v>2038</v>
      </c>
      <c r="C41" t="s">
        <v>192</v>
      </c>
      <c r="D41" s="20" t="s">
        <v>389</v>
      </c>
      <c r="E41" s="20" t="s">
        <v>390</v>
      </c>
      <c r="F41" s="20" t="s">
        <v>195</v>
      </c>
      <c r="G41" s="20" t="s">
        <v>382</v>
      </c>
      <c r="H41" s="20" t="s">
        <v>384</v>
      </c>
      <c r="I41" s="29">
        <v>1</v>
      </c>
      <c r="J41" s="30">
        <v>1</v>
      </c>
      <c r="K41" s="31">
        <v>4.0000000000000001E-3</v>
      </c>
      <c r="L41" s="9">
        <v>622674828.93224001</v>
      </c>
      <c r="M41" s="9">
        <v>622673191.62836504</v>
      </c>
      <c r="N41" s="32">
        <f>MIN(MAX((B41-Calculation_Assumptions!$B$5+1)/Calculation_Assumptions!$B$7,0),1)</f>
        <v>1</v>
      </c>
      <c r="O41" s="21">
        <f t="shared" si="0"/>
        <v>622674828.93224001</v>
      </c>
      <c r="P41" s="21">
        <f t="shared" si="1"/>
        <v>622673191.62836504</v>
      </c>
      <c r="Q41" s="21">
        <f>P41*Calculation_Assumptions!$B$14*J41*K41</f>
        <v>0</v>
      </c>
      <c r="R41" s="21">
        <f t="shared" si="2"/>
        <v>2490699.3157289601</v>
      </c>
      <c r="S41" s="21">
        <f t="shared" si="3"/>
        <v>2490699.3157289601</v>
      </c>
      <c r="T41" s="32">
        <f>1/(1+Calculation_Assumptions!$B$8)^(B41-Calculation_Assumptions!$B$2)</f>
        <v>0.68095133999317792</v>
      </c>
      <c r="U41" s="21">
        <f t="shared" si="4"/>
        <v>0</v>
      </c>
      <c r="V41" s="21">
        <f t="shared" si="5"/>
        <v>1696045.0365657266</v>
      </c>
      <c r="W41" s="21">
        <f t="shared" si="6"/>
        <v>1696045.0365657266</v>
      </c>
      <c r="X41">
        <v>0</v>
      </c>
      <c r="Y41" s="18">
        <v>2017</v>
      </c>
      <c r="Z41" t="s">
        <v>387</v>
      </c>
      <c r="AA41" s="21">
        <f t="shared" si="7"/>
        <v>1</v>
      </c>
    </row>
    <row r="42" spans="1:27">
      <c r="A42" t="s">
        <v>192</v>
      </c>
      <c r="B42" s="18">
        <v>2039</v>
      </c>
      <c r="C42" t="s">
        <v>192</v>
      </c>
      <c r="D42" s="20" t="s">
        <v>389</v>
      </c>
      <c r="E42" s="20" t="s">
        <v>390</v>
      </c>
      <c r="F42" s="20" t="s">
        <v>195</v>
      </c>
      <c r="G42" s="20" t="s">
        <v>382</v>
      </c>
      <c r="H42" s="20" t="s">
        <v>384</v>
      </c>
      <c r="I42" s="29">
        <v>1</v>
      </c>
      <c r="J42" s="30">
        <v>1</v>
      </c>
      <c r="K42" s="31">
        <v>4.0000000000000001E-3</v>
      </c>
      <c r="L42" s="9">
        <v>625733616.49580801</v>
      </c>
      <c r="M42" s="9">
        <v>625731758.218045</v>
      </c>
      <c r="N42" s="32">
        <f>MIN(MAX((B42-Calculation_Assumptions!$B$5+1)/Calculation_Assumptions!$B$7,0),1)</f>
        <v>1</v>
      </c>
      <c r="O42" s="21">
        <f t="shared" si="0"/>
        <v>625733616.49580801</v>
      </c>
      <c r="P42" s="21">
        <f t="shared" si="1"/>
        <v>625731758.218045</v>
      </c>
      <c r="Q42" s="21">
        <f>P42*Calculation_Assumptions!$B$14*J42*K42</f>
        <v>0</v>
      </c>
      <c r="R42" s="21">
        <f t="shared" si="2"/>
        <v>2502934.465983232</v>
      </c>
      <c r="S42" s="21">
        <f t="shared" si="3"/>
        <v>2502934.465983232</v>
      </c>
      <c r="T42" s="32">
        <f>1/(1+Calculation_Assumptions!$B$8)^(B42-Calculation_Assumptions!$B$2)</f>
        <v>0.66111780581861923</v>
      </c>
      <c r="U42" s="21">
        <f t="shared" si="4"/>
        <v>0</v>
      </c>
      <c r="V42" s="21">
        <f t="shared" si="5"/>
        <v>1654734.5422586319</v>
      </c>
      <c r="W42" s="21">
        <f t="shared" si="6"/>
        <v>1654734.5422586319</v>
      </c>
      <c r="X42">
        <v>0</v>
      </c>
      <c r="Y42" s="18">
        <v>2017</v>
      </c>
      <c r="Z42" t="s">
        <v>387</v>
      </c>
      <c r="AA42" s="21">
        <f t="shared" si="7"/>
        <v>1</v>
      </c>
    </row>
    <row r="43" spans="1:27">
      <c r="A43" t="s">
        <v>192</v>
      </c>
      <c r="B43" s="18">
        <v>2040</v>
      </c>
      <c r="C43" t="s">
        <v>192</v>
      </c>
      <c r="D43" s="20" t="s">
        <v>389</v>
      </c>
      <c r="E43" s="20" t="s">
        <v>390</v>
      </c>
      <c r="F43" s="20" t="s">
        <v>195</v>
      </c>
      <c r="G43" s="20" t="s">
        <v>382</v>
      </c>
      <c r="H43" s="20" t="s">
        <v>384</v>
      </c>
      <c r="I43" s="29">
        <v>1</v>
      </c>
      <c r="J43" s="30">
        <v>1</v>
      </c>
      <c r="K43" s="31">
        <v>4.0000000000000001E-3</v>
      </c>
      <c r="L43" s="9">
        <v>628669578.30841196</v>
      </c>
      <c r="M43" s="9">
        <v>628667498.21665299</v>
      </c>
      <c r="N43" s="32">
        <f>MIN(MAX((B43-Calculation_Assumptions!$B$5+1)/Calculation_Assumptions!$B$7,0),1)</f>
        <v>1</v>
      </c>
      <c r="O43" s="21">
        <f t="shared" si="0"/>
        <v>628669578.30841196</v>
      </c>
      <c r="P43" s="21">
        <f t="shared" si="1"/>
        <v>628667498.21665299</v>
      </c>
      <c r="Q43" s="21">
        <f>P43*Calculation_Assumptions!$B$14*J43*K43</f>
        <v>0</v>
      </c>
      <c r="R43" s="21">
        <f t="shared" si="2"/>
        <v>2514678.313233648</v>
      </c>
      <c r="S43" s="21">
        <f t="shared" si="3"/>
        <v>2514678.313233648</v>
      </c>
      <c r="T43" s="32">
        <f>1/(1+Calculation_Assumptions!$B$8)^(B43-Calculation_Assumptions!$B$2)</f>
        <v>0.64186194739671765</v>
      </c>
      <c r="U43" s="21">
        <f t="shared" si="4"/>
        <v>0</v>
      </c>
      <c r="V43" s="21">
        <f t="shared" si="5"/>
        <v>1614076.3192084425</v>
      </c>
      <c r="W43" s="21">
        <f t="shared" si="6"/>
        <v>1614076.3192084425</v>
      </c>
      <c r="X43">
        <v>0</v>
      </c>
      <c r="Y43" s="18">
        <v>2017</v>
      </c>
      <c r="Z43" t="s">
        <v>387</v>
      </c>
      <c r="AA43" s="21">
        <f t="shared" si="7"/>
        <v>1</v>
      </c>
    </row>
    <row r="44" spans="1:27">
      <c r="A44" t="s">
        <v>192</v>
      </c>
      <c r="B44" s="18">
        <v>2041</v>
      </c>
      <c r="C44" t="s">
        <v>192</v>
      </c>
      <c r="D44" s="20" t="s">
        <v>389</v>
      </c>
      <c r="E44" s="20" t="s">
        <v>390</v>
      </c>
      <c r="F44" s="20" t="s">
        <v>195</v>
      </c>
      <c r="G44" s="20" t="s">
        <v>382</v>
      </c>
      <c r="H44" s="20" t="s">
        <v>384</v>
      </c>
      <c r="I44" s="29">
        <v>1</v>
      </c>
      <c r="J44" s="30">
        <v>1</v>
      </c>
      <c r="K44" s="31">
        <v>4.0000000000000001E-3</v>
      </c>
      <c r="L44" s="9">
        <v>631490707.25066602</v>
      </c>
      <c r="M44" s="9">
        <v>631488405.68781996</v>
      </c>
      <c r="N44" s="32">
        <f>MIN(MAX((B44-Calculation_Assumptions!$B$5+1)/Calculation_Assumptions!$B$7,0),1)</f>
        <v>1</v>
      </c>
      <c r="O44" s="21">
        <f t="shared" si="0"/>
        <v>631490707.25066602</v>
      </c>
      <c r="P44" s="21">
        <f t="shared" si="1"/>
        <v>631488405.68781996</v>
      </c>
      <c r="Q44" s="21">
        <f>P44*Calculation_Assumptions!$B$14*J44*K44</f>
        <v>0</v>
      </c>
      <c r="R44" s="21">
        <f t="shared" si="2"/>
        <v>2525962.829002664</v>
      </c>
      <c r="S44" s="21">
        <f t="shared" si="3"/>
        <v>2525962.829002664</v>
      </c>
      <c r="T44" s="32">
        <f>1/(1+Calculation_Assumptions!$B$8)^(B44-Calculation_Assumptions!$B$2)</f>
        <v>0.62316693922011435</v>
      </c>
      <c r="U44" s="21">
        <f t="shared" si="4"/>
        <v>0</v>
      </c>
      <c r="V44" s="21">
        <f t="shared" si="5"/>
        <v>1574096.5247333711</v>
      </c>
      <c r="W44" s="21">
        <f t="shared" si="6"/>
        <v>1574096.5247333711</v>
      </c>
      <c r="X44">
        <v>0</v>
      </c>
      <c r="Y44" s="18">
        <v>2017</v>
      </c>
      <c r="Z44" t="s">
        <v>387</v>
      </c>
      <c r="AA44" s="21">
        <f t="shared" si="7"/>
        <v>1</v>
      </c>
    </row>
    <row r="45" spans="1:27">
      <c r="A45" t="s">
        <v>192</v>
      </c>
      <c r="B45" s="18">
        <v>2042</v>
      </c>
      <c r="C45" t="s">
        <v>192</v>
      </c>
      <c r="D45" s="20" t="s">
        <v>389</v>
      </c>
      <c r="E45" s="20" t="s">
        <v>390</v>
      </c>
      <c r="F45" s="20" t="s">
        <v>195</v>
      </c>
      <c r="G45" s="20" t="s">
        <v>382</v>
      </c>
      <c r="H45" s="20" t="s">
        <v>384</v>
      </c>
      <c r="I45" s="29">
        <v>1</v>
      </c>
      <c r="J45" s="30">
        <v>1</v>
      </c>
      <c r="K45" s="31">
        <v>4.0000000000000001E-3</v>
      </c>
      <c r="L45" s="9">
        <v>634187082.65471196</v>
      </c>
      <c r="M45" s="9">
        <v>634184560.98858297</v>
      </c>
      <c r="N45" s="32">
        <f>MIN(MAX((B45-Calculation_Assumptions!$B$5+1)/Calculation_Assumptions!$B$7,0),1)</f>
        <v>1</v>
      </c>
      <c r="O45" s="21">
        <f t="shared" si="0"/>
        <v>634187082.65471196</v>
      </c>
      <c r="P45" s="21">
        <f t="shared" si="1"/>
        <v>634184560.98858297</v>
      </c>
      <c r="Q45" s="21">
        <f>P45*Calculation_Assumptions!$B$14*J45*K45</f>
        <v>0</v>
      </c>
      <c r="R45" s="21">
        <f t="shared" si="2"/>
        <v>2536748.3306188481</v>
      </c>
      <c r="S45" s="21">
        <f t="shared" si="3"/>
        <v>2536748.3306188481</v>
      </c>
      <c r="T45" s="32">
        <f>1/(1+Calculation_Assumptions!$B$8)^(B45-Calculation_Assumptions!$B$2)</f>
        <v>0.60501644584477121</v>
      </c>
      <c r="U45" s="21">
        <f t="shared" si="4"/>
        <v>0</v>
      </c>
      <c r="V45" s="21">
        <f t="shared" si="5"/>
        <v>1534774.4589936722</v>
      </c>
      <c r="W45" s="21">
        <f t="shared" si="6"/>
        <v>1534774.4589936722</v>
      </c>
      <c r="X45">
        <v>0</v>
      </c>
      <c r="Y45" s="18">
        <v>2017</v>
      </c>
      <c r="Z45" t="s">
        <v>387</v>
      </c>
      <c r="AA45" s="21">
        <f t="shared" si="7"/>
        <v>1</v>
      </c>
    </row>
    <row r="46" spans="1:27">
      <c r="A46" t="s">
        <v>192</v>
      </c>
      <c r="B46" s="18">
        <v>2043</v>
      </c>
      <c r="C46" t="s">
        <v>192</v>
      </c>
      <c r="D46" s="20" t="s">
        <v>389</v>
      </c>
      <c r="E46" s="20" t="s">
        <v>390</v>
      </c>
      <c r="F46" s="20" t="s">
        <v>195</v>
      </c>
      <c r="G46" s="20" t="s">
        <v>382</v>
      </c>
      <c r="H46" s="20" t="s">
        <v>384</v>
      </c>
      <c r="I46" s="29">
        <v>1</v>
      </c>
      <c r="J46" s="30">
        <v>1</v>
      </c>
      <c r="K46" s="31">
        <v>4.0000000000000001E-3</v>
      </c>
      <c r="L46" s="9">
        <v>636769763.73621798</v>
      </c>
      <c r="M46" s="9">
        <v>636767020.67603099</v>
      </c>
      <c r="N46" s="32">
        <f>MIN(MAX((B46-Calculation_Assumptions!$B$5+1)/Calculation_Assumptions!$B$7,0),1)</f>
        <v>1</v>
      </c>
      <c r="O46" s="21">
        <f t="shared" si="0"/>
        <v>636769763.73621798</v>
      </c>
      <c r="P46" s="21">
        <f t="shared" si="1"/>
        <v>636767020.67603099</v>
      </c>
      <c r="Q46" s="21">
        <f>P46*Calculation_Assumptions!$B$14*J46*K46</f>
        <v>0</v>
      </c>
      <c r="R46" s="21">
        <f t="shared" si="2"/>
        <v>2547079.0549448719</v>
      </c>
      <c r="S46" s="21">
        <f t="shared" si="3"/>
        <v>2547079.0549448719</v>
      </c>
      <c r="T46" s="32">
        <f>1/(1+Calculation_Assumptions!$B$8)^(B46-Calculation_Assumptions!$B$2)</f>
        <v>0.5873946076162827</v>
      </c>
      <c r="U46" s="21">
        <f t="shared" si="4"/>
        <v>0</v>
      </c>
      <c r="V46" s="21">
        <f t="shared" si="5"/>
        <v>1496140.5020469953</v>
      </c>
      <c r="W46" s="21">
        <f t="shared" si="6"/>
        <v>1496140.5020469953</v>
      </c>
      <c r="X46">
        <v>0</v>
      </c>
      <c r="Y46" s="18">
        <v>2017</v>
      </c>
      <c r="Z46" t="s">
        <v>387</v>
      </c>
      <c r="AA46" s="21">
        <f t="shared" si="7"/>
        <v>1</v>
      </c>
    </row>
    <row r="47" spans="1:27">
      <c r="A47" t="s">
        <v>192</v>
      </c>
      <c r="B47" s="18">
        <v>2044</v>
      </c>
      <c r="C47" t="s">
        <v>192</v>
      </c>
      <c r="D47" s="20" t="s">
        <v>389</v>
      </c>
      <c r="E47" s="20" t="s">
        <v>390</v>
      </c>
      <c r="F47" s="20" t="s">
        <v>195</v>
      </c>
      <c r="G47" s="20" t="s">
        <v>382</v>
      </c>
      <c r="H47" s="20" t="s">
        <v>384</v>
      </c>
      <c r="I47" s="29">
        <v>1</v>
      </c>
      <c r="J47" s="30">
        <v>1</v>
      </c>
      <c r="K47" s="31">
        <v>4.0000000000000001E-3</v>
      </c>
      <c r="L47" s="9">
        <v>639214507.09251404</v>
      </c>
      <c r="M47" s="9">
        <v>639211548.58069301</v>
      </c>
      <c r="N47" s="32">
        <f>MIN(MAX((B47-Calculation_Assumptions!$B$5+1)/Calculation_Assumptions!$B$7,0),1)</f>
        <v>1</v>
      </c>
      <c r="O47" s="21">
        <f t="shared" si="0"/>
        <v>639214507.09251404</v>
      </c>
      <c r="P47" s="21">
        <f t="shared" si="1"/>
        <v>639211548.58069301</v>
      </c>
      <c r="Q47" s="21">
        <f>P47*Calculation_Assumptions!$B$14*J47*K47</f>
        <v>0</v>
      </c>
      <c r="R47" s="21">
        <f t="shared" si="2"/>
        <v>2556858.0283700563</v>
      </c>
      <c r="S47" s="21">
        <f t="shared" si="3"/>
        <v>2556858.0283700563</v>
      </c>
      <c r="T47" s="32">
        <f>1/(1+Calculation_Assumptions!$B$8)^(B47-Calculation_Assumptions!$B$2)</f>
        <v>0.57028602681192497</v>
      </c>
      <c r="U47" s="21">
        <f t="shared" si="4"/>
        <v>0</v>
      </c>
      <c r="V47" s="21">
        <f t="shared" si="5"/>
        <v>1458140.4061213315</v>
      </c>
      <c r="W47" s="21">
        <f t="shared" si="6"/>
        <v>1458140.4061213315</v>
      </c>
      <c r="X47">
        <v>0</v>
      </c>
      <c r="Y47" s="18">
        <v>2017</v>
      </c>
      <c r="Z47" t="s">
        <v>387</v>
      </c>
      <c r="AA47" s="21">
        <f t="shared" si="7"/>
        <v>1</v>
      </c>
    </row>
    <row r="48" spans="1:27">
      <c r="A48" t="s">
        <v>192</v>
      </c>
      <c r="B48" s="18">
        <v>2045</v>
      </c>
      <c r="C48" t="s">
        <v>192</v>
      </c>
      <c r="D48" s="20" t="s">
        <v>389</v>
      </c>
      <c r="E48" s="20" t="s">
        <v>390</v>
      </c>
      <c r="F48" s="20" t="s">
        <v>195</v>
      </c>
      <c r="G48" s="20" t="s">
        <v>382</v>
      </c>
      <c r="H48" s="20" t="s">
        <v>384</v>
      </c>
      <c r="I48" s="29">
        <v>1</v>
      </c>
      <c r="J48" s="30">
        <v>1</v>
      </c>
      <c r="K48" s="31">
        <v>4.0000000000000001E-3</v>
      </c>
      <c r="L48" s="9">
        <v>641523924.89735305</v>
      </c>
      <c r="M48" s="9">
        <v>641520754.67294204</v>
      </c>
      <c r="N48" s="32">
        <f>MIN(MAX((B48-Calculation_Assumptions!$B$5+1)/Calculation_Assumptions!$B$7,0),1)</f>
        <v>1</v>
      </c>
      <c r="O48" s="21">
        <f t="shared" si="0"/>
        <v>641523924.89735305</v>
      </c>
      <c r="P48" s="21">
        <f t="shared" si="1"/>
        <v>641520754.67294204</v>
      </c>
      <c r="Q48" s="21">
        <f>P48*Calculation_Assumptions!$B$14*J48*K48</f>
        <v>0</v>
      </c>
      <c r="R48" s="21">
        <f t="shared" si="2"/>
        <v>2566095.6995894122</v>
      </c>
      <c r="S48" s="21">
        <f t="shared" si="3"/>
        <v>2566095.6995894122</v>
      </c>
      <c r="T48" s="32">
        <f>1/(1+Calculation_Assumptions!$B$8)^(B48-Calculation_Assumptions!$B$2)</f>
        <v>0.55367575418633497</v>
      </c>
      <c r="U48" s="21">
        <f t="shared" si="4"/>
        <v>0</v>
      </c>
      <c r="V48" s="21">
        <f t="shared" si="5"/>
        <v>1420784.9717844788</v>
      </c>
      <c r="W48" s="21">
        <f t="shared" si="6"/>
        <v>1420784.9717844788</v>
      </c>
      <c r="X48">
        <v>0</v>
      </c>
      <c r="Y48" s="18">
        <v>2017</v>
      </c>
      <c r="Z48" t="s">
        <v>387</v>
      </c>
      <c r="AA48" s="21">
        <f t="shared" si="7"/>
        <v>1</v>
      </c>
    </row>
    <row r="49" spans="1:27">
      <c r="A49" t="s">
        <v>192</v>
      </c>
      <c r="B49" s="18">
        <v>2046</v>
      </c>
      <c r="C49" t="s">
        <v>192</v>
      </c>
      <c r="D49" s="20" t="s">
        <v>389</v>
      </c>
      <c r="E49" s="20" t="s">
        <v>390</v>
      </c>
      <c r="F49" s="20" t="s">
        <v>195</v>
      </c>
      <c r="G49" s="20" t="s">
        <v>382</v>
      </c>
      <c r="H49" s="20" t="s">
        <v>384</v>
      </c>
      <c r="I49" s="29">
        <v>1</v>
      </c>
      <c r="J49" s="30">
        <v>1</v>
      </c>
      <c r="K49" s="31">
        <v>4.0000000000000001E-3</v>
      </c>
      <c r="L49" s="9">
        <v>643700708.44855905</v>
      </c>
      <c r="M49" s="9">
        <v>643697330.762573</v>
      </c>
      <c r="N49" s="32">
        <f>MIN(MAX((B49-Calculation_Assumptions!$B$5+1)/Calculation_Assumptions!$B$7,0),1)</f>
        <v>1</v>
      </c>
      <c r="O49" s="21">
        <f t="shared" si="0"/>
        <v>643700708.44855905</v>
      </c>
      <c r="P49" s="21">
        <f t="shared" si="1"/>
        <v>643697330.762573</v>
      </c>
      <c r="Q49" s="21">
        <f>P49*Calculation_Assumptions!$B$14*J49*K49</f>
        <v>0</v>
      </c>
      <c r="R49" s="21">
        <f t="shared" si="2"/>
        <v>2574802.8337942362</v>
      </c>
      <c r="S49" s="21">
        <f t="shared" si="3"/>
        <v>2574802.8337942362</v>
      </c>
      <c r="T49" s="32">
        <f>1/(1+Calculation_Assumptions!$B$8)^(B49-Calculation_Assumptions!$B$2)</f>
        <v>0.5375492759090631</v>
      </c>
      <c r="U49" s="21">
        <f t="shared" si="4"/>
        <v>0</v>
      </c>
      <c r="V49" s="21">
        <f t="shared" si="5"/>
        <v>1384083.3989146955</v>
      </c>
      <c r="W49" s="21">
        <f t="shared" si="6"/>
        <v>1384083.3989146955</v>
      </c>
      <c r="X49">
        <v>0</v>
      </c>
      <c r="Y49" s="18">
        <v>2017</v>
      </c>
      <c r="Z49" t="s">
        <v>387</v>
      </c>
      <c r="AA49" s="21">
        <f t="shared" si="7"/>
        <v>1</v>
      </c>
    </row>
    <row r="50" spans="1:27">
      <c r="A50" t="s">
        <v>192</v>
      </c>
      <c r="B50" s="18">
        <v>2047</v>
      </c>
      <c r="C50" t="s">
        <v>192</v>
      </c>
      <c r="D50" s="20" t="s">
        <v>389</v>
      </c>
      <c r="E50" s="20" t="s">
        <v>390</v>
      </c>
      <c r="F50" s="20" t="s">
        <v>195</v>
      </c>
      <c r="G50" s="20" t="s">
        <v>382</v>
      </c>
      <c r="H50" s="20" t="s">
        <v>384</v>
      </c>
      <c r="I50" s="29">
        <v>1</v>
      </c>
      <c r="J50" s="30">
        <v>1</v>
      </c>
      <c r="K50" s="31">
        <v>4.0000000000000001E-3</v>
      </c>
      <c r="L50" s="9">
        <v>645749494.75220895</v>
      </c>
      <c r="M50" s="9">
        <v>645745914.53009498</v>
      </c>
      <c r="N50" s="32">
        <f>MIN(MAX((B50-Calculation_Assumptions!$B$5+1)/Calculation_Assumptions!$B$7,0),1)</f>
        <v>1</v>
      </c>
      <c r="O50" s="21">
        <f t="shared" si="0"/>
        <v>645749494.75220895</v>
      </c>
      <c r="P50" s="21">
        <f t="shared" si="1"/>
        <v>645745914.53009498</v>
      </c>
      <c r="Q50" s="21">
        <f>P50*Calculation_Assumptions!$B$14*J50*K50</f>
        <v>0</v>
      </c>
      <c r="R50" s="21">
        <f t="shared" si="2"/>
        <v>2582997.9790088357</v>
      </c>
      <c r="S50" s="21">
        <f t="shared" si="3"/>
        <v>2582997.9790088357</v>
      </c>
      <c r="T50" s="32">
        <f>1/(1+Calculation_Assumptions!$B$8)^(B50-Calculation_Assumptions!$B$2)</f>
        <v>0.52189250088258554</v>
      </c>
      <c r="U50" s="21">
        <f t="shared" si="4"/>
        <v>0</v>
      </c>
      <c r="V50" s="21">
        <f t="shared" si="5"/>
        <v>1348047.2750395855</v>
      </c>
      <c r="W50" s="21">
        <f t="shared" si="6"/>
        <v>1348047.2750395855</v>
      </c>
      <c r="X50">
        <v>0</v>
      </c>
      <c r="Y50" s="18">
        <v>2017</v>
      </c>
      <c r="Z50" t="s">
        <v>387</v>
      </c>
      <c r="AA50" s="21">
        <f t="shared" si="7"/>
        <v>1</v>
      </c>
    </row>
    <row r="51" spans="1:27">
      <c r="A51" t="s">
        <v>192</v>
      </c>
      <c r="B51" s="18">
        <v>2048</v>
      </c>
      <c r="C51" t="s">
        <v>192</v>
      </c>
      <c r="D51" s="20" t="s">
        <v>389</v>
      </c>
      <c r="E51" s="20" t="s">
        <v>390</v>
      </c>
      <c r="F51" s="20" t="s">
        <v>195</v>
      </c>
      <c r="G51" s="20" t="s">
        <v>382</v>
      </c>
      <c r="H51" s="20" t="s">
        <v>384</v>
      </c>
      <c r="I51" s="29">
        <v>1</v>
      </c>
      <c r="J51" s="30">
        <v>1</v>
      </c>
      <c r="K51" s="31">
        <v>4.0000000000000001E-3</v>
      </c>
      <c r="L51" s="9">
        <v>647638359.61013103</v>
      </c>
      <c r="M51" s="9">
        <v>647666796.64810395</v>
      </c>
      <c r="N51" s="32">
        <f>MIN(MAX((B51-Calculation_Assumptions!$B$5+1)/Calculation_Assumptions!$B$7,0),1)</f>
        <v>1</v>
      </c>
      <c r="O51" s="21">
        <f t="shared" si="0"/>
        <v>647638359.61013103</v>
      </c>
      <c r="P51" s="21">
        <f t="shared" si="1"/>
        <v>647666796.64810395</v>
      </c>
      <c r="Q51" s="21">
        <f>P51*Calculation_Assumptions!$B$14*J51*K51</f>
        <v>0</v>
      </c>
      <c r="R51" s="21">
        <f t="shared" si="2"/>
        <v>2590553.438440524</v>
      </c>
      <c r="S51" s="21">
        <f t="shared" si="3"/>
        <v>2590553.438440524</v>
      </c>
      <c r="T51" s="32">
        <f>1/(1+Calculation_Assumptions!$B$8)^(B51-Calculation_Assumptions!$B$2)</f>
        <v>0.50669174842969467</v>
      </c>
      <c r="U51" s="21">
        <f t="shared" si="4"/>
        <v>0</v>
      </c>
      <c r="V51" s="21">
        <f t="shared" si="5"/>
        <v>1312612.0511239865</v>
      </c>
      <c r="W51" s="21">
        <f t="shared" si="6"/>
        <v>1312612.0511239865</v>
      </c>
      <c r="X51">
        <v>0</v>
      </c>
      <c r="Y51" s="18">
        <v>2017</v>
      </c>
      <c r="Z51" t="s">
        <v>387</v>
      </c>
      <c r="AA51" s="21">
        <f t="shared" si="7"/>
        <v>1</v>
      </c>
    </row>
    <row r="52" spans="1:27">
      <c r="A52" t="s">
        <v>192</v>
      </c>
      <c r="B52" s="18">
        <v>2049</v>
      </c>
      <c r="C52" t="s">
        <v>192</v>
      </c>
      <c r="D52" s="20" t="s">
        <v>389</v>
      </c>
      <c r="E52" s="20" t="s">
        <v>390</v>
      </c>
      <c r="F52" s="20" t="s">
        <v>195</v>
      </c>
      <c r="G52" s="20" t="s">
        <v>382</v>
      </c>
      <c r="H52" s="20" t="s">
        <v>384</v>
      </c>
      <c r="I52" s="29">
        <v>1</v>
      </c>
      <c r="J52" s="30">
        <v>1</v>
      </c>
      <c r="K52" s="31">
        <v>4.0000000000000001E-3</v>
      </c>
      <c r="L52" s="9">
        <v>649425927.34483302</v>
      </c>
      <c r="M52" s="9">
        <v>649421968.02473402</v>
      </c>
      <c r="N52" s="32">
        <f>MIN(MAX((B52-Calculation_Assumptions!$B$5+1)/Calculation_Assumptions!$B$7,0),1)</f>
        <v>1</v>
      </c>
      <c r="O52" s="21">
        <f t="shared" si="0"/>
        <v>649425927.34483302</v>
      </c>
      <c r="P52" s="21">
        <f t="shared" si="1"/>
        <v>649421968.02473402</v>
      </c>
      <c r="Q52" s="21">
        <f>P52*Calculation_Assumptions!$B$14*J52*K52</f>
        <v>0</v>
      </c>
      <c r="R52" s="21">
        <f t="shared" si="2"/>
        <v>2597703.7093793321</v>
      </c>
      <c r="S52" s="21">
        <f t="shared" si="3"/>
        <v>2597703.7093793321</v>
      </c>
      <c r="T52" s="32">
        <f>1/(1+Calculation_Assumptions!$B$8)^(B52-Calculation_Assumptions!$B$2)</f>
        <v>0.49193373633950943</v>
      </c>
      <c r="U52" s="21">
        <f t="shared" si="4"/>
        <v>0</v>
      </c>
      <c r="V52" s="21">
        <f t="shared" si="5"/>
        <v>1277898.091657978</v>
      </c>
      <c r="W52" s="21">
        <f t="shared" si="6"/>
        <v>1277898.091657978</v>
      </c>
      <c r="X52">
        <v>0</v>
      </c>
      <c r="Y52" s="18">
        <v>2017</v>
      </c>
      <c r="Z52" t="s">
        <v>387</v>
      </c>
      <c r="AA52" s="21">
        <f t="shared" si="7"/>
        <v>1</v>
      </c>
    </row>
    <row r="53" spans="1:27">
      <c r="A53" t="s">
        <v>192</v>
      </c>
      <c r="B53" s="18">
        <v>2050</v>
      </c>
      <c r="C53" t="s">
        <v>192</v>
      </c>
      <c r="D53" s="20" t="s">
        <v>389</v>
      </c>
      <c r="E53" s="20" t="s">
        <v>390</v>
      </c>
      <c r="F53" s="20" t="s">
        <v>195</v>
      </c>
      <c r="G53" s="20" t="s">
        <v>382</v>
      </c>
      <c r="H53" s="20" t="s">
        <v>384</v>
      </c>
      <c r="I53" s="29">
        <v>1</v>
      </c>
      <c r="J53" s="30">
        <v>1</v>
      </c>
      <c r="K53" s="31">
        <v>4.0000000000000001E-3</v>
      </c>
      <c r="L53" s="9">
        <v>651078600.16114604</v>
      </c>
      <c r="M53" s="9">
        <v>651074457.25957894</v>
      </c>
      <c r="N53" s="32">
        <f>MIN(MAX((B53-Calculation_Assumptions!$B$5+1)/Calculation_Assumptions!$B$7,0),1)</f>
        <v>1</v>
      </c>
      <c r="O53" s="21">
        <f t="shared" si="0"/>
        <v>651078600.16114604</v>
      </c>
      <c r="P53" s="21">
        <f t="shared" si="1"/>
        <v>651074457.25957894</v>
      </c>
      <c r="Q53" s="21">
        <f>P53*Calculation_Assumptions!$B$14*J53*K53</f>
        <v>0</v>
      </c>
      <c r="R53" s="21">
        <f t="shared" si="2"/>
        <v>2604314.4006445841</v>
      </c>
      <c r="S53" s="21">
        <f t="shared" si="3"/>
        <v>2604314.4006445841</v>
      </c>
      <c r="T53" s="32">
        <f>1/(1+Calculation_Assumptions!$B$8)^(B53-Calculation_Assumptions!$B$2)</f>
        <v>0.47760556926165965</v>
      </c>
      <c r="U53" s="21">
        <f t="shared" si="4"/>
        <v>0</v>
      </c>
      <c r="V53" s="21">
        <f t="shared" si="5"/>
        <v>1243835.0618561946</v>
      </c>
      <c r="W53" s="21">
        <f t="shared" si="6"/>
        <v>1243835.0618561946</v>
      </c>
      <c r="X53">
        <v>0</v>
      </c>
      <c r="Y53" s="18">
        <v>2017</v>
      </c>
      <c r="Z53" t="s">
        <v>387</v>
      </c>
      <c r="AA53" s="21">
        <f t="shared" si="7"/>
        <v>1</v>
      </c>
    </row>
    <row r="54" spans="1:27">
      <c r="A54" t="s">
        <v>265</v>
      </c>
      <c r="B54" s="18">
        <v>2025</v>
      </c>
      <c r="C54" t="s">
        <v>265</v>
      </c>
      <c r="D54" s="20" t="s">
        <v>409</v>
      </c>
      <c r="E54" s="20" t="s">
        <v>410</v>
      </c>
      <c r="F54" s="20" t="s">
        <v>268</v>
      </c>
      <c r="G54" s="20" t="s">
        <v>393</v>
      </c>
      <c r="H54" s="20" t="s">
        <v>384</v>
      </c>
      <c r="I54" s="29">
        <v>1</v>
      </c>
      <c r="J54" s="30">
        <v>1</v>
      </c>
      <c r="K54" s="31">
        <v>7.7000000000000002E-3</v>
      </c>
      <c r="L54" s="9">
        <v>575134853.59312999</v>
      </c>
      <c r="M54" s="9">
        <v>575134853.59312999</v>
      </c>
      <c r="N54" s="32">
        <f>MIN(MAX((B54-Calculation_Assumptions!$B$5+1)/Calculation_Assumptions!$B$7,0),1)</f>
        <v>0</v>
      </c>
      <c r="O54" s="21">
        <f t="shared" si="0"/>
        <v>575134853.59312999</v>
      </c>
      <c r="P54" s="21">
        <f t="shared" si="1"/>
        <v>575134853.59312999</v>
      </c>
      <c r="Q54" s="21">
        <f>P54*Calculation_Assumptions!$B$14*J54*K54</f>
        <v>0</v>
      </c>
      <c r="R54" s="21">
        <f t="shared" si="2"/>
        <v>0</v>
      </c>
      <c r="S54" s="21">
        <f t="shared" si="3"/>
        <v>0</v>
      </c>
      <c r="T54" s="32">
        <f>1/(1+Calculation_Assumptions!$B$8)^(B54-Calculation_Assumptions!$B$2)</f>
        <v>1</v>
      </c>
      <c r="U54" s="21">
        <f t="shared" si="4"/>
        <v>0</v>
      </c>
      <c r="V54" s="21">
        <f t="shared" si="5"/>
        <v>0</v>
      </c>
      <c r="W54" s="21">
        <f t="shared" si="6"/>
        <v>0</v>
      </c>
      <c r="X54">
        <v>0</v>
      </c>
      <c r="Y54" s="18">
        <v>2017</v>
      </c>
      <c r="Z54" t="s">
        <v>387</v>
      </c>
      <c r="AA54" s="21">
        <f t="shared" si="7"/>
        <v>1</v>
      </c>
    </row>
    <row r="55" spans="1:27">
      <c r="A55" t="s">
        <v>265</v>
      </c>
      <c r="B55" s="18">
        <v>2026</v>
      </c>
      <c r="C55" t="s">
        <v>265</v>
      </c>
      <c r="D55" s="20" t="s">
        <v>409</v>
      </c>
      <c r="E55" s="20" t="s">
        <v>410</v>
      </c>
      <c r="F55" s="20" t="s">
        <v>268</v>
      </c>
      <c r="G55" s="20" t="s">
        <v>393</v>
      </c>
      <c r="H55" s="20" t="s">
        <v>384</v>
      </c>
      <c r="I55" s="29">
        <v>1</v>
      </c>
      <c r="J55" s="30">
        <v>1</v>
      </c>
      <c r="K55" s="31">
        <v>7.7000000000000002E-3</v>
      </c>
      <c r="L55" s="9">
        <v>579268647.32329595</v>
      </c>
      <c r="M55" s="9">
        <v>579268647.32329595</v>
      </c>
      <c r="N55" s="32">
        <f>MIN(MAX((B55-Calculation_Assumptions!$B$5+1)/Calculation_Assumptions!$B$7,0),1)</f>
        <v>0.33333333333333331</v>
      </c>
      <c r="O55" s="21">
        <f t="shared" si="0"/>
        <v>579268647.32329595</v>
      </c>
      <c r="P55" s="21">
        <f t="shared" si="1"/>
        <v>579268647.32329595</v>
      </c>
      <c r="Q55" s="21">
        <f>P55*Calculation_Assumptions!$B$14*J55*K55</f>
        <v>0</v>
      </c>
      <c r="R55" s="21">
        <f t="shared" si="2"/>
        <v>1486789.528129793</v>
      </c>
      <c r="S55" s="21">
        <f t="shared" si="3"/>
        <v>1486789.528129793</v>
      </c>
      <c r="T55" s="32">
        <f>1/(1+Calculation_Assumptions!$B$8)^(B55-Calculation_Assumptions!$B$2)</f>
        <v>0.970873786407767</v>
      </c>
      <c r="U55" s="21">
        <f t="shared" si="4"/>
        <v>0</v>
      </c>
      <c r="V55" s="21">
        <f t="shared" si="5"/>
        <v>1443484.9787667894</v>
      </c>
      <c r="W55" s="21">
        <f t="shared" si="6"/>
        <v>1443484.9787667894</v>
      </c>
      <c r="X55">
        <v>0</v>
      </c>
      <c r="Y55" s="18">
        <v>2017</v>
      </c>
      <c r="Z55" t="s">
        <v>387</v>
      </c>
      <c r="AA55" s="21">
        <f t="shared" si="7"/>
        <v>1</v>
      </c>
    </row>
    <row r="56" spans="1:27">
      <c r="A56" t="s">
        <v>265</v>
      </c>
      <c r="B56" s="18">
        <v>2027</v>
      </c>
      <c r="C56" t="s">
        <v>265</v>
      </c>
      <c r="D56" s="20" t="s">
        <v>409</v>
      </c>
      <c r="E56" s="20" t="s">
        <v>410</v>
      </c>
      <c r="F56" s="20" t="s">
        <v>268</v>
      </c>
      <c r="G56" s="20" t="s">
        <v>393</v>
      </c>
      <c r="H56" s="20" t="s">
        <v>384</v>
      </c>
      <c r="I56" s="29">
        <v>1</v>
      </c>
      <c r="J56" s="30">
        <v>1</v>
      </c>
      <c r="K56" s="31">
        <v>7.7000000000000002E-3</v>
      </c>
      <c r="L56" s="9">
        <v>583039014.28645599</v>
      </c>
      <c r="M56" s="9">
        <v>583039014.28645599</v>
      </c>
      <c r="N56" s="32">
        <f>MIN(MAX((B56-Calculation_Assumptions!$B$5+1)/Calculation_Assumptions!$B$7,0),1)</f>
        <v>0.66666666666666663</v>
      </c>
      <c r="O56" s="21">
        <f t="shared" si="0"/>
        <v>583039014.28645599</v>
      </c>
      <c r="P56" s="21">
        <f t="shared" si="1"/>
        <v>583039014.28645599</v>
      </c>
      <c r="Q56" s="21">
        <f>P56*Calculation_Assumptions!$B$14*J56*K56</f>
        <v>0</v>
      </c>
      <c r="R56" s="21">
        <f t="shared" si="2"/>
        <v>2992933.6066704742</v>
      </c>
      <c r="S56" s="21">
        <f t="shared" si="3"/>
        <v>2992933.6066704742</v>
      </c>
      <c r="T56" s="32">
        <f>1/(1+Calculation_Assumptions!$B$8)^(B56-Calculation_Assumptions!$B$2)</f>
        <v>0.94259590913375435</v>
      </c>
      <c r="U56" s="21">
        <f t="shared" si="4"/>
        <v>0</v>
      </c>
      <c r="V56" s="21">
        <f t="shared" si="5"/>
        <v>2821126.9739565221</v>
      </c>
      <c r="W56" s="21">
        <f t="shared" si="6"/>
        <v>2821126.9739565221</v>
      </c>
      <c r="X56">
        <v>0</v>
      </c>
      <c r="Y56" s="18">
        <v>2017</v>
      </c>
      <c r="Z56" t="s">
        <v>387</v>
      </c>
      <c r="AA56" s="21">
        <f t="shared" si="7"/>
        <v>1</v>
      </c>
    </row>
    <row r="57" spans="1:27">
      <c r="A57" t="s">
        <v>265</v>
      </c>
      <c r="B57" s="18">
        <v>2028</v>
      </c>
      <c r="C57" t="s">
        <v>265</v>
      </c>
      <c r="D57" s="20" t="s">
        <v>409</v>
      </c>
      <c r="E57" s="20" t="s">
        <v>410</v>
      </c>
      <c r="F57" s="20" t="s">
        <v>268</v>
      </c>
      <c r="G57" s="20" t="s">
        <v>393</v>
      </c>
      <c r="H57" s="20" t="s">
        <v>384</v>
      </c>
      <c r="I57" s="29">
        <v>1</v>
      </c>
      <c r="J57" s="30">
        <v>1</v>
      </c>
      <c r="K57" s="31">
        <v>7.7000000000000002E-3</v>
      </c>
      <c r="L57" s="9">
        <v>587035116.25746298</v>
      </c>
      <c r="M57" s="9">
        <v>587035116.25746298</v>
      </c>
      <c r="N57" s="32">
        <f>MIN(MAX((B57-Calculation_Assumptions!$B$5+1)/Calculation_Assumptions!$B$7,0),1)</f>
        <v>1</v>
      </c>
      <c r="O57" s="21">
        <f t="shared" si="0"/>
        <v>587035116.25746298</v>
      </c>
      <c r="P57" s="21">
        <f t="shared" si="1"/>
        <v>587035116.25746298</v>
      </c>
      <c r="Q57" s="21">
        <f>P57*Calculation_Assumptions!$B$14*J57*K57</f>
        <v>0</v>
      </c>
      <c r="R57" s="21">
        <f t="shared" si="2"/>
        <v>4520170.3951824652</v>
      </c>
      <c r="S57" s="21">
        <f t="shared" si="3"/>
        <v>4520170.3951824652</v>
      </c>
      <c r="T57" s="32">
        <f>1/(1+Calculation_Assumptions!$B$8)^(B57-Calculation_Assumptions!$B$2)</f>
        <v>0.91514165935315961</v>
      </c>
      <c r="U57" s="21">
        <f t="shared" si="4"/>
        <v>0</v>
      </c>
      <c r="V57" s="21">
        <f t="shared" si="5"/>
        <v>4136596.2360063083</v>
      </c>
      <c r="W57" s="21">
        <f t="shared" si="6"/>
        <v>4136596.2360063083</v>
      </c>
      <c r="X57">
        <v>0</v>
      </c>
      <c r="Y57" s="18">
        <v>2017</v>
      </c>
      <c r="Z57" t="s">
        <v>387</v>
      </c>
      <c r="AA57" s="21">
        <f t="shared" si="7"/>
        <v>1</v>
      </c>
    </row>
    <row r="58" spans="1:27">
      <c r="A58" t="s">
        <v>265</v>
      </c>
      <c r="B58" s="18">
        <v>2029</v>
      </c>
      <c r="C58" t="s">
        <v>265</v>
      </c>
      <c r="D58" s="20" t="s">
        <v>409</v>
      </c>
      <c r="E58" s="20" t="s">
        <v>410</v>
      </c>
      <c r="F58" s="20" t="s">
        <v>268</v>
      </c>
      <c r="G58" s="20" t="s">
        <v>393</v>
      </c>
      <c r="H58" s="20" t="s">
        <v>384</v>
      </c>
      <c r="I58" s="29">
        <v>1</v>
      </c>
      <c r="J58" s="30">
        <v>1</v>
      </c>
      <c r="K58" s="31">
        <v>7.7000000000000002E-3</v>
      </c>
      <c r="L58" s="9">
        <v>590749549.87555397</v>
      </c>
      <c r="M58" s="9">
        <v>590968059.72178304</v>
      </c>
      <c r="N58" s="32">
        <f>MIN(MAX((B58-Calculation_Assumptions!$B$5+1)/Calculation_Assumptions!$B$7,0),1)</f>
        <v>1</v>
      </c>
      <c r="O58" s="21">
        <f t="shared" si="0"/>
        <v>590749549.87555397</v>
      </c>
      <c r="P58" s="21">
        <f t="shared" si="1"/>
        <v>590968059.72178304</v>
      </c>
      <c r="Q58" s="21">
        <f>P58*Calculation_Assumptions!$B$14*J58*K58</f>
        <v>0</v>
      </c>
      <c r="R58" s="21">
        <f t="shared" si="2"/>
        <v>4548771.5340417661</v>
      </c>
      <c r="S58" s="21">
        <f t="shared" si="3"/>
        <v>4548771.5340417661</v>
      </c>
      <c r="T58" s="32">
        <f>1/(1+Calculation_Assumptions!$B$8)^(B58-Calculation_Assumptions!$B$2)</f>
        <v>0.888487047915689</v>
      </c>
      <c r="U58" s="21">
        <f t="shared" si="4"/>
        <v>0</v>
      </c>
      <c r="V58" s="21">
        <f t="shared" si="5"/>
        <v>4041524.5919236885</v>
      </c>
      <c r="W58" s="21">
        <f t="shared" si="6"/>
        <v>4041524.5919236885</v>
      </c>
      <c r="X58">
        <v>0</v>
      </c>
      <c r="Y58" s="18">
        <v>2017</v>
      </c>
      <c r="Z58" t="s">
        <v>387</v>
      </c>
      <c r="AA58" s="21">
        <f t="shared" si="7"/>
        <v>1</v>
      </c>
    </row>
    <row r="59" spans="1:27">
      <c r="A59" t="s">
        <v>265</v>
      </c>
      <c r="B59" s="18">
        <v>2030</v>
      </c>
      <c r="C59" t="s">
        <v>265</v>
      </c>
      <c r="D59" s="20" t="s">
        <v>409</v>
      </c>
      <c r="E59" s="20" t="s">
        <v>410</v>
      </c>
      <c r="F59" s="20" t="s">
        <v>268</v>
      </c>
      <c r="G59" s="20" t="s">
        <v>393</v>
      </c>
      <c r="H59" s="20" t="s">
        <v>384</v>
      </c>
      <c r="I59" s="29">
        <v>1</v>
      </c>
      <c r="J59" s="30">
        <v>1</v>
      </c>
      <c r="K59" s="31">
        <v>7.7000000000000002E-3</v>
      </c>
      <c r="L59" s="9">
        <v>594614241.58143198</v>
      </c>
      <c r="M59" s="9">
        <v>594808018.62654305</v>
      </c>
      <c r="N59" s="32">
        <f>MIN(MAX((B59-Calculation_Assumptions!$B$5+1)/Calculation_Assumptions!$B$7,0),1)</f>
        <v>1</v>
      </c>
      <c r="O59" s="21">
        <f t="shared" si="0"/>
        <v>594614241.58143198</v>
      </c>
      <c r="P59" s="21">
        <f t="shared" si="1"/>
        <v>594808018.62654305</v>
      </c>
      <c r="Q59" s="21">
        <f>P59*Calculation_Assumptions!$B$14*J59*K59</f>
        <v>0</v>
      </c>
      <c r="R59" s="21">
        <f t="shared" si="2"/>
        <v>4578529.6601770269</v>
      </c>
      <c r="S59" s="21">
        <f t="shared" si="3"/>
        <v>4578529.6601770269</v>
      </c>
      <c r="T59" s="32">
        <f>1/(1+Calculation_Assumptions!$B$8)^(B59-Calculation_Assumptions!$B$2)</f>
        <v>0.86260878438416411</v>
      </c>
      <c r="U59" s="21">
        <f t="shared" si="4"/>
        <v>0</v>
      </c>
      <c r="V59" s="21">
        <f t="shared" si="5"/>
        <v>3949479.9044321449</v>
      </c>
      <c r="W59" s="21">
        <f t="shared" si="6"/>
        <v>3949479.9044321449</v>
      </c>
      <c r="X59">
        <v>0</v>
      </c>
      <c r="Y59" s="18">
        <v>2017</v>
      </c>
      <c r="Z59" t="s">
        <v>387</v>
      </c>
      <c r="AA59" s="21">
        <f t="shared" si="7"/>
        <v>1</v>
      </c>
    </row>
    <row r="60" spans="1:27">
      <c r="A60" t="s">
        <v>265</v>
      </c>
      <c r="B60" s="18">
        <v>2031</v>
      </c>
      <c r="C60" t="s">
        <v>265</v>
      </c>
      <c r="D60" s="20" t="s">
        <v>409</v>
      </c>
      <c r="E60" s="20" t="s">
        <v>410</v>
      </c>
      <c r="F60" s="20" t="s">
        <v>268</v>
      </c>
      <c r="G60" s="20" t="s">
        <v>393</v>
      </c>
      <c r="H60" s="20" t="s">
        <v>384</v>
      </c>
      <c r="I60" s="29">
        <v>1</v>
      </c>
      <c r="J60" s="30">
        <v>1</v>
      </c>
      <c r="K60" s="31">
        <v>7.7000000000000002E-3</v>
      </c>
      <c r="L60" s="9">
        <v>598411554.37614703</v>
      </c>
      <c r="M60" s="9">
        <v>598581381.03442597</v>
      </c>
      <c r="N60" s="32">
        <f>MIN(MAX((B60-Calculation_Assumptions!$B$5+1)/Calculation_Assumptions!$B$7,0),1)</f>
        <v>1</v>
      </c>
      <c r="O60" s="21">
        <f t="shared" si="0"/>
        <v>598411554.37614703</v>
      </c>
      <c r="P60" s="21">
        <f t="shared" si="1"/>
        <v>598581381.03442597</v>
      </c>
      <c r="Q60" s="21">
        <f>P60*Calculation_Assumptions!$B$14*J60*K60</f>
        <v>0</v>
      </c>
      <c r="R60" s="21">
        <f t="shared" si="2"/>
        <v>4607768.9686963325</v>
      </c>
      <c r="S60" s="21">
        <f t="shared" si="3"/>
        <v>4607768.9686963325</v>
      </c>
      <c r="T60" s="32">
        <f>1/(1+Calculation_Assumptions!$B$8)^(B60-Calculation_Assumptions!$B$2)</f>
        <v>0.83748425668365445</v>
      </c>
      <c r="U60" s="21">
        <f t="shared" si="4"/>
        <v>0</v>
      </c>
      <c r="V60" s="21">
        <f t="shared" si="5"/>
        <v>3858933.969718657</v>
      </c>
      <c r="W60" s="21">
        <f t="shared" si="6"/>
        <v>3858933.969718657</v>
      </c>
      <c r="X60">
        <v>0</v>
      </c>
      <c r="Y60" s="18">
        <v>2017</v>
      </c>
      <c r="Z60" t="s">
        <v>387</v>
      </c>
      <c r="AA60" s="21">
        <f t="shared" si="7"/>
        <v>1</v>
      </c>
    </row>
    <row r="61" spans="1:27">
      <c r="A61" t="s">
        <v>265</v>
      </c>
      <c r="B61" s="18">
        <v>2032</v>
      </c>
      <c r="C61" t="s">
        <v>265</v>
      </c>
      <c r="D61" s="20" t="s">
        <v>409</v>
      </c>
      <c r="E61" s="20" t="s">
        <v>410</v>
      </c>
      <c r="F61" s="20" t="s">
        <v>268</v>
      </c>
      <c r="G61" s="20" t="s">
        <v>393</v>
      </c>
      <c r="H61" s="20" t="s">
        <v>384</v>
      </c>
      <c r="I61" s="29">
        <v>1</v>
      </c>
      <c r="J61" s="30">
        <v>1</v>
      </c>
      <c r="K61" s="31">
        <v>7.7000000000000002E-3</v>
      </c>
      <c r="L61" s="9">
        <v>602119676.57615995</v>
      </c>
      <c r="M61" s="9">
        <v>602283583.58638096</v>
      </c>
      <c r="N61" s="32">
        <f>MIN(MAX((B61-Calculation_Assumptions!$B$5+1)/Calculation_Assumptions!$B$7,0),1)</f>
        <v>1</v>
      </c>
      <c r="O61" s="21">
        <f t="shared" si="0"/>
        <v>602119676.57615995</v>
      </c>
      <c r="P61" s="21">
        <f t="shared" si="1"/>
        <v>602283583.58638096</v>
      </c>
      <c r="Q61" s="21">
        <f>P61*Calculation_Assumptions!$B$14*J61*K61</f>
        <v>0</v>
      </c>
      <c r="R61" s="21">
        <f t="shared" si="2"/>
        <v>4636321.5096364319</v>
      </c>
      <c r="S61" s="21">
        <f t="shared" si="3"/>
        <v>4636321.5096364319</v>
      </c>
      <c r="T61" s="32">
        <f>1/(1+Calculation_Assumptions!$B$8)^(B61-Calculation_Assumptions!$B$2)</f>
        <v>0.81309151134335378</v>
      </c>
      <c r="U61" s="21">
        <f t="shared" si="4"/>
        <v>0</v>
      </c>
      <c r="V61" s="21">
        <f t="shared" si="5"/>
        <v>3769753.663343986</v>
      </c>
      <c r="W61" s="21">
        <f t="shared" si="6"/>
        <v>3769753.663343986</v>
      </c>
      <c r="X61">
        <v>0</v>
      </c>
      <c r="Y61" s="18">
        <v>2017</v>
      </c>
      <c r="Z61" t="s">
        <v>387</v>
      </c>
      <c r="AA61" s="21">
        <f t="shared" si="7"/>
        <v>1</v>
      </c>
    </row>
    <row r="62" spans="1:27">
      <c r="A62" t="s">
        <v>265</v>
      </c>
      <c r="B62" s="18">
        <v>2033</v>
      </c>
      <c r="C62" t="s">
        <v>265</v>
      </c>
      <c r="D62" s="20" t="s">
        <v>409</v>
      </c>
      <c r="E62" s="20" t="s">
        <v>410</v>
      </c>
      <c r="F62" s="20" t="s">
        <v>268</v>
      </c>
      <c r="G62" s="20" t="s">
        <v>393</v>
      </c>
      <c r="H62" s="20" t="s">
        <v>384</v>
      </c>
      <c r="I62" s="29">
        <v>1</v>
      </c>
      <c r="J62" s="30">
        <v>1</v>
      </c>
      <c r="K62" s="31">
        <v>7.7000000000000002E-3</v>
      </c>
      <c r="L62" s="9">
        <v>605769114.11622095</v>
      </c>
      <c r="M62" s="9">
        <v>605911902.99473</v>
      </c>
      <c r="N62" s="32">
        <f>MIN(MAX((B62-Calculation_Assumptions!$B$5+1)/Calculation_Assumptions!$B$7,0),1)</f>
        <v>1</v>
      </c>
      <c r="O62" s="21">
        <f t="shared" si="0"/>
        <v>605769114.11622095</v>
      </c>
      <c r="P62" s="21">
        <f t="shared" si="1"/>
        <v>605911902.99473</v>
      </c>
      <c r="Q62" s="21">
        <f>P62*Calculation_Assumptions!$B$14*J62*K62</f>
        <v>0</v>
      </c>
      <c r="R62" s="21">
        <f t="shared" si="2"/>
        <v>4664422.1786949011</v>
      </c>
      <c r="S62" s="21">
        <f t="shared" si="3"/>
        <v>4664422.1786949011</v>
      </c>
      <c r="T62" s="32">
        <f>1/(1+Calculation_Assumptions!$B$8)^(B62-Calculation_Assumptions!$B$2)</f>
        <v>0.78940923431393573</v>
      </c>
      <c r="U62" s="21">
        <f t="shared" si="4"/>
        <v>0</v>
      </c>
      <c r="V62" s="21">
        <f t="shared" si="5"/>
        <v>3682137.9406004818</v>
      </c>
      <c r="W62" s="21">
        <f t="shared" si="6"/>
        <v>3682137.9406004818</v>
      </c>
      <c r="X62">
        <v>0</v>
      </c>
      <c r="Y62" s="18">
        <v>2017</v>
      </c>
      <c r="Z62" t="s">
        <v>387</v>
      </c>
      <c r="AA62" s="21">
        <f t="shared" si="7"/>
        <v>1</v>
      </c>
    </row>
    <row r="63" spans="1:27">
      <c r="A63" t="s">
        <v>265</v>
      </c>
      <c r="B63" s="18">
        <v>2034</v>
      </c>
      <c r="C63" t="s">
        <v>265</v>
      </c>
      <c r="D63" s="20" t="s">
        <v>409</v>
      </c>
      <c r="E63" s="20" t="s">
        <v>410</v>
      </c>
      <c r="F63" s="20" t="s">
        <v>268</v>
      </c>
      <c r="G63" s="20" t="s">
        <v>393</v>
      </c>
      <c r="H63" s="20" t="s">
        <v>384</v>
      </c>
      <c r="I63" s="29">
        <v>1</v>
      </c>
      <c r="J63" s="30">
        <v>1</v>
      </c>
      <c r="K63" s="31">
        <v>7.7000000000000002E-3</v>
      </c>
      <c r="L63" s="9">
        <v>609332329.86208105</v>
      </c>
      <c r="M63" s="9">
        <v>609455548.12077105</v>
      </c>
      <c r="N63" s="32">
        <f>MIN(MAX((B63-Calculation_Assumptions!$B$5+1)/Calculation_Assumptions!$B$7,0),1)</f>
        <v>1</v>
      </c>
      <c r="O63" s="21">
        <f t="shared" si="0"/>
        <v>609332329.86208105</v>
      </c>
      <c r="P63" s="21">
        <f t="shared" si="1"/>
        <v>609455548.12077105</v>
      </c>
      <c r="Q63" s="21">
        <f>P63*Calculation_Assumptions!$B$14*J63*K63</f>
        <v>0</v>
      </c>
      <c r="R63" s="21">
        <f t="shared" si="2"/>
        <v>4691858.9399380246</v>
      </c>
      <c r="S63" s="21">
        <f t="shared" si="3"/>
        <v>4691858.9399380246</v>
      </c>
      <c r="T63" s="32">
        <f>1/(1+Calculation_Assumptions!$B$8)^(B63-Calculation_Assumptions!$B$2)</f>
        <v>0.76641673234362695</v>
      </c>
      <c r="U63" s="21">
        <f t="shared" si="4"/>
        <v>0</v>
      </c>
      <c r="V63" s="21">
        <f t="shared" si="5"/>
        <v>3595919.1973645343</v>
      </c>
      <c r="W63" s="21">
        <f t="shared" si="6"/>
        <v>3595919.1973645343</v>
      </c>
      <c r="X63">
        <v>0</v>
      </c>
      <c r="Y63" s="18">
        <v>2017</v>
      </c>
      <c r="Z63" t="s">
        <v>387</v>
      </c>
      <c r="AA63" s="21">
        <f t="shared" si="7"/>
        <v>1</v>
      </c>
    </row>
    <row r="64" spans="1:27">
      <c r="A64" t="s">
        <v>265</v>
      </c>
      <c r="B64" s="18">
        <v>2035</v>
      </c>
      <c r="C64" t="s">
        <v>265</v>
      </c>
      <c r="D64" s="20" t="s">
        <v>409</v>
      </c>
      <c r="E64" s="20" t="s">
        <v>410</v>
      </c>
      <c r="F64" s="20" t="s">
        <v>268</v>
      </c>
      <c r="G64" s="20" t="s">
        <v>393</v>
      </c>
      <c r="H64" s="20" t="s">
        <v>384</v>
      </c>
      <c r="I64" s="29">
        <v>1</v>
      </c>
      <c r="J64" s="30">
        <v>1</v>
      </c>
      <c r="K64" s="31">
        <v>7.7000000000000002E-3</v>
      </c>
      <c r="L64" s="9">
        <v>612799001.56946301</v>
      </c>
      <c r="M64" s="9">
        <v>612884294.47334194</v>
      </c>
      <c r="N64" s="32">
        <f>MIN(MAX((B64-Calculation_Assumptions!$B$5+1)/Calculation_Assumptions!$B$7,0),1)</f>
        <v>1</v>
      </c>
      <c r="O64" s="21">
        <f t="shared" si="0"/>
        <v>612799001.56946301</v>
      </c>
      <c r="P64" s="21">
        <f t="shared" si="1"/>
        <v>612884294.47334194</v>
      </c>
      <c r="Q64" s="21">
        <f>P64*Calculation_Assumptions!$B$14*J64*K64</f>
        <v>0</v>
      </c>
      <c r="R64" s="21">
        <f t="shared" si="2"/>
        <v>4718552.3120848658</v>
      </c>
      <c r="S64" s="21">
        <f t="shared" si="3"/>
        <v>4718552.3120848658</v>
      </c>
      <c r="T64" s="32">
        <f>1/(1+Calculation_Assumptions!$B$8)^(B64-Calculation_Assumptions!$B$2)</f>
        <v>0.74409391489672516</v>
      </c>
      <c r="U64" s="21">
        <f t="shared" si="4"/>
        <v>0</v>
      </c>
      <c r="V64" s="21">
        <f t="shared" si="5"/>
        <v>3511046.062544222</v>
      </c>
      <c r="W64" s="21">
        <f t="shared" si="6"/>
        <v>3511046.062544222</v>
      </c>
      <c r="X64">
        <v>0</v>
      </c>
      <c r="Y64" s="18">
        <v>2017</v>
      </c>
      <c r="Z64" t="s">
        <v>387</v>
      </c>
      <c r="AA64" s="21">
        <f t="shared" si="7"/>
        <v>1</v>
      </c>
    </row>
    <row r="65" spans="1:27">
      <c r="A65" t="s">
        <v>265</v>
      </c>
      <c r="B65" s="18">
        <v>2036</v>
      </c>
      <c r="C65" t="s">
        <v>265</v>
      </c>
      <c r="D65" s="20" t="s">
        <v>409</v>
      </c>
      <c r="E65" s="20" t="s">
        <v>410</v>
      </c>
      <c r="F65" s="20" t="s">
        <v>268</v>
      </c>
      <c r="G65" s="20" t="s">
        <v>393</v>
      </c>
      <c r="H65" s="20" t="s">
        <v>384</v>
      </c>
      <c r="I65" s="29">
        <v>1</v>
      </c>
      <c r="J65" s="30">
        <v>1</v>
      </c>
      <c r="K65" s="31">
        <v>7.7000000000000002E-3</v>
      </c>
      <c r="L65" s="9">
        <v>616175007.70644701</v>
      </c>
      <c r="M65" s="9">
        <v>616262053.85817397</v>
      </c>
      <c r="N65" s="32">
        <f>MIN(MAX((B65-Calculation_Assumptions!$B$5+1)/Calculation_Assumptions!$B$7,0),1)</f>
        <v>1</v>
      </c>
      <c r="O65" s="21">
        <f t="shared" si="0"/>
        <v>616175007.70644701</v>
      </c>
      <c r="P65" s="21">
        <f t="shared" si="1"/>
        <v>616262053.85817397</v>
      </c>
      <c r="Q65" s="21">
        <f>P65*Calculation_Assumptions!$B$14*J65*K65</f>
        <v>0</v>
      </c>
      <c r="R65" s="21">
        <f t="shared" si="2"/>
        <v>4744547.5593396425</v>
      </c>
      <c r="S65" s="21">
        <f t="shared" si="3"/>
        <v>4744547.5593396425</v>
      </c>
      <c r="T65" s="32">
        <f>1/(1+Calculation_Assumptions!$B$8)^(B65-Calculation_Assumptions!$B$2)</f>
        <v>0.72242127659876232</v>
      </c>
      <c r="U65" s="21">
        <f t="shared" si="4"/>
        <v>0</v>
      </c>
      <c r="V65" s="21">
        <f t="shared" si="5"/>
        <v>3427562.1047016867</v>
      </c>
      <c r="W65" s="21">
        <f t="shared" si="6"/>
        <v>3427562.1047016867</v>
      </c>
      <c r="X65">
        <v>0</v>
      </c>
      <c r="Y65" s="18">
        <v>2017</v>
      </c>
      <c r="Z65" t="s">
        <v>387</v>
      </c>
      <c r="AA65" s="21">
        <f t="shared" si="7"/>
        <v>1</v>
      </c>
    </row>
    <row r="66" spans="1:27">
      <c r="A66" t="s">
        <v>265</v>
      </c>
      <c r="B66" s="18">
        <v>2037</v>
      </c>
      <c r="C66" t="s">
        <v>265</v>
      </c>
      <c r="D66" s="20" t="s">
        <v>409</v>
      </c>
      <c r="E66" s="20" t="s">
        <v>410</v>
      </c>
      <c r="F66" s="20" t="s">
        <v>268</v>
      </c>
      <c r="G66" s="20" t="s">
        <v>393</v>
      </c>
      <c r="H66" s="20" t="s">
        <v>384</v>
      </c>
      <c r="I66" s="29">
        <v>1</v>
      </c>
      <c r="J66" s="30">
        <v>1</v>
      </c>
      <c r="K66" s="31">
        <v>7.7000000000000002E-3</v>
      </c>
      <c r="L66" s="9">
        <v>619458104.72189403</v>
      </c>
      <c r="M66" s="9">
        <v>619529380.90729904</v>
      </c>
      <c r="N66" s="32">
        <f>MIN(MAX((B66-Calculation_Assumptions!$B$5+1)/Calculation_Assumptions!$B$7,0),1)</f>
        <v>1</v>
      </c>
      <c r="O66" s="21">
        <f t="shared" ref="O66:O129" si="8">L66*I66</f>
        <v>619458104.72189403</v>
      </c>
      <c r="P66" s="21">
        <f t="shared" ref="P66:P129" si="9">M66*I66</f>
        <v>619529380.90729904</v>
      </c>
      <c r="Q66" s="21">
        <f>P66*Calculation_Assumptions!$B$14*J66*K66</f>
        <v>0</v>
      </c>
      <c r="R66" s="21">
        <f t="shared" ref="R66:R129" si="10">O66*N66*J66*K66</f>
        <v>4769827.4063585838</v>
      </c>
      <c r="S66" s="21">
        <f t="shared" ref="S66:S129" si="11">R66-Q66</f>
        <v>4769827.4063585838</v>
      </c>
      <c r="T66" s="32">
        <f>1/(1+Calculation_Assumptions!$B$8)^(B66-Calculation_Assumptions!$B$2)</f>
        <v>0.70137988019297326</v>
      </c>
      <c r="U66" s="21">
        <f t="shared" ref="U66:U129" si="12">Q66*T66</f>
        <v>0</v>
      </c>
      <c r="V66" s="21">
        <f t="shared" ref="V66:V129" si="13">R66*T66</f>
        <v>3345460.974812944</v>
      </c>
      <c r="W66" s="21">
        <f t="shared" ref="W66:W129" si="14">S66*T66</f>
        <v>3345460.974812944</v>
      </c>
      <c r="X66">
        <v>0</v>
      </c>
      <c r="Y66" s="18">
        <v>2017</v>
      </c>
      <c r="Z66" t="s">
        <v>387</v>
      </c>
      <c r="AA66" s="21">
        <f t="shared" ref="AA66:AA129" si="15">IF(G66="shared-count-once",COUNTIFS($A$2:$A$807,A66,$B$2:$B$807,B66,$D$2:$D$807,D66),1)</f>
        <v>1</v>
      </c>
    </row>
    <row r="67" spans="1:27">
      <c r="A67" t="s">
        <v>265</v>
      </c>
      <c r="B67" s="18">
        <v>2038</v>
      </c>
      <c r="C67" t="s">
        <v>265</v>
      </c>
      <c r="D67" s="20" t="s">
        <v>409</v>
      </c>
      <c r="E67" s="20" t="s">
        <v>410</v>
      </c>
      <c r="F67" s="20" t="s">
        <v>268</v>
      </c>
      <c r="G67" s="20" t="s">
        <v>393</v>
      </c>
      <c r="H67" s="20" t="s">
        <v>384</v>
      </c>
      <c r="I67" s="29">
        <v>1</v>
      </c>
      <c r="J67" s="30">
        <v>1</v>
      </c>
      <c r="K67" s="31">
        <v>7.7000000000000002E-3</v>
      </c>
      <c r="L67" s="9">
        <v>622637051.10088301</v>
      </c>
      <c r="M67" s="9">
        <v>622673191.62836504</v>
      </c>
      <c r="N67" s="32">
        <f>MIN(MAX((B67-Calculation_Assumptions!$B$5+1)/Calculation_Assumptions!$B$7,0),1)</f>
        <v>1</v>
      </c>
      <c r="O67" s="21">
        <f t="shared" si="8"/>
        <v>622637051.10088301</v>
      </c>
      <c r="P67" s="21">
        <f t="shared" si="9"/>
        <v>622673191.62836504</v>
      </c>
      <c r="Q67" s="21">
        <f>P67*Calculation_Assumptions!$B$14*J67*K67</f>
        <v>0</v>
      </c>
      <c r="R67" s="21">
        <f t="shared" si="10"/>
        <v>4794305.2934767995</v>
      </c>
      <c r="S67" s="21">
        <f t="shared" si="11"/>
        <v>4794305.2934767995</v>
      </c>
      <c r="T67" s="32">
        <f>1/(1+Calculation_Assumptions!$B$8)^(B67-Calculation_Assumptions!$B$2)</f>
        <v>0.68095133999317792</v>
      </c>
      <c r="U67" s="21">
        <f t="shared" si="12"/>
        <v>0</v>
      </c>
      <c r="V67" s="21">
        <f t="shared" si="13"/>
        <v>3264688.6139294128</v>
      </c>
      <c r="W67" s="21">
        <f t="shared" si="14"/>
        <v>3264688.6139294128</v>
      </c>
      <c r="X67">
        <v>0</v>
      </c>
      <c r="Y67" s="18">
        <v>2017</v>
      </c>
      <c r="Z67" t="s">
        <v>387</v>
      </c>
      <c r="AA67" s="21">
        <f t="shared" si="15"/>
        <v>1</v>
      </c>
    </row>
    <row r="68" spans="1:27">
      <c r="A68" t="s">
        <v>265</v>
      </c>
      <c r="B68" s="18">
        <v>2039</v>
      </c>
      <c r="C68" t="s">
        <v>265</v>
      </c>
      <c r="D68" s="20" t="s">
        <v>409</v>
      </c>
      <c r="E68" s="20" t="s">
        <v>410</v>
      </c>
      <c r="F68" s="20" t="s">
        <v>268</v>
      </c>
      <c r="G68" s="20" t="s">
        <v>393</v>
      </c>
      <c r="H68" s="20" t="s">
        <v>384</v>
      </c>
      <c r="I68" s="29">
        <v>1</v>
      </c>
      <c r="J68" s="30">
        <v>1</v>
      </c>
      <c r="K68" s="31">
        <v>7.7000000000000002E-3</v>
      </c>
      <c r="L68" s="9">
        <v>625708843.24971497</v>
      </c>
      <c r="M68" s="9">
        <v>625731758.218045</v>
      </c>
      <c r="N68" s="32">
        <f>MIN(MAX((B68-Calculation_Assumptions!$B$5+1)/Calculation_Assumptions!$B$7,0),1)</f>
        <v>1</v>
      </c>
      <c r="O68" s="21">
        <f t="shared" si="8"/>
        <v>625708843.24971497</v>
      </c>
      <c r="P68" s="21">
        <f t="shared" si="9"/>
        <v>625731758.218045</v>
      </c>
      <c r="Q68" s="21">
        <f>P68*Calculation_Assumptions!$B$14*J68*K68</f>
        <v>0</v>
      </c>
      <c r="R68" s="21">
        <f t="shared" si="10"/>
        <v>4817958.0930228056</v>
      </c>
      <c r="S68" s="21">
        <f t="shared" si="11"/>
        <v>4817958.0930228056</v>
      </c>
      <c r="T68" s="32">
        <f>1/(1+Calculation_Assumptions!$B$8)^(B68-Calculation_Assumptions!$B$2)</f>
        <v>0.66111780581861923</v>
      </c>
      <c r="U68" s="21">
        <f t="shared" si="12"/>
        <v>0</v>
      </c>
      <c r="V68" s="21">
        <f t="shared" si="13"/>
        <v>3185237.8829852962</v>
      </c>
      <c r="W68" s="21">
        <f t="shared" si="14"/>
        <v>3185237.8829852962</v>
      </c>
      <c r="X68">
        <v>0</v>
      </c>
      <c r="Y68" s="18">
        <v>2017</v>
      </c>
      <c r="Z68" t="s">
        <v>387</v>
      </c>
      <c r="AA68" s="21">
        <f t="shared" si="15"/>
        <v>1</v>
      </c>
    </row>
    <row r="69" spans="1:27">
      <c r="A69" t="s">
        <v>265</v>
      </c>
      <c r="B69" s="18">
        <v>2040</v>
      </c>
      <c r="C69" t="s">
        <v>265</v>
      </c>
      <c r="D69" s="20" t="s">
        <v>409</v>
      </c>
      <c r="E69" s="20" t="s">
        <v>410</v>
      </c>
      <c r="F69" s="20" t="s">
        <v>268</v>
      </c>
      <c r="G69" s="20" t="s">
        <v>393</v>
      </c>
      <c r="H69" s="20" t="s">
        <v>384</v>
      </c>
      <c r="I69" s="29">
        <v>1</v>
      </c>
      <c r="J69" s="30">
        <v>1</v>
      </c>
      <c r="K69" s="31">
        <v>7.7000000000000002E-3</v>
      </c>
      <c r="L69" s="9">
        <v>628656448.79367197</v>
      </c>
      <c r="M69" s="9">
        <v>628667498.21665299</v>
      </c>
      <c r="N69" s="32">
        <f>MIN(MAX((B69-Calculation_Assumptions!$B$5+1)/Calculation_Assumptions!$B$7,0),1)</f>
        <v>1</v>
      </c>
      <c r="O69" s="21">
        <f t="shared" si="8"/>
        <v>628656448.79367197</v>
      </c>
      <c r="P69" s="21">
        <f t="shared" si="9"/>
        <v>628667498.21665299</v>
      </c>
      <c r="Q69" s="21">
        <f>P69*Calculation_Assumptions!$B$14*J69*K69</f>
        <v>0</v>
      </c>
      <c r="R69" s="21">
        <f t="shared" si="10"/>
        <v>4840654.6557112746</v>
      </c>
      <c r="S69" s="21">
        <f t="shared" si="11"/>
        <v>4840654.6557112746</v>
      </c>
      <c r="T69" s="32">
        <f>1/(1+Calculation_Assumptions!$B$8)^(B69-Calculation_Assumptions!$B$2)</f>
        <v>0.64186194739671765</v>
      </c>
      <c r="U69" s="21">
        <f t="shared" si="12"/>
        <v>0</v>
      </c>
      <c r="V69" s="21">
        <f t="shared" si="13"/>
        <v>3107032.0239898264</v>
      </c>
      <c r="W69" s="21">
        <f t="shared" si="14"/>
        <v>3107032.0239898264</v>
      </c>
      <c r="X69">
        <v>0</v>
      </c>
      <c r="Y69" s="18">
        <v>2017</v>
      </c>
      <c r="Z69" t="s">
        <v>387</v>
      </c>
      <c r="AA69" s="21">
        <f t="shared" si="15"/>
        <v>1</v>
      </c>
    </row>
    <row r="70" spans="1:27">
      <c r="A70" t="s">
        <v>265</v>
      </c>
      <c r="B70" s="18">
        <v>2041</v>
      </c>
      <c r="C70" t="s">
        <v>265</v>
      </c>
      <c r="D70" s="20" t="s">
        <v>409</v>
      </c>
      <c r="E70" s="20" t="s">
        <v>410</v>
      </c>
      <c r="F70" s="20" t="s">
        <v>268</v>
      </c>
      <c r="G70" s="20" t="s">
        <v>393</v>
      </c>
      <c r="H70" s="20" t="s">
        <v>384</v>
      </c>
      <c r="I70" s="29">
        <v>1</v>
      </c>
      <c r="J70" s="30">
        <v>1</v>
      </c>
      <c r="K70" s="31">
        <v>7.7000000000000002E-3</v>
      </c>
      <c r="L70" s="9">
        <v>631487931.68189502</v>
      </c>
      <c r="M70" s="9">
        <v>631488405.68781996</v>
      </c>
      <c r="N70" s="32">
        <f>MIN(MAX((B70-Calculation_Assumptions!$B$5+1)/Calculation_Assumptions!$B$7,0),1)</f>
        <v>1</v>
      </c>
      <c r="O70" s="21">
        <f t="shared" si="8"/>
        <v>631487931.68189502</v>
      </c>
      <c r="P70" s="21">
        <f t="shared" si="9"/>
        <v>631488405.68781996</v>
      </c>
      <c r="Q70" s="21">
        <f>P70*Calculation_Assumptions!$B$14*J70*K70</f>
        <v>0</v>
      </c>
      <c r="R70" s="21">
        <f t="shared" si="10"/>
        <v>4862457.0739505915</v>
      </c>
      <c r="S70" s="21">
        <f t="shared" si="11"/>
        <v>4862457.0739505915</v>
      </c>
      <c r="T70" s="32">
        <f>1/(1+Calculation_Assumptions!$B$8)^(B70-Calculation_Assumptions!$B$2)</f>
        <v>0.62316693922011435</v>
      </c>
      <c r="U70" s="21">
        <f t="shared" si="12"/>
        <v>0</v>
      </c>
      <c r="V70" s="21">
        <f t="shared" si="13"/>
        <v>3030122.4918629834</v>
      </c>
      <c r="W70" s="21">
        <f t="shared" si="14"/>
        <v>3030122.4918629834</v>
      </c>
      <c r="X70">
        <v>0</v>
      </c>
      <c r="Y70" s="18">
        <v>2017</v>
      </c>
      <c r="Z70" t="s">
        <v>387</v>
      </c>
      <c r="AA70" s="21">
        <f t="shared" si="15"/>
        <v>1</v>
      </c>
    </row>
    <row r="71" spans="1:27">
      <c r="A71" t="s">
        <v>265</v>
      </c>
      <c r="B71" s="18">
        <v>2042</v>
      </c>
      <c r="C71" t="s">
        <v>265</v>
      </c>
      <c r="D71" s="20" t="s">
        <v>409</v>
      </c>
      <c r="E71" s="20" t="s">
        <v>410</v>
      </c>
      <c r="F71" s="20" t="s">
        <v>268</v>
      </c>
      <c r="G71" s="20" t="s">
        <v>393</v>
      </c>
      <c r="H71" s="20" t="s">
        <v>384</v>
      </c>
      <c r="I71" s="29">
        <v>1</v>
      </c>
      <c r="J71" s="30">
        <v>1</v>
      </c>
      <c r="K71" s="31">
        <v>7.7000000000000002E-3</v>
      </c>
      <c r="L71" s="9">
        <v>634193486.39048898</v>
      </c>
      <c r="M71" s="9">
        <v>634184560.98858297</v>
      </c>
      <c r="N71" s="32">
        <f>MIN(MAX((B71-Calculation_Assumptions!$B$5+1)/Calculation_Assumptions!$B$7,0),1)</f>
        <v>1</v>
      </c>
      <c r="O71" s="21">
        <f t="shared" si="8"/>
        <v>634193486.39048898</v>
      </c>
      <c r="P71" s="21">
        <f t="shared" si="9"/>
        <v>634184560.98858297</v>
      </c>
      <c r="Q71" s="21">
        <f>P71*Calculation_Assumptions!$B$14*J71*K71</f>
        <v>0</v>
      </c>
      <c r="R71" s="21">
        <f t="shared" si="10"/>
        <v>4883289.8452067655</v>
      </c>
      <c r="S71" s="21">
        <f t="shared" si="11"/>
        <v>4883289.8452067655</v>
      </c>
      <c r="T71" s="32">
        <f>1/(1+Calculation_Assumptions!$B$8)^(B71-Calculation_Assumptions!$B$2)</f>
        <v>0.60501644584477121</v>
      </c>
      <c r="U71" s="21">
        <f t="shared" si="12"/>
        <v>0</v>
      </c>
      <c r="V71" s="21">
        <f t="shared" si="13"/>
        <v>2954470.6661768602</v>
      </c>
      <c r="W71" s="21">
        <f t="shared" si="14"/>
        <v>2954470.6661768602</v>
      </c>
      <c r="X71">
        <v>0</v>
      </c>
      <c r="Y71" s="18">
        <v>2017</v>
      </c>
      <c r="Z71" t="s">
        <v>387</v>
      </c>
      <c r="AA71" s="21">
        <f t="shared" si="15"/>
        <v>1</v>
      </c>
    </row>
    <row r="72" spans="1:27">
      <c r="A72" t="s">
        <v>265</v>
      </c>
      <c r="B72" s="18">
        <v>2043</v>
      </c>
      <c r="C72" t="s">
        <v>265</v>
      </c>
      <c r="D72" s="20" t="s">
        <v>409</v>
      </c>
      <c r="E72" s="20" t="s">
        <v>410</v>
      </c>
      <c r="F72" s="20" t="s">
        <v>268</v>
      </c>
      <c r="G72" s="20" t="s">
        <v>393</v>
      </c>
      <c r="H72" s="20" t="s">
        <v>384</v>
      </c>
      <c r="I72" s="29">
        <v>1</v>
      </c>
      <c r="J72" s="30">
        <v>1</v>
      </c>
      <c r="K72" s="31">
        <v>7.7000000000000002E-3</v>
      </c>
      <c r="L72" s="9">
        <v>636772538.70393801</v>
      </c>
      <c r="M72" s="9">
        <v>636767020.67603099</v>
      </c>
      <c r="N72" s="32">
        <f>MIN(MAX((B72-Calculation_Assumptions!$B$5+1)/Calculation_Assumptions!$B$7,0),1)</f>
        <v>1</v>
      </c>
      <c r="O72" s="21">
        <f t="shared" si="8"/>
        <v>636772538.70393801</v>
      </c>
      <c r="P72" s="21">
        <f t="shared" si="9"/>
        <v>636767020.67603099</v>
      </c>
      <c r="Q72" s="21">
        <f>P72*Calculation_Assumptions!$B$14*J72*K72</f>
        <v>0</v>
      </c>
      <c r="R72" s="21">
        <f t="shared" si="10"/>
        <v>4903148.5480203228</v>
      </c>
      <c r="S72" s="21">
        <f t="shared" si="11"/>
        <v>4903148.5480203228</v>
      </c>
      <c r="T72" s="32">
        <f>1/(1+Calculation_Assumptions!$B$8)^(B72-Calculation_Assumptions!$B$2)</f>
        <v>0.5873946076162827</v>
      </c>
      <c r="U72" s="21">
        <f t="shared" si="12"/>
        <v>0</v>
      </c>
      <c r="V72" s="21">
        <f t="shared" si="13"/>
        <v>2880083.0174487438</v>
      </c>
      <c r="W72" s="21">
        <f t="shared" si="14"/>
        <v>2880083.0174487438</v>
      </c>
      <c r="X72">
        <v>0</v>
      </c>
      <c r="Y72" s="18">
        <v>2017</v>
      </c>
      <c r="Z72" t="s">
        <v>387</v>
      </c>
      <c r="AA72" s="21">
        <f t="shared" si="15"/>
        <v>1</v>
      </c>
    </row>
    <row r="73" spans="1:27">
      <c r="A73" t="s">
        <v>265</v>
      </c>
      <c r="B73" s="18">
        <v>2044</v>
      </c>
      <c r="C73" t="s">
        <v>265</v>
      </c>
      <c r="D73" s="20" t="s">
        <v>409</v>
      </c>
      <c r="E73" s="20" t="s">
        <v>410</v>
      </c>
      <c r="F73" s="20" t="s">
        <v>268</v>
      </c>
      <c r="G73" s="20" t="s">
        <v>393</v>
      </c>
      <c r="H73" s="20" t="s">
        <v>384</v>
      </c>
      <c r="I73" s="29">
        <v>1</v>
      </c>
      <c r="J73" s="30">
        <v>1</v>
      </c>
      <c r="K73" s="31">
        <v>7.7000000000000002E-3</v>
      </c>
      <c r="L73" s="9">
        <v>639220695.92408097</v>
      </c>
      <c r="M73" s="9">
        <v>639211548.58069301</v>
      </c>
      <c r="N73" s="32">
        <f>MIN(MAX((B73-Calculation_Assumptions!$B$5+1)/Calculation_Assumptions!$B$7,0),1)</f>
        <v>1</v>
      </c>
      <c r="O73" s="21">
        <f t="shared" si="8"/>
        <v>639220695.92408097</v>
      </c>
      <c r="P73" s="21">
        <f t="shared" si="9"/>
        <v>639211548.58069301</v>
      </c>
      <c r="Q73" s="21">
        <f>P73*Calculation_Assumptions!$B$14*J73*K73</f>
        <v>0</v>
      </c>
      <c r="R73" s="21">
        <f t="shared" si="10"/>
        <v>4921999.3586154236</v>
      </c>
      <c r="S73" s="21">
        <f t="shared" si="11"/>
        <v>4921999.3586154236</v>
      </c>
      <c r="T73" s="32">
        <f>1/(1+Calculation_Assumptions!$B$8)^(B73-Calculation_Assumptions!$B$2)</f>
        <v>0.57028602681192497</v>
      </c>
      <c r="U73" s="21">
        <f t="shared" si="12"/>
        <v>0</v>
      </c>
      <c r="V73" s="21">
        <f t="shared" si="13"/>
        <v>2806947.4581956328</v>
      </c>
      <c r="W73" s="21">
        <f t="shared" si="14"/>
        <v>2806947.4581956328</v>
      </c>
      <c r="X73">
        <v>0</v>
      </c>
      <c r="Y73" s="18">
        <v>2017</v>
      </c>
      <c r="Z73" t="s">
        <v>387</v>
      </c>
      <c r="AA73" s="21">
        <f t="shared" si="15"/>
        <v>1</v>
      </c>
    </row>
    <row r="74" spans="1:27">
      <c r="A74" t="s">
        <v>265</v>
      </c>
      <c r="B74" s="18">
        <v>2045</v>
      </c>
      <c r="C74" t="s">
        <v>265</v>
      </c>
      <c r="D74" s="20" t="s">
        <v>409</v>
      </c>
      <c r="E74" s="20" t="s">
        <v>410</v>
      </c>
      <c r="F74" s="20" t="s">
        <v>268</v>
      </c>
      <c r="G74" s="20" t="s">
        <v>393</v>
      </c>
      <c r="H74" s="20" t="s">
        <v>384</v>
      </c>
      <c r="I74" s="29">
        <v>1</v>
      </c>
      <c r="J74" s="30">
        <v>1</v>
      </c>
      <c r="K74" s="31">
        <v>7.7000000000000002E-3</v>
      </c>
      <c r="L74" s="9">
        <v>641533062.55011106</v>
      </c>
      <c r="M74" s="9">
        <v>641520754.67294204</v>
      </c>
      <c r="N74" s="32">
        <f>MIN(MAX((B74-Calculation_Assumptions!$B$5+1)/Calculation_Assumptions!$B$7,0),1)</f>
        <v>1</v>
      </c>
      <c r="O74" s="21">
        <f t="shared" si="8"/>
        <v>641533062.55011106</v>
      </c>
      <c r="P74" s="21">
        <f t="shared" si="9"/>
        <v>641520754.67294204</v>
      </c>
      <c r="Q74" s="21">
        <f>P74*Calculation_Assumptions!$B$14*J74*K74</f>
        <v>0</v>
      </c>
      <c r="R74" s="21">
        <f t="shared" si="10"/>
        <v>4939804.5816358551</v>
      </c>
      <c r="S74" s="21">
        <f t="shared" si="11"/>
        <v>4939804.5816358551</v>
      </c>
      <c r="T74" s="32">
        <f>1/(1+Calculation_Assumptions!$B$8)^(B74-Calculation_Assumptions!$B$2)</f>
        <v>0.55367575418633497</v>
      </c>
      <c r="U74" s="21">
        <f t="shared" si="12"/>
        <v>0</v>
      </c>
      <c r="V74" s="21">
        <f t="shared" si="13"/>
        <v>2735050.027270345</v>
      </c>
      <c r="W74" s="21">
        <f t="shared" si="14"/>
        <v>2735050.027270345</v>
      </c>
      <c r="X74">
        <v>0</v>
      </c>
      <c r="Y74" s="18">
        <v>2017</v>
      </c>
      <c r="Z74" t="s">
        <v>387</v>
      </c>
      <c r="AA74" s="21">
        <f t="shared" si="15"/>
        <v>1</v>
      </c>
    </row>
    <row r="75" spans="1:27">
      <c r="A75" t="s">
        <v>265</v>
      </c>
      <c r="B75" s="18">
        <v>2046</v>
      </c>
      <c r="C75" t="s">
        <v>265</v>
      </c>
      <c r="D75" s="20" t="s">
        <v>409</v>
      </c>
      <c r="E75" s="20" t="s">
        <v>410</v>
      </c>
      <c r="F75" s="20" t="s">
        <v>268</v>
      </c>
      <c r="G75" s="20" t="s">
        <v>393</v>
      </c>
      <c r="H75" s="20" t="s">
        <v>384</v>
      </c>
      <c r="I75" s="29">
        <v>1</v>
      </c>
      <c r="J75" s="30">
        <v>1</v>
      </c>
      <c r="K75" s="31">
        <v>7.7000000000000002E-3</v>
      </c>
      <c r="L75" s="9">
        <v>643712102.60117495</v>
      </c>
      <c r="M75" s="9">
        <v>643697330.762573</v>
      </c>
      <c r="N75" s="32">
        <f>MIN(MAX((B75-Calculation_Assumptions!$B$5+1)/Calculation_Assumptions!$B$7,0),1)</f>
        <v>1</v>
      </c>
      <c r="O75" s="21">
        <f t="shared" si="8"/>
        <v>643712102.60117495</v>
      </c>
      <c r="P75" s="21">
        <f t="shared" si="9"/>
        <v>643697330.762573</v>
      </c>
      <c r="Q75" s="21">
        <f>P75*Calculation_Assumptions!$B$14*J75*K75</f>
        <v>0</v>
      </c>
      <c r="R75" s="21">
        <f t="shared" si="10"/>
        <v>4956583.1900290474</v>
      </c>
      <c r="S75" s="21">
        <f t="shared" si="11"/>
        <v>4956583.1900290474</v>
      </c>
      <c r="T75" s="32">
        <f>1/(1+Calculation_Assumptions!$B$8)^(B75-Calculation_Assumptions!$B$2)</f>
        <v>0.5375492759090631</v>
      </c>
      <c r="U75" s="21">
        <f t="shared" si="12"/>
        <v>0</v>
      </c>
      <c r="V75" s="21">
        <f t="shared" si="13"/>
        <v>2664407.7047831486</v>
      </c>
      <c r="W75" s="21">
        <f t="shared" si="14"/>
        <v>2664407.7047831486</v>
      </c>
      <c r="X75">
        <v>0</v>
      </c>
      <c r="Y75" s="18">
        <v>2017</v>
      </c>
      <c r="Z75" t="s">
        <v>387</v>
      </c>
      <c r="AA75" s="21">
        <f t="shared" si="15"/>
        <v>1</v>
      </c>
    </row>
    <row r="76" spans="1:27">
      <c r="A76" t="s">
        <v>265</v>
      </c>
      <c r="B76" s="18">
        <v>2047</v>
      </c>
      <c r="C76" t="s">
        <v>265</v>
      </c>
      <c r="D76" s="20" t="s">
        <v>409</v>
      </c>
      <c r="E76" s="20" t="s">
        <v>410</v>
      </c>
      <c r="F76" s="20" t="s">
        <v>268</v>
      </c>
      <c r="G76" s="20" t="s">
        <v>393</v>
      </c>
      <c r="H76" s="20" t="s">
        <v>384</v>
      </c>
      <c r="I76" s="29">
        <v>1</v>
      </c>
      <c r="J76" s="30">
        <v>1</v>
      </c>
      <c r="K76" s="31">
        <v>7.7000000000000002E-3</v>
      </c>
      <c r="L76" s="9">
        <v>645762730.129094</v>
      </c>
      <c r="M76" s="9">
        <v>645745914.53009498</v>
      </c>
      <c r="N76" s="32">
        <f>MIN(MAX((B76-Calculation_Assumptions!$B$5+1)/Calculation_Assumptions!$B$7,0),1)</f>
        <v>1</v>
      </c>
      <c r="O76" s="21">
        <f t="shared" si="8"/>
        <v>645762730.129094</v>
      </c>
      <c r="P76" s="21">
        <f t="shared" si="9"/>
        <v>645745914.53009498</v>
      </c>
      <c r="Q76" s="21">
        <f>P76*Calculation_Assumptions!$B$14*J76*K76</f>
        <v>0</v>
      </c>
      <c r="R76" s="21">
        <f t="shared" si="10"/>
        <v>4972373.0219940236</v>
      </c>
      <c r="S76" s="21">
        <f t="shared" si="11"/>
        <v>4972373.0219940236</v>
      </c>
      <c r="T76" s="32">
        <f>1/(1+Calculation_Assumptions!$B$8)^(B76-Calculation_Assumptions!$B$2)</f>
        <v>0.52189250088258554</v>
      </c>
      <c r="U76" s="21">
        <f t="shared" si="12"/>
        <v>0</v>
      </c>
      <c r="V76" s="21">
        <f t="shared" si="13"/>
        <v>2595044.1917695603</v>
      </c>
      <c r="W76" s="21">
        <f t="shared" si="14"/>
        <v>2595044.1917695603</v>
      </c>
      <c r="X76">
        <v>0</v>
      </c>
      <c r="Y76" s="18">
        <v>2017</v>
      </c>
      <c r="Z76" t="s">
        <v>387</v>
      </c>
      <c r="AA76" s="21">
        <f t="shared" si="15"/>
        <v>1</v>
      </c>
    </row>
    <row r="77" spans="1:27">
      <c r="A77" t="s">
        <v>265</v>
      </c>
      <c r="B77" s="18">
        <v>2048</v>
      </c>
      <c r="C77" t="s">
        <v>265</v>
      </c>
      <c r="D77" s="20" t="s">
        <v>409</v>
      </c>
      <c r="E77" s="20" t="s">
        <v>410</v>
      </c>
      <c r="F77" s="20" t="s">
        <v>268</v>
      </c>
      <c r="G77" s="20" t="s">
        <v>393</v>
      </c>
      <c r="H77" s="20" t="s">
        <v>384</v>
      </c>
      <c r="I77" s="29">
        <v>1</v>
      </c>
      <c r="J77" s="30">
        <v>1</v>
      </c>
      <c r="K77" s="31">
        <v>7.7000000000000002E-3</v>
      </c>
      <c r="L77" s="9">
        <v>647685065.88716102</v>
      </c>
      <c r="M77" s="9">
        <v>647666796.64810395</v>
      </c>
      <c r="N77" s="32">
        <f>MIN(MAX((B77-Calculation_Assumptions!$B$5+1)/Calculation_Assumptions!$B$7,0),1)</f>
        <v>1</v>
      </c>
      <c r="O77" s="21">
        <f t="shared" si="8"/>
        <v>647685065.88716102</v>
      </c>
      <c r="P77" s="21">
        <f t="shared" si="9"/>
        <v>647666796.64810395</v>
      </c>
      <c r="Q77" s="21">
        <f>P77*Calculation_Assumptions!$B$14*J77*K77</f>
        <v>0</v>
      </c>
      <c r="R77" s="21">
        <f t="shared" si="10"/>
        <v>4987175.0073311403</v>
      </c>
      <c r="S77" s="21">
        <f t="shared" si="11"/>
        <v>4987175.0073311403</v>
      </c>
      <c r="T77" s="32">
        <f>1/(1+Calculation_Assumptions!$B$8)^(B77-Calculation_Assumptions!$B$2)</f>
        <v>0.50669174842969467</v>
      </c>
      <c r="U77" s="21">
        <f t="shared" si="12"/>
        <v>0</v>
      </c>
      <c r="V77" s="21">
        <f t="shared" si="13"/>
        <v>2526960.4241894907</v>
      </c>
      <c r="W77" s="21">
        <f t="shared" si="14"/>
        <v>2526960.4241894907</v>
      </c>
      <c r="X77">
        <v>0</v>
      </c>
      <c r="Y77" s="18">
        <v>2017</v>
      </c>
      <c r="Z77" t="s">
        <v>387</v>
      </c>
      <c r="AA77" s="21">
        <f t="shared" si="15"/>
        <v>1</v>
      </c>
    </row>
    <row r="78" spans="1:27">
      <c r="A78" t="s">
        <v>265</v>
      </c>
      <c r="B78" s="18">
        <v>2049</v>
      </c>
      <c r="C78" t="s">
        <v>265</v>
      </c>
      <c r="D78" s="20" t="s">
        <v>409</v>
      </c>
      <c r="E78" s="20" t="s">
        <v>410</v>
      </c>
      <c r="F78" s="20" t="s">
        <v>268</v>
      </c>
      <c r="G78" s="20" t="s">
        <v>393</v>
      </c>
      <c r="H78" s="20" t="s">
        <v>384</v>
      </c>
      <c r="I78" s="29">
        <v>1</v>
      </c>
      <c r="J78" s="30">
        <v>1</v>
      </c>
      <c r="K78" s="31">
        <v>7.7000000000000002E-3</v>
      </c>
      <c r="L78" s="9">
        <v>649477538.53005803</v>
      </c>
      <c r="M78" s="9">
        <v>649421968.02473402</v>
      </c>
      <c r="N78" s="32">
        <f>MIN(MAX((B78-Calculation_Assumptions!$B$5+1)/Calculation_Assumptions!$B$7,0),1)</f>
        <v>1</v>
      </c>
      <c r="O78" s="21">
        <f t="shared" si="8"/>
        <v>649477538.53005803</v>
      </c>
      <c r="P78" s="21">
        <f t="shared" si="9"/>
        <v>649421968.02473402</v>
      </c>
      <c r="Q78" s="21">
        <f>P78*Calculation_Assumptions!$B$14*J78*K78</f>
        <v>0</v>
      </c>
      <c r="R78" s="21">
        <f t="shared" si="10"/>
        <v>5000977.046681447</v>
      </c>
      <c r="S78" s="21">
        <f t="shared" si="11"/>
        <v>5000977.046681447</v>
      </c>
      <c r="T78" s="32">
        <f>1/(1+Calculation_Assumptions!$B$8)^(B78-Calculation_Assumptions!$B$2)</f>
        <v>0.49193373633950943</v>
      </c>
      <c r="U78" s="21">
        <f t="shared" si="12"/>
        <v>0</v>
      </c>
      <c r="V78" s="21">
        <f t="shared" si="13"/>
        <v>2460149.3239221293</v>
      </c>
      <c r="W78" s="21">
        <f t="shared" si="14"/>
        <v>2460149.3239221293</v>
      </c>
      <c r="X78">
        <v>0</v>
      </c>
      <c r="Y78" s="18">
        <v>2017</v>
      </c>
      <c r="Z78" t="s">
        <v>387</v>
      </c>
      <c r="AA78" s="21">
        <f t="shared" si="15"/>
        <v>1</v>
      </c>
    </row>
    <row r="79" spans="1:27">
      <c r="A79" t="s">
        <v>265</v>
      </c>
      <c r="B79" s="18">
        <v>2050</v>
      </c>
      <c r="C79" t="s">
        <v>265</v>
      </c>
      <c r="D79" s="20" t="s">
        <v>409</v>
      </c>
      <c r="E79" s="20" t="s">
        <v>410</v>
      </c>
      <c r="F79" s="20" t="s">
        <v>268</v>
      </c>
      <c r="G79" s="20" t="s">
        <v>393</v>
      </c>
      <c r="H79" s="20" t="s">
        <v>384</v>
      </c>
      <c r="I79" s="29">
        <v>1</v>
      </c>
      <c r="J79" s="30">
        <v>1</v>
      </c>
      <c r="K79" s="31">
        <v>7.7000000000000002E-3</v>
      </c>
      <c r="L79" s="9">
        <v>651135275.22053194</v>
      </c>
      <c r="M79" s="9">
        <v>651074457.25957894</v>
      </c>
      <c r="N79" s="32">
        <f>MIN(MAX((B79-Calculation_Assumptions!$B$5+1)/Calculation_Assumptions!$B$7,0),1)</f>
        <v>1</v>
      </c>
      <c r="O79" s="21">
        <f t="shared" si="8"/>
        <v>651135275.22053194</v>
      </c>
      <c r="P79" s="21">
        <f t="shared" si="9"/>
        <v>651074457.25957894</v>
      </c>
      <c r="Q79" s="21">
        <f>P79*Calculation_Assumptions!$B$14*J79*K79</f>
        <v>0</v>
      </c>
      <c r="R79" s="21">
        <f t="shared" si="10"/>
        <v>5013741.619198096</v>
      </c>
      <c r="S79" s="21">
        <f t="shared" si="11"/>
        <v>5013741.619198096</v>
      </c>
      <c r="T79" s="32">
        <f>1/(1+Calculation_Assumptions!$B$8)^(B79-Calculation_Assumptions!$B$2)</f>
        <v>0.47760556926165965</v>
      </c>
      <c r="U79" s="21">
        <f t="shared" si="12"/>
        <v>0</v>
      </c>
      <c r="V79" s="21">
        <f t="shared" si="13"/>
        <v>2394590.9201679816</v>
      </c>
      <c r="W79" s="21">
        <f t="shared" si="14"/>
        <v>2394590.9201679816</v>
      </c>
      <c r="X79">
        <v>0</v>
      </c>
      <c r="Y79" s="18">
        <v>2017</v>
      </c>
      <c r="Z79" t="s">
        <v>387</v>
      </c>
      <c r="AA79" s="21">
        <f t="shared" si="15"/>
        <v>1</v>
      </c>
    </row>
    <row r="80" spans="1:27">
      <c r="A80" t="s">
        <v>272</v>
      </c>
      <c r="B80" s="18">
        <v>2025</v>
      </c>
      <c r="C80" t="s">
        <v>272</v>
      </c>
      <c r="D80" s="20" t="s">
        <v>411</v>
      </c>
      <c r="E80" s="20" t="s">
        <v>412</v>
      </c>
      <c r="F80" s="20" t="s">
        <v>275</v>
      </c>
      <c r="G80" s="20" t="s">
        <v>393</v>
      </c>
      <c r="H80" s="20" t="s">
        <v>384</v>
      </c>
      <c r="I80" s="29">
        <v>1</v>
      </c>
      <c r="J80" s="30">
        <v>1</v>
      </c>
      <c r="K80" s="31">
        <v>7.7000000000000002E-3</v>
      </c>
      <c r="L80" s="9">
        <v>575134853.59312999</v>
      </c>
      <c r="M80" s="9">
        <v>575134853.59312999</v>
      </c>
      <c r="N80" s="32">
        <f>MIN(MAX((B80-Calculation_Assumptions!$B$5+1)/Calculation_Assumptions!$B$7,0),1)</f>
        <v>0</v>
      </c>
      <c r="O80" s="21">
        <f t="shared" si="8"/>
        <v>575134853.59312999</v>
      </c>
      <c r="P80" s="21">
        <f t="shared" si="9"/>
        <v>575134853.59312999</v>
      </c>
      <c r="Q80" s="21">
        <f>P80*Calculation_Assumptions!$B$14*J80*K80</f>
        <v>0</v>
      </c>
      <c r="R80" s="21">
        <f t="shared" si="10"/>
        <v>0</v>
      </c>
      <c r="S80" s="21">
        <f t="shared" si="11"/>
        <v>0</v>
      </c>
      <c r="T80" s="32">
        <f>1/(1+Calculation_Assumptions!$B$8)^(B80-Calculation_Assumptions!$B$2)</f>
        <v>1</v>
      </c>
      <c r="U80" s="21">
        <f t="shared" si="12"/>
        <v>0</v>
      </c>
      <c r="V80" s="21">
        <f t="shared" si="13"/>
        <v>0</v>
      </c>
      <c r="W80" s="21">
        <f t="shared" si="14"/>
        <v>0</v>
      </c>
      <c r="X80">
        <v>0</v>
      </c>
      <c r="Y80" s="18">
        <v>2017</v>
      </c>
      <c r="Z80" t="s">
        <v>387</v>
      </c>
      <c r="AA80" s="21">
        <f t="shared" si="15"/>
        <v>1</v>
      </c>
    </row>
    <row r="81" spans="1:27">
      <c r="A81" t="s">
        <v>272</v>
      </c>
      <c r="B81" s="18">
        <v>2026</v>
      </c>
      <c r="C81" t="s">
        <v>272</v>
      </c>
      <c r="D81" s="20" t="s">
        <v>411</v>
      </c>
      <c r="E81" s="20" t="s">
        <v>412</v>
      </c>
      <c r="F81" s="20" t="s">
        <v>275</v>
      </c>
      <c r="G81" s="20" t="s">
        <v>393</v>
      </c>
      <c r="H81" s="20" t="s">
        <v>384</v>
      </c>
      <c r="I81" s="29">
        <v>1</v>
      </c>
      <c r="J81" s="30">
        <v>1</v>
      </c>
      <c r="K81" s="31">
        <v>7.7000000000000002E-3</v>
      </c>
      <c r="L81" s="9">
        <v>579268647.32329595</v>
      </c>
      <c r="M81" s="9">
        <v>579268647.32329595</v>
      </c>
      <c r="N81" s="32">
        <f>MIN(MAX((B81-Calculation_Assumptions!$B$5+1)/Calculation_Assumptions!$B$7,0),1)</f>
        <v>0.33333333333333331</v>
      </c>
      <c r="O81" s="21">
        <f t="shared" si="8"/>
        <v>579268647.32329595</v>
      </c>
      <c r="P81" s="21">
        <f t="shared" si="9"/>
        <v>579268647.32329595</v>
      </c>
      <c r="Q81" s="21">
        <f>P81*Calculation_Assumptions!$B$14*J81*K81</f>
        <v>0</v>
      </c>
      <c r="R81" s="21">
        <f t="shared" si="10"/>
        <v>1486789.528129793</v>
      </c>
      <c r="S81" s="21">
        <f t="shared" si="11"/>
        <v>1486789.528129793</v>
      </c>
      <c r="T81" s="32">
        <f>1/(1+Calculation_Assumptions!$B$8)^(B81-Calculation_Assumptions!$B$2)</f>
        <v>0.970873786407767</v>
      </c>
      <c r="U81" s="21">
        <f t="shared" si="12"/>
        <v>0</v>
      </c>
      <c r="V81" s="21">
        <f t="shared" si="13"/>
        <v>1443484.9787667894</v>
      </c>
      <c r="W81" s="21">
        <f t="shared" si="14"/>
        <v>1443484.9787667894</v>
      </c>
      <c r="X81">
        <v>0</v>
      </c>
      <c r="Y81" s="18">
        <v>2017</v>
      </c>
      <c r="Z81" t="s">
        <v>387</v>
      </c>
      <c r="AA81" s="21">
        <f t="shared" si="15"/>
        <v>1</v>
      </c>
    </row>
    <row r="82" spans="1:27">
      <c r="A82" t="s">
        <v>272</v>
      </c>
      <c r="B82" s="18">
        <v>2027</v>
      </c>
      <c r="C82" t="s">
        <v>272</v>
      </c>
      <c r="D82" s="20" t="s">
        <v>411</v>
      </c>
      <c r="E82" s="20" t="s">
        <v>412</v>
      </c>
      <c r="F82" s="20" t="s">
        <v>275</v>
      </c>
      <c r="G82" s="20" t="s">
        <v>393</v>
      </c>
      <c r="H82" s="20" t="s">
        <v>384</v>
      </c>
      <c r="I82" s="29">
        <v>1</v>
      </c>
      <c r="J82" s="30">
        <v>1</v>
      </c>
      <c r="K82" s="31">
        <v>7.7000000000000002E-3</v>
      </c>
      <c r="L82" s="9">
        <v>583039014.28645599</v>
      </c>
      <c r="M82" s="9">
        <v>583039014.28645599</v>
      </c>
      <c r="N82" s="32">
        <f>MIN(MAX((B82-Calculation_Assumptions!$B$5+1)/Calculation_Assumptions!$B$7,0),1)</f>
        <v>0.66666666666666663</v>
      </c>
      <c r="O82" s="21">
        <f t="shared" si="8"/>
        <v>583039014.28645599</v>
      </c>
      <c r="P82" s="21">
        <f t="shared" si="9"/>
        <v>583039014.28645599</v>
      </c>
      <c r="Q82" s="21">
        <f>P82*Calculation_Assumptions!$B$14*J82*K82</f>
        <v>0</v>
      </c>
      <c r="R82" s="21">
        <f t="shared" si="10"/>
        <v>2992933.6066704742</v>
      </c>
      <c r="S82" s="21">
        <f t="shared" si="11"/>
        <v>2992933.6066704742</v>
      </c>
      <c r="T82" s="32">
        <f>1/(1+Calculation_Assumptions!$B$8)^(B82-Calculation_Assumptions!$B$2)</f>
        <v>0.94259590913375435</v>
      </c>
      <c r="U82" s="21">
        <f t="shared" si="12"/>
        <v>0</v>
      </c>
      <c r="V82" s="21">
        <f t="shared" si="13"/>
        <v>2821126.9739565221</v>
      </c>
      <c r="W82" s="21">
        <f t="shared" si="14"/>
        <v>2821126.9739565221</v>
      </c>
      <c r="X82">
        <v>0</v>
      </c>
      <c r="Y82" s="18">
        <v>2017</v>
      </c>
      <c r="Z82" t="s">
        <v>387</v>
      </c>
      <c r="AA82" s="21">
        <f t="shared" si="15"/>
        <v>1</v>
      </c>
    </row>
    <row r="83" spans="1:27">
      <c r="A83" t="s">
        <v>272</v>
      </c>
      <c r="B83" s="18">
        <v>2028</v>
      </c>
      <c r="C83" t="s">
        <v>272</v>
      </c>
      <c r="D83" s="20" t="s">
        <v>411</v>
      </c>
      <c r="E83" s="20" t="s">
        <v>412</v>
      </c>
      <c r="F83" s="20" t="s">
        <v>275</v>
      </c>
      <c r="G83" s="20" t="s">
        <v>393</v>
      </c>
      <c r="H83" s="20" t="s">
        <v>384</v>
      </c>
      <c r="I83" s="29">
        <v>1</v>
      </c>
      <c r="J83" s="30">
        <v>1</v>
      </c>
      <c r="K83" s="31">
        <v>7.7000000000000002E-3</v>
      </c>
      <c r="L83" s="9">
        <v>587035116.25746298</v>
      </c>
      <c r="M83" s="9">
        <v>587035116.25746298</v>
      </c>
      <c r="N83" s="32">
        <f>MIN(MAX((B83-Calculation_Assumptions!$B$5+1)/Calculation_Assumptions!$B$7,0),1)</f>
        <v>1</v>
      </c>
      <c r="O83" s="21">
        <f t="shared" si="8"/>
        <v>587035116.25746298</v>
      </c>
      <c r="P83" s="21">
        <f t="shared" si="9"/>
        <v>587035116.25746298</v>
      </c>
      <c r="Q83" s="21">
        <f>P83*Calculation_Assumptions!$B$14*J83*K83</f>
        <v>0</v>
      </c>
      <c r="R83" s="21">
        <f t="shared" si="10"/>
        <v>4520170.3951824652</v>
      </c>
      <c r="S83" s="21">
        <f t="shared" si="11"/>
        <v>4520170.3951824652</v>
      </c>
      <c r="T83" s="32">
        <f>1/(1+Calculation_Assumptions!$B$8)^(B83-Calculation_Assumptions!$B$2)</f>
        <v>0.91514165935315961</v>
      </c>
      <c r="U83" s="21">
        <f t="shared" si="12"/>
        <v>0</v>
      </c>
      <c r="V83" s="21">
        <f t="shared" si="13"/>
        <v>4136596.2360063083</v>
      </c>
      <c r="W83" s="21">
        <f t="shared" si="14"/>
        <v>4136596.2360063083</v>
      </c>
      <c r="X83">
        <v>0</v>
      </c>
      <c r="Y83" s="18">
        <v>2017</v>
      </c>
      <c r="Z83" t="s">
        <v>387</v>
      </c>
      <c r="AA83" s="21">
        <f t="shared" si="15"/>
        <v>1</v>
      </c>
    </row>
    <row r="84" spans="1:27">
      <c r="A84" t="s">
        <v>272</v>
      </c>
      <c r="B84" s="18">
        <v>2029</v>
      </c>
      <c r="C84" t="s">
        <v>272</v>
      </c>
      <c r="D84" s="20" t="s">
        <v>411</v>
      </c>
      <c r="E84" s="20" t="s">
        <v>412</v>
      </c>
      <c r="F84" s="20" t="s">
        <v>275</v>
      </c>
      <c r="G84" s="20" t="s">
        <v>393</v>
      </c>
      <c r="H84" s="20" t="s">
        <v>384</v>
      </c>
      <c r="I84" s="29">
        <v>1</v>
      </c>
      <c r="J84" s="30">
        <v>1</v>
      </c>
      <c r="K84" s="31">
        <v>7.7000000000000002E-3</v>
      </c>
      <c r="L84" s="9">
        <v>590968194.93092203</v>
      </c>
      <c r="M84" s="9">
        <v>590968059.72178304</v>
      </c>
      <c r="N84" s="32">
        <f>MIN(MAX((B84-Calculation_Assumptions!$B$5+1)/Calculation_Assumptions!$B$7,0),1)</f>
        <v>1</v>
      </c>
      <c r="O84" s="21">
        <f t="shared" si="8"/>
        <v>590968194.93092203</v>
      </c>
      <c r="P84" s="21">
        <f t="shared" si="9"/>
        <v>590968059.72178304</v>
      </c>
      <c r="Q84" s="21">
        <f>P84*Calculation_Assumptions!$B$14*J84*K84</f>
        <v>0</v>
      </c>
      <c r="R84" s="21">
        <f t="shared" si="10"/>
        <v>4550455.1009681001</v>
      </c>
      <c r="S84" s="21">
        <f t="shared" si="11"/>
        <v>4550455.1009681001</v>
      </c>
      <c r="T84" s="32">
        <f>1/(1+Calculation_Assumptions!$B$8)^(B84-Calculation_Assumptions!$B$2)</f>
        <v>0.888487047915689</v>
      </c>
      <c r="U84" s="21">
        <f t="shared" si="12"/>
        <v>0</v>
      </c>
      <c r="V84" s="21">
        <f t="shared" si="13"/>
        <v>4043020.4193320358</v>
      </c>
      <c r="W84" s="21">
        <f t="shared" si="14"/>
        <v>4043020.4193320358</v>
      </c>
      <c r="X84">
        <v>0</v>
      </c>
      <c r="Y84" s="18">
        <v>2017</v>
      </c>
      <c r="Z84" t="s">
        <v>387</v>
      </c>
      <c r="AA84" s="21">
        <f t="shared" si="15"/>
        <v>1</v>
      </c>
    </row>
    <row r="85" spans="1:27">
      <c r="A85" t="s">
        <v>272</v>
      </c>
      <c r="B85" s="18">
        <v>2030</v>
      </c>
      <c r="C85" t="s">
        <v>272</v>
      </c>
      <c r="D85" s="20" t="s">
        <v>411</v>
      </c>
      <c r="E85" s="20" t="s">
        <v>412</v>
      </c>
      <c r="F85" s="20" t="s">
        <v>275</v>
      </c>
      <c r="G85" s="20" t="s">
        <v>393</v>
      </c>
      <c r="H85" s="20" t="s">
        <v>384</v>
      </c>
      <c r="I85" s="29">
        <v>1</v>
      </c>
      <c r="J85" s="30">
        <v>1</v>
      </c>
      <c r="K85" s="31">
        <v>7.7000000000000002E-3</v>
      </c>
      <c r="L85" s="9">
        <v>594808492.86153102</v>
      </c>
      <c r="M85" s="9">
        <v>594808018.62654305</v>
      </c>
      <c r="N85" s="32">
        <f>MIN(MAX((B85-Calculation_Assumptions!$B$5+1)/Calculation_Assumptions!$B$7,0),1)</f>
        <v>1</v>
      </c>
      <c r="O85" s="21">
        <f t="shared" si="8"/>
        <v>594808492.86153102</v>
      </c>
      <c r="P85" s="21">
        <f t="shared" si="9"/>
        <v>594808018.62654305</v>
      </c>
      <c r="Q85" s="21">
        <f>P85*Calculation_Assumptions!$B$14*J85*K85</f>
        <v>0</v>
      </c>
      <c r="R85" s="21">
        <f t="shared" si="10"/>
        <v>4580025.3950337889</v>
      </c>
      <c r="S85" s="21">
        <f t="shared" si="11"/>
        <v>4580025.3950337889</v>
      </c>
      <c r="T85" s="32">
        <f>1/(1+Calculation_Assumptions!$B$8)^(B85-Calculation_Assumptions!$B$2)</f>
        <v>0.86260878438416411</v>
      </c>
      <c r="U85" s="21">
        <f t="shared" si="12"/>
        <v>0</v>
      </c>
      <c r="V85" s="21">
        <f t="shared" si="13"/>
        <v>3950770.1384586976</v>
      </c>
      <c r="W85" s="21">
        <f t="shared" si="14"/>
        <v>3950770.1384586976</v>
      </c>
      <c r="X85">
        <v>0</v>
      </c>
      <c r="Y85" s="18">
        <v>2017</v>
      </c>
      <c r="Z85" t="s">
        <v>387</v>
      </c>
      <c r="AA85" s="21">
        <f t="shared" si="15"/>
        <v>1</v>
      </c>
    </row>
    <row r="86" spans="1:27">
      <c r="A86" t="s">
        <v>272</v>
      </c>
      <c r="B86" s="18">
        <v>2031</v>
      </c>
      <c r="C86" t="s">
        <v>272</v>
      </c>
      <c r="D86" s="20" t="s">
        <v>411</v>
      </c>
      <c r="E86" s="20" t="s">
        <v>412</v>
      </c>
      <c r="F86" s="20" t="s">
        <v>275</v>
      </c>
      <c r="G86" s="20" t="s">
        <v>393</v>
      </c>
      <c r="H86" s="20" t="s">
        <v>384</v>
      </c>
      <c r="I86" s="29">
        <v>1</v>
      </c>
      <c r="J86" s="30">
        <v>1</v>
      </c>
      <c r="K86" s="31">
        <v>7.7000000000000002E-3</v>
      </c>
      <c r="L86" s="9">
        <v>598582440.21556103</v>
      </c>
      <c r="M86" s="9">
        <v>598581381.03442597</v>
      </c>
      <c r="N86" s="32">
        <f>MIN(MAX((B86-Calculation_Assumptions!$B$5+1)/Calculation_Assumptions!$B$7,0),1)</f>
        <v>1</v>
      </c>
      <c r="O86" s="21">
        <f t="shared" si="8"/>
        <v>598582440.21556103</v>
      </c>
      <c r="P86" s="21">
        <f t="shared" si="9"/>
        <v>598581381.03442597</v>
      </c>
      <c r="Q86" s="21">
        <f>P86*Calculation_Assumptions!$B$14*J86*K86</f>
        <v>0</v>
      </c>
      <c r="R86" s="21">
        <f t="shared" si="10"/>
        <v>4609084.7896598205</v>
      </c>
      <c r="S86" s="21">
        <f t="shared" si="11"/>
        <v>4609084.7896598205</v>
      </c>
      <c r="T86" s="32">
        <f>1/(1+Calculation_Assumptions!$B$8)^(B86-Calculation_Assumptions!$B$2)</f>
        <v>0.83748425668365445</v>
      </c>
      <c r="U86" s="21">
        <f t="shared" si="12"/>
        <v>0</v>
      </c>
      <c r="V86" s="21">
        <f t="shared" si="13"/>
        <v>3860035.9490601928</v>
      </c>
      <c r="W86" s="21">
        <f t="shared" si="14"/>
        <v>3860035.9490601928</v>
      </c>
      <c r="X86">
        <v>0</v>
      </c>
      <c r="Y86" s="18">
        <v>2017</v>
      </c>
      <c r="Z86" t="s">
        <v>387</v>
      </c>
      <c r="AA86" s="21">
        <f t="shared" si="15"/>
        <v>1</v>
      </c>
    </row>
    <row r="87" spans="1:27">
      <c r="A87" t="s">
        <v>272</v>
      </c>
      <c r="B87" s="18">
        <v>2032</v>
      </c>
      <c r="C87" t="s">
        <v>272</v>
      </c>
      <c r="D87" s="20" t="s">
        <v>411</v>
      </c>
      <c r="E87" s="20" t="s">
        <v>412</v>
      </c>
      <c r="F87" s="20" t="s">
        <v>275</v>
      </c>
      <c r="G87" s="20" t="s">
        <v>393</v>
      </c>
      <c r="H87" s="20" t="s">
        <v>384</v>
      </c>
      <c r="I87" s="29">
        <v>1</v>
      </c>
      <c r="J87" s="30">
        <v>1</v>
      </c>
      <c r="K87" s="31">
        <v>7.7000000000000002E-3</v>
      </c>
      <c r="L87" s="9">
        <v>602285505.98961699</v>
      </c>
      <c r="M87" s="9">
        <v>602283583.58638096</v>
      </c>
      <c r="N87" s="32">
        <f>MIN(MAX((B87-Calculation_Assumptions!$B$5+1)/Calculation_Assumptions!$B$7,0),1)</f>
        <v>1</v>
      </c>
      <c r="O87" s="21">
        <f t="shared" si="8"/>
        <v>602285505.98961699</v>
      </c>
      <c r="P87" s="21">
        <f t="shared" si="9"/>
        <v>602283583.58638096</v>
      </c>
      <c r="Q87" s="21">
        <f>P87*Calculation_Assumptions!$B$14*J87*K87</f>
        <v>0</v>
      </c>
      <c r="R87" s="21">
        <f t="shared" si="10"/>
        <v>4637598.3961200509</v>
      </c>
      <c r="S87" s="21">
        <f t="shared" si="11"/>
        <v>4637598.3961200509</v>
      </c>
      <c r="T87" s="32">
        <f>1/(1+Calculation_Assumptions!$B$8)^(B87-Calculation_Assumptions!$B$2)</f>
        <v>0.81309151134335378</v>
      </c>
      <c r="U87" s="21">
        <f t="shared" si="12"/>
        <v>0</v>
      </c>
      <c r="V87" s="21">
        <f t="shared" si="13"/>
        <v>3770791.8889047657</v>
      </c>
      <c r="W87" s="21">
        <f t="shared" si="14"/>
        <v>3770791.8889047657</v>
      </c>
      <c r="X87">
        <v>0</v>
      </c>
      <c r="Y87" s="18">
        <v>2017</v>
      </c>
      <c r="Z87" t="s">
        <v>387</v>
      </c>
      <c r="AA87" s="21">
        <f t="shared" si="15"/>
        <v>1</v>
      </c>
    </row>
    <row r="88" spans="1:27">
      <c r="A88" t="s">
        <v>272</v>
      </c>
      <c r="B88" s="18">
        <v>2033</v>
      </c>
      <c r="C88" t="s">
        <v>272</v>
      </c>
      <c r="D88" s="20" t="s">
        <v>411</v>
      </c>
      <c r="E88" s="20" t="s">
        <v>412</v>
      </c>
      <c r="F88" s="20" t="s">
        <v>275</v>
      </c>
      <c r="G88" s="20" t="s">
        <v>393</v>
      </c>
      <c r="H88" s="20" t="s">
        <v>384</v>
      </c>
      <c r="I88" s="29">
        <v>1</v>
      </c>
      <c r="J88" s="30">
        <v>1</v>
      </c>
      <c r="K88" s="31">
        <v>7.7000000000000002E-3</v>
      </c>
      <c r="L88" s="9">
        <v>605914991.56927204</v>
      </c>
      <c r="M88" s="9">
        <v>605911902.99473</v>
      </c>
      <c r="N88" s="32">
        <f>MIN(MAX((B88-Calculation_Assumptions!$B$5+1)/Calculation_Assumptions!$B$7,0),1)</f>
        <v>1</v>
      </c>
      <c r="O88" s="21">
        <f t="shared" si="8"/>
        <v>605914991.56927204</v>
      </c>
      <c r="P88" s="21">
        <f t="shared" si="9"/>
        <v>605911902.99473</v>
      </c>
      <c r="Q88" s="21">
        <f>P88*Calculation_Assumptions!$B$14*J88*K88</f>
        <v>0</v>
      </c>
      <c r="R88" s="21">
        <f t="shared" si="10"/>
        <v>4665545.4350833949</v>
      </c>
      <c r="S88" s="21">
        <f t="shared" si="11"/>
        <v>4665545.4350833949</v>
      </c>
      <c r="T88" s="32">
        <f>1/(1+Calculation_Assumptions!$B$8)^(B88-Calculation_Assumptions!$B$2)</f>
        <v>0.78940923431393573</v>
      </c>
      <c r="U88" s="21">
        <f t="shared" si="12"/>
        <v>0</v>
      </c>
      <c r="V88" s="21">
        <f t="shared" si="13"/>
        <v>3683024.6495660609</v>
      </c>
      <c r="W88" s="21">
        <f t="shared" si="14"/>
        <v>3683024.6495660609</v>
      </c>
      <c r="X88">
        <v>0</v>
      </c>
      <c r="Y88" s="18">
        <v>2017</v>
      </c>
      <c r="Z88" t="s">
        <v>387</v>
      </c>
      <c r="AA88" s="21">
        <f t="shared" si="15"/>
        <v>1</v>
      </c>
    </row>
    <row r="89" spans="1:27">
      <c r="A89" t="s">
        <v>272</v>
      </c>
      <c r="B89" s="18">
        <v>2034</v>
      </c>
      <c r="C89" t="s">
        <v>272</v>
      </c>
      <c r="D89" s="20" t="s">
        <v>411</v>
      </c>
      <c r="E89" s="20" t="s">
        <v>412</v>
      </c>
      <c r="F89" s="20" t="s">
        <v>275</v>
      </c>
      <c r="G89" s="20" t="s">
        <v>393</v>
      </c>
      <c r="H89" s="20" t="s">
        <v>384</v>
      </c>
      <c r="I89" s="29">
        <v>1</v>
      </c>
      <c r="J89" s="30">
        <v>1</v>
      </c>
      <c r="K89" s="31">
        <v>7.7000000000000002E-3</v>
      </c>
      <c r="L89" s="9">
        <v>609460120.67678905</v>
      </c>
      <c r="M89" s="9">
        <v>609455548.12077105</v>
      </c>
      <c r="N89" s="32">
        <f>MIN(MAX((B89-Calculation_Assumptions!$B$5+1)/Calculation_Assumptions!$B$7,0),1)</f>
        <v>1</v>
      </c>
      <c r="O89" s="21">
        <f t="shared" si="8"/>
        <v>609460120.67678905</v>
      </c>
      <c r="P89" s="21">
        <f t="shared" si="9"/>
        <v>609455548.12077105</v>
      </c>
      <c r="Q89" s="21">
        <f>P89*Calculation_Assumptions!$B$14*J89*K89</f>
        <v>0</v>
      </c>
      <c r="R89" s="21">
        <f t="shared" si="10"/>
        <v>4692842.9292112757</v>
      </c>
      <c r="S89" s="21">
        <f t="shared" si="11"/>
        <v>4692842.9292112757</v>
      </c>
      <c r="T89" s="32">
        <f>1/(1+Calculation_Assumptions!$B$8)^(B89-Calculation_Assumptions!$B$2)</f>
        <v>0.76641673234362695</v>
      </c>
      <c r="U89" s="21">
        <f t="shared" si="12"/>
        <v>0</v>
      </c>
      <c r="V89" s="21">
        <f t="shared" si="13"/>
        <v>3596673.3432080005</v>
      </c>
      <c r="W89" s="21">
        <f t="shared" si="14"/>
        <v>3596673.3432080005</v>
      </c>
      <c r="X89">
        <v>0</v>
      </c>
      <c r="Y89" s="18">
        <v>2017</v>
      </c>
      <c r="Z89" t="s">
        <v>387</v>
      </c>
      <c r="AA89" s="21">
        <f t="shared" si="15"/>
        <v>1</v>
      </c>
    </row>
    <row r="90" spans="1:27">
      <c r="A90" t="s">
        <v>272</v>
      </c>
      <c r="B90" s="18">
        <v>2035</v>
      </c>
      <c r="C90" t="s">
        <v>272</v>
      </c>
      <c r="D90" s="20" t="s">
        <v>411</v>
      </c>
      <c r="E90" s="20" t="s">
        <v>412</v>
      </c>
      <c r="F90" s="20" t="s">
        <v>275</v>
      </c>
      <c r="G90" s="20" t="s">
        <v>393</v>
      </c>
      <c r="H90" s="20" t="s">
        <v>384</v>
      </c>
      <c r="I90" s="29">
        <v>1</v>
      </c>
      <c r="J90" s="30">
        <v>1</v>
      </c>
      <c r="K90" s="31">
        <v>7.7000000000000002E-3</v>
      </c>
      <c r="L90" s="9">
        <v>612909793.42774701</v>
      </c>
      <c r="M90" s="9">
        <v>612884294.47334194</v>
      </c>
      <c r="N90" s="32">
        <f>MIN(MAX((B90-Calculation_Assumptions!$B$5+1)/Calculation_Assumptions!$B$7,0),1)</f>
        <v>1</v>
      </c>
      <c r="O90" s="21">
        <f t="shared" si="8"/>
        <v>612909793.42774701</v>
      </c>
      <c r="P90" s="21">
        <f t="shared" si="9"/>
        <v>612884294.47334194</v>
      </c>
      <c r="Q90" s="21">
        <f>P90*Calculation_Assumptions!$B$14*J90*K90</f>
        <v>0</v>
      </c>
      <c r="R90" s="21">
        <f t="shared" si="10"/>
        <v>4719405.4093936523</v>
      </c>
      <c r="S90" s="21">
        <f t="shared" si="11"/>
        <v>4719405.4093936523</v>
      </c>
      <c r="T90" s="32">
        <f>1/(1+Calculation_Assumptions!$B$8)^(B90-Calculation_Assumptions!$B$2)</f>
        <v>0.74409391489672516</v>
      </c>
      <c r="U90" s="21">
        <f t="shared" si="12"/>
        <v>0</v>
      </c>
      <c r="V90" s="21">
        <f t="shared" si="13"/>
        <v>3511680.8470605048</v>
      </c>
      <c r="W90" s="21">
        <f t="shared" si="14"/>
        <v>3511680.8470605048</v>
      </c>
      <c r="X90">
        <v>0</v>
      </c>
      <c r="Y90" s="18">
        <v>2017</v>
      </c>
      <c r="Z90" t="s">
        <v>387</v>
      </c>
      <c r="AA90" s="21">
        <f t="shared" si="15"/>
        <v>1</v>
      </c>
    </row>
    <row r="91" spans="1:27">
      <c r="A91" t="s">
        <v>272</v>
      </c>
      <c r="B91" s="18">
        <v>2036</v>
      </c>
      <c r="C91" t="s">
        <v>272</v>
      </c>
      <c r="D91" s="20" t="s">
        <v>411</v>
      </c>
      <c r="E91" s="20" t="s">
        <v>412</v>
      </c>
      <c r="F91" s="20" t="s">
        <v>275</v>
      </c>
      <c r="G91" s="20" t="s">
        <v>393</v>
      </c>
      <c r="H91" s="20" t="s">
        <v>384</v>
      </c>
      <c r="I91" s="29">
        <v>1</v>
      </c>
      <c r="J91" s="30">
        <v>1</v>
      </c>
      <c r="K91" s="31">
        <v>7.7000000000000002E-3</v>
      </c>
      <c r="L91" s="9">
        <v>616270588.26710296</v>
      </c>
      <c r="M91" s="9">
        <v>616262053.85817397</v>
      </c>
      <c r="N91" s="32">
        <f>MIN(MAX((B91-Calculation_Assumptions!$B$5+1)/Calculation_Assumptions!$B$7,0),1)</f>
        <v>1</v>
      </c>
      <c r="O91" s="21">
        <f t="shared" si="8"/>
        <v>616270588.26710296</v>
      </c>
      <c r="P91" s="21">
        <f t="shared" si="9"/>
        <v>616262053.85817397</v>
      </c>
      <c r="Q91" s="21">
        <f>P91*Calculation_Assumptions!$B$14*J91*K91</f>
        <v>0</v>
      </c>
      <c r="R91" s="21">
        <f t="shared" si="10"/>
        <v>4745283.5296566933</v>
      </c>
      <c r="S91" s="21">
        <f t="shared" si="11"/>
        <v>4745283.5296566933</v>
      </c>
      <c r="T91" s="32">
        <f>1/(1+Calculation_Assumptions!$B$8)^(B91-Calculation_Assumptions!$B$2)</f>
        <v>0.72242127659876232</v>
      </c>
      <c r="U91" s="21">
        <f t="shared" si="12"/>
        <v>0</v>
      </c>
      <c r="V91" s="21">
        <f t="shared" si="13"/>
        <v>3428093.7853176692</v>
      </c>
      <c r="W91" s="21">
        <f t="shared" si="14"/>
        <v>3428093.7853176692</v>
      </c>
      <c r="X91">
        <v>0</v>
      </c>
      <c r="Y91" s="18">
        <v>2017</v>
      </c>
      <c r="Z91" t="s">
        <v>387</v>
      </c>
      <c r="AA91" s="21">
        <f t="shared" si="15"/>
        <v>1</v>
      </c>
    </row>
    <row r="92" spans="1:27">
      <c r="A92" t="s">
        <v>272</v>
      </c>
      <c r="B92" s="18">
        <v>2037</v>
      </c>
      <c r="C92" t="s">
        <v>272</v>
      </c>
      <c r="D92" s="20" t="s">
        <v>411</v>
      </c>
      <c r="E92" s="20" t="s">
        <v>412</v>
      </c>
      <c r="F92" s="20" t="s">
        <v>275</v>
      </c>
      <c r="G92" s="20" t="s">
        <v>393</v>
      </c>
      <c r="H92" s="20" t="s">
        <v>384</v>
      </c>
      <c r="I92" s="29">
        <v>1</v>
      </c>
      <c r="J92" s="30">
        <v>1</v>
      </c>
      <c r="K92" s="31">
        <v>7.7000000000000002E-3</v>
      </c>
      <c r="L92" s="9">
        <v>619520058.66719103</v>
      </c>
      <c r="M92" s="9">
        <v>619529380.90729904</v>
      </c>
      <c r="N92" s="32">
        <f>MIN(MAX((B92-Calculation_Assumptions!$B$5+1)/Calculation_Assumptions!$B$7,0),1)</f>
        <v>1</v>
      </c>
      <c r="O92" s="21">
        <f t="shared" si="8"/>
        <v>619520058.66719103</v>
      </c>
      <c r="P92" s="21">
        <f t="shared" si="9"/>
        <v>619529380.90729904</v>
      </c>
      <c r="Q92" s="21">
        <f>P92*Calculation_Assumptions!$B$14*J92*K92</f>
        <v>0</v>
      </c>
      <c r="R92" s="21">
        <f t="shared" si="10"/>
        <v>4770304.4517373713</v>
      </c>
      <c r="S92" s="21">
        <f t="shared" si="11"/>
        <v>4770304.4517373713</v>
      </c>
      <c r="T92" s="32">
        <f>1/(1+Calculation_Assumptions!$B$8)^(B92-Calculation_Assumptions!$B$2)</f>
        <v>0.70137988019297326</v>
      </c>
      <c r="U92" s="21">
        <f t="shared" si="12"/>
        <v>0</v>
      </c>
      <c r="V92" s="21">
        <f t="shared" si="13"/>
        <v>3345795.5648435643</v>
      </c>
      <c r="W92" s="21">
        <f t="shared" si="14"/>
        <v>3345795.5648435643</v>
      </c>
      <c r="X92">
        <v>0</v>
      </c>
      <c r="Y92" s="18">
        <v>2017</v>
      </c>
      <c r="Z92" t="s">
        <v>387</v>
      </c>
      <c r="AA92" s="21">
        <f t="shared" si="15"/>
        <v>1</v>
      </c>
    </row>
    <row r="93" spans="1:27">
      <c r="A93" t="s">
        <v>272</v>
      </c>
      <c r="B93" s="18">
        <v>2038</v>
      </c>
      <c r="C93" t="s">
        <v>272</v>
      </c>
      <c r="D93" s="20" t="s">
        <v>411</v>
      </c>
      <c r="E93" s="20" t="s">
        <v>412</v>
      </c>
      <c r="F93" s="20" t="s">
        <v>275</v>
      </c>
      <c r="G93" s="20" t="s">
        <v>393</v>
      </c>
      <c r="H93" s="20" t="s">
        <v>384</v>
      </c>
      <c r="I93" s="29">
        <v>1</v>
      </c>
      <c r="J93" s="30">
        <v>1</v>
      </c>
      <c r="K93" s="31">
        <v>7.7000000000000002E-3</v>
      </c>
      <c r="L93" s="9">
        <v>622687013.09721804</v>
      </c>
      <c r="M93" s="9">
        <v>622673191.62836504</v>
      </c>
      <c r="N93" s="32">
        <f>MIN(MAX((B93-Calculation_Assumptions!$B$5+1)/Calculation_Assumptions!$B$7,0),1)</f>
        <v>1</v>
      </c>
      <c r="O93" s="21">
        <f t="shared" si="8"/>
        <v>622687013.09721804</v>
      </c>
      <c r="P93" s="21">
        <f t="shared" si="9"/>
        <v>622673191.62836504</v>
      </c>
      <c r="Q93" s="21">
        <f>P93*Calculation_Assumptions!$B$14*J93*K93</f>
        <v>0</v>
      </c>
      <c r="R93" s="21">
        <f t="shared" si="10"/>
        <v>4794690.0008485792</v>
      </c>
      <c r="S93" s="21">
        <f t="shared" si="11"/>
        <v>4794690.0008485792</v>
      </c>
      <c r="T93" s="32">
        <f>1/(1+Calculation_Assumptions!$B$8)^(B93-Calculation_Assumptions!$B$2)</f>
        <v>0.68095133999317792</v>
      </c>
      <c r="U93" s="21">
        <f t="shared" si="12"/>
        <v>0</v>
      </c>
      <c r="V93" s="21">
        <f t="shared" si="13"/>
        <v>3264950.5809297315</v>
      </c>
      <c r="W93" s="21">
        <f t="shared" si="14"/>
        <v>3264950.5809297315</v>
      </c>
      <c r="X93">
        <v>0</v>
      </c>
      <c r="Y93" s="18">
        <v>2017</v>
      </c>
      <c r="Z93" t="s">
        <v>387</v>
      </c>
      <c r="AA93" s="21">
        <f t="shared" si="15"/>
        <v>1</v>
      </c>
    </row>
    <row r="94" spans="1:27">
      <c r="A94" t="s">
        <v>272</v>
      </c>
      <c r="B94" s="18">
        <v>2039</v>
      </c>
      <c r="C94" t="s">
        <v>272</v>
      </c>
      <c r="D94" s="20" t="s">
        <v>411</v>
      </c>
      <c r="E94" s="20" t="s">
        <v>412</v>
      </c>
      <c r="F94" s="20" t="s">
        <v>275</v>
      </c>
      <c r="G94" s="20" t="s">
        <v>393</v>
      </c>
      <c r="H94" s="20" t="s">
        <v>384</v>
      </c>
      <c r="I94" s="29">
        <v>1</v>
      </c>
      <c r="J94" s="30">
        <v>1</v>
      </c>
      <c r="K94" s="31">
        <v>7.7000000000000002E-3</v>
      </c>
      <c r="L94" s="9">
        <v>625748755.18736899</v>
      </c>
      <c r="M94" s="9">
        <v>625731758.218045</v>
      </c>
      <c r="N94" s="32">
        <f>MIN(MAX((B94-Calculation_Assumptions!$B$5+1)/Calculation_Assumptions!$B$7,0),1)</f>
        <v>1</v>
      </c>
      <c r="O94" s="21">
        <f t="shared" si="8"/>
        <v>625748755.18736899</v>
      </c>
      <c r="P94" s="21">
        <f t="shared" si="9"/>
        <v>625731758.218045</v>
      </c>
      <c r="Q94" s="21">
        <f>P94*Calculation_Assumptions!$B$14*J94*K94</f>
        <v>0</v>
      </c>
      <c r="R94" s="21">
        <f t="shared" si="10"/>
        <v>4818265.4149427414</v>
      </c>
      <c r="S94" s="21">
        <f t="shared" si="11"/>
        <v>4818265.4149427414</v>
      </c>
      <c r="T94" s="32">
        <f>1/(1+Calculation_Assumptions!$B$8)^(B94-Calculation_Assumptions!$B$2)</f>
        <v>0.66111780581861923</v>
      </c>
      <c r="U94" s="21">
        <f t="shared" si="12"/>
        <v>0</v>
      </c>
      <c r="V94" s="21">
        <f t="shared" si="13"/>
        <v>3185441.0589786842</v>
      </c>
      <c r="W94" s="21">
        <f t="shared" si="14"/>
        <v>3185441.0589786842</v>
      </c>
      <c r="X94">
        <v>0</v>
      </c>
      <c r="Y94" s="18">
        <v>2017</v>
      </c>
      <c r="Z94" t="s">
        <v>387</v>
      </c>
      <c r="AA94" s="21">
        <f t="shared" si="15"/>
        <v>1</v>
      </c>
    </row>
    <row r="95" spans="1:27">
      <c r="A95" t="s">
        <v>272</v>
      </c>
      <c r="B95" s="18">
        <v>2040</v>
      </c>
      <c r="C95" t="s">
        <v>272</v>
      </c>
      <c r="D95" s="20" t="s">
        <v>411</v>
      </c>
      <c r="E95" s="20" t="s">
        <v>412</v>
      </c>
      <c r="F95" s="20" t="s">
        <v>275</v>
      </c>
      <c r="G95" s="20" t="s">
        <v>393</v>
      </c>
      <c r="H95" s="20" t="s">
        <v>384</v>
      </c>
      <c r="I95" s="29">
        <v>1</v>
      </c>
      <c r="J95" s="30">
        <v>1</v>
      </c>
      <c r="K95" s="31">
        <v>7.7000000000000002E-3</v>
      </c>
      <c r="L95" s="9">
        <v>628688013.01519299</v>
      </c>
      <c r="M95" s="9">
        <v>628667498.21665299</v>
      </c>
      <c r="N95" s="32">
        <f>MIN(MAX((B95-Calculation_Assumptions!$B$5+1)/Calculation_Assumptions!$B$7,0),1)</f>
        <v>1</v>
      </c>
      <c r="O95" s="21">
        <f t="shared" si="8"/>
        <v>628688013.01519299</v>
      </c>
      <c r="P95" s="21">
        <f t="shared" si="9"/>
        <v>628667498.21665299</v>
      </c>
      <c r="Q95" s="21">
        <f>P95*Calculation_Assumptions!$B$14*J95*K95</f>
        <v>0</v>
      </c>
      <c r="R95" s="21">
        <f t="shared" si="10"/>
        <v>4840897.7002169862</v>
      </c>
      <c r="S95" s="21">
        <f t="shared" si="11"/>
        <v>4840897.7002169862</v>
      </c>
      <c r="T95" s="32">
        <f>1/(1+Calculation_Assumptions!$B$8)^(B95-Calculation_Assumptions!$B$2)</f>
        <v>0.64186194739671765</v>
      </c>
      <c r="U95" s="21">
        <f t="shared" si="12"/>
        <v>0</v>
      </c>
      <c r="V95" s="21">
        <f t="shared" si="13"/>
        <v>3107188.0250095665</v>
      </c>
      <c r="W95" s="21">
        <f t="shared" si="14"/>
        <v>3107188.0250095665</v>
      </c>
      <c r="X95">
        <v>0</v>
      </c>
      <c r="Y95" s="18">
        <v>2017</v>
      </c>
      <c r="Z95" t="s">
        <v>387</v>
      </c>
      <c r="AA95" s="21">
        <f t="shared" si="15"/>
        <v>1</v>
      </c>
    </row>
    <row r="96" spans="1:27">
      <c r="A96" t="s">
        <v>272</v>
      </c>
      <c r="B96" s="18">
        <v>2041</v>
      </c>
      <c r="C96" t="s">
        <v>272</v>
      </c>
      <c r="D96" s="20" t="s">
        <v>411</v>
      </c>
      <c r="E96" s="20" t="s">
        <v>412</v>
      </c>
      <c r="F96" s="20" t="s">
        <v>275</v>
      </c>
      <c r="G96" s="20" t="s">
        <v>393</v>
      </c>
      <c r="H96" s="20" t="s">
        <v>384</v>
      </c>
      <c r="I96" s="29">
        <v>1</v>
      </c>
      <c r="J96" s="30">
        <v>1</v>
      </c>
      <c r="K96" s="31">
        <v>7.7000000000000002E-3</v>
      </c>
      <c r="L96" s="9">
        <v>631512772.67159903</v>
      </c>
      <c r="M96" s="9">
        <v>631488405.68781996</v>
      </c>
      <c r="N96" s="32">
        <f>MIN(MAX((B96-Calculation_Assumptions!$B$5+1)/Calculation_Assumptions!$B$7,0),1)</f>
        <v>1</v>
      </c>
      <c r="O96" s="21">
        <f t="shared" si="8"/>
        <v>631512772.67159903</v>
      </c>
      <c r="P96" s="21">
        <f t="shared" si="9"/>
        <v>631488405.68781996</v>
      </c>
      <c r="Q96" s="21">
        <f>P96*Calculation_Assumptions!$B$14*J96*K96</f>
        <v>0</v>
      </c>
      <c r="R96" s="21">
        <f t="shared" si="10"/>
        <v>4862648.3495713128</v>
      </c>
      <c r="S96" s="21">
        <f t="shared" si="11"/>
        <v>4862648.3495713128</v>
      </c>
      <c r="T96" s="32">
        <f>1/(1+Calculation_Assumptions!$B$8)^(B96-Calculation_Assumptions!$B$2)</f>
        <v>0.62316693922011435</v>
      </c>
      <c r="U96" s="21">
        <f t="shared" si="12"/>
        <v>0</v>
      </c>
      <c r="V96" s="21">
        <f t="shared" si="13"/>
        <v>3030241.6885060957</v>
      </c>
      <c r="W96" s="21">
        <f t="shared" si="14"/>
        <v>3030241.6885060957</v>
      </c>
      <c r="X96">
        <v>0</v>
      </c>
      <c r="Y96" s="18">
        <v>2017</v>
      </c>
      <c r="Z96" t="s">
        <v>387</v>
      </c>
      <c r="AA96" s="21">
        <f t="shared" si="15"/>
        <v>1</v>
      </c>
    </row>
    <row r="97" spans="1:27">
      <c r="A97" t="s">
        <v>272</v>
      </c>
      <c r="B97" s="18">
        <v>2042</v>
      </c>
      <c r="C97" t="s">
        <v>272</v>
      </c>
      <c r="D97" s="20" t="s">
        <v>411</v>
      </c>
      <c r="E97" s="20" t="s">
        <v>412</v>
      </c>
      <c r="F97" s="20" t="s">
        <v>275</v>
      </c>
      <c r="G97" s="20" t="s">
        <v>393</v>
      </c>
      <c r="H97" s="20" t="s">
        <v>384</v>
      </c>
      <c r="I97" s="29">
        <v>1</v>
      </c>
      <c r="J97" s="30">
        <v>1</v>
      </c>
      <c r="K97" s="31">
        <v>7.7000000000000002E-3</v>
      </c>
      <c r="L97" s="9">
        <v>634213106.33808899</v>
      </c>
      <c r="M97" s="9">
        <v>634184560.98858297</v>
      </c>
      <c r="N97" s="32">
        <f>MIN(MAX((B97-Calculation_Assumptions!$B$5+1)/Calculation_Assumptions!$B$7,0),1)</f>
        <v>1</v>
      </c>
      <c r="O97" s="21">
        <f t="shared" si="8"/>
        <v>634213106.33808899</v>
      </c>
      <c r="P97" s="21">
        <f t="shared" si="9"/>
        <v>634184560.98858297</v>
      </c>
      <c r="Q97" s="21">
        <f>P97*Calculation_Assumptions!$B$14*J97*K97</f>
        <v>0</v>
      </c>
      <c r="R97" s="21">
        <f t="shared" si="10"/>
        <v>4883440.9188032858</v>
      </c>
      <c r="S97" s="21">
        <f t="shared" si="11"/>
        <v>4883440.9188032858</v>
      </c>
      <c r="T97" s="32">
        <f>1/(1+Calculation_Assumptions!$B$8)^(B97-Calculation_Assumptions!$B$2)</f>
        <v>0.60501644584477121</v>
      </c>
      <c r="U97" s="21">
        <f t="shared" si="12"/>
        <v>0</v>
      </c>
      <c r="V97" s="21">
        <f t="shared" si="13"/>
        <v>2954562.068187288</v>
      </c>
      <c r="W97" s="21">
        <f t="shared" si="14"/>
        <v>2954562.068187288</v>
      </c>
      <c r="X97">
        <v>0</v>
      </c>
      <c r="Y97" s="18">
        <v>2017</v>
      </c>
      <c r="Z97" t="s">
        <v>387</v>
      </c>
      <c r="AA97" s="21">
        <f t="shared" si="15"/>
        <v>1</v>
      </c>
    </row>
    <row r="98" spans="1:27">
      <c r="A98" t="s">
        <v>272</v>
      </c>
      <c r="B98" s="18">
        <v>2043</v>
      </c>
      <c r="C98" t="s">
        <v>272</v>
      </c>
      <c r="D98" s="20" t="s">
        <v>411</v>
      </c>
      <c r="E98" s="20" t="s">
        <v>412</v>
      </c>
      <c r="F98" s="20" t="s">
        <v>275</v>
      </c>
      <c r="G98" s="20" t="s">
        <v>393</v>
      </c>
      <c r="H98" s="20" t="s">
        <v>384</v>
      </c>
      <c r="I98" s="29">
        <v>1</v>
      </c>
      <c r="J98" s="30">
        <v>1</v>
      </c>
      <c r="K98" s="31">
        <v>7.7000000000000002E-3</v>
      </c>
      <c r="L98" s="9">
        <v>636800122.45302796</v>
      </c>
      <c r="M98" s="9">
        <v>636767020.67603099</v>
      </c>
      <c r="N98" s="32">
        <f>MIN(MAX((B98-Calculation_Assumptions!$B$5+1)/Calculation_Assumptions!$B$7,0),1)</f>
        <v>1</v>
      </c>
      <c r="O98" s="21">
        <f t="shared" si="8"/>
        <v>636800122.45302796</v>
      </c>
      <c r="P98" s="21">
        <f t="shared" si="9"/>
        <v>636767020.67603099</v>
      </c>
      <c r="Q98" s="21">
        <f>P98*Calculation_Assumptions!$B$14*J98*K98</f>
        <v>0</v>
      </c>
      <c r="R98" s="21">
        <f t="shared" si="10"/>
        <v>4903360.9428883158</v>
      </c>
      <c r="S98" s="21">
        <f t="shared" si="11"/>
        <v>4903360.9428883158</v>
      </c>
      <c r="T98" s="32">
        <f>1/(1+Calculation_Assumptions!$B$8)^(B98-Calculation_Assumptions!$B$2)</f>
        <v>0.5873946076162827</v>
      </c>
      <c r="U98" s="21">
        <f t="shared" si="12"/>
        <v>0</v>
      </c>
      <c r="V98" s="21">
        <f t="shared" si="13"/>
        <v>2880207.7770488882</v>
      </c>
      <c r="W98" s="21">
        <f t="shared" si="14"/>
        <v>2880207.7770488882</v>
      </c>
      <c r="X98">
        <v>0</v>
      </c>
      <c r="Y98" s="18">
        <v>2017</v>
      </c>
      <c r="Z98" t="s">
        <v>387</v>
      </c>
      <c r="AA98" s="21">
        <f t="shared" si="15"/>
        <v>1</v>
      </c>
    </row>
    <row r="99" spans="1:27">
      <c r="A99" t="s">
        <v>272</v>
      </c>
      <c r="B99" s="18">
        <v>2044</v>
      </c>
      <c r="C99" t="s">
        <v>272</v>
      </c>
      <c r="D99" s="20" t="s">
        <v>411</v>
      </c>
      <c r="E99" s="20" t="s">
        <v>412</v>
      </c>
      <c r="F99" s="20" t="s">
        <v>275</v>
      </c>
      <c r="G99" s="20" t="s">
        <v>393</v>
      </c>
      <c r="H99" s="20" t="s">
        <v>384</v>
      </c>
      <c r="I99" s="29">
        <v>1</v>
      </c>
      <c r="J99" s="30">
        <v>1</v>
      </c>
      <c r="K99" s="31">
        <v>7.7000000000000002E-3</v>
      </c>
      <c r="L99" s="9">
        <v>639249457.21941698</v>
      </c>
      <c r="M99" s="9">
        <v>639211548.58069301</v>
      </c>
      <c r="N99" s="32">
        <f>MIN(MAX((B99-Calculation_Assumptions!$B$5+1)/Calculation_Assumptions!$B$7,0),1)</f>
        <v>1</v>
      </c>
      <c r="O99" s="21">
        <f t="shared" si="8"/>
        <v>639249457.21941698</v>
      </c>
      <c r="P99" s="21">
        <f t="shared" si="9"/>
        <v>639211548.58069301</v>
      </c>
      <c r="Q99" s="21">
        <f>P99*Calculation_Assumptions!$B$14*J99*K99</f>
        <v>0</v>
      </c>
      <c r="R99" s="21">
        <f t="shared" si="10"/>
        <v>4922220.8205895107</v>
      </c>
      <c r="S99" s="21">
        <f t="shared" si="11"/>
        <v>4922220.8205895107</v>
      </c>
      <c r="T99" s="32">
        <f>1/(1+Calculation_Assumptions!$B$8)^(B99-Calculation_Assumptions!$B$2)</f>
        <v>0.57028602681192497</v>
      </c>
      <c r="U99" s="21">
        <f t="shared" si="12"/>
        <v>0</v>
      </c>
      <c r="V99" s="21">
        <f t="shared" si="13"/>
        <v>2807073.7548649251</v>
      </c>
      <c r="W99" s="21">
        <f t="shared" si="14"/>
        <v>2807073.7548649251</v>
      </c>
      <c r="X99">
        <v>0</v>
      </c>
      <c r="Y99" s="18">
        <v>2017</v>
      </c>
      <c r="Z99" t="s">
        <v>387</v>
      </c>
      <c r="AA99" s="21">
        <f t="shared" si="15"/>
        <v>1</v>
      </c>
    </row>
    <row r="100" spans="1:27">
      <c r="A100" t="s">
        <v>272</v>
      </c>
      <c r="B100" s="18">
        <v>2045</v>
      </c>
      <c r="C100" t="s">
        <v>272</v>
      </c>
      <c r="D100" s="20" t="s">
        <v>411</v>
      </c>
      <c r="E100" s="20" t="s">
        <v>412</v>
      </c>
      <c r="F100" s="20" t="s">
        <v>275</v>
      </c>
      <c r="G100" s="20" t="s">
        <v>393</v>
      </c>
      <c r="H100" s="20" t="s">
        <v>384</v>
      </c>
      <c r="I100" s="29">
        <v>1</v>
      </c>
      <c r="J100" s="30">
        <v>1</v>
      </c>
      <c r="K100" s="31">
        <v>7.7000000000000002E-3</v>
      </c>
      <c r="L100" s="9">
        <v>641563755.53055406</v>
      </c>
      <c r="M100" s="9">
        <v>641520754.67294204</v>
      </c>
      <c r="N100" s="32">
        <f>MIN(MAX((B100-Calculation_Assumptions!$B$5+1)/Calculation_Assumptions!$B$7,0),1)</f>
        <v>1</v>
      </c>
      <c r="O100" s="21">
        <f t="shared" si="8"/>
        <v>641563755.53055406</v>
      </c>
      <c r="P100" s="21">
        <f t="shared" si="9"/>
        <v>641520754.67294204</v>
      </c>
      <c r="Q100" s="21">
        <f>P100*Calculation_Assumptions!$B$14*J100*K100</f>
        <v>0</v>
      </c>
      <c r="R100" s="21">
        <f t="shared" si="10"/>
        <v>4940040.9175852668</v>
      </c>
      <c r="S100" s="21">
        <f t="shared" si="11"/>
        <v>4940040.9175852668</v>
      </c>
      <c r="T100" s="32">
        <f>1/(1+Calculation_Assumptions!$B$8)^(B100-Calculation_Assumptions!$B$2)</f>
        <v>0.55367575418633497</v>
      </c>
      <c r="U100" s="21">
        <f t="shared" si="12"/>
        <v>0</v>
      </c>
      <c r="V100" s="21">
        <f t="shared" si="13"/>
        <v>2735180.880755377</v>
      </c>
      <c r="W100" s="21">
        <f t="shared" si="14"/>
        <v>2735180.880755377</v>
      </c>
      <c r="X100">
        <v>0</v>
      </c>
      <c r="Y100" s="18">
        <v>2017</v>
      </c>
      <c r="Z100" t="s">
        <v>387</v>
      </c>
      <c r="AA100" s="21">
        <f t="shared" si="15"/>
        <v>1</v>
      </c>
    </row>
    <row r="101" spans="1:27">
      <c r="A101" t="s">
        <v>272</v>
      </c>
      <c r="B101" s="18">
        <v>2046</v>
      </c>
      <c r="C101" t="s">
        <v>272</v>
      </c>
      <c r="D101" s="20" t="s">
        <v>411</v>
      </c>
      <c r="E101" s="20" t="s">
        <v>412</v>
      </c>
      <c r="F101" s="20" t="s">
        <v>275</v>
      </c>
      <c r="G101" s="20" t="s">
        <v>393</v>
      </c>
      <c r="H101" s="20" t="s">
        <v>384</v>
      </c>
      <c r="I101" s="29">
        <v>1</v>
      </c>
      <c r="J101" s="30">
        <v>1</v>
      </c>
      <c r="K101" s="31">
        <v>7.7000000000000002E-3</v>
      </c>
      <c r="L101" s="9">
        <v>643745693.22880995</v>
      </c>
      <c r="M101" s="9">
        <v>643697330.762573</v>
      </c>
      <c r="N101" s="32">
        <f>MIN(MAX((B101-Calculation_Assumptions!$B$5+1)/Calculation_Assumptions!$B$7,0),1)</f>
        <v>1</v>
      </c>
      <c r="O101" s="21">
        <f t="shared" si="8"/>
        <v>643745693.22880995</v>
      </c>
      <c r="P101" s="21">
        <f t="shared" si="9"/>
        <v>643697330.762573</v>
      </c>
      <c r="Q101" s="21">
        <f>P101*Calculation_Assumptions!$B$14*J101*K101</f>
        <v>0</v>
      </c>
      <c r="R101" s="21">
        <f t="shared" si="10"/>
        <v>4956841.8378618369</v>
      </c>
      <c r="S101" s="21">
        <f t="shared" si="11"/>
        <v>4956841.8378618369</v>
      </c>
      <c r="T101" s="32">
        <f>1/(1+Calculation_Assumptions!$B$8)^(B101-Calculation_Assumptions!$B$2)</f>
        <v>0.5375492759090631</v>
      </c>
      <c r="U101" s="21">
        <f t="shared" si="12"/>
        <v>0</v>
      </c>
      <c r="V101" s="21">
        <f t="shared" si="13"/>
        <v>2664546.7407383798</v>
      </c>
      <c r="W101" s="21">
        <f t="shared" si="14"/>
        <v>2664546.7407383798</v>
      </c>
      <c r="X101">
        <v>0</v>
      </c>
      <c r="Y101" s="18">
        <v>2017</v>
      </c>
      <c r="Z101" t="s">
        <v>387</v>
      </c>
      <c r="AA101" s="21">
        <f t="shared" si="15"/>
        <v>1</v>
      </c>
    </row>
    <row r="102" spans="1:27">
      <c r="A102" t="s">
        <v>272</v>
      </c>
      <c r="B102" s="18">
        <v>2047</v>
      </c>
      <c r="C102" t="s">
        <v>272</v>
      </c>
      <c r="D102" s="20" t="s">
        <v>411</v>
      </c>
      <c r="E102" s="20" t="s">
        <v>412</v>
      </c>
      <c r="F102" s="20" t="s">
        <v>275</v>
      </c>
      <c r="G102" s="20" t="s">
        <v>393</v>
      </c>
      <c r="H102" s="20" t="s">
        <v>384</v>
      </c>
      <c r="I102" s="29">
        <v>1</v>
      </c>
      <c r="J102" s="30">
        <v>1</v>
      </c>
      <c r="K102" s="31">
        <v>7.7000000000000002E-3</v>
      </c>
      <c r="L102" s="9">
        <v>645771013.91360104</v>
      </c>
      <c r="M102" s="9">
        <v>645745914.53009498</v>
      </c>
      <c r="N102" s="32">
        <f>MIN(MAX((B102-Calculation_Assumptions!$B$5+1)/Calculation_Assumptions!$B$7,0),1)</f>
        <v>1</v>
      </c>
      <c r="O102" s="21">
        <f t="shared" si="8"/>
        <v>645771013.91360104</v>
      </c>
      <c r="P102" s="21">
        <f t="shared" si="9"/>
        <v>645745914.53009498</v>
      </c>
      <c r="Q102" s="21">
        <f>P102*Calculation_Assumptions!$B$14*J102*K102</f>
        <v>0</v>
      </c>
      <c r="R102" s="21">
        <f t="shared" si="10"/>
        <v>4972436.8071347279</v>
      </c>
      <c r="S102" s="21">
        <f t="shared" si="11"/>
        <v>4972436.8071347279</v>
      </c>
      <c r="T102" s="32">
        <f>1/(1+Calculation_Assumptions!$B$8)^(B102-Calculation_Assumptions!$B$2)</f>
        <v>0.52189250088258554</v>
      </c>
      <c r="U102" s="21">
        <f t="shared" si="12"/>
        <v>0</v>
      </c>
      <c r="V102" s="21">
        <f t="shared" si="13"/>
        <v>2595077.4807561617</v>
      </c>
      <c r="W102" s="21">
        <f t="shared" si="14"/>
        <v>2595077.4807561617</v>
      </c>
      <c r="X102">
        <v>0</v>
      </c>
      <c r="Y102" s="18">
        <v>2017</v>
      </c>
      <c r="Z102" t="s">
        <v>387</v>
      </c>
      <c r="AA102" s="21">
        <f t="shared" si="15"/>
        <v>1</v>
      </c>
    </row>
    <row r="103" spans="1:27">
      <c r="A103" t="s">
        <v>272</v>
      </c>
      <c r="B103" s="18">
        <v>2048</v>
      </c>
      <c r="C103" t="s">
        <v>272</v>
      </c>
      <c r="D103" s="20" t="s">
        <v>411</v>
      </c>
      <c r="E103" s="20" t="s">
        <v>412</v>
      </c>
      <c r="F103" s="20" t="s">
        <v>275</v>
      </c>
      <c r="G103" s="20" t="s">
        <v>393</v>
      </c>
      <c r="H103" s="20" t="s">
        <v>384</v>
      </c>
      <c r="I103" s="29">
        <v>1</v>
      </c>
      <c r="J103" s="30">
        <v>1</v>
      </c>
      <c r="K103" s="31">
        <v>7.7000000000000002E-3</v>
      </c>
      <c r="L103" s="9">
        <v>647694245.542624</v>
      </c>
      <c r="M103" s="9">
        <v>647666796.64810395</v>
      </c>
      <c r="N103" s="32">
        <f>MIN(MAX((B103-Calculation_Assumptions!$B$5+1)/Calculation_Assumptions!$B$7,0),1)</f>
        <v>1</v>
      </c>
      <c r="O103" s="21">
        <f t="shared" si="8"/>
        <v>647694245.542624</v>
      </c>
      <c r="P103" s="21">
        <f t="shared" si="9"/>
        <v>647666796.64810395</v>
      </c>
      <c r="Q103" s="21">
        <f>P103*Calculation_Assumptions!$B$14*J103*K103</f>
        <v>0</v>
      </c>
      <c r="R103" s="21">
        <f t="shared" si="10"/>
        <v>4987245.6906782053</v>
      </c>
      <c r="S103" s="21">
        <f t="shared" si="11"/>
        <v>4987245.6906782053</v>
      </c>
      <c r="T103" s="32">
        <f>1/(1+Calculation_Assumptions!$B$8)^(B103-Calculation_Assumptions!$B$2)</f>
        <v>0.50669174842969467</v>
      </c>
      <c r="U103" s="21">
        <f t="shared" si="12"/>
        <v>0</v>
      </c>
      <c r="V103" s="21">
        <f t="shared" si="13"/>
        <v>2526996.2388582001</v>
      </c>
      <c r="W103" s="21">
        <f t="shared" si="14"/>
        <v>2526996.2388582001</v>
      </c>
      <c r="X103">
        <v>0</v>
      </c>
      <c r="Y103" s="18">
        <v>2017</v>
      </c>
      <c r="Z103" t="s">
        <v>387</v>
      </c>
      <c r="AA103" s="21">
        <f t="shared" si="15"/>
        <v>1</v>
      </c>
    </row>
    <row r="104" spans="1:27">
      <c r="A104" t="s">
        <v>272</v>
      </c>
      <c r="B104" s="18">
        <v>2049</v>
      </c>
      <c r="C104" t="s">
        <v>272</v>
      </c>
      <c r="D104" s="20" t="s">
        <v>411</v>
      </c>
      <c r="E104" s="20" t="s">
        <v>412</v>
      </c>
      <c r="F104" s="20" t="s">
        <v>275</v>
      </c>
      <c r="G104" s="20" t="s">
        <v>393</v>
      </c>
      <c r="H104" s="20" t="s">
        <v>384</v>
      </c>
      <c r="I104" s="29">
        <v>1</v>
      </c>
      <c r="J104" s="30">
        <v>1</v>
      </c>
      <c r="K104" s="31">
        <v>7.7000000000000002E-3</v>
      </c>
      <c r="L104" s="9">
        <v>649487644.97880399</v>
      </c>
      <c r="M104" s="9">
        <v>649421968.02473402</v>
      </c>
      <c r="N104" s="32">
        <f>MIN(MAX((B104-Calculation_Assumptions!$B$5+1)/Calculation_Assumptions!$B$7,0),1)</f>
        <v>1</v>
      </c>
      <c r="O104" s="21">
        <f t="shared" si="8"/>
        <v>649487644.97880399</v>
      </c>
      <c r="P104" s="21">
        <f t="shared" si="9"/>
        <v>649421968.02473402</v>
      </c>
      <c r="Q104" s="21">
        <f>P104*Calculation_Assumptions!$B$14*J104*K104</f>
        <v>0</v>
      </c>
      <c r="R104" s="21">
        <f t="shared" si="10"/>
        <v>5001054.8663367908</v>
      </c>
      <c r="S104" s="21">
        <f t="shared" si="11"/>
        <v>5001054.8663367908</v>
      </c>
      <c r="T104" s="32">
        <f>1/(1+Calculation_Assumptions!$B$8)^(B104-Calculation_Assumptions!$B$2)</f>
        <v>0.49193373633950943</v>
      </c>
      <c r="U104" s="21">
        <f t="shared" si="12"/>
        <v>0</v>
      </c>
      <c r="V104" s="21">
        <f t="shared" si="13"/>
        <v>2460187.6060359436</v>
      </c>
      <c r="W104" s="21">
        <f t="shared" si="14"/>
        <v>2460187.6060359436</v>
      </c>
      <c r="X104">
        <v>0</v>
      </c>
      <c r="Y104" s="18">
        <v>2017</v>
      </c>
      <c r="Z104" t="s">
        <v>387</v>
      </c>
      <c r="AA104" s="21">
        <f t="shared" si="15"/>
        <v>1</v>
      </c>
    </row>
    <row r="105" spans="1:27">
      <c r="A105" t="s">
        <v>272</v>
      </c>
      <c r="B105" s="18">
        <v>2050</v>
      </c>
      <c r="C105" t="s">
        <v>272</v>
      </c>
      <c r="D105" s="20" t="s">
        <v>411</v>
      </c>
      <c r="E105" s="20" t="s">
        <v>412</v>
      </c>
      <c r="F105" s="20" t="s">
        <v>275</v>
      </c>
      <c r="G105" s="20" t="s">
        <v>393</v>
      </c>
      <c r="H105" s="20" t="s">
        <v>384</v>
      </c>
      <c r="I105" s="29">
        <v>1</v>
      </c>
      <c r="J105" s="30">
        <v>1</v>
      </c>
      <c r="K105" s="31">
        <v>7.7000000000000002E-3</v>
      </c>
      <c r="L105" s="9">
        <v>651146336.24079204</v>
      </c>
      <c r="M105" s="9">
        <v>651074457.25957894</v>
      </c>
      <c r="N105" s="32">
        <f>MIN(MAX((B105-Calculation_Assumptions!$B$5+1)/Calculation_Assumptions!$B$7,0),1)</f>
        <v>1</v>
      </c>
      <c r="O105" s="21">
        <f t="shared" si="8"/>
        <v>651146336.24079204</v>
      </c>
      <c r="P105" s="21">
        <f t="shared" si="9"/>
        <v>651074457.25957894</v>
      </c>
      <c r="Q105" s="21">
        <f>P105*Calculation_Assumptions!$B$14*J105*K105</f>
        <v>0</v>
      </c>
      <c r="R105" s="21">
        <f t="shared" si="10"/>
        <v>5013826.7890540985</v>
      </c>
      <c r="S105" s="21">
        <f t="shared" si="11"/>
        <v>5013826.7890540985</v>
      </c>
      <c r="T105" s="32">
        <f>1/(1+Calculation_Assumptions!$B$8)^(B105-Calculation_Assumptions!$B$2)</f>
        <v>0.47760556926165965</v>
      </c>
      <c r="U105" s="21">
        <f t="shared" si="12"/>
        <v>0</v>
      </c>
      <c r="V105" s="21">
        <f t="shared" si="13"/>
        <v>2394631.5977655416</v>
      </c>
      <c r="W105" s="21">
        <f t="shared" si="14"/>
        <v>2394631.5977655416</v>
      </c>
      <c r="X105">
        <v>0</v>
      </c>
      <c r="Y105" s="18">
        <v>2017</v>
      </c>
      <c r="Z105" t="s">
        <v>387</v>
      </c>
      <c r="AA105" s="21">
        <f t="shared" si="15"/>
        <v>1</v>
      </c>
    </row>
    <row r="106" spans="1:27">
      <c r="A106" t="s">
        <v>257</v>
      </c>
      <c r="B106" s="18">
        <v>2025</v>
      </c>
      <c r="C106" t="s">
        <v>257</v>
      </c>
      <c r="D106" s="20" t="s">
        <v>407</v>
      </c>
      <c r="E106" s="20" t="s">
        <v>408</v>
      </c>
      <c r="F106" s="20" t="s">
        <v>260</v>
      </c>
      <c r="G106" s="20" t="s">
        <v>393</v>
      </c>
      <c r="H106" s="20" t="s">
        <v>384</v>
      </c>
      <c r="I106" s="29">
        <v>1</v>
      </c>
      <c r="J106" s="30">
        <v>1</v>
      </c>
      <c r="K106" s="31">
        <v>7.7000000000000002E-3</v>
      </c>
      <c r="L106" s="9">
        <v>575134853.59312999</v>
      </c>
      <c r="M106" s="9">
        <v>575134853.59312999</v>
      </c>
      <c r="N106" s="32">
        <f>MIN(MAX((B106-Calculation_Assumptions!$B$5+1)/Calculation_Assumptions!$B$7,0),1)</f>
        <v>0</v>
      </c>
      <c r="O106" s="21">
        <f t="shared" si="8"/>
        <v>575134853.59312999</v>
      </c>
      <c r="P106" s="21">
        <f t="shared" si="9"/>
        <v>575134853.59312999</v>
      </c>
      <c r="Q106" s="21">
        <f>P106*Calculation_Assumptions!$B$14*J106*K106</f>
        <v>0</v>
      </c>
      <c r="R106" s="21">
        <f t="shared" si="10"/>
        <v>0</v>
      </c>
      <c r="S106" s="21">
        <f t="shared" si="11"/>
        <v>0</v>
      </c>
      <c r="T106" s="32">
        <f>1/(1+Calculation_Assumptions!$B$8)^(B106-Calculation_Assumptions!$B$2)</f>
        <v>1</v>
      </c>
      <c r="U106" s="21">
        <f t="shared" si="12"/>
        <v>0</v>
      </c>
      <c r="V106" s="21">
        <f t="shared" si="13"/>
        <v>0</v>
      </c>
      <c r="W106" s="21">
        <f t="shared" si="14"/>
        <v>0</v>
      </c>
      <c r="X106">
        <v>0</v>
      </c>
      <c r="Y106" s="18">
        <v>2017</v>
      </c>
      <c r="Z106" t="s">
        <v>387</v>
      </c>
      <c r="AA106" s="21">
        <f t="shared" si="15"/>
        <v>1</v>
      </c>
    </row>
    <row r="107" spans="1:27">
      <c r="A107" t="s">
        <v>257</v>
      </c>
      <c r="B107" s="18">
        <v>2026</v>
      </c>
      <c r="C107" t="s">
        <v>257</v>
      </c>
      <c r="D107" s="20" t="s">
        <v>407</v>
      </c>
      <c r="E107" s="20" t="s">
        <v>408</v>
      </c>
      <c r="F107" s="20" t="s">
        <v>260</v>
      </c>
      <c r="G107" s="20" t="s">
        <v>393</v>
      </c>
      <c r="H107" s="20" t="s">
        <v>384</v>
      </c>
      <c r="I107" s="29">
        <v>1</v>
      </c>
      <c r="J107" s="30">
        <v>1</v>
      </c>
      <c r="K107" s="31">
        <v>7.7000000000000002E-3</v>
      </c>
      <c r="L107" s="9">
        <v>579268647.32329595</v>
      </c>
      <c r="M107" s="9">
        <v>579268647.32329595</v>
      </c>
      <c r="N107" s="32">
        <f>MIN(MAX((B107-Calculation_Assumptions!$B$5+1)/Calculation_Assumptions!$B$7,0),1)</f>
        <v>0.33333333333333331</v>
      </c>
      <c r="O107" s="21">
        <f t="shared" si="8"/>
        <v>579268647.32329595</v>
      </c>
      <c r="P107" s="21">
        <f t="shared" si="9"/>
        <v>579268647.32329595</v>
      </c>
      <c r="Q107" s="21">
        <f>P107*Calculation_Assumptions!$B$14*J107*K107</f>
        <v>0</v>
      </c>
      <c r="R107" s="21">
        <f t="shared" si="10"/>
        <v>1486789.528129793</v>
      </c>
      <c r="S107" s="21">
        <f t="shared" si="11"/>
        <v>1486789.528129793</v>
      </c>
      <c r="T107" s="32">
        <f>1/(1+Calculation_Assumptions!$B$8)^(B107-Calculation_Assumptions!$B$2)</f>
        <v>0.970873786407767</v>
      </c>
      <c r="U107" s="21">
        <f t="shared" si="12"/>
        <v>0</v>
      </c>
      <c r="V107" s="21">
        <f t="shared" si="13"/>
        <v>1443484.9787667894</v>
      </c>
      <c r="W107" s="21">
        <f t="shared" si="14"/>
        <v>1443484.9787667894</v>
      </c>
      <c r="X107">
        <v>0</v>
      </c>
      <c r="Y107" s="18">
        <v>2017</v>
      </c>
      <c r="Z107" t="s">
        <v>387</v>
      </c>
      <c r="AA107" s="21">
        <f t="shared" si="15"/>
        <v>1</v>
      </c>
    </row>
    <row r="108" spans="1:27">
      <c r="A108" t="s">
        <v>257</v>
      </c>
      <c r="B108" s="18">
        <v>2027</v>
      </c>
      <c r="C108" t="s">
        <v>257</v>
      </c>
      <c r="D108" s="20" t="s">
        <v>407</v>
      </c>
      <c r="E108" s="20" t="s">
        <v>408</v>
      </c>
      <c r="F108" s="20" t="s">
        <v>260</v>
      </c>
      <c r="G108" s="20" t="s">
        <v>393</v>
      </c>
      <c r="H108" s="20" t="s">
        <v>384</v>
      </c>
      <c r="I108" s="29">
        <v>1</v>
      </c>
      <c r="J108" s="30">
        <v>1</v>
      </c>
      <c r="K108" s="31">
        <v>7.7000000000000002E-3</v>
      </c>
      <c r="L108" s="9">
        <v>583039014.28645599</v>
      </c>
      <c r="M108" s="9">
        <v>583039014.28645599</v>
      </c>
      <c r="N108" s="32">
        <f>MIN(MAX((B108-Calculation_Assumptions!$B$5+1)/Calculation_Assumptions!$B$7,0),1)</f>
        <v>0.66666666666666663</v>
      </c>
      <c r="O108" s="21">
        <f t="shared" si="8"/>
        <v>583039014.28645599</v>
      </c>
      <c r="P108" s="21">
        <f t="shared" si="9"/>
        <v>583039014.28645599</v>
      </c>
      <c r="Q108" s="21">
        <f>P108*Calculation_Assumptions!$B$14*J108*K108</f>
        <v>0</v>
      </c>
      <c r="R108" s="21">
        <f t="shared" si="10"/>
        <v>2992933.6066704742</v>
      </c>
      <c r="S108" s="21">
        <f t="shared" si="11"/>
        <v>2992933.6066704742</v>
      </c>
      <c r="T108" s="32">
        <f>1/(1+Calculation_Assumptions!$B$8)^(B108-Calculation_Assumptions!$B$2)</f>
        <v>0.94259590913375435</v>
      </c>
      <c r="U108" s="21">
        <f t="shared" si="12"/>
        <v>0</v>
      </c>
      <c r="V108" s="21">
        <f t="shared" si="13"/>
        <v>2821126.9739565221</v>
      </c>
      <c r="W108" s="21">
        <f t="shared" si="14"/>
        <v>2821126.9739565221</v>
      </c>
      <c r="X108">
        <v>0</v>
      </c>
      <c r="Y108" s="18">
        <v>2017</v>
      </c>
      <c r="Z108" t="s">
        <v>387</v>
      </c>
      <c r="AA108" s="21">
        <f t="shared" si="15"/>
        <v>1</v>
      </c>
    </row>
    <row r="109" spans="1:27">
      <c r="A109" t="s">
        <v>257</v>
      </c>
      <c r="B109" s="18">
        <v>2028</v>
      </c>
      <c r="C109" t="s">
        <v>257</v>
      </c>
      <c r="D109" s="20" t="s">
        <v>407</v>
      </c>
      <c r="E109" s="20" t="s">
        <v>408</v>
      </c>
      <c r="F109" s="20" t="s">
        <v>260</v>
      </c>
      <c r="G109" s="20" t="s">
        <v>393</v>
      </c>
      <c r="H109" s="20" t="s">
        <v>384</v>
      </c>
      <c r="I109" s="29">
        <v>1</v>
      </c>
      <c r="J109" s="30">
        <v>1</v>
      </c>
      <c r="K109" s="31">
        <v>7.7000000000000002E-3</v>
      </c>
      <c r="L109" s="9">
        <v>587035116.25746298</v>
      </c>
      <c r="M109" s="9">
        <v>587035116.25746298</v>
      </c>
      <c r="N109" s="32">
        <f>MIN(MAX((B109-Calculation_Assumptions!$B$5+1)/Calculation_Assumptions!$B$7,0),1)</f>
        <v>1</v>
      </c>
      <c r="O109" s="21">
        <f t="shared" si="8"/>
        <v>587035116.25746298</v>
      </c>
      <c r="P109" s="21">
        <f t="shared" si="9"/>
        <v>587035116.25746298</v>
      </c>
      <c r="Q109" s="21">
        <f>P109*Calculation_Assumptions!$B$14*J109*K109</f>
        <v>0</v>
      </c>
      <c r="R109" s="21">
        <f t="shared" si="10"/>
        <v>4520170.3951824652</v>
      </c>
      <c r="S109" s="21">
        <f t="shared" si="11"/>
        <v>4520170.3951824652</v>
      </c>
      <c r="T109" s="32">
        <f>1/(1+Calculation_Assumptions!$B$8)^(B109-Calculation_Assumptions!$B$2)</f>
        <v>0.91514165935315961</v>
      </c>
      <c r="U109" s="21">
        <f t="shared" si="12"/>
        <v>0</v>
      </c>
      <c r="V109" s="21">
        <f t="shared" si="13"/>
        <v>4136596.2360063083</v>
      </c>
      <c r="W109" s="21">
        <f t="shared" si="14"/>
        <v>4136596.2360063083</v>
      </c>
      <c r="X109">
        <v>0</v>
      </c>
      <c r="Y109" s="18">
        <v>2017</v>
      </c>
      <c r="Z109" t="s">
        <v>387</v>
      </c>
      <c r="AA109" s="21">
        <f t="shared" si="15"/>
        <v>1</v>
      </c>
    </row>
    <row r="110" spans="1:27">
      <c r="A110" t="s">
        <v>257</v>
      </c>
      <c r="B110" s="18">
        <v>2029</v>
      </c>
      <c r="C110" t="s">
        <v>257</v>
      </c>
      <c r="D110" s="20" t="s">
        <v>407</v>
      </c>
      <c r="E110" s="20" t="s">
        <v>408</v>
      </c>
      <c r="F110" s="20" t="s">
        <v>260</v>
      </c>
      <c r="G110" s="20" t="s">
        <v>393</v>
      </c>
      <c r="H110" s="20" t="s">
        <v>384</v>
      </c>
      <c r="I110" s="29">
        <v>1</v>
      </c>
      <c r="J110" s="30">
        <v>1</v>
      </c>
      <c r="K110" s="31">
        <v>7.7000000000000002E-3</v>
      </c>
      <c r="L110" s="9">
        <v>590968142.92740798</v>
      </c>
      <c r="M110" s="9">
        <v>590968059.72178304</v>
      </c>
      <c r="N110" s="32">
        <f>MIN(MAX((B110-Calculation_Assumptions!$B$5+1)/Calculation_Assumptions!$B$7,0),1)</f>
        <v>1</v>
      </c>
      <c r="O110" s="21">
        <f t="shared" si="8"/>
        <v>590968142.92740798</v>
      </c>
      <c r="P110" s="21">
        <f t="shared" si="9"/>
        <v>590968059.72178304</v>
      </c>
      <c r="Q110" s="21">
        <f>P110*Calculation_Assumptions!$B$14*J110*K110</f>
        <v>0</v>
      </c>
      <c r="R110" s="21">
        <f t="shared" si="10"/>
        <v>4550454.7005410418</v>
      </c>
      <c r="S110" s="21">
        <f t="shared" si="11"/>
        <v>4550454.7005410418</v>
      </c>
      <c r="T110" s="32">
        <f>1/(1+Calculation_Assumptions!$B$8)^(B110-Calculation_Assumptions!$B$2)</f>
        <v>0.888487047915689</v>
      </c>
      <c r="U110" s="21">
        <f t="shared" si="12"/>
        <v>0</v>
      </c>
      <c r="V110" s="21">
        <f t="shared" si="13"/>
        <v>4043020.0635577808</v>
      </c>
      <c r="W110" s="21">
        <f t="shared" si="14"/>
        <v>4043020.0635577808</v>
      </c>
      <c r="X110">
        <v>0</v>
      </c>
      <c r="Y110" s="18">
        <v>2017</v>
      </c>
      <c r="Z110" t="s">
        <v>387</v>
      </c>
      <c r="AA110" s="21">
        <f t="shared" si="15"/>
        <v>1</v>
      </c>
    </row>
    <row r="111" spans="1:27">
      <c r="A111" t="s">
        <v>257</v>
      </c>
      <c r="B111" s="18">
        <v>2030</v>
      </c>
      <c r="C111" t="s">
        <v>257</v>
      </c>
      <c r="D111" s="20" t="s">
        <v>407</v>
      </c>
      <c r="E111" s="20" t="s">
        <v>408</v>
      </c>
      <c r="F111" s="20" t="s">
        <v>260</v>
      </c>
      <c r="G111" s="20" t="s">
        <v>393</v>
      </c>
      <c r="H111" s="20" t="s">
        <v>384</v>
      </c>
      <c r="I111" s="29">
        <v>1</v>
      </c>
      <c r="J111" s="30">
        <v>1</v>
      </c>
      <c r="K111" s="31">
        <v>7.7000000000000002E-3</v>
      </c>
      <c r="L111" s="9">
        <v>594808310.46312296</v>
      </c>
      <c r="M111" s="9">
        <v>594808018.62654305</v>
      </c>
      <c r="N111" s="32">
        <f>MIN(MAX((B111-Calculation_Assumptions!$B$5+1)/Calculation_Assumptions!$B$7,0),1)</f>
        <v>1</v>
      </c>
      <c r="O111" s="21">
        <f t="shared" si="8"/>
        <v>594808310.46312296</v>
      </c>
      <c r="P111" s="21">
        <f t="shared" si="9"/>
        <v>594808018.62654305</v>
      </c>
      <c r="Q111" s="21">
        <f>P111*Calculation_Assumptions!$B$14*J111*K111</f>
        <v>0</v>
      </c>
      <c r="R111" s="21">
        <f t="shared" si="10"/>
        <v>4580023.9905660469</v>
      </c>
      <c r="S111" s="21">
        <f t="shared" si="11"/>
        <v>4580023.9905660469</v>
      </c>
      <c r="T111" s="32">
        <f>1/(1+Calculation_Assumptions!$B$8)^(B111-Calculation_Assumptions!$B$2)</f>
        <v>0.86260878438416411</v>
      </c>
      <c r="U111" s="21">
        <f t="shared" si="12"/>
        <v>0</v>
      </c>
      <c r="V111" s="21">
        <f t="shared" si="13"/>
        <v>3950768.9269524859</v>
      </c>
      <c r="W111" s="21">
        <f t="shared" si="14"/>
        <v>3950768.9269524859</v>
      </c>
      <c r="X111">
        <v>0</v>
      </c>
      <c r="Y111" s="18">
        <v>2017</v>
      </c>
      <c r="Z111" t="s">
        <v>387</v>
      </c>
      <c r="AA111" s="21">
        <f t="shared" si="15"/>
        <v>1</v>
      </c>
    </row>
    <row r="112" spans="1:27">
      <c r="A112" t="s">
        <v>257</v>
      </c>
      <c r="B112" s="18">
        <v>2031</v>
      </c>
      <c r="C112" t="s">
        <v>257</v>
      </c>
      <c r="D112" s="20" t="s">
        <v>407</v>
      </c>
      <c r="E112" s="20" t="s">
        <v>408</v>
      </c>
      <c r="F112" s="20" t="s">
        <v>260</v>
      </c>
      <c r="G112" s="20" t="s">
        <v>393</v>
      </c>
      <c r="H112" s="20" t="s">
        <v>384</v>
      </c>
      <c r="I112" s="29">
        <v>1</v>
      </c>
      <c r="J112" s="30">
        <v>1</v>
      </c>
      <c r="K112" s="31">
        <v>7.7000000000000002E-3</v>
      </c>
      <c r="L112" s="9">
        <v>598582032.83620596</v>
      </c>
      <c r="M112" s="9">
        <v>598581381.03442597</v>
      </c>
      <c r="N112" s="32">
        <f>MIN(MAX((B112-Calculation_Assumptions!$B$5+1)/Calculation_Assumptions!$B$7,0),1)</f>
        <v>1</v>
      </c>
      <c r="O112" s="21">
        <f t="shared" si="8"/>
        <v>598582032.83620596</v>
      </c>
      <c r="P112" s="21">
        <f t="shared" si="9"/>
        <v>598581381.03442597</v>
      </c>
      <c r="Q112" s="21">
        <f>P112*Calculation_Assumptions!$B$14*J112*K112</f>
        <v>0</v>
      </c>
      <c r="R112" s="21">
        <f t="shared" si="10"/>
        <v>4609081.6528387861</v>
      </c>
      <c r="S112" s="21">
        <f t="shared" si="11"/>
        <v>4609081.6528387861</v>
      </c>
      <c r="T112" s="32">
        <f>1/(1+Calculation_Assumptions!$B$8)^(B112-Calculation_Assumptions!$B$2)</f>
        <v>0.83748425668365445</v>
      </c>
      <c r="U112" s="21">
        <f t="shared" si="12"/>
        <v>0</v>
      </c>
      <c r="V112" s="21">
        <f t="shared" si="13"/>
        <v>3860033.3220219603</v>
      </c>
      <c r="W112" s="21">
        <f t="shared" si="14"/>
        <v>3860033.3220219603</v>
      </c>
      <c r="X112">
        <v>0</v>
      </c>
      <c r="Y112" s="18">
        <v>2017</v>
      </c>
      <c r="Z112" t="s">
        <v>387</v>
      </c>
      <c r="AA112" s="21">
        <f t="shared" si="15"/>
        <v>1</v>
      </c>
    </row>
    <row r="113" spans="1:27">
      <c r="A113" t="s">
        <v>257</v>
      </c>
      <c r="B113" s="18">
        <v>2032</v>
      </c>
      <c r="C113" t="s">
        <v>257</v>
      </c>
      <c r="D113" s="20" t="s">
        <v>407</v>
      </c>
      <c r="E113" s="20" t="s">
        <v>408</v>
      </c>
      <c r="F113" s="20" t="s">
        <v>260</v>
      </c>
      <c r="G113" s="20" t="s">
        <v>393</v>
      </c>
      <c r="H113" s="20" t="s">
        <v>384</v>
      </c>
      <c r="I113" s="29">
        <v>1</v>
      </c>
      <c r="J113" s="30">
        <v>1</v>
      </c>
      <c r="K113" s="31">
        <v>7.7000000000000002E-3</v>
      </c>
      <c r="L113" s="9">
        <v>602267778.14849901</v>
      </c>
      <c r="M113" s="9">
        <v>602283583.58638096</v>
      </c>
      <c r="N113" s="32">
        <f>MIN(MAX((B113-Calculation_Assumptions!$B$5+1)/Calculation_Assumptions!$B$7,0),1)</f>
        <v>1</v>
      </c>
      <c r="O113" s="21">
        <f t="shared" si="8"/>
        <v>602267778.14849901</v>
      </c>
      <c r="P113" s="21">
        <f t="shared" si="9"/>
        <v>602283583.58638096</v>
      </c>
      <c r="Q113" s="21">
        <f>P113*Calculation_Assumptions!$B$14*J113*K113</f>
        <v>0</v>
      </c>
      <c r="R113" s="21">
        <f t="shared" si="10"/>
        <v>4637461.891743443</v>
      </c>
      <c r="S113" s="21">
        <f t="shared" si="11"/>
        <v>4637461.891743443</v>
      </c>
      <c r="T113" s="32">
        <f>1/(1+Calculation_Assumptions!$B$8)^(B113-Calculation_Assumptions!$B$2)</f>
        <v>0.81309151134335378</v>
      </c>
      <c r="U113" s="21">
        <f t="shared" si="12"/>
        <v>0</v>
      </c>
      <c r="V113" s="21">
        <f t="shared" si="13"/>
        <v>3770680.8983548847</v>
      </c>
      <c r="W113" s="21">
        <f t="shared" si="14"/>
        <v>3770680.8983548847</v>
      </c>
      <c r="X113">
        <v>0</v>
      </c>
      <c r="Y113" s="18">
        <v>2017</v>
      </c>
      <c r="Z113" t="s">
        <v>387</v>
      </c>
      <c r="AA113" s="21">
        <f t="shared" si="15"/>
        <v>1</v>
      </c>
    </row>
    <row r="114" spans="1:27">
      <c r="A114" t="s">
        <v>257</v>
      </c>
      <c r="B114" s="18">
        <v>2033</v>
      </c>
      <c r="C114" t="s">
        <v>257</v>
      </c>
      <c r="D114" s="20" t="s">
        <v>407</v>
      </c>
      <c r="E114" s="20" t="s">
        <v>408</v>
      </c>
      <c r="F114" s="20" t="s">
        <v>260</v>
      </c>
      <c r="G114" s="20" t="s">
        <v>393</v>
      </c>
      <c r="H114" s="20" t="s">
        <v>384</v>
      </c>
      <c r="I114" s="29">
        <v>1</v>
      </c>
      <c r="J114" s="30">
        <v>1</v>
      </c>
      <c r="K114" s="31">
        <v>7.7000000000000002E-3</v>
      </c>
      <c r="L114" s="9">
        <v>605896103.48450005</v>
      </c>
      <c r="M114" s="9">
        <v>605911902.99473</v>
      </c>
      <c r="N114" s="32">
        <f>MIN(MAX((B114-Calculation_Assumptions!$B$5+1)/Calculation_Assumptions!$B$7,0),1)</f>
        <v>1</v>
      </c>
      <c r="O114" s="21">
        <f t="shared" si="8"/>
        <v>605896103.48450005</v>
      </c>
      <c r="P114" s="21">
        <f t="shared" si="9"/>
        <v>605911902.99473</v>
      </c>
      <c r="Q114" s="21">
        <f>P114*Calculation_Assumptions!$B$14*J114*K114</f>
        <v>0</v>
      </c>
      <c r="R114" s="21">
        <f t="shared" si="10"/>
        <v>4665399.9968306506</v>
      </c>
      <c r="S114" s="21">
        <f t="shared" si="11"/>
        <v>4665399.9968306506</v>
      </c>
      <c r="T114" s="32">
        <f>1/(1+Calculation_Assumptions!$B$8)^(B114-Calculation_Assumptions!$B$2)</f>
        <v>0.78940923431393573</v>
      </c>
      <c r="U114" s="21">
        <f t="shared" si="12"/>
        <v>0</v>
      </c>
      <c r="V114" s="21">
        <f t="shared" si="13"/>
        <v>3682909.8392663221</v>
      </c>
      <c r="W114" s="21">
        <f t="shared" si="14"/>
        <v>3682909.8392663221</v>
      </c>
      <c r="X114">
        <v>0</v>
      </c>
      <c r="Y114" s="18">
        <v>2017</v>
      </c>
      <c r="Z114" t="s">
        <v>387</v>
      </c>
      <c r="AA114" s="21">
        <f t="shared" si="15"/>
        <v>1</v>
      </c>
    </row>
    <row r="115" spans="1:27">
      <c r="A115" t="s">
        <v>257</v>
      </c>
      <c r="B115" s="18">
        <v>2034</v>
      </c>
      <c r="C115" t="s">
        <v>257</v>
      </c>
      <c r="D115" s="20" t="s">
        <v>407</v>
      </c>
      <c r="E115" s="20" t="s">
        <v>408</v>
      </c>
      <c r="F115" s="20" t="s">
        <v>260</v>
      </c>
      <c r="G115" s="20" t="s">
        <v>393</v>
      </c>
      <c r="H115" s="20" t="s">
        <v>384</v>
      </c>
      <c r="I115" s="29">
        <v>1</v>
      </c>
      <c r="J115" s="30">
        <v>1</v>
      </c>
      <c r="K115" s="31">
        <v>7.7000000000000002E-3</v>
      </c>
      <c r="L115" s="9">
        <v>609439928.56704497</v>
      </c>
      <c r="M115" s="9">
        <v>609455548.12077105</v>
      </c>
      <c r="N115" s="32">
        <f>MIN(MAX((B115-Calculation_Assumptions!$B$5+1)/Calculation_Assumptions!$B$7,0),1)</f>
        <v>1</v>
      </c>
      <c r="O115" s="21">
        <f t="shared" si="8"/>
        <v>609439928.56704497</v>
      </c>
      <c r="P115" s="21">
        <f t="shared" si="9"/>
        <v>609455548.12077105</v>
      </c>
      <c r="Q115" s="21">
        <f>P115*Calculation_Assumptions!$B$14*J115*K115</f>
        <v>0</v>
      </c>
      <c r="R115" s="21">
        <f t="shared" si="10"/>
        <v>4692687.4499662463</v>
      </c>
      <c r="S115" s="21">
        <f t="shared" si="11"/>
        <v>4692687.4499662463</v>
      </c>
      <c r="T115" s="32">
        <f>1/(1+Calculation_Assumptions!$B$8)^(B115-Calculation_Assumptions!$B$2)</f>
        <v>0.76641673234362695</v>
      </c>
      <c r="U115" s="21">
        <f t="shared" si="12"/>
        <v>0</v>
      </c>
      <c r="V115" s="21">
        <f t="shared" si="13"/>
        <v>3596554.1813130779</v>
      </c>
      <c r="W115" s="21">
        <f t="shared" si="14"/>
        <v>3596554.1813130779</v>
      </c>
      <c r="X115">
        <v>0</v>
      </c>
      <c r="Y115" s="18">
        <v>2017</v>
      </c>
      <c r="Z115" t="s">
        <v>387</v>
      </c>
      <c r="AA115" s="21">
        <f t="shared" si="15"/>
        <v>1</v>
      </c>
    </row>
    <row r="116" spans="1:27">
      <c r="A116" t="s">
        <v>257</v>
      </c>
      <c r="B116" s="18">
        <v>2035</v>
      </c>
      <c r="C116" t="s">
        <v>257</v>
      </c>
      <c r="D116" s="20" t="s">
        <v>407</v>
      </c>
      <c r="E116" s="20" t="s">
        <v>408</v>
      </c>
      <c r="F116" s="20" t="s">
        <v>260</v>
      </c>
      <c r="G116" s="20" t="s">
        <v>393</v>
      </c>
      <c r="H116" s="20" t="s">
        <v>384</v>
      </c>
      <c r="I116" s="29">
        <v>1</v>
      </c>
      <c r="J116" s="30">
        <v>1</v>
      </c>
      <c r="K116" s="31">
        <v>7.7000000000000002E-3</v>
      </c>
      <c r="L116" s="9">
        <v>612888210.034078</v>
      </c>
      <c r="M116" s="9">
        <v>612884294.47334194</v>
      </c>
      <c r="N116" s="32">
        <f>MIN(MAX((B116-Calculation_Assumptions!$B$5+1)/Calculation_Assumptions!$B$7,0),1)</f>
        <v>1</v>
      </c>
      <c r="O116" s="21">
        <f t="shared" si="8"/>
        <v>612888210.034078</v>
      </c>
      <c r="P116" s="21">
        <f t="shared" si="9"/>
        <v>612884294.47334194</v>
      </c>
      <c r="Q116" s="21">
        <f>P116*Calculation_Assumptions!$B$14*J116*K116</f>
        <v>0</v>
      </c>
      <c r="R116" s="21">
        <f t="shared" si="10"/>
        <v>4719239.2172624003</v>
      </c>
      <c r="S116" s="21">
        <f t="shared" si="11"/>
        <v>4719239.2172624003</v>
      </c>
      <c r="T116" s="32">
        <f>1/(1+Calculation_Assumptions!$B$8)^(B116-Calculation_Assumptions!$B$2)</f>
        <v>0.74409391489672516</v>
      </c>
      <c r="U116" s="21">
        <f t="shared" si="12"/>
        <v>0</v>
      </c>
      <c r="V116" s="21">
        <f t="shared" si="13"/>
        <v>3511557.1845069365</v>
      </c>
      <c r="W116" s="21">
        <f t="shared" si="14"/>
        <v>3511557.1845069365</v>
      </c>
      <c r="X116">
        <v>0</v>
      </c>
      <c r="Y116" s="18">
        <v>2017</v>
      </c>
      <c r="Z116" t="s">
        <v>387</v>
      </c>
      <c r="AA116" s="21">
        <f t="shared" si="15"/>
        <v>1</v>
      </c>
    </row>
    <row r="117" spans="1:27">
      <c r="A117" t="s">
        <v>257</v>
      </c>
      <c r="B117" s="18">
        <v>2036</v>
      </c>
      <c r="C117" t="s">
        <v>257</v>
      </c>
      <c r="D117" s="20" t="s">
        <v>407</v>
      </c>
      <c r="E117" s="20" t="s">
        <v>408</v>
      </c>
      <c r="F117" s="20" t="s">
        <v>260</v>
      </c>
      <c r="G117" s="20" t="s">
        <v>393</v>
      </c>
      <c r="H117" s="20" t="s">
        <v>384</v>
      </c>
      <c r="I117" s="29">
        <v>1</v>
      </c>
      <c r="J117" s="30">
        <v>1</v>
      </c>
      <c r="K117" s="31">
        <v>7.7000000000000002E-3</v>
      </c>
      <c r="L117" s="9">
        <v>616247566.48621595</v>
      </c>
      <c r="M117" s="9">
        <v>616262053.85817397</v>
      </c>
      <c r="N117" s="32">
        <f>MIN(MAX((B117-Calculation_Assumptions!$B$5+1)/Calculation_Assumptions!$B$7,0),1)</f>
        <v>1</v>
      </c>
      <c r="O117" s="21">
        <f t="shared" si="8"/>
        <v>616247566.48621595</v>
      </c>
      <c r="P117" s="21">
        <f t="shared" si="9"/>
        <v>616262053.85817397</v>
      </c>
      <c r="Q117" s="21">
        <f>P117*Calculation_Assumptions!$B$14*J117*K117</f>
        <v>0</v>
      </c>
      <c r="R117" s="21">
        <f t="shared" si="10"/>
        <v>4745106.2619438628</v>
      </c>
      <c r="S117" s="21">
        <f t="shared" si="11"/>
        <v>4745106.2619438628</v>
      </c>
      <c r="T117" s="32">
        <f>1/(1+Calculation_Assumptions!$B$8)^(B117-Calculation_Assumptions!$B$2)</f>
        <v>0.72242127659876232</v>
      </c>
      <c r="U117" s="21">
        <f t="shared" si="12"/>
        <v>0</v>
      </c>
      <c r="V117" s="21">
        <f t="shared" si="13"/>
        <v>3427965.7233502665</v>
      </c>
      <c r="W117" s="21">
        <f t="shared" si="14"/>
        <v>3427965.7233502665</v>
      </c>
      <c r="X117">
        <v>0</v>
      </c>
      <c r="Y117" s="18">
        <v>2017</v>
      </c>
      <c r="Z117" t="s">
        <v>387</v>
      </c>
      <c r="AA117" s="21">
        <f t="shared" si="15"/>
        <v>1</v>
      </c>
    </row>
    <row r="118" spans="1:27">
      <c r="A118" t="s">
        <v>257</v>
      </c>
      <c r="B118" s="18">
        <v>2037</v>
      </c>
      <c r="C118" t="s">
        <v>257</v>
      </c>
      <c r="D118" s="20" t="s">
        <v>407</v>
      </c>
      <c r="E118" s="20" t="s">
        <v>408</v>
      </c>
      <c r="F118" s="20" t="s">
        <v>260</v>
      </c>
      <c r="G118" s="20" t="s">
        <v>393</v>
      </c>
      <c r="H118" s="20" t="s">
        <v>384</v>
      </c>
      <c r="I118" s="29">
        <v>1</v>
      </c>
      <c r="J118" s="30">
        <v>1</v>
      </c>
      <c r="K118" s="31">
        <v>7.7000000000000002E-3</v>
      </c>
      <c r="L118" s="9">
        <v>619515831.46311796</v>
      </c>
      <c r="M118" s="9">
        <v>619529380.90729904</v>
      </c>
      <c r="N118" s="32">
        <f>MIN(MAX((B118-Calculation_Assumptions!$B$5+1)/Calculation_Assumptions!$B$7,0),1)</f>
        <v>1</v>
      </c>
      <c r="O118" s="21">
        <f t="shared" si="8"/>
        <v>619515831.46311796</v>
      </c>
      <c r="P118" s="21">
        <f t="shared" si="9"/>
        <v>619529380.90729904</v>
      </c>
      <c r="Q118" s="21">
        <f>P118*Calculation_Assumptions!$B$14*J118*K118</f>
        <v>0</v>
      </c>
      <c r="R118" s="21">
        <f t="shared" si="10"/>
        <v>4770271.9022660088</v>
      </c>
      <c r="S118" s="21">
        <f t="shared" si="11"/>
        <v>4770271.9022660088</v>
      </c>
      <c r="T118" s="32">
        <f>1/(1+Calculation_Assumptions!$B$8)^(B118-Calculation_Assumptions!$B$2)</f>
        <v>0.70137988019297326</v>
      </c>
      <c r="U118" s="21">
        <f t="shared" si="12"/>
        <v>0</v>
      </c>
      <c r="V118" s="21">
        <f t="shared" si="13"/>
        <v>3345772.7352992399</v>
      </c>
      <c r="W118" s="21">
        <f t="shared" si="14"/>
        <v>3345772.7352992399</v>
      </c>
      <c r="X118">
        <v>0</v>
      </c>
      <c r="Y118" s="18">
        <v>2017</v>
      </c>
      <c r="Z118" t="s">
        <v>387</v>
      </c>
      <c r="AA118" s="21">
        <f t="shared" si="15"/>
        <v>1</v>
      </c>
    </row>
    <row r="119" spans="1:27">
      <c r="A119" t="s">
        <v>257</v>
      </c>
      <c r="B119" s="18">
        <v>2038</v>
      </c>
      <c r="C119" t="s">
        <v>257</v>
      </c>
      <c r="D119" s="20" t="s">
        <v>407</v>
      </c>
      <c r="E119" s="20" t="s">
        <v>408</v>
      </c>
      <c r="F119" s="20" t="s">
        <v>260</v>
      </c>
      <c r="G119" s="20" t="s">
        <v>393</v>
      </c>
      <c r="H119" s="20" t="s">
        <v>384</v>
      </c>
      <c r="I119" s="29">
        <v>1</v>
      </c>
      <c r="J119" s="30">
        <v>1</v>
      </c>
      <c r="K119" s="31">
        <v>7.7000000000000002E-3</v>
      </c>
      <c r="L119" s="9">
        <v>622681696.89407694</v>
      </c>
      <c r="M119" s="9">
        <v>622673191.62836504</v>
      </c>
      <c r="N119" s="32">
        <f>MIN(MAX((B119-Calculation_Assumptions!$B$5+1)/Calculation_Assumptions!$B$7,0),1)</f>
        <v>1</v>
      </c>
      <c r="O119" s="21">
        <f t="shared" si="8"/>
        <v>622681696.89407694</v>
      </c>
      <c r="P119" s="21">
        <f t="shared" si="9"/>
        <v>622673191.62836504</v>
      </c>
      <c r="Q119" s="21">
        <f>P119*Calculation_Assumptions!$B$14*J119*K119</f>
        <v>0</v>
      </c>
      <c r="R119" s="21">
        <f t="shared" si="10"/>
        <v>4794649.0660843924</v>
      </c>
      <c r="S119" s="21">
        <f t="shared" si="11"/>
        <v>4794649.0660843924</v>
      </c>
      <c r="T119" s="32">
        <f>1/(1+Calculation_Assumptions!$B$8)^(B119-Calculation_Assumptions!$B$2)</f>
        <v>0.68095133999317792</v>
      </c>
      <c r="U119" s="21">
        <f t="shared" si="12"/>
        <v>0</v>
      </c>
      <c r="V119" s="21">
        <f t="shared" si="13"/>
        <v>3264922.7063472061</v>
      </c>
      <c r="W119" s="21">
        <f t="shared" si="14"/>
        <v>3264922.7063472061</v>
      </c>
      <c r="X119">
        <v>0</v>
      </c>
      <c r="Y119" s="18">
        <v>2017</v>
      </c>
      <c r="Z119" t="s">
        <v>387</v>
      </c>
      <c r="AA119" s="21">
        <f t="shared" si="15"/>
        <v>1</v>
      </c>
    </row>
    <row r="120" spans="1:27">
      <c r="A120" t="s">
        <v>257</v>
      </c>
      <c r="B120" s="18">
        <v>2039</v>
      </c>
      <c r="C120" t="s">
        <v>257</v>
      </c>
      <c r="D120" s="20" t="s">
        <v>407</v>
      </c>
      <c r="E120" s="20" t="s">
        <v>408</v>
      </c>
      <c r="F120" s="20" t="s">
        <v>260</v>
      </c>
      <c r="G120" s="20" t="s">
        <v>393</v>
      </c>
      <c r="H120" s="20" t="s">
        <v>384</v>
      </c>
      <c r="I120" s="29">
        <v>1</v>
      </c>
      <c r="J120" s="30">
        <v>1</v>
      </c>
      <c r="K120" s="31">
        <v>7.7000000000000002E-3</v>
      </c>
      <c r="L120" s="9">
        <v>625742217.52409399</v>
      </c>
      <c r="M120" s="9">
        <v>625731758.218045</v>
      </c>
      <c r="N120" s="32">
        <f>MIN(MAX((B120-Calculation_Assumptions!$B$5+1)/Calculation_Assumptions!$B$7,0),1)</f>
        <v>1</v>
      </c>
      <c r="O120" s="21">
        <f t="shared" si="8"/>
        <v>625742217.52409399</v>
      </c>
      <c r="P120" s="21">
        <f t="shared" si="9"/>
        <v>625731758.218045</v>
      </c>
      <c r="Q120" s="21">
        <f>P120*Calculation_Assumptions!$B$14*J120*K120</f>
        <v>0</v>
      </c>
      <c r="R120" s="21">
        <f t="shared" si="10"/>
        <v>4818215.0749355238</v>
      </c>
      <c r="S120" s="21">
        <f t="shared" si="11"/>
        <v>4818215.0749355238</v>
      </c>
      <c r="T120" s="32">
        <f>1/(1+Calculation_Assumptions!$B$8)^(B120-Calculation_Assumptions!$B$2)</f>
        <v>0.66111780581861923</v>
      </c>
      <c r="U120" s="21">
        <f t="shared" si="12"/>
        <v>0</v>
      </c>
      <c r="V120" s="21">
        <f t="shared" si="13"/>
        <v>3185407.7783035673</v>
      </c>
      <c r="W120" s="21">
        <f t="shared" si="14"/>
        <v>3185407.7783035673</v>
      </c>
      <c r="X120">
        <v>0</v>
      </c>
      <c r="Y120" s="18">
        <v>2017</v>
      </c>
      <c r="Z120" t="s">
        <v>387</v>
      </c>
      <c r="AA120" s="21">
        <f t="shared" si="15"/>
        <v>1</v>
      </c>
    </row>
    <row r="121" spans="1:27">
      <c r="A121" t="s">
        <v>257</v>
      </c>
      <c r="B121" s="18">
        <v>2040</v>
      </c>
      <c r="C121" t="s">
        <v>257</v>
      </c>
      <c r="D121" s="20" t="s">
        <v>407</v>
      </c>
      <c r="E121" s="20" t="s">
        <v>408</v>
      </c>
      <c r="F121" s="20" t="s">
        <v>260</v>
      </c>
      <c r="G121" s="20" t="s">
        <v>393</v>
      </c>
      <c r="H121" s="20" t="s">
        <v>384</v>
      </c>
      <c r="I121" s="29">
        <v>1</v>
      </c>
      <c r="J121" s="30">
        <v>1</v>
      </c>
      <c r="K121" s="31">
        <v>7.7000000000000002E-3</v>
      </c>
      <c r="L121" s="9">
        <v>628680122.19360995</v>
      </c>
      <c r="M121" s="9">
        <v>628667498.21665299</v>
      </c>
      <c r="N121" s="32">
        <f>MIN(MAX((B121-Calculation_Assumptions!$B$5+1)/Calculation_Assumptions!$B$7,0),1)</f>
        <v>1</v>
      </c>
      <c r="O121" s="21">
        <f t="shared" si="8"/>
        <v>628680122.19360995</v>
      </c>
      <c r="P121" s="21">
        <f t="shared" si="9"/>
        <v>628667498.21665299</v>
      </c>
      <c r="Q121" s="21">
        <f>P121*Calculation_Assumptions!$B$14*J121*K121</f>
        <v>0</v>
      </c>
      <c r="R121" s="21">
        <f t="shared" si="10"/>
        <v>4840836.9408907965</v>
      </c>
      <c r="S121" s="21">
        <f t="shared" si="11"/>
        <v>4840836.9408907965</v>
      </c>
      <c r="T121" s="32">
        <f>1/(1+Calculation_Assumptions!$B$8)^(B121-Calculation_Assumptions!$B$2)</f>
        <v>0.64186194739671765</v>
      </c>
      <c r="U121" s="21">
        <f t="shared" si="12"/>
        <v>0</v>
      </c>
      <c r="V121" s="21">
        <f t="shared" si="13"/>
        <v>3107149.0259101358</v>
      </c>
      <c r="W121" s="21">
        <f t="shared" si="14"/>
        <v>3107149.0259101358</v>
      </c>
      <c r="X121">
        <v>0</v>
      </c>
      <c r="Y121" s="18">
        <v>2017</v>
      </c>
      <c r="Z121" t="s">
        <v>387</v>
      </c>
      <c r="AA121" s="21">
        <f t="shared" si="15"/>
        <v>1</v>
      </c>
    </row>
    <row r="122" spans="1:27">
      <c r="A122" t="s">
        <v>257</v>
      </c>
      <c r="B122" s="18">
        <v>2041</v>
      </c>
      <c r="C122" t="s">
        <v>257</v>
      </c>
      <c r="D122" s="20" t="s">
        <v>407</v>
      </c>
      <c r="E122" s="20" t="s">
        <v>408</v>
      </c>
      <c r="F122" s="20" t="s">
        <v>260</v>
      </c>
      <c r="G122" s="20" t="s">
        <v>393</v>
      </c>
      <c r="H122" s="20" t="s">
        <v>384</v>
      </c>
      <c r="I122" s="29">
        <v>1</v>
      </c>
      <c r="J122" s="30">
        <v>1</v>
      </c>
      <c r="K122" s="31">
        <v>7.7000000000000002E-3</v>
      </c>
      <c r="L122" s="9">
        <v>631503400.05470002</v>
      </c>
      <c r="M122" s="9">
        <v>631488405.68781996</v>
      </c>
      <c r="N122" s="32">
        <f>MIN(MAX((B122-Calculation_Assumptions!$B$5+1)/Calculation_Assumptions!$B$7,0),1)</f>
        <v>1</v>
      </c>
      <c r="O122" s="21">
        <f t="shared" si="8"/>
        <v>631503400.05470002</v>
      </c>
      <c r="P122" s="21">
        <f t="shared" si="9"/>
        <v>631488405.68781996</v>
      </c>
      <c r="Q122" s="21">
        <f>P122*Calculation_Assumptions!$B$14*J122*K122</f>
        <v>0</v>
      </c>
      <c r="R122" s="21">
        <f t="shared" si="10"/>
        <v>4862576.1804211903</v>
      </c>
      <c r="S122" s="21">
        <f t="shared" si="11"/>
        <v>4862576.1804211903</v>
      </c>
      <c r="T122" s="32">
        <f>1/(1+Calculation_Assumptions!$B$8)^(B122-Calculation_Assumptions!$B$2)</f>
        <v>0.62316693922011435</v>
      </c>
      <c r="U122" s="21">
        <f t="shared" si="12"/>
        <v>0</v>
      </c>
      <c r="V122" s="21">
        <f t="shared" si="13"/>
        <v>3030196.7150777075</v>
      </c>
      <c r="W122" s="21">
        <f t="shared" si="14"/>
        <v>3030196.7150777075</v>
      </c>
      <c r="X122">
        <v>0</v>
      </c>
      <c r="Y122" s="18">
        <v>2017</v>
      </c>
      <c r="Z122" t="s">
        <v>387</v>
      </c>
      <c r="AA122" s="21">
        <f t="shared" si="15"/>
        <v>1</v>
      </c>
    </row>
    <row r="123" spans="1:27">
      <c r="A123" t="s">
        <v>257</v>
      </c>
      <c r="B123" s="18">
        <v>2042</v>
      </c>
      <c r="C123" t="s">
        <v>257</v>
      </c>
      <c r="D123" s="20" t="s">
        <v>407</v>
      </c>
      <c r="E123" s="20" t="s">
        <v>408</v>
      </c>
      <c r="F123" s="20" t="s">
        <v>260</v>
      </c>
      <c r="G123" s="20" t="s">
        <v>393</v>
      </c>
      <c r="H123" s="20" t="s">
        <v>384</v>
      </c>
      <c r="I123" s="29">
        <v>1</v>
      </c>
      <c r="J123" s="30">
        <v>1</v>
      </c>
      <c r="K123" s="31">
        <v>7.7000000000000002E-3</v>
      </c>
      <c r="L123" s="9">
        <v>634202126.42796695</v>
      </c>
      <c r="M123" s="9">
        <v>634184560.98858297</v>
      </c>
      <c r="N123" s="32">
        <f>MIN(MAX((B123-Calculation_Assumptions!$B$5+1)/Calculation_Assumptions!$B$7,0),1)</f>
        <v>1</v>
      </c>
      <c r="O123" s="21">
        <f t="shared" si="8"/>
        <v>634202126.42796695</v>
      </c>
      <c r="P123" s="21">
        <f t="shared" si="9"/>
        <v>634184560.98858297</v>
      </c>
      <c r="Q123" s="21">
        <f>P123*Calculation_Assumptions!$B$14*J123*K123</f>
        <v>0</v>
      </c>
      <c r="R123" s="21">
        <f t="shared" si="10"/>
        <v>4883356.3734953459</v>
      </c>
      <c r="S123" s="21">
        <f t="shared" si="11"/>
        <v>4883356.3734953459</v>
      </c>
      <c r="T123" s="32">
        <f>1/(1+Calculation_Assumptions!$B$8)^(B123-Calculation_Assumptions!$B$2)</f>
        <v>0.60501644584477121</v>
      </c>
      <c r="U123" s="21">
        <f t="shared" si="12"/>
        <v>0</v>
      </c>
      <c r="V123" s="21">
        <f t="shared" si="13"/>
        <v>2954510.9168855655</v>
      </c>
      <c r="W123" s="21">
        <f t="shared" si="14"/>
        <v>2954510.9168855655</v>
      </c>
      <c r="X123">
        <v>0</v>
      </c>
      <c r="Y123" s="18">
        <v>2017</v>
      </c>
      <c r="Z123" t="s">
        <v>387</v>
      </c>
      <c r="AA123" s="21">
        <f t="shared" si="15"/>
        <v>1</v>
      </c>
    </row>
    <row r="124" spans="1:27">
      <c r="A124" t="s">
        <v>257</v>
      </c>
      <c r="B124" s="18">
        <v>2043</v>
      </c>
      <c r="C124" t="s">
        <v>257</v>
      </c>
      <c r="D124" s="20" t="s">
        <v>407</v>
      </c>
      <c r="E124" s="20" t="s">
        <v>408</v>
      </c>
      <c r="F124" s="20" t="s">
        <v>260</v>
      </c>
      <c r="G124" s="20" t="s">
        <v>393</v>
      </c>
      <c r="H124" s="20" t="s">
        <v>384</v>
      </c>
      <c r="I124" s="29">
        <v>1</v>
      </c>
      <c r="J124" s="30">
        <v>1</v>
      </c>
      <c r="K124" s="31">
        <v>7.7000000000000002E-3</v>
      </c>
      <c r="L124" s="9">
        <v>636787389.77978206</v>
      </c>
      <c r="M124" s="9">
        <v>636767020.67603099</v>
      </c>
      <c r="N124" s="32">
        <f>MIN(MAX((B124-Calculation_Assumptions!$B$5+1)/Calculation_Assumptions!$B$7,0),1)</f>
        <v>1</v>
      </c>
      <c r="O124" s="21">
        <f t="shared" si="8"/>
        <v>636787389.77978206</v>
      </c>
      <c r="P124" s="21">
        <f t="shared" si="9"/>
        <v>636767020.67603099</v>
      </c>
      <c r="Q124" s="21">
        <f>P124*Calculation_Assumptions!$B$14*J124*K124</f>
        <v>0</v>
      </c>
      <c r="R124" s="21">
        <f t="shared" si="10"/>
        <v>4903262.9013043223</v>
      </c>
      <c r="S124" s="21">
        <f t="shared" si="11"/>
        <v>4903262.9013043223</v>
      </c>
      <c r="T124" s="32">
        <f>1/(1+Calculation_Assumptions!$B$8)^(B124-Calculation_Assumptions!$B$2)</f>
        <v>0.5873946076162827</v>
      </c>
      <c r="U124" s="21">
        <f t="shared" si="12"/>
        <v>0</v>
      </c>
      <c r="V124" s="21">
        <f t="shared" si="13"/>
        <v>2880150.1879511285</v>
      </c>
      <c r="W124" s="21">
        <f t="shared" si="14"/>
        <v>2880150.1879511285</v>
      </c>
      <c r="X124">
        <v>0</v>
      </c>
      <c r="Y124" s="18">
        <v>2017</v>
      </c>
      <c r="Z124" t="s">
        <v>387</v>
      </c>
      <c r="AA124" s="21">
        <f t="shared" si="15"/>
        <v>1</v>
      </c>
    </row>
    <row r="125" spans="1:27">
      <c r="A125" t="s">
        <v>257</v>
      </c>
      <c r="B125" s="18">
        <v>2044</v>
      </c>
      <c r="C125" t="s">
        <v>257</v>
      </c>
      <c r="D125" s="20" t="s">
        <v>407</v>
      </c>
      <c r="E125" s="20" t="s">
        <v>408</v>
      </c>
      <c r="F125" s="20" t="s">
        <v>260</v>
      </c>
      <c r="G125" s="20" t="s">
        <v>393</v>
      </c>
      <c r="H125" s="20" t="s">
        <v>384</v>
      </c>
      <c r="I125" s="29">
        <v>1</v>
      </c>
      <c r="J125" s="30">
        <v>1</v>
      </c>
      <c r="K125" s="31">
        <v>7.7000000000000002E-3</v>
      </c>
      <c r="L125" s="9">
        <v>639234875.416978</v>
      </c>
      <c r="M125" s="9">
        <v>639211548.58069301</v>
      </c>
      <c r="N125" s="32">
        <f>MIN(MAX((B125-Calculation_Assumptions!$B$5+1)/Calculation_Assumptions!$B$7,0),1)</f>
        <v>1</v>
      </c>
      <c r="O125" s="21">
        <f t="shared" si="8"/>
        <v>639234875.416978</v>
      </c>
      <c r="P125" s="21">
        <f t="shared" si="9"/>
        <v>639211548.58069301</v>
      </c>
      <c r="Q125" s="21">
        <f>P125*Calculation_Assumptions!$B$14*J125*K125</f>
        <v>0</v>
      </c>
      <c r="R125" s="21">
        <f t="shared" si="10"/>
        <v>4922108.5407107305</v>
      </c>
      <c r="S125" s="21">
        <f t="shared" si="11"/>
        <v>4922108.5407107305</v>
      </c>
      <c r="T125" s="32">
        <f>1/(1+Calculation_Assumptions!$B$8)^(B125-Calculation_Assumptions!$B$2)</f>
        <v>0.57028602681192497</v>
      </c>
      <c r="U125" s="21">
        <f t="shared" si="12"/>
        <v>0</v>
      </c>
      <c r="V125" s="21">
        <f t="shared" si="13"/>
        <v>2807009.7232189644</v>
      </c>
      <c r="W125" s="21">
        <f t="shared" si="14"/>
        <v>2807009.7232189644</v>
      </c>
      <c r="X125">
        <v>0</v>
      </c>
      <c r="Y125" s="18">
        <v>2017</v>
      </c>
      <c r="Z125" t="s">
        <v>387</v>
      </c>
      <c r="AA125" s="21">
        <f t="shared" si="15"/>
        <v>1</v>
      </c>
    </row>
    <row r="126" spans="1:27">
      <c r="A126" t="s">
        <v>257</v>
      </c>
      <c r="B126" s="18">
        <v>2045</v>
      </c>
      <c r="C126" t="s">
        <v>257</v>
      </c>
      <c r="D126" s="20" t="s">
        <v>407</v>
      </c>
      <c r="E126" s="20" t="s">
        <v>408</v>
      </c>
      <c r="F126" s="20" t="s">
        <v>260</v>
      </c>
      <c r="G126" s="20" t="s">
        <v>393</v>
      </c>
      <c r="H126" s="20" t="s">
        <v>384</v>
      </c>
      <c r="I126" s="29">
        <v>1</v>
      </c>
      <c r="J126" s="30">
        <v>1</v>
      </c>
      <c r="K126" s="31">
        <v>7.7000000000000002E-3</v>
      </c>
      <c r="L126" s="9">
        <v>641547214.78592598</v>
      </c>
      <c r="M126" s="9">
        <v>641520754.67294204</v>
      </c>
      <c r="N126" s="32">
        <f>MIN(MAX((B126-Calculation_Assumptions!$B$5+1)/Calculation_Assumptions!$B$7,0),1)</f>
        <v>1</v>
      </c>
      <c r="O126" s="21">
        <f t="shared" si="8"/>
        <v>641547214.78592598</v>
      </c>
      <c r="P126" s="21">
        <f t="shared" si="9"/>
        <v>641520754.67294204</v>
      </c>
      <c r="Q126" s="21">
        <f>P126*Calculation_Assumptions!$B$14*J126*K126</f>
        <v>0</v>
      </c>
      <c r="R126" s="21">
        <f t="shared" si="10"/>
        <v>4939913.5538516305</v>
      </c>
      <c r="S126" s="21">
        <f t="shared" si="11"/>
        <v>4939913.5538516305</v>
      </c>
      <c r="T126" s="32">
        <f>1/(1+Calculation_Assumptions!$B$8)^(B126-Calculation_Assumptions!$B$2)</f>
        <v>0.55367575418633497</v>
      </c>
      <c r="U126" s="21">
        <f t="shared" si="12"/>
        <v>0</v>
      </c>
      <c r="V126" s="21">
        <f t="shared" si="13"/>
        <v>2735110.3625440998</v>
      </c>
      <c r="W126" s="21">
        <f t="shared" si="14"/>
        <v>2735110.3625440998</v>
      </c>
      <c r="X126">
        <v>0</v>
      </c>
      <c r="Y126" s="18">
        <v>2017</v>
      </c>
      <c r="Z126" t="s">
        <v>387</v>
      </c>
      <c r="AA126" s="21">
        <f t="shared" si="15"/>
        <v>1</v>
      </c>
    </row>
    <row r="127" spans="1:27">
      <c r="A127" t="s">
        <v>257</v>
      </c>
      <c r="B127" s="18">
        <v>2046</v>
      </c>
      <c r="C127" t="s">
        <v>257</v>
      </c>
      <c r="D127" s="20" t="s">
        <v>407</v>
      </c>
      <c r="E127" s="20" t="s">
        <v>408</v>
      </c>
      <c r="F127" s="20" t="s">
        <v>260</v>
      </c>
      <c r="G127" s="20" t="s">
        <v>393</v>
      </c>
      <c r="H127" s="20" t="s">
        <v>384</v>
      </c>
      <c r="I127" s="29">
        <v>1</v>
      </c>
      <c r="J127" s="30">
        <v>1</v>
      </c>
      <c r="K127" s="31">
        <v>7.7000000000000002E-3</v>
      </c>
      <c r="L127" s="9">
        <v>643727089.86534703</v>
      </c>
      <c r="M127" s="9">
        <v>643697330.762573</v>
      </c>
      <c r="N127" s="32">
        <f>MIN(MAX((B127-Calculation_Assumptions!$B$5+1)/Calculation_Assumptions!$B$7,0),1)</f>
        <v>1</v>
      </c>
      <c r="O127" s="21">
        <f t="shared" si="8"/>
        <v>643727089.86534703</v>
      </c>
      <c r="P127" s="21">
        <f t="shared" si="9"/>
        <v>643697330.762573</v>
      </c>
      <c r="Q127" s="21">
        <f>P127*Calculation_Assumptions!$B$14*J127*K127</f>
        <v>0</v>
      </c>
      <c r="R127" s="21">
        <f t="shared" si="10"/>
        <v>4956698.591963172</v>
      </c>
      <c r="S127" s="21">
        <f t="shared" si="11"/>
        <v>4956698.591963172</v>
      </c>
      <c r="T127" s="32">
        <f>1/(1+Calculation_Assumptions!$B$8)^(B127-Calculation_Assumptions!$B$2)</f>
        <v>0.5375492759090631</v>
      </c>
      <c r="U127" s="21">
        <f t="shared" si="12"/>
        <v>0</v>
      </c>
      <c r="V127" s="21">
        <f t="shared" si="13"/>
        <v>2664469.7390092756</v>
      </c>
      <c r="W127" s="21">
        <f t="shared" si="14"/>
        <v>2664469.7390092756</v>
      </c>
      <c r="X127">
        <v>0</v>
      </c>
      <c r="Y127" s="18">
        <v>2017</v>
      </c>
      <c r="Z127" t="s">
        <v>387</v>
      </c>
      <c r="AA127" s="21">
        <f t="shared" si="15"/>
        <v>1</v>
      </c>
    </row>
    <row r="128" spans="1:27">
      <c r="A128" t="s">
        <v>257</v>
      </c>
      <c r="B128" s="18">
        <v>2047</v>
      </c>
      <c r="C128" t="s">
        <v>257</v>
      </c>
      <c r="D128" s="20" t="s">
        <v>407</v>
      </c>
      <c r="E128" s="20" t="s">
        <v>408</v>
      </c>
      <c r="F128" s="20" t="s">
        <v>260</v>
      </c>
      <c r="G128" s="20" t="s">
        <v>393</v>
      </c>
      <c r="H128" s="20" t="s">
        <v>384</v>
      </c>
      <c r="I128" s="29">
        <v>1</v>
      </c>
      <c r="J128" s="30">
        <v>1</v>
      </c>
      <c r="K128" s="31">
        <v>7.7000000000000002E-3</v>
      </c>
      <c r="L128" s="9">
        <v>645779126.96996999</v>
      </c>
      <c r="M128" s="9">
        <v>645745914.53009498</v>
      </c>
      <c r="N128" s="32">
        <f>MIN(MAX((B128-Calculation_Assumptions!$B$5+1)/Calculation_Assumptions!$B$7,0),1)</f>
        <v>1</v>
      </c>
      <c r="O128" s="21">
        <f t="shared" si="8"/>
        <v>645779126.96996999</v>
      </c>
      <c r="P128" s="21">
        <f t="shared" si="9"/>
        <v>645745914.53009498</v>
      </c>
      <c r="Q128" s="21">
        <f>P128*Calculation_Assumptions!$B$14*J128*K128</f>
        <v>0</v>
      </c>
      <c r="R128" s="21">
        <f t="shared" si="10"/>
        <v>4972499.2776687695</v>
      </c>
      <c r="S128" s="21">
        <f t="shared" si="11"/>
        <v>4972499.2776687695</v>
      </c>
      <c r="T128" s="32">
        <f>1/(1+Calculation_Assumptions!$B$8)^(B128-Calculation_Assumptions!$B$2)</f>
        <v>0.52189250088258554</v>
      </c>
      <c r="U128" s="21">
        <f t="shared" si="12"/>
        <v>0</v>
      </c>
      <c r="V128" s="21">
        <f t="shared" si="13"/>
        <v>2595110.0836594044</v>
      </c>
      <c r="W128" s="21">
        <f t="shared" si="14"/>
        <v>2595110.0836594044</v>
      </c>
      <c r="X128">
        <v>0</v>
      </c>
      <c r="Y128" s="18">
        <v>2017</v>
      </c>
      <c r="Z128" t="s">
        <v>387</v>
      </c>
      <c r="AA128" s="21">
        <f t="shared" si="15"/>
        <v>1</v>
      </c>
    </row>
    <row r="129" spans="1:27">
      <c r="A129" t="s">
        <v>257</v>
      </c>
      <c r="B129" s="18">
        <v>2048</v>
      </c>
      <c r="C129" t="s">
        <v>257</v>
      </c>
      <c r="D129" s="20" t="s">
        <v>407</v>
      </c>
      <c r="E129" s="20" t="s">
        <v>408</v>
      </c>
      <c r="F129" s="20" t="s">
        <v>260</v>
      </c>
      <c r="G129" s="20" t="s">
        <v>393</v>
      </c>
      <c r="H129" s="20" t="s">
        <v>384</v>
      </c>
      <c r="I129" s="29">
        <v>1</v>
      </c>
      <c r="J129" s="30">
        <v>1</v>
      </c>
      <c r="K129" s="31">
        <v>7.7000000000000002E-3</v>
      </c>
      <c r="L129" s="9">
        <v>647671297.72104597</v>
      </c>
      <c r="M129" s="9">
        <v>647666796.64810395</v>
      </c>
      <c r="N129" s="32">
        <f>MIN(MAX((B129-Calculation_Assumptions!$B$5+1)/Calculation_Assumptions!$B$7,0),1)</f>
        <v>1</v>
      </c>
      <c r="O129" s="21">
        <f t="shared" si="8"/>
        <v>647671297.72104597</v>
      </c>
      <c r="P129" s="21">
        <f t="shared" si="9"/>
        <v>647666796.64810395</v>
      </c>
      <c r="Q129" s="21">
        <f>P129*Calculation_Assumptions!$B$14*J129*K129</f>
        <v>0</v>
      </c>
      <c r="R129" s="21">
        <f t="shared" si="10"/>
        <v>4987068.9924520543</v>
      </c>
      <c r="S129" s="21">
        <f t="shared" si="11"/>
        <v>4987068.9924520543</v>
      </c>
      <c r="T129" s="32">
        <f>1/(1+Calculation_Assumptions!$B$8)^(B129-Calculation_Assumptions!$B$2)</f>
        <v>0.50669174842969467</v>
      </c>
      <c r="U129" s="21">
        <f t="shared" si="12"/>
        <v>0</v>
      </c>
      <c r="V129" s="21">
        <f t="shared" si="13"/>
        <v>2526906.7073250473</v>
      </c>
      <c r="W129" s="21">
        <f t="shared" si="14"/>
        <v>2526906.7073250473</v>
      </c>
      <c r="X129">
        <v>0</v>
      </c>
      <c r="Y129" s="18">
        <v>2017</v>
      </c>
      <c r="Z129" t="s">
        <v>387</v>
      </c>
      <c r="AA129" s="21">
        <f t="shared" si="15"/>
        <v>1</v>
      </c>
    </row>
    <row r="130" spans="1:27">
      <c r="A130" t="s">
        <v>257</v>
      </c>
      <c r="B130" s="18">
        <v>2049</v>
      </c>
      <c r="C130" t="s">
        <v>257</v>
      </c>
      <c r="D130" s="20" t="s">
        <v>407</v>
      </c>
      <c r="E130" s="20" t="s">
        <v>408</v>
      </c>
      <c r="F130" s="20" t="s">
        <v>260</v>
      </c>
      <c r="G130" s="20" t="s">
        <v>393</v>
      </c>
      <c r="H130" s="20" t="s">
        <v>384</v>
      </c>
      <c r="I130" s="29">
        <v>1</v>
      </c>
      <c r="J130" s="30">
        <v>1</v>
      </c>
      <c r="K130" s="31">
        <v>7.7000000000000002E-3</v>
      </c>
      <c r="L130" s="9">
        <v>649497602.53501904</v>
      </c>
      <c r="M130" s="9">
        <v>649421968.02473402</v>
      </c>
      <c r="N130" s="32">
        <f>MIN(MAX((B130-Calculation_Assumptions!$B$5+1)/Calculation_Assumptions!$B$7,0),1)</f>
        <v>1</v>
      </c>
      <c r="O130" s="21">
        <f t="shared" ref="O130:O193" si="16">L130*I130</f>
        <v>649497602.53501904</v>
      </c>
      <c r="P130" s="21">
        <f t="shared" ref="P130:P193" si="17">M130*I130</f>
        <v>649421968.02473402</v>
      </c>
      <c r="Q130" s="21">
        <f>P130*Calculation_Assumptions!$B$14*J130*K130</f>
        <v>0</v>
      </c>
      <c r="R130" s="21">
        <f t="shared" ref="R130:R193" si="18">O130*N130*J130*K130</f>
        <v>5001131.5395196471</v>
      </c>
      <c r="S130" s="21">
        <f t="shared" ref="S130:S193" si="19">R130-Q130</f>
        <v>5001131.5395196471</v>
      </c>
      <c r="T130" s="32">
        <f>1/(1+Calculation_Assumptions!$B$8)^(B130-Calculation_Assumptions!$B$2)</f>
        <v>0.49193373633950943</v>
      </c>
      <c r="U130" s="21">
        <f t="shared" ref="U130:U193" si="20">Q130*T130</f>
        <v>0</v>
      </c>
      <c r="V130" s="21">
        <f t="shared" ref="V130:V193" si="21">R130*T130</f>
        <v>2460225.3241612632</v>
      </c>
      <c r="W130" s="21">
        <f t="shared" ref="W130:W193" si="22">S130*T130</f>
        <v>2460225.3241612632</v>
      </c>
      <c r="X130">
        <v>0</v>
      </c>
      <c r="Y130" s="18">
        <v>2017</v>
      </c>
      <c r="Z130" t="s">
        <v>387</v>
      </c>
      <c r="AA130" s="21">
        <f t="shared" ref="AA130:AA193" si="23">IF(G130="shared-count-once",COUNTIFS($A$2:$A$807,A130,$B$2:$B$807,B130,$D$2:$D$807,D130),1)</f>
        <v>1</v>
      </c>
    </row>
    <row r="131" spans="1:27">
      <c r="A131" t="s">
        <v>257</v>
      </c>
      <c r="B131" s="18">
        <v>2050</v>
      </c>
      <c r="C131" t="s">
        <v>257</v>
      </c>
      <c r="D131" s="20" t="s">
        <v>407</v>
      </c>
      <c r="E131" s="20" t="s">
        <v>408</v>
      </c>
      <c r="F131" s="20" t="s">
        <v>260</v>
      </c>
      <c r="G131" s="20" t="s">
        <v>393</v>
      </c>
      <c r="H131" s="20" t="s">
        <v>384</v>
      </c>
      <c r="I131" s="29">
        <v>1</v>
      </c>
      <c r="J131" s="30">
        <v>1</v>
      </c>
      <c r="K131" s="31">
        <v>7.7000000000000002E-3</v>
      </c>
      <c r="L131" s="9">
        <v>651157496.52446795</v>
      </c>
      <c r="M131" s="9">
        <v>651074457.25957894</v>
      </c>
      <c r="N131" s="32">
        <f>MIN(MAX((B131-Calculation_Assumptions!$B$5+1)/Calculation_Assumptions!$B$7,0),1)</f>
        <v>1</v>
      </c>
      <c r="O131" s="21">
        <f t="shared" si="16"/>
        <v>651157496.52446795</v>
      </c>
      <c r="P131" s="21">
        <f t="shared" si="17"/>
        <v>651074457.25957894</v>
      </c>
      <c r="Q131" s="21">
        <f>P131*Calculation_Assumptions!$B$14*J131*K131</f>
        <v>0</v>
      </c>
      <c r="R131" s="21">
        <f t="shared" si="18"/>
        <v>5013912.723238403</v>
      </c>
      <c r="S131" s="21">
        <f t="shared" si="19"/>
        <v>5013912.723238403</v>
      </c>
      <c r="T131" s="32">
        <f>1/(1+Calculation_Assumptions!$B$8)^(B131-Calculation_Assumptions!$B$2)</f>
        <v>0.47760556926165965</v>
      </c>
      <c r="U131" s="21">
        <f t="shared" si="20"/>
        <v>0</v>
      </c>
      <c r="V131" s="21">
        <f t="shared" si="21"/>
        <v>2394672.6404105555</v>
      </c>
      <c r="W131" s="21">
        <f t="shared" si="22"/>
        <v>2394672.6404105555</v>
      </c>
      <c r="X131">
        <v>0</v>
      </c>
      <c r="Y131" s="18">
        <v>2017</v>
      </c>
      <c r="Z131" t="s">
        <v>387</v>
      </c>
      <c r="AA131" s="21">
        <f t="shared" si="23"/>
        <v>1</v>
      </c>
    </row>
    <row r="132" spans="1:27">
      <c r="A132" t="s">
        <v>169</v>
      </c>
      <c r="B132" s="18">
        <v>2025</v>
      </c>
      <c r="C132" t="s">
        <v>169</v>
      </c>
      <c r="D132" s="20" t="s">
        <v>380</v>
      </c>
      <c r="E132" s="20" t="s">
        <v>381</v>
      </c>
      <c r="F132" s="20" t="s">
        <v>177</v>
      </c>
      <c r="G132" s="20" t="s">
        <v>382</v>
      </c>
      <c r="H132" s="20" t="s">
        <v>384</v>
      </c>
      <c r="I132" s="29">
        <v>1</v>
      </c>
      <c r="J132" s="30">
        <v>1</v>
      </c>
      <c r="K132" s="31">
        <v>5.5999999999999999E-3</v>
      </c>
      <c r="L132" s="9">
        <v>575134853.59312999</v>
      </c>
      <c r="M132" s="9">
        <v>575134853.59312999</v>
      </c>
      <c r="N132" s="32">
        <f>MIN(MAX((B132-Calculation_Assumptions!$B$5+1)/Calculation_Assumptions!$B$7,0),1)</f>
        <v>0</v>
      </c>
      <c r="O132" s="21">
        <f t="shared" si="16"/>
        <v>575134853.59312999</v>
      </c>
      <c r="P132" s="21">
        <f t="shared" si="17"/>
        <v>575134853.59312999</v>
      </c>
      <c r="Q132" s="21">
        <f>P132*Calculation_Assumptions!$B$14*J132*K132</f>
        <v>0</v>
      </c>
      <c r="R132" s="21">
        <f t="shared" si="18"/>
        <v>0</v>
      </c>
      <c r="S132" s="21">
        <f t="shared" si="19"/>
        <v>0</v>
      </c>
      <c r="T132" s="32">
        <f>1/(1+Calculation_Assumptions!$B$8)^(B132-Calculation_Assumptions!$B$2)</f>
        <v>1</v>
      </c>
      <c r="U132" s="21">
        <f t="shared" si="20"/>
        <v>0</v>
      </c>
      <c r="V132" s="21">
        <f t="shared" si="21"/>
        <v>0</v>
      </c>
      <c r="W132" s="21">
        <f t="shared" si="22"/>
        <v>0</v>
      </c>
      <c r="X132">
        <v>0</v>
      </c>
      <c r="Y132" s="18">
        <v>2017</v>
      </c>
      <c r="Z132" t="s">
        <v>387</v>
      </c>
      <c r="AA132" s="21">
        <f t="shared" si="23"/>
        <v>1</v>
      </c>
    </row>
    <row r="133" spans="1:27">
      <c r="A133" t="s">
        <v>169</v>
      </c>
      <c r="B133" s="18">
        <v>2026</v>
      </c>
      <c r="C133" t="s">
        <v>169</v>
      </c>
      <c r="D133" s="20" t="s">
        <v>380</v>
      </c>
      <c r="E133" s="20" t="s">
        <v>381</v>
      </c>
      <c r="F133" s="20" t="s">
        <v>177</v>
      </c>
      <c r="G133" s="20" t="s">
        <v>382</v>
      </c>
      <c r="H133" s="20" t="s">
        <v>384</v>
      </c>
      <c r="I133" s="29">
        <v>1</v>
      </c>
      <c r="J133" s="30">
        <v>1</v>
      </c>
      <c r="K133" s="31">
        <v>5.5999999999999999E-3</v>
      </c>
      <c r="L133" s="9">
        <v>579268647.32329595</v>
      </c>
      <c r="M133" s="9">
        <v>579268647.32329595</v>
      </c>
      <c r="N133" s="32">
        <f>MIN(MAX((B133-Calculation_Assumptions!$B$5+1)/Calculation_Assumptions!$B$7,0),1)</f>
        <v>0.33333333333333331</v>
      </c>
      <c r="O133" s="21">
        <f t="shared" si="16"/>
        <v>579268647.32329595</v>
      </c>
      <c r="P133" s="21">
        <f t="shared" si="17"/>
        <v>579268647.32329595</v>
      </c>
      <c r="Q133" s="21">
        <f>P133*Calculation_Assumptions!$B$14*J133*K133</f>
        <v>0</v>
      </c>
      <c r="R133" s="21">
        <f t="shared" si="18"/>
        <v>1081301.4750034858</v>
      </c>
      <c r="S133" s="21">
        <f t="shared" si="19"/>
        <v>1081301.4750034858</v>
      </c>
      <c r="T133" s="32">
        <f>1/(1+Calculation_Assumptions!$B$8)^(B133-Calculation_Assumptions!$B$2)</f>
        <v>0.970873786407767</v>
      </c>
      <c r="U133" s="21">
        <f t="shared" si="20"/>
        <v>0</v>
      </c>
      <c r="V133" s="21">
        <f t="shared" si="21"/>
        <v>1049807.2572849377</v>
      </c>
      <c r="W133" s="21">
        <f t="shared" si="22"/>
        <v>1049807.2572849377</v>
      </c>
      <c r="X133">
        <v>0</v>
      </c>
      <c r="Y133" s="18">
        <v>2017</v>
      </c>
      <c r="Z133" t="s">
        <v>387</v>
      </c>
      <c r="AA133" s="21">
        <f t="shared" si="23"/>
        <v>1</v>
      </c>
    </row>
    <row r="134" spans="1:27">
      <c r="A134" t="s">
        <v>169</v>
      </c>
      <c r="B134" s="18">
        <v>2027</v>
      </c>
      <c r="C134" t="s">
        <v>169</v>
      </c>
      <c r="D134" s="20" t="s">
        <v>380</v>
      </c>
      <c r="E134" s="20" t="s">
        <v>381</v>
      </c>
      <c r="F134" s="20" t="s">
        <v>177</v>
      </c>
      <c r="G134" s="20" t="s">
        <v>382</v>
      </c>
      <c r="H134" s="20" t="s">
        <v>384</v>
      </c>
      <c r="I134" s="29">
        <v>1</v>
      </c>
      <c r="J134" s="30">
        <v>1</v>
      </c>
      <c r="K134" s="31">
        <v>5.5999999999999999E-3</v>
      </c>
      <c r="L134" s="9">
        <v>583039014.28645599</v>
      </c>
      <c r="M134" s="9">
        <v>583039014.28645599</v>
      </c>
      <c r="N134" s="32">
        <f>MIN(MAX((B134-Calculation_Assumptions!$B$5+1)/Calculation_Assumptions!$B$7,0),1)</f>
        <v>0.66666666666666663</v>
      </c>
      <c r="O134" s="21">
        <f t="shared" si="16"/>
        <v>583039014.28645599</v>
      </c>
      <c r="P134" s="21">
        <f t="shared" si="17"/>
        <v>583039014.28645599</v>
      </c>
      <c r="Q134" s="21">
        <f>P134*Calculation_Assumptions!$B$14*J134*K134</f>
        <v>0</v>
      </c>
      <c r="R134" s="21">
        <f t="shared" si="18"/>
        <v>2176678.9866694356</v>
      </c>
      <c r="S134" s="21">
        <f t="shared" si="19"/>
        <v>2176678.9866694356</v>
      </c>
      <c r="T134" s="32">
        <f>1/(1+Calculation_Assumptions!$B$8)^(B134-Calculation_Assumptions!$B$2)</f>
        <v>0.94259590913375435</v>
      </c>
      <c r="U134" s="21">
        <f t="shared" si="20"/>
        <v>0</v>
      </c>
      <c r="V134" s="21">
        <f t="shared" si="21"/>
        <v>2051728.7083320159</v>
      </c>
      <c r="W134" s="21">
        <f t="shared" si="22"/>
        <v>2051728.7083320159</v>
      </c>
      <c r="X134">
        <v>0</v>
      </c>
      <c r="Y134" s="18">
        <v>2017</v>
      </c>
      <c r="Z134" t="s">
        <v>387</v>
      </c>
      <c r="AA134" s="21">
        <f t="shared" si="23"/>
        <v>1</v>
      </c>
    </row>
    <row r="135" spans="1:27">
      <c r="A135" t="s">
        <v>169</v>
      </c>
      <c r="B135" s="18">
        <v>2028</v>
      </c>
      <c r="C135" t="s">
        <v>169</v>
      </c>
      <c r="D135" s="20" t="s">
        <v>380</v>
      </c>
      <c r="E135" s="20" t="s">
        <v>381</v>
      </c>
      <c r="F135" s="20" t="s">
        <v>177</v>
      </c>
      <c r="G135" s="20" t="s">
        <v>382</v>
      </c>
      <c r="H135" s="20" t="s">
        <v>384</v>
      </c>
      <c r="I135" s="29">
        <v>1</v>
      </c>
      <c r="J135" s="30">
        <v>1</v>
      </c>
      <c r="K135" s="31">
        <v>5.5999999999999999E-3</v>
      </c>
      <c r="L135" s="9">
        <v>587035138.04735601</v>
      </c>
      <c r="M135" s="9">
        <v>587035116.25746298</v>
      </c>
      <c r="N135" s="32">
        <f>MIN(MAX((B135-Calculation_Assumptions!$B$5+1)/Calculation_Assumptions!$B$7,0),1)</f>
        <v>1</v>
      </c>
      <c r="O135" s="21">
        <f t="shared" si="16"/>
        <v>587035138.04735601</v>
      </c>
      <c r="P135" s="21">
        <f t="shared" si="17"/>
        <v>587035116.25746298</v>
      </c>
      <c r="Q135" s="21">
        <f>P135*Calculation_Assumptions!$B$14*J135*K135</f>
        <v>0</v>
      </c>
      <c r="R135" s="21">
        <f t="shared" si="18"/>
        <v>3287396.7730651936</v>
      </c>
      <c r="S135" s="21">
        <f t="shared" si="19"/>
        <v>3287396.7730651936</v>
      </c>
      <c r="T135" s="32">
        <f>1/(1+Calculation_Assumptions!$B$8)^(B135-Calculation_Assumptions!$B$2)</f>
        <v>0.91514165935315961</v>
      </c>
      <c r="U135" s="21">
        <f t="shared" si="20"/>
        <v>0</v>
      </c>
      <c r="V135" s="21">
        <f t="shared" si="21"/>
        <v>3008433.7378551033</v>
      </c>
      <c r="W135" s="21">
        <f t="shared" si="22"/>
        <v>3008433.7378551033</v>
      </c>
      <c r="X135">
        <v>0</v>
      </c>
      <c r="Y135" s="18">
        <v>2017</v>
      </c>
      <c r="Z135" t="s">
        <v>387</v>
      </c>
      <c r="AA135" s="21">
        <f t="shared" si="23"/>
        <v>1</v>
      </c>
    </row>
    <row r="136" spans="1:27">
      <c r="A136" t="s">
        <v>169</v>
      </c>
      <c r="B136" s="18">
        <v>2029</v>
      </c>
      <c r="C136" t="s">
        <v>169</v>
      </c>
      <c r="D136" s="20" t="s">
        <v>380</v>
      </c>
      <c r="E136" s="20" t="s">
        <v>381</v>
      </c>
      <c r="F136" s="20" t="s">
        <v>177</v>
      </c>
      <c r="G136" s="20" t="s">
        <v>382</v>
      </c>
      <c r="H136" s="20" t="s">
        <v>384</v>
      </c>
      <c r="I136" s="29">
        <v>1</v>
      </c>
      <c r="J136" s="30">
        <v>1</v>
      </c>
      <c r="K136" s="31">
        <v>5.5999999999999999E-3</v>
      </c>
      <c r="L136" s="9">
        <v>590968133.54294896</v>
      </c>
      <c r="M136" s="9">
        <v>590968059.72178304</v>
      </c>
      <c r="N136" s="32">
        <f>MIN(MAX((B136-Calculation_Assumptions!$B$5+1)/Calculation_Assumptions!$B$7,0),1)</f>
        <v>1</v>
      </c>
      <c r="O136" s="21">
        <f t="shared" si="16"/>
        <v>590968133.54294896</v>
      </c>
      <c r="P136" s="21">
        <f t="shared" si="17"/>
        <v>590968059.72178304</v>
      </c>
      <c r="Q136" s="21">
        <f>P136*Calculation_Assumptions!$B$14*J136*K136</f>
        <v>0</v>
      </c>
      <c r="R136" s="21">
        <f t="shared" si="18"/>
        <v>3309421.5478405142</v>
      </c>
      <c r="S136" s="21">
        <f t="shared" si="19"/>
        <v>3309421.5478405142</v>
      </c>
      <c r="T136" s="32">
        <f>1/(1+Calculation_Assumptions!$B$8)^(B136-Calculation_Assumptions!$B$2)</f>
        <v>0.888487047915689</v>
      </c>
      <c r="U136" s="21">
        <f t="shared" si="20"/>
        <v>0</v>
      </c>
      <c r="V136" s="21">
        <f t="shared" si="21"/>
        <v>2940378.1813493888</v>
      </c>
      <c r="W136" s="21">
        <f t="shared" si="22"/>
        <v>2940378.1813493888</v>
      </c>
      <c r="X136">
        <v>0</v>
      </c>
      <c r="Y136" s="18">
        <v>2017</v>
      </c>
      <c r="Z136" t="s">
        <v>387</v>
      </c>
      <c r="AA136" s="21">
        <f t="shared" si="23"/>
        <v>1</v>
      </c>
    </row>
    <row r="137" spans="1:27">
      <c r="A137" t="s">
        <v>169</v>
      </c>
      <c r="B137" s="18">
        <v>2030</v>
      </c>
      <c r="C137" t="s">
        <v>169</v>
      </c>
      <c r="D137" s="20" t="s">
        <v>380</v>
      </c>
      <c r="E137" s="20" t="s">
        <v>381</v>
      </c>
      <c r="F137" s="20" t="s">
        <v>177</v>
      </c>
      <c r="G137" s="20" t="s">
        <v>382</v>
      </c>
      <c r="H137" s="20" t="s">
        <v>384</v>
      </c>
      <c r="I137" s="29">
        <v>1</v>
      </c>
      <c r="J137" s="30">
        <v>1</v>
      </c>
      <c r="K137" s="31">
        <v>5.5999999999999999E-3</v>
      </c>
      <c r="L137" s="9">
        <v>594808180.71064401</v>
      </c>
      <c r="M137" s="9">
        <v>594808018.62654305</v>
      </c>
      <c r="N137" s="32">
        <f>MIN(MAX((B137-Calculation_Assumptions!$B$5+1)/Calculation_Assumptions!$B$7,0),1)</f>
        <v>1</v>
      </c>
      <c r="O137" s="21">
        <f t="shared" si="16"/>
        <v>594808180.71064401</v>
      </c>
      <c r="P137" s="21">
        <f t="shared" si="17"/>
        <v>594808018.62654305</v>
      </c>
      <c r="Q137" s="21">
        <f>P137*Calculation_Assumptions!$B$14*J137*K137</f>
        <v>0</v>
      </c>
      <c r="R137" s="21">
        <f t="shared" si="18"/>
        <v>3330925.8119796063</v>
      </c>
      <c r="S137" s="21">
        <f t="shared" si="19"/>
        <v>3330925.8119796063</v>
      </c>
      <c r="T137" s="32">
        <f>1/(1+Calculation_Assumptions!$B$8)^(B137-Calculation_Assumptions!$B$2)</f>
        <v>0.86260878438416411</v>
      </c>
      <c r="U137" s="21">
        <f t="shared" si="20"/>
        <v>0</v>
      </c>
      <c r="V137" s="21">
        <f t="shared" si="21"/>
        <v>2873285.8655455629</v>
      </c>
      <c r="W137" s="21">
        <f t="shared" si="22"/>
        <v>2873285.8655455629</v>
      </c>
      <c r="X137">
        <v>0</v>
      </c>
      <c r="Y137" s="18">
        <v>2017</v>
      </c>
      <c r="Z137" t="s">
        <v>387</v>
      </c>
      <c r="AA137" s="21">
        <f t="shared" si="23"/>
        <v>1</v>
      </c>
    </row>
    <row r="138" spans="1:27">
      <c r="A138" t="s">
        <v>169</v>
      </c>
      <c r="B138" s="18">
        <v>2031</v>
      </c>
      <c r="C138" t="s">
        <v>169</v>
      </c>
      <c r="D138" s="20" t="s">
        <v>380</v>
      </c>
      <c r="E138" s="20" t="s">
        <v>381</v>
      </c>
      <c r="F138" s="20" t="s">
        <v>177</v>
      </c>
      <c r="G138" s="20" t="s">
        <v>382</v>
      </c>
      <c r="H138" s="20" t="s">
        <v>384</v>
      </c>
      <c r="I138" s="29">
        <v>1</v>
      </c>
      <c r="J138" s="30">
        <v>1</v>
      </c>
      <c r="K138" s="31">
        <v>5.5999999999999999E-3</v>
      </c>
      <c r="L138" s="9">
        <v>598410951.53002799</v>
      </c>
      <c r="M138" s="9">
        <v>598581381.03442597</v>
      </c>
      <c r="N138" s="32">
        <f>MIN(MAX((B138-Calculation_Assumptions!$B$5+1)/Calculation_Assumptions!$B$7,0),1)</f>
        <v>1</v>
      </c>
      <c r="O138" s="21">
        <f t="shared" si="16"/>
        <v>598410951.53002799</v>
      </c>
      <c r="P138" s="21">
        <f t="shared" si="17"/>
        <v>598581381.03442597</v>
      </c>
      <c r="Q138" s="21">
        <f>P138*Calculation_Assumptions!$B$14*J138*K138</f>
        <v>0</v>
      </c>
      <c r="R138" s="21">
        <f t="shared" si="18"/>
        <v>3351101.3285681568</v>
      </c>
      <c r="S138" s="21">
        <f t="shared" si="19"/>
        <v>3351101.3285681568</v>
      </c>
      <c r="T138" s="32">
        <f>1/(1+Calculation_Assumptions!$B$8)^(B138-Calculation_Assumptions!$B$2)</f>
        <v>0.83748425668365445</v>
      </c>
      <c r="U138" s="21">
        <f t="shared" si="20"/>
        <v>0</v>
      </c>
      <c r="V138" s="21">
        <f t="shared" si="21"/>
        <v>2806494.6052275095</v>
      </c>
      <c r="W138" s="21">
        <f t="shared" si="22"/>
        <v>2806494.6052275095</v>
      </c>
      <c r="X138">
        <v>0</v>
      </c>
      <c r="Y138" s="18">
        <v>2017</v>
      </c>
      <c r="Z138" t="s">
        <v>387</v>
      </c>
      <c r="AA138" s="21">
        <f t="shared" si="23"/>
        <v>1</v>
      </c>
    </row>
    <row r="139" spans="1:27">
      <c r="A139" t="s">
        <v>169</v>
      </c>
      <c r="B139" s="18">
        <v>2032</v>
      </c>
      <c r="C139" t="s">
        <v>169</v>
      </c>
      <c r="D139" s="20" t="s">
        <v>380</v>
      </c>
      <c r="E139" s="20" t="s">
        <v>381</v>
      </c>
      <c r="F139" s="20" t="s">
        <v>177</v>
      </c>
      <c r="G139" s="20" t="s">
        <v>382</v>
      </c>
      <c r="H139" s="20" t="s">
        <v>384</v>
      </c>
      <c r="I139" s="29">
        <v>1</v>
      </c>
      <c r="J139" s="30">
        <v>1</v>
      </c>
      <c r="K139" s="31">
        <v>5.5999999999999999E-3</v>
      </c>
      <c r="L139" s="9">
        <v>602135506.83564997</v>
      </c>
      <c r="M139" s="9">
        <v>602283583.58638096</v>
      </c>
      <c r="N139" s="32">
        <f>MIN(MAX((B139-Calculation_Assumptions!$B$5+1)/Calculation_Assumptions!$B$7,0),1)</f>
        <v>1</v>
      </c>
      <c r="O139" s="21">
        <f t="shared" si="16"/>
        <v>602135506.83564997</v>
      </c>
      <c r="P139" s="21">
        <f t="shared" si="17"/>
        <v>602283583.58638096</v>
      </c>
      <c r="Q139" s="21">
        <f>P139*Calculation_Assumptions!$B$14*J139*K139</f>
        <v>0</v>
      </c>
      <c r="R139" s="21">
        <f t="shared" si="18"/>
        <v>3371958.8382796398</v>
      </c>
      <c r="S139" s="21">
        <f t="shared" si="19"/>
        <v>3371958.8382796398</v>
      </c>
      <c r="T139" s="32">
        <f>1/(1+Calculation_Assumptions!$B$8)^(B139-Calculation_Assumptions!$B$2)</f>
        <v>0.81309151134335378</v>
      </c>
      <c r="U139" s="21">
        <f t="shared" si="20"/>
        <v>0</v>
      </c>
      <c r="V139" s="21">
        <f t="shared" si="21"/>
        <v>2741711.1080043716</v>
      </c>
      <c r="W139" s="21">
        <f t="shared" si="22"/>
        <v>2741711.1080043716</v>
      </c>
      <c r="X139">
        <v>0</v>
      </c>
      <c r="Y139" s="18">
        <v>2017</v>
      </c>
      <c r="Z139" t="s">
        <v>387</v>
      </c>
      <c r="AA139" s="21">
        <f t="shared" si="23"/>
        <v>1</v>
      </c>
    </row>
    <row r="140" spans="1:27">
      <c r="A140" t="s">
        <v>169</v>
      </c>
      <c r="B140" s="18">
        <v>2033</v>
      </c>
      <c r="C140" t="s">
        <v>169</v>
      </c>
      <c r="D140" s="20" t="s">
        <v>380</v>
      </c>
      <c r="E140" s="20" t="s">
        <v>381</v>
      </c>
      <c r="F140" s="20" t="s">
        <v>177</v>
      </c>
      <c r="G140" s="20" t="s">
        <v>382</v>
      </c>
      <c r="H140" s="20" t="s">
        <v>384</v>
      </c>
      <c r="I140" s="29">
        <v>1</v>
      </c>
      <c r="J140" s="30">
        <v>1</v>
      </c>
      <c r="K140" s="31">
        <v>5.5999999999999999E-3</v>
      </c>
      <c r="L140" s="9">
        <v>605767174.23337102</v>
      </c>
      <c r="M140" s="9">
        <v>605911902.99473</v>
      </c>
      <c r="N140" s="32">
        <f>MIN(MAX((B140-Calculation_Assumptions!$B$5+1)/Calculation_Assumptions!$B$7,0),1)</f>
        <v>1</v>
      </c>
      <c r="O140" s="21">
        <f t="shared" si="16"/>
        <v>605767174.23337102</v>
      </c>
      <c r="P140" s="21">
        <f t="shared" si="17"/>
        <v>605911902.99473</v>
      </c>
      <c r="Q140" s="21">
        <f>P140*Calculation_Assumptions!$B$14*J140*K140</f>
        <v>0</v>
      </c>
      <c r="R140" s="21">
        <f t="shared" si="18"/>
        <v>3392296.1757068778</v>
      </c>
      <c r="S140" s="21">
        <f t="shared" si="19"/>
        <v>3392296.1757068778</v>
      </c>
      <c r="T140" s="32">
        <f>1/(1+Calculation_Assumptions!$B$8)^(B140-Calculation_Assumptions!$B$2)</f>
        <v>0.78940923431393573</v>
      </c>
      <c r="U140" s="21">
        <f t="shared" si="20"/>
        <v>0</v>
      </c>
      <c r="V140" s="21">
        <f t="shared" si="21"/>
        <v>2677909.9266308588</v>
      </c>
      <c r="W140" s="21">
        <f t="shared" si="22"/>
        <v>2677909.9266308588</v>
      </c>
      <c r="X140">
        <v>0</v>
      </c>
      <c r="Y140" s="18">
        <v>2017</v>
      </c>
      <c r="Z140" t="s">
        <v>387</v>
      </c>
      <c r="AA140" s="21">
        <f t="shared" si="23"/>
        <v>1</v>
      </c>
    </row>
    <row r="141" spans="1:27">
      <c r="A141" t="s">
        <v>169</v>
      </c>
      <c r="B141" s="18">
        <v>2034</v>
      </c>
      <c r="C141" t="s">
        <v>169</v>
      </c>
      <c r="D141" s="20" t="s">
        <v>380</v>
      </c>
      <c r="E141" s="20" t="s">
        <v>381</v>
      </c>
      <c r="F141" s="20" t="s">
        <v>177</v>
      </c>
      <c r="G141" s="20" t="s">
        <v>382</v>
      </c>
      <c r="H141" s="20" t="s">
        <v>384</v>
      </c>
      <c r="I141" s="29">
        <v>1</v>
      </c>
      <c r="J141" s="30">
        <v>1</v>
      </c>
      <c r="K141" s="31">
        <v>5.5999999999999999E-3</v>
      </c>
      <c r="L141" s="9">
        <v>609329353.14625895</v>
      </c>
      <c r="M141" s="9">
        <v>609455548.12077105</v>
      </c>
      <c r="N141" s="32">
        <f>MIN(MAX((B141-Calculation_Assumptions!$B$5+1)/Calculation_Assumptions!$B$7,0),1)</f>
        <v>1</v>
      </c>
      <c r="O141" s="21">
        <f t="shared" si="16"/>
        <v>609329353.14625895</v>
      </c>
      <c r="P141" s="21">
        <f t="shared" si="17"/>
        <v>609455548.12077105</v>
      </c>
      <c r="Q141" s="21">
        <f>P141*Calculation_Assumptions!$B$14*J141*K141</f>
        <v>0</v>
      </c>
      <c r="R141" s="21">
        <f t="shared" si="18"/>
        <v>3412244.37761905</v>
      </c>
      <c r="S141" s="21">
        <f t="shared" si="19"/>
        <v>3412244.37761905</v>
      </c>
      <c r="T141" s="32">
        <f>1/(1+Calculation_Assumptions!$B$8)^(B141-Calculation_Assumptions!$B$2)</f>
        <v>0.76641673234362695</v>
      </c>
      <c r="U141" s="21">
        <f t="shared" si="20"/>
        <v>0</v>
      </c>
      <c r="V141" s="21">
        <f t="shared" si="21"/>
        <v>2615201.1858527055</v>
      </c>
      <c r="W141" s="21">
        <f t="shared" si="22"/>
        <v>2615201.1858527055</v>
      </c>
      <c r="X141">
        <v>0</v>
      </c>
      <c r="Y141" s="18">
        <v>2017</v>
      </c>
      <c r="Z141" t="s">
        <v>387</v>
      </c>
      <c r="AA141" s="21">
        <f t="shared" si="23"/>
        <v>1</v>
      </c>
    </row>
    <row r="142" spans="1:27">
      <c r="A142" t="s">
        <v>169</v>
      </c>
      <c r="B142" s="18">
        <v>2035</v>
      </c>
      <c r="C142" t="s">
        <v>169</v>
      </c>
      <c r="D142" s="20" t="s">
        <v>380</v>
      </c>
      <c r="E142" s="20" t="s">
        <v>381</v>
      </c>
      <c r="F142" s="20" t="s">
        <v>177</v>
      </c>
      <c r="G142" s="20" t="s">
        <v>382</v>
      </c>
      <c r="H142" s="20" t="s">
        <v>384</v>
      </c>
      <c r="I142" s="29">
        <v>1</v>
      </c>
      <c r="J142" s="30">
        <v>1</v>
      </c>
      <c r="K142" s="31">
        <v>5.5999999999999999E-3</v>
      </c>
      <c r="L142" s="9">
        <v>612794721.99649298</v>
      </c>
      <c r="M142" s="9">
        <v>612884294.47334194</v>
      </c>
      <c r="N142" s="32">
        <f>MIN(MAX((B142-Calculation_Assumptions!$B$5+1)/Calculation_Assumptions!$B$7,0),1)</f>
        <v>1</v>
      </c>
      <c r="O142" s="21">
        <f t="shared" si="16"/>
        <v>612794721.99649298</v>
      </c>
      <c r="P142" s="21">
        <f t="shared" si="17"/>
        <v>612884294.47334194</v>
      </c>
      <c r="Q142" s="21">
        <f>P142*Calculation_Assumptions!$B$14*J142*K142</f>
        <v>0</v>
      </c>
      <c r="R142" s="21">
        <f t="shared" si="18"/>
        <v>3431650.4431803608</v>
      </c>
      <c r="S142" s="21">
        <f t="shared" si="19"/>
        <v>3431650.4431803608</v>
      </c>
      <c r="T142" s="32">
        <f>1/(1+Calculation_Assumptions!$B$8)^(B142-Calculation_Assumptions!$B$2)</f>
        <v>0.74409391489672516</v>
      </c>
      <c r="U142" s="21">
        <f t="shared" si="20"/>
        <v>0</v>
      </c>
      <c r="V142" s="21">
        <f t="shared" si="21"/>
        <v>2553470.2128231567</v>
      </c>
      <c r="W142" s="21">
        <f t="shared" si="22"/>
        <v>2553470.2128231567</v>
      </c>
      <c r="X142">
        <v>0</v>
      </c>
      <c r="Y142" s="18">
        <v>2017</v>
      </c>
      <c r="Z142" t="s">
        <v>387</v>
      </c>
      <c r="AA142" s="21">
        <f t="shared" si="23"/>
        <v>1</v>
      </c>
    </row>
    <row r="143" spans="1:27">
      <c r="A143" t="s">
        <v>169</v>
      </c>
      <c r="B143" s="18">
        <v>2036</v>
      </c>
      <c r="C143" t="s">
        <v>169</v>
      </c>
      <c r="D143" s="20" t="s">
        <v>380</v>
      </c>
      <c r="E143" s="20" t="s">
        <v>381</v>
      </c>
      <c r="F143" s="20" t="s">
        <v>177</v>
      </c>
      <c r="G143" s="20" t="s">
        <v>382</v>
      </c>
      <c r="H143" s="20" t="s">
        <v>384</v>
      </c>
      <c r="I143" s="29">
        <v>1</v>
      </c>
      <c r="J143" s="30">
        <v>1</v>
      </c>
      <c r="K143" s="31">
        <v>5.5999999999999999E-3</v>
      </c>
      <c r="L143" s="9">
        <v>616169149.460217</v>
      </c>
      <c r="M143" s="9">
        <v>616262053.85817397</v>
      </c>
      <c r="N143" s="32">
        <f>MIN(MAX((B143-Calculation_Assumptions!$B$5+1)/Calculation_Assumptions!$B$7,0),1)</f>
        <v>1</v>
      </c>
      <c r="O143" s="21">
        <f t="shared" si="16"/>
        <v>616169149.460217</v>
      </c>
      <c r="P143" s="21">
        <f t="shared" si="17"/>
        <v>616262053.85817397</v>
      </c>
      <c r="Q143" s="21">
        <f>P143*Calculation_Assumptions!$B$14*J143*K143</f>
        <v>0</v>
      </c>
      <c r="R143" s="21">
        <f t="shared" si="18"/>
        <v>3450547.2369772154</v>
      </c>
      <c r="S143" s="21">
        <f t="shared" si="19"/>
        <v>3450547.2369772154</v>
      </c>
      <c r="T143" s="32">
        <f>1/(1+Calculation_Assumptions!$B$8)^(B143-Calculation_Assumptions!$B$2)</f>
        <v>0.72242127659876232</v>
      </c>
      <c r="U143" s="21">
        <f t="shared" si="20"/>
        <v>0</v>
      </c>
      <c r="V143" s="21">
        <f t="shared" si="21"/>
        <v>2492748.7399014118</v>
      </c>
      <c r="W143" s="21">
        <f t="shared" si="22"/>
        <v>2492748.7399014118</v>
      </c>
      <c r="X143">
        <v>0</v>
      </c>
      <c r="Y143" s="18">
        <v>2017</v>
      </c>
      <c r="Z143" t="s">
        <v>387</v>
      </c>
      <c r="AA143" s="21">
        <f t="shared" si="23"/>
        <v>1</v>
      </c>
    </row>
    <row r="144" spans="1:27">
      <c r="A144" t="s">
        <v>169</v>
      </c>
      <c r="B144" s="18">
        <v>2037</v>
      </c>
      <c r="C144" t="s">
        <v>169</v>
      </c>
      <c r="D144" s="20" t="s">
        <v>380</v>
      </c>
      <c r="E144" s="20" t="s">
        <v>381</v>
      </c>
      <c r="F144" s="20" t="s">
        <v>177</v>
      </c>
      <c r="G144" s="20" t="s">
        <v>382</v>
      </c>
      <c r="H144" s="20" t="s">
        <v>384</v>
      </c>
      <c r="I144" s="29">
        <v>1</v>
      </c>
      <c r="J144" s="30">
        <v>1</v>
      </c>
      <c r="K144" s="31">
        <v>5.5999999999999999E-3</v>
      </c>
      <c r="L144" s="9">
        <v>619450383.413481</v>
      </c>
      <c r="M144" s="9">
        <v>619529380.90729904</v>
      </c>
      <c r="N144" s="32">
        <f>MIN(MAX((B144-Calculation_Assumptions!$B$5+1)/Calculation_Assumptions!$B$7,0),1)</f>
        <v>1</v>
      </c>
      <c r="O144" s="21">
        <f t="shared" si="16"/>
        <v>619450383.413481</v>
      </c>
      <c r="P144" s="21">
        <f t="shared" si="17"/>
        <v>619529380.90729904</v>
      </c>
      <c r="Q144" s="21">
        <f>P144*Calculation_Assumptions!$B$14*J144*K144</f>
        <v>0</v>
      </c>
      <c r="R144" s="21">
        <f t="shared" si="18"/>
        <v>3468922.1471154937</v>
      </c>
      <c r="S144" s="21">
        <f t="shared" si="19"/>
        <v>3468922.1471154937</v>
      </c>
      <c r="T144" s="32">
        <f>1/(1+Calculation_Assumptions!$B$8)^(B144-Calculation_Assumptions!$B$2)</f>
        <v>0.70137988019297326</v>
      </c>
      <c r="U144" s="21">
        <f t="shared" si="20"/>
        <v>0</v>
      </c>
      <c r="V144" s="21">
        <f t="shared" si="21"/>
        <v>2433032.1999426163</v>
      </c>
      <c r="W144" s="21">
        <f t="shared" si="22"/>
        <v>2433032.1999426163</v>
      </c>
      <c r="X144">
        <v>0</v>
      </c>
      <c r="Y144" s="18">
        <v>2017</v>
      </c>
      <c r="Z144" t="s">
        <v>387</v>
      </c>
      <c r="AA144" s="21">
        <f t="shared" si="23"/>
        <v>1</v>
      </c>
    </row>
    <row r="145" spans="1:27">
      <c r="A145" t="s">
        <v>169</v>
      </c>
      <c r="B145" s="18">
        <v>2038</v>
      </c>
      <c r="C145" t="s">
        <v>169</v>
      </c>
      <c r="D145" s="20" t="s">
        <v>380</v>
      </c>
      <c r="E145" s="20" t="s">
        <v>381</v>
      </c>
      <c r="F145" s="20" t="s">
        <v>177</v>
      </c>
      <c r="G145" s="20" t="s">
        <v>382</v>
      </c>
      <c r="H145" s="20" t="s">
        <v>384</v>
      </c>
      <c r="I145" s="29">
        <v>1</v>
      </c>
      <c r="J145" s="30">
        <v>1</v>
      </c>
      <c r="K145" s="31">
        <v>5.5999999999999999E-3</v>
      </c>
      <c r="L145" s="9">
        <v>622627176.545506</v>
      </c>
      <c r="M145" s="9">
        <v>622673191.62836504</v>
      </c>
      <c r="N145" s="32">
        <f>MIN(MAX((B145-Calculation_Assumptions!$B$5+1)/Calculation_Assumptions!$B$7,0),1)</f>
        <v>1</v>
      </c>
      <c r="O145" s="21">
        <f t="shared" si="16"/>
        <v>622627176.545506</v>
      </c>
      <c r="P145" s="21">
        <f t="shared" si="17"/>
        <v>622673191.62836504</v>
      </c>
      <c r="Q145" s="21">
        <f>P145*Calculation_Assumptions!$B$14*J145*K145</f>
        <v>0</v>
      </c>
      <c r="R145" s="21">
        <f t="shared" si="18"/>
        <v>3486712.1886548335</v>
      </c>
      <c r="S145" s="21">
        <f t="shared" si="19"/>
        <v>3486712.1886548335</v>
      </c>
      <c r="T145" s="32">
        <f>1/(1+Calculation_Assumptions!$B$8)^(B145-Calculation_Assumptions!$B$2)</f>
        <v>0.68095133999317792</v>
      </c>
      <c r="U145" s="21">
        <f t="shared" si="20"/>
        <v>0</v>
      </c>
      <c r="V145" s="21">
        <f t="shared" si="21"/>
        <v>2374281.3370350548</v>
      </c>
      <c r="W145" s="21">
        <f t="shared" si="22"/>
        <v>2374281.3370350548</v>
      </c>
      <c r="X145">
        <v>0</v>
      </c>
      <c r="Y145" s="18">
        <v>2017</v>
      </c>
      <c r="Z145" t="s">
        <v>387</v>
      </c>
      <c r="AA145" s="21">
        <f t="shared" si="23"/>
        <v>1</v>
      </c>
    </row>
    <row r="146" spans="1:27">
      <c r="A146" t="s">
        <v>169</v>
      </c>
      <c r="B146" s="18">
        <v>2039</v>
      </c>
      <c r="C146" t="s">
        <v>169</v>
      </c>
      <c r="D146" s="20" t="s">
        <v>380</v>
      </c>
      <c r="E146" s="20" t="s">
        <v>381</v>
      </c>
      <c r="F146" s="20" t="s">
        <v>177</v>
      </c>
      <c r="G146" s="20" t="s">
        <v>382</v>
      </c>
      <c r="H146" s="20" t="s">
        <v>384</v>
      </c>
      <c r="I146" s="29">
        <v>1</v>
      </c>
      <c r="J146" s="30">
        <v>1</v>
      </c>
      <c r="K146" s="31">
        <v>5.5999999999999999E-3</v>
      </c>
      <c r="L146" s="9">
        <v>625696525.31451905</v>
      </c>
      <c r="M146" s="9">
        <v>625731758.218045</v>
      </c>
      <c r="N146" s="32">
        <f>MIN(MAX((B146-Calculation_Assumptions!$B$5+1)/Calculation_Assumptions!$B$7,0),1)</f>
        <v>1</v>
      </c>
      <c r="O146" s="21">
        <f t="shared" si="16"/>
        <v>625696525.31451905</v>
      </c>
      <c r="P146" s="21">
        <f t="shared" si="17"/>
        <v>625731758.218045</v>
      </c>
      <c r="Q146" s="21">
        <f>P146*Calculation_Assumptions!$B$14*J146*K146</f>
        <v>0</v>
      </c>
      <c r="R146" s="21">
        <f t="shared" si="18"/>
        <v>3503900.5417613066</v>
      </c>
      <c r="S146" s="21">
        <f t="shared" si="19"/>
        <v>3503900.5417613066</v>
      </c>
      <c r="T146" s="32">
        <f>1/(1+Calculation_Assumptions!$B$8)^(B146-Calculation_Assumptions!$B$2)</f>
        <v>0.66111780581861923</v>
      </c>
      <c r="U146" s="21">
        <f t="shared" si="20"/>
        <v>0</v>
      </c>
      <c r="V146" s="21">
        <f t="shared" si="21"/>
        <v>2316491.0379759064</v>
      </c>
      <c r="W146" s="21">
        <f t="shared" si="22"/>
        <v>2316491.0379759064</v>
      </c>
      <c r="X146">
        <v>0</v>
      </c>
      <c r="Y146" s="18">
        <v>2017</v>
      </c>
      <c r="Z146" t="s">
        <v>387</v>
      </c>
      <c r="AA146" s="21">
        <f t="shared" si="23"/>
        <v>1</v>
      </c>
    </row>
    <row r="147" spans="1:27">
      <c r="A147" t="s">
        <v>169</v>
      </c>
      <c r="B147" s="18">
        <v>2040</v>
      </c>
      <c r="C147" t="s">
        <v>169</v>
      </c>
      <c r="D147" s="20" t="s">
        <v>380</v>
      </c>
      <c r="E147" s="20" t="s">
        <v>381</v>
      </c>
      <c r="F147" s="20" t="s">
        <v>177</v>
      </c>
      <c r="G147" s="20" t="s">
        <v>382</v>
      </c>
      <c r="H147" s="20" t="s">
        <v>384</v>
      </c>
      <c r="I147" s="29">
        <v>1</v>
      </c>
      <c r="J147" s="30">
        <v>1</v>
      </c>
      <c r="K147" s="31">
        <v>5.5999999999999999E-3</v>
      </c>
      <c r="L147" s="9">
        <v>628641397.55565298</v>
      </c>
      <c r="M147" s="9">
        <v>628667498.21665299</v>
      </c>
      <c r="N147" s="32">
        <f>MIN(MAX((B147-Calculation_Assumptions!$B$5+1)/Calculation_Assumptions!$B$7,0),1)</f>
        <v>1</v>
      </c>
      <c r="O147" s="21">
        <f t="shared" si="16"/>
        <v>628641397.55565298</v>
      </c>
      <c r="P147" s="21">
        <f t="shared" si="17"/>
        <v>628667498.21665299</v>
      </c>
      <c r="Q147" s="21">
        <f>P147*Calculation_Assumptions!$B$14*J147*K147</f>
        <v>0</v>
      </c>
      <c r="R147" s="21">
        <f t="shared" si="18"/>
        <v>3520391.8263116567</v>
      </c>
      <c r="S147" s="21">
        <f t="shared" si="19"/>
        <v>3520391.8263116567</v>
      </c>
      <c r="T147" s="32">
        <f>1/(1+Calculation_Assumptions!$B$8)^(B147-Calculation_Assumptions!$B$2)</f>
        <v>0.64186194739671765</v>
      </c>
      <c r="U147" s="21">
        <f t="shared" si="20"/>
        <v>0</v>
      </c>
      <c r="V147" s="21">
        <f t="shared" si="21"/>
        <v>2259605.5532358875</v>
      </c>
      <c r="W147" s="21">
        <f t="shared" si="22"/>
        <v>2259605.5532358875</v>
      </c>
      <c r="X147">
        <v>0</v>
      </c>
      <c r="Y147" s="18">
        <v>2017</v>
      </c>
      <c r="Z147" t="s">
        <v>387</v>
      </c>
      <c r="AA147" s="21">
        <f t="shared" si="23"/>
        <v>1</v>
      </c>
    </row>
    <row r="148" spans="1:27">
      <c r="A148" t="s">
        <v>169</v>
      </c>
      <c r="B148" s="18">
        <v>2041</v>
      </c>
      <c r="C148" t="s">
        <v>169</v>
      </c>
      <c r="D148" s="20" t="s">
        <v>380</v>
      </c>
      <c r="E148" s="20" t="s">
        <v>381</v>
      </c>
      <c r="F148" s="20" t="s">
        <v>177</v>
      </c>
      <c r="G148" s="20" t="s">
        <v>382</v>
      </c>
      <c r="H148" s="20" t="s">
        <v>384</v>
      </c>
      <c r="I148" s="29">
        <v>1</v>
      </c>
      <c r="J148" s="30">
        <v>1</v>
      </c>
      <c r="K148" s="31">
        <v>5.5999999999999999E-3</v>
      </c>
      <c r="L148" s="9">
        <v>631469863.08308303</v>
      </c>
      <c r="M148" s="9">
        <v>631488405.68781996</v>
      </c>
      <c r="N148" s="32">
        <f>MIN(MAX((B148-Calculation_Assumptions!$B$5+1)/Calculation_Assumptions!$B$7,0),1)</f>
        <v>1</v>
      </c>
      <c r="O148" s="21">
        <f t="shared" si="16"/>
        <v>631469863.08308303</v>
      </c>
      <c r="P148" s="21">
        <f t="shared" si="17"/>
        <v>631488405.68781996</v>
      </c>
      <c r="Q148" s="21">
        <f>P148*Calculation_Assumptions!$B$14*J148*K148</f>
        <v>0</v>
      </c>
      <c r="R148" s="21">
        <f t="shared" si="18"/>
        <v>3536231.2332652649</v>
      </c>
      <c r="S148" s="21">
        <f t="shared" si="19"/>
        <v>3536231.2332652649</v>
      </c>
      <c r="T148" s="32">
        <f>1/(1+Calculation_Assumptions!$B$8)^(B148-Calculation_Assumptions!$B$2)</f>
        <v>0.62316693922011435</v>
      </c>
      <c r="U148" s="21">
        <f t="shared" si="20"/>
        <v>0</v>
      </c>
      <c r="V148" s="21">
        <f t="shared" si="21"/>
        <v>2203662.3940084851</v>
      </c>
      <c r="W148" s="21">
        <f t="shared" si="22"/>
        <v>2203662.3940084851</v>
      </c>
      <c r="X148">
        <v>0</v>
      </c>
      <c r="Y148" s="18">
        <v>2017</v>
      </c>
      <c r="Z148" t="s">
        <v>387</v>
      </c>
      <c r="AA148" s="21">
        <f t="shared" si="23"/>
        <v>1</v>
      </c>
    </row>
    <row r="149" spans="1:27">
      <c r="A149" t="s">
        <v>169</v>
      </c>
      <c r="B149" s="18">
        <v>2042</v>
      </c>
      <c r="C149" t="s">
        <v>169</v>
      </c>
      <c r="D149" s="20" t="s">
        <v>380</v>
      </c>
      <c r="E149" s="20" t="s">
        <v>381</v>
      </c>
      <c r="F149" s="20" t="s">
        <v>177</v>
      </c>
      <c r="G149" s="20" t="s">
        <v>382</v>
      </c>
      <c r="H149" s="20" t="s">
        <v>384</v>
      </c>
      <c r="I149" s="29">
        <v>1</v>
      </c>
      <c r="J149" s="30">
        <v>1</v>
      </c>
      <c r="K149" s="31">
        <v>5.5999999999999999E-3</v>
      </c>
      <c r="L149" s="9">
        <v>634172122.27043605</v>
      </c>
      <c r="M149" s="9">
        <v>634184560.98858297</v>
      </c>
      <c r="N149" s="32">
        <f>MIN(MAX((B149-Calculation_Assumptions!$B$5+1)/Calculation_Assumptions!$B$7,0),1)</f>
        <v>1</v>
      </c>
      <c r="O149" s="21">
        <f t="shared" si="16"/>
        <v>634172122.27043605</v>
      </c>
      <c r="P149" s="21">
        <f t="shared" si="17"/>
        <v>634184560.98858297</v>
      </c>
      <c r="Q149" s="21">
        <f>P149*Calculation_Assumptions!$B$14*J149*K149</f>
        <v>0</v>
      </c>
      <c r="R149" s="21">
        <f t="shared" si="18"/>
        <v>3551363.8847144418</v>
      </c>
      <c r="S149" s="21">
        <f t="shared" si="19"/>
        <v>3551363.8847144418</v>
      </c>
      <c r="T149" s="32">
        <f>1/(1+Calculation_Assumptions!$B$8)^(B149-Calculation_Assumptions!$B$2)</f>
        <v>0.60501644584477121</v>
      </c>
      <c r="U149" s="21">
        <f t="shared" si="20"/>
        <v>0</v>
      </c>
      <c r="V149" s="21">
        <f t="shared" si="21"/>
        <v>2148633.5554314116</v>
      </c>
      <c r="W149" s="21">
        <f t="shared" si="22"/>
        <v>2148633.5554314116</v>
      </c>
      <c r="X149">
        <v>0</v>
      </c>
      <c r="Y149" s="18">
        <v>2017</v>
      </c>
      <c r="Z149" t="s">
        <v>387</v>
      </c>
      <c r="AA149" s="21">
        <f t="shared" si="23"/>
        <v>1</v>
      </c>
    </row>
    <row r="150" spans="1:27">
      <c r="A150" t="s">
        <v>169</v>
      </c>
      <c r="B150" s="18">
        <v>2043</v>
      </c>
      <c r="C150" t="s">
        <v>169</v>
      </c>
      <c r="D150" s="20" t="s">
        <v>380</v>
      </c>
      <c r="E150" s="20" t="s">
        <v>381</v>
      </c>
      <c r="F150" s="20" t="s">
        <v>177</v>
      </c>
      <c r="G150" s="20" t="s">
        <v>382</v>
      </c>
      <c r="H150" s="20" t="s">
        <v>384</v>
      </c>
      <c r="I150" s="29">
        <v>1</v>
      </c>
      <c r="J150" s="30">
        <v>1</v>
      </c>
      <c r="K150" s="31">
        <v>5.5999999999999999E-3</v>
      </c>
      <c r="L150" s="9">
        <v>636747609.16609704</v>
      </c>
      <c r="M150" s="9">
        <v>636767020.67603099</v>
      </c>
      <c r="N150" s="32">
        <f>MIN(MAX((B150-Calculation_Assumptions!$B$5+1)/Calculation_Assumptions!$B$7,0),1)</f>
        <v>1</v>
      </c>
      <c r="O150" s="21">
        <f t="shared" si="16"/>
        <v>636747609.16609704</v>
      </c>
      <c r="P150" s="21">
        <f t="shared" si="17"/>
        <v>636767020.67603099</v>
      </c>
      <c r="Q150" s="21">
        <f>P150*Calculation_Assumptions!$B$14*J150*K150</f>
        <v>0</v>
      </c>
      <c r="R150" s="21">
        <f t="shared" si="18"/>
        <v>3565786.6113301436</v>
      </c>
      <c r="S150" s="21">
        <f t="shared" si="19"/>
        <v>3565786.6113301436</v>
      </c>
      <c r="T150" s="32">
        <f>1/(1+Calculation_Assumptions!$B$8)^(B150-Calculation_Assumptions!$B$2)</f>
        <v>0.5873946076162827</v>
      </c>
      <c r="U150" s="21">
        <f t="shared" si="20"/>
        <v>0</v>
      </c>
      <c r="V150" s="21">
        <f t="shared" si="21"/>
        <v>2094523.8274056641</v>
      </c>
      <c r="W150" s="21">
        <f t="shared" si="22"/>
        <v>2094523.8274056641</v>
      </c>
      <c r="X150">
        <v>0</v>
      </c>
      <c r="Y150" s="18">
        <v>2017</v>
      </c>
      <c r="Z150" t="s">
        <v>387</v>
      </c>
      <c r="AA150" s="21">
        <f t="shared" si="23"/>
        <v>1</v>
      </c>
    </row>
    <row r="151" spans="1:27">
      <c r="A151" t="s">
        <v>169</v>
      </c>
      <c r="B151" s="18">
        <v>2044</v>
      </c>
      <c r="C151" t="s">
        <v>169</v>
      </c>
      <c r="D151" s="20" t="s">
        <v>380</v>
      </c>
      <c r="E151" s="20" t="s">
        <v>381</v>
      </c>
      <c r="F151" s="20" t="s">
        <v>177</v>
      </c>
      <c r="G151" s="20" t="s">
        <v>382</v>
      </c>
      <c r="H151" s="20" t="s">
        <v>384</v>
      </c>
      <c r="I151" s="29">
        <v>1</v>
      </c>
      <c r="J151" s="30">
        <v>1</v>
      </c>
      <c r="K151" s="31">
        <v>5.5999999999999999E-3</v>
      </c>
      <c r="L151" s="9">
        <v>639191943.98837197</v>
      </c>
      <c r="M151" s="9">
        <v>639211548.58069301</v>
      </c>
      <c r="N151" s="32">
        <f>MIN(MAX((B151-Calculation_Assumptions!$B$5+1)/Calculation_Assumptions!$B$7,0),1)</f>
        <v>1</v>
      </c>
      <c r="O151" s="21">
        <f t="shared" si="16"/>
        <v>639191943.98837197</v>
      </c>
      <c r="P151" s="21">
        <f t="shared" si="17"/>
        <v>639211548.58069301</v>
      </c>
      <c r="Q151" s="21">
        <f>P151*Calculation_Assumptions!$B$14*J151*K151</f>
        <v>0</v>
      </c>
      <c r="R151" s="21">
        <f t="shared" si="18"/>
        <v>3579474.886334883</v>
      </c>
      <c r="S151" s="21">
        <f t="shared" si="19"/>
        <v>3579474.886334883</v>
      </c>
      <c r="T151" s="32">
        <f>1/(1+Calculation_Assumptions!$B$8)^(B151-Calculation_Assumptions!$B$2)</f>
        <v>0.57028602681192497</v>
      </c>
      <c r="U151" s="21">
        <f t="shared" si="20"/>
        <v>0</v>
      </c>
      <c r="V151" s="21">
        <f t="shared" si="21"/>
        <v>2041324.5110009871</v>
      </c>
      <c r="W151" s="21">
        <f t="shared" si="22"/>
        <v>2041324.5110009871</v>
      </c>
      <c r="X151">
        <v>0</v>
      </c>
      <c r="Y151" s="18">
        <v>2017</v>
      </c>
      <c r="Z151" t="s">
        <v>387</v>
      </c>
      <c r="AA151" s="21">
        <f t="shared" si="23"/>
        <v>1</v>
      </c>
    </row>
    <row r="152" spans="1:27">
      <c r="A152" t="s">
        <v>169</v>
      </c>
      <c r="B152" s="18">
        <v>2045</v>
      </c>
      <c r="C152" t="s">
        <v>169</v>
      </c>
      <c r="D152" s="20" t="s">
        <v>380</v>
      </c>
      <c r="E152" s="20" t="s">
        <v>381</v>
      </c>
      <c r="F152" s="20" t="s">
        <v>177</v>
      </c>
      <c r="G152" s="20" t="s">
        <v>382</v>
      </c>
      <c r="H152" s="20" t="s">
        <v>384</v>
      </c>
      <c r="I152" s="29">
        <v>1</v>
      </c>
      <c r="J152" s="30">
        <v>1</v>
      </c>
      <c r="K152" s="31">
        <v>5.5999999999999999E-3</v>
      </c>
      <c r="L152" s="9">
        <v>641500244.11959803</v>
      </c>
      <c r="M152" s="9">
        <v>641520754.67294204</v>
      </c>
      <c r="N152" s="32">
        <f>MIN(MAX((B152-Calculation_Assumptions!$B$5+1)/Calculation_Assumptions!$B$7,0),1)</f>
        <v>1</v>
      </c>
      <c r="O152" s="21">
        <f t="shared" si="16"/>
        <v>641500244.11959803</v>
      </c>
      <c r="P152" s="21">
        <f t="shared" si="17"/>
        <v>641520754.67294204</v>
      </c>
      <c r="Q152" s="21">
        <f>P152*Calculation_Assumptions!$B$14*J152*K152</f>
        <v>0</v>
      </c>
      <c r="R152" s="21">
        <f t="shared" si="18"/>
        <v>3592401.3670697492</v>
      </c>
      <c r="S152" s="21">
        <f t="shared" si="19"/>
        <v>3592401.3670697492</v>
      </c>
      <c r="T152" s="32">
        <f>1/(1+Calculation_Assumptions!$B$8)^(B152-Calculation_Assumptions!$B$2)</f>
        <v>0.55367575418633497</v>
      </c>
      <c r="U152" s="21">
        <f t="shared" si="20"/>
        <v>0</v>
      </c>
      <c r="V152" s="21">
        <f t="shared" si="21"/>
        <v>1989025.5362523641</v>
      </c>
      <c r="W152" s="21">
        <f t="shared" si="22"/>
        <v>1989025.5362523641</v>
      </c>
      <c r="X152">
        <v>0</v>
      </c>
      <c r="Y152" s="18">
        <v>2017</v>
      </c>
      <c r="Z152" t="s">
        <v>387</v>
      </c>
      <c r="AA152" s="21">
        <f t="shared" si="23"/>
        <v>1</v>
      </c>
    </row>
    <row r="153" spans="1:27">
      <c r="A153" t="s">
        <v>169</v>
      </c>
      <c r="B153" s="18">
        <v>2046</v>
      </c>
      <c r="C153" t="s">
        <v>169</v>
      </c>
      <c r="D153" s="20" t="s">
        <v>380</v>
      </c>
      <c r="E153" s="20" t="s">
        <v>381</v>
      </c>
      <c r="F153" s="20" t="s">
        <v>177</v>
      </c>
      <c r="G153" s="20" t="s">
        <v>382</v>
      </c>
      <c r="H153" s="20" t="s">
        <v>384</v>
      </c>
      <c r="I153" s="29">
        <v>1</v>
      </c>
      <c r="J153" s="30">
        <v>1</v>
      </c>
      <c r="K153" s="31">
        <v>5.5999999999999999E-3</v>
      </c>
      <c r="L153" s="9">
        <v>643674987.31587899</v>
      </c>
      <c r="M153" s="9">
        <v>643697330.762573</v>
      </c>
      <c r="N153" s="32">
        <f>MIN(MAX((B153-Calculation_Assumptions!$B$5+1)/Calculation_Assumptions!$B$7,0),1)</f>
        <v>1</v>
      </c>
      <c r="O153" s="21">
        <f t="shared" si="16"/>
        <v>643674987.31587899</v>
      </c>
      <c r="P153" s="21">
        <f t="shared" si="17"/>
        <v>643697330.762573</v>
      </c>
      <c r="Q153" s="21">
        <f>P153*Calculation_Assumptions!$B$14*J153*K153</f>
        <v>0</v>
      </c>
      <c r="R153" s="21">
        <f t="shared" si="18"/>
        <v>3604579.9289689222</v>
      </c>
      <c r="S153" s="21">
        <f t="shared" si="19"/>
        <v>3604579.9289689222</v>
      </c>
      <c r="T153" s="32">
        <f>1/(1+Calculation_Assumptions!$B$8)^(B153-Calculation_Assumptions!$B$2)</f>
        <v>0.5375492759090631</v>
      </c>
      <c r="U153" s="21">
        <f t="shared" si="20"/>
        <v>0</v>
      </c>
      <c r="V153" s="21">
        <f t="shared" si="21"/>
        <v>1937639.3307735862</v>
      </c>
      <c r="W153" s="21">
        <f t="shared" si="22"/>
        <v>1937639.3307735862</v>
      </c>
      <c r="X153">
        <v>0</v>
      </c>
      <c r="Y153" s="18">
        <v>2017</v>
      </c>
      <c r="Z153" t="s">
        <v>387</v>
      </c>
      <c r="AA153" s="21">
        <f t="shared" si="23"/>
        <v>1</v>
      </c>
    </row>
    <row r="154" spans="1:27">
      <c r="A154" t="s">
        <v>169</v>
      </c>
      <c r="B154" s="18">
        <v>2047</v>
      </c>
      <c r="C154" t="s">
        <v>169</v>
      </c>
      <c r="D154" s="20" t="s">
        <v>380</v>
      </c>
      <c r="E154" s="20" t="s">
        <v>381</v>
      </c>
      <c r="F154" s="20" t="s">
        <v>177</v>
      </c>
      <c r="G154" s="20" t="s">
        <v>382</v>
      </c>
      <c r="H154" s="20" t="s">
        <v>384</v>
      </c>
      <c r="I154" s="29">
        <v>1</v>
      </c>
      <c r="J154" s="30">
        <v>1</v>
      </c>
      <c r="K154" s="31">
        <v>5.5999999999999999E-3</v>
      </c>
      <c r="L154" s="9">
        <v>645721102.73579502</v>
      </c>
      <c r="M154" s="9">
        <v>645745914.53009498</v>
      </c>
      <c r="N154" s="32">
        <f>MIN(MAX((B154-Calculation_Assumptions!$B$5+1)/Calculation_Assumptions!$B$7,0),1)</f>
        <v>1</v>
      </c>
      <c r="O154" s="21">
        <f t="shared" si="16"/>
        <v>645721102.73579502</v>
      </c>
      <c r="P154" s="21">
        <f t="shared" si="17"/>
        <v>645745914.53009498</v>
      </c>
      <c r="Q154" s="21">
        <f>P154*Calculation_Assumptions!$B$14*J154*K154</f>
        <v>0</v>
      </c>
      <c r="R154" s="21">
        <f t="shared" si="18"/>
        <v>3616038.1753204521</v>
      </c>
      <c r="S154" s="21">
        <f t="shared" si="19"/>
        <v>3616038.1753204521</v>
      </c>
      <c r="T154" s="32">
        <f>1/(1+Calculation_Assumptions!$B$8)^(B154-Calculation_Assumptions!$B$2)</f>
        <v>0.52189250088258554</v>
      </c>
      <c r="U154" s="21">
        <f t="shared" si="20"/>
        <v>0</v>
      </c>
      <c r="V154" s="21">
        <f t="shared" si="21"/>
        <v>1887183.2066048922</v>
      </c>
      <c r="W154" s="21">
        <f t="shared" si="22"/>
        <v>1887183.2066048922</v>
      </c>
      <c r="X154">
        <v>0</v>
      </c>
      <c r="Y154" s="18">
        <v>2017</v>
      </c>
      <c r="Z154" t="s">
        <v>387</v>
      </c>
      <c r="AA154" s="21">
        <f t="shared" si="23"/>
        <v>1</v>
      </c>
    </row>
    <row r="155" spans="1:27">
      <c r="A155" t="s">
        <v>169</v>
      </c>
      <c r="B155" s="18">
        <v>2048</v>
      </c>
      <c r="C155" t="s">
        <v>169</v>
      </c>
      <c r="D155" s="20" t="s">
        <v>380</v>
      </c>
      <c r="E155" s="20" t="s">
        <v>381</v>
      </c>
      <c r="F155" s="20" t="s">
        <v>177</v>
      </c>
      <c r="G155" s="20" t="s">
        <v>382</v>
      </c>
      <c r="H155" s="20" t="s">
        <v>384</v>
      </c>
      <c r="I155" s="29">
        <v>1</v>
      </c>
      <c r="J155" s="30">
        <v>1</v>
      </c>
      <c r="K155" s="31">
        <v>5.5999999999999999E-3</v>
      </c>
      <c r="L155" s="9">
        <v>647638728.80273795</v>
      </c>
      <c r="M155" s="9">
        <v>647666796.64810395</v>
      </c>
      <c r="N155" s="32">
        <f>MIN(MAX((B155-Calculation_Assumptions!$B$5+1)/Calculation_Assumptions!$B$7,0),1)</f>
        <v>1</v>
      </c>
      <c r="O155" s="21">
        <f t="shared" si="16"/>
        <v>647638728.80273795</v>
      </c>
      <c r="P155" s="21">
        <f t="shared" si="17"/>
        <v>647666796.64810395</v>
      </c>
      <c r="Q155" s="21">
        <f>P155*Calculation_Assumptions!$B$14*J155*K155</f>
        <v>0</v>
      </c>
      <c r="R155" s="21">
        <f t="shared" si="18"/>
        <v>3626776.8812953327</v>
      </c>
      <c r="S155" s="21">
        <f t="shared" si="19"/>
        <v>3626776.8812953327</v>
      </c>
      <c r="T155" s="32">
        <f>1/(1+Calculation_Assumptions!$B$8)^(B155-Calculation_Assumptions!$B$2)</f>
        <v>0.50669174842969467</v>
      </c>
      <c r="U155" s="21">
        <f t="shared" si="20"/>
        <v>0</v>
      </c>
      <c r="V155" s="21">
        <f t="shared" si="21"/>
        <v>1837657.9191479273</v>
      </c>
      <c r="W155" s="21">
        <f t="shared" si="22"/>
        <v>1837657.9191479273</v>
      </c>
      <c r="X155">
        <v>0</v>
      </c>
      <c r="Y155" s="18">
        <v>2017</v>
      </c>
      <c r="Z155" t="s">
        <v>387</v>
      </c>
      <c r="AA155" s="21">
        <f t="shared" si="23"/>
        <v>1</v>
      </c>
    </row>
    <row r="156" spans="1:27">
      <c r="A156" t="s">
        <v>169</v>
      </c>
      <c r="B156" s="18">
        <v>2049</v>
      </c>
      <c r="C156" t="s">
        <v>169</v>
      </c>
      <c r="D156" s="20" t="s">
        <v>380</v>
      </c>
      <c r="E156" s="20" t="s">
        <v>381</v>
      </c>
      <c r="F156" s="20" t="s">
        <v>177</v>
      </c>
      <c r="G156" s="20" t="s">
        <v>382</v>
      </c>
      <c r="H156" s="20" t="s">
        <v>384</v>
      </c>
      <c r="I156" s="29">
        <v>1</v>
      </c>
      <c r="J156" s="30">
        <v>1</v>
      </c>
      <c r="K156" s="31">
        <v>5.5999999999999999E-3</v>
      </c>
      <c r="L156" s="9">
        <v>649426315.15231097</v>
      </c>
      <c r="M156" s="9">
        <v>649421968.02473402</v>
      </c>
      <c r="N156" s="32">
        <f>MIN(MAX((B156-Calculation_Assumptions!$B$5+1)/Calculation_Assumptions!$B$7,0),1)</f>
        <v>1</v>
      </c>
      <c r="O156" s="21">
        <f t="shared" si="16"/>
        <v>649426315.15231097</v>
      </c>
      <c r="P156" s="21">
        <f t="shared" si="17"/>
        <v>649421968.02473402</v>
      </c>
      <c r="Q156" s="21">
        <f>P156*Calculation_Assumptions!$B$14*J156*K156</f>
        <v>0</v>
      </c>
      <c r="R156" s="21">
        <f t="shared" si="18"/>
        <v>3636787.3648529416</v>
      </c>
      <c r="S156" s="21">
        <f t="shared" si="19"/>
        <v>3636787.3648529416</v>
      </c>
      <c r="T156" s="32">
        <f>1/(1+Calculation_Assumptions!$B$8)^(B156-Calculation_Assumptions!$B$2)</f>
        <v>0.49193373633950943</v>
      </c>
      <c r="U156" s="21">
        <f t="shared" si="20"/>
        <v>0</v>
      </c>
      <c r="V156" s="21">
        <f t="shared" si="21"/>
        <v>1789058.3966644262</v>
      </c>
      <c r="W156" s="21">
        <f t="shared" si="22"/>
        <v>1789058.3966644262</v>
      </c>
      <c r="X156">
        <v>0</v>
      </c>
      <c r="Y156" s="18">
        <v>2017</v>
      </c>
      <c r="Z156" t="s">
        <v>387</v>
      </c>
      <c r="AA156" s="21">
        <f t="shared" si="23"/>
        <v>1</v>
      </c>
    </row>
    <row r="157" spans="1:27">
      <c r="A157" t="s">
        <v>169</v>
      </c>
      <c r="B157" s="18">
        <v>2050</v>
      </c>
      <c r="C157" t="s">
        <v>169</v>
      </c>
      <c r="D157" s="20" t="s">
        <v>380</v>
      </c>
      <c r="E157" s="20" t="s">
        <v>381</v>
      </c>
      <c r="F157" s="20" t="s">
        <v>177</v>
      </c>
      <c r="G157" s="20" t="s">
        <v>382</v>
      </c>
      <c r="H157" s="20" t="s">
        <v>384</v>
      </c>
      <c r="I157" s="29">
        <v>1</v>
      </c>
      <c r="J157" s="30">
        <v>1</v>
      </c>
      <c r="K157" s="31">
        <v>5.5999999999999999E-3</v>
      </c>
      <c r="L157" s="9">
        <v>651079005.95027697</v>
      </c>
      <c r="M157" s="9">
        <v>651074457.25957894</v>
      </c>
      <c r="N157" s="32">
        <f>MIN(MAX((B157-Calculation_Assumptions!$B$5+1)/Calculation_Assumptions!$B$7,0),1)</f>
        <v>1</v>
      </c>
      <c r="O157" s="21">
        <f t="shared" si="16"/>
        <v>651079005.95027697</v>
      </c>
      <c r="P157" s="21">
        <f t="shared" si="17"/>
        <v>651074457.25957894</v>
      </c>
      <c r="Q157" s="21">
        <f>P157*Calculation_Assumptions!$B$14*J157*K157</f>
        <v>0</v>
      </c>
      <c r="R157" s="21">
        <f t="shared" si="18"/>
        <v>3646042.433321551</v>
      </c>
      <c r="S157" s="21">
        <f t="shared" si="19"/>
        <v>3646042.433321551</v>
      </c>
      <c r="T157" s="32">
        <f>1/(1+Calculation_Assumptions!$B$8)^(B157-Calculation_Assumptions!$B$2)</f>
        <v>0.47760556926165965</v>
      </c>
      <c r="U157" s="21">
        <f t="shared" si="20"/>
        <v>0</v>
      </c>
      <c r="V157" s="21">
        <f t="shared" si="21"/>
        <v>1741370.171918706</v>
      </c>
      <c r="W157" s="21">
        <f t="shared" si="22"/>
        <v>1741370.171918706</v>
      </c>
      <c r="X157">
        <v>0</v>
      </c>
      <c r="Y157" s="18">
        <v>2017</v>
      </c>
      <c r="Z157" t="s">
        <v>387</v>
      </c>
      <c r="AA157" s="21">
        <f t="shared" si="23"/>
        <v>1</v>
      </c>
    </row>
    <row r="158" spans="1:27">
      <c r="A158" t="s">
        <v>224</v>
      </c>
      <c r="B158" s="18">
        <v>2025</v>
      </c>
      <c r="C158" t="s">
        <v>224</v>
      </c>
      <c r="D158" s="20" t="s">
        <v>399</v>
      </c>
      <c r="E158" s="20" t="s">
        <v>400</v>
      </c>
      <c r="F158" s="20" t="s">
        <v>227</v>
      </c>
      <c r="G158" s="20" t="s">
        <v>393</v>
      </c>
      <c r="H158" s="20" t="s">
        <v>384</v>
      </c>
      <c r="I158" s="29">
        <v>1</v>
      </c>
      <c r="J158" s="30">
        <v>1</v>
      </c>
      <c r="K158" s="31">
        <v>8.7749999999999998E-3</v>
      </c>
      <c r="L158" s="9">
        <v>575134853.59312999</v>
      </c>
      <c r="M158" s="9">
        <v>575134853.59312999</v>
      </c>
      <c r="N158" s="32">
        <f>MIN(MAX((B158-Calculation_Assumptions!$B$5+1)/Calculation_Assumptions!$B$7,0),1)</f>
        <v>0</v>
      </c>
      <c r="O158" s="21">
        <f t="shared" si="16"/>
        <v>575134853.59312999</v>
      </c>
      <c r="P158" s="21">
        <f t="shared" si="17"/>
        <v>575134853.59312999</v>
      </c>
      <c r="Q158" s="21">
        <f>P158*Calculation_Assumptions!$B$14*J158*K158</f>
        <v>0</v>
      </c>
      <c r="R158" s="21">
        <f t="shared" si="18"/>
        <v>0</v>
      </c>
      <c r="S158" s="21">
        <f t="shared" si="19"/>
        <v>0</v>
      </c>
      <c r="T158" s="32">
        <f>1/(1+Calculation_Assumptions!$B$8)^(B158-Calculation_Assumptions!$B$2)</f>
        <v>1</v>
      </c>
      <c r="U158" s="21">
        <f t="shared" si="20"/>
        <v>0</v>
      </c>
      <c r="V158" s="21">
        <f t="shared" si="21"/>
        <v>0</v>
      </c>
      <c r="W158" s="21">
        <f t="shared" si="22"/>
        <v>0</v>
      </c>
      <c r="X158">
        <v>0</v>
      </c>
      <c r="Y158" s="18">
        <v>2017</v>
      </c>
      <c r="Z158" t="s">
        <v>387</v>
      </c>
      <c r="AA158" s="21">
        <f t="shared" si="23"/>
        <v>1</v>
      </c>
    </row>
    <row r="159" spans="1:27">
      <c r="A159" t="s">
        <v>224</v>
      </c>
      <c r="B159" s="18">
        <v>2026</v>
      </c>
      <c r="C159" t="s">
        <v>224</v>
      </c>
      <c r="D159" s="20" t="s">
        <v>399</v>
      </c>
      <c r="E159" s="20" t="s">
        <v>400</v>
      </c>
      <c r="F159" s="20" t="s">
        <v>227</v>
      </c>
      <c r="G159" s="20" t="s">
        <v>393</v>
      </c>
      <c r="H159" s="20" t="s">
        <v>384</v>
      </c>
      <c r="I159" s="29">
        <v>1</v>
      </c>
      <c r="J159" s="30">
        <v>1</v>
      </c>
      <c r="K159" s="31">
        <v>8.7749999999999998E-3</v>
      </c>
      <c r="L159" s="9">
        <v>579268647.32329595</v>
      </c>
      <c r="M159" s="9">
        <v>579268647.32329595</v>
      </c>
      <c r="N159" s="32">
        <f>MIN(MAX((B159-Calculation_Assumptions!$B$5+1)/Calculation_Assumptions!$B$7,0),1)</f>
        <v>0.33333333333333331</v>
      </c>
      <c r="O159" s="21">
        <f t="shared" si="16"/>
        <v>579268647.32329595</v>
      </c>
      <c r="P159" s="21">
        <f t="shared" si="17"/>
        <v>579268647.32329595</v>
      </c>
      <c r="Q159" s="21">
        <f>P159*Calculation_Assumptions!$B$14*J159*K159</f>
        <v>0</v>
      </c>
      <c r="R159" s="21">
        <f t="shared" si="18"/>
        <v>1694360.7934206405</v>
      </c>
      <c r="S159" s="21">
        <f t="shared" si="19"/>
        <v>1694360.7934206405</v>
      </c>
      <c r="T159" s="32">
        <f>1/(1+Calculation_Assumptions!$B$8)^(B159-Calculation_Assumptions!$B$2)</f>
        <v>0.970873786407767</v>
      </c>
      <c r="U159" s="21">
        <f t="shared" si="20"/>
        <v>0</v>
      </c>
      <c r="V159" s="21">
        <f t="shared" si="21"/>
        <v>1645010.4790491655</v>
      </c>
      <c r="W159" s="21">
        <f t="shared" si="22"/>
        <v>1645010.4790491655</v>
      </c>
      <c r="X159">
        <v>0</v>
      </c>
      <c r="Y159" s="18">
        <v>2017</v>
      </c>
      <c r="Z159" t="s">
        <v>387</v>
      </c>
      <c r="AA159" s="21">
        <f t="shared" si="23"/>
        <v>1</v>
      </c>
    </row>
    <row r="160" spans="1:27">
      <c r="A160" t="s">
        <v>224</v>
      </c>
      <c r="B160" s="18">
        <v>2027</v>
      </c>
      <c r="C160" t="s">
        <v>224</v>
      </c>
      <c r="D160" s="20" t="s">
        <v>399</v>
      </c>
      <c r="E160" s="20" t="s">
        <v>400</v>
      </c>
      <c r="F160" s="20" t="s">
        <v>227</v>
      </c>
      <c r="G160" s="20" t="s">
        <v>393</v>
      </c>
      <c r="H160" s="20" t="s">
        <v>384</v>
      </c>
      <c r="I160" s="29">
        <v>1</v>
      </c>
      <c r="J160" s="30">
        <v>1</v>
      </c>
      <c r="K160" s="31">
        <v>8.7749999999999998E-3</v>
      </c>
      <c r="L160" s="9">
        <v>583039014.28645599</v>
      </c>
      <c r="M160" s="9">
        <v>583039014.28645599</v>
      </c>
      <c r="N160" s="32">
        <f>MIN(MAX((B160-Calculation_Assumptions!$B$5+1)/Calculation_Assumptions!$B$7,0),1)</f>
        <v>0.66666666666666663</v>
      </c>
      <c r="O160" s="21">
        <f t="shared" si="16"/>
        <v>583039014.28645599</v>
      </c>
      <c r="P160" s="21">
        <f t="shared" si="17"/>
        <v>583039014.28645599</v>
      </c>
      <c r="Q160" s="21">
        <f>P160*Calculation_Assumptions!$B$14*J160*K160</f>
        <v>0</v>
      </c>
      <c r="R160" s="21">
        <f t="shared" si="18"/>
        <v>3410778.2335757674</v>
      </c>
      <c r="S160" s="21">
        <f t="shared" si="19"/>
        <v>3410778.2335757674</v>
      </c>
      <c r="T160" s="32">
        <f>1/(1+Calculation_Assumptions!$B$8)^(B160-Calculation_Assumptions!$B$2)</f>
        <v>0.94259590913375435</v>
      </c>
      <c r="U160" s="21">
        <f t="shared" si="20"/>
        <v>0</v>
      </c>
      <c r="V160" s="21">
        <f t="shared" si="21"/>
        <v>3214985.6099309712</v>
      </c>
      <c r="W160" s="21">
        <f t="shared" si="22"/>
        <v>3214985.6099309712</v>
      </c>
      <c r="X160">
        <v>0</v>
      </c>
      <c r="Y160" s="18">
        <v>2017</v>
      </c>
      <c r="Z160" t="s">
        <v>387</v>
      </c>
      <c r="AA160" s="21">
        <f t="shared" si="23"/>
        <v>1</v>
      </c>
    </row>
    <row r="161" spans="1:27">
      <c r="A161" t="s">
        <v>224</v>
      </c>
      <c r="B161" s="18">
        <v>2028</v>
      </c>
      <c r="C161" t="s">
        <v>224</v>
      </c>
      <c r="D161" s="20" t="s">
        <v>399</v>
      </c>
      <c r="E161" s="20" t="s">
        <v>400</v>
      </c>
      <c r="F161" s="20" t="s">
        <v>227</v>
      </c>
      <c r="G161" s="20" t="s">
        <v>393</v>
      </c>
      <c r="H161" s="20" t="s">
        <v>384</v>
      </c>
      <c r="I161" s="29">
        <v>1</v>
      </c>
      <c r="J161" s="30">
        <v>1</v>
      </c>
      <c r="K161" s="31">
        <v>8.7749999999999998E-3</v>
      </c>
      <c r="L161" s="9">
        <v>587037325.05973399</v>
      </c>
      <c r="M161" s="9">
        <v>587035116.25746298</v>
      </c>
      <c r="N161" s="32">
        <f>MIN(MAX((B161-Calculation_Assumptions!$B$5+1)/Calculation_Assumptions!$B$7,0),1)</f>
        <v>1</v>
      </c>
      <c r="O161" s="21">
        <f t="shared" si="16"/>
        <v>587037325.05973399</v>
      </c>
      <c r="P161" s="21">
        <f t="shared" si="17"/>
        <v>587035116.25746298</v>
      </c>
      <c r="Q161" s="21">
        <f>P161*Calculation_Assumptions!$B$14*J161*K161</f>
        <v>0</v>
      </c>
      <c r="R161" s="21">
        <f t="shared" si="18"/>
        <v>5151252.5273991656</v>
      </c>
      <c r="S161" s="21">
        <f t="shared" si="19"/>
        <v>5151252.5273991656</v>
      </c>
      <c r="T161" s="32">
        <f>1/(1+Calculation_Assumptions!$B$8)^(B161-Calculation_Assumptions!$B$2)</f>
        <v>0.91514165935315961</v>
      </c>
      <c r="U161" s="21">
        <f t="shared" si="20"/>
        <v>0</v>
      </c>
      <c r="V161" s="21">
        <f t="shared" si="21"/>
        <v>4714125.7856712295</v>
      </c>
      <c r="W161" s="21">
        <f t="shared" si="22"/>
        <v>4714125.7856712295</v>
      </c>
      <c r="X161">
        <v>0</v>
      </c>
      <c r="Y161" s="18">
        <v>2017</v>
      </c>
      <c r="Z161" t="s">
        <v>387</v>
      </c>
      <c r="AA161" s="21">
        <f t="shared" si="23"/>
        <v>1</v>
      </c>
    </row>
    <row r="162" spans="1:27">
      <c r="A162" t="s">
        <v>224</v>
      </c>
      <c r="B162" s="18">
        <v>2029</v>
      </c>
      <c r="C162" t="s">
        <v>224</v>
      </c>
      <c r="D162" s="20" t="s">
        <v>399</v>
      </c>
      <c r="E162" s="20" t="s">
        <v>400</v>
      </c>
      <c r="F162" s="20" t="s">
        <v>227</v>
      </c>
      <c r="G162" s="20" t="s">
        <v>393</v>
      </c>
      <c r="H162" s="20" t="s">
        <v>384</v>
      </c>
      <c r="I162" s="29">
        <v>1</v>
      </c>
      <c r="J162" s="30">
        <v>1</v>
      </c>
      <c r="K162" s="31">
        <v>8.7749999999999998E-3</v>
      </c>
      <c r="L162" s="9">
        <v>590975595.76191902</v>
      </c>
      <c r="M162" s="9">
        <v>590968059.72178304</v>
      </c>
      <c r="N162" s="32">
        <f>MIN(MAX((B162-Calculation_Assumptions!$B$5+1)/Calculation_Assumptions!$B$7,0),1)</f>
        <v>1</v>
      </c>
      <c r="O162" s="21">
        <f t="shared" si="16"/>
        <v>590975595.76191902</v>
      </c>
      <c r="P162" s="21">
        <f t="shared" si="17"/>
        <v>590968059.72178304</v>
      </c>
      <c r="Q162" s="21">
        <f>P162*Calculation_Assumptions!$B$14*J162*K162</f>
        <v>0</v>
      </c>
      <c r="R162" s="21">
        <f t="shared" si="18"/>
        <v>5185810.8528108392</v>
      </c>
      <c r="S162" s="21">
        <f t="shared" si="19"/>
        <v>5185810.8528108392</v>
      </c>
      <c r="T162" s="32">
        <f>1/(1+Calculation_Assumptions!$B$8)^(B162-Calculation_Assumptions!$B$2)</f>
        <v>0.888487047915689</v>
      </c>
      <c r="U162" s="21">
        <f t="shared" si="20"/>
        <v>0</v>
      </c>
      <c r="V162" s="21">
        <f t="shared" si="21"/>
        <v>4607525.7756630443</v>
      </c>
      <c r="W162" s="21">
        <f t="shared" si="22"/>
        <v>4607525.7756630443</v>
      </c>
      <c r="X162">
        <v>0</v>
      </c>
      <c r="Y162" s="18">
        <v>2017</v>
      </c>
      <c r="Z162" t="s">
        <v>387</v>
      </c>
      <c r="AA162" s="21">
        <f t="shared" si="23"/>
        <v>1</v>
      </c>
    </row>
    <row r="163" spans="1:27">
      <c r="A163" t="s">
        <v>224</v>
      </c>
      <c r="B163" s="18">
        <v>2030</v>
      </c>
      <c r="C163" t="s">
        <v>224</v>
      </c>
      <c r="D163" s="20" t="s">
        <v>399</v>
      </c>
      <c r="E163" s="20" t="s">
        <v>400</v>
      </c>
      <c r="F163" s="20" t="s">
        <v>227</v>
      </c>
      <c r="G163" s="20" t="s">
        <v>393</v>
      </c>
      <c r="H163" s="20" t="s">
        <v>384</v>
      </c>
      <c r="I163" s="29">
        <v>1</v>
      </c>
      <c r="J163" s="30">
        <v>1</v>
      </c>
      <c r="K163" s="31">
        <v>8.7749999999999998E-3</v>
      </c>
      <c r="L163" s="9">
        <v>594824656.09078205</v>
      </c>
      <c r="M163" s="9">
        <v>594808018.62654305</v>
      </c>
      <c r="N163" s="32">
        <f>MIN(MAX((B163-Calculation_Assumptions!$B$5+1)/Calculation_Assumptions!$B$7,0),1)</f>
        <v>1</v>
      </c>
      <c r="O163" s="21">
        <f t="shared" si="16"/>
        <v>594824656.09078205</v>
      </c>
      <c r="P163" s="21">
        <f t="shared" si="17"/>
        <v>594808018.62654305</v>
      </c>
      <c r="Q163" s="21">
        <f>P163*Calculation_Assumptions!$B$14*J163*K163</f>
        <v>0</v>
      </c>
      <c r="R163" s="21">
        <f t="shared" si="18"/>
        <v>5219586.3571966123</v>
      </c>
      <c r="S163" s="21">
        <f t="shared" si="19"/>
        <v>5219586.3571966123</v>
      </c>
      <c r="T163" s="32">
        <f>1/(1+Calculation_Assumptions!$B$8)^(B163-Calculation_Assumptions!$B$2)</f>
        <v>0.86260878438416411</v>
      </c>
      <c r="U163" s="21">
        <f t="shared" si="20"/>
        <v>0</v>
      </c>
      <c r="V163" s="21">
        <f t="shared" si="21"/>
        <v>4502461.0425695367</v>
      </c>
      <c r="W163" s="21">
        <f t="shared" si="22"/>
        <v>4502461.0425695367</v>
      </c>
      <c r="X163">
        <v>0</v>
      </c>
      <c r="Y163" s="18">
        <v>2017</v>
      </c>
      <c r="Z163" t="s">
        <v>387</v>
      </c>
      <c r="AA163" s="21">
        <f t="shared" si="23"/>
        <v>1</v>
      </c>
    </row>
    <row r="164" spans="1:27">
      <c r="A164" t="s">
        <v>224</v>
      </c>
      <c r="B164" s="18">
        <v>2031</v>
      </c>
      <c r="C164" t="s">
        <v>224</v>
      </c>
      <c r="D164" s="20" t="s">
        <v>399</v>
      </c>
      <c r="E164" s="20" t="s">
        <v>400</v>
      </c>
      <c r="F164" s="20" t="s">
        <v>227</v>
      </c>
      <c r="G164" s="20" t="s">
        <v>393</v>
      </c>
      <c r="H164" s="20" t="s">
        <v>384</v>
      </c>
      <c r="I164" s="29">
        <v>1</v>
      </c>
      <c r="J164" s="30">
        <v>1</v>
      </c>
      <c r="K164" s="31">
        <v>8.7749999999999998E-3</v>
      </c>
      <c r="L164" s="9">
        <v>598611291.41523099</v>
      </c>
      <c r="M164" s="9">
        <v>598581381.03442597</v>
      </c>
      <c r="N164" s="32">
        <f>MIN(MAX((B164-Calculation_Assumptions!$B$5+1)/Calculation_Assumptions!$B$7,0),1)</f>
        <v>1</v>
      </c>
      <c r="O164" s="21">
        <f t="shared" si="16"/>
        <v>598611291.41523099</v>
      </c>
      <c r="P164" s="21">
        <f t="shared" si="17"/>
        <v>598581381.03442597</v>
      </c>
      <c r="Q164" s="21">
        <f>P164*Calculation_Assumptions!$B$14*J164*K164</f>
        <v>0</v>
      </c>
      <c r="R164" s="21">
        <f t="shared" si="18"/>
        <v>5252814.0821686517</v>
      </c>
      <c r="S164" s="21">
        <f t="shared" si="19"/>
        <v>5252814.0821686517</v>
      </c>
      <c r="T164" s="32">
        <f>1/(1+Calculation_Assumptions!$B$8)^(B164-Calculation_Assumptions!$B$2)</f>
        <v>0.83748425668365445</v>
      </c>
      <c r="U164" s="21">
        <f t="shared" si="20"/>
        <v>0</v>
      </c>
      <c r="V164" s="21">
        <f t="shared" si="21"/>
        <v>4399149.0971024456</v>
      </c>
      <c r="W164" s="21">
        <f t="shared" si="22"/>
        <v>4399149.0971024456</v>
      </c>
      <c r="X164">
        <v>0</v>
      </c>
      <c r="Y164" s="18">
        <v>2017</v>
      </c>
      <c r="Z164" t="s">
        <v>387</v>
      </c>
      <c r="AA164" s="21">
        <f t="shared" si="23"/>
        <v>1</v>
      </c>
    </row>
    <row r="165" spans="1:27">
      <c r="A165" t="s">
        <v>224</v>
      </c>
      <c r="B165" s="18">
        <v>2032</v>
      </c>
      <c r="C165" t="s">
        <v>224</v>
      </c>
      <c r="D165" s="20" t="s">
        <v>399</v>
      </c>
      <c r="E165" s="20" t="s">
        <v>400</v>
      </c>
      <c r="F165" s="20" t="s">
        <v>227</v>
      </c>
      <c r="G165" s="20" t="s">
        <v>393</v>
      </c>
      <c r="H165" s="20" t="s">
        <v>384</v>
      </c>
      <c r="I165" s="29">
        <v>1</v>
      </c>
      <c r="J165" s="30">
        <v>1</v>
      </c>
      <c r="K165" s="31">
        <v>8.7749999999999998E-3</v>
      </c>
      <c r="L165" s="9">
        <v>602331335.22146499</v>
      </c>
      <c r="M165" s="9">
        <v>602283583.58638096</v>
      </c>
      <c r="N165" s="32">
        <f>MIN(MAX((B165-Calculation_Assumptions!$B$5+1)/Calculation_Assumptions!$B$7,0),1)</f>
        <v>1</v>
      </c>
      <c r="O165" s="21">
        <f t="shared" si="16"/>
        <v>602331335.22146499</v>
      </c>
      <c r="P165" s="21">
        <f t="shared" si="17"/>
        <v>602283583.58638096</v>
      </c>
      <c r="Q165" s="21">
        <f>P165*Calculation_Assumptions!$B$14*J165*K165</f>
        <v>0</v>
      </c>
      <c r="R165" s="21">
        <f t="shared" si="18"/>
        <v>5285457.4665683554</v>
      </c>
      <c r="S165" s="21">
        <f t="shared" si="19"/>
        <v>5285457.4665683554</v>
      </c>
      <c r="T165" s="32">
        <f>1/(1+Calculation_Assumptions!$B$8)^(B165-Calculation_Assumptions!$B$2)</f>
        <v>0.81309151134335378</v>
      </c>
      <c r="U165" s="21">
        <f t="shared" si="20"/>
        <v>0</v>
      </c>
      <c r="V165" s="21">
        <f t="shared" si="21"/>
        <v>4297560.5996330781</v>
      </c>
      <c r="W165" s="21">
        <f t="shared" si="22"/>
        <v>4297560.5996330781</v>
      </c>
      <c r="X165">
        <v>0</v>
      </c>
      <c r="Y165" s="18">
        <v>2017</v>
      </c>
      <c r="Z165" t="s">
        <v>387</v>
      </c>
      <c r="AA165" s="21">
        <f t="shared" si="23"/>
        <v>1</v>
      </c>
    </row>
    <row r="166" spans="1:27">
      <c r="A166" t="s">
        <v>224</v>
      </c>
      <c r="B166" s="18">
        <v>2033</v>
      </c>
      <c r="C166" t="s">
        <v>224</v>
      </c>
      <c r="D166" s="20" t="s">
        <v>399</v>
      </c>
      <c r="E166" s="20" t="s">
        <v>400</v>
      </c>
      <c r="F166" s="20" t="s">
        <v>227</v>
      </c>
      <c r="G166" s="20" t="s">
        <v>393</v>
      </c>
      <c r="H166" s="20" t="s">
        <v>384</v>
      </c>
      <c r="I166" s="29">
        <v>1</v>
      </c>
      <c r="J166" s="30">
        <v>1</v>
      </c>
      <c r="K166" s="31">
        <v>8.7749999999999998E-3</v>
      </c>
      <c r="L166" s="9">
        <v>605980290.53514302</v>
      </c>
      <c r="M166" s="9">
        <v>605911902.99473</v>
      </c>
      <c r="N166" s="32">
        <f>MIN(MAX((B166-Calculation_Assumptions!$B$5+1)/Calculation_Assumptions!$B$7,0),1)</f>
        <v>1</v>
      </c>
      <c r="O166" s="21">
        <f t="shared" si="16"/>
        <v>605980290.53514302</v>
      </c>
      <c r="P166" s="21">
        <f t="shared" si="17"/>
        <v>605911902.99473</v>
      </c>
      <c r="Q166" s="21">
        <f>P166*Calculation_Assumptions!$B$14*J166*K166</f>
        <v>0</v>
      </c>
      <c r="R166" s="21">
        <f t="shared" si="18"/>
        <v>5317477.0494458796</v>
      </c>
      <c r="S166" s="21">
        <f t="shared" si="19"/>
        <v>5317477.0494458796</v>
      </c>
      <c r="T166" s="32">
        <f>1/(1+Calculation_Assumptions!$B$8)^(B166-Calculation_Assumptions!$B$2)</f>
        <v>0.78940923431393573</v>
      </c>
      <c r="U166" s="21">
        <f t="shared" si="20"/>
        <v>0</v>
      </c>
      <c r="V166" s="21">
        <f t="shared" si="21"/>
        <v>4197665.4860849977</v>
      </c>
      <c r="W166" s="21">
        <f t="shared" si="22"/>
        <v>4197665.4860849977</v>
      </c>
      <c r="X166">
        <v>0</v>
      </c>
      <c r="Y166" s="18">
        <v>2017</v>
      </c>
      <c r="Z166" t="s">
        <v>387</v>
      </c>
      <c r="AA166" s="21">
        <f t="shared" si="23"/>
        <v>1</v>
      </c>
    </row>
    <row r="167" spans="1:27">
      <c r="A167" t="s">
        <v>224</v>
      </c>
      <c r="B167" s="18">
        <v>2034</v>
      </c>
      <c r="C167" t="s">
        <v>224</v>
      </c>
      <c r="D167" s="20" t="s">
        <v>399</v>
      </c>
      <c r="E167" s="20" t="s">
        <v>400</v>
      </c>
      <c r="F167" s="20" t="s">
        <v>227</v>
      </c>
      <c r="G167" s="20" t="s">
        <v>393</v>
      </c>
      <c r="H167" s="20" t="s">
        <v>384</v>
      </c>
      <c r="I167" s="29">
        <v>1</v>
      </c>
      <c r="J167" s="30">
        <v>1</v>
      </c>
      <c r="K167" s="31">
        <v>8.7749999999999998E-3</v>
      </c>
      <c r="L167" s="9">
        <v>609546597.88138199</v>
      </c>
      <c r="M167" s="9">
        <v>609455548.12077105</v>
      </c>
      <c r="N167" s="32">
        <f>MIN(MAX((B167-Calculation_Assumptions!$B$5+1)/Calculation_Assumptions!$B$7,0),1)</f>
        <v>1</v>
      </c>
      <c r="O167" s="21">
        <f t="shared" si="16"/>
        <v>609546597.88138199</v>
      </c>
      <c r="P167" s="21">
        <f t="shared" si="17"/>
        <v>609455548.12077105</v>
      </c>
      <c r="Q167" s="21">
        <f>P167*Calculation_Assumptions!$B$14*J167*K167</f>
        <v>0</v>
      </c>
      <c r="R167" s="21">
        <f t="shared" si="18"/>
        <v>5348771.3964091269</v>
      </c>
      <c r="S167" s="21">
        <f t="shared" si="19"/>
        <v>5348771.3964091269</v>
      </c>
      <c r="T167" s="32">
        <f>1/(1+Calculation_Assumptions!$B$8)^(B167-Calculation_Assumptions!$B$2)</f>
        <v>0.76641673234362695</v>
      </c>
      <c r="U167" s="21">
        <f t="shared" si="20"/>
        <v>0</v>
      </c>
      <c r="V167" s="21">
        <f t="shared" si="21"/>
        <v>4099387.8956889417</v>
      </c>
      <c r="W167" s="21">
        <f t="shared" si="22"/>
        <v>4099387.8956889417</v>
      </c>
      <c r="X167">
        <v>0</v>
      </c>
      <c r="Y167" s="18">
        <v>2017</v>
      </c>
      <c r="Z167" t="s">
        <v>387</v>
      </c>
      <c r="AA167" s="21">
        <f t="shared" si="23"/>
        <v>1</v>
      </c>
    </row>
    <row r="168" spans="1:27">
      <c r="A168" t="s">
        <v>224</v>
      </c>
      <c r="B168" s="18">
        <v>2035</v>
      </c>
      <c r="C168" t="s">
        <v>224</v>
      </c>
      <c r="D168" s="20" t="s">
        <v>399</v>
      </c>
      <c r="E168" s="20" t="s">
        <v>400</v>
      </c>
      <c r="F168" s="20" t="s">
        <v>227</v>
      </c>
      <c r="G168" s="20" t="s">
        <v>393</v>
      </c>
      <c r="H168" s="20" t="s">
        <v>384</v>
      </c>
      <c r="I168" s="29">
        <v>1</v>
      </c>
      <c r="J168" s="30">
        <v>1</v>
      </c>
      <c r="K168" s="31">
        <v>8.7749999999999998E-3</v>
      </c>
      <c r="L168" s="9">
        <v>613018641.53111994</v>
      </c>
      <c r="M168" s="9">
        <v>612884294.47334194</v>
      </c>
      <c r="N168" s="32">
        <f>MIN(MAX((B168-Calculation_Assumptions!$B$5+1)/Calculation_Assumptions!$B$7,0),1)</f>
        <v>1</v>
      </c>
      <c r="O168" s="21">
        <f t="shared" si="16"/>
        <v>613018641.53111994</v>
      </c>
      <c r="P168" s="21">
        <f t="shared" si="17"/>
        <v>612884294.47334194</v>
      </c>
      <c r="Q168" s="21">
        <f>P168*Calculation_Assumptions!$B$14*J168*K168</f>
        <v>0</v>
      </c>
      <c r="R168" s="21">
        <f t="shared" si="18"/>
        <v>5379238.5794355776</v>
      </c>
      <c r="S168" s="21">
        <f t="shared" si="19"/>
        <v>5379238.5794355776</v>
      </c>
      <c r="T168" s="32">
        <f>1/(1+Calculation_Assumptions!$B$8)^(B168-Calculation_Assumptions!$B$2)</f>
        <v>0.74409391489672516</v>
      </c>
      <c r="U168" s="21">
        <f t="shared" si="20"/>
        <v>0</v>
      </c>
      <c r="V168" s="21">
        <f t="shared" si="21"/>
        <v>4002658.6937357173</v>
      </c>
      <c r="W168" s="21">
        <f t="shared" si="22"/>
        <v>4002658.6937357173</v>
      </c>
      <c r="X168">
        <v>0</v>
      </c>
      <c r="Y168" s="18">
        <v>2017</v>
      </c>
      <c r="Z168" t="s">
        <v>387</v>
      </c>
      <c r="AA168" s="21">
        <f t="shared" si="23"/>
        <v>1</v>
      </c>
    </row>
    <row r="169" spans="1:27">
      <c r="A169" t="s">
        <v>224</v>
      </c>
      <c r="B169" s="18">
        <v>2036</v>
      </c>
      <c r="C169" t="s">
        <v>224</v>
      </c>
      <c r="D169" s="20" t="s">
        <v>399</v>
      </c>
      <c r="E169" s="20" t="s">
        <v>400</v>
      </c>
      <c r="F169" s="20" t="s">
        <v>227</v>
      </c>
      <c r="G169" s="20" t="s">
        <v>393</v>
      </c>
      <c r="H169" s="20" t="s">
        <v>384</v>
      </c>
      <c r="I169" s="29">
        <v>1</v>
      </c>
      <c r="J169" s="30">
        <v>1</v>
      </c>
      <c r="K169" s="31">
        <v>8.7749999999999998E-3</v>
      </c>
      <c r="L169" s="9">
        <v>616402630.87597096</v>
      </c>
      <c r="M169" s="9">
        <v>616262053.85817397</v>
      </c>
      <c r="N169" s="32">
        <f>MIN(MAX((B169-Calculation_Assumptions!$B$5+1)/Calculation_Assumptions!$B$7,0),1)</f>
        <v>1</v>
      </c>
      <c r="O169" s="21">
        <f t="shared" si="16"/>
        <v>616402630.87597096</v>
      </c>
      <c r="P169" s="21">
        <f t="shared" si="17"/>
        <v>616262053.85817397</v>
      </c>
      <c r="Q169" s="21">
        <f>P169*Calculation_Assumptions!$B$14*J169*K169</f>
        <v>0</v>
      </c>
      <c r="R169" s="21">
        <f t="shared" si="18"/>
        <v>5408933.085936645</v>
      </c>
      <c r="S169" s="21">
        <f t="shared" si="19"/>
        <v>5408933.085936645</v>
      </c>
      <c r="T169" s="32">
        <f>1/(1+Calculation_Assumptions!$B$8)^(B169-Calculation_Assumptions!$B$2)</f>
        <v>0.72242127659876232</v>
      </c>
      <c r="U169" s="21">
        <f t="shared" si="20"/>
        <v>0</v>
      </c>
      <c r="V169" s="21">
        <f t="shared" si="21"/>
        <v>3907528.344979634</v>
      </c>
      <c r="W169" s="21">
        <f t="shared" si="22"/>
        <v>3907528.344979634</v>
      </c>
      <c r="X169">
        <v>0</v>
      </c>
      <c r="Y169" s="18">
        <v>2017</v>
      </c>
      <c r="Z169" t="s">
        <v>387</v>
      </c>
      <c r="AA169" s="21">
        <f t="shared" si="23"/>
        <v>1</v>
      </c>
    </row>
    <row r="170" spans="1:27">
      <c r="A170" t="s">
        <v>224</v>
      </c>
      <c r="B170" s="18">
        <v>2037</v>
      </c>
      <c r="C170" t="s">
        <v>224</v>
      </c>
      <c r="D170" s="20" t="s">
        <v>399</v>
      </c>
      <c r="E170" s="20" t="s">
        <v>400</v>
      </c>
      <c r="F170" s="20" t="s">
        <v>227</v>
      </c>
      <c r="G170" s="20" t="s">
        <v>393</v>
      </c>
      <c r="H170" s="20" t="s">
        <v>384</v>
      </c>
      <c r="I170" s="29">
        <v>1</v>
      </c>
      <c r="J170" s="30">
        <v>1</v>
      </c>
      <c r="K170" s="31">
        <v>8.7749999999999998E-3</v>
      </c>
      <c r="L170" s="9">
        <v>619696186.248703</v>
      </c>
      <c r="M170" s="9">
        <v>619529380.90729904</v>
      </c>
      <c r="N170" s="32">
        <f>MIN(MAX((B170-Calculation_Assumptions!$B$5+1)/Calculation_Assumptions!$B$7,0),1)</f>
        <v>1</v>
      </c>
      <c r="O170" s="21">
        <f t="shared" si="16"/>
        <v>619696186.248703</v>
      </c>
      <c r="P170" s="21">
        <f t="shared" si="17"/>
        <v>619529380.90729904</v>
      </c>
      <c r="Q170" s="21">
        <f>P170*Calculation_Assumptions!$B$14*J170*K170</f>
        <v>0</v>
      </c>
      <c r="R170" s="21">
        <f t="shared" si="18"/>
        <v>5437834.0343323685</v>
      </c>
      <c r="S170" s="21">
        <f t="shared" si="19"/>
        <v>5437834.0343323685</v>
      </c>
      <c r="T170" s="32">
        <f>1/(1+Calculation_Assumptions!$B$8)^(B170-Calculation_Assumptions!$B$2)</f>
        <v>0.70137988019297326</v>
      </c>
      <c r="U170" s="21">
        <f t="shared" si="20"/>
        <v>0</v>
      </c>
      <c r="V170" s="21">
        <f t="shared" si="21"/>
        <v>3813987.383509309</v>
      </c>
      <c r="W170" s="21">
        <f t="shared" si="22"/>
        <v>3813987.383509309</v>
      </c>
      <c r="X170">
        <v>0</v>
      </c>
      <c r="Y170" s="18">
        <v>2017</v>
      </c>
      <c r="Z170" t="s">
        <v>387</v>
      </c>
      <c r="AA170" s="21">
        <f t="shared" si="23"/>
        <v>1</v>
      </c>
    </row>
    <row r="171" spans="1:27">
      <c r="A171" t="s">
        <v>224</v>
      </c>
      <c r="B171" s="18">
        <v>2038</v>
      </c>
      <c r="C171" t="s">
        <v>224</v>
      </c>
      <c r="D171" s="20" t="s">
        <v>399</v>
      </c>
      <c r="E171" s="20" t="s">
        <v>400</v>
      </c>
      <c r="F171" s="20" t="s">
        <v>227</v>
      </c>
      <c r="G171" s="20" t="s">
        <v>393</v>
      </c>
      <c r="H171" s="20" t="s">
        <v>384</v>
      </c>
      <c r="I171" s="29">
        <v>1</v>
      </c>
      <c r="J171" s="30">
        <v>1</v>
      </c>
      <c r="K171" s="31">
        <v>8.7749999999999998E-3</v>
      </c>
      <c r="L171" s="9">
        <v>622866474.18046904</v>
      </c>
      <c r="M171" s="9">
        <v>622673191.62836504</v>
      </c>
      <c r="N171" s="32">
        <f>MIN(MAX((B171-Calculation_Assumptions!$B$5+1)/Calculation_Assumptions!$B$7,0),1)</f>
        <v>1</v>
      </c>
      <c r="O171" s="21">
        <f t="shared" si="16"/>
        <v>622866474.18046904</v>
      </c>
      <c r="P171" s="21">
        <f t="shared" si="17"/>
        <v>622673191.62836504</v>
      </c>
      <c r="Q171" s="21">
        <f>P171*Calculation_Assumptions!$B$14*J171*K171</f>
        <v>0</v>
      </c>
      <c r="R171" s="21">
        <f t="shared" si="18"/>
        <v>5465653.310933616</v>
      </c>
      <c r="S171" s="21">
        <f t="shared" si="19"/>
        <v>5465653.310933616</v>
      </c>
      <c r="T171" s="32">
        <f>1/(1+Calculation_Assumptions!$B$8)^(B171-Calculation_Assumptions!$B$2)</f>
        <v>0.68095133999317792</v>
      </c>
      <c r="U171" s="21">
        <f t="shared" si="20"/>
        <v>0</v>
      </c>
      <c r="V171" s="21">
        <f t="shared" si="21"/>
        <v>3721843.9460183955</v>
      </c>
      <c r="W171" s="21">
        <f t="shared" si="22"/>
        <v>3721843.9460183955</v>
      </c>
      <c r="X171">
        <v>0</v>
      </c>
      <c r="Y171" s="18">
        <v>2017</v>
      </c>
      <c r="Z171" t="s">
        <v>387</v>
      </c>
      <c r="AA171" s="21">
        <f t="shared" si="23"/>
        <v>1</v>
      </c>
    </row>
    <row r="172" spans="1:27">
      <c r="A172" t="s">
        <v>224</v>
      </c>
      <c r="B172" s="18">
        <v>2039</v>
      </c>
      <c r="C172" t="s">
        <v>224</v>
      </c>
      <c r="D172" s="20" t="s">
        <v>399</v>
      </c>
      <c r="E172" s="20" t="s">
        <v>400</v>
      </c>
      <c r="F172" s="20" t="s">
        <v>227</v>
      </c>
      <c r="G172" s="20" t="s">
        <v>393</v>
      </c>
      <c r="H172" s="20" t="s">
        <v>384</v>
      </c>
      <c r="I172" s="29">
        <v>1</v>
      </c>
      <c r="J172" s="30">
        <v>1</v>
      </c>
      <c r="K172" s="31">
        <v>8.7749999999999998E-3</v>
      </c>
      <c r="L172" s="9">
        <v>625952402.00237203</v>
      </c>
      <c r="M172" s="9">
        <v>625731758.218045</v>
      </c>
      <c r="N172" s="32">
        <f>MIN(MAX((B172-Calculation_Assumptions!$B$5+1)/Calculation_Assumptions!$B$7,0),1)</f>
        <v>1</v>
      </c>
      <c r="O172" s="21">
        <f t="shared" si="16"/>
        <v>625952402.00237203</v>
      </c>
      <c r="P172" s="21">
        <f t="shared" si="17"/>
        <v>625731758.218045</v>
      </c>
      <c r="Q172" s="21">
        <f>P172*Calculation_Assumptions!$B$14*J172*K172</f>
        <v>0</v>
      </c>
      <c r="R172" s="21">
        <f t="shared" si="18"/>
        <v>5492732.3275708146</v>
      </c>
      <c r="S172" s="21">
        <f t="shared" si="19"/>
        <v>5492732.3275708146</v>
      </c>
      <c r="T172" s="32">
        <f>1/(1+Calculation_Assumptions!$B$8)^(B172-Calculation_Assumptions!$B$2)</f>
        <v>0.66111780581861923</v>
      </c>
      <c r="U172" s="21">
        <f t="shared" si="20"/>
        <v>0</v>
      </c>
      <c r="V172" s="21">
        <f t="shared" si="21"/>
        <v>3631343.1443526144</v>
      </c>
      <c r="W172" s="21">
        <f t="shared" si="22"/>
        <v>3631343.1443526144</v>
      </c>
      <c r="X172">
        <v>0</v>
      </c>
      <c r="Y172" s="18">
        <v>2017</v>
      </c>
      <c r="Z172" t="s">
        <v>387</v>
      </c>
      <c r="AA172" s="21">
        <f t="shared" si="23"/>
        <v>1</v>
      </c>
    </row>
    <row r="173" spans="1:27">
      <c r="A173" t="s">
        <v>224</v>
      </c>
      <c r="B173" s="18">
        <v>2040</v>
      </c>
      <c r="C173" t="s">
        <v>224</v>
      </c>
      <c r="D173" s="20" t="s">
        <v>399</v>
      </c>
      <c r="E173" s="20" t="s">
        <v>400</v>
      </c>
      <c r="F173" s="20" t="s">
        <v>227</v>
      </c>
      <c r="G173" s="20" t="s">
        <v>393</v>
      </c>
      <c r="H173" s="20" t="s">
        <v>384</v>
      </c>
      <c r="I173" s="29">
        <v>1</v>
      </c>
      <c r="J173" s="30">
        <v>1</v>
      </c>
      <c r="K173" s="31">
        <v>8.7749999999999998E-3</v>
      </c>
      <c r="L173" s="9">
        <v>628915866.60738301</v>
      </c>
      <c r="M173" s="9">
        <v>628667498.21665299</v>
      </c>
      <c r="N173" s="32">
        <f>MIN(MAX((B173-Calculation_Assumptions!$B$5+1)/Calculation_Assumptions!$B$7,0),1)</f>
        <v>1</v>
      </c>
      <c r="O173" s="21">
        <f t="shared" si="16"/>
        <v>628915866.60738301</v>
      </c>
      <c r="P173" s="21">
        <f t="shared" si="17"/>
        <v>628667498.21665299</v>
      </c>
      <c r="Q173" s="21">
        <f>P173*Calculation_Assumptions!$B$14*J173*K173</f>
        <v>0</v>
      </c>
      <c r="R173" s="21">
        <f t="shared" si="18"/>
        <v>5518736.729479786</v>
      </c>
      <c r="S173" s="21">
        <f t="shared" si="19"/>
        <v>5518736.729479786</v>
      </c>
      <c r="T173" s="32">
        <f>1/(1+Calculation_Assumptions!$B$8)^(B173-Calculation_Assumptions!$B$2)</f>
        <v>0.64186194739671765</v>
      </c>
      <c r="U173" s="21">
        <f t="shared" si="20"/>
        <v>0</v>
      </c>
      <c r="V173" s="21">
        <f t="shared" si="21"/>
        <v>3542267.1043536882</v>
      </c>
      <c r="W173" s="21">
        <f t="shared" si="22"/>
        <v>3542267.1043536882</v>
      </c>
      <c r="X173">
        <v>0</v>
      </c>
      <c r="Y173" s="18">
        <v>2017</v>
      </c>
      <c r="Z173" t="s">
        <v>387</v>
      </c>
      <c r="AA173" s="21">
        <f t="shared" si="23"/>
        <v>1</v>
      </c>
    </row>
    <row r="174" spans="1:27">
      <c r="A174" t="s">
        <v>224</v>
      </c>
      <c r="B174" s="18">
        <v>2041</v>
      </c>
      <c r="C174" t="s">
        <v>224</v>
      </c>
      <c r="D174" s="20" t="s">
        <v>399</v>
      </c>
      <c r="E174" s="20" t="s">
        <v>400</v>
      </c>
      <c r="F174" s="20" t="s">
        <v>227</v>
      </c>
      <c r="G174" s="20" t="s">
        <v>393</v>
      </c>
      <c r="H174" s="20" t="s">
        <v>384</v>
      </c>
      <c r="I174" s="29">
        <v>1</v>
      </c>
      <c r="J174" s="30">
        <v>1</v>
      </c>
      <c r="K174" s="31">
        <v>8.7749999999999998E-3</v>
      </c>
      <c r="L174" s="9">
        <v>631764705.74183595</v>
      </c>
      <c r="M174" s="9">
        <v>631488405.68781996</v>
      </c>
      <c r="N174" s="32">
        <f>MIN(MAX((B174-Calculation_Assumptions!$B$5+1)/Calculation_Assumptions!$B$7,0),1)</f>
        <v>1</v>
      </c>
      <c r="O174" s="21">
        <f t="shared" si="16"/>
        <v>631764705.74183595</v>
      </c>
      <c r="P174" s="21">
        <f t="shared" si="17"/>
        <v>631488405.68781996</v>
      </c>
      <c r="Q174" s="21">
        <f>P174*Calculation_Assumptions!$B$14*J174*K174</f>
        <v>0</v>
      </c>
      <c r="R174" s="21">
        <f t="shared" si="18"/>
        <v>5543735.2928846106</v>
      </c>
      <c r="S174" s="21">
        <f t="shared" si="19"/>
        <v>5543735.2928846106</v>
      </c>
      <c r="T174" s="32">
        <f>1/(1+Calculation_Assumptions!$B$8)^(B174-Calculation_Assumptions!$B$2)</f>
        <v>0.62316693922011435</v>
      </c>
      <c r="U174" s="21">
        <f t="shared" si="20"/>
        <v>0</v>
      </c>
      <c r="V174" s="21">
        <f t="shared" si="21"/>
        <v>3454672.5543134268</v>
      </c>
      <c r="W174" s="21">
        <f t="shared" si="22"/>
        <v>3454672.5543134268</v>
      </c>
      <c r="X174">
        <v>0</v>
      </c>
      <c r="Y174" s="18">
        <v>2017</v>
      </c>
      <c r="Z174" t="s">
        <v>387</v>
      </c>
      <c r="AA174" s="21">
        <f t="shared" si="23"/>
        <v>1</v>
      </c>
    </row>
    <row r="175" spans="1:27">
      <c r="A175" t="s">
        <v>224</v>
      </c>
      <c r="B175" s="18">
        <v>2042</v>
      </c>
      <c r="C175" t="s">
        <v>224</v>
      </c>
      <c r="D175" s="20" t="s">
        <v>399</v>
      </c>
      <c r="E175" s="20" t="s">
        <v>400</v>
      </c>
      <c r="F175" s="20" t="s">
        <v>227</v>
      </c>
      <c r="G175" s="20" t="s">
        <v>393</v>
      </c>
      <c r="H175" s="20" t="s">
        <v>384</v>
      </c>
      <c r="I175" s="29">
        <v>1</v>
      </c>
      <c r="J175" s="30">
        <v>1</v>
      </c>
      <c r="K175" s="31">
        <v>8.7749999999999998E-3</v>
      </c>
      <c r="L175" s="9">
        <v>634488863.588884</v>
      </c>
      <c r="M175" s="9">
        <v>634184560.98858297</v>
      </c>
      <c r="N175" s="32">
        <f>MIN(MAX((B175-Calculation_Assumptions!$B$5+1)/Calculation_Assumptions!$B$7,0),1)</f>
        <v>1</v>
      </c>
      <c r="O175" s="21">
        <f t="shared" si="16"/>
        <v>634488863.588884</v>
      </c>
      <c r="P175" s="21">
        <f t="shared" si="17"/>
        <v>634184560.98858297</v>
      </c>
      <c r="Q175" s="21">
        <f>P175*Calculation_Assumptions!$B$14*J175*K175</f>
        <v>0</v>
      </c>
      <c r="R175" s="21">
        <f t="shared" si="18"/>
        <v>5567639.7779924572</v>
      </c>
      <c r="S175" s="21">
        <f t="shared" si="19"/>
        <v>5567639.7779924572</v>
      </c>
      <c r="T175" s="32">
        <f>1/(1+Calculation_Assumptions!$B$8)^(B175-Calculation_Assumptions!$B$2)</f>
        <v>0.60501644584477121</v>
      </c>
      <c r="U175" s="21">
        <f t="shared" si="20"/>
        <v>0</v>
      </c>
      <c r="V175" s="21">
        <f t="shared" si="21"/>
        <v>3368513.6302249674</v>
      </c>
      <c r="W175" s="21">
        <f t="shared" si="22"/>
        <v>3368513.6302249674</v>
      </c>
      <c r="X175">
        <v>0</v>
      </c>
      <c r="Y175" s="18">
        <v>2017</v>
      </c>
      <c r="Z175" t="s">
        <v>387</v>
      </c>
      <c r="AA175" s="21">
        <f t="shared" si="23"/>
        <v>1</v>
      </c>
    </row>
    <row r="176" spans="1:27">
      <c r="A176" t="s">
        <v>224</v>
      </c>
      <c r="B176" s="18">
        <v>2043</v>
      </c>
      <c r="C176" t="s">
        <v>224</v>
      </c>
      <c r="D176" s="20" t="s">
        <v>399</v>
      </c>
      <c r="E176" s="20" t="s">
        <v>400</v>
      </c>
      <c r="F176" s="20" t="s">
        <v>227</v>
      </c>
      <c r="G176" s="20" t="s">
        <v>393</v>
      </c>
      <c r="H176" s="20" t="s">
        <v>384</v>
      </c>
      <c r="I176" s="29">
        <v>1</v>
      </c>
      <c r="J176" s="30">
        <v>1</v>
      </c>
      <c r="K176" s="31">
        <v>8.7749999999999998E-3</v>
      </c>
      <c r="L176" s="9">
        <v>637099713.83502901</v>
      </c>
      <c r="M176" s="9">
        <v>636767020.67603099</v>
      </c>
      <c r="N176" s="32">
        <f>MIN(MAX((B176-Calculation_Assumptions!$B$5+1)/Calculation_Assumptions!$B$7,0),1)</f>
        <v>1</v>
      </c>
      <c r="O176" s="21">
        <f t="shared" si="16"/>
        <v>637099713.83502901</v>
      </c>
      <c r="P176" s="21">
        <f t="shared" si="17"/>
        <v>636767020.67603099</v>
      </c>
      <c r="Q176" s="21">
        <f>P176*Calculation_Assumptions!$B$14*J176*K176</f>
        <v>0</v>
      </c>
      <c r="R176" s="21">
        <f t="shared" si="18"/>
        <v>5590549.9889023798</v>
      </c>
      <c r="S176" s="21">
        <f t="shared" si="19"/>
        <v>5590549.9889023798</v>
      </c>
      <c r="T176" s="32">
        <f>1/(1+Calculation_Assumptions!$B$8)^(B176-Calculation_Assumptions!$B$2)</f>
        <v>0.5873946076162827</v>
      </c>
      <c r="U176" s="21">
        <f t="shared" si="20"/>
        <v>0</v>
      </c>
      <c r="V176" s="21">
        <f t="shared" si="21"/>
        <v>3283858.9170905268</v>
      </c>
      <c r="W176" s="21">
        <f t="shared" si="22"/>
        <v>3283858.9170905268</v>
      </c>
      <c r="X176">
        <v>0</v>
      </c>
      <c r="Y176" s="18">
        <v>2017</v>
      </c>
      <c r="Z176" t="s">
        <v>387</v>
      </c>
      <c r="AA176" s="21">
        <f t="shared" si="23"/>
        <v>1</v>
      </c>
    </row>
    <row r="177" spans="1:27">
      <c r="A177" t="s">
        <v>224</v>
      </c>
      <c r="B177" s="18">
        <v>2044</v>
      </c>
      <c r="C177" t="s">
        <v>224</v>
      </c>
      <c r="D177" s="20" t="s">
        <v>399</v>
      </c>
      <c r="E177" s="20" t="s">
        <v>400</v>
      </c>
      <c r="F177" s="20" t="s">
        <v>227</v>
      </c>
      <c r="G177" s="20" t="s">
        <v>393</v>
      </c>
      <c r="H177" s="20" t="s">
        <v>384</v>
      </c>
      <c r="I177" s="29">
        <v>1</v>
      </c>
      <c r="J177" s="30">
        <v>1</v>
      </c>
      <c r="K177" s="31">
        <v>8.7749999999999998E-3</v>
      </c>
      <c r="L177" s="9">
        <v>639572109.35329497</v>
      </c>
      <c r="M177" s="9">
        <v>639211548.58069301</v>
      </c>
      <c r="N177" s="32">
        <f>MIN(MAX((B177-Calculation_Assumptions!$B$5+1)/Calculation_Assumptions!$B$7,0),1)</f>
        <v>1</v>
      </c>
      <c r="O177" s="21">
        <f t="shared" si="16"/>
        <v>639572109.35329497</v>
      </c>
      <c r="P177" s="21">
        <f t="shared" si="17"/>
        <v>639211548.58069301</v>
      </c>
      <c r="Q177" s="21">
        <f>P177*Calculation_Assumptions!$B$14*J177*K177</f>
        <v>0</v>
      </c>
      <c r="R177" s="21">
        <f t="shared" si="18"/>
        <v>5612245.259575163</v>
      </c>
      <c r="S177" s="21">
        <f t="shared" si="19"/>
        <v>5612245.259575163</v>
      </c>
      <c r="T177" s="32">
        <f>1/(1+Calculation_Assumptions!$B$8)^(B177-Calculation_Assumptions!$B$2)</f>
        <v>0.57028602681192497</v>
      </c>
      <c r="U177" s="21">
        <f t="shared" si="20"/>
        <v>0</v>
      </c>
      <c r="V177" s="21">
        <f t="shared" si="21"/>
        <v>3200585.0505771805</v>
      </c>
      <c r="W177" s="21">
        <f t="shared" si="22"/>
        <v>3200585.0505771805</v>
      </c>
      <c r="X177">
        <v>0</v>
      </c>
      <c r="Y177" s="18">
        <v>2017</v>
      </c>
      <c r="Z177" t="s">
        <v>387</v>
      </c>
      <c r="AA177" s="21">
        <f t="shared" si="23"/>
        <v>1</v>
      </c>
    </row>
    <row r="178" spans="1:27">
      <c r="A178" t="s">
        <v>224</v>
      </c>
      <c r="B178" s="18">
        <v>2045</v>
      </c>
      <c r="C178" t="s">
        <v>224</v>
      </c>
      <c r="D178" s="20" t="s">
        <v>399</v>
      </c>
      <c r="E178" s="20" t="s">
        <v>400</v>
      </c>
      <c r="F178" s="20" t="s">
        <v>227</v>
      </c>
      <c r="G178" s="20" t="s">
        <v>393</v>
      </c>
      <c r="H178" s="20" t="s">
        <v>384</v>
      </c>
      <c r="I178" s="29">
        <v>1</v>
      </c>
      <c r="J178" s="30">
        <v>1</v>
      </c>
      <c r="K178" s="31">
        <v>8.7749999999999998E-3</v>
      </c>
      <c r="L178" s="9">
        <v>641908920.02855599</v>
      </c>
      <c r="M178" s="9">
        <v>641520754.67294204</v>
      </c>
      <c r="N178" s="32">
        <f>MIN(MAX((B178-Calculation_Assumptions!$B$5+1)/Calculation_Assumptions!$B$7,0),1)</f>
        <v>1</v>
      </c>
      <c r="O178" s="21">
        <f t="shared" si="16"/>
        <v>641908920.02855599</v>
      </c>
      <c r="P178" s="21">
        <f t="shared" si="17"/>
        <v>641520754.67294204</v>
      </c>
      <c r="Q178" s="21">
        <f>P178*Calculation_Assumptions!$B$14*J178*K178</f>
        <v>0</v>
      </c>
      <c r="R178" s="21">
        <f t="shared" si="18"/>
        <v>5632750.7732505789</v>
      </c>
      <c r="S178" s="21">
        <f t="shared" si="19"/>
        <v>5632750.7732505789</v>
      </c>
      <c r="T178" s="32">
        <f>1/(1+Calculation_Assumptions!$B$8)^(B178-Calculation_Assumptions!$B$2)</f>
        <v>0.55367575418633497</v>
      </c>
      <c r="U178" s="21">
        <f t="shared" si="20"/>
        <v>0</v>
      </c>
      <c r="V178" s="21">
        <f t="shared" si="21"/>
        <v>3118717.5325231757</v>
      </c>
      <c r="W178" s="21">
        <f t="shared" si="22"/>
        <v>3118717.5325231757</v>
      </c>
      <c r="X178">
        <v>0</v>
      </c>
      <c r="Y178" s="18">
        <v>2017</v>
      </c>
      <c r="Z178" t="s">
        <v>387</v>
      </c>
      <c r="AA178" s="21">
        <f t="shared" si="23"/>
        <v>1</v>
      </c>
    </row>
    <row r="179" spans="1:27">
      <c r="A179" t="s">
        <v>224</v>
      </c>
      <c r="B179" s="18">
        <v>2046</v>
      </c>
      <c r="C179" t="s">
        <v>224</v>
      </c>
      <c r="D179" s="20" t="s">
        <v>399</v>
      </c>
      <c r="E179" s="20" t="s">
        <v>400</v>
      </c>
      <c r="F179" s="20" t="s">
        <v>227</v>
      </c>
      <c r="G179" s="20" t="s">
        <v>393</v>
      </c>
      <c r="H179" s="20" t="s">
        <v>384</v>
      </c>
      <c r="I179" s="29">
        <v>1</v>
      </c>
      <c r="J179" s="30">
        <v>1</v>
      </c>
      <c r="K179" s="31">
        <v>8.7749999999999998E-3</v>
      </c>
      <c r="L179" s="9">
        <v>644112759.59865999</v>
      </c>
      <c r="M179" s="9">
        <v>643697330.762573</v>
      </c>
      <c r="N179" s="32">
        <f>MIN(MAX((B179-Calculation_Assumptions!$B$5+1)/Calculation_Assumptions!$B$7,0),1)</f>
        <v>1</v>
      </c>
      <c r="O179" s="21">
        <f t="shared" si="16"/>
        <v>644112759.59865999</v>
      </c>
      <c r="P179" s="21">
        <f t="shared" si="17"/>
        <v>643697330.762573</v>
      </c>
      <c r="Q179" s="21">
        <f>P179*Calculation_Assumptions!$B$14*J179*K179</f>
        <v>0</v>
      </c>
      <c r="R179" s="21">
        <f t="shared" si="18"/>
        <v>5652089.4654782414</v>
      </c>
      <c r="S179" s="21">
        <f t="shared" si="19"/>
        <v>5652089.4654782414</v>
      </c>
      <c r="T179" s="32">
        <f>1/(1+Calculation_Assumptions!$B$8)^(B179-Calculation_Assumptions!$B$2)</f>
        <v>0.5375492759090631</v>
      </c>
      <c r="U179" s="21">
        <f t="shared" si="20"/>
        <v>0</v>
      </c>
      <c r="V179" s="21">
        <f t="shared" si="21"/>
        <v>3038276.5995410723</v>
      </c>
      <c r="W179" s="21">
        <f t="shared" si="22"/>
        <v>3038276.5995410723</v>
      </c>
      <c r="X179">
        <v>0</v>
      </c>
      <c r="Y179" s="18">
        <v>2017</v>
      </c>
      <c r="Z179" t="s">
        <v>387</v>
      </c>
      <c r="AA179" s="21">
        <f t="shared" si="23"/>
        <v>1</v>
      </c>
    </row>
    <row r="180" spans="1:27">
      <c r="A180" t="s">
        <v>224</v>
      </c>
      <c r="B180" s="18">
        <v>2047</v>
      </c>
      <c r="C180" t="s">
        <v>224</v>
      </c>
      <c r="D180" s="20" t="s">
        <v>399</v>
      </c>
      <c r="E180" s="20" t="s">
        <v>400</v>
      </c>
      <c r="F180" s="20" t="s">
        <v>227</v>
      </c>
      <c r="G180" s="20" t="s">
        <v>393</v>
      </c>
      <c r="H180" s="20" t="s">
        <v>384</v>
      </c>
      <c r="I180" s="29">
        <v>1</v>
      </c>
      <c r="J180" s="30">
        <v>1</v>
      </c>
      <c r="K180" s="31">
        <v>8.7749999999999998E-3</v>
      </c>
      <c r="L180" s="9">
        <v>646188168.09745002</v>
      </c>
      <c r="M180" s="9">
        <v>645745914.53009498</v>
      </c>
      <c r="N180" s="32">
        <f>MIN(MAX((B180-Calculation_Assumptions!$B$5+1)/Calculation_Assumptions!$B$7,0),1)</f>
        <v>1</v>
      </c>
      <c r="O180" s="21">
        <f t="shared" si="16"/>
        <v>646188168.09745002</v>
      </c>
      <c r="P180" s="21">
        <f t="shared" si="17"/>
        <v>645745914.53009498</v>
      </c>
      <c r="Q180" s="21">
        <f>P180*Calculation_Assumptions!$B$14*J180*K180</f>
        <v>0</v>
      </c>
      <c r="R180" s="21">
        <f t="shared" si="18"/>
        <v>5670301.1750551239</v>
      </c>
      <c r="S180" s="21">
        <f t="shared" si="19"/>
        <v>5670301.1750551239</v>
      </c>
      <c r="T180" s="32">
        <f>1/(1+Calculation_Assumptions!$B$8)^(B180-Calculation_Assumptions!$B$2)</f>
        <v>0.52189250088258554</v>
      </c>
      <c r="U180" s="21">
        <f t="shared" si="20"/>
        <v>0</v>
      </c>
      <c r="V180" s="21">
        <f t="shared" si="21"/>
        <v>2959287.661006982</v>
      </c>
      <c r="W180" s="21">
        <f t="shared" si="22"/>
        <v>2959287.661006982</v>
      </c>
      <c r="X180">
        <v>0</v>
      </c>
      <c r="Y180" s="18">
        <v>2017</v>
      </c>
      <c r="Z180" t="s">
        <v>387</v>
      </c>
      <c r="AA180" s="21">
        <f t="shared" si="23"/>
        <v>1</v>
      </c>
    </row>
    <row r="181" spans="1:27">
      <c r="A181" t="s">
        <v>224</v>
      </c>
      <c r="B181" s="18">
        <v>2048</v>
      </c>
      <c r="C181" t="s">
        <v>224</v>
      </c>
      <c r="D181" s="20" t="s">
        <v>399</v>
      </c>
      <c r="E181" s="20" t="s">
        <v>400</v>
      </c>
      <c r="F181" s="20" t="s">
        <v>227</v>
      </c>
      <c r="G181" s="20" t="s">
        <v>393</v>
      </c>
      <c r="H181" s="20" t="s">
        <v>384</v>
      </c>
      <c r="I181" s="29">
        <v>1</v>
      </c>
      <c r="J181" s="30">
        <v>1</v>
      </c>
      <c r="K181" s="31">
        <v>8.7749999999999998E-3</v>
      </c>
      <c r="L181" s="9">
        <v>648135351.92054605</v>
      </c>
      <c r="M181" s="9">
        <v>647666796.64810395</v>
      </c>
      <c r="N181" s="32">
        <f>MIN(MAX((B181-Calculation_Assumptions!$B$5+1)/Calculation_Assumptions!$B$7,0),1)</f>
        <v>1</v>
      </c>
      <c r="O181" s="21">
        <f t="shared" si="16"/>
        <v>648135351.92054605</v>
      </c>
      <c r="P181" s="21">
        <f t="shared" si="17"/>
        <v>647666796.64810395</v>
      </c>
      <c r="Q181" s="21">
        <f>P181*Calculation_Assumptions!$B$14*J181*K181</f>
        <v>0</v>
      </c>
      <c r="R181" s="21">
        <f t="shared" si="18"/>
        <v>5687387.7131027915</v>
      </c>
      <c r="S181" s="21">
        <f t="shared" si="19"/>
        <v>5687387.7131027915</v>
      </c>
      <c r="T181" s="32">
        <f>1/(1+Calculation_Assumptions!$B$8)^(B181-Calculation_Assumptions!$B$2)</f>
        <v>0.50669174842969467</v>
      </c>
      <c r="U181" s="21">
        <f t="shared" si="20"/>
        <v>0</v>
      </c>
      <c r="V181" s="21">
        <f t="shared" si="21"/>
        <v>2881752.4243496163</v>
      </c>
      <c r="W181" s="21">
        <f t="shared" si="22"/>
        <v>2881752.4243496163</v>
      </c>
      <c r="X181">
        <v>0</v>
      </c>
      <c r="Y181" s="18">
        <v>2017</v>
      </c>
      <c r="Z181" t="s">
        <v>387</v>
      </c>
      <c r="AA181" s="21">
        <f t="shared" si="23"/>
        <v>1</v>
      </c>
    </row>
    <row r="182" spans="1:27">
      <c r="A182" t="s">
        <v>224</v>
      </c>
      <c r="B182" s="18">
        <v>2049</v>
      </c>
      <c r="C182" t="s">
        <v>224</v>
      </c>
      <c r="D182" s="20" t="s">
        <v>399</v>
      </c>
      <c r="E182" s="20" t="s">
        <v>400</v>
      </c>
      <c r="F182" s="20" t="s">
        <v>227</v>
      </c>
      <c r="G182" s="20" t="s">
        <v>393</v>
      </c>
      <c r="H182" s="20" t="s">
        <v>384</v>
      </c>
      <c r="I182" s="29">
        <v>1</v>
      </c>
      <c r="J182" s="30">
        <v>1</v>
      </c>
      <c r="K182" s="31">
        <v>8.7749999999999998E-3</v>
      </c>
      <c r="L182" s="9">
        <v>649951303.96909106</v>
      </c>
      <c r="M182" s="9">
        <v>649421968.02473402</v>
      </c>
      <c r="N182" s="32">
        <f>MIN(MAX((B182-Calculation_Assumptions!$B$5+1)/Calculation_Assumptions!$B$7,0),1)</f>
        <v>1</v>
      </c>
      <c r="O182" s="21">
        <f t="shared" si="16"/>
        <v>649951303.96909106</v>
      </c>
      <c r="P182" s="21">
        <f t="shared" si="17"/>
        <v>649421968.02473402</v>
      </c>
      <c r="Q182" s="21">
        <f>P182*Calculation_Assumptions!$B$14*J182*K182</f>
        <v>0</v>
      </c>
      <c r="R182" s="21">
        <f t="shared" si="18"/>
        <v>5703322.6923287744</v>
      </c>
      <c r="S182" s="21">
        <f t="shared" si="19"/>
        <v>5703322.6923287744</v>
      </c>
      <c r="T182" s="32">
        <f>1/(1+Calculation_Assumptions!$B$8)^(B182-Calculation_Assumptions!$B$2)</f>
        <v>0.49193373633950943</v>
      </c>
      <c r="U182" s="21">
        <f t="shared" si="20"/>
        <v>0</v>
      </c>
      <c r="V182" s="21">
        <f t="shared" si="21"/>
        <v>2805656.8415872045</v>
      </c>
      <c r="W182" s="21">
        <f t="shared" si="22"/>
        <v>2805656.8415872045</v>
      </c>
      <c r="X182">
        <v>0</v>
      </c>
      <c r="Y182" s="18">
        <v>2017</v>
      </c>
      <c r="Z182" t="s">
        <v>387</v>
      </c>
      <c r="AA182" s="21">
        <f t="shared" si="23"/>
        <v>1</v>
      </c>
    </row>
    <row r="183" spans="1:27">
      <c r="A183" t="s">
        <v>224</v>
      </c>
      <c r="B183" s="18">
        <v>2050</v>
      </c>
      <c r="C183" t="s">
        <v>224</v>
      </c>
      <c r="D183" s="20" t="s">
        <v>399</v>
      </c>
      <c r="E183" s="20" t="s">
        <v>400</v>
      </c>
      <c r="F183" s="20" t="s">
        <v>227</v>
      </c>
      <c r="G183" s="20" t="s">
        <v>393</v>
      </c>
      <c r="H183" s="20" t="s">
        <v>384</v>
      </c>
      <c r="I183" s="29">
        <v>1</v>
      </c>
      <c r="J183" s="30">
        <v>1</v>
      </c>
      <c r="K183" s="31">
        <v>8.7749999999999998E-3</v>
      </c>
      <c r="L183" s="9">
        <v>651592487.81457198</v>
      </c>
      <c r="M183" s="9">
        <v>651074457.25957894</v>
      </c>
      <c r="N183" s="32">
        <f>MIN(MAX((B183-Calculation_Assumptions!$B$5+1)/Calculation_Assumptions!$B$7,0),1)</f>
        <v>1</v>
      </c>
      <c r="O183" s="21">
        <f t="shared" si="16"/>
        <v>651592487.81457198</v>
      </c>
      <c r="P183" s="21">
        <f t="shared" si="17"/>
        <v>651074457.25957894</v>
      </c>
      <c r="Q183" s="21">
        <f>P183*Calculation_Assumptions!$B$14*J183*K183</f>
        <v>0</v>
      </c>
      <c r="R183" s="21">
        <f t="shared" si="18"/>
        <v>5717724.0805728687</v>
      </c>
      <c r="S183" s="21">
        <f t="shared" si="19"/>
        <v>5717724.0805728687</v>
      </c>
      <c r="T183" s="32">
        <f>1/(1+Calculation_Assumptions!$B$8)^(B183-Calculation_Assumptions!$B$2)</f>
        <v>0.47760556926165965</v>
      </c>
      <c r="U183" s="21">
        <f t="shared" si="20"/>
        <v>0</v>
      </c>
      <c r="V183" s="21">
        <f t="shared" si="21"/>
        <v>2730816.8643831043</v>
      </c>
      <c r="W183" s="21">
        <f t="shared" si="22"/>
        <v>2730816.8643831043</v>
      </c>
      <c r="X183">
        <v>0</v>
      </c>
      <c r="Y183" s="18">
        <v>2017</v>
      </c>
      <c r="Z183" t="s">
        <v>387</v>
      </c>
      <c r="AA183" s="21">
        <f t="shared" si="23"/>
        <v>1</v>
      </c>
    </row>
    <row r="184" spans="1:27">
      <c r="A184" t="s">
        <v>210</v>
      </c>
      <c r="B184" s="18">
        <v>2025</v>
      </c>
      <c r="C184" t="s">
        <v>210</v>
      </c>
      <c r="D184" s="20" t="s">
        <v>395</v>
      </c>
      <c r="E184" s="20" t="s">
        <v>396</v>
      </c>
      <c r="F184" s="20" t="s">
        <v>213</v>
      </c>
      <c r="G184" s="20" t="s">
        <v>393</v>
      </c>
      <c r="H184" s="20" t="s">
        <v>384</v>
      </c>
      <c r="I184" s="29">
        <v>1</v>
      </c>
      <c r="J184" s="30">
        <v>1</v>
      </c>
      <c r="K184" s="31">
        <v>8.7749999999999998E-3</v>
      </c>
      <c r="L184" s="9">
        <v>575134853.59312999</v>
      </c>
      <c r="M184" s="9">
        <v>575134853.59312999</v>
      </c>
      <c r="N184" s="32">
        <f>MIN(MAX((B184-Calculation_Assumptions!$B$5+1)/Calculation_Assumptions!$B$7,0),1)</f>
        <v>0</v>
      </c>
      <c r="O184" s="21">
        <f t="shared" si="16"/>
        <v>575134853.59312999</v>
      </c>
      <c r="P184" s="21">
        <f t="shared" si="17"/>
        <v>575134853.59312999</v>
      </c>
      <c r="Q184" s="21">
        <f>P184*Calculation_Assumptions!$B$14*J184*K184</f>
        <v>0</v>
      </c>
      <c r="R184" s="21">
        <f t="shared" si="18"/>
        <v>0</v>
      </c>
      <c r="S184" s="21">
        <f t="shared" si="19"/>
        <v>0</v>
      </c>
      <c r="T184" s="32">
        <f>1/(1+Calculation_Assumptions!$B$8)^(B184-Calculation_Assumptions!$B$2)</f>
        <v>1</v>
      </c>
      <c r="U184" s="21">
        <f t="shared" si="20"/>
        <v>0</v>
      </c>
      <c r="V184" s="21">
        <f t="shared" si="21"/>
        <v>0</v>
      </c>
      <c r="W184" s="21">
        <f t="shared" si="22"/>
        <v>0</v>
      </c>
      <c r="X184">
        <v>0</v>
      </c>
      <c r="Y184" s="18">
        <v>2017</v>
      </c>
      <c r="Z184" t="s">
        <v>387</v>
      </c>
      <c r="AA184" s="21">
        <f t="shared" si="23"/>
        <v>1</v>
      </c>
    </row>
    <row r="185" spans="1:27">
      <c r="A185" t="s">
        <v>210</v>
      </c>
      <c r="B185" s="18">
        <v>2026</v>
      </c>
      <c r="C185" t="s">
        <v>210</v>
      </c>
      <c r="D185" s="20" t="s">
        <v>395</v>
      </c>
      <c r="E185" s="20" t="s">
        <v>396</v>
      </c>
      <c r="F185" s="20" t="s">
        <v>213</v>
      </c>
      <c r="G185" s="20" t="s">
        <v>393</v>
      </c>
      <c r="H185" s="20" t="s">
        <v>384</v>
      </c>
      <c r="I185" s="29">
        <v>1</v>
      </c>
      <c r="J185" s="30">
        <v>1</v>
      </c>
      <c r="K185" s="31">
        <v>8.7749999999999998E-3</v>
      </c>
      <c r="L185" s="9">
        <v>579268647.32329595</v>
      </c>
      <c r="M185" s="9">
        <v>579268647.32329595</v>
      </c>
      <c r="N185" s="32">
        <f>MIN(MAX((B185-Calculation_Assumptions!$B$5+1)/Calculation_Assumptions!$B$7,0),1)</f>
        <v>0.33333333333333331</v>
      </c>
      <c r="O185" s="21">
        <f t="shared" si="16"/>
        <v>579268647.32329595</v>
      </c>
      <c r="P185" s="21">
        <f t="shared" si="17"/>
        <v>579268647.32329595</v>
      </c>
      <c r="Q185" s="21">
        <f>P185*Calculation_Assumptions!$B$14*J185*K185</f>
        <v>0</v>
      </c>
      <c r="R185" s="21">
        <f t="shared" si="18"/>
        <v>1694360.7934206405</v>
      </c>
      <c r="S185" s="21">
        <f t="shared" si="19"/>
        <v>1694360.7934206405</v>
      </c>
      <c r="T185" s="32">
        <f>1/(1+Calculation_Assumptions!$B$8)^(B185-Calculation_Assumptions!$B$2)</f>
        <v>0.970873786407767</v>
      </c>
      <c r="U185" s="21">
        <f t="shared" si="20"/>
        <v>0</v>
      </c>
      <c r="V185" s="21">
        <f t="shared" si="21"/>
        <v>1645010.4790491655</v>
      </c>
      <c r="W185" s="21">
        <f t="shared" si="22"/>
        <v>1645010.4790491655</v>
      </c>
      <c r="X185">
        <v>0</v>
      </c>
      <c r="Y185" s="18">
        <v>2017</v>
      </c>
      <c r="Z185" t="s">
        <v>387</v>
      </c>
      <c r="AA185" s="21">
        <f t="shared" si="23"/>
        <v>1</v>
      </c>
    </row>
    <row r="186" spans="1:27">
      <c r="A186" t="s">
        <v>210</v>
      </c>
      <c r="B186" s="18">
        <v>2027</v>
      </c>
      <c r="C186" t="s">
        <v>210</v>
      </c>
      <c r="D186" s="20" t="s">
        <v>395</v>
      </c>
      <c r="E186" s="20" t="s">
        <v>396</v>
      </c>
      <c r="F186" s="20" t="s">
        <v>213</v>
      </c>
      <c r="G186" s="20" t="s">
        <v>393</v>
      </c>
      <c r="H186" s="20" t="s">
        <v>384</v>
      </c>
      <c r="I186" s="29">
        <v>1</v>
      </c>
      <c r="J186" s="30">
        <v>1</v>
      </c>
      <c r="K186" s="31">
        <v>8.7749999999999998E-3</v>
      </c>
      <c r="L186" s="9">
        <v>583039014.28645599</v>
      </c>
      <c r="M186" s="9">
        <v>583039014.28645599</v>
      </c>
      <c r="N186" s="32">
        <f>MIN(MAX((B186-Calculation_Assumptions!$B$5+1)/Calculation_Assumptions!$B$7,0),1)</f>
        <v>0.66666666666666663</v>
      </c>
      <c r="O186" s="21">
        <f t="shared" si="16"/>
        <v>583039014.28645599</v>
      </c>
      <c r="P186" s="21">
        <f t="shared" si="17"/>
        <v>583039014.28645599</v>
      </c>
      <c r="Q186" s="21">
        <f>P186*Calculation_Assumptions!$B$14*J186*K186</f>
        <v>0</v>
      </c>
      <c r="R186" s="21">
        <f t="shared" si="18"/>
        <v>3410778.2335757674</v>
      </c>
      <c r="S186" s="21">
        <f t="shared" si="19"/>
        <v>3410778.2335757674</v>
      </c>
      <c r="T186" s="32">
        <f>1/(1+Calculation_Assumptions!$B$8)^(B186-Calculation_Assumptions!$B$2)</f>
        <v>0.94259590913375435</v>
      </c>
      <c r="U186" s="21">
        <f t="shared" si="20"/>
        <v>0</v>
      </c>
      <c r="V186" s="21">
        <f t="shared" si="21"/>
        <v>3214985.6099309712</v>
      </c>
      <c r="W186" s="21">
        <f t="shared" si="22"/>
        <v>3214985.6099309712</v>
      </c>
      <c r="X186">
        <v>0</v>
      </c>
      <c r="Y186" s="18">
        <v>2017</v>
      </c>
      <c r="Z186" t="s">
        <v>387</v>
      </c>
      <c r="AA186" s="21">
        <f t="shared" si="23"/>
        <v>1</v>
      </c>
    </row>
    <row r="187" spans="1:27">
      <c r="A187" t="s">
        <v>210</v>
      </c>
      <c r="B187" s="18">
        <v>2028</v>
      </c>
      <c r="C187" t="s">
        <v>210</v>
      </c>
      <c r="D187" s="20" t="s">
        <v>395</v>
      </c>
      <c r="E187" s="20" t="s">
        <v>396</v>
      </c>
      <c r="F187" s="20" t="s">
        <v>213</v>
      </c>
      <c r="G187" s="20" t="s">
        <v>393</v>
      </c>
      <c r="H187" s="20" t="s">
        <v>384</v>
      </c>
      <c r="I187" s="29">
        <v>1</v>
      </c>
      <c r="J187" s="30">
        <v>1</v>
      </c>
      <c r="K187" s="31">
        <v>8.7749999999999998E-3</v>
      </c>
      <c r="L187" s="9">
        <v>587036222.07434702</v>
      </c>
      <c r="M187" s="9">
        <v>587035116.25746298</v>
      </c>
      <c r="N187" s="32">
        <f>MIN(MAX((B187-Calculation_Assumptions!$B$5+1)/Calculation_Assumptions!$B$7,0),1)</f>
        <v>1</v>
      </c>
      <c r="O187" s="21">
        <f t="shared" si="16"/>
        <v>587036222.07434702</v>
      </c>
      <c r="P187" s="21">
        <f t="shared" si="17"/>
        <v>587035116.25746298</v>
      </c>
      <c r="Q187" s="21">
        <f>P187*Calculation_Assumptions!$B$14*J187*K187</f>
        <v>0</v>
      </c>
      <c r="R187" s="21">
        <f t="shared" si="18"/>
        <v>5151242.8487023953</v>
      </c>
      <c r="S187" s="21">
        <f t="shared" si="19"/>
        <v>5151242.8487023953</v>
      </c>
      <c r="T187" s="32">
        <f>1/(1+Calculation_Assumptions!$B$8)^(B187-Calculation_Assumptions!$B$2)</f>
        <v>0.91514165935315961</v>
      </c>
      <c r="U187" s="21">
        <f t="shared" si="20"/>
        <v>0</v>
      </c>
      <c r="V187" s="21">
        <f t="shared" si="21"/>
        <v>4714116.928292607</v>
      </c>
      <c r="W187" s="21">
        <f t="shared" si="22"/>
        <v>4714116.928292607</v>
      </c>
      <c r="X187">
        <v>0</v>
      </c>
      <c r="Y187" s="18">
        <v>2017</v>
      </c>
      <c r="Z187" t="s">
        <v>387</v>
      </c>
      <c r="AA187" s="21">
        <f t="shared" si="23"/>
        <v>1</v>
      </c>
    </row>
    <row r="188" spans="1:27">
      <c r="A188" t="s">
        <v>210</v>
      </c>
      <c r="B188" s="18">
        <v>2029</v>
      </c>
      <c r="C188" t="s">
        <v>210</v>
      </c>
      <c r="D188" s="20" t="s">
        <v>395</v>
      </c>
      <c r="E188" s="20" t="s">
        <v>396</v>
      </c>
      <c r="F188" s="20" t="s">
        <v>213</v>
      </c>
      <c r="G188" s="20" t="s">
        <v>393</v>
      </c>
      <c r="H188" s="20" t="s">
        <v>384</v>
      </c>
      <c r="I188" s="29">
        <v>1</v>
      </c>
      <c r="J188" s="30">
        <v>1</v>
      </c>
      <c r="K188" s="31">
        <v>8.7749999999999998E-3</v>
      </c>
      <c r="L188" s="9">
        <v>590971835.26262701</v>
      </c>
      <c r="M188" s="9">
        <v>590968059.72178304</v>
      </c>
      <c r="N188" s="32">
        <f>MIN(MAX((B188-Calculation_Assumptions!$B$5+1)/Calculation_Assumptions!$B$7,0),1)</f>
        <v>1</v>
      </c>
      <c r="O188" s="21">
        <f t="shared" si="16"/>
        <v>590971835.26262701</v>
      </c>
      <c r="P188" s="21">
        <f t="shared" si="17"/>
        <v>590968059.72178304</v>
      </c>
      <c r="Q188" s="21">
        <f>P188*Calculation_Assumptions!$B$14*J188*K188</f>
        <v>0</v>
      </c>
      <c r="R188" s="21">
        <f t="shared" si="18"/>
        <v>5185777.8544295514</v>
      </c>
      <c r="S188" s="21">
        <f t="shared" si="19"/>
        <v>5185777.8544295514</v>
      </c>
      <c r="T188" s="32">
        <f>1/(1+Calculation_Assumptions!$B$8)^(B188-Calculation_Assumptions!$B$2)</f>
        <v>0.888487047915689</v>
      </c>
      <c r="U188" s="21">
        <f t="shared" si="20"/>
        <v>0</v>
      </c>
      <c r="V188" s="21">
        <f t="shared" si="21"/>
        <v>4607496.4570286674</v>
      </c>
      <c r="W188" s="21">
        <f t="shared" si="22"/>
        <v>4607496.4570286674</v>
      </c>
      <c r="X188">
        <v>0</v>
      </c>
      <c r="Y188" s="18">
        <v>2017</v>
      </c>
      <c r="Z188" t="s">
        <v>387</v>
      </c>
      <c r="AA188" s="21">
        <f t="shared" si="23"/>
        <v>1</v>
      </c>
    </row>
    <row r="189" spans="1:27">
      <c r="A189" t="s">
        <v>210</v>
      </c>
      <c r="B189" s="18">
        <v>2030</v>
      </c>
      <c r="C189" t="s">
        <v>210</v>
      </c>
      <c r="D189" s="20" t="s">
        <v>395</v>
      </c>
      <c r="E189" s="20" t="s">
        <v>396</v>
      </c>
      <c r="F189" s="20" t="s">
        <v>213</v>
      </c>
      <c r="G189" s="20" t="s">
        <v>393</v>
      </c>
      <c r="H189" s="20" t="s">
        <v>384</v>
      </c>
      <c r="I189" s="29">
        <v>1</v>
      </c>
      <c r="J189" s="30">
        <v>1</v>
      </c>
      <c r="K189" s="31">
        <v>8.7749999999999998E-3</v>
      </c>
      <c r="L189" s="9">
        <v>594816359.88381696</v>
      </c>
      <c r="M189" s="9">
        <v>594808018.62654305</v>
      </c>
      <c r="N189" s="32">
        <f>MIN(MAX((B189-Calculation_Assumptions!$B$5+1)/Calculation_Assumptions!$B$7,0),1)</f>
        <v>1</v>
      </c>
      <c r="O189" s="21">
        <f t="shared" si="16"/>
        <v>594816359.88381696</v>
      </c>
      <c r="P189" s="21">
        <f t="shared" si="17"/>
        <v>594808018.62654305</v>
      </c>
      <c r="Q189" s="21">
        <f>P189*Calculation_Assumptions!$B$14*J189*K189</f>
        <v>0</v>
      </c>
      <c r="R189" s="21">
        <f t="shared" si="18"/>
        <v>5219513.5579804936</v>
      </c>
      <c r="S189" s="21">
        <f t="shared" si="19"/>
        <v>5219513.5579804936</v>
      </c>
      <c r="T189" s="32">
        <f>1/(1+Calculation_Assumptions!$B$8)^(B189-Calculation_Assumptions!$B$2)</f>
        <v>0.86260878438416411</v>
      </c>
      <c r="U189" s="21">
        <f t="shared" si="20"/>
        <v>0</v>
      </c>
      <c r="V189" s="21">
        <f t="shared" si="21"/>
        <v>4502398.2453262173</v>
      </c>
      <c r="W189" s="21">
        <f t="shared" si="22"/>
        <v>4502398.2453262173</v>
      </c>
      <c r="X189">
        <v>0</v>
      </c>
      <c r="Y189" s="18">
        <v>2017</v>
      </c>
      <c r="Z189" t="s">
        <v>387</v>
      </c>
      <c r="AA189" s="21">
        <f t="shared" si="23"/>
        <v>1</v>
      </c>
    </row>
    <row r="190" spans="1:27">
      <c r="A190" t="s">
        <v>210</v>
      </c>
      <c r="B190" s="18">
        <v>2031</v>
      </c>
      <c r="C190" t="s">
        <v>210</v>
      </c>
      <c r="D190" s="20" t="s">
        <v>395</v>
      </c>
      <c r="E190" s="20" t="s">
        <v>396</v>
      </c>
      <c r="F190" s="20" t="s">
        <v>213</v>
      </c>
      <c r="G190" s="20" t="s">
        <v>393</v>
      </c>
      <c r="H190" s="20" t="s">
        <v>384</v>
      </c>
      <c r="I190" s="29">
        <v>1</v>
      </c>
      <c r="J190" s="30">
        <v>1</v>
      </c>
      <c r="K190" s="31">
        <v>8.7749999999999998E-3</v>
      </c>
      <c r="L190" s="9">
        <v>598596387.24002004</v>
      </c>
      <c r="M190" s="9">
        <v>598581381.03442597</v>
      </c>
      <c r="N190" s="32">
        <f>MIN(MAX((B190-Calculation_Assumptions!$B$5+1)/Calculation_Assumptions!$B$7,0),1)</f>
        <v>1</v>
      </c>
      <c r="O190" s="21">
        <f t="shared" si="16"/>
        <v>598596387.24002004</v>
      </c>
      <c r="P190" s="21">
        <f t="shared" si="17"/>
        <v>598581381.03442597</v>
      </c>
      <c r="Q190" s="21">
        <f>P190*Calculation_Assumptions!$B$14*J190*K190</f>
        <v>0</v>
      </c>
      <c r="R190" s="21">
        <f t="shared" si="18"/>
        <v>5252683.2980311755</v>
      </c>
      <c r="S190" s="21">
        <f t="shared" si="19"/>
        <v>5252683.2980311755</v>
      </c>
      <c r="T190" s="32">
        <f>1/(1+Calculation_Assumptions!$B$8)^(B190-Calculation_Assumptions!$B$2)</f>
        <v>0.83748425668365445</v>
      </c>
      <c r="U190" s="21">
        <f t="shared" si="20"/>
        <v>0</v>
      </c>
      <c r="V190" s="21">
        <f t="shared" si="21"/>
        <v>4399039.5674462859</v>
      </c>
      <c r="W190" s="21">
        <f t="shared" si="22"/>
        <v>4399039.5674462859</v>
      </c>
      <c r="X190">
        <v>0</v>
      </c>
      <c r="Y190" s="18">
        <v>2017</v>
      </c>
      <c r="Z190" t="s">
        <v>387</v>
      </c>
      <c r="AA190" s="21">
        <f t="shared" si="23"/>
        <v>1</v>
      </c>
    </row>
    <row r="191" spans="1:27">
      <c r="A191" t="s">
        <v>210</v>
      </c>
      <c r="B191" s="18">
        <v>2032</v>
      </c>
      <c r="C191" t="s">
        <v>210</v>
      </c>
      <c r="D191" s="20" t="s">
        <v>395</v>
      </c>
      <c r="E191" s="20" t="s">
        <v>396</v>
      </c>
      <c r="F191" s="20" t="s">
        <v>213</v>
      </c>
      <c r="G191" s="20" t="s">
        <v>393</v>
      </c>
      <c r="H191" s="20" t="s">
        <v>384</v>
      </c>
      <c r="I191" s="29">
        <v>1</v>
      </c>
      <c r="J191" s="30">
        <v>1</v>
      </c>
      <c r="K191" s="31">
        <v>8.7749999999999998E-3</v>
      </c>
      <c r="L191" s="9">
        <v>602307557.56565297</v>
      </c>
      <c r="M191" s="9">
        <v>602283583.58638096</v>
      </c>
      <c r="N191" s="32">
        <f>MIN(MAX((B191-Calculation_Assumptions!$B$5+1)/Calculation_Assumptions!$B$7,0),1)</f>
        <v>1</v>
      </c>
      <c r="O191" s="21">
        <f t="shared" si="16"/>
        <v>602307557.56565297</v>
      </c>
      <c r="P191" s="21">
        <f t="shared" si="17"/>
        <v>602283583.58638096</v>
      </c>
      <c r="Q191" s="21">
        <f>P191*Calculation_Assumptions!$B$14*J191*K191</f>
        <v>0</v>
      </c>
      <c r="R191" s="21">
        <f t="shared" si="18"/>
        <v>5285248.8176386049</v>
      </c>
      <c r="S191" s="21">
        <f t="shared" si="19"/>
        <v>5285248.8176386049</v>
      </c>
      <c r="T191" s="32">
        <f>1/(1+Calculation_Assumptions!$B$8)^(B191-Calculation_Assumptions!$B$2)</f>
        <v>0.81309151134335378</v>
      </c>
      <c r="U191" s="21">
        <f t="shared" si="20"/>
        <v>0</v>
      </c>
      <c r="V191" s="21">
        <f t="shared" si="21"/>
        <v>4297390.9489594465</v>
      </c>
      <c r="W191" s="21">
        <f t="shared" si="22"/>
        <v>4297390.9489594465</v>
      </c>
      <c r="X191">
        <v>0</v>
      </c>
      <c r="Y191" s="18">
        <v>2017</v>
      </c>
      <c r="Z191" t="s">
        <v>387</v>
      </c>
      <c r="AA191" s="21">
        <f t="shared" si="23"/>
        <v>1</v>
      </c>
    </row>
    <row r="192" spans="1:27">
      <c r="A192" t="s">
        <v>210</v>
      </c>
      <c r="B192" s="18">
        <v>2033</v>
      </c>
      <c r="C192" t="s">
        <v>210</v>
      </c>
      <c r="D192" s="20" t="s">
        <v>395</v>
      </c>
      <c r="E192" s="20" t="s">
        <v>396</v>
      </c>
      <c r="F192" s="20" t="s">
        <v>213</v>
      </c>
      <c r="G192" s="20" t="s">
        <v>393</v>
      </c>
      <c r="H192" s="20" t="s">
        <v>384</v>
      </c>
      <c r="I192" s="29">
        <v>1</v>
      </c>
      <c r="J192" s="30">
        <v>1</v>
      </c>
      <c r="K192" s="31">
        <v>8.7749999999999998E-3</v>
      </c>
      <c r="L192" s="9">
        <v>605946252.33013904</v>
      </c>
      <c r="M192" s="9">
        <v>605911902.99473</v>
      </c>
      <c r="N192" s="32">
        <f>MIN(MAX((B192-Calculation_Assumptions!$B$5+1)/Calculation_Assumptions!$B$7,0),1)</f>
        <v>1</v>
      </c>
      <c r="O192" s="21">
        <f t="shared" si="16"/>
        <v>605946252.33013904</v>
      </c>
      <c r="P192" s="21">
        <f t="shared" si="17"/>
        <v>605911902.99473</v>
      </c>
      <c r="Q192" s="21">
        <f>P192*Calculation_Assumptions!$B$14*J192*K192</f>
        <v>0</v>
      </c>
      <c r="R192" s="21">
        <f t="shared" si="18"/>
        <v>5317178.3641969701</v>
      </c>
      <c r="S192" s="21">
        <f t="shared" si="19"/>
        <v>5317178.3641969701</v>
      </c>
      <c r="T192" s="32">
        <f>1/(1+Calculation_Assumptions!$B$8)^(B192-Calculation_Assumptions!$B$2)</f>
        <v>0.78940923431393573</v>
      </c>
      <c r="U192" s="21">
        <f t="shared" si="20"/>
        <v>0</v>
      </c>
      <c r="V192" s="21">
        <f t="shared" si="21"/>
        <v>4197429.7011913555</v>
      </c>
      <c r="W192" s="21">
        <f t="shared" si="22"/>
        <v>4197429.7011913555</v>
      </c>
      <c r="X192">
        <v>0</v>
      </c>
      <c r="Y192" s="18">
        <v>2017</v>
      </c>
      <c r="Z192" t="s">
        <v>387</v>
      </c>
      <c r="AA192" s="21">
        <f t="shared" si="23"/>
        <v>1</v>
      </c>
    </row>
    <row r="193" spans="1:27">
      <c r="A193" t="s">
        <v>210</v>
      </c>
      <c r="B193" s="18">
        <v>2034</v>
      </c>
      <c r="C193" t="s">
        <v>210</v>
      </c>
      <c r="D193" s="20" t="s">
        <v>395</v>
      </c>
      <c r="E193" s="20" t="s">
        <v>396</v>
      </c>
      <c r="F193" s="20" t="s">
        <v>213</v>
      </c>
      <c r="G193" s="20" t="s">
        <v>393</v>
      </c>
      <c r="H193" s="20" t="s">
        <v>384</v>
      </c>
      <c r="I193" s="29">
        <v>1</v>
      </c>
      <c r="J193" s="30">
        <v>1</v>
      </c>
      <c r="K193" s="31">
        <v>8.7749999999999998E-3</v>
      </c>
      <c r="L193" s="9">
        <v>609482750.51504195</v>
      </c>
      <c r="M193" s="9">
        <v>609455548.12077105</v>
      </c>
      <c r="N193" s="32">
        <f>MIN(MAX((B193-Calculation_Assumptions!$B$5+1)/Calculation_Assumptions!$B$7,0),1)</f>
        <v>1</v>
      </c>
      <c r="O193" s="21">
        <f t="shared" si="16"/>
        <v>609482750.51504195</v>
      </c>
      <c r="P193" s="21">
        <f t="shared" si="17"/>
        <v>609455548.12077105</v>
      </c>
      <c r="Q193" s="21">
        <f>P193*Calculation_Assumptions!$B$14*J193*K193</f>
        <v>0</v>
      </c>
      <c r="R193" s="21">
        <f t="shared" si="18"/>
        <v>5348211.1357694929</v>
      </c>
      <c r="S193" s="21">
        <f t="shared" si="19"/>
        <v>5348211.1357694929</v>
      </c>
      <c r="T193" s="32">
        <f>1/(1+Calculation_Assumptions!$B$8)^(B193-Calculation_Assumptions!$B$2)</f>
        <v>0.76641673234362695</v>
      </c>
      <c r="U193" s="21">
        <f t="shared" si="20"/>
        <v>0</v>
      </c>
      <c r="V193" s="21">
        <f t="shared" si="21"/>
        <v>4098958.5025602528</v>
      </c>
      <c r="W193" s="21">
        <f t="shared" si="22"/>
        <v>4098958.5025602528</v>
      </c>
      <c r="X193">
        <v>0</v>
      </c>
      <c r="Y193" s="18">
        <v>2017</v>
      </c>
      <c r="Z193" t="s">
        <v>387</v>
      </c>
      <c r="AA193" s="21">
        <f t="shared" si="23"/>
        <v>1</v>
      </c>
    </row>
    <row r="194" spans="1:27">
      <c r="A194" t="s">
        <v>210</v>
      </c>
      <c r="B194" s="18">
        <v>2035</v>
      </c>
      <c r="C194" t="s">
        <v>210</v>
      </c>
      <c r="D194" s="20" t="s">
        <v>395</v>
      </c>
      <c r="E194" s="20" t="s">
        <v>396</v>
      </c>
      <c r="F194" s="20" t="s">
        <v>213</v>
      </c>
      <c r="G194" s="20" t="s">
        <v>393</v>
      </c>
      <c r="H194" s="20" t="s">
        <v>384</v>
      </c>
      <c r="I194" s="29">
        <v>1</v>
      </c>
      <c r="J194" s="30">
        <v>1</v>
      </c>
      <c r="K194" s="31">
        <v>8.7749999999999998E-3</v>
      </c>
      <c r="L194" s="9">
        <v>612942056.23757696</v>
      </c>
      <c r="M194" s="9">
        <v>612884294.47334194</v>
      </c>
      <c r="N194" s="32">
        <f>MIN(MAX((B194-Calculation_Assumptions!$B$5+1)/Calculation_Assumptions!$B$7,0),1)</f>
        <v>1</v>
      </c>
      <c r="O194" s="21">
        <f t="shared" ref="O194:O257" si="24">L194*I194</f>
        <v>612942056.23757696</v>
      </c>
      <c r="P194" s="21">
        <f t="shared" ref="P194:P257" si="25">M194*I194</f>
        <v>612884294.47334194</v>
      </c>
      <c r="Q194" s="21">
        <f>P194*Calculation_Assumptions!$B$14*J194*K194</f>
        <v>0</v>
      </c>
      <c r="R194" s="21">
        <f t="shared" ref="R194:R257" si="26">O194*N194*J194*K194</f>
        <v>5378566.5434847381</v>
      </c>
      <c r="S194" s="21">
        <f t="shared" ref="S194:S257" si="27">R194-Q194</f>
        <v>5378566.5434847381</v>
      </c>
      <c r="T194" s="32">
        <f>1/(1+Calculation_Assumptions!$B$8)^(B194-Calculation_Assumptions!$B$2)</f>
        <v>0.74409391489672516</v>
      </c>
      <c r="U194" s="21">
        <f t="shared" ref="U194:U257" si="28">Q194*T194</f>
        <v>0</v>
      </c>
      <c r="V194" s="21">
        <f t="shared" ref="V194:V257" si="29">R194*T194</f>
        <v>4002158.6358741061</v>
      </c>
      <c r="W194" s="21">
        <f t="shared" ref="W194:W257" si="30">S194*T194</f>
        <v>4002158.6358741061</v>
      </c>
      <c r="X194">
        <v>0</v>
      </c>
      <c r="Y194" s="18">
        <v>2017</v>
      </c>
      <c r="Z194" t="s">
        <v>387</v>
      </c>
      <c r="AA194" s="21">
        <f t="shared" ref="AA194:AA257" si="31">IF(G194="shared-count-once",COUNTIFS($A$2:$A$807,A194,$B$2:$B$807,B194,$D$2:$D$807,D194),1)</f>
        <v>1</v>
      </c>
    </row>
    <row r="195" spans="1:27">
      <c r="A195" t="s">
        <v>210</v>
      </c>
      <c r="B195" s="18">
        <v>2036</v>
      </c>
      <c r="C195" t="s">
        <v>210</v>
      </c>
      <c r="D195" s="20" t="s">
        <v>395</v>
      </c>
      <c r="E195" s="20" t="s">
        <v>396</v>
      </c>
      <c r="F195" s="20" t="s">
        <v>213</v>
      </c>
      <c r="G195" s="20" t="s">
        <v>393</v>
      </c>
      <c r="H195" s="20" t="s">
        <v>384</v>
      </c>
      <c r="I195" s="29">
        <v>1</v>
      </c>
      <c r="J195" s="30">
        <v>1</v>
      </c>
      <c r="K195" s="31">
        <v>8.7749999999999998E-3</v>
      </c>
      <c r="L195" s="9">
        <v>616312813.991768</v>
      </c>
      <c r="M195" s="9">
        <v>616262053.85817397</v>
      </c>
      <c r="N195" s="32">
        <f>MIN(MAX((B195-Calculation_Assumptions!$B$5+1)/Calculation_Assumptions!$B$7,0),1)</f>
        <v>1</v>
      </c>
      <c r="O195" s="21">
        <f t="shared" si="24"/>
        <v>616312813.991768</v>
      </c>
      <c r="P195" s="21">
        <f t="shared" si="25"/>
        <v>616262053.85817397</v>
      </c>
      <c r="Q195" s="21">
        <f>P195*Calculation_Assumptions!$B$14*J195*K195</f>
        <v>0</v>
      </c>
      <c r="R195" s="21">
        <f t="shared" si="26"/>
        <v>5408144.9427777641</v>
      </c>
      <c r="S195" s="21">
        <f t="shared" si="27"/>
        <v>5408144.9427777641</v>
      </c>
      <c r="T195" s="32">
        <f>1/(1+Calculation_Assumptions!$B$8)^(B195-Calculation_Assumptions!$B$2)</f>
        <v>0.72242127659876232</v>
      </c>
      <c r="U195" s="21">
        <f t="shared" si="28"/>
        <v>0</v>
      </c>
      <c r="V195" s="21">
        <f t="shared" si="29"/>
        <v>3906958.9735926525</v>
      </c>
      <c r="W195" s="21">
        <f t="shared" si="30"/>
        <v>3906958.9735926525</v>
      </c>
      <c r="X195">
        <v>0</v>
      </c>
      <c r="Y195" s="18">
        <v>2017</v>
      </c>
      <c r="Z195" t="s">
        <v>387</v>
      </c>
      <c r="AA195" s="21">
        <f t="shared" si="31"/>
        <v>1</v>
      </c>
    </row>
    <row r="196" spans="1:27">
      <c r="A196" t="s">
        <v>210</v>
      </c>
      <c r="B196" s="18">
        <v>2037</v>
      </c>
      <c r="C196" t="s">
        <v>210</v>
      </c>
      <c r="D196" s="20" t="s">
        <v>395</v>
      </c>
      <c r="E196" s="20" t="s">
        <v>396</v>
      </c>
      <c r="F196" s="20" t="s">
        <v>213</v>
      </c>
      <c r="G196" s="20" t="s">
        <v>393</v>
      </c>
      <c r="H196" s="20" t="s">
        <v>384</v>
      </c>
      <c r="I196" s="29">
        <v>1</v>
      </c>
      <c r="J196" s="30">
        <v>1</v>
      </c>
      <c r="K196" s="31">
        <v>8.7749999999999998E-3</v>
      </c>
      <c r="L196" s="9">
        <v>619592714.85602105</v>
      </c>
      <c r="M196" s="9">
        <v>619529380.90729904</v>
      </c>
      <c r="N196" s="32">
        <f>MIN(MAX((B196-Calculation_Assumptions!$B$5+1)/Calculation_Assumptions!$B$7,0),1)</f>
        <v>1</v>
      </c>
      <c r="O196" s="21">
        <f t="shared" si="24"/>
        <v>619592714.85602105</v>
      </c>
      <c r="P196" s="21">
        <f t="shared" si="25"/>
        <v>619529380.90729904</v>
      </c>
      <c r="Q196" s="21">
        <f>P196*Calculation_Assumptions!$B$14*J196*K196</f>
        <v>0</v>
      </c>
      <c r="R196" s="21">
        <f t="shared" si="26"/>
        <v>5436926.0728615848</v>
      </c>
      <c r="S196" s="21">
        <f t="shared" si="27"/>
        <v>5436926.0728615848</v>
      </c>
      <c r="T196" s="32">
        <f>1/(1+Calculation_Assumptions!$B$8)^(B196-Calculation_Assumptions!$B$2)</f>
        <v>0.70137988019297326</v>
      </c>
      <c r="U196" s="21">
        <f t="shared" si="28"/>
        <v>0</v>
      </c>
      <c r="V196" s="21">
        <f t="shared" si="29"/>
        <v>3813350.5576017108</v>
      </c>
      <c r="W196" s="21">
        <f t="shared" si="30"/>
        <v>3813350.5576017108</v>
      </c>
      <c r="X196">
        <v>0</v>
      </c>
      <c r="Y196" s="18">
        <v>2017</v>
      </c>
      <c r="Z196" t="s">
        <v>387</v>
      </c>
      <c r="AA196" s="21">
        <f t="shared" si="31"/>
        <v>1</v>
      </c>
    </row>
    <row r="197" spans="1:27">
      <c r="A197" t="s">
        <v>210</v>
      </c>
      <c r="B197" s="18">
        <v>2038</v>
      </c>
      <c r="C197" t="s">
        <v>210</v>
      </c>
      <c r="D197" s="20" t="s">
        <v>395</v>
      </c>
      <c r="E197" s="20" t="s">
        <v>396</v>
      </c>
      <c r="F197" s="20" t="s">
        <v>213</v>
      </c>
      <c r="G197" s="20" t="s">
        <v>393</v>
      </c>
      <c r="H197" s="20" t="s">
        <v>384</v>
      </c>
      <c r="I197" s="29">
        <v>1</v>
      </c>
      <c r="J197" s="30">
        <v>1</v>
      </c>
      <c r="K197" s="31">
        <v>8.7749999999999998E-3</v>
      </c>
      <c r="L197" s="9">
        <v>622770344.51243305</v>
      </c>
      <c r="M197" s="9">
        <v>622673191.62836504</v>
      </c>
      <c r="N197" s="32">
        <f>MIN(MAX((B197-Calculation_Assumptions!$B$5+1)/Calculation_Assumptions!$B$7,0),1)</f>
        <v>1</v>
      </c>
      <c r="O197" s="21">
        <f t="shared" si="24"/>
        <v>622770344.51243305</v>
      </c>
      <c r="P197" s="21">
        <f t="shared" si="25"/>
        <v>622673191.62836504</v>
      </c>
      <c r="Q197" s="21">
        <f>P197*Calculation_Assumptions!$B$14*J197*K197</f>
        <v>0</v>
      </c>
      <c r="R197" s="21">
        <f t="shared" si="26"/>
        <v>5464809.7730965996</v>
      </c>
      <c r="S197" s="21">
        <f t="shared" si="27"/>
        <v>5464809.7730965996</v>
      </c>
      <c r="T197" s="32">
        <f>1/(1+Calculation_Assumptions!$B$8)^(B197-Calculation_Assumptions!$B$2)</f>
        <v>0.68095133999317792</v>
      </c>
      <c r="U197" s="21">
        <f t="shared" si="28"/>
        <v>0</v>
      </c>
      <c r="V197" s="21">
        <f t="shared" si="29"/>
        <v>3721269.5377979442</v>
      </c>
      <c r="W197" s="21">
        <f t="shared" si="30"/>
        <v>3721269.5377979442</v>
      </c>
      <c r="X197">
        <v>0</v>
      </c>
      <c r="Y197" s="18">
        <v>2017</v>
      </c>
      <c r="Z197" t="s">
        <v>387</v>
      </c>
      <c r="AA197" s="21">
        <f t="shared" si="31"/>
        <v>1</v>
      </c>
    </row>
    <row r="198" spans="1:27">
      <c r="A198" t="s">
        <v>210</v>
      </c>
      <c r="B198" s="18">
        <v>2039</v>
      </c>
      <c r="C198" t="s">
        <v>210</v>
      </c>
      <c r="D198" s="20" t="s">
        <v>395</v>
      </c>
      <c r="E198" s="20" t="s">
        <v>396</v>
      </c>
      <c r="F198" s="20" t="s">
        <v>213</v>
      </c>
      <c r="G198" s="20" t="s">
        <v>393</v>
      </c>
      <c r="H198" s="20" t="s">
        <v>384</v>
      </c>
      <c r="I198" s="29">
        <v>1</v>
      </c>
      <c r="J198" s="30">
        <v>1</v>
      </c>
      <c r="K198" s="31">
        <v>8.7749999999999998E-3</v>
      </c>
      <c r="L198" s="9">
        <v>625842668.57336199</v>
      </c>
      <c r="M198" s="9">
        <v>625731758.218045</v>
      </c>
      <c r="N198" s="32">
        <f>MIN(MAX((B198-Calculation_Assumptions!$B$5+1)/Calculation_Assumptions!$B$7,0),1)</f>
        <v>1</v>
      </c>
      <c r="O198" s="21">
        <f t="shared" si="24"/>
        <v>625842668.57336199</v>
      </c>
      <c r="P198" s="21">
        <f t="shared" si="25"/>
        <v>625731758.218045</v>
      </c>
      <c r="Q198" s="21">
        <f>P198*Calculation_Assumptions!$B$14*J198*K198</f>
        <v>0</v>
      </c>
      <c r="R198" s="21">
        <f t="shared" si="26"/>
        <v>5491769.4167312514</v>
      </c>
      <c r="S198" s="21">
        <f t="shared" si="27"/>
        <v>5491769.4167312514</v>
      </c>
      <c r="T198" s="32">
        <f>1/(1+Calculation_Assumptions!$B$8)^(B198-Calculation_Assumptions!$B$2)</f>
        <v>0.66111780581861923</v>
      </c>
      <c r="U198" s="21">
        <f t="shared" si="28"/>
        <v>0</v>
      </c>
      <c r="V198" s="21">
        <f t="shared" si="29"/>
        <v>3630706.5468511633</v>
      </c>
      <c r="W198" s="21">
        <f t="shared" si="30"/>
        <v>3630706.5468511633</v>
      </c>
      <c r="X198">
        <v>0</v>
      </c>
      <c r="Y198" s="18">
        <v>2017</v>
      </c>
      <c r="Z198" t="s">
        <v>387</v>
      </c>
      <c r="AA198" s="21">
        <f t="shared" si="31"/>
        <v>1</v>
      </c>
    </row>
    <row r="199" spans="1:27">
      <c r="A199" t="s">
        <v>210</v>
      </c>
      <c r="B199" s="18">
        <v>2040</v>
      </c>
      <c r="C199" t="s">
        <v>210</v>
      </c>
      <c r="D199" s="20" t="s">
        <v>395</v>
      </c>
      <c r="E199" s="20" t="s">
        <v>396</v>
      </c>
      <c r="F199" s="20" t="s">
        <v>213</v>
      </c>
      <c r="G199" s="20" t="s">
        <v>393</v>
      </c>
      <c r="H199" s="20" t="s">
        <v>384</v>
      </c>
      <c r="I199" s="29">
        <v>1</v>
      </c>
      <c r="J199" s="30">
        <v>1</v>
      </c>
      <c r="K199" s="31">
        <v>8.7749999999999998E-3</v>
      </c>
      <c r="L199" s="9">
        <v>628792348.11175299</v>
      </c>
      <c r="M199" s="9">
        <v>628667498.21665299</v>
      </c>
      <c r="N199" s="32">
        <f>MIN(MAX((B199-Calculation_Assumptions!$B$5+1)/Calculation_Assumptions!$B$7,0),1)</f>
        <v>1</v>
      </c>
      <c r="O199" s="21">
        <f t="shared" si="24"/>
        <v>628792348.11175299</v>
      </c>
      <c r="P199" s="21">
        <f t="shared" si="25"/>
        <v>628667498.21665299</v>
      </c>
      <c r="Q199" s="21">
        <f>P199*Calculation_Assumptions!$B$14*J199*K199</f>
        <v>0</v>
      </c>
      <c r="R199" s="21">
        <f t="shared" si="26"/>
        <v>5517652.8546806322</v>
      </c>
      <c r="S199" s="21">
        <f t="shared" si="27"/>
        <v>5517652.8546806322</v>
      </c>
      <c r="T199" s="32">
        <f>1/(1+Calculation_Assumptions!$B$8)^(B199-Calculation_Assumptions!$B$2)</f>
        <v>0.64186194739671765</v>
      </c>
      <c r="U199" s="21">
        <f t="shared" si="28"/>
        <v>0</v>
      </c>
      <c r="V199" s="21">
        <f t="shared" si="29"/>
        <v>3541571.4063643687</v>
      </c>
      <c r="W199" s="21">
        <f t="shared" si="30"/>
        <v>3541571.4063643687</v>
      </c>
      <c r="X199">
        <v>0</v>
      </c>
      <c r="Y199" s="18">
        <v>2017</v>
      </c>
      <c r="Z199" t="s">
        <v>387</v>
      </c>
      <c r="AA199" s="21">
        <f t="shared" si="31"/>
        <v>1</v>
      </c>
    </row>
    <row r="200" spans="1:27">
      <c r="A200" t="s">
        <v>210</v>
      </c>
      <c r="B200" s="18">
        <v>2041</v>
      </c>
      <c r="C200" t="s">
        <v>210</v>
      </c>
      <c r="D200" s="20" t="s">
        <v>395</v>
      </c>
      <c r="E200" s="20" t="s">
        <v>396</v>
      </c>
      <c r="F200" s="20" t="s">
        <v>213</v>
      </c>
      <c r="G200" s="20" t="s">
        <v>393</v>
      </c>
      <c r="H200" s="20" t="s">
        <v>384</v>
      </c>
      <c r="I200" s="29">
        <v>1</v>
      </c>
      <c r="J200" s="30">
        <v>1</v>
      </c>
      <c r="K200" s="31">
        <v>8.7749999999999998E-3</v>
      </c>
      <c r="L200" s="9">
        <v>631627298.48371005</v>
      </c>
      <c r="M200" s="9">
        <v>631488405.68781996</v>
      </c>
      <c r="N200" s="32">
        <f>MIN(MAX((B200-Calculation_Assumptions!$B$5+1)/Calculation_Assumptions!$B$7,0),1)</f>
        <v>1</v>
      </c>
      <c r="O200" s="21">
        <f t="shared" si="24"/>
        <v>631627298.48371005</v>
      </c>
      <c r="P200" s="21">
        <f t="shared" si="25"/>
        <v>631488405.68781996</v>
      </c>
      <c r="Q200" s="21">
        <f>P200*Calculation_Assumptions!$B$14*J200*K200</f>
        <v>0</v>
      </c>
      <c r="R200" s="21">
        <f t="shared" si="26"/>
        <v>5542529.5441945558</v>
      </c>
      <c r="S200" s="21">
        <f t="shared" si="27"/>
        <v>5542529.5441945558</v>
      </c>
      <c r="T200" s="32">
        <f>1/(1+Calculation_Assumptions!$B$8)^(B200-Calculation_Assumptions!$B$2)</f>
        <v>0.62316693922011435</v>
      </c>
      <c r="U200" s="21">
        <f t="shared" si="28"/>
        <v>0</v>
      </c>
      <c r="V200" s="21">
        <f t="shared" si="29"/>
        <v>3453921.1715927767</v>
      </c>
      <c r="W200" s="21">
        <f t="shared" si="30"/>
        <v>3453921.1715927767</v>
      </c>
      <c r="X200">
        <v>0</v>
      </c>
      <c r="Y200" s="18">
        <v>2017</v>
      </c>
      <c r="Z200" t="s">
        <v>387</v>
      </c>
      <c r="AA200" s="21">
        <f t="shared" si="31"/>
        <v>1</v>
      </c>
    </row>
    <row r="201" spans="1:27">
      <c r="A201" t="s">
        <v>210</v>
      </c>
      <c r="B201" s="18">
        <v>2042</v>
      </c>
      <c r="C201" t="s">
        <v>210</v>
      </c>
      <c r="D201" s="20" t="s">
        <v>395</v>
      </c>
      <c r="E201" s="20" t="s">
        <v>396</v>
      </c>
      <c r="F201" s="20" t="s">
        <v>213</v>
      </c>
      <c r="G201" s="20" t="s">
        <v>393</v>
      </c>
      <c r="H201" s="20" t="s">
        <v>384</v>
      </c>
      <c r="I201" s="29">
        <v>1</v>
      </c>
      <c r="J201" s="30">
        <v>1</v>
      </c>
      <c r="K201" s="31">
        <v>8.7749999999999998E-3</v>
      </c>
      <c r="L201" s="9">
        <v>634337531.40589702</v>
      </c>
      <c r="M201" s="9">
        <v>634184560.98858297</v>
      </c>
      <c r="N201" s="32">
        <f>MIN(MAX((B201-Calculation_Assumptions!$B$5+1)/Calculation_Assumptions!$B$7,0),1)</f>
        <v>1</v>
      </c>
      <c r="O201" s="21">
        <f t="shared" si="24"/>
        <v>634337531.40589702</v>
      </c>
      <c r="P201" s="21">
        <f t="shared" si="25"/>
        <v>634184560.98858297</v>
      </c>
      <c r="Q201" s="21">
        <f>P201*Calculation_Assumptions!$B$14*J201*K201</f>
        <v>0</v>
      </c>
      <c r="R201" s="21">
        <f t="shared" si="26"/>
        <v>5566311.8380867466</v>
      </c>
      <c r="S201" s="21">
        <f t="shared" si="27"/>
        <v>5566311.8380867466</v>
      </c>
      <c r="T201" s="32">
        <f>1/(1+Calculation_Assumptions!$B$8)^(B201-Calculation_Assumptions!$B$2)</f>
        <v>0.60501644584477121</v>
      </c>
      <c r="U201" s="21">
        <f t="shared" si="28"/>
        <v>0</v>
      </c>
      <c r="V201" s="21">
        <f t="shared" si="29"/>
        <v>3367710.2047429192</v>
      </c>
      <c r="W201" s="21">
        <f t="shared" si="30"/>
        <v>3367710.2047429192</v>
      </c>
      <c r="X201">
        <v>0</v>
      </c>
      <c r="Y201" s="18">
        <v>2017</v>
      </c>
      <c r="Z201" t="s">
        <v>387</v>
      </c>
      <c r="AA201" s="21">
        <f t="shared" si="31"/>
        <v>1</v>
      </c>
    </row>
    <row r="202" spans="1:27">
      <c r="A202" t="s">
        <v>210</v>
      </c>
      <c r="B202" s="18">
        <v>2043</v>
      </c>
      <c r="C202" t="s">
        <v>210</v>
      </c>
      <c r="D202" s="20" t="s">
        <v>395</v>
      </c>
      <c r="E202" s="20" t="s">
        <v>396</v>
      </c>
      <c r="F202" s="20" t="s">
        <v>213</v>
      </c>
      <c r="G202" s="20" t="s">
        <v>393</v>
      </c>
      <c r="H202" s="20" t="s">
        <v>384</v>
      </c>
      <c r="I202" s="29">
        <v>1</v>
      </c>
      <c r="J202" s="30">
        <v>1</v>
      </c>
      <c r="K202" s="31">
        <v>8.7749999999999998E-3</v>
      </c>
      <c r="L202" s="9">
        <v>636934262.24370897</v>
      </c>
      <c r="M202" s="9">
        <v>636767020.67603099</v>
      </c>
      <c r="N202" s="32">
        <f>MIN(MAX((B202-Calculation_Assumptions!$B$5+1)/Calculation_Assumptions!$B$7,0),1)</f>
        <v>1</v>
      </c>
      <c r="O202" s="21">
        <f t="shared" si="24"/>
        <v>636934262.24370897</v>
      </c>
      <c r="P202" s="21">
        <f t="shared" si="25"/>
        <v>636767020.67603099</v>
      </c>
      <c r="Q202" s="21">
        <f>P202*Calculation_Assumptions!$B$14*J202*K202</f>
        <v>0</v>
      </c>
      <c r="R202" s="21">
        <f t="shared" si="26"/>
        <v>5589098.1511885459</v>
      </c>
      <c r="S202" s="21">
        <f t="shared" si="27"/>
        <v>5589098.1511885459</v>
      </c>
      <c r="T202" s="32">
        <f>1/(1+Calculation_Assumptions!$B$8)^(B202-Calculation_Assumptions!$B$2)</f>
        <v>0.5873946076162827</v>
      </c>
      <c r="U202" s="21">
        <f t="shared" si="28"/>
        <v>0</v>
      </c>
      <c r="V202" s="21">
        <f t="shared" si="29"/>
        <v>3283006.1154462872</v>
      </c>
      <c r="W202" s="21">
        <f t="shared" si="30"/>
        <v>3283006.1154462872</v>
      </c>
      <c r="X202">
        <v>0</v>
      </c>
      <c r="Y202" s="18">
        <v>2017</v>
      </c>
      <c r="Z202" t="s">
        <v>387</v>
      </c>
      <c r="AA202" s="21">
        <f t="shared" si="31"/>
        <v>1</v>
      </c>
    </row>
    <row r="203" spans="1:27">
      <c r="A203" t="s">
        <v>210</v>
      </c>
      <c r="B203" s="18">
        <v>2044</v>
      </c>
      <c r="C203" t="s">
        <v>210</v>
      </c>
      <c r="D203" s="20" t="s">
        <v>395</v>
      </c>
      <c r="E203" s="20" t="s">
        <v>396</v>
      </c>
      <c r="F203" s="20" t="s">
        <v>213</v>
      </c>
      <c r="G203" s="20" t="s">
        <v>393</v>
      </c>
      <c r="H203" s="20" t="s">
        <v>384</v>
      </c>
      <c r="I203" s="29">
        <v>1</v>
      </c>
      <c r="J203" s="30">
        <v>1</v>
      </c>
      <c r="K203" s="31">
        <v>8.7749999999999998E-3</v>
      </c>
      <c r="L203" s="9">
        <v>639392798.10175502</v>
      </c>
      <c r="M203" s="9">
        <v>639211548.58069301</v>
      </c>
      <c r="N203" s="32">
        <f>MIN(MAX((B203-Calculation_Assumptions!$B$5+1)/Calculation_Assumptions!$B$7,0),1)</f>
        <v>1</v>
      </c>
      <c r="O203" s="21">
        <f t="shared" si="24"/>
        <v>639392798.10175502</v>
      </c>
      <c r="P203" s="21">
        <f t="shared" si="25"/>
        <v>639211548.58069301</v>
      </c>
      <c r="Q203" s="21">
        <f>P203*Calculation_Assumptions!$B$14*J203*K203</f>
        <v>0</v>
      </c>
      <c r="R203" s="21">
        <f t="shared" si="26"/>
        <v>5610671.8033429002</v>
      </c>
      <c r="S203" s="21">
        <f t="shared" si="27"/>
        <v>5610671.8033429002</v>
      </c>
      <c r="T203" s="32">
        <f>1/(1+Calculation_Assumptions!$B$8)^(B203-Calculation_Assumptions!$B$2)</f>
        <v>0.57028602681192497</v>
      </c>
      <c r="U203" s="21">
        <f t="shared" si="28"/>
        <v>0</v>
      </c>
      <c r="V203" s="21">
        <f t="shared" si="29"/>
        <v>3199687.7304741205</v>
      </c>
      <c r="W203" s="21">
        <f t="shared" si="30"/>
        <v>3199687.7304741205</v>
      </c>
      <c r="X203">
        <v>0</v>
      </c>
      <c r="Y203" s="18">
        <v>2017</v>
      </c>
      <c r="Z203" t="s">
        <v>387</v>
      </c>
      <c r="AA203" s="21">
        <f t="shared" si="31"/>
        <v>1</v>
      </c>
    </row>
    <row r="204" spans="1:27">
      <c r="A204" t="s">
        <v>210</v>
      </c>
      <c r="B204" s="18">
        <v>2045</v>
      </c>
      <c r="C204" t="s">
        <v>210</v>
      </c>
      <c r="D204" s="20" t="s">
        <v>395</v>
      </c>
      <c r="E204" s="20" t="s">
        <v>396</v>
      </c>
      <c r="F204" s="20" t="s">
        <v>213</v>
      </c>
      <c r="G204" s="20" t="s">
        <v>393</v>
      </c>
      <c r="H204" s="20" t="s">
        <v>384</v>
      </c>
      <c r="I204" s="29">
        <v>1</v>
      </c>
      <c r="J204" s="30">
        <v>1</v>
      </c>
      <c r="K204" s="31">
        <v>8.7749999999999998E-3</v>
      </c>
      <c r="L204" s="9">
        <v>641715879.05465305</v>
      </c>
      <c r="M204" s="9">
        <v>641520754.67294204</v>
      </c>
      <c r="N204" s="32">
        <f>MIN(MAX((B204-Calculation_Assumptions!$B$5+1)/Calculation_Assumptions!$B$7,0),1)</f>
        <v>1</v>
      </c>
      <c r="O204" s="21">
        <f t="shared" si="24"/>
        <v>641715879.05465305</v>
      </c>
      <c r="P204" s="21">
        <f t="shared" si="25"/>
        <v>641520754.67294204</v>
      </c>
      <c r="Q204" s="21">
        <f>P204*Calculation_Assumptions!$B$14*J204*K204</f>
        <v>0</v>
      </c>
      <c r="R204" s="21">
        <f t="shared" si="26"/>
        <v>5631056.8387045804</v>
      </c>
      <c r="S204" s="21">
        <f t="shared" si="27"/>
        <v>5631056.8387045804</v>
      </c>
      <c r="T204" s="32">
        <f>1/(1+Calculation_Assumptions!$B$8)^(B204-Calculation_Assumptions!$B$2)</f>
        <v>0.55367575418633497</v>
      </c>
      <c r="U204" s="21">
        <f t="shared" si="28"/>
        <v>0</v>
      </c>
      <c r="V204" s="21">
        <f t="shared" si="29"/>
        <v>3117779.6420358778</v>
      </c>
      <c r="W204" s="21">
        <f t="shared" si="30"/>
        <v>3117779.6420358778</v>
      </c>
      <c r="X204">
        <v>0</v>
      </c>
      <c r="Y204" s="18">
        <v>2017</v>
      </c>
      <c r="Z204" t="s">
        <v>387</v>
      </c>
      <c r="AA204" s="21">
        <f t="shared" si="31"/>
        <v>1</v>
      </c>
    </row>
    <row r="205" spans="1:27">
      <c r="A205" t="s">
        <v>210</v>
      </c>
      <c r="B205" s="18">
        <v>2046</v>
      </c>
      <c r="C205" t="s">
        <v>210</v>
      </c>
      <c r="D205" s="20" t="s">
        <v>395</v>
      </c>
      <c r="E205" s="20" t="s">
        <v>396</v>
      </c>
      <c r="F205" s="20" t="s">
        <v>213</v>
      </c>
      <c r="G205" s="20" t="s">
        <v>393</v>
      </c>
      <c r="H205" s="20" t="s">
        <v>384</v>
      </c>
      <c r="I205" s="29">
        <v>1</v>
      </c>
      <c r="J205" s="30">
        <v>1</v>
      </c>
      <c r="K205" s="31">
        <v>8.7749999999999998E-3</v>
      </c>
      <c r="L205" s="9">
        <v>643906157.63462102</v>
      </c>
      <c r="M205" s="9">
        <v>643697330.762573</v>
      </c>
      <c r="N205" s="32">
        <f>MIN(MAX((B205-Calculation_Assumptions!$B$5+1)/Calculation_Assumptions!$B$7,0),1)</f>
        <v>1</v>
      </c>
      <c r="O205" s="21">
        <f t="shared" si="24"/>
        <v>643906157.63462102</v>
      </c>
      <c r="P205" s="21">
        <f t="shared" si="25"/>
        <v>643697330.762573</v>
      </c>
      <c r="Q205" s="21">
        <f>P205*Calculation_Assumptions!$B$14*J205*K205</f>
        <v>0</v>
      </c>
      <c r="R205" s="21">
        <f t="shared" si="26"/>
        <v>5650276.5332437996</v>
      </c>
      <c r="S205" s="21">
        <f t="shared" si="27"/>
        <v>5650276.5332437996</v>
      </c>
      <c r="T205" s="32">
        <f>1/(1+Calculation_Assumptions!$B$8)^(B205-Calculation_Assumptions!$B$2)</f>
        <v>0.5375492759090631</v>
      </c>
      <c r="U205" s="21">
        <f t="shared" si="28"/>
        <v>0</v>
      </c>
      <c r="V205" s="21">
        <f t="shared" si="29"/>
        <v>3037302.0591311757</v>
      </c>
      <c r="W205" s="21">
        <f t="shared" si="30"/>
        <v>3037302.0591311757</v>
      </c>
      <c r="X205">
        <v>0</v>
      </c>
      <c r="Y205" s="18">
        <v>2017</v>
      </c>
      <c r="Z205" t="s">
        <v>387</v>
      </c>
      <c r="AA205" s="21">
        <f t="shared" si="31"/>
        <v>1</v>
      </c>
    </row>
    <row r="206" spans="1:27">
      <c r="A206" t="s">
        <v>210</v>
      </c>
      <c r="B206" s="18">
        <v>2047</v>
      </c>
      <c r="C206" t="s">
        <v>210</v>
      </c>
      <c r="D206" s="20" t="s">
        <v>395</v>
      </c>
      <c r="E206" s="20" t="s">
        <v>396</v>
      </c>
      <c r="F206" s="20" t="s">
        <v>213</v>
      </c>
      <c r="G206" s="20" t="s">
        <v>393</v>
      </c>
      <c r="H206" s="20" t="s">
        <v>384</v>
      </c>
      <c r="I206" s="29">
        <v>1</v>
      </c>
      <c r="J206" s="30">
        <v>1</v>
      </c>
      <c r="K206" s="31">
        <v>8.7749999999999998E-3</v>
      </c>
      <c r="L206" s="9">
        <v>645968222.39343905</v>
      </c>
      <c r="M206" s="9">
        <v>645745914.53009498</v>
      </c>
      <c r="N206" s="32">
        <f>MIN(MAX((B206-Calculation_Assumptions!$B$5+1)/Calculation_Assumptions!$B$7,0),1)</f>
        <v>1</v>
      </c>
      <c r="O206" s="21">
        <f t="shared" si="24"/>
        <v>645968222.39343905</v>
      </c>
      <c r="P206" s="21">
        <f t="shared" si="25"/>
        <v>645745914.53009498</v>
      </c>
      <c r="Q206" s="21">
        <f>P206*Calculation_Assumptions!$B$14*J206*K206</f>
        <v>0</v>
      </c>
      <c r="R206" s="21">
        <f t="shared" si="26"/>
        <v>5668371.1515024276</v>
      </c>
      <c r="S206" s="21">
        <f t="shared" si="27"/>
        <v>5668371.1515024276</v>
      </c>
      <c r="T206" s="32">
        <f>1/(1+Calculation_Assumptions!$B$8)^(B206-Calculation_Assumptions!$B$2)</f>
        <v>0.52189250088258554</v>
      </c>
      <c r="U206" s="21">
        <f t="shared" si="28"/>
        <v>0</v>
      </c>
      <c r="V206" s="21">
        <f t="shared" si="29"/>
        <v>2958280.3961883034</v>
      </c>
      <c r="W206" s="21">
        <f t="shared" si="30"/>
        <v>2958280.3961883034</v>
      </c>
      <c r="X206">
        <v>0</v>
      </c>
      <c r="Y206" s="18">
        <v>2017</v>
      </c>
      <c r="Z206" t="s">
        <v>387</v>
      </c>
      <c r="AA206" s="21">
        <f t="shared" si="31"/>
        <v>1</v>
      </c>
    </row>
    <row r="207" spans="1:27">
      <c r="A207" t="s">
        <v>210</v>
      </c>
      <c r="B207" s="18">
        <v>2048</v>
      </c>
      <c r="C207" t="s">
        <v>210</v>
      </c>
      <c r="D207" s="20" t="s">
        <v>395</v>
      </c>
      <c r="E207" s="20" t="s">
        <v>396</v>
      </c>
      <c r="F207" s="20" t="s">
        <v>213</v>
      </c>
      <c r="G207" s="20" t="s">
        <v>393</v>
      </c>
      <c r="H207" s="20" t="s">
        <v>384</v>
      </c>
      <c r="I207" s="29">
        <v>1</v>
      </c>
      <c r="J207" s="30">
        <v>1</v>
      </c>
      <c r="K207" s="31">
        <v>8.7749999999999998E-3</v>
      </c>
      <c r="L207" s="9">
        <v>647902321.74431801</v>
      </c>
      <c r="M207" s="9">
        <v>647666796.64810395</v>
      </c>
      <c r="N207" s="32">
        <f>MIN(MAX((B207-Calculation_Assumptions!$B$5+1)/Calculation_Assumptions!$B$7,0),1)</f>
        <v>1</v>
      </c>
      <c r="O207" s="21">
        <f t="shared" si="24"/>
        <v>647902321.74431801</v>
      </c>
      <c r="P207" s="21">
        <f t="shared" si="25"/>
        <v>647666796.64810395</v>
      </c>
      <c r="Q207" s="21">
        <f>P207*Calculation_Assumptions!$B$14*J207*K207</f>
        <v>0</v>
      </c>
      <c r="R207" s="21">
        <f t="shared" si="26"/>
        <v>5685342.8733063908</v>
      </c>
      <c r="S207" s="21">
        <f t="shared" si="27"/>
        <v>5685342.8733063908</v>
      </c>
      <c r="T207" s="32">
        <f>1/(1+Calculation_Assumptions!$B$8)^(B207-Calculation_Assumptions!$B$2)</f>
        <v>0.50669174842969467</v>
      </c>
      <c r="U207" s="21">
        <f t="shared" si="28"/>
        <v>0</v>
      </c>
      <c r="V207" s="21">
        <f t="shared" si="29"/>
        <v>2880716.3208979191</v>
      </c>
      <c r="W207" s="21">
        <f t="shared" si="30"/>
        <v>2880716.3208979191</v>
      </c>
      <c r="X207">
        <v>0</v>
      </c>
      <c r="Y207" s="18">
        <v>2017</v>
      </c>
      <c r="Z207" t="s">
        <v>387</v>
      </c>
      <c r="AA207" s="21">
        <f t="shared" si="31"/>
        <v>1</v>
      </c>
    </row>
    <row r="208" spans="1:27">
      <c r="A208" t="s">
        <v>210</v>
      </c>
      <c r="B208" s="18">
        <v>2049</v>
      </c>
      <c r="C208" t="s">
        <v>210</v>
      </c>
      <c r="D208" s="20" t="s">
        <v>395</v>
      </c>
      <c r="E208" s="20" t="s">
        <v>396</v>
      </c>
      <c r="F208" s="20" t="s">
        <v>213</v>
      </c>
      <c r="G208" s="20" t="s">
        <v>393</v>
      </c>
      <c r="H208" s="20" t="s">
        <v>384</v>
      </c>
      <c r="I208" s="29">
        <v>1</v>
      </c>
      <c r="J208" s="30">
        <v>1</v>
      </c>
      <c r="K208" s="31">
        <v>8.7749999999999998E-3</v>
      </c>
      <c r="L208" s="9">
        <v>649705501.56922197</v>
      </c>
      <c r="M208" s="9">
        <v>649421968.02473402</v>
      </c>
      <c r="N208" s="32">
        <f>MIN(MAX((B208-Calculation_Assumptions!$B$5+1)/Calculation_Assumptions!$B$7,0),1)</f>
        <v>1</v>
      </c>
      <c r="O208" s="21">
        <f t="shared" si="24"/>
        <v>649705501.56922197</v>
      </c>
      <c r="P208" s="21">
        <f t="shared" si="25"/>
        <v>649421968.02473402</v>
      </c>
      <c r="Q208" s="21">
        <f>P208*Calculation_Assumptions!$B$14*J208*K208</f>
        <v>0</v>
      </c>
      <c r="R208" s="21">
        <f t="shared" si="26"/>
        <v>5701165.776269923</v>
      </c>
      <c r="S208" s="21">
        <f t="shared" si="27"/>
        <v>5701165.776269923</v>
      </c>
      <c r="T208" s="32">
        <f>1/(1+Calculation_Assumptions!$B$8)^(B208-Calculation_Assumptions!$B$2)</f>
        <v>0.49193373633950943</v>
      </c>
      <c r="U208" s="21">
        <f t="shared" si="28"/>
        <v>0</v>
      </c>
      <c r="V208" s="21">
        <f t="shared" si="29"/>
        <v>2804595.7818114031</v>
      </c>
      <c r="W208" s="21">
        <f t="shared" si="30"/>
        <v>2804595.7818114031</v>
      </c>
      <c r="X208">
        <v>0</v>
      </c>
      <c r="Y208" s="18">
        <v>2017</v>
      </c>
      <c r="Z208" t="s">
        <v>387</v>
      </c>
      <c r="AA208" s="21">
        <f t="shared" si="31"/>
        <v>1</v>
      </c>
    </row>
    <row r="209" spans="1:27">
      <c r="A209" t="s">
        <v>210</v>
      </c>
      <c r="B209" s="18">
        <v>2050</v>
      </c>
      <c r="C209" t="s">
        <v>210</v>
      </c>
      <c r="D209" s="20" t="s">
        <v>395</v>
      </c>
      <c r="E209" s="20" t="s">
        <v>396</v>
      </c>
      <c r="F209" s="20" t="s">
        <v>213</v>
      </c>
      <c r="G209" s="20" t="s">
        <v>393</v>
      </c>
      <c r="H209" s="20" t="s">
        <v>384</v>
      </c>
      <c r="I209" s="29">
        <v>1</v>
      </c>
      <c r="J209" s="30">
        <v>1</v>
      </c>
      <c r="K209" s="31">
        <v>8.7749999999999998E-3</v>
      </c>
      <c r="L209" s="9">
        <v>651374129.63840199</v>
      </c>
      <c r="M209" s="9">
        <v>651074457.25957894</v>
      </c>
      <c r="N209" s="32">
        <f>MIN(MAX((B209-Calculation_Assumptions!$B$5+1)/Calculation_Assumptions!$B$7,0),1)</f>
        <v>1</v>
      </c>
      <c r="O209" s="21">
        <f t="shared" si="24"/>
        <v>651374129.63840199</v>
      </c>
      <c r="P209" s="21">
        <f t="shared" si="25"/>
        <v>651074457.25957894</v>
      </c>
      <c r="Q209" s="21">
        <f>P209*Calculation_Assumptions!$B$14*J209*K209</f>
        <v>0</v>
      </c>
      <c r="R209" s="21">
        <f t="shared" si="26"/>
        <v>5715807.9875769773</v>
      </c>
      <c r="S209" s="21">
        <f t="shared" si="27"/>
        <v>5715807.9875769773</v>
      </c>
      <c r="T209" s="32">
        <f>1/(1+Calculation_Assumptions!$B$8)^(B209-Calculation_Assumptions!$B$2)</f>
        <v>0.47760556926165965</v>
      </c>
      <c r="U209" s="21">
        <f t="shared" si="28"/>
        <v>0</v>
      </c>
      <c r="V209" s="21">
        <f t="shared" si="29"/>
        <v>2729901.7276970437</v>
      </c>
      <c r="W209" s="21">
        <f t="shared" si="30"/>
        <v>2729901.7276970437</v>
      </c>
      <c r="X209">
        <v>0</v>
      </c>
      <c r="Y209" s="18">
        <v>2017</v>
      </c>
      <c r="Z209" t="s">
        <v>387</v>
      </c>
      <c r="AA209" s="21">
        <f t="shared" si="31"/>
        <v>1</v>
      </c>
    </row>
    <row r="210" spans="1:27">
      <c r="A210" t="s">
        <v>217</v>
      </c>
      <c r="B210" s="18">
        <v>2025</v>
      </c>
      <c r="C210" t="s">
        <v>217</v>
      </c>
      <c r="D210" s="20" t="s">
        <v>397</v>
      </c>
      <c r="E210" s="20" t="s">
        <v>398</v>
      </c>
      <c r="F210" s="20" t="s">
        <v>220</v>
      </c>
      <c r="G210" s="20" t="s">
        <v>393</v>
      </c>
      <c r="H210" s="20" t="s">
        <v>384</v>
      </c>
      <c r="I210" s="29">
        <v>1</v>
      </c>
      <c r="J210" s="30">
        <v>1</v>
      </c>
      <c r="K210" s="31">
        <v>8.7749999999999998E-3</v>
      </c>
      <c r="L210" s="9">
        <v>575134853.59312999</v>
      </c>
      <c r="M210" s="9">
        <v>575134853.59312999</v>
      </c>
      <c r="N210" s="32">
        <f>MIN(MAX((B210-Calculation_Assumptions!$B$5+1)/Calculation_Assumptions!$B$7,0),1)</f>
        <v>0</v>
      </c>
      <c r="O210" s="21">
        <f t="shared" si="24"/>
        <v>575134853.59312999</v>
      </c>
      <c r="P210" s="21">
        <f t="shared" si="25"/>
        <v>575134853.59312999</v>
      </c>
      <c r="Q210" s="21">
        <f>P210*Calculation_Assumptions!$B$14*J210*K210</f>
        <v>0</v>
      </c>
      <c r="R210" s="21">
        <f t="shared" si="26"/>
        <v>0</v>
      </c>
      <c r="S210" s="21">
        <f t="shared" si="27"/>
        <v>0</v>
      </c>
      <c r="T210" s="32">
        <f>1/(1+Calculation_Assumptions!$B$8)^(B210-Calculation_Assumptions!$B$2)</f>
        <v>1</v>
      </c>
      <c r="U210" s="21">
        <f t="shared" si="28"/>
        <v>0</v>
      </c>
      <c r="V210" s="21">
        <f t="shared" si="29"/>
        <v>0</v>
      </c>
      <c r="W210" s="21">
        <f t="shared" si="30"/>
        <v>0</v>
      </c>
      <c r="X210">
        <v>0</v>
      </c>
      <c r="Y210" s="18">
        <v>2017</v>
      </c>
      <c r="Z210" t="s">
        <v>387</v>
      </c>
      <c r="AA210" s="21">
        <f t="shared" si="31"/>
        <v>1</v>
      </c>
    </row>
    <row r="211" spans="1:27">
      <c r="A211" t="s">
        <v>217</v>
      </c>
      <c r="B211" s="18">
        <v>2026</v>
      </c>
      <c r="C211" t="s">
        <v>217</v>
      </c>
      <c r="D211" s="20" t="s">
        <v>397</v>
      </c>
      <c r="E211" s="20" t="s">
        <v>398</v>
      </c>
      <c r="F211" s="20" t="s">
        <v>220</v>
      </c>
      <c r="G211" s="20" t="s">
        <v>393</v>
      </c>
      <c r="H211" s="20" t="s">
        <v>384</v>
      </c>
      <c r="I211" s="29">
        <v>1</v>
      </c>
      <c r="J211" s="30">
        <v>1</v>
      </c>
      <c r="K211" s="31">
        <v>8.7749999999999998E-3</v>
      </c>
      <c r="L211" s="9">
        <v>579268647.32329595</v>
      </c>
      <c r="M211" s="9">
        <v>579268647.32329595</v>
      </c>
      <c r="N211" s="32">
        <f>MIN(MAX((B211-Calculation_Assumptions!$B$5+1)/Calculation_Assumptions!$B$7,0),1)</f>
        <v>0.33333333333333331</v>
      </c>
      <c r="O211" s="21">
        <f t="shared" si="24"/>
        <v>579268647.32329595</v>
      </c>
      <c r="P211" s="21">
        <f t="shared" si="25"/>
        <v>579268647.32329595</v>
      </c>
      <c r="Q211" s="21">
        <f>P211*Calculation_Assumptions!$B$14*J211*K211</f>
        <v>0</v>
      </c>
      <c r="R211" s="21">
        <f t="shared" si="26"/>
        <v>1694360.7934206405</v>
      </c>
      <c r="S211" s="21">
        <f t="shared" si="27"/>
        <v>1694360.7934206405</v>
      </c>
      <c r="T211" s="32">
        <f>1/(1+Calculation_Assumptions!$B$8)^(B211-Calculation_Assumptions!$B$2)</f>
        <v>0.970873786407767</v>
      </c>
      <c r="U211" s="21">
        <f t="shared" si="28"/>
        <v>0</v>
      </c>
      <c r="V211" s="21">
        <f t="shared" si="29"/>
        <v>1645010.4790491655</v>
      </c>
      <c r="W211" s="21">
        <f t="shared" si="30"/>
        <v>1645010.4790491655</v>
      </c>
      <c r="X211">
        <v>0</v>
      </c>
      <c r="Y211" s="18">
        <v>2017</v>
      </c>
      <c r="Z211" t="s">
        <v>387</v>
      </c>
      <c r="AA211" s="21">
        <f t="shared" si="31"/>
        <v>1</v>
      </c>
    </row>
    <row r="212" spans="1:27">
      <c r="A212" t="s">
        <v>217</v>
      </c>
      <c r="B212" s="18">
        <v>2027</v>
      </c>
      <c r="C212" t="s">
        <v>217</v>
      </c>
      <c r="D212" s="20" t="s">
        <v>397</v>
      </c>
      <c r="E212" s="20" t="s">
        <v>398</v>
      </c>
      <c r="F212" s="20" t="s">
        <v>220</v>
      </c>
      <c r="G212" s="20" t="s">
        <v>393</v>
      </c>
      <c r="H212" s="20" t="s">
        <v>384</v>
      </c>
      <c r="I212" s="29">
        <v>1</v>
      </c>
      <c r="J212" s="30">
        <v>1</v>
      </c>
      <c r="K212" s="31">
        <v>8.7749999999999998E-3</v>
      </c>
      <c r="L212" s="9">
        <v>583039014.28645599</v>
      </c>
      <c r="M212" s="9">
        <v>583039014.28645599</v>
      </c>
      <c r="N212" s="32">
        <f>MIN(MAX((B212-Calculation_Assumptions!$B$5+1)/Calculation_Assumptions!$B$7,0),1)</f>
        <v>0.66666666666666663</v>
      </c>
      <c r="O212" s="21">
        <f t="shared" si="24"/>
        <v>583039014.28645599</v>
      </c>
      <c r="P212" s="21">
        <f t="shared" si="25"/>
        <v>583039014.28645599</v>
      </c>
      <c r="Q212" s="21">
        <f>P212*Calculation_Assumptions!$B$14*J212*K212</f>
        <v>0</v>
      </c>
      <c r="R212" s="21">
        <f t="shared" si="26"/>
        <v>3410778.2335757674</v>
      </c>
      <c r="S212" s="21">
        <f t="shared" si="27"/>
        <v>3410778.2335757674</v>
      </c>
      <c r="T212" s="32">
        <f>1/(1+Calculation_Assumptions!$B$8)^(B212-Calculation_Assumptions!$B$2)</f>
        <v>0.94259590913375435</v>
      </c>
      <c r="U212" s="21">
        <f t="shared" si="28"/>
        <v>0</v>
      </c>
      <c r="V212" s="21">
        <f t="shared" si="29"/>
        <v>3214985.6099309712</v>
      </c>
      <c r="W212" s="21">
        <f t="shared" si="30"/>
        <v>3214985.6099309712</v>
      </c>
      <c r="X212">
        <v>0</v>
      </c>
      <c r="Y212" s="18">
        <v>2017</v>
      </c>
      <c r="Z212" t="s">
        <v>387</v>
      </c>
      <c r="AA212" s="21">
        <f t="shared" si="31"/>
        <v>1</v>
      </c>
    </row>
    <row r="213" spans="1:27">
      <c r="A213" t="s">
        <v>217</v>
      </c>
      <c r="B213" s="18">
        <v>2028</v>
      </c>
      <c r="C213" t="s">
        <v>217</v>
      </c>
      <c r="D213" s="20" t="s">
        <v>397</v>
      </c>
      <c r="E213" s="20" t="s">
        <v>398</v>
      </c>
      <c r="F213" s="20" t="s">
        <v>220</v>
      </c>
      <c r="G213" s="20" t="s">
        <v>393</v>
      </c>
      <c r="H213" s="20" t="s">
        <v>384</v>
      </c>
      <c r="I213" s="29">
        <v>1</v>
      </c>
      <c r="J213" s="30">
        <v>1</v>
      </c>
      <c r="K213" s="31">
        <v>8.7749999999999998E-3</v>
      </c>
      <c r="L213" s="9">
        <v>587035116.25746298</v>
      </c>
      <c r="M213" s="9">
        <v>587035116.25746298</v>
      </c>
      <c r="N213" s="32">
        <f>MIN(MAX((B213-Calculation_Assumptions!$B$5+1)/Calculation_Assumptions!$B$7,0),1)</f>
        <v>1</v>
      </c>
      <c r="O213" s="21">
        <f t="shared" si="24"/>
        <v>587035116.25746298</v>
      </c>
      <c r="P213" s="21">
        <f t="shared" si="25"/>
        <v>587035116.25746298</v>
      </c>
      <c r="Q213" s="21">
        <f>P213*Calculation_Assumptions!$B$14*J213*K213</f>
        <v>0</v>
      </c>
      <c r="R213" s="21">
        <f t="shared" si="26"/>
        <v>5151233.1451592371</v>
      </c>
      <c r="S213" s="21">
        <f t="shared" si="27"/>
        <v>5151233.1451592371</v>
      </c>
      <c r="T213" s="32">
        <f>1/(1+Calculation_Assumptions!$B$8)^(B213-Calculation_Assumptions!$B$2)</f>
        <v>0.91514165935315961</v>
      </c>
      <c r="U213" s="21">
        <f t="shared" si="28"/>
        <v>0</v>
      </c>
      <c r="V213" s="21">
        <f t="shared" si="29"/>
        <v>4714108.0481760195</v>
      </c>
      <c r="W213" s="21">
        <f t="shared" si="30"/>
        <v>4714108.0481760195</v>
      </c>
      <c r="X213">
        <v>0</v>
      </c>
      <c r="Y213" s="18">
        <v>2017</v>
      </c>
      <c r="Z213" t="s">
        <v>387</v>
      </c>
      <c r="AA213" s="21">
        <f t="shared" si="31"/>
        <v>1</v>
      </c>
    </row>
    <row r="214" spans="1:27">
      <c r="A214" t="s">
        <v>217</v>
      </c>
      <c r="B214" s="18">
        <v>2029</v>
      </c>
      <c r="C214" t="s">
        <v>217</v>
      </c>
      <c r="D214" s="20" t="s">
        <v>397</v>
      </c>
      <c r="E214" s="20" t="s">
        <v>398</v>
      </c>
      <c r="F214" s="20" t="s">
        <v>220</v>
      </c>
      <c r="G214" s="20" t="s">
        <v>393</v>
      </c>
      <c r="H214" s="20" t="s">
        <v>384</v>
      </c>
      <c r="I214" s="29">
        <v>1</v>
      </c>
      <c r="J214" s="30">
        <v>1</v>
      </c>
      <c r="K214" s="31">
        <v>8.7749999999999998E-3</v>
      </c>
      <c r="L214" s="9">
        <v>590968059.72178304</v>
      </c>
      <c r="M214" s="9">
        <v>590968059.72178304</v>
      </c>
      <c r="N214" s="32">
        <f>MIN(MAX((B214-Calculation_Assumptions!$B$5+1)/Calculation_Assumptions!$B$7,0),1)</f>
        <v>1</v>
      </c>
      <c r="O214" s="21">
        <f t="shared" si="24"/>
        <v>590968059.72178304</v>
      </c>
      <c r="P214" s="21">
        <f t="shared" si="25"/>
        <v>590968059.72178304</v>
      </c>
      <c r="Q214" s="21">
        <f>P214*Calculation_Assumptions!$B$14*J214*K214</f>
        <v>0</v>
      </c>
      <c r="R214" s="21">
        <f t="shared" si="26"/>
        <v>5185744.7240586458</v>
      </c>
      <c r="S214" s="21">
        <f t="shared" si="27"/>
        <v>5185744.7240586458</v>
      </c>
      <c r="T214" s="32">
        <f>1/(1+Calculation_Assumptions!$B$8)^(B214-Calculation_Assumptions!$B$2)</f>
        <v>0.888487047915689</v>
      </c>
      <c r="U214" s="21">
        <f t="shared" si="28"/>
        <v>0</v>
      </c>
      <c r="V214" s="21">
        <f t="shared" si="29"/>
        <v>4607467.0211232258</v>
      </c>
      <c r="W214" s="21">
        <f t="shared" si="30"/>
        <v>4607467.0211232258</v>
      </c>
      <c r="X214">
        <v>0</v>
      </c>
      <c r="Y214" s="18">
        <v>2017</v>
      </c>
      <c r="Z214" t="s">
        <v>387</v>
      </c>
      <c r="AA214" s="21">
        <f t="shared" si="31"/>
        <v>1</v>
      </c>
    </row>
    <row r="215" spans="1:27">
      <c r="A215" t="s">
        <v>217</v>
      </c>
      <c r="B215" s="18">
        <v>2030</v>
      </c>
      <c r="C215" t="s">
        <v>217</v>
      </c>
      <c r="D215" s="20" t="s">
        <v>397</v>
      </c>
      <c r="E215" s="20" t="s">
        <v>398</v>
      </c>
      <c r="F215" s="20" t="s">
        <v>220</v>
      </c>
      <c r="G215" s="20" t="s">
        <v>393</v>
      </c>
      <c r="H215" s="20" t="s">
        <v>384</v>
      </c>
      <c r="I215" s="29">
        <v>1</v>
      </c>
      <c r="J215" s="30">
        <v>1</v>
      </c>
      <c r="K215" s="31">
        <v>8.7749999999999998E-3</v>
      </c>
      <c r="L215" s="9">
        <v>594808018.62654305</v>
      </c>
      <c r="M215" s="9">
        <v>594808018.62654305</v>
      </c>
      <c r="N215" s="32">
        <f>MIN(MAX((B215-Calculation_Assumptions!$B$5+1)/Calculation_Assumptions!$B$7,0),1)</f>
        <v>1</v>
      </c>
      <c r="O215" s="21">
        <f t="shared" si="24"/>
        <v>594808018.62654305</v>
      </c>
      <c r="P215" s="21">
        <f t="shared" si="25"/>
        <v>594808018.62654305</v>
      </c>
      <c r="Q215" s="21">
        <f>P215*Calculation_Assumptions!$B$14*J215*K215</f>
        <v>0</v>
      </c>
      <c r="R215" s="21">
        <f t="shared" si="26"/>
        <v>5219440.3634479148</v>
      </c>
      <c r="S215" s="21">
        <f t="shared" si="27"/>
        <v>5219440.3634479148</v>
      </c>
      <c r="T215" s="32">
        <f>1/(1+Calculation_Assumptions!$B$8)^(B215-Calculation_Assumptions!$B$2)</f>
        <v>0.86260878438416411</v>
      </c>
      <c r="U215" s="21">
        <f t="shared" si="28"/>
        <v>0</v>
      </c>
      <c r="V215" s="21">
        <f t="shared" si="29"/>
        <v>4502335.1070794454</v>
      </c>
      <c r="W215" s="21">
        <f t="shared" si="30"/>
        <v>4502335.1070794454</v>
      </c>
      <c r="X215">
        <v>0</v>
      </c>
      <c r="Y215" s="18">
        <v>2017</v>
      </c>
      <c r="Z215" t="s">
        <v>387</v>
      </c>
      <c r="AA215" s="21">
        <f t="shared" si="31"/>
        <v>1</v>
      </c>
    </row>
    <row r="216" spans="1:27">
      <c r="A216" t="s">
        <v>217</v>
      </c>
      <c r="B216" s="18">
        <v>2031</v>
      </c>
      <c r="C216" t="s">
        <v>217</v>
      </c>
      <c r="D216" s="20" t="s">
        <v>397</v>
      </c>
      <c r="E216" s="20" t="s">
        <v>398</v>
      </c>
      <c r="F216" s="20" t="s">
        <v>220</v>
      </c>
      <c r="G216" s="20" t="s">
        <v>393</v>
      </c>
      <c r="H216" s="20" t="s">
        <v>384</v>
      </c>
      <c r="I216" s="29">
        <v>1</v>
      </c>
      <c r="J216" s="30">
        <v>1</v>
      </c>
      <c r="K216" s="31">
        <v>8.7749999999999998E-3</v>
      </c>
      <c r="L216" s="9">
        <v>598581381.03442597</v>
      </c>
      <c r="M216" s="9">
        <v>598581381.03442597</v>
      </c>
      <c r="N216" s="32">
        <f>MIN(MAX((B216-Calculation_Assumptions!$B$5+1)/Calculation_Assumptions!$B$7,0),1)</f>
        <v>1</v>
      </c>
      <c r="O216" s="21">
        <f t="shared" si="24"/>
        <v>598581381.03442597</v>
      </c>
      <c r="P216" s="21">
        <f t="shared" si="25"/>
        <v>598581381.03442597</v>
      </c>
      <c r="Q216" s="21">
        <f>P216*Calculation_Assumptions!$B$14*J216*K216</f>
        <v>0</v>
      </c>
      <c r="R216" s="21">
        <f t="shared" si="26"/>
        <v>5252551.6185770882</v>
      </c>
      <c r="S216" s="21">
        <f t="shared" si="27"/>
        <v>5252551.6185770882</v>
      </c>
      <c r="T216" s="32">
        <f>1/(1+Calculation_Assumptions!$B$8)^(B216-Calculation_Assumptions!$B$2)</f>
        <v>0.83748425668365445</v>
      </c>
      <c r="U216" s="21">
        <f t="shared" si="28"/>
        <v>0</v>
      </c>
      <c r="V216" s="21">
        <f t="shared" si="29"/>
        <v>4398929.2879765593</v>
      </c>
      <c r="W216" s="21">
        <f t="shared" si="30"/>
        <v>4398929.2879765593</v>
      </c>
      <c r="X216">
        <v>0</v>
      </c>
      <c r="Y216" s="18">
        <v>2017</v>
      </c>
      <c r="Z216" t="s">
        <v>387</v>
      </c>
      <c r="AA216" s="21">
        <f t="shared" si="31"/>
        <v>1</v>
      </c>
    </row>
    <row r="217" spans="1:27">
      <c r="A217" t="s">
        <v>217</v>
      </c>
      <c r="B217" s="18">
        <v>2032</v>
      </c>
      <c r="C217" t="s">
        <v>217</v>
      </c>
      <c r="D217" s="20" t="s">
        <v>397</v>
      </c>
      <c r="E217" s="20" t="s">
        <v>398</v>
      </c>
      <c r="F217" s="20" t="s">
        <v>220</v>
      </c>
      <c r="G217" s="20" t="s">
        <v>393</v>
      </c>
      <c r="H217" s="20" t="s">
        <v>384</v>
      </c>
      <c r="I217" s="29">
        <v>1</v>
      </c>
      <c r="J217" s="30">
        <v>1</v>
      </c>
      <c r="K217" s="31">
        <v>8.7749999999999998E-3</v>
      </c>
      <c r="L217" s="9">
        <v>602283583.58638096</v>
      </c>
      <c r="M217" s="9">
        <v>602283583.58638096</v>
      </c>
      <c r="N217" s="32">
        <f>MIN(MAX((B217-Calculation_Assumptions!$B$5+1)/Calculation_Assumptions!$B$7,0),1)</f>
        <v>1</v>
      </c>
      <c r="O217" s="21">
        <f t="shared" si="24"/>
        <v>602283583.58638096</v>
      </c>
      <c r="P217" s="21">
        <f t="shared" si="25"/>
        <v>602283583.58638096</v>
      </c>
      <c r="Q217" s="21">
        <f>P217*Calculation_Assumptions!$B$14*J217*K217</f>
        <v>0</v>
      </c>
      <c r="R217" s="21">
        <f t="shared" si="26"/>
        <v>5285038.4459704924</v>
      </c>
      <c r="S217" s="21">
        <f t="shared" si="27"/>
        <v>5285038.4459704924</v>
      </c>
      <c r="T217" s="32">
        <f>1/(1+Calculation_Assumptions!$B$8)^(B217-Calculation_Assumptions!$B$2)</f>
        <v>0.81309151134335378</v>
      </c>
      <c r="U217" s="21">
        <f t="shared" si="28"/>
        <v>0</v>
      </c>
      <c r="V217" s="21">
        <f t="shared" si="29"/>
        <v>4297219.8975418778</v>
      </c>
      <c r="W217" s="21">
        <f t="shared" si="30"/>
        <v>4297219.8975418778</v>
      </c>
      <c r="X217">
        <v>0</v>
      </c>
      <c r="Y217" s="18">
        <v>2017</v>
      </c>
      <c r="Z217" t="s">
        <v>387</v>
      </c>
      <c r="AA217" s="21">
        <f t="shared" si="31"/>
        <v>1</v>
      </c>
    </row>
    <row r="218" spans="1:27">
      <c r="A218" t="s">
        <v>217</v>
      </c>
      <c r="B218" s="18">
        <v>2033</v>
      </c>
      <c r="C218" t="s">
        <v>217</v>
      </c>
      <c r="D218" s="20" t="s">
        <v>397</v>
      </c>
      <c r="E218" s="20" t="s">
        <v>398</v>
      </c>
      <c r="F218" s="20" t="s">
        <v>220</v>
      </c>
      <c r="G218" s="20" t="s">
        <v>393</v>
      </c>
      <c r="H218" s="20" t="s">
        <v>384</v>
      </c>
      <c r="I218" s="29">
        <v>1</v>
      </c>
      <c r="J218" s="30">
        <v>1</v>
      </c>
      <c r="K218" s="31">
        <v>8.7749999999999998E-3</v>
      </c>
      <c r="L218" s="9">
        <v>605911902.99473</v>
      </c>
      <c r="M218" s="9">
        <v>605911902.99473</v>
      </c>
      <c r="N218" s="32">
        <f>MIN(MAX((B218-Calculation_Assumptions!$B$5+1)/Calculation_Assumptions!$B$7,0),1)</f>
        <v>1</v>
      </c>
      <c r="O218" s="21">
        <f t="shared" si="24"/>
        <v>605911902.99473</v>
      </c>
      <c r="P218" s="21">
        <f t="shared" si="25"/>
        <v>605911902.99473</v>
      </c>
      <c r="Q218" s="21">
        <f>P218*Calculation_Assumptions!$B$14*J218*K218</f>
        <v>0</v>
      </c>
      <c r="R218" s="21">
        <f t="shared" si="26"/>
        <v>5316876.948778756</v>
      </c>
      <c r="S218" s="21">
        <f t="shared" si="27"/>
        <v>5316876.948778756</v>
      </c>
      <c r="T218" s="32">
        <f>1/(1+Calculation_Assumptions!$B$8)^(B218-Calculation_Assumptions!$B$2)</f>
        <v>0.78940923431393573</v>
      </c>
      <c r="U218" s="21">
        <f t="shared" si="28"/>
        <v>0</v>
      </c>
      <c r="V218" s="21">
        <f t="shared" si="29"/>
        <v>4197191.7610768527</v>
      </c>
      <c r="W218" s="21">
        <f t="shared" si="30"/>
        <v>4197191.7610768527</v>
      </c>
      <c r="X218">
        <v>0</v>
      </c>
      <c r="Y218" s="18">
        <v>2017</v>
      </c>
      <c r="Z218" t="s">
        <v>387</v>
      </c>
      <c r="AA218" s="21">
        <f t="shared" si="31"/>
        <v>1</v>
      </c>
    </row>
    <row r="219" spans="1:27">
      <c r="A219" t="s">
        <v>217</v>
      </c>
      <c r="B219" s="18">
        <v>2034</v>
      </c>
      <c r="C219" t="s">
        <v>217</v>
      </c>
      <c r="D219" s="20" t="s">
        <v>397</v>
      </c>
      <c r="E219" s="20" t="s">
        <v>398</v>
      </c>
      <c r="F219" s="20" t="s">
        <v>220</v>
      </c>
      <c r="G219" s="20" t="s">
        <v>393</v>
      </c>
      <c r="H219" s="20" t="s">
        <v>384</v>
      </c>
      <c r="I219" s="29">
        <v>1</v>
      </c>
      <c r="J219" s="30">
        <v>1</v>
      </c>
      <c r="K219" s="31">
        <v>8.7749999999999998E-3</v>
      </c>
      <c r="L219" s="9">
        <v>609455548.12077105</v>
      </c>
      <c r="M219" s="9">
        <v>609455548.12077105</v>
      </c>
      <c r="N219" s="32">
        <f>MIN(MAX((B219-Calculation_Assumptions!$B$5+1)/Calculation_Assumptions!$B$7,0),1)</f>
        <v>1</v>
      </c>
      <c r="O219" s="21">
        <f t="shared" si="24"/>
        <v>609455548.12077105</v>
      </c>
      <c r="P219" s="21">
        <f t="shared" si="25"/>
        <v>609455548.12077105</v>
      </c>
      <c r="Q219" s="21">
        <f>P219*Calculation_Assumptions!$B$14*J219*K219</f>
        <v>0</v>
      </c>
      <c r="R219" s="21">
        <f t="shared" si="26"/>
        <v>5347972.4347597659</v>
      </c>
      <c r="S219" s="21">
        <f t="shared" si="27"/>
        <v>5347972.4347597659</v>
      </c>
      <c r="T219" s="32">
        <f>1/(1+Calculation_Assumptions!$B$8)^(B219-Calculation_Assumptions!$B$2)</f>
        <v>0.76641673234362695</v>
      </c>
      <c r="U219" s="21">
        <f t="shared" si="28"/>
        <v>0</v>
      </c>
      <c r="V219" s="21">
        <f t="shared" si="29"/>
        <v>4098775.5581123703</v>
      </c>
      <c r="W219" s="21">
        <f t="shared" si="30"/>
        <v>4098775.5581123703</v>
      </c>
      <c r="X219">
        <v>0</v>
      </c>
      <c r="Y219" s="18">
        <v>2017</v>
      </c>
      <c r="Z219" t="s">
        <v>387</v>
      </c>
      <c r="AA219" s="21">
        <f t="shared" si="31"/>
        <v>1</v>
      </c>
    </row>
    <row r="220" spans="1:27">
      <c r="A220" t="s">
        <v>217</v>
      </c>
      <c r="B220" s="18">
        <v>2035</v>
      </c>
      <c r="C220" t="s">
        <v>217</v>
      </c>
      <c r="D220" s="20" t="s">
        <v>397</v>
      </c>
      <c r="E220" s="20" t="s">
        <v>398</v>
      </c>
      <c r="F220" s="20" t="s">
        <v>220</v>
      </c>
      <c r="G220" s="20" t="s">
        <v>393</v>
      </c>
      <c r="H220" s="20" t="s">
        <v>384</v>
      </c>
      <c r="I220" s="29">
        <v>1</v>
      </c>
      <c r="J220" s="30">
        <v>1</v>
      </c>
      <c r="K220" s="31">
        <v>8.7749999999999998E-3</v>
      </c>
      <c r="L220" s="9">
        <v>612884294.47334194</v>
      </c>
      <c r="M220" s="9">
        <v>612884294.47334194</v>
      </c>
      <c r="N220" s="32">
        <f>MIN(MAX((B220-Calculation_Assumptions!$B$5+1)/Calculation_Assumptions!$B$7,0),1)</f>
        <v>1</v>
      </c>
      <c r="O220" s="21">
        <f t="shared" si="24"/>
        <v>612884294.47334194</v>
      </c>
      <c r="P220" s="21">
        <f t="shared" si="25"/>
        <v>612884294.47334194</v>
      </c>
      <c r="Q220" s="21">
        <f>P220*Calculation_Assumptions!$B$14*J220*K220</f>
        <v>0</v>
      </c>
      <c r="R220" s="21">
        <f t="shared" si="26"/>
        <v>5378059.6840035757</v>
      </c>
      <c r="S220" s="21">
        <f t="shared" si="27"/>
        <v>5378059.6840035757</v>
      </c>
      <c r="T220" s="32">
        <f>1/(1+Calculation_Assumptions!$B$8)^(B220-Calculation_Assumptions!$B$2)</f>
        <v>0.74409391489672516</v>
      </c>
      <c r="U220" s="21">
        <f t="shared" si="28"/>
        <v>0</v>
      </c>
      <c r="V220" s="21">
        <f t="shared" si="29"/>
        <v>4001781.4848184651</v>
      </c>
      <c r="W220" s="21">
        <f t="shared" si="30"/>
        <v>4001781.4848184651</v>
      </c>
      <c r="X220">
        <v>0</v>
      </c>
      <c r="Y220" s="18">
        <v>2017</v>
      </c>
      <c r="Z220" t="s">
        <v>387</v>
      </c>
      <c r="AA220" s="21">
        <f t="shared" si="31"/>
        <v>1</v>
      </c>
    </row>
    <row r="221" spans="1:27">
      <c r="A221" t="s">
        <v>217</v>
      </c>
      <c r="B221" s="18">
        <v>2036</v>
      </c>
      <c r="C221" t="s">
        <v>217</v>
      </c>
      <c r="D221" s="20" t="s">
        <v>397</v>
      </c>
      <c r="E221" s="20" t="s">
        <v>398</v>
      </c>
      <c r="F221" s="20" t="s">
        <v>220</v>
      </c>
      <c r="G221" s="20" t="s">
        <v>393</v>
      </c>
      <c r="H221" s="20" t="s">
        <v>384</v>
      </c>
      <c r="I221" s="29">
        <v>1</v>
      </c>
      <c r="J221" s="30">
        <v>1</v>
      </c>
      <c r="K221" s="31">
        <v>8.7749999999999998E-3</v>
      </c>
      <c r="L221" s="9">
        <v>616262053.85817397</v>
      </c>
      <c r="M221" s="9">
        <v>616262053.85817397</v>
      </c>
      <c r="N221" s="32">
        <f>MIN(MAX((B221-Calculation_Assumptions!$B$5+1)/Calculation_Assumptions!$B$7,0),1)</f>
        <v>1</v>
      </c>
      <c r="O221" s="21">
        <f t="shared" si="24"/>
        <v>616262053.85817397</v>
      </c>
      <c r="P221" s="21">
        <f t="shared" si="25"/>
        <v>616262053.85817397</v>
      </c>
      <c r="Q221" s="21">
        <f>P221*Calculation_Assumptions!$B$14*J221*K221</f>
        <v>0</v>
      </c>
      <c r="R221" s="21">
        <f t="shared" si="26"/>
        <v>5407699.5226054769</v>
      </c>
      <c r="S221" s="21">
        <f t="shared" si="27"/>
        <v>5407699.5226054769</v>
      </c>
      <c r="T221" s="32">
        <f>1/(1+Calculation_Assumptions!$B$8)^(B221-Calculation_Assumptions!$B$2)</f>
        <v>0.72242127659876232</v>
      </c>
      <c r="U221" s="21">
        <f t="shared" si="28"/>
        <v>0</v>
      </c>
      <c r="V221" s="21">
        <f t="shared" si="29"/>
        <v>3906637.1925831661</v>
      </c>
      <c r="W221" s="21">
        <f t="shared" si="30"/>
        <v>3906637.1925831661</v>
      </c>
      <c r="X221">
        <v>0</v>
      </c>
      <c r="Y221" s="18">
        <v>2017</v>
      </c>
      <c r="Z221" t="s">
        <v>387</v>
      </c>
      <c r="AA221" s="21">
        <f t="shared" si="31"/>
        <v>1</v>
      </c>
    </row>
    <row r="222" spans="1:27">
      <c r="A222" t="s">
        <v>217</v>
      </c>
      <c r="B222" s="18">
        <v>2037</v>
      </c>
      <c r="C222" t="s">
        <v>217</v>
      </c>
      <c r="D222" s="20" t="s">
        <v>397</v>
      </c>
      <c r="E222" s="20" t="s">
        <v>398</v>
      </c>
      <c r="F222" s="20" t="s">
        <v>220</v>
      </c>
      <c r="G222" s="20" t="s">
        <v>393</v>
      </c>
      <c r="H222" s="20" t="s">
        <v>384</v>
      </c>
      <c r="I222" s="29">
        <v>1</v>
      </c>
      <c r="J222" s="30">
        <v>1</v>
      </c>
      <c r="K222" s="31">
        <v>8.7749999999999998E-3</v>
      </c>
      <c r="L222" s="9">
        <v>619529380.90729904</v>
      </c>
      <c r="M222" s="9">
        <v>619529380.90729904</v>
      </c>
      <c r="N222" s="32">
        <f>MIN(MAX((B222-Calculation_Assumptions!$B$5+1)/Calculation_Assumptions!$B$7,0),1)</f>
        <v>1</v>
      </c>
      <c r="O222" s="21">
        <f t="shared" si="24"/>
        <v>619529380.90729904</v>
      </c>
      <c r="P222" s="21">
        <f t="shared" si="25"/>
        <v>619529380.90729904</v>
      </c>
      <c r="Q222" s="21">
        <f>P222*Calculation_Assumptions!$B$14*J222*K222</f>
        <v>0</v>
      </c>
      <c r="R222" s="21">
        <f t="shared" si="26"/>
        <v>5436370.3174615493</v>
      </c>
      <c r="S222" s="21">
        <f t="shared" si="27"/>
        <v>5436370.3174615493</v>
      </c>
      <c r="T222" s="32">
        <f>1/(1+Calculation_Assumptions!$B$8)^(B222-Calculation_Assumptions!$B$2)</f>
        <v>0.70137988019297326</v>
      </c>
      <c r="U222" s="21">
        <f t="shared" si="28"/>
        <v>0</v>
      </c>
      <c r="V222" s="21">
        <f t="shared" si="29"/>
        <v>3812960.7619458176</v>
      </c>
      <c r="W222" s="21">
        <f t="shared" si="30"/>
        <v>3812960.7619458176</v>
      </c>
      <c r="X222">
        <v>0</v>
      </c>
      <c r="Y222" s="18">
        <v>2017</v>
      </c>
      <c r="Z222" t="s">
        <v>387</v>
      </c>
      <c r="AA222" s="21">
        <f t="shared" si="31"/>
        <v>1</v>
      </c>
    </row>
    <row r="223" spans="1:27">
      <c r="A223" t="s">
        <v>217</v>
      </c>
      <c r="B223" s="18">
        <v>2038</v>
      </c>
      <c r="C223" t="s">
        <v>217</v>
      </c>
      <c r="D223" s="20" t="s">
        <v>397</v>
      </c>
      <c r="E223" s="20" t="s">
        <v>398</v>
      </c>
      <c r="F223" s="20" t="s">
        <v>220</v>
      </c>
      <c r="G223" s="20" t="s">
        <v>393</v>
      </c>
      <c r="H223" s="20" t="s">
        <v>384</v>
      </c>
      <c r="I223" s="29">
        <v>1</v>
      </c>
      <c r="J223" s="30">
        <v>1</v>
      </c>
      <c r="K223" s="31">
        <v>8.7749999999999998E-3</v>
      </c>
      <c r="L223" s="9">
        <v>622673191.62836504</v>
      </c>
      <c r="M223" s="9">
        <v>622673191.62836504</v>
      </c>
      <c r="N223" s="32">
        <f>MIN(MAX((B223-Calculation_Assumptions!$B$5+1)/Calculation_Assumptions!$B$7,0),1)</f>
        <v>1</v>
      </c>
      <c r="O223" s="21">
        <f t="shared" si="24"/>
        <v>622673191.62836504</v>
      </c>
      <c r="P223" s="21">
        <f t="shared" si="25"/>
        <v>622673191.62836504</v>
      </c>
      <c r="Q223" s="21">
        <f>P223*Calculation_Assumptions!$B$14*J223*K223</f>
        <v>0</v>
      </c>
      <c r="R223" s="21">
        <f t="shared" si="26"/>
        <v>5463957.2565389033</v>
      </c>
      <c r="S223" s="21">
        <f t="shared" si="27"/>
        <v>5463957.2565389033</v>
      </c>
      <c r="T223" s="32">
        <f>1/(1+Calculation_Assumptions!$B$8)^(B223-Calculation_Assumptions!$B$2)</f>
        <v>0.68095133999317792</v>
      </c>
      <c r="U223" s="21">
        <f t="shared" si="28"/>
        <v>0</v>
      </c>
      <c r="V223" s="21">
        <f t="shared" si="29"/>
        <v>3720689.0155056142</v>
      </c>
      <c r="W223" s="21">
        <f t="shared" si="30"/>
        <v>3720689.0155056142</v>
      </c>
      <c r="X223">
        <v>0</v>
      </c>
      <c r="Y223" s="18">
        <v>2017</v>
      </c>
      <c r="Z223" t="s">
        <v>387</v>
      </c>
      <c r="AA223" s="21">
        <f t="shared" si="31"/>
        <v>1</v>
      </c>
    </row>
    <row r="224" spans="1:27">
      <c r="A224" t="s">
        <v>217</v>
      </c>
      <c r="B224" s="18">
        <v>2039</v>
      </c>
      <c r="C224" t="s">
        <v>217</v>
      </c>
      <c r="D224" s="20" t="s">
        <v>397</v>
      </c>
      <c r="E224" s="20" t="s">
        <v>398</v>
      </c>
      <c r="F224" s="20" t="s">
        <v>220</v>
      </c>
      <c r="G224" s="20" t="s">
        <v>393</v>
      </c>
      <c r="H224" s="20" t="s">
        <v>384</v>
      </c>
      <c r="I224" s="29">
        <v>1</v>
      </c>
      <c r="J224" s="30">
        <v>1</v>
      </c>
      <c r="K224" s="31">
        <v>8.7749999999999998E-3</v>
      </c>
      <c r="L224" s="9">
        <v>625731758.218045</v>
      </c>
      <c r="M224" s="9">
        <v>625731758.218045</v>
      </c>
      <c r="N224" s="32">
        <f>MIN(MAX((B224-Calculation_Assumptions!$B$5+1)/Calculation_Assumptions!$B$7,0),1)</f>
        <v>1</v>
      </c>
      <c r="O224" s="21">
        <f t="shared" si="24"/>
        <v>625731758.218045</v>
      </c>
      <c r="P224" s="21">
        <f t="shared" si="25"/>
        <v>625731758.218045</v>
      </c>
      <c r="Q224" s="21">
        <f>P224*Calculation_Assumptions!$B$14*J224*K224</f>
        <v>0</v>
      </c>
      <c r="R224" s="21">
        <f t="shared" si="26"/>
        <v>5490796.1783633446</v>
      </c>
      <c r="S224" s="21">
        <f t="shared" si="27"/>
        <v>5490796.1783633446</v>
      </c>
      <c r="T224" s="32">
        <f>1/(1+Calculation_Assumptions!$B$8)^(B224-Calculation_Assumptions!$B$2)</f>
        <v>0.66111780581861923</v>
      </c>
      <c r="U224" s="21">
        <f t="shared" si="28"/>
        <v>0</v>
      </c>
      <c r="V224" s="21">
        <f t="shared" si="29"/>
        <v>3630063.1216368345</v>
      </c>
      <c r="W224" s="21">
        <f t="shared" si="30"/>
        <v>3630063.1216368345</v>
      </c>
      <c r="X224">
        <v>0</v>
      </c>
      <c r="Y224" s="18">
        <v>2017</v>
      </c>
      <c r="Z224" t="s">
        <v>387</v>
      </c>
      <c r="AA224" s="21">
        <f t="shared" si="31"/>
        <v>1</v>
      </c>
    </row>
    <row r="225" spans="1:27">
      <c r="A225" t="s">
        <v>217</v>
      </c>
      <c r="B225" s="18">
        <v>2040</v>
      </c>
      <c r="C225" t="s">
        <v>217</v>
      </c>
      <c r="D225" s="20" t="s">
        <v>397</v>
      </c>
      <c r="E225" s="20" t="s">
        <v>398</v>
      </c>
      <c r="F225" s="20" t="s">
        <v>220</v>
      </c>
      <c r="G225" s="20" t="s">
        <v>393</v>
      </c>
      <c r="H225" s="20" t="s">
        <v>384</v>
      </c>
      <c r="I225" s="29">
        <v>1</v>
      </c>
      <c r="J225" s="30">
        <v>1</v>
      </c>
      <c r="K225" s="31">
        <v>8.7749999999999998E-3</v>
      </c>
      <c r="L225" s="9">
        <v>628667498.21665299</v>
      </c>
      <c r="M225" s="9">
        <v>628667498.21665299</v>
      </c>
      <c r="N225" s="32">
        <f>MIN(MAX((B225-Calculation_Assumptions!$B$5+1)/Calculation_Assumptions!$B$7,0),1)</f>
        <v>1</v>
      </c>
      <c r="O225" s="21">
        <f t="shared" si="24"/>
        <v>628667498.21665299</v>
      </c>
      <c r="P225" s="21">
        <f t="shared" si="25"/>
        <v>628667498.21665299</v>
      </c>
      <c r="Q225" s="21">
        <f>P225*Calculation_Assumptions!$B$14*J225*K225</f>
        <v>0</v>
      </c>
      <c r="R225" s="21">
        <f t="shared" si="26"/>
        <v>5516557.2968511302</v>
      </c>
      <c r="S225" s="21">
        <f t="shared" si="27"/>
        <v>5516557.2968511302</v>
      </c>
      <c r="T225" s="32">
        <f>1/(1+Calculation_Assumptions!$B$8)^(B225-Calculation_Assumptions!$B$2)</f>
        <v>0.64186194739671765</v>
      </c>
      <c r="U225" s="21">
        <f t="shared" si="28"/>
        <v>0</v>
      </c>
      <c r="V225" s="21">
        <f t="shared" si="29"/>
        <v>3540868.2094824389</v>
      </c>
      <c r="W225" s="21">
        <f t="shared" si="30"/>
        <v>3540868.2094824389</v>
      </c>
      <c r="X225">
        <v>0</v>
      </c>
      <c r="Y225" s="18">
        <v>2017</v>
      </c>
      <c r="Z225" t="s">
        <v>387</v>
      </c>
      <c r="AA225" s="21">
        <f t="shared" si="31"/>
        <v>1</v>
      </c>
    </row>
    <row r="226" spans="1:27">
      <c r="A226" t="s">
        <v>217</v>
      </c>
      <c r="B226" s="18">
        <v>2041</v>
      </c>
      <c r="C226" t="s">
        <v>217</v>
      </c>
      <c r="D226" s="20" t="s">
        <v>397</v>
      </c>
      <c r="E226" s="20" t="s">
        <v>398</v>
      </c>
      <c r="F226" s="20" t="s">
        <v>220</v>
      </c>
      <c r="G226" s="20" t="s">
        <v>393</v>
      </c>
      <c r="H226" s="20" t="s">
        <v>384</v>
      </c>
      <c r="I226" s="29">
        <v>1</v>
      </c>
      <c r="J226" s="30">
        <v>1</v>
      </c>
      <c r="K226" s="31">
        <v>8.7749999999999998E-3</v>
      </c>
      <c r="L226" s="9">
        <v>631488405.68781996</v>
      </c>
      <c r="M226" s="9">
        <v>631488405.68781996</v>
      </c>
      <c r="N226" s="32">
        <f>MIN(MAX((B226-Calculation_Assumptions!$B$5+1)/Calculation_Assumptions!$B$7,0),1)</f>
        <v>1</v>
      </c>
      <c r="O226" s="21">
        <f t="shared" si="24"/>
        <v>631488405.68781996</v>
      </c>
      <c r="P226" s="21">
        <f t="shared" si="25"/>
        <v>631488405.68781996</v>
      </c>
      <c r="Q226" s="21">
        <f>P226*Calculation_Assumptions!$B$14*J226*K226</f>
        <v>0</v>
      </c>
      <c r="R226" s="21">
        <f t="shared" si="26"/>
        <v>5541310.7599106198</v>
      </c>
      <c r="S226" s="21">
        <f t="shared" si="27"/>
        <v>5541310.7599106198</v>
      </c>
      <c r="T226" s="32">
        <f>1/(1+Calculation_Assumptions!$B$8)^(B226-Calculation_Assumptions!$B$2)</f>
        <v>0.62316693922011435</v>
      </c>
      <c r="U226" s="21">
        <f t="shared" si="28"/>
        <v>0</v>
      </c>
      <c r="V226" s="21">
        <f t="shared" si="29"/>
        <v>3453161.665520987</v>
      </c>
      <c r="W226" s="21">
        <f t="shared" si="30"/>
        <v>3453161.665520987</v>
      </c>
      <c r="X226">
        <v>0</v>
      </c>
      <c r="Y226" s="18">
        <v>2017</v>
      </c>
      <c r="Z226" t="s">
        <v>387</v>
      </c>
      <c r="AA226" s="21">
        <f t="shared" si="31"/>
        <v>1</v>
      </c>
    </row>
    <row r="227" spans="1:27">
      <c r="A227" t="s">
        <v>217</v>
      </c>
      <c r="B227" s="18">
        <v>2042</v>
      </c>
      <c r="C227" t="s">
        <v>217</v>
      </c>
      <c r="D227" s="20" t="s">
        <v>397</v>
      </c>
      <c r="E227" s="20" t="s">
        <v>398</v>
      </c>
      <c r="F227" s="20" t="s">
        <v>220</v>
      </c>
      <c r="G227" s="20" t="s">
        <v>393</v>
      </c>
      <c r="H227" s="20" t="s">
        <v>384</v>
      </c>
      <c r="I227" s="29">
        <v>1</v>
      </c>
      <c r="J227" s="30">
        <v>1</v>
      </c>
      <c r="K227" s="31">
        <v>8.7749999999999998E-3</v>
      </c>
      <c r="L227" s="9">
        <v>634184560.98858297</v>
      </c>
      <c r="M227" s="9">
        <v>634184560.98858297</v>
      </c>
      <c r="N227" s="32">
        <f>MIN(MAX((B227-Calculation_Assumptions!$B$5+1)/Calculation_Assumptions!$B$7,0),1)</f>
        <v>1</v>
      </c>
      <c r="O227" s="21">
        <f t="shared" si="24"/>
        <v>634184560.98858297</v>
      </c>
      <c r="P227" s="21">
        <f t="shared" si="25"/>
        <v>634184560.98858297</v>
      </c>
      <c r="Q227" s="21">
        <f>P227*Calculation_Assumptions!$B$14*J227*K227</f>
        <v>0</v>
      </c>
      <c r="R227" s="21">
        <f t="shared" si="26"/>
        <v>5564969.5226748157</v>
      </c>
      <c r="S227" s="21">
        <f t="shared" si="27"/>
        <v>5564969.5226748157</v>
      </c>
      <c r="T227" s="32">
        <f>1/(1+Calculation_Assumptions!$B$8)^(B227-Calculation_Assumptions!$B$2)</f>
        <v>0.60501644584477121</v>
      </c>
      <c r="U227" s="21">
        <f t="shared" si="28"/>
        <v>0</v>
      </c>
      <c r="V227" s="21">
        <f t="shared" si="29"/>
        <v>3366898.0818431899</v>
      </c>
      <c r="W227" s="21">
        <f t="shared" si="30"/>
        <v>3366898.0818431899</v>
      </c>
      <c r="X227">
        <v>0</v>
      </c>
      <c r="Y227" s="18">
        <v>2017</v>
      </c>
      <c r="Z227" t="s">
        <v>387</v>
      </c>
      <c r="AA227" s="21">
        <f t="shared" si="31"/>
        <v>1</v>
      </c>
    </row>
    <row r="228" spans="1:27">
      <c r="A228" t="s">
        <v>217</v>
      </c>
      <c r="B228" s="18">
        <v>2043</v>
      </c>
      <c r="C228" t="s">
        <v>217</v>
      </c>
      <c r="D228" s="20" t="s">
        <v>397</v>
      </c>
      <c r="E228" s="20" t="s">
        <v>398</v>
      </c>
      <c r="F228" s="20" t="s">
        <v>220</v>
      </c>
      <c r="G228" s="20" t="s">
        <v>393</v>
      </c>
      <c r="H228" s="20" t="s">
        <v>384</v>
      </c>
      <c r="I228" s="29">
        <v>1</v>
      </c>
      <c r="J228" s="30">
        <v>1</v>
      </c>
      <c r="K228" s="31">
        <v>8.7749999999999998E-3</v>
      </c>
      <c r="L228" s="9">
        <v>636767020.67603099</v>
      </c>
      <c r="M228" s="9">
        <v>636767020.67603099</v>
      </c>
      <c r="N228" s="32">
        <f>MIN(MAX((B228-Calculation_Assumptions!$B$5+1)/Calculation_Assumptions!$B$7,0),1)</f>
        <v>1</v>
      </c>
      <c r="O228" s="21">
        <f t="shared" si="24"/>
        <v>636767020.67603099</v>
      </c>
      <c r="P228" s="21">
        <f t="shared" si="25"/>
        <v>636767020.67603099</v>
      </c>
      <c r="Q228" s="21">
        <f>P228*Calculation_Assumptions!$B$14*J228*K228</f>
        <v>0</v>
      </c>
      <c r="R228" s="21">
        <f t="shared" si="26"/>
        <v>5587630.6064321715</v>
      </c>
      <c r="S228" s="21">
        <f t="shared" si="27"/>
        <v>5587630.6064321715</v>
      </c>
      <c r="T228" s="32">
        <f>1/(1+Calculation_Assumptions!$B$8)^(B228-Calculation_Assumptions!$B$2)</f>
        <v>0.5873946076162827</v>
      </c>
      <c r="U228" s="21">
        <f t="shared" si="28"/>
        <v>0</v>
      </c>
      <c r="V228" s="21">
        <f t="shared" si="29"/>
        <v>3282144.0875699571</v>
      </c>
      <c r="W228" s="21">
        <f t="shared" si="30"/>
        <v>3282144.0875699571</v>
      </c>
      <c r="X228">
        <v>0</v>
      </c>
      <c r="Y228" s="18">
        <v>2017</v>
      </c>
      <c r="Z228" t="s">
        <v>387</v>
      </c>
      <c r="AA228" s="21">
        <f t="shared" si="31"/>
        <v>1</v>
      </c>
    </row>
    <row r="229" spans="1:27">
      <c r="A229" t="s">
        <v>217</v>
      </c>
      <c r="B229" s="18">
        <v>2044</v>
      </c>
      <c r="C229" t="s">
        <v>217</v>
      </c>
      <c r="D229" s="20" t="s">
        <v>397</v>
      </c>
      <c r="E229" s="20" t="s">
        <v>398</v>
      </c>
      <c r="F229" s="20" t="s">
        <v>220</v>
      </c>
      <c r="G229" s="20" t="s">
        <v>393</v>
      </c>
      <c r="H229" s="20" t="s">
        <v>384</v>
      </c>
      <c r="I229" s="29">
        <v>1</v>
      </c>
      <c r="J229" s="30">
        <v>1</v>
      </c>
      <c r="K229" s="31">
        <v>8.7749999999999998E-3</v>
      </c>
      <c r="L229" s="9">
        <v>639211548.58069301</v>
      </c>
      <c r="M229" s="9">
        <v>639211548.58069301</v>
      </c>
      <c r="N229" s="32">
        <f>MIN(MAX((B229-Calculation_Assumptions!$B$5+1)/Calculation_Assumptions!$B$7,0),1)</f>
        <v>1</v>
      </c>
      <c r="O229" s="21">
        <f t="shared" si="24"/>
        <v>639211548.58069301</v>
      </c>
      <c r="P229" s="21">
        <f t="shared" si="25"/>
        <v>639211548.58069301</v>
      </c>
      <c r="Q229" s="21">
        <f>P229*Calculation_Assumptions!$B$14*J229*K229</f>
        <v>0</v>
      </c>
      <c r="R229" s="21">
        <f t="shared" si="26"/>
        <v>5609081.3387955809</v>
      </c>
      <c r="S229" s="21">
        <f t="shared" si="27"/>
        <v>5609081.3387955809</v>
      </c>
      <c r="T229" s="32">
        <f>1/(1+Calculation_Assumptions!$B$8)^(B229-Calculation_Assumptions!$B$2)</f>
        <v>0.57028602681192497</v>
      </c>
      <c r="U229" s="21">
        <f t="shared" si="28"/>
        <v>0</v>
      </c>
      <c r="V229" s="21">
        <f t="shared" si="29"/>
        <v>3198780.7107666447</v>
      </c>
      <c r="W229" s="21">
        <f t="shared" si="30"/>
        <v>3198780.7107666447</v>
      </c>
      <c r="X229">
        <v>0</v>
      </c>
      <c r="Y229" s="18">
        <v>2017</v>
      </c>
      <c r="Z229" t="s">
        <v>387</v>
      </c>
      <c r="AA229" s="21">
        <f t="shared" si="31"/>
        <v>1</v>
      </c>
    </row>
    <row r="230" spans="1:27">
      <c r="A230" t="s">
        <v>217</v>
      </c>
      <c r="B230" s="18">
        <v>2045</v>
      </c>
      <c r="C230" t="s">
        <v>217</v>
      </c>
      <c r="D230" s="20" t="s">
        <v>397</v>
      </c>
      <c r="E230" s="20" t="s">
        <v>398</v>
      </c>
      <c r="F230" s="20" t="s">
        <v>220</v>
      </c>
      <c r="G230" s="20" t="s">
        <v>393</v>
      </c>
      <c r="H230" s="20" t="s">
        <v>384</v>
      </c>
      <c r="I230" s="29">
        <v>1</v>
      </c>
      <c r="J230" s="30">
        <v>1</v>
      </c>
      <c r="K230" s="31">
        <v>8.7749999999999998E-3</v>
      </c>
      <c r="L230" s="9">
        <v>641520754.67294204</v>
      </c>
      <c r="M230" s="9">
        <v>641520754.67294204</v>
      </c>
      <c r="N230" s="32">
        <f>MIN(MAX((B230-Calculation_Assumptions!$B$5+1)/Calculation_Assumptions!$B$7,0),1)</f>
        <v>1</v>
      </c>
      <c r="O230" s="21">
        <f t="shared" si="24"/>
        <v>641520754.67294204</v>
      </c>
      <c r="P230" s="21">
        <f t="shared" si="25"/>
        <v>641520754.67294204</v>
      </c>
      <c r="Q230" s="21">
        <f>P230*Calculation_Assumptions!$B$14*J230*K230</f>
        <v>0</v>
      </c>
      <c r="R230" s="21">
        <f t="shared" si="26"/>
        <v>5629344.6222550664</v>
      </c>
      <c r="S230" s="21">
        <f t="shared" si="27"/>
        <v>5629344.6222550664</v>
      </c>
      <c r="T230" s="32">
        <f>1/(1+Calculation_Assumptions!$B$8)^(B230-Calculation_Assumptions!$B$2)</f>
        <v>0.55367575418633497</v>
      </c>
      <c r="U230" s="21">
        <f t="shared" si="28"/>
        <v>0</v>
      </c>
      <c r="V230" s="21">
        <f t="shared" si="29"/>
        <v>3116831.6293018628</v>
      </c>
      <c r="W230" s="21">
        <f t="shared" si="30"/>
        <v>3116831.6293018628</v>
      </c>
      <c r="X230">
        <v>0</v>
      </c>
      <c r="Y230" s="18">
        <v>2017</v>
      </c>
      <c r="Z230" t="s">
        <v>387</v>
      </c>
      <c r="AA230" s="21">
        <f t="shared" si="31"/>
        <v>1</v>
      </c>
    </row>
    <row r="231" spans="1:27">
      <c r="A231" t="s">
        <v>217</v>
      </c>
      <c r="B231" s="18">
        <v>2046</v>
      </c>
      <c r="C231" t="s">
        <v>217</v>
      </c>
      <c r="D231" s="20" t="s">
        <v>397</v>
      </c>
      <c r="E231" s="20" t="s">
        <v>398</v>
      </c>
      <c r="F231" s="20" t="s">
        <v>220</v>
      </c>
      <c r="G231" s="20" t="s">
        <v>393</v>
      </c>
      <c r="H231" s="20" t="s">
        <v>384</v>
      </c>
      <c r="I231" s="29">
        <v>1</v>
      </c>
      <c r="J231" s="30">
        <v>1</v>
      </c>
      <c r="K231" s="31">
        <v>8.7749999999999998E-3</v>
      </c>
      <c r="L231" s="9">
        <v>643697330.762573</v>
      </c>
      <c r="M231" s="9">
        <v>643697330.762573</v>
      </c>
      <c r="N231" s="32">
        <f>MIN(MAX((B231-Calculation_Assumptions!$B$5+1)/Calculation_Assumptions!$B$7,0),1)</f>
        <v>1</v>
      </c>
      <c r="O231" s="21">
        <f t="shared" si="24"/>
        <v>643697330.762573</v>
      </c>
      <c r="P231" s="21">
        <f t="shared" si="25"/>
        <v>643697330.762573</v>
      </c>
      <c r="Q231" s="21">
        <f>P231*Calculation_Assumptions!$B$14*J231*K231</f>
        <v>0</v>
      </c>
      <c r="R231" s="21">
        <f t="shared" si="26"/>
        <v>5648444.0774415778</v>
      </c>
      <c r="S231" s="21">
        <f t="shared" si="27"/>
        <v>5648444.0774415778</v>
      </c>
      <c r="T231" s="32">
        <f>1/(1+Calculation_Assumptions!$B$8)^(B231-Calculation_Assumptions!$B$2)</f>
        <v>0.5375492759090631</v>
      </c>
      <c r="U231" s="21">
        <f t="shared" si="28"/>
        <v>0</v>
      </c>
      <c r="V231" s="21">
        <f t="shared" si="29"/>
        <v>3036317.0238415562</v>
      </c>
      <c r="W231" s="21">
        <f t="shared" si="30"/>
        <v>3036317.0238415562</v>
      </c>
      <c r="X231">
        <v>0</v>
      </c>
      <c r="Y231" s="18">
        <v>2017</v>
      </c>
      <c r="Z231" t="s">
        <v>387</v>
      </c>
      <c r="AA231" s="21">
        <f t="shared" si="31"/>
        <v>1</v>
      </c>
    </row>
    <row r="232" spans="1:27">
      <c r="A232" t="s">
        <v>217</v>
      </c>
      <c r="B232" s="18">
        <v>2047</v>
      </c>
      <c r="C232" t="s">
        <v>217</v>
      </c>
      <c r="D232" s="20" t="s">
        <v>397</v>
      </c>
      <c r="E232" s="20" t="s">
        <v>398</v>
      </c>
      <c r="F232" s="20" t="s">
        <v>220</v>
      </c>
      <c r="G232" s="20" t="s">
        <v>393</v>
      </c>
      <c r="H232" s="20" t="s">
        <v>384</v>
      </c>
      <c r="I232" s="29">
        <v>1</v>
      </c>
      <c r="J232" s="30">
        <v>1</v>
      </c>
      <c r="K232" s="31">
        <v>8.7749999999999998E-3</v>
      </c>
      <c r="L232" s="9">
        <v>645745914.53009498</v>
      </c>
      <c r="M232" s="9">
        <v>645745914.53009498</v>
      </c>
      <c r="N232" s="32">
        <f>MIN(MAX((B232-Calculation_Assumptions!$B$5+1)/Calculation_Assumptions!$B$7,0),1)</f>
        <v>1</v>
      </c>
      <c r="O232" s="21">
        <f t="shared" si="24"/>
        <v>645745914.53009498</v>
      </c>
      <c r="P232" s="21">
        <f t="shared" si="25"/>
        <v>645745914.53009498</v>
      </c>
      <c r="Q232" s="21">
        <f>P232*Calculation_Assumptions!$B$14*J232*K232</f>
        <v>0</v>
      </c>
      <c r="R232" s="21">
        <f t="shared" si="26"/>
        <v>5666420.4000015836</v>
      </c>
      <c r="S232" s="21">
        <f t="shared" si="27"/>
        <v>5666420.4000015836</v>
      </c>
      <c r="T232" s="32">
        <f>1/(1+Calculation_Assumptions!$B$8)^(B232-Calculation_Assumptions!$B$2)</f>
        <v>0.52189250088258554</v>
      </c>
      <c r="U232" s="21">
        <f t="shared" si="28"/>
        <v>0</v>
      </c>
      <c r="V232" s="21">
        <f t="shared" si="29"/>
        <v>2957262.3136089272</v>
      </c>
      <c r="W232" s="21">
        <f t="shared" si="30"/>
        <v>2957262.3136089272</v>
      </c>
      <c r="X232">
        <v>0</v>
      </c>
      <c r="Y232" s="18">
        <v>2017</v>
      </c>
      <c r="Z232" t="s">
        <v>387</v>
      </c>
      <c r="AA232" s="21">
        <f t="shared" si="31"/>
        <v>1</v>
      </c>
    </row>
    <row r="233" spans="1:27">
      <c r="A233" t="s">
        <v>217</v>
      </c>
      <c r="B233" s="18">
        <v>2048</v>
      </c>
      <c r="C233" t="s">
        <v>217</v>
      </c>
      <c r="D233" s="20" t="s">
        <v>397</v>
      </c>
      <c r="E233" s="20" t="s">
        <v>398</v>
      </c>
      <c r="F233" s="20" t="s">
        <v>220</v>
      </c>
      <c r="G233" s="20" t="s">
        <v>393</v>
      </c>
      <c r="H233" s="20" t="s">
        <v>384</v>
      </c>
      <c r="I233" s="29">
        <v>1</v>
      </c>
      <c r="J233" s="30">
        <v>1</v>
      </c>
      <c r="K233" s="31">
        <v>8.7749999999999998E-3</v>
      </c>
      <c r="L233" s="9">
        <v>647666796.64810395</v>
      </c>
      <c r="M233" s="9">
        <v>647666796.64810395</v>
      </c>
      <c r="N233" s="32">
        <f>MIN(MAX((B233-Calculation_Assumptions!$B$5+1)/Calculation_Assumptions!$B$7,0),1)</f>
        <v>1</v>
      </c>
      <c r="O233" s="21">
        <f t="shared" si="24"/>
        <v>647666796.64810395</v>
      </c>
      <c r="P233" s="21">
        <f t="shared" si="25"/>
        <v>647666796.64810395</v>
      </c>
      <c r="Q233" s="21">
        <f>P233*Calculation_Assumptions!$B$14*J233*K233</f>
        <v>0</v>
      </c>
      <c r="R233" s="21">
        <f t="shared" si="26"/>
        <v>5683276.1405871119</v>
      </c>
      <c r="S233" s="21">
        <f t="shared" si="27"/>
        <v>5683276.1405871119</v>
      </c>
      <c r="T233" s="32">
        <f>1/(1+Calculation_Assumptions!$B$8)^(B233-Calculation_Assumptions!$B$2)</f>
        <v>0.50669174842969467</v>
      </c>
      <c r="U233" s="21">
        <f t="shared" si="28"/>
        <v>0</v>
      </c>
      <c r="V233" s="21">
        <f t="shared" si="29"/>
        <v>2879669.124482851</v>
      </c>
      <c r="W233" s="21">
        <f t="shared" si="30"/>
        <v>2879669.124482851</v>
      </c>
      <c r="X233">
        <v>0</v>
      </c>
      <c r="Y233" s="18">
        <v>2017</v>
      </c>
      <c r="Z233" t="s">
        <v>387</v>
      </c>
      <c r="AA233" s="21">
        <f t="shared" si="31"/>
        <v>1</v>
      </c>
    </row>
    <row r="234" spans="1:27">
      <c r="A234" t="s">
        <v>217</v>
      </c>
      <c r="B234" s="18">
        <v>2049</v>
      </c>
      <c r="C234" t="s">
        <v>217</v>
      </c>
      <c r="D234" s="20" t="s">
        <v>397</v>
      </c>
      <c r="E234" s="20" t="s">
        <v>398</v>
      </c>
      <c r="F234" s="20" t="s">
        <v>220</v>
      </c>
      <c r="G234" s="20" t="s">
        <v>393</v>
      </c>
      <c r="H234" s="20" t="s">
        <v>384</v>
      </c>
      <c r="I234" s="29">
        <v>1</v>
      </c>
      <c r="J234" s="30">
        <v>1</v>
      </c>
      <c r="K234" s="31">
        <v>8.7749999999999998E-3</v>
      </c>
      <c r="L234" s="9">
        <v>649421968.02473402</v>
      </c>
      <c r="M234" s="9">
        <v>649421968.02473402</v>
      </c>
      <c r="N234" s="32">
        <f>MIN(MAX((B234-Calculation_Assumptions!$B$5+1)/Calculation_Assumptions!$B$7,0),1)</f>
        <v>1</v>
      </c>
      <c r="O234" s="21">
        <f t="shared" si="24"/>
        <v>649421968.02473402</v>
      </c>
      <c r="P234" s="21">
        <f t="shared" si="25"/>
        <v>649421968.02473402</v>
      </c>
      <c r="Q234" s="21">
        <f>P234*Calculation_Assumptions!$B$14*J234*K234</f>
        <v>0</v>
      </c>
      <c r="R234" s="21">
        <f t="shared" si="26"/>
        <v>5698677.769417041</v>
      </c>
      <c r="S234" s="21">
        <f t="shared" si="27"/>
        <v>5698677.769417041</v>
      </c>
      <c r="T234" s="32">
        <f>1/(1+Calculation_Assumptions!$B$8)^(B234-Calculation_Assumptions!$B$2)</f>
        <v>0.49193373633950943</v>
      </c>
      <c r="U234" s="21">
        <f t="shared" si="28"/>
        <v>0</v>
      </c>
      <c r="V234" s="21">
        <f t="shared" si="29"/>
        <v>2803371.8473042264</v>
      </c>
      <c r="W234" s="21">
        <f t="shared" si="30"/>
        <v>2803371.8473042264</v>
      </c>
      <c r="X234">
        <v>0</v>
      </c>
      <c r="Y234" s="18">
        <v>2017</v>
      </c>
      <c r="Z234" t="s">
        <v>387</v>
      </c>
      <c r="AA234" s="21">
        <f t="shared" si="31"/>
        <v>1</v>
      </c>
    </row>
    <row r="235" spans="1:27">
      <c r="A235" t="s">
        <v>217</v>
      </c>
      <c r="B235" s="18">
        <v>2050</v>
      </c>
      <c r="C235" t="s">
        <v>217</v>
      </c>
      <c r="D235" s="20" t="s">
        <v>397</v>
      </c>
      <c r="E235" s="20" t="s">
        <v>398</v>
      </c>
      <c r="F235" s="20" t="s">
        <v>220</v>
      </c>
      <c r="G235" s="20" t="s">
        <v>393</v>
      </c>
      <c r="H235" s="20" t="s">
        <v>384</v>
      </c>
      <c r="I235" s="29">
        <v>1</v>
      </c>
      <c r="J235" s="30">
        <v>1</v>
      </c>
      <c r="K235" s="31">
        <v>8.7749999999999998E-3</v>
      </c>
      <c r="L235" s="9">
        <v>651074457.25957894</v>
      </c>
      <c r="M235" s="9">
        <v>651074457.25957894</v>
      </c>
      <c r="N235" s="32">
        <f>MIN(MAX((B235-Calculation_Assumptions!$B$5+1)/Calculation_Assumptions!$B$7,0),1)</f>
        <v>1</v>
      </c>
      <c r="O235" s="21">
        <f t="shared" si="24"/>
        <v>651074457.25957894</v>
      </c>
      <c r="P235" s="21">
        <f t="shared" si="25"/>
        <v>651074457.25957894</v>
      </c>
      <c r="Q235" s="21">
        <f>P235*Calculation_Assumptions!$B$14*J235*K235</f>
        <v>0</v>
      </c>
      <c r="R235" s="21">
        <f t="shared" si="26"/>
        <v>5713178.362452805</v>
      </c>
      <c r="S235" s="21">
        <f t="shared" si="27"/>
        <v>5713178.362452805</v>
      </c>
      <c r="T235" s="32">
        <f>1/(1+Calculation_Assumptions!$B$8)^(B235-Calculation_Assumptions!$B$2)</f>
        <v>0.47760556926165965</v>
      </c>
      <c r="U235" s="21">
        <f t="shared" si="28"/>
        <v>0</v>
      </c>
      <c r="V235" s="21">
        <f t="shared" si="29"/>
        <v>2728645.8040926685</v>
      </c>
      <c r="W235" s="21">
        <f t="shared" si="30"/>
        <v>2728645.8040926685</v>
      </c>
      <c r="X235">
        <v>0</v>
      </c>
      <c r="Y235" s="18">
        <v>2017</v>
      </c>
      <c r="Z235" t="s">
        <v>387</v>
      </c>
      <c r="AA235" s="21">
        <f t="shared" si="31"/>
        <v>1</v>
      </c>
    </row>
    <row r="236" spans="1:27">
      <c r="A236" t="s">
        <v>200</v>
      </c>
      <c r="B236" s="18">
        <v>2025</v>
      </c>
      <c r="C236" t="s">
        <v>200</v>
      </c>
      <c r="D236" s="20" t="s">
        <v>391</v>
      </c>
      <c r="E236" s="20" t="s">
        <v>392</v>
      </c>
      <c r="F236" s="20" t="s">
        <v>204</v>
      </c>
      <c r="G236" s="20" t="s">
        <v>393</v>
      </c>
      <c r="H236" s="20" t="s">
        <v>384</v>
      </c>
      <c r="I236" s="29">
        <v>1</v>
      </c>
      <c r="J236" s="30">
        <v>1</v>
      </c>
      <c r="K236" s="31">
        <v>8.7749999999999998E-3</v>
      </c>
      <c r="L236" s="9">
        <v>575134853.59312999</v>
      </c>
      <c r="M236" s="9">
        <v>575134853.59312999</v>
      </c>
      <c r="N236" s="32">
        <f>MIN(MAX((B236-Calculation_Assumptions!$B$5+1)/Calculation_Assumptions!$B$7,0),1)</f>
        <v>0</v>
      </c>
      <c r="O236" s="21">
        <f t="shared" si="24"/>
        <v>575134853.59312999</v>
      </c>
      <c r="P236" s="21">
        <f t="shared" si="25"/>
        <v>575134853.59312999</v>
      </c>
      <c r="Q236" s="21">
        <f>P236*Calculation_Assumptions!$B$14*J236*K236</f>
        <v>0</v>
      </c>
      <c r="R236" s="21">
        <f t="shared" si="26"/>
        <v>0</v>
      </c>
      <c r="S236" s="21">
        <f t="shared" si="27"/>
        <v>0</v>
      </c>
      <c r="T236" s="32">
        <f>1/(1+Calculation_Assumptions!$B$8)^(B236-Calculation_Assumptions!$B$2)</f>
        <v>1</v>
      </c>
      <c r="U236" s="21">
        <f t="shared" si="28"/>
        <v>0</v>
      </c>
      <c r="V236" s="21">
        <f t="shared" si="29"/>
        <v>0</v>
      </c>
      <c r="W236" s="21">
        <f t="shared" si="30"/>
        <v>0</v>
      </c>
      <c r="X236">
        <v>0</v>
      </c>
      <c r="Y236" s="18">
        <v>2017</v>
      </c>
      <c r="Z236" t="s">
        <v>387</v>
      </c>
      <c r="AA236" s="21">
        <f t="shared" si="31"/>
        <v>1</v>
      </c>
    </row>
    <row r="237" spans="1:27">
      <c r="A237" t="s">
        <v>200</v>
      </c>
      <c r="B237" s="18">
        <v>2026</v>
      </c>
      <c r="C237" t="s">
        <v>200</v>
      </c>
      <c r="D237" s="20" t="s">
        <v>391</v>
      </c>
      <c r="E237" s="20" t="s">
        <v>392</v>
      </c>
      <c r="F237" s="20" t="s">
        <v>204</v>
      </c>
      <c r="G237" s="20" t="s">
        <v>393</v>
      </c>
      <c r="H237" s="20" t="s">
        <v>384</v>
      </c>
      <c r="I237" s="29">
        <v>1</v>
      </c>
      <c r="J237" s="30">
        <v>1</v>
      </c>
      <c r="K237" s="31">
        <v>8.7749999999999998E-3</v>
      </c>
      <c r="L237" s="9">
        <v>579268647.32329595</v>
      </c>
      <c r="M237" s="9">
        <v>579268647.32329595</v>
      </c>
      <c r="N237" s="32">
        <f>MIN(MAX((B237-Calculation_Assumptions!$B$5+1)/Calculation_Assumptions!$B$7,0),1)</f>
        <v>0.33333333333333331</v>
      </c>
      <c r="O237" s="21">
        <f t="shared" si="24"/>
        <v>579268647.32329595</v>
      </c>
      <c r="P237" s="21">
        <f t="shared" si="25"/>
        <v>579268647.32329595</v>
      </c>
      <c r="Q237" s="21">
        <f>P237*Calculation_Assumptions!$B$14*J237*K237</f>
        <v>0</v>
      </c>
      <c r="R237" s="21">
        <f t="shared" si="26"/>
        <v>1694360.7934206405</v>
      </c>
      <c r="S237" s="21">
        <f t="shared" si="27"/>
        <v>1694360.7934206405</v>
      </c>
      <c r="T237" s="32">
        <f>1/(1+Calculation_Assumptions!$B$8)^(B237-Calculation_Assumptions!$B$2)</f>
        <v>0.970873786407767</v>
      </c>
      <c r="U237" s="21">
        <f t="shared" si="28"/>
        <v>0</v>
      </c>
      <c r="V237" s="21">
        <f t="shared" si="29"/>
        <v>1645010.4790491655</v>
      </c>
      <c r="W237" s="21">
        <f t="shared" si="30"/>
        <v>1645010.4790491655</v>
      </c>
      <c r="X237">
        <v>0</v>
      </c>
      <c r="Y237" s="18">
        <v>2017</v>
      </c>
      <c r="Z237" t="s">
        <v>387</v>
      </c>
      <c r="AA237" s="21">
        <f t="shared" si="31"/>
        <v>1</v>
      </c>
    </row>
    <row r="238" spans="1:27">
      <c r="A238" t="s">
        <v>200</v>
      </c>
      <c r="B238" s="18">
        <v>2027</v>
      </c>
      <c r="C238" t="s">
        <v>200</v>
      </c>
      <c r="D238" s="20" t="s">
        <v>391</v>
      </c>
      <c r="E238" s="20" t="s">
        <v>392</v>
      </c>
      <c r="F238" s="20" t="s">
        <v>204</v>
      </c>
      <c r="G238" s="20" t="s">
        <v>393</v>
      </c>
      <c r="H238" s="20" t="s">
        <v>384</v>
      </c>
      <c r="I238" s="29">
        <v>1</v>
      </c>
      <c r="J238" s="30">
        <v>1</v>
      </c>
      <c r="K238" s="31">
        <v>8.7749999999999998E-3</v>
      </c>
      <c r="L238" s="9">
        <v>583039014.28645599</v>
      </c>
      <c r="M238" s="9">
        <v>583039014.28645599</v>
      </c>
      <c r="N238" s="32">
        <f>MIN(MAX((B238-Calculation_Assumptions!$B$5+1)/Calculation_Assumptions!$B$7,0),1)</f>
        <v>0.66666666666666663</v>
      </c>
      <c r="O238" s="21">
        <f t="shared" si="24"/>
        <v>583039014.28645599</v>
      </c>
      <c r="P238" s="21">
        <f t="shared" si="25"/>
        <v>583039014.28645599</v>
      </c>
      <c r="Q238" s="21">
        <f>P238*Calculation_Assumptions!$B$14*J238*K238</f>
        <v>0</v>
      </c>
      <c r="R238" s="21">
        <f t="shared" si="26"/>
        <v>3410778.2335757674</v>
      </c>
      <c r="S238" s="21">
        <f t="shared" si="27"/>
        <v>3410778.2335757674</v>
      </c>
      <c r="T238" s="32">
        <f>1/(1+Calculation_Assumptions!$B$8)^(B238-Calculation_Assumptions!$B$2)</f>
        <v>0.94259590913375435</v>
      </c>
      <c r="U238" s="21">
        <f t="shared" si="28"/>
        <v>0</v>
      </c>
      <c r="V238" s="21">
        <f t="shared" si="29"/>
        <v>3214985.6099309712</v>
      </c>
      <c r="W238" s="21">
        <f t="shared" si="30"/>
        <v>3214985.6099309712</v>
      </c>
      <c r="X238">
        <v>0</v>
      </c>
      <c r="Y238" s="18">
        <v>2017</v>
      </c>
      <c r="Z238" t="s">
        <v>387</v>
      </c>
      <c r="AA238" s="21">
        <f t="shared" si="31"/>
        <v>1</v>
      </c>
    </row>
    <row r="239" spans="1:27">
      <c r="A239" t="s">
        <v>200</v>
      </c>
      <c r="B239" s="18">
        <v>2028</v>
      </c>
      <c r="C239" t="s">
        <v>200</v>
      </c>
      <c r="D239" s="20" t="s">
        <v>391</v>
      </c>
      <c r="E239" s="20" t="s">
        <v>392</v>
      </c>
      <c r="F239" s="20" t="s">
        <v>204</v>
      </c>
      <c r="G239" s="20" t="s">
        <v>393</v>
      </c>
      <c r="H239" s="20" t="s">
        <v>384</v>
      </c>
      <c r="I239" s="29">
        <v>1</v>
      </c>
      <c r="J239" s="30">
        <v>1</v>
      </c>
      <c r="K239" s="31">
        <v>8.7749999999999998E-3</v>
      </c>
      <c r="L239" s="9">
        <v>587035890.62691998</v>
      </c>
      <c r="M239" s="9">
        <v>587035116.25746298</v>
      </c>
      <c r="N239" s="32">
        <f>MIN(MAX((B239-Calculation_Assumptions!$B$5+1)/Calculation_Assumptions!$B$7,0),1)</f>
        <v>1</v>
      </c>
      <c r="O239" s="21">
        <f t="shared" si="24"/>
        <v>587035890.62691998</v>
      </c>
      <c r="P239" s="21">
        <f t="shared" si="25"/>
        <v>587035116.25746298</v>
      </c>
      <c r="Q239" s="21">
        <f>P239*Calculation_Assumptions!$B$14*J239*K239</f>
        <v>0</v>
      </c>
      <c r="R239" s="21">
        <f t="shared" si="26"/>
        <v>5151239.9402512228</v>
      </c>
      <c r="S239" s="21">
        <f t="shared" si="27"/>
        <v>5151239.9402512228</v>
      </c>
      <c r="T239" s="32">
        <f>1/(1+Calculation_Assumptions!$B$8)^(B239-Calculation_Assumptions!$B$2)</f>
        <v>0.91514165935315961</v>
      </c>
      <c r="U239" s="21">
        <f t="shared" si="28"/>
        <v>0</v>
      </c>
      <c r="V239" s="21">
        <f t="shared" si="29"/>
        <v>4714114.2666477747</v>
      </c>
      <c r="W239" s="21">
        <f t="shared" si="30"/>
        <v>4714114.2666477747</v>
      </c>
      <c r="X239">
        <v>0</v>
      </c>
      <c r="Y239" s="18">
        <v>2017</v>
      </c>
      <c r="Z239" t="s">
        <v>387</v>
      </c>
      <c r="AA239" s="21">
        <f t="shared" si="31"/>
        <v>1</v>
      </c>
    </row>
    <row r="240" spans="1:27">
      <c r="A240" t="s">
        <v>200</v>
      </c>
      <c r="B240" s="18">
        <v>2029</v>
      </c>
      <c r="C240" t="s">
        <v>200</v>
      </c>
      <c r="D240" s="20" t="s">
        <v>391</v>
      </c>
      <c r="E240" s="20" t="s">
        <v>392</v>
      </c>
      <c r="F240" s="20" t="s">
        <v>204</v>
      </c>
      <c r="G240" s="20" t="s">
        <v>393</v>
      </c>
      <c r="H240" s="20" t="s">
        <v>384</v>
      </c>
      <c r="I240" s="29">
        <v>1</v>
      </c>
      <c r="J240" s="30">
        <v>1</v>
      </c>
      <c r="K240" s="31">
        <v>8.7749999999999998E-3</v>
      </c>
      <c r="L240" s="9">
        <v>590970704.18272996</v>
      </c>
      <c r="M240" s="9">
        <v>590968059.72178304</v>
      </c>
      <c r="N240" s="32">
        <f>MIN(MAX((B240-Calculation_Assumptions!$B$5+1)/Calculation_Assumptions!$B$7,0),1)</f>
        <v>1</v>
      </c>
      <c r="O240" s="21">
        <f t="shared" si="24"/>
        <v>590970704.18272996</v>
      </c>
      <c r="P240" s="21">
        <f t="shared" si="25"/>
        <v>590968059.72178304</v>
      </c>
      <c r="Q240" s="21">
        <f>P240*Calculation_Assumptions!$B$14*J240*K240</f>
        <v>0</v>
      </c>
      <c r="R240" s="21">
        <f t="shared" si="26"/>
        <v>5185767.9292034553</v>
      </c>
      <c r="S240" s="21">
        <f t="shared" si="27"/>
        <v>5185767.9292034553</v>
      </c>
      <c r="T240" s="32">
        <f>1/(1+Calculation_Assumptions!$B$8)^(B240-Calculation_Assumptions!$B$2)</f>
        <v>0.888487047915689</v>
      </c>
      <c r="U240" s="21">
        <f t="shared" si="28"/>
        <v>0</v>
      </c>
      <c r="V240" s="21">
        <f t="shared" si="29"/>
        <v>4607487.6385938339</v>
      </c>
      <c r="W240" s="21">
        <f t="shared" si="30"/>
        <v>4607487.6385938339</v>
      </c>
      <c r="X240">
        <v>0</v>
      </c>
      <c r="Y240" s="18">
        <v>2017</v>
      </c>
      <c r="Z240" t="s">
        <v>387</v>
      </c>
      <c r="AA240" s="21">
        <f t="shared" si="31"/>
        <v>1</v>
      </c>
    </row>
    <row r="241" spans="1:27">
      <c r="A241" t="s">
        <v>200</v>
      </c>
      <c r="B241" s="18">
        <v>2030</v>
      </c>
      <c r="C241" t="s">
        <v>200</v>
      </c>
      <c r="D241" s="20" t="s">
        <v>391</v>
      </c>
      <c r="E241" s="20" t="s">
        <v>392</v>
      </c>
      <c r="F241" s="20" t="s">
        <v>204</v>
      </c>
      <c r="G241" s="20" t="s">
        <v>393</v>
      </c>
      <c r="H241" s="20" t="s">
        <v>384</v>
      </c>
      <c r="I241" s="29">
        <v>1</v>
      </c>
      <c r="J241" s="30">
        <v>1</v>
      </c>
      <c r="K241" s="31">
        <v>8.7749999999999998E-3</v>
      </c>
      <c r="L241" s="9">
        <v>594813862.24934602</v>
      </c>
      <c r="M241" s="9">
        <v>594808018.62654305</v>
      </c>
      <c r="N241" s="32">
        <f>MIN(MAX((B241-Calculation_Assumptions!$B$5+1)/Calculation_Assumptions!$B$7,0),1)</f>
        <v>1</v>
      </c>
      <c r="O241" s="21">
        <f t="shared" si="24"/>
        <v>594813862.24934602</v>
      </c>
      <c r="P241" s="21">
        <f t="shared" si="25"/>
        <v>594808018.62654305</v>
      </c>
      <c r="Q241" s="21">
        <f>P241*Calculation_Assumptions!$B$14*J241*K241</f>
        <v>0</v>
      </c>
      <c r="R241" s="21">
        <f t="shared" si="26"/>
        <v>5219491.6412380114</v>
      </c>
      <c r="S241" s="21">
        <f t="shared" si="27"/>
        <v>5219491.6412380114</v>
      </c>
      <c r="T241" s="32">
        <f>1/(1+Calculation_Assumptions!$B$8)^(B241-Calculation_Assumptions!$B$2)</f>
        <v>0.86260878438416411</v>
      </c>
      <c r="U241" s="21">
        <f t="shared" si="28"/>
        <v>0</v>
      </c>
      <c r="V241" s="21">
        <f t="shared" si="29"/>
        <v>4502379.3397516264</v>
      </c>
      <c r="W241" s="21">
        <f t="shared" si="30"/>
        <v>4502379.3397516264</v>
      </c>
      <c r="X241">
        <v>0</v>
      </c>
      <c r="Y241" s="18">
        <v>2017</v>
      </c>
      <c r="Z241" t="s">
        <v>387</v>
      </c>
      <c r="AA241" s="21">
        <f t="shared" si="31"/>
        <v>1</v>
      </c>
    </row>
    <row r="242" spans="1:27">
      <c r="A242" t="s">
        <v>200</v>
      </c>
      <c r="B242" s="18">
        <v>2031</v>
      </c>
      <c r="C242" t="s">
        <v>200</v>
      </c>
      <c r="D242" s="20" t="s">
        <v>391</v>
      </c>
      <c r="E242" s="20" t="s">
        <v>392</v>
      </c>
      <c r="F242" s="20" t="s">
        <v>204</v>
      </c>
      <c r="G242" s="20" t="s">
        <v>393</v>
      </c>
      <c r="H242" s="20" t="s">
        <v>384</v>
      </c>
      <c r="I242" s="29">
        <v>1</v>
      </c>
      <c r="J242" s="30">
        <v>1</v>
      </c>
      <c r="K242" s="31">
        <v>8.7749999999999998E-3</v>
      </c>
      <c r="L242" s="9">
        <v>598591896.12718701</v>
      </c>
      <c r="M242" s="9">
        <v>598581381.03442597</v>
      </c>
      <c r="N242" s="32">
        <f>MIN(MAX((B242-Calculation_Assumptions!$B$5+1)/Calculation_Assumptions!$B$7,0),1)</f>
        <v>1</v>
      </c>
      <c r="O242" s="21">
        <f t="shared" si="24"/>
        <v>598591896.12718701</v>
      </c>
      <c r="P242" s="21">
        <f t="shared" si="25"/>
        <v>598581381.03442597</v>
      </c>
      <c r="Q242" s="21">
        <f>P242*Calculation_Assumptions!$B$14*J242*K242</f>
        <v>0</v>
      </c>
      <c r="R242" s="21">
        <f t="shared" si="26"/>
        <v>5252643.8885160657</v>
      </c>
      <c r="S242" s="21">
        <f t="shared" si="27"/>
        <v>5252643.8885160657</v>
      </c>
      <c r="T242" s="32">
        <f>1/(1+Calculation_Assumptions!$B$8)^(B242-Calculation_Assumptions!$B$2)</f>
        <v>0.83748425668365445</v>
      </c>
      <c r="U242" s="21">
        <f t="shared" si="28"/>
        <v>0</v>
      </c>
      <c r="V242" s="21">
        <f t="shared" si="29"/>
        <v>4399006.5625978177</v>
      </c>
      <c r="W242" s="21">
        <f t="shared" si="30"/>
        <v>4399006.5625978177</v>
      </c>
      <c r="X242">
        <v>0</v>
      </c>
      <c r="Y242" s="18">
        <v>2017</v>
      </c>
      <c r="Z242" t="s">
        <v>387</v>
      </c>
      <c r="AA242" s="21">
        <f t="shared" si="31"/>
        <v>1</v>
      </c>
    </row>
    <row r="243" spans="1:27">
      <c r="A243" t="s">
        <v>200</v>
      </c>
      <c r="B243" s="18">
        <v>2032</v>
      </c>
      <c r="C243" t="s">
        <v>200</v>
      </c>
      <c r="D243" s="20" t="s">
        <v>391</v>
      </c>
      <c r="E243" s="20" t="s">
        <v>392</v>
      </c>
      <c r="F243" s="20" t="s">
        <v>204</v>
      </c>
      <c r="G243" s="20" t="s">
        <v>393</v>
      </c>
      <c r="H243" s="20" t="s">
        <v>384</v>
      </c>
      <c r="I243" s="29">
        <v>1</v>
      </c>
      <c r="J243" s="30">
        <v>1</v>
      </c>
      <c r="K243" s="31">
        <v>8.7749999999999998E-3</v>
      </c>
      <c r="L243" s="9">
        <v>602300386.06850302</v>
      </c>
      <c r="M243" s="9">
        <v>602283583.58638096</v>
      </c>
      <c r="N243" s="32">
        <f>MIN(MAX((B243-Calculation_Assumptions!$B$5+1)/Calculation_Assumptions!$B$7,0),1)</f>
        <v>1</v>
      </c>
      <c r="O243" s="21">
        <f t="shared" si="24"/>
        <v>602300386.06850302</v>
      </c>
      <c r="P243" s="21">
        <f t="shared" si="25"/>
        <v>602283583.58638096</v>
      </c>
      <c r="Q243" s="21">
        <f>P243*Calculation_Assumptions!$B$14*J243*K243</f>
        <v>0</v>
      </c>
      <c r="R243" s="21">
        <f t="shared" si="26"/>
        <v>5285185.8877511136</v>
      </c>
      <c r="S243" s="21">
        <f t="shared" si="27"/>
        <v>5285185.8877511136</v>
      </c>
      <c r="T243" s="32">
        <f>1/(1+Calculation_Assumptions!$B$8)^(B243-Calculation_Assumptions!$B$2)</f>
        <v>0.81309151134335378</v>
      </c>
      <c r="U243" s="21">
        <f t="shared" si="28"/>
        <v>0</v>
      </c>
      <c r="V243" s="21">
        <f t="shared" si="29"/>
        <v>4297339.7812021179</v>
      </c>
      <c r="W243" s="21">
        <f t="shared" si="30"/>
        <v>4297339.7812021179</v>
      </c>
      <c r="X243">
        <v>0</v>
      </c>
      <c r="Y243" s="18">
        <v>2017</v>
      </c>
      <c r="Z243" t="s">
        <v>387</v>
      </c>
      <c r="AA243" s="21">
        <f t="shared" si="31"/>
        <v>1</v>
      </c>
    </row>
    <row r="244" spans="1:27">
      <c r="A244" t="s">
        <v>200</v>
      </c>
      <c r="B244" s="18">
        <v>2033</v>
      </c>
      <c r="C244" t="s">
        <v>200</v>
      </c>
      <c r="D244" s="20" t="s">
        <v>391</v>
      </c>
      <c r="E244" s="20" t="s">
        <v>392</v>
      </c>
      <c r="F244" s="20" t="s">
        <v>204</v>
      </c>
      <c r="G244" s="20" t="s">
        <v>393</v>
      </c>
      <c r="H244" s="20" t="s">
        <v>384</v>
      </c>
      <c r="I244" s="29">
        <v>1</v>
      </c>
      <c r="J244" s="30">
        <v>1</v>
      </c>
      <c r="K244" s="31">
        <v>8.7749999999999998E-3</v>
      </c>
      <c r="L244" s="9">
        <v>605918221.50763798</v>
      </c>
      <c r="M244" s="9">
        <v>605911902.99473</v>
      </c>
      <c r="N244" s="32">
        <f>MIN(MAX((B244-Calculation_Assumptions!$B$5+1)/Calculation_Assumptions!$B$7,0),1)</f>
        <v>1</v>
      </c>
      <c r="O244" s="21">
        <f t="shared" si="24"/>
        <v>605918221.50763798</v>
      </c>
      <c r="P244" s="21">
        <f t="shared" si="25"/>
        <v>605911902.99473</v>
      </c>
      <c r="Q244" s="21">
        <f>P244*Calculation_Assumptions!$B$14*J244*K244</f>
        <v>0</v>
      </c>
      <c r="R244" s="21">
        <f t="shared" si="26"/>
        <v>5316932.3937295228</v>
      </c>
      <c r="S244" s="21">
        <f t="shared" si="27"/>
        <v>5316932.3937295228</v>
      </c>
      <c r="T244" s="32">
        <f>1/(1+Calculation_Assumptions!$B$8)^(B244-Calculation_Assumptions!$B$2)</f>
        <v>0.78940923431393573</v>
      </c>
      <c r="U244" s="21">
        <f t="shared" si="28"/>
        <v>0</v>
      </c>
      <c r="V244" s="21">
        <f t="shared" si="29"/>
        <v>4197235.5298329843</v>
      </c>
      <c r="W244" s="21">
        <f t="shared" si="30"/>
        <v>4197235.5298329843</v>
      </c>
      <c r="X244">
        <v>0</v>
      </c>
      <c r="Y244" s="18">
        <v>2017</v>
      </c>
      <c r="Z244" t="s">
        <v>387</v>
      </c>
      <c r="AA244" s="21">
        <f t="shared" si="31"/>
        <v>1</v>
      </c>
    </row>
    <row r="245" spans="1:27">
      <c r="A245" t="s">
        <v>200</v>
      </c>
      <c r="B245" s="18">
        <v>2034</v>
      </c>
      <c r="C245" t="s">
        <v>200</v>
      </c>
      <c r="D245" s="20" t="s">
        <v>391</v>
      </c>
      <c r="E245" s="20" t="s">
        <v>392</v>
      </c>
      <c r="F245" s="20" t="s">
        <v>204</v>
      </c>
      <c r="G245" s="20" t="s">
        <v>393</v>
      </c>
      <c r="H245" s="20" t="s">
        <v>384</v>
      </c>
      <c r="I245" s="29">
        <v>1</v>
      </c>
      <c r="J245" s="30">
        <v>1</v>
      </c>
      <c r="K245" s="31">
        <v>8.7749999999999998E-3</v>
      </c>
      <c r="L245" s="9">
        <v>609469109.20870101</v>
      </c>
      <c r="M245" s="9">
        <v>609455548.12077105</v>
      </c>
      <c r="N245" s="32">
        <f>MIN(MAX((B245-Calculation_Assumptions!$B$5+1)/Calculation_Assumptions!$B$7,0),1)</f>
        <v>1</v>
      </c>
      <c r="O245" s="21">
        <f t="shared" si="24"/>
        <v>609469109.20870101</v>
      </c>
      <c r="P245" s="21">
        <f t="shared" si="25"/>
        <v>609455548.12077105</v>
      </c>
      <c r="Q245" s="21">
        <f>P245*Calculation_Assumptions!$B$14*J245*K245</f>
        <v>0</v>
      </c>
      <c r="R245" s="21">
        <f t="shared" si="26"/>
        <v>5348091.4333063513</v>
      </c>
      <c r="S245" s="21">
        <f t="shared" si="27"/>
        <v>5348091.4333063513</v>
      </c>
      <c r="T245" s="32">
        <f>1/(1+Calculation_Assumptions!$B$8)^(B245-Calculation_Assumptions!$B$2)</f>
        <v>0.76641673234362695</v>
      </c>
      <c r="U245" s="21">
        <f t="shared" si="28"/>
        <v>0</v>
      </c>
      <c r="V245" s="21">
        <f t="shared" si="29"/>
        <v>4098866.7605895982</v>
      </c>
      <c r="W245" s="21">
        <f t="shared" si="30"/>
        <v>4098866.7605895982</v>
      </c>
      <c r="X245">
        <v>0</v>
      </c>
      <c r="Y245" s="18">
        <v>2017</v>
      </c>
      <c r="Z245" t="s">
        <v>387</v>
      </c>
      <c r="AA245" s="21">
        <f t="shared" si="31"/>
        <v>1</v>
      </c>
    </row>
    <row r="246" spans="1:27">
      <c r="A246" t="s">
        <v>200</v>
      </c>
      <c r="B246" s="18">
        <v>2035</v>
      </c>
      <c r="C246" t="s">
        <v>200</v>
      </c>
      <c r="D246" s="20" t="s">
        <v>391</v>
      </c>
      <c r="E246" s="20" t="s">
        <v>392</v>
      </c>
      <c r="F246" s="20" t="s">
        <v>204</v>
      </c>
      <c r="G246" s="20" t="s">
        <v>393</v>
      </c>
      <c r="H246" s="20" t="s">
        <v>384</v>
      </c>
      <c r="I246" s="29">
        <v>1</v>
      </c>
      <c r="J246" s="30">
        <v>1</v>
      </c>
      <c r="K246" s="31">
        <v>8.7749999999999998E-3</v>
      </c>
      <c r="L246" s="9">
        <v>612833998.86109495</v>
      </c>
      <c r="M246" s="9">
        <v>612884294.47334194</v>
      </c>
      <c r="N246" s="32">
        <f>MIN(MAX((B246-Calculation_Assumptions!$B$5+1)/Calculation_Assumptions!$B$7,0),1)</f>
        <v>1</v>
      </c>
      <c r="O246" s="21">
        <f t="shared" si="24"/>
        <v>612833998.86109495</v>
      </c>
      <c r="P246" s="21">
        <f t="shared" si="25"/>
        <v>612884294.47334194</v>
      </c>
      <c r="Q246" s="21">
        <f>P246*Calculation_Assumptions!$B$14*J246*K246</f>
        <v>0</v>
      </c>
      <c r="R246" s="21">
        <f t="shared" si="26"/>
        <v>5377618.3400061084</v>
      </c>
      <c r="S246" s="21">
        <f t="shared" si="27"/>
        <v>5377618.3400061084</v>
      </c>
      <c r="T246" s="32">
        <f>1/(1+Calculation_Assumptions!$B$8)^(B246-Calculation_Assumptions!$B$2)</f>
        <v>0.74409391489672516</v>
      </c>
      <c r="U246" s="21">
        <f t="shared" si="28"/>
        <v>0</v>
      </c>
      <c r="V246" s="21">
        <f t="shared" si="29"/>
        <v>4001453.0834355736</v>
      </c>
      <c r="W246" s="21">
        <f t="shared" si="30"/>
        <v>4001453.0834355736</v>
      </c>
      <c r="X246">
        <v>0</v>
      </c>
      <c r="Y246" s="18">
        <v>2017</v>
      </c>
      <c r="Z246" t="s">
        <v>387</v>
      </c>
      <c r="AA246" s="21">
        <f t="shared" si="31"/>
        <v>1</v>
      </c>
    </row>
    <row r="247" spans="1:27">
      <c r="A247" t="s">
        <v>200</v>
      </c>
      <c r="B247" s="18">
        <v>2036</v>
      </c>
      <c r="C247" t="s">
        <v>200</v>
      </c>
      <c r="D247" s="20" t="s">
        <v>391</v>
      </c>
      <c r="E247" s="20" t="s">
        <v>392</v>
      </c>
      <c r="F247" s="20" t="s">
        <v>204</v>
      </c>
      <c r="G247" s="20" t="s">
        <v>393</v>
      </c>
      <c r="H247" s="20" t="s">
        <v>384</v>
      </c>
      <c r="I247" s="29">
        <v>1</v>
      </c>
      <c r="J247" s="30">
        <v>1</v>
      </c>
      <c r="K247" s="31">
        <v>8.7749999999999998E-3</v>
      </c>
      <c r="L247" s="9">
        <v>616217106.578704</v>
      </c>
      <c r="M247" s="9">
        <v>616262053.85817397</v>
      </c>
      <c r="N247" s="32">
        <f>MIN(MAX((B247-Calculation_Assumptions!$B$5+1)/Calculation_Assumptions!$B$7,0),1)</f>
        <v>1</v>
      </c>
      <c r="O247" s="21">
        <f t="shared" si="24"/>
        <v>616217106.578704</v>
      </c>
      <c r="P247" s="21">
        <f t="shared" si="25"/>
        <v>616262053.85817397</v>
      </c>
      <c r="Q247" s="21">
        <f>P247*Calculation_Assumptions!$B$14*J247*K247</f>
        <v>0</v>
      </c>
      <c r="R247" s="21">
        <f t="shared" si="26"/>
        <v>5407305.1102281278</v>
      </c>
      <c r="S247" s="21">
        <f t="shared" si="27"/>
        <v>5407305.1102281278</v>
      </c>
      <c r="T247" s="32">
        <f>1/(1+Calculation_Assumptions!$B$8)^(B247-Calculation_Assumptions!$B$2)</f>
        <v>0.72242127659876232</v>
      </c>
      <c r="U247" s="21">
        <f t="shared" si="28"/>
        <v>0</v>
      </c>
      <c r="V247" s="21">
        <f t="shared" si="29"/>
        <v>3906352.2606900153</v>
      </c>
      <c r="W247" s="21">
        <f t="shared" si="30"/>
        <v>3906352.2606900153</v>
      </c>
      <c r="X247">
        <v>0</v>
      </c>
      <c r="Y247" s="18">
        <v>2017</v>
      </c>
      <c r="Z247" t="s">
        <v>387</v>
      </c>
      <c r="AA247" s="21">
        <f t="shared" si="31"/>
        <v>1</v>
      </c>
    </row>
    <row r="248" spans="1:27">
      <c r="A248" t="s">
        <v>200</v>
      </c>
      <c r="B248" s="18">
        <v>2037</v>
      </c>
      <c r="C248" t="s">
        <v>200</v>
      </c>
      <c r="D248" s="20" t="s">
        <v>391</v>
      </c>
      <c r="E248" s="20" t="s">
        <v>392</v>
      </c>
      <c r="F248" s="20" t="s">
        <v>204</v>
      </c>
      <c r="G248" s="20" t="s">
        <v>393</v>
      </c>
      <c r="H248" s="20" t="s">
        <v>384</v>
      </c>
      <c r="I248" s="29">
        <v>1</v>
      </c>
      <c r="J248" s="30">
        <v>1</v>
      </c>
      <c r="K248" s="31">
        <v>8.7749999999999998E-3</v>
      </c>
      <c r="L248" s="9">
        <v>619507332.77376997</v>
      </c>
      <c r="M248" s="9">
        <v>619529380.90729904</v>
      </c>
      <c r="N248" s="32">
        <f>MIN(MAX((B248-Calculation_Assumptions!$B$5+1)/Calculation_Assumptions!$B$7,0),1)</f>
        <v>1</v>
      </c>
      <c r="O248" s="21">
        <f t="shared" si="24"/>
        <v>619507332.77376997</v>
      </c>
      <c r="P248" s="21">
        <f t="shared" si="25"/>
        <v>619529380.90729904</v>
      </c>
      <c r="Q248" s="21">
        <f>P248*Calculation_Assumptions!$B$14*J248*K248</f>
        <v>0</v>
      </c>
      <c r="R248" s="21">
        <f t="shared" si="26"/>
        <v>5436176.8450898314</v>
      </c>
      <c r="S248" s="21">
        <f t="shared" si="27"/>
        <v>5436176.8450898314</v>
      </c>
      <c r="T248" s="32">
        <f>1/(1+Calculation_Assumptions!$B$8)^(B248-Calculation_Assumptions!$B$2)</f>
        <v>0.70137988019297326</v>
      </c>
      <c r="U248" s="21">
        <f t="shared" si="28"/>
        <v>0</v>
      </c>
      <c r="V248" s="21">
        <f t="shared" si="29"/>
        <v>3812825.0643169214</v>
      </c>
      <c r="W248" s="21">
        <f t="shared" si="30"/>
        <v>3812825.0643169214</v>
      </c>
      <c r="X248">
        <v>0</v>
      </c>
      <c r="Y248" s="18">
        <v>2017</v>
      </c>
      <c r="Z248" t="s">
        <v>387</v>
      </c>
      <c r="AA248" s="21">
        <f t="shared" si="31"/>
        <v>1</v>
      </c>
    </row>
    <row r="249" spans="1:27">
      <c r="A249" t="s">
        <v>200</v>
      </c>
      <c r="B249" s="18">
        <v>2038</v>
      </c>
      <c r="C249" t="s">
        <v>200</v>
      </c>
      <c r="D249" s="20" t="s">
        <v>391</v>
      </c>
      <c r="E249" s="20" t="s">
        <v>392</v>
      </c>
      <c r="F249" s="20" t="s">
        <v>204</v>
      </c>
      <c r="G249" s="20" t="s">
        <v>393</v>
      </c>
      <c r="H249" s="20" t="s">
        <v>384</v>
      </c>
      <c r="I249" s="29">
        <v>1</v>
      </c>
      <c r="J249" s="30">
        <v>1</v>
      </c>
      <c r="K249" s="31">
        <v>8.7749999999999998E-3</v>
      </c>
      <c r="L249" s="9">
        <v>622693359.05715799</v>
      </c>
      <c r="M249" s="9">
        <v>622673191.62836504</v>
      </c>
      <c r="N249" s="32">
        <f>MIN(MAX((B249-Calculation_Assumptions!$B$5+1)/Calculation_Assumptions!$B$7,0),1)</f>
        <v>1</v>
      </c>
      <c r="O249" s="21">
        <f t="shared" si="24"/>
        <v>622693359.05715799</v>
      </c>
      <c r="P249" s="21">
        <f t="shared" si="25"/>
        <v>622673191.62836504</v>
      </c>
      <c r="Q249" s="21">
        <f>P249*Calculation_Assumptions!$B$14*J249*K249</f>
        <v>0</v>
      </c>
      <c r="R249" s="21">
        <f t="shared" si="26"/>
        <v>5464134.2257265616</v>
      </c>
      <c r="S249" s="21">
        <f t="shared" si="27"/>
        <v>5464134.2257265616</v>
      </c>
      <c r="T249" s="32">
        <f>1/(1+Calculation_Assumptions!$B$8)^(B249-Calculation_Assumptions!$B$2)</f>
        <v>0.68095133999317792</v>
      </c>
      <c r="U249" s="21">
        <f t="shared" si="28"/>
        <v>0</v>
      </c>
      <c r="V249" s="21">
        <f t="shared" si="29"/>
        <v>3720809.5229110876</v>
      </c>
      <c r="W249" s="21">
        <f t="shared" si="30"/>
        <v>3720809.5229110876</v>
      </c>
      <c r="X249">
        <v>0</v>
      </c>
      <c r="Y249" s="18">
        <v>2017</v>
      </c>
      <c r="Z249" t="s">
        <v>387</v>
      </c>
      <c r="AA249" s="21">
        <f t="shared" si="31"/>
        <v>1</v>
      </c>
    </row>
    <row r="250" spans="1:27">
      <c r="A250" t="s">
        <v>200</v>
      </c>
      <c r="B250" s="18">
        <v>2039</v>
      </c>
      <c r="C250" t="s">
        <v>200</v>
      </c>
      <c r="D250" s="20" t="s">
        <v>391</v>
      </c>
      <c r="E250" s="20" t="s">
        <v>392</v>
      </c>
      <c r="F250" s="20" t="s">
        <v>204</v>
      </c>
      <c r="G250" s="20" t="s">
        <v>393</v>
      </c>
      <c r="H250" s="20" t="s">
        <v>384</v>
      </c>
      <c r="I250" s="29">
        <v>1</v>
      </c>
      <c r="J250" s="30">
        <v>1</v>
      </c>
      <c r="K250" s="31">
        <v>8.7749999999999998E-3</v>
      </c>
      <c r="L250" s="9">
        <v>625772119.83085001</v>
      </c>
      <c r="M250" s="9">
        <v>625731758.218045</v>
      </c>
      <c r="N250" s="32">
        <f>MIN(MAX((B250-Calculation_Assumptions!$B$5+1)/Calculation_Assumptions!$B$7,0),1)</f>
        <v>1</v>
      </c>
      <c r="O250" s="21">
        <f t="shared" si="24"/>
        <v>625772119.83085001</v>
      </c>
      <c r="P250" s="21">
        <f t="shared" si="25"/>
        <v>625731758.218045</v>
      </c>
      <c r="Q250" s="21">
        <f>P250*Calculation_Assumptions!$B$14*J250*K250</f>
        <v>0</v>
      </c>
      <c r="R250" s="21">
        <f t="shared" si="26"/>
        <v>5491150.3515157085</v>
      </c>
      <c r="S250" s="21">
        <f t="shared" si="27"/>
        <v>5491150.3515157085</v>
      </c>
      <c r="T250" s="32">
        <f>1/(1+Calculation_Assumptions!$B$8)^(B250-Calculation_Assumptions!$B$2)</f>
        <v>0.66111780581861923</v>
      </c>
      <c r="U250" s="21">
        <f t="shared" si="28"/>
        <v>0</v>
      </c>
      <c r="V250" s="21">
        <f t="shared" si="29"/>
        <v>3630297.2718142048</v>
      </c>
      <c r="W250" s="21">
        <f t="shared" si="30"/>
        <v>3630297.2718142048</v>
      </c>
      <c r="X250">
        <v>0</v>
      </c>
      <c r="Y250" s="18">
        <v>2017</v>
      </c>
      <c r="Z250" t="s">
        <v>387</v>
      </c>
      <c r="AA250" s="21">
        <f t="shared" si="31"/>
        <v>1</v>
      </c>
    </row>
    <row r="251" spans="1:27">
      <c r="A251" t="s">
        <v>200</v>
      </c>
      <c r="B251" s="18">
        <v>2040</v>
      </c>
      <c r="C251" t="s">
        <v>200</v>
      </c>
      <c r="D251" s="20" t="s">
        <v>391</v>
      </c>
      <c r="E251" s="20" t="s">
        <v>392</v>
      </c>
      <c r="F251" s="20" t="s">
        <v>204</v>
      </c>
      <c r="G251" s="20" t="s">
        <v>393</v>
      </c>
      <c r="H251" s="20" t="s">
        <v>384</v>
      </c>
      <c r="I251" s="29">
        <v>1</v>
      </c>
      <c r="J251" s="30">
        <v>1</v>
      </c>
      <c r="K251" s="31">
        <v>8.7749999999999998E-3</v>
      </c>
      <c r="L251" s="9">
        <v>628726534.87757003</v>
      </c>
      <c r="M251" s="9">
        <v>628667498.21665299</v>
      </c>
      <c r="N251" s="32">
        <f>MIN(MAX((B251-Calculation_Assumptions!$B$5+1)/Calculation_Assumptions!$B$7,0),1)</f>
        <v>1</v>
      </c>
      <c r="O251" s="21">
        <f t="shared" si="24"/>
        <v>628726534.87757003</v>
      </c>
      <c r="P251" s="21">
        <f t="shared" si="25"/>
        <v>628667498.21665299</v>
      </c>
      <c r="Q251" s="21">
        <f>P251*Calculation_Assumptions!$B$14*J251*K251</f>
        <v>0</v>
      </c>
      <c r="R251" s="21">
        <f t="shared" si="26"/>
        <v>5517075.3435506765</v>
      </c>
      <c r="S251" s="21">
        <f t="shared" si="27"/>
        <v>5517075.3435506765</v>
      </c>
      <c r="T251" s="32">
        <f>1/(1+Calculation_Assumptions!$B$8)^(B251-Calculation_Assumptions!$B$2)</f>
        <v>0.64186194739671765</v>
      </c>
      <c r="U251" s="21">
        <f t="shared" si="28"/>
        <v>0</v>
      </c>
      <c r="V251" s="21">
        <f t="shared" si="29"/>
        <v>3541200.7239458524</v>
      </c>
      <c r="W251" s="21">
        <f t="shared" si="30"/>
        <v>3541200.7239458524</v>
      </c>
      <c r="X251">
        <v>0</v>
      </c>
      <c r="Y251" s="18">
        <v>2017</v>
      </c>
      <c r="Z251" t="s">
        <v>387</v>
      </c>
      <c r="AA251" s="21">
        <f t="shared" si="31"/>
        <v>1</v>
      </c>
    </row>
    <row r="252" spans="1:27">
      <c r="A252" t="s">
        <v>200</v>
      </c>
      <c r="B252" s="18">
        <v>2041</v>
      </c>
      <c r="C252" t="s">
        <v>200</v>
      </c>
      <c r="D252" s="20" t="s">
        <v>391</v>
      </c>
      <c r="E252" s="20" t="s">
        <v>392</v>
      </c>
      <c r="F252" s="20" t="s">
        <v>204</v>
      </c>
      <c r="G252" s="20" t="s">
        <v>393</v>
      </c>
      <c r="H252" s="20" t="s">
        <v>384</v>
      </c>
      <c r="I252" s="29">
        <v>1</v>
      </c>
      <c r="J252" s="30">
        <v>1</v>
      </c>
      <c r="K252" s="31">
        <v>8.7749999999999998E-3</v>
      </c>
      <c r="L252" s="9">
        <v>631564617.99860406</v>
      </c>
      <c r="M252" s="9">
        <v>631488405.68781996</v>
      </c>
      <c r="N252" s="32">
        <f>MIN(MAX((B252-Calculation_Assumptions!$B$5+1)/Calculation_Assumptions!$B$7,0),1)</f>
        <v>1</v>
      </c>
      <c r="O252" s="21">
        <f t="shared" si="24"/>
        <v>631564617.99860406</v>
      </c>
      <c r="P252" s="21">
        <f t="shared" si="25"/>
        <v>631488405.68781996</v>
      </c>
      <c r="Q252" s="21">
        <f>P252*Calculation_Assumptions!$B$14*J252*K252</f>
        <v>0</v>
      </c>
      <c r="R252" s="21">
        <f t="shared" si="26"/>
        <v>5541979.5229377504</v>
      </c>
      <c r="S252" s="21">
        <f t="shared" si="27"/>
        <v>5541979.5229377504</v>
      </c>
      <c r="T252" s="32">
        <f>1/(1+Calculation_Assumptions!$B$8)^(B252-Calculation_Assumptions!$B$2)</f>
        <v>0.62316693922011435</v>
      </c>
      <c r="U252" s="21">
        <f t="shared" si="28"/>
        <v>0</v>
      </c>
      <c r="V252" s="21">
        <f t="shared" si="29"/>
        <v>3453578.4165296676</v>
      </c>
      <c r="W252" s="21">
        <f t="shared" si="30"/>
        <v>3453578.4165296676</v>
      </c>
      <c r="X252">
        <v>0</v>
      </c>
      <c r="Y252" s="18">
        <v>2017</v>
      </c>
      <c r="Z252" t="s">
        <v>387</v>
      </c>
      <c r="AA252" s="21">
        <f t="shared" si="31"/>
        <v>1</v>
      </c>
    </row>
    <row r="253" spans="1:27">
      <c r="A253" t="s">
        <v>200</v>
      </c>
      <c r="B253" s="18">
        <v>2042</v>
      </c>
      <c r="C253" t="s">
        <v>200</v>
      </c>
      <c r="D253" s="20" t="s">
        <v>391</v>
      </c>
      <c r="E253" s="20" t="s">
        <v>392</v>
      </c>
      <c r="F253" s="20" t="s">
        <v>204</v>
      </c>
      <c r="G253" s="20" t="s">
        <v>393</v>
      </c>
      <c r="H253" s="20" t="s">
        <v>384</v>
      </c>
      <c r="I253" s="29">
        <v>1</v>
      </c>
      <c r="J253" s="30">
        <v>1</v>
      </c>
      <c r="K253" s="31">
        <v>8.7749999999999998E-3</v>
      </c>
      <c r="L253" s="9">
        <v>634276521.53377199</v>
      </c>
      <c r="M253" s="9">
        <v>634184560.98858297</v>
      </c>
      <c r="N253" s="32">
        <f>MIN(MAX((B253-Calculation_Assumptions!$B$5+1)/Calculation_Assumptions!$B$7,0),1)</f>
        <v>1</v>
      </c>
      <c r="O253" s="21">
        <f t="shared" si="24"/>
        <v>634276521.53377199</v>
      </c>
      <c r="P253" s="21">
        <f t="shared" si="25"/>
        <v>634184560.98858297</v>
      </c>
      <c r="Q253" s="21">
        <f>P253*Calculation_Assumptions!$B$14*J253*K253</f>
        <v>0</v>
      </c>
      <c r="R253" s="21">
        <f t="shared" si="26"/>
        <v>5565776.4764588494</v>
      </c>
      <c r="S253" s="21">
        <f t="shared" si="27"/>
        <v>5565776.4764588494</v>
      </c>
      <c r="T253" s="32">
        <f>1/(1+Calculation_Assumptions!$B$8)^(B253-Calculation_Assumptions!$B$2)</f>
        <v>0.60501644584477121</v>
      </c>
      <c r="U253" s="21">
        <f t="shared" si="28"/>
        <v>0</v>
      </c>
      <c r="V253" s="21">
        <f t="shared" si="29"/>
        <v>3367386.3021535669</v>
      </c>
      <c r="W253" s="21">
        <f t="shared" si="30"/>
        <v>3367386.3021535669</v>
      </c>
      <c r="X253">
        <v>0</v>
      </c>
      <c r="Y253" s="18">
        <v>2017</v>
      </c>
      <c r="Z253" t="s">
        <v>387</v>
      </c>
      <c r="AA253" s="21">
        <f t="shared" si="31"/>
        <v>1</v>
      </c>
    </row>
    <row r="254" spans="1:27">
      <c r="A254" t="s">
        <v>200</v>
      </c>
      <c r="B254" s="18">
        <v>2043</v>
      </c>
      <c r="C254" t="s">
        <v>200</v>
      </c>
      <c r="D254" s="20" t="s">
        <v>391</v>
      </c>
      <c r="E254" s="20" t="s">
        <v>392</v>
      </c>
      <c r="F254" s="20" t="s">
        <v>204</v>
      </c>
      <c r="G254" s="20" t="s">
        <v>393</v>
      </c>
      <c r="H254" s="20" t="s">
        <v>384</v>
      </c>
      <c r="I254" s="29">
        <v>1</v>
      </c>
      <c r="J254" s="30">
        <v>1</v>
      </c>
      <c r="K254" s="31">
        <v>8.7749999999999998E-3</v>
      </c>
      <c r="L254" s="9">
        <v>636861636.75148499</v>
      </c>
      <c r="M254" s="9">
        <v>636767020.67603099</v>
      </c>
      <c r="N254" s="32">
        <f>MIN(MAX((B254-Calculation_Assumptions!$B$5+1)/Calculation_Assumptions!$B$7,0),1)</f>
        <v>1</v>
      </c>
      <c r="O254" s="21">
        <f t="shared" si="24"/>
        <v>636861636.75148499</v>
      </c>
      <c r="P254" s="21">
        <f t="shared" si="25"/>
        <v>636767020.67603099</v>
      </c>
      <c r="Q254" s="21">
        <f>P254*Calculation_Assumptions!$B$14*J254*K254</f>
        <v>0</v>
      </c>
      <c r="R254" s="21">
        <f t="shared" si="26"/>
        <v>5588460.8624942806</v>
      </c>
      <c r="S254" s="21">
        <f t="shared" si="27"/>
        <v>5588460.8624942806</v>
      </c>
      <c r="T254" s="32">
        <f>1/(1+Calculation_Assumptions!$B$8)^(B254-Calculation_Assumptions!$B$2)</f>
        <v>0.5873946076162827</v>
      </c>
      <c r="U254" s="21">
        <f t="shared" si="28"/>
        <v>0</v>
      </c>
      <c r="V254" s="21">
        <f t="shared" si="29"/>
        <v>3282631.7755037807</v>
      </c>
      <c r="W254" s="21">
        <f t="shared" si="30"/>
        <v>3282631.7755037807</v>
      </c>
      <c r="X254">
        <v>0</v>
      </c>
      <c r="Y254" s="18">
        <v>2017</v>
      </c>
      <c r="Z254" t="s">
        <v>387</v>
      </c>
      <c r="AA254" s="21">
        <f t="shared" si="31"/>
        <v>1</v>
      </c>
    </row>
    <row r="255" spans="1:27">
      <c r="A255" t="s">
        <v>200</v>
      </c>
      <c r="B255" s="18">
        <v>2044</v>
      </c>
      <c r="C255" t="s">
        <v>200</v>
      </c>
      <c r="D255" s="20" t="s">
        <v>391</v>
      </c>
      <c r="E255" s="20" t="s">
        <v>392</v>
      </c>
      <c r="F255" s="20" t="s">
        <v>204</v>
      </c>
      <c r="G255" s="20" t="s">
        <v>393</v>
      </c>
      <c r="H255" s="20" t="s">
        <v>384</v>
      </c>
      <c r="I255" s="29">
        <v>1</v>
      </c>
      <c r="J255" s="30">
        <v>1</v>
      </c>
      <c r="K255" s="31">
        <v>8.7749999999999998E-3</v>
      </c>
      <c r="L255" s="9">
        <v>639315541.71647406</v>
      </c>
      <c r="M255" s="9">
        <v>639211548.58069301</v>
      </c>
      <c r="N255" s="32">
        <f>MIN(MAX((B255-Calculation_Assumptions!$B$5+1)/Calculation_Assumptions!$B$7,0),1)</f>
        <v>1</v>
      </c>
      <c r="O255" s="21">
        <f t="shared" si="24"/>
        <v>639315541.71647406</v>
      </c>
      <c r="P255" s="21">
        <f t="shared" si="25"/>
        <v>639211548.58069301</v>
      </c>
      <c r="Q255" s="21">
        <f>P255*Calculation_Assumptions!$B$14*J255*K255</f>
        <v>0</v>
      </c>
      <c r="R255" s="21">
        <f t="shared" si="26"/>
        <v>5609993.8785620602</v>
      </c>
      <c r="S255" s="21">
        <f t="shared" si="27"/>
        <v>5609993.8785620602</v>
      </c>
      <c r="T255" s="32">
        <f>1/(1+Calculation_Assumptions!$B$8)^(B255-Calculation_Assumptions!$B$2)</f>
        <v>0.57028602681192497</v>
      </c>
      <c r="U255" s="21">
        <f t="shared" si="28"/>
        <v>0</v>
      </c>
      <c r="V255" s="21">
        <f t="shared" si="29"/>
        <v>3199301.1194443782</v>
      </c>
      <c r="W255" s="21">
        <f t="shared" si="30"/>
        <v>3199301.1194443782</v>
      </c>
      <c r="X255">
        <v>0</v>
      </c>
      <c r="Y255" s="18">
        <v>2017</v>
      </c>
      <c r="Z255" t="s">
        <v>387</v>
      </c>
      <c r="AA255" s="21">
        <f t="shared" si="31"/>
        <v>1</v>
      </c>
    </row>
    <row r="256" spans="1:27">
      <c r="A256" t="s">
        <v>200</v>
      </c>
      <c r="B256" s="18">
        <v>2045</v>
      </c>
      <c r="C256" t="s">
        <v>200</v>
      </c>
      <c r="D256" s="20" t="s">
        <v>391</v>
      </c>
      <c r="E256" s="20" t="s">
        <v>392</v>
      </c>
      <c r="F256" s="20" t="s">
        <v>204</v>
      </c>
      <c r="G256" s="20" t="s">
        <v>393</v>
      </c>
      <c r="H256" s="20" t="s">
        <v>384</v>
      </c>
      <c r="I256" s="29">
        <v>1</v>
      </c>
      <c r="J256" s="30">
        <v>1</v>
      </c>
      <c r="K256" s="31">
        <v>8.7749999999999998E-3</v>
      </c>
      <c r="L256" s="9">
        <v>641633319.18719304</v>
      </c>
      <c r="M256" s="9">
        <v>641520754.67294204</v>
      </c>
      <c r="N256" s="32">
        <f>MIN(MAX((B256-Calculation_Assumptions!$B$5+1)/Calculation_Assumptions!$B$7,0),1)</f>
        <v>1</v>
      </c>
      <c r="O256" s="21">
        <f t="shared" si="24"/>
        <v>641633319.18719304</v>
      </c>
      <c r="P256" s="21">
        <f t="shared" si="25"/>
        <v>641520754.67294204</v>
      </c>
      <c r="Q256" s="21">
        <f>P256*Calculation_Assumptions!$B$14*J256*K256</f>
        <v>0</v>
      </c>
      <c r="R256" s="21">
        <f t="shared" si="26"/>
        <v>5630332.3758676192</v>
      </c>
      <c r="S256" s="21">
        <f t="shared" si="27"/>
        <v>5630332.3758676192</v>
      </c>
      <c r="T256" s="32">
        <f>1/(1+Calculation_Assumptions!$B$8)^(B256-Calculation_Assumptions!$B$2)</f>
        <v>0.55367575418633497</v>
      </c>
      <c r="U256" s="21">
        <f t="shared" si="28"/>
        <v>0</v>
      </c>
      <c r="V256" s="21">
        <f t="shared" si="29"/>
        <v>3117378.5245282431</v>
      </c>
      <c r="W256" s="21">
        <f t="shared" si="30"/>
        <v>3117378.5245282431</v>
      </c>
      <c r="X256">
        <v>0</v>
      </c>
      <c r="Y256" s="18">
        <v>2017</v>
      </c>
      <c r="Z256" t="s">
        <v>387</v>
      </c>
      <c r="AA256" s="21">
        <f t="shared" si="31"/>
        <v>1</v>
      </c>
    </row>
    <row r="257" spans="1:27">
      <c r="A257" t="s">
        <v>200</v>
      </c>
      <c r="B257" s="18">
        <v>2046</v>
      </c>
      <c r="C257" t="s">
        <v>200</v>
      </c>
      <c r="D257" s="20" t="s">
        <v>391</v>
      </c>
      <c r="E257" s="20" t="s">
        <v>392</v>
      </c>
      <c r="F257" s="20" t="s">
        <v>204</v>
      </c>
      <c r="G257" s="20" t="s">
        <v>393</v>
      </c>
      <c r="H257" s="20" t="s">
        <v>384</v>
      </c>
      <c r="I257" s="29">
        <v>1</v>
      </c>
      <c r="J257" s="30">
        <v>1</v>
      </c>
      <c r="K257" s="31">
        <v>8.7749999999999998E-3</v>
      </c>
      <c r="L257" s="9">
        <v>643817417.19699395</v>
      </c>
      <c r="M257" s="9">
        <v>643697330.762573</v>
      </c>
      <c r="N257" s="32">
        <f>MIN(MAX((B257-Calculation_Assumptions!$B$5+1)/Calculation_Assumptions!$B$7,0),1)</f>
        <v>1</v>
      </c>
      <c r="O257" s="21">
        <f t="shared" si="24"/>
        <v>643817417.19699395</v>
      </c>
      <c r="P257" s="21">
        <f t="shared" si="25"/>
        <v>643697330.762573</v>
      </c>
      <c r="Q257" s="21">
        <f>P257*Calculation_Assumptions!$B$14*J257*K257</f>
        <v>0</v>
      </c>
      <c r="R257" s="21">
        <f t="shared" si="26"/>
        <v>5649497.8359036222</v>
      </c>
      <c r="S257" s="21">
        <f t="shared" si="27"/>
        <v>5649497.8359036222</v>
      </c>
      <c r="T257" s="32">
        <f>1/(1+Calculation_Assumptions!$B$8)^(B257-Calculation_Assumptions!$B$2)</f>
        <v>0.5375492759090631</v>
      </c>
      <c r="U257" s="21">
        <f t="shared" si="28"/>
        <v>0</v>
      </c>
      <c r="V257" s="21">
        <f t="shared" si="29"/>
        <v>3036883.4709398109</v>
      </c>
      <c r="W257" s="21">
        <f t="shared" si="30"/>
        <v>3036883.4709398109</v>
      </c>
      <c r="X257">
        <v>0</v>
      </c>
      <c r="Y257" s="18">
        <v>2017</v>
      </c>
      <c r="Z257" t="s">
        <v>387</v>
      </c>
      <c r="AA257" s="21">
        <f t="shared" si="31"/>
        <v>1</v>
      </c>
    </row>
    <row r="258" spans="1:27">
      <c r="A258" t="s">
        <v>200</v>
      </c>
      <c r="B258" s="18">
        <v>2047</v>
      </c>
      <c r="C258" t="s">
        <v>200</v>
      </c>
      <c r="D258" s="20" t="s">
        <v>391</v>
      </c>
      <c r="E258" s="20" t="s">
        <v>392</v>
      </c>
      <c r="F258" s="20" t="s">
        <v>204</v>
      </c>
      <c r="G258" s="20" t="s">
        <v>393</v>
      </c>
      <c r="H258" s="20" t="s">
        <v>384</v>
      </c>
      <c r="I258" s="29">
        <v>1</v>
      </c>
      <c r="J258" s="30">
        <v>1</v>
      </c>
      <c r="K258" s="31">
        <v>8.7749999999999998E-3</v>
      </c>
      <c r="L258" s="9">
        <v>645872732.46029103</v>
      </c>
      <c r="M258" s="9">
        <v>645745914.53009498</v>
      </c>
      <c r="N258" s="32">
        <f>MIN(MAX((B258-Calculation_Assumptions!$B$5+1)/Calculation_Assumptions!$B$7,0),1)</f>
        <v>1</v>
      </c>
      <c r="O258" s="21">
        <f t="shared" ref="O258:O321" si="32">L258*I258</f>
        <v>645872732.46029103</v>
      </c>
      <c r="P258" s="21">
        <f t="shared" ref="P258:P321" si="33">M258*I258</f>
        <v>645745914.53009498</v>
      </c>
      <c r="Q258" s="21">
        <f>P258*Calculation_Assumptions!$B$14*J258*K258</f>
        <v>0</v>
      </c>
      <c r="R258" s="21">
        <f t="shared" ref="R258:R321" si="34">O258*N258*J258*K258</f>
        <v>5667533.2273390535</v>
      </c>
      <c r="S258" s="21">
        <f t="shared" ref="S258:S321" si="35">R258-Q258</f>
        <v>5667533.2273390535</v>
      </c>
      <c r="T258" s="32">
        <f>1/(1+Calculation_Assumptions!$B$8)^(B258-Calculation_Assumptions!$B$2)</f>
        <v>0.52189250088258554</v>
      </c>
      <c r="U258" s="21">
        <f t="shared" ref="U258:U321" si="36">Q258*T258</f>
        <v>0</v>
      </c>
      <c r="V258" s="21">
        <f t="shared" ref="V258:V321" si="37">R258*T258</f>
        <v>2957843.0898511298</v>
      </c>
      <c r="W258" s="21">
        <f t="shared" ref="W258:W321" si="38">S258*T258</f>
        <v>2957843.0898511298</v>
      </c>
      <c r="X258">
        <v>0</v>
      </c>
      <c r="Y258" s="18">
        <v>2017</v>
      </c>
      <c r="Z258" t="s">
        <v>387</v>
      </c>
      <c r="AA258" s="21">
        <f t="shared" ref="AA258:AA321" si="39">IF(G258="shared-count-once",COUNTIFS($A$2:$A$807,A258,$B$2:$B$807,B258,$D$2:$D$807,D258),1)</f>
        <v>1</v>
      </c>
    </row>
    <row r="259" spans="1:27">
      <c r="A259" t="s">
        <v>200</v>
      </c>
      <c r="B259" s="18">
        <v>2048</v>
      </c>
      <c r="C259" t="s">
        <v>200</v>
      </c>
      <c r="D259" s="20" t="s">
        <v>391</v>
      </c>
      <c r="E259" s="20" t="s">
        <v>392</v>
      </c>
      <c r="F259" s="20" t="s">
        <v>204</v>
      </c>
      <c r="G259" s="20" t="s">
        <v>393</v>
      </c>
      <c r="H259" s="20" t="s">
        <v>384</v>
      </c>
      <c r="I259" s="29">
        <v>1</v>
      </c>
      <c r="J259" s="30">
        <v>1</v>
      </c>
      <c r="K259" s="31">
        <v>8.7749999999999998E-3</v>
      </c>
      <c r="L259" s="9">
        <v>647799373.38315296</v>
      </c>
      <c r="M259" s="9">
        <v>647666796.64810395</v>
      </c>
      <c r="N259" s="32">
        <f>MIN(MAX((B259-Calculation_Assumptions!$B$5+1)/Calculation_Assumptions!$B$7,0),1)</f>
        <v>1</v>
      </c>
      <c r="O259" s="21">
        <f t="shared" si="32"/>
        <v>647799373.38315296</v>
      </c>
      <c r="P259" s="21">
        <f t="shared" si="33"/>
        <v>647666796.64810395</v>
      </c>
      <c r="Q259" s="21">
        <f>P259*Calculation_Assumptions!$B$14*J259*K259</f>
        <v>0</v>
      </c>
      <c r="R259" s="21">
        <f t="shared" si="34"/>
        <v>5684439.5014371667</v>
      </c>
      <c r="S259" s="21">
        <f t="shared" si="35"/>
        <v>5684439.5014371667</v>
      </c>
      <c r="T259" s="32">
        <f>1/(1+Calculation_Assumptions!$B$8)^(B259-Calculation_Assumptions!$B$2)</f>
        <v>0.50669174842969467</v>
      </c>
      <c r="U259" s="21">
        <f t="shared" si="36"/>
        <v>0</v>
      </c>
      <c r="V259" s="21">
        <f t="shared" si="37"/>
        <v>2880258.5898260199</v>
      </c>
      <c r="W259" s="21">
        <f t="shared" si="38"/>
        <v>2880258.5898260199</v>
      </c>
      <c r="X259">
        <v>0</v>
      </c>
      <c r="Y259" s="18">
        <v>2017</v>
      </c>
      <c r="Z259" t="s">
        <v>387</v>
      </c>
      <c r="AA259" s="21">
        <f t="shared" si="39"/>
        <v>1</v>
      </c>
    </row>
    <row r="260" spans="1:27">
      <c r="A260" t="s">
        <v>200</v>
      </c>
      <c r="B260" s="18">
        <v>2049</v>
      </c>
      <c r="C260" t="s">
        <v>200</v>
      </c>
      <c r="D260" s="20" t="s">
        <v>391</v>
      </c>
      <c r="E260" s="20" t="s">
        <v>392</v>
      </c>
      <c r="F260" s="20" t="s">
        <v>204</v>
      </c>
      <c r="G260" s="20" t="s">
        <v>393</v>
      </c>
      <c r="H260" s="20" t="s">
        <v>384</v>
      </c>
      <c r="I260" s="29">
        <v>1</v>
      </c>
      <c r="J260" s="30">
        <v>1</v>
      </c>
      <c r="K260" s="31">
        <v>8.7749999999999998E-3</v>
      </c>
      <c r="L260" s="9">
        <v>649595759.17014396</v>
      </c>
      <c r="M260" s="9">
        <v>649421968.02473402</v>
      </c>
      <c r="N260" s="32">
        <f>MIN(MAX((B260-Calculation_Assumptions!$B$5+1)/Calculation_Assumptions!$B$7,0),1)</f>
        <v>1</v>
      </c>
      <c r="O260" s="21">
        <f t="shared" si="32"/>
        <v>649595759.17014396</v>
      </c>
      <c r="P260" s="21">
        <f t="shared" si="33"/>
        <v>649421968.02473402</v>
      </c>
      <c r="Q260" s="21">
        <f>P260*Calculation_Assumptions!$B$14*J260*K260</f>
        <v>0</v>
      </c>
      <c r="R260" s="21">
        <f t="shared" si="34"/>
        <v>5700202.7867180128</v>
      </c>
      <c r="S260" s="21">
        <f t="shared" si="35"/>
        <v>5700202.7867180128</v>
      </c>
      <c r="T260" s="32">
        <f>1/(1+Calculation_Assumptions!$B$8)^(B260-Calculation_Assumptions!$B$2)</f>
        <v>0.49193373633950943</v>
      </c>
      <c r="U260" s="21">
        <f t="shared" si="36"/>
        <v>0</v>
      </c>
      <c r="V260" s="21">
        <f t="shared" si="37"/>
        <v>2804122.0547630759</v>
      </c>
      <c r="W260" s="21">
        <f t="shared" si="38"/>
        <v>2804122.0547630759</v>
      </c>
      <c r="X260">
        <v>0</v>
      </c>
      <c r="Y260" s="18">
        <v>2017</v>
      </c>
      <c r="Z260" t="s">
        <v>387</v>
      </c>
      <c r="AA260" s="21">
        <f t="shared" si="39"/>
        <v>1</v>
      </c>
    </row>
    <row r="261" spans="1:27">
      <c r="A261" t="s">
        <v>200</v>
      </c>
      <c r="B261" s="18">
        <v>2050</v>
      </c>
      <c r="C261" t="s">
        <v>200</v>
      </c>
      <c r="D261" s="20" t="s">
        <v>391</v>
      </c>
      <c r="E261" s="20" t="s">
        <v>392</v>
      </c>
      <c r="F261" s="20" t="s">
        <v>204</v>
      </c>
      <c r="G261" s="20" t="s">
        <v>393</v>
      </c>
      <c r="H261" s="20" t="s">
        <v>384</v>
      </c>
      <c r="I261" s="29">
        <v>1</v>
      </c>
      <c r="J261" s="30">
        <v>1</v>
      </c>
      <c r="K261" s="31">
        <v>8.7749999999999998E-3</v>
      </c>
      <c r="L261" s="9">
        <v>651257017.05063701</v>
      </c>
      <c r="M261" s="9">
        <v>651074457.25957894</v>
      </c>
      <c r="N261" s="32">
        <f>MIN(MAX((B261-Calculation_Assumptions!$B$5+1)/Calculation_Assumptions!$B$7,0),1)</f>
        <v>1</v>
      </c>
      <c r="O261" s="21">
        <f t="shared" si="32"/>
        <v>651257017.05063701</v>
      </c>
      <c r="P261" s="21">
        <f t="shared" si="33"/>
        <v>651074457.25957894</v>
      </c>
      <c r="Q261" s="21">
        <f>P261*Calculation_Assumptions!$B$14*J261*K261</f>
        <v>0</v>
      </c>
      <c r="R261" s="21">
        <f t="shared" si="34"/>
        <v>5714780.3246193398</v>
      </c>
      <c r="S261" s="21">
        <f t="shared" si="35"/>
        <v>5714780.3246193398</v>
      </c>
      <c r="T261" s="32">
        <f>1/(1+Calculation_Assumptions!$B$8)^(B261-Calculation_Assumptions!$B$2)</f>
        <v>0.47760556926165965</v>
      </c>
      <c r="U261" s="21">
        <f t="shared" si="36"/>
        <v>0</v>
      </c>
      <c r="V261" s="21">
        <f t="shared" si="37"/>
        <v>2729410.9101451519</v>
      </c>
      <c r="W261" s="21">
        <f t="shared" si="38"/>
        <v>2729410.9101451519</v>
      </c>
      <c r="X261">
        <v>0</v>
      </c>
      <c r="Y261" s="18">
        <v>2017</v>
      </c>
      <c r="Z261" t="s">
        <v>387</v>
      </c>
      <c r="AA261" s="21">
        <f t="shared" si="39"/>
        <v>1</v>
      </c>
    </row>
    <row r="262" spans="1:27">
      <c r="A262" t="s">
        <v>242</v>
      </c>
      <c r="B262" s="18">
        <v>2025</v>
      </c>
      <c r="C262" t="s">
        <v>242</v>
      </c>
      <c r="D262" s="20" t="s">
        <v>403</v>
      </c>
      <c r="E262" s="20" t="s">
        <v>404</v>
      </c>
      <c r="F262" s="20" t="s">
        <v>246</v>
      </c>
      <c r="G262" s="20" t="s">
        <v>382</v>
      </c>
      <c r="H262" s="20" t="s">
        <v>384</v>
      </c>
      <c r="I262" s="29">
        <v>1</v>
      </c>
      <c r="J262" s="30">
        <v>1</v>
      </c>
      <c r="K262" s="31">
        <v>8.6999999999999994E-3</v>
      </c>
      <c r="L262" s="9">
        <v>575134853.59312999</v>
      </c>
      <c r="M262" s="9">
        <v>575134853.59312999</v>
      </c>
      <c r="N262" s="32">
        <f>MIN(MAX((B262-Calculation_Assumptions!$B$5+1)/Calculation_Assumptions!$B$7,0),1)</f>
        <v>0</v>
      </c>
      <c r="O262" s="21">
        <f t="shared" si="32"/>
        <v>575134853.59312999</v>
      </c>
      <c r="P262" s="21">
        <f t="shared" si="33"/>
        <v>575134853.59312999</v>
      </c>
      <c r="Q262" s="21">
        <f>P262*Calculation_Assumptions!$B$14*J262*K262</f>
        <v>0</v>
      </c>
      <c r="R262" s="21">
        <f t="shared" si="34"/>
        <v>0</v>
      </c>
      <c r="S262" s="21">
        <f t="shared" si="35"/>
        <v>0</v>
      </c>
      <c r="T262" s="32">
        <f>1/(1+Calculation_Assumptions!$B$8)^(B262-Calculation_Assumptions!$B$2)</f>
        <v>1</v>
      </c>
      <c r="U262" s="21">
        <f t="shared" si="36"/>
        <v>0</v>
      </c>
      <c r="V262" s="21">
        <f t="shared" si="37"/>
        <v>0</v>
      </c>
      <c r="W262" s="21">
        <f t="shared" si="38"/>
        <v>0</v>
      </c>
      <c r="X262">
        <v>0</v>
      </c>
      <c r="Y262" s="18">
        <v>2017</v>
      </c>
      <c r="Z262" t="s">
        <v>387</v>
      </c>
      <c r="AA262" s="21">
        <f t="shared" si="39"/>
        <v>1</v>
      </c>
    </row>
    <row r="263" spans="1:27">
      <c r="A263" t="s">
        <v>242</v>
      </c>
      <c r="B263" s="18">
        <v>2026</v>
      </c>
      <c r="C263" t="s">
        <v>242</v>
      </c>
      <c r="D263" s="20" t="s">
        <v>403</v>
      </c>
      <c r="E263" s="20" t="s">
        <v>404</v>
      </c>
      <c r="F263" s="20" t="s">
        <v>246</v>
      </c>
      <c r="G263" s="20" t="s">
        <v>382</v>
      </c>
      <c r="H263" s="20" t="s">
        <v>384</v>
      </c>
      <c r="I263" s="29">
        <v>1</v>
      </c>
      <c r="J263" s="30">
        <v>1</v>
      </c>
      <c r="K263" s="31">
        <v>8.6999999999999994E-3</v>
      </c>
      <c r="L263" s="9">
        <v>579268647.32329595</v>
      </c>
      <c r="M263" s="9">
        <v>579268647.32329595</v>
      </c>
      <c r="N263" s="32">
        <f>MIN(MAX((B263-Calculation_Assumptions!$B$5+1)/Calculation_Assumptions!$B$7,0),1)</f>
        <v>0.33333333333333331</v>
      </c>
      <c r="O263" s="21">
        <f t="shared" si="32"/>
        <v>579268647.32329595</v>
      </c>
      <c r="P263" s="21">
        <f t="shared" si="33"/>
        <v>579268647.32329595</v>
      </c>
      <c r="Q263" s="21">
        <f>P263*Calculation_Assumptions!$B$14*J263*K263</f>
        <v>0</v>
      </c>
      <c r="R263" s="21">
        <f t="shared" si="34"/>
        <v>1679879.0772375581</v>
      </c>
      <c r="S263" s="21">
        <f t="shared" si="35"/>
        <v>1679879.0772375581</v>
      </c>
      <c r="T263" s="32">
        <f>1/(1+Calculation_Assumptions!$B$8)^(B263-Calculation_Assumptions!$B$2)</f>
        <v>0.970873786407767</v>
      </c>
      <c r="U263" s="21">
        <f t="shared" si="36"/>
        <v>0</v>
      </c>
      <c r="V263" s="21">
        <f t="shared" si="37"/>
        <v>1630950.5604248138</v>
      </c>
      <c r="W263" s="21">
        <f t="shared" si="38"/>
        <v>1630950.5604248138</v>
      </c>
      <c r="X263">
        <v>0</v>
      </c>
      <c r="Y263" s="18">
        <v>2017</v>
      </c>
      <c r="Z263" t="s">
        <v>387</v>
      </c>
      <c r="AA263" s="21">
        <f t="shared" si="39"/>
        <v>1</v>
      </c>
    </row>
    <row r="264" spans="1:27">
      <c r="A264" t="s">
        <v>242</v>
      </c>
      <c r="B264" s="18">
        <v>2027</v>
      </c>
      <c r="C264" t="s">
        <v>242</v>
      </c>
      <c r="D264" s="20" t="s">
        <v>403</v>
      </c>
      <c r="E264" s="20" t="s">
        <v>404</v>
      </c>
      <c r="F264" s="20" t="s">
        <v>246</v>
      </c>
      <c r="G264" s="20" t="s">
        <v>382</v>
      </c>
      <c r="H264" s="20" t="s">
        <v>384</v>
      </c>
      <c r="I264" s="29">
        <v>1</v>
      </c>
      <c r="J264" s="30">
        <v>1</v>
      </c>
      <c r="K264" s="31">
        <v>8.6999999999999994E-3</v>
      </c>
      <c r="L264" s="9">
        <v>583039014.28645599</v>
      </c>
      <c r="M264" s="9">
        <v>583039014.28645599</v>
      </c>
      <c r="N264" s="32">
        <f>MIN(MAX((B264-Calculation_Assumptions!$B$5+1)/Calculation_Assumptions!$B$7,0),1)</f>
        <v>0.66666666666666663</v>
      </c>
      <c r="O264" s="21">
        <f t="shared" si="32"/>
        <v>583039014.28645599</v>
      </c>
      <c r="P264" s="21">
        <f t="shared" si="33"/>
        <v>583039014.28645599</v>
      </c>
      <c r="Q264" s="21">
        <f>P264*Calculation_Assumptions!$B$14*J264*K264</f>
        <v>0</v>
      </c>
      <c r="R264" s="21">
        <f t="shared" si="34"/>
        <v>3381626.2828614446</v>
      </c>
      <c r="S264" s="21">
        <f t="shared" si="35"/>
        <v>3381626.2828614446</v>
      </c>
      <c r="T264" s="32">
        <f>1/(1+Calculation_Assumptions!$B$8)^(B264-Calculation_Assumptions!$B$2)</f>
        <v>0.94259590913375435</v>
      </c>
      <c r="U264" s="21">
        <f t="shared" si="36"/>
        <v>0</v>
      </c>
      <c r="V264" s="21">
        <f t="shared" si="37"/>
        <v>3187507.1004443816</v>
      </c>
      <c r="W264" s="21">
        <f t="shared" si="38"/>
        <v>3187507.1004443816</v>
      </c>
      <c r="X264">
        <v>0</v>
      </c>
      <c r="Y264" s="18">
        <v>2017</v>
      </c>
      <c r="Z264" t="s">
        <v>387</v>
      </c>
      <c r="AA264" s="21">
        <f t="shared" si="39"/>
        <v>1</v>
      </c>
    </row>
    <row r="265" spans="1:27">
      <c r="A265" t="s">
        <v>242</v>
      </c>
      <c r="B265" s="18">
        <v>2028</v>
      </c>
      <c r="C265" t="s">
        <v>242</v>
      </c>
      <c r="D265" s="20" t="s">
        <v>403</v>
      </c>
      <c r="E265" s="20" t="s">
        <v>404</v>
      </c>
      <c r="F265" s="20" t="s">
        <v>246</v>
      </c>
      <c r="G265" s="20" t="s">
        <v>382</v>
      </c>
      <c r="H265" s="20" t="s">
        <v>384</v>
      </c>
      <c r="I265" s="29">
        <v>1</v>
      </c>
      <c r="J265" s="30">
        <v>1</v>
      </c>
      <c r="K265" s="31">
        <v>8.6999999999999994E-3</v>
      </c>
      <c r="L265" s="9">
        <v>587035520.95264602</v>
      </c>
      <c r="M265" s="9">
        <v>587035116.25746298</v>
      </c>
      <c r="N265" s="32">
        <f>MIN(MAX((B265-Calculation_Assumptions!$B$5+1)/Calculation_Assumptions!$B$7,0),1)</f>
        <v>1</v>
      </c>
      <c r="O265" s="21">
        <f t="shared" si="32"/>
        <v>587035520.95264602</v>
      </c>
      <c r="P265" s="21">
        <f t="shared" si="33"/>
        <v>587035116.25746298</v>
      </c>
      <c r="Q265" s="21">
        <f>P265*Calculation_Assumptions!$B$14*J265*K265</f>
        <v>0</v>
      </c>
      <c r="R265" s="21">
        <f t="shared" si="34"/>
        <v>5107209.0322880195</v>
      </c>
      <c r="S265" s="21">
        <f t="shared" si="35"/>
        <v>5107209.0322880195</v>
      </c>
      <c r="T265" s="32">
        <f>1/(1+Calculation_Assumptions!$B$8)^(B265-Calculation_Assumptions!$B$2)</f>
        <v>0.91514165935315961</v>
      </c>
      <c r="U265" s="21">
        <f t="shared" si="36"/>
        <v>0</v>
      </c>
      <c r="V265" s="21">
        <f t="shared" si="37"/>
        <v>4673819.7484715031</v>
      </c>
      <c r="W265" s="21">
        <f t="shared" si="38"/>
        <v>4673819.7484715031</v>
      </c>
      <c r="X265">
        <v>0</v>
      </c>
      <c r="Y265" s="18">
        <v>2017</v>
      </c>
      <c r="Z265" t="s">
        <v>387</v>
      </c>
      <c r="AA265" s="21">
        <f t="shared" si="39"/>
        <v>1</v>
      </c>
    </row>
    <row r="266" spans="1:27">
      <c r="A266" t="s">
        <v>242</v>
      </c>
      <c r="B266" s="18">
        <v>2029</v>
      </c>
      <c r="C266" t="s">
        <v>242</v>
      </c>
      <c r="D266" s="20" t="s">
        <v>403</v>
      </c>
      <c r="E266" s="20" t="s">
        <v>404</v>
      </c>
      <c r="F266" s="20" t="s">
        <v>246</v>
      </c>
      <c r="G266" s="20" t="s">
        <v>382</v>
      </c>
      <c r="H266" s="20" t="s">
        <v>384</v>
      </c>
      <c r="I266" s="29">
        <v>1</v>
      </c>
      <c r="J266" s="30">
        <v>1</v>
      </c>
      <c r="K266" s="31">
        <v>8.6999999999999994E-3</v>
      </c>
      <c r="L266" s="9">
        <v>590969596.17264497</v>
      </c>
      <c r="M266" s="9">
        <v>590968059.72178304</v>
      </c>
      <c r="N266" s="32">
        <f>MIN(MAX((B266-Calculation_Assumptions!$B$5+1)/Calculation_Assumptions!$B$7,0),1)</f>
        <v>1</v>
      </c>
      <c r="O266" s="21">
        <f t="shared" si="32"/>
        <v>590969596.17264497</v>
      </c>
      <c r="P266" s="21">
        <f t="shared" si="33"/>
        <v>590968059.72178304</v>
      </c>
      <c r="Q266" s="21">
        <f>P266*Calculation_Assumptions!$B$14*J266*K266</f>
        <v>0</v>
      </c>
      <c r="R266" s="21">
        <f t="shared" si="34"/>
        <v>5141435.486702011</v>
      </c>
      <c r="S266" s="21">
        <f t="shared" si="35"/>
        <v>5141435.486702011</v>
      </c>
      <c r="T266" s="32">
        <f>1/(1+Calculation_Assumptions!$B$8)^(B266-Calculation_Assumptions!$B$2)</f>
        <v>0.888487047915689</v>
      </c>
      <c r="U266" s="21">
        <f t="shared" si="36"/>
        <v>0</v>
      </c>
      <c r="V266" s="21">
        <f t="shared" si="37"/>
        <v>4568098.837628833</v>
      </c>
      <c r="W266" s="21">
        <f t="shared" si="38"/>
        <v>4568098.837628833</v>
      </c>
      <c r="X266">
        <v>0</v>
      </c>
      <c r="Y266" s="18">
        <v>2017</v>
      </c>
      <c r="Z266" t="s">
        <v>387</v>
      </c>
      <c r="AA266" s="21">
        <f t="shared" si="39"/>
        <v>1</v>
      </c>
    </row>
    <row r="267" spans="1:27">
      <c r="A267" t="s">
        <v>242</v>
      </c>
      <c r="B267" s="18">
        <v>2030</v>
      </c>
      <c r="C267" t="s">
        <v>242</v>
      </c>
      <c r="D267" s="20" t="s">
        <v>403</v>
      </c>
      <c r="E267" s="20" t="s">
        <v>404</v>
      </c>
      <c r="F267" s="20" t="s">
        <v>246</v>
      </c>
      <c r="G267" s="20" t="s">
        <v>382</v>
      </c>
      <c r="H267" s="20" t="s">
        <v>384</v>
      </c>
      <c r="I267" s="29">
        <v>1</v>
      </c>
      <c r="J267" s="30">
        <v>1</v>
      </c>
      <c r="K267" s="31">
        <v>8.6999999999999994E-3</v>
      </c>
      <c r="L267" s="9">
        <v>594811670.20365298</v>
      </c>
      <c r="M267" s="9">
        <v>594808018.62654305</v>
      </c>
      <c r="N267" s="32">
        <f>MIN(MAX((B267-Calculation_Assumptions!$B$5+1)/Calculation_Assumptions!$B$7,0),1)</f>
        <v>1</v>
      </c>
      <c r="O267" s="21">
        <f t="shared" si="32"/>
        <v>594811670.20365298</v>
      </c>
      <c r="P267" s="21">
        <f t="shared" si="33"/>
        <v>594808018.62654305</v>
      </c>
      <c r="Q267" s="21">
        <f>P267*Calculation_Assumptions!$B$14*J267*K267</f>
        <v>0</v>
      </c>
      <c r="R267" s="21">
        <f t="shared" si="34"/>
        <v>5174861.5307717808</v>
      </c>
      <c r="S267" s="21">
        <f t="shared" si="35"/>
        <v>5174861.5307717808</v>
      </c>
      <c r="T267" s="32">
        <f>1/(1+Calculation_Assumptions!$B$8)^(B267-Calculation_Assumptions!$B$2)</f>
        <v>0.86260878438416411</v>
      </c>
      <c r="U267" s="21">
        <f t="shared" si="36"/>
        <v>0</v>
      </c>
      <c r="V267" s="21">
        <f t="shared" si="37"/>
        <v>4463881.0144154206</v>
      </c>
      <c r="W267" s="21">
        <f t="shared" si="38"/>
        <v>4463881.0144154206</v>
      </c>
      <c r="X267">
        <v>0</v>
      </c>
      <c r="Y267" s="18">
        <v>2017</v>
      </c>
      <c r="Z267" t="s">
        <v>387</v>
      </c>
      <c r="AA267" s="21">
        <f t="shared" si="39"/>
        <v>1</v>
      </c>
    </row>
    <row r="268" spans="1:27">
      <c r="A268" t="s">
        <v>242</v>
      </c>
      <c r="B268" s="18">
        <v>2031</v>
      </c>
      <c r="C268" t="s">
        <v>242</v>
      </c>
      <c r="D268" s="20" t="s">
        <v>403</v>
      </c>
      <c r="E268" s="20" t="s">
        <v>404</v>
      </c>
      <c r="F268" s="20" t="s">
        <v>246</v>
      </c>
      <c r="G268" s="20" t="s">
        <v>382</v>
      </c>
      <c r="H268" s="20" t="s">
        <v>384</v>
      </c>
      <c r="I268" s="29">
        <v>1</v>
      </c>
      <c r="J268" s="30">
        <v>1</v>
      </c>
      <c r="K268" s="31">
        <v>8.6999999999999994E-3</v>
      </c>
      <c r="L268" s="9">
        <v>598588352.54610503</v>
      </c>
      <c r="M268" s="9">
        <v>598581381.03442597</v>
      </c>
      <c r="N268" s="32">
        <f>MIN(MAX((B268-Calculation_Assumptions!$B$5+1)/Calculation_Assumptions!$B$7,0),1)</f>
        <v>1</v>
      </c>
      <c r="O268" s="21">
        <f t="shared" si="32"/>
        <v>598588352.54610503</v>
      </c>
      <c r="P268" s="21">
        <f t="shared" si="33"/>
        <v>598581381.03442597</v>
      </c>
      <c r="Q268" s="21">
        <f>P268*Calculation_Assumptions!$B$14*J268*K268</f>
        <v>0</v>
      </c>
      <c r="R268" s="21">
        <f t="shared" si="34"/>
        <v>5207718.667151113</v>
      </c>
      <c r="S268" s="21">
        <f t="shared" si="35"/>
        <v>5207718.667151113</v>
      </c>
      <c r="T268" s="32">
        <f>1/(1+Calculation_Assumptions!$B$8)^(B268-Calculation_Assumptions!$B$2)</f>
        <v>0.83748425668365445</v>
      </c>
      <c r="U268" s="21">
        <f t="shared" si="36"/>
        <v>0</v>
      </c>
      <c r="V268" s="21">
        <f t="shared" si="37"/>
        <v>4361382.3969766414</v>
      </c>
      <c r="W268" s="21">
        <f t="shared" si="38"/>
        <v>4361382.3969766414</v>
      </c>
      <c r="X268">
        <v>0</v>
      </c>
      <c r="Y268" s="18">
        <v>2017</v>
      </c>
      <c r="Z268" t="s">
        <v>387</v>
      </c>
      <c r="AA268" s="21">
        <f t="shared" si="39"/>
        <v>1</v>
      </c>
    </row>
    <row r="269" spans="1:27">
      <c r="A269" t="s">
        <v>242</v>
      </c>
      <c r="B269" s="18">
        <v>2032</v>
      </c>
      <c r="C269" t="s">
        <v>242</v>
      </c>
      <c r="D269" s="20" t="s">
        <v>403</v>
      </c>
      <c r="E269" s="20" t="s">
        <v>404</v>
      </c>
      <c r="F269" s="20" t="s">
        <v>246</v>
      </c>
      <c r="G269" s="20" t="s">
        <v>382</v>
      </c>
      <c r="H269" s="20" t="s">
        <v>384</v>
      </c>
      <c r="I269" s="29">
        <v>1</v>
      </c>
      <c r="J269" s="30">
        <v>1</v>
      </c>
      <c r="K269" s="31">
        <v>8.6999999999999994E-3</v>
      </c>
      <c r="L269" s="9">
        <v>602295284.67899406</v>
      </c>
      <c r="M269" s="9">
        <v>602283583.58638096</v>
      </c>
      <c r="N269" s="32">
        <f>MIN(MAX((B269-Calculation_Assumptions!$B$5+1)/Calculation_Assumptions!$B$7,0),1)</f>
        <v>1</v>
      </c>
      <c r="O269" s="21">
        <f t="shared" si="32"/>
        <v>602295284.67899406</v>
      </c>
      <c r="P269" s="21">
        <f t="shared" si="33"/>
        <v>602283583.58638096</v>
      </c>
      <c r="Q269" s="21">
        <f>P269*Calculation_Assumptions!$B$14*J269*K269</f>
        <v>0</v>
      </c>
      <c r="R269" s="21">
        <f t="shared" si="34"/>
        <v>5239968.976707248</v>
      </c>
      <c r="S269" s="21">
        <f t="shared" si="35"/>
        <v>5239968.976707248</v>
      </c>
      <c r="T269" s="32">
        <f>1/(1+Calculation_Assumptions!$B$8)^(B269-Calculation_Assumptions!$B$2)</f>
        <v>0.81309151134335378</v>
      </c>
      <c r="U269" s="21">
        <f t="shared" si="36"/>
        <v>0</v>
      </c>
      <c r="V269" s="21">
        <f t="shared" si="37"/>
        <v>4260574.2946631834</v>
      </c>
      <c r="W269" s="21">
        <f t="shared" si="38"/>
        <v>4260574.2946631834</v>
      </c>
      <c r="X269">
        <v>0</v>
      </c>
      <c r="Y269" s="18">
        <v>2017</v>
      </c>
      <c r="Z269" t="s">
        <v>387</v>
      </c>
      <c r="AA269" s="21">
        <f t="shared" si="39"/>
        <v>1</v>
      </c>
    </row>
    <row r="270" spans="1:27">
      <c r="A270" t="s">
        <v>242</v>
      </c>
      <c r="B270" s="18">
        <v>2033</v>
      </c>
      <c r="C270" t="s">
        <v>242</v>
      </c>
      <c r="D270" s="20" t="s">
        <v>403</v>
      </c>
      <c r="E270" s="20" t="s">
        <v>404</v>
      </c>
      <c r="F270" s="20" t="s">
        <v>246</v>
      </c>
      <c r="G270" s="20" t="s">
        <v>382</v>
      </c>
      <c r="H270" s="20" t="s">
        <v>384</v>
      </c>
      <c r="I270" s="29">
        <v>1</v>
      </c>
      <c r="J270" s="30">
        <v>1</v>
      </c>
      <c r="K270" s="31">
        <v>8.6999999999999994E-3</v>
      </c>
      <c r="L270" s="9">
        <v>605929516.95075405</v>
      </c>
      <c r="M270" s="9">
        <v>605911902.99473</v>
      </c>
      <c r="N270" s="32">
        <f>MIN(MAX((B270-Calculation_Assumptions!$B$5+1)/Calculation_Assumptions!$B$7,0),1)</f>
        <v>1</v>
      </c>
      <c r="O270" s="21">
        <f t="shared" si="32"/>
        <v>605929516.95075405</v>
      </c>
      <c r="P270" s="21">
        <f t="shared" si="33"/>
        <v>605911902.99473</v>
      </c>
      <c r="Q270" s="21">
        <f>P270*Calculation_Assumptions!$B$14*J270*K270</f>
        <v>0</v>
      </c>
      <c r="R270" s="21">
        <f t="shared" si="34"/>
        <v>5271586.7974715596</v>
      </c>
      <c r="S270" s="21">
        <f t="shared" si="35"/>
        <v>5271586.7974715596</v>
      </c>
      <c r="T270" s="32">
        <f>1/(1+Calculation_Assumptions!$B$8)^(B270-Calculation_Assumptions!$B$2)</f>
        <v>0.78940923431393573</v>
      </c>
      <c r="U270" s="21">
        <f t="shared" si="36"/>
        <v>0</v>
      </c>
      <c r="V270" s="21">
        <f t="shared" si="37"/>
        <v>4161439.2974114763</v>
      </c>
      <c r="W270" s="21">
        <f t="shared" si="38"/>
        <v>4161439.2974114763</v>
      </c>
      <c r="X270">
        <v>0</v>
      </c>
      <c r="Y270" s="18">
        <v>2017</v>
      </c>
      <c r="Z270" t="s">
        <v>387</v>
      </c>
      <c r="AA270" s="21">
        <f t="shared" si="39"/>
        <v>1</v>
      </c>
    </row>
    <row r="271" spans="1:27">
      <c r="A271" t="s">
        <v>242</v>
      </c>
      <c r="B271" s="18">
        <v>2034</v>
      </c>
      <c r="C271" t="s">
        <v>242</v>
      </c>
      <c r="D271" s="20" t="s">
        <v>403</v>
      </c>
      <c r="E271" s="20" t="s">
        <v>404</v>
      </c>
      <c r="F271" s="20" t="s">
        <v>246</v>
      </c>
      <c r="G271" s="20" t="s">
        <v>382</v>
      </c>
      <c r="H271" s="20" t="s">
        <v>384</v>
      </c>
      <c r="I271" s="29">
        <v>1</v>
      </c>
      <c r="J271" s="30">
        <v>1</v>
      </c>
      <c r="K271" s="31">
        <v>8.6999999999999994E-3</v>
      </c>
      <c r="L271" s="9">
        <v>609461542.93422794</v>
      </c>
      <c r="M271" s="9">
        <v>609455548.12077105</v>
      </c>
      <c r="N271" s="32">
        <f>MIN(MAX((B271-Calculation_Assumptions!$B$5+1)/Calculation_Assumptions!$B$7,0),1)</f>
        <v>1</v>
      </c>
      <c r="O271" s="21">
        <f t="shared" si="32"/>
        <v>609461542.93422794</v>
      </c>
      <c r="P271" s="21">
        <f t="shared" si="33"/>
        <v>609455548.12077105</v>
      </c>
      <c r="Q271" s="21">
        <f>P271*Calculation_Assumptions!$B$14*J271*K271</f>
        <v>0</v>
      </c>
      <c r="R271" s="21">
        <f t="shared" si="34"/>
        <v>5302315.4235277828</v>
      </c>
      <c r="S271" s="21">
        <f t="shared" si="35"/>
        <v>5302315.4235277828</v>
      </c>
      <c r="T271" s="32">
        <f>1/(1+Calculation_Assumptions!$B$8)^(B271-Calculation_Assumptions!$B$2)</f>
        <v>0.76641673234362695</v>
      </c>
      <c r="U271" s="21">
        <f t="shared" si="36"/>
        <v>0</v>
      </c>
      <c r="V271" s="21">
        <f t="shared" si="37"/>
        <v>4063783.2607553778</v>
      </c>
      <c r="W271" s="21">
        <f t="shared" si="38"/>
        <v>4063783.2607553778</v>
      </c>
      <c r="X271">
        <v>0</v>
      </c>
      <c r="Y271" s="18">
        <v>2017</v>
      </c>
      <c r="Z271" t="s">
        <v>387</v>
      </c>
      <c r="AA271" s="21">
        <f t="shared" si="39"/>
        <v>1</v>
      </c>
    </row>
    <row r="272" spans="1:27">
      <c r="A272" t="s">
        <v>242</v>
      </c>
      <c r="B272" s="18">
        <v>2035</v>
      </c>
      <c r="C272" t="s">
        <v>242</v>
      </c>
      <c r="D272" s="20" t="s">
        <v>403</v>
      </c>
      <c r="E272" s="20" t="s">
        <v>404</v>
      </c>
      <c r="F272" s="20" t="s">
        <v>246</v>
      </c>
      <c r="G272" s="20" t="s">
        <v>382</v>
      </c>
      <c r="H272" s="20" t="s">
        <v>384</v>
      </c>
      <c r="I272" s="29">
        <v>1</v>
      </c>
      <c r="J272" s="30">
        <v>1</v>
      </c>
      <c r="K272" s="31">
        <v>8.6999999999999994E-3</v>
      </c>
      <c r="L272" s="9">
        <v>612825694.46315098</v>
      </c>
      <c r="M272" s="9">
        <v>612884294.47334194</v>
      </c>
      <c r="N272" s="32">
        <f>MIN(MAX((B272-Calculation_Assumptions!$B$5+1)/Calculation_Assumptions!$B$7,0),1)</f>
        <v>1</v>
      </c>
      <c r="O272" s="21">
        <f t="shared" si="32"/>
        <v>612825694.46315098</v>
      </c>
      <c r="P272" s="21">
        <f t="shared" si="33"/>
        <v>612884294.47334194</v>
      </c>
      <c r="Q272" s="21">
        <f>P272*Calculation_Assumptions!$B$14*J272*K272</f>
        <v>0</v>
      </c>
      <c r="R272" s="21">
        <f t="shared" si="34"/>
        <v>5331583.5418294128</v>
      </c>
      <c r="S272" s="21">
        <f t="shared" si="35"/>
        <v>5331583.5418294128</v>
      </c>
      <c r="T272" s="32">
        <f>1/(1+Calculation_Assumptions!$B$8)^(B272-Calculation_Assumptions!$B$2)</f>
        <v>0.74409391489672516</v>
      </c>
      <c r="U272" s="21">
        <f t="shared" si="36"/>
        <v>0</v>
      </c>
      <c r="V272" s="21">
        <f t="shared" si="37"/>
        <v>3967198.8702387954</v>
      </c>
      <c r="W272" s="21">
        <f t="shared" si="38"/>
        <v>3967198.8702387954</v>
      </c>
      <c r="X272">
        <v>0</v>
      </c>
      <c r="Y272" s="18">
        <v>2017</v>
      </c>
      <c r="Z272" t="s">
        <v>387</v>
      </c>
      <c r="AA272" s="21">
        <f t="shared" si="39"/>
        <v>1</v>
      </c>
    </row>
    <row r="273" spans="1:27">
      <c r="A273" t="s">
        <v>242</v>
      </c>
      <c r="B273" s="18">
        <v>2036</v>
      </c>
      <c r="C273" t="s">
        <v>242</v>
      </c>
      <c r="D273" s="20" t="s">
        <v>403</v>
      </c>
      <c r="E273" s="20" t="s">
        <v>404</v>
      </c>
      <c r="F273" s="20" t="s">
        <v>246</v>
      </c>
      <c r="G273" s="20" t="s">
        <v>382</v>
      </c>
      <c r="H273" s="20" t="s">
        <v>384</v>
      </c>
      <c r="I273" s="29">
        <v>1</v>
      </c>
      <c r="J273" s="30">
        <v>1</v>
      </c>
      <c r="K273" s="31">
        <v>8.6999999999999994E-3</v>
      </c>
      <c r="L273" s="9">
        <v>616208384.57745504</v>
      </c>
      <c r="M273" s="9">
        <v>616262053.85817397</v>
      </c>
      <c r="N273" s="32">
        <f>MIN(MAX((B273-Calculation_Assumptions!$B$5+1)/Calculation_Assumptions!$B$7,0),1)</f>
        <v>1</v>
      </c>
      <c r="O273" s="21">
        <f t="shared" si="32"/>
        <v>616208384.57745504</v>
      </c>
      <c r="P273" s="21">
        <f t="shared" si="33"/>
        <v>616262053.85817397</v>
      </c>
      <c r="Q273" s="21">
        <f>P273*Calculation_Assumptions!$B$14*J273*K273</f>
        <v>0</v>
      </c>
      <c r="R273" s="21">
        <f t="shared" si="34"/>
        <v>5361012.9458238585</v>
      </c>
      <c r="S273" s="21">
        <f t="shared" si="35"/>
        <v>5361012.9458238585</v>
      </c>
      <c r="T273" s="32">
        <f>1/(1+Calculation_Assumptions!$B$8)^(B273-Calculation_Assumptions!$B$2)</f>
        <v>0.72242127659876232</v>
      </c>
      <c r="U273" s="21">
        <f t="shared" si="36"/>
        <v>0</v>
      </c>
      <c r="V273" s="21">
        <f t="shared" si="37"/>
        <v>3872909.8161845631</v>
      </c>
      <c r="W273" s="21">
        <f t="shared" si="38"/>
        <v>3872909.8161845631</v>
      </c>
      <c r="X273">
        <v>0</v>
      </c>
      <c r="Y273" s="18">
        <v>2017</v>
      </c>
      <c r="Z273" t="s">
        <v>387</v>
      </c>
      <c r="AA273" s="21">
        <f t="shared" si="39"/>
        <v>1</v>
      </c>
    </row>
    <row r="274" spans="1:27">
      <c r="A274" t="s">
        <v>242</v>
      </c>
      <c r="B274" s="18">
        <v>2037</v>
      </c>
      <c r="C274" t="s">
        <v>242</v>
      </c>
      <c r="D274" s="20" t="s">
        <v>403</v>
      </c>
      <c r="E274" s="20" t="s">
        <v>404</v>
      </c>
      <c r="F274" s="20" t="s">
        <v>246</v>
      </c>
      <c r="G274" s="20" t="s">
        <v>382</v>
      </c>
      <c r="H274" s="20" t="s">
        <v>384</v>
      </c>
      <c r="I274" s="29">
        <v>1</v>
      </c>
      <c r="J274" s="30">
        <v>1</v>
      </c>
      <c r="K274" s="31">
        <v>8.6999999999999994E-3</v>
      </c>
      <c r="L274" s="9">
        <v>619498527.70824003</v>
      </c>
      <c r="M274" s="9">
        <v>619529380.90729904</v>
      </c>
      <c r="N274" s="32">
        <f>MIN(MAX((B274-Calculation_Assumptions!$B$5+1)/Calculation_Assumptions!$B$7,0),1)</f>
        <v>1</v>
      </c>
      <c r="O274" s="21">
        <f t="shared" si="32"/>
        <v>619498527.70824003</v>
      </c>
      <c r="P274" s="21">
        <f t="shared" si="33"/>
        <v>619529380.90729904</v>
      </c>
      <c r="Q274" s="21">
        <f>P274*Calculation_Assumptions!$B$14*J274*K274</f>
        <v>0</v>
      </c>
      <c r="R274" s="21">
        <f t="shared" si="34"/>
        <v>5389637.1910616877</v>
      </c>
      <c r="S274" s="21">
        <f t="shared" si="35"/>
        <v>5389637.1910616877</v>
      </c>
      <c r="T274" s="32">
        <f>1/(1+Calculation_Assumptions!$B$8)^(B274-Calculation_Assumptions!$B$2)</f>
        <v>0.70137988019297326</v>
      </c>
      <c r="U274" s="21">
        <f t="shared" si="36"/>
        <v>0</v>
      </c>
      <c r="V274" s="21">
        <f t="shared" si="37"/>
        <v>3780183.0873504393</v>
      </c>
      <c r="W274" s="21">
        <f t="shared" si="38"/>
        <v>3780183.0873504393</v>
      </c>
      <c r="X274">
        <v>0</v>
      </c>
      <c r="Y274" s="18">
        <v>2017</v>
      </c>
      <c r="Z274" t="s">
        <v>387</v>
      </c>
      <c r="AA274" s="21">
        <f t="shared" si="39"/>
        <v>1</v>
      </c>
    </row>
    <row r="275" spans="1:27">
      <c r="A275" t="s">
        <v>242</v>
      </c>
      <c r="B275" s="18">
        <v>2038</v>
      </c>
      <c r="C275" t="s">
        <v>242</v>
      </c>
      <c r="D275" s="20" t="s">
        <v>403</v>
      </c>
      <c r="E275" s="20" t="s">
        <v>404</v>
      </c>
      <c r="F275" s="20" t="s">
        <v>246</v>
      </c>
      <c r="G275" s="20" t="s">
        <v>382</v>
      </c>
      <c r="H275" s="20" t="s">
        <v>384</v>
      </c>
      <c r="I275" s="29">
        <v>1</v>
      </c>
      <c r="J275" s="30">
        <v>1</v>
      </c>
      <c r="K275" s="31">
        <v>8.6999999999999994E-3</v>
      </c>
      <c r="L275" s="9">
        <v>622684796.65427399</v>
      </c>
      <c r="M275" s="9">
        <v>622673191.62836504</v>
      </c>
      <c r="N275" s="32">
        <f>MIN(MAX((B275-Calculation_Assumptions!$B$5+1)/Calculation_Assumptions!$B$7,0),1)</f>
        <v>1</v>
      </c>
      <c r="O275" s="21">
        <f t="shared" si="32"/>
        <v>622684796.65427399</v>
      </c>
      <c r="P275" s="21">
        <f t="shared" si="33"/>
        <v>622673191.62836504</v>
      </c>
      <c r="Q275" s="21">
        <f>P275*Calculation_Assumptions!$B$14*J275*K275</f>
        <v>0</v>
      </c>
      <c r="R275" s="21">
        <f t="shared" si="34"/>
        <v>5417357.7308921833</v>
      </c>
      <c r="S275" s="21">
        <f t="shared" si="35"/>
        <v>5417357.7308921833</v>
      </c>
      <c r="T275" s="32">
        <f>1/(1+Calculation_Assumptions!$B$8)^(B275-Calculation_Assumptions!$B$2)</f>
        <v>0.68095133999317792</v>
      </c>
      <c r="U275" s="21">
        <f t="shared" si="36"/>
        <v>0</v>
      </c>
      <c r="V275" s="21">
        <f t="shared" si="37"/>
        <v>3688957.0060734339</v>
      </c>
      <c r="W275" s="21">
        <f t="shared" si="38"/>
        <v>3688957.0060734339</v>
      </c>
      <c r="X275">
        <v>0</v>
      </c>
      <c r="Y275" s="18">
        <v>2017</v>
      </c>
      <c r="Z275" t="s">
        <v>387</v>
      </c>
      <c r="AA275" s="21">
        <f t="shared" si="39"/>
        <v>1</v>
      </c>
    </row>
    <row r="276" spans="1:27">
      <c r="A276" t="s">
        <v>242</v>
      </c>
      <c r="B276" s="18">
        <v>2039</v>
      </c>
      <c r="C276" t="s">
        <v>242</v>
      </c>
      <c r="D276" s="20" t="s">
        <v>403</v>
      </c>
      <c r="E276" s="20" t="s">
        <v>404</v>
      </c>
      <c r="F276" s="20" t="s">
        <v>246</v>
      </c>
      <c r="G276" s="20" t="s">
        <v>382</v>
      </c>
      <c r="H276" s="20" t="s">
        <v>384</v>
      </c>
      <c r="I276" s="29">
        <v>1</v>
      </c>
      <c r="J276" s="30">
        <v>1</v>
      </c>
      <c r="K276" s="31">
        <v>8.6999999999999994E-3</v>
      </c>
      <c r="L276" s="9">
        <v>625764112.14629805</v>
      </c>
      <c r="M276" s="9">
        <v>625731758.218045</v>
      </c>
      <c r="N276" s="32">
        <f>MIN(MAX((B276-Calculation_Assumptions!$B$5+1)/Calculation_Assumptions!$B$7,0),1)</f>
        <v>1</v>
      </c>
      <c r="O276" s="21">
        <f t="shared" si="32"/>
        <v>625764112.14629805</v>
      </c>
      <c r="P276" s="21">
        <f t="shared" si="33"/>
        <v>625731758.218045</v>
      </c>
      <c r="Q276" s="21">
        <f>P276*Calculation_Assumptions!$B$14*J276*K276</f>
        <v>0</v>
      </c>
      <c r="R276" s="21">
        <f t="shared" si="34"/>
        <v>5444147.7756727925</v>
      </c>
      <c r="S276" s="21">
        <f t="shared" si="35"/>
        <v>5444147.7756727925</v>
      </c>
      <c r="T276" s="32">
        <f>1/(1+Calculation_Assumptions!$B$8)^(B276-Calculation_Assumptions!$B$2)</f>
        <v>0.66111780581861923</v>
      </c>
      <c r="U276" s="21">
        <f t="shared" si="36"/>
        <v>0</v>
      </c>
      <c r="V276" s="21">
        <f t="shared" si="37"/>
        <v>3599223.0320051131</v>
      </c>
      <c r="W276" s="21">
        <f t="shared" si="38"/>
        <v>3599223.0320051131</v>
      </c>
      <c r="X276">
        <v>0</v>
      </c>
      <c r="Y276" s="18">
        <v>2017</v>
      </c>
      <c r="Z276" t="s">
        <v>387</v>
      </c>
      <c r="AA276" s="21">
        <f t="shared" si="39"/>
        <v>1</v>
      </c>
    </row>
    <row r="277" spans="1:27">
      <c r="A277" t="s">
        <v>242</v>
      </c>
      <c r="B277" s="18">
        <v>2040</v>
      </c>
      <c r="C277" t="s">
        <v>242</v>
      </c>
      <c r="D277" s="20" t="s">
        <v>403</v>
      </c>
      <c r="E277" s="20" t="s">
        <v>404</v>
      </c>
      <c r="F277" s="20" t="s">
        <v>246</v>
      </c>
      <c r="G277" s="20" t="s">
        <v>382</v>
      </c>
      <c r="H277" s="20" t="s">
        <v>384</v>
      </c>
      <c r="I277" s="29">
        <v>1</v>
      </c>
      <c r="J277" s="30">
        <v>1</v>
      </c>
      <c r="K277" s="31">
        <v>8.6999999999999994E-3</v>
      </c>
      <c r="L277" s="9">
        <v>628719378.05524898</v>
      </c>
      <c r="M277" s="9">
        <v>628667498.21665299</v>
      </c>
      <c r="N277" s="32">
        <f>MIN(MAX((B277-Calculation_Assumptions!$B$5+1)/Calculation_Assumptions!$B$7,0),1)</f>
        <v>1</v>
      </c>
      <c r="O277" s="21">
        <f t="shared" si="32"/>
        <v>628719378.05524898</v>
      </c>
      <c r="P277" s="21">
        <f t="shared" si="33"/>
        <v>628667498.21665299</v>
      </c>
      <c r="Q277" s="21">
        <f>P277*Calculation_Assumptions!$B$14*J277*K277</f>
        <v>0</v>
      </c>
      <c r="R277" s="21">
        <f t="shared" si="34"/>
        <v>5469858.5890806653</v>
      </c>
      <c r="S277" s="21">
        <f t="shared" si="35"/>
        <v>5469858.5890806653</v>
      </c>
      <c r="T277" s="32">
        <f>1/(1+Calculation_Assumptions!$B$8)^(B277-Calculation_Assumptions!$B$2)</f>
        <v>0.64186194739671765</v>
      </c>
      <c r="U277" s="21">
        <f t="shared" si="36"/>
        <v>0</v>
      </c>
      <c r="V277" s="21">
        <f t="shared" si="37"/>
        <v>3510894.085971978</v>
      </c>
      <c r="W277" s="21">
        <f t="shared" si="38"/>
        <v>3510894.085971978</v>
      </c>
      <c r="X277">
        <v>0</v>
      </c>
      <c r="Y277" s="18">
        <v>2017</v>
      </c>
      <c r="Z277" t="s">
        <v>387</v>
      </c>
      <c r="AA277" s="21">
        <f t="shared" si="39"/>
        <v>1</v>
      </c>
    </row>
    <row r="278" spans="1:27">
      <c r="A278" t="s">
        <v>242</v>
      </c>
      <c r="B278" s="18">
        <v>2041</v>
      </c>
      <c r="C278" t="s">
        <v>242</v>
      </c>
      <c r="D278" s="20" t="s">
        <v>403</v>
      </c>
      <c r="E278" s="20" t="s">
        <v>404</v>
      </c>
      <c r="F278" s="20" t="s">
        <v>246</v>
      </c>
      <c r="G278" s="20" t="s">
        <v>382</v>
      </c>
      <c r="H278" s="20" t="s">
        <v>384</v>
      </c>
      <c r="I278" s="29">
        <v>1</v>
      </c>
      <c r="J278" s="30">
        <v>1</v>
      </c>
      <c r="K278" s="31">
        <v>8.6999999999999994E-3</v>
      </c>
      <c r="L278" s="9">
        <v>631558588.33639002</v>
      </c>
      <c r="M278" s="9">
        <v>631488405.68781996</v>
      </c>
      <c r="N278" s="32">
        <f>MIN(MAX((B278-Calculation_Assumptions!$B$5+1)/Calculation_Assumptions!$B$7,0),1)</f>
        <v>1</v>
      </c>
      <c r="O278" s="21">
        <f t="shared" si="32"/>
        <v>631558588.33639002</v>
      </c>
      <c r="P278" s="21">
        <f t="shared" si="33"/>
        <v>631488405.68781996</v>
      </c>
      <c r="Q278" s="21">
        <f>P278*Calculation_Assumptions!$B$14*J278*K278</f>
        <v>0</v>
      </c>
      <c r="R278" s="21">
        <f t="shared" si="34"/>
        <v>5494559.7185265925</v>
      </c>
      <c r="S278" s="21">
        <f t="shared" si="35"/>
        <v>5494559.7185265925</v>
      </c>
      <c r="T278" s="32">
        <f>1/(1+Calculation_Assumptions!$B$8)^(B278-Calculation_Assumptions!$B$2)</f>
        <v>0.62316693922011435</v>
      </c>
      <c r="U278" s="21">
        <f t="shared" si="36"/>
        <v>0</v>
      </c>
      <c r="V278" s="21">
        <f t="shared" si="37"/>
        <v>3424027.9621563498</v>
      </c>
      <c r="W278" s="21">
        <f t="shared" si="38"/>
        <v>3424027.9621563498</v>
      </c>
      <c r="X278">
        <v>0</v>
      </c>
      <c r="Y278" s="18">
        <v>2017</v>
      </c>
      <c r="Z278" t="s">
        <v>387</v>
      </c>
      <c r="AA278" s="21">
        <f t="shared" si="39"/>
        <v>1</v>
      </c>
    </row>
    <row r="279" spans="1:27">
      <c r="A279" t="s">
        <v>242</v>
      </c>
      <c r="B279" s="18">
        <v>2042</v>
      </c>
      <c r="C279" t="s">
        <v>242</v>
      </c>
      <c r="D279" s="20" t="s">
        <v>403</v>
      </c>
      <c r="E279" s="20" t="s">
        <v>404</v>
      </c>
      <c r="F279" s="20" t="s">
        <v>246</v>
      </c>
      <c r="G279" s="20" t="s">
        <v>382</v>
      </c>
      <c r="H279" s="20" t="s">
        <v>384</v>
      </c>
      <c r="I279" s="29">
        <v>1</v>
      </c>
      <c r="J279" s="30">
        <v>1</v>
      </c>
      <c r="K279" s="31">
        <v>8.6999999999999994E-3</v>
      </c>
      <c r="L279" s="9">
        <v>634271877.18278897</v>
      </c>
      <c r="M279" s="9">
        <v>634184560.98858297</v>
      </c>
      <c r="N279" s="32">
        <f>MIN(MAX((B279-Calculation_Assumptions!$B$5+1)/Calculation_Assumptions!$B$7,0),1)</f>
        <v>1</v>
      </c>
      <c r="O279" s="21">
        <f t="shared" si="32"/>
        <v>634271877.18278897</v>
      </c>
      <c r="P279" s="21">
        <f t="shared" si="33"/>
        <v>634184560.98858297</v>
      </c>
      <c r="Q279" s="21">
        <f>P279*Calculation_Assumptions!$B$14*J279*K279</f>
        <v>0</v>
      </c>
      <c r="R279" s="21">
        <f t="shared" si="34"/>
        <v>5518165.3314902633</v>
      </c>
      <c r="S279" s="21">
        <f t="shared" si="35"/>
        <v>5518165.3314902633</v>
      </c>
      <c r="T279" s="32">
        <f>1/(1+Calculation_Assumptions!$B$8)^(B279-Calculation_Assumptions!$B$2)</f>
        <v>0.60501644584477121</v>
      </c>
      <c r="U279" s="21">
        <f t="shared" si="36"/>
        <v>0</v>
      </c>
      <c r="V279" s="21">
        <f t="shared" si="37"/>
        <v>3338580.7764420728</v>
      </c>
      <c r="W279" s="21">
        <f t="shared" si="38"/>
        <v>3338580.7764420728</v>
      </c>
      <c r="X279">
        <v>0</v>
      </c>
      <c r="Y279" s="18">
        <v>2017</v>
      </c>
      <c r="Z279" t="s">
        <v>387</v>
      </c>
      <c r="AA279" s="21">
        <f t="shared" si="39"/>
        <v>1</v>
      </c>
    </row>
    <row r="280" spans="1:27">
      <c r="A280" t="s">
        <v>242</v>
      </c>
      <c r="B280" s="18">
        <v>2043</v>
      </c>
      <c r="C280" t="s">
        <v>242</v>
      </c>
      <c r="D280" s="20" t="s">
        <v>403</v>
      </c>
      <c r="E280" s="20" t="s">
        <v>404</v>
      </c>
      <c r="F280" s="20" t="s">
        <v>246</v>
      </c>
      <c r="G280" s="20" t="s">
        <v>382</v>
      </c>
      <c r="H280" s="20" t="s">
        <v>384</v>
      </c>
      <c r="I280" s="29">
        <v>1</v>
      </c>
      <c r="J280" s="30">
        <v>1</v>
      </c>
      <c r="K280" s="31">
        <v>8.6999999999999994E-3</v>
      </c>
      <c r="L280" s="9">
        <v>636858617.545169</v>
      </c>
      <c r="M280" s="9">
        <v>636767020.67603099</v>
      </c>
      <c r="N280" s="32">
        <f>MIN(MAX((B280-Calculation_Assumptions!$B$5+1)/Calculation_Assumptions!$B$7,0),1)</f>
        <v>1</v>
      </c>
      <c r="O280" s="21">
        <f t="shared" si="32"/>
        <v>636858617.545169</v>
      </c>
      <c r="P280" s="21">
        <f t="shared" si="33"/>
        <v>636767020.67603099</v>
      </c>
      <c r="Q280" s="21">
        <f>P280*Calculation_Assumptions!$B$14*J280*K280</f>
        <v>0</v>
      </c>
      <c r="R280" s="21">
        <f t="shared" si="34"/>
        <v>5540669.9726429703</v>
      </c>
      <c r="S280" s="21">
        <f t="shared" si="35"/>
        <v>5540669.9726429703</v>
      </c>
      <c r="T280" s="32">
        <f>1/(1+Calculation_Assumptions!$B$8)^(B280-Calculation_Assumptions!$B$2)</f>
        <v>0.5873946076162827</v>
      </c>
      <c r="U280" s="21">
        <f t="shared" si="36"/>
        <v>0</v>
      </c>
      <c r="V280" s="21">
        <f t="shared" si="37"/>
        <v>3254559.6645119372</v>
      </c>
      <c r="W280" s="21">
        <f t="shared" si="38"/>
        <v>3254559.6645119372</v>
      </c>
      <c r="X280">
        <v>0</v>
      </c>
      <c r="Y280" s="18">
        <v>2017</v>
      </c>
      <c r="Z280" t="s">
        <v>387</v>
      </c>
      <c r="AA280" s="21">
        <f t="shared" si="39"/>
        <v>1</v>
      </c>
    </row>
    <row r="281" spans="1:27">
      <c r="A281" t="s">
        <v>242</v>
      </c>
      <c r="B281" s="18">
        <v>2044</v>
      </c>
      <c r="C281" t="s">
        <v>242</v>
      </c>
      <c r="D281" s="20" t="s">
        <v>403</v>
      </c>
      <c r="E281" s="20" t="s">
        <v>404</v>
      </c>
      <c r="F281" s="20" t="s">
        <v>246</v>
      </c>
      <c r="G281" s="20" t="s">
        <v>382</v>
      </c>
      <c r="H281" s="20" t="s">
        <v>384</v>
      </c>
      <c r="I281" s="29">
        <v>1</v>
      </c>
      <c r="J281" s="30">
        <v>1</v>
      </c>
      <c r="K281" s="31">
        <v>8.6999999999999994E-3</v>
      </c>
      <c r="L281" s="9">
        <v>639314368.36285806</v>
      </c>
      <c r="M281" s="9">
        <v>639211548.58069301</v>
      </c>
      <c r="N281" s="32">
        <f>MIN(MAX((B281-Calculation_Assumptions!$B$5+1)/Calculation_Assumptions!$B$7,0),1)</f>
        <v>1</v>
      </c>
      <c r="O281" s="21">
        <f t="shared" si="32"/>
        <v>639314368.36285806</v>
      </c>
      <c r="P281" s="21">
        <f t="shared" si="33"/>
        <v>639211548.58069301</v>
      </c>
      <c r="Q281" s="21">
        <f>P281*Calculation_Assumptions!$B$14*J281*K281</f>
        <v>0</v>
      </c>
      <c r="R281" s="21">
        <f t="shared" si="34"/>
        <v>5562035.0047568651</v>
      </c>
      <c r="S281" s="21">
        <f t="shared" si="35"/>
        <v>5562035.0047568651</v>
      </c>
      <c r="T281" s="32">
        <f>1/(1+Calculation_Assumptions!$B$8)^(B281-Calculation_Assumptions!$B$2)</f>
        <v>0.57028602681192497</v>
      </c>
      <c r="U281" s="21">
        <f t="shared" si="36"/>
        <v>0</v>
      </c>
      <c r="V281" s="21">
        <f t="shared" si="37"/>
        <v>3171950.843851639</v>
      </c>
      <c r="W281" s="21">
        <f t="shared" si="38"/>
        <v>3171950.843851639</v>
      </c>
      <c r="X281">
        <v>0</v>
      </c>
      <c r="Y281" s="18">
        <v>2017</v>
      </c>
      <c r="Z281" t="s">
        <v>387</v>
      </c>
      <c r="AA281" s="21">
        <f t="shared" si="39"/>
        <v>1</v>
      </c>
    </row>
    <row r="282" spans="1:27">
      <c r="A282" t="s">
        <v>242</v>
      </c>
      <c r="B282" s="18">
        <v>2045</v>
      </c>
      <c r="C282" t="s">
        <v>242</v>
      </c>
      <c r="D282" s="20" t="s">
        <v>403</v>
      </c>
      <c r="E282" s="20" t="s">
        <v>404</v>
      </c>
      <c r="F282" s="20" t="s">
        <v>246</v>
      </c>
      <c r="G282" s="20" t="s">
        <v>382</v>
      </c>
      <c r="H282" s="20" t="s">
        <v>384</v>
      </c>
      <c r="I282" s="29">
        <v>1</v>
      </c>
      <c r="J282" s="30">
        <v>1</v>
      </c>
      <c r="K282" s="31">
        <v>8.6999999999999994E-3</v>
      </c>
      <c r="L282" s="9">
        <v>641634191.646837</v>
      </c>
      <c r="M282" s="9">
        <v>641520754.67294204</v>
      </c>
      <c r="N282" s="32">
        <f>MIN(MAX((B282-Calculation_Assumptions!$B$5+1)/Calculation_Assumptions!$B$7,0),1)</f>
        <v>1</v>
      </c>
      <c r="O282" s="21">
        <f t="shared" si="32"/>
        <v>641634191.646837</v>
      </c>
      <c r="P282" s="21">
        <f t="shared" si="33"/>
        <v>641520754.67294204</v>
      </c>
      <c r="Q282" s="21">
        <f>P282*Calculation_Assumptions!$B$14*J282*K282</f>
        <v>0</v>
      </c>
      <c r="R282" s="21">
        <f t="shared" si="34"/>
        <v>5582217.4673274811</v>
      </c>
      <c r="S282" s="21">
        <f t="shared" si="35"/>
        <v>5582217.4673274811</v>
      </c>
      <c r="T282" s="32">
        <f>1/(1+Calculation_Assumptions!$B$8)^(B282-Calculation_Assumptions!$B$2)</f>
        <v>0.55367575418633497</v>
      </c>
      <c r="U282" s="21">
        <f t="shared" si="36"/>
        <v>0</v>
      </c>
      <c r="V282" s="21">
        <f t="shared" si="37"/>
        <v>3090738.4662546758</v>
      </c>
      <c r="W282" s="21">
        <f t="shared" si="38"/>
        <v>3090738.4662546758</v>
      </c>
      <c r="X282">
        <v>0</v>
      </c>
      <c r="Y282" s="18">
        <v>2017</v>
      </c>
      <c r="Z282" t="s">
        <v>387</v>
      </c>
      <c r="AA282" s="21">
        <f t="shared" si="39"/>
        <v>1</v>
      </c>
    </row>
    <row r="283" spans="1:27">
      <c r="A283" t="s">
        <v>242</v>
      </c>
      <c r="B283" s="18">
        <v>2046</v>
      </c>
      <c r="C283" t="s">
        <v>242</v>
      </c>
      <c r="D283" s="20" t="s">
        <v>403</v>
      </c>
      <c r="E283" s="20" t="s">
        <v>404</v>
      </c>
      <c r="F283" s="20" t="s">
        <v>246</v>
      </c>
      <c r="G283" s="20" t="s">
        <v>382</v>
      </c>
      <c r="H283" s="20" t="s">
        <v>384</v>
      </c>
      <c r="I283" s="29">
        <v>1</v>
      </c>
      <c r="J283" s="30">
        <v>1</v>
      </c>
      <c r="K283" s="31">
        <v>8.6999999999999994E-3</v>
      </c>
      <c r="L283" s="9">
        <v>643820516.04790699</v>
      </c>
      <c r="M283" s="9">
        <v>643697330.762573</v>
      </c>
      <c r="N283" s="32">
        <f>MIN(MAX((B283-Calculation_Assumptions!$B$5+1)/Calculation_Assumptions!$B$7,0),1)</f>
        <v>1</v>
      </c>
      <c r="O283" s="21">
        <f t="shared" si="32"/>
        <v>643820516.04790699</v>
      </c>
      <c r="P283" s="21">
        <f t="shared" si="33"/>
        <v>643697330.762573</v>
      </c>
      <c r="Q283" s="21">
        <f>P283*Calculation_Assumptions!$B$14*J283*K283</f>
        <v>0</v>
      </c>
      <c r="R283" s="21">
        <f t="shared" si="34"/>
        <v>5601238.4896167908</v>
      </c>
      <c r="S283" s="21">
        <f t="shared" si="35"/>
        <v>5601238.4896167908</v>
      </c>
      <c r="T283" s="32">
        <f>1/(1+Calculation_Assumptions!$B$8)^(B283-Calculation_Assumptions!$B$2)</f>
        <v>0.5375492759090631</v>
      </c>
      <c r="U283" s="21">
        <f t="shared" si="36"/>
        <v>0</v>
      </c>
      <c r="V283" s="21">
        <f t="shared" si="37"/>
        <v>3010941.6942874803</v>
      </c>
      <c r="W283" s="21">
        <f t="shared" si="38"/>
        <v>3010941.6942874803</v>
      </c>
      <c r="X283">
        <v>0</v>
      </c>
      <c r="Y283" s="18">
        <v>2017</v>
      </c>
      <c r="Z283" t="s">
        <v>387</v>
      </c>
      <c r="AA283" s="21">
        <f t="shared" si="39"/>
        <v>1</v>
      </c>
    </row>
    <row r="284" spans="1:27">
      <c r="A284" t="s">
        <v>242</v>
      </c>
      <c r="B284" s="18">
        <v>2047</v>
      </c>
      <c r="C284" t="s">
        <v>242</v>
      </c>
      <c r="D284" s="20" t="s">
        <v>403</v>
      </c>
      <c r="E284" s="20" t="s">
        <v>404</v>
      </c>
      <c r="F284" s="20" t="s">
        <v>246</v>
      </c>
      <c r="G284" s="20" t="s">
        <v>382</v>
      </c>
      <c r="H284" s="20" t="s">
        <v>384</v>
      </c>
      <c r="I284" s="29">
        <v>1</v>
      </c>
      <c r="J284" s="30">
        <v>1</v>
      </c>
      <c r="K284" s="31">
        <v>8.6999999999999994E-3</v>
      </c>
      <c r="L284" s="9">
        <v>645878220.71764898</v>
      </c>
      <c r="M284" s="9">
        <v>645745914.53009498</v>
      </c>
      <c r="N284" s="32">
        <f>MIN(MAX((B284-Calculation_Assumptions!$B$5+1)/Calculation_Assumptions!$B$7,0),1)</f>
        <v>1</v>
      </c>
      <c r="O284" s="21">
        <f t="shared" si="32"/>
        <v>645878220.71764898</v>
      </c>
      <c r="P284" s="21">
        <f t="shared" si="33"/>
        <v>645745914.53009498</v>
      </c>
      <c r="Q284" s="21">
        <f>P284*Calculation_Assumptions!$B$14*J284*K284</f>
        <v>0</v>
      </c>
      <c r="R284" s="21">
        <f t="shared" si="34"/>
        <v>5619140.520243546</v>
      </c>
      <c r="S284" s="21">
        <f t="shared" si="35"/>
        <v>5619140.520243546</v>
      </c>
      <c r="T284" s="32">
        <f>1/(1+Calculation_Assumptions!$B$8)^(B284-Calculation_Assumptions!$B$2)</f>
        <v>0.52189250088258554</v>
      </c>
      <c r="U284" s="21">
        <f t="shared" si="36"/>
        <v>0</v>
      </c>
      <c r="V284" s="21">
        <f t="shared" si="37"/>
        <v>2932587.2989205769</v>
      </c>
      <c r="W284" s="21">
        <f t="shared" si="38"/>
        <v>2932587.2989205769</v>
      </c>
      <c r="X284">
        <v>0</v>
      </c>
      <c r="Y284" s="18">
        <v>2017</v>
      </c>
      <c r="Z284" t="s">
        <v>387</v>
      </c>
      <c r="AA284" s="21">
        <f t="shared" si="39"/>
        <v>1</v>
      </c>
    </row>
    <row r="285" spans="1:27">
      <c r="A285" t="s">
        <v>242</v>
      </c>
      <c r="B285" s="18">
        <v>2048</v>
      </c>
      <c r="C285" t="s">
        <v>242</v>
      </c>
      <c r="D285" s="20" t="s">
        <v>403</v>
      </c>
      <c r="E285" s="20" t="s">
        <v>404</v>
      </c>
      <c r="F285" s="20" t="s">
        <v>246</v>
      </c>
      <c r="G285" s="20" t="s">
        <v>382</v>
      </c>
      <c r="H285" s="20" t="s">
        <v>384</v>
      </c>
      <c r="I285" s="29">
        <v>1</v>
      </c>
      <c r="J285" s="30">
        <v>1</v>
      </c>
      <c r="K285" s="31">
        <v>8.6999999999999994E-3</v>
      </c>
      <c r="L285" s="9">
        <v>647807395.11719596</v>
      </c>
      <c r="M285" s="9">
        <v>647666796.64810395</v>
      </c>
      <c r="N285" s="32">
        <f>MIN(MAX((B285-Calculation_Assumptions!$B$5+1)/Calculation_Assumptions!$B$7,0),1)</f>
        <v>1</v>
      </c>
      <c r="O285" s="21">
        <f t="shared" si="32"/>
        <v>647807395.11719596</v>
      </c>
      <c r="P285" s="21">
        <f t="shared" si="33"/>
        <v>647666796.64810395</v>
      </c>
      <c r="Q285" s="21">
        <f>P285*Calculation_Assumptions!$B$14*J285*K285</f>
        <v>0</v>
      </c>
      <c r="R285" s="21">
        <f t="shared" si="34"/>
        <v>5635924.3375196047</v>
      </c>
      <c r="S285" s="21">
        <f t="shared" si="35"/>
        <v>5635924.3375196047</v>
      </c>
      <c r="T285" s="32">
        <f>1/(1+Calculation_Assumptions!$B$8)^(B285-Calculation_Assumptions!$B$2)</f>
        <v>0.50669174842969467</v>
      </c>
      <c r="U285" s="21">
        <f t="shared" si="36"/>
        <v>0</v>
      </c>
      <c r="V285" s="21">
        <f t="shared" si="37"/>
        <v>2855676.3565952773</v>
      </c>
      <c r="W285" s="21">
        <f t="shared" si="38"/>
        <v>2855676.3565952773</v>
      </c>
      <c r="X285">
        <v>0</v>
      </c>
      <c r="Y285" s="18">
        <v>2017</v>
      </c>
      <c r="Z285" t="s">
        <v>387</v>
      </c>
      <c r="AA285" s="21">
        <f t="shared" si="39"/>
        <v>1</v>
      </c>
    </row>
    <row r="286" spans="1:27">
      <c r="A286" t="s">
        <v>242</v>
      </c>
      <c r="B286" s="18">
        <v>2049</v>
      </c>
      <c r="C286" t="s">
        <v>242</v>
      </c>
      <c r="D286" s="20" t="s">
        <v>403</v>
      </c>
      <c r="E286" s="20" t="s">
        <v>404</v>
      </c>
      <c r="F286" s="20" t="s">
        <v>246</v>
      </c>
      <c r="G286" s="20" t="s">
        <v>382</v>
      </c>
      <c r="H286" s="20" t="s">
        <v>384</v>
      </c>
      <c r="I286" s="29">
        <v>1</v>
      </c>
      <c r="J286" s="30">
        <v>1</v>
      </c>
      <c r="K286" s="31">
        <v>8.6999999999999994E-3</v>
      </c>
      <c r="L286" s="9">
        <v>649606439.27013302</v>
      </c>
      <c r="M286" s="9">
        <v>649421968.02473402</v>
      </c>
      <c r="N286" s="32">
        <f>MIN(MAX((B286-Calculation_Assumptions!$B$5+1)/Calculation_Assumptions!$B$7,0),1)</f>
        <v>1</v>
      </c>
      <c r="O286" s="21">
        <f t="shared" si="32"/>
        <v>649606439.27013302</v>
      </c>
      <c r="P286" s="21">
        <f t="shared" si="33"/>
        <v>649421968.02473402</v>
      </c>
      <c r="Q286" s="21">
        <f>P286*Calculation_Assumptions!$B$14*J286*K286</f>
        <v>0</v>
      </c>
      <c r="R286" s="21">
        <f t="shared" si="34"/>
        <v>5651576.0216501569</v>
      </c>
      <c r="S286" s="21">
        <f t="shared" si="35"/>
        <v>5651576.0216501569</v>
      </c>
      <c r="T286" s="32">
        <f>1/(1+Calculation_Assumptions!$B$8)^(B286-Calculation_Assumptions!$B$2)</f>
        <v>0.49193373633950943</v>
      </c>
      <c r="U286" s="21">
        <f t="shared" si="36"/>
        <v>0</v>
      </c>
      <c r="V286" s="21">
        <f t="shared" si="37"/>
        <v>2780200.908537142</v>
      </c>
      <c r="W286" s="21">
        <f t="shared" si="38"/>
        <v>2780200.908537142</v>
      </c>
      <c r="X286">
        <v>0</v>
      </c>
      <c r="Y286" s="18">
        <v>2017</v>
      </c>
      <c r="Z286" t="s">
        <v>387</v>
      </c>
      <c r="AA286" s="21">
        <f t="shared" si="39"/>
        <v>1</v>
      </c>
    </row>
    <row r="287" spans="1:27">
      <c r="A287" t="s">
        <v>242</v>
      </c>
      <c r="B287" s="18">
        <v>2050</v>
      </c>
      <c r="C287" t="s">
        <v>242</v>
      </c>
      <c r="D287" s="20" t="s">
        <v>403</v>
      </c>
      <c r="E287" s="20" t="s">
        <v>404</v>
      </c>
      <c r="F287" s="20" t="s">
        <v>246</v>
      </c>
      <c r="G287" s="20" t="s">
        <v>382</v>
      </c>
      <c r="H287" s="20" t="s">
        <v>384</v>
      </c>
      <c r="I287" s="29">
        <v>1</v>
      </c>
      <c r="J287" s="30">
        <v>1</v>
      </c>
      <c r="K287" s="31">
        <v>8.6999999999999994E-3</v>
      </c>
      <c r="L287" s="9">
        <v>651270462.46238601</v>
      </c>
      <c r="M287" s="9">
        <v>651074457.25957894</v>
      </c>
      <c r="N287" s="32">
        <f>MIN(MAX((B287-Calculation_Assumptions!$B$5+1)/Calculation_Assumptions!$B$7,0),1)</f>
        <v>1</v>
      </c>
      <c r="O287" s="21">
        <f t="shared" si="32"/>
        <v>651270462.46238601</v>
      </c>
      <c r="P287" s="21">
        <f t="shared" si="33"/>
        <v>651074457.25957894</v>
      </c>
      <c r="Q287" s="21">
        <f>P287*Calculation_Assumptions!$B$14*J287*K287</f>
        <v>0</v>
      </c>
      <c r="R287" s="21">
        <f t="shared" si="34"/>
        <v>5666053.0234227581</v>
      </c>
      <c r="S287" s="21">
        <f t="shared" si="35"/>
        <v>5666053.0234227581</v>
      </c>
      <c r="T287" s="32">
        <f>1/(1+Calculation_Assumptions!$B$8)^(B287-Calculation_Assumptions!$B$2)</f>
        <v>0.47760556926165965</v>
      </c>
      <c r="U287" s="21">
        <f t="shared" si="36"/>
        <v>0</v>
      </c>
      <c r="V287" s="21">
        <f t="shared" si="37"/>
        <v>2706138.4797185743</v>
      </c>
      <c r="W287" s="21">
        <f t="shared" si="38"/>
        <v>2706138.4797185743</v>
      </c>
      <c r="X287">
        <v>0</v>
      </c>
      <c r="Y287" s="18">
        <v>2017</v>
      </c>
      <c r="Z287" t="s">
        <v>387</v>
      </c>
      <c r="AA287" s="21">
        <f t="shared" si="39"/>
        <v>1</v>
      </c>
    </row>
    <row r="288" spans="1:27">
      <c r="A288" t="s">
        <v>231</v>
      </c>
      <c r="B288" s="18">
        <v>2025</v>
      </c>
      <c r="C288" t="s">
        <v>231</v>
      </c>
      <c r="D288" s="20" t="s">
        <v>401</v>
      </c>
      <c r="E288" s="20" t="s">
        <v>402</v>
      </c>
      <c r="F288" s="20" t="s">
        <v>237</v>
      </c>
      <c r="G288" s="20" t="s">
        <v>382</v>
      </c>
      <c r="H288" s="20" t="s">
        <v>384</v>
      </c>
      <c r="I288" s="29">
        <v>1</v>
      </c>
      <c r="J288" s="30">
        <v>1</v>
      </c>
      <c r="K288" s="31">
        <v>4.0000000000000001E-3</v>
      </c>
      <c r="L288" s="9">
        <v>575134853.59312999</v>
      </c>
      <c r="M288" s="9">
        <v>575134853.59312999</v>
      </c>
      <c r="N288" s="32">
        <f>MIN(MAX((B288-Calculation_Assumptions!$B$5+1)/Calculation_Assumptions!$B$7,0),1)</f>
        <v>0</v>
      </c>
      <c r="O288" s="21">
        <f t="shared" si="32"/>
        <v>575134853.59312999</v>
      </c>
      <c r="P288" s="21">
        <f t="shared" si="33"/>
        <v>575134853.59312999</v>
      </c>
      <c r="Q288" s="21">
        <f>P288*Calculation_Assumptions!$B$14*J288*K288</f>
        <v>0</v>
      </c>
      <c r="R288" s="21">
        <f t="shared" si="34"/>
        <v>0</v>
      </c>
      <c r="S288" s="21">
        <f t="shared" si="35"/>
        <v>0</v>
      </c>
      <c r="T288" s="32">
        <f>1/(1+Calculation_Assumptions!$B$8)^(B288-Calculation_Assumptions!$B$2)</f>
        <v>1</v>
      </c>
      <c r="U288" s="21">
        <f t="shared" si="36"/>
        <v>0</v>
      </c>
      <c r="V288" s="21">
        <f t="shared" si="37"/>
        <v>0</v>
      </c>
      <c r="W288" s="21">
        <f t="shared" si="38"/>
        <v>0</v>
      </c>
      <c r="X288">
        <v>0</v>
      </c>
      <c r="Y288" s="18">
        <v>2017</v>
      </c>
      <c r="Z288" t="s">
        <v>387</v>
      </c>
      <c r="AA288" s="21">
        <f t="shared" si="39"/>
        <v>1</v>
      </c>
    </row>
    <row r="289" spans="1:27">
      <c r="A289" t="s">
        <v>231</v>
      </c>
      <c r="B289" s="18">
        <v>2026</v>
      </c>
      <c r="C289" t="s">
        <v>231</v>
      </c>
      <c r="D289" s="20" t="s">
        <v>401</v>
      </c>
      <c r="E289" s="20" t="s">
        <v>402</v>
      </c>
      <c r="F289" s="20" t="s">
        <v>237</v>
      </c>
      <c r="G289" s="20" t="s">
        <v>382</v>
      </c>
      <c r="H289" s="20" t="s">
        <v>384</v>
      </c>
      <c r="I289" s="29">
        <v>1</v>
      </c>
      <c r="J289" s="30">
        <v>1</v>
      </c>
      <c r="K289" s="31">
        <v>4.0000000000000001E-3</v>
      </c>
      <c r="L289" s="9">
        <v>579268647.32329595</v>
      </c>
      <c r="M289" s="9">
        <v>579268647.32329595</v>
      </c>
      <c r="N289" s="32">
        <f>MIN(MAX((B289-Calculation_Assumptions!$B$5+1)/Calculation_Assumptions!$B$7,0),1)</f>
        <v>0.33333333333333331</v>
      </c>
      <c r="O289" s="21">
        <f t="shared" si="32"/>
        <v>579268647.32329595</v>
      </c>
      <c r="P289" s="21">
        <f t="shared" si="33"/>
        <v>579268647.32329595</v>
      </c>
      <c r="Q289" s="21">
        <f>P289*Calculation_Assumptions!$B$14*J289*K289</f>
        <v>0</v>
      </c>
      <c r="R289" s="21">
        <f t="shared" si="34"/>
        <v>772358.19643106125</v>
      </c>
      <c r="S289" s="21">
        <f t="shared" si="35"/>
        <v>772358.19643106125</v>
      </c>
      <c r="T289" s="32">
        <f>1/(1+Calculation_Assumptions!$B$8)^(B289-Calculation_Assumptions!$B$2)</f>
        <v>0.970873786407767</v>
      </c>
      <c r="U289" s="21">
        <f t="shared" si="36"/>
        <v>0</v>
      </c>
      <c r="V289" s="21">
        <f t="shared" si="37"/>
        <v>749862.32663209829</v>
      </c>
      <c r="W289" s="21">
        <f t="shared" si="38"/>
        <v>749862.32663209829</v>
      </c>
      <c r="X289">
        <v>0</v>
      </c>
      <c r="Y289" s="18">
        <v>2017</v>
      </c>
      <c r="Z289" t="s">
        <v>387</v>
      </c>
      <c r="AA289" s="21">
        <f t="shared" si="39"/>
        <v>1</v>
      </c>
    </row>
    <row r="290" spans="1:27">
      <c r="A290" t="s">
        <v>231</v>
      </c>
      <c r="B290" s="18">
        <v>2027</v>
      </c>
      <c r="C290" t="s">
        <v>231</v>
      </c>
      <c r="D290" s="20" t="s">
        <v>401</v>
      </c>
      <c r="E290" s="20" t="s">
        <v>402</v>
      </c>
      <c r="F290" s="20" t="s">
        <v>237</v>
      </c>
      <c r="G290" s="20" t="s">
        <v>382</v>
      </c>
      <c r="H290" s="20" t="s">
        <v>384</v>
      </c>
      <c r="I290" s="29">
        <v>1</v>
      </c>
      <c r="J290" s="30">
        <v>1</v>
      </c>
      <c r="K290" s="31">
        <v>4.0000000000000001E-3</v>
      </c>
      <c r="L290" s="9">
        <v>583039014.28645599</v>
      </c>
      <c r="M290" s="9">
        <v>583039014.28645599</v>
      </c>
      <c r="N290" s="32">
        <f>MIN(MAX((B290-Calculation_Assumptions!$B$5+1)/Calculation_Assumptions!$B$7,0),1)</f>
        <v>0.66666666666666663</v>
      </c>
      <c r="O290" s="21">
        <f t="shared" si="32"/>
        <v>583039014.28645599</v>
      </c>
      <c r="P290" s="21">
        <f t="shared" si="33"/>
        <v>583039014.28645599</v>
      </c>
      <c r="Q290" s="21">
        <f>P290*Calculation_Assumptions!$B$14*J290*K290</f>
        <v>0</v>
      </c>
      <c r="R290" s="21">
        <f t="shared" si="34"/>
        <v>1554770.7047638826</v>
      </c>
      <c r="S290" s="21">
        <f t="shared" si="35"/>
        <v>1554770.7047638826</v>
      </c>
      <c r="T290" s="32">
        <f>1/(1+Calculation_Assumptions!$B$8)^(B290-Calculation_Assumptions!$B$2)</f>
        <v>0.94259590913375435</v>
      </c>
      <c r="U290" s="21">
        <f t="shared" si="36"/>
        <v>0</v>
      </c>
      <c r="V290" s="21">
        <f t="shared" si="37"/>
        <v>1465520.50595144</v>
      </c>
      <c r="W290" s="21">
        <f t="shared" si="38"/>
        <v>1465520.50595144</v>
      </c>
      <c r="X290">
        <v>0</v>
      </c>
      <c r="Y290" s="18">
        <v>2017</v>
      </c>
      <c r="Z290" t="s">
        <v>387</v>
      </c>
      <c r="AA290" s="21">
        <f t="shared" si="39"/>
        <v>1</v>
      </c>
    </row>
    <row r="291" spans="1:27">
      <c r="A291" t="s">
        <v>231</v>
      </c>
      <c r="B291" s="18">
        <v>2028</v>
      </c>
      <c r="C291" t="s">
        <v>231</v>
      </c>
      <c r="D291" s="20" t="s">
        <v>401</v>
      </c>
      <c r="E291" s="20" t="s">
        <v>402</v>
      </c>
      <c r="F291" s="20" t="s">
        <v>237</v>
      </c>
      <c r="G291" s="20" t="s">
        <v>382</v>
      </c>
      <c r="H291" s="20" t="s">
        <v>384</v>
      </c>
      <c r="I291" s="29">
        <v>1</v>
      </c>
      <c r="J291" s="30">
        <v>1</v>
      </c>
      <c r="K291" s="31">
        <v>4.0000000000000001E-3</v>
      </c>
      <c r="L291" s="9">
        <v>587035277.20219302</v>
      </c>
      <c r="M291" s="9">
        <v>587035116.25746298</v>
      </c>
      <c r="N291" s="32">
        <f>MIN(MAX((B291-Calculation_Assumptions!$B$5+1)/Calculation_Assumptions!$B$7,0),1)</f>
        <v>1</v>
      </c>
      <c r="O291" s="21">
        <f t="shared" si="32"/>
        <v>587035277.20219302</v>
      </c>
      <c r="P291" s="21">
        <f t="shared" si="33"/>
        <v>587035116.25746298</v>
      </c>
      <c r="Q291" s="21">
        <f>P291*Calculation_Assumptions!$B$14*J291*K291</f>
        <v>0</v>
      </c>
      <c r="R291" s="21">
        <f t="shared" si="34"/>
        <v>2348141.1088087722</v>
      </c>
      <c r="S291" s="21">
        <f t="shared" si="35"/>
        <v>2348141.1088087722</v>
      </c>
      <c r="T291" s="32">
        <f>1/(1+Calculation_Assumptions!$B$8)^(B291-Calculation_Assumptions!$B$2)</f>
        <v>0.91514165935315961</v>
      </c>
      <c r="U291" s="21">
        <f t="shared" si="36"/>
        <v>0</v>
      </c>
      <c r="V291" s="21">
        <f t="shared" si="37"/>
        <v>2148881.750710628</v>
      </c>
      <c r="W291" s="21">
        <f t="shared" si="38"/>
        <v>2148881.750710628</v>
      </c>
      <c r="X291">
        <v>0</v>
      </c>
      <c r="Y291" s="18">
        <v>2017</v>
      </c>
      <c r="Z291" t="s">
        <v>387</v>
      </c>
      <c r="AA291" s="21">
        <f t="shared" si="39"/>
        <v>1</v>
      </c>
    </row>
    <row r="292" spans="1:27">
      <c r="A292" t="s">
        <v>231</v>
      </c>
      <c r="B292" s="18">
        <v>2029</v>
      </c>
      <c r="C292" t="s">
        <v>231</v>
      </c>
      <c r="D292" s="20" t="s">
        <v>401</v>
      </c>
      <c r="E292" s="20" t="s">
        <v>402</v>
      </c>
      <c r="F292" s="20" t="s">
        <v>237</v>
      </c>
      <c r="G292" s="20" t="s">
        <v>382</v>
      </c>
      <c r="H292" s="20" t="s">
        <v>384</v>
      </c>
      <c r="I292" s="29">
        <v>1</v>
      </c>
      <c r="J292" s="30">
        <v>1</v>
      </c>
      <c r="K292" s="31">
        <v>4.0000000000000001E-3</v>
      </c>
      <c r="L292" s="9">
        <v>590968622.78189695</v>
      </c>
      <c r="M292" s="9">
        <v>590968059.72178304</v>
      </c>
      <c r="N292" s="32">
        <f>MIN(MAX((B292-Calculation_Assumptions!$B$5+1)/Calculation_Assumptions!$B$7,0),1)</f>
        <v>1</v>
      </c>
      <c r="O292" s="21">
        <f t="shared" si="32"/>
        <v>590968622.78189695</v>
      </c>
      <c r="P292" s="21">
        <f t="shared" si="33"/>
        <v>590968059.72178304</v>
      </c>
      <c r="Q292" s="21">
        <f>P292*Calculation_Assumptions!$B$14*J292*K292</f>
        <v>0</v>
      </c>
      <c r="R292" s="21">
        <f t="shared" si="34"/>
        <v>2363874.4911275879</v>
      </c>
      <c r="S292" s="21">
        <f t="shared" si="35"/>
        <v>2363874.4911275879</v>
      </c>
      <c r="T292" s="32">
        <f>1/(1+Calculation_Assumptions!$B$8)^(B292-Calculation_Assumptions!$B$2)</f>
        <v>0.888487047915689</v>
      </c>
      <c r="U292" s="21">
        <f t="shared" si="36"/>
        <v>0</v>
      </c>
      <c r="V292" s="21">
        <f t="shared" si="37"/>
        <v>2100271.868265152</v>
      </c>
      <c r="W292" s="21">
        <f t="shared" si="38"/>
        <v>2100271.868265152</v>
      </c>
      <c r="X292">
        <v>0</v>
      </c>
      <c r="Y292" s="18">
        <v>2017</v>
      </c>
      <c r="Z292" t="s">
        <v>387</v>
      </c>
      <c r="AA292" s="21">
        <f t="shared" si="39"/>
        <v>1</v>
      </c>
    </row>
    <row r="293" spans="1:27">
      <c r="A293" t="s">
        <v>231</v>
      </c>
      <c r="B293" s="18">
        <v>2030</v>
      </c>
      <c r="C293" t="s">
        <v>231</v>
      </c>
      <c r="D293" s="20" t="s">
        <v>401</v>
      </c>
      <c r="E293" s="20" t="s">
        <v>402</v>
      </c>
      <c r="F293" s="20" t="s">
        <v>237</v>
      </c>
      <c r="G293" s="20" t="s">
        <v>382</v>
      </c>
      <c r="H293" s="20" t="s">
        <v>384</v>
      </c>
      <c r="I293" s="29">
        <v>1</v>
      </c>
      <c r="J293" s="30">
        <v>1</v>
      </c>
      <c r="K293" s="31">
        <v>4.0000000000000001E-3</v>
      </c>
      <c r="L293" s="9">
        <v>594809287.15956497</v>
      </c>
      <c r="M293" s="9">
        <v>594808018.62654305</v>
      </c>
      <c r="N293" s="32">
        <f>MIN(MAX((B293-Calculation_Assumptions!$B$5+1)/Calculation_Assumptions!$B$7,0),1)</f>
        <v>1</v>
      </c>
      <c r="O293" s="21">
        <f t="shared" si="32"/>
        <v>594809287.15956497</v>
      </c>
      <c r="P293" s="21">
        <f t="shared" si="33"/>
        <v>594808018.62654305</v>
      </c>
      <c r="Q293" s="21">
        <f>P293*Calculation_Assumptions!$B$14*J293*K293</f>
        <v>0</v>
      </c>
      <c r="R293" s="21">
        <f t="shared" si="34"/>
        <v>2379237.1486382601</v>
      </c>
      <c r="S293" s="21">
        <f t="shared" si="35"/>
        <v>2379237.1486382601</v>
      </c>
      <c r="T293" s="32">
        <f>1/(1+Calculation_Assumptions!$B$8)^(B293-Calculation_Assumptions!$B$2)</f>
        <v>0.86260878438416411</v>
      </c>
      <c r="U293" s="21">
        <f t="shared" si="36"/>
        <v>0</v>
      </c>
      <c r="V293" s="21">
        <f t="shared" si="37"/>
        <v>2052350.8645484943</v>
      </c>
      <c r="W293" s="21">
        <f t="shared" si="38"/>
        <v>2052350.8645484943</v>
      </c>
      <c r="X293">
        <v>0</v>
      </c>
      <c r="Y293" s="18">
        <v>2017</v>
      </c>
      <c r="Z293" t="s">
        <v>387</v>
      </c>
      <c r="AA293" s="21">
        <f t="shared" si="39"/>
        <v>1</v>
      </c>
    </row>
    <row r="294" spans="1:27">
      <c r="A294" t="s">
        <v>231</v>
      </c>
      <c r="B294" s="18">
        <v>2031</v>
      </c>
      <c r="C294" t="s">
        <v>231</v>
      </c>
      <c r="D294" s="20" t="s">
        <v>401</v>
      </c>
      <c r="E294" s="20" t="s">
        <v>402</v>
      </c>
      <c r="F294" s="20" t="s">
        <v>237</v>
      </c>
      <c r="G294" s="20" t="s">
        <v>382</v>
      </c>
      <c r="H294" s="20" t="s">
        <v>384</v>
      </c>
      <c r="I294" s="29">
        <v>1</v>
      </c>
      <c r="J294" s="30">
        <v>1</v>
      </c>
      <c r="K294" s="31">
        <v>4.0000000000000001E-3</v>
      </c>
      <c r="L294" s="9">
        <v>598583703.78279901</v>
      </c>
      <c r="M294" s="9">
        <v>598581381.03442597</v>
      </c>
      <c r="N294" s="32">
        <f>MIN(MAX((B294-Calculation_Assumptions!$B$5+1)/Calculation_Assumptions!$B$7,0),1)</f>
        <v>1</v>
      </c>
      <c r="O294" s="21">
        <f t="shared" si="32"/>
        <v>598583703.78279901</v>
      </c>
      <c r="P294" s="21">
        <f t="shared" si="33"/>
        <v>598581381.03442597</v>
      </c>
      <c r="Q294" s="21">
        <f>P294*Calculation_Assumptions!$B$14*J294*K294</f>
        <v>0</v>
      </c>
      <c r="R294" s="21">
        <f t="shared" si="34"/>
        <v>2394334.8151311963</v>
      </c>
      <c r="S294" s="21">
        <f t="shared" si="35"/>
        <v>2394334.8151311963</v>
      </c>
      <c r="T294" s="32">
        <f>1/(1+Calculation_Assumptions!$B$8)^(B294-Calculation_Assumptions!$B$2)</f>
        <v>0.83748425668365445</v>
      </c>
      <c r="U294" s="21">
        <f t="shared" si="36"/>
        <v>0</v>
      </c>
      <c r="V294" s="21">
        <f t="shared" si="37"/>
        <v>2005217.7129019452</v>
      </c>
      <c r="W294" s="21">
        <f t="shared" si="38"/>
        <v>2005217.7129019452</v>
      </c>
      <c r="X294">
        <v>0</v>
      </c>
      <c r="Y294" s="18">
        <v>2017</v>
      </c>
      <c r="Z294" t="s">
        <v>387</v>
      </c>
      <c r="AA294" s="21">
        <f t="shared" si="39"/>
        <v>1</v>
      </c>
    </row>
    <row r="295" spans="1:27">
      <c r="A295" t="s">
        <v>231</v>
      </c>
      <c r="B295" s="18">
        <v>2032</v>
      </c>
      <c r="C295" t="s">
        <v>231</v>
      </c>
      <c r="D295" s="20" t="s">
        <v>401</v>
      </c>
      <c r="E295" s="20" t="s">
        <v>402</v>
      </c>
      <c r="F295" s="20" t="s">
        <v>237</v>
      </c>
      <c r="G295" s="20" t="s">
        <v>382</v>
      </c>
      <c r="H295" s="20" t="s">
        <v>384</v>
      </c>
      <c r="I295" s="29">
        <v>1</v>
      </c>
      <c r="J295" s="30">
        <v>1</v>
      </c>
      <c r="K295" s="31">
        <v>4.0000000000000001E-3</v>
      </c>
      <c r="L295" s="9">
        <v>602270357.18424404</v>
      </c>
      <c r="M295" s="9">
        <v>602283583.58638096</v>
      </c>
      <c r="N295" s="32">
        <f>MIN(MAX((B295-Calculation_Assumptions!$B$5+1)/Calculation_Assumptions!$B$7,0),1)</f>
        <v>1</v>
      </c>
      <c r="O295" s="21">
        <f t="shared" si="32"/>
        <v>602270357.18424404</v>
      </c>
      <c r="P295" s="21">
        <f t="shared" si="33"/>
        <v>602283583.58638096</v>
      </c>
      <c r="Q295" s="21">
        <f>P295*Calculation_Assumptions!$B$14*J295*K295</f>
        <v>0</v>
      </c>
      <c r="R295" s="21">
        <f t="shared" si="34"/>
        <v>2409081.4287369763</v>
      </c>
      <c r="S295" s="21">
        <f t="shared" si="35"/>
        <v>2409081.4287369763</v>
      </c>
      <c r="T295" s="32">
        <f>1/(1+Calculation_Assumptions!$B$8)^(B295-Calculation_Assumptions!$B$2)</f>
        <v>0.81309151134335378</v>
      </c>
      <c r="U295" s="21">
        <f t="shared" si="36"/>
        <v>0</v>
      </c>
      <c r="V295" s="21">
        <f t="shared" si="37"/>
        <v>1958803.6598409542</v>
      </c>
      <c r="W295" s="21">
        <f t="shared" si="38"/>
        <v>1958803.6598409542</v>
      </c>
      <c r="X295">
        <v>0</v>
      </c>
      <c r="Y295" s="18">
        <v>2017</v>
      </c>
      <c r="Z295" t="s">
        <v>387</v>
      </c>
      <c r="AA295" s="21">
        <f t="shared" si="39"/>
        <v>1</v>
      </c>
    </row>
    <row r="296" spans="1:27">
      <c r="A296" t="s">
        <v>231</v>
      </c>
      <c r="B296" s="18">
        <v>2033</v>
      </c>
      <c r="C296" t="s">
        <v>231</v>
      </c>
      <c r="D296" s="20" t="s">
        <v>401</v>
      </c>
      <c r="E296" s="20" t="s">
        <v>402</v>
      </c>
      <c r="F296" s="20" t="s">
        <v>237</v>
      </c>
      <c r="G296" s="20" t="s">
        <v>382</v>
      </c>
      <c r="H296" s="20" t="s">
        <v>384</v>
      </c>
      <c r="I296" s="29">
        <v>1</v>
      </c>
      <c r="J296" s="30">
        <v>1</v>
      </c>
      <c r="K296" s="31">
        <v>4.0000000000000001E-3</v>
      </c>
      <c r="L296" s="9">
        <v>605899682.95735705</v>
      </c>
      <c r="M296" s="9">
        <v>605911902.99473</v>
      </c>
      <c r="N296" s="32">
        <f>MIN(MAX((B296-Calculation_Assumptions!$B$5+1)/Calculation_Assumptions!$B$7,0),1)</f>
        <v>1</v>
      </c>
      <c r="O296" s="21">
        <f t="shared" si="32"/>
        <v>605899682.95735705</v>
      </c>
      <c r="P296" s="21">
        <f t="shared" si="33"/>
        <v>605911902.99473</v>
      </c>
      <c r="Q296" s="21">
        <f>P296*Calculation_Assumptions!$B$14*J296*K296</f>
        <v>0</v>
      </c>
      <c r="R296" s="21">
        <f t="shared" si="34"/>
        <v>2423598.7318294281</v>
      </c>
      <c r="S296" s="21">
        <f t="shared" si="35"/>
        <v>2423598.7318294281</v>
      </c>
      <c r="T296" s="32">
        <f>1/(1+Calculation_Assumptions!$B$8)^(B296-Calculation_Assumptions!$B$2)</f>
        <v>0.78940923431393573</v>
      </c>
      <c r="U296" s="21">
        <f t="shared" si="36"/>
        <v>0</v>
      </c>
      <c r="V296" s="21">
        <f t="shared" si="37"/>
        <v>1913211.2191776945</v>
      </c>
      <c r="W296" s="21">
        <f t="shared" si="38"/>
        <v>1913211.2191776945</v>
      </c>
      <c r="X296">
        <v>0</v>
      </c>
      <c r="Y296" s="18">
        <v>2017</v>
      </c>
      <c r="Z296" t="s">
        <v>387</v>
      </c>
      <c r="AA296" s="21">
        <f t="shared" si="39"/>
        <v>1</v>
      </c>
    </row>
    <row r="297" spans="1:27">
      <c r="A297" t="s">
        <v>231</v>
      </c>
      <c r="B297" s="18">
        <v>2034</v>
      </c>
      <c r="C297" t="s">
        <v>231</v>
      </c>
      <c r="D297" s="20" t="s">
        <v>401</v>
      </c>
      <c r="E297" s="20" t="s">
        <v>402</v>
      </c>
      <c r="F297" s="20" t="s">
        <v>237</v>
      </c>
      <c r="G297" s="20" t="s">
        <v>382</v>
      </c>
      <c r="H297" s="20" t="s">
        <v>384</v>
      </c>
      <c r="I297" s="29">
        <v>1</v>
      </c>
      <c r="J297" s="30">
        <v>1</v>
      </c>
      <c r="K297" s="31">
        <v>4.0000000000000001E-3</v>
      </c>
      <c r="L297" s="9">
        <v>609444529.90231395</v>
      </c>
      <c r="M297" s="9">
        <v>609455548.12077105</v>
      </c>
      <c r="N297" s="32">
        <f>MIN(MAX((B297-Calculation_Assumptions!$B$5+1)/Calculation_Assumptions!$B$7,0),1)</f>
        <v>1</v>
      </c>
      <c r="O297" s="21">
        <f t="shared" si="32"/>
        <v>609444529.90231395</v>
      </c>
      <c r="P297" s="21">
        <f t="shared" si="33"/>
        <v>609455548.12077105</v>
      </c>
      <c r="Q297" s="21">
        <f>P297*Calculation_Assumptions!$B$14*J297*K297</f>
        <v>0</v>
      </c>
      <c r="R297" s="21">
        <f t="shared" si="34"/>
        <v>2437778.1196092558</v>
      </c>
      <c r="S297" s="21">
        <f t="shared" si="35"/>
        <v>2437778.1196092558</v>
      </c>
      <c r="T297" s="32">
        <f>1/(1+Calculation_Assumptions!$B$8)^(B297-Calculation_Assumptions!$B$2)</f>
        <v>0.76641673234362695</v>
      </c>
      <c r="U297" s="21">
        <f t="shared" si="36"/>
        <v>0</v>
      </c>
      <c r="V297" s="21">
        <f t="shared" si="37"/>
        <v>1868353.9406097173</v>
      </c>
      <c r="W297" s="21">
        <f t="shared" si="38"/>
        <v>1868353.9406097173</v>
      </c>
      <c r="X297">
        <v>0</v>
      </c>
      <c r="Y297" s="18">
        <v>2017</v>
      </c>
      <c r="Z297" t="s">
        <v>387</v>
      </c>
      <c r="AA297" s="21">
        <f t="shared" si="39"/>
        <v>1</v>
      </c>
    </row>
    <row r="298" spans="1:27">
      <c r="A298" t="s">
        <v>231</v>
      </c>
      <c r="B298" s="18">
        <v>2035</v>
      </c>
      <c r="C298" t="s">
        <v>231</v>
      </c>
      <c r="D298" s="20" t="s">
        <v>401</v>
      </c>
      <c r="E298" s="20" t="s">
        <v>402</v>
      </c>
      <c r="F298" s="20" t="s">
        <v>237</v>
      </c>
      <c r="G298" s="20" t="s">
        <v>382</v>
      </c>
      <c r="H298" s="20" t="s">
        <v>384</v>
      </c>
      <c r="I298" s="29">
        <v>1</v>
      </c>
      <c r="J298" s="30">
        <v>1</v>
      </c>
      <c r="K298" s="31">
        <v>4.0000000000000001E-3</v>
      </c>
      <c r="L298" s="9">
        <v>612893809.59133005</v>
      </c>
      <c r="M298" s="9">
        <v>612884294.47334194</v>
      </c>
      <c r="N298" s="32">
        <f>MIN(MAX((B298-Calculation_Assumptions!$B$5+1)/Calculation_Assumptions!$B$7,0),1)</f>
        <v>1</v>
      </c>
      <c r="O298" s="21">
        <f t="shared" si="32"/>
        <v>612893809.59133005</v>
      </c>
      <c r="P298" s="21">
        <f t="shared" si="33"/>
        <v>612884294.47334194</v>
      </c>
      <c r="Q298" s="21">
        <f>P298*Calculation_Assumptions!$B$14*J298*K298</f>
        <v>0</v>
      </c>
      <c r="R298" s="21">
        <f t="shared" si="34"/>
        <v>2451575.2383653205</v>
      </c>
      <c r="S298" s="21">
        <f t="shared" si="35"/>
        <v>2451575.2383653205</v>
      </c>
      <c r="T298" s="32">
        <f>1/(1+Calculation_Assumptions!$B$8)^(B298-Calculation_Assumptions!$B$2)</f>
        <v>0.74409391489672516</v>
      </c>
      <c r="U298" s="21">
        <f t="shared" si="36"/>
        <v>0</v>
      </c>
      <c r="V298" s="21">
        <f t="shared" si="37"/>
        <v>1824202.2167791235</v>
      </c>
      <c r="W298" s="21">
        <f t="shared" si="38"/>
        <v>1824202.2167791235</v>
      </c>
      <c r="X298">
        <v>0</v>
      </c>
      <c r="Y298" s="18">
        <v>2017</v>
      </c>
      <c r="Z298" t="s">
        <v>387</v>
      </c>
      <c r="AA298" s="21">
        <f t="shared" si="39"/>
        <v>1</v>
      </c>
    </row>
    <row r="299" spans="1:27">
      <c r="A299" t="s">
        <v>231</v>
      </c>
      <c r="B299" s="18">
        <v>2036</v>
      </c>
      <c r="C299" t="s">
        <v>231</v>
      </c>
      <c r="D299" s="20" t="s">
        <v>401</v>
      </c>
      <c r="E299" s="20" t="s">
        <v>402</v>
      </c>
      <c r="F299" s="20" t="s">
        <v>237</v>
      </c>
      <c r="G299" s="20" t="s">
        <v>382</v>
      </c>
      <c r="H299" s="20" t="s">
        <v>384</v>
      </c>
      <c r="I299" s="29">
        <v>1</v>
      </c>
      <c r="J299" s="30">
        <v>1</v>
      </c>
      <c r="K299" s="31">
        <v>4.0000000000000001E-3</v>
      </c>
      <c r="L299" s="9">
        <v>616254107.04772103</v>
      </c>
      <c r="M299" s="9">
        <v>616262053.85817397</v>
      </c>
      <c r="N299" s="32">
        <f>MIN(MAX((B299-Calculation_Assumptions!$B$5+1)/Calculation_Assumptions!$B$7,0),1)</f>
        <v>1</v>
      </c>
      <c r="O299" s="21">
        <f t="shared" si="32"/>
        <v>616254107.04772103</v>
      </c>
      <c r="P299" s="21">
        <f t="shared" si="33"/>
        <v>616262053.85817397</v>
      </c>
      <c r="Q299" s="21">
        <f>P299*Calculation_Assumptions!$B$14*J299*K299</f>
        <v>0</v>
      </c>
      <c r="R299" s="21">
        <f t="shared" si="34"/>
        <v>2465016.4281908842</v>
      </c>
      <c r="S299" s="21">
        <f t="shared" si="35"/>
        <v>2465016.4281908842</v>
      </c>
      <c r="T299" s="32">
        <f>1/(1+Calculation_Assumptions!$B$8)^(B299-Calculation_Assumptions!$B$2)</f>
        <v>0.72242127659876232</v>
      </c>
      <c r="U299" s="21">
        <f t="shared" si="36"/>
        <v>0</v>
      </c>
      <c r="V299" s="21">
        <f t="shared" si="37"/>
        <v>1780780.3148905798</v>
      </c>
      <c r="W299" s="21">
        <f t="shared" si="38"/>
        <v>1780780.3148905798</v>
      </c>
      <c r="X299">
        <v>0</v>
      </c>
      <c r="Y299" s="18">
        <v>2017</v>
      </c>
      <c r="Z299" t="s">
        <v>387</v>
      </c>
      <c r="AA299" s="21">
        <f t="shared" si="39"/>
        <v>1</v>
      </c>
    </row>
    <row r="300" spans="1:27">
      <c r="A300" t="s">
        <v>231</v>
      </c>
      <c r="B300" s="18">
        <v>2037</v>
      </c>
      <c r="C300" t="s">
        <v>231</v>
      </c>
      <c r="D300" s="20" t="s">
        <v>401</v>
      </c>
      <c r="E300" s="20" t="s">
        <v>402</v>
      </c>
      <c r="F300" s="20" t="s">
        <v>237</v>
      </c>
      <c r="G300" s="20" t="s">
        <v>382</v>
      </c>
      <c r="H300" s="20" t="s">
        <v>384</v>
      </c>
      <c r="I300" s="29">
        <v>1</v>
      </c>
      <c r="J300" s="30">
        <v>1</v>
      </c>
      <c r="K300" s="31">
        <v>4.0000000000000001E-3</v>
      </c>
      <c r="L300" s="9">
        <v>619523229.13864899</v>
      </c>
      <c r="M300" s="9">
        <v>619529380.90729904</v>
      </c>
      <c r="N300" s="32">
        <f>MIN(MAX((B300-Calculation_Assumptions!$B$5+1)/Calculation_Assumptions!$B$7,0),1)</f>
        <v>1</v>
      </c>
      <c r="O300" s="21">
        <f t="shared" si="32"/>
        <v>619523229.13864899</v>
      </c>
      <c r="P300" s="21">
        <f t="shared" si="33"/>
        <v>619529380.90729904</v>
      </c>
      <c r="Q300" s="21">
        <f>P300*Calculation_Assumptions!$B$14*J300*K300</f>
        <v>0</v>
      </c>
      <c r="R300" s="21">
        <f t="shared" si="34"/>
        <v>2478092.9165545958</v>
      </c>
      <c r="S300" s="21">
        <f t="shared" si="35"/>
        <v>2478092.9165545958</v>
      </c>
      <c r="T300" s="32">
        <f>1/(1+Calculation_Assumptions!$B$8)^(B300-Calculation_Assumptions!$B$2)</f>
        <v>0.70137988019297326</v>
      </c>
      <c r="U300" s="21">
        <f t="shared" si="36"/>
        <v>0</v>
      </c>
      <c r="V300" s="21">
        <f t="shared" si="37"/>
        <v>1738084.5129201182</v>
      </c>
      <c r="W300" s="21">
        <f t="shared" si="38"/>
        <v>1738084.5129201182</v>
      </c>
      <c r="X300">
        <v>0</v>
      </c>
      <c r="Y300" s="18">
        <v>2017</v>
      </c>
      <c r="Z300" t="s">
        <v>387</v>
      </c>
      <c r="AA300" s="21">
        <f t="shared" si="39"/>
        <v>1</v>
      </c>
    </row>
    <row r="301" spans="1:27">
      <c r="A301" t="s">
        <v>231</v>
      </c>
      <c r="B301" s="18">
        <v>2038</v>
      </c>
      <c r="C301" t="s">
        <v>231</v>
      </c>
      <c r="D301" s="20" t="s">
        <v>401</v>
      </c>
      <c r="E301" s="20" t="s">
        <v>402</v>
      </c>
      <c r="F301" s="20" t="s">
        <v>237</v>
      </c>
      <c r="G301" s="20" t="s">
        <v>382</v>
      </c>
      <c r="H301" s="20" t="s">
        <v>384</v>
      </c>
      <c r="I301" s="29">
        <v>1</v>
      </c>
      <c r="J301" s="30">
        <v>1</v>
      </c>
      <c r="K301" s="31">
        <v>4.0000000000000001E-3</v>
      </c>
      <c r="L301" s="9">
        <v>622689847.56795001</v>
      </c>
      <c r="M301" s="9">
        <v>622673191.62836504</v>
      </c>
      <c r="N301" s="32">
        <f>MIN(MAX((B301-Calculation_Assumptions!$B$5+1)/Calculation_Assumptions!$B$7,0),1)</f>
        <v>1</v>
      </c>
      <c r="O301" s="21">
        <f t="shared" si="32"/>
        <v>622689847.56795001</v>
      </c>
      <c r="P301" s="21">
        <f t="shared" si="33"/>
        <v>622673191.62836504</v>
      </c>
      <c r="Q301" s="21">
        <f>P301*Calculation_Assumptions!$B$14*J301*K301</f>
        <v>0</v>
      </c>
      <c r="R301" s="21">
        <f t="shared" si="34"/>
        <v>2490759.3902718001</v>
      </c>
      <c r="S301" s="21">
        <f t="shared" si="35"/>
        <v>2490759.3902718001</v>
      </c>
      <c r="T301" s="32">
        <f>1/(1+Calculation_Assumptions!$B$8)^(B301-Calculation_Assumptions!$B$2)</f>
        <v>0.68095133999317792</v>
      </c>
      <c r="U301" s="21">
        <f t="shared" si="36"/>
        <v>0</v>
      </c>
      <c r="V301" s="21">
        <f t="shared" si="37"/>
        <v>1696085.9444061732</v>
      </c>
      <c r="W301" s="21">
        <f t="shared" si="38"/>
        <v>1696085.9444061732</v>
      </c>
      <c r="X301">
        <v>0</v>
      </c>
      <c r="Y301" s="18">
        <v>2017</v>
      </c>
      <c r="Z301" t="s">
        <v>387</v>
      </c>
      <c r="AA301" s="21">
        <f t="shared" si="39"/>
        <v>1</v>
      </c>
    </row>
    <row r="302" spans="1:27">
      <c r="A302" t="s">
        <v>231</v>
      </c>
      <c r="B302" s="18">
        <v>2039</v>
      </c>
      <c r="C302" t="s">
        <v>231</v>
      </c>
      <c r="D302" s="20" t="s">
        <v>401</v>
      </c>
      <c r="E302" s="20" t="s">
        <v>402</v>
      </c>
      <c r="F302" s="20" t="s">
        <v>237</v>
      </c>
      <c r="G302" s="20" t="s">
        <v>382</v>
      </c>
      <c r="H302" s="20" t="s">
        <v>384</v>
      </c>
      <c r="I302" s="29">
        <v>1</v>
      </c>
      <c r="J302" s="30">
        <v>1</v>
      </c>
      <c r="K302" s="31">
        <v>4.0000000000000001E-3</v>
      </c>
      <c r="L302" s="9">
        <v>625751002.71271896</v>
      </c>
      <c r="M302" s="9">
        <v>625731758.218045</v>
      </c>
      <c r="N302" s="32">
        <f>MIN(MAX((B302-Calculation_Assumptions!$B$5+1)/Calculation_Assumptions!$B$7,0),1)</f>
        <v>1</v>
      </c>
      <c r="O302" s="21">
        <f t="shared" si="32"/>
        <v>625751002.71271896</v>
      </c>
      <c r="P302" s="21">
        <f t="shared" si="33"/>
        <v>625731758.218045</v>
      </c>
      <c r="Q302" s="21">
        <f>P302*Calculation_Assumptions!$B$14*J302*K302</f>
        <v>0</v>
      </c>
      <c r="R302" s="21">
        <f t="shared" si="34"/>
        <v>2503004.0108508761</v>
      </c>
      <c r="S302" s="21">
        <f t="shared" si="35"/>
        <v>2503004.0108508761</v>
      </c>
      <c r="T302" s="32">
        <f>1/(1+Calculation_Assumptions!$B$8)^(B302-Calculation_Assumptions!$B$2)</f>
        <v>0.66111780581861923</v>
      </c>
      <c r="U302" s="21">
        <f t="shared" si="36"/>
        <v>0</v>
      </c>
      <c r="V302" s="21">
        <f t="shared" si="37"/>
        <v>1654780.5196089346</v>
      </c>
      <c r="W302" s="21">
        <f t="shared" si="38"/>
        <v>1654780.5196089346</v>
      </c>
      <c r="X302">
        <v>0</v>
      </c>
      <c r="Y302" s="18">
        <v>2017</v>
      </c>
      <c r="Z302" t="s">
        <v>387</v>
      </c>
      <c r="AA302" s="21">
        <f t="shared" si="39"/>
        <v>1</v>
      </c>
    </row>
    <row r="303" spans="1:27">
      <c r="A303" t="s">
        <v>231</v>
      </c>
      <c r="B303" s="18">
        <v>2040</v>
      </c>
      <c r="C303" t="s">
        <v>231</v>
      </c>
      <c r="D303" s="20" t="s">
        <v>401</v>
      </c>
      <c r="E303" s="20" t="s">
        <v>402</v>
      </c>
      <c r="F303" s="20" t="s">
        <v>237</v>
      </c>
      <c r="G303" s="20" t="s">
        <v>382</v>
      </c>
      <c r="H303" s="20" t="s">
        <v>384</v>
      </c>
      <c r="I303" s="29">
        <v>1</v>
      </c>
      <c r="J303" s="30">
        <v>1</v>
      </c>
      <c r="K303" s="31">
        <v>4.0000000000000001E-3</v>
      </c>
      <c r="L303" s="9">
        <v>628689411.68440497</v>
      </c>
      <c r="M303" s="9">
        <v>628667498.21665299</v>
      </c>
      <c r="N303" s="32">
        <f>MIN(MAX((B303-Calculation_Assumptions!$B$5+1)/Calculation_Assumptions!$B$7,0),1)</f>
        <v>1</v>
      </c>
      <c r="O303" s="21">
        <f t="shared" si="32"/>
        <v>628689411.68440497</v>
      </c>
      <c r="P303" s="21">
        <f t="shared" si="33"/>
        <v>628667498.21665299</v>
      </c>
      <c r="Q303" s="21">
        <f>P303*Calculation_Assumptions!$B$14*J303*K303</f>
        <v>0</v>
      </c>
      <c r="R303" s="21">
        <f t="shared" si="34"/>
        <v>2514757.6467376198</v>
      </c>
      <c r="S303" s="21">
        <f t="shared" si="35"/>
        <v>2514757.6467376198</v>
      </c>
      <c r="T303" s="32">
        <f>1/(1+Calculation_Assumptions!$B$8)^(B303-Calculation_Assumptions!$B$2)</f>
        <v>0.64186194739671765</v>
      </c>
      <c r="U303" s="21">
        <f t="shared" si="36"/>
        <v>0</v>
      </c>
      <c r="V303" s="21">
        <f t="shared" si="37"/>
        <v>1614127.2403657956</v>
      </c>
      <c r="W303" s="21">
        <f t="shared" si="38"/>
        <v>1614127.2403657956</v>
      </c>
      <c r="X303">
        <v>0</v>
      </c>
      <c r="Y303" s="18">
        <v>2017</v>
      </c>
      <c r="Z303" t="s">
        <v>387</v>
      </c>
      <c r="AA303" s="21">
        <f t="shared" si="39"/>
        <v>1</v>
      </c>
    </row>
    <row r="304" spans="1:27">
      <c r="A304" t="s">
        <v>231</v>
      </c>
      <c r="B304" s="18">
        <v>2041</v>
      </c>
      <c r="C304" t="s">
        <v>231</v>
      </c>
      <c r="D304" s="20" t="s">
        <v>401</v>
      </c>
      <c r="E304" s="20" t="s">
        <v>402</v>
      </c>
      <c r="F304" s="20" t="s">
        <v>237</v>
      </c>
      <c r="G304" s="20" t="s">
        <v>382</v>
      </c>
      <c r="H304" s="20" t="s">
        <v>384</v>
      </c>
      <c r="I304" s="29">
        <v>1</v>
      </c>
      <c r="J304" s="30">
        <v>1</v>
      </c>
      <c r="K304" s="31">
        <v>4.0000000000000001E-3</v>
      </c>
      <c r="L304" s="9">
        <v>631513054.313977</v>
      </c>
      <c r="M304" s="9">
        <v>631488405.68781996</v>
      </c>
      <c r="N304" s="32">
        <f>MIN(MAX((B304-Calculation_Assumptions!$B$5+1)/Calculation_Assumptions!$B$7,0),1)</f>
        <v>1</v>
      </c>
      <c r="O304" s="21">
        <f t="shared" si="32"/>
        <v>631513054.313977</v>
      </c>
      <c r="P304" s="21">
        <f t="shared" si="33"/>
        <v>631488405.68781996</v>
      </c>
      <c r="Q304" s="21">
        <f>P304*Calculation_Assumptions!$B$14*J304*K304</f>
        <v>0</v>
      </c>
      <c r="R304" s="21">
        <f t="shared" si="34"/>
        <v>2526052.2172559081</v>
      </c>
      <c r="S304" s="21">
        <f t="shared" si="35"/>
        <v>2526052.2172559081</v>
      </c>
      <c r="T304" s="32">
        <f>1/(1+Calculation_Assumptions!$B$8)^(B304-Calculation_Assumptions!$B$2)</f>
        <v>0.62316693922011435</v>
      </c>
      <c r="U304" s="21">
        <f t="shared" si="36"/>
        <v>0</v>
      </c>
      <c r="V304" s="21">
        <f t="shared" si="37"/>
        <v>1574152.2285375476</v>
      </c>
      <c r="W304" s="21">
        <f t="shared" si="38"/>
        <v>1574152.2285375476</v>
      </c>
      <c r="X304">
        <v>0</v>
      </c>
      <c r="Y304" s="18">
        <v>2017</v>
      </c>
      <c r="Z304" t="s">
        <v>387</v>
      </c>
      <c r="AA304" s="21">
        <f t="shared" si="39"/>
        <v>1</v>
      </c>
    </row>
    <row r="305" spans="1:27">
      <c r="A305" t="s">
        <v>231</v>
      </c>
      <c r="B305" s="18">
        <v>2042</v>
      </c>
      <c r="C305" t="s">
        <v>231</v>
      </c>
      <c r="D305" s="20" t="s">
        <v>401</v>
      </c>
      <c r="E305" s="20" t="s">
        <v>402</v>
      </c>
      <c r="F305" s="20" t="s">
        <v>237</v>
      </c>
      <c r="G305" s="20" t="s">
        <v>382</v>
      </c>
      <c r="H305" s="20" t="s">
        <v>384</v>
      </c>
      <c r="I305" s="29">
        <v>1</v>
      </c>
      <c r="J305" s="30">
        <v>1</v>
      </c>
      <c r="K305" s="31">
        <v>4.0000000000000001E-3</v>
      </c>
      <c r="L305" s="9">
        <v>634211998.26553297</v>
      </c>
      <c r="M305" s="9">
        <v>634184560.98858297</v>
      </c>
      <c r="N305" s="32">
        <f>MIN(MAX((B305-Calculation_Assumptions!$B$5+1)/Calculation_Assumptions!$B$7,0),1)</f>
        <v>1</v>
      </c>
      <c r="O305" s="21">
        <f t="shared" si="32"/>
        <v>634211998.26553297</v>
      </c>
      <c r="P305" s="21">
        <f t="shared" si="33"/>
        <v>634184560.98858297</v>
      </c>
      <c r="Q305" s="21">
        <f>P305*Calculation_Assumptions!$B$14*J305*K305</f>
        <v>0</v>
      </c>
      <c r="R305" s="21">
        <f t="shared" si="34"/>
        <v>2536847.993062132</v>
      </c>
      <c r="S305" s="21">
        <f t="shared" si="35"/>
        <v>2536847.993062132</v>
      </c>
      <c r="T305" s="32">
        <f>1/(1+Calculation_Assumptions!$B$8)^(B305-Calculation_Assumptions!$B$2)</f>
        <v>0.60501644584477121</v>
      </c>
      <c r="U305" s="21">
        <f t="shared" si="36"/>
        <v>0</v>
      </c>
      <c r="V305" s="21">
        <f t="shared" si="37"/>
        <v>1534834.7564108919</v>
      </c>
      <c r="W305" s="21">
        <f t="shared" si="38"/>
        <v>1534834.7564108919</v>
      </c>
      <c r="X305">
        <v>0</v>
      </c>
      <c r="Y305" s="18">
        <v>2017</v>
      </c>
      <c r="Z305" t="s">
        <v>387</v>
      </c>
      <c r="AA305" s="21">
        <f t="shared" si="39"/>
        <v>1</v>
      </c>
    </row>
    <row r="306" spans="1:27">
      <c r="A306" t="s">
        <v>231</v>
      </c>
      <c r="B306" s="18">
        <v>2043</v>
      </c>
      <c r="C306" t="s">
        <v>231</v>
      </c>
      <c r="D306" s="20" t="s">
        <v>401</v>
      </c>
      <c r="E306" s="20" t="s">
        <v>402</v>
      </c>
      <c r="F306" s="20" t="s">
        <v>237</v>
      </c>
      <c r="G306" s="20" t="s">
        <v>382</v>
      </c>
      <c r="H306" s="20" t="s">
        <v>384</v>
      </c>
      <c r="I306" s="29">
        <v>1</v>
      </c>
      <c r="J306" s="30">
        <v>1</v>
      </c>
      <c r="K306" s="31">
        <v>4.0000000000000001E-3</v>
      </c>
      <c r="L306" s="9">
        <v>636797342.280316</v>
      </c>
      <c r="M306" s="9">
        <v>636767020.67603099</v>
      </c>
      <c r="N306" s="32">
        <f>MIN(MAX((B306-Calculation_Assumptions!$B$5+1)/Calculation_Assumptions!$B$7,0),1)</f>
        <v>1</v>
      </c>
      <c r="O306" s="21">
        <f t="shared" si="32"/>
        <v>636797342.280316</v>
      </c>
      <c r="P306" s="21">
        <f t="shared" si="33"/>
        <v>636767020.67603099</v>
      </c>
      <c r="Q306" s="21">
        <f>P306*Calculation_Assumptions!$B$14*J306*K306</f>
        <v>0</v>
      </c>
      <c r="R306" s="21">
        <f t="shared" si="34"/>
        <v>2547189.3691212642</v>
      </c>
      <c r="S306" s="21">
        <f t="shared" si="35"/>
        <v>2547189.3691212642</v>
      </c>
      <c r="T306" s="32">
        <f>1/(1+Calculation_Assumptions!$B$8)^(B306-Calculation_Assumptions!$B$2)</f>
        <v>0.5873946076162827</v>
      </c>
      <c r="U306" s="21">
        <f t="shared" si="36"/>
        <v>0</v>
      </c>
      <c r="V306" s="21">
        <f t="shared" si="37"/>
        <v>1496205.2999993516</v>
      </c>
      <c r="W306" s="21">
        <f t="shared" si="38"/>
        <v>1496205.2999993516</v>
      </c>
      <c r="X306">
        <v>0</v>
      </c>
      <c r="Y306" s="18">
        <v>2017</v>
      </c>
      <c r="Z306" t="s">
        <v>387</v>
      </c>
      <c r="AA306" s="21">
        <f t="shared" si="39"/>
        <v>1</v>
      </c>
    </row>
    <row r="307" spans="1:27">
      <c r="A307" t="s">
        <v>231</v>
      </c>
      <c r="B307" s="18">
        <v>2044</v>
      </c>
      <c r="C307" t="s">
        <v>231</v>
      </c>
      <c r="D307" s="20" t="s">
        <v>401</v>
      </c>
      <c r="E307" s="20" t="s">
        <v>402</v>
      </c>
      <c r="F307" s="20" t="s">
        <v>237</v>
      </c>
      <c r="G307" s="20" t="s">
        <v>382</v>
      </c>
      <c r="H307" s="20" t="s">
        <v>384</v>
      </c>
      <c r="I307" s="29">
        <v>1</v>
      </c>
      <c r="J307" s="30">
        <v>1</v>
      </c>
      <c r="K307" s="31">
        <v>4.0000000000000001E-3</v>
      </c>
      <c r="L307" s="9">
        <v>639221814.36235499</v>
      </c>
      <c r="M307" s="9">
        <v>639211548.58069301</v>
      </c>
      <c r="N307" s="32">
        <f>MIN(MAX((B307-Calculation_Assumptions!$B$5+1)/Calculation_Assumptions!$B$7,0),1)</f>
        <v>1</v>
      </c>
      <c r="O307" s="21">
        <f t="shared" si="32"/>
        <v>639221814.36235499</v>
      </c>
      <c r="P307" s="21">
        <f t="shared" si="33"/>
        <v>639211548.58069301</v>
      </c>
      <c r="Q307" s="21">
        <f>P307*Calculation_Assumptions!$B$14*J307*K307</f>
        <v>0</v>
      </c>
      <c r="R307" s="21">
        <f t="shared" si="34"/>
        <v>2556887.2574494202</v>
      </c>
      <c r="S307" s="21">
        <f t="shared" si="35"/>
        <v>2556887.2574494202</v>
      </c>
      <c r="T307" s="32">
        <f>1/(1+Calculation_Assumptions!$B$8)^(B307-Calculation_Assumptions!$B$2)</f>
        <v>0.57028602681192497</v>
      </c>
      <c r="U307" s="21">
        <f t="shared" si="36"/>
        <v>0</v>
      </c>
      <c r="V307" s="21">
        <f t="shared" si="37"/>
        <v>1458157.0750568693</v>
      </c>
      <c r="W307" s="21">
        <f t="shared" si="38"/>
        <v>1458157.0750568693</v>
      </c>
      <c r="X307">
        <v>0</v>
      </c>
      <c r="Y307" s="18">
        <v>2017</v>
      </c>
      <c r="Z307" t="s">
        <v>387</v>
      </c>
      <c r="AA307" s="21">
        <f t="shared" si="39"/>
        <v>1</v>
      </c>
    </row>
    <row r="308" spans="1:27">
      <c r="A308" t="s">
        <v>231</v>
      </c>
      <c r="B308" s="18">
        <v>2045</v>
      </c>
      <c r="C308" t="s">
        <v>231</v>
      </c>
      <c r="D308" s="20" t="s">
        <v>401</v>
      </c>
      <c r="E308" s="20" t="s">
        <v>402</v>
      </c>
      <c r="F308" s="20" t="s">
        <v>237</v>
      </c>
      <c r="G308" s="20" t="s">
        <v>382</v>
      </c>
      <c r="H308" s="20" t="s">
        <v>384</v>
      </c>
      <c r="I308" s="29">
        <v>1</v>
      </c>
      <c r="J308" s="30">
        <v>1</v>
      </c>
      <c r="K308" s="31">
        <v>4.0000000000000001E-3</v>
      </c>
      <c r="L308" s="9">
        <v>641556836.19177794</v>
      </c>
      <c r="M308" s="9">
        <v>641520754.67294204</v>
      </c>
      <c r="N308" s="32">
        <f>MIN(MAX((B308-Calculation_Assumptions!$B$5+1)/Calculation_Assumptions!$B$7,0),1)</f>
        <v>1</v>
      </c>
      <c r="O308" s="21">
        <f t="shared" si="32"/>
        <v>641556836.19177794</v>
      </c>
      <c r="P308" s="21">
        <f t="shared" si="33"/>
        <v>641520754.67294204</v>
      </c>
      <c r="Q308" s="21">
        <f>P308*Calculation_Assumptions!$B$14*J308*K308</f>
        <v>0</v>
      </c>
      <c r="R308" s="21">
        <f t="shared" si="34"/>
        <v>2566227.3447671118</v>
      </c>
      <c r="S308" s="21">
        <f t="shared" si="35"/>
        <v>2566227.3447671118</v>
      </c>
      <c r="T308" s="32">
        <f>1/(1+Calculation_Assumptions!$B$8)^(B308-Calculation_Assumptions!$B$2)</f>
        <v>0.55367575418633497</v>
      </c>
      <c r="U308" s="21">
        <f t="shared" si="36"/>
        <v>0</v>
      </c>
      <c r="V308" s="21">
        <f t="shared" si="37"/>
        <v>1420857.8605275266</v>
      </c>
      <c r="W308" s="21">
        <f t="shared" si="38"/>
        <v>1420857.8605275266</v>
      </c>
      <c r="X308">
        <v>0</v>
      </c>
      <c r="Y308" s="18">
        <v>2017</v>
      </c>
      <c r="Z308" t="s">
        <v>387</v>
      </c>
      <c r="AA308" s="21">
        <f t="shared" si="39"/>
        <v>1</v>
      </c>
    </row>
    <row r="309" spans="1:27">
      <c r="A309" t="s">
        <v>231</v>
      </c>
      <c r="B309" s="18">
        <v>2046</v>
      </c>
      <c r="C309" t="s">
        <v>231</v>
      </c>
      <c r="D309" s="20" t="s">
        <v>401</v>
      </c>
      <c r="E309" s="20" t="s">
        <v>402</v>
      </c>
      <c r="F309" s="20" t="s">
        <v>237</v>
      </c>
      <c r="G309" s="20" t="s">
        <v>382</v>
      </c>
      <c r="H309" s="20" t="s">
        <v>384</v>
      </c>
      <c r="I309" s="29">
        <v>1</v>
      </c>
      <c r="J309" s="30">
        <v>1</v>
      </c>
      <c r="K309" s="31">
        <v>4.0000000000000001E-3</v>
      </c>
      <c r="L309" s="9">
        <v>643736314.37764704</v>
      </c>
      <c r="M309" s="9">
        <v>643697330.762573</v>
      </c>
      <c r="N309" s="32">
        <f>MIN(MAX((B309-Calculation_Assumptions!$B$5+1)/Calculation_Assumptions!$B$7,0),1)</f>
        <v>1</v>
      </c>
      <c r="O309" s="21">
        <f t="shared" si="32"/>
        <v>643736314.37764704</v>
      </c>
      <c r="P309" s="21">
        <f t="shared" si="33"/>
        <v>643697330.762573</v>
      </c>
      <c r="Q309" s="21">
        <f>P309*Calculation_Assumptions!$B$14*J309*K309</f>
        <v>0</v>
      </c>
      <c r="R309" s="21">
        <f t="shared" si="34"/>
        <v>2574945.257510588</v>
      </c>
      <c r="S309" s="21">
        <f t="shared" si="35"/>
        <v>2574945.257510588</v>
      </c>
      <c r="T309" s="32">
        <f>1/(1+Calculation_Assumptions!$B$8)^(B309-Calculation_Assumptions!$B$2)</f>
        <v>0.5375492759090631</v>
      </c>
      <c r="U309" s="21">
        <f t="shared" si="36"/>
        <v>0</v>
      </c>
      <c r="V309" s="21">
        <f t="shared" si="37"/>
        <v>1384159.9586802926</v>
      </c>
      <c r="W309" s="21">
        <f t="shared" si="38"/>
        <v>1384159.9586802926</v>
      </c>
      <c r="X309">
        <v>0</v>
      </c>
      <c r="Y309" s="18">
        <v>2017</v>
      </c>
      <c r="Z309" t="s">
        <v>387</v>
      </c>
      <c r="AA309" s="21">
        <f t="shared" si="39"/>
        <v>1</v>
      </c>
    </row>
    <row r="310" spans="1:27">
      <c r="A310" t="s">
        <v>231</v>
      </c>
      <c r="B310" s="18">
        <v>2047</v>
      </c>
      <c r="C310" t="s">
        <v>231</v>
      </c>
      <c r="D310" s="20" t="s">
        <v>401</v>
      </c>
      <c r="E310" s="20" t="s">
        <v>402</v>
      </c>
      <c r="F310" s="20" t="s">
        <v>237</v>
      </c>
      <c r="G310" s="20" t="s">
        <v>382</v>
      </c>
      <c r="H310" s="20" t="s">
        <v>384</v>
      </c>
      <c r="I310" s="29">
        <v>1</v>
      </c>
      <c r="J310" s="30">
        <v>1</v>
      </c>
      <c r="K310" s="31">
        <v>4.0000000000000001E-3</v>
      </c>
      <c r="L310" s="9">
        <v>645758962.492172</v>
      </c>
      <c r="M310" s="9">
        <v>645745914.53009498</v>
      </c>
      <c r="N310" s="32">
        <f>MIN(MAX((B310-Calculation_Assumptions!$B$5+1)/Calculation_Assumptions!$B$7,0),1)</f>
        <v>1</v>
      </c>
      <c r="O310" s="21">
        <f t="shared" si="32"/>
        <v>645758962.492172</v>
      </c>
      <c r="P310" s="21">
        <f t="shared" si="33"/>
        <v>645745914.53009498</v>
      </c>
      <c r="Q310" s="21">
        <f>P310*Calculation_Assumptions!$B$14*J310*K310</f>
        <v>0</v>
      </c>
      <c r="R310" s="21">
        <f t="shared" si="34"/>
        <v>2583035.8499686881</v>
      </c>
      <c r="S310" s="21">
        <f t="shared" si="35"/>
        <v>2583035.8499686881</v>
      </c>
      <c r="T310" s="32">
        <f>1/(1+Calculation_Assumptions!$B$8)^(B310-Calculation_Assumptions!$B$2)</f>
        <v>0.52189250088258554</v>
      </c>
      <c r="U310" s="21">
        <f t="shared" si="36"/>
        <v>0</v>
      </c>
      <c r="V310" s="21">
        <f t="shared" si="37"/>
        <v>1348067.0396095337</v>
      </c>
      <c r="W310" s="21">
        <f t="shared" si="38"/>
        <v>1348067.0396095337</v>
      </c>
      <c r="X310">
        <v>0</v>
      </c>
      <c r="Y310" s="18">
        <v>2017</v>
      </c>
      <c r="Z310" t="s">
        <v>387</v>
      </c>
      <c r="AA310" s="21">
        <f t="shared" si="39"/>
        <v>1</v>
      </c>
    </row>
    <row r="311" spans="1:27">
      <c r="A311" t="s">
        <v>231</v>
      </c>
      <c r="B311" s="18">
        <v>2048</v>
      </c>
      <c r="C311" t="s">
        <v>231</v>
      </c>
      <c r="D311" s="20" t="s">
        <v>401</v>
      </c>
      <c r="E311" s="20" t="s">
        <v>402</v>
      </c>
      <c r="F311" s="20" t="s">
        <v>237</v>
      </c>
      <c r="G311" s="20" t="s">
        <v>382</v>
      </c>
      <c r="H311" s="20" t="s">
        <v>384</v>
      </c>
      <c r="I311" s="29">
        <v>1</v>
      </c>
      <c r="J311" s="30">
        <v>1</v>
      </c>
      <c r="K311" s="31">
        <v>4.0000000000000001E-3</v>
      </c>
      <c r="L311" s="9">
        <v>647679255.27076304</v>
      </c>
      <c r="M311" s="9">
        <v>647666796.64810395</v>
      </c>
      <c r="N311" s="32">
        <f>MIN(MAX((B311-Calculation_Assumptions!$B$5+1)/Calculation_Assumptions!$B$7,0),1)</f>
        <v>1</v>
      </c>
      <c r="O311" s="21">
        <f t="shared" si="32"/>
        <v>647679255.27076304</v>
      </c>
      <c r="P311" s="21">
        <f t="shared" si="33"/>
        <v>647666796.64810395</v>
      </c>
      <c r="Q311" s="21">
        <f>P311*Calculation_Assumptions!$B$14*J311*K311</f>
        <v>0</v>
      </c>
      <c r="R311" s="21">
        <f t="shared" si="34"/>
        <v>2590717.0210830523</v>
      </c>
      <c r="S311" s="21">
        <f t="shared" si="35"/>
        <v>2590717.0210830523</v>
      </c>
      <c r="T311" s="32">
        <f>1/(1+Calculation_Assumptions!$B$8)^(B311-Calculation_Assumptions!$B$2)</f>
        <v>0.50669174842969467</v>
      </c>
      <c r="U311" s="21">
        <f t="shared" si="36"/>
        <v>0</v>
      </c>
      <c r="V311" s="21">
        <f t="shared" si="37"/>
        <v>1312694.937099142</v>
      </c>
      <c r="W311" s="21">
        <f t="shared" si="38"/>
        <v>1312694.937099142</v>
      </c>
      <c r="X311">
        <v>0</v>
      </c>
      <c r="Y311" s="18">
        <v>2017</v>
      </c>
      <c r="Z311" t="s">
        <v>387</v>
      </c>
      <c r="AA311" s="21">
        <f t="shared" si="39"/>
        <v>1</v>
      </c>
    </row>
    <row r="312" spans="1:27">
      <c r="A312" t="s">
        <v>231</v>
      </c>
      <c r="B312" s="18">
        <v>2049</v>
      </c>
      <c r="C312" t="s">
        <v>231</v>
      </c>
      <c r="D312" s="20" t="s">
        <v>401</v>
      </c>
      <c r="E312" s="20" t="s">
        <v>402</v>
      </c>
      <c r="F312" s="20" t="s">
        <v>237</v>
      </c>
      <c r="G312" s="20" t="s">
        <v>382</v>
      </c>
      <c r="H312" s="20" t="s">
        <v>384</v>
      </c>
      <c r="I312" s="29">
        <v>1</v>
      </c>
      <c r="J312" s="30">
        <v>1</v>
      </c>
      <c r="K312" s="31">
        <v>4.0000000000000001E-3</v>
      </c>
      <c r="L312" s="9">
        <v>649469494.00841796</v>
      </c>
      <c r="M312" s="9">
        <v>649421968.02473402</v>
      </c>
      <c r="N312" s="32">
        <f>MIN(MAX((B312-Calculation_Assumptions!$B$5+1)/Calculation_Assumptions!$B$7,0),1)</f>
        <v>1</v>
      </c>
      <c r="O312" s="21">
        <f t="shared" si="32"/>
        <v>649469494.00841796</v>
      </c>
      <c r="P312" s="21">
        <f t="shared" si="33"/>
        <v>649421968.02473402</v>
      </c>
      <c r="Q312" s="21">
        <f>P312*Calculation_Assumptions!$B$14*J312*K312</f>
        <v>0</v>
      </c>
      <c r="R312" s="21">
        <f t="shared" si="34"/>
        <v>2597877.9760336718</v>
      </c>
      <c r="S312" s="21">
        <f t="shared" si="35"/>
        <v>2597877.9760336718</v>
      </c>
      <c r="T312" s="32">
        <f>1/(1+Calculation_Assumptions!$B$8)^(B312-Calculation_Assumptions!$B$2)</f>
        <v>0.49193373633950943</v>
      </c>
      <c r="U312" s="21">
        <f t="shared" si="36"/>
        <v>0</v>
      </c>
      <c r="V312" s="21">
        <f t="shared" si="37"/>
        <v>1277983.8193043666</v>
      </c>
      <c r="W312" s="21">
        <f t="shared" si="38"/>
        <v>1277983.8193043666</v>
      </c>
      <c r="X312">
        <v>0</v>
      </c>
      <c r="Y312" s="18">
        <v>2017</v>
      </c>
      <c r="Z312" t="s">
        <v>387</v>
      </c>
      <c r="AA312" s="21">
        <f t="shared" si="39"/>
        <v>1</v>
      </c>
    </row>
    <row r="313" spans="1:27">
      <c r="A313" t="s">
        <v>231</v>
      </c>
      <c r="B313" s="18">
        <v>2050</v>
      </c>
      <c r="C313" t="s">
        <v>231</v>
      </c>
      <c r="D313" s="20" t="s">
        <v>401</v>
      </c>
      <c r="E313" s="20" t="s">
        <v>402</v>
      </c>
      <c r="F313" s="20" t="s">
        <v>237</v>
      </c>
      <c r="G313" s="20" t="s">
        <v>382</v>
      </c>
      <c r="H313" s="20" t="s">
        <v>384</v>
      </c>
      <c r="I313" s="29">
        <v>1</v>
      </c>
      <c r="J313" s="30">
        <v>1</v>
      </c>
      <c r="K313" s="31">
        <v>4.0000000000000001E-3</v>
      </c>
      <c r="L313" s="9">
        <v>651124815.82392895</v>
      </c>
      <c r="M313" s="9">
        <v>651074457.25957894</v>
      </c>
      <c r="N313" s="32">
        <f>MIN(MAX((B313-Calculation_Assumptions!$B$5+1)/Calculation_Assumptions!$B$7,0),1)</f>
        <v>1</v>
      </c>
      <c r="O313" s="21">
        <f t="shared" si="32"/>
        <v>651124815.82392895</v>
      </c>
      <c r="P313" s="21">
        <f t="shared" si="33"/>
        <v>651074457.25957894</v>
      </c>
      <c r="Q313" s="21">
        <f>P313*Calculation_Assumptions!$B$14*J313*K313</f>
        <v>0</v>
      </c>
      <c r="R313" s="21">
        <f t="shared" si="34"/>
        <v>2604499.2632957157</v>
      </c>
      <c r="S313" s="21">
        <f t="shared" si="35"/>
        <v>2604499.2632957157</v>
      </c>
      <c r="T313" s="32">
        <f>1/(1+Calculation_Assumptions!$B$8)^(B313-Calculation_Assumptions!$B$2)</f>
        <v>0.47760556926165965</v>
      </c>
      <c r="U313" s="21">
        <f t="shared" si="36"/>
        <v>0</v>
      </c>
      <c r="V313" s="21">
        <f t="shared" si="37"/>
        <v>1243923.3532879234</v>
      </c>
      <c r="W313" s="21">
        <f t="shared" si="38"/>
        <v>1243923.3532879234</v>
      </c>
      <c r="X313">
        <v>0</v>
      </c>
      <c r="Y313" s="18">
        <v>2017</v>
      </c>
      <c r="Z313" t="s">
        <v>387</v>
      </c>
      <c r="AA313" s="21">
        <f t="shared" si="39"/>
        <v>1</v>
      </c>
    </row>
    <row r="314" spans="1:27">
      <c r="A314" t="s">
        <v>261</v>
      </c>
      <c r="B314" s="18">
        <v>2025</v>
      </c>
      <c r="C314" t="s">
        <v>257</v>
      </c>
      <c r="D314" s="20" t="s">
        <v>407</v>
      </c>
      <c r="E314" s="20" t="s">
        <v>408</v>
      </c>
      <c r="F314" s="20" t="s">
        <v>260</v>
      </c>
      <c r="G314" s="20" t="s">
        <v>393</v>
      </c>
      <c r="H314" s="20" t="s">
        <v>384</v>
      </c>
      <c r="I314" s="29">
        <v>1</v>
      </c>
      <c r="J314" s="30">
        <v>1</v>
      </c>
      <c r="K314" s="31">
        <v>7.7000000000000002E-3</v>
      </c>
      <c r="L314" s="9">
        <v>575134853.59312999</v>
      </c>
      <c r="M314" s="9">
        <v>575134853.59312999</v>
      </c>
      <c r="N314" s="32">
        <f>MIN(MAX((B314-Calculation_Assumptions!$B$5+1)/Calculation_Assumptions!$B$7,0),1)</f>
        <v>0</v>
      </c>
      <c r="O314" s="21">
        <f t="shared" si="32"/>
        <v>575134853.59312999</v>
      </c>
      <c r="P314" s="21">
        <f t="shared" si="33"/>
        <v>575134853.59312999</v>
      </c>
      <c r="Q314" s="21">
        <f>P314*Calculation_Assumptions!$B$14*J314*K314</f>
        <v>0</v>
      </c>
      <c r="R314" s="21">
        <f t="shared" si="34"/>
        <v>0</v>
      </c>
      <c r="S314" s="21">
        <f t="shared" si="35"/>
        <v>0</v>
      </c>
      <c r="T314" s="32">
        <f>1/(1+Calculation_Assumptions!$B$8)^(B314-Calculation_Assumptions!$B$2)</f>
        <v>1</v>
      </c>
      <c r="U314" s="21">
        <f t="shared" si="36"/>
        <v>0</v>
      </c>
      <c r="V314" s="21">
        <f t="shared" si="37"/>
        <v>0</v>
      </c>
      <c r="W314" s="21">
        <f t="shared" si="38"/>
        <v>0</v>
      </c>
      <c r="X314">
        <v>0</v>
      </c>
      <c r="Y314" s="18">
        <v>2017</v>
      </c>
      <c r="Z314" t="s">
        <v>387</v>
      </c>
      <c r="AA314" s="21">
        <f t="shared" si="39"/>
        <v>1</v>
      </c>
    </row>
    <row r="315" spans="1:27">
      <c r="A315" t="s">
        <v>261</v>
      </c>
      <c r="B315" s="18">
        <v>2026</v>
      </c>
      <c r="C315" t="s">
        <v>257</v>
      </c>
      <c r="D315" s="20" t="s">
        <v>407</v>
      </c>
      <c r="E315" s="20" t="s">
        <v>408</v>
      </c>
      <c r="F315" s="20" t="s">
        <v>260</v>
      </c>
      <c r="G315" s="20" t="s">
        <v>393</v>
      </c>
      <c r="H315" s="20" t="s">
        <v>384</v>
      </c>
      <c r="I315" s="29">
        <v>1</v>
      </c>
      <c r="J315" s="30">
        <v>1</v>
      </c>
      <c r="K315" s="31">
        <v>7.7000000000000002E-3</v>
      </c>
      <c r="L315" s="9">
        <v>579268647.32329595</v>
      </c>
      <c r="M315" s="9">
        <v>579268647.32329595</v>
      </c>
      <c r="N315" s="32">
        <f>MIN(MAX((B315-Calculation_Assumptions!$B$5+1)/Calculation_Assumptions!$B$7,0),1)</f>
        <v>0.33333333333333331</v>
      </c>
      <c r="O315" s="21">
        <f t="shared" si="32"/>
        <v>579268647.32329595</v>
      </c>
      <c r="P315" s="21">
        <f t="shared" si="33"/>
        <v>579268647.32329595</v>
      </c>
      <c r="Q315" s="21">
        <f>P315*Calculation_Assumptions!$B$14*J315*K315</f>
        <v>0</v>
      </c>
      <c r="R315" s="21">
        <f t="shared" si="34"/>
        <v>1486789.528129793</v>
      </c>
      <c r="S315" s="21">
        <f t="shared" si="35"/>
        <v>1486789.528129793</v>
      </c>
      <c r="T315" s="32">
        <f>1/(1+Calculation_Assumptions!$B$8)^(B315-Calculation_Assumptions!$B$2)</f>
        <v>0.970873786407767</v>
      </c>
      <c r="U315" s="21">
        <f t="shared" si="36"/>
        <v>0</v>
      </c>
      <c r="V315" s="21">
        <f t="shared" si="37"/>
        <v>1443484.9787667894</v>
      </c>
      <c r="W315" s="21">
        <f t="shared" si="38"/>
        <v>1443484.9787667894</v>
      </c>
      <c r="X315">
        <v>0</v>
      </c>
      <c r="Y315" s="18">
        <v>2017</v>
      </c>
      <c r="Z315" t="s">
        <v>387</v>
      </c>
      <c r="AA315" s="21">
        <f t="shared" si="39"/>
        <v>1</v>
      </c>
    </row>
    <row r="316" spans="1:27">
      <c r="A316" t="s">
        <v>261</v>
      </c>
      <c r="B316" s="18">
        <v>2027</v>
      </c>
      <c r="C316" t="s">
        <v>257</v>
      </c>
      <c r="D316" s="20" t="s">
        <v>407</v>
      </c>
      <c r="E316" s="20" t="s">
        <v>408</v>
      </c>
      <c r="F316" s="20" t="s">
        <v>260</v>
      </c>
      <c r="G316" s="20" t="s">
        <v>393</v>
      </c>
      <c r="H316" s="20" t="s">
        <v>384</v>
      </c>
      <c r="I316" s="29">
        <v>1</v>
      </c>
      <c r="J316" s="30">
        <v>1</v>
      </c>
      <c r="K316" s="31">
        <v>7.7000000000000002E-3</v>
      </c>
      <c r="L316" s="9">
        <v>583039014.28645599</v>
      </c>
      <c r="M316" s="9">
        <v>583039014.28645599</v>
      </c>
      <c r="N316" s="32">
        <f>MIN(MAX((B316-Calculation_Assumptions!$B$5+1)/Calculation_Assumptions!$B$7,0),1)</f>
        <v>0.66666666666666663</v>
      </c>
      <c r="O316" s="21">
        <f t="shared" si="32"/>
        <v>583039014.28645599</v>
      </c>
      <c r="P316" s="21">
        <f t="shared" si="33"/>
        <v>583039014.28645599</v>
      </c>
      <c r="Q316" s="21">
        <f>P316*Calculation_Assumptions!$B$14*J316*K316</f>
        <v>0</v>
      </c>
      <c r="R316" s="21">
        <f t="shared" si="34"/>
        <v>2992933.6066704742</v>
      </c>
      <c r="S316" s="21">
        <f t="shared" si="35"/>
        <v>2992933.6066704742</v>
      </c>
      <c r="T316" s="32">
        <f>1/(1+Calculation_Assumptions!$B$8)^(B316-Calculation_Assumptions!$B$2)</f>
        <v>0.94259590913375435</v>
      </c>
      <c r="U316" s="21">
        <f t="shared" si="36"/>
        <v>0</v>
      </c>
      <c r="V316" s="21">
        <f t="shared" si="37"/>
        <v>2821126.9739565221</v>
      </c>
      <c r="W316" s="21">
        <f t="shared" si="38"/>
        <v>2821126.9739565221</v>
      </c>
      <c r="X316">
        <v>0</v>
      </c>
      <c r="Y316" s="18">
        <v>2017</v>
      </c>
      <c r="Z316" t="s">
        <v>387</v>
      </c>
      <c r="AA316" s="21">
        <f t="shared" si="39"/>
        <v>1</v>
      </c>
    </row>
    <row r="317" spans="1:27">
      <c r="A317" t="s">
        <v>261</v>
      </c>
      <c r="B317" s="18">
        <v>2028</v>
      </c>
      <c r="C317" t="s">
        <v>257</v>
      </c>
      <c r="D317" s="20" t="s">
        <v>407</v>
      </c>
      <c r="E317" s="20" t="s">
        <v>408</v>
      </c>
      <c r="F317" s="20" t="s">
        <v>260</v>
      </c>
      <c r="G317" s="20" t="s">
        <v>393</v>
      </c>
      <c r="H317" s="20" t="s">
        <v>384</v>
      </c>
      <c r="I317" s="29">
        <v>1</v>
      </c>
      <c r="J317" s="30">
        <v>1</v>
      </c>
      <c r="K317" s="31">
        <v>7.7000000000000002E-3</v>
      </c>
      <c r="L317" s="9">
        <v>587035116.25746298</v>
      </c>
      <c r="M317" s="9">
        <v>587035116.25746298</v>
      </c>
      <c r="N317" s="32">
        <f>MIN(MAX((B317-Calculation_Assumptions!$B$5+1)/Calculation_Assumptions!$B$7,0),1)</f>
        <v>1</v>
      </c>
      <c r="O317" s="21">
        <f t="shared" si="32"/>
        <v>587035116.25746298</v>
      </c>
      <c r="P317" s="21">
        <f t="shared" si="33"/>
        <v>587035116.25746298</v>
      </c>
      <c r="Q317" s="21">
        <f>P317*Calculation_Assumptions!$B$14*J317*K317</f>
        <v>0</v>
      </c>
      <c r="R317" s="21">
        <f t="shared" si="34"/>
        <v>4520170.3951824652</v>
      </c>
      <c r="S317" s="21">
        <f t="shared" si="35"/>
        <v>4520170.3951824652</v>
      </c>
      <c r="T317" s="32">
        <f>1/(1+Calculation_Assumptions!$B$8)^(B317-Calculation_Assumptions!$B$2)</f>
        <v>0.91514165935315961</v>
      </c>
      <c r="U317" s="21">
        <f t="shared" si="36"/>
        <v>0</v>
      </c>
      <c r="V317" s="21">
        <f t="shared" si="37"/>
        <v>4136596.2360063083</v>
      </c>
      <c r="W317" s="21">
        <f t="shared" si="38"/>
        <v>4136596.2360063083</v>
      </c>
      <c r="X317">
        <v>0</v>
      </c>
      <c r="Y317" s="18">
        <v>2017</v>
      </c>
      <c r="Z317" t="s">
        <v>387</v>
      </c>
      <c r="AA317" s="21">
        <f t="shared" si="39"/>
        <v>1</v>
      </c>
    </row>
    <row r="318" spans="1:27">
      <c r="A318" t="s">
        <v>261</v>
      </c>
      <c r="B318" s="18">
        <v>2029</v>
      </c>
      <c r="C318" t="s">
        <v>257</v>
      </c>
      <c r="D318" s="20" t="s">
        <v>407</v>
      </c>
      <c r="E318" s="20" t="s">
        <v>408</v>
      </c>
      <c r="F318" s="20" t="s">
        <v>260</v>
      </c>
      <c r="G318" s="20" t="s">
        <v>393</v>
      </c>
      <c r="H318" s="20" t="s">
        <v>384</v>
      </c>
      <c r="I318" s="29">
        <v>1</v>
      </c>
      <c r="J318" s="30">
        <v>1</v>
      </c>
      <c r="K318" s="31">
        <v>7.7000000000000002E-3</v>
      </c>
      <c r="L318" s="9">
        <v>590968392.43223906</v>
      </c>
      <c r="M318" s="9">
        <v>590968059.72178304</v>
      </c>
      <c r="N318" s="32">
        <f>MIN(MAX((B318-Calculation_Assumptions!$B$5+1)/Calculation_Assumptions!$B$7,0),1)</f>
        <v>1</v>
      </c>
      <c r="O318" s="21">
        <f t="shared" si="32"/>
        <v>590968392.43223906</v>
      </c>
      <c r="P318" s="21">
        <f t="shared" si="33"/>
        <v>590968059.72178304</v>
      </c>
      <c r="Q318" s="21">
        <f>P318*Calculation_Assumptions!$B$14*J318*K318</f>
        <v>0</v>
      </c>
      <c r="R318" s="21">
        <f t="shared" si="34"/>
        <v>4550456.6217282405</v>
      </c>
      <c r="S318" s="21">
        <f t="shared" si="35"/>
        <v>4550456.6217282405</v>
      </c>
      <c r="T318" s="32">
        <f>1/(1+Calculation_Assumptions!$B$8)^(B318-Calculation_Assumptions!$B$2)</f>
        <v>0.888487047915689</v>
      </c>
      <c r="U318" s="21">
        <f t="shared" si="36"/>
        <v>0</v>
      </c>
      <c r="V318" s="21">
        <f t="shared" si="37"/>
        <v>4043021.7705077236</v>
      </c>
      <c r="W318" s="21">
        <f t="shared" si="38"/>
        <v>4043021.7705077236</v>
      </c>
      <c r="X318">
        <v>0</v>
      </c>
      <c r="Y318" s="18">
        <v>2017</v>
      </c>
      <c r="Z318" t="s">
        <v>387</v>
      </c>
      <c r="AA318" s="21">
        <f t="shared" si="39"/>
        <v>1</v>
      </c>
    </row>
    <row r="319" spans="1:27">
      <c r="A319" t="s">
        <v>261</v>
      </c>
      <c r="B319" s="18">
        <v>2030</v>
      </c>
      <c r="C319" t="s">
        <v>257</v>
      </c>
      <c r="D319" s="20" t="s">
        <v>407</v>
      </c>
      <c r="E319" s="20" t="s">
        <v>408</v>
      </c>
      <c r="F319" s="20" t="s">
        <v>260</v>
      </c>
      <c r="G319" s="20" t="s">
        <v>393</v>
      </c>
      <c r="H319" s="20" t="s">
        <v>384</v>
      </c>
      <c r="I319" s="29">
        <v>1</v>
      </c>
      <c r="J319" s="30">
        <v>1</v>
      </c>
      <c r="K319" s="31">
        <v>7.7000000000000002E-3</v>
      </c>
      <c r="L319" s="9">
        <v>594809185.37344694</v>
      </c>
      <c r="M319" s="9">
        <v>594808018.62654305</v>
      </c>
      <c r="N319" s="32">
        <f>MIN(MAX((B319-Calculation_Assumptions!$B$5+1)/Calculation_Assumptions!$B$7,0),1)</f>
        <v>1</v>
      </c>
      <c r="O319" s="21">
        <f t="shared" si="32"/>
        <v>594809185.37344694</v>
      </c>
      <c r="P319" s="21">
        <f t="shared" si="33"/>
        <v>594808018.62654305</v>
      </c>
      <c r="Q319" s="21">
        <f>P319*Calculation_Assumptions!$B$14*J319*K319</f>
        <v>0</v>
      </c>
      <c r="R319" s="21">
        <f t="shared" si="34"/>
        <v>4580030.7273755418</v>
      </c>
      <c r="S319" s="21">
        <f t="shared" si="35"/>
        <v>4580030.7273755418</v>
      </c>
      <c r="T319" s="32">
        <f>1/(1+Calculation_Assumptions!$B$8)^(B319-Calculation_Assumptions!$B$2)</f>
        <v>0.86260878438416411</v>
      </c>
      <c r="U319" s="21">
        <f t="shared" si="36"/>
        <v>0</v>
      </c>
      <c r="V319" s="21">
        <f t="shared" si="37"/>
        <v>3950774.7381835352</v>
      </c>
      <c r="W319" s="21">
        <f t="shared" si="38"/>
        <v>3950774.7381835352</v>
      </c>
      <c r="X319">
        <v>0</v>
      </c>
      <c r="Y319" s="18">
        <v>2017</v>
      </c>
      <c r="Z319" t="s">
        <v>387</v>
      </c>
      <c r="AA319" s="21">
        <f t="shared" si="39"/>
        <v>1</v>
      </c>
    </row>
    <row r="320" spans="1:27">
      <c r="A320" t="s">
        <v>261</v>
      </c>
      <c r="B320" s="18">
        <v>2031</v>
      </c>
      <c r="C320" t="s">
        <v>257</v>
      </c>
      <c r="D320" s="20" t="s">
        <v>407</v>
      </c>
      <c r="E320" s="20" t="s">
        <v>408</v>
      </c>
      <c r="F320" s="20" t="s">
        <v>260</v>
      </c>
      <c r="G320" s="20" t="s">
        <v>393</v>
      </c>
      <c r="H320" s="20" t="s">
        <v>384</v>
      </c>
      <c r="I320" s="29">
        <v>1</v>
      </c>
      <c r="J320" s="30">
        <v>1</v>
      </c>
      <c r="K320" s="31">
        <v>7.7000000000000002E-3</v>
      </c>
      <c r="L320" s="9">
        <v>598583986.45626998</v>
      </c>
      <c r="M320" s="9">
        <v>598581381.03442597</v>
      </c>
      <c r="N320" s="32">
        <f>MIN(MAX((B320-Calculation_Assumptions!$B$5+1)/Calculation_Assumptions!$B$7,0),1)</f>
        <v>1</v>
      </c>
      <c r="O320" s="21">
        <f t="shared" si="32"/>
        <v>598583986.45626998</v>
      </c>
      <c r="P320" s="21">
        <f t="shared" si="33"/>
        <v>598581381.03442597</v>
      </c>
      <c r="Q320" s="21">
        <f>P320*Calculation_Assumptions!$B$14*J320*K320</f>
        <v>0</v>
      </c>
      <c r="R320" s="21">
        <f t="shared" si="34"/>
        <v>4609096.6957132788</v>
      </c>
      <c r="S320" s="21">
        <f t="shared" si="35"/>
        <v>4609096.6957132788</v>
      </c>
      <c r="T320" s="32">
        <f>1/(1+Calculation_Assumptions!$B$8)^(B320-Calculation_Assumptions!$B$2)</f>
        <v>0.83748425668365445</v>
      </c>
      <c r="U320" s="21">
        <f t="shared" si="36"/>
        <v>0</v>
      </c>
      <c r="V320" s="21">
        <f t="shared" si="37"/>
        <v>3860045.9201925234</v>
      </c>
      <c r="W320" s="21">
        <f t="shared" si="38"/>
        <v>3860045.9201925234</v>
      </c>
      <c r="X320">
        <v>0</v>
      </c>
      <c r="Y320" s="18">
        <v>2017</v>
      </c>
      <c r="Z320" t="s">
        <v>387</v>
      </c>
      <c r="AA320" s="21">
        <f t="shared" si="39"/>
        <v>1</v>
      </c>
    </row>
    <row r="321" spans="1:27">
      <c r="A321" t="s">
        <v>261</v>
      </c>
      <c r="B321" s="18">
        <v>2032</v>
      </c>
      <c r="C321" t="s">
        <v>257</v>
      </c>
      <c r="D321" s="20" t="s">
        <v>407</v>
      </c>
      <c r="E321" s="20" t="s">
        <v>408</v>
      </c>
      <c r="F321" s="20" t="s">
        <v>260</v>
      </c>
      <c r="G321" s="20" t="s">
        <v>393</v>
      </c>
      <c r="H321" s="20" t="s">
        <v>384</v>
      </c>
      <c r="I321" s="29">
        <v>1</v>
      </c>
      <c r="J321" s="30">
        <v>1</v>
      </c>
      <c r="K321" s="31">
        <v>7.7000000000000002E-3</v>
      </c>
      <c r="L321" s="9">
        <v>602271308.24823296</v>
      </c>
      <c r="M321" s="9">
        <v>602283583.58638096</v>
      </c>
      <c r="N321" s="32">
        <f>MIN(MAX((B321-Calculation_Assumptions!$B$5+1)/Calculation_Assumptions!$B$7,0),1)</f>
        <v>1</v>
      </c>
      <c r="O321" s="21">
        <f t="shared" si="32"/>
        <v>602271308.24823296</v>
      </c>
      <c r="P321" s="21">
        <f t="shared" si="33"/>
        <v>602283583.58638096</v>
      </c>
      <c r="Q321" s="21">
        <f>P321*Calculation_Assumptions!$B$14*J321*K321</f>
        <v>0</v>
      </c>
      <c r="R321" s="21">
        <f t="shared" si="34"/>
        <v>4637489.0735113937</v>
      </c>
      <c r="S321" s="21">
        <f t="shared" si="35"/>
        <v>4637489.0735113937</v>
      </c>
      <c r="T321" s="32">
        <f>1/(1+Calculation_Assumptions!$B$8)^(B321-Calculation_Assumptions!$B$2)</f>
        <v>0.81309151134335378</v>
      </c>
      <c r="U321" s="21">
        <f t="shared" si="36"/>
        <v>0</v>
      </c>
      <c r="V321" s="21">
        <f t="shared" si="37"/>
        <v>3770702.9996196688</v>
      </c>
      <c r="W321" s="21">
        <f t="shared" si="38"/>
        <v>3770702.9996196688</v>
      </c>
      <c r="X321">
        <v>0</v>
      </c>
      <c r="Y321" s="18">
        <v>2017</v>
      </c>
      <c r="Z321" t="s">
        <v>387</v>
      </c>
      <c r="AA321" s="21">
        <f t="shared" si="39"/>
        <v>1</v>
      </c>
    </row>
    <row r="322" spans="1:27">
      <c r="A322" t="s">
        <v>261</v>
      </c>
      <c r="B322" s="18">
        <v>2033</v>
      </c>
      <c r="C322" t="s">
        <v>257</v>
      </c>
      <c r="D322" s="20" t="s">
        <v>407</v>
      </c>
      <c r="E322" s="20" t="s">
        <v>408</v>
      </c>
      <c r="F322" s="20" t="s">
        <v>260</v>
      </c>
      <c r="G322" s="20" t="s">
        <v>393</v>
      </c>
      <c r="H322" s="20" t="s">
        <v>384</v>
      </c>
      <c r="I322" s="29">
        <v>1</v>
      </c>
      <c r="J322" s="30">
        <v>1</v>
      </c>
      <c r="K322" s="31">
        <v>7.7000000000000002E-3</v>
      </c>
      <c r="L322" s="9">
        <v>605901775.35738206</v>
      </c>
      <c r="M322" s="9">
        <v>605911902.99473</v>
      </c>
      <c r="N322" s="32">
        <f>MIN(MAX((B322-Calculation_Assumptions!$B$5+1)/Calculation_Assumptions!$B$7,0),1)</f>
        <v>1</v>
      </c>
      <c r="O322" s="21">
        <f t="shared" ref="O322:O385" si="40">L322*I322</f>
        <v>605901775.35738206</v>
      </c>
      <c r="P322" s="21">
        <f t="shared" ref="P322:P385" si="41">M322*I322</f>
        <v>605911902.99473</v>
      </c>
      <c r="Q322" s="21">
        <f>P322*Calculation_Assumptions!$B$14*J322*K322</f>
        <v>0</v>
      </c>
      <c r="R322" s="21">
        <f t="shared" ref="R322:R385" si="42">O322*N322*J322*K322</f>
        <v>4665443.6702518417</v>
      </c>
      <c r="S322" s="21">
        <f t="shared" ref="S322:S385" si="43">R322-Q322</f>
        <v>4665443.6702518417</v>
      </c>
      <c r="T322" s="32">
        <f>1/(1+Calculation_Assumptions!$B$8)^(B322-Calculation_Assumptions!$B$2)</f>
        <v>0.78940923431393573</v>
      </c>
      <c r="U322" s="21">
        <f t="shared" ref="U322:U385" si="44">Q322*T322</f>
        <v>0</v>
      </c>
      <c r="V322" s="21">
        <f t="shared" ref="V322:V385" si="45">R322*T322</f>
        <v>3682944.3154683043</v>
      </c>
      <c r="W322" s="21">
        <f t="shared" ref="W322:W385" si="46">S322*T322</f>
        <v>3682944.3154683043</v>
      </c>
      <c r="X322">
        <v>0</v>
      </c>
      <c r="Y322" s="18">
        <v>2017</v>
      </c>
      <c r="Z322" t="s">
        <v>387</v>
      </c>
      <c r="AA322" s="21">
        <f t="shared" ref="AA322:AA385" si="47">IF(G322="shared-count-once",COUNTIFS($A$2:$A$807,A322,$B$2:$B$807,B322,$D$2:$D$807,D322),1)</f>
        <v>1</v>
      </c>
    </row>
    <row r="323" spans="1:27">
      <c r="A323" t="s">
        <v>261</v>
      </c>
      <c r="B323" s="18">
        <v>2034</v>
      </c>
      <c r="C323" t="s">
        <v>257</v>
      </c>
      <c r="D323" s="20" t="s">
        <v>407</v>
      </c>
      <c r="E323" s="20" t="s">
        <v>408</v>
      </c>
      <c r="F323" s="20" t="s">
        <v>260</v>
      </c>
      <c r="G323" s="20" t="s">
        <v>393</v>
      </c>
      <c r="H323" s="20" t="s">
        <v>384</v>
      </c>
      <c r="I323" s="29">
        <v>1</v>
      </c>
      <c r="J323" s="30">
        <v>1</v>
      </c>
      <c r="K323" s="31">
        <v>7.7000000000000002E-3</v>
      </c>
      <c r="L323" s="9">
        <v>609448325.65479696</v>
      </c>
      <c r="M323" s="9">
        <v>609455548.12077105</v>
      </c>
      <c r="N323" s="32">
        <f>MIN(MAX((B323-Calculation_Assumptions!$B$5+1)/Calculation_Assumptions!$B$7,0),1)</f>
        <v>1</v>
      </c>
      <c r="O323" s="21">
        <f t="shared" si="40"/>
        <v>609448325.65479696</v>
      </c>
      <c r="P323" s="21">
        <f t="shared" si="41"/>
        <v>609455548.12077105</v>
      </c>
      <c r="Q323" s="21">
        <f>P323*Calculation_Assumptions!$B$14*J323*K323</f>
        <v>0</v>
      </c>
      <c r="R323" s="21">
        <f t="shared" si="42"/>
        <v>4692752.1075419364</v>
      </c>
      <c r="S323" s="21">
        <f t="shared" si="43"/>
        <v>4692752.1075419364</v>
      </c>
      <c r="T323" s="32">
        <f>1/(1+Calculation_Assumptions!$B$8)^(B323-Calculation_Assumptions!$B$2)</f>
        <v>0.76641673234362695</v>
      </c>
      <c r="U323" s="21">
        <f t="shared" si="44"/>
        <v>0</v>
      </c>
      <c r="V323" s="21">
        <f t="shared" si="45"/>
        <v>3596603.7359609595</v>
      </c>
      <c r="W323" s="21">
        <f t="shared" si="46"/>
        <v>3596603.7359609595</v>
      </c>
      <c r="X323">
        <v>0</v>
      </c>
      <c r="Y323" s="18">
        <v>2017</v>
      </c>
      <c r="Z323" t="s">
        <v>387</v>
      </c>
      <c r="AA323" s="21">
        <f t="shared" si="47"/>
        <v>1</v>
      </c>
    </row>
    <row r="324" spans="1:27">
      <c r="A324" t="s">
        <v>261</v>
      </c>
      <c r="B324" s="18">
        <v>2035</v>
      </c>
      <c r="C324" t="s">
        <v>257</v>
      </c>
      <c r="D324" s="20" t="s">
        <v>407</v>
      </c>
      <c r="E324" s="20" t="s">
        <v>408</v>
      </c>
      <c r="F324" s="20" t="s">
        <v>260</v>
      </c>
      <c r="G324" s="20" t="s">
        <v>393</v>
      </c>
      <c r="H324" s="20" t="s">
        <v>384</v>
      </c>
      <c r="I324" s="29">
        <v>1</v>
      </c>
      <c r="J324" s="30">
        <v>1</v>
      </c>
      <c r="K324" s="31">
        <v>7.7000000000000002E-3</v>
      </c>
      <c r="L324" s="9">
        <v>612899936.06014502</v>
      </c>
      <c r="M324" s="9">
        <v>612884294.47334194</v>
      </c>
      <c r="N324" s="32">
        <f>MIN(MAX((B324-Calculation_Assumptions!$B$5+1)/Calculation_Assumptions!$B$7,0),1)</f>
        <v>1</v>
      </c>
      <c r="O324" s="21">
        <f t="shared" si="40"/>
        <v>612899936.06014502</v>
      </c>
      <c r="P324" s="21">
        <f t="shared" si="41"/>
        <v>612884294.47334194</v>
      </c>
      <c r="Q324" s="21">
        <f>P324*Calculation_Assumptions!$B$14*J324*K324</f>
        <v>0</v>
      </c>
      <c r="R324" s="21">
        <f t="shared" si="42"/>
        <v>4719329.5076631168</v>
      </c>
      <c r="S324" s="21">
        <f t="shared" si="43"/>
        <v>4719329.5076631168</v>
      </c>
      <c r="T324" s="32">
        <f>1/(1+Calculation_Assumptions!$B$8)^(B324-Calculation_Assumptions!$B$2)</f>
        <v>0.74409391489672516</v>
      </c>
      <c r="U324" s="21">
        <f t="shared" si="44"/>
        <v>0</v>
      </c>
      <c r="V324" s="21">
        <f t="shared" si="45"/>
        <v>3511624.3690446829</v>
      </c>
      <c r="W324" s="21">
        <f t="shared" si="46"/>
        <v>3511624.3690446829</v>
      </c>
      <c r="X324">
        <v>0</v>
      </c>
      <c r="Y324" s="18">
        <v>2017</v>
      </c>
      <c r="Z324" t="s">
        <v>387</v>
      </c>
      <c r="AA324" s="21">
        <f t="shared" si="47"/>
        <v>1</v>
      </c>
    </row>
    <row r="325" spans="1:27">
      <c r="A325" t="s">
        <v>261</v>
      </c>
      <c r="B325" s="18">
        <v>2036</v>
      </c>
      <c r="C325" t="s">
        <v>257</v>
      </c>
      <c r="D325" s="20" t="s">
        <v>407</v>
      </c>
      <c r="E325" s="20" t="s">
        <v>408</v>
      </c>
      <c r="F325" s="20" t="s">
        <v>260</v>
      </c>
      <c r="G325" s="20" t="s">
        <v>393</v>
      </c>
      <c r="H325" s="20" t="s">
        <v>384</v>
      </c>
      <c r="I325" s="29">
        <v>1</v>
      </c>
      <c r="J325" s="30">
        <v>1</v>
      </c>
      <c r="K325" s="31">
        <v>7.7000000000000002E-3</v>
      </c>
      <c r="L325" s="9">
        <v>616263238.10217798</v>
      </c>
      <c r="M325" s="9">
        <v>616262053.85817397</v>
      </c>
      <c r="N325" s="32">
        <f>MIN(MAX((B325-Calculation_Assumptions!$B$5+1)/Calculation_Assumptions!$B$7,0),1)</f>
        <v>1</v>
      </c>
      <c r="O325" s="21">
        <f t="shared" si="40"/>
        <v>616263238.10217798</v>
      </c>
      <c r="P325" s="21">
        <f t="shared" si="41"/>
        <v>616262053.85817397</v>
      </c>
      <c r="Q325" s="21">
        <f>P325*Calculation_Assumptions!$B$14*J325*K325</f>
        <v>0</v>
      </c>
      <c r="R325" s="21">
        <f t="shared" si="42"/>
        <v>4745226.933386771</v>
      </c>
      <c r="S325" s="21">
        <f t="shared" si="43"/>
        <v>4745226.933386771</v>
      </c>
      <c r="T325" s="32">
        <f>1/(1+Calculation_Assumptions!$B$8)^(B325-Calculation_Assumptions!$B$2)</f>
        <v>0.72242127659876232</v>
      </c>
      <c r="U325" s="21">
        <f t="shared" si="44"/>
        <v>0</v>
      </c>
      <c r="V325" s="21">
        <f t="shared" si="45"/>
        <v>3428052.898968101</v>
      </c>
      <c r="W325" s="21">
        <f t="shared" si="46"/>
        <v>3428052.898968101</v>
      </c>
      <c r="X325">
        <v>0</v>
      </c>
      <c r="Y325" s="18">
        <v>2017</v>
      </c>
      <c r="Z325" t="s">
        <v>387</v>
      </c>
      <c r="AA325" s="21">
        <f t="shared" si="47"/>
        <v>1</v>
      </c>
    </row>
    <row r="326" spans="1:27">
      <c r="A326" t="s">
        <v>261</v>
      </c>
      <c r="B326" s="18">
        <v>2037</v>
      </c>
      <c r="C326" t="s">
        <v>257</v>
      </c>
      <c r="D326" s="20" t="s">
        <v>407</v>
      </c>
      <c r="E326" s="20" t="s">
        <v>408</v>
      </c>
      <c r="F326" s="20" t="s">
        <v>260</v>
      </c>
      <c r="G326" s="20" t="s">
        <v>393</v>
      </c>
      <c r="H326" s="20" t="s">
        <v>384</v>
      </c>
      <c r="I326" s="29">
        <v>1</v>
      </c>
      <c r="J326" s="30">
        <v>1</v>
      </c>
      <c r="K326" s="31">
        <v>7.7000000000000002E-3</v>
      </c>
      <c r="L326" s="9">
        <v>619536077.34479904</v>
      </c>
      <c r="M326" s="9">
        <v>619529380.90729904</v>
      </c>
      <c r="N326" s="32">
        <f>MIN(MAX((B326-Calculation_Assumptions!$B$5+1)/Calculation_Assumptions!$B$7,0),1)</f>
        <v>1</v>
      </c>
      <c r="O326" s="21">
        <f t="shared" si="40"/>
        <v>619536077.34479904</v>
      </c>
      <c r="P326" s="21">
        <f t="shared" si="41"/>
        <v>619529380.90729904</v>
      </c>
      <c r="Q326" s="21">
        <f>P326*Calculation_Assumptions!$B$14*J326*K326</f>
        <v>0</v>
      </c>
      <c r="R326" s="21">
        <f t="shared" si="42"/>
        <v>4770427.7955549527</v>
      </c>
      <c r="S326" s="21">
        <f t="shared" si="43"/>
        <v>4770427.7955549527</v>
      </c>
      <c r="T326" s="32">
        <f>1/(1+Calculation_Assumptions!$B$8)^(B326-Calculation_Assumptions!$B$2)</f>
        <v>0.70137988019297326</v>
      </c>
      <c r="U326" s="21">
        <f t="shared" si="44"/>
        <v>0</v>
      </c>
      <c r="V326" s="21">
        <f t="shared" si="45"/>
        <v>3345882.0757155623</v>
      </c>
      <c r="W326" s="21">
        <f t="shared" si="46"/>
        <v>3345882.0757155623</v>
      </c>
      <c r="X326">
        <v>0</v>
      </c>
      <c r="Y326" s="18">
        <v>2017</v>
      </c>
      <c r="Z326" t="s">
        <v>387</v>
      </c>
      <c r="AA326" s="21">
        <f t="shared" si="47"/>
        <v>1</v>
      </c>
    </row>
    <row r="327" spans="1:27">
      <c r="A327" t="s">
        <v>261</v>
      </c>
      <c r="B327" s="18">
        <v>2038</v>
      </c>
      <c r="C327" t="s">
        <v>257</v>
      </c>
      <c r="D327" s="20" t="s">
        <v>407</v>
      </c>
      <c r="E327" s="20" t="s">
        <v>408</v>
      </c>
      <c r="F327" s="20" t="s">
        <v>260</v>
      </c>
      <c r="G327" s="20" t="s">
        <v>393</v>
      </c>
      <c r="H327" s="20" t="s">
        <v>384</v>
      </c>
      <c r="I327" s="29">
        <v>1</v>
      </c>
      <c r="J327" s="30">
        <v>1</v>
      </c>
      <c r="K327" s="31">
        <v>7.7000000000000002E-3</v>
      </c>
      <c r="L327" s="9">
        <v>622707153.56091797</v>
      </c>
      <c r="M327" s="9">
        <v>622673191.62836504</v>
      </c>
      <c r="N327" s="32">
        <f>MIN(MAX((B327-Calculation_Assumptions!$B$5+1)/Calculation_Assumptions!$B$7,0),1)</f>
        <v>1</v>
      </c>
      <c r="O327" s="21">
        <f t="shared" si="40"/>
        <v>622707153.56091797</v>
      </c>
      <c r="P327" s="21">
        <f t="shared" si="41"/>
        <v>622673191.62836504</v>
      </c>
      <c r="Q327" s="21">
        <f>P327*Calculation_Assumptions!$B$14*J327*K327</f>
        <v>0</v>
      </c>
      <c r="R327" s="21">
        <f t="shared" si="42"/>
        <v>4794845.0824190686</v>
      </c>
      <c r="S327" s="21">
        <f t="shared" si="43"/>
        <v>4794845.0824190686</v>
      </c>
      <c r="T327" s="32">
        <f>1/(1+Calculation_Assumptions!$B$8)^(B327-Calculation_Assumptions!$B$2)</f>
        <v>0.68095133999317792</v>
      </c>
      <c r="U327" s="21">
        <f t="shared" si="44"/>
        <v>0</v>
      </c>
      <c r="V327" s="21">
        <f t="shared" si="45"/>
        <v>3265056.1839329642</v>
      </c>
      <c r="W327" s="21">
        <f t="shared" si="46"/>
        <v>3265056.1839329642</v>
      </c>
      <c r="X327">
        <v>0</v>
      </c>
      <c r="Y327" s="18">
        <v>2017</v>
      </c>
      <c r="Z327" t="s">
        <v>387</v>
      </c>
      <c r="AA327" s="21">
        <f t="shared" si="47"/>
        <v>1</v>
      </c>
    </row>
    <row r="328" spans="1:27">
      <c r="A328" t="s">
        <v>261</v>
      </c>
      <c r="B328" s="18">
        <v>2039</v>
      </c>
      <c r="C328" t="s">
        <v>257</v>
      </c>
      <c r="D328" s="20" t="s">
        <v>407</v>
      </c>
      <c r="E328" s="20" t="s">
        <v>408</v>
      </c>
      <c r="F328" s="20" t="s">
        <v>260</v>
      </c>
      <c r="G328" s="20" t="s">
        <v>393</v>
      </c>
      <c r="H328" s="20" t="s">
        <v>384</v>
      </c>
      <c r="I328" s="29">
        <v>1</v>
      </c>
      <c r="J328" s="30">
        <v>1</v>
      </c>
      <c r="K328" s="31">
        <v>7.7000000000000002E-3</v>
      </c>
      <c r="L328" s="9">
        <v>625773517.33344197</v>
      </c>
      <c r="M328" s="9">
        <v>625731758.218045</v>
      </c>
      <c r="N328" s="32">
        <f>MIN(MAX((B328-Calculation_Assumptions!$B$5+1)/Calculation_Assumptions!$B$7,0),1)</f>
        <v>1</v>
      </c>
      <c r="O328" s="21">
        <f t="shared" si="40"/>
        <v>625773517.33344197</v>
      </c>
      <c r="P328" s="21">
        <f t="shared" si="41"/>
        <v>625731758.218045</v>
      </c>
      <c r="Q328" s="21">
        <f>P328*Calculation_Assumptions!$B$14*J328*K328</f>
        <v>0</v>
      </c>
      <c r="R328" s="21">
        <f t="shared" si="42"/>
        <v>4818456.0834675031</v>
      </c>
      <c r="S328" s="21">
        <f t="shared" si="43"/>
        <v>4818456.0834675031</v>
      </c>
      <c r="T328" s="32">
        <f>1/(1+Calculation_Assumptions!$B$8)^(B328-Calculation_Assumptions!$B$2)</f>
        <v>0.66111780581861923</v>
      </c>
      <c r="U328" s="21">
        <f t="shared" si="44"/>
        <v>0</v>
      </c>
      <c r="V328" s="21">
        <f t="shared" si="45"/>
        <v>3185567.1133354134</v>
      </c>
      <c r="W328" s="21">
        <f t="shared" si="46"/>
        <v>3185567.1133354134</v>
      </c>
      <c r="X328">
        <v>0</v>
      </c>
      <c r="Y328" s="18">
        <v>2017</v>
      </c>
      <c r="Z328" t="s">
        <v>387</v>
      </c>
      <c r="AA328" s="21">
        <f t="shared" si="47"/>
        <v>1</v>
      </c>
    </row>
    <row r="329" spans="1:27">
      <c r="A329" t="s">
        <v>261</v>
      </c>
      <c r="B329" s="18">
        <v>2040</v>
      </c>
      <c r="C329" t="s">
        <v>257</v>
      </c>
      <c r="D329" s="20" t="s">
        <v>407</v>
      </c>
      <c r="E329" s="20" t="s">
        <v>408</v>
      </c>
      <c r="F329" s="20" t="s">
        <v>260</v>
      </c>
      <c r="G329" s="20" t="s">
        <v>393</v>
      </c>
      <c r="H329" s="20" t="s">
        <v>384</v>
      </c>
      <c r="I329" s="29">
        <v>1</v>
      </c>
      <c r="J329" s="30">
        <v>1</v>
      </c>
      <c r="K329" s="31">
        <v>7.7000000000000002E-3</v>
      </c>
      <c r="L329" s="9">
        <v>628717893.59963703</v>
      </c>
      <c r="M329" s="9">
        <v>628667498.21665299</v>
      </c>
      <c r="N329" s="32">
        <f>MIN(MAX((B329-Calculation_Assumptions!$B$5+1)/Calculation_Assumptions!$B$7,0),1)</f>
        <v>1</v>
      </c>
      <c r="O329" s="21">
        <f t="shared" si="40"/>
        <v>628717893.59963703</v>
      </c>
      <c r="P329" s="21">
        <f t="shared" si="41"/>
        <v>628667498.21665299</v>
      </c>
      <c r="Q329" s="21">
        <f>P329*Calculation_Assumptions!$B$14*J329*K329</f>
        <v>0</v>
      </c>
      <c r="R329" s="21">
        <f t="shared" si="42"/>
        <v>4841127.7807172053</v>
      </c>
      <c r="S329" s="21">
        <f t="shared" si="43"/>
        <v>4841127.7807172053</v>
      </c>
      <c r="T329" s="32">
        <f>1/(1+Calculation_Assumptions!$B$8)^(B329-Calculation_Assumptions!$B$2)</f>
        <v>0.64186194739671765</v>
      </c>
      <c r="U329" s="21">
        <f t="shared" si="44"/>
        <v>0</v>
      </c>
      <c r="V329" s="21">
        <f t="shared" si="45"/>
        <v>3107335.7049274952</v>
      </c>
      <c r="W329" s="21">
        <f t="shared" si="46"/>
        <v>3107335.7049274952</v>
      </c>
      <c r="X329">
        <v>0</v>
      </c>
      <c r="Y329" s="18">
        <v>2017</v>
      </c>
      <c r="Z329" t="s">
        <v>387</v>
      </c>
      <c r="AA329" s="21">
        <f t="shared" si="47"/>
        <v>1</v>
      </c>
    </row>
    <row r="330" spans="1:27">
      <c r="A330" t="s">
        <v>261</v>
      </c>
      <c r="B330" s="18">
        <v>2041</v>
      </c>
      <c r="C330" t="s">
        <v>257</v>
      </c>
      <c r="D330" s="20" t="s">
        <v>407</v>
      </c>
      <c r="E330" s="20" t="s">
        <v>408</v>
      </c>
      <c r="F330" s="20" t="s">
        <v>260</v>
      </c>
      <c r="G330" s="20" t="s">
        <v>393</v>
      </c>
      <c r="H330" s="20" t="s">
        <v>384</v>
      </c>
      <c r="I330" s="29">
        <v>1</v>
      </c>
      <c r="J330" s="30">
        <v>1</v>
      </c>
      <c r="K330" s="31">
        <v>7.7000000000000002E-3</v>
      </c>
      <c r="L330" s="9">
        <v>631548256.65306795</v>
      </c>
      <c r="M330" s="9">
        <v>631488405.68781996</v>
      </c>
      <c r="N330" s="32">
        <f>MIN(MAX((B330-Calculation_Assumptions!$B$5+1)/Calculation_Assumptions!$B$7,0),1)</f>
        <v>1</v>
      </c>
      <c r="O330" s="21">
        <f t="shared" si="40"/>
        <v>631548256.65306795</v>
      </c>
      <c r="P330" s="21">
        <f t="shared" si="41"/>
        <v>631488405.68781996</v>
      </c>
      <c r="Q330" s="21">
        <f>P330*Calculation_Assumptions!$B$14*J330*K330</f>
        <v>0</v>
      </c>
      <c r="R330" s="21">
        <f t="shared" si="42"/>
        <v>4862921.5762286233</v>
      </c>
      <c r="S330" s="21">
        <f t="shared" si="43"/>
        <v>4862921.5762286233</v>
      </c>
      <c r="T330" s="32">
        <f>1/(1+Calculation_Assumptions!$B$8)^(B330-Calculation_Assumptions!$B$2)</f>
        <v>0.62316693922011435</v>
      </c>
      <c r="U330" s="21">
        <f t="shared" si="44"/>
        <v>0</v>
      </c>
      <c r="V330" s="21">
        <f t="shared" si="45"/>
        <v>3030411.954325845</v>
      </c>
      <c r="W330" s="21">
        <f t="shared" si="46"/>
        <v>3030411.954325845</v>
      </c>
      <c r="X330">
        <v>0</v>
      </c>
      <c r="Y330" s="18">
        <v>2017</v>
      </c>
      <c r="Z330" t="s">
        <v>387</v>
      </c>
      <c r="AA330" s="21">
        <f t="shared" si="47"/>
        <v>1</v>
      </c>
    </row>
    <row r="331" spans="1:27">
      <c r="A331" t="s">
        <v>261</v>
      </c>
      <c r="B331" s="18">
        <v>2042</v>
      </c>
      <c r="C331" t="s">
        <v>257</v>
      </c>
      <c r="D331" s="20" t="s">
        <v>407</v>
      </c>
      <c r="E331" s="20" t="s">
        <v>408</v>
      </c>
      <c r="F331" s="20" t="s">
        <v>260</v>
      </c>
      <c r="G331" s="20" t="s">
        <v>393</v>
      </c>
      <c r="H331" s="20" t="s">
        <v>384</v>
      </c>
      <c r="I331" s="29">
        <v>1</v>
      </c>
      <c r="J331" s="30">
        <v>1</v>
      </c>
      <c r="K331" s="31">
        <v>7.7000000000000002E-3</v>
      </c>
      <c r="L331" s="9">
        <v>634254666.60393</v>
      </c>
      <c r="M331" s="9">
        <v>634184560.98858297</v>
      </c>
      <c r="N331" s="32">
        <f>MIN(MAX((B331-Calculation_Assumptions!$B$5+1)/Calculation_Assumptions!$B$7,0),1)</f>
        <v>1</v>
      </c>
      <c r="O331" s="21">
        <f t="shared" si="40"/>
        <v>634254666.60393</v>
      </c>
      <c r="P331" s="21">
        <f t="shared" si="41"/>
        <v>634184560.98858297</v>
      </c>
      <c r="Q331" s="21">
        <f>P331*Calculation_Assumptions!$B$14*J331*K331</f>
        <v>0</v>
      </c>
      <c r="R331" s="21">
        <f t="shared" si="42"/>
        <v>4883760.9328502612</v>
      </c>
      <c r="S331" s="21">
        <f t="shared" si="43"/>
        <v>4883760.9328502612</v>
      </c>
      <c r="T331" s="32">
        <f>1/(1+Calculation_Assumptions!$B$8)^(B331-Calculation_Assumptions!$B$2)</f>
        <v>0.60501644584477121</v>
      </c>
      <c r="U331" s="21">
        <f t="shared" si="44"/>
        <v>0</v>
      </c>
      <c r="V331" s="21">
        <f t="shared" si="45"/>
        <v>2954755.6819486092</v>
      </c>
      <c r="W331" s="21">
        <f t="shared" si="46"/>
        <v>2954755.6819486092</v>
      </c>
      <c r="X331">
        <v>0</v>
      </c>
      <c r="Y331" s="18">
        <v>2017</v>
      </c>
      <c r="Z331" t="s">
        <v>387</v>
      </c>
      <c r="AA331" s="21">
        <f t="shared" si="47"/>
        <v>1</v>
      </c>
    </row>
    <row r="332" spans="1:27">
      <c r="A332" t="s">
        <v>261</v>
      </c>
      <c r="B332" s="18">
        <v>2043</v>
      </c>
      <c r="C332" t="s">
        <v>257</v>
      </c>
      <c r="D332" s="20" t="s">
        <v>407</v>
      </c>
      <c r="E332" s="20" t="s">
        <v>408</v>
      </c>
      <c r="F332" s="20" t="s">
        <v>260</v>
      </c>
      <c r="G332" s="20" t="s">
        <v>393</v>
      </c>
      <c r="H332" s="20" t="s">
        <v>384</v>
      </c>
      <c r="I332" s="29">
        <v>1</v>
      </c>
      <c r="J332" s="30">
        <v>1</v>
      </c>
      <c r="K332" s="31">
        <v>7.7000000000000002E-3</v>
      </c>
      <c r="L332" s="9">
        <v>636848307.38633502</v>
      </c>
      <c r="M332" s="9">
        <v>636767020.67603099</v>
      </c>
      <c r="N332" s="32">
        <f>MIN(MAX((B332-Calculation_Assumptions!$B$5+1)/Calculation_Assumptions!$B$7,0),1)</f>
        <v>1</v>
      </c>
      <c r="O332" s="21">
        <f t="shared" si="40"/>
        <v>636848307.38633502</v>
      </c>
      <c r="P332" s="21">
        <f t="shared" si="41"/>
        <v>636767020.67603099</v>
      </c>
      <c r="Q332" s="21">
        <f>P332*Calculation_Assumptions!$B$14*J332*K332</f>
        <v>0</v>
      </c>
      <c r="R332" s="21">
        <f t="shared" si="42"/>
        <v>4903731.9668747801</v>
      </c>
      <c r="S332" s="21">
        <f t="shared" si="43"/>
        <v>4903731.9668747801</v>
      </c>
      <c r="T332" s="32">
        <f>1/(1+Calculation_Assumptions!$B$8)^(B332-Calculation_Assumptions!$B$2)</f>
        <v>0.5873946076162827</v>
      </c>
      <c r="U332" s="21">
        <f t="shared" si="44"/>
        <v>0</v>
      </c>
      <c r="V332" s="21">
        <f t="shared" si="45"/>
        <v>2880425.7145378338</v>
      </c>
      <c r="W332" s="21">
        <f t="shared" si="46"/>
        <v>2880425.7145378338</v>
      </c>
      <c r="X332">
        <v>0</v>
      </c>
      <c r="Y332" s="18">
        <v>2017</v>
      </c>
      <c r="Z332" t="s">
        <v>387</v>
      </c>
      <c r="AA332" s="21">
        <f t="shared" si="47"/>
        <v>1</v>
      </c>
    </row>
    <row r="333" spans="1:27">
      <c r="A333" t="s">
        <v>261</v>
      </c>
      <c r="B333" s="18">
        <v>2044</v>
      </c>
      <c r="C333" t="s">
        <v>257</v>
      </c>
      <c r="D333" s="20" t="s">
        <v>407</v>
      </c>
      <c r="E333" s="20" t="s">
        <v>408</v>
      </c>
      <c r="F333" s="20" t="s">
        <v>260</v>
      </c>
      <c r="G333" s="20" t="s">
        <v>393</v>
      </c>
      <c r="H333" s="20" t="s">
        <v>384</v>
      </c>
      <c r="I333" s="29">
        <v>1</v>
      </c>
      <c r="J333" s="30">
        <v>1</v>
      </c>
      <c r="K333" s="31">
        <v>7.7000000000000002E-3</v>
      </c>
      <c r="L333" s="9">
        <v>639304629.09632599</v>
      </c>
      <c r="M333" s="9">
        <v>639211548.58069301</v>
      </c>
      <c r="N333" s="32">
        <f>MIN(MAX((B333-Calculation_Assumptions!$B$5+1)/Calculation_Assumptions!$B$7,0),1)</f>
        <v>1</v>
      </c>
      <c r="O333" s="21">
        <f t="shared" si="40"/>
        <v>639304629.09632599</v>
      </c>
      <c r="P333" s="21">
        <f t="shared" si="41"/>
        <v>639211548.58069301</v>
      </c>
      <c r="Q333" s="21">
        <f>P333*Calculation_Assumptions!$B$14*J333*K333</f>
        <v>0</v>
      </c>
      <c r="R333" s="21">
        <f t="shared" si="42"/>
        <v>4922645.6440417105</v>
      </c>
      <c r="S333" s="21">
        <f t="shared" si="43"/>
        <v>4922645.6440417105</v>
      </c>
      <c r="T333" s="32">
        <f>1/(1+Calculation_Assumptions!$B$8)^(B333-Calculation_Assumptions!$B$2)</f>
        <v>0.57028602681192497</v>
      </c>
      <c r="U333" s="21">
        <f t="shared" si="44"/>
        <v>0</v>
      </c>
      <c r="V333" s="21">
        <f t="shared" si="45"/>
        <v>2807316.0257435767</v>
      </c>
      <c r="W333" s="21">
        <f t="shared" si="46"/>
        <v>2807316.0257435767</v>
      </c>
      <c r="X333">
        <v>0</v>
      </c>
      <c r="Y333" s="18">
        <v>2017</v>
      </c>
      <c r="Z333" t="s">
        <v>387</v>
      </c>
      <c r="AA333" s="21">
        <f t="shared" si="47"/>
        <v>1</v>
      </c>
    </row>
    <row r="334" spans="1:27">
      <c r="A334" t="s">
        <v>261</v>
      </c>
      <c r="B334" s="18">
        <v>2045</v>
      </c>
      <c r="C334" t="s">
        <v>257</v>
      </c>
      <c r="D334" s="20" t="s">
        <v>407</v>
      </c>
      <c r="E334" s="20" t="s">
        <v>408</v>
      </c>
      <c r="F334" s="20" t="s">
        <v>260</v>
      </c>
      <c r="G334" s="20" t="s">
        <v>393</v>
      </c>
      <c r="H334" s="20" t="s">
        <v>384</v>
      </c>
      <c r="I334" s="29">
        <v>1</v>
      </c>
      <c r="J334" s="30">
        <v>1</v>
      </c>
      <c r="K334" s="31">
        <v>7.7000000000000002E-3</v>
      </c>
      <c r="L334" s="9">
        <v>641626327.48536897</v>
      </c>
      <c r="M334" s="9">
        <v>641520754.67294204</v>
      </c>
      <c r="N334" s="32">
        <f>MIN(MAX((B334-Calculation_Assumptions!$B$5+1)/Calculation_Assumptions!$B$7,0),1)</f>
        <v>1</v>
      </c>
      <c r="O334" s="21">
        <f t="shared" si="40"/>
        <v>641626327.48536897</v>
      </c>
      <c r="P334" s="21">
        <f t="shared" si="41"/>
        <v>641520754.67294204</v>
      </c>
      <c r="Q334" s="21">
        <f>P334*Calculation_Assumptions!$B$14*J334*K334</f>
        <v>0</v>
      </c>
      <c r="R334" s="21">
        <f t="shared" si="42"/>
        <v>4940522.7216373412</v>
      </c>
      <c r="S334" s="21">
        <f t="shared" si="43"/>
        <v>4940522.7216373412</v>
      </c>
      <c r="T334" s="32">
        <f>1/(1+Calculation_Assumptions!$B$8)^(B334-Calculation_Assumptions!$B$2)</f>
        <v>0.55367575418633497</v>
      </c>
      <c r="U334" s="21">
        <f t="shared" si="44"/>
        <v>0</v>
      </c>
      <c r="V334" s="21">
        <f t="shared" si="45"/>
        <v>2735447.6439772793</v>
      </c>
      <c r="W334" s="21">
        <f t="shared" si="46"/>
        <v>2735447.6439772793</v>
      </c>
      <c r="X334">
        <v>0</v>
      </c>
      <c r="Y334" s="18">
        <v>2017</v>
      </c>
      <c r="Z334" t="s">
        <v>387</v>
      </c>
      <c r="AA334" s="21">
        <f t="shared" si="47"/>
        <v>1</v>
      </c>
    </row>
    <row r="335" spans="1:27">
      <c r="A335" t="s">
        <v>261</v>
      </c>
      <c r="B335" s="18">
        <v>2046</v>
      </c>
      <c r="C335" t="s">
        <v>257</v>
      </c>
      <c r="D335" s="20" t="s">
        <v>407</v>
      </c>
      <c r="E335" s="20" t="s">
        <v>408</v>
      </c>
      <c r="F335" s="20" t="s">
        <v>260</v>
      </c>
      <c r="G335" s="20" t="s">
        <v>393</v>
      </c>
      <c r="H335" s="20" t="s">
        <v>384</v>
      </c>
      <c r="I335" s="29">
        <v>1</v>
      </c>
      <c r="J335" s="30">
        <v>1</v>
      </c>
      <c r="K335" s="31">
        <v>7.7000000000000002E-3</v>
      </c>
      <c r="L335" s="9">
        <v>643816055.11385906</v>
      </c>
      <c r="M335" s="9">
        <v>643697330.762573</v>
      </c>
      <c r="N335" s="32">
        <f>MIN(MAX((B335-Calculation_Assumptions!$B$5+1)/Calculation_Assumptions!$B$7,0),1)</f>
        <v>1</v>
      </c>
      <c r="O335" s="21">
        <f t="shared" si="40"/>
        <v>643816055.11385906</v>
      </c>
      <c r="P335" s="21">
        <f t="shared" si="41"/>
        <v>643697330.762573</v>
      </c>
      <c r="Q335" s="21">
        <f>P335*Calculation_Assumptions!$B$14*J335*K335</f>
        <v>0</v>
      </c>
      <c r="R335" s="21">
        <f t="shared" si="42"/>
        <v>4957383.6243767152</v>
      </c>
      <c r="S335" s="21">
        <f t="shared" si="43"/>
        <v>4957383.6243767152</v>
      </c>
      <c r="T335" s="32">
        <f>1/(1+Calculation_Assumptions!$B$8)^(B335-Calculation_Assumptions!$B$2)</f>
        <v>0.5375492759090631</v>
      </c>
      <c r="U335" s="21">
        <f t="shared" si="44"/>
        <v>0</v>
      </c>
      <c r="V335" s="21">
        <f t="shared" si="45"/>
        <v>2664837.9776871502</v>
      </c>
      <c r="W335" s="21">
        <f t="shared" si="46"/>
        <v>2664837.9776871502</v>
      </c>
      <c r="X335">
        <v>0</v>
      </c>
      <c r="Y335" s="18">
        <v>2017</v>
      </c>
      <c r="Z335" t="s">
        <v>387</v>
      </c>
      <c r="AA335" s="21">
        <f t="shared" si="47"/>
        <v>1</v>
      </c>
    </row>
    <row r="336" spans="1:27">
      <c r="A336" t="s">
        <v>261</v>
      </c>
      <c r="B336" s="18">
        <v>2047</v>
      </c>
      <c r="C336" t="s">
        <v>257</v>
      </c>
      <c r="D336" s="20" t="s">
        <v>407</v>
      </c>
      <c r="E336" s="20" t="s">
        <v>408</v>
      </c>
      <c r="F336" s="20" t="s">
        <v>260</v>
      </c>
      <c r="G336" s="20" t="s">
        <v>393</v>
      </c>
      <c r="H336" s="20" t="s">
        <v>384</v>
      </c>
      <c r="I336" s="29">
        <v>1</v>
      </c>
      <c r="J336" s="30">
        <v>1</v>
      </c>
      <c r="K336" s="31">
        <v>7.7000000000000002E-3</v>
      </c>
      <c r="L336" s="9">
        <v>645878404.31326604</v>
      </c>
      <c r="M336" s="9">
        <v>645745914.53009498</v>
      </c>
      <c r="N336" s="32">
        <f>MIN(MAX((B336-Calculation_Assumptions!$B$5+1)/Calculation_Assumptions!$B$7,0),1)</f>
        <v>1</v>
      </c>
      <c r="O336" s="21">
        <f t="shared" si="40"/>
        <v>645878404.31326604</v>
      </c>
      <c r="P336" s="21">
        <f t="shared" si="41"/>
        <v>645745914.53009498</v>
      </c>
      <c r="Q336" s="21">
        <f>P336*Calculation_Assumptions!$B$14*J336*K336</f>
        <v>0</v>
      </c>
      <c r="R336" s="21">
        <f t="shared" si="42"/>
        <v>4973263.7132121483</v>
      </c>
      <c r="S336" s="21">
        <f t="shared" si="43"/>
        <v>4973263.7132121483</v>
      </c>
      <c r="T336" s="32">
        <f>1/(1+Calculation_Assumptions!$B$8)^(B336-Calculation_Assumptions!$B$2)</f>
        <v>0.52189250088258554</v>
      </c>
      <c r="U336" s="21">
        <f t="shared" si="44"/>
        <v>0</v>
      </c>
      <c r="V336" s="21">
        <f t="shared" si="45"/>
        <v>2595509.0368369017</v>
      </c>
      <c r="W336" s="21">
        <f t="shared" si="46"/>
        <v>2595509.0368369017</v>
      </c>
      <c r="X336">
        <v>0</v>
      </c>
      <c r="Y336" s="18">
        <v>2017</v>
      </c>
      <c r="Z336" t="s">
        <v>387</v>
      </c>
      <c r="AA336" s="21">
        <f t="shared" si="47"/>
        <v>1</v>
      </c>
    </row>
    <row r="337" spans="1:27">
      <c r="A337" t="s">
        <v>261</v>
      </c>
      <c r="B337" s="18">
        <v>2048</v>
      </c>
      <c r="C337" t="s">
        <v>257</v>
      </c>
      <c r="D337" s="20" t="s">
        <v>407</v>
      </c>
      <c r="E337" s="20" t="s">
        <v>408</v>
      </c>
      <c r="F337" s="20" t="s">
        <v>260</v>
      </c>
      <c r="G337" s="20" t="s">
        <v>393</v>
      </c>
      <c r="H337" s="20" t="s">
        <v>384</v>
      </c>
      <c r="I337" s="29">
        <v>1</v>
      </c>
      <c r="J337" s="30">
        <v>1</v>
      </c>
      <c r="K337" s="31">
        <v>7.7000000000000002E-3</v>
      </c>
      <c r="L337" s="9">
        <v>647813614.46323705</v>
      </c>
      <c r="M337" s="9">
        <v>647666796.64810395</v>
      </c>
      <c r="N337" s="32">
        <f>MIN(MAX((B337-Calculation_Assumptions!$B$5+1)/Calculation_Assumptions!$B$7,0),1)</f>
        <v>1</v>
      </c>
      <c r="O337" s="21">
        <f t="shared" si="40"/>
        <v>647813614.46323705</v>
      </c>
      <c r="P337" s="21">
        <f t="shared" si="41"/>
        <v>647666796.64810395</v>
      </c>
      <c r="Q337" s="21">
        <f>P337*Calculation_Assumptions!$B$14*J337*K337</f>
        <v>0</v>
      </c>
      <c r="R337" s="21">
        <f t="shared" si="42"/>
        <v>4988164.8313669255</v>
      </c>
      <c r="S337" s="21">
        <f t="shared" si="43"/>
        <v>4988164.8313669255</v>
      </c>
      <c r="T337" s="32">
        <f>1/(1+Calculation_Assumptions!$B$8)^(B337-Calculation_Assumptions!$B$2)</f>
        <v>0.50669174842969467</v>
      </c>
      <c r="U337" s="21">
        <f t="shared" si="44"/>
        <v>0</v>
      </c>
      <c r="V337" s="21">
        <f t="shared" si="45"/>
        <v>2527461.9598608203</v>
      </c>
      <c r="W337" s="21">
        <f t="shared" si="46"/>
        <v>2527461.9598608203</v>
      </c>
      <c r="X337">
        <v>0</v>
      </c>
      <c r="Y337" s="18">
        <v>2017</v>
      </c>
      <c r="Z337" t="s">
        <v>387</v>
      </c>
      <c r="AA337" s="21">
        <f t="shared" si="47"/>
        <v>1</v>
      </c>
    </row>
    <row r="338" spans="1:27">
      <c r="A338" t="s">
        <v>261</v>
      </c>
      <c r="B338" s="18">
        <v>2049</v>
      </c>
      <c r="C338" t="s">
        <v>257</v>
      </c>
      <c r="D338" s="20" t="s">
        <v>407</v>
      </c>
      <c r="E338" s="20" t="s">
        <v>408</v>
      </c>
      <c r="F338" s="20" t="s">
        <v>260</v>
      </c>
      <c r="G338" s="20" t="s">
        <v>393</v>
      </c>
      <c r="H338" s="20" t="s">
        <v>384</v>
      </c>
      <c r="I338" s="29">
        <v>1</v>
      </c>
      <c r="J338" s="30">
        <v>1</v>
      </c>
      <c r="K338" s="31">
        <v>7.7000000000000002E-3</v>
      </c>
      <c r="L338" s="9">
        <v>649583152.733042</v>
      </c>
      <c r="M338" s="9">
        <v>649421968.02473402</v>
      </c>
      <c r="N338" s="32">
        <f>MIN(MAX((B338-Calculation_Assumptions!$B$5+1)/Calculation_Assumptions!$B$7,0),1)</f>
        <v>1</v>
      </c>
      <c r="O338" s="21">
        <f t="shared" si="40"/>
        <v>649583152.733042</v>
      </c>
      <c r="P338" s="21">
        <f t="shared" si="41"/>
        <v>649421968.02473402</v>
      </c>
      <c r="Q338" s="21">
        <f>P338*Calculation_Assumptions!$B$14*J338*K338</f>
        <v>0</v>
      </c>
      <c r="R338" s="21">
        <f t="shared" si="42"/>
        <v>5001790.2760444237</v>
      </c>
      <c r="S338" s="21">
        <f t="shared" si="43"/>
        <v>5001790.2760444237</v>
      </c>
      <c r="T338" s="32">
        <f>1/(1+Calculation_Assumptions!$B$8)^(B338-Calculation_Assumptions!$B$2)</f>
        <v>0.49193373633950943</v>
      </c>
      <c r="U338" s="21">
        <f t="shared" si="44"/>
        <v>0</v>
      </c>
      <c r="V338" s="21">
        <f t="shared" si="45"/>
        <v>2460549.3788811597</v>
      </c>
      <c r="W338" s="21">
        <f t="shared" si="46"/>
        <v>2460549.3788811597</v>
      </c>
      <c r="X338">
        <v>0</v>
      </c>
      <c r="Y338" s="18">
        <v>2017</v>
      </c>
      <c r="Z338" t="s">
        <v>387</v>
      </c>
      <c r="AA338" s="21">
        <f t="shared" si="47"/>
        <v>1</v>
      </c>
    </row>
    <row r="339" spans="1:27">
      <c r="A339" t="s">
        <v>261</v>
      </c>
      <c r="B339" s="18">
        <v>2050</v>
      </c>
      <c r="C339" t="s">
        <v>257</v>
      </c>
      <c r="D339" s="20" t="s">
        <v>407</v>
      </c>
      <c r="E339" s="20" t="s">
        <v>408</v>
      </c>
      <c r="F339" s="20" t="s">
        <v>260</v>
      </c>
      <c r="G339" s="20" t="s">
        <v>393</v>
      </c>
      <c r="H339" s="20" t="s">
        <v>384</v>
      </c>
      <c r="I339" s="29">
        <v>1</v>
      </c>
      <c r="J339" s="30">
        <v>1</v>
      </c>
      <c r="K339" s="31">
        <v>7.7000000000000002E-3</v>
      </c>
      <c r="L339" s="9">
        <v>651250848.26256704</v>
      </c>
      <c r="M339" s="9">
        <v>651074457.25957894</v>
      </c>
      <c r="N339" s="32">
        <f>MIN(MAX((B339-Calculation_Assumptions!$B$5+1)/Calculation_Assumptions!$B$7,0),1)</f>
        <v>1</v>
      </c>
      <c r="O339" s="21">
        <f t="shared" si="40"/>
        <v>651250848.26256704</v>
      </c>
      <c r="P339" s="21">
        <f t="shared" si="41"/>
        <v>651074457.25957894</v>
      </c>
      <c r="Q339" s="21">
        <f>P339*Calculation_Assumptions!$B$14*J339*K339</f>
        <v>0</v>
      </c>
      <c r="R339" s="21">
        <f t="shared" si="42"/>
        <v>5014631.5316217663</v>
      </c>
      <c r="S339" s="21">
        <f t="shared" si="43"/>
        <v>5014631.5316217663</v>
      </c>
      <c r="T339" s="32">
        <f>1/(1+Calculation_Assumptions!$B$8)^(B339-Calculation_Assumptions!$B$2)</f>
        <v>0.47760556926165965</v>
      </c>
      <c r="U339" s="21">
        <f t="shared" si="44"/>
        <v>0</v>
      </c>
      <c r="V339" s="21">
        <f t="shared" si="45"/>
        <v>2395015.9472976821</v>
      </c>
      <c r="W339" s="21">
        <f t="shared" si="46"/>
        <v>2395015.9472976821</v>
      </c>
      <c r="X339">
        <v>0</v>
      </c>
      <c r="Y339" s="18">
        <v>2017</v>
      </c>
      <c r="Z339" t="s">
        <v>387</v>
      </c>
      <c r="AA339" s="21">
        <f t="shared" si="47"/>
        <v>1</v>
      </c>
    </row>
    <row r="340" spans="1:27">
      <c r="A340" t="s">
        <v>261</v>
      </c>
      <c r="B340" s="18">
        <v>2025</v>
      </c>
      <c r="C340" t="s">
        <v>265</v>
      </c>
      <c r="D340" s="20" t="s">
        <v>409</v>
      </c>
      <c r="E340" s="20" t="s">
        <v>410</v>
      </c>
      <c r="F340" s="20" t="s">
        <v>268</v>
      </c>
      <c r="G340" s="20" t="s">
        <v>393</v>
      </c>
      <c r="H340" s="20" t="s">
        <v>384</v>
      </c>
      <c r="I340" s="29">
        <v>1</v>
      </c>
      <c r="J340" s="30">
        <v>1</v>
      </c>
      <c r="K340" s="31">
        <v>7.7000000000000002E-3</v>
      </c>
      <c r="L340" s="9">
        <v>575134853.59312999</v>
      </c>
      <c r="M340" s="9">
        <v>575134853.59312999</v>
      </c>
      <c r="N340" s="32">
        <f>MIN(MAX((B340-Calculation_Assumptions!$B$5+1)/Calculation_Assumptions!$B$7,0),1)</f>
        <v>0</v>
      </c>
      <c r="O340" s="21">
        <f t="shared" si="40"/>
        <v>575134853.59312999</v>
      </c>
      <c r="P340" s="21">
        <f t="shared" si="41"/>
        <v>575134853.59312999</v>
      </c>
      <c r="Q340" s="21">
        <f>P340*Calculation_Assumptions!$B$14*J340*K340</f>
        <v>0</v>
      </c>
      <c r="R340" s="21">
        <f t="shared" si="42"/>
        <v>0</v>
      </c>
      <c r="S340" s="21">
        <f t="shared" si="43"/>
        <v>0</v>
      </c>
      <c r="T340" s="32">
        <f>1/(1+Calculation_Assumptions!$B$8)^(B340-Calculation_Assumptions!$B$2)</f>
        <v>1</v>
      </c>
      <c r="U340" s="21">
        <f t="shared" si="44"/>
        <v>0</v>
      </c>
      <c r="V340" s="21">
        <f t="shared" si="45"/>
        <v>0</v>
      </c>
      <c r="W340" s="21">
        <f t="shared" si="46"/>
        <v>0</v>
      </c>
      <c r="X340">
        <v>0</v>
      </c>
      <c r="Y340" s="18">
        <v>2017</v>
      </c>
      <c r="Z340" t="s">
        <v>387</v>
      </c>
      <c r="AA340" s="21">
        <f t="shared" si="47"/>
        <v>1</v>
      </c>
    </row>
    <row r="341" spans="1:27">
      <c r="A341" t="s">
        <v>261</v>
      </c>
      <c r="B341" s="18">
        <v>2026</v>
      </c>
      <c r="C341" t="s">
        <v>265</v>
      </c>
      <c r="D341" s="20" t="s">
        <v>409</v>
      </c>
      <c r="E341" s="20" t="s">
        <v>410</v>
      </c>
      <c r="F341" s="20" t="s">
        <v>268</v>
      </c>
      <c r="G341" s="20" t="s">
        <v>393</v>
      </c>
      <c r="H341" s="20" t="s">
        <v>384</v>
      </c>
      <c r="I341" s="29">
        <v>1</v>
      </c>
      <c r="J341" s="30">
        <v>1</v>
      </c>
      <c r="K341" s="31">
        <v>7.7000000000000002E-3</v>
      </c>
      <c r="L341" s="9">
        <v>579268647.32329595</v>
      </c>
      <c r="M341" s="9">
        <v>579268647.32329595</v>
      </c>
      <c r="N341" s="32">
        <f>MIN(MAX((B341-Calculation_Assumptions!$B$5+1)/Calculation_Assumptions!$B$7,0),1)</f>
        <v>0.33333333333333331</v>
      </c>
      <c r="O341" s="21">
        <f t="shared" si="40"/>
        <v>579268647.32329595</v>
      </c>
      <c r="P341" s="21">
        <f t="shared" si="41"/>
        <v>579268647.32329595</v>
      </c>
      <c r="Q341" s="21">
        <f>P341*Calculation_Assumptions!$B$14*J341*K341</f>
        <v>0</v>
      </c>
      <c r="R341" s="21">
        <f t="shared" si="42"/>
        <v>1486789.528129793</v>
      </c>
      <c r="S341" s="21">
        <f t="shared" si="43"/>
        <v>1486789.528129793</v>
      </c>
      <c r="T341" s="32">
        <f>1/(1+Calculation_Assumptions!$B$8)^(B341-Calculation_Assumptions!$B$2)</f>
        <v>0.970873786407767</v>
      </c>
      <c r="U341" s="21">
        <f t="shared" si="44"/>
        <v>0</v>
      </c>
      <c r="V341" s="21">
        <f t="shared" si="45"/>
        <v>1443484.9787667894</v>
      </c>
      <c r="W341" s="21">
        <f t="shared" si="46"/>
        <v>1443484.9787667894</v>
      </c>
      <c r="X341">
        <v>0</v>
      </c>
      <c r="Y341" s="18">
        <v>2017</v>
      </c>
      <c r="Z341" t="s">
        <v>387</v>
      </c>
      <c r="AA341" s="21">
        <f t="shared" si="47"/>
        <v>1</v>
      </c>
    </row>
    <row r="342" spans="1:27">
      <c r="A342" t="s">
        <v>261</v>
      </c>
      <c r="B342" s="18">
        <v>2027</v>
      </c>
      <c r="C342" t="s">
        <v>265</v>
      </c>
      <c r="D342" s="20" t="s">
        <v>409</v>
      </c>
      <c r="E342" s="20" t="s">
        <v>410</v>
      </c>
      <c r="F342" s="20" t="s">
        <v>268</v>
      </c>
      <c r="G342" s="20" t="s">
        <v>393</v>
      </c>
      <c r="H342" s="20" t="s">
        <v>384</v>
      </c>
      <c r="I342" s="29">
        <v>1</v>
      </c>
      <c r="J342" s="30">
        <v>1</v>
      </c>
      <c r="K342" s="31">
        <v>7.7000000000000002E-3</v>
      </c>
      <c r="L342" s="9">
        <v>583039014.28645599</v>
      </c>
      <c r="M342" s="9">
        <v>583039014.28645599</v>
      </c>
      <c r="N342" s="32">
        <f>MIN(MAX((B342-Calculation_Assumptions!$B$5+1)/Calculation_Assumptions!$B$7,0),1)</f>
        <v>0.66666666666666663</v>
      </c>
      <c r="O342" s="21">
        <f t="shared" si="40"/>
        <v>583039014.28645599</v>
      </c>
      <c r="P342" s="21">
        <f t="shared" si="41"/>
        <v>583039014.28645599</v>
      </c>
      <c r="Q342" s="21">
        <f>P342*Calculation_Assumptions!$B$14*J342*K342</f>
        <v>0</v>
      </c>
      <c r="R342" s="21">
        <f t="shared" si="42"/>
        <v>2992933.6066704742</v>
      </c>
      <c r="S342" s="21">
        <f t="shared" si="43"/>
        <v>2992933.6066704742</v>
      </c>
      <c r="T342" s="32">
        <f>1/(1+Calculation_Assumptions!$B$8)^(B342-Calculation_Assumptions!$B$2)</f>
        <v>0.94259590913375435</v>
      </c>
      <c r="U342" s="21">
        <f t="shared" si="44"/>
        <v>0</v>
      </c>
      <c r="V342" s="21">
        <f t="shared" si="45"/>
        <v>2821126.9739565221</v>
      </c>
      <c r="W342" s="21">
        <f t="shared" si="46"/>
        <v>2821126.9739565221</v>
      </c>
      <c r="X342">
        <v>0</v>
      </c>
      <c r="Y342" s="18">
        <v>2017</v>
      </c>
      <c r="Z342" t="s">
        <v>387</v>
      </c>
      <c r="AA342" s="21">
        <f t="shared" si="47"/>
        <v>1</v>
      </c>
    </row>
    <row r="343" spans="1:27">
      <c r="A343" t="s">
        <v>261</v>
      </c>
      <c r="B343" s="18">
        <v>2028</v>
      </c>
      <c r="C343" t="s">
        <v>265</v>
      </c>
      <c r="D343" s="20" t="s">
        <v>409</v>
      </c>
      <c r="E343" s="20" t="s">
        <v>410</v>
      </c>
      <c r="F343" s="20" t="s">
        <v>268</v>
      </c>
      <c r="G343" s="20" t="s">
        <v>393</v>
      </c>
      <c r="H343" s="20" t="s">
        <v>384</v>
      </c>
      <c r="I343" s="29">
        <v>1</v>
      </c>
      <c r="J343" s="30">
        <v>1</v>
      </c>
      <c r="K343" s="31">
        <v>7.7000000000000002E-3</v>
      </c>
      <c r="L343" s="9">
        <v>587035116.25746298</v>
      </c>
      <c r="M343" s="9">
        <v>587035116.25746298</v>
      </c>
      <c r="N343" s="32">
        <f>MIN(MAX((B343-Calculation_Assumptions!$B$5+1)/Calculation_Assumptions!$B$7,0),1)</f>
        <v>1</v>
      </c>
      <c r="O343" s="21">
        <f t="shared" si="40"/>
        <v>587035116.25746298</v>
      </c>
      <c r="P343" s="21">
        <f t="shared" si="41"/>
        <v>587035116.25746298</v>
      </c>
      <c r="Q343" s="21">
        <f>P343*Calculation_Assumptions!$B$14*J343*K343</f>
        <v>0</v>
      </c>
      <c r="R343" s="21">
        <f t="shared" si="42"/>
        <v>4520170.3951824652</v>
      </c>
      <c r="S343" s="21">
        <f t="shared" si="43"/>
        <v>4520170.3951824652</v>
      </c>
      <c r="T343" s="32">
        <f>1/(1+Calculation_Assumptions!$B$8)^(B343-Calculation_Assumptions!$B$2)</f>
        <v>0.91514165935315961</v>
      </c>
      <c r="U343" s="21">
        <f t="shared" si="44"/>
        <v>0</v>
      </c>
      <c r="V343" s="21">
        <f t="shared" si="45"/>
        <v>4136596.2360063083</v>
      </c>
      <c r="W343" s="21">
        <f t="shared" si="46"/>
        <v>4136596.2360063083</v>
      </c>
      <c r="X343">
        <v>0</v>
      </c>
      <c r="Y343" s="18">
        <v>2017</v>
      </c>
      <c r="Z343" t="s">
        <v>387</v>
      </c>
      <c r="AA343" s="21">
        <f t="shared" si="47"/>
        <v>1</v>
      </c>
    </row>
    <row r="344" spans="1:27">
      <c r="A344" t="s">
        <v>261</v>
      </c>
      <c r="B344" s="18">
        <v>2029</v>
      </c>
      <c r="C344" t="s">
        <v>265</v>
      </c>
      <c r="D344" s="20" t="s">
        <v>409</v>
      </c>
      <c r="E344" s="20" t="s">
        <v>410</v>
      </c>
      <c r="F344" s="20" t="s">
        <v>268</v>
      </c>
      <c r="G344" s="20" t="s">
        <v>393</v>
      </c>
      <c r="H344" s="20" t="s">
        <v>384</v>
      </c>
      <c r="I344" s="29">
        <v>1</v>
      </c>
      <c r="J344" s="30">
        <v>1</v>
      </c>
      <c r="K344" s="31">
        <v>7.7000000000000002E-3</v>
      </c>
      <c r="L344" s="9">
        <v>590968392.43223906</v>
      </c>
      <c r="M344" s="9">
        <v>590968059.72178304</v>
      </c>
      <c r="N344" s="32">
        <f>MIN(MAX((B344-Calculation_Assumptions!$B$5+1)/Calculation_Assumptions!$B$7,0),1)</f>
        <v>1</v>
      </c>
      <c r="O344" s="21">
        <f t="shared" si="40"/>
        <v>590968392.43223906</v>
      </c>
      <c r="P344" s="21">
        <f t="shared" si="41"/>
        <v>590968059.72178304</v>
      </c>
      <c r="Q344" s="21">
        <f>P344*Calculation_Assumptions!$B$14*J344*K344</f>
        <v>0</v>
      </c>
      <c r="R344" s="21">
        <f t="shared" si="42"/>
        <v>4550456.6217282405</v>
      </c>
      <c r="S344" s="21">
        <f t="shared" si="43"/>
        <v>4550456.6217282405</v>
      </c>
      <c r="T344" s="32">
        <f>1/(1+Calculation_Assumptions!$B$8)^(B344-Calculation_Assumptions!$B$2)</f>
        <v>0.888487047915689</v>
      </c>
      <c r="U344" s="21">
        <f t="shared" si="44"/>
        <v>0</v>
      </c>
      <c r="V344" s="21">
        <f t="shared" si="45"/>
        <v>4043021.7705077236</v>
      </c>
      <c r="W344" s="21">
        <f t="shared" si="46"/>
        <v>4043021.7705077236</v>
      </c>
      <c r="X344">
        <v>0</v>
      </c>
      <c r="Y344" s="18">
        <v>2017</v>
      </c>
      <c r="Z344" t="s">
        <v>387</v>
      </c>
      <c r="AA344" s="21">
        <f t="shared" si="47"/>
        <v>1</v>
      </c>
    </row>
    <row r="345" spans="1:27">
      <c r="A345" t="s">
        <v>261</v>
      </c>
      <c r="B345" s="18">
        <v>2030</v>
      </c>
      <c r="C345" t="s">
        <v>265</v>
      </c>
      <c r="D345" s="20" t="s">
        <v>409</v>
      </c>
      <c r="E345" s="20" t="s">
        <v>410</v>
      </c>
      <c r="F345" s="20" t="s">
        <v>268</v>
      </c>
      <c r="G345" s="20" t="s">
        <v>393</v>
      </c>
      <c r="H345" s="20" t="s">
        <v>384</v>
      </c>
      <c r="I345" s="29">
        <v>1</v>
      </c>
      <c r="J345" s="30">
        <v>1</v>
      </c>
      <c r="K345" s="31">
        <v>7.7000000000000002E-3</v>
      </c>
      <c r="L345" s="9">
        <v>594809185.37344694</v>
      </c>
      <c r="M345" s="9">
        <v>594808018.62654305</v>
      </c>
      <c r="N345" s="32">
        <f>MIN(MAX((B345-Calculation_Assumptions!$B$5+1)/Calculation_Assumptions!$B$7,0),1)</f>
        <v>1</v>
      </c>
      <c r="O345" s="21">
        <f t="shared" si="40"/>
        <v>594809185.37344694</v>
      </c>
      <c r="P345" s="21">
        <f t="shared" si="41"/>
        <v>594808018.62654305</v>
      </c>
      <c r="Q345" s="21">
        <f>P345*Calculation_Assumptions!$B$14*J345*K345</f>
        <v>0</v>
      </c>
      <c r="R345" s="21">
        <f t="shared" si="42"/>
        <v>4580030.7273755418</v>
      </c>
      <c r="S345" s="21">
        <f t="shared" si="43"/>
        <v>4580030.7273755418</v>
      </c>
      <c r="T345" s="32">
        <f>1/(1+Calculation_Assumptions!$B$8)^(B345-Calculation_Assumptions!$B$2)</f>
        <v>0.86260878438416411</v>
      </c>
      <c r="U345" s="21">
        <f t="shared" si="44"/>
        <v>0</v>
      </c>
      <c r="V345" s="21">
        <f t="shared" si="45"/>
        <v>3950774.7381835352</v>
      </c>
      <c r="W345" s="21">
        <f t="shared" si="46"/>
        <v>3950774.7381835352</v>
      </c>
      <c r="X345">
        <v>0</v>
      </c>
      <c r="Y345" s="18">
        <v>2017</v>
      </c>
      <c r="Z345" t="s">
        <v>387</v>
      </c>
      <c r="AA345" s="21">
        <f t="shared" si="47"/>
        <v>1</v>
      </c>
    </row>
    <row r="346" spans="1:27">
      <c r="A346" t="s">
        <v>261</v>
      </c>
      <c r="B346" s="18">
        <v>2031</v>
      </c>
      <c r="C346" t="s">
        <v>265</v>
      </c>
      <c r="D346" s="20" t="s">
        <v>409</v>
      </c>
      <c r="E346" s="20" t="s">
        <v>410</v>
      </c>
      <c r="F346" s="20" t="s">
        <v>268</v>
      </c>
      <c r="G346" s="20" t="s">
        <v>393</v>
      </c>
      <c r="H346" s="20" t="s">
        <v>384</v>
      </c>
      <c r="I346" s="29">
        <v>1</v>
      </c>
      <c r="J346" s="30">
        <v>1</v>
      </c>
      <c r="K346" s="31">
        <v>7.7000000000000002E-3</v>
      </c>
      <c r="L346" s="9">
        <v>598583986.45626998</v>
      </c>
      <c r="M346" s="9">
        <v>598581381.03442597</v>
      </c>
      <c r="N346" s="32">
        <f>MIN(MAX((B346-Calculation_Assumptions!$B$5+1)/Calculation_Assumptions!$B$7,0),1)</f>
        <v>1</v>
      </c>
      <c r="O346" s="21">
        <f t="shared" si="40"/>
        <v>598583986.45626998</v>
      </c>
      <c r="P346" s="21">
        <f t="shared" si="41"/>
        <v>598581381.03442597</v>
      </c>
      <c r="Q346" s="21">
        <f>P346*Calculation_Assumptions!$B$14*J346*K346</f>
        <v>0</v>
      </c>
      <c r="R346" s="21">
        <f t="shared" si="42"/>
        <v>4609096.6957132788</v>
      </c>
      <c r="S346" s="21">
        <f t="shared" si="43"/>
        <v>4609096.6957132788</v>
      </c>
      <c r="T346" s="32">
        <f>1/(1+Calculation_Assumptions!$B$8)^(B346-Calculation_Assumptions!$B$2)</f>
        <v>0.83748425668365445</v>
      </c>
      <c r="U346" s="21">
        <f t="shared" si="44"/>
        <v>0</v>
      </c>
      <c r="V346" s="21">
        <f t="shared" si="45"/>
        <v>3860045.9201925234</v>
      </c>
      <c r="W346" s="21">
        <f t="shared" si="46"/>
        <v>3860045.9201925234</v>
      </c>
      <c r="X346">
        <v>0</v>
      </c>
      <c r="Y346" s="18">
        <v>2017</v>
      </c>
      <c r="Z346" t="s">
        <v>387</v>
      </c>
      <c r="AA346" s="21">
        <f t="shared" si="47"/>
        <v>1</v>
      </c>
    </row>
    <row r="347" spans="1:27">
      <c r="A347" t="s">
        <v>261</v>
      </c>
      <c r="B347" s="18">
        <v>2032</v>
      </c>
      <c r="C347" t="s">
        <v>265</v>
      </c>
      <c r="D347" s="20" t="s">
        <v>409</v>
      </c>
      <c r="E347" s="20" t="s">
        <v>410</v>
      </c>
      <c r="F347" s="20" t="s">
        <v>268</v>
      </c>
      <c r="G347" s="20" t="s">
        <v>393</v>
      </c>
      <c r="H347" s="20" t="s">
        <v>384</v>
      </c>
      <c r="I347" s="29">
        <v>1</v>
      </c>
      <c r="J347" s="30">
        <v>1</v>
      </c>
      <c r="K347" s="31">
        <v>7.7000000000000002E-3</v>
      </c>
      <c r="L347" s="9">
        <v>602271308.24823296</v>
      </c>
      <c r="M347" s="9">
        <v>602283583.58638096</v>
      </c>
      <c r="N347" s="32">
        <f>MIN(MAX((B347-Calculation_Assumptions!$B$5+1)/Calculation_Assumptions!$B$7,0),1)</f>
        <v>1</v>
      </c>
      <c r="O347" s="21">
        <f t="shared" si="40"/>
        <v>602271308.24823296</v>
      </c>
      <c r="P347" s="21">
        <f t="shared" si="41"/>
        <v>602283583.58638096</v>
      </c>
      <c r="Q347" s="21">
        <f>P347*Calculation_Assumptions!$B$14*J347*K347</f>
        <v>0</v>
      </c>
      <c r="R347" s="21">
        <f t="shared" si="42"/>
        <v>4637489.0735113937</v>
      </c>
      <c r="S347" s="21">
        <f t="shared" si="43"/>
        <v>4637489.0735113937</v>
      </c>
      <c r="T347" s="32">
        <f>1/(1+Calculation_Assumptions!$B$8)^(B347-Calculation_Assumptions!$B$2)</f>
        <v>0.81309151134335378</v>
      </c>
      <c r="U347" s="21">
        <f t="shared" si="44"/>
        <v>0</v>
      </c>
      <c r="V347" s="21">
        <f t="shared" si="45"/>
        <v>3770702.9996196688</v>
      </c>
      <c r="W347" s="21">
        <f t="shared" si="46"/>
        <v>3770702.9996196688</v>
      </c>
      <c r="X347">
        <v>0</v>
      </c>
      <c r="Y347" s="18">
        <v>2017</v>
      </c>
      <c r="Z347" t="s">
        <v>387</v>
      </c>
      <c r="AA347" s="21">
        <f t="shared" si="47"/>
        <v>1</v>
      </c>
    </row>
    <row r="348" spans="1:27">
      <c r="A348" t="s">
        <v>261</v>
      </c>
      <c r="B348" s="18">
        <v>2033</v>
      </c>
      <c r="C348" t="s">
        <v>265</v>
      </c>
      <c r="D348" s="20" t="s">
        <v>409</v>
      </c>
      <c r="E348" s="20" t="s">
        <v>410</v>
      </c>
      <c r="F348" s="20" t="s">
        <v>268</v>
      </c>
      <c r="G348" s="20" t="s">
        <v>393</v>
      </c>
      <c r="H348" s="20" t="s">
        <v>384</v>
      </c>
      <c r="I348" s="29">
        <v>1</v>
      </c>
      <c r="J348" s="30">
        <v>1</v>
      </c>
      <c r="K348" s="31">
        <v>7.7000000000000002E-3</v>
      </c>
      <c r="L348" s="9">
        <v>605901775.35738206</v>
      </c>
      <c r="M348" s="9">
        <v>605911902.99473</v>
      </c>
      <c r="N348" s="32">
        <f>MIN(MAX((B348-Calculation_Assumptions!$B$5+1)/Calculation_Assumptions!$B$7,0),1)</f>
        <v>1</v>
      </c>
      <c r="O348" s="21">
        <f t="shared" si="40"/>
        <v>605901775.35738206</v>
      </c>
      <c r="P348" s="21">
        <f t="shared" si="41"/>
        <v>605911902.99473</v>
      </c>
      <c r="Q348" s="21">
        <f>P348*Calculation_Assumptions!$B$14*J348*K348</f>
        <v>0</v>
      </c>
      <c r="R348" s="21">
        <f t="shared" si="42"/>
        <v>4665443.6702518417</v>
      </c>
      <c r="S348" s="21">
        <f t="shared" si="43"/>
        <v>4665443.6702518417</v>
      </c>
      <c r="T348" s="32">
        <f>1/(1+Calculation_Assumptions!$B$8)^(B348-Calculation_Assumptions!$B$2)</f>
        <v>0.78940923431393573</v>
      </c>
      <c r="U348" s="21">
        <f t="shared" si="44"/>
        <v>0</v>
      </c>
      <c r="V348" s="21">
        <f t="shared" si="45"/>
        <v>3682944.3154683043</v>
      </c>
      <c r="W348" s="21">
        <f t="shared" si="46"/>
        <v>3682944.3154683043</v>
      </c>
      <c r="X348">
        <v>0</v>
      </c>
      <c r="Y348" s="18">
        <v>2017</v>
      </c>
      <c r="Z348" t="s">
        <v>387</v>
      </c>
      <c r="AA348" s="21">
        <f t="shared" si="47"/>
        <v>1</v>
      </c>
    </row>
    <row r="349" spans="1:27">
      <c r="A349" t="s">
        <v>261</v>
      </c>
      <c r="B349" s="18">
        <v>2034</v>
      </c>
      <c r="C349" t="s">
        <v>265</v>
      </c>
      <c r="D349" s="20" t="s">
        <v>409</v>
      </c>
      <c r="E349" s="20" t="s">
        <v>410</v>
      </c>
      <c r="F349" s="20" t="s">
        <v>268</v>
      </c>
      <c r="G349" s="20" t="s">
        <v>393</v>
      </c>
      <c r="H349" s="20" t="s">
        <v>384</v>
      </c>
      <c r="I349" s="29">
        <v>1</v>
      </c>
      <c r="J349" s="30">
        <v>1</v>
      </c>
      <c r="K349" s="31">
        <v>7.7000000000000002E-3</v>
      </c>
      <c r="L349" s="9">
        <v>609448325.65479696</v>
      </c>
      <c r="M349" s="9">
        <v>609455548.12077105</v>
      </c>
      <c r="N349" s="32">
        <f>MIN(MAX((B349-Calculation_Assumptions!$B$5+1)/Calculation_Assumptions!$B$7,0),1)</f>
        <v>1</v>
      </c>
      <c r="O349" s="21">
        <f t="shared" si="40"/>
        <v>609448325.65479696</v>
      </c>
      <c r="P349" s="21">
        <f t="shared" si="41"/>
        <v>609455548.12077105</v>
      </c>
      <c r="Q349" s="21">
        <f>P349*Calculation_Assumptions!$B$14*J349*K349</f>
        <v>0</v>
      </c>
      <c r="R349" s="21">
        <f t="shared" si="42"/>
        <v>4692752.1075419364</v>
      </c>
      <c r="S349" s="21">
        <f t="shared" si="43"/>
        <v>4692752.1075419364</v>
      </c>
      <c r="T349" s="32">
        <f>1/(1+Calculation_Assumptions!$B$8)^(B349-Calculation_Assumptions!$B$2)</f>
        <v>0.76641673234362695</v>
      </c>
      <c r="U349" s="21">
        <f t="shared" si="44"/>
        <v>0</v>
      </c>
      <c r="V349" s="21">
        <f t="shared" si="45"/>
        <v>3596603.7359609595</v>
      </c>
      <c r="W349" s="21">
        <f t="shared" si="46"/>
        <v>3596603.7359609595</v>
      </c>
      <c r="X349">
        <v>0</v>
      </c>
      <c r="Y349" s="18">
        <v>2017</v>
      </c>
      <c r="Z349" t="s">
        <v>387</v>
      </c>
      <c r="AA349" s="21">
        <f t="shared" si="47"/>
        <v>1</v>
      </c>
    </row>
    <row r="350" spans="1:27">
      <c r="A350" t="s">
        <v>261</v>
      </c>
      <c r="B350" s="18">
        <v>2035</v>
      </c>
      <c r="C350" t="s">
        <v>265</v>
      </c>
      <c r="D350" s="20" t="s">
        <v>409</v>
      </c>
      <c r="E350" s="20" t="s">
        <v>410</v>
      </c>
      <c r="F350" s="20" t="s">
        <v>268</v>
      </c>
      <c r="G350" s="20" t="s">
        <v>393</v>
      </c>
      <c r="H350" s="20" t="s">
        <v>384</v>
      </c>
      <c r="I350" s="29">
        <v>1</v>
      </c>
      <c r="J350" s="30">
        <v>1</v>
      </c>
      <c r="K350" s="31">
        <v>7.7000000000000002E-3</v>
      </c>
      <c r="L350" s="9">
        <v>612899936.06014502</v>
      </c>
      <c r="M350" s="9">
        <v>612884294.47334194</v>
      </c>
      <c r="N350" s="32">
        <f>MIN(MAX((B350-Calculation_Assumptions!$B$5+1)/Calculation_Assumptions!$B$7,0),1)</f>
        <v>1</v>
      </c>
      <c r="O350" s="21">
        <f t="shared" si="40"/>
        <v>612899936.06014502</v>
      </c>
      <c r="P350" s="21">
        <f t="shared" si="41"/>
        <v>612884294.47334194</v>
      </c>
      <c r="Q350" s="21">
        <f>P350*Calculation_Assumptions!$B$14*J350*K350</f>
        <v>0</v>
      </c>
      <c r="R350" s="21">
        <f t="shared" si="42"/>
        <v>4719329.5076631168</v>
      </c>
      <c r="S350" s="21">
        <f t="shared" si="43"/>
        <v>4719329.5076631168</v>
      </c>
      <c r="T350" s="32">
        <f>1/(1+Calculation_Assumptions!$B$8)^(B350-Calculation_Assumptions!$B$2)</f>
        <v>0.74409391489672516</v>
      </c>
      <c r="U350" s="21">
        <f t="shared" si="44"/>
        <v>0</v>
      </c>
      <c r="V350" s="21">
        <f t="shared" si="45"/>
        <v>3511624.3690446829</v>
      </c>
      <c r="W350" s="21">
        <f t="shared" si="46"/>
        <v>3511624.3690446829</v>
      </c>
      <c r="X350">
        <v>0</v>
      </c>
      <c r="Y350" s="18">
        <v>2017</v>
      </c>
      <c r="Z350" t="s">
        <v>387</v>
      </c>
      <c r="AA350" s="21">
        <f t="shared" si="47"/>
        <v>1</v>
      </c>
    </row>
    <row r="351" spans="1:27">
      <c r="A351" t="s">
        <v>261</v>
      </c>
      <c r="B351" s="18">
        <v>2036</v>
      </c>
      <c r="C351" t="s">
        <v>265</v>
      </c>
      <c r="D351" s="20" t="s">
        <v>409</v>
      </c>
      <c r="E351" s="20" t="s">
        <v>410</v>
      </c>
      <c r="F351" s="20" t="s">
        <v>268</v>
      </c>
      <c r="G351" s="20" t="s">
        <v>393</v>
      </c>
      <c r="H351" s="20" t="s">
        <v>384</v>
      </c>
      <c r="I351" s="29">
        <v>1</v>
      </c>
      <c r="J351" s="30">
        <v>1</v>
      </c>
      <c r="K351" s="31">
        <v>7.7000000000000002E-3</v>
      </c>
      <c r="L351" s="9">
        <v>616263238.10217798</v>
      </c>
      <c r="M351" s="9">
        <v>616262053.85817397</v>
      </c>
      <c r="N351" s="32">
        <f>MIN(MAX((B351-Calculation_Assumptions!$B$5+1)/Calculation_Assumptions!$B$7,0),1)</f>
        <v>1</v>
      </c>
      <c r="O351" s="21">
        <f t="shared" si="40"/>
        <v>616263238.10217798</v>
      </c>
      <c r="P351" s="21">
        <f t="shared" si="41"/>
        <v>616262053.85817397</v>
      </c>
      <c r="Q351" s="21">
        <f>P351*Calculation_Assumptions!$B$14*J351*K351</f>
        <v>0</v>
      </c>
      <c r="R351" s="21">
        <f t="shared" si="42"/>
        <v>4745226.933386771</v>
      </c>
      <c r="S351" s="21">
        <f t="shared" si="43"/>
        <v>4745226.933386771</v>
      </c>
      <c r="T351" s="32">
        <f>1/(1+Calculation_Assumptions!$B$8)^(B351-Calculation_Assumptions!$B$2)</f>
        <v>0.72242127659876232</v>
      </c>
      <c r="U351" s="21">
        <f t="shared" si="44"/>
        <v>0</v>
      </c>
      <c r="V351" s="21">
        <f t="shared" si="45"/>
        <v>3428052.898968101</v>
      </c>
      <c r="W351" s="21">
        <f t="shared" si="46"/>
        <v>3428052.898968101</v>
      </c>
      <c r="X351">
        <v>0</v>
      </c>
      <c r="Y351" s="18">
        <v>2017</v>
      </c>
      <c r="Z351" t="s">
        <v>387</v>
      </c>
      <c r="AA351" s="21">
        <f t="shared" si="47"/>
        <v>1</v>
      </c>
    </row>
    <row r="352" spans="1:27">
      <c r="A352" t="s">
        <v>261</v>
      </c>
      <c r="B352" s="18">
        <v>2037</v>
      </c>
      <c r="C352" t="s">
        <v>265</v>
      </c>
      <c r="D352" s="20" t="s">
        <v>409</v>
      </c>
      <c r="E352" s="20" t="s">
        <v>410</v>
      </c>
      <c r="F352" s="20" t="s">
        <v>268</v>
      </c>
      <c r="G352" s="20" t="s">
        <v>393</v>
      </c>
      <c r="H352" s="20" t="s">
        <v>384</v>
      </c>
      <c r="I352" s="29">
        <v>1</v>
      </c>
      <c r="J352" s="30">
        <v>1</v>
      </c>
      <c r="K352" s="31">
        <v>7.7000000000000002E-3</v>
      </c>
      <c r="L352" s="9">
        <v>619536077.34479904</v>
      </c>
      <c r="M352" s="9">
        <v>619529380.90729904</v>
      </c>
      <c r="N352" s="32">
        <f>MIN(MAX((B352-Calculation_Assumptions!$B$5+1)/Calculation_Assumptions!$B$7,0),1)</f>
        <v>1</v>
      </c>
      <c r="O352" s="21">
        <f t="shared" si="40"/>
        <v>619536077.34479904</v>
      </c>
      <c r="P352" s="21">
        <f t="shared" si="41"/>
        <v>619529380.90729904</v>
      </c>
      <c r="Q352" s="21">
        <f>P352*Calculation_Assumptions!$B$14*J352*K352</f>
        <v>0</v>
      </c>
      <c r="R352" s="21">
        <f t="shared" si="42"/>
        <v>4770427.7955549527</v>
      </c>
      <c r="S352" s="21">
        <f t="shared" si="43"/>
        <v>4770427.7955549527</v>
      </c>
      <c r="T352" s="32">
        <f>1/(1+Calculation_Assumptions!$B$8)^(B352-Calculation_Assumptions!$B$2)</f>
        <v>0.70137988019297326</v>
      </c>
      <c r="U352" s="21">
        <f t="shared" si="44"/>
        <v>0</v>
      </c>
      <c r="V352" s="21">
        <f t="shared" si="45"/>
        <v>3345882.0757155623</v>
      </c>
      <c r="W352" s="21">
        <f t="shared" si="46"/>
        <v>3345882.0757155623</v>
      </c>
      <c r="X352">
        <v>0</v>
      </c>
      <c r="Y352" s="18">
        <v>2017</v>
      </c>
      <c r="Z352" t="s">
        <v>387</v>
      </c>
      <c r="AA352" s="21">
        <f t="shared" si="47"/>
        <v>1</v>
      </c>
    </row>
    <row r="353" spans="1:27">
      <c r="A353" t="s">
        <v>261</v>
      </c>
      <c r="B353" s="18">
        <v>2038</v>
      </c>
      <c r="C353" t="s">
        <v>265</v>
      </c>
      <c r="D353" s="20" t="s">
        <v>409</v>
      </c>
      <c r="E353" s="20" t="s">
        <v>410</v>
      </c>
      <c r="F353" s="20" t="s">
        <v>268</v>
      </c>
      <c r="G353" s="20" t="s">
        <v>393</v>
      </c>
      <c r="H353" s="20" t="s">
        <v>384</v>
      </c>
      <c r="I353" s="29">
        <v>1</v>
      </c>
      <c r="J353" s="30">
        <v>1</v>
      </c>
      <c r="K353" s="31">
        <v>7.7000000000000002E-3</v>
      </c>
      <c r="L353" s="9">
        <v>622707153.56091797</v>
      </c>
      <c r="M353" s="9">
        <v>622673191.62836504</v>
      </c>
      <c r="N353" s="32">
        <f>MIN(MAX((B353-Calculation_Assumptions!$B$5+1)/Calculation_Assumptions!$B$7,0),1)</f>
        <v>1</v>
      </c>
      <c r="O353" s="21">
        <f t="shared" si="40"/>
        <v>622707153.56091797</v>
      </c>
      <c r="P353" s="21">
        <f t="shared" si="41"/>
        <v>622673191.62836504</v>
      </c>
      <c r="Q353" s="21">
        <f>P353*Calculation_Assumptions!$B$14*J353*K353</f>
        <v>0</v>
      </c>
      <c r="R353" s="21">
        <f t="shared" si="42"/>
        <v>4794845.0824190686</v>
      </c>
      <c r="S353" s="21">
        <f t="shared" si="43"/>
        <v>4794845.0824190686</v>
      </c>
      <c r="T353" s="32">
        <f>1/(1+Calculation_Assumptions!$B$8)^(B353-Calculation_Assumptions!$B$2)</f>
        <v>0.68095133999317792</v>
      </c>
      <c r="U353" s="21">
        <f t="shared" si="44"/>
        <v>0</v>
      </c>
      <c r="V353" s="21">
        <f t="shared" si="45"/>
        <v>3265056.1839329642</v>
      </c>
      <c r="W353" s="21">
        <f t="shared" si="46"/>
        <v>3265056.1839329642</v>
      </c>
      <c r="X353">
        <v>0</v>
      </c>
      <c r="Y353" s="18">
        <v>2017</v>
      </c>
      <c r="Z353" t="s">
        <v>387</v>
      </c>
      <c r="AA353" s="21">
        <f t="shared" si="47"/>
        <v>1</v>
      </c>
    </row>
    <row r="354" spans="1:27">
      <c r="A354" t="s">
        <v>261</v>
      </c>
      <c r="B354" s="18">
        <v>2039</v>
      </c>
      <c r="C354" t="s">
        <v>265</v>
      </c>
      <c r="D354" s="20" t="s">
        <v>409</v>
      </c>
      <c r="E354" s="20" t="s">
        <v>410</v>
      </c>
      <c r="F354" s="20" t="s">
        <v>268</v>
      </c>
      <c r="G354" s="20" t="s">
        <v>393</v>
      </c>
      <c r="H354" s="20" t="s">
        <v>384</v>
      </c>
      <c r="I354" s="29">
        <v>1</v>
      </c>
      <c r="J354" s="30">
        <v>1</v>
      </c>
      <c r="K354" s="31">
        <v>7.7000000000000002E-3</v>
      </c>
      <c r="L354" s="9">
        <v>625773517.33344197</v>
      </c>
      <c r="M354" s="9">
        <v>625731758.218045</v>
      </c>
      <c r="N354" s="32">
        <f>MIN(MAX((B354-Calculation_Assumptions!$B$5+1)/Calculation_Assumptions!$B$7,0),1)</f>
        <v>1</v>
      </c>
      <c r="O354" s="21">
        <f t="shared" si="40"/>
        <v>625773517.33344197</v>
      </c>
      <c r="P354" s="21">
        <f t="shared" si="41"/>
        <v>625731758.218045</v>
      </c>
      <c r="Q354" s="21">
        <f>P354*Calculation_Assumptions!$B$14*J354*K354</f>
        <v>0</v>
      </c>
      <c r="R354" s="21">
        <f t="shared" si="42"/>
        <v>4818456.0834675031</v>
      </c>
      <c r="S354" s="21">
        <f t="shared" si="43"/>
        <v>4818456.0834675031</v>
      </c>
      <c r="T354" s="32">
        <f>1/(1+Calculation_Assumptions!$B$8)^(B354-Calculation_Assumptions!$B$2)</f>
        <v>0.66111780581861923</v>
      </c>
      <c r="U354" s="21">
        <f t="shared" si="44"/>
        <v>0</v>
      </c>
      <c r="V354" s="21">
        <f t="shared" si="45"/>
        <v>3185567.1133354134</v>
      </c>
      <c r="W354" s="21">
        <f t="shared" si="46"/>
        <v>3185567.1133354134</v>
      </c>
      <c r="X354">
        <v>0</v>
      </c>
      <c r="Y354" s="18">
        <v>2017</v>
      </c>
      <c r="Z354" t="s">
        <v>387</v>
      </c>
      <c r="AA354" s="21">
        <f t="shared" si="47"/>
        <v>1</v>
      </c>
    </row>
    <row r="355" spans="1:27">
      <c r="A355" t="s">
        <v>261</v>
      </c>
      <c r="B355" s="18">
        <v>2040</v>
      </c>
      <c r="C355" t="s">
        <v>265</v>
      </c>
      <c r="D355" s="20" t="s">
        <v>409</v>
      </c>
      <c r="E355" s="20" t="s">
        <v>410</v>
      </c>
      <c r="F355" s="20" t="s">
        <v>268</v>
      </c>
      <c r="G355" s="20" t="s">
        <v>393</v>
      </c>
      <c r="H355" s="20" t="s">
        <v>384</v>
      </c>
      <c r="I355" s="29">
        <v>1</v>
      </c>
      <c r="J355" s="30">
        <v>1</v>
      </c>
      <c r="K355" s="31">
        <v>7.7000000000000002E-3</v>
      </c>
      <c r="L355" s="9">
        <v>628717893.59963703</v>
      </c>
      <c r="M355" s="9">
        <v>628667498.21665299</v>
      </c>
      <c r="N355" s="32">
        <f>MIN(MAX((B355-Calculation_Assumptions!$B$5+1)/Calculation_Assumptions!$B$7,0),1)</f>
        <v>1</v>
      </c>
      <c r="O355" s="21">
        <f t="shared" si="40"/>
        <v>628717893.59963703</v>
      </c>
      <c r="P355" s="21">
        <f t="shared" si="41"/>
        <v>628667498.21665299</v>
      </c>
      <c r="Q355" s="21">
        <f>P355*Calculation_Assumptions!$B$14*J355*K355</f>
        <v>0</v>
      </c>
      <c r="R355" s="21">
        <f t="shared" si="42"/>
        <v>4841127.7807172053</v>
      </c>
      <c r="S355" s="21">
        <f t="shared" si="43"/>
        <v>4841127.7807172053</v>
      </c>
      <c r="T355" s="32">
        <f>1/(1+Calculation_Assumptions!$B$8)^(B355-Calculation_Assumptions!$B$2)</f>
        <v>0.64186194739671765</v>
      </c>
      <c r="U355" s="21">
        <f t="shared" si="44"/>
        <v>0</v>
      </c>
      <c r="V355" s="21">
        <f t="shared" si="45"/>
        <v>3107335.7049274952</v>
      </c>
      <c r="W355" s="21">
        <f t="shared" si="46"/>
        <v>3107335.7049274952</v>
      </c>
      <c r="X355">
        <v>0</v>
      </c>
      <c r="Y355" s="18">
        <v>2017</v>
      </c>
      <c r="Z355" t="s">
        <v>387</v>
      </c>
      <c r="AA355" s="21">
        <f t="shared" si="47"/>
        <v>1</v>
      </c>
    </row>
    <row r="356" spans="1:27">
      <c r="A356" t="s">
        <v>261</v>
      </c>
      <c r="B356" s="18">
        <v>2041</v>
      </c>
      <c r="C356" t="s">
        <v>265</v>
      </c>
      <c r="D356" s="20" t="s">
        <v>409</v>
      </c>
      <c r="E356" s="20" t="s">
        <v>410</v>
      </c>
      <c r="F356" s="20" t="s">
        <v>268</v>
      </c>
      <c r="G356" s="20" t="s">
        <v>393</v>
      </c>
      <c r="H356" s="20" t="s">
        <v>384</v>
      </c>
      <c r="I356" s="29">
        <v>1</v>
      </c>
      <c r="J356" s="30">
        <v>1</v>
      </c>
      <c r="K356" s="31">
        <v>7.7000000000000002E-3</v>
      </c>
      <c r="L356" s="9">
        <v>631548256.65306795</v>
      </c>
      <c r="M356" s="9">
        <v>631488405.68781996</v>
      </c>
      <c r="N356" s="32">
        <f>MIN(MAX((B356-Calculation_Assumptions!$B$5+1)/Calculation_Assumptions!$B$7,0),1)</f>
        <v>1</v>
      </c>
      <c r="O356" s="21">
        <f t="shared" si="40"/>
        <v>631548256.65306795</v>
      </c>
      <c r="P356" s="21">
        <f t="shared" si="41"/>
        <v>631488405.68781996</v>
      </c>
      <c r="Q356" s="21">
        <f>P356*Calculation_Assumptions!$B$14*J356*K356</f>
        <v>0</v>
      </c>
      <c r="R356" s="21">
        <f t="shared" si="42"/>
        <v>4862921.5762286233</v>
      </c>
      <c r="S356" s="21">
        <f t="shared" si="43"/>
        <v>4862921.5762286233</v>
      </c>
      <c r="T356" s="32">
        <f>1/(1+Calculation_Assumptions!$B$8)^(B356-Calculation_Assumptions!$B$2)</f>
        <v>0.62316693922011435</v>
      </c>
      <c r="U356" s="21">
        <f t="shared" si="44"/>
        <v>0</v>
      </c>
      <c r="V356" s="21">
        <f t="shared" si="45"/>
        <v>3030411.954325845</v>
      </c>
      <c r="W356" s="21">
        <f t="shared" si="46"/>
        <v>3030411.954325845</v>
      </c>
      <c r="X356">
        <v>0</v>
      </c>
      <c r="Y356" s="18">
        <v>2017</v>
      </c>
      <c r="Z356" t="s">
        <v>387</v>
      </c>
      <c r="AA356" s="21">
        <f t="shared" si="47"/>
        <v>1</v>
      </c>
    </row>
    <row r="357" spans="1:27">
      <c r="A357" t="s">
        <v>261</v>
      </c>
      <c r="B357" s="18">
        <v>2042</v>
      </c>
      <c r="C357" t="s">
        <v>265</v>
      </c>
      <c r="D357" s="20" t="s">
        <v>409</v>
      </c>
      <c r="E357" s="20" t="s">
        <v>410</v>
      </c>
      <c r="F357" s="20" t="s">
        <v>268</v>
      </c>
      <c r="G357" s="20" t="s">
        <v>393</v>
      </c>
      <c r="H357" s="20" t="s">
        <v>384</v>
      </c>
      <c r="I357" s="29">
        <v>1</v>
      </c>
      <c r="J357" s="30">
        <v>1</v>
      </c>
      <c r="K357" s="31">
        <v>7.7000000000000002E-3</v>
      </c>
      <c r="L357" s="9">
        <v>634254666.60393</v>
      </c>
      <c r="M357" s="9">
        <v>634184560.98858297</v>
      </c>
      <c r="N357" s="32">
        <f>MIN(MAX((B357-Calculation_Assumptions!$B$5+1)/Calculation_Assumptions!$B$7,0),1)</f>
        <v>1</v>
      </c>
      <c r="O357" s="21">
        <f t="shared" si="40"/>
        <v>634254666.60393</v>
      </c>
      <c r="P357" s="21">
        <f t="shared" si="41"/>
        <v>634184560.98858297</v>
      </c>
      <c r="Q357" s="21">
        <f>P357*Calculation_Assumptions!$B$14*J357*K357</f>
        <v>0</v>
      </c>
      <c r="R357" s="21">
        <f t="shared" si="42"/>
        <v>4883760.9328502612</v>
      </c>
      <c r="S357" s="21">
        <f t="shared" si="43"/>
        <v>4883760.9328502612</v>
      </c>
      <c r="T357" s="32">
        <f>1/(1+Calculation_Assumptions!$B$8)^(B357-Calculation_Assumptions!$B$2)</f>
        <v>0.60501644584477121</v>
      </c>
      <c r="U357" s="21">
        <f t="shared" si="44"/>
        <v>0</v>
      </c>
      <c r="V357" s="21">
        <f t="shared" si="45"/>
        <v>2954755.6819486092</v>
      </c>
      <c r="W357" s="21">
        <f t="shared" si="46"/>
        <v>2954755.6819486092</v>
      </c>
      <c r="X357">
        <v>0</v>
      </c>
      <c r="Y357" s="18">
        <v>2017</v>
      </c>
      <c r="Z357" t="s">
        <v>387</v>
      </c>
      <c r="AA357" s="21">
        <f t="shared" si="47"/>
        <v>1</v>
      </c>
    </row>
    <row r="358" spans="1:27">
      <c r="A358" t="s">
        <v>261</v>
      </c>
      <c r="B358" s="18">
        <v>2043</v>
      </c>
      <c r="C358" t="s">
        <v>265</v>
      </c>
      <c r="D358" s="20" t="s">
        <v>409</v>
      </c>
      <c r="E358" s="20" t="s">
        <v>410</v>
      </c>
      <c r="F358" s="20" t="s">
        <v>268</v>
      </c>
      <c r="G358" s="20" t="s">
        <v>393</v>
      </c>
      <c r="H358" s="20" t="s">
        <v>384</v>
      </c>
      <c r="I358" s="29">
        <v>1</v>
      </c>
      <c r="J358" s="30">
        <v>1</v>
      </c>
      <c r="K358" s="31">
        <v>7.7000000000000002E-3</v>
      </c>
      <c r="L358" s="9">
        <v>636848307.38633502</v>
      </c>
      <c r="M358" s="9">
        <v>636767020.67603099</v>
      </c>
      <c r="N358" s="32">
        <f>MIN(MAX((B358-Calculation_Assumptions!$B$5+1)/Calculation_Assumptions!$B$7,0),1)</f>
        <v>1</v>
      </c>
      <c r="O358" s="21">
        <f t="shared" si="40"/>
        <v>636848307.38633502</v>
      </c>
      <c r="P358" s="21">
        <f t="shared" si="41"/>
        <v>636767020.67603099</v>
      </c>
      <c r="Q358" s="21">
        <f>P358*Calculation_Assumptions!$B$14*J358*K358</f>
        <v>0</v>
      </c>
      <c r="R358" s="21">
        <f t="shared" si="42"/>
        <v>4903731.9668747801</v>
      </c>
      <c r="S358" s="21">
        <f t="shared" si="43"/>
        <v>4903731.9668747801</v>
      </c>
      <c r="T358" s="32">
        <f>1/(1+Calculation_Assumptions!$B$8)^(B358-Calculation_Assumptions!$B$2)</f>
        <v>0.5873946076162827</v>
      </c>
      <c r="U358" s="21">
        <f t="shared" si="44"/>
        <v>0</v>
      </c>
      <c r="V358" s="21">
        <f t="shared" si="45"/>
        <v>2880425.7145378338</v>
      </c>
      <c r="W358" s="21">
        <f t="shared" si="46"/>
        <v>2880425.7145378338</v>
      </c>
      <c r="X358">
        <v>0</v>
      </c>
      <c r="Y358" s="18">
        <v>2017</v>
      </c>
      <c r="Z358" t="s">
        <v>387</v>
      </c>
      <c r="AA358" s="21">
        <f t="shared" si="47"/>
        <v>1</v>
      </c>
    </row>
    <row r="359" spans="1:27">
      <c r="A359" t="s">
        <v>261</v>
      </c>
      <c r="B359" s="18">
        <v>2044</v>
      </c>
      <c r="C359" t="s">
        <v>265</v>
      </c>
      <c r="D359" s="20" t="s">
        <v>409</v>
      </c>
      <c r="E359" s="20" t="s">
        <v>410</v>
      </c>
      <c r="F359" s="20" t="s">
        <v>268</v>
      </c>
      <c r="G359" s="20" t="s">
        <v>393</v>
      </c>
      <c r="H359" s="20" t="s">
        <v>384</v>
      </c>
      <c r="I359" s="29">
        <v>1</v>
      </c>
      <c r="J359" s="30">
        <v>1</v>
      </c>
      <c r="K359" s="31">
        <v>7.7000000000000002E-3</v>
      </c>
      <c r="L359" s="9">
        <v>639304629.09632599</v>
      </c>
      <c r="M359" s="9">
        <v>639211548.58069301</v>
      </c>
      <c r="N359" s="32">
        <f>MIN(MAX((B359-Calculation_Assumptions!$B$5+1)/Calculation_Assumptions!$B$7,0),1)</f>
        <v>1</v>
      </c>
      <c r="O359" s="21">
        <f t="shared" si="40"/>
        <v>639304629.09632599</v>
      </c>
      <c r="P359" s="21">
        <f t="shared" si="41"/>
        <v>639211548.58069301</v>
      </c>
      <c r="Q359" s="21">
        <f>P359*Calculation_Assumptions!$B$14*J359*K359</f>
        <v>0</v>
      </c>
      <c r="R359" s="21">
        <f t="shared" si="42"/>
        <v>4922645.6440417105</v>
      </c>
      <c r="S359" s="21">
        <f t="shared" si="43"/>
        <v>4922645.6440417105</v>
      </c>
      <c r="T359" s="32">
        <f>1/(1+Calculation_Assumptions!$B$8)^(B359-Calculation_Assumptions!$B$2)</f>
        <v>0.57028602681192497</v>
      </c>
      <c r="U359" s="21">
        <f t="shared" si="44"/>
        <v>0</v>
      </c>
      <c r="V359" s="21">
        <f t="shared" si="45"/>
        <v>2807316.0257435767</v>
      </c>
      <c r="W359" s="21">
        <f t="shared" si="46"/>
        <v>2807316.0257435767</v>
      </c>
      <c r="X359">
        <v>0</v>
      </c>
      <c r="Y359" s="18">
        <v>2017</v>
      </c>
      <c r="Z359" t="s">
        <v>387</v>
      </c>
      <c r="AA359" s="21">
        <f t="shared" si="47"/>
        <v>1</v>
      </c>
    </row>
    <row r="360" spans="1:27">
      <c r="A360" t="s">
        <v>261</v>
      </c>
      <c r="B360" s="18">
        <v>2045</v>
      </c>
      <c r="C360" t="s">
        <v>265</v>
      </c>
      <c r="D360" s="20" t="s">
        <v>409</v>
      </c>
      <c r="E360" s="20" t="s">
        <v>410</v>
      </c>
      <c r="F360" s="20" t="s">
        <v>268</v>
      </c>
      <c r="G360" s="20" t="s">
        <v>393</v>
      </c>
      <c r="H360" s="20" t="s">
        <v>384</v>
      </c>
      <c r="I360" s="29">
        <v>1</v>
      </c>
      <c r="J360" s="30">
        <v>1</v>
      </c>
      <c r="K360" s="31">
        <v>7.7000000000000002E-3</v>
      </c>
      <c r="L360" s="9">
        <v>641626327.48536897</v>
      </c>
      <c r="M360" s="9">
        <v>641520754.67294204</v>
      </c>
      <c r="N360" s="32">
        <f>MIN(MAX((B360-Calculation_Assumptions!$B$5+1)/Calculation_Assumptions!$B$7,0),1)</f>
        <v>1</v>
      </c>
      <c r="O360" s="21">
        <f t="shared" si="40"/>
        <v>641626327.48536897</v>
      </c>
      <c r="P360" s="21">
        <f t="shared" si="41"/>
        <v>641520754.67294204</v>
      </c>
      <c r="Q360" s="21">
        <f>P360*Calculation_Assumptions!$B$14*J360*K360</f>
        <v>0</v>
      </c>
      <c r="R360" s="21">
        <f t="shared" si="42"/>
        <v>4940522.7216373412</v>
      </c>
      <c r="S360" s="21">
        <f t="shared" si="43"/>
        <v>4940522.7216373412</v>
      </c>
      <c r="T360" s="32">
        <f>1/(1+Calculation_Assumptions!$B$8)^(B360-Calculation_Assumptions!$B$2)</f>
        <v>0.55367575418633497</v>
      </c>
      <c r="U360" s="21">
        <f t="shared" si="44"/>
        <v>0</v>
      </c>
      <c r="V360" s="21">
        <f t="shared" si="45"/>
        <v>2735447.6439772793</v>
      </c>
      <c r="W360" s="21">
        <f t="shared" si="46"/>
        <v>2735447.6439772793</v>
      </c>
      <c r="X360">
        <v>0</v>
      </c>
      <c r="Y360" s="18">
        <v>2017</v>
      </c>
      <c r="Z360" t="s">
        <v>387</v>
      </c>
      <c r="AA360" s="21">
        <f t="shared" si="47"/>
        <v>1</v>
      </c>
    </row>
    <row r="361" spans="1:27">
      <c r="A361" t="s">
        <v>261</v>
      </c>
      <c r="B361" s="18">
        <v>2046</v>
      </c>
      <c r="C361" t="s">
        <v>265</v>
      </c>
      <c r="D361" s="20" t="s">
        <v>409</v>
      </c>
      <c r="E361" s="20" t="s">
        <v>410</v>
      </c>
      <c r="F361" s="20" t="s">
        <v>268</v>
      </c>
      <c r="G361" s="20" t="s">
        <v>393</v>
      </c>
      <c r="H361" s="20" t="s">
        <v>384</v>
      </c>
      <c r="I361" s="29">
        <v>1</v>
      </c>
      <c r="J361" s="30">
        <v>1</v>
      </c>
      <c r="K361" s="31">
        <v>7.7000000000000002E-3</v>
      </c>
      <c r="L361" s="9">
        <v>643816055.11385906</v>
      </c>
      <c r="M361" s="9">
        <v>643697330.762573</v>
      </c>
      <c r="N361" s="32">
        <f>MIN(MAX((B361-Calculation_Assumptions!$B$5+1)/Calculation_Assumptions!$B$7,0),1)</f>
        <v>1</v>
      </c>
      <c r="O361" s="21">
        <f t="shared" si="40"/>
        <v>643816055.11385906</v>
      </c>
      <c r="P361" s="21">
        <f t="shared" si="41"/>
        <v>643697330.762573</v>
      </c>
      <c r="Q361" s="21">
        <f>P361*Calculation_Assumptions!$B$14*J361*K361</f>
        <v>0</v>
      </c>
      <c r="R361" s="21">
        <f t="shared" si="42"/>
        <v>4957383.6243767152</v>
      </c>
      <c r="S361" s="21">
        <f t="shared" si="43"/>
        <v>4957383.6243767152</v>
      </c>
      <c r="T361" s="32">
        <f>1/(1+Calculation_Assumptions!$B$8)^(B361-Calculation_Assumptions!$B$2)</f>
        <v>0.5375492759090631</v>
      </c>
      <c r="U361" s="21">
        <f t="shared" si="44"/>
        <v>0</v>
      </c>
      <c r="V361" s="21">
        <f t="shared" si="45"/>
        <v>2664837.9776871502</v>
      </c>
      <c r="W361" s="21">
        <f t="shared" si="46"/>
        <v>2664837.9776871502</v>
      </c>
      <c r="X361">
        <v>0</v>
      </c>
      <c r="Y361" s="18">
        <v>2017</v>
      </c>
      <c r="Z361" t="s">
        <v>387</v>
      </c>
      <c r="AA361" s="21">
        <f t="shared" si="47"/>
        <v>1</v>
      </c>
    </row>
    <row r="362" spans="1:27">
      <c r="A362" t="s">
        <v>261</v>
      </c>
      <c r="B362" s="18">
        <v>2047</v>
      </c>
      <c r="C362" t="s">
        <v>265</v>
      </c>
      <c r="D362" s="20" t="s">
        <v>409</v>
      </c>
      <c r="E362" s="20" t="s">
        <v>410</v>
      </c>
      <c r="F362" s="20" t="s">
        <v>268</v>
      </c>
      <c r="G362" s="20" t="s">
        <v>393</v>
      </c>
      <c r="H362" s="20" t="s">
        <v>384</v>
      </c>
      <c r="I362" s="29">
        <v>1</v>
      </c>
      <c r="J362" s="30">
        <v>1</v>
      </c>
      <c r="K362" s="31">
        <v>7.7000000000000002E-3</v>
      </c>
      <c r="L362" s="9">
        <v>645878404.31326604</v>
      </c>
      <c r="M362" s="9">
        <v>645745914.53009498</v>
      </c>
      <c r="N362" s="32">
        <f>MIN(MAX((B362-Calculation_Assumptions!$B$5+1)/Calculation_Assumptions!$B$7,0),1)</f>
        <v>1</v>
      </c>
      <c r="O362" s="21">
        <f t="shared" si="40"/>
        <v>645878404.31326604</v>
      </c>
      <c r="P362" s="21">
        <f t="shared" si="41"/>
        <v>645745914.53009498</v>
      </c>
      <c r="Q362" s="21">
        <f>P362*Calculation_Assumptions!$B$14*J362*K362</f>
        <v>0</v>
      </c>
      <c r="R362" s="21">
        <f t="shared" si="42"/>
        <v>4973263.7132121483</v>
      </c>
      <c r="S362" s="21">
        <f t="shared" si="43"/>
        <v>4973263.7132121483</v>
      </c>
      <c r="T362" s="32">
        <f>1/(1+Calculation_Assumptions!$B$8)^(B362-Calculation_Assumptions!$B$2)</f>
        <v>0.52189250088258554</v>
      </c>
      <c r="U362" s="21">
        <f t="shared" si="44"/>
        <v>0</v>
      </c>
      <c r="V362" s="21">
        <f t="shared" si="45"/>
        <v>2595509.0368369017</v>
      </c>
      <c r="W362" s="21">
        <f t="shared" si="46"/>
        <v>2595509.0368369017</v>
      </c>
      <c r="X362">
        <v>0</v>
      </c>
      <c r="Y362" s="18">
        <v>2017</v>
      </c>
      <c r="Z362" t="s">
        <v>387</v>
      </c>
      <c r="AA362" s="21">
        <f t="shared" si="47"/>
        <v>1</v>
      </c>
    </row>
    <row r="363" spans="1:27">
      <c r="A363" t="s">
        <v>261</v>
      </c>
      <c r="B363" s="18">
        <v>2048</v>
      </c>
      <c r="C363" t="s">
        <v>265</v>
      </c>
      <c r="D363" s="20" t="s">
        <v>409</v>
      </c>
      <c r="E363" s="20" t="s">
        <v>410</v>
      </c>
      <c r="F363" s="20" t="s">
        <v>268</v>
      </c>
      <c r="G363" s="20" t="s">
        <v>393</v>
      </c>
      <c r="H363" s="20" t="s">
        <v>384</v>
      </c>
      <c r="I363" s="29">
        <v>1</v>
      </c>
      <c r="J363" s="30">
        <v>1</v>
      </c>
      <c r="K363" s="31">
        <v>7.7000000000000002E-3</v>
      </c>
      <c r="L363" s="9">
        <v>647813614.46323705</v>
      </c>
      <c r="M363" s="9">
        <v>647666796.64810395</v>
      </c>
      <c r="N363" s="32">
        <f>MIN(MAX((B363-Calculation_Assumptions!$B$5+1)/Calculation_Assumptions!$B$7,0),1)</f>
        <v>1</v>
      </c>
      <c r="O363" s="21">
        <f t="shared" si="40"/>
        <v>647813614.46323705</v>
      </c>
      <c r="P363" s="21">
        <f t="shared" si="41"/>
        <v>647666796.64810395</v>
      </c>
      <c r="Q363" s="21">
        <f>P363*Calculation_Assumptions!$B$14*J363*K363</f>
        <v>0</v>
      </c>
      <c r="R363" s="21">
        <f t="shared" si="42"/>
        <v>4988164.8313669255</v>
      </c>
      <c r="S363" s="21">
        <f t="shared" si="43"/>
        <v>4988164.8313669255</v>
      </c>
      <c r="T363" s="32">
        <f>1/(1+Calculation_Assumptions!$B$8)^(B363-Calculation_Assumptions!$B$2)</f>
        <v>0.50669174842969467</v>
      </c>
      <c r="U363" s="21">
        <f t="shared" si="44"/>
        <v>0</v>
      </c>
      <c r="V363" s="21">
        <f t="shared" si="45"/>
        <v>2527461.9598608203</v>
      </c>
      <c r="W363" s="21">
        <f t="shared" si="46"/>
        <v>2527461.9598608203</v>
      </c>
      <c r="X363">
        <v>0</v>
      </c>
      <c r="Y363" s="18">
        <v>2017</v>
      </c>
      <c r="Z363" t="s">
        <v>387</v>
      </c>
      <c r="AA363" s="21">
        <f t="shared" si="47"/>
        <v>1</v>
      </c>
    </row>
    <row r="364" spans="1:27">
      <c r="A364" t="s">
        <v>261</v>
      </c>
      <c r="B364" s="18">
        <v>2049</v>
      </c>
      <c r="C364" t="s">
        <v>265</v>
      </c>
      <c r="D364" s="20" t="s">
        <v>409</v>
      </c>
      <c r="E364" s="20" t="s">
        <v>410</v>
      </c>
      <c r="F364" s="20" t="s">
        <v>268</v>
      </c>
      <c r="G364" s="20" t="s">
        <v>393</v>
      </c>
      <c r="H364" s="20" t="s">
        <v>384</v>
      </c>
      <c r="I364" s="29">
        <v>1</v>
      </c>
      <c r="J364" s="30">
        <v>1</v>
      </c>
      <c r="K364" s="31">
        <v>7.7000000000000002E-3</v>
      </c>
      <c r="L364" s="9">
        <v>649583152.733042</v>
      </c>
      <c r="M364" s="9">
        <v>649421968.02473402</v>
      </c>
      <c r="N364" s="32">
        <f>MIN(MAX((B364-Calculation_Assumptions!$B$5+1)/Calculation_Assumptions!$B$7,0),1)</f>
        <v>1</v>
      </c>
      <c r="O364" s="21">
        <f t="shared" si="40"/>
        <v>649583152.733042</v>
      </c>
      <c r="P364" s="21">
        <f t="shared" si="41"/>
        <v>649421968.02473402</v>
      </c>
      <c r="Q364" s="21">
        <f>P364*Calculation_Assumptions!$B$14*J364*K364</f>
        <v>0</v>
      </c>
      <c r="R364" s="21">
        <f t="shared" si="42"/>
        <v>5001790.2760444237</v>
      </c>
      <c r="S364" s="21">
        <f t="shared" si="43"/>
        <v>5001790.2760444237</v>
      </c>
      <c r="T364" s="32">
        <f>1/(1+Calculation_Assumptions!$B$8)^(B364-Calculation_Assumptions!$B$2)</f>
        <v>0.49193373633950943</v>
      </c>
      <c r="U364" s="21">
        <f t="shared" si="44"/>
        <v>0</v>
      </c>
      <c r="V364" s="21">
        <f t="shared" si="45"/>
        <v>2460549.3788811597</v>
      </c>
      <c r="W364" s="21">
        <f t="shared" si="46"/>
        <v>2460549.3788811597</v>
      </c>
      <c r="X364">
        <v>0</v>
      </c>
      <c r="Y364" s="18">
        <v>2017</v>
      </c>
      <c r="Z364" t="s">
        <v>387</v>
      </c>
      <c r="AA364" s="21">
        <f t="shared" si="47"/>
        <v>1</v>
      </c>
    </row>
    <row r="365" spans="1:27">
      <c r="A365" t="s">
        <v>261</v>
      </c>
      <c r="B365" s="18">
        <v>2050</v>
      </c>
      <c r="C365" t="s">
        <v>265</v>
      </c>
      <c r="D365" s="20" t="s">
        <v>409</v>
      </c>
      <c r="E365" s="20" t="s">
        <v>410</v>
      </c>
      <c r="F365" s="20" t="s">
        <v>268</v>
      </c>
      <c r="G365" s="20" t="s">
        <v>393</v>
      </c>
      <c r="H365" s="20" t="s">
        <v>384</v>
      </c>
      <c r="I365" s="29">
        <v>1</v>
      </c>
      <c r="J365" s="30">
        <v>1</v>
      </c>
      <c r="K365" s="31">
        <v>7.7000000000000002E-3</v>
      </c>
      <c r="L365" s="9">
        <v>651250848.26256704</v>
      </c>
      <c r="M365" s="9">
        <v>651074457.25957894</v>
      </c>
      <c r="N365" s="32">
        <f>MIN(MAX((B365-Calculation_Assumptions!$B$5+1)/Calculation_Assumptions!$B$7,0),1)</f>
        <v>1</v>
      </c>
      <c r="O365" s="21">
        <f t="shared" si="40"/>
        <v>651250848.26256704</v>
      </c>
      <c r="P365" s="21">
        <f t="shared" si="41"/>
        <v>651074457.25957894</v>
      </c>
      <c r="Q365" s="21">
        <f>P365*Calculation_Assumptions!$B$14*J365*K365</f>
        <v>0</v>
      </c>
      <c r="R365" s="21">
        <f t="shared" si="42"/>
        <v>5014631.5316217663</v>
      </c>
      <c r="S365" s="21">
        <f t="shared" si="43"/>
        <v>5014631.5316217663</v>
      </c>
      <c r="T365" s="32">
        <f>1/(1+Calculation_Assumptions!$B$8)^(B365-Calculation_Assumptions!$B$2)</f>
        <v>0.47760556926165965</v>
      </c>
      <c r="U365" s="21">
        <f t="shared" si="44"/>
        <v>0</v>
      </c>
      <c r="V365" s="21">
        <f t="shared" si="45"/>
        <v>2395015.9472976821</v>
      </c>
      <c r="W365" s="21">
        <f t="shared" si="46"/>
        <v>2395015.9472976821</v>
      </c>
      <c r="X365">
        <v>0</v>
      </c>
      <c r="Y365" s="18">
        <v>2017</v>
      </c>
      <c r="Z365" t="s">
        <v>387</v>
      </c>
      <c r="AA365" s="21">
        <f t="shared" si="47"/>
        <v>1</v>
      </c>
    </row>
    <row r="366" spans="1:27">
      <c r="A366" t="s">
        <v>261</v>
      </c>
      <c r="B366" s="18">
        <v>2025</v>
      </c>
      <c r="C366" t="s">
        <v>272</v>
      </c>
      <c r="D366" s="20" t="s">
        <v>411</v>
      </c>
      <c r="E366" s="20" t="s">
        <v>412</v>
      </c>
      <c r="F366" s="20" t="s">
        <v>275</v>
      </c>
      <c r="G366" s="20" t="s">
        <v>393</v>
      </c>
      <c r="H366" s="20" t="s">
        <v>384</v>
      </c>
      <c r="I366" s="29">
        <v>1</v>
      </c>
      <c r="J366" s="30">
        <v>1</v>
      </c>
      <c r="K366" s="31">
        <v>7.7000000000000002E-3</v>
      </c>
      <c r="L366" s="9">
        <v>575134853.59312999</v>
      </c>
      <c r="M366" s="9">
        <v>575134853.59312999</v>
      </c>
      <c r="N366" s="32">
        <f>MIN(MAX((B366-Calculation_Assumptions!$B$5+1)/Calculation_Assumptions!$B$7,0),1)</f>
        <v>0</v>
      </c>
      <c r="O366" s="21">
        <f t="shared" si="40"/>
        <v>575134853.59312999</v>
      </c>
      <c r="P366" s="21">
        <f t="shared" si="41"/>
        <v>575134853.59312999</v>
      </c>
      <c r="Q366" s="21">
        <f>P366*Calculation_Assumptions!$B$14*J366*K366</f>
        <v>0</v>
      </c>
      <c r="R366" s="21">
        <f t="shared" si="42"/>
        <v>0</v>
      </c>
      <c r="S366" s="21">
        <f t="shared" si="43"/>
        <v>0</v>
      </c>
      <c r="T366" s="32">
        <f>1/(1+Calculation_Assumptions!$B$8)^(B366-Calculation_Assumptions!$B$2)</f>
        <v>1</v>
      </c>
      <c r="U366" s="21">
        <f t="shared" si="44"/>
        <v>0</v>
      </c>
      <c r="V366" s="21">
        <f t="shared" si="45"/>
        <v>0</v>
      </c>
      <c r="W366" s="21">
        <f t="shared" si="46"/>
        <v>0</v>
      </c>
      <c r="X366">
        <v>0</v>
      </c>
      <c r="Y366" s="18">
        <v>2017</v>
      </c>
      <c r="Z366" t="s">
        <v>387</v>
      </c>
      <c r="AA366" s="21">
        <f t="shared" si="47"/>
        <v>1</v>
      </c>
    </row>
    <row r="367" spans="1:27">
      <c r="A367" t="s">
        <v>261</v>
      </c>
      <c r="B367" s="18">
        <v>2026</v>
      </c>
      <c r="C367" t="s">
        <v>272</v>
      </c>
      <c r="D367" s="20" t="s">
        <v>411</v>
      </c>
      <c r="E367" s="20" t="s">
        <v>412</v>
      </c>
      <c r="F367" s="20" t="s">
        <v>275</v>
      </c>
      <c r="G367" s="20" t="s">
        <v>393</v>
      </c>
      <c r="H367" s="20" t="s">
        <v>384</v>
      </c>
      <c r="I367" s="29">
        <v>1</v>
      </c>
      <c r="J367" s="30">
        <v>1</v>
      </c>
      <c r="K367" s="31">
        <v>7.7000000000000002E-3</v>
      </c>
      <c r="L367" s="9">
        <v>579268647.32329595</v>
      </c>
      <c r="M367" s="9">
        <v>579268647.32329595</v>
      </c>
      <c r="N367" s="32">
        <f>MIN(MAX((B367-Calculation_Assumptions!$B$5+1)/Calculation_Assumptions!$B$7,0),1)</f>
        <v>0.33333333333333331</v>
      </c>
      <c r="O367" s="21">
        <f t="shared" si="40"/>
        <v>579268647.32329595</v>
      </c>
      <c r="P367" s="21">
        <f t="shared" si="41"/>
        <v>579268647.32329595</v>
      </c>
      <c r="Q367" s="21">
        <f>P367*Calculation_Assumptions!$B$14*J367*K367</f>
        <v>0</v>
      </c>
      <c r="R367" s="21">
        <f t="shared" si="42"/>
        <v>1486789.528129793</v>
      </c>
      <c r="S367" s="21">
        <f t="shared" si="43"/>
        <v>1486789.528129793</v>
      </c>
      <c r="T367" s="32">
        <f>1/(1+Calculation_Assumptions!$B$8)^(B367-Calculation_Assumptions!$B$2)</f>
        <v>0.970873786407767</v>
      </c>
      <c r="U367" s="21">
        <f t="shared" si="44"/>
        <v>0</v>
      </c>
      <c r="V367" s="21">
        <f t="shared" si="45"/>
        <v>1443484.9787667894</v>
      </c>
      <c r="W367" s="21">
        <f t="shared" si="46"/>
        <v>1443484.9787667894</v>
      </c>
      <c r="X367">
        <v>0</v>
      </c>
      <c r="Y367" s="18">
        <v>2017</v>
      </c>
      <c r="Z367" t="s">
        <v>387</v>
      </c>
      <c r="AA367" s="21">
        <f t="shared" si="47"/>
        <v>1</v>
      </c>
    </row>
    <row r="368" spans="1:27">
      <c r="A368" t="s">
        <v>261</v>
      </c>
      <c r="B368" s="18">
        <v>2027</v>
      </c>
      <c r="C368" t="s">
        <v>272</v>
      </c>
      <c r="D368" s="20" t="s">
        <v>411</v>
      </c>
      <c r="E368" s="20" t="s">
        <v>412</v>
      </c>
      <c r="F368" s="20" t="s">
        <v>275</v>
      </c>
      <c r="G368" s="20" t="s">
        <v>393</v>
      </c>
      <c r="H368" s="20" t="s">
        <v>384</v>
      </c>
      <c r="I368" s="29">
        <v>1</v>
      </c>
      <c r="J368" s="30">
        <v>1</v>
      </c>
      <c r="K368" s="31">
        <v>7.7000000000000002E-3</v>
      </c>
      <c r="L368" s="9">
        <v>583039014.28645599</v>
      </c>
      <c r="M368" s="9">
        <v>583039014.28645599</v>
      </c>
      <c r="N368" s="32">
        <f>MIN(MAX((B368-Calculation_Assumptions!$B$5+1)/Calculation_Assumptions!$B$7,0),1)</f>
        <v>0.66666666666666663</v>
      </c>
      <c r="O368" s="21">
        <f t="shared" si="40"/>
        <v>583039014.28645599</v>
      </c>
      <c r="P368" s="21">
        <f t="shared" si="41"/>
        <v>583039014.28645599</v>
      </c>
      <c r="Q368" s="21">
        <f>P368*Calculation_Assumptions!$B$14*J368*K368</f>
        <v>0</v>
      </c>
      <c r="R368" s="21">
        <f t="shared" si="42"/>
        <v>2992933.6066704742</v>
      </c>
      <c r="S368" s="21">
        <f t="shared" si="43"/>
        <v>2992933.6066704742</v>
      </c>
      <c r="T368" s="32">
        <f>1/(1+Calculation_Assumptions!$B$8)^(B368-Calculation_Assumptions!$B$2)</f>
        <v>0.94259590913375435</v>
      </c>
      <c r="U368" s="21">
        <f t="shared" si="44"/>
        <v>0</v>
      </c>
      <c r="V368" s="21">
        <f t="shared" si="45"/>
        <v>2821126.9739565221</v>
      </c>
      <c r="W368" s="21">
        <f t="shared" si="46"/>
        <v>2821126.9739565221</v>
      </c>
      <c r="X368">
        <v>0</v>
      </c>
      <c r="Y368" s="18">
        <v>2017</v>
      </c>
      <c r="Z368" t="s">
        <v>387</v>
      </c>
      <c r="AA368" s="21">
        <f t="shared" si="47"/>
        <v>1</v>
      </c>
    </row>
    <row r="369" spans="1:27">
      <c r="A369" t="s">
        <v>261</v>
      </c>
      <c r="B369" s="18">
        <v>2028</v>
      </c>
      <c r="C369" t="s">
        <v>272</v>
      </c>
      <c r="D369" s="20" t="s">
        <v>411</v>
      </c>
      <c r="E369" s="20" t="s">
        <v>412</v>
      </c>
      <c r="F369" s="20" t="s">
        <v>275</v>
      </c>
      <c r="G369" s="20" t="s">
        <v>393</v>
      </c>
      <c r="H369" s="20" t="s">
        <v>384</v>
      </c>
      <c r="I369" s="29">
        <v>1</v>
      </c>
      <c r="J369" s="30">
        <v>1</v>
      </c>
      <c r="K369" s="31">
        <v>7.7000000000000002E-3</v>
      </c>
      <c r="L369" s="9">
        <v>587035116.25746298</v>
      </c>
      <c r="M369" s="9">
        <v>587035116.25746298</v>
      </c>
      <c r="N369" s="32">
        <f>MIN(MAX((B369-Calculation_Assumptions!$B$5+1)/Calculation_Assumptions!$B$7,0),1)</f>
        <v>1</v>
      </c>
      <c r="O369" s="21">
        <f t="shared" si="40"/>
        <v>587035116.25746298</v>
      </c>
      <c r="P369" s="21">
        <f t="shared" si="41"/>
        <v>587035116.25746298</v>
      </c>
      <c r="Q369" s="21">
        <f>P369*Calculation_Assumptions!$B$14*J369*K369</f>
        <v>0</v>
      </c>
      <c r="R369" s="21">
        <f t="shared" si="42"/>
        <v>4520170.3951824652</v>
      </c>
      <c r="S369" s="21">
        <f t="shared" si="43"/>
        <v>4520170.3951824652</v>
      </c>
      <c r="T369" s="32">
        <f>1/(1+Calculation_Assumptions!$B$8)^(B369-Calculation_Assumptions!$B$2)</f>
        <v>0.91514165935315961</v>
      </c>
      <c r="U369" s="21">
        <f t="shared" si="44"/>
        <v>0</v>
      </c>
      <c r="V369" s="21">
        <f t="shared" si="45"/>
        <v>4136596.2360063083</v>
      </c>
      <c r="W369" s="21">
        <f t="shared" si="46"/>
        <v>4136596.2360063083</v>
      </c>
      <c r="X369">
        <v>0</v>
      </c>
      <c r="Y369" s="18">
        <v>2017</v>
      </c>
      <c r="Z369" t="s">
        <v>387</v>
      </c>
      <c r="AA369" s="21">
        <f t="shared" si="47"/>
        <v>1</v>
      </c>
    </row>
    <row r="370" spans="1:27">
      <c r="A370" t="s">
        <v>261</v>
      </c>
      <c r="B370" s="18">
        <v>2029</v>
      </c>
      <c r="C370" t="s">
        <v>272</v>
      </c>
      <c r="D370" s="20" t="s">
        <v>411</v>
      </c>
      <c r="E370" s="20" t="s">
        <v>412</v>
      </c>
      <c r="F370" s="20" t="s">
        <v>275</v>
      </c>
      <c r="G370" s="20" t="s">
        <v>393</v>
      </c>
      <c r="H370" s="20" t="s">
        <v>384</v>
      </c>
      <c r="I370" s="29">
        <v>1</v>
      </c>
      <c r="J370" s="30">
        <v>1</v>
      </c>
      <c r="K370" s="31">
        <v>7.7000000000000002E-3</v>
      </c>
      <c r="L370" s="9">
        <v>590968392.43223906</v>
      </c>
      <c r="M370" s="9">
        <v>590968059.72178304</v>
      </c>
      <c r="N370" s="32">
        <f>MIN(MAX((B370-Calculation_Assumptions!$B$5+1)/Calculation_Assumptions!$B$7,0),1)</f>
        <v>1</v>
      </c>
      <c r="O370" s="21">
        <f t="shared" si="40"/>
        <v>590968392.43223906</v>
      </c>
      <c r="P370" s="21">
        <f t="shared" si="41"/>
        <v>590968059.72178304</v>
      </c>
      <c r="Q370" s="21">
        <f>P370*Calculation_Assumptions!$B$14*J370*K370</f>
        <v>0</v>
      </c>
      <c r="R370" s="21">
        <f t="shared" si="42"/>
        <v>4550456.6217282405</v>
      </c>
      <c r="S370" s="21">
        <f t="shared" si="43"/>
        <v>4550456.6217282405</v>
      </c>
      <c r="T370" s="32">
        <f>1/(1+Calculation_Assumptions!$B$8)^(B370-Calculation_Assumptions!$B$2)</f>
        <v>0.888487047915689</v>
      </c>
      <c r="U370" s="21">
        <f t="shared" si="44"/>
        <v>0</v>
      </c>
      <c r="V370" s="21">
        <f t="shared" si="45"/>
        <v>4043021.7705077236</v>
      </c>
      <c r="W370" s="21">
        <f t="shared" si="46"/>
        <v>4043021.7705077236</v>
      </c>
      <c r="X370">
        <v>0</v>
      </c>
      <c r="Y370" s="18">
        <v>2017</v>
      </c>
      <c r="Z370" t="s">
        <v>387</v>
      </c>
      <c r="AA370" s="21">
        <f t="shared" si="47"/>
        <v>1</v>
      </c>
    </row>
    <row r="371" spans="1:27">
      <c r="A371" t="s">
        <v>261</v>
      </c>
      <c r="B371" s="18">
        <v>2030</v>
      </c>
      <c r="C371" t="s">
        <v>272</v>
      </c>
      <c r="D371" s="20" t="s">
        <v>411</v>
      </c>
      <c r="E371" s="20" t="s">
        <v>412</v>
      </c>
      <c r="F371" s="20" t="s">
        <v>275</v>
      </c>
      <c r="G371" s="20" t="s">
        <v>393</v>
      </c>
      <c r="H371" s="20" t="s">
        <v>384</v>
      </c>
      <c r="I371" s="29">
        <v>1</v>
      </c>
      <c r="J371" s="30">
        <v>1</v>
      </c>
      <c r="K371" s="31">
        <v>7.7000000000000002E-3</v>
      </c>
      <c r="L371" s="9">
        <v>594809185.37344694</v>
      </c>
      <c r="M371" s="9">
        <v>594808018.62654305</v>
      </c>
      <c r="N371" s="32">
        <f>MIN(MAX((B371-Calculation_Assumptions!$B$5+1)/Calculation_Assumptions!$B$7,0),1)</f>
        <v>1</v>
      </c>
      <c r="O371" s="21">
        <f t="shared" si="40"/>
        <v>594809185.37344694</v>
      </c>
      <c r="P371" s="21">
        <f t="shared" si="41"/>
        <v>594808018.62654305</v>
      </c>
      <c r="Q371" s="21">
        <f>P371*Calculation_Assumptions!$B$14*J371*K371</f>
        <v>0</v>
      </c>
      <c r="R371" s="21">
        <f t="shared" si="42"/>
        <v>4580030.7273755418</v>
      </c>
      <c r="S371" s="21">
        <f t="shared" si="43"/>
        <v>4580030.7273755418</v>
      </c>
      <c r="T371" s="32">
        <f>1/(1+Calculation_Assumptions!$B$8)^(B371-Calculation_Assumptions!$B$2)</f>
        <v>0.86260878438416411</v>
      </c>
      <c r="U371" s="21">
        <f t="shared" si="44"/>
        <v>0</v>
      </c>
      <c r="V371" s="21">
        <f t="shared" si="45"/>
        <v>3950774.7381835352</v>
      </c>
      <c r="W371" s="21">
        <f t="shared" si="46"/>
        <v>3950774.7381835352</v>
      </c>
      <c r="X371">
        <v>0</v>
      </c>
      <c r="Y371" s="18">
        <v>2017</v>
      </c>
      <c r="Z371" t="s">
        <v>387</v>
      </c>
      <c r="AA371" s="21">
        <f t="shared" si="47"/>
        <v>1</v>
      </c>
    </row>
    <row r="372" spans="1:27">
      <c r="A372" t="s">
        <v>261</v>
      </c>
      <c r="B372" s="18">
        <v>2031</v>
      </c>
      <c r="C372" t="s">
        <v>272</v>
      </c>
      <c r="D372" s="20" t="s">
        <v>411</v>
      </c>
      <c r="E372" s="20" t="s">
        <v>412</v>
      </c>
      <c r="F372" s="20" t="s">
        <v>275</v>
      </c>
      <c r="G372" s="20" t="s">
        <v>393</v>
      </c>
      <c r="H372" s="20" t="s">
        <v>384</v>
      </c>
      <c r="I372" s="29">
        <v>1</v>
      </c>
      <c r="J372" s="30">
        <v>1</v>
      </c>
      <c r="K372" s="31">
        <v>7.7000000000000002E-3</v>
      </c>
      <c r="L372" s="9">
        <v>598583986.45626998</v>
      </c>
      <c r="M372" s="9">
        <v>598581381.03442597</v>
      </c>
      <c r="N372" s="32">
        <f>MIN(MAX((B372-Calculation_Assumptions!$B$5+1)/Calculation_Assumptions!$B$7,0),1)</f>
        <v>1</v>
      </c>
      <c r="O372" s="21">
        <f t="shared" si="40"/>
        <v>598583986.45626998</v>
      </c>
      <c r="P372" s="21">
        <f t="shared" si="41"/>
        <v>598581381.03442597</v>
      </c>
      <c r="Q372" s="21">
        <f>P372*Calculation_Assumptions!$B$14*J372*K372</f>
        <v>0</v>
      </c>
      <c r="R372" s="21">
        <f t="shared" si="42"/>
        <v>4609096.6957132788</v>
      </c>
      <c r="S372" s="21">
        <f t="shared" si="43"/>
        <v>4609096.6957132788</v>
      </c>
      <c r="T372" s="32">
        <f>1/(1+Calculation_Assumptions!$B$8)^(B372-Calculation_Assumptions!$B$2)</f>
        <v>0.83748425668365445</v>
      </c>
      <c r="U372" s="21">
        <f t="shared" si="44"/>
        <v>0</v>
      </c>
      <c r="V372" s="21">
        <f t="shared" si="45"/>
        <v>3860045.9201925234</v>
      </c>
      <c r="W372" s="21">
        <f t="shared" si="46"/>
        <v>3860045.9201925234</v>
      </c>
      <c r="X372">
        <v>0</v>
      </c>
      <c r="Y372" s="18">
        <v>2017</v>
      </c>
      <c r="Z372" t="s">
        <v>387</v>
      </c>
      <c r="AA372" s="21">
        <f t="shared" si="47"/>
        <v>1</v>
      </c>
    </row>
    <row r="373" spans="1:27">
      <c r="A373" t="s">
        <v>261</v>
      </c>
      <c r="B373" s="18">
        <v>2032</v>
      </c>
      <c r="C373" t="s">
        <v>272</v>
      </c>
      <c r="D373" s="20" t="s">
        <v>411</v>
      </c>
      <c r="E373" s="20" t="s">
        <v>412</v>
      </c>
      <c r="F373" s="20" t="s">
        <v>275</v>
      </c>
      <c r="G373" s="20" t="s">
        <v>393</v>
      </c>
      <c r="H373" s="20" t="s">
        <v>384</v>
      </c>
      <c r="I373" s="29">
        <v>1</v>
      </c>
      <c r="J373" s="30">
        <v>1</v>
      </c>
      <c r="K373" s="31">
        <v>7.7000000000000002E-3</v>
      </c>
      <c r="L373" s="9">
        <v>602271308.24823296</v>
      </c>
      <c r="M373" s="9">
        <v>602283583.58638096</v>
      </c>
      <c r="N373" s="32">
        <f>MIN(MAX((B373-Calculation_Assumptions!$B$5+1)/Calculation_Assumptions!$B$7,0),1)</f>
        <v>1</v>
      </c>
      <c r="O373" s="21">
        <f t="shared" si="40"/>
        <v>602271308.24823296</v>
      </c>
      <c r="P373" s="21">
        <f t="shared" si="41"/>
        <v>602283583.58638096</v>
      </c>
      <c r="Q373" s="21">
        <f>P373*Calculation_Assumptions!$B$14*J373*K373</f>
        <v>0</v>
      </c>
      <c r="R373" s="21">
        <f t="shared" si="42"/>
        <v>4637489.0735113937</v>
      </c>
      <c r="S373" s="21">
        <f t="shared" si="43"/>
        <v>4637489.0735113937</v>
      </c>
      <c r="T373" s="32">
        <f>1/(1+Calculation_Assumptions!$B$8)^(B373-Calculation_Assumptions!$B$2)</f>
        <v>0.81309151134335378</v>
      </c>
      <c r="U373" s="21">
        <f t="shared" si="44"/>
        <v>0</v>
      </c>
      <c r="V373" s="21">
        <f t="shared" si="45"/>
        <v>3770702.9996196688</v>
      </c>
      <c r="W373" s="21">
        <f t="shared" si="46"/>
        <v>3770702.9996196688</v>
      </c>
      <c r="X373">
        <v>0</v>
      </c>
      <c r="Y373" s="18">
        <v>2017</v>
      </c>
      <c r="Z373" t="s">
        <v>387</v>
      </c>
      <c r="AA373" s="21">
        <f t="shared" si="47"/>
        <v>1</v>
      </c>
    </row>
    <row r="374" spans="1:27">
      <c r="A374" t="s">
        <v>261</v>
      </c>
      <c r="B374" s="18">
        <v>2033</v>
      </c>
      <c r="C374" t="s">
        <v>272</v>
      </c>
      <c r="D374" s="20" t="s">
        <v>411</v>
      </c>
      <c r="E374" s="20" t="s">
        <v>412</v>
      </c>
      <c r="F374" s="20" t="s">
        <v>275</v>
      </c>
      <c r="G374" s="20" t="s">
        <v>393</v>
      </c>
      <c r="H374" s="20" t="s">
        <v>384</v>
      </c>
      <c r="I374" s="29">
        <v>1</v>
      </c>
      <c r="J374" s="30">
        <v>1</v>
      </c>
      <c r="K374" s="31">
        <v>7.7000000000000002E-3</v>
      </c>
      <c r="L374" s="9">
        <v>605901775.35738206</v>
      </c>
      <c r="M374" s="9">
        <v>605911902.99473</v>
      </c>
      <c r="N374" s="32">
        <f>MIN(MAX((B374-Calculation_Assumptions!$B$5+1)/Calculation_Assumptions!$B$7,0),1)</f>
        <v>1</v>
      </c>
      <c r="O374" s="21">
        <f t="shared" si="40"/>
        <v>605901775.35738206</v>
      </c>
      <c r="P374" s="21">
        <f t="shared" si="41"/>
        <v>605911902.99473</v>
      </c>
      <c r="Q374" s="21">
        <f>P374*Calculation_Assumptions!$B$14*J374*K374</f>
        <v>0</v>
      </c>
      <c r="R374" s="21">
        <f t="shared" si="42"/>
        <v>4665443.6702518417</v>
      </c>
      <c r="S374" s="21">
        <f t="shared" si="43"/>
        <v>4665443.6702518417</v>
      </c>
      <c r="T374" s="32">
        <f>1/(1+Calculation_Assumptions!$B$8)^(B374-Calculation_Assumptions!$B$2)</f>
        <v>0.78940923431393573</v>
      </c>
      <c r="U374" s="21">
        <f t="shared" si="44"/>
        <v>0</v>
      </c>
      <c r="V374" s="21">
        <f t="shared" si="45"/>
        <v>3682944.3154683043</v>
      </c>
      <c r="W374" s="21">
        <f t="shared" si="46"/>
        <v>3682944.3154683043</v>
      </c>
      <c r="X374">
        <v>0</v>
      </c>
      <c r="Y374" s="18">
        <v>2017</v>
      </c>
      <c r="Z374" t="s">
        <v>387</v>
      </c>
      <c r="AA374" s="21">
        <f t="shared" si="47"/>
        <v>1</v>
      </c>
    </row>
    <row r="375" spans="1:27">
      <c r="A375" t="s">
        <v>261</v>
      </c>
      <c r="B375" s="18">
        <v>2034</v>
      </c>
      <c r="C375" t="s">
        <v>272</v>
      </c>
      <c r="D375" s="20" t="s">
        <v>411</v>
      </c>
      <c r="E375" s="20" t="s">
        <v>412</v>
      </c>
      <c r="F375" s="20" t="s">
        <v>275</v>
      </c>
      <c r="G375" s="20" t="s">
        <v>393</v>
      </c>
      <c r="H375" s="20" t="s">
        <v>384</v>
      </c>
      <c r="I375" s="29">
        <v>1</v>
      </c>
      <c r="J375" s="30">
        <v>1</v>
      </c>
      <c r="K375" s="31">
        <v>7.7000000000000002E-3</v>
      </c>
      <c r="L375" s="9">
        <v>609448325.65479696</v>
      </c>
      <c r="M375" s="9">
        <v>609455548.12077105</v>
      </c>
      <c r="N375" s="32">
        <f>MIN(MAX((B375-Calculation_Assumptions!$B$5+1)/Calculation_Assumptions!$B$7,0),1)</f>
        <v>1</v>
      </c>
      <c r="O375" s="21">
        <f t="shared" si="40"/>
        <v>609448325.65479696</v>
      </c>
      <c r="P375" s="21">
        <f t="shared" si="41"/>
        <v>609455548.12077105</v>
      </c>
      <c r="Q375" s="21">
        <f>P375*Calculation_Assumptions!$B$14*J375*K375</f>
        <v>0</v>
      </c>
      <c r="R375" s="21">
        <f t="shared" si="42"/>
        <v>4692752.1075419364</v>
      </c>
      <c r="S375" s="21">
        <f t="shared" si="43"/>
        <v>4692752.1075419364</v>
      </c>
      <c r="T375" s="32">
        <f>1/(1+Calculation_Assumptions!$B$8)^(B375-Calculation_Assumptions!$B$2)</f>
        <v>0.76641673234362695</v>
      </c>
      <c r="U375" s="21">
        <f t="shared" si="44"/>
        <v>0</v>
      </c>
      <c r="V375" s="21">
        <f t="shared" si="45"/>
        <v>3596603.7359609595</v>
      </c>
      <c r="W375" s="21">
        <f t="shared" si="46"/>
        <v>3596603.7359609595</v>
      </c>
      <c r="X375">
        <v>0</v>
      </c>
      <c r="Y375" s="18">
        <v>2017</v>
      </c>
      <c r="Z375" t="s">
        <v>387</v>
      </c>
      <c r="AA375" s="21">
        <f t="shared" si="47"/>
        <v>1</v>
      </c>
    </row>
    <row r="376" spans="1:27">
      <c r="A376" t="s">
        <v>261</v>
      </c>
      <c r="B376" s="18">
        <v>2035</v>
      </c>
      <c r="C376" t="s">
        <v>272</v>
      </c>
      <c r="D376" s="20" t="s">
        <v>411</v>
      </c>
      <c r="E376" s="20" t="s">
        <v>412</v>
      </c>
      <c r="F376" s="20" t="s">
        <v>275</v>
      </c>
      <c r="G376" s="20" t="s">
        <v>393</v>
      </c>
      <c r="H376" s="20" t="s">
        <v>384</v>
      </c>
      <c r="I376" s="29">
        <v>1</v>
      </c>
      <c r="J376" s="30">
        <v>1</v>
      </c>
      <c r="K376" s="31">
        <v>7.7000000000000002E-3</v>
      </c>
      <c r="L376" s="9">
        <v>612899936.06014502</v>
      </c>
      <c r="M376" s="9">
        <v>612884294.47334194</v>
      </c>
      <c r="N376" s="32">
        <f>MIN(MAX((B376-Calculation_Assumptions!$B$5+1)/Calculation_Assumptions!$B$7,0),1)</f>
        <v>1</v>
      </c>
      <c r="O376" s="21">
        <f t="shared" si="40"/>
        <v>612899936.06014502</v>
      </c>
      <c r="P376" s="21">
        <f t="shared" si="41"/>
        <v>612884294.47334194</v>
      </c>
      <c r="Q376" s="21">
        <f>P376*Calculation_Assumptions!$B$14*J376*K376</f>
        <v>0</v>
      </c>
      <c r="R376" s="21">
        <f t="shared" si="42"/>
        <v>4719329.5076631168</v>
      </c>
      <c r="S376" s="21">
        <f t="shared" si="43"/>
        <v>4719329.5076631168</v>
      </c>
      <c r="T376" s="32">
        <f>1/(1+Calculation_Assumptions!$B$8)^(B376-Calculation_Assumptions!$B$2)</f>
        <v>0.74409391489672516</v>
      </c>
      <c r="U376" s="21">
        <f t="shared" si="44"/>
        <v>0</v>
      </c>
      <c r="V376" s="21">
        <f t="shared" si="45"/>
        <v>3511624.3690446829</v>
      </c>
      <c r="W376" s="21">
        <f t="shared" si="46"/>
        <v>3511624.3690446829</v>
      </c>
      <c r="X376">
        <v>0</v>
      </c>
      <c r="Y376" s="18">
        <v>2017</v>
      </c>
      <c r="Z376" t="s">
        <v>387</v>
      </c>
      <c r="AA376" s="21">
        <f t="shared" si="47"/>
        <v>1</v>
      </c>
    </row>
    <row r="377" spans="1:27">
      <c r="A377" t="s">
        <v>261</v>
      </c>
      <c r="B377" s="18">
        <v>2036</v>
      </c>
      <c r="C377" t="s">
        <v>272</v>
      </c>
      <c r="D377" s="20" t="s">
        <v>411</v>
      </c>
      <c r="E377" s="20" t="s">
        <v>412</v>
      </c>
      <c r="F377" s="20" t="s">
        <v>275</v>
      </c>
      <c r="G377" s="20" t="s">
        <v>393</v>
      </c>
      <c r="H377" s="20" t="s">
        <v>384</v>
      </c>
      <c r="I377" s="29">
        <v>1</v>
      </c>
      <c r="J377" s="30">
        <v>1</v>
      </c>
      <c r="K377" s="31">
        <v>7.7000000000000002E-3</v>
      </c>
      <c r="L377" s="9">
        <v>616263238.10217798</v>
      </c>
      <c r="M377" s="9">
        <v>616262053.85817397</v>
      </c>
      <c r="N377" s="32">
        <f>MIN(MAX((B377-Calculation_Assumptions!$B$5+1)/Calculation_Assumptions!$B$7,0),1)</f>
        <v>1</v>
      </c>
      <c r="O377" s="21">
        <f t="shared" si="40"/>
        <v>616263238.10217798</v>
      </c>
      <c r="P377" s="21">
        <f t="shared" si="41"/>
        <v>616262053.85817397</v>
      </c>
      <c r="Q377" s="21">
        <f>P377*Calculation_Assumptions!$B$14*J377*K377</f>
        <v>0</v>
      </c>
      <c r="R377" s="21">
        <f t="shared" si="42"/>
        <v>4745226.933386771</v>
      </c>
      <c r="S377" s="21">
        <f t="shared" si="43"/>
        <v>4745226.933386771</v>
      </c>
      <c r="T377" s="32">
        <f>1/(1+Calculation_Assumptions!$B$8)^(B377-Calculation_Assumptions!$B$2)</f>
        <v>0.72242127659876232</v>
      </c>
      <c r="U377" s="21">
        <f t="shared" si="44"/>
        <v>0</v>
      </c>
      <c r="V377" s="21">
        <f t="shared" si="45"/>
        <v>3428052.898968101</v>
      </c>
      <c r="W377" s="21">
        <f t="shared" si="46"/>
        <v>3428052.898968101</v>
      </c>
      <c r="X377">
        <v>0</v>
      </c>
      <c r="Y377" s="18">
        <v>2017</v>
      </c>
      <c r="Z377" t="s">
        <v>387</v>
      </c>
      <c r="AA377" s="21">
        <f t="shared" si="47"/>
        <v>1</v>
      </c>
    </row>
    <row r="378" spans="1:27">
      <c r="A378" t="s">
        <v>261</v>
      </c>
      <c r="B378" s="18">
        <v>2037</v>
      </c>
      <c r="C378" t="s">
        <v>272</v>
      </c>
      <c r="D378" s="20" t="s">
        <v>411</v>
      </c>
      <c r="E378" s="20" t="s">
        <v>412</v>
      </c>
      <c r="F378" s="20" t="s">
        <v>275</v>
      </c>
      <c r="G378" s="20" t="s">
        <v>393</v>
      </c>
      <c r="H378" s="20" t="s">
        <v>384</v>
      </c>
      <c r="I378" s="29">
        <v>1</v>
      </c>
      <c r="J378" s="30">
        <v>1</v>
      </c>
      <c r="K378" s="31">
        <v>7.7000000000000002E-3</v>
      </c>
      <c r="L378" s="9">
        <v>619536077.34479904</v>
      </c>
      <c r="M378" s="9">
        <v>619529380.90729904</v>
      </c>
      <c r="N378" s="32">
        <f>MIN(MAX((B378-Calculation_Assumptions!$B$5+1)/Calculation_Assumptions!$B$7,0),1)</f>
        <v>1</v>
      </c>
      <c r="O378" s="21">
        <f t="shared" si="40"/>
        <v>619536077.34479904</v>
      </c>
      <c r="P378" s="21">
        <f t="shared" si="41"/>
        <v>619529380.90729904</v>
      </c>
      <c r="Q378" s="21">
        <f>P378*Calculation_Assumptions!$B$14*J378*K378</f>
        <v>0</v>
      </c>
      <c r="R378" s="21">
        <f t="shared" si="42"/>
        <v>4770427.7955549527</v>
      </c>
      <c r="S378" s="21">
        <f t="shared" si="43"/>
        <v>4770427.7955549527</v>
      </c>
      <c r="T378" s="32">
        <f>1/(1+Calculation_Assumptions!$B$8)^(B378-Calculation_Assumptions!$B$2)</f>
        <v>0.70137988019297326</v>
      </c>
      <c r="U378" s="21">
        <f t="shared" si="44"/>
        <v>0</v>
      </c>
      <c r="V378" s="21">
        <f t="shared" si="45"/>
        <v>3345882.0757155623</v>
      </c>
      <c r="W378" s="21">
        <f t="shared" si="46"/>
        <v>3345882.0757155623</v>
      </c>
      <c r="X378">
        <v>0</v>
      </c>
      <c r="Y378" s="18">
        <v>2017</v>
      </c>
      <c r="Z378" t="s">
        <v>387</v>
      </c>
      <c r="AA378" s="21">
        <f t="shared" si="47"/>
        <v>1</v>
      </c>
    </row>
    <row r="379" spans="1:27">
      <c r="A379" t="s">
        <v>261</v>
      </c>
      <c r="B379" s="18">
        <v>2038</v>
      </c>
      <c r="C379" t="s">
        <v>272</v>
      </c>
      <c r="D379" s="20" t="s">
        <v>411</v>
      </c>
      <c r="E379" s="20" t="s">
        <v>412</v>
      </c>
      <c r="F379" s="20" t="s">
        <v>275</v>
      </c>
      <c r="G379" s="20" t="s">
        <v>393</v>
      </c>
      <c r="H379" s="20" t="s">
        <v>384</v>
      </c>
      <c r="I379" s="29">
        <v>1</v>
      </c>
      <c r="J379" s="30">
        <v>1</v>
      </c>
      <c r="K379" s="31">
        <v>7.7000000000000002E-3</v>
      </c>
      <c r="L379" s="9">
        <v>622707153.56091797</v>
      </c>
      <c r="M379" s="9">
        <v>622673191.62836504</v>
      </c>
      <c r="N379" s="32">
        <f>MIN(MAX((B379-Calculation_Assumptions!$B$5+1)/Calculation_Assumptions!$B$7,0),1)</f>
        <v>1</v>
      </c>
      <c r="O379" s="21">
        <f t="shared" si="40"/>
        <v>622707153.56091797</v>
      </c>
      <c r="P379" s="21">
        <f t="shared" si="41"/>
        <v>622673191.62836504</v>
      </c>
      <c r="Q379" s="21">
        <f>P379*Calculation_Assumptions!$B$14*J379*K379</f>
        <v>0</v>
      </c>
      <c r="R379" s="21">
        <f t="shared" si="42"/>
        <v>4794845.0824190686</v>
      </c>
      <c r="S379" s="21">
        <f t="shared" si="43"/>
        <v>4794845.0824190686</v>
      </c>
      <c r="T379" s="32">
        <f>1/(1+Calculation_Assumptions!$B$8)^(B379-Calculation_Assumptions!$B$2)</f>
        <v>0.68095133999317792</v>
      </c>
      <c r="U379" s="21">
        <f t="shared" si="44"/>
        <v>0</v>
      </c>
      <c r="V379" s="21">
        <f t="shared" si="45"/>
        <v>3265056.1839329642</v>
      </c>
      <c r="W379" s="21">
        <f t="shared" si="46"/>
        <v>3265056.1839329642</v>
      </c>
      <c r="X379">
        <v>0</v>
      </c>
      <c r="Y379" s="18">
        <v>2017</v>
      </c>
      <c r="Z379" t="s">
        <v>387</v>
      </c>
      <c r="AA379" s="21">
        <f t="shared" si="47"/>
        <v>1</v>
      </c>
    </row>
    <row r="380" spans="1:27">
      <c r="A380" t="s">
        <v>261</v>
      </c>
      <c r="B380" s="18">
        <v>2039</v>
      </c>
      <c r="C380" t="s">
        <v>272</v>
      </c>
      <c r="D380" s="20" t="s">
        <v>411</v>
      </c>
      <c r="E380" s="20" t="s">
        <v>412</v>
      </c>
      <c r="F380" s="20" t="s">
        <v>275</v>
      </c>
      <c r="G380" s="20" t="s">
        <v>393</v>
      </c>
      <c r="H380" s="20" t="s">
        <v>384</v>
      </c>
      <c r="I380" s="29">
        <v>1</v>
      </c>
      <c r="J380" s="30">
        <v>1</v>
      </c>
      <c r="K380" s="31">
        <v>7.7000000000000002E-3</v>
      </c>
      <c r="L380" s="9">
        <v>625773517.33344197</v>
      </c>
      <c r="M380" s="9">
        <v>625731758.218045</v>
      </c>
      <c r="N380" s="32">
        <f>MIN(MAX((B380-Calculation_Assumptions!$B$5+1)/Calculation_Assumptions!$B$7,0),1)</f>
        <v>1</v>
      </c>
      <c r="O380" s="21">
        <f t="shared" si="40"/>
        <v>625773517.33344197</v>
      </c>
      <c r="P380" s="21">
        <f t="shared" si="41"/>
        <v>625731758.218045</v>
      </c>
      <c r="Q380" s="21">
        <f>P380*Calculation_Assumptions!$B$14*J380*K380</f>
        <v>0</v>
      </c>
      <c r="R380" s="21">
        <f t="shared" si="42"/>
        <v>4818456.0834675031</v>
      </c>
      <c r="S380" s="21">
        <f t="shared" si="43"/>
        <v>4818456.0834675031</v>
      </c>
      <c r="T380" s="32">
        <f>1/(1+Calculation_Assumptions!$B$8)^(B380-Calculation_Assumptions!$B$2)</f>
        <v>0.66111780581861923</v>
      </c>
      <c r="U380" s="21">
        <f t="shared" si="44"/>
        <v>0</v>
      </c>
      <c r="V380" s="21">
        <f t="shared" si="45"/>
        <v>3185567.1133354134</v>
      </c>
      <c r="W380" s="21">
        <f t="shared" si="46"/>
        <v>3185567.1133354134</v>
      </c>
      <c r="X380">
        <v>0</v>
      </c>
      <c r="Y380" s="18">
        <v>2017</v>
      </c>
      <c r="Z380" t="s">
        <v>387</v>
      </c>
      <c r="AA380" s="21">
        <f t="shared" si="47"/>
        <v>1</v>
      </c>
    </row>
    <row r="381" spans="1:27">
      <c r="A381" t="s">
        <v>261</v>
      </c>
      <c r="B381" s="18">
        <v>2040</v>
      </c>
      <c r="C381" t="s">
        <v>272</v>
      </c>
      <c r="D381" s="20" t="s">
        <v>411</v>
      </c>
      <c r="E381" s="20" t="s">
        <v>412</v>
      </c>
      <c r="F381" s="20" t="s">
        <v>275</v>
      </c>
      <c r="G381" s="20" t="s">
        <v>393</v>
      </c>
      <c r="H381" s="20" t="s">
        <v>384</v>
      </c>
      <c r="I381" s="29">
        <v>1</v>
      </c>
      <c r="J381" s="30">
        <v>1</v>
      </c>
      <c r="K381" s="31">
        <v>7.7000000000000002E-3</v>
      </c>
      <c r="L381" s="9">
        <v>628717893.59963703</v>
      </c>
      <c r="M381" s="9">
        <v>628667498.21665299</v>
      </c>
      <c r="N381" s="32">
        <f>MIN(MAX((B381-Calculation_Assumptions!$B$5+1)/Calculation_Assumptions!$B$7,0),1)</f>
        <v>1</v>
      </c>
      <c r="O381" s="21">
        <f t="shared" si="40"/>
        <v>628717893.59963703</v>
      </c>
      <c r="P381" s="21">
        <f t="shared" si="41"/>
        <v>628667498.21665299</v>
      </c>
      <c r="Q381" s="21">
        <f>P381*Calculation_Assumptions!$B$14*J381*K381</f>
        <v>0</v>
      </c>
      <c r="R381" s="21">
        <f t="shared" si="42"/>
        <v>4841127.7807172053</v>
      </c>
      <c r="S381" s="21">
        <f t="shared" si="43"/>
        <v>4841127.7807172053</v>
      </c>
      <c r="T381" s="32">
        <f>1/(1+Calculation_Assumptions!$B$8)^(B381-Calculation_Assumptions!$B$2)</f>
        <v>0.64186194739671765</v>
      </c>
      <c r="U381" s="21">
        <f t="shared" si="44"/>
        <v>0</v>
      </c>
      <c r="V381" s="21">
        <f t="shared" si="45"/>
        <v>3107335.7049274952</v>
      </c>
      <c r="W381" s="21">
        <f t="shared" si="46"/>
        <v>3107335.7049274952</v>
      </c>
      <c r="X381">
        <v>0</v>
      </c>
      <c r="Y381" s="18">
        <v>2017</v>
      </c>
      <c r="Z381" t="s">
        <v>387</v>
      </c>
      <c r="AA381" s="21">
        <f t="shared" si="47"/>
        <v>1</v>
      </c>
    </row>
    <row r="382" spans="1:27">
      <c r="A382" t="s">
        <v>261</v>
      </c>
      <c r="B382" s="18">
        <v>2041</v>
      </c>
      <c r="C382" t="s">
        <v>272</v>
      </c>
      <c r="D382" s="20" t="s">
        <v>411</v>
      </c>
      <c r="E382" s="20" t="s">
        <v>412</v>
      </c>
      <c r="F382" s="20" t="s">
        <v>275</v>
      </c>
      <c r="G382" s="20" t="s">
        <v>393</v>
      </c>
      <c r="H382" s="20" t="s">
        <v>384</v>
      </c>
      <c r="I382" s="29">
        <v>1</v>
      </c>
      <c r="J382" s="30">
        <v>1</v>
      </c>
      <c r="K382" s="31">
        <v>7.7000000000000002E-3</v>
      </c>
      <c r="L382" s="9">
        <v>631548256.65306795</v>
      </c>
      <c r="M382" s="9">
        <v>631488405.68781996</v>
      </c>
      <c r="N382" s="32">
        <f>MIN(MAX((B382-Calculation_Assumptions!$B$5+1)/Calculation_Assumptions!$B$7,0),1)</f>
        <v>1</v>
      </c>
      <c r="O382" s="21">
        <f t="shared" si="40"/>
        <v>631548256.65306795</v>
      </c>
      <c r="P382" s="21">
        <f t="shared" si="41"/>
        <v>631488405.68781996</v>
      </c>
      <c r="Q382" s="21">
        <f>P382*Calculation_Assumptions!$B$14*J382*K382</f>
        <v>0</v>
      </c>
      <c r="R382" s="21">
        <f t="shared" si="42"/>
        <v>4862921.5762286233</v>
      </c>
      <c r="S382" s="21">
        <f t="shared" si="43"/>
        <v>4862921.5762286233</v>
      </c>
      <c r="T382" s="32">
        <f>1/(1+Calculation_Assumptions!$B$8)^(B382-Calculation_Assumptions!$B$2)</f>
        <v>0.62316693922011435</v>
      </c>
      <c r="U382" s="21">
        <f t="shared" si="44"/>
        <v>0</v>
      </c>
      <c r="V382" s="21">
        <f t="shared" si="45"/>
        <v>3030411.954325845</v>
      </c>
      <c r="W382" s="21">
        <f t="shared" si="46"/>
        <v>3030411.954325845</v>
      </c>
      <c r="X382">
        <v>0</v>
      </c>
      <c r="Y382" s="18">
        <v>2017</v>
      </c>
      <c r="Z382" t="s">
        <v>387</v>
      </c>
      <c r="AA382" s="21">
        <f t="shared" si="47"/>
        <v>1</v>
      </c>
    </row>
    <row r="383" spans="1:27">
      <c r="A383" t="s">
        <v>261</v>
      </c>
      <c r="B383" s="18">
        <v>2042</v>
      </c>
      <c r="C383" t="s">
        <v>272</v>
      </c>
      <c r="D383" s="20" t="s">
        <v>411</v>
      </c>
      <c r="E383" s="20" t="s">
        <v>412</v>
      </c>
      <c r="F383" s="20" t="s">
        <v>275</v>
      </c>
      <c r="G383" s="20" t="s">
        <v>393</v>
      </c>
      <c r="H383" s="20" t="s">
        <v>384</v>
      </c>
      <c r="I383" s="29">
        <v>1</v>
      </c>
      <c r="J383" s="30">
        <v>1</v>
      </c>
      <c r="K383" s="31">
        <v>7.7000000000000002E-3</v>
      </c>
      <c r="L383" s="9">
        <v>634254666.60393</v>
      </c>
      <c r="M383" s="9">
        <v>634184560.98858297</v>
      </c>
      <c r="N383" s="32">
        <f>MIN(MAX((B383-Calculation_Assumptions!$B$5+1)/Calculation_Assumptions!$B$7,0),1)</f>
        <v>1</v>
      </c>
      <c r="O383" s="21">
        <f t="shared" si="40"/>
        <v>634254666.60393</v>
      </c>
      <c r="P383" s="21">
        <f t="shared" si="41"/>
        <v>634184560.98858297</v>
      </c>
      <c r="Q383" s="21">
        <f>P383*Calculation_Assumptions!$B$14*J383*K383</f>
        <v>0</v>
      </c>
      <c r="R383" s="21">
        <f t="shared" si="42"/>
        <v>4883760.9328502612</v>
      </c>
      <c r="S383" s="21">
        <f t="shared" si="43"/>
        <v>4883760.9328502612</v>
      </c>
      <c r="T383" s="32">
        <f>1/(1+Calculation_Assumptions!$B$8)^(B383-Calculation_Assumptions!$B$2)</f>
        <v>0.60501644584477121</v>
      </c>
      <c r="U383" s="21">
        <f t="shared" si="44"/>
        <v>0</v>
      </c>
      <c r="V383" s="21">
        <f t="shared" si="45"/>
        <v>2954755.6819486092</v>
      </c>
      <c r="W383" s="21">
        <f t="shared" si="46"/>
        <v>2954755.6819486092</v>
      </c>
      <c r="X383">
        <v>0</v>
      </c>
      <c r="Y383" s="18">
        <v>2017</v>
      </c>
      <c r="Z383" t="s">
        <v>387</v>
      </c>
      <c r="AA383" s="21">
        <f t="shared" si="47"/>
        <v>1</v>
      </c>
    </row>
    <row r="384" spans="1:27">
      <c r="A384" t="s">
        <v>261</v>
      </c>
      <c r="B384" s="18">
        <v>2043</v>
      </c>
      <c r="C384" t="s">
        <v>272</v>
      </c>
      <c r="D384" s="20" t="s">
        <v>411</v>
      </c>
      <c r="E384" s="20" t="s">
        <v>412</v>
      </c>
      <c r="F384" s="20" t="s">
        <v>275</v>
      </c>
      <c r="G384" s="20" t="s">
        <v>393</v>
      </c>
      <c r="H384" s="20" t="s">
        <v>384</v>
      </c>
      <c r="I384" s="29">
        <v>1</v>
      </c>
      <c r="J384" s="30">
        <v>1</v>
      </c>
      <c r="K384" s="31">
        <v>7.7000000000000002E-3</v>
      </c>
      <c r="L384" s="9">
        <v>636848307.38633502</v>
      </c>
      <c r="M384" s="9">
        <v>636767020.67603099</v>
      </c>
      <c r="N384" s="32">
        <f>MIN(MAX((B384-Calculation_Assumptions!$B$5+1)/Calculation_Assumptions!$B$7,0),1)</f>
        <v>1</v>
      </c>
      <c r="O384" s="21">
        <f t="shared" si="40"/>
        <v>636848307.38633502</v>
      </c>
      <c r="P384" s="21">
        <f t="shared" si="41"/>
        <v>636767020.67603099</v>
      </c>
      <c r="Q384" s="21">
        <f>P384*Calculation_Assumptions!$B$14*J384*K384</f>
        <v>0</v>
      </c>
      <c r="R384" s="21">
        <f t="shared" si="42"/>
        <v>4903731.9668747801</v>
      </c>
      <c r="S384" s="21">
        <f t="shared" si="43"/>
        <v>4903731.9668747801</v>
      </c>
      <c r="T384" s="32">
        <f>1/(1+Calculation_Assumptions!$B$8)^(B384-Calculation_Assumptions!$B$2)</f>
        <v>0.5873946076162827</v>
      </c>
      <c r="U384" s="21">
        <f t="shared" si="44"/>
        <v>0</v>
      </c>
      <c r="V384" s="21">
        <f t="shared" si="45"/>
        <v>2880425.7145378338</v>
      </c>
      <c r="W384" s="21">
        <f t="shared" si="46"/>
        <v>2880425.7145378338</v>
      </c>
      <c r="X384">
        <v>0</v>
      </c>
      <c r="Y384" s="18">
        <v>2017</v>
      </c>
      <c r="Z384" t="s">
        <v>387</v>
      </c>
      <c r="AA384" s="21">
        <f t="shared" si="47"/>
        <v>1</v>
      </c>
    </row>
    <row r="385" spans="1:27">
      <c r="A385" t="s">
        <v>261</v>
      </c>
      <c r="B385" s="18">
        <v>2044</v>
      </c>
      <c r="C385" t="s">
        <v>272</v>
      </c>
      <c r="D385" s="20" t="s">
        <v>411</v>
      </c>
      <c r="E385" s="20" t="s">
        <v>412</v>
      </c>
      <c r="F385" s="20" t="s">
        <v>275</v>
      </c>
      <c r="G385" s="20" t="s">
        <v>393</v>
      </c>
      <c r="H385" s="20" t="s">
        <v>384</v>
      </c>
      <c r="I385" s="29">
        <v>1</v>
      </c>
      <c r="J385" s="30">
        <v>1</v>
      </c>
      <c r="K385" s="31">
        <v>7.7000000000000002E-3</v>
      </c>
      <c r="L385" s="9">
        <v>639304629.09632599</v>
      </c>
      <c r="M385" s="9">
        <v>639211548.58069301</v>
      </c>
      <c r="N385" s="32">
        <f>MIN(MAX((B385-Calculation_Assumptions!$B$5+1)/Calculation_Assumptions!$B$7,0),1)</f>
        <v>1</v>
      </c>
      <c r="O385" s="21">
        <f t="shared" si="40"/>
        <v>639304629.09632599</v>
      </c>
      <c r="P385" s="21">
        <f t="shared" si="41"/>
        <v>639211548.58069301</v>
      </c>
      <c r="Q385" s="21">
        <f>P385*Calculation_Assumptions!$B$14*J385*K385</f>
        <v>0</v>
      </c>
      <c r="R385" s="21">
        <f t="shared" si="42"/>
        <v>4922645.6440417105</v>
      </c>
      <c r="S385" s="21">
        <f t="shared" si="43"/>
        <v>4922645.6440417105</v>
      </c>
      <c r="T385" s="32">
        <f>1/(1+Calculation_Assumptions!$B$8)^(B385-Calculation_Assumptions!$B$2)</f>
        <v>0.57028602681192497</v>
      </c>
      <c r="U385" s="21">
        <f t="shared" si="44"/>
        <v>0</v>
      </c>
      <c r="V385" s="21">
        <f t="shared" si="45"/>
        <v>2807316.0257435767</v>
      </c>
      <c r="W385" s="21">
        <f t="shared" si="46"/>
        <v>2807316.0257435767</v>
      </c>
      <c r="X385">
        <v>0</v>
      </c>
      <c r="Y385" s="18">
        <v>2017</v>
      </c>
      <c r="Z385" t="s">
        <v>387</v>
      </c>
      <c r="AA385" s="21">
        <f t="shared" si="47"/>
        <v>1</v>
      </c>
    </row>
    <row r="386" spans="1:27">
      <c r="A386" t="s">
        <v>261</v>
      </c>
      <c r="B386" s="18">
        <v>2045</v>
      </c>
      <c r="C386" t="s">
        <v>272</v>
      </c>
      <c r="D386" s="20" t="s">
        <v>411</v>
      </c>
      <c r="E386" s="20" t="s">
        <v>412</v>
      </c>
      <c r="F386" s="20" t="s">
        <v>275</v>
      </c>
      <c r="G386" s="20" t="s">
        <v>393</v>
      </c>
      <c r="H386" s="20" t="s">
        <v>384</v>
      </c>
      <c r="I386" s="29">
        <v>1</v>
      </c>
      <c r="J386" s="30">
        <v>1</v>
      </c>
      <c r="K386" s="31">
        <v>7.7000000000000002E-3</v>
      </c>
      <c r="L386" s="9">
        <v>641626327.48536897</v>
      </c>
      <c r="M386" s="9">
        <v>641520754.67294204</v>
      </c>
      <c r="N386" s="32">
        <f>MIN(MAX((B386-Calculation_Assumptions!$B$5+1)/Calculation_Assumptions!$B$7,0),1)</f>
        <v>1</v>
      </c>
      <c r="O386" s="21">
        <f t="shared" ref="O386:O449" si="48">L386*I386</f>
        <v>641626327.48536897</v>
      </c>
      <c r="P386" s="21">
        <f t="shared" ref="P386:P449" si="49">M386*I386</f>
        <v>641520754.67294204</v>
      </c>
      <c r="Q386" s="21">
        <f>P386*Calculation_Assumptions!$B$14*J386*K386</f>
        <v>0</v>
      </c>
      <c r="R386" s="21">
        <f t="shared" ref="R386:R449" si="50">O386*N386*J386*K386</f>
        <v>4940522.7216373412</v>
      </c>
      <c r="S386" s="21">
        <f t="shared" ref="S386:S449" si="51">R386-Q386</f>
        <v>4940522.7216373412</v>
      </c>
      <c r="T386" s="32">
        <f>1/(1+Calculation_Assumptions!$B$8)^(B386-Calculation_Assumptions!$B$2)</f>
        <v>0.55367575418633497</v>
      </c>
      <c r="U386" s="21">
        <f t="shared" ref="U386:U449" si="52">Q386*T386</f>
        <v>0</v>
      </c>
      <c r="V386" s="21">
        <f t="shared" ref="V386:V449" si="53">R386*T386</f>
        <v>2735447.6439772793</v>
      </c>
      <c r="W386" s="21">
        <f t="shared" ref="W386:W449" si="54">S386*T386</f>
        <v>2735447.6439772793</v>
      </c>
      <c r="X386">
        <v>0</v>
      </c>
      <c r="Y386" s="18">
        <v>2017</v>
      </c>
      <c r="Z386" t="s">
        <v>387</v>
      </c>
      <c r="AA386" s="21">
        <f t="shared" ref="AA386:AA449" si="55">IF(G386="shared-count-once",COUNTIFS($A$2:$A$807,A386,$B$2:$B$807,B386,$D$2:$D$807,D386),1)</f>
        <v>1</v>
      </c>
    </row>
    <row r="387" spans="1:27">
      <c r="A387" t="s">
        <v>261</v>
      </c>
      <c r="B387" s="18">
        <v>2046</v>
      </c>
      <c r="C387" t="s">
        <v>272</v>
      </c>
      <c r="D387" s="20" t="s">
        <v>411</v>
      </c>
      <c r="E387" s="20" t="s">
        <v>412</v>
      </c>
      <c r="F387" s="20" t="s">
        <v>275</v>
      </c>
      <c r="G387" s="20" t="s">
        <v>393</v>
      </c>
      <c r="H387" s="20" t="s">
        <v>384</v>
      </c>
      <c r="I387" s="29">
        <v>1</v>
      </c>
      <c r="J387" s="30">
        <v>1</v>
      </c>
      <c r="K387" s="31">
        <v>7.7000000000000002E-3</v>
      </c>
      <c r="L387" s="9">
        <v>643816055.11385906</v>
      </c>
      <c r="M387" s="9">
        <v>643697330.762573</v>
      </c>
      <c r="N387" s="32">
        <f>MIN(MAX((B387-Calculation_Assumptions!$B$5+1)/Calculation_Assumptions!$B$7,0),1)</f>
        <v>1</v>
      </c>
      <c r="O387" s="21">
        <f t="shared" si="48"/>
        <v>643816055.11385906</v>
      </c>
      <c r="P387" s="21">
        <f t="shared" si="49"/>
        <v>643697330.762573</v>
      </c>
      <c r="Q387" s="21">
        <f>P387*Calculation_Assumptions!$B$14*J387*K387</f>
        <v>0</v>
      </c>
      <c r="R387" s="21">
        <f t="shared" si="50"/>
        <v>4957383.6243767152</v>
      </c>
      <c r="S387" s="21">
        <f t="shared" si="51"/>
        <v>4957383.6243767152</v>
      </c>
      <c r="T387" s="32">
        <f>1/(1+Calculation_Assumptions!$B$8)^(B387-Calculation_Assumptions!$B$2)</f>
        <v>0.5375492759090631</v>
      </c>
      <c r="U387" s="21">
        <f t="shared" si="52"/>
        <v>0</v>
      </c>
      <c r="V387" s="21">
        <f t="shared" si="53"/>
        <v>2664837.9776871502</v>
      </c>
      <c r="W387" s="21">
        <f t="shared" si="54"/>
        <v>2664837.9776871502</v>
      </c>
      <c r="X387">
        <v>0</v>
      </c>
      <c r="Y387" s="18">
        <v>2017</v>
      </c>
      <c r="Z387" t="s">
        <v>387</v>
      </c>
      <c r="AA387" s="21">
        <f t="shared" si="55"/>
        <v>1</v>
      </c>
    </row>
    <row r="388" spans="1:27">
      <c r="A388" t="s">
        <v>261</v>
      </c>
      <c r="B388" s="18">
        <v>2047</v>
      </c>
      <c r="C388" t="s">
        <v>272</v>
      </c>
      <c r="D388" s="20" t="s">
        <v>411</v>
      </c>
      <c r="E388" s="20" t="s">
        <v>412</v>
      </c>
      <c r="F388" s="20" t="s">
        <v>275</v>
      </c>
      <c r="G388" s="20" t="s">
        <v>393</v>
      </c>
      <c r="H388" s="20" t="s">
        <v>384</v>
      </c>
      <c r="I388" s="29">
        <v>1</v>
      </c>
      <c r="J388" s="30">
        <v>1</v>
      </c>
      <c r="K388" s="31">
        <v>7.7000000000000002E-3</v>
      </c>
      <c r="L388" s="9">
        <v>645878404.31326604</v>
      </c>
      <c r="M388" s="9">
        <v>645745914.53009498</v>
      </c>
      <c r="N388" s="32">
        <f>MIN(MAX((B388-Calculation_Assumptions!$B$5+1)/Calculation_Assumptions!$B$7,0),1)</f>
        <v>1</v>
      </c>
      <c r="O388" s="21">
        <f t="shared" si="48"/>
        <v>645878404.31326604</v>
      </c>
      <c r="P388" s="21">
        <f t="shared" si="49"/>
        <v>645745914.53009498</v>
      </c>
      <c r="Q388" s="21">
        <f>P388*Calculation_Assumptions!$B$14*J388*K388</f>
        <v>0</v>
      </c>
      <c r="R388" s="21">
        <f t="shared" si="50"/>
        <v>4973263.7132121483</v>
      </c>
      <c r="S388" s="21">
        <f t="shared" si="51"/>
        <v>4973263.7132121483</v>
      </c>
      <c r="T388" s="32">
        <f>1/(1+Calculation_Assumptions!$B$8)^(B388-Calculation_Assumptions!$B$2)</f>
        <v>0.52189250088258554</v>
      </c>
      <c r="U388" s="21">
        <f t="shared" si="52"/>
        <v>0</v>
      </c>
      <c r="V388" s="21">
        <f t="shared" si="53"/>
        <v>2595509.0368369017</v>
      </c>
      <c r="W388" s="21">
        <f t="shared" si="54"/>
        <v>2595509.0368369017</v>
      </c>
      <c r="X388">
        <v>0</v>
      </c>
      <c r="Y388" s="18">
        <v>2017</v>
      </c>
      <c r="Z388" t="s">
        <v>387</v>
      </c>
      <c r="AA388" s="21">
        <f t="shared" si="55"/>
        <v>1</v>
      </c>
    </row>
    <row r="389" spans="1:27">
      <c r="A389" t="s">
        <v>261</v>
      </c>
      <c r="B389" s="18">
        <v>2048</v>
      </c>
      <c r="C389" t="s">
        <v>272</v>
      </c>
      <c r="D389" s="20" t="s">
        <v>411</v>
      </c>
      <c r="E389" s="20" t="s">
        <v>412</v>
      </c>
      <c r="F389" s="20" t="s">
        <v>275</v>
      </c>
      <c r="G389" s="20" t="s">
        <v>393</v>
      </c>
      <c r="H389" s="20" t="s">
        <v>384</v>
      </c>
      <c r="I389" s="29">
        <v>1</v>
      </c>
      <c r="J389" s="30">
        <v>1</v>
      </c>
      <c r="K389" s="31">
        <v>7.7000000000000002E-3</v>
      </c>
      <c r="L389" s="9">
        <v>647813614.46323705</v>
      </c>
      <c r="M389" s="9">
        <v>647666796.64810395</v>
      </c>
      <c r="N389" s="32">
        <f>MIN(MAX((B389-Calculation_Assumptions!$B$5+1)/Calculation_Assumptions!$B$7,0),1)</f>
        <v>1</v>
      </c>
      <c r="O389" s="21">
        <f t="shared" si="48"/>
        <v>647813614.46323705</v>
      </c>
      <c r="P389" s="21">
        <f t="shared" si="49"/>
        <v>647666796.64810395</v>
      </c>
      <c r="Q389" s="21">
        <f>P389*Calculation_Assumptions!$B$14*J389*K389</f>
        <v>0</v>
      </c>
      <c r="R389" s="21">
        <f t="shared" si="50"/>
        <v>4988164.8313669255</v>
      </c>
      <c r="S389" s="21">
        <f t="shared" si="51"/>
        <v>4988164.8313669255</v>
      </c>
      <c r="T389" s="32">
        <f>1/(1+Calculation_Assumptions!$B$8)^(B389-Calculation_Assumptions!$B$2)</f>
        <v>0.50669174842969467</v>
      </c>
      <c r="U389" s="21">
        <f t="shared" si="52"/>
        <v>0</v>
      </c>
      <c r="V389" s="21">
        <f t="shared" si="53"/>
        <v>2527461.9598608203</v>
      </c>
      <c r="W389" s="21">
        <f t="shared" si="54"/>
        <v>2527461.9598608203</v>
      </c>
      <c r="X389">
        <v>0</v>
      </c>
      <c r="Y389" s="18">
        <v>2017</v>
      </c>
      <c r="Z389" t="s">
        <v>387</v>
      </c>
      <c r="AA389" s="21">
        <f t="shared" si="55"/>
        <v>1</v>
      </c>
    </row>
    <row r="390" spans="1:27">
      <c r="A390" t="s">
        <v>261</v>
      </c>
      <c r="B390" s="18">
        <v>2049</v>
      </c>
      <c r="C390" t="s">
        <v>272</v>
      </c>
      <c r="D390" s="20" t="s">
        <v>411</v>
      </c>
      <c r="E390" s="20" t="s">
        <v>412</v>
      </c>
      <c r="F390" s="20" t="s">
        <v>275</v>
      </c>
      <c r="G390" s="20" t="s">
        <v>393</v>
      </c>
      <c r="H390" s="20" t="s">
        <v>384</v>
      </c>
      <c r="I390" s="29">
        <v>1</v>
      </c>
      <c r="J390" s="30">
        <v>1</v>
      </c>
      <c r="K390" s="31">
        <v>7.7000000000000002E-3</v>
      </c>
      <c r="L390" s="9">
        <v>649583152.733042</v>
      </c>
      <c r="M390" s="9">
        <v>649421968.02473402</v>
      </c>
      <c r="N390" s="32">
        <f>MIN(MAX((B390-Calculation_Assumptions!$B$5+1)/Calculation_Assumptions!$B$7,0),1)</f>
        <v>1</v>
      </c>
      <c r="O390" s="21">
        <f t="shared" si="48"/>
        <v>649583152.733042</v>
      </c>
      <c r="P390" s="21">
        <f t="shared" si="49"/>
        <v>649421968.02473402</v>
      </c>
      <c r="Q390" s="21">
        <f>P390*Calculation_Assumptions!$B$14*J390*K390</f>
        <v>0</v>
      </c>
      <c r="R390" s="21">
        <f t="shared" si="50"/>
        <v>5001790.2760444237</v>
      </c>
      <c r="S390" s="21">
        <f t="shared" si="51"/>
        <v>5001790.2760444237</v>
      </c>
      <c r="T390" s="32">
        <f>1/(1+Calculation_Assumptions!$B$8)^(B390-Calculation_Assumptions!$B$2)</f>
        <v>0.49193373633950943</v>
      </c>
      <c r="U390" s="21">
        <f t="shared" si="52"/>
        <v>0</v>
      </c>
      <c r="V390" s="21">
        <f t="shared" si="53"/>
        <v>2460549.3788811597</v>
      </c>
      <c r="W390" s="21">
        <f t="shared" si="54"/>
        <v>2460549.3788811597</v>
      </c>
      <c r="X390">
        <v>0</v>
      </c>
      <c r="Y390" s="18">
        <v>2017</v>
      </c>
      <c r="Z390" t="s">
        <v>387</v>
      </c>
      <c r="AA390" s="21">
        <f t="shared" si="55"/>
        <v>1</v>
      </c>
    </row>
    <row r="391" spans="1:27">
      <c r="A391" t="s">
        <v>261</v>
      </c>
      <c r="B391" s="18">
        <v>2050</v>
      </c>
      <c r="C391" t="s">
        <v>272</v>
      </c>
      <c r="D391" s="20" t="s">
        <v>411</v>
      </c>
      <c r="E391" s="20" t="s">
        <v>412</v>
      </c>
      <c r="F391" s="20" t="s">
        <v>275</v>
      </c>
      <c r="G391" s="20" t="s">
        <v>393</v>
      </c>
      <c r="H391" s="20" t="s">
        <v>384</v>
      </c>
      <c r="I391" s="29">
        <v>1</v>
      </c>
      <c r="J391" s="30">
        <v>1</v>
      </c>
      <c r="K391" s="31">
        <v>7.7000000000000002E-3</v>
      </c>
      <c r="L391" s="9">
        <v>651250848.26256704</v>
      </c>
      <c r="M391" s="9">
        <v>651074457.25957894</v>
      </c>
      <c r="N391" s="32">
        <f>MIN(MAX((B391-Calculation_Assumptions!$B$5+1)/Calculation_Assumptions!$B$7,0),1)</f>
        <v>1</v>
      </c>
      <c r="O391" s="21">
        <f t="shared" si="48"/>
        <v>651250848.26256704</v>
      </c>
      <c r="P391" s="21">
        <f t="shared" si="49"/>
        <v>651074457.25957894</v>
      </c>
      <c r="Q391" s="21">
        <f>P391*Calculation_Assumptions!$B$14*J391*K391</f>
        <v>0</v>
      </c>
      <c r="R391" s="21">
        <f t="shared" si="50"/>
        <v>5014631.5316217663</v>
      </c>
      <c r="S391" s="21">
        <f t="shared" si="51"/>
        <v>5014631.5316217663</v>
      </c>
      <c r="T391" s="32">
        <f>1/(1+Calculation_Assumptions!$B$8)^(B391-Calculation_Assumptions!$B$2)</f>
        <v>0.47760556926165965</v>
      </c>
      <c r="U391" s="21">
        <f t="shared" si="52"/>
        <v>0</v>
      </c>
      <c r="V391" s="21">
        <f t="shared" si="53"/>
        <v>2395015.9472976821</v>
      </c>
      <c r="W391" s="21">
        <f t="shared" si="54"/>
        <v>2395015.9472976821</v>
      </c>
      <c r="X391">
        <v>0</v>
      </c>
      <c r="Y391" s="18">
        <v>2017</v>
      </c>
      <c r="Z391" t="s">
        <v>387</v>
      </c>
      <c r="AA391" s="21">
        <f t="shared" si="55"/>
        <v>1</v>
      </c>
    </row>
    <row r="392" spans="1:27">
      <c r="A392" t="s">
        <v>205</v>
      </c>
      <c r="B392" s="18">
        <v>2025</v>
      </c>
      <c r="C392" t="s">
        <v>200</v>
      </c>
      <c r="D392" s="20" t="s">
        <v>391</v>
      </c>
      <c r="E392" s="20" t="s">
        <v>392</v>
      </c>
      <c r="F392" s="20" t="s">
        <v>204</v>
      </c>
      <c r="G392" s="20" t="s">
        <v>393</v>
      </c>
      <c r="H392" s="20" t="s">
        <v>384</v>
      </c>
      <c r="I392" s="29">
        <v>1</v>
      </c>
      <c r="J392" s="30">
        <v>1</v>
      </c>
      <c r="K392" s="31">
        <v>8.7749999999999998E-3</v>
      </c>
      <c r="L392" s="9">
        <v>575134853.59312999</v>
      </c>
      <c r="M392" s="9">
        <v>575134853.59312999</v>
      </c>
      <c r="N392" s="32">
        <f>MIN(MAX((B392-Calculation_Assumptions!$B$5+1)/Calculation_Assumptions!$B$7,0),1)</f>
        <v>0</v>
      </c>
      <c r="O392" s="21">
        <f t="shared" si="48"/>
        <v>575134853.59312999</v>
      </c>
      <c r="P392" s="21">
        <f t="shared" si="49"/>
        <v>575134853.59312999</v>
      </c>
      <c r="Q392" s="21">
        <f>P392*Calculation_Assumptions!$B$14*J392*K392</f>
        <v>0</v>
      </c>
      <c r="R392" s="21">
        <f t="shared" si="50"/>
        <v>0</v>
      </c>
      <c r="S392" s="21">
        <f t="shared" si="51"/>
        <v>0</v>
      </c>
      <c r="T392" s="32">
        <f>1/(1+Calculation_Assumptions!$B$8)^(B392-Calculation_Assumptions!$B$2)</f>
        <v>1</v>
      </c>
      <c r="U392" s="21">
        <f t="shared" si="52"/>
        <v>0</v>
      </c>
      <c r="V392" s="21">
        <f t="shared" si="53"/>
        <v>0</v>
      </c>
      <c r="W392" s="21">
        <f t="shared" si="54"/>
        <v>0</v>
      </c>
      <c r="X392">
        <v>0</v>
      </c>
      <c r="Y392" s="18">
        <v>2017</v>
      </c>
      <c r="Z392" t="s">
        <v>387</v>
      </c>
      <c r="AA392" s="21">
        <f t="shared" si="55"/>
        <v>1</v>
      </c>
    </row>
    <row r="393" spans="1:27">
      <c r="A393" t="s">
        <v>205</v>
      </c>
      <c r="B393" s="18">
        <v>2026</v>
      </c>
      <c r="C393" t="s">
        <v>200</v>
      </c>
      <c r="D393" s="20" t="s">
        <v>391</v>
      </c>
      <c r="E393" s="20" t="s">
        <v>392</v>
      </c>
      <c r="F393" s="20" t="s">
        <v>204</v>
      </c>
      <c r="G393" s="20" t="s">
        <v>393</v>
      </c>
      <c r="H393" s="20" t="s">
        <v>384</v>
      </c>
      <c r="I393" s="29">
        <v>1</v>
      </c>
      <c r="J393" s="30">
        <v>1</v>
      </c>
      <c r="K393" s="31">
        <v>8.7749999999999998E-3</v>
      </c>
      <c r="L393" s="9">
        <v>579268647.32329595</v>
      </c>
      <c r="M393" s="9">
        <v>579268647.32329595</v>
      </c>
      <c r="N393" s="32">
        <f>MIN(MAX((B393-Calculation_Assumptions!$B$5+1)/Calculation_Assumptions!$B$7,0),1)</f>
        <v>0.33333333333333331</v>
      </c>
      <c r="O393" s="21">
        <f t="shared" si="48"/>
        <v>579268647.32329595</v>
      </c>
      <c r="P393" s="21">
        <f t="shared" si="49"/>
        <v>579268647.32329595</v>
      </c>
      <c r="Q393" s="21">
        <f>P393*Calculation_Assumptions!$B$14*J393*K393</f>
        <v>0</v>
      </c>
      <c r="R393" s="21">
        <f t="shared" si="50"/>
        <v>1694360.7934206405</v>
      </c>
      <c r="S393" s="21">
        <f t="shared" si="51"/>
        <v>1694360.7934206405</v>
      </c>
      <c r="T393" s="32">
        <f>1/(1+Calculation_Assumptions!$B$8)^(B393-Calculation_Assumptions!$B$2)</f>
        <v>0.970873786407767</v>
      </c>
      <c r="U393" s="21">
        <f t="shared" si="52"/>
        <v>0</v>
      </c>
      <c r="V393" s="21">
        <f t="shared" si="53"/>
        <v>1645010.4790491655</v>
      </c>
      <c r="W393" s="21">
        <f t="shared" si="54"/>
        <v>1645010.4790491655</v>
      </c>
      <c r="X393">
        <v>0</v>
      </c>
      <c r="Y393" s="18">
        <v>2017</v>
      </c>
      <c r="Z393" t="s">
        <v>387</v>
      </c>
      <c r="AA393" s="21">
        <f t="shared" si="55"/>
        <v>1</v>
      </c>
    </row>
    <row r="394" spans="1:27">
      <c r="A394" t="s">
        <v>205</v>
      </c>
      <c r="B394" s="18">
        <v>2027</v>
      </c>
      <c r="C394" t="s">
        <v>200</v>
      </c>
      <c r="D394" s="20" t="s">
        <v>391</v>
      </c>
      <c r="E394" s="20" t="s">
        <v>392</v>
      </c>
      <c r="F394" s="20" t="s">
        <v>204</v>
      </c>
      <c r="G394" s="20" t="s">
        <v>393</v>
      </c>
      <c r="H394" s="20" t="s">
        <v>384</v>
      </c>
      <c r="I394" s="29">
        <v>1</v>
      </c>
      <c r="J394" s="30">
        <v>1</v>
      </c>
      <c r="K394" s="31">
        <v>8.7749999999999998E-3</v>
      </c>
      <c r="L394" s="9">
        <v>583039014.28645599</v>
      </c>
      <c r="M394" s="9">
        <v>583039014.28645599</v>
      </c>
      <c r="N394" s="32">
        <f>MIN(MAX((B394-Calculation_Assumptions!$B$5+1)/Calculation_Assumptions!$B$7,0),1)</f>
        <v>0.66666666666666663</v>
      </c>
      <c r="O394" s="21">
        <f t="shared" si="48"/>
        <v>583039014.28645599</v>
      </c>
      <c r="P394" s="21">
        <f t="shared" si="49"/>
        <v>583039014.28645599</v>
      </c>
      <c r="Q394" s="21">
        <f>P394*Calculation_Assumptions!$B$14*J394*K394</f>
        <v>0</v>
      </c>
      <c r="R394" s="21">
        <f t="shared" si="50"/>
        <v>3410778.2335757674</v>
      </c>
      <c r="S394" s="21">
        <f t="shared" si="51"/>
        <v>3410778.2335757674</v>
      </c>
      <c r="T394" s="32">
        <f>1/(1+Calculation_Assumptions!$B$8)^(B394-Calculation_Assumptions!$B$2)</f>
        <v>0.94259590913375435</v>
      </c>
      <c r="U394" s="21">
        <f t="shared" si="52"/>
        <v>0</v>
      </c>
      <c r="V394" s="21">
        <f t="shared" si="53"/>
        <v>3214985.6099309712</v>
      </c>
      <c r="W394" s="21">
        <f t="shared" si="54"/>
        <v>3214985.6099309712</v>
      </c>
      <c r="X394">
        <v>0</v>
      </c>
      <c r="Y394" s="18">
        <v>2017</v>
      </c>
      <c r="Z394" t="s">
        <v>387</v>
      </c>
      <c r="AA394" s="21">
        <f t="shared" si="55"/>
        <v>1</v>
      </c>
    </row>
    <row r="395" spans="1:27">
      <c r="A395" t="s">
        <v>205</v>
      </c>
      <c r="B395" s="18">
        <v>2028</v>
      </c>
      <c r="C395" t="s">
        <v>200</v>
      </c>
      <c r="D395" s="20" t="s">
        <v>391</v>
      </c>
      <c r="E395" s="20" t="s">
        <v>392</v>
      </c>
      <c r="F395" s="20" t="s">
        <v>204</v>
      </c>
      <c r="G395" s="20" t="s">
        <v>393</v>
      </c>
      <c r="H395" s="20" t="s">
        <v>384</v>
      </c>
      <c r="I395" s="29">
        <v>1</v>
      </c>
      <c r="J395" s="30">
        <v>1</v>
      </c>
      <c r="K395" s="31">
        <v>8.7749999999999998E-3</v>
      </c>
      <c r="L395" s="9">
        <v>587039193.65711796</v>
      </c>
      <c r="M395" s="9">
        <v>587035116.25746298</v>
      </c>
      <c r="N395" s="32">
        <f>MIN(MAX((B395-Calculation_Assumptions!$B$5+1)/Calculation_Assumptions!$B$7,0),1)</f>
        <v>1</v>
      </c>
      <c r="O395" s="21">
        <f t="shared" si="48"/>
        <v>587039193.65711796</v>
      </c>
      <c r="P395" s="21">
        <f t="shared" si="49"/>
        <v>587035116.25746298</v>
      </c>
      <c r="Q395" s="21">
        <f>P395*Calculation_Assumptions!$B$14*J395*K395</f>
        <v>0</v>
      </c>
      <c r="R395" s="21">
        <f t="shared" si="50"/>
        <v>5151268.9243412102</v>
      </c>
      <c r="S395" s="21">
        <f t="shared" si="51"/>
        <v>5151268.9243412102</v>
      </c>
      <c r="T395" s="32">
        <f>1/(1+Calculation_Assumptions!$B$8)^(B395-Calculation_Assumptions!$B$2)</f>
        <v>0.91514165935315961</v>
      </c>
      <c r="U395" s="21">
        <f t="shared" si="52"/>
        <v>0</v>
      </c>
      <c r="V395" s="21">
        <f t="shared" si="53"/>
        <v>4714140.7911959803</v>
      </c>
      <c r="W395" s="21">
        <f t="shared" si="54"/>
        <v>4714140.7911959803</v>
      </c>
      <c r="X395">
        <v>0</v>
      </c>
      <c r="Y395" s="18">
        <v>2017</v>
      </c>
      <c r="Z395" t="s">
        <v>387</v>
      </c>
      <c r="AA395" s="21">
        <f t="shared" si="55"/>
        <v>1</v>
      </c>
    </row>
    <row r="396" spans="1:27">
      <c r="A396" t="s">
        <v>205</v>
      </c>
      <c r="B396" s="18">
        <v>2029</v>
      </c>
      <c r="C396" t="s">
        <v>200</v>
      </c>
      <c r="D396" s="20" t="s">
        <v>391</v>
      </c>
      <c r="E396" s="20" t="s">
        <v>392</v>
      </c>
      <c r="F396" s="20" t="s">
        <v>204</v>
      </c>
      <c r="G396" s="20" t="s">
        <v>393</v>
      </c>
      <c r="H396" s="20" t="s">
        <v>384</v>
      </c>
      <c r="I396" s="29">
        <v>1</v>
      </c>
      <c r="J396" s="30">
        <v>1</v>
      </c>
      <c r="K396" s="31">
        <v>8.7749999999999998E-3</v>
      </c>
      <c r="L396" s="9">
        <v>590981954.27587199</v>
      </c>
      <c r="M396" s="9">
        <v>590968059.72178304</v>
      </c>
      <c r="N396" s="32">
        <f>MIN(MAX((B396-Calculation_Assumptions!$B$5+1)/Calculation_Assumptions!$B$7,0),1)</f>
        <v>1</v>
      </c>
      <c r="O396" s="21">
        <f t="shared" si="48"/>
        <v>590981954.27587199</v>
      </c>
      <c r="P396" s="21">
        <f t="shared" si="49"/>
        <v>590968059.72178304</v>
      </c>
      <c r="Q396" s="21">
        <f>P396*Calculation_Assumptions!$B$14*J396*K396</f>
        <v>0</v>
      </c>
      <c r="R396" s="21">
        <f t="shared" si="50"/>
        <v>5185866.6487707766</v>
      </c>
      <c r="S396" s="21">
        <f t="shared" si="51"/>
        <v>5185866.6487707766</v>
      </c>
      <c r="T396" s="32">
        <f>1/(1+Calculation_Assumptions!$B$8)^(B396-Calculation_Assumptions!$B$2)</f>
        <v>0.888487047915689</v>
      </c>
      <c r="U396" s="21">
        <f t="shared" si="52"/>
        <v>0</v>
      </c>
      <c r="V396" s="21">
        <f t="shared" si="53"/>
        <v>4607575.3496507742</v>
      </c>
      <c r="W396" s="21">
        <f t="shared" si="54"/>
        <v>4607575.3496507742</v>
      </c>
      <c r="X396">
        <v>0</v>
      </c>
      <c r="Y396" s="18">
        <v>2017</v>
      </c>
      <c r="Z396" t="s">
        <v>387</v>
      </c>
      <c r="AA396" s="21">
        <f t="shared" si="55"/>
        <v>1</v>
      </c>
    </row>
    <row r="397" spans="1:27">
      <c r="A397" t="s">
        <v>205</v>
      </c>
      <c r="B397" s="18">
        <v>2030</v>
      </c>
      <c r="C397" t="s">
        <v>200</v>
      </c>
      <c r="D397" s="20" t="s">
        <v>391</v>
      </c>
      <c r="E397" s="20" t="s">
        <v>392</v>
      </c>
      <c r="F397" s="20" t="s">
        <v>204</v>
      </c>
      <c r="G397" s="20" t="s">
        <v>393</v>
      </c>
      <c r="H397" s="20" t="s">
        <v>384</v>
      </c>
      <c r="I397" s="29">
        <v>1</v>
      </c>
      <c r="J397" s="30">
        <v>1</v>
      </c>
      <c r="K397" s="31">
        <v>8.7749999999999998E-3</v>
      </c>
      <c r="L397" s="9">
        <v>594838657.02169394</v>
      </c>
      <c r="M397" s="9">
        <v>594808018.62654305</v>
      </c>
      <c r="N397" s="32">
        <f>MIN(MAX((B397-Calculation_Assumptions!$B$5+1)/Calculation_Assumptions!$B$7,0),1)</f>
        <v>1</v>
      </c>
      <c r="O397" s="21">
        <f t="shared" si="48"/>
        <v>594838657.02169394</v>
      </c>
      <c r="P397" s="21">
        <f t="shared" si="49"/>
        <v>594808018.62654305</v>
      </c>
      <c r="Q397" s="21">
        <f>P397*Calculation_Assumptions!$B$14*J397*K397</f>
        <v>0</v>
      </c>
      <c r="R397" s="21">
        <f t="shared" si="50"/>
        <v>5219709.2153653642</v>
      </c>
      <c r="S397" s="21">
        <f t="shared" si="51"/>
        <v>5219709.2153653642</v>
      </c>
      <c r="T397" s="32">
        <f>1/(1+Calculation_Assumptions!$B$8)^(B397-Calculation_Assumptions!$B$2)</f>
        <v>0.86260878438416411</v>
      </c>
      <c r="U397" s="21">
        <f t="shared" si="52"/>
        <v>0</v>
      </c>
      <c r="V397" s="21">
        <f t="shared" si="53"/>
        <v>4502567.0211051358</v>
      </c>
      <c r="W397" s="21">
        <f t="shared" si="54"/>
        <v>4502567.0211051358</v>
      </c>
      <c r="X397">
        <v>0</v>
      </c>
      <c r="Y397" s="18">
        <v>2017</v>
      </c>
      <c r="Z397" t="s">
        <v>387</v>
      </c>
      <c r="AA397" s="21">
        <f t="shared" si="55"/>
        <v>1</v>
      </c>
    </row>
    <row r="398" spans="1:27">
      <c r="A398" t="s">
        <v>205</v>
      </c>
      <c r="B398" s="18">
        <v>2031</v>
      </c>
      <c r="C398" t="s">
        <v>200</v>
      </c>
      <c r="D398" s="20" t="s">
        <v>391</v>
      </c>
      <c r="E398" s="20" t="s">
        <v>392</v>
      </c>
      <c r="F398" s="20" t="s">
        <v>204</v>
      </c>
      <c r="G398" s="20" t="s">
        <v>393</v>
      </c>
      <c r="H398" s="20" t="s">
        <v>384</v>
      </c>
      <c r="I398" s="29">
        <v>1</v>
      </c>
      <c r="J398" s="30">
        <v>1</v>
      </c>
      <c r="K398" s="31">
        <v>8.7749999999999998E-3</v>
      </c>
      <c r="L398" s="9">
        <v>598636396.55800402</v>
      </c>
      <c r="M398" s="9">
        <v>598581381.03442597</v>
      </c>
      <c r="N398" s="32">
        <f>MIN(MAX((B398-Calculation_Assumptions!$B$5+1)/Calculation_Assumptions!$B$7,0),1)</f>
        <v>1</v>
      </c>
      <c r="O398" s="21">
        <f t="shared" si="48"/>
        <v>598636396.55800402</v>
      </c>
      <c r="P398" s="21">
        <f t="shared" si="49"/>
        <v>598581381.03442597</v>
      </c>
      <c r="Q398" s="21">
        <f>P398*Calculation_Assumptions!$B$14*J398*K398</f>
        <v>0</v>
      </c>
      <c r="R398" s="21">
        <f t="shared" si="50"/>
        <v>5253034.3797964854</v>
      </c>
      <c r="S398" s="21">
        <f t="shared" si="51"/>
        <v>5253034.3797964854</v>
      </c>
      <c r="T398" s="32">
        <f>1/(1+Calculation_Assumptions!$B$8)^(B398-Calculation_Assumptions!$B$2)</f>
        <v>0.83748425668365445</v>
      </c>
      <c r="U398" s="21">
        <f t="shared" si="52"/>
        <v>0</v>
      </c>
      <c r="V398" s="21">
        <f t="shared" si="53"/>
        <v>4399333.5928975409</v>
      </c>
      <c r="W398" s="21">
        <f t="shared" si="54"/>
        <v>4399333.5928975409</v>
      </c>
      <c r="X398">
        <v>0</v>
      </c>
      <c r="Y398" s="18">
        <v>2017</v>
      </c>
      <c r="Z398" t="s">
        <v>387</v>
      </c>
      <c r="AA398" s="21">
        <f t="shared" si="55"/>
        <v>1</v>
      </c>
    </row>
    <row r="399" spans="1:27">
      <c r="A399" t="s">
        <v>205</v>
      </c>
      <c r="B399" s="18">
        <v>2032</v>
      </c>
      <c r="C399" t="s">
        <v>200</v>
      </c>
      <c r="D399" s="20" t="s">
        <v>391</v>
      </c>
      <c r="E399" s="20" t="s">
        <v>392</v>
      </c>
      <c r="F399" s="20" t="s">
        <v>204</v>
      </c>
      <c r="G399" s="20" t="s">
        <v>393</v>
      </c>
      <c r="H399" s="20" t="s">
        <v>384</v>
      </c>
      <c r="I399" s="29">
        <v>1</v>
      </c>
      <c r="J399" s="30">
        <v>1</v>
      </c>
      <c r="K399" s="31">
        <v>8.7749999999999998E-3</v>
      </c>
      <c r="L399" s="9">
        <v>602371311.77954698</v>
      </c>
      <c r="M399" s="9">
        <v>602283583.58638096</v>
      </c>
      <c r="N399" s="32">
        <f>MIN(MAX((B399-Calculation_Assumptions!$B$5+1)/Calculation_Assumptions!$B$7,0),1)</f>
        <v>1</v>
      </c>
      <c r="O399" s="21">
        <f t="shared" si="48"/>
        <v>602371311.77954698</v>
      </c>
      <c r="P399" s="21">
        <f t="shared" si="49"/>
        <v>602283583.58638096</v>
      </c>
      <c r="Q399" s="21">
        <f>P399*Calculation_Assumptions!$B$14*J399*K399</f>
        <v>0</v>
      </c>
      <c r="R399" s="21">
        <f t="shared" si="50"/>
        <v>5285808.2608655244</v>
      </c>
      <c r="S399" s="21">
        <f t="shared" si="51"/>
        <v>5285808.2608655244</v>
      </c>
      <c r="T399" s="32">
        <f>1/(1+Calculation_Assumptions!$B$8)^(B399-Calculation_Assumptions!$B$2)</f>
        <v>0.81309151134335378</v>
      </c>
      <c r="U399" s="21">
        <f t="shared" si="52"/>
        <v>0</v>
      </c>
      <c r="V399" s="21">
        <f t="shared" si="53"/>
        <v>4297845.8274983335</v>
      </c>
      <c r="W399" s="21">
        <f t="shared" si="54"/>
        <v>4297845.8274983335</v>
      </c>
      <c r="X399">
        <v>0</v>
      </c>
      <c r="Y399" s="18">
        <v>2017</v>
      </c>
      <c r="Z399" t="s">
        <v>387</v>
      </c>
      <c r="AA399" s="21">
        <f t="shared" si="55"/>
        <v>1</v>
      </c>
    </row>
    <row r="400" spans="1:27">
      <c r="A400" t="s">
        <v>205</v>
      </c>
      <c r="B400" s="18">
        <v>2033</v>
      </c>
      <c r="C400" t="s">
        <v>200</v>
      </c>
      <c r="D400" s="20" t="s">
        <v>391</v>
      </c>
      <c r="E400" s="20" t="s">
        <v>392</v>
      </c>
      <c r="F400" s="20" t="s">
        <v>204</v>
      </c>
      <c r="G400" s="20" t="s">
        <v>393</v>
      </c>
      <c r="H400" s="20" t="s">
        <v>384</v>
      </c>
      <c r="I400" s="29">
        <v>1</v>
      </c>
      <c r="J400" s="30">
        <v>1</v>
      </c>
      <c r="K400" s="31">
        <v>8.7749999999999998E-3</v>
      </c>
      <c r="L400" s="9">
        <v>606037450.14737797</v>
      </c>
      <c r="M400" s="9">
        <v>605911902.99473</v>
      </c>
      <c r="N400" s="32">
        <f>MIN(MAX((B400-Calculation_Assumptions!$B$5+1)/Calculation_Assumptions!$B$7,0),1)</f>
        <v>1</v>
      </c>
      <c r="O400" s="21">
        <f t="shared" si="48"/>
        <v>606037450.14737797</v>
      </c>
      <c r="P400" s="21">
        <f t="shared" si="49"/>
        <v>605911902.99473</v>
      </c>
      <c r="Q400" s="21">
        <f>P400*Calculation_Assumptions!$B$14*J400*K400</f>
        <v>0</v>
      </c>
      <c r="R400" s="21">
        <f t="shared" si="50"/>
        <v>5317978.6250432413</v>
      </c>
      <c r="S400" s="21">
        <f t="shared" si="51"/>
        <v>5317978.6250432413</v>
      </c>
      <c r="T400" s="32">
        <f>1/(1+Calculation_Assumptions!$B$8)^(B400-Calculation_Assumptions!$B$2)</f>
        <v>0.78940923431393573</v>
      </c>
      <c r="U400" s="21">
        <f t="shared" si="52"/>
        <v>0</v>
      </c>
      <c r="V400" s="21">
        <f t="shared" si="53"/>
        <v>4198061.4344932614</v>
      </c>
      <c r="W400" s="21">
        <f t="shared" si="54"/>
        <v>4198061.4344932614</v>
      </c>
      <c r="X400">
        <v>0</v>
      </c>
      <c r="Y400" s="18">
        <v>2017</v>
      </c>
      <c r="Z400" t="s">
        <v>387</v>
      </c>
      <c r="AA400" s="21">
        <f t="shared" si="55"/>
        <v>1</v>
      </c>
    </row>
    <row r="401" spans="1:27">
      <c r="A401" t="s">
        <v>205</v>
      </c>
      <c r="B401" s="18">
        <v>2034</v>
      </c>
      <c r="C401" t="s">
        <v>200</v>
      </c>
      <c r="D401" s="20" t="s">
        <v>391</v>
      </c>
      <c r="E401" s="20" t="s">
        <v>392</v>
      </c>
      <c r="F401" s="20" t="s">
        <v>204</v>
      </c>
      <c r="G401" s="20" t="s">
        <v>393</v>
      </c>
      <c r="H401" s="20" t="s">
        <v>384</v>
      </c>
      <c r="I401" s="29">
        <v>1</v>
      </c>
      <c r="J401" s="30">
        <v>1</v>
      </c>
      <c r="K401" s="31">
        <v>8.7749999999999998E-3</v>
      </c>
      <c r="L401" s="9">
        <v>609622619.74529004</v>
      </c>
      <c r="M401" s="9">
        <v>609455548.12077105</v>
      </c>
      <c r="N401" s="32">
        <f>MIN(MAX((B401-Calculation_Assumptions!$B$5+1)/Calculation_Assumptions!$B$7,0),1)</f>
        <v>1</v>
      </c>
      <c r="O401" s="21">
        <f t="shared" si="48"/>
        <v>609622619.74529004</v>
      </c>
      <c r="P401" s="21">
        <f t="shared" si="49"/>
        <v>609455548.12077105</v>
      </c>
      <c r="Q401" s="21">
        <f>P401*Calculation_Assumptions!$B$14*J401*K401</f>
        <v>0</v>
      </c>
      <c r="R401" s="21">
        <f t="shared" si="50"/>
        <v>5349438.4882649202</v>
      </c>
      <c r="S401" s="21">
        <f t="shared" si="51"/>
        <v>5349438.4882649202</v>
      </c>
      <c r="T401" s="32">
        <f>1/(1+Calculation_Assumptions!$B$8)^(B401-Calculation_Assumptions!$B$2)</f>
        <v>0.76641673234362695</v>
      </c>
      <c r="U401" s="21">
        <f t="shared" si="52"/>
        <v>0</v>
      </c>
      <c r="V401" s="21">
        <f t="shared" si="53"/>
        <v>4099899.1660492318</v>
      </c>
      <c r="W401" s="21">
        <f t="shared" si="54"/>
        <v>4099899.1660492318</v>
      </c>
      <c r="X401">
        <v>0</v>
      </c>
      <c r="Y401" s="18">
        <v>2017</v>
      </c>
      <c r="Z401" t="s">
        <v>387</v>
      </c>
      <c r="AA401" s="21">
        <f t="shared" si="55"/>
        <v>1</v>
      </c>
    </row>
    <row r="402" spans="1:27">
      <c r="A402" t="s">
        <v>205</v>
      </c>
      <c r="B402" s="18">
        <v>2035</v>
      </c>
      <c r="C402" t="s">
        <v>200</v>
      </c>
      <c r="D402" s="20" t="s">
        <v>391</v>
      </c>
      <c r="E402" s="20" t="s">
        <v>392</v>
      </c>
      <c r="F402" s="20" t="s">
        <v>204</v>
      </c>
      <c r="G402" s="20" t="s">
        <v>393</v>
      </c>
      <c r="H402" s="20" t="s">
        <v>384</v>
      </c>
      <c r="I402" s="29">
        <v>1</v>
      </c>
      <c r="J402" s="30">
        <v>1</v>
      </c>
      <c r="K402" s="31">
        <v>8.7749999999999998E-3</v>
      </c>
      <c r="L402" s="9">
        <v>613023444.11970603</v>
      </c>
      <c r="M402" s="9">
        <v>612884294.47334194</v>
      </c>
      <c r="N402" s="32">
        <f>MIN(MAX((B402-Calculation_Assumptions!$B$5+1)/Calculation_Assumptions!$B$7,0),1)</f>
        <v>1</v>
      </c>
      <c r="O402" s="21">
        <f t="shared" si="48"/>
        <v>613023444.11970603</v>
      </c>
      <c r="P402" s="21">
        <f t="shared" si="49"/>
        <v>612884294.47334194</v>
      </c>
      <c r="Q402" s="21">
        <f>P402*Calculation_Assumptions!$B$14*J402*K402</f>
        <v>0</v>
      </c>
      <c r="R402" s="21">
        <f t="shared" si="50"/>
        <v>5379280.7221504208</v>
      </c>
      <c r="S402" s="21">
        <f t="shared" si="51"/>
        <v>5379280.7221504208</v>
      </c>
      <c r="T402" s="32">
        <f>1/(1+Calculation_Assumptions!$B$8)^(B402-Calculation_Assumptions!$B$2)</f>
        <v>0.74409391489672516</v>
      </c>
      <c r="U402" s="21">
        <f t="shared" si="52"/>
        <v>0</v>
      </c>
      <c r="V402" s="21">
        <f t="shared" si="53"/>
        <v>4002690.0518733896</v>
      </c>
      <c r="W402" s="21">
        <f t="shared" si="54"/>
        <v>4002690.0518733896</v>
      </c>
      <c r="X402">
        <v>0</v>
      </c>
      <c r="Y402" s="18">
        <v>2017</v>
      </c>
      <c r="Z402" t="s">
        <v>387</v>
      </c>
      <c r="AA402" s="21">
        <f t="shared" si="55"/>
        <v>1</v>
      </c>
    </row>
    <row r="403" spans="1:27">
      <c r="A403" t="s">
        <v>205</v>
      </c>
      <c r="B403" s="18">
        <v>2036</v>
      </c>
      <c r="C403" t="s">
        <v>200</v>
      </c>
      <c r="D403" s="20" t="s">
        <v>391</v>
      </c>
      <c r="E403" s="20" t="s">
        <v>392</v>
      </c>
      <c r="F403" s="20" t="s">
        <v>204</v>
      </c>
      <c r="G403" s="20" t="s">
        <v>393</v>
      </c>
      <c r="H403" s="20" t="s">
        <v>384</v>
      </c>
      <c r="I403" s="29">
        <v>1</v>
      </c>
      <c r="J403" s="30">
        <v>1</v>
      </c>
      <c r="K403" s="31">
        <v>8.7749999999999998E-3</v>
      </c>
      <c r="L403" s="9">
        <v>616444641.41788399</v>
      </c>
      <c r="M403" s="9">
        <v>616262053.85817397</v>
      </c>
      <c r="N403" s="32">
        <f>MIN(MAX((B403-Calculation_Assumptions!$B$5+1)/Calculation_Assumptions!$B$7,0),1)</f>
        <v>1</v>
      </c>
      <c r="O403" s="21">
        <f t="shared" si="48"/>
        <v>616444641.41788399</v>
      </c>
      <c r="P403" s="21">
        <f t="shared" si="49"/>
        <v>616262053.85817397</v>
      </c>
      <c r="Q403" s="21">
        <f>P403*Calculation_Assumptions!$B$14*J403*K403</f>
        <v>0</v>
      </c>
      <c r="R403" s="21">
        <f t="shared" si="50"/>
        <v>5409301.7284419322</v>
      </c>
      <c r="S403" s="21">
        <f t="shared" si="51"/>
        <v>5409301.7284419322</v>
      </c>
      <c r="T403" s="32">
        <f>1/(1+Calculation_Assumptions!$B$8)^(B403-Calculation_Assumptions!$B$2)</f>
        <v>0.72242127659876232</v>
      </c>
      <c r="U403" s="21">
        <f t="shared" si="52"/>
        <v>0</v>
      </c>
      <c r="V403" s="21">
        <f t="shared" si="53"/>
        <v>3907794.6601689123</v>
      </c>
      <c r="W403" s="21">
        <f t="shared" si="54"/>
        <v>3907794.6601689123</v>
      </c>
      <c r="X403">
        <v>0</v>
      </c>
      <c r="Y403" s="18">
        <v>2017</v>
      </c>
      <c r="Z403" t="s">
        <v>387</v>
      </c>
      <c r="AA403" s="21">
        <f t="shared" si="55"/>
        <v>1</v>
      </c>
    </row>
    <row r="404" spans="1:27">
      <c r="A404" t="s">
        <v>205</v>
      </c>
      <c r="B404" s="18">
        <v>2037</v>
      </c>
      <c r="C404" t="s">
        <v>200</v>
      </c>
      <c r="D404" s="20" t="s">
        <v>391</v>
      </c>
      <c r="E404" s="20" t="s">
        <v>392</v>
      </c>
      <c r="F404" s="20" t="s">
        <v>204</v>
      </c>
      <c r="G404" s="20" t="s">
        <v>393</v>
      </c>
      <c r="H404" s="20" t="s">
        <v>384</v>
      </c>
      <c r="I404" s="29">
        <v>1</v>
      </c>
      <c r="J404" s="30">
        <v>1</v>
      </c>
      <c r="K404" s="31">
        <v>8.7749999999999998E-3</v>
      </c>
      <c r="L404" s="9">
        <v>619774275.99192095</v>
      </c>
      <c r="M404" s="9">
        <v>619529380.90729904</v>
      </c>
      <c r="N404" s="32">
        <f>MIN(MAX((B404-Calculation_Assumptions!$B$5+1)/Calculation_Assumptions!$B$7,0),1)</f>
        <v>1</v>
      </c>
      <c r="O404" s="21">
        <f t="shared" si="48"/>
        <v>619774275.99192095</v>
      </c>
      <c r="P404" s="21">
        <f t="shared" si="49"/>
        <v>619529380.90729904</v>
      </c>
      <c r="Q404" s="21">
        <f>P404*Calculation_Assumptions!$B$14*J404*K404</f>
        <v>0</v>
      </c>
      <c r="R404" s="21">
        <f t="shared" si="50"/>
        <v>5438519.2718291059</v>
      </c>
      <c r="S404" s="21">
        <f t="shared" si="51"/>
        <v>5438519.2718291059</v>
      </c>
      <c r="T404" s="32">
        <f>1/(1+Calculation_Assumptions!$B$8)^(B404-Calculation_Assumptions!$B$2)</f>
        <v>0.70137988019297326</v>
      </c>
      <c r="U404" s="21">
        <f t="shared" si="52"/>
        <v>0</v>
      </c>
      <c r="V404" s="21">
        <f t="shared" si="53"/>
        <v>3814467.9953026744</v>
      </c>
      <c r="W404" s="21">
        <f t="shared" si="54"/>
        <v>3814467.9953026744</v>
      </c>
      <c r="X404">
        <v>0</v>
      </c>
      <c r="Y404" s="18">
        <v>2017</v>
      </c>
      <c r="Z404" t="s">
        <v>387</v>
      </c>
      <c r="AA404" s="21">
        <f t="shared" si="55"/>
        <v>1</v>
      </c>
    </row>
    <row r="405" spans="1:27">
      <c r="A405" t="s">
        <v>205</v>
      </c>
      <c r="B405" s="18">
        <v>2038</v>
      </c>
      <c r="C405" t="s">
        <v>200</v>
      </c>
      <c r="D405" s="20" t="s">
        <v>391</v>
      </c>
      <c r="E405" s="20" t="s">
        <v>392</v>
      </c>
      <c r="F405" s="20" t="s">
        <v>204</v>
      </c>
      <c r="G405" s="20" t="s">
        <v>393</v>
      </c>
      <c r="H405" s="20" t="s">
        <v>384</v>
      </c>
      <c r="I405" s="29">
        <v>1</v>
      </c>
      <c r="J405" s="30">
        <v>1</v>
      </c>
      <c r="K405" s="31">
        <v>8.7749999999999998E-3</v>
      </c>
      <c r="L405" s="9">
        <v>622979045.89335799</v>
      </c>
      <c r="M405" s="9">
        <v>622673191.62836504</v>
      </c>
      <c r="N405" s="32">
        <f>MIN(MAX((B405-Calculation_Assumptions!$B$5+1)/Calculation_Assumptions!$B$7,0),1)</f>
        <v>1</v>
      </c>
      <c r="O405" s="21">
        <f t="shared" si="48"/>
        <v>622979045.89335799</v>
      </c>
      <c r="P405" s="21">
        <f t="shared" si="49"/>
        <v>622673191.62836504</v>
      </c>
      <c r="Q405" s="21">
        <f>P405*Calculation_Assumptions!$B$14*J405*K405</f>
        <v>0</v>
      </c>
      <c r="R405" s="21">
        <f t="shared" si="50"/>
        <v>5466641.1277142167</v>
      </c>
      <c r="S405" s="21">
        <f t="shared" si="51"/>
        <v>5466641.1277142167</v>
      </c>
      <c r="T405" s="32">
        <f>1/(1+Calculation_Assumptions!$B$8)^(B405-Calculation_Assumptions!$B$2)</f>
        <v>0.68095133999317792</v>
      </c>
      <c r="U405" s="21">
        <f t="shared" si="52"/>
        <v>0</v>
      </c>
      <c r="V405" s="21">
        <f t="shared" si="53"/>
        <v>3722516.6011788133</v>
      </c>
      <c r="W405" s="21">
        <f t="shared" si="54"/>
        <v>3722516.6011788133</v>
      </c>
      <c r="X405">
        <v>0</v>
      </c>
      <c r="Y405" s="18">
        <v>2017</v>
      </c>
      <c r="Z405" t="s">
        <v>387</v>
      </c>
      <c r="AA405" s="21">
        <f t="shared" si="55"/>
        <v>1</v>
      </c>
    </row>
    <row r="406" spans="1:27">
      <c r="A406" t="s">
        <v>205</v>
      </c>
      <c r="B406" s="18">
        <v>2039</v>
      </c>
      <c r="C406" t="s">
        <v>200</v>
      </c>
      <c r="D406" s="20" t="s">
        <v>391</v>
      </c>
      <c r="E406" s="20" t="s">
        <v>392</v>
      </c>
      <c r="F406" s="20" t="s">
        <v>204</v>
      </c>
      <c r="G406" s="20" t="s">
        <v>393</v>
      </c>
      <c r="H406" s="20" t="s">
        <v>384</v>
      </c>
      <c r="I406" s="29">
        <v>1</v>
      </c>
      <c r="J406" s="30">
        <v>1</v>
      </c>
      <c r="K406" s="31">
        <v>8.7749999999999998E-3</v>
      </c>
      <c r="L406" s="9">
        <v>626098334.53738201</v>
      </c>
      <c r="M406" s="9">
        <v>625731758.218045</v>
      </c>
      <c r="N406" s="32">
        <f>MIN(MAX((B406-Calculation_Assumptions!$B$5+1)/Calculation_Assumptions!$B$7,0),1)</f>
        <v>1</v>
      </c>
      <c r="O406" s="21">
        <f t="shared" si="48"/>
        <v>626098334.53738201</v>
      </c>
      <c r="P406" s="21">
        <f t="shared" si="49"/>
        <v>625731758.218045</v>
      </c>
      <c r="Q406" s="21">
        <f>P406*Calculation_Assumptions!$B$14*J406*K406</f>
        <v>0</v>
      </c>
      <c r="R406" s="21">
        <f t="shared" si="50"/>
        <v>5494012.8855655268</v>
      </c>
      <c r="S406" s="21">
        <f t="shared" si="51"/>
        <v>5494012.8855655268</v>
      </c>
      <c r="T406" s="32">
        <f>1/(1+Calculation_Assumptions!$B$8)^(B406-Calculation_Assumptions!$B$2)</f>
        <v>0.66111780581861923</v>
      </c>
      <c r="U406" s="21">
        <f t="shared" si="52"/>
        <v>0</v>
      </c>
      <c r="V406" s="21">
        <f t="shared" si="53"/>
        <v>3632189.744044302</v>
      </c>
      <c r="W406" s="21">
        <f t="shared" si="54"/>
        <v>3632189.744044302</v>
      </c>
      <c r="X406">
        <v>0</v>
      </c>
      <c r="Y406" s="18">
        <v>2017</v>
      </c>
      <c r="Z406" t="s">
        <v>387</v>
      </c>
      <c r="AA406" s="21">
        <f t="shared" si="55"/>
        <v>1</v>
      </c>
    </row>
    <row r="407" spans="1:27">
      <c r="A407" t="s">
        <v>205</v>
      </c>
      <c r="B407" s="18">
        <v>2040</v>
      </c>
      <c r="C407" t="s">
        <v>200</v>
      </c>
      <c r="D407" s="20" t="s">
        <v>391</v>
      </c>
      <c r="E407" s="20" t="s">
        <v>392</v>
      </c>
      <c r="F407" s="20" t="s">
        <v>204</v>
      </c>
      <c r="G407" s="20" t="s">
        <v>393</v>
      </c>
      <c r="H407" s="20" t="s">
        <v>384</v>
      </c>
      <c r="I407" s="29">
        <v>1</v>
      </c>
      <c r="J407" s="30">
        <v>1</v>
      </c>
      <c r="K407" s="31">
        <v>8.7749999999999998E-3</v>
      </c>
      <c r="L407" s="9">
        <v>629093837.79172397</v>
      </c>
      <c r="M407" s="9">
        <v>628667498.21665299</v>
      </c>
      <c r="N407" s="32">
        <f>MIN(MAX((B407-Calculation_Assumptions!$B$5+1)/Calculation_Assumptions!$B$7,0),1)</f>
        <v>1</v>
      </c>
      <c r="O407" s="21">
        <f t="shared" si="48"/>
        <v>629093837.79172397</v>
      </c>
      <c r="P407" s="21">
        <f t="shared" si="49"/>
        <v>628667498.21665299</v>
      </c>
      <c r="Q407" s="21">
        <f>P407*Calculation_Assumptions!$B$14*J407*K407</f>
        <v>0</v>
      </c>
      <c r="R407" s="21">
        <f t="shared" si="50"/>
        <v>5520298.4266223777</v>
      </c>
      <c r="S407" s="21">
        <f t="shared" si="51"/>
        <v>5520298.4266223777</v>
      </c>
      <c r="T407" s="32">
        <f>1/(1+Calculation_Assumptions!$B$8)^(B407-Calculation_Assumptions!$B$2)</f>
        <v>0.64186194739671765</v>
      </c>
      <c r="U407" s="21">
        <f t="shared" si="52"/>
        <v>0</v>
      </c>
      <c r="V407" s="21">
        <f t="shared" si="53"/>
        <v>3543269.4983228757</v>
      </c>
      <c r="W407" s="21">
        <f t="shared" si="54"/>
        <v>3543269.4983228757</v>
      </c>
      <c r="X407">
        <v>0</v>
      </c>
      <c r="Y407" s="18">
        <v>2017</v>
      </c>
      <c r="Z407" t="s">
        <v>387</v>
      </c>
      <c r="AA407" s="21">
        <f t="shared" si="55"/>
        <v>1</v>
      </c>
    </row>
    <row r="408" spans="1:27">
      <c r="A408" t="s">
        <v>205</v>
      </c>
      <c r="B408" s="18">
        <v>2041</v>
      </c>
      <c r="C408" t="s">
        <v>200</v>
      </c>
      <c r="D408" s="20" t="s">
        <v>391</v>
      </c>
      <c r="E408" s="20" t="s">
        <v>392</v>
      </c>
      <c r="F408" s="20" t="s">
        <v>204</v>
      </c>
      <c r="G408" s="20" t="s">
        <v>393</v>
      </c>
      <c r="H408" s="20" t="s">
        <v>384</v>
      </c>
      <c r="I408" s="29">
        <v>1</v>
      </c>
      <c r="J408" s="30">
        <v>1</v>
      </c>
      <c r="K408" s="31">
        <v>8.7749999999999998E-3</v>
      </c>
      <c r="L408" s="9">
        <v>631973329.78204095</v>
      </c>
      <c r="M408" s="9">
        <v>631488405.68781996</v>
      </c>
      <c r="N408" s="32">
        <f>MIN(MAX((B408-Calculation_Assumptions!$B$5+1)/Calculation_Assumptions!$B$7,0),1)</f>
        <v>1</v>
      </c>
      <c r="O408" s="21">
        <f t="shared" si="48"/>
        <v>631973329.78204095</v>
      </c>
      <c r="P408" s="21">
        <f t="shared" si="49"/>
        <v>631488405.68781996</v>
      </c>
      <c r="Q408" s="21">
        <f>P408*Calculation_Assumptions!$B$14*J408*K408</f>
        <v>0</v>
      </c>
      <c r="R408" s="21">
        <f t="shared" si="50"/>
        <v>5545565.9688374093</v>
      </c>
      <c r="S408" s="21">
        <f t="shared" si="51"/>
        <v>5545565.9688374093</v>
      </c>
      <c r="T408" s="32">
        <f>1/(1+Calculation_Assumptions!$B$8)^(B408-Calculation_Assumptions!$B$2)</f>
        <v>0.62316693922011435</v>
      </c>
      <c r="U408" s="21">
        <f t="shared" si="52"/>
        <v>0</v>
      </c>
      <c r="V408" s="21">
        <f t="shared" si="53"/>
        <v>3455813.3710436365</v>
      </c>
      <c r="W408" s="21">
        <f t="shared" si="54"/>
        <v>3455813.3710436365</v>
      </c>
      <c r="X408">
        <v>0</v>
      </c>
      <c r="Y408" s="18">
        <v>2017</v>
      </c>
      <c r="Z408" t="s">
        <v>387</v>
      </c>
      <c r="AA408" s="21">
        <f t="shared" si="55"/>
        <v>1</v>
      </c>
    </row>
    <row r="409" spans="1:27">
      <c r="A409" t="s">
        <v>205</v>
      </c>
      <c r="B409" s="18">
        <v>2042</v>
      </c>
      <c r="C409" t="s">
        <v>200</v>
      </c>
      <c r="D409" s="20" t="s">
        <v>391</v>
      </c>
      <c r="E409" s="20" t="s">
        <v>392</v>
      </c>
      <c r="F409" s="20" t="s">
        <v>204</v>
      </c>
      <c r="G409" s="20" t="s">
        <v>393</v>
      </c>
      <c r="H409" s="20" t="s">
        <v>384</v>
      </c>
      <c r="I409" s="29">
        <v>1</v>
      </c>
      <c r="J409" s="30">
        <v>1</v>
      </c>
      <c r="K409" s="31">
        <v>8.7749999999999998E-3</v>
      </c>
      <c r="L409" s="9">
        <v>634726758.311427</v>
      </c>
      <c r="M409" s="9">
        <v>634184560.98858297</v>
      </c>
      <c r="N409" s="32">
        <f>MIN(MAX((B409-Calculation_Assumptions!$B$5+1)/Calculation_Assumptions!$B$7,0),1)</f>
        <v>1</v>
      </c>
      <c r="O409" s="21">
        <f t="shared" si="48"/>
        <v>634726758.311427</v>
      </c>
      <c r="P409" s="21">
        <f t="shared" si="49"/>
        <v>634184560.98858297</v>
      </c>
      <c r="Q409" s="21">
        <f>P409*Calculation_Assumptions!$B$14*J409*K409</f>
        <v>0</v>
      </c>
      <c r="R409" s="21">
        <f t="shared" si="50"/>
        <v>5569727.3041827716</v>
      </c>
      <c r="S409" s="21">
        <f t="shared" si="51"/>
        <v>5569727.3041827716</v>
      </c>
      <c r="T409" s="32">
        <f>1/(1+Calculation_Assumptions!$B$8)^(B409-Calculation_Assumptions!$B$2)</f>
        <v>0.60501644584477121</v>
      </c>
      <c r="U409" s="21">
        <f t="shared" si="52"/>
        <v>0</v>
      </c>
      <c r="V409" s="21">
        <f t="shared" si="53"/>
        <v>3369776.6179012395</v>
      </c>
      <c r="W409" s="21">
        <f t="shared" si="54"/>
        <v>3369776.6179012395</v>
      </c>
      <c r="X409">
        <v>0</v>
      </c>
      <c r="Y409" s="18">
        <v>2017</v>
      </c>
      <c r="Z409" t="s">
        <v>387</v>
      </c>
      <c r="AA409" s="21">
        <f t="shared" si="55"/>
        <v>1</v>
      </c>
    </row>
    <row r="410" spans="1:27">
      <c r="A410" t="s">
        <v>205</v>
      </c>
      <c r="B410" s="18">
        <v>2043</v>
      </c>
      <c r="C410" t="s">
        <v>200</v>
      </c>
      <c r="D410" s="20" t="s">
        <v>391</v>
      </c>
      <c r="E410" s="20" t="s">
        <v>392</v>
      </c>
      <c r="F410" s="20" t="s">
        <v>204</v>
      </c>
      <c r="G410" s="20" t="s">
        <v>393</v>
      </c>
      <c r="H410" s="20" t="s">
        <v>384</v>
      </c>
      <c r="I410" s="29">
        <v>1</v>
      </c>
      <c r="J410" s="30">
        <v>1</v>
      </c>
      <c r="K410" s="31">
        <v>8.7749999999999998E-3</v>
      </c>
      <c r="L410" s="9">
        <v>637353330.41688395</v>
      </c>
      <c r="M410" s="9">
        <v>636767020.67603099</v>
      </c>
      <c r="N410" s="32">
        <f>MIN(MAX((B410-Calculation_Assumptions!$B$5+1)/Calculation_Assumptions!$B$7,0),1)</f>
        <v>1</v>
      </c>
      <c r="O410" s="21">
        <f t="shared" si="48"/>
        <v>637353330.41688395</v>
      </c>
      <c r="P410" s="21">
        <f t="shared" si="49"/>
        <v>636767020.67603099</v>
      </c>
      <c r="Q410" s="21">
        <f>P410*Calculation_Assumptions!$B$14*J410*K410</f>
        <v>0</v>
      </c>
      <c r="R410" s="21">
        <f t="shared" si="50"/>
        <v>5592775.4744081562</v>
      </c>
      <c r="S410" s="21">
        <f t="shared" si="51"/>
        <v>5592775.4744081562</v>
      </c>
      <c r="T410" s="32">
        <f>1/(1+Calculation_Assumptions!$B$8)^(B410-Calculation_Assumptions!$B$2)</f>
        <v>0.5873946076162827</v>
      </c>
      <c r="U410" s="21">
        <f t="shared" si="52"/>
        <v>0</v>
      </c>
      <c r="V410" s="21">
        <f t="shared" si="53"/>
        <v>3285166.1552759483</v>
      </c>
      <c r="W410" s="21">
        <f t="shared" si="54"/>
        <v>3285166.1552759483</v>
      </c>
      <c r="X410">
        <v>0</v>
      </c>
      <c r="Y410" s="18">
        <v>2017</v>
      </c>
      <c r="Z410" t="s">
        <v>387</v>
      </c>
      <c r="AA410" s="21">
        <f t="shared" si="55"/>
        <v>1</v>
      </c>
    </row>
    <row r="411" spans="1:27">
      <c r="A411" t="s">
        <v>205</v>
      </c>
      <c r="B411" s="18">
        <v>2044</v>
      </c>
      <c r="C411" t="s">
        <v>200</v>
      </c>
      <c r="D411" s="20" t="s">
        <v>391</v>
      </c>
      <c r="E411" s="20" t="s">
        <v>392</v>
      </c>
      <c r="F411" s="20" t="s">
        <v>204</v>
      </c>
      <c r="G411" s="20" t="s">
        <v>393</v>
      </c>
      <c r="H411" s="20" t="s">
        <v>384</v>
      </c>
      <c r="I411" s="29">
        <v>1</v>
      </c>
      <c r="J411" s="30">
        <v>1</v>
      </c>
      <c r="K411" s="31">
        <v>8.7749999999999998E-3</v>
      </c>
      <c r="L411" s="9">
        <v>639848442.82424998</v>
      </c>
      <c r="M411" s="9">
        <v>639211548.58069301</v>
      </c>
      <c r="N411" s="32">
        <f>MIN(MAX((B411-Calculation_Assumptions!$B$5+1)/Calculation_Assumptions!$B$7,0),1)</f>
        <v>1</v>
      </c>
      <c r="O411" s="21">
        <f t="shared" si="48"/>
        <v>639848442.82424998</v>
      </c>
      <c r="P411" s="21">
        <f t="shared" si="49"/>
        <v>639211548.58069301</v>
      </c>
      <c r="Q411" s="21">
        <f>P411*Calculation_Assumptions!$B$14*J411*K411</f>
        <v>0</v>
      </c>
      <c r="R411" s="21">
        <f t="shared" si="50"/>
        <v>5614670.0857827934</v>
      </c>
      <c r="S411" s="21">
        <f t="shared" si="51"/>
        <v>5614670.0857827934</v>
      </c>
      <c r="T411" s="32">
        <f>1/(1+Calculation_Assumptions!$B$8)^(B411-Calculation_Assumptions!$B$2)</f>
        <v>0.57028602681192497</v>
      </c>
      <c r="U411" s="21">
        <f t="shared" si="52"/>
        <v>0</v>
      </c>
      <c r="V411" s="21">
        <f t="shared" si="53"/>
        <v>3201967.8950808393</v>
      </c>
      <c r="W411" s="21">
        <f t="shared" si="54"/>
        <v>3201967.8950808393</v>
      </c>
      <c r="X411">
        <v>0</v>
      </c>
      <c r="Y411" s="18">
        <v>2017</v>
      </c>
      <c r="Z411" t="s">
        <v>387</v>
      </c>
      <c r="AA411" s="21">
        <f t="shared" si="55"/>
        <v>1</v>
      </c>
    </row>
    <row r="412" spans="1:27">
      <c r="A412" t="s">
        <v>205</v>
      </c>
      <c r="B412" s="18">
        <v>2045</v>
      </c>
      <c r="C412" t="s">
        <v>200</v>
      </c>
      <c r="D412" s="20" t="s">
        <v>391</v>
      </c>
      <c r="E412" s="20" t="s">
        <v>392</v>
      </c>
      <c r="F412" s="20" t="s">
        <v>204</v>
      </c>
      <c r="G412" s="20" t="s">
        <v>393</v>
      </c>
      <c r="H412" s="20" t="s">
        <v>384</v>
      </c>
      <c r="I412" s="29">
        <v>1</v>
      </c>
      <c r="J412" s="30">
        <v>1</v>
      </c>
      <c r="K412" s="31">
        <v>8.7749999999999998E-3</v>
      </c>
      <c r="L412" s="9">
        <v>642207029.60400403</v>
      </c>
      <c r="M412" s="9">
        <v>641520754.67294204</v>
      </c>
      <c r="N412" s="32">
        <f>MIN(MAX((B412-Calculation_Assumptions!$B$5+1)/Calculation_Assumptions!$B$7,0),1)</f>
        <v>1</v>
      </c>
      <c r="O412" s="21">
        <f t="shared" si="48"/>
        <v>642207029.60400403</v>
      </c>
      <c r="P412" s="21">
        <f t="shared" si="49"/>
        <v>641520754.67294204</v>
      </c>
      <c r="Q412" s="21">
        <f>P412*Calculation_Assumptions!$B$14*J412*K412</f>
        <v>0</v>
      </c>
      <c r="R412" s="21">
        <f t="shared" si="50"/>
        <v>5635366.6847751355</v>
      </c>
      <c r="S412" s="21">
        <f t="shared" si="51"/>
        <v>5635366.6847751355</v>
      </c>
      <c r="T412" s="32">
        <f>1/(1+Calculation_Assumptions!$B$8)^(B412-Calculation_Assumptions!$B$2)</f>
        <v>0.55367575418633497</v>
      </c>
      <c r="U412" s="21">
        <f t="shared" si="52"/>
        <v>0</v>
      </c>
      <c r="V412" s="21">
        <f t="shared" si="53"/>
        <v>3120165.8993094191</v>
      </c>
      <c r="W412" s="21">
        <f t="shared" si="54"/>
        <v>3120165.8993094191</v>
      </c>
      <c r="X412">
        <v>0</v>
      </c>
      <c r="Y412" s="18">
        <v>2017</v>
      </c>
      <c r="Z412" t="s">
        <v>387</v>
      </c>
      <c r="AA412" s="21">
        <f t="shared" si="55"/>
        <v>1</v>
      </c>
    </row>
    <row r="413" spans="1:27">
      <c r="A413" t="s">
        <v>205</v>
      </c>
      <c r="B413" s="18">
        <v>2046</v>
      </c>
      <c r="C413" t="s">
        <v>200</v>
      </c>
      <c r="D413" s="20" t="s">
        <v>391</v>
      </c>
      <c r="E413" s="20" t="s">
        <v>392</v>
      </c>
      <c r="F413" s="20" t="s">
        <v>204</v>
      </c>
      <c r="G413" s="20" t="s">
        <v>393</v>
      </c>
      <c r="H413" s="20" t="s">
        <v>384</v>
      </c>
      <c r="I413" s="29">
        <v>1</v>
      </c>
      <c r="J413" s="30">
        <v>1</v>
      </c>
      <c r="K413" s="31">
        <v>8.7749999999999998E-3</v>
      </c>
      <c r="L413" s="9">
        <v>644431411.293203</v>
      </c>
      <c r="M413" s="9">
        <v>643697330.762573</v>
      </c>
      <c r="N413" s="32">
        <f>MIN(MAX((B413-Calculation_Assumptions!$B$5+1)/Calculation_Assumptions!$B$7,0),1)</f>
        <v>1</v>
      </c>
      <c r="O413" s="21">
        <f t="shared" si="48"/>
        <v>644431411.293203</v>
      </c>
      <c r="P413" s="21">
        <f t="shared" si="49"/>
        <v>643697330.762573</v>
      </c>
      <c r="Q413" s="21">
        <f>P413*Calculation_Assumptions!$B$14*J413*K413</f>
        <v>0</v>
      </c>
      <c r="R413" s="21">
        <f t="shared" si="50"/>
        <v>5654885.6340978565</v>
      </c>
      <c r="S413" s="21">
        <f t="shared" si="51"/>
        <v>5654885.6340978565</v>
      </c>
      <c r="T413" s="32">
        <f>1/(1+Calculation_Assumptions!$B$8)^(B413-Calculation_Assumptions!$B$2)</f>
        <v>0.5375492759090631</v>
      </c>
      <c r="U413" s="21">
        <f t="shared" si="52"/>
        <v>0</v>
      </c>
      <c r="V413" s="21">
        <f t="shared" si="53"/>
        <v>3039779.6779578659</v>
      </c>
      <c r="W413" s="21">
        <f t="shared" si="54"/>
        <v>3039779.6779578659</v>
      </c>
      <c r="X413">
        <v>0</v>
      </c>
      <c r="Y413" s="18">
        <v>2017</v>
      </c>
      <c r="Z413" t="s">
        <v>387</v>
      </c>
      <c r="AA413" s="21">
        <f t="shared" si="55"/>
        <v>1</v>
      </c>
    </row>
    <row r="414" spans="1:27">
      <c r="A414" t="s">
        <v>205</v>
      </c>
      <c r="B414" s="18">
        <v>2047</v>
      </c>
      <c r="C414" t="s">
        <v>200</v>
      </c>
      <c r="D414" s="20" t="s">
        <v>391</v>
      </c>
      <c r="E414" s="20" t="s">
        <v>392</v>
      </c>
      <c r="F414" s="20" t="s">
        <v>204</v>
      </c>
      <c r="G414" s="20" t="s">
        <v>393</v>
      </c>
      <c r="H414" s="20" t="s">
        <v>384</v>
      </c>
      <c r="I414" s="29">
        <v>1</v>
      </c>
      <c r="J414" s="30">
        <v>1</v>
      </c>
      <c r="K414" s="31">
        <v>8.7749999999999998E-3</v>
      </c>
      <c r="L414" s="9">
        <v>646526345.88011503</v>
      </c>
      <c r="M414" s="9">
        <v>645745914.53009498</v>
      </c>
      <c r="N414" s="32">
        <f>MIN(MAX((B414-Calculation_Assumptions!$B$5+1)/Calculation_Assumptions!$B$7,0),1)</f>
        <v>1</v>
      </c>
      <c r="O414" s="21">
        <f t="shared" si="48"/>
        <v>646526345.88011503</v>
      </c>
      <c r="P414" s="21">
        <f t="shared" si="49"/>
        <v>645745914.53009498</v>
      </c>
      <c r="Q414" s="21">
        <f>P414*Calculation_Assumptions!$B$14*J414*K414</f>
        <v>0</v>
      </c>
      <c r="R414" s="21">
        <f t="shared" si="50"/>
        <v>5673268.6850980092</v>
      </c>
      <c r="S414" s="21">
        <f t="shared" si="51"/>
        <v>5673268.6850980092</v>
      </c>
      <c r="T414" s="32">
        <f>1/(1+Calculation_Assumptions!$B$8)^(B414-Calculation_Assumptions!$B$2)</f>
        <v>0.52189250088258554</v>
      </c>
      <c r="U414" s="21">
        <f t="shared" si="52"/>
        <v>0</v>
      </c>
      <c r="V414" s="21">
        <f t="shared" si="53"/>
        <v>2960836.3822446577</v>
      </c>
      <c r="W414" s="21">
        <f t="shared" si="54"/>
        <v>2960836.3822446577</v>
      </c>
      <c r="X414">
        <v>0</v>
      </c>
      <c r="Y414" s="18">
        <v>2017</v>
      </c>
      <c r="Z414" t="s">
        <v>387</v>
      </c>
      <c r="AA414" s="21">
        <f t="shared" si="55"/>
        <v>1</v>
      </c>
    </row>
    <row r="415" spans="1:27">
      <c r="A415" t="s">
        <v>205</v>
      </c>
      <c r="B415" s="18">
        <v>2048</v>
      </c>
      <c r="C415" t="s">
        <v>200</v>
      </c>
      <c r="D415" s="20" t="s">
        <v>391</v>
      </c>
      <c r="E415" s="20" t="s">
        <v>392</v>
      </c>
      <c r="F415" s="20" t="s">
        <v>204</v>
      </c>
      <c r="G415" s="20" t="s">
        <v>393</v>
      </c>
      <c r="H415" s="20" t="s">
        <v>384</v>
      </c>
      <c r="I415" s="29">
        <v>1</v>
      </c>
      <c r="J415" s="30">
        <v>1</v>
      </c>
      <c r="K415" s="31">
        <v>8.7749999999999998E-3</v>
      </c>
      <c r="L415" s="9">
        <v>648491811.90166605</v>
      </c>
      <c r="M415" s="9">
        <v>647666796.64810395</v>
      </c>
      <c r="N415" s="32">
        <f>MIN(MAX((B415-Calculation_Assumptions!$B$5+1)/Calculation_Assumptions!$B$7,0),1)</f>
        <v>1</v>
      </c>
      <c r="O415" s="21">
        <f t="shared" si="48"/>
        <v>648491811.90166605</v>
      </c>
      <c r="P415" s="21">
        <f t="shared" si="49"/>
        <v>647666796.64810395</v>
      </c>
      <c r="Q415" s="21">
        <f>P415*Calculation_Assumptions!$B$14*J415*K415</f>
        <v>0</v>
      </c>
      <c r="R415" s="21">
        <f t="shared" si="50"/>
        <v>5690515.6494371193</v>
      </c>
      <c r="S415" s="21">
        <f t="shared" si="51"/>
        <v>5690515.6494371193</v>
      </c>
      <c r="T415" s="32">
        <f>1/(1+Calculation_Assumptions!$B$8)^(B415-Calculation_Assumptions!$B$2)</f>
        <v>0.50669174842969467</v>
      </c>
      <c r="U415" s="21">
        <f t="shared" si="52"/>
        <v>0</v>
      </c>
      <c r="V415" s="21">
        <f t="shared" si="53"/>
        <v>2883337.3238798333</v>
      </c>
      <c r="W415" s="21">
        <f t="shared" si="54"/>
        <v>2883337.3238798333</v>
      </c>
      <c r="X415">
        <v>0</v>
      </c>
      <c r="Y415" s="18">
        <v>2017</v>
      </c>
      <c r="Z415" t="s">
        <v>387</v>
      </c>
      <c r="AA415" s="21">
        <f t="shared" si="55"/>
        <v>1</v>
      </c>
    </row>
    <row r="416" spans="1:27">
      <c r="A416" t="s">
        <v>205</v>
      </c>
      <c r="B416" s="18">
        <v>2049</v>
      </c>
      <c r="C416" t="s">
        <v>200</v>
      </c>
      <c r="D416" s="20" t="s">
        <v>391</v>
      </c>
      <c r="E416" s="20" t="s">
        <v>392</v>
      </c>
      <c r="F416" s="20" t="s">
        <v>204</v>
      </c>
      <c r="G416" s="20" t="s">
        <v>393</v>
      </c>
      <c r="H416" s="20" t="s">
        <v>384</v>
      </c>
      <c r="I416" s="29">
        <v>1</v>
      </c>
      <c r="J416" s="30">
        <v>1</v>
      </c>
      <c r="K416" s="31">
        <v>8.7749999999999998E-3</v>
      </c>
      <c r="L416" s="9">
        <v>650326097.10314596</v>
      </c>
      <c r="M416" s="9">
        <v>649421968.02473402</v>
      </c>
      <c r="N416" s="32">
        <f>MIN(MAX((B416-Calculation_Assumptions!$B$5+1)/Calculation_Assumptions!$B$7,0),1)</f>
        <v>1</v>
      </c>
      <c r="O416" s="21">
        <f t="shared" si="48"/>
        <v>650326097.10314596</v>
      </c>
      <c r="P416" s="21">
        <f t="shared" si="49"/>
        <v>649421968.02473402</v>
      </c>
      <c r="Q416" s="21">
        <f>P416*Calculation_Assumptions!$B$14*J416*K416</f>
        <v>0</v>
      </c>
      <c r="R416" s="21">
        <f t="shared" si="50"/>
        <v>5706611.5020801052</v>
      </c>
      <c r="S416" s="21">
        <f t="shared" si="51"/>
        <v>5706611.5020801052</v>
      </c>
      <c r="T416" s="32">
        <f>1/(1+Calculation_Assumptions!$B$8)^(B416-Calculation_Assumptions!$B$2)</f>
        <v>0.49193373633950943</v>
      </c>
      <c r="U416" s="21">
        <f t="shared" si="52"/>
        <v>0</v>
      </c>
      <c r="V416" s="21">
        <f t="shared" si="53"/>
        <v>2807274.7180562862</v>
      </c>
      <c r="W416" s="21">
        <f t="shared" si="54"/>
        <v>2807274.7180562862</v>
      </c>
      <c r="X416">
        <v>0</v>
      </c>
      <c r="Y416" s="18">
        <v>2017</v>
      </c>
      <c r="Z416" t="s">
        <v>387</v>
      </c>
      <c r="AA416" s="21">
        <f t="shared" si="55"/>
        <v>1</v>
      </c>
    </row>
    <row r="417" spans="1:27">
      <c r="A417" t="s">
        <v>205</v>
      </c>
      <c r="B417" s="18">
        <v>2050</v>
      </c>
      <c r="C417" t="s">
        <v>200</v>
      </c>
      <c r="D417" s="20" t="s">
        <v>391</v>
      </c>
      <c r="E417" s="20" t="s">
        <v>392</v>
      </c>
      <c r="F417" s="20" t="s">
        <v>204</v>
      </c>
      <c r="G417" s="20" t="s">
        <v>393</v>
      </c>
      <c r="H417" s="20" t="s">
        <v>384</v>
      </c>
      <c r="I417" s="29">
        <v>1</v>
      </c>
      <c r="J417" s="30">
        <v>1</v>
      </c>
      <c r="K417" s="31">
        <v>8.7749999999999998E-3</v>
      </c>
      <c r="L417" s="9">
        <v>652024255.63071299</v>
      </c>
      <c r="M417" s="9">
        <v>651074457.25957894</v>
      </c>
      <c r="N417" s="32">
        <f>MIN(MAX((B417-Calculation_Assumptions!$B$5+1)/Calculation_Assumptions!$B$7,0),1)</f>
        <v>1</v>
      </c>
      <c r="O417" s="21">
        <f t="shared" si="48"/>
        <v>652024255.63071299</v>
      </c>
      <c r="P417" s="21">
        <f t="shared" si="49"/>
        <v>651074457.25957894</v>
      </c>
      <c r="Q417" s="21">
        <f>P417*Calculation_Assumptions!$B$14*J417*K417</f>
        <v>0</v>
      </c>
      <c r="R417" s="21">
        <f t="shared" si="50"/>
        <v>5721512.8431595061</v>
      </c>
      <c r="S417" s="21">
        <f t="shared" si="51"/>
        <v>5721512.8431595061</v>
      </c>
      <c r="T417" s="32">
        <f>1/(1+Calculation_Assumptions!$B$8)^(B417-Calculation_Assumptions!$B$2)</f>
        <v>0.47760556926165965</v>
      </c>
      <c r="U417" s="21">
        <f t="shared" si="52"/>
        <v>0</v>
      </c>
      <c r="V417" s="21">
        <f t="shared" si="53"/>
        <v>2732626.3984950925</v>
      </c>
      <c r="W417" s="21">
        <f t="shared" si="54"/>
        <v>2732626.3984950925</v>
      </c>
      <c r="X417">
        <v>0</v>
      </c>
      <c r="Y417" s="18">
        <v>2017</v>
      </c>
      <c r="Z417" t="s">
        <v>387</v>
      </c>
      <c r="AA417" s="21">
        <f t="shared" si="55"/>
        <v>1</v>
      </c>
    </row>
    <row r="418" spans="1:27">
      <c r="A418" t="s">
        <v>205</v>
      </c>
      <c r="B418" s="18">
        <v>2025</v>
      </c>
      <c r="C418" t="s">
        <v>210</v>
      </c>
      <c r="D418" s="20" t="s">
        <v>395</v>
      </c>
      <c r="E418" s="20" t="s">
        <v>396</v>
      </c>
      <c r="F418" s="20" t="s">
        <v>213</v>
      </c>
      <c r="G418" s="20" t="s">
        <v>393</v>
      </c>
      <c r="H418" s="20" t="s">
        <v>384</v>
      </c>
      <c r="I418" s="29">
        <v>1</v>
      </c>
      <c r="J418" s="30">
        <v>1</v>
      </c>
      <c r="K418" s="31">
        <v>8.7749999999999998E-3</v>
      </c>
      <c r="L418" s="9">
        <v>575134853.59312999</v>
      </c>
      <c r="M418" s="9">
        <v>575134853.59312999</v>
      </c>
      <c r="N418" s="32">
        <f>MIN(MAX((B418-Calculation_Assumptions!$B$5+1)/Calculation_Assumptions!$B$7,0),1)</f>
        <v>0</v>
      </c>
      <c r="O418" s="21">
        <f t="shared" si="48"/>
        <v>575134853.59312999</v>
      </c>
      <c r="P418" s="21">
        <f t="shared" si="49"/>
        <v>575134853.59312999</v>
      </c>
      <c r="Q418" s="21">
        <f>P418*Calculation_Assumptions!$B$14*J418*K418</f>
        <v>0</v>
      </c>
      <c r="R418" s="21">
        <f t="shared" si="50"/>
        <v>0</v>
      </c>
      <c r="S418" s="21">
        <f t="shared" si="51"/>
        <v>0</v>
      </c>
      <c r="T418" s="32">
        <f>1/(1+Calculation_Assumptions!$B$8)^(B418-Calculation_Assumptions!$B$2)</f>
        <v>1</v>
      </c>
      <c r="U418" s="21">
        <f t="shared" si="52"/>
        <v>0</v>
      </c>
      <c r="V418" s="21">
        <f t="shared" si="53"/>
        <v>0</v>
      </c>
      <c r="W418" s="21">
        <f t="shared" si="54"/>
        <v>0</v>
      </c>
      <c r="X418">
        <v>0</v>
      </c>
      <c r="Y418" s="18">
        <v>2017</v>
      </c>
      <c r="Z418" t="s">
        <v>387</v>
      </c>
      <c r="AA418" s="21">
        <f t="shared" si="55"/>
        <v>1</v>
      </c>
    </row>
    <row r="419" spans="1:27">
      <c r="A419" t="s">
        <v>205</v>
      </c>
      <c r="B419" s="18">
        <v>2026</v>
      </c>
      <c r="C419" t="s">
        <v>210</v>
      </c>
      <c r="D419" s="20" t="s">
        <v>395</v>
      </c>
      <c r="E419" s="20" t="s">
        <v>396</v>
      </c>
      <c r="F419" s="20" t="s">
        <v>213</v>
      </c>
      <c r="G419" s="20" t="s">
        <v>393</v>
      </c>
      <c r="H419" s="20" t="s">
        <v>384</v>
      </c>
      <c r="I419" s="29">
        <v>1</v>
      </c>
      <c r="J419" s="30">
        <v>1</v>
      </c>
      <c r="K419" s="31">
        <v>8.7749999999999998E-3</v>
      </c>
      <c r="L419" s="9">
        <v>579268647.32329595</v>
      </c>
      <c r="M419" s="9">
        <v>579268647.32329595</v>
      </c>
      <c r="N419" s="32">
        <f>MIN(MAX((B419-Calculation_Assumptions!$B$5+1)/Calculation_Assumptions!$B$7,0),1)</f>
        <v>0.33333333333333331</v>
      </c>
      <c r="O419" s="21">
        <f t="shared" si="48"/>
        <v>579268647.32329595</v>
      </c>
      <c r="P419" s="21">
        <f t="shared" si="49"/>
        <v>579268647.32329595</v>
      </c>
      <c r="Q419" s="21">
        <f>P419*Calculation_Assumptions!$B$14*J419*K419</f>
        <v>0</v>
      </c>
      <c r="R419" s="21">
        <f t="shared" si="50"/>
        <v>1694360.7934206405</v>
      </c>
      <c r="S419" s="21">
        <f t="shared" si="51"/>
        <v>1694360.7934206405</v>
      </c>
      <c r="T419" s="32">
        <f>1/(1+Calculation_Assumptions!$B$8)^(B419-Calculation_Assumptions!$B$2)</f>
        <v>0.970873786407767</v>
      </c>
      <c r="U419" s="21">
        <f t="shared" si="52"/>
        <v>0</v>
      </c>
      <c r="V419" s="21">
        <f t="shared" si="53"/>
        <v>1645010.4790491655</v>
      </c>
      <c r="W419" s="21">
        <f t="shared" si="54"/>
        <v>1645010.4790491655</v>
      </c>
      <c r="X419">
        <v>0</v>
      </c>
      <c r="Y419" s="18">
        <v>2017</v>
      </c>
      <c r="Z419" t="s">
        <v>387</v>
      </c>
      <c r="AA419" s="21">
        <f t="shared" si="55"/>
        <v>1</v>
      </c>
    </row>
    <row r="420" spans="1:27">
      <c r="A420" t="s">
        <v>205</v>
      </c>
      <c r="B420" s="18">
        <v>2027</v>
      </c>
      <c r="C420" t="s">
        <v>210</v>
      </c>
      <c r="D420" s="20" t="s">
        <v>395</v>
      </c>
      <c r="E420" s="20" t="s">
        <v>396</v>
      </c>
      <c r="F420" s="20" t="s">
        <v>213</v>
      </c>
      <c r="G420" s="20" t="s">
        <v>393</v>
      </c>
      <c r="H420" s="20" t="s">
        <v>384</v>
      </c>
      <c r="I420" s="29">
        <v>1</v>
      </c>
      <c r="J420" s="30">
        <v>1</v>
      </c>
      <c r="K420" s="31">
        <v>8.7749999999999998E-3</v>
      </c>
      <c r="L420" s="9">
        <v>583039014.28645599</v>
      </c>
      <c r="M420" s="9">
        <v>583039014.28645599</v>
      </c>
      <c r="N420" s="32">
        <f>MIN(MAX((B420-Calculation_Assumptions!$B$5+1)/Calculation_Assumptions!$B$7,0),1)</f>
        <v>0.66666666666666663</v>
      </c>
      <c r="O420" s="21">
        <f t="shared" si="48"/>
        <v>583039014.28645599</v>
      </c>
      <c r="P420" s="21">
        <f t="shared" si="49"/>
        <v>583039014.28645599</v>
      </c>
      <c r="Q420" s="21">
        <f>P420*Calculation_Assumptions!$B$14*J420*K420</f>
        <v>0</v>
      </c>
      <c r="R420" s="21">
        <f t="shared" si="50"/>
        <v>3410778.2335757674</v>
      </c>
      <c r="S420" s="21">
        <f t="shared" si="51"/>
        <v>3410778.2335757674</v>
      </c>
      <c r="T420" s="32">
        <f>1/(1+Calculation_Assumptions!$B$8)^(B420-Calculation_Assumptions!$B$2)</f>
        <v>0.94259590913375435</v>
      </c>
      <c r="U420" s="21">
        <f t="shared" si="52"/>
        <v>0</v>
      </c>
      <c r="V420" s="21">
        <f t="shared" si="53"/>
        <v>3214985.6099309712</v>
      </c>
      <c r="W420" s="21">
        <f t="shared" si="54"/>
        <v>3214985.6099309712</v>
      </c>
      <c r="X420">
        <v>0</v>
      </c>
      <c r="Y420" s="18">
        <v>2017</v>
      </c>
      <c r="Z420" t="s">
        <v>387</v>
      </c>
      <c r="AA420" s="21">
        <f t="shared" si="55"/>
        <v>1</v>
      </c>
    </row>
    <row r="421" spans="1:27">
      <c r="A421" t="s">
        <v>205</v>
      </c>
      <c r="B421" s="18">
        <v>2028</v>
      </c>
      <c r="C421" t="s">
        <v>210</v>
      </c>
      <c r="D421" s="20" t="s">
        <v>395</v>
      </c>
      <c r="E421" s="20" t="s">
        <v>396</v>
      </c>
      <c r="F421" s="20" t="s">
        <v>213</v>
      </c>
      <c r="G421" s="20" t="s">
        <v>393</v>
      </c>
      <c r="H421" s="20" t="s">
        <v>384</v>
      </c>
      <c r="I421" s="29">
        <v>1</v>
      </c>
      <c r="J421" s="30">
        <v>1</v>
      </c>
      <c r="K421" s="31">
        <v>8.7749999999999998E-3</v>
      </c>
      <c r="L421" s="9">
        <v>587039193.65711796</v>
      </c>
      <c r="M421" s="9">
        <v>587035116.25746298</v>
      </c>
      <c r="N421" s="32">
        <f>MIN(MAX((B421-Calculation_Assumptions!$B$5+1)/Calculation_Assumptions!$B$7,0),1)</f>
        <v>1</v>
      </c>
      <c r="O421" s="21">
        <f t="shared" si="48"/>
        <v>587039193.65711796</v>
      </c>
      <c r="P421" s="21">
        <f t="shared" si="49"/>
        <v>587035116.25746298</v>
      </c>
      <c r="Q421" s="21">
        <f>P421*Calculation_Assumptions!$B$14*J421*K421</f>
        <v>0</v>
      </c>
      <c r="R421" s="21">
        <f t="shared" si="50"/>
        <v>5151268.9243412102</v>
      </c>
      <c r="S421" s="21">
        <f t="shared" si="51"/>
        <v>5151268.9243412102</v>
      </c>
      <c r="T421" s="32">
        <f>1/(1+Calculation_Assumptions!$B$8)^(B421-Calculation_Assumptions!$B$2)</f>
        <v>0.91514165935315961</v>
      </c>
      <c r="U421" s="21">
        <f t="shared" si="52"/>
        <v>0</v>
      </c>
      <c r="V421" s="21">
        <f t="shared" si="53"/>
        <v>4714140.7911959803</v>
      </c>
      <c r="W421" s="21">
        <f t="shared" si="54"/>
        <v>4714140.7911959803</v>
      </c>
      <c r="X421">
        <v>0</v>
      </c>
      <c r="Y421" s="18">
        <v>2017</v>
      </c>
      <c r="Z421" t="s">
        <v>387</v>
      </c>
      <c r="AA421" s="21">
        <f t="shared" si="55"/>
        <v>1</v>
      </c>
    </row>
    <row r="422" spans="1:27">
      <c r="A422" t="s">
        <v>205</v>
      </c>
      <c r="B422" s="18">
        <v>2029</v>
      </c>
      <c r="C422" t="s">
        <v>210</v>
      </c>
      <c r="D422" s="20" t="s">
        <v>395</v>
      </c>
      <c r="E422" s="20" t="s">
        <v>396</v>
      </c>
      <c r="F422" s="20" t="s">
        <v>213</v>
      </c>
      <c r="G422" s="20" t="s">
        <v>393</v>
      </c>
      <c r="H422" s="20" t="s">
        <v>384</v>
      </c>
      <c r="I422" s="29">
        <v>1</v>
      </c>
      <c r="J422" s="30">
        <v>1</v>
      </c>
      <c r="K422" s="31">
        <v>8.7749999999999998E-3</v>
      </c>
      <c r="L422" s="9">
        <v>590981954.27587199</v>
      </c>
      <c r="M422" s="9">
        <v>590968059.72178304</v>
      </c>
      <c r="N422" s="32">
        <f>MIN(MAX((B422-Calculation_Assumptions!$B$5+1)/Calculation_Assumptions!$B$7,0),1)</f>
        <v>1</v>
      </c>
      <c r="O422" s="21">
        <f t="shared" si="48"/>
        <v>590981954.27587199</v>
      </c>
      <c r="P422" s="21">
        <f t="shared" si="49"/>
        <v>590968059.72178304</v>
      </c>
      <c r="Q422" s="21">
        <f>P422*Calculation_Assumptions!$B$14*J422*K422</f>
        <v>0</v>
      </c>
      <c r="R422" s="21">
        <f t="shared" si="50"/>
        <v>5185866.6487707766</v>
      </c>
      <c r="S422" s="21">
        <f t="shared" si="51"/>
        <v>5185866.6487707766</v>
      </c>
      <c r="T422" s="32">
        <f>1/(1+Calculation_Assumptions!$B$8)^(B422-Calculation_Assumptions!$B$2)</f>
        <v>0.888487047915689</v>
      </c>
      <c r="U422" s="21">
        <f t="shared" si="52"/>
        <v>0</v>
      </c>
      <c r="V422" s="21">
        <f t="shared" si="53"/>
        <v>4607575.3496507742</v>
      </c>
      <c r="W422" s="21">
        <f t="shared" si="54"/>
        <v>4607575.3496507742</v>
      </c>
      <c r="X422">
        <v>0</v>
      </c>
      <c r="Y422" s="18">
        <v>2017</v>
      </c>
      <c r="Z422" t="s">
        <v>387</v>
      </c>
      <c r="AA422" s="21">
        <f t="shared" si="55"/>
        <v>1</v>
      </c>
    </row>
    <row r="423" spans="1:27">
      <c r="A423" t="s">
        <v>205</v>
      </c>
      <c r="B423" s="18">
        <v>2030</v>
      </c>
      <c r="C423" t="s">
        <v>210</v>
      </c>
      <c r="D423" s="20" t="s">
        <v>395</v>
      </c>
      <c r="E423" s="20" t="s">
        <v>396</v>
      </c>
      <c r="F423" s="20" t="s">
        <v>213</v>
      </c>
      <c r="G423" s="20" t="s">
        <v>393</v>
      </c>
      <c r="H423" s="20" t="s">
        <v>384</v>
      </c>
      <c r="I423" s="29">
        <v>1</v>
      </c>
      <c r="J423" s="30">
        <v>1</v>
      </c>
      <c r="K423" s="31">
        <v>8.7749999999999998E-3</v>
      </c>
      <c r="L423" s="9">
        <v>594838657.02169394</v>
      </c>
      <c r="M423" s="9">
        <v>594808018.62654305</v>
      </c>
      <c r="N423" s="32">
        <f>MIN(MAX((B423-Calculation_Assumptions!$B$5+1)/Calculation_Assumptions!$B$7,0),1)</f>
        <v>1</v>
      </c>
      <c r="O423" s="21">
        <f t="shared" si="48"/>
        <v>594838657.02169394</v>
      </c>
      <c r="P423" s="21">
        <f t="shared" si="49"/>
        <v>594808018.62654305</v>
      </c>
      <c r="Q423" s="21">
        <f>P423*Calculation_Assumptions!$B$14*J423*K423</f>
        <v>0</v>
      </c>
      <c r="R423" s="21">
        <f t="shared" si="50"/>
        <v>5219709.2153653642</v>
      </c>
      <c r="S423" s="21">
        <f t="shared" si="51"/>
        <v>5219709.2153653642</v>
      </c>
      <c r="T423" s="32">
        <f>1/(1+Calculation_Assumptions!$B$8)^(B423-Calculation_Assumptions!$B$2)</f>
        <v>0.86260878438416411</v>
      </c>
      <c r="U423" s="21">
        <f t="shared" si="52"/>
        <v>0</v>
      </c>
      <c r="V423" s="21">
        <f t="shared" si="53"/>
        <v>4502567.0211051358</v>
      </c>
      <c r="W423" s="21">
        <f t="shared" si="54"/>
        <v>4502567.0211051358</v>
      </c>
      <c r="X423">
        <v>0</v>
      </c>
      <c r="Y423" s="18">
        <v>2017</v>
      </c>
      <c r="Z423" t="s">
        <v>387</v>
      </c>
      <c r="AA423" s="21">
        <f t="shared" si="55"/>
        <v>1</v>
      </c>
    </row>
    <row r="424" spans="1:27">
      <c r="A424" t="s">
        <v>205</v>
      </c>
      <c r="B424" s="18">
        <v>2031</v>
      </c>
      <c r="C424" t="s">
        <v>210</v>
      </c>
      <c r="D424" s="20" t="s">
        <v>395</v>
      </c>
      <c r="E424" s="20" t="s">
        <v>396</v>
      </c>
      <c r="F424" s="20" t="s">
        <v>213</v>
      </c>
      <c r="G424" s="20" t="s">
        <v>393</v>
      </c>
      <c r="H424" s="20" t="s">
        <v>384</v>
      </c>
      <c r="I424" s="29">
        <v>1</v>
      </c>
      <c r="J424" s="30">
        <v>1</v>
      </c>
      <c r="K424" s="31">
        <v>8.7749999999999998E-3</v>
      </c>
      <c r="L424" s="9">
        <v>598636396.55800402</v>
      </c>
      <c r="M424" s="9">
        <v>598581381.03442597</v>
      </c>
      <c r="N424" s="32">
        <f>MIN(MAX((B424-Calculation_Assumptions!$B$5+1)/Calculation_Assumptions!$B$7,0),1)</f>
        <v>1</v>
      </c>
      <c r="O424" s="21">
        <f t="shared" si="48"/>
        <v>598636396.55800402</v>
      </c>
      <c r="P424" s="21">
        <f t="shared" si="49"/>
        <v>598581381.03442597</v>
      </c>
      <c r="Q424" s="21">
        <f>P424*Calculation_Assumptions!$B$14*J424*K424</f>
        <v>0</v>
      </c>
      <c r="R424" s="21">
        <f t="shared" si="50"/>
        <v>5253034.3797964854</v>
      </c>
      <c r="S424" s="21">
        <f t="shared" si="51"/>
        <v>5253034.3797964854</v>
      </c>
      <c r="T424" s="32">
        <f>1/(1+Calculation_Assumptions!$B$8)^(B424-Calculation_Assumptions!$B$2)</f>
        <v>0.83748425668365445</v>
      </c>
      <c r="U424" s="21">
        <f t="shared" si="52"/>
        <v>0</v>
      </c>
      <c r="V424" s="21">
        <f t="shared" si="53"/>
        <v>4399333.5928975409</v>
      </c>
      <c r="W424" s="21">
        <f t="shared" si="54"/>
        <v>4399333.5928975409</v>
      </c>
      <c r="X424">
        <v>0</v>
      </c>
      <c r="Y424" s="18">
        <v>2017</v>
      </c>
      <c r="Z424" t="s">
        <v>387</v>
      </c>
      <c r="AA424" s="21">
        <f t="shared" si="55"/>
        <v>1</v>
      </c>
    </row>
    <row r="425" spans="1:27">
      <c r="A425" t="s">
        <v>205</v>
      </c>
      <c r="B425" s="18">
        <v>2032</v>
      </c>
      <c r="C425" t="s">
        <v>210</v>
      </c>
      <c r="D425" s="20" t="s">
        <v>395</v>
      </c>
      <c r="E425" s="20" t="s">
        <v>396</v>
      </c>
      <c r="F425" s="20" t="s">
        <v>213</v>
      </c>
      <c r="G425" s="20" t="s">
        <v>393</v>
      </c>
      <c r="H425" s="20" t="s">
        <v>384</v>
      </c>
      <c r="I425" s="29">
        <v>1</v>
      </c>
      <c r="J425" s="30">
        <v>1</v>
      </c>
      <c r="K425" s="31">
        <v>8.7749999999999998E-3</v>
      </c>
      <c r="L425" s="9">
        <v>602371311.77954698</v>
      </c>
      <c r="M425" s="9">
        <v>602283583.58638096</v>
      </c>
      <c r="N425" s="32">
        <f>MIN(MAX((B425-Calculation_Assumptions!$B$5+1)/Calculation_Assumptions!$B$7,0),1)</f>
        <v>1</v>
      </c>
      <c r="O425" s="21">
        <f t="shared" si="48"/>
        <v>602371311.77954698</v>
      </c>
      <c r="P425" s="21">
        <f t="shared" si="49"/>
        <v>602283583.58638096</v>
      </c>
      <c r="Q425" s="21">
        <f>P425*Calculation_Assumptions!$B$14*J425*K425</f>
        <v>0</v>
      </c>
      <c r="R425" s="21">
        <f t="shared" si="50"/>
        <v>5285808.2608655244</v>
      </c>
      <c r="S425" s="21">
        <f t="shared" si="51"/>
        <v>5285808.2608655244</v>
      </c>
      <c r="T425" s="32">
        <f>1/(1+Calculation_Assumptions!$B$8)^(B425-Calculation_Assumptions!$B$2)</f>
        <v>0.81309151134335378</v>
      </c>
      <c r="U425" s="21">
        <f t="shared" si="52"/>
        <v>0</v>
      </c>
      <c r="V425" s="21">
        <f t="shared" si="53"/>
        <v>4297845.8274983335</v>
      </c>
      <c r="W425" s="21">
        <f t="shared" si="54"/>
        <v>4297845.8274983335</v>
      </c>
      <c r="X425">
        <v>0</v>
      </c>
      <c r="Y425" s="18">
        <v>2017</v>
      </c>
      <c r="Z425" t="s">
        <v>387</v>
      </c>
      <c r="AA425" s="21">
        <f t="shared" si="55"/>
        <v>1</v>
      </c>
    </row>
    <row r="426" spans="1:27">
      <c r="A426" t="s">
        <v>205</v>
      </c>
      <c r="B426" s="18">
        <v>2033</v>
      </c>
      <c r="C426" t="s">
        <v>210</v>
      </c>
      <c r="D426" s="20" t="s">
        <v>395</v>
      </c>
      <c r="E426" s="20" t="s">
        <v>396</v>
      </c>
      <c r="F426" s="20" t="s">
        <v>213</v>
      </c>
      <c r="G426" s="20" t="s">
        <v>393</v>
      </c>
      <c r="H426" s="20" t="s">
        <v>384</v>
      </c>
      <c r="I426" s="29">
        <v>1</v>
      </c>
      <c r="J426" s="30">
        <v>1</v>
      </c>
      <c r="K426" s="31">
        <v>8.7749999999999998E-3</v>
      </c>
      <c r="L426" s="9">
        <v>606037450.14737797</v>
      </c>
      <c r="M426" s="9">
        <v>605911902.99473</v>
      </c>
      <c r="N426" s="32">
        <f>MIN(MAX((B426-Calculation_Assumptions!$B$5+1)/Calculation_Assumptions!$B$7,0),1)</f>
        <v>1</v>
      </c>
      <c r="O426" s="21">
        <f t="shared" si="48"/>
        <v>606037450.14737797</v>
      </c>
      <c r="P426" s="21">
        <f t="shared" si="49"/>
        <v>605911902.99473</v>
      </c>
      <c r="Q426" s="21">
        <f>P426*Calculation_Assumptions!$B$14*J426*K426</f>
        <v>0</v>
      </c>
      <c r="R426" s="21">
        <f t="shared" si="50"/>
        <v>5317978.6250432413</v>
      </c>
      <c r="S426" s="21">
        <f t="shared" si="51"/>
        <v>5317978.6250432413</v>
      </c>
      <c r="T426" s="32">
        <f>1/(1+Calculation_Assumptions!$B$8)^(B426-Calculation_Assumptions!$B$2)</f>
        <v>0.78940923431393573</v>
      </c>
      <c r="U426" s="21">
        <f t="shared" si="52"/>
        <v>0</v>
      </c>
      <c r="V426" s="21">
        <f t="shared" si="53"/>
        <v>4198061.4344932614</v>
      </c>
      <c r="W426" s="21">
        <f t="shared" si="54"/>
        <v>4198061.4344932614</v>
      </c>
      <c r="X426">
        <v>0</v>
      </c>
      <c r="Y426" s="18">
        <v>2017</v>
      </c>
      <c r="Z426" t="s">
        <v>387</v>
      </c>
      <c r="AA426" s="21">
        <f t="shared" si="55"/>
        <v>1</v>
      </c>
    </row>
    <row r="427" spans="1:27">
      <c r="A427" t="s">
        <v>205</v>
      </c>
      <c r="B427" s="18">
        <v>2034</v>
      </c>
      <c r="C427" t="s">
        <v>210</v>
      </c>
      <c r="D427" s="20" t="s">
        <v>395</v>
      </c>
      <c r="E427" s="20" t="s">
        <v>396</v>
      </c>
      <c r="F427" s="20" t="s">
        <v>213</v>
      </c>
      <c r="G427" s="20" t="s">
        <v>393</v>
      </c>
      <c r="H427" s="20" t="s">
        <v>384</v>
      </c>
      <c r="I427" s="29">
        <v>1</v>
      </c>
      <c r="J427" s="30">
        <v>1</v>
      </c>
      <c r="K427" s="31">
        <v>8.7749999999999998E-3</v>
      </c>
      <c r="L427" s="9">
        <v>609622619.74529004</v>
      </c>
      <c r="M427" s="9">
        <v>609455548.12077105</v>
      </c>
      <c r="N427" s="32">
        <f>MIN(MAX((B427-Calculation_Assumptions!$B$5+1)/Calculation_Assumptions!$B$7,0),1)</f>
        <v>1</v>
      </c>
      <c r="O427" s="21">
        <f t="shared" si="48"/>
        <v>609622619.74529004</v>
      </c>
      <c r="P427" s="21">
        <f t="shared" si="49"/>
        <v>609455548.12077105</v>
      </c>
      <c r="Q427" s="21">
        <f>P427*Calculation_Assumptions!$B$14*J427*K427</f>
        <v>0</v>
      </c>
      <c r="R427" s="21">
        <f t="shared" si="50"/>
        <v>5349438.4882649202</v>
      </c>
      <c r="S427" s="21">
        <f t="shared" si="51"/>
        <v>5349438.4882649202</v>
      </c>
      <c r="T427" s="32">
        <f>1/(1+Calculation_Assumptions!$B$8)^(B427-Calculation_Assumptions!$B$2)</f>
        <v>0.76641673234362695</v>
      </c>
      <c r="U427" s="21">
        <f t="shared" si="52"/>
        <v>0</v>
      </c>
      <c r="V427" s="21">
        <f t="shared" si="53"/>
        <v>4099899.1660492318</v>
      </c>
      <c r="W427" s="21">
        <f t="shared" si="54"/>
        <v>4099899.1660492318</v>
      </c>
      <c r="X427">
        <v>0</v>
      </c>
      <c r="Y427" s="18">
        <v>2017</v>
      </c>
      <c r="Z427" t="s">
        <v>387</v>
      </c>
      <c r="AA427" s="21">
        <f t="shared" si="55"/>
        <v>1</v>
      </c>
    </row>
    <row r="428" spans="1:27">
      <c r="A428" t="s">
        <v>205</v>
      </c>
      <c r="B428" s="18">
        <v>2035</v>
      </c>
      <c r="C428" t="s">
        <v>210</v>
      </c>
      <c r="D428" s="20" t="s">
        <v>395</v>
      </c>
      <c r="E428" s="20" t="s">
        <v>396</v>
      </c>
      <c r="F428" s="20" t="s">
        <v>213</v>
      </c>
      <c r="G428" s="20" t="s">
        <v>393</v>
      </c>
      <c r="H428" s="20" t="s">
        <v>384</v>
      </c>
      <c r="I428" s="29">
        <v>1</v>
      </c>
      <c r="J428" s="30">
        <v>1</v>
      </c>
      <c r="K428" s="31">
        <v>8.7749999999999998E-3</v>
      </c>
      <c r="L428" s="9">
        <v>613023444.11970603</v>
      </c>
      <c r="M428" s="9">
        <v>612884294.47334194</v>
      </c>
      <c r="N428" s="32">
        <f>MIN(MAX((B428-Calculation_Assumptions!$B$5+1)/Calculation_Assumptions!$B$7,0),1)</f>
        <v>1</v>
      </c>
      <c r="O428" s="21">
        <f t="shared" si="48"/>
        <v>613023444.11970603</v>
      </c>
      <c r="P428" s="21">
        <f t="shared" si="49"/>
        <v>612884294.47334194</v>
      </c>
      <c r="Q428" s="21">
        <f>P428*Calculation_Assumptions!$B$14*J428*K428</f>
        <v>0</v>
      </c>
      <c r="R428" s="21">
        <f t="shared" si="50"/>
        <v>5379280.7221504208</v>
      </c>
      <c r="S428" s="21">
        <f t="shared" si="51"/>
        <v>5379280.7221504208</v>
      </c>
      <c r="T428" s="32">
        <f>1/(1+Calculation_Assumptions!$B$8)^(B428-Calculation_Assumptions!$B$2)</f>
        <v>0.74409391489672516</v>
      </c>
      <c r="U428" s="21">
        <f t="shared" si="52"/>
        <v>0</v>
      </c>
      <c r="V428" s="21">
        <f t="shared" si="53"/>
        <v>4002690.0518733896</v>
      </c>
      <c r="W428" s="21">
        <f t="shared" si="54"/>
        <v>4002690.0518733896</v>
      </c>
      <c r="X428">
        <v>0</v>
      </c>
      <c r="Y428" s="18">
        <v>2017</v>
      </c>
      <c r="Z428" t="s">
        <v>387</v>
      </c>
      <c r="AA428" s="21">
        <f t="shared" si="55"/>
        <v>1</v>
      </c>
    </row>
    <row r="429" spans="1:27">
      <c r="A429" t="s">
        <v>205</v>
      </c>
      <c r="B429" s="18">
        <v>2036</v>
      </c>
      <c r="C429" t="s">
        <v>210</v>
      </c>
      <c r="D429" s="20" t="s">
        <v>395</v>
      </c>
      <c r="E429" s="20" t="s">
        <v>396</v>
      </c>
      <c r="F429" s="20" t="s">
        <v>213</v>
      </c>
      <c r="G429" s="20" t="s">
        <v>393</v>
      </c>
      <c r="H429" s="20" t="s">
        <v>384</v>
      </c>
      <c r="I429" s="29">
        <v>1</v>
      </c>
      <c r="J429" s="30">
        <v>1</v>
      </c>
      <c r="K429" s="31">
        <v>8.7749999999999998E-3</v>
      </c>
      <c r="L429" s="9">
        <v>616444641.41788399</v>
      </c>
      <c r="M429" s="9">
        <v>616262053.85817397</v>
      </c>
      <c r="N429" s="32">
        <f>MIN(MAX((B429-Calculation_Assumptions!$B$5+1)/Calculation_Assumptions!$B$7,0),1)</f>
        <v>1</v>
      </c>
      <c r="O429" s="21">
        <f t="shared" si="48"/>
        <v>616444641.41788399</v>
      </c>
      <c r="P429" s="21">
        <f t="shared" si="49"/>
        <v>616262053.85817397</v>
      </c>
      <c r="Q429" s="21">
        <f>P429*Calculation_Assumptions!$B$14*J429*K429</f>
        <v>0</v>
      </c>
      <c r="R429" s="21">
        <f t="shared" si="50"/>
        <v>5409301.7284419322</v>
      </c>
      <c r="S429" s="21">
        <f t="shared" si="51"/>
        <v>5409301.7284419322</v>
      </c>
      <c r="T429" s="32">
        <f>1/(1+Calculation_Assumptions!$B$8)^(B429-Calculation_Assumptions!$B$2)</f>
        <v>0.72242127659876232</v>
      </c>
      <c r="U429" s="21">
        <f t="shared" si="52"/>
        <v>0</v>
      </c>
      <c r="V429" s="21">
        <f t="shared" si="53"/>
        <v>3907794.6601689123</v>
      </c>
      <c r="W429" s="21">
        <f t="shared" si="54"/>
        <v>3907794.6601689123</v>
      </c>
      <c r="X429">
        <v>0</v>
      </c>
      <c r="Y429" s="18">
        <v>2017</v>
      </c>
      <c r="Z429" t="s">
        <v>387</v>
      </c>
      <c r="AA429" s="21">
        <f t="shared" si="55"/>
        <v>1</v>
      </c>
    </row>
    <row r="430" spans="1:27">
      <c r="A430" t="s">
        <v>205</v>
      </c>
      <c r="B430" s="18">
        <v>2037</v>
      </c>
      <c r="C430" t="s">
        <v>210</v>
      </c>
      <c r="D430" s="20" t="s">
        <v>395</v>
      </c>
      <c r="E430" s="20" t="s">
        <v>396</v>
      </c>
      <c r="F430" s="20" t="s">
        <v>213</v>
      </c>
      <c r="G430" s="20" t="s">
        <v>393</v>
      </c>
      <c r="H430" s="20" t="s">
        <v>384</v>
      </c>
      <c r="I430" s="29">
        <v>1</v>
      </c>
      <c r="J430" s="30">
        <v>1</v>
      </c>
      <c r="K430" s="31">
        <v>8.7749999999999998E-3</v>
      </c>
      <c r="L430" s="9">
        <v>619774275.99192095</v>
      </c>
      <c r="M430" s="9">
        <v>619529380.90729904</v>
      </c>
      <c r="N430" s="32">
        <f>MIN(MAX((B430-Calculation_Assumptions!$B$5+1)/Calculation_Assumptions!$B$7,0),1)</f>
        <v>1</v>
      </c>
      <c r="O430" s="21">
        <f t="shared" si="48"/>
        <v>619774275.99192095</v>
      </c>
      <c r="P430" s="21">
        <f t="shared" si="49"/>
        <v>619529380.90729904</v>
      </c>
      <c r="Q430" s="21">
        <f>P430*Calculation_Assumptions!$B$14*J430*K430</f>
        <v>0</v>
      </c>
      <c r="R430" s="21">
        <f t="shared" si="50"/>
        <v>5438519.2718291059</v>
      </c>
      <c r="S430" s="21">
        <f t="shared" si="51"/>
        <v>5438519.2718291059</v>
      </c>
      <c r="T430" s="32">
        <f>1/(1+Calculation_Assumptions!$B$8)^(B430-Calculation_Assumptions!$B$2)</f>
        <v>0.70137988019297326</v>
      </c>
      <c r="U430" s="21">
        <f t="shared" si="52"/>
        <v>0</v>
      </c>
      <c r="V430" s="21">
        <f t="shared" si="53"/>
        <v>3814467.9953026744</v>
      </c>
      <c r="W430" s="21">
        <f t="shared" si="54"/>
        <v>3814467.9953026744</v>
      </c>
      <c r="X430">
        <v>0</v>
      </c>
      <c r="Y430" s="18">
        <v>2017</v>
      </c>
      <c r="Z430" t="s">
        <v>387</v>
      </c>
      <c r="AA430" s="21">
        <f t="shared" si="55"/>
        <v>1</v>
      </c>
    </row>
    <row r="431" spans="1:27">
      <c r="A431" t="s">
        <v>205</v>
      </c>
      <c r="B431" s="18">
        <v>2038</v>
      </c>
      <c r="C431" t="s">
        <v>210</v>
      </c>
      <c r="D431" s="20" t="s">
        <v>395</v>
      </c>
      <c r="E431" s="20" t="s">
        <v>396</v>
      </c>
      <c r="F431" s="20" t="s">
        <v>213</v>
      </c>
      <c r="G431" s="20" t="s">
        <v>393</v>
      </c>
      <c r="H431" s="20" t="s">
        <v>384</v>
      </c>
      <c r="I431" s="29">
        <v>1</v>
      </c>
      <c r="J431" s="30">
        <v>1</v>
      </c>
      <c r="K431" s="31">
        <v>8.7749999999999998E-3</v>
      </c>
      <c r="L431" s="9">
        <v>622979045.89335799</v>
      </c>
      <c r="M431" s="9">
        <v>622673191.62836504</v>
      </c>
      <c r="N431" s="32">
        <f>MIN(MAX((B431-Calculation_Assumptions!$B$5+1)/Calculation_Assumptions!$B$7,0),1)</f>
        <v>1</v>
      </c>
      <c r="O431" s="21">
        <f t="shared" si="48"/>
        <v>622979045.89335799</v>
      </c>
      <c r="P431" s="21">
        <f t="shared" si="49"/>
        <v>622673191.62836504</v>
      </c>
      <c r="Q431" s="21">
        <f>P431*Calculation_Assumptions!$B$14*J431*K431</f>
        <v>0</v>
      </c>
      <c r="R431" s="21">
        <f t="shared" si="50"/>
        <v>5466641.1277142167</v>
      </c>
      <c r="S431" s="21">
        <f t="shared" si="51"/>
        <v>5466641.1277142167</v>
      </c>
      <c r="T431" s="32">
        <f>1/(1+Calculation_Assumptions!$B$8)^(B431-Calculation_Assumptions!$B$2)</f>
        <v>0.68095133999317792</v>
      </c>
      <c r="U431" s="21">
        <f t="shared" si="52"/>
        <v>0</v>
      </c>
      <c r="V431" s="21">
        <f t="shared" si="53"/>
        <v>3722516.6011788133</v>
      </c>
      <c r="W431" s="21">
        <f t="shared" si="54"/>
        <v>3722516.6011788133</v>
      </c>
      <c r="X431">
        <v>0</v>
      </c>
      <c r="Y431" s="18">
        <v>2017</v>
      </c>
      <c r="Z431" t="s">
        <v>387</v>
      </c>
      <c r="AA431" s="21">
        <f t="shared" si="55"/>
        <v>1</v>
      </c>
    </row>
    <row r="432" spans="1:27">
      <c r="A432" t="s">
        <v>205</v>
      </c>
      <c r="B432" s="18">
        <v>2039</v>
      </c>
      <c r="C432" t="s">
        <v>210</v>
      </c>
      <c r="D432" s="20" t="s">
        <v>395</v>
      </c>
      <c r="E432" s="20" t="s">
        <v>396</v>
      </c>
      <c r="F432" s="20" t="s">
        <v>213</v>
      </c>
      <c r="G432" s="20" t="s">
        <v>393</v>
      </c>
      <c r="H432" s="20" t="s">
        <v>384</v>
      </c>
      <c r="I432" s="29">
        <v>1</v>
      </c>
      <c r="J432" s="30">
        <v>1</v>
      </c>
      <c r="K432" s="31">
        <v>8.7749999999999998E-3</v>
      </c>
      <c r="L432" s="9">
        <v>626098334.53738201</v>
      </c>
      <c r="M432" s="9">
        <v>625731758.218045</v>
      </c>
      <c r="N432" s="32">
        <f>MIN(MAX((B432-Calculation_Assumptions!$B$5+1)/Calculation_Assumptions!$B$7,0),1)</f>
        <v>1</v>
      </c>
      <c r="O432" s="21">
        <f t="shared" si="48"/>
        <v>626098334.53738201</v>
      </c>
      <c r="P432" s="21">
        <f t="shared" si="49"/>
        <v>625731758.218045</v>
      </c>
      <c r="Q432" s="21">
        <f>P432*Calculation_Assumptions!$B$14*J432*K432</f>
        <v>0</v>
      </c>
      <c r="R432" s="21">
        <f t="shared" si="50"/>
        <v>5494012.8855655268</v>
      </c>
      <c r="S432" s="21">
        <f t="shared" si="51"/>
        <v>5494012.8855655268</v>
      </c>
      <c r="T432" s="32">
        <f>1/(1+Calculation_Assumptions!$B$8)^(B432-Calculation_Assumptions!$B$2)</f>
        <v>0.66111780581861923</v>
      </c>
      <c r="U432" s="21">
        <f t="shared" si="52"/>
        <v>0</v>
      </c>
      <c r="V432" s="21">
        <f t="shared" si="53"/>
        <v>3632189.744044302</v>
      </c>
      <c r="W432" s="21">
        <f t="shared" si="54"/>
        <v>3632189.744044302</v>
      </c>
      <c r="X432">
        <v>0</v>
      </c>
      <c r="Y432" s="18">
        <v>2017</v>
      </c>
      <c r="Z432" t="s">
        <v>387</v>
      </c>
      <c r="AA432" s="21">
        <f t="shared" si="55"/>
        <v>1</v>
      </c>
    </row>
    <row r="433" spans="1:27">
      <c r="A433" t="s">
        <v>205</v>
      </c>
      <c r="B433" s="18">
        <v>2040</v>
      </c>
      <c r="C433" t="s">
        <v>210</v>
      </c>
      <c r="D433" s="20" t="s">
        <v>395</v>
      </c>
      <c r="E433" s="20" t="s">
        <v>396</v>
      </c>
      <c r="F433" s="20" t="s">
        <v>213</v>
      </c>
      <c r="G433" s="20" t="s">
        <v>393</v>
      </c>
      <c r="H433" s="20" t="s">
        <v>384</v>
      </c>
      <c r="I433" s="29">
        <v>1</v>
      </c>
      <c r="J433" s="30">
        <v>1</v>
      </c>
      <c r="K433" s="31">
        <v>8.7749999999999998E-3</v>
      </c>
      <c r="L433" s="9">
        <v>629093837.79172397</v>
      </c>
      <c r="M433" s="9">
        <v>628667498.21665299</v>
      </c>
      <c r="N433" s="32">
        <f>MIN(MAX((B433-Calculation_Assumptions!$B$5+1)/Calculation_Assumptions!$B$7,0),1)</f>
        <v>1</v>
      </c>
      <c r="O433" s="21">
        <f t="shared" si="48"/>
        <v>629093837.79172397</v>
      </c>
      <c r="P433" s="21">
        <f t="shared" si="49"/>
        <v>628667498.21665299</v>
      </c>
      <c r="Q433" s="21">
        <f>P433*Calculation_Assumptions!$B$14*J433*K433</f>
        <v>0</v>
      </c>
      <c r="R433" s="21">
        <f t="shared" si="50"/>
        <v>5520298.4266223777</v>
      </c>
      <c r="S433" s="21">
        <f t="shared" si="51"/>
        <v>5520298.4266223777</v>
      </c>
      <c r="T433" s="32">
        <f>1/(1+Calculation_Assumptions!$B$8)^(B433-Calculation_Assumptions!$B$2)</f>
        <v>0.64186194739671765</v>
      </c>
      <c r="U433" s="21">
        <f t="shared" si="52"/>
        <v>0</v>
      </c>
      <c r="V433" s="21">
        <f t="shared" si="53"/>
        <v>3543269.4983228757</v>
      </c>
      <c r="W433" s="21">
        <f t="shared" si="54"/>
        <v>3543269.4983228757</v>
      </c>
      <c r="X433">
        <v>0</v>
      </c>
      <c r="Y433" s="18">
        <v>2017</v>
      </c>
      <c r="Z433" t="s">
        <v>387</v>
      </c>
      <c r="AA433" s="21">
        <f t="shared" si="55"/>
        <v>1</v>
      </c>
    </row>
    <row r="434" spans="1:27">
      <c r="A434" t="s">
        <v>205</v>
      </c>
      <c r="B434" s="18">
        <v>2041</v>
      </c>
      <c r="C434" t="s">
        <v>210</v>
      </c>
      <c r="D434" s="20" t="s">
        <v>395</v>
      </c>
      <c r="E434" s="20" t="s">
        <v>396</v>
      </c>
      <c r="F434" s="20" t="s">
        <v>213</v>
      </c>
      <c r="G434" s="20" t="s">
        <v>393</v>
      </c>
      <c r="H434" s="20" t="s">
        <v>384</v>
      </c>
      <c r="I434" s="29">
        <v>1</v>
      </c>
      <c r="J434" s="30">
        <v>1</v>
      </c>
      <c r="K434" s="31">
        <v>8.7749999999999998E-3</v>
      </c>
      <c r="L434" s="9">
        <v>631973329.78204095</v>
      </c>
      <c r="M434" s="9">
        <v>631488405.68781996</v>
      </c>
      <c r="N434" s="32">
        <f>MIN(MAX((B434-Calculation_Assumptions!$B$5+1)/Calculation_Assumptions!$B$7,0),1)</f>
        <v>1</v>
      </c>
      <c r="O434" s="21">
        <f t="shared" si="48"/>
        <v>631973329.78204095</v>
      </c>
      <c r="P434" s="21">
        <f t="shared" si="49"/>
        <v>631488405.68781996</v>
      </c>
      <c r="Q434" s="21">
        <f>P434*Calculation_Assumptions!$B$14*J434*K434</f>
        <v>0</v>
      </c>
      <c r="R434" s="21">
        <f t="shared" si="50"/>
        <v>5545565.9688374093</v>
      </c>
      <c r="S434" s="21">
        <f t="shared" si="51"/>
        <v>5545565.9688374093</v>
      </c>
      <c r="T434" s="32">
        <f>1/(1+Calculation_Assumptions!$B$8)^(B434-Calculation_Assumptions!$B$2)</f>
        <v>0.62316693922011435</v>
      </c>
      <c r="U434" s="21">
        <f t="shared" si="52"/>
        <v>0</v>
      </c>
      <c r="V434" s="21">
        <f t="shared" si="53"/>
        <v>3455813.3710436365</v>
      </c>
      <c r="W434" s="21">
        <f t="shared" si="54"/>
        <v>3455813.3710436365</v>
      </c>
      <c r="X434">
        <v>0</v>
      </c>
      <c r="Y434" s="18">
        <v>2017</v>
      </c>
      <c r="Z434" t="s">
        <v>387</v>
      </c>
      <c r="AA434" s="21">
        <f t="shared" si="55"/>
        <v>1</v>
      </c>
    </row>
    <row r="435" spans="1:27">
      <c r="A435" t="s">
        <v>205</v>
      </c>
      <c r="B435" s="18">
        <v>2042</v>
      </c>
      <c r="C435" t="s">
        <v>210</v>
      </c>
      <c r="D435" s="20" t="s">
        <v>395</v>
      </c>
      <c r="E435" s="20" t="s">
        <v>396</v>
      </c>
      <c r="F435" s="20" t="s">
        <v>213</v>
      </c>
      <c r="G435" s="20" t="s">
        <v>393</v>
      </c>
      <c r="H435" s="20" t="s">
        <v>384</v>
      </c>
      <c r="I435" s="29">
        <v>1</v>
      </c>
      <c r="J435" s="30">
        <v>1</v>
      </c>
      <c r="K435" s="31">
        <v>8.7749999999999998E-3</v>
      </c>
      <c r="L435" s="9">
        <v>634726758.311427</v>
      </c>
      <c r="M435" s="9">
        <v>634184560.98858297</v>
      </c>
      <c r="N435" s="32">
        <f>MIN(MAX((B435-Calculation_Assumptions!$B$5+1)/Calculation_Assumptions!$B$7,0),1)</f>
        <v>1</v>
      </c>
      <c r="O435" s="21">
        <f t="shared" si="48"/>
        <v>634726758.311427</v>
      </c>
      <c r="P435" s="21">
        <f t="shared" si="49"/>
        <v>634184560.98858297</v>
      </c>
      <c r="Q435" s="21">
        <f>P435*Calculation_Assumptions!$B$14*J435*K435</f>
        <v>0</v>
      </c>
      <c r="R435" s="21">
        <f t="shared" si="50"/>
        <v>5569727.3041827716</v>
      </c>
      <c r="S435" s="21">
        <f t="shared" si="51"/>
        <v>5569727.3041827716</v>
      </c>
      <c r="T435" s="32">
        <f>1/(1+Calculation_Assumptions!$B$8)^(B435-Calculation_Assumptions!$B$2)</f>
        <v>0.60501644584477121</v>
      </c>
      <c r="U435" s="21">
        <f t="shared" si="52"/>
        <v>0</v>
      </c>
      <c r="V435" s="21">
        <f t="shared" si="53"/>
        <v>3369776.6179012395</v>
      </c>
      <c r="W435" s="21">
        <f t="shared" si="54"/>
        <v>3369776.6179012395</v>
      </c>
      <c r="X435">
        <v>0</v>
      </c>
      <c r="Y435" s="18">
        <v>2017</v>
      </c>
      <c r="Z435" t="s">
        <v>387</v>
      </c>
      <c r="AA435" s="21">
        <f t="shared" si="55"/>
        <v>1</v>
      </c>
    </row>
    <row r="436" spans="1:27">
      <c r="A436" t="s">
        <v>205</v>
      </c>
      <c r="B436" s="18">
        <v>2043</v>
      </c>
      <c r="C436" t="s">
        <v>210</v>
      </c>
      <c r="D436" s="20" t="s">
        <v>395</v>
      </c>
      <c r="E436" s="20" t="s">
        <v>396</v>
      </c>
      <c r="F436" s="20" t="s">
        <v>213</v>
      </c>
      <c r="G436" s="20" t="s">
        <v>393</v>
      </c>
      <c r="H436" s="20" t="s">
        <v>384</v>
      </c>
      <c r="I436" s="29">
        <v>1</v>
      </c>
      <c r="J436" s="30">
        <v>1</v>
      </c>
      <c r="K436" s="31">
        <v>8.7749999999999998E-3</v>
      </c>
      <c r="L436" s="9">
        <v>637353330.41688395</v>
      </c>
      <c r="M436" s="9">
        <v>636767020.67603099</v>
      </c>
      <c r="N436" s="32">
        <f>MIN(MAX((B436-Calculation_Assumptions!$B$5+1)/Calculation_Assumptions!$B$7,0),1)</f>
        <v>1</v>
      </c>
      <c r="O436" s="21">
        <f t="shared" si="48"/>
        <v>637353330.41688395</v>
      </c>
      <c r="P436" s="21">
        <f t="shared" si="49"/>
        <v>636767020.67603099</v>
      </c>
      <c r="Q436" s="21">
        <f>P436*Calculation_Assumptions!$B$14*J436*K436</f>
        <v>0</v>
      </c>
      <c r="R436" s="21">
        <f t="shared" si="50"/>
        <v>5592775.4744081562</v>
      </c>
      <c r="S436" s="21">
        <f t="shared" si="51"/>
        <v>5592775.4744081562</v>
      </c>
      <c r="T436" s="32">
        <f>1/(1+Calculation_Assumptions!$B$8)^(B436-Calculation_Assumptions!$B$2)</f>
        <v>0.5873946076162827</v>
      </c>
      <c r="U436" s="21">
        <f t="shared" si="52"/>
        <v>0</v>
      </c>
      <c r="V436" s="21">
        <f t="shared" si="53"/>
        <v>3285166.1552759483</v>
      </c>
      <c r="W436" s="21">
        <f t="shared" si="54"/>
        <v>3285166.1552759483</v>
      </c>
      <c r="X436">
        <v>0</v>
      </c>
      <c r="Y436" s="18">
        <v>2017</v>
      </c>
      <c r="Z436" t="s">
        <v>387</v>
      </c>
      <c r="AA436" s="21">
        <f t="shared" si="55"/>
        <v>1</v>
      </c>
    </row>
    <row r="437" spans="1:27">
      <c r="A437" t="s">
        <v>205</v>
      </c>
      <c r="B437" s="18">
        <v>2044</v>
      </c>
      <c r="C437" t="s">
        <v>210</v>
      </c>
      <c r="D437" s="20" t="s">
        <v>395</v>
      </c>
      <c r="E437" s="20" t="s">
        <v>396</v>
      </c>
      <c r="F437" s="20" t="s">
        <v>213</v>
      </c>
      <c r="G437" s="20" t="s">
        <v>393</v>
      </c>
      <c r="H437" s="20" t="s">
        <v>384</v>
      </c>
      <c r="I437" s="29">
        <v>1</v>
      </c>
      <c r="J437" s="30">
        <v>1</v>
      </c>
      <c r="K437" s="31">
        <v>8.7749999999999998E-3</v>
      </c>
      <c r="L437" s="9">
        <v>639848442.82424998</v>
      </c>
      <c r="M437" s="9">
        <v>639211548.58069301</v>
      </c>
      <c r="N437" s="32">
        <f>MIN(MAX((B437-Calculation_Assumptions!$B$5+1)/Calculation_Assumptions!$B$7,0),1)</f>
        <v>1</v>
      </c>
      <c r="O437" s="21">
        <f t="shared" si="48"/>
        <v>639848442.82424998</v>
      </c>
      <c r="P437" s="21">
        <f t="shared" si="49"/>
        <v>639211548.58069301</v>
      </c>
      <c r="Q437" s="21">
        <f>P437*Calculation_Assumptions!$B$14*J437*K437</f>
        <v>0</v>
      </c>
      <c r="R437" s="21">
        <f t="shared" si="50"/>
        <v>5614670.0857827934</v>
      </c>
      <c r="S437" s="21">
        <f t="shared" si="51"/>
        <v>5614670.0857827934</v>
      </c>
      <c r="T437" s="32">
        <f>1/(1+Calculation_Assumptions!$B$8)^(B437-Calculation_Assumptions!$B$2)</f>
        <v>0.57028602681192497</v>
      </c>
      <c r="U437" s="21">
        <f t="shared" si="52"/>
        <v>0</v>
      </c>
      <c r="V437" s="21">
        <f t="shared" si="53"/>
        <v>3201967.8950808393</v>
      </c>
      <c r="W437" s="21">
        <f t="shared" si="54"/>
        <v>3201967.8950808393</v>
      </c>
      <c r="X437">
        <v>0</v>
      </c>
      <c r="Y437" s="18">
        <v>2017</v>
      </c>
      <c r="Z437" t="s">
        <v>387</v>
      </c>
      <c r="AA437" s="21">
        <f t="shared" si="55"/>
        <v>1</v>
      </c>
    </row>
    <row r="438" spans="1:27">
      <c r="A438" t="s">
        <v>205</v>
      </c>
      <c r="B438" s="18">
        <v>2045</v>
      </c>
      <c r="C438" t="s">
        <v>210</v>
      </c>
      <c r="D438" s="20" t="s">
        <v>395</v>
      </c>
      <c r="E438" s="20" t="s">
        <v>396</v>
      </c>
      <c r="F438" s="20" t="s">
        <v>213</v>
      </c>
      <c r="G438" s="20" t="s">
        <v>393</v>
      </c>
      <c r="H438" s="20" t="s">
        <v>384</v>
      </c>
      <c r="I438" s="29">
        <v>1</v>
      </c>
      <c r="J438" s="30">
        <v>1</v>
      </c>
      <c r="K438" s="31">
        <v>8.7749999999999998E-3</v>
      </c>
      <c r="L438" s="9">
        <v>642207029.60400403</v>
      </c>
      <c r="M438" s="9">
        <v>641520754.67294204</v>
      </c>
      <c r="N438" s="32">
        <f>MIN(MAX((B438-Calculation_Assumptions!$B$5+1)/Calculation_Assumptions!$B$7,0),1)</f>
        <v>1</v>
      </c>
      <c r="O438" s="21">
        <f t="shared" si="48"/>
        <v>642207029.60400403</v>
      </c>
      <c r="P438" s="21">
        <f t="shared" si="49"/>
        <v>641520754.67294204</v>
      </c>
      <c r="Q438" s="21">
        <f>P438*Calculation_Assumptions!$B$14*J438*K438</f>
        <v>0</v>
      </c>
      <c r="R438" s="21">
        <f t="shared" si="50"/>
        <v>5635366.6847751355</v>
      </c>
      <c r="S438" s="21">
        <f t="shared" si="51"/>
        <v>5635366.6847751355</v>
      </c>
      <c r="T438" s="32">
        <f>1/(1+Calculation_Assumptions!$B$8)^(B438-Calculation_Assumptions!$B$2)</f>
        <v>0.55367575418633497</v>
      </c>
      <c r="U438" s="21">
        <f t="shared" si="52"/>
        <v>0</v>
      </c>
      <c r="V438" s="21">
        <f t="shared" si="53"/>
        <v>3120165.8993094191</v>
      </c>
      <c r="W438" s="21">
        <f t="shared" si="54"/>
        <v>3120165.8993094191</v>
      </c>
      <c r="X438">
        <v>0</v>
      </c>
      <c r="Y438" s="18">
        <v>2017</v>
      </c>
      <c r="Z438" t="s">
        <v>387</v>
      </c>
      <c r="AA438" s="21">
        <f t="shared" si="55"/>
        <v>1</v>
      </c>
    </row>
    <row r="439" spans="1:27">
      <c r="A439" t="s">
        <v>205</v>
      </c>
      <c r="B439" s="18">
        <v>2046</v>
      </c>
      <c r="C439" t="s">
        <v>210</v>
      </c>
      <c r="D439" s="20" t="s">
        <v>395</v>
      </c>
      <c r="E439" s="20" t="s">
        <v>396</v>
      </c>
      <c r="F439" s="20" t="s">
        <v>213</v>
      </c>
      <c r="G439" s="20" t="s">
        <v>393</v>
      </c>
      <c r="H439" s="20" t="s">
        <v>384</v>
      </c>
      <c r="I439" s="29">
        <v>1</v>
      </c>
      <c r="J439" s="30">
        <v>1</v>
      </c>
      <c r="K439" s="31">
        <v>8.7749999999999998E-3</v>
      </c>
      <c r="L439" s="9">
        <v>644431411.293203</v>
      </c>
      <c r="M439" s="9">
        <v>643697330.762573</v>
      </c>
      <c r="N439" s="32">
        <f>MIN(MAX((B439-Calculation_Assumptions!$B$5+1)/Calculation_Assumptions!$B$7,0),1)</f>
        <v>1</v>
      </c>
      <c r="O439" s="21">
        <f t="shared" si="48"/>
        <v>644431411.293203</v>
      </c>
      <c r="P439" s="21">
        <f t="shared" si="49"/>
        <v>643697330.762573</v>
      </c>
      <c r="Q439" s="21">
        <f>P439*Calculation_Assumptions!$B$14*J439*K439</f>
        <v>0</v>
      </c>
      <c r="R439" s="21">
        <f t="shared" si="50"/>
        <v>5654885.6340978565</v>
      </c>
      <c r="S439" s="21">
        <f t="shared" si="51"/>
        <v>5654885.6340978565</v>
      </c>
      <c r="T439" s="32">
        <f>1/(1+Calculation_Assumptions!$B$8)^(B439-Calculation_Assumptions!$B$2)</f>
        <v>0.5375492759090631</v>
      </c>
      <c r="U439" s="21">
        <f t="shared" si="52"/>
        <v>0</v>
      </c>
      <c r="V439" s="21">
        <f t="shared" si="53"/>
        <v>3039779.6779578659</v>
      </c>
      <c r="W439" s="21">
        <f t="shared" si="54"/>
        <v>3039779.6779578659</v>
      </c>
      <c r="X439">
        <v>0</v>
      </c>
      <c r="Y439" s="18">
        <v>2017</v>
      </c>
      <c r="Z439" t="s">
        <v>387</v>
      </c>
      <c r="AA439" s="21">
        <f t="shared" si="55"/>
        <v>1</v>
      </c>
    </row>
    <row r="440" spans="1:27">
      <c r="A440" t="s">
        <v>205</v>
      </c>
      <c r="B440" s="18">
        <v>2047</v>
      </c>
      <c r="C440" t="s">
        <v>210</v>
      </c>
      <c r="D440" s="20" t="s">
        <v>395</v>
      </c>
      <c r="E440" s="20" t="s">
        <v>396</v>
      </c>
      <c r="F440" s="20" t="s">
        <v>213</v>
      </c>
      <c r="G440" s="20" t="s">
        <v>393</v>
      </c>
      <c r="H440" s="20" t="s">
        <v>384</v>
      </c>
      <c r="I440" s="29">
        <v>1</v>
      </c>
      <c r="J440" s="30">
        <v>1</v>
      </c>
      <c r="K440" s="31">
        <v>8.7749999999999998E-3</v>
      </c>
      <c r="L440" s="9">
        <v>646526345.88011503</v>
      </c>
      <c r="M440" s="9">
        <v>645745914.53009498</v>
      </c>
      <c r="N440" s="32">
        <f>MIN(MAX((B440-Calculation_Assumptions!$B$5+1)/Calculation_Assumptions!$B$7,0),1)</f>
        <v>1</v>
      </c>
      <c r="O440" s="21">
        <f t="shared" si="48"/>
        <v>646526345.88011503</v>
      </c>
      <c r="P440" s="21">
        <f t="shared" si="49"/>
        <v>645745914.53009498</v>
      </c>
      <c r="Q440" s="21">
        <f>P440*Calculation_Assumptions!$B$14*J440*K440</f>
        <v>0</v>
      </c>
      <c r="R440" s="21">
        <f t="shared" si="50"/>
        <v>5673268.6850980092</v>
      </c>
      <c r="S440" s="21">
        <f t="shared" si="51"/>
        <v>5673268.6850980092</v>
      </c>
      <c r="T440" s="32">
        <f>1/(1+Calculation_Assumptions!$B$8)^(B440-Calculation_Assumptions!$B$2)</f>
        <v>0.52189250088258554</v>
      </c>
      <c r="U440" s="21">
        <f t="shared" si="52"/>
        <v>0</v>
      </c>
      <c r="V440" s="21">
        <f t="shared" si="53"/>
        <v>2960836.3822446577</v>
      </c>
      <c r="W440" s="21">
        <f t="shared" si="54"/>
        <v>2960836.3822446577</v>
      </c>
      <c r="X440">
        <v>0</v>
      </c>
      <c r="Y440" s="18">
        <v>2017</v>
      </c>
      <c r="Z440" t="s">
        <v>387</v>
      </c>
      <c r="AA440" s="21">
        <f t="shared" si="55"/>
        <v>1</v>
      </c>
    </row>
    <row r="441" spans="1:27">
      <c r="A441" t="s">
        <v>205</v>
      </c>
      <c r="B441" s="18">
        <v>2048</v>
      </c>
      <c r="C441" t="s">
        <v>210</v>
      </c>
      <c r="D441" s="20" t="s">
        <v>395</v>
      </c>
      <c r="E441" s="20" t="s">
        <v>396</v>
      </c>
      <c r="F441" s="20" t="s">
        <v>213</v>
      </c>
      <c r="G441" s="20" t="s">
        <v>393</v>
      </c>
      <c r="H441" s="20" t="s">
        <v>384</v>
      </c>
      <c r="I441" s="29">
        <v>1</v>
      </c>
      <c r="J441" s="30">
        <v>1</v>
      </c>
      <c r="K441" s="31">
        <v>8.7749999999999998E-3</v>
      </c>
      <c r="L441" s="9">
        <v>648491811.90166605</v>
      </c>
      <c r="M441" s="9">
        <v>647666796.64810395</v>
      </c>
      <c r="N441" s="32">
        <f>MIN(MAX((B441-Calculation_Assumptions!$B$5+1)/Calculation_Assumptions!$B$7,0),1)</f>
        <v>1</v>
      </c>
      <c r="O441" s="21">
        <f t="shared" si="48"/>
        <v>648491811.90166605</v>
      </c>
      <c r="P441" s="21">
        <f t="shared" si="49"/>
        <v>647666796.64810395</v>
      </c>
      <c r="Q441" s="21">
        <f>P441*Calculation_Assumptions!$B$14*J441*K441</f>
        <v>0</v>
      </c>
      <c r="R441" s="21">
        <f t="shared" si="50"/>
        <v>5690515.6494371193</v>
      </c>
      <c r="S441" s="21">
        <f t="shared" si="51"/>
        <v>5690515.6494371193</v>
      </c>
      <c r="T441" s="32">
        <f>1/(1+Calculation_Assumptions!$B$8)^(B441-Calculation_Assumptions!$B$2)</f>
        <v>0.50669174842969467</v>
      </c>
      <c r="U441" s="21">
        <f t="shared" si="52"/>
        <v>0</v>
      </c>
      <c r="V441" s="21">
        <f t="shared" si="53"/>
        <v>2883337.3238798333</v>
      </c>
      <c r="W441" s="21">
        <f t="shared" si="54"/>
        <v>2883337.3238798333</v>
      </c>
      <c r="X441">
        <v>0</v>
      </c>
      <c r="Y441" s="18">
        <v>2017</v>
      </c>
      <c r="Z441" t="s">
        <v>387</v>
      </c>
      <c r="AA441" s="21">
        <f t="shared" si="55"/>
        <v>1</v>
      </c>
    </row>
    <row r="442" spans="1:27">
      <c r="A442" t="s">
        <v>205</v>
      </c>
      <c r="B442" s="18">
        <v>2049</v>
      </c>
      <c r="C442" t="s">
        <v>210</v>
      </c>
      <c r="D442" s="20" t="s">
        <v>395</v>
      </c>
      <c r="E442" s="20" t="s">
        <v>396</v>
      </c>
      <c r="F442" s="20" t="s">
        <v>213</v>
      </c>
      <c r="G442" s="20" t="s">
        <v>393</v>
      </c>
      <c r="H442" s="20" t="s">
        <v>384</v>
      </c>
      <c r="I442" s="29">
        <v>1</v>
      </c>
      <c r="J442" s="30">
        <v>1</v>
      </c>
      <c r="K442" s="31">
        <v>8.7749999999999998E-3</v>
      </c>
      <c r="L442" s="9">
        <v>650326097.10314596</v>
      </c>
      <c r="M442" s="9">
        <v>649421968.02473402</v>
      </c>
      <c r="N442" s="32">
        <f>MIN(MAX((B442-Calculation_Assumptions!$B$5+1)/Calculation_Assumptions!$B$7,0),1)</f>
        <v>1</v>
      </c>
      <c r="O442" s="21">
        <f t="shared" si="48"/>
        <v>650326097.10314596</v>
      </c>
      <c r="P442" s="21">
        <f t="shared" si="49"/>
        <v>649421968.02473402</v>
      </c>
      <c r="Q442" s="21">
        <f>P442*Calculation_Assumptions!$B$14*J442*K442</f>
        <v>0</v>
      </c>
      <c r="R442" s="21">
        <f t="shared" si="50"/>
        <v>5706611.5020801052</v>
      </c>
      <c r="S442" s="21">
        <f t="shared" si="51"/>
        <v>5706611.5020801052</v>
      </c>
      <c r="T442" s="32">
        <f>1/(1+Calculation_Assumptions!$B$8)^(B442-Calculation_Assumptions!$B$2)</f>
        <v>0.49193373633950943</v>
      </c>
      <c r="U442" s="21">
        <f t="shared" si="52"/>
        <v>0</v>
      </c>
      <c r="V442" s="21">
        <f t="shared" si="53"/>
        <v>2807274.7180562862</v>
      </c>
      <c r="W442" s="21">
        <f t="shared" si="54"/>
        <v>2807274.7180562862</v>
      </c>
      <c r="X442">
        <v>0</v>
      </c>
      <c r="Y442" s="18">
        <v>2017</v>
      </c>
      <c r="Z442" t="s">
        <v>387</v>
      </c>
      <c r="AA442" s="21">
        <f t="shared" si="55"/>
        <v>1</v>
      </c>
    </row>
    <row r="443" spans="1:27">
      <c r="A443" t="s">
        <v>205</v>
      </c>
      <c r="B443" s="18">
        <v>2050</v>
      </c>
      <c r="C443" t="s">
        <v>210</v>
      </c>
      <c r="D443" s="20" t="s">
        <v>395</v>
      </c>
      <c r="E443" s="20" t="s">
        <v>396</v>
      </c>
      <c r="F443" s="20" t="s">
        <v>213</v>
      </c>
      <c r="G443" s="20" t="s">
        <v>393</v>
      </c>
      <c r="H443" s="20" t="s">
        <v>384</v>
      </c>
      <c r="I443" s="29">
        <v>1</v>
      </c>
      <c r="J443" s="30">
        <v>1</v>
      </c>
      <c r="K443" s="31">
        <v>8.7749999999999998E-3</v>
      </c>
      <c r="L443" s="9">
        <v>652024255.63071299</v>
      </c>
      <c r="M443" s="9">
        <v>651074457.25957894</v>
      </c>
      <c r="N443" s="32">
        <f>MIN(MAX((B443-Calculation_Assumptions!$B$5+1)/Calculation_Assumptions!$B$7,0),1)</f>
        <v>1</v>
      </c>
      <c r="O443" s="21">
        <f t="shared" si="48"/>
        <v>652024255.63071299</v>
      </c>
      <c r="P443" s="21">
        <f t="shared" si="49"/>
        <v>651074457.25957894</v>
      </c>
      <c r="Q443" s="21">
        <f>P443*Calculation_Assumptions!$B$14*J443*K443</f>
        <v>0</v>
      </c>
      <c r="R443" s="21">
        <f t="shared" si="50"/>
        <v>5721512.8431595061</v>
      </c>
      <c r="S443" s="21">
        <f t="shared" si="51"/>
        <v>5721512.8431595061</v>
      </c>
      <c r="T443" s="32">
        <f>1/(1+Calculation_Assumptions!$B$8)^(B443-Calculation_Assumptions!$B$2)</f>
        <v>0.47760556926165965</v>
      </c>
      <c r="U443" s="21">
        <f t="shared" si="52"/>
        <v>0</v>
      </c>
      <c r="V443" s="21">
        <f t="shared" si="53"/>
        <v>2732626.3984950925</v>
      </c>
      <c r="W443" s="21">
        <f t="shared" si="54"/>
        <v>2732626.3984950925</v>
      </c>
      <c r="X443">
        <v>0</v>
      </c>
      <c r="Y443" s="18">
        <v>2017</v>
      </c>
      <c r="Z443" t="s">
        <v>387</v>
      </c>
      <c r="AA443" s="21">
        <f t="shared" si="55"/>
        <v>1</v>
      </c>
    </row>
    <row r="444" spans="1:27">
      <c r="A444" t="s">
        <v>205</v>
      </c>
      <c r="B444" s="18">
        <v>2025</v>
      </c>
      <c r="C444" t="s">
        <v>217</v>
      </c>
      <c r="D444" s="20" t="s">
        <v>397</v>
      </c>
      <c r="E444" s="20" t="s">
        <v>398</v>
      </c>
      <c r="F444" s="20" t="s">
        <v>220</v>
      </c>
      <c r="G444" s="20" t="s">
        <v>393</v>
      </c>
      <c r="H444" s="20" t="s">
        <v>384</v>
      </c>
      <c r="I444" s="29">
        <v>1</v>
      </c>
      <c r="J444" s="30">
        <v>1</v>
      </c>
      <c r="K444" s="31">
        <v>8.7749999999999998E-3</v>
      </c>
      <c r="L444" s="9">
        <v>575134853.59312999</v>
      </c>
      <c r="M444" s="9">
        <v>575134853.59312999</v>
      </c>
      <c r="N444" s="32">
        <f>MIN(MAX((B444-Calculation_Assumptions!$B$5+1)/Calculation_Assumptions!$B$7,0),1)</f>
        <v>0</v>
      </c>
      <c r="O444" s="21">
        <f t="shared" si="48"/>
        <v>575134853.59312999</v>
      </c>
      <c r="P444" s="21">
        <f t="shared" si="49"/>
        <v>575134853.59312999</v>
      </c>
      <c r="Q444" s="21">
        <f>P444*Calculation_Assumptions!$B$14*J444*K444</f>
        <v>0</v>
      </c>
      <c r="R444" s="21">
        <f t="shared" si="50"/>
        <v>0</v>
      </c>
      <c r="S444" s="21">
        <f t="shared" si="51"/>
        <v>0</v>
      </c>
      <c r="T444" s="32">
        <f>1/(1+Calculation_Assumptions!$B$8)^(B444-Calculation_Assumptions!$B$2)</f>
        <v>1</v>
      </c>
      <c r="U444" s="21">
        <f t="shared" si="52"/>
        <v>0</v>
      </c>
      <c r="V444" s="21">
        <f t="shared" si="53"/>
        <v>0</v>
      </c>
      <c r="W444" s="21">
        <f t="shared" si="54"/>
        <v>0</v>
      </c>
      <c r="X444">
        <v>0</v>
      </c>
      <c r="Y444" s="18">
        <v>2017</v>
      </c>
      <c r="Z444" t="s">
        <v>387</v>
      </c>
      <c r="AA444" s="21">
        <f t="shared" si="55"/>
        <v>1</v>
      </c>
    </row>
    <row r="445" spans="1:27">
      <c r="A445" t="s">
        <v>205</v>
      </c>
      <c r="B445" s="18">
        <v>2026</v>
      </c>
      <c r="C445" t="s">
        <v>217</v>
      </c>
      <c r="D445" s="20" t="s">
        <v>397</v>
      </c>
      <c r="E445" s="20" t="s">
        <v>398</v>
      </c>
      <c r="F445" s="20" t="s">
        <v>220</v>
      </c>
      <c r="G445" s="20" t="s">
        <v>393</v>
      </c>
      <c r="H445" s="20" t="s">
        <v>384</v>
      </c>
      <c r="I445" s="29">
        <v>1</v>
      </c>
      <c r="J445" s="30">
        <v>1</v>
      </c>
      <c r="K445" s="31">
        <v>8.7749999999999998E-3</v>
      </c>
      <c r="L445" s="9">
        <v>579268647.32329595</v>
      </c>
      <c r="M445" s="9">
        <v>579268647.32329595</v>
      </c>
      <c r="N445" s="32">
        <f>MIN(MAX((B445-Calculation_Assumptions!$B$5+1)/Calculation_Assumptions!$B$7,0),1)</f>
        <v>0.33333333333333331</v>
      </c>
      <c r="O445" s="21">
        <f t="shared" si="48"/>
        <v>579268647.32329595</v>
      </c>
      <c r="P445" s="21">
        <f t="shared" si="49"/>
        <v>579268647.32329595</v>
      </c>
      <c r="Q445" s="21">
        <f>P445*Calculation_Assumptions!$B$14*J445*K445</f>
        <v>0</v>
      </c>
      <c r="R445" s="21">
        <f t="shared" si="50"/>
        <v>1694360.7934206405</v>
      </c>
      <c r="S445" s="21">
        <f t="shared" si="51"/>
        <v>1694360.7934206405</v>
      </c>
      <c r="T445" s="32">
        <f>1/(1+Calculation_Assumptions!$B$8)^(B445-Calculation_Assumptions!$B$2)</f>
        <v>0.970873786407767</v>
      </c>
      <c r="U445" s="21">
        <f t="shared" si="52"/>
        <v>0</v>
      </c>
      <c r="V445" s="21">
        <f t="shared" si="53"/>
        <v>1645010.4790491655</v>
      </c>
      <c r="W445" s="21">
        <f t="shared" si="54"/>
        <v>1645010.4790491655</v>
      </c>
      <c r="X445">
        <v>0</v>
      </c>
      <c r="Y445" s="18">
        <v>2017</v>
      </c>
      <c r="Z445" t="s">
        <v>387</v>
      </c>
      <c r="AA445" s="21">
        <f t="shared" si="55"/>
        <v>1</v>
      </c>
    </row>
    <row r="446" spans="1:27">
      <c r="A446" t="s">
        <v>205</v>
      </c>
      <c r="B446" s="18">
        <v>2027</v>
      </c>
      <c r="C446" t="s">
        <v>217</v>
      </c>
      <c r="D446" s="20" t="s">
        <v>397</v>
      </c>
      <c r="E446" s="20" t="s">
        <v>398</v>
      </c>
      <c r="F446" s="20" t="s">
        <v>220</v>
      </c>
      <c r="G446" s="20" t="s">
        <v>393</v>
      </c>
      <c r="H446" s="20" t="s">
        <v>384</v>
      </c>
      <c r="I446" s="29">
        <v>1</v>
      </c>
      <c r="J446" s="30">
        <v>1</v>
      </c>
      <c r="K446" s="31">
        <v>8.7749999999999998E-3</v>
      </c>
      <c r="L446" s="9">
        <v>583039014.28645599</v>
      </c>
      <c r="M446" s="9">
        <v>583039014.28645599</v>
      </c>
      <c r="N446" s="32">
        <f>MIN(MAX((B446-Calculation_Assumptions!$B$5+1)/Calculation_Assumptions!$B$7,0),1)</f>
        <v>0.66666666666666663</v>
      </c>
      <c r="O446" s="21">
        <f t="shared" si="48"/>
        <v>583039014.28645599</v>
      </c>
      <c r="P446" s="21">
        <f t="shared" si="49"/>
        <v>583039014.28645599</v>
      </c>
      <c r="Q446" s="21">
        <f>P446*Calculation_Assumptions!$B$14*J446*K446</f>
        <v>0</v>
      </c>
      <c r="R446" s="21">
        <f t="shared" si="50"/>
        <v>3410778.2335757674</v>
      </c>
      <c r="S446" s="21">
        <f t="shared" si="51"/>
        <v>3410778.2335757674</v>
      </c>
      <c r="T446" s="32">
        <f>1/(1+Calculation_Assumptions!$B$8)^(B446-Calculation_Assumptions!$B$2)</f>
        <v>0.94259590913375435</v>
      </c>
      <c r="U446" s="21">
        <f t="shared" si="52"/>
        <v>0</v>
      </c>
      <c r="V446" s="21">
        <f t="shared" si="53"/>
        <v>3214985.6099309712</v>
      </c>
      <c r="W446" s="21">
        <f t="shared" si="54"/>
        <v>3214985.6099309712</v>
      </c>
      <c r="X446">
        <v>0</v>
      </c>
      <c r="Y446" s="18">
        <v>2017</v>
      </c>
      <c r="Z446" t="s">
        <v>387</v>
      </c>
      <c r="AA446" s="21">
        <f t="shared" si="55"/>
        <v>1</v>
      </c>
    </row>
    <row r="447" spans="1:27">
      <c r="A447" t="s">
        <v>205</v>
      </c>
      <c r="B447" s="18">
        <v>2028</v>
      </c>
      <c r="C447" t="s">
        <v>217</v>
      </c>
      <c r="D447" s="20" t="s">
        <v>397</v>
      </c>
      <c r="E447" s="20" t="s">
        <v>398</v>
      </c>
      <c r="F447" s="20" t="s">
        <v>220</v>
      </c>
      <c r="G447" s="20" t="s">
        <v>393</v>
      </c>
      <c r="H447" s="20" t="s">
        <v>384</v>
      </c>
      <c r="I447" s="29">
        <v>1</v>
      </c>
      <c r="J447" s="30">
        <v>1</v>
      </c>
      <c r="K447" s="31">
        <v>8.7749999999999998E-3</v>
      </c>
      <c r="L447" s="9">
        <v>587039193.65711796</v>
      </c>
      <c r="M447" s="9">
        <v>587035116.25746298</v>
      </c>
      <c r="N447" s="32">
        <f>MIN(MAX((B447-Calculation_Assumptions!$B$5+1)/Calculation_Assumptions!$B$7,0),1)</f>
        <v>1</v>
      </c>
      <c r="O447" s="21">
        <f t="shared" si="48"/>
        <v>587039193.65711796</v>
      </c>
      <c r="P447" s="21">
        <f t="shared" si="49"/>
        <v>587035116.25746298</v>
      </c>
      <c r="Q447" s="21">
        <f>P447*Calculation_Assumptions!$B$14*J447*K447</f>
        <v>0</v>
      </c>
      <c r="R447" s="21">
        <f t="shared" si="50"/>
        <v>5151268.9243412102</v>
      </c>
      <c r="S447" s="21">
        <f t="shared" si="51"/>
        <v>5151268.9243412102</v>
      </c>
      <c r="T447" s="32">
        <f>1/(1+Calculation_Assumptions!$B$8)^(B447-Calculation_Assumptions!$B$2)</f>
        <v>0.91514165935315961</v>
      </c>
      <c r="U447" s="21">
        <f t="shared" si="52"/>
        <v>0</v>
      </c>
      <c r="V447" s="21">
        <f t="shared" si="53"/>
        <v>4714140.7911959803</v>
      </c>
      <c r="W447" s="21">
        <f t="shared" si="54"/>
        <v>4714140.7911959803</v>
      </c>
      <c r="X447">
        <v>0</v>
      </c>
      <c r="Y447" s="18">
        <v>2017</v>
      </c>
      <c r="Z447" t="s">
        <v>387</v>
      </c>
      <c r="AA447" s="21">
        <f t="shared" si="55"/>
        <v>1</v>
      </c>
    </row>
    <row r="448" spans="1:27">
      <c r="A448" t="s">
        <v>205</v>
      </c>
      <c r="B448" s="18">
        <v>2029</v>
      </c>
      <c r="C448" t="s">
        <v>217</v>
      </c>
      <c r="D448" s="20" t="s">
        <v>397</v>
      </c>
      <c r="E448" s="20" t="s">
        <v>398</v>
      </c>
      <c r="F448" s="20" t="s">
        <v>220</v>
      </c>
      <c r="G448" s="20" t="s">
        <v>393</v>
      </c>
      <c r="H448" s="20" t="s">
        <v>384</v>
      </c>
      <c r="I448" s="29">
        <v>1</v>
      </c>
      <c r="J448" s="30">
        <v>1</v>
      </c>
      <c r="K448" s="31">
        <v>8.7749999999999998E-3</v>
      </c>
      <c r="L448" s="9">
        <v>590981954.27587199</v>
      </c>
      <c r="M448" s="9">
        <v>590968059.72178304</v>
      </c>
      <c r="N448" s="32">
        <f>MIN(MAX((B448-Calculation_Assumptions!$B$5+1)/Calculation_Assumptions!$B$7,0),1)</f>
        <v>1</v>
      </c>
      <c r="O448" s="21">
        <f t="shared" si="48"/>
        <v>590981954.27587199</v>
      </c>
      <c r="P448" s="21">
        <f t="shared" si="49"/>
        <v>590968059.72178304</v>
      </c>
      <c r="Q448" s="21">
        <f>P448*Calculation_Assumptions!$B$14*J448*K448</f>
        <v>0</v>
      </c>
      <c r="R448" s="21">
        <f t="shared" si="50"/>
        <v>5185866.6487707766</v>
      </c>
      <c r="S448" s="21">
        <f t="shared" si="51"/>
        <v>5185866.6487707766</v>
      </c>
      <c r="T448" s="32">
        <f>1/(1+Calculation_Assumptions!$B$8)^(B448-Calculation_Assumptions!$B$2)</f>
        <v>0.888487047915689</v>
      </c>
      <c r="U448" s="21">
        <f t="shared" si="52"/>
        <v>0</v>
      </c>
      <c r="V448" s="21">
        <f t="shared" si="53"/>
        <v>4607575.3496507742</v>
      </c>
      <c r="W448" s="21">
        <f t="shared" si="54"/>
        <v>4607575.3496507742</v>
      </c>
      <c r="X448">
        <v>0</v>
      </c>
      <c r="Y448" s="18">
        <v>2017</v>
      </c>
      <c r="Z448" t="s">
        <v>387</v>
      </c>
      <c r="AA448" s="21">
        <f t="shared" si="55"/>
        <v>1</v>
      </c>
    </row>
    <row r="449" spans="1:27">
      <c r="A449" t="s">
        <v>205</v>
      </c>
      <c r="B449" s="18">
        <v>2030</v>
      </c>
      <c r="C449" t="s">
        <v>217</v>
      </c>
      <c r="D449" s="20" t="s">
        <v>397</v>
      </c>
      <c r="E449" s="20" t="s">
        <v>398</v>
      </c>
      <c r="F449" s="20" t="s">
        <v>220</v>
      </c>
      <c r="G449" s="20" t="s">
        <v>393</v>
      </c>
      <c r="H449" s="20" t="s">
        <v>384</v>
      </c>
      <c r="I449" s="29">
        <v>1</v>
      </c>
      <c r="J449" s="30">
        <v>1</v>
      </c>
      <c r="K449" s="31">
        <v>8.7749999999999998E-3</v>
      </c>
      <c r="L449" s="9">
        <v>594838657.02169394</v>
      </c>
      <c r="M449" s="9">
        <v>594808018.62654305</v>
      </c>
      <c r="N449" s="32">
        <f>MIN(MAX((B449-Calculation_Assumptions!$B$5+1)/Calculation_Assumptions!$B$7,0),1)</f>
        <v>1</v>
      </c>
      <c r="O449" s="21">
        <f t="shared" si="48"/>
        <v>594838657.02169394</v>
      </c>
      <c r="P449" s="21">
        <f t="shared" si="49"/>
        <v>594808018.62654305</v>
      </c>
      <c r="Q449" s="21">
        <f>P449*Calculation_Assumptions!$B$14*J449*K449</f>
        <v>0</v>
      </c>
      <c r="R449" s="21">
        <f t="shared" si="50"/>
        <v>5219709.2153653642</v>
      </c>
      <c r="S449" s="21">
        <f t="shared" si="51"/>
        <v>5219709.2153653642</v>
      </c>
      <c r="T449" s="32">
        <f>1/(1+Calculation_Assumptions!$B$8)^(B449-Calculation_Assumptions!$B$2)</f>
        <v>0.86260878438416411</v>
      </c>
      <c r="U449" s="21">
        <f t="shared" si="52"/>
        <v>0</v>
      </c>
      <c r="V449" s="21">
        <f t="shared" si="53"/>
        <v>4502567.0211051358</v>
      </c>
      <c r="W449" s="21">
        <f t="shared" si="54"/>
        <v>4502567.0211051358</v>
      </c>
      <c r="X449">
        <v>0</v>
      </c>
      <c r="Y449" s="18">
        <v>2017</v>
      </c>
      <c r="Z449" t="s">
        <v>387</v>
      </c>
      <c r="AA449" s="21">
        <f t="shared" si="55"/>
        <v>1</v>
      </c>
    </row>
    <row r="450" spans="1:27">
      <c r="A450" t="s">
        <v>205</v>
      </c>
      <c r="B450" s="18">
        <v>2031</v>
      </c>
      <c r="C450" t="s">
        <v>217</v>
      </c>
      <c r="D450" s="20" t="s">
        <v>397</v>
      </c>
      <c r="E450" s="20" t="s">
        <v>398</v>
      </c>
      <c r="F450" s="20" t="s">
        <v>220</v>
      </c>
      <c r="G450" s="20" t="s">
        <v>393</v>
      </c>
      <c r="H450" s="20" t="s">
        <v>384</v>
      </c>
      <c r="I450" s="29">
        <v>1</v>
      </c>
      <c r="J450" s="30">
        <v>1</v>
      </c>
      <c r="K450" s="31">
        <v>8.7749999999999998E-3</v>
      </c>
      <c r="L450" s="9">
        <v>598636396.55800402</v>
      </c>
      <c r="M450" s="9">
        <v>598581381.03442597</v>
      </c>
      <c r="N450" s="32">
        <f>MIN(MAX((B450-Calculation_Assumptions!$B$5+1)/Calculation_Assumptions!$B$7,0),1)</f>
        <v>1</v>
      </c>
      <c r="O450" s="21">
        <f t="shared" ref="O450:O513" si="56">L450*I450</f>
        <v>598636396.55800402</v>
      </c>
      <c r="P450" s="21">
        <f t="shared" ref="P450:P513" si="57">M450*I450</f>
        <v>598581381.03442597</v>
      </c>
      <c r="Q450" s="21">
        <f>P450*Calculation_Assumptions!$B$14*J450*K450</f>
        <v>0</v>
      </c>
      <c r="R450" s="21">
        <f t="shared" ref="R450:R513" si="58">O450*N450*J450*K450</f>
        <v>5253034.3797964854</v>
      </c>
      <c r="S450" s="21">
        <f t="shared" ref="S450:S513" si="59">R450-Q450</f>
        <v>5253034.3797964854</v>
      </c>
      <c r="T450" s="32">
        <f>1/(1+Calculation_Assumptions!$B$8)^(B450-Calculation_Assumptions!$B$2)</f>
        <v>0.83748425668365445</v>
      </c>
      <c r="U450" s="21">
        <f t="shared" ref="U450:U513" si="60">Q450*T450</f>
        <v>0</v>
      </c>
      <c r="V450" s="21">
        <f t="shared" ref="V450:V513" si="61">R450*T450</f>
        <v>4399333.5928975409</v>
      </c>
      <c r="W450" s="21">
        <f t="shared" ref="W450:W513" si="62">S450*T450</f>
        <v>4399333.5928975409</v>
      </c>
      <c r="X450">
        <v>0</v>
      </c>
      <c r="Y450" s="18">
        <v>2017</v>
      </c>
      <c r="Z450" t="s">
        <v>387</v>
      </c>
      <c r="AA450" s="21">
        <f t="shared" ref="AA450:AA513" si="63">IF(G450="shared-count-once",COUNTIFS($A$2:$A$807,A450,$B$2:$B$807,B450,$D$2:$D$807,D450),1)</f>
        <v>1</v>
      </c>
    </row>
    <row r="451" spans="1:27">
      <c r="A451" t="s">
        <v>205</v>
      </c>
      <c r="B451" s="18">
        <v>2032</v>
      </c>
      <c r="C451" t="s">
        <v>217</v>
      </c>
      <c r="D451" s="20" t="s">
        <v>397</v>
      </c>
      <c r="E451" s="20" t="s">
        <v>398</v>
      </c>
      <c r="F451" s="20" t="s">
        <v>220</v>
      </c>
      <c r="G451" s="20" t="s">
        <v>393</v>
      </c>
      <c r="H451" s="20" t="s">
        <v>384</v>
      </c>
      <c r="I451" s="29">
        <v>1</v>
      </c>
      <c r="J451" s="30">
        <v>1</v>
      </c>
      <c r="K451" s="31">
        <v>8.7749999999999998E-3</v>
      </c>
      <c r="L451" s="9">
        <v>602371311.77954698</v>
      </c>
      <c r="M451" s="9">
        <v>602283583.58638096</v>
      </c>
      <c r="N451" s="32">
        <f>MIN(MAX((B451-Calculation_Assumptions!$B$5+1)/Calculation_Assumptions!$B$7,0),1)</f>
        <v>1</v>
      </c>
      <c r="O451" s="21">
        <f t="shared" si="56"/>
        <v>602371311.77954698</v>
      </c>
      <c r="P451" s="21">
        <f t="shared" si="57"/>
        <v>602283583.58638096</v>
      </c>
      <c r="Q451" s="21">
        <f>P451*Calculation_Assumptions!$B$14*J451*K451</f>
        <v>0</v>
      </c>
      <c r="R451" s="21">
        <f t="shared" si="58"/>
        <v>5285808.2608655244</v>
      </c>
      <c r="S451" s="21">
        <f t="shared" si="59"/>
        <v>5285808.2608655244</v>
      </c>
      <c r="T451" s="32">
        <f>1/(1+Calculation_Assumptions!$B$8)^(B451-Calculation_Assumptions!$B$2)</f>
        <v>0.81309151134335378</v>
      </c>
      <c r="U451" s="21">
        <f t="shared" si="60"/>
        <v>0</v>
      </c>
      <c r="V451" s="21">
        <f t="shared" si="61"/>
        <v>4297845.8274983335</v>
      </c>
      <c r="W451" s="21">
        <f t="shared" si="62"/>
        <v>4297845.8274983335</v>
      </c>
      <c r="X451">
        <v>0</v>
      </c>
      <c r="Y451" s="18">
        <v>2017</v>
      </c>
      <c r="Z451" t="s">
        <v>387</v>
      </c>
      <c r="AA451" s="21">
        <f t="shared" si="63"/>
        <v>1</v>
      </c>
    </row>
    <row r="452" spans="1:27">
      <c r="A452" t="s">
        <v>205</v>
      </c>
      <c r="B452" s="18">
        <v>2033</v>
      </c>
      <c r="C452" t="s">
        <v>217</v>
      </c>
      <c r="D452" s="20" t="s">
        <v>397</v>
      </c>
      <c r="E452" s="20" t="s">
        <v>398</v>
      </c>
      <c r="F452" s="20" t="s">
        <v>220</v>
      </c>
      <c r="G452" s="20" t="s">
        <v>393</v>
      </c>
      <c r="H452" s="20" t="s">
        <v>384</v>
      </c>
      <c r="I452" s="29">
        <v>1</v>
      </c>
      <c r="J452" s="30">
        <v>1</v>
      </c>
      <c r="K452" s="31">
        <v>8.7749999999999998E-3</v>
      </c>
      <c r="L452" s="9">
        <v>606037450.14737797</v>
      </c>
      <c r="M452" s="9">
        <v>605911902.99473</v>
      </c>
      <c r="N452" s="32">
        <f>MIN(MAX((B452-Calculation_Assumptions!$B$5+1)/Calculation_Assumptions!$B$7,0),1)</f>
        <v>1</v>
      </c>
      <c r="O452" s="21">
        <f t="shared" si="56"/>
        <v>606037450.14737797</v>
      </c>
      <c r="P452" s="21">
        <f t="shared" si="57"/>
        <v>605911902.99473</v>
      </c>
      <c r="Q452" s="21">
        <f>P452*Calculation_Assumptions!$B$14*J452*K452</f>
        <v>0</v>
      </c>
      <c r="R452" s="21">
        <f t="shared" si="58"/>
        <v>5317978.6250432413</v>
      </c>
      <c r="S452" s="21">
        <f t="shared" si="59"/>
        <v>5317978.6250432413</v>
      </c>
      <c r="T452" s="32">
        <f>1/(1+Calculation_Assumptions!$B$8)^(B452-Calculation_Assumptions!$B$2)</f>
        <v>0.78940923431393573</v>
      </c>
      <c r="U452" s="21">
        <f t="shared" si="60"/>
        <v>0</v>
      </c>
      <c r="V452" s="21">
        <f t="shared" si="61"/>
        <v>4198061.4344932614</v>
      </c>
      <c r="W452" s="21">
        <f t="shared" si="62"/>
        <v>4198061.4344932614</v>
      </c>
      <c r="X452">
        <v>0</v>
      </c>
      <c r="Y452" s="18">
        <v>2017</v>
      </c>
      <c r="Z452" t="s">
        <v>387</v>
      </c>
      <c r="AA452" s="21">
        <f t="shared" si="63"/>
        <v>1</v>
      </c>
    </row>
    <row r="453" spans="1:27">
      <c r="A453" t="s">
        <v>205</v>
      </c>
      <c r="B453" s="18">
        <v>2034</v>
      </c>
      <c r="C453" t="s">
        <v>217</v>
      </c>
      <c r="D453" s="20" t="s">
        <v>397</v>
      </c>
      <c r="E453" s="20" t="s">
        <v>398</v>
      </c>
      <c r="F453" s="20" t="s">
        <v>220</v>
      </c>
      <c r="G453" s="20" t="s">
        <v>393</v>
      </c>
      <c r="H453" s="20" t="s">
        <v>384</v>
      </c>
      <c r="I453" s="29">
        <v>1</v>
      </c>
      <c r="J453" s="30">
        <v>1</v>
      </c>
      <c r="K453" s="31">
        <v>8.7749999999999998E-3</v>
      </c>
      <c r="L453" s="9">
        <v>609622619.74529004</v>
      </c>
      <c r="M453" s="9">
        <v>609455548.12077105</v>
      </c>
      <c r="N453" s="32">
        <f>MIN(MAX((B453-Calculation_Assumptions!$B$5+1)/Calculation_Assumptions!$B$7,0),1)</f>
        <v>1</v>
      </c>
      <c r="O453" s="21">
        <f t="shared" si="56"/>
        <v>609622619.74529004</v>
      </c>
      <c r="P453" s="21">
        <f t="shared" si="57"/>
        <v>609455548.12077105</v>
      </c>
      <c r="Q453" s="21">
        <f>P453*Calculation_Assumptions!$B$14*J453*K453</f>
        <v>0</v>
      </c>
      <c r="R453" s="21">
        <f t="shared" si="58"/>
        <v>5349438.4882649202</v>
      </c>
      <c r="S453" s="21">
        <f t="shared" si="59"/>
        <v>5349438.4882649202</v>
      </c>
      <c r="T453" s="32">
        <f>1/(1+Calculation_Assumptions!$B$8)^(B453-Calculation_Assumptions!$B$2)</f>
        <v>0.76641673234362695</v>
      </c>
      <c r="U453" s="21">
        <f t="shared" si="60"/>
        <v>0</v>
      </c>
      <c r="V453" s="21">
        <f t="shared" si="61"/>
        <v>4099899.1660492318</v>
      </c>
      <c r="W453" s="21">
        <f t="shared" si="62"/>
        <v>4099899.1660492318</v>
      </c>
      <c r="X453">
        <v>0</v>
      </c>
      <c r="Y453" s="18">
        <v>2017</v>
      </c>
      <c r="Z453" t="s">
        <v>387</v>
      </c>
      <c r="AA453" s="21">
        <f t="shared" si="63"/>
        <v>1</v>
      </c>
    </row>
    <row r="454" spans="1:27">
      <c r="A454" t="s">
        <v>205</v>
      </c>
      <c r="B454" s="18">
        <v>2035</v>
      </c>
      <c r="C454" t="s">
        <v>217</v>
      </c>
      <c r="D454" s="20" t="s">
        <v>397</v>
      </c>
      <c r="E454" s="20" t="s">
        <v>398</v>
      </c>
      <c r="F454" s="20" t="s">
        <v>220</v>
      </c>
      <c r="G454" s="20" t="s">
        <v>393</v>
      </c>
      <c r="H454" s="20" t="s">
        <v>384</v>
      </c>
      <c r="I454" s="29">
        <v>1</v>
      </c>
      <c r="J454" s="30">
        <v>1</v>
      </c>
      <c r="K454" s="31">
        <v>8.7749999999999998E-3</v>
      </c>
      <c r="L454" s="9">
        <v>613023444.11970603</v>
      </c>
      <c r="M454" s="9">
        <v>612884294.47334194</v>
      </c>
      <c r="N454" s="32">
        <f>MIN(MAX((B454-Calculation_Assumptions!$B$5+1)/Calculation_Assumptions!$B$7,0),1)</f>
        <v>1</v>
      </c>
      <c r="O454" s="21">
        <f t="shared" si="56"/>
        <v>613023444.11970603</v>
      </c>
      <c r="P454" s="21">
        <f t="shared" si="57"/>
        <v>612884294.47334194</v>
      </c>
      <c r="Q454" s="21">
        <f>P454*Calculation_Assumptions!$B$14*J454*K454</f>
        <v>0</v>
      </c>
      <c r="R454" s="21">
        <f t="shared" si="58"/>
        <v>5379280.7221504208</v>
      </c>
      <c r="S454" s="21">
        <f t="shared" si="59"/>
        <v>5379280.7221504208</v>
      </c>
      <c r="T454" s="32">
        <f>1/(1+Calculation_Assumptions!$B$8)^(B454-Calculation_Assumptions!$B$2)</f>
        <v>0.74409391489672516</v>
      </c>
      <c r="U454" s="21">
        <f t="shared" si="60"/>
        <v>0</v>
      </c>
      <c r="V454" s="21">
        <f t="shared" si="61"/>
        <v>4002690.0518733896</v>
      </c>
      <c r="W454" s="21">
        <f t="shared" si="62"/>
        <v>4002690.0518733896</v>
      </c>
      <c r="X454">
        <v>0</v>
      </c>
      <c r="Y454" s="18">
        <v>2017</v>
      </c>
      <c r="Z454" t="s">
        <v>387</v>
      </c>
      <c r="AA454" s="21">
        <f t="shared" si="63"/>
        <v>1</v>
      </c>
    </row>
    <row r="455" spans="1:27">
      <c r="A455" t="s">
        <v>205</v>
      </c>
      <c r="B455" s="18">
        <v>2036</v>
      </c>
      <c r="C455" t="s">
        <v>217</v>
      </c>
      <c r="D455" s="20" t="s">
        <v>397</v>
      </c>
      <c r="E455" s="20" t="s">
        <v>398</v>
      </c>
      <c r="F455" s="20" t="s">
        <v>220</v>
      </c>
      <c r="G455" s="20" t="s">
        <v>393</v>
      </c>
      <c r="H455" s="20" t="s">
        <v>384</v>
      </c>
      <c r="I455" s="29">
        <v>1</v>
      </c>
      <c r="J455" s="30">
        <v>1</v>
      </c>
      <c r="K455" s="31">
        <v>8.7749999999999998E-3</v>
      </c>
      <c r="L455" s="9">
        <v>616444641.41788399</v>
      </c>
      <c r="M455" s="9">
        <v>616262053.85817397</v>
      </c>
      <c r="N455" s="32">
        <f>MIN(MAX((B455-Calculation_Assumptions!$B$5+1)/Calculation_Assumptions!$B$7,0),1)</f>
        <v>1</v>
      </c>
      <c r="O455" s="21">
        <f t="shared" si="56"/>
        <v>616444641.41788399</v>
      </c>
      <c r="P455" s="21">
        <f t="shared" si="57"/>
        <v>616262053.85817397</v>
      </c>
      <c r="Q455" s="21">
        <f>P455*Calculation_Assumptions!$B$14*J455*K455</f>
        <v>0</v>
      </c>
      <c r="R455" s="21">
        <f t="shared" si="58"/>
        <v>5409301.7284419322</v>
      </c>
      <c r="S455" s="21">
        <f t="shared" si="59"/>
        <v>5409301.7284419322</v>
      </c>
      <c r="T455" s="32">
        <f>1/(1+Calculation_Assumptions!$B$8)^(B455-Calculation_Assumptions!$B$2)</f>
        <v>0.72242127659876232</v>
      </c>
      <c r="U455" s="21">
        <f t="shared" si="60"/>
        <v>0</v>
      </c>
      <c r="V455" s="21">
        <f t="shared" si="61"/>
        <v>3907794.6601689123</v>
      </c>
      <c r="W455" s="21">
        <f t="shared" si="62"/>
        <v>3907794.6601689123</v>
      </c>
      <c r="X455">
        <v>0</v>
      </c>
      <c r="Y455" s="18">
        <v>2017</v>
      </c>
      <c r="Z455" t="s">
        <v>387</v>
      </c>
      <c r="AA455" s="21">
        <f t="shared" si="63"/>
        <v>1</v>
      </c>
    </row>
    <row r="456" spans="1:27">
      <c r="A456" t="s">
        <v>205</v>
      </c>
      <c r="B456" s="18">
        <v>2037</v>
      </c>
      <c r="C456" t="s">
        <v>217</v>
      </c>
      <c r="D456" s="20" t="s">
        <v>397</v>
      </c>
      <c r="E456" s="20" t="s">
        <v>398</v>
      </c>
      <c r="F456" s="20" t="s">
        <v>220</v>
      </c>
      <c r="G456" s="20" t="s">
        <v>393</v>
      </c>
      <c r="H456" s="20" t="s">
        <v>384</v>
      </c>
      <c r="I456" s="29">
        <v>1</v>
      </c>
      <c r="J456" s="30">
        <v>1</v>
      </c>
      <c r="K456" s="31">
        <v>8.7749999999999998E-3</v>
      </c>
      <c r="L456" s="9">
        <v>619774275.99192095</v>
      </c>
      <c r="M456" s="9">
        <v>619529380.90729904</v>
      </c>
      <c r="N456" s="32">
        <f>MIN(MAX((B456-Calculation_Assumptions!$B$5+1)/Calculation_Assumptions!$B$7,0),1)</f>
        <v>1</v>
      </c>
      <c r="O456" s="21">
        <f t="shared" si="56"/>
        <v>619774275.99192095</v>
      </c>
      <c r="P456" s="21">
        <f t="shared" si="57"/>
        <v>619529380.90729904</v>
      </c>
      <c r="Q456" s="21">
        <f>P456*Calculation_Assumptions!$B$14*J456*K456</f>
        <v>0</v>
      </c>
      <c r="R456" s="21">
        <f t="shared" si="58"/>
        <v>5438519.2718291059</v>
      </c>
      <c r="S456" s="21">
        <f t="shared" si="59"/>
        <v>5438519.2718291059</v>
      </c>
      <c r="T456" s="32">
        <f>1/(1+Calculation_Assumptions!$B$8)^(B456-Calculation_Assumptions!$B$2)</f>
        <v>0.70137988019297326</v>
      </c>
      <c r="U456" s="21">
        <f t="shared" si="60"/>
        <v>0</v>
      </c>
      <c r="V456" s="21">
        <f t="shared" si="61"/>
        <v>3814467.9953026744</v>
      </c>
      <c r="W456" s="21">
        <f t="shared" si="62"/>
        <v>3814467.9953026744</v>
      </c>
      <c r="X456">
        <v>0</v>
      </c>
      <c r="Y456" s="18">
        <v>2017</v>
      </c>
      <c r="Z456" t="s">
        <v>387</v>
      </c>
      <c r="AA456" s="21">
        <f t="shared" si="63"/>
        <v>1</v>
      </c>
    </row>
    <row r="457" spans="1:27">
      <c r="A457" t="s">
        <v>205</v>
      </c>
      <c r="B457" s="18">
        <v>2038</v>
      </c>
      <c r="C457" t="s">
        <v>217</v>
      </c>
      <c r="D457" s="20" t="s">
        <v>397</v>
      </c>
      <c r="E457" s="20" t="s">
        <v>398</v>
      </c>
      <c r="F457" s="20" t="s">
        <v>220</v>
      </c>
      <c r="G457" s="20" t="s">
        <v>393</v>
      </c>
      <c r="H457" s="20" t="s">
        <v>384</v>
      </c>
      <c r="I457" s="29">
        <v>1</v>
      </c>
      <c r="J457" s="30">
        <v>1</v>
      </c>
      <c r="K457" s="31">
        <v>8.7749999999999998E-3</v>
      </c>
      <c r="L457" s="9">
        <v>622979045.89335799</v>
      </c>
      <c r="M457" s="9">
        <v>622673191.62836504</v>
      </c>
      <c r="N457" s="32">
        <f>MIN(MAX((B457-Calculation_Assumptions!$B$5+1)/Calculation_Assumptions!$B$7,0),1)</f>
        <v>1</v>
      </c>
      <c r="O457" s="21">
        <f t="shared" si="56"/>
        <v>622979045.89335799</v>
      </c>
      <c r="P457" s="21">
        <f t="shared" si="57"/>
        <v>622673191.62836504</v>
      </c>
      <c r="Q457" s="21">
        <f>P457*Calculation_Assumptions!$B$14*J457*K457</f>
        <v>0</v>
      </c>
      <c r="R457" s="21">
        <f t="shared" si="58"/>
        <v>5466641.1277142167</v>
      </c>
      <c r="S457" s="21">
        <f t="shared" si="59"/>
        <v>5466641.1277142167</v>
      </c>
      <c r="T457" s="32">
        <f>1/(1+Calculation_Assumptions!$B$8)^(B457-Calculation_Assumptions!$B$2)</f>
        <v>0.68095133999317792</v>
      </c>
      <c r="U457" s="21">
        <f t="shared" si="60"/>
        <v>0</v>
      </c>
      <c r="V457" s="21">
        <f t="shared" si="61"/>
        <v>3722516.6011788133</v>
      </c>
      <c r="W457" s="21">
        <f t="shared" si="62"/>
        <v>3722516.6011788133</v>
      </c>
      <c r="X457">
        <v>0</v>
      </c>
      <c r="Y457" s="18">
        <v>2017</v>
      </c>
      <c r="Z457" t="s">
        <v>387</v>
      </c>
      <c r="AA457" s="21">
        <f t="shared" si="63"/>
        <v>1</v>
      </c>
    </row>
    <row r="458" spans="1:27">
      <c r="A458" t="s">
        <v>205</v>
      </c>
      <c r="B458" s="18">
        <v>2039</v>
      </c>
      <c r="C458" t="s">
        <v>217</v>
      </c>
      <c r="D458" s="20" t="s">
        <v>397</v>
      </c>
      <c r="E458" s="20" t="s">
        <v>398</v>
      </c>
      <c r="F458" s="20" t="s">
        <v>220</v>
      </c>
      <c r="G458" s="20" t="s">
        <v>393</v>
      </c>
      <c r="H458" s="20" t="s">
        <v>384</v>
      </c>
      <c r="I458" s="29">
        <v>1</v>
      </c>
      <c r="J458" s="30">
        <v>1</v>
      </c>
      <c r="K458" s="31">
        <v>8.7749999999999998E-3</v>
      </c>
      <c r="L458" s="9">
        <v>626098334.53738201</v>
      </c>
      <c r="M458" s="9">
        <v>625731758.218045</v>
      </c>
      <c r="N458" s="32">
        <f>MIN(MAX((B458-Calculation_Assumptions!$B$5+1)/Calculation_Assumptions!$B$7,0),1)</f>
        <v>1</v>
      </c>
      <c r="O458" s="21">
        <f t="shared" si="56"/>
        <v>626098334.53738201</v>
      </c>
      <c r="P458" s="21">
        <f t="shared" si="57"/>
        <v>625731758.218045</v>
      </c>
      <c r="Q458" s="21">
        <f>P458*Calculation_Assumptions!$B$14*J458*K458</f>
        <v>0</v>
      </c>
      <c r="R458" s="21">
        <f t="shared" si="58"/>
        <v>5494012.8855655268</v>
      </c>
      <c r="S458" s="21">
        <f t="shared" si="59"/>
        <v>5494012.8855655268</v>
      </c>
      <c r="T458" s="32">
        <f>1/(1+Calculation_Assumptions!$B$8)^(B458-Calculation_Assumptions!$B$2)</f>
        <v>0.66111780581861923</v>
      </c>
      <c r="U458" s="21">
        <f t="shared" si="60"/>
        <v>0</v>
      </c>
      <c r="V458" s="21">
        <f t="shared" si="61"/>
        <v>3632189.744044302</v>
      </c>
      <c r="W458" s="21">
        <f t="shared" si="62"/>
        <v>3632189.744044302</v>
      </c>
      <c r="X458">
        <v>0</v>
      </c>
      <c r="Y458" s="18">
        <v>2017</v>
      </c>
      <c r="Z458" t="s">
        <v>387</v>
      </c>
      <c r="AA458" s="21">
        <f t="shared" si="63"/>
        <v>1</v>
      </c>
    </row>
    <row r="459" spans="1:27">
      <c r="A459" t="s">
        <v>205</v>
      </c>
      <c r="B459" s="18">
        <v>2040</v>
      </c>
      <c r="C459" t="s">
        <v>217</v>
      </c>
      <c r="D459" s="20" t="s">
        <v>397</v>
      </c>
      <c r="E459" s="20" t="s">
        <v>398</v>
      </c>
      <c r="F459" s="20" t="s">
        <v>220</v>
      </c>
      <c r="G459" s="20" t="s">
        <v>393</v>
      </c>
      <c r="H459" s="20" t="s">
        <v>384</v>
      </c>
      <c r="I459" s="29">
        <v>1</v>
      </c>
      <c r="J459" s="30">
        <v>1</v>
      </c>
      <c r="K459" s="31">
        <v>8.7749999999999998E-3</v>
      </c>
      <c r="L459" s="9">
        <v>629093837.79172397</v>
      </c>
      <c r="M459" s="9">
        <v>628667498.21665299</v>
      </c>
      <c r="N459" s="32">
        <f>MIN(MAX((B459-Calculation_Assumptions!$B$5+1)/Calculation_Assumptions!$B$7,0),1)</f>
        <v>1</v>
      </c>
      <c r="O459" s="21">
        <f t="shared" si="56"/>
        <v>629093837.79172397</v>
      </c>
      <c r="P459" s="21">
        <f t="shared" si="57"/>
        <v>628667498.21665299</v>
      </c>
      <c r="Q459" s="21">
        <f>P459*Calculation_Assumptions!$B$14*J459*K459</f>
        <v>0</v>
      </c>
      <c r="R459" s="21">
        <f t="shared" si="58"/>
        <v>5520298.4266223777</v>
      </c>
      <c r="S459" s="21">
        <f t="shared" si="59"/>
        <v>5520298.4266223777</v>
      </c>
      <c r="T459" s="32">
        <f>1/(1+Calculation_Assumptions!$B$8)^(B459-Calculation_Assumptions!$B$2)</f>
        <v>0.64186194739671765</v>
      </c>
      <c r="U459" s="21">
        <f t="shared" si="60"/>
        <v>0</v>
      </c>
      <c r="V459" s="21">
        <f t="shared" si="61"/>
        <v>3543269.4983228757</v>
      </c>
      <c r="W459" s="21">
        <f t="shared" si="62"/>
        <v>3543269.4983228757</v>
      </c>
      <c r="X459">
        <v>0</v>
      </c>
      <c r="Y459" s="18">
        <v>2017</v>
      </c>
      <c r="Z459" t="s">
        <v>387</v>
      </c>
      <c r="AA459" s="21">
        <f t="shared" si="63"/>
        <v>1</v>
      </c>
    </row>
    <row r="460" spans="1:27">
      <c r="A460" t="s">
        <v>205</v>
      </c>
      <c r="B460" s="18">
        <v>2041</v>
      </c>
      <c r="C460" t="s">
        <v>217</v>
      </c>
      <c r="D460" s="20" t="s">
        <v>397</v>
      </c>
      <c r="E460" s="20" t="s">
        <v>398</v>
      </c>
      <c r="F460" s="20" t="s">
        <v>220</v>
      </c>
      <c r="G460" s="20" t="s">
        <v>393</v>
      </c>
      <c r="H460" s="20" t="s">
        <v>384</v>
      </c>
      <c r="I460" s="29">
        <v>1</v>
      </c>
      <c r="J460" s="30">
        <v>1</v>
      </c>
      <c r="K460" s="31">
        <v>8.7749999999999998E-3</v>
      </c>
      <c r="L460" s="9">
        <v>631973329.78204095</v>
      </c>
      <c r="M460" s="9">
        <v>631488405.68781996</v>
      </c>
      <c r="N460" s="32">
        <f>MIN(MAX((B460-Calculation_Assumptions!$B$5+1)/Calculation_Assumptions!$B$7,0),1)</f>
        <v>1</v>
      </c>
      <c r="O460" s="21">
        <f t="shared" si="56"/>
        <v>631973329.78204095</v>
      </c>
      <c r="P460" s="21">
        <f t="shared" si="57"/>
        <v>631488405.68781996</v>
      </c>
      <c r="Q460" s="21">
        <f>P460*Calculation_Assumptions!$B$14*J460*K460</f>
        <v>0</v>
      </c>
      <c r="R460" s="21">
        <f t="shared" si="58"/>
        <v>5545565.9688374093</v>
      </c>
      <c r="S460" s="21">
        <f t="shared" si="59"/>
        <v>5545565.9688374093</v>
      </c>
      <c r="T460" s="32">
        <f>1/(1+Calculation_Assumptions!$B$8)^(B460-Calculation_Assumptions!$B$2)</f>
        <v>0.62316693922011435</v>
      </c>
      <c r="U460" s="21">
        <f t="shared" si="60"/>
        <v>0</v>
      </c>
      <c r="V460" s="21">
        <f t="shared" si="61"/>
        <v>3455813.3710436365</v>
      </c>
      <c r="W460" s="21">
        <f t="shared" si="62"/>
        <v>3455813.3710436365</v>
      </c>
      <c r="X460">
        <v>0</v>
      </c>
      <c r="Y460" s="18">
        <v>2017</v>
      </c>
      <c r="Z460" t="s">
        <v>387</v>
      </c>
      <c r="AA460" s="21">
        <f t="shared" si="63"/>
        <v>1</v>
      </c>
    </row>
    <row r="461" spans="1:27">
      <c r="A461" t="s">
        <v>205</v>
      </c>
      <c r="B461" s="18">
        <v>2042</v>
      </c>
      <c r="C461" t="s">
        <v>217</v>
      </c>
      <c r="D461" s="20" t="s">
        <v>397</v>
      </c>
      <c r="E461" s="20" t="s">
        <v>398</v>
      </c>
      <c r="F461" s="20" t="s">
        <v>220</v>
      </c>
      <c r="G461" s="20" t="s">
        <v>393</v>
      </c>
      <c r="H461" s="20" t="s">
        <v>384</v>
      </c>
      <c r="I461" s="29">
        <v>1</v>
      </c>
      <c r="J461" s="30">
        <v>1</v>
      </c>
      <c r="K461" s="31">
        <v>8.7749999999999998E-3</v>
      </c>
      <c r="L461" s="9">
        <v>634726758.311427</v>
      </c>
      <c r="M461" s="9">
        <v>634184560.98858297</v>
      </c>
      <c r="N461" s="32">
        <f>MIN(MAX((B461-Calculation_Assumptions!$B$5+1)/Calculation_Assumptions!$B$7,0),1)</f>
        <v>1</v>
      </c>
      <c r="O461" s="21">
        <f t="shared" si="56"/>
        <v>634726758.311427</v>
      </c>
      <c r="P461" s="21">
        <f t="shared" si="57"/>
        <v>634184560.98858297</v>
      </c>
      <c r="Q461" s="21">
        <f>P461*Calculation_Assumptions!$B$14*J461*K461</f>
        <v>0</v>
      </c>
      <c r="R461" s="21">
        <f t="shared" si="58"/>
        <v>5569727.3041827716</v>
      </c>
      <c r="S461" s="21">
        <f t="shared" si="59"/>
        <v>5569727.3041827716</v>
      </c>
      <c r="T461" s="32">
        <f>1/(1+Calculation_Assumptions!$B$8)^(B461-Calculation_Assumptions!$B$2)</f>
        <v>0.60501644584477121</v>
      </c>
      <c r="U461" s="21">
        <f t="shared" si="60"/>
        <v>0</v>
      </c>
      <c r="V461" s="21">
        <f t="shared" si="61"/>
        <v>3369776.6179012395</v>
      </c>
      <c r="W461" s="21">
        <f t="shared" si="62"/>
        <v>3369776.6179012395</v>
      </c>
      <c r="X461">
        <v>0</v>
      </c>
      <c r="Y461" s="18">
        <v>2017</v>
      </c>
      <c r="Z461" t="s">
        <v>387</v>
      </c>
      <c r="AA461" s="21">
        <f t="shared" si="63"/>
        <v>1</v>
      </c>
    </row>
    <row r="462" spans="1:27">
      <c r="A462" t="s">
        <v>205</v>
      </c>
      <c r="B462" s="18">
        <v>2043</v>
      </c>
      <c r="C462" t="s">
        <v>217</v>
      </c>
      <c r="D462" s="20" t="s">
        <v>397</v>
      </c>
      <c r="E462" s="20" t="s">
        <v>398</v>
      </c>
      <c r="F462" s="20" t="s">
        <v>220</v>
      </c>
      <c r="G462" s="20" t="s">
        <v>393</v>
      </c>
      <c r="H462" s="20" t="s">
        <v>384</v>
      </c>
      <c r="I462" s="29">
        <v>1</v>
      </c>
      <c r="J462" s="30">
        <v>1</v>
      </c>
      <c r="K462" s="31">
        <v>8.7749999999999998E-3</v>
      </c>
      <c r="L462" s="9">
        <v>637353330.41688395</v>
      </c>
      <c r="M462" s="9">
        <v>636767020.67603099</v>
      </c>
      <c r="N462" s="32">
        <f>MIN(MAX((B462-Calculation_Assumptions!$B$5+1)/Calculation_Assumptions!$B$7,0),1)</f>
        <v>1</v>
      </c>
      <c r="O462" s="21">
        <f t="shared" si="56"/>
        <v>637353330.41688395</v>
      </c>
      <c r="P462" s="21">
        <f t="shared" si="57"/>
        <v>636767020.67603099</v>
      </c>
      <c r="Q462" s="21">
        <f>P462*Calculation_Assumptions!$B$14*J462*K462</f>
        <v>0</v>
      </c>
      <c r="R462" s="21">
        <f t="shared" si="58"/>
        <v>5592775.4744081562</v>
      </c>
      <c r="S462" s="21">
        <f t="shared" si="59"/>
        <v>5592775.4744081562</v>
      </c>
      <c r="T462" s="32">
        <f>1/(1+Calculation_Assumptions!$B$8)^(B462-Calculation_Assumptions!$B$2)</f>
        <v>0.5873946076162827</v>
      </c>
      <c r="U462" s="21">
        <f t="shared" si="60"/>
        <v>0</v>
      </c>
      <c r="V462" s="21">
        <f t="shared" si="61"/>
        <v>3285166.1552759483</v>
      </c>
      <c r="W462" s="21">
        <f t="shared" si="62"/>
        <v>3285166.1552759483</v>
      </c>
      <c r="X462">
        <v>0</v>
      </c>
      <c r="Y462" s="18">
        <v>2017</v>
      </c>
      <c r="Z462" t="s">
        <v>387</v>
      </c>
      <c r="AA462" s="21">
        <f t="shared" si="63"/>
        <v>1</v>
      </c>
    </row>
    <row r="463" spans="1:27">
      <c r="A463" t="s">
        <v>205</v>
      </c>
      <c r="B463" s="18">
        <v>2044</v>
      </c>
      <c r="C463" t="s">
        <v>217</v>
      </c>
      <c r="D463" s="20" t="s">
        <v>397</v>
      </c>
      <c r="E463" s="20" t="s">
        <v>398</v>
      </c>
      <c r="F463" s="20" t="s">
        <v>220</v>
      </c>
      <c r="G463" s="20" t="s">
        <v>393</v>
      </c>
      <c r="H463" s="20" t="s">
        <v>384</v>
      </c>
      <c r="I463" s="29">
        <v>1</v>
      </c>
      <c r="J463" s="30">
        <v>1</v>
      </c>
      <c r="K463" s="31">
        <v>8.7749999999999998E-3</v>
      </c>
      <c r="L463" s="9">
        <v>639848442.82424998</v>
      </c>
      <c r="M463" s="9">
        <v>639211548.58069301</v>
      </c>
      <c r="N463" s="32">
        <f>MIN(MAX((B463-Calculation_Assumptions!$B$5+1)/Calculation_Assumptions!$B$7,0),1)</f>
        <v>1</v>
      </c>
      <c r="O463" s="21">
        <f t="shared" si="56"/>
        <v>639848442.82424998</v>
      </c>
      <c r="P463" s="21">
        <f t="shared" si="57"/>
        <v>639211548.58069301</v>
      </c>
      <c r="Q463" s="21">
        <f>P463*Calculation_Assumptions!$B$14*J463*K463</f>
        <v>0</v>
      </c>
      <c r="R463" s="21">
        <f t="shared" si="58"/>
        <v>5614670.0857827934</v>
      </c>
      <c r="S463" s="21">
        <f t="shared" si="59"/>
        <v>5614670.0857827934</v>
      </c>
      <c r="T463" s="32">
        <f>1/(1+Calculation_Assumptions!$B$8)^(B463-Calculation_Assumptions!$B$2)</f>
        <v>0.57028602681192497</v>
      </c>
      <c r="U463" s="21">
        <f t="shared" si="60"/>
        <v>0</v>
      </c>
      <c r="V463" s="21">
        <f t="shared" si="61"/>
        <v>3201967.8950808393</v>
      </c>
      <c r="W463" s="21">
        <f t="shared" si="62"/>
        <v>3201967.8950808393</v>
      </c>
      <c r="X463">
        <v>0</v>
      </c>
      <c r="Y463" s="18">
        <v>2017</v>
      </c>
      <c r="Z463" t="s">
        <v>387</v>
      </c>
      <c r="AA463" s="21">
        <f t="shared" si="63"/>
        <v>1</v>
      </c>
    </row>
    <row r="464" spans="1:27">
      <c r="A464" t="s">
        <v>205</v>
      </c>
      <c r="B464" s="18">
        <v>2045</v>
      </c>
      <c r="C464" t="s">
        <v>217</v>
      </c>
      <c r="D464" s="20" t="s">
        <v>397</v>
      </c>
      <c r="E464" s="20" t="s">
        <v>398</v>
      </c>
      <c r="F464" s="20" t="s">
        <v>220</v>
      </c>
      <c r="G464" s="20" t="s">
        <v>393</v>
      </c>
      <c r="H464" s="20" t="s">
        <v>384</v>
      </c>
      <c r="I464" s="29">
        <v>1</v>
      </c>
      <c r="J464" s="30">
        <v>1</v>
      </c>
      <c r="K464" s="31">
        <v>8.7749999999999998E-3</v>
      </c>
      <c r="L464" s="9">
        <v>642207029.60400403</v>
      </c>
      <c r="M464" s="9">
        <v>641520754.67294204</v>
      </c>
      <c r="N464" s="32">
        <f>MIN(MAX((B464-Calculation_Assumptions!$B$5+1)/Calculation_Assumptions!$B$7,0),1)</f>
        <v>1</v>
      </c>
      <c r="O464" s="21">
        <f t="shared" si="56"/>
        <v>642207029.60400403</v>
      </c>
      <c r="P464" s="21">
        <f t="shared" si="57"/>
        <v>641520754.67294204</v>
      </c>
      <c r="Q464" s="21">
        <f>P464*Calculation_Assumptions!$B$14*J464*K464</f>
        <v>0</v>
      </c>
      <c r="R464" s="21">
        <f t="shared" si="58"/>
        <v>5635366.6847751355</v>
      </c>
      <c r="S464" s="21">
        <f t="shared" si="59"/>
        <v>5635366.6847751355</v>
      </c>
      <c r="T464" s="32">
        <f>1/(1+Calculation_Assumptions!$B$8)^(B464-Calculation_Assumptions!$B$2)</f>
        <v>0.55367575418633497</v>
      </c>
      <c r="U464" s="21">
        <f t="shared" si="60"/>
        <v>0</v>
      </c>
      <c r="V464" s="21">
        <f t="shared" si="61"/>
        <v>3120165.8993094191</v>
      </c>
      <c r="W464" s="21">
        <f t="shared" si="62"/>
        <v>3120165.8993094191</v>
      </c>
      <c r="X464">
        <v>0</v>
      </c>
      <c r="Y464" s="18">
        <v>2017</v>
      </c>
      <c r="Z464" t="s">
        <v>387</v>
      </c>
      <c r="AA464" s="21">
        <f t="shared" si="63"/>
        <v>1</v>
      </c>
    </row>
    <row r="465" spans="1:27">
      <c r="A465" t="s">
        <v>205</v>
      </c>
      <c r="B465" s="18">
        <v>2046</v>
      </c>
      <c r="C465" t="s">
        <v>217</v>
      </c>
      <c r="D465" s="20" t="s">
        <v>397</v>
      </c>
      <c r="E465" s="20" t="s">
        <v>398</v>
      </c>
      <c r="F465" s="20" t="s">
        <v>220</v>
      </c>
      <c r="G465" s="20" t="s">
        <v>393</v>
      </c>
      <c r="H465" s="20" t="s">
        <v>384</v>
      </c>
      <c r="I465" s="29">
        <v>1</v>
      </c>
      <c r="J465" s="30">
        <v>1</v>
      </c>
      <c r="K465" s="31">
        <v>8.7749999999999998E-3</v>
      </c>
      <c r="L465" s="9">
        <v>644431411.293203</v>
      </c>
      <c r="M465" s="9">
        <v>643697330.762573</v>
      </c>
      <c r="N465" s="32">
        <f>MIN(MAX((B465-Calculation_Assumptions!$B$5+1)/Calculation_Assumptions!$B$7,0),1)</f>
        <v>1</v>
      </c>
      <c r="O465" s="21">
        <f t="shared" si="56"/>
        <v>644431411.293203</v>
      </c>
      <c r="P465" s="21">
        <f t="shared" si="57"/>
        <v>643697330.762573</v>
      </c>
      <c r="Q465" s="21">
        <f>P465*Calculation_Assumptions!$B$14*J465*K465</f>
        <v>0</v>
      </c>
      <c r="R465" s="21">
        <f t="shared" si="58"/>
        <v>5654885.6340978565</v>
      </c>
      <c r="S465" s="21">
        <f t="shared" si="59"/>
        <v>5654885.6340978565</v>
      </c>
      <c r="T465" s="32">
        <f>1/(1+Calculation_Assumptions!$B$8)^(B465-Calculation_Assumptions!$B$2)</f>
        <v>0.5375492759090631</v>
      </c>
      <c r="U465" s="21">
        <f t="shared" si="60"/>
        <v>0</v>
      </c>
      <c r="V465" s="21">
        <f t="shared" si="61"/>
        <v>3039779.6779578659</v>
      </c>
      <c r="W465" s="21">
        <f t="shared" si="62"/>
        <v>3039779.6779578659</v>
      </c>
      <c r="X465">
        <v>0</v>
      </c>
      <c r="Y465" s="18">
        <v>2017</v>
      </c>
      <c r="Z465" t="s">
        <v>387</v>
      </c>
      <c r="AA465" s="21">
        <f t="shared" si="63"/>
        <v>1</v>
      </c>
    </row>
    <row r="466" spans="1:27">
      <c r="A466" t="s">
        <v>205</v>
      </c>
      <c r="B466" s="18">
        <v>2047</v>
      </c>
      <c r="C466" t="s">
        <v>217</v>
      </c>
      <c r="D466" s="20" t="s">
        <v>397</v>
      </c>
      <c r="E466" s="20" t="s">
        <v>398</v>
      </c>
      <c r="F466" s="20" t="s">
        <v>220</v>
      </c>
      <c r="G466" s="20" t="s">
        <v>393</v>
      </c>
      <c r="H466" s="20" t="s">
        <v>384</v>
      </c>
      <c r="I466" s="29">
        <v>1</v>
      </c>
      <c r="J466" s="30">
        <v>1</v>
      </c>
      <c r="K466" s="31">
        <v>8.7749999999999998E-3</v>
      </c>
      <c r="L466" s="9">
        <v>646526345.88011503</v>
      </c>
      <c r="M466" s="9">
        <v>645745914.53009498</v>
      </c>
      <c r="N466" s="32">
        <f>MIN(MAX((B466-Calculation_Assumptions!$B$5+1)/Calculation_Assumptions!$B$7,0),1)</f>
        <v>1</v>
      </c>
      <c r="O466" s="21">
        <f t="shared" si="56"/>
        <v>646526345.88011503</v>
      </c>
      <c r="P466" s="21">
        <f t="shared" si="57"/>
        <v>645745914.53009498</v>
      </c>
      <c r="Q466" s="21">
        <f>P466*Calculation_Assumptions!$B$14*J466*K466</f>
        <v>0</v>
      </c>
      <c r="R466" s="21">
        <f t="shared" si="58"/>
        <v>5673268.6850980092</v>
      </c>
      <c r="S466" s="21">
        <f t="shared" si="59"/>
        <v>5673268.6850980092</v>
      </c>
      <c r="T466" s="32">
        <f>1/(1+Calculation_Assumptions!$B$8)^(B466-Calculation_Assumptions!$B$2)</f>
        <v>0.52189250088258554</v>
      </c>
      <c r="U466" s="21">
        <f t="shared" si="60"/>
        <v>0</v>
      </c>
      <c r="V466" s="21">
        <f t="shared" si="61"/>
        <v>2960836.3822446577</v>
      </c>
      <c r="W466" s="21">
        <f t="shared" si="62"/>
        <v>2960836.3822446577</v>
      </c>
      <c r="X466">
        <v>0</v>
      </c>
      <c r="Y466" s="18">
        <v>2017</v>
      </c>
      <c r="Z466" t="s">
        <v>387</v>
      </c>
      <c r="AA466" s="21">
        <f t="shared" si="63"/>
        <v>1</v>
      </c>
    </row>
    <row r="467" spans="1:27">
      <c r="A467" t="s">
        <v>205</v>
      </c>
      <c r="B467" s="18">
        <v>2048</v>
      </c>
      <c r="C467" t="s">
        <v>217</v>
      </c>
      <c r="D467" s="20" t="s">
        <v>397</v>
      </c>
      <c r="E467" s="20" t="s">
        <v>398</v>
      </c>
      <c r="F467" s="20" t="s">
        <v>220</v>
      </c>
      <c r="G467" s="20" t="s">
        <v>393</v>
      </c>
      <c r="H467" s="20" t="s">
        <v>384</v>
      </c>
      <c r="I467" s="29">
        <v>1</v>
      </c>
      <c r="J467" s="30">
        <v>1</v>
      </c>
      <c r="K467" s="31">
        <v>8.7749999999999998E-3</v>
      </c>
      <c r="L467" s="9">
        <v>648491811.90166605</v>
      </c>
      <c r="M467" s="9">
        <v>647666796.64810395</v>
      </c>
      <c r="N467" s="32">
        <f>MIN(MAX((B467-Calculation_Assumptions!$B$5+1)/Calculation_Assumptions!$B$7,0),1)</f>
        <v>1</v>
      </c>
      <c r="O467" s="21">
        <f t="shared" si="56"/>
        <v>648491811.90166605</v>
      </c>
      <c r="P467" s="21">
        <f t="shared" si="57"/>
        <v>647666796.64810395</v>
      </c>
      <c r="Q467" s="21">
        <f>P467*Calculation_Assumptions!$B$14*J467*K467</f>
        <v>0</v>
      </c>
      <c r="R467" s="21">
        <f t="shared" si="58"/>
        <v>5690515.6494371193</v>
      </c>
      <c r="S467" s="21">
        <f t="shared" si="59"/>
        <v>5690515.6494371193</v>
      </c>
      <c r="T467" s="32">
        <f>1/(1+Calculation_Assumptions!$B$8)^(B467-Calculation_Assumptions!$B$2)</f>
        <v>0.50669174842969467</v>
      </c>
      <c r="U467" s="21">
        <f t="shared" si="60"/>
        <v>0</v>
      </c>
      <c r="V467" s="21">
        <f t="shared" si="61"/>
        <v>2883337.3238798333</v>
      </c>
      <c r="W467" s="21">
        <f t="shared" si="62"/>
        <v>2883337.3238798333</v>
      </c>
      <c r="X467">
        <v>0</v>
      </c>
      <c r="Y467" s="18">
        <v>2017</v>
      </c>
      <c r="Z467" t="s">
        <v>387</v>
      </c>
      <c r="AA467" s="21">
        <f t="shared" si="63"/>
        <v>1</v>
      </c>
    </row>
    <row r="468" spans="1:27">
      <c r="A468" t="s">
        <v>205</v>
      </c>
      <c r="B468" s="18">
        <v>2049</v>
      </c>
      <c r="C468" t="s">
        <v>217</v>
      </c>
      <c r="D468" s="20" t="s">
        <v>397</v>
      </c>
      <c r="E468" s="20" t="s">
        <v>398</v>
      </c>
      <c r="F468" s="20" t="s">
        <v>220</v>
      </c>
      <c r="G468" s="20" t="s">
        <v>393</v>
      </c>
      <c r="H468" s="20" t="s">
        <v>384</v>
      </c>
      <c r="I468" s="29">
        <v>1</v>
      </c>
      <c r="J468" s="30">
        <v>1</v>
      </c>
      <c r="K468" s="31">
        <v>8.7749999999999998E-3</v>
      </c>
      <c r="L468" s="9">
        <v>650326097.10314596</v>
      </c>
      <c r="M468" s="9">
        <v>649421968.02473402</v>
      </c>
      <c r="N468" s="32">
        <f>MIN(MAX((B468-Calculation_Assumptions!$B$5+1)/Calculation_Assumptions!$B$7,0),1)</f>
        <v>1</v>
      </c>
      <c r="O468" s="21">
        <f t="shared" si="56"/>
        <v>650326097.10314596</v>
      </c>
      <c r="P468" s="21">
        <f t="shared" si="57"/>
        <v>649421968.02473402</v>
      </c>
      <c r="Q468" s="21">
        <f>P468*Calculation_Assumptions!$B$14*J468*K468</f>
        <v>0</v>
      </c>
      <c r="R468" s="21">
        <f t="shared" si="58"/>
        <v>5706611.5020801052</v>
      </c>
      <c r="S468" s="21">
        <f t="shared" si="59"/>
        <v>5706611.5020801052</v>
      </c>
      <c r="T468" s="32">
        <f>1/(1+Calculation_Assumptions!$B$8)^(B468-Calculation_Assumptions!$B$2)</f>
        <v>0.49193373633950943</v>
      </c>
      <c r="U468" s="21">
        <f t="shared" si="60"/>
        <v>0</v>
      </c>
      <c r="V468" s="21">
        <f t="shared" si="61"/>
        <v>2807274.7180562862</v>
      </c>
      <c r="W468" s="21">
        <f t="shared" si="62"/>
        <v>2807274.7180562862</v>
      </c>
      <c r="X468">
        <v>0</v>
      </c>
      <c r="Y468" s="18">
        <v>2017</v>
      </c>
      <c r="Z468" t="s">
        <v>387</v>
      </c>
      <c r="AA468" s="21">
        <f t="shared" si="63"/>
        <v>1</v>
      </c>
    </row>
    <row r="469" spans="1:27">
      <c r="A469" t="s">
        <v>205</v>
      </c>
      <c r="B469" s="18">
        <v>2050</v>
      </c>
      <c r="C469" t="s">
        <v>217</v>
      </c>
      <c r="D469" s="20" t="s">
        <v>397</v>
      </c>
      <c r="E469" s="20" t="s">
        <v>398</v>
      </c>
      <c r="F469" s="20" t="s">
        <v>220</v>
      </c>
      <c r="G469" s="20" t="s">
        <v>393</v>
      </c>
      <c r="H469" s="20" t="s">
        <v>384</v>
      </c>
      <c r="I469" s="29">
        <v>1</v>
      </c>
      <c r="J469" s="30">
        <v>1</v>
      </c>
      <c r="K469" s="31">
        <v>8.7749999999999998E-3</v>
      </c>
      <c r="L469" s="9">
        <v>652024255.63071299</v>
      </c>
      <c r="M469" s="9">
        <v>651074457.25957894</v>
      </c>
      <c r="N469" s="32">
        <f>MIN(MAX((B469-Calculation_Assumptions!$B$5+1)/Calculation_Assumptions!$B$7,0),1)</f>
        <v>1</v>
      </c>
      <c r="O469" s="21">
        <f t="shared" si="56"/>
        <v>652024255.63071299</v>
      </c>
      <c r="P469" s="21">
        <f t="shared" si="57"/>
        <v>651074457.25957894</v>
      </c>
      <c r="Q469" s="21">
        <f>P469*Calculation_Assumptions!$B$14*J469*K469</f>
        <v>0</v>
      </c>
      <c r="R469" s="21">
        <f t="shared" si="58"/>
        <v>5721512.8431595061</v>
      </c>
      <c r="S469" s="21">
        <f t="shared" si="59"/>
        <v>5721512.8431595061</v>
      </c>
      <c r="T469" s="32">
        <f>1/(1+Calculation_Assumptions!$B$8)^(B469-Calculation_Assumptions!$B$2)</f>
        <v>0.47760556926165965</v>
      </c>
      <c r="U469" s="21">
        <f t="shared" si="60"/>
        <v>0</v>
      </c>
      <c r="V469" s="21">
        <f t="shared" si="61"/>
        <v>2732626.3984950925</v>
      </c>
      <c r="W469" s="21">
        <f t="shared" si="62"/>
        <v>2732626.3984950925</v>
      </c>
      <c r="X469">
        <v>0</v>
      </c>
      <c r="Y469" s="18">
        <v>2017</v>
      </c>
      <c r="Z469" t="s">
        <v>387</v>
      </c>
      <c r="AA469" s="21">
        <f t="shared" si="63"/>
        <v>1</v>
      </c>
    </row>
    <row r="470" spans="1:27">
      <c r="A470" t="s">
        <v>205</v>
      </c>
      <c r="B470" s="18">
        <v>2025</v>
      </c>
      <c r="C470" t="s">
        <v>224</v>
      </c>
      <c r="D470" s="20" t="s">
        <v>399</v>
      </c>
      <c r="E470" s="20" t="s">
        <v>400</v>
      </c>
      <c r="F470" s="20" t="s">
        <v>227</v>
      </c>
      <c r="G470" s="20" t="s">
        <v>393</v>
      </c>
      <c r="H470" s="20" t="s">
        <v>384</v>
      </c>
      <c r="I470" s="29">
        <v>1</v>
      </c>
      <c r="J470" s="30">
        <v>1</v>
      </c>
      <c r="K470" s="31">
        <v>8.7749999999999998E-3</v>
      </c>
      <c r="L470" s="9">
        <v>575134853.59312999</v>
      </c>
      <c r="M470" s="9">
        <v>575134853.59312999</v>
      </c>
      <c r="N470" s="32">
        <f>MIN(MAX((B470-Calculation_Assumptions!$B$5+1)/Calculation_Assumptions!$B$7,0),1)</f>
        <v>0</v>
      </c>
      <c r="O470" s="21">
        <f t="shared" si="56"/>
        <v>575134853.59312999</v>
      </c>
      <c r="P470" s="21">
        <f t="shared" si="57"/>
        <v>575134853.59312999</v>
      </c>
      <c r="Q470" s="21">
        <f>P470*Calculation_Assumptions!$B$14*J470*K470</f>
        <v>0</v>
      </c>
      <c r="R470" s="21">
        <f t="shared" si="58"/>
        <v>0</v>
      </c>
      <c r="S470" s="21">
        <f t="shared" si="59"/>
        <v>0</v>
      </c>
      <c r="T470" s="32">
        <f>1/(1+Calculation_Assumptions!$B$8)^(B470-Calculation_Assumptions!$B$2)</f>
        <v>1</v>
      </c>
      <c r="U470" s="21">
        <f t="shared" si="60"/>
        <v>0</v>
      </c>
      <c r="V470" s="21">
        <f t="shared" si="61"/>
        <v>0</v>
      </c>
      <c r="W470" s="21">
        <f t="shared" si="62"/>
        <v>0</v>
      </c>
      <c r="X470">
        <v>0</v>
      </c>
      <c r="Y470" s="18">
        <v>2017</v>
      </c>
      <c r="Z470" t="s">
        <v>387</v>
      </c>
      <c r="AA470" s="21">
        <f t="shared" si="63"/>
        <v>1</v>
      </c>
    </row>
    <row r="471" spans="1:27">
      <c r="A471" t="s">
        <v>205</v>
      </c>
      <c r="B471" s="18">
        <v>2026</v>
      </c>
      <c r="C471" t="s">
        <v>224</v>
      </c>
      <c r="D471" s="20" t="s">
        <v>399</v>
      </c>
      <c r="E471" s="20" t="s">
        <v>400</v>
      </c>
      <c r="F471" s="20" t="s">
        <v>227</v>
      </c>
      <c r="G471" s="20" t="s">
        <v>393</v>
      </c>
      <c r="H471" s="20" t="s">
        <v>384</v>
      </c>
      <c r="I471" s="29">
        <v>1</v>
      </c>
      <c r="J471" s="30">
        <v>1</v>
      </c>
      <c r="K471" s="31">
        <v>8.7749999999999998E-3</v>
      </c>
      <c r="L471" s="9">
        <v>579268647.32329595</v>
      </c>
      <c r="M471" s="9">
        <v>579268647.32329595</v>
      </c>
      <c r="N471" s="32">
        <f>MIN(MAX((B471-Calculation_Assumptions!$B$5+1)/Calculation_Assumptions!$B$7,0),1)</f>
        <v>0.33333333333333331</v>
      </c>
      <c r="O471" s="21">
        <f t="shared" si="56"/>
        <v>579268647.32329595</v>
      </c>
      <c r="P471" s="21">
        <f t="shared" si="57"/>
        <v>579268647.32329595</v>
      </c>
      <c r="Q471" s="21">
        <f>P471*Calculation_Assumptions!$B$14*J471*K471</f>
        <v>0</v>
      </c>
      <c r="R471" s="21">
        <f t="shared" si="58"/>
        <v>1694360.7934206405</v>
      </c>
      <c r="S471" s="21">
        <f t="shared" si="59"/>
        <v>1694360.7934206405</v>
      </c>
      <c r="T471" s="32">
        <f>1/(1+Calculation_Assumptions!$B$8)^(B471-Calculation_Assumptions!$B$2)</f>
        <v>0.970873786407767</v>
      </c>
      <c r="U471" s="21">
        <f t="shared" si="60"/>
        <v>0</v>
      </c>
      <c r="V471" s="21">
        <f t="shared" si="61"/>
        <v>1645010.4790491655</v>
      </c>
      <c r="W471" s="21">
        <f t="shared" si="62"/>
        <v>1645010.4790491655</v>
      </c>
      <c r="X471">
        <v>0</v>
      </c>
      <c r="Y471" s="18">
        <v>2017</v>
      </c>
      <c r="Z471" t="s">
        <v>387</v>
      </c>
      <c r="AA471" s="21">
        <f t="shared" si="63"/>
        <v>1</v>
      </c>
    </row>
    <row r="472" spans="1:27">
      <c r="A472" t="s">
        <v>205</v>
      </c>
      <c r="B472" s="18">
        <v>2027</v>
      </c>
      <c r="C472" t="s">
        <v>224</v>
      </c>
      <c r="D472" s="20" t="s">
        <v>399</v>
      </c>
      <c r="E472" s="20" t="s">
        <v>400</v>
      </c>
      <c r="F472" s="20" t="s">
        <v>227</v>
      </c>
      <c r="G472" s="20" t="s">
        <v>393</v>
      </c>
      <c r="H472" s="20" t="s">
        <v>384</v>
      </c>
      <c r="I472" s="29">
        <v>1</v>
      </c>
      <c r="J472" s="30">
        <v>1</v>
      </c>
      <c r="K472" s="31">
        <v>8.7749999999999998E-3</v>
      </c>
      <c r="L472" s="9">
        <v>583039014.28645599</v>
      </c>
      <c r="M472" s="9">
        <v>583039014.28645599</v>
      </c>
      <c r="N472" s="32">
        <f>MIN(MAX((B472-Calculation_Assumptions!$B$5+1)/Calculation_Assumptions!$B$7,0),1)</f>
        <v>0.66666666666666663</v>
      </c>
      <c r="O472" s="21">
        <f t="shared" si="56"/>
        <v>583039014.28645599</v>
      </c>
      <c r="P472" s="21">
        <f t="shared" si="57"/>
        <v>583039014.28645599</v>
      </c>
      <c r="Q472" s="21">
        <f>P472*Calculation_Assumptions!$B$14*J472*K472</f>
        <v>0</v>
      </c>
      <c r="R472" s="21">
        <f t="shared" si="58"/>
        <v>3410778.2335757674</v>
      </c>
      <c r="S472" s="21">
        <f t="shared" si="59"/>
        <v>3410778.2335757674</v>
      </c>
      <c r="T472" s="32">
        <f>1/(1+Calculation_Assumptions!$B$8)^(B472-Calculation_Assumptions!$B$2)</f>
        <v>0.94259590913375435</v>
      </c>
      <c r="U472" s="21">
        <f t="shared" si="60"/>
        <v>0</v>
      </c>
      <c r="V472" s="21">
        <f t="shared" si="61"/>
        <v>3214985.6099309712</v>
      </c>
      <c r="W472" s="21">
        <f t="shared" si="62"/>
        <v>3214985.6099309712</v>
      </c>
      <c r="X472">
        <v>0</v>
      </c>
      <c r="Y472" s="18">
        <v>2017</v>
      </c>
      <c r="Z472" t="s">
        <v>387</v>
      </c>
      <c r="AA472" s="21">
        <f t="shared" si="63"/>
        <v>1</v>
      </c>
    </row>
    <row r="473" spans="1:27">
      <c r="A473" t="s">
        <v>205</v>
      </c>
      <c r="B473" s="18">
        <v>2028</v>
      </c>
      <c r="C473" t="s">
        <v>224</v>
      </c>
      <c r="D473" s="20" t="s">
        <v>399</v>
      </c>
      <c r="E473" s="20" t="s">
        <v>400</v>
      </c>
      <c r="F473" s="20" t="s">
        <v>227</v>
      </c>
      <c r="G473" s="20" t="s">
        <v>393</v>
      </c>
      <c r="H473" s="20" t="s">
        <v>384</v>
      </c>
      <c r="I473" s="29">
        <v>1</v>
      </c>
      <c r="J473" s="30">
        <v>1</v>
      </c>
      <c r="K473" s="31">
        <v>8.7749999999999998E-3</v>
      </c>
      <c r="L473" s="9">
        <v>587039193.65711796</v>
      </c>
      <c r="M473" s="9">
        <v>587035116.25746298</v>
      </c>
      <c r="N473" s="32">
        <f>MIN(MAX((B473-Calculation_Assumptions!$B$5+1)/Calculation_Assumptions!$B$7,0),1)</f>
        <v>1</v>
      </c>
      <c r="O473" s="21">
        <f t="shared" si="56"/>
        <v>587039193.65711796</v>
      </c>
      <c r="P473" s="21">
        <f t="shared" si="57"/>
        <v>587035116.25746298</v>
      </c>
      <c r="Q473" s="21">
        <f>P473*Calculation_Assumptions!$B$14*J473*K473</f>
        <v>0</v>
      </c>
      <c r="R473" s="21">
        <f t="shared" si="58"/>
        <v>5151268.9243412102</v>
      </c>
      <c r="S473" s="21">
        <f t="shared" si="59"/>
        <v>5151268.9243412102</v>
      </c>
      <c r="T473" s="32">
        <f>1/(1+Calculation_Assumptions!$B$8)^(B473-Calculation_Assumptions!$B$2)</f>
        <v>0.91514165935315961</v>
      </c>
      <c r="U473" s="21">
        <f t="shared" si="60"/>
        <v>0</v>
      </c>
      <c r="V473" s="21">
        <f t="shared" si="61"/>
        <v>4714140.7911959803</v>
      </c>
      <c r="W473" s="21">
        <f t="shared" si="62"/>
        <v>4714140.7911959803</v>
      </c>
      <c r="X473">
        <v>0</v>
      </c>
      <c r="Y473" s="18">
        <v>2017</v>
      </c>
      <c r="Z473" t="s">
        <v>387</v>
      </c>
      <c r="AA473" s="21">
        <f t="shared" si="63"/>
        <v>1</v>
      </c>
    </row>
    <row r="474" spans="1:27">
      <c r="A474" t="s">
        <v>205</v>
      </c>
      <c r="B474" s="18">
        <v>2029</v>
      </c>
      <c r="C474" t="s">
        <v>224</v>
      </c>
      <c r="D474" s="20" t="s">
        <v>399</v>
      </c>
      <c r="E474" s="20" t="s">
        <v>400</v>
      </c>
      <c r="F474" s="20" t="s">
        <v>227</v>
      </c>
      <c r="G474" s="20" t="s">
        <v>393</v>
      </c>
      <c r="H474" s="20" t="s">
        <v>384</v>
      </c>
      <c r="I474" s="29">
        <v>1</v>
      </c>
      <c r="J474" s="30">
        <v>1</v>
      </c>
      <c r="K474" s="31">
        <v>8.7749999999999998E-3</v>
      </c>
      <c r="L474" s="9">
        <v>590981954.27587199</v>
      </c>
      <c r="M474" s="9">
        <v>590968059.72178304</v>
      </c>
      <c r="N474" s="32">
        <f>MIN(MAX((B474-Calculation_Assumptions!$B$5+1)/Calculation_Assumptions!$B$7,0),1)</f>
        <v>1</v>
      </c>
      <c r="O474" s="21">
        <f t="shared" si="56"/>
        <v>590981954.27587199</v>
      </c>
      <c r="P474" s="21">
        <f t="shared" si="57"/>
        <v>590968059.72178304</v>
      </c>
      <c r="Q474" s="21">
        <f>P474*Calculation_Assumptions!$B$14*J474*K474</f>
        <v>0</v>
      </c>
      <c r="R474" s="21">
        <f t="shared" si="58"/>
        <v>5185866.6487707766</v>
      </c>
      <c r="S474" s="21">
        <f t="shared" si="59"/>
        <v>5185866.6487707766</v>
      </c>
      <c r="T474" s="32">
        <f>1/(1+Calculation_Assumptions!$B$8)^(B474-Calculation_Assumptions!$B$2)</f>
        <v>0.888487047915689</v>
      </c>
      <c r="U474" s="21">
        <f t="shared" si="60"/>
        <v>0</v>
      </c>
      <c r="V474" s="21">
        <f t="shared" si="61"/>
        <v>4607575.3496507742</v>
      </c>
      <c r="W474" s="21">
        <f t="shared" si="62"/>
        <v>4607575.3496507742</v>
      </c>
      <c r="X474">
        <v>0</v>
      </c>
      <c r="Y474" s="18">
        <v>2017</v>
      </c>
      <c r="Z474" t="s">
        <v>387</v>
      </c>
      <c r="AA474" s="21">
        <f t="shared" si="63"/>
        <v>1</v>
      </c>
    </row>
    <row r="475" spans="1:27">
      <c r="A475" t="s">
        <v>205</v>
      </c>
      <c r="B475" s="18">
        <v>2030</v>
      </c>
      <c r="C475" t="s">
        <v>224</v>
      </c>
      <c r="D475" s="20" t="s">
        <v>399</v>
      </c>
      <c r="E475" s="20" t="s">
        <v>400</v>
      </c>
      <c r="F475" s="20" t="s">
        <v>227</v>
      </c>
      <c r="G475" s="20" t="s">
        <v>393</v>
      </c>
      <c r="H475" s="20" t="s">
        <v>384</v>
      </c>
      <c r="I475" s="29">
        <v>1</v>
      </c>
      <c r="J475" s="30">
        <v>1</v>
      </c>
      <c r="K475" s="31">
        <v>8.7749999999999998E-3</v>
      </c>
      <c r="L475" s="9">
        <v>594838657.02169394</v>
      </c>
      <c r="M475" s="9">
        <v>594808018.62654305</v>
      </c>
      <c r="N475" s="32">
        <f>MIN(MAX((B475-Calculation_Assumptions!$B$5+1)/Calculation_Assumptions!$B$7,0),1)</f>
        <v>1</v>
      </c>
      <c r="O475" s="21">
        <f t="shared" si="56"/>
        <v>594838657.02169394</v>
      </c>
      <c r="P475" s="21">
        <f t="shared" si="57"/>
        <v>594808018.62654305</v>
      </c>
      <c r="Q475" s="21">
        <f>P475*Calculation_Assumptions!$B$14*J475*K475</f>
        <v>0</v>
      </c>
      <c r="R475" s="21">
        <f t="shared" si="58"/>
        <v>5219709.2153653642</v>
      </c>
      <c r="S475" s="21">
        <f t="shared" si="59"/>
        <v>5219709.2153653642</v>
      </c>
      <c r="T475" s="32">
        <f>1/(1+Calculation_Assumptions!$B$8)^(B475-Calculation_Assumptions!$B$2)</f>
        <v>0.86260878438416411</v>
      </c>
      <c r="U475" s="21">
        <f t="shared" si="60"/>
        <v>0</v>
      </c>
      <c r="V475" s="21">
        <f t="shared" si="61"/>
        <v>4502567.0211051358</v>
      </c>
      <c r="W475" s="21">
        <f t="shared" si="62"/>
        <v>4502567.0211051358</v>
      </c>
      <c r="X475">
        <v>0</v>
      </c>
      <c r="Y475" s="18">
        <v>2017</v>
      </c>
      <c r="Z475" t="s">
        <v>387</v>
      </c>
      <c r="AA475" s="21">
        <f t="shared" si="63"/>
        <v>1</v>
      </c>
    </row>
    <row r="476" spans="1:27">
      <c r="A476" t="s">
        <v>205</v>
      </c>
      <c r="B476" s="18">
        <v>2031</v>
      </c>
      <c r="C476" t="s">
        <v>224</v>
      </c>
      <c r="D476" s="20" t="s">
        <v>399</v>
      </c>
      <c r="E476" s="20" t="s">
        <v>400</v>
      </c>
      <c r="F476" s="20" t="s">
        <v>227</v>
      </c>
      <c r="G476" s="20" t="s">
        <v>393</v>
      </c>
      <c r="H476" s="20" t="s">
        <v>384</v>
      </c>
      <c r="I476" s="29">
        <v>1</v>
      </c>
      <c r="J476" s="30">
        <v>1</v>
      </c>
      <c r="K476" s="31">
        <v>8.7749999999999998E-3</v>
      </c>
      <c r="L476" s="9">
        <v>598636396.55800402</v>
      </c>
      <c r="M476" s="9">
        <v>598581381.03442597</v>
      </c>
      <c r="N476" s="32">
        <f>MIN(MAX((B476-Calculation_Assumptions!$B$5+1)/Calculation_Assumptions!$B$7,0),1)</f>
        <v>1</v>
      </c>
      <c r="O476" s="21">
        <f t="shared" si="56"/>
        <v>598636396.55800402</v>
      </c>
      <c r="P476" s="21">
        <f t="shared" si="57"/>
        <v>598581381.03442597</v>
      </c>
      <c r="Q476" s="21">
        <f>P476*Calculation_Assumptions!$B$14*J476*K476</f>
        <v>0</v>
      </c>
      <c r="R476" s="21">
        <f t="shared" si="58"/>
        <v>5253034.3797964854</v>
      </c>
      <c r="S476" s="21">
        <f t="shared" si="59"/>
        <v>5253034.3797964854</v>
      </c>
      <c r="T476" s="32">
        <f>1/(1+Calculation_Assumptions!$B$8)^(B476-Calculation_Assumptions!$B$2)</f>
        <v>0.83748425668365445</v>
      </c>
      <c r="U476" s="21">
        <f t="shared" si="60"/>
        <v>0</v>
      </c>
      <c r="V476" s="21">
        <f t="shared" si="61"/>
        <v>4399333.5928975409</v>
      </c>
      <c r="W476" s="21">
        <f t="shared" si="62"/>
        <v>4399333.5928975409</v>
      </c>
      <c r="X476">
        <v>0</v>
      </c>
      <c r="Y476" s="18">
        <v>2017</v>
      </c>
      <c r="Z476" t="s">
        <v>387</v>
      </c>
      <c r="AA476" s="21">
        <f t="shared" si="63"/>
        <v>1</v>
      </c>
    </row>
    <row r="477" spans="1:27">
      <c r="A477" t="s">
        <v>205</v>
      </c>
      <c r="B477" s="18">
        <v>2032</v>
      </c>
      <c r="C477" t="s">
        <v>224</v>
      </c>
      <c r="D477" s="20" t="s">
        <v>399</v>
      </c>
      <c r="E477" s="20" t="s">
        <v>400</v>
      </c>
      <c r="F477" s="20" t="s">
        <v>227</v>
      </c>
      <c r="G477" s="20" t="s">
        <v>393</v>
      </c>
      <c r="H477" s="20" t="s">
        <v>384</v>
      </c>
      <c r="I477" s="29">
        <v>1</v>
      </c>
      <c r="J477" s="30">
        <v>1</v>
      </c>
      <c r="K477" s="31">
        <v>8.7749999999999998E-3</v>
      </c>
      <c r="L477" s="9">
        <v>602371311.77954698</v>
      </c>
      <c r="M477" s="9">
        <v>602283583.58638096</v>
      </c>
      <c r="N477" s="32">
        <f>MIN(MAX((B477-Calculation_Assumptions!$B$5+1)/Calculation_Assumptions!$B$7,0),1)</f>
        <v>1</v>
      </c>
      <c r="O477" s="21">
        <f t="shared" si="56"/>
        <v>602371311.77954698</v>
      </c>
      <c r="P477" s="21">
        <f t="shared" si="57"/>
        <v>602283583.58638096</v>
      </c>
      <c r="Q477" s="21">
        <f>P477*Calculation_Assumptions!$B$14*J477*K477</f>
        <v>0</v>
      </c>
      <c r="R477" s="21">
        <f t="shared" si="58"/>
        <v>5285808.2608655244</v>
      </c>
      <c r="S477" s="21">
        <f t="shared" si="59"/>
        <v>5285808.2608655244</v>
      </c>
      <c r="T477" s="32">
        <f>1/(1+Calculation_Assumptions!$B$8)^(B477-Calculation_Assumptions!$B$2)</f>
        <v>0.81309151134335378</v>
      </c>
      <c r="U477" s="21">
        <f t="shared" si="60"/>
        <v>0</v>
      </c>
      <c r="V477" s="21">
        <f t="shared" si="61"/>
        <v>4297845.8274983335</v>
      </c>
      <c r="W477" s="21">
        <f t="shared" si="62"/>
        <v>4297845.8274983335</v>
      </c>
      <c r="X477">
        <v>0</v>
      </c>
      <c r="Y477" s="18">
        <v>2017</v>
      </c>
      <c r="Z477" t="s">
        <v>387</v>
      </c>
      <c r="AA477" s="21">
        <f t="shared" si="63"/>
        <v>1</v>
      </c>
    </row>
    <row r="478" spans="1:27">
      <c r="A478" t="s">
        <v>205</v>
      </c>
      <c r="B478" s="18">
        <v>2033</v>
      </c>
      <c r="C478" t="s">
        <v>224</v>
      </c>
      <c r="D478" s="20" t="s">
        <v>399</v>
      </c>
      <c r="E478" s="20" t="s">
        <v>400</v>
      </c>
      <c r="F478" s="20" t="s">
        <v>227</v>
      </c>
      <c r="G478" s="20" t="s">
        <v>393</v>
      </c>
      <c r="H478" s="20" t="s">
        <v>384</v>
      </c>
      <c r="I478" s="29">
        <v>1</v>
      </c>
      <c r="J478" s="30">
        <v>1</v>
      </c>
      <c r="K478" s="31">
        <v>8.7749999999999998E-3</v>
      </c>
      <c r="L478" s="9">
        <v>606037450.14737797</v>
      </c>
      <c r="M478" s="9">
        <v>605911902.99473</v>
      </c>
      <c r="N478" s="32">
        <f>MIN(MAX((B478-Calculation_Assumptions!$B$5+1)/Calculation_Assumptions!$B$7,0),1)</f>
        <v>1</v>
      </c>
      <c r="O478" s="21">
        <f t="shared" si="56"/>
        <v>606037450.14737797</v>
      </c>
      <c r="P478" s="21">
        <f t="shared" si="57"/>
        <v>605911902.99473</v>
      </c>
      <c r="Q478" s="21">
        <f>P478*Calculation_Assumptions!$B$14*J478*K478</f>
        <v>0</v>
      </c>
      <c r="R478" s="21">
        <f t="shared" si="58"/>
        <v>5317978.6250432413</v>
      </c>
      <c r="S478" s="21">
        <f t="shared" si="59"/>
        <v>5317978.6250432413</v>
      </c>
      <c r="T478" s="32">
        <f>1/(1+Calculation_Assumptions!$B$8)^(B478-Calculation_Assumptions!$B$2)</f>
        <v>0.78940923431393573</v>
      </c>
      <c r="U478" s="21">
        <f t="shared" si="60"/>
        <v>0</v>
      </c>
      <c r="V478" s="21">
        <f t="shared" si="61"/>
        <v>4198061.4344932614</v>
      </c>
      <c r="W478" s="21">
        <f t="shared" si="62"/>
        <v>4198061.4344932614</v>
      </c>
      <c r="X478">
        <v>0</v>
      </c>
      <c r="Y478" s="18">
        <v>2017</v>
      </c>
      <c r="Z478" t="s">
        <v>387</v>
      </c>
      <c r="AA478" s="21">
        <f t="shared" si="63"/>
        <v>1</v>
      </c>
    </row>
    <row r="479" spans="1:27">
      <c r="A479" t="s">
        <v>205</v>
      </c>
      <c r="B479" s="18">
        <v>2034</v>
      </c>
      <c r="C479" t="s">
        <v>224</v>
      </c>
      <c r="D479" s="20" t="s">
        <v>399</v>
      </c>
      <c r="E479" s="20" t="s">
        <v>400</v>
      </c>
      <c r="F479" s="20" t="s">
        <v>227</v>
      </c>
      <c r="G479" s="20" t="s">
        <v>393</v>
      </c>
      <c r="H479" s="20" t="s">
        <v>384</v>
      </c>
      <c r="I479" s="29">
        <v>1</v>
      </c>
      <c r="J479" s="30">
        <v>1</v>
      </c>
      <c r="K479" s="31">
        <v>8.7749999999999998E-3</v>
      </c>
      <c r="L479" s="9">
        <v>609622619.74529004</v>
      </c>
      <c r="M479" s="9">
        <v>609455548.12077105</v>
      </c>
      <c r="N479" s="32">
        <f>MIN(MAX((B479-Calculation_Assumptions!$B$5+1)/Calculation_Assumptions!$B$7,0),1)</f>
        <v>1</v>
      </c>
      <c r="O479" s="21">
        <f t="shared" si="56"/>
        <v>609622619.74529004</v>
      </c>
      <c r="P479" s="21">
        <f t="shared" si="57"/>
        <v>609455548.12077105</v>
      </c>
      <c r="Q479" s="21">
        <f>P479*Calculation_Assumptions!$B$14*J479*K479</f>
        <v>0</v>
      </c>
      <c r="R479" s="21">
        <f t="shared" si="58"/>
        <v>5349438.4882649202</v>
      </c>
      <c r="S479" s="21">
        <f t="shared" si="59"/>
        <v>5349438.4882649202</v>
      </c>
      <c r="T479" s="32">
        <f>1/(1+Calculation_Assumptions!$B$8)^(B479-Calculation_Assumptions!$B$2)</f>
        <v>0.76641673234362695</v>
      </c>
      <c r="U479" s="21">
        <f t="shared" si="60"/>
        <v>0</v>
      </c>
      <c r="V479" s="21">
        <f t="shared" si="61"/>
        <v>4099899.1660492318</v>
      </c>
      <c r="W479" s="21">
        <f t="shared" si="62"/>
        <v>4099899.1660492318</v>
      </c>
      <c r="X479">
        <v>0</v>
      </c>
      <c r="Y479" s="18">
        <v>2017</v>
      </c>
      <c r="Z479" t="s">
        <v>387</v>
      </c>
      <c r="AA479" s="21">
        <f t="shared" si="63"/>
        <v>1</v>
      </c>
    </row>
    <row r="480" spans="1:27">
      <c r="A480" t="s">
        <v>205</v>
      </c>
      <c r="B480" s="18">
        <v>2035</v>
      </c>
      <c r="C480" t="s">
        <v>224</v>
      </c>
      <c r="D480" s="20" t="s">
        <v>399</v>
      </c>
      <c r="E480" s="20" t="s">
        <v>400</v>
      </c>
      <c r="F480" s="20" t="s">
        <v>227</v>
      </c>
      <c r="G480" s="20" t="s">
        <v>393</v>
      </c>
      <c r="H480" s="20" t="s">
        <v>384</v>
      </c>
      <c r="I480" s="29">
        <v>1</v>
      </c>
      <c r="J480" s="30">
        <v>1</v>
      </c>
      <c r="K480" s="31">
        <v>8.7749999999999998E-3</v>
      </c>
      <c r="L480" s="9">
        <v>613023444.11970603</v>
      </c>
      <c r="M480" s="9">
        <v>612884294.47334194</v>
      </c>
      <c r="N480" s="32">
        <f>MIN(MAX((B480-Calculation_Assumptions!$B$5+1)/Calculation_Assumptions!$B$7,0),1)</f>
        <v>1</v>
      </c>
      <c r="O480" s="21">
        <f t="shared" si="56"/>
        <v>613023444.11970603</v>
      </c>
      <c r="P480" s="21">
        <f t="shared" si="57"/>
        <v>612884294.47334194</v>
      </c>
      <c r="Q480" s="21">
        <f>P480*Calculation_Assumptions!$B$14*J480*K480</f>
        <v>0</v>
      </c>
      <c r="R480" s="21">
        <f t="shared" si="58"/>
        <v>5379280.7221504208</v>
      </c>
      <c r="S480" s="21">
        <f t="shared" si="59"/>
        <v>5379280.7221504208</v>
      </c>
      <c r="T480" s="32">
        <f>1/(1+Calculation_Assumptions!$B$8)^(B480-Calculation_Assumptions!$B$2)</f>
        <v>0.74409391489672516</v>
      </c>
      <c r="U480" s="21">
        <f t="shared" si="60"/>
        <v>0</v>
      </c>
      <c r="V480" s="21">
        <f t="shared" si="61"/>
        <v>4002690.0518733896</v>
      </c>
      <c r="W480" s="21">
        <f t="shared" si="62"/>
        <v>4002690.0518733896</v>
      </c>
      <c r="X480">
        <v>0</v>
      </c>
      <c r="Y480" s="18">
        <v>2017</v>
      </c>
      <c r="Z480" t="s">
        <v>387</v>
      </c>
      <c r="AA480" s="21">
        <f t="shared" si="63"/>
        <v>1</v>
      </c>
    </row>
    <row r="481" spans="1:27">
      <c r="A481" t="s">
        <v>205</v>
      </c>
      <c r="B481" s="18">
        <v>2036</v>
      </c>
      <c r="C481" t="s">
        <v>224</v>
      </c>
      <c r="D481" s="20" t="s">
        <v>399</v>
      </c>
      <c r="E481" s="20" t="s">
        <v>400</v>
      </c>
      <c r="F481" s="20" t="s">
        <v>227</v>
      </c>
      <c r="G481" s="20" t="s">
        <v>393</v>
      </c>
      <c r="H481" s="20" t="s">
        <v>384</v>
      </c>
      <c r="I481" s="29">
        <v>1</v>
      </c>
      <c r="J481" s="30">
        <v>1</v>
      </c>
      <c r="K481" s="31">
        <v>8.7749999999999998E-3</v>
      </c>
      <c r="L481" s="9">
        <v>616444641.41788399</v>
      </c>
      <c r="M481" s="9">
        <v>616262053.85817397</v>
      </c>
      <c r="N481" s="32">
        <f>MIN(MAX((B481-Calculation_Assumptions!$B$5+1)/Calculation_Assumptions!$B$7,0),1)</f>
        <v>1</v>
      </c>
      <c r="O481" s="21">
        <f t="shared" si="56"/>
        <v>616444641.41788399</v>
      </c>
      <c r="P481" s="21">
        <f t="shared" si="57"/>
        <v>616262053.85817397</v>
      </c>
      <c r="Q481" s="21">
        <f>P481*Calculation_Assumptions!$B$14*J481*K481</f>
        <v>0</v>
      </c>
      <c r="R481" s="21">
        <f t="shared" si="58"/>
        <v>5409301.7284419322</v>
      </c>
      <c r="S481" s="21">
        <f t="shared" si="59"/>
        <v>5409301.7284419322</v>
      </c>
      <c r="T481" s="32">
        <f>1/(1+Calculation_Assumptions!$B$8)^(B481-Calculation_Assumptions!$B$2)</f>
        <v>0.72242127659876232</v>
      </c>
      <c r="U481" s="21">
        <f t="shared" si="60"/>
        <v>0</v>
      </c>
      <c r="V481" s="21">
        <f t="shared" si="61"/>
        <v>3907794.6601689123</v>
      </c>
      <c r="W481" s="21">
        <f t="shared" si="62"/>
        <v>3907794.6601689123</v>
      </c>
      <c r="X481">
        <v>0</v>
      </c>
      <c r="Y481" s="18">
        <v>2017</v>
      </c>
      <c r="Z481" t="s">
        <v>387</v>
      </c>
      <c r="AA481" s="21">
        <f t="shared" si="63"/>
        <v>1</v>
      </c>
    </row>
    <row r="482" spans="1:27">
      <c r="A482" t="s">
        <v>205</v>
      </c>
      <c r="B482" s="18">
        <v>2037</v>
      </c>
      <c r="C482" t="s">
        <v>224</v>
      </c>
      <c r="D482" s="20" t="s">
        <v>399</v>
      </c>
      <c r="E482" s="20" t="s">
        <v>400</v>
      </c>
      <c r="F482" s="20" t="s">
        <v>227</v>
      </c>
      <c r="G482" s="20" t="s">
        <v>393</v>
      </c>
      <c r="H482" s="20" t="s">
        <v>384</v>
      </c>
      <c r="I482" s="29">
        <v>1</v>
      </c>
      <c r="J482" s="30">
        <v>1</v>
      </c>
      <c r="K482" s="31">
        <v>8.7749999999999998E-3</v>
      </c>
      <c r="L482" s="9">
        <v>619774275.99192095</v>
      </c>
      <c r="M482" s="9">
        <v>619529380.90729904</v>
      </c>
      <c r="N482" s="32">
        <f>MIN(MAX((B482-Calculation_Assumptions!$B$5+1)/Calculation_Assumptions!$B$7,0),1)</f>
        <v>1</v>
      </c>
      <c r="O482" s="21">
        <f t="shared" si="56"/>
        <v>619774275.99192095</v>
      </c>
      <c r="P482" s="21">
        <f t="shared" si="57"/>
        <v>619529380.90729904</v>
      </c>
      <c r="Q482" s="21">
        <f>P482*Calculation_Assumptions!$B$14*J482*K482</f>
        <v>0</v>
      </c>
      <c r="R482" s="21">
        <f t="shared" si="58"/>
        <v>5438519.2718291059</v>
      </c>
      <c r="S482" s="21">
        <f t="shared" si="59"/>
        <v>5438519.2718291059</v>
      </c>
      <c r="T482" s="32">
        <f>1/(1+Calculation_Assumptions!$B$8)^(B482-Calculation_Assumptions!$B$2)</f>
        <v>0.70137988019297326</v>
      </c>
      <c r="U482" s="21">
        <f t="shared" si="60"/>
        <v>0</v>
      </c>
      <c r="V482" s="21">
        <f t="shared" si="61"/>
        <v>3814467.9953026744</v>
      </c>
      <c r="W482" s="21">
        <f t="shared" si="62"/>
        <v>3814467.9953026744</v>
      </c>
      <c r="X482">
        <v>0</v>
      </c>
      <c r="Y482" s="18">
        <v>2017</v>
      </c>
      <c r="Z482" t="s">
        <v>387</v>
      </c>
      <c r="AA482" s="21">
        <f t="shared" si="63"/>
        <v>1</v>
      </c>
    </row>
    <row r="483" spans="1:27">
      <c r="A483" t="s">
        <v>205</v>
      </c>
      <c r="B483" s="18">
        <v>2038</v>
      </c>
      <c r="C483" t="s">
        <v>224</v>
      </c>
      <c r="D483" s="20" t="s">
        <v>399</v>
      </c>
      <c r="E483" s="20" t="s">
        <v>400</v>
      </c>
      <c r="F483" s="20" t="s">
        <v>227</v>
      </c>
      <c r="G483" s="20" t="s">
        <v>393</v>
      </c>
      <c r="H483" s="20" t="s">
        <v>384</v>
      </c>
      <c r="I483" s="29">
        <v>1</v>
      </c>
      <c r="J483" s="30">
        <v>1</v>
      </c>
      <c r="K483" s="31">
        <v>8.7749999999999998E-3</v>
      </c>
      <c r="L483" s="9">
        <v>622979045.89335799</v>
      </c>
      <c r="M483" s="9">
        <v>622673191.62836504</v>
      </c>
      <c r="N483" s="32">
        <f>MIN(MAX((B483-Calculation_Assumptions!$B$5+1)/Calculation_Assumptions!$B$7,0),1)</f>
        <v>1</v>
      </c>
      <c r="O483" s="21">
        <f t="shared" si="56"/>
        <v>622979045.89335799</v>
      </c>
      <c r="P483" s="21">
        <f t="shared" si="57"/>
        <v>622673191.62836504</v>
      </c>
      <c r="Q483" s="21">
        <f>P483*Calculation_Assumptions!$B$14*J483*K483</f>
        <v>0</v>
      </c>
      <c r="R483" s="21">
        <f t="shared" si="58"/>
        <v>5466641.1277142167</v>
      </c>
      <c r="S483" s="21">
        <f t="shared" si="59"/>
        <v>5466641.1277142167</v>
      </c>
      <c r="T483" s="32">
        <f>1/(1+Calculation_Assumptions!$B$8)^(B483-Calculation_Assumptions!$B$2)</f>
        <v>0.68095133999317792</v>
      </c>
      <c r="U483" s="21">
        <f t="shared" si="60"/>
        <v>0</v>
      </c>
      <c r="V483" s="21">
        <f t="shared" si="61"/>
        <v>3722516.6011788133</v>
      </c>
      <c r="W483" s="21">
        <f t="shared" si="62"/>
        <v>3722516.6011788133</v>
      </c>
      <c r="X483">
        <v>0</v>
      </c>
      <c r="Y483" s="18">
        <v>2017</v>
      </c>
      <c r="Z483" t="s">
        <v>387</v>
      </c>
      <c r="AA483" s="21">
        <f t="shared" si="63"/>
        <v>1</v>
      </c>
    </row>
    <row r="484" spans="1:27">
      <c r="A484" t="s">
        <v>205</v>
      </c>
      <c r="B484" s="18">
        <v>2039</v>
      </c>
      <c r="C484" t="s">
        <v>224</v>
      </c>
      <c r="D484" s="20" t="s">
        <v>399</v>
      </c>
      <c r="E484" s="20" t="s">
        <v>400</v>
      </c>
      <c r="F484" s="20" t="s">
        <v>227</v>
      </c>
      <c r="G484" s="20" t="s">
        <v>393</v>
      </c>
      <c r="H484" s="20" t="s">
        <v>384</v>
      </c>
      <c r="I484" s="29">
        <v>1</v>
      </c>
      <c r="J484" s="30">
        <v>1</v>
      </c>
      <c r="K484" s="31">
        <v>8.7749999999999998E-3</v>
      </c>
      <c r="L484" s="9">
        <v>626098334.53738201</v>
      </c>
      <c r="M484" s="9">
        <v>625731758.218045</v>
      </c>
      <c r="N484" s="32">
        <f>MIN(MAX((B484-Calculation_Assumptions!$B$5+1)/Calculation_Assumptions!$B$7,0),1)</f>
        <v>1</v>
      </c>
      <c r="O484" s="21">
        <f t="shared" si="56"/>
        <v>626098334.53738201</v>
      </c>
      <c r="P484" s="21">
        <f t="shared" si="57"/>
        <v>625731758.218045</v>
      </c>
      <c r="Q484" s="21">
        <f>P484*Calculation_Assumptions!$B$14*J484*K484</f>
        <v>0</v>
      </c>
      <c r="R484" s="21">
        <f t="shared" si="58"/>
        <v>5494012.8855655268</v>
      </c>
      <c r="S484" s="21">
        <f t="shared" si="59"/>
        <v>5494012.8855655268</v>
      </c>
      <c r="T484" s="32">
        <f>1/(1+Calculation_Assumptions!$B$8)^(B484-Calculation_Assumptions!$B$2)</f>
        <v>0.66111780581861923</v>
      </c>
      <c r="U484" s="21">
        <f t="shared" si="60"/>
        <v>0</v>
      </c>
      <c r="V484" s="21">
        <f t="shared" si="61"/>
        <v>3632189.744044302</v>
      </c>
      <c r="W484" s="21">
        <f t="shared" si="62"/>
        <v>3632189.744044302</v>
      </c>
      <c r="X484">
        <v>0</v>
      </c>
      <c r="Y484" s="18">
        <v>2017</v>
      </c>
      <c r="Z484" t="s">
        <v>387</v>
      </c>
      <c r="AA484" s="21">
        <f t="shared" si="63"/>
        <v>1</v>
      </c>
    </row>
    <row r="485" spans="1:27">
      <c r="A485" t="s">
        <v>205</v>
      </c>
      <c r="B485" s="18">
        <v>2040</v>
      </c>
      <c r="C485" t="s">
        <v>224</v>
      </c>
      <c r="D485" s="20" t="s">
        <v>399</v>
      </c>
      <c r="E485" s="20" t="s">
        <v>400</v>
      </c>
      <c r="F485" s="20" t="s">
        <v>227</v>
      </c>
      <c r="G485" s="20" t="s">
        <v>393</v>
      </c>
      <c r="H485" s="20" t="s">
        <v>384</v>
      </c>
      <c r="I485" s="29">
        <v>1</v>
      </c>
      <c r="J485" s="30">
        <v>1</v>
      </c>
      <c r="K485" s="31">
        <v>8.7749999999999998E-3</v>
      </c>
      <c r="L485" s="9">
        <v>629093837.79172397</v>
      </c>
      <c r="M485" s="9">
        <v>628667498.21665299</v>
      </c>
      <c r="N485" s="32">
        <f>MIN(MAX((B485-Calculation_Assumptions!$B$5+1)/Calculation_Assumptions!$B$7,0),1)</f>
        <v>1</v>
      </c>
      <c r="O485" s="21">
        <f t="shared" si="56"/>
        <v>629093837.79172397</v>
      </c>
      <c r="P485" s="21">
        <f t="shared" si="57"/>
        <v>628667498.21665299</v>
      </c>
      <c r="Q485" s="21">
        <f>P485*Calculation_Assumptions!$B$14*J485*K485</f>
        <v>0</v>
      </c>
      <c r="R485" s="21">
        <f t="shared" si="58"/>
        <v>5520298.4266223777</v>
      </c>
      <c r="S485" s="21">
        <f t="shared" si="59"/>
        <v>5520298.4266223777</v>
      </c>
      <c r="T485" s="32">
        <f>1/(1+Calculation_Assumptions!$B$8)^(B485-Calculation_Assumptions!$B$2)</f>
        <v>0.64186194739671765</v>
      </c>
      <c r="U485" s="21">
        <f t="shared" si="60"/>
        <v>0</v>
      </c>
      <c r="V485" s="21">
        <f t="shared" si="61"/>
        <v>3543269.4983228757</v>
      </c>
      <c r="W485" s="21">
        <f t="shared" si="62"/>
        <v>3543269.4983228757</v>
      </c>
      <c r="X485">
        <v>0</v>
      </c>
      <c r="Y485" s="18">
        <v>2017</v>
      </c>
      <c r="Z485" t="s">
        <v>387</v>
      </c>
      <c r="AA485" s="21">
        <f t="shared" si="63"/>
        <v>1</v>
      </c>
    </row>
    <row r="486" spans="1:27">
      <c r="A486" t="s">
        <v>205</v>
      </c>
      <c r="B486" s="18">
        <v>2041</v>
      </c>
      <c r="C486" t="s">
        <v>224</v>
      </c>
      <c r="D486" s="20" t="s">
        <v>399</v>
      </c>
      <c r="E486" s="20" t="s">
        <v>400</v>
      </c>
      <c r="F486" s="20" t="s">
        <v>227</v>
      </c>
      <c r="G486" s="20" t="s">
        <v>393</v>
      </c>
      <c r="H486" s="20" t="s">
        <v>384</v>
      </c>
      <c r="I486" s="29">
        <v>1</v>
      </c>
      <c r="J486" s="30">
        <v>1</v>
      </c>
      <c r="K486" s="31">
        <v>8.7749999999999998E-3</v>
      </c>
      <c r="L486" s="9">
        <v>631973329.78204095</v>
      </c>
      <c r="M486" s="9">
        <v>631488405.68781996</v>
      </c>
      <c r="N486" s="32">
        <f>MIN(MAX((B486-Calculation_Assumptions!$B$5+1)/Calculation_Assumptions!$B$7,0),1)</f>
        <v>1</v>
      </c>
      <c r="O486" s="21">
        <f t="shared" si="56"/>
        <v>631973329.78204095</v>
      </c>
      <c r="P486" s="21">
        <f t="shared" si="57"/>
        <v>631488405.68781996</v>
      </c>
      <c r="Q486" s="21">
        <f>P486*Calculation_Assumptions!$B$14*J486*K486</f>
        <v>0</v>
      </c>
      <c r="R486" s="21">
        <f t="shared" si="58"/>
        <v>5545565.9688374093</v>
      </c>
      <c r="S486" s="21">
        <f t="shared" si="59"/>
        <v>5545565.9688374093</v>
      </c>
      <c r="T486" s="32">
        <f>1/(1+Calculation_Assumptions!$B$8)^(B486-Calculation_Assumptions!$B$2)</f>
        <v>0.62316693922011435</v>
      </c>
      <c r="U486" s="21">
        <f t="shared" si="60"/>
        <v>0</v>
      </c>
      <c r="V486" s="21">
        <f t="shared" si="61"/>
        <v>3455813.3710436365</v>
      </c>
      <c r="W486" s="21">
        <f t="shared" si="62"/>
        <v>3455813.3710436365</v>
      </c>
      <c r="X486">
        <v>0</v>
      </c>
      <c r="Y486" s="18">
        <v>2017</v>
      </c>
      <c r="Z486" t="s">
        <v>387</v>
      </c>
      <c r="AA486" s="21">
        <f t="shared" si="63"/>
        <v>1</v>
      </c>
    </row>
    <row r="487" spans="1:27">
      <c r="A487" t="s">
        <v>205</v>
      </c>
      <c r="B487" s="18">
        <v>2042</v>
      </c>
      <c r="C487" t="s">
        <v>224</v>
      </c>
      <c r="D487" s="20" t="s">
        <v>399</v>
      </c>
      <c r="E487" s="20" t="s">
        <v>400</v>
      </c>
      <c r="F487" s="20" t="s">
        <v>227</v>
      </c>
      <c r="G487" s="20" t="s">
        <v>393</v>
      </c>
      <c r="H487" s="20" t="s">
        <v>384</v>
      </c>
      <c r="I487" s="29">
        <v>1</v>
      </c>
      <c r="J487" s="30">
        <v>1</v>
      </c>
      <c r="K487" s="31">
        <v>8.7749999999999998E-3</v>
      </c>
      <c r="L487" s="9">
        <v>634726758.311427</v>
      </c>
      <c r="M487" s="9">
        <v>634184560.98858297</v>
      </c>
      <c r="N487" s="32">
        <f>MIN(MAX((B487-Calculation_Assumptions!$B$5+1)/Calculation_Assumptions!$B$7,0),1)</f>
        <v>1</v>
      </c>
      <c r="O487" s="21">
        <f t="shared" si="56"/>
        <v>634726758.311427</v>
      </c>
      <c r="P487" s="21">
        <f t="shared" si="57"/>
        <v>634184560.98858297</v>
      </c>
      <c r="Q487" s="21">
        <f>P487*Calculation_Assumptions!$B$14*J487*K487</f>
        <v>0</v>
      </c>
      <c r="R487" s="21">
        <f t="shared" si="58"/>
        <v>5569727.3041827716</v>
      </c>
      <c r="S487" s="21">
        <f t="shared" si="59"/>
        <v>5569727.3041827716</v>
      </c>
      <c r="T487" s="32">
        <f>1/(1+Calculation_Assumptions!$B$8)^(B487-Calculation_Assumptions!$B$2)</f>
        <v>0.60501644584477121</v>
      </c>
      <c r="U487" s="21">
        <f t="shared" si="60"/>
        <v>0</v>
      </c>
      <c r="V487" s="21">
        <f t="shared" si="61"/>
        <v>3369776.6179012395</v>
      </c>
      <c r="W487" s="21">
        <f t="shared" si="62"/>
        <v>3369776.6179012395</v>
      </c>
      <c r="X487">
        <v>0</v>
      </c>
      <c r="Y487" s="18">
        <v>2017</v>
      </c>
      <c r="Z487" t="s">
        <v>387</v>
      </c>
      <c r="AA487" s="21">
        <f t="shared" si="63"/>
        <v>1</v>
      </c>
    </row>
    <row r="488" spans="1:27">
      <c r="A488" t="s">
        <v>205</v>
      </c>
      <c r="B488" s="18">
        <v>2043</v>
      </c>
      <c r="C488" t="s">
        <v>224</v>
      </c>
      <c r="D488" s="20" t="s">
        <v>399</v>
      </c>
      <c r="E488" s="20" t="s">
        <v>400</v>
      </c>
      <c r="F488" s="20" t="s">
        <v>227</v>
      </c>
      <c r="G488" s="20" t="s">
        <v>393</v>
      </c>
      <c r="H488" s="20" t="s">
        <v>384</v>
      </c>
      <c r="I488" s="29">
        <v>1</v>
      </c>
      <c r="J488" s="30">
        <v>1</v>
      </c>
      <c r="K488" s="31">
        <v>8.7749999999999998E-3</v>
      </c>
      <c r="L488" s="9">
        <v>637353330.41688395</v>
      </c>
      <c r="M488" s="9">
        <v>636767020.67603099</v>
      </c>
      <c r="N488" s="32">
        <f>MIN(MAX((B488-Calculation_Assumptions!$B$5+1)/Calculation_Assumptions!$B$7,0),1)</f>
        <v>1</v>
      </c>
      <c r="O488" s="21">
        <f t="shared" si="56"/>
        <v>637353330.41688395</v>
      </c>
      <c r="P488" s="21">
        <f t="shared" si="57"/>
        <v>636767020.67603099</v>
      </c>
      <c r="Q488" s="21">
        <f>P488*Calculation_Assumptions!$B$14*J488*K488</f>
        <v>0</v>
      </c>
      <c r="R488" s="21">
        <f t="shared" si="58"/>
        <v>5592775.4744081562</v>
      </c>
      <c r="S488" s="21">
        <f t="shared" si="59"/>
        <v>5592775.4744081562</v>
      </c>
      <c r="T488" s="32">
        <f>1/(1+Calculation_Assumptions!$B$8)^(B488-Calculation_Assumptions!$B$2)</f>
        <v>0.5873946076162827</v>
      </c>
      <c r="U488" s="21">
        <f t="shared" si="60"/>
        <v>0</v>
      </c>
      <c r="V488" s="21">
        <f t="shared" si="61"/>
        <v>3285166.1552759483</v>
      </c>
      <c r="W488" s="21">
        <f t="shared" si="62"/>
        <v>3285166.1552759483</v>
      </c>
      <c r="X488">
        <v>0</v>
      </c>
      <c r="Y488" s="18">
        <v>2017</v>
      </c>
      <c r="Z488" t="s">
        <v>387</v>
      </c>
      <c r="AA488" s="21">
        <f t="shared" si="63"/>
        <v>1</v>
      </c>
    </row>
    <row r="489" spans="1:27">
      <c r="A489" t="s">
        <v>205</v>
      </c>
      <c r="B489" s="18">
        <v>2044</v>
      </c>
      <c r="C489" t="s">
        <v>224</v>
      </c>
      <c r="D489" s="20" t="s">
        <v>399</v>
      </c>
      <c r="E489" s="20" t="s">
        <v>400</v>
      </c>
      <c r="F489" s="20" t="s">
        <v>227</v>
      </c>
      <c r="G489" s="20" t="s">
        <v>393</v>
      </c>
      <c r="H489" s="20" t="s">
        <v>384</v>
      </c>
      <c r="I489" s="29">
        <v>1</v>
      </c>
      <c r="J489" s="30">
        <v>1</v>
      </c>
      <c r="K489" s="31">
        <v>8.7749999999999998E-3</v>
      </c>
      <c r="L489" s="9">
        <v>639848442.82424998</v>
      </c>
      <c r="M489" s="9">
        <v>639211548.58069301</v>
      </c>
      <c r="N489" s="32">
        <f>MIN(MAX((B489-Calculation_Assumptions!$B$5+1)/Calculation_Assumptions!$B$7,0),1)</f>
        <v>1</v>
      </c>
      <c r="O489" s="21">
        <f t="shared" si="56"/>
        <v>639848442.82424998</v>
      </c>
      <c r="P489" s="21">
        <f t="shared" si="57"/>
        <v>639211548.58069301</v>
      </c>
      <c r="Q489" s="21">
        <f>P489*Calculation_Assumptions!$B$14*J489*K489</f>
        <v>0</v>
      </c>
      <c r="R489" s="21">
        <f t="shared" si="58"/>
        <v>5614670.0857827934</v>
      </c>
      <c r="S489" s="21">
        <f t="shared" si="59"/>
        <v>5614670.0857827934</v>
      </c>
      <c r="T489" s="32">
        <f>1/(1+Calculation_Assumptions!$B$8)^(B489-Calculation_Assumptions!$B$2)</f>
        <v>0.57028602681192497</v>
      </c>
      <c r="U489" s="21">
        <f t="shared" si="60"/>
        <v>0</v>
      </c>
      <c r="V489" s="21">
        <f t="shared" si="61"/>
        <v>3201967.8950808393</v>
      </c>
      <c r="W489" s="21">
        <f t="shared" si="62"/>
        <v>3201967.8950808393</v>
      </c>
      <c r="X489">
        <v>0</v>
      </c>
      <c r="Y489" s="18">
        <v>2017</v>
      </c>
      <c r="Z489" t="s">
        <v>387</v>
      </c>
      <c r="AA489" s="21">
        <f t="shared" si="63"/>
        <v>1</v>
      </c>
    </row>
    <row r="490" spans="1:27">
      <c r="A490" t="s">
        <v>205</v>
      </c>
      <c r="B490" s="18">
        <v>2045</v>
      </c>
      <c r="C490" t="s">
        <v>224</v>
      </c>
      <c r="D490" s="20" t="s">
        <v>399</v>
      </c>
      <c r="E490" s="20" t="s">
        <v>400</v>
      </c>
      <c r="F490" s="20" t="s">
        <v>227</v>
      </c>
      <c r="G490" s="20" t="s">
        <v>393</v>
      </c>
      <c r="H490" s="20" t="s">
        <v>384</v>
      </c>
      <c r="I490" s="29">
        <v>1</v>
      </c>
      <c r="J490" s="30">
        <v>1</v>
      </c>
      <c r="K490" s="31">
        <v>8.7749999999999998E-3</v>
      </c>
      <c r="L490" s="9">
        <v>642207029.60400403</v>
      </c>
      <c r="M490" s="9">
        <v>641520754.67294204</v>
      </c>
      <c r="N490" s="32">
        <f>MIN(MAX((B490-Calculation_Assumptions!$B$5+1)/Calculation_Assumptions!$B$7,0),1)</f>
        <v>1</v>
      </c>
      <c r="O490" s="21">
        <f t="shared" si="56"/>
        <v>642207029.60400403</v>
      </c>
      <c r="P490" s="21">
        <f t="shared" si="57"/>
        <v>641520754.67294204</v>
      </c>
      <c r="Q490" s="21">
        <f>P490*Calculation_Assumptions!$B$14*J490*K490</f>
        <v>0</v>
      </c>
      <c r="R490" s="21">
        <f t="shared" si="58"/>
        <v>5635366.6847751355</v>
      </c>
      <c r="S490" s="21">
        <f t="shared" si="59"/>
        <v>5635366.6847751355</v>
      </c>
      <c r="T490" s="32">
        <f>1/(1+Calculation_Assumptions!$B$8)^(B490-Calculation_Assumptions!$B$2)</f>
        <v>0.55367575418633497</v>
      </c>
      <c r="U490" s="21">
        <f t="shared" si="60"/>
        <v>0</v>
      </c>
      <c r="V490" s="21">
        <f t="shared" si="61"/>
        <v>3120165.8993094191</v>
      </c>
      <c r="W490" s="21">
        <f t="shared" si="62"/>
        <v>3120165.8993094191</v>
      </c>
      <c r="X490">
        <v>0</v>
      </c>
      <c r="Y490" s="18">
        <v>2017</v>
      </c>
      <c r="Z490" t="s">
        <v>387</v>
      </c>
      <c r="AA490" s="21">
        <f t="shared" si="63"/>
        <v>1</v>
      </c>
    </row>
    <row r="491" spans="1:27">
      <c r="A491" t="s">
        <v>205</v>
      </c>
      <c r="B491" s="18">
        <v>2046</v>
      </c>
      <c r="C491" t="s">
        <v>224</v>
      </c>
      <c r="D491" s="20" t="s">
        <v>399</v>
      </c>
      <c r="E491" s="20" t="s">
        <v>400</v>
      </c>
      <c r="F491" s="20" t="s">
        <v>227</v>
      </c>
      <c r="G491" s="20" t="s">
        <v>393</v>
      </c>
      <c r="H491" s="20" t="s">
        <v>384</v>
      </c>
      <c r="I491" s="29">
        <v>1</v>
      </c>
      <c r="J491" s="30">
        <v>1</v>
      </c>
      <c r="K491" s="31">
        <v>8.7749999999999998E-3</v>
      </c>
      <c r="L491" s="9">
        <v>644431411.293203</v>
      </c>
      <c r="M491" s="9">
        <v>643697330.762573</v>
      </c>
      <c r="N491" s="32">
        <f>MIN(MAX((B491-Calculation_Assumptions!$B$5+1)/Calculation_Assumptions!$B$7,0),1)</f>
        <v>1</v>
      </c>
      <c r="O491" s="21">
        <f t="shared" si="56"/>
        <v>644431411.293203</v>
      </c>
      <c r="P491" s="21">
        <f t="shared" si="57"/>
        <v>643697330.762573</v>
      </c>
      <c r="Q491" s="21">
        <f>P491*Calculation_Assumptions!$B$14*J491*K491</f>
        <v>0</v>
      </c>
      <c r="R491" s="21">
        <f t="shared" si="58"/>
        <v>5654885.6340978565</v>
      </c>
      <c r="S491" s="21">
        <f t="shared" si="59"/>
        <v>5654885.6340978565</v>
      </c>
      <c r="T491" s="32">
        <f>1/(1+Calculation_Assumptions!$B$8)^(B491-Calculation_Assumptions!$B$2)</f>
        <v>0.5375492759090631</v>
      </c>
      <c r="U491" s="21">
        <f t="shared" si="60"/>
        <v>0</v>
      </c>
      <c r="V491" s="21">
        <f t="shared" si="61"/>
        <v>3039779.6779578659</v>
      </c>
      <c r="W491" s="21">
        <f t="shared" si="62"/>
        <v>3039779.6779578659</v>
      </c>
      <c r="X491">
        <v>0</v>
      </c>
      <c r="Y491" s="18">
        <v>2017</v>
      </c>
      <c r="Z491" t="s">
        <v>387</v>
      </c>
      <c r="AA491" s="21">
        <f t="shared" si="63"/>
        <v>1</v>
      </c>
    </row>
    <row r="492" spans="1:27">
      <c r="A492" t="s">
        <v>205</v>
      </c>
      <c r="B492" s="18">
        <v>2047</v>
      </c>
      <c r="C492" t="s">
        <v>224</v>
      </c>
      <c r="D492" s="20" t="s">
        <v>399</v>
      </c>
      <c r="E492" s="20" t="s">
        <v>400</v>
      </c>
      <c r="F492" s="20" t="s">
        <v>227</v>
      </c>
      <c r="G492" s="20" t="s">
        <v>393</v>
      </c>
      <c r="H492" s="20" t="s">
        <v>384</v>
      </c>
      <c r="I492" s="29">
        <v>1</v>
      </c>
      <c r="J492" s="30">
        <v>1</v>
      </c>
      <c r="K492" s="31">
        <v>8.7749999999999998E-3</v>
      </c>
      <c r="L492" s="9">
        <v>646526345.88011503</v>
      </c>
      <c r="M492" s="9">
        <v>645745914.53009498</v>
      </c>
      <c r="N492" s="32">
        <f>MIN(MAX((B492-Calculation_Assumptions!$B$5+1)/Calculation_Assumptions!$B$7,0),1)</f>
        <v>1</v>
      </c>
      <c r="O492" s="21">
        <f t="shared" si="56"/>
        <v>646526345.88011503</v>
      </c>
      <c r="P492" s="21">
        <f t="shared" si="57"/>
        <v>645745914.53009498</v>
      </c>
      <c r="Q492" s="21">
        <f>P492*Calculation_Assumptions!$B$14*J492*K492</f>
        <v>0</v>
      </c>
      <c r="R492" s="21">
        <f t="shared" si="58"/>
        <v>5673268.6850980092</v>
      </c>
      <c r="S492" s="21">
        <f t="shared" si="59"/>
        <v>5673268.6850980092</v>
      </c>
      <c r="T492" s="32">
        <f>1/(1+Calculation_Assumptions!$B$8)^(B492-Calculation_Assumptions!$B$2)</f>
        <v>0.52189250088258554</v>
      </c>
      <c r="U492" s="21">
        <f t="shared" si="60"/>
        <v>0</v>
      </c>
      <c r="V492" s="21">
        <f t="shared" si="61"/>
        <v>2960836.3822446577</v>
      </c>
      <c r="W492" s="21">
        <f t="shared" si="62"/>
        <v>2960836.3822446577</v>
      </c>
      <c r="X492">
        <v>0</v>
      </c>
      <c r="Y492" s="18">
        <v>2017</v>
      </c>
      <c r="Z492" t="s">
        <v>387</v>
      </c>
      <c r="AA492" s="21">
        <f t="shared" si="63"/>
        <v>1</v>
      </c>
    </row>
    <row r="493" spans="1:27">
      <c r="A493" t="s">
        <v>205</v>
      </c>
      <c r="B493" s="18">
        <v>2048</v>
      </c>
      <c r="C493" t="s">
        <v>224</v>
      </c>
      <c r="D493" s="20" t="s">
        <v>399</v>
      </c>
      <c r="E493" s="20" t="s">
        <v>400</v>
      </c>
      <c r="F493" s="20" t="s">
        <v>227</v>
      </c>
      <c r="G493" s="20" t="s">
        <v>393</v>
      </c>
      <c r="H493" s="20" t="s">
        <v>384</v>
      </c>
      <c r="I493" s="29">
        <v>1</v>
      </c>
      <c r="J493" s="30">
        <v>1</v>
      </c>
      <c r="K493" s="31">
        <v>8.7749999999999998E-3</v>
      </c>
      <c r="L493" s="9">
        <v>648491811.90166605</v>
      </c>
      <c r="M493" s="9">
        <v>647666796.64810395</v>
      </c>
      <c r="N493" s="32">
        <f>MIN(MAX((B493-Calculation_Assumptions!$B$5+1)/Calculation_Assumptions!$B$7,0),1)</f>
        <v>1</v>
      </c>
      <c r="O493" s="21">
        <f t="shared" si="56"/>
        <v>648491811.90166605</v>
      </c>
      <c r="P493" s="21">
        <f t="shared" si="57"/>
        <v>647666796.64810395</v>
      </c>
      <c r="Q493" s="21">
        <f>P493*Calculation_Assumptions!$B$14*J493*K493</f>
        <v>0</v>
      </c>
      <c r="R493" s="21">
        <f t="shared" si="58"/>
        <v>5690515.6494371193</v>
      </c>
      <c r="S493" s="21">
        <f t="shared" si="59"/>
        <v>5690515.6494371193</v>
      </c>
      <c r="T493" s="32">
        <f>1/(1+Calculation_Assumptions!$B$8)^(B493-Calculation_Assumptions!$B$2)</f>
        <v>0.50669174842969467</v>
      </c>
      <c r="U493" s="21">
        <f t="shared" si="60"/>
        <v>0</v>
      </c>
      <c r="V493" s="21">
        <f t="shared" si="61"/>
        <v>2883337.3238798333</v>
      </c>
      <c r="W493" s="21">
        <f t="shared" si="62"/>
        <v>2883337.3238798333</v>
      </c>
      <c r="X493">
        <v>0</v>
      </c>
      <c r="Y493" s="18">
        <v>2017</v>
      </c>
      <c r="Z493" t="s">
        <v>387</v>
      </c>
      <c r="AA493" s="21">
        <f t="shared" si="63"/>
        <v>1</v>
      </c>
    </row>
    <row r="494" spans="1:27">
      <c r="A494" t="s">
        <v>205</v>
      </c>
      <c r="B494" s="18">
        <v>2049</v>
      </c>
      <c r="C494" t="s">
        <v>224</v>
      </c>
      <c r="D494" s="20" t="s">
        <v>399</v>
      </c>
      <c r="E494" s="20" t="s">
        <v>400</v>
      </c>
      <c r="F494" s="20" t="s">
        <v>227</v>
      </c>
      <c r="G494" s="20" t="s">
        <v>393</v>
      </c>
      <c r="H494" s="20" t="s">
        <v>384</v>
      </c>
      <c r="I494" s="29">
        <v>1</v>
      </c>
      <c r="J494" s="30">
        <v>1</v>
      </c>
      <c r="K494" s="31">
        <v>8.7749999999999998E-3</v>
      </c>
      <c r="L494" s="9">
        <v>650326097.10314596</v>
      </c>
      <c r="M494" s="9">
        <v>649421968.02473402</v>
      </c>
      <c r="N494" s="32">
        <f>MIN(MAX((B494-Calculation_Assumptions!$B$5+1)/Calculation_Assumptions!$B$7,0),1)</f>
        <v>1</v>
      </c>
      <c r="O494" s="21">
        <f t="shared" si="56"/>
        <v>650326097.10314596</v>
      </c>
      <c r="P494" s="21">
        <f t="shared" si="57"/>
        <v>649421968.02473402</v>
      </c>
      <c r="Q494" s="21">
        <f>P494*Calculation_Assumptions!$B$14*J494*K494</f>
        <v>0</v>
      </c>
      <c r="R494" s="21">
        <f t="shared" si="58"/>
        <v>5706611.5020801052</v>
      </c>
      <c r="S494" s="21">
        <f t="shared" si="59"/>
        <v>5706611.5020801052</v>
      </c>
      <c r="T494" s="32">
        <f>1/(1+Calculation_Assumptions!$B$8)^(B494-Calculation_Assumptions!$B$2)</f>
        <v>0.49193373633950943</v>
      </c>
      <c r="U494" s="21">
        <f t="shared" si="60"/>
        <v>0</v>
      </c>
      <c r="V494" s="21">
        <f t="shared" si="61"/>
        <v>2807274.7180562862</v>
      </c>
      <c r="W494" s="21">
        <f t="shared" si="62"/>
        <v>2807274.7180562862</v>
      </c>
      <c r="X494">
        <v>0</v>
      </c>
      <c r="Y494" s="18">
        <v>2017</v>
      </c>
      <c r="Z494" t="s">
        <v>387</v>
      </c>
      <c r="AA494" s="21">
        <f t="shared" si="63"/>
        <v>1</v>
      </c>
    </row>
    <row r="495" spans="1:27">
      <c r="A495" t="s">
        <v>205</v>
      </c>
      <c r="B495" s="18">
        <v>2050</v>
      </c>
      <c r="C495" t="s">
        <v>224</v>
      </c>
      <c r="D495" s="20" t="s">
        <v>399</v>
      </c>
      <c r="E495" s="20" t="s">
        <v>400</v>
      </c>
      <c r="F495" s="20" t="s">
        <v>227</v>
      </c>
      <c r="G495" s="20" t="s">
        <v>393</v>
      </c>
      <c r="H495" s="20" t="s">
        <v>384</v>
      </c>
      <c r="I495" s="29">
        <v>1</v>
      </c>
      <c r="J495" s="30">
        <v>1</v>
      </c>
      <c r="K495" s="31">
        <v>8.7749999999999998E-3</v>
      </c>
      <c r="L495" s="9">
        <v>652024255.63071299</v>
      </c>
      <c r="M495" s="9">
        <v>651074457.25957894</v>
      </c>
      <c r="N495" s="32">
        <f>MIN(MAX((B495-Calculation_Assumptions!$B$5+1)/Calculation_Assumptions!$B$7,0),1)</f>
        <v>1</v>
      </c>
      <c r="O495" s="21">
        <f t="shared" si="56"/>
        <v>652024255.63071299</v>
      </c>
      <c r="P495" s="21">
        <f t="shared" si="57"/>
        <v>651074457.25957894</v>
      </c>
      <c r="Q495" s="21">
        <f>P495*Calculation_Assumptions!$B$14*J495*K495</f>
        <v>0</v>
      </c>
      <c r="R495" s="21">
        <f t="shared" si="58"/>
        <v>5721512.8431595061</v>
      </c>
      <c r="S495" s="21">
        <f t="shared" si="59"/>
        <v>5721512.8431595061</v>
      </c>
      <c r="T495" s="32">
        <f>1/(1+Calculation_Assumptions!$B$8)^(B495-Calculation_Assumptions!$B$2)</f>
        <v>0.47760556926165965</v>
      </c>
      <c r="U495" s="21">
        <f t="shared" si="60"/>
        <v>0</v>
      </c>
      <c r="V495" s="21">
        <f t="shared" si="61"/>
        <v>2732626.3984950925</v>
      </c>
      <c r="W495" s="21">
        <f t="shared" si="62"/>
        <v>2732626.3984950925</v>
      </c>
      <c r="X495">
        <v>0</v>
      </c>
      <c r="Y495" s="18">
        <v>2017</v>
      </c>
      <c r="Z495" t="s">
        <v>387</v>
      </c>
      <c r="AA495" s="21">
        <f t="shared" si="63"/>
        <v>1</v>
      </c>
    </row>
    <row r="496" spans="1:27">
      <c r="A496" t="s">
        <v>76</v>
      </c>
      <c r="B496" s="18">
        <v>2025</v>
      </c>
      <c r="C496" t="s">
        <v>169</v>
      </c>
      <c r="D496" s="20" t="s">
        <v>380</v>
      </c>
      <c r="E496" s="20" t="s">
        <v>381</v>
      </c>
      <c r="F496" s="20" t="s">
        <v>177</v>
      </c>
      <c r="G496" s="20" t="s">
        <v>382</v>
      </c>
      <c r="H496" s="20" t="s">
        <v>384</v>
      </c>
      <c r="I496" s="29">
        <v>1</v>
      </c>
      <c r="J496" s="30">
        <v>1</v>
      </c>
      <c r="K496" s="31">
        <v>5.5999999999999999E-3</v>
      </c>
      <c r="L496" s="9">
        <v>575134853.59312999</v>
      </c>
      <c r="M496" s="9">
        <v>575134853.59312999</v>
      </c>
      <c r="N496" s="32">
        <f>MIN(MAX((B496-Calculation_Assumptions!$B$5+1)/Calculation_Assumptions!$B$7,0),1)</f>
        <v>0</v>
      </c>
      <c r="O496" s="21">
        <f t="shared" si="56"/>
        <v>575134853.59312999</v>
      </c>
      <c r="P496" s="21">
        <f t="shared" si="57"/>
        <v>575134853.59312999</v>
      </c>
      <c r="Q496" s="21">
        <f>P496*Calculation_Assumptions!$B$14*J496*K496</f>
        <v>0</v>
      </c>
      <c r="R496" s="21">
        <f t="shared" si="58"/>
        <v>0</v>
      </c>
      <c r="S496" s="21">
        <f t="shared" si="59"/>
        <v>0</v>
      </c>
      <c r="T496" s="32">
        <f>1/(1+Calculation_Assumptions!$B$8)^(B496-Calculation_Assumptions!$B$2)</f>
        <v>1</v>
      </c>
      <c r="U496" s="21">
        <f t="shared" si="60"/>
        <v>0</v>
      </c>
      <c r="V496" s="21">
        <f t="shared" si="61"/>
        <v>0</v>
      </c>
      <c r="W496" s="21">
        <f t="shared" si="62"/>
        <v>0</v>
      </c>
      <c r="X496">
        <v>0</v>
      </c>
      <c r="Y496" s="18">
        <v>2017</v>
      </c>
      <c r="Z496" t="s">
        <v>387</v>
      </c>
      <c r="AA496" s="21">
        <f t="shared" si="63"/>
        <v>1</v>
      </c>
    </row>
    <row r="497" spans="1:27">
      <c r="A497" t="s">
        <v>76</v>
      </c>
      <c r="B497" s="18">
        <v>2026</v>
      </c>
      <c r="C497" t="s">
        <v>169</v>
      </c>
      <c r="D497" s="20" t="s">
        <v>380</v>
      </c>
      <c r="E497" s="20" t="s">
        <v>381</v>
      </c>
      <c r="F497" s="20" t="s">
        <v>177</v>
      </c>
      <c r="G497" s="20" t="s">
        <v>382</v>
      </c>
      <c r="H497" s="20" t="s">
        <v>384</v>
      </c>
      <c r="I497" s="29">
        <v>1</v>
      </c>
      <c r="J497" s="30">
        <v>1</v>
      </c>
      <c r="K497" s="31">
        <v>5.5999999999999999E-3</v>
      </c>
      <c r="L497" s="9">
        <v>579268647.32329595</v>
      </c>
      <c r="M497" s="9">
        <v>579268647.32329595</v>
      </c>
      <c r="N497" s="32">
        <f>MIN(MAX((B497-Calculation_Assumptions!$B$5+1)/Calculation_Assumptions!$B$7,0),1)</f>
        <v>0.33333333333333331</v>
      </c>
      <c r="O497" s="21">
        <f t="shared" si="56"/>
        <v>579268647.32329595</v>
      </c>
      <c r="P497" s="21">
        <f t="shared" si="57"/>
        <v>579268647.32329595</v>
      </c>
      <c r="Q497" s="21">
        <f>P497*Calculation_Assumptions!$B$14*J497*K497</f>
        <v>0</v>
      </c>
      <c r="R497" s="21">
        <f t="shared" si="58"/>
        <v>1081301.4750034858</v>
      </c>
      <c r="S497" s="21">
        <f t="shared" si="59"/>
        <v>1081301.4750034858</v>
      </c>
      <c r="T497" s="32">
        <f>1/(1+Calculation_Assumptions!$B$8)^(B497-Calculation_Assumptions!$B$2)</f>
        <v>0.970873786407767</v>
      </c>
      <c r="U497" s="21">
        <f t="shared" si="60"/>
        <v>0</v>
      </c>
      <c r="V497" s="21">
        <f t="shared" si="61"/>
        <v>1049807.2572849377</v>
      </c>
      <c r="W497" s="21">
        <f t="shared" si="62"/>
        <v>1049807.2572849377</v>
      </c>
      <c r="X497">
        <v>0</v>
      </c>
      <c r="Y497" s="18">
        <v>2017</v>
      </c>
      <c r="Z497" t="s">
        <v>387</v>
      </c>
      <c r="AA497" s="21">
        <f t="shared" si="63"/>
        <v>1</v>
      </c>
    </row>
    <row r="498" spans="1:27">
      <c r="A498" t="s">
        <v>76</v>
      </c>
      <c r="B498" s="18">
        <v>2027</v>
      </c>
      <c r="C498" t="s">
        <v>169</v>
      </c>
      <c r="D498" s="20" t="s">
        <v>380</v>
      </c>
      <c r="E498" s="20" t="s">
        <v>381</v>
      </c>
      <c r="F498" s="20" t="s">
        <v>177</v>
      </c>
      <c r="G498" s="20" t="s">
        <v>382</v>
      </c>
      <c r="H498" s="20" t="s">
        <v>384</v>
      </c>
      <c r="I498" s="29">
        <v>1</v>
      </c>
      <c r="J498" s="30">
        <v>1</v>
      </c>
      <c r="K498" s="31">
        <v>5.5999999999999999E-3</v>
      </c>
      <c r="L498" s="9">
        <v>583039014.28645599</v>
      </c>
      <c r="M498" s="9">
        <v>583039014.28645599</v>
      </c>
      <c r="N498" s="32">
        <f>MIN(MAX((B498-Calculation_Assumptions!$B$5+1)/Calculation_Assumptions!$B$7,0),1)</f>
        <v>0.66666666666666663</v>
      </c>
      <c r="O498" s="21">
        <f t="shared" si="56"/>
        <v>583039014.28645599</v>
      </c>
      <c r="P498" s="21">
        <f t="shared" si="57"/>
        <v>583039014.28645599</v>
      </c>
      <c r="Q498" s="21">
        <f>P498*Calculation_Assumptions!$B$14*J498*K498</f>
        <v>0</v>
      </c>
      <c r="R498" s="21">
        <f t="shared" si="58"/>
        <v>2176678.9866694356</v>
      </c>
      <c r="S498" s="21">
        <f t="shared" si="59"/>
        <v>2176678.9866694356</v>
      </c>
      <c r="T498" s="32">
        <f>1/(1+Calculation_Assumptions!$B$8)^(B498-Calculation_Assumptions!$B$2)</f>
        <v>0.94259590913375435</v>
      </c>
      <c r="U498" s="21">
        <f t="shared" si="60"/>
        <v>0</v>
      </c>
      <c r="V498" s="21">
        <f t="shared" si="61"/>
        <v>2051728.7083320159</v>
      </c>
      <c r="W498" s="21">
        <f t="shared" si="62"/>
        <v>2051728.7083320159</v>
      </c>
      <c r="X498">
        <v>0</v>
      </c>
      <c r="Y498" s="18">
        <v>2017</v>
      </c>
      <c r="Z498" t="s">
        <v>387</v>
      </c>
      <c r="AA498" s="21">
        <f t="shared" si="63"/>
        <v>1</v>
      </c>
    </row>
    <row r="499" spans="1:27">
      <c r="A499" t="s">
        <v>76</v>
      </c>
      <c r="B499" s="18">
        <v>2028</v>
      </c>
      <c r="C499" t="s">
        <v>169</v>
      </c>
      <c r="D499" s="20" t="s">
        <v>380</v>
      </c>
      <c r="E499" s="20" t="s">
        <v>381</v>
      </c>
      <c r="F499" s="20" t="s">
        <v>177</v>
      </c>
      <c r="G499" s="20" t="s">
        <v>382</v>
      </c>
      <c r="H499" s="20" t="s">
        <v>384</v>
      </c>
      <c r="I499" s="29">
        <v>1</v>
      </c>
      <c r="J499" s="30">
        <v>1</v>
      </c>
      <c r="K499" s="31">
        <v>5.5999999999999999E-3</v>
      </c>
      <c r="L499" s="9">
        <v>587039795.04372799</v>
      </c>
      <c r="M499" s="9">
        <v>587035116.25746298</v>
      </c>
      <c r="N499" s="32">
        <f>MIN(MAX((B499-Calculation_Assumptions!$B$5+1)/Calculation_Assumptions!$B$7,0),1)</f>
        <v>1</v>
      </c>
      <c r="O499" s="21">
        <f t="shared" si="56"/>
        <v>587039795.04372799</v>
      </c>
      <c r="P499" s="21">
        <f t="shared" si="57"/>
        <v>587035116.25746298</v>
      </c>
      <c r="Q499" s="21">
        <f>P499*Calculation_Assumptions!$B$14*J499*K499</f>
        <v>0</v>
      </c>
      <c r="R499" s="21">
        <f t="shared" si="58"/>
        <v>3287422.8522448768</v>
      </c>
      <c r="S499" s="21">
        <f t="shared" si="59"/>
        <v>3287422.8522448768</v>
      </c>
      <c r="T499" s="32">
        <f>1/(1+Calculation_Assumptions!$B$8)^(B499-Calculation_Assumptions!$B$2)</f>
        <v>0.91514165935315961</v>
      </c>
      <c r="U499" s="21">
        <f t="shared" si="60"/>
        <v>0</v>
      </c>
      <c r="V499" s="21">
        <f t="shared" si="61"/>
        <v>3008457.6039988734</v>
      </c>
      <c r="W499" s="21">
        <f t="shared" si="62"/>
        <v>3008457.6039988734</v>
      </c>
      <c r="X499">
        <v>0</v>
      </c>
      <c r="Y499" s="18">
        <v>2017</v>
      </c>
      <c r="Z499" t="s">
        <v>387</v>
      </c>
      <c r="AA499" s="21">
        <f t="shared" si="63"/>
        <v>1</v>
      </c>
    </row>
    <row r="500" spans="1:27">
      <c r="A500" t="s">
        <v>76</v>
      </c>
      <c r="B500" s="18">
        <v>2029</v>
      </c>
      <c r="C500" t="s">
        <v>169</v>
      </c>
      <c r="D500" s="20" t="s">
        <v>380</v>
      </c>
      <c r="E500" s="20" t="s">
        <v>381</v>
      </c>
      <c r="F500" s="20" t="s">
        <v>177</v>
      </c>
      <c r="G500" s="20" t="s">
        <v>382</v>
      </c>
      <c r="H500" s="20" t="s">
        <v>384</v>
      </c>
      <c r="I500" s="29">
        <v>1</v>
      </c>
      <c r="J500" s="30">
        <v>1</v>
      </c>
      <c r="K500" s="31">
        <v>5.5999999999999999E-3</v>
      </c>
      <c r="L500" s="9">
        <v>590766467.10548604</v>
      </c>
      <c r="M500" s="9">
        <v>590968059.72178304</v>
      </c>
      <c r="N500" s="32">
        <f>MIN(MAX((B500-Calculation_Assumptions!$B$5+1)/Calculation_Assumptions!$B$7,0),1)</f>
        <v>1</v>
      </c>
      <c r="O500" s="21">
        <f t="shared" si="56"/>
        <v>590766467.10548604</v>
      </c>
      <c r="P500" s="21">
        <f t="shared" si="57"/>
        <v>590968059.72178304</v>
      </c>
      <c r="Q500" s="21">
        <f>P500*Calculation_Assumptions!$B$14*J500*K500</f>
        <v>0</v>
      </c>
      <c r="R500" s="21">
        <f t="shared" si="58"/>
        <v>3308292.2157907216</v>
      </c>
      <c r="S500" s="21">
        <f t="shared" si="59"/>
        <v>3308292.2157907216</v>
      </c>
      <c r="T500" s="32">
        <f>1/(1+Calculation_Assumptions!$B$8)^(B500-Calculation_Assumptions!$B$2)</f>
        <v>0.888487047915689</v>
      </c>
      <c r="U500" s="21">
        <f t="shared" si="60"/>
        <v>0</v>
      </c>
      <c r="V500" s="21">
        <f t="shared" si="61"/>
        <v>2939374.7844503517</v>
      </c>
      <c r="W500" s="21">
        <f t="shared" si="62"/>
        <v>2939374.7844503517</v>
      </c>
      <c r="X500">
        <v>0</v>
      </c>
      <c r="Y500" s="18">
        <v>2017</v>
      </c>
      <c r="Z500" t="s">
        <v>387</v>
      </c>
      <c r="AA500" s="21">
        <f t="shared" si="63"/>
        <v>1</v>
      </c>
    </row>
    <row r="501" spans="1:27">
      <c r="A501" t="s">
        <v>76</v>
      </c>
      <c r="B501" s="18">
        <v>2030</v>
      </c>
      <c r="C501" t="s">
        <v>169</v>
      </c>
      <c r="D501" s="20" t="s">
        <v>380</v>
      </c>
      <c r="E501" s="20" t="s">
        <v>381</v>
      </c>
      <c r="F501" s="20" t="s">
        <v>177</v>
      </c>
      <c r="G501" s="20" t="s">
        <v>382</v>
      </c>
      <c r="H501" s="20" t="s">
        <v>384</v>
      </c>
      <c r="I501" s="29">
        <v>1</v>
      </c>
      <c r="J501" s="30">
        <v>1</v>
      </c>
      <c r="K501" s="31">
        <v>5.5999999999999999E-3</v>
      </c>
      <c r="L501" s="9">
        <v>594652967.05338001</v>
      </c>
      <c r="M501" s="9">
        <v>594808018.62654305</v>
      </c>
      <c r="N501" s="32">
        <f>MIN(MAX((B501-Calculation_Assumptions!$B$5+1)/Calculation_Assumptions!$B$7,0),1)</f>
        <v>1</v>
      </c>
      <c r="O501" s="21">
        <f t="shared" si="56"/>
        <v>594652967.05338001</v>
      </c>
      <c r="P501" s="21">
        <f t="shared" si="57"/>
        <v>594808018.62654305</v>
      </c>
      <c r="Q501" s="21">
        <f>P501*Calculation_Assumptions!$B$14*J501*K501</f>
        <v>0</v>
      </c>
      <c r="R501" s="21">
        <f t="shared" si="58"/>
        <v>3330056.6154989279</v>
      </c>
      <c r="S501" s="21">
        <f t="shared" si="59"/>
        <v>3330056.6154989279</v>
      </c>
      <c r="T501" s="32">
        <f>1/(1+Calculation_Assumptions!$B$8)^(B501-Calculation_Assumptions!$B$2)</f>
        <v>0.86260878438416411</v>
      </c>
      <c r="U501" s="21">
        <f t="shared" si="60"/>
        <v>0</v>
      </c>
      <c r="V501" s="21">
        <f t="shared" si="61"/>
        <v>2872536.0890259738</v>
      </c>
      <c r="W501" s="21">
        <f t="shared" si="62"/>
        <v>2872536.0890259738</v>
      </c>
      <c r="X501">
        <v>0</v>
      </c>
      <c r="Y501" s="18">
        <v>2017</v>
      </c>
      <c r="Z501" t="s">
        <v>387</v>
      </c>
      <c r="AA501" s="21">
        <f t="shared" si="63"/>
        <v>1</v>
      </c>
    </row>
    <row r="502" spans="1:27">
      <c r="A502" t="s">
        <v>76</v>
      </c>
      <c r="B502" s="18">
        <v>2031</v>
      </c>
      <c r="C502" t="s">
        <v>169</v>
      </c>
      <c r="D502" s="20" t="s">
        <v>380</v>
      </c>
      <c r="E502" s="20" t="s">
        <v>381</v>
      </c>
      <c r="F502" s="20" t="s">
        <v>177</v>
      </c>
      <c r="G502" s="20" t="s">
        <v>382</v>
      </c>
      <c r="H502" s="20" t="s">
        <v>384</v>
      </c>
      <c r="I502" s="29">
        <v>1</v>
      </c>
      <c r="J502" s="30">
        <v>1</v>
      </c>
      <c r="K502" s="31">
        <v>5.5999999999999999E-3</v>
      </c>
      <c r="L502" s="9">
        <v>598482853.08345401</v>
      </c>
      <c r="M502" s="9">
        <v>598581381.03442597</v>
      </c>
      <c r="N502" s="32">
        <f>MIN(MAX((B502-Calculation_Assumptions!$B$5+1)/Calculation_Assumptions!$B$7,0),1)</f>
        <v>1</v>
      </c>
      <c r="O502" s="21">
        <f t="shared" si="56"/>
        <v>598482853.08345401</v>
      </c>
      <c r="P502" s="21">
        <f t="shared" si="57"/>
        <v>598581381.03442597</v>
      </c>
      <c r="Q502" s="21">
        <f>P502*Calculation_Assumptions!$B$14*J502*K502</f>
        <v>0</v>
      </c>
      <c r="R502" s="21">
        <f t="shared" si="58"/>
        <v>3351503.9772673426</v>
      </c>
      <c r="S502" s="21">
        <f t="shared" si="59"/>
        <v>3351503.9772673426</v>
      </c>
      <c r="T502" s="32">
        <f>1/(1+Calculation_Assumptions!$B$8)^(B502-Calculation_Assumptions!$B$2)</f>
        <v>0.83748425668365445</v>
      </c>
      <c r="U502" s="21">
        <f t="shared" si="60"/>
        <v>0</v>
      </c>
      <c r="V502" s="21">
        <f t="shared" si="61"/>
        <v>2806831.8171740519</v>
      </c>
      <c r="W502" s="21">
        <f t="shared" si="62"/>
        <v>2806831.8171740519</v>
      </c>
      <c r="X502">
        <v>0</v>
      </c>
      <c r="Y502" s="18">
        <v>2017</v>
      </c>
      <c r="Z502" t="s">
        <v>387</v>
      </c>
      <c r="AA502" s="21">
        <f t="shared" si="63"/>
        <v>1</v>
      </c>
    </row>
    <row r="503" spans="1:27">
      <c r="A503" t="s">
        <v>76</v>
      </c>
      <c r="B503" s="18">
        <v>2032</v>
      </c>
      <c r="C503" t="s">
        <v>169</v>
      </c>
      <c r="D503" s="20" t="s">
        <v>380</v>
      </c>
      <c r="E503" s="20" t="s">
        <v>381</v>
      </c>
      <c r="F503" s="20" t="s">
        <v>177</v>
      </c>
      <c r="G503" s="20" t="s">
        <v>382</v>
      </c>
      <c r="H503" s="20" t="s">
        <v>384</v>
      </c>
      <c r="I503" s="29">
        <v>1</v>
      </c>
      <c r="J503" s="30">
        <v>1</v>
      </c>
      <c r="K503" s="31">
        <v>5.5999999999999999E-3</v>
      </c>
      <c r="L503" s="9">
        <v>602252425.332353</v>
      </c>
      <c r="M503" s="9">
        <v>602283583.58638096</v>
      </c>
      <c r="N503" s="32">
        <f>MIN(MAX((B503-Calculation_Assumptions!$B$5+1)/Calculation_Assumptions!$B$7,0),1)</f>
        <v>1</v>
      </c>
      <c r="O503" s="21">
        <f t="shared" si="56"/>
        <v>602252425.332353</v>
      </c>
      <c r="P503" s="21">
        <f t="shared" si="57"/>
        <v>602283583.58638096</v>
      </c>
      <c r="Q503" s="21">
        <f>P503*Calculation_Assumptions!$B$14*J503*K503</f>
        <v>0</v>
      </c>
      <c r="R503" s="21">
        <f t="shared" si="58"/>
        <v>3372613.5818611765</v>
      </c>
      <c r="S503" s="21">
        <f t="shared" si="59"/>
        <v>3372613.5818611765</v>
      </c>
      <c r="T503" s="32">
        <f>1/(1+Calculation_Assumptions!$B$8)^(B503-Calculation_Assumptions!$B$2)</f>
        <v>0.81309151134335378</v>
      </c>
      <c r="U503" s="21">
        <f t="shared" si="60"/>
        <v>0</v>
      </c>
      <c r="V503" s="21">
        <f t="shared" si="61"/>
        <v>2742243.474452626</v>
      </c>
      <c r="W503" s="21">
        <f t="shared" si="62"/>
        <v>2742243.474452626</v>
      </c>
      <c r="X503">
        <v>0</v>
      </c>
      <c r="Y503" s="18">
        <v>2017</v>
      </c>
      <c r="Z503" t="s">
        <v>387</v>
      </c>
      <c r="AA503" s="21">
        <f t="shared" si="63"/>
        <v>1</v>
      </c>
    </row>
    <row r="504" spans="1:27">
      <c r="A504" t="s">
        <v>76</v>
      </c>
      <c r="B504" s="18">
        <v>2033</v>
      </c>
      <c r="C504" t="s">
        <v>169</v>
      </c>
      <c r="D504" s="20" t="s">
        <v>380</v>
      </c>
      <c r="E504" s="20" t="s">
        <v>381</v>
      </c>
      <c r="F504" s="20" t="s">
        <v>177</v>
      </c>
      <c r="G504" s="20" t="s">
        <v>382</v>
      </c>
      <c r="H504" s="20" t="s">
        <v>384</v>
      </c>
      <c r="I504" s="29">
        <v>1</v>
      </c>
      <c r="J504" s="30">
        <v>1</v>
      </c>
      <c r="K504" s="31">
        <v>5.5999999999999999E-3</v>
      </c>
      <c r="L504" s="9">
        <v>605955528.04318595</v>
      </c>
      <c r="M504" s="9">
        <v>605911902.99473</v>
      </c>
      <c r="N504" s="32">
        <f>MIN(MAX((B504-Calculation_Assumptions!$B$5+1)/Calculation_Assumptions!$B$7,0),1)</f>
        <v>1</v>
      </c>
      <c r="O504" s="21">
        <f t="shared" si="56"/>
        <v>605955528.04318595</v>
      </c>
      <c r="P504" s="21">
        <f t="shared" si="57"/>
        <v>605911902.99473</v>
      </c>
      <c r="Q504" s="21">
        <f>P504*Calculation_Assumptions!$B$14*J504*K504</f>
        <v>0</v>
      </c>
      <c r="R504" s="21">
        <f t="shared" si="58"/>
        <v>3393350.9570418415</v>
      </c>
      <c r="S504" s="21">
        <f t="shared" si="59"/>
        <v>3393350.9570418415</v>
      </c>
      <c r="T504" s="32">
        <f>1/(1+Calculation_Assumptions!$B$8)^(B504-Calculation_Assumptions!$B$2)</f>
        <v>0.78940923431393573</v>
      </c>
      <c r="U504" s="21">
        <f t="shared" si="60"/>
        <v>0</v>
      </c>
      <c r="V504" s="21">
        <f t="shared" si="61"/>
        <v>2678742.5807568613</v>
      </c>
      <c r="W504" s="21">
        <f t="shared" si="62"/>
        <v>2678742.5807568613</v>
      </c>
      <c r="X504">
        <v>0</v>
      </c>
      <c r="Y504" s="18">
        <v>2017</v>
      </c>
      <c r="Z504" t="s">
        <v>387</v>
      </c>
      <c r="AA504" s="21">
        <f t="shared" si="63"/>
        <v>1</v>
      </c>
    </row>
    <row r="505" spans="1:27">
      <c r="A505" t="s">
        <v>76</v>
      </c>
      <c r="B505" s="18">
        <v>2034</v>
      </c>
      <c r="C505" t="s">
        <v>169</v>
      </c>
      <c r="D505" s="20" t="s">
        <v>380</v>
      </c>
      <c r="E505" s="20" t="s">
        <v>381</v>
      </c>
      <c r="F505" s="20" t="s">
        <v>177</v>
      </c>
      <c r="G505" s="20" t="s">
        <v>382</v>
      </c>
      <c r="H505" s="20" t="s">
        <v>384</v>
      </c>
      <c r="I505" s="29">
        <v>1</v>
      </c>
      <c r="J505" s="30">
        <v>1</v>
      </c>
      <c r="K505" s="31">
        <v>5.5999999999999999E-3</v>
      </c>
      <c r="L505" s="9">
        <v>609560284.09550095</v>
      </c>
      <c r="M505" s="9">
        <v>609455548.12077105</v>
      </c>
      <c r="N505" s="32">
        <f>MIN(MAX((B505-Calculation_Assumptions!$B$5+1)/Calculation_Assumptions!$B$7,0),1)</f>
        <v>1</v>
      </c>
      <c r="O505" s="21">
        <f t="shared" si="56"/>
        <v>609560284.09550095</v>
      </c>
      <c r="P505" s="21">
        <f t="shared" si="57"/>
        <v>609455548.12077105</v>
      </c>
      <c r="Q505" s="21">
        <f>P505*Calculation_Assumptions!$B$14*J505*K505</f>
        <v>0</v>
      </c>
      <c r="R505" s="21">
        <f t="shared" si="58"/>
        <v>3413537.5909348051</v>
      </c>
      <c r="S505" s="21">
        <f t="shared" si="59"/>
        <v>3413537.5909348051</v>
      </c>
      <c r="T505" s="32">
        <f>1/(1+Calculation_Assumptions!$B$8)^(B505-Calculation_Assumptions!$B$2)</f>
        <v>0.76641673234362695</v>
      </c>
      <c r="U505" s="21">
        <f t="shared" si="60"/>
        <v>0</v>
      </c>
      <c r="V505" s="21">
        <f t="shared" si="61"/>
        <v>2616192.3261763896</v>
      </c>
      <c r="W505" s="21">
        <f t="shared" si="62"/>
        <v>2616192.3261763896</v>
      </c>
      <c r="X505">
        <v>0</v>
      </c>
      <c r="Y505" s="18">
        <v>2017</v>
      </c>
      <c r="Z505" t="s">
        <v>387</v>
      </c>
      <c r="AA505" s="21">
        <f t="shared" si="63"/>
        <v>1</v>
      </c>
    </row>
    <row r="506" spans="1:27">
      <c r="A506" t="s">
        <v>76</v>
      </c>
      <c r="B506" s="18">
        <v>2035</v>
      </c>
      <c r="C506" t="s">
        <v>169</v>
      </c>
      <c r="D506" s="20" t="s">
        <v>380</v>
      </c>
      <c r="E506" s="20" t="s">
        <v>381</v>
      </c>
      <c r="F506" s="20" t="s">
        <v>177</v>
      </c>
      <c r="G506" s="20" t="s">
        <v>382</v>
      </c>
      <c r="H506" s="20" t="s">
        <v>384</v>
      </c>
      <c r="I506" s="29">
        <v>1</v>
      </c>
      <c r="J506" s="30">
        <v>1</v>
      </c>
      <c r="K506" s="31">
        <v>5.5999999999999999E-3</v>
      </c>
      <c r="L506" s="9">
        <v>613092698.26085901</v>
      </c>
      <c r="M506" s="9">
        <v>612884294.47334194</v>
      </c>
      <c r="N506" s="32">
        <f>MIN(MAX((B506-Calculation_Assumptions!$B$5+1)/Calculation_Assumptions!$B$7,0),1)</f>
        <v>1</v>
      </c>
      <c r="O506" s="21">
        <f t="shared" si="56"/>
        <v>613092698.26085901</v>
      </c>
      <c r="P506" s="21">
        <f t="shared" si="57"/>
        <v>612884294.47334194</v>
      </c>
      <c r="Q506" s="21">
        <f>P506*Calculation_Assumptions!$B$14*J506*K506</f>
        <v>0</v>
      </c>
      <c r="R506" s="21">
        <f t="shared" si="58"/>
        <v>3433319.1102608102</v>
      </c>
      <c r="S506" s="21">
        <f t="shared" si="59"/>
        <v>3433319.1102608102</v>
      </c>
      <c r="T506" s="32">
        <f>1/(1+Calculation_Assumptions!$B$8)^(B506-Calculation_Assumptions!$B$2)</f>
        <v>0.74409391489672516</v>
      </c>
      <c r="U506" s="21">
        <f t="shared" si="60"/>
        <v>0</v>
      </c>
      <c r="V506" s="21">
        <f t="shared" si="61"/>
        <v>2554711.8578437073</v>
      </c>
      <c r="W506" s="21">
        <f t="shared" si="62"/>
        <v>2554711.8578437073</v>
      </c>
      <c r="X506">
        <v>0</v>
      </c>
      <c r="Y506" s="18">
        <v>2017</v>
      </c>
      <c r="Z506" t="s">
        <v>387</v>
      </c>
      <c r="AA506" s="21">
        <f t="shared" si="63"/>
        <v>1</v>
      </c>
    </row>
    <row r="507" spans="1:27">
      <c r="A507" t="s">
        <v>76</v>
      </c>
      <c r="B507" s="18">
        <v>2036</v>
      </c>
      <c r="C507" t="s">
        <v>169</v>
      </c>
      <c r="D507" s="20" t="s">
        <v>380</v>
      </c>
      <c r="E507" s="20" t="s">
        <v>381</v>
      </c>
      <c r="F507" s="20" t="s">
        <v>177</v>
      </c>
      <c r="G507" s="20" t="s">
        <v>382</v>
      </c>
      <c r="H507" s="20" t="s">
        <v>384</v>
      </c>
      <c r="I507" s="29">
        <v>1</v>
      </c>
      <c r="J507" s="30">
        <v>1</v>
      </c>
      <c r="K507" s="31">
        <v>5.5999999999999999E-3</v>
      </c>
      <c r="L507" s="9">
        <v>616539654.35734701</v>
      </c>
      <c r="M507" s="9">
        <v>616262053.85817397</v>
      </c>
      <c r="N507" s="32">
        <f>MIN(MAX((B507-Calculation_Assumptions!$B$5+1)/Calculation_Assumptions!$B$7,0),1)</f>
        <v>1</v>
      </c>
      <c r="O507" s="21">
        <f t="shared" si="56"/>
        <v>616539654.35734701</v>
      </c>
      <c r="P507" s="21">
        <f t="shared" si="57"/>
        <v>616262053.85817397</v>
      </c>
      <c r="Q507" s="21">
        <f>P507*Calculation_Assumptions!$B$14*J507*K507</f>
        <v>0</v>
      </c>
      <c r="R507" s="21">
        <f t="shared" si="58"/>
        <v>3452622.0644011432</v>
      </c>
      <c r="S507" s="21">
        <f t="shared" si="59"/>
        <v>3452622.0644011432</v>
      </c>
      <c r="T507" s="32">
        <f>1/(1+Calculation_Assumptions!$B$8)^(B507-Calculation_Assumptions!$B$2)</f>
        <v>0.72242127659876232</v>
      </c>
      <c r="U507" s="21">
        <f t="shared" si="60"/>
        <v>0</v>
      </c>
      <c r="V507" s="21">
        <f t="shared" si="61"/>
        <v>2494247.6393777281</v>
      </c>
      <c r="W507" s="21">
        <f t="shared" si="62"/>
        <v>2494247.6393777281</v>
      </c>
      <c r="X507">
        <v>0</v>
      </c>
      <c r="Y507" s="18">
        <v>2017</v>
      </c>
      <c r="Z507" t="s">
        <v>387</v>
      </c>
      <c r="AA507" s="21">
        <f t="shared" si="63"/>
        <v>1</v>
      </c>
    </row>
    <row r="508" spans="1:27">
      <c r="A508" t="s">
        <v>76</v>
      </c>
      <c r="B508" s="18">
        <v>2037</v>
      </c>
      <c r="C508" t="s">
        <v>169</v>
      </c>
      <c r="D508" s="20" t="s">
        <v>380</v>
      </c>
      <c r="E508" s="20" t="s">
        <v>381</v>
      </c>
      <c r="F508" s="20" t="s">
        <v>177</v>
      </c>
      <c r="G508" s="20" t="s">
        <v>382</v>
      </c>
      <c r="H508" s="20" t="s">
        <v>384</v>
      </c>
      <c r="I508" s="29">
        <v>1</v>
      </c>
      <c r="J508" s="30">
        <v>1</v>
      </c>
      <c r="K508" s="31">
        <v>5.5999999999999999E-3</v>
      </c>
      <c r="L508" s="9">
        <v>619898345.122545</v>
      </c>
      <c r="M508" s="9">
        <v>619529380.90729904</v>
      </c>
      <c r="N508" s="32">
        <f>MIN(MAX((B508-Calculation_Assumptions!$B$5+1)/Calculation_Assumptions!$B$7,0),1)</f>
        <v>1</v>
      </c>
      <c r="O508" s="21">
        <f t="shared" si="56"/>
        <v>619898345.122545</v>
      </c>
      <c r="P508" s="21">
        <f t="shared" si="57"/>
        <v>619529380.90729904</v>
      </c>
      <c r="Q508" s="21">
        <f>P508*Calculation_Assumptions!$B$14*J508*K508</f>
        <v>0</v>
      </c>
      <c r="R508" s="21">
        <f t="shared" si="58"/>
        <v>3471430.7326862519</v>
      </c>
      <c r="S508" s="21">
        <f t="shared" si="59"/>
        <v>3471430.7326862519</v>
      </c>
      <c r="T508" s="32">
        <f>1/(1+Calculation_Assumptions!$B$8)^(B508-Calculation_Assumptions!$B$2)</f>
        <v>0.70137988019297326</v>
      </c>
      <c r="U508" s="21">
        <f t="shared" si="60"/>
        <v>0</v>
      </c>
      <c r="V508" s="21">
        <f t="shared" si="61"/>
        <v>2434791.6713896887</v>
      </c>
      <c r="W508" s="21">
        <f t="shared" si="62"/>
        <v>2434791.6713896887</v>
      </c>
      <c r="X508">
        <v>0</v>
      </c>
      <c r="Y508" s="18">
        <v>2017</v>
      </c>
      <c r="Z508" t="s">
        <v>387</v>
      </c>
      <c r="AA508" s="21">
        <f t="shared" si="63"/>
        <v>1</v>
      </c>
    </row>
    <row r="509" spans="1:27">
      <c r="A509" t="s">
        <v>76</v>
      </c>
      <c r="B509" s="18">
        <v>2038</v>
      </c>
      <c r="C509" t="s">
        <v>169</v>
      </c>
      <c r="D509" s="20" t="s">
        <v>380</v>
      </c>
      <c r="E509" s="20" t="s">
        <v>381</v>
      </c>
      <c r="F509" s="20" t="s">
        <v>177</v>
      </c>
      <c r="G509" s="20" t="s">
        <v>382</v>
      </c>
      <c r="H509" s="20" t="s">
        <v>384</v>
      </c>
      <c r="I509" s="29">
        <v>1</v>
      </c>
      <c r="J509" s="30">
        <v>1</v>
      </c>
      <c r="K509" s="31">
        <v>5.5999999999999999E-3</v>
      </c>
      <c r="L509" s="9">
        <v>623157085.01735401</v>
      </c>
      <c r="M509" s="9">
        <v>622673191.62836504</v>
      </c>
      <c r="N509" s="32">
        <f>MIN(MAX((B509-Calculation_Assumptions!$B$5+1)/Calculation_Assumptions!$B$7,0),1)</f>
        <v>1</v>
      </c>
      <c r="O509" s="21">
        <f t="shared" si="56"/>
        <v>623157085.01735401</v>
      </c>
      <c r="P509" s="21">
        <f t="shared" si="57"/>
        <v>622673191.62836504</v>
      </c>
      <c r="Q509" s="21">
        <f>P509*Calculation_Assumptions!$B$14*J509*K509</f>
        <v>0</v>
      </c>
      <c r="R509" s="21">
        <f t="shared" si="58"/>
        <v>3489679.6760971826</v>
      </c>
      <c r="S509" s="21">
        <f t="shared" si="59"/>
        <v>3489679.6760971826</v>
      </c>
      <c r="T509" s="32">
        <f>1/(1+Calculation_Assumptions!$B$8)^(B509-Calculation_Assumptions!$B$2)</f>
        <v>0.68095133999317792</v>
      </c>
      <c r="U509" s="21">
        <f t="shared" si="60"/>
        <v>0</v>
      </c>
      <c r="V509" s="21">
        <f t="shared" si="61"/>
        <v>2376302.0515853358</v>
      </c>
      <c r="W509" s="21">
        <f t="shared" si="62"/>
        <v>2376302.0515853358</v>
      </c>
      <c r="X509">
        <v>0</v>
      </c>
      <c r="Y509" s="18">
        <v>2017</v>
      </c>
      <c r="Z509" t="s">
        <v>387</v>
      </c>
      <c r="AA509" s="21">
        <f t="shared" si="63"/>
        <v>1</v>
      </c>
    </row>
    <row r="510" spans="1:27">
      <c r="A510" t="s">
        <v>76</v>
      </c>
      <c r="B510" s="18">
        <v>2039</v>
      </c>
      <c r="C510" t="s">
        <v>169</v>
      </c>
      <c r="D510" s="20" t="s">
        <v>380</v>
      </c>
      <c r="E510" s="20" t="s">
        <v>381</v>
      </c>
      <c r="F510" s="20" t="s">
        <v>177</v>
      </c>
      <c r="G510" s="20" t="s">
        <v>382</v>
      </c>
      <c r="H510" s="20" t="s">
        <v>384</v>
      </c>
      <c r="I510" s="29">
        <v>1</v>
      </c>
      <c r="J510" s="30">
        <v>1</v>
      </c>
      <c r="K510" s="31">
        <v>5.5999999999999999E-3</v>
      </c>
      <c r="L510" s="9">
        <v>626312438.007918</v>
      </c>
      <c r="M510" s="9">
        <v>625731758.218045</v>
      </c>
      <c r="N510" s="32">
        <f>MIN(MAX((B510-Calculation_Assumptions!$B$5+1)/Calculation_Assumptions!$B$7,0),1)</f>
        <v>1</v>
      </c>
      <c r="O510" s="21">
        <f t="shared" si="56"/>
        <v>626312438.007918</v>
      </c>
      <c r="P510" s="21">
        <f t="shared" si="57"/>
        <v>625731758.218045</v>
      </c>
      <c r="Q510" s="21">
        <f>P510*Calculation_Assumptions!$B$14*J510*K510</f>
        <v>0</v>
      </c>
      <c r="R510" s="21">
        <f t="shared" si="58"/>
        <v>3507349.6528443405</v>
      </c>
      <c r="S510" s="21">
        <f t="shared" si="59"/>
        <v>3507349.6528443405</v>
      </c>
      <c r="T510" s="32">
        <f>1/(1+Calculation_Assumptions!$B$8)^(B510-Calculation_Assumptions!$B$2)</f>
        <v>0.66111780581861923</v>
      </c>
      <c r="U510" s="21">
        <f t="shared" si="60"/>
        <v>0</v>
      </c>
      <c r="V510" s="21">
        <f t="shared" si="61"/>
        <v>2318771.3067271463</v>
      </c>
      <c r="W510" s="21">
        <f t="shared" si="62"/>
        <v>2318771.3067271463</v>
      </c>
      <c r="X510">
        <v>0</v>
      </c>
      <c r="Y510" s="18">
        <v>2017</v>
      </c>
      <c r="Z510" t="s">
        <v>387</v>
      </c>
      <c r="AA510" s="21">
        <f t="shared" si="63"/>
        <v>1</v>
      </c>
    </row>
    <row r="511" spans="1:27">
      <c r="A511" t="s">
        <v>76</v>
      </c>
      <c r="B511" s="18">
        <v>2040</v>
      </c>
      <c r="C511" t="s">
        <v>169</v>
      </c>
      <c r="D511" s="20" t="s">
        <v>380</v>
      </c>
      <c r="E511" s="20" t="s">
        <v>381</v>
      </c>
      <c r="F511" s="20" t="s">
        <v>177</v>
      </c>
      <c r="G511" s="20" t="s">
        <v>382</v>
      </c>
      <c r="H511" s="20" t="s">
        <v>384</v>
      </c>
      <c r="I511" s="29">
        <v>1</v>
      </c>
      <c r="J511" s="30">
        <v>1</v>
      </c>
      <c r="K511" s="31">
        <v>5.5999999999999999E-3</v>
      </c>
      <c r="L511" s="9">
        <v>629347032.33731306</v>
      </c>
      <c r="M511" s="9">
        <v>628667498.21665299</v>
      </c>
      <c r="N511" s="32">
        <f>MIN(MAX((B511-Calculation_Assumptions!$B$5+1)/Calculation_Assumptions!$B$7,0),1)</f>
        <v>1</v>
      </c>
      <c r="O511" s="21">
        <f t="shared" si="56"/>
        <v>629347032.33731306</v>
      </c>
      <c r="P511" s="21">
        <f t="shared" si="57"/>
        <v>628667498.21665299</v>
      </c>
      <c r="Q511" s="21">
        <f>P511*Calculation_Assumptions!$B$14*J511*K511</f>
        <v>0</v>
      </c>
      <c r="R511" s="21">
        <f t="shared" si="58"/>
        <v>3524343.381088953</v>
      </c>
      <c r="S511" s="21">
        <f t="shared" si="59"/>
        <v>3524343.381088953</v>
      </c>
      <c r="T511" s="32">
        <f>1/(1+Calculation_Assumptions!$B$8)^(B511-Calculation_Assumptions!$B$2)</f>
        <v>0.64186194739671765</v>
      </c>
      <c r="U511" s="21">
        <f t="shared" si="60"/>
        <v>0</v>
      </c>
      <c r="V511" s="21">
        <f t="shared" si="61"/>
        <v>2262141.9058804875</v>
      </c>
      <c r="W511" s="21">
        <f t="shared" si="62"/>
        <v>2262141.9058804875</v>
      </c>
      <c r="X511">
        <v>0</v>
      </c>
      <c r="Y511" s="18">
        <v>2017</v>
      </c>
      <c r="Z511" t="s">
        <v>387</v>
      </c>
      <c r="AA511" s="21">
        <f t="shared" si="63"/>
        <v>1</v>
      </c>
    </row>
    <row r="512" spans="1:27">
      <c r="A512" t="s">
        <v>76</v>
      </c>
      <c r="B512" s="18">
        <v>2041</v>
      </c>
      <c r="C512" t="s">
        <v>169</v>
      </c>
      <c r="D512" s="20" t="s">
        <v>380</v>
      </c>
      <c r="E512" s="20" t="s">
        <v>381</v>
      </c>
      <c r="F512" s="20" t="s">
        <v>177</v>
      </c>
      <c r="G512" s="20" t="s">
        <v>382</v>
      </c>
      <c r="H512" s="20" t="s">
        <v>384</v>
      </c>
      <c r="I512" s="29">
        <v>1</v>
      </c>
      <c r="J512" s="30">
        <v>1</v>
      </c>
      <c r="K512" s="31">
        <v>5.5999999999999999E-3</v>
      </c>
      <c r="L512" s="9">
        <v>632268493.39175498</v>
      </c>
      <c r="M512" s="9">
        <v>631488405.68781996</v>
      </c>
      <c r="N512" s="32">
        <f>MIN(MAX((B512-Calculation_Assumptions!$B$5+1)/Calculation_Assumptions!$B$7,0),1)</f>
        <v>1</v>
      </c>
      <c r="O512" s="21">
        <f t="shared" si="56"/>
        <v>632268493.39175498</v>
      </c>
      <c r="P512" s="21">
        <f t="shared" si="57"/>
        <v>631488405.68781996</v>
      </c>
      <c r="Q512" s="21">
        <f>P512*Calculation_Assumptions!$B$14*J512*K512</f>
        <v>0</v>
      </c>
      <c r="R512" s="21">
        <f t="shared" si="58"/>
        <v>3540703.5629938277</v>
      </c>
      <c r="S512" s="21">
        <f t="shared" si="59"/>
        <v>3540703.5629938277</v>
      </c>
      <c r="T512" s="32">
        <f>1/(1+Calculation_Assumptions!$B$8)^(B512-Calculation_Assumptions!$B$2)</f>
        <v>0.62316693922011435</v>
      </c>
      <c r="U512" s="21">
        <f t="shared" si="60"/>
        <v>0</v>
      </c>
      <c r="V512" s="21">
        <f t="shared" si="61"/>
        <v>2206449.402036617</v>
      </c>
      <c r="W512" s="21">
        <f t="shared" si="62"/>
        <v>2206449.402036617</v>
      </c>
      <c r="X512">
        <v>0</v>
      </c>
      <c r="Y512" s="18">
        <v>2017</v>
      </c>
      <c r="Z512" t="s">
        <v>387</v>
      </c>
      <c r="AA512" s="21">
        <f t="shared" si="63"/>
        <v>1</v>
      </c>
    </row>
    <row r="513" spans="1:27">
      <c r="A513" t="s">
        <v>76</v>
      </c>
      <c r="B513" s="18">
        <v>2042</v>
      </c>
      <c r="C513" t="s">
        <v>169</v>
      </c>
      <c r="D513" s="20" t="s">
        <v>380</v>
      </c>
      <c r="E513" s="20" t="s">
        <v>381</v>
      </c>
      <c r="F513" s="20" t="s">
        <v>177</v>
      </c>
      <c r="G513" s="20" t="s">
        <v>382</v>
      </c>
      <c r="H513" s="20" t="s">
        <v>384</v>
      </c>
      <c r="I513" s="29">
        <v>1</v>
      </c>
      <c r="J513" s="30">
        <v>1</v>
      </c>
      <c r="K513" s="31">
        <v>5.5999999999999999E-3</v>
      </c>
      <c r="L513" s="9">
        <v>635066634.14519799</v>
      </c>
      <c r="M513" s="9">
        <v>634184560.98858297</v>
      </c>
      <c r="N513" s="32">
        <f>MIN(MAX((B513-Calculation_Assumptions!$B$5+1)/Calculation_Assumptions!$B$7,0),1)</f>
        <v>1</v>
      </c>
      <c r="O513" s="21">
        <f t="shared" si="56"/>
        <v>635066634.14519799</v>
      </c>
      <c r="P513" s="21">
        <f t="shared" si="57"/>
        <v>634184560.98858297</v>
      </c>
      <c r="Q513" s="21">
        <f>P513*Calculation_Assumptions!$B$14*J513*K513</f>
        <v>0</v>
      </c>
      <c r="R513" s="21">
        <f t="shared" si="58"/>
        <v>3556373.1512131086</v>
      </c>
      <c r="S513" s="21">
        <f t="shared" si="59"/>
        <v>3556373.1512131086</v>
      </c>
      <c r="T513" s="32">
        <f>1/(1+Calculation_Assumptions!$B$8)^(B513-Calculation_Assumptions!$B$2)</f>
        <v>0.60501644584477121</v>
      </c>
      <c r="U513" s="21">
        <f t="shared" si="60"/>
        <v>0</v>
      </c>
      <c r="V513" s="21">
        <f t="shared" si="61"/>
        <v>2151664.2440447239</v>
      </c>
      <c r="W513" s="21">
        <f t="shared" si="62"/>
        <v>2151664.2440447239</v>
      </c>
      <c r="X513">
        <v>0</v>
      </c>
      <c r="Y513" s="18">
        <v>2017</v>
      </c>
      <c r="Z513" t="s">
        <v>387</v>
      </c>
      <c r="AA513" s="21">
        <f t="shared" si="63"/>
        <v>1</v>
      </c>
    </row>
    <row r="514" spans="1:27">
      <c r="A514" t="s">
        <v>76</v>
      </c>
      <c r="B514" s="18">
        <v>2043</v>
      </c>
      <c r="C514" t="s">
        <v>169</v>
      </c>
      <c r="D514" s="20" t="s">
        <v>380</v>
      </c>
      <c r="E514" s="20" t="s">
        <v>381</v>
      </c>
      <c r="F514" s="20" t="s">
        <v>177</v>
      </c>
      <c r="G514" s="20" t="s">
        <v>382</v>
      </c>
      <c r="H514" s="20" t="s">
        <v>384</v>
      </c>
      <c r="I514" s="29">
        <v>1</v>
      </c>
      <c r="J514" s="30">
        <v>1</v>
      </c>
      <c r="K514" s="31">
        <v>5.5999999999999999E-3</v>
      </c>
      <c r="L514" s="9">
        <v>637740511.15042996</v>
      </c>
      <c r="M514" s="9">
        <v>636767020.67603099</v>
      </c>
      <c r="N514" s="32">
        <f>MIN(MAX((B514-Calculation_Assumptions!$B$5+1)/Calculation_Assumptions!$B$7,0),1)</f>
        <v>1</v>
      </c>
      <c r="O514" s="21">
        <f t="shared" ref="O514:O577" si="64">L514*I514</f>
        <v>637740511.15042996</v>
      </c>
      <c r="P514" s="21">
        <f t="shared" ref="P514:P577" si="65">M514*I514</f>
        <v>636767020.67603099</v>
      </c>
      <c r="Q514" s="21">
        <f>P514*Calculation_Assumptions!$B$14*J514*K514</f>
        <v>0</v>
      </c>
      <c r="R514" s="21">
        <f t="shared" ref="R514:R577" si="66">O514*N514*J514*K514</f>
        <v>3571346.8624424078</v>
      </c>
      <c r="S514" s="21">
        <f t="shared" ref="S514:S577" si="67">R514-Q514</f>
        <v>3571346.8624424078</v>
      </c>
      <c r="T514" s="32">
        <f>1/(1+Calculation_Assumptions!$B$8)^(B514-Calculation_Assumptions!$B$2)</f>
        <v>0.5873946076162827</v>
      </c>
      <c r="U514" s="21">
        <f t="shared" ref="U514:U577" si="68">Q514*T514</f>
        <v>0</v>
      </c>
      <c r="V514" s="21">
        <f t="shared" ref="V514:V577" si="69">R514*T514</f>
        <v>2097789.8889260003</v>
      </c>
      <c r="W514" s="21">
        <f t="shared" ref="W514:W577" si="70">S514*T514</f>
        <v>2097789.8889260003</v>
      </c>
      <c r="X514">
        <v>0</v>
      </c>
      <c r="Y514" s="18">
        <v>2017</v>
      </c>
      <c r="Z514" t="s">
        <v>387</v>
      </c>
      <c r="AA514" s="21">
        <f t="shared" ref="AA514:AA577" si="71">IF(G514="shared-count-once",COUNTIFS($A$2:$A$807,A514,$B$2:$B$807,B514,$D$2:$D$807,D514),1)</f>
        <v>1</v>
      </c>
    </row>
    <row r="515" spans="1:27">
      <c r="A515" t="s">
        <v>76</v>
      </c>
      <c r="B515" s="18">
        <v>2044</v>
      </c>
      <c r="C515" t="s">
        <v>169</v>
      </c>
      <c r="D515" s="20" t="s">
        <v>380</v>
      </c>
      <c r="E515" s="20" t="s">
        <v>381</v>
      </c>
      <c r="F515" s="20" t="s">
        <v>177</v>
      </c>
      <c r="G515" s="20" t="s">
        <v>382</v>
      </c>
      <c r="H515" s="20" t="s">
        <v>384</v>
      </c>
      <c r="I515" s="29">
        <v>1</v>
      </c>
      <c r="J515" s="30">
        <v>1</v>
      </c>
      <c r="K515" s="31">
        <v>5.5999999999999999E-3</v>
      </c>
      <c r="L515" s="9">
        <v>640285329.92099202</v>
      </c>
      <c r="M515" s="9">
        <v>639211548.58069301</v>
      </c>
      <c r="N515" s="32">
        <f>MIN(MAX((B515-Calculation_Assumptions!$B$5+1)/Calculation_Assumptions!$B$7,0),1)</f>
        <v>1</v>
      </c>
      <c r="O515" s="21">
        <f t="shared" si="64"/>
        <v>640285329.92099202</v>
      </c>
      <c r="P515" s="21">
        <f t="shared" si="65"/>
        <v>639211548.58069301</v>
      </c>
      <c r="Q515" s="21">
        <f>P515*Calculation_Assumptions!$B$14*J515*K515</f>
        <v>0</v>
      </c>
      <c r="R515" s="21">
        <f t="shared" si="66"/>
        <v>3585597.8475575554</v>
      </c>
      <c r="S515" s="21">
        <f t="shared" si="67"/>
        <v>3585597.8475575554</v>
      </c>
      <c r="T515" s="32">
        <f>1/(1+Calculation_Assumptions!$B$8)^(B515-Calculation_Assumptions!$B$2)</f>
        <v>0.57028602681192497</v>
      </c>
      <c r="U515" s="21">
        <f t="shared" si="68"/>
        <v>0</v>
      </c>
      <c r="V515" s="21">
        <f t="shared" si="69"/>
        <v>2044816.3502289886</v>
      </c>
      <c r="W515" s="21">
        <f t="shared" si="70"/>
        <v>2044816.3502289886</v>
      </c>
      <c r="X515">
        <v>0</v>
      </c>
      <c r="Y515" s="18">
        <v>2017</v>
      </c>
      <c r="Z515" t="s">
        <v>387</v>
      </c>
      <c r="AA515" s="21">
        <f t="shared" si="71"/>
        <v>1</v>
      </c>
    </row>
    <row r="516" spans="1:27">
      <c r="A516" t="s">
        <v>76</v>
      </c>
      <c r="B516" s="18">
        <v>2045</v>
      </c>
      <c r="C516" t="s">
        <v>169</v>
      </c>
      <c r="D516" s="20" t="s">
        <v>380</v>
      </c>
      <c r="E516" s="20" t="s">
        <v>381</v>
      </c>
      <c r="F516" s="20" t="s">
        <v>177</v>
      </c>
      <c r="G516" s="20" t="s">
        <v>382</v>
      </c>
      <c r="H516" s="20" t="s">
        <v>384</v>
      </c>
      <c r="I516" s="29">
        <v>1</v>
      </c>
      <c r="J516" s="30">
        <v>1</v>
      </c>
      <c r="K516" s="31">
        <v>5.5999999999999999E-3</v>
      </c>
      <c r="L516" s="9">
        <v>642695843.59439898</v>
      </c>
      <c r="M516" s="9">
        <v>641520754.67294204</v>
      </c>
      <c r="N516" s="32">
        <f>MIN(MAX((B516-Calculation_Assumptions!$B$5+1)/Calculation_Assumptions!$B$7,0),1)</f>
        <v>1</v>
      </c>
      <c r="O516" s="21">
        <f t="shared" si="64"/>
        <v>642695843.59439898</v>
      </c>
      <c r="P516" s="21">
        <f t="shared" si="65"/>
        <v>641520754.67294204</v>
      </c>
      <c r="Q516" s="21">
        <f>P516*Calculation_Assumptions!$B$14*J516*K516</f>
        <v>0</v>
      </c>
      <c r="R516" s="21">
        <f t="shared" si="66"/>
        <v>3599096.7241286342</v>
      </c>
      <c r="S516" s="21">
        <f t="shared" si="67"/>
        <v>3599096.7241286342</v>
      </c>
      <c r="T516" s="32">
        <f>1/(1+Calculation_Assumptions!$B$8)^(B516-Calculation_Assumptions!$B$2)</f>
        <v>0.55367575418633497</v>
      </c>
      <c r="U516" s="21">
        <f t="shared" si="68"/>
        <v>0</v>
      </c>
      <c r="V516" s="21">
        <f t="shared" si="69"/>
        <v>1992732.593121489</v>
      </c>
      <c r="W516" s="21">
        <f t="shared" si="70"/>
        <v>1992732.593121489</v>
      </c>
      <c r="X516">
        <v>0</v>
      </c>
      <c r="Y516" s="18">
        <v>2017</v>
      </c>
      <c r="Z516" t="s">
        <v>387</v>
      </c>
      <c r="AA516" s="21">
        <f t="shared" si="71"/>
        <v>1</v>
      </c>
    </row>
    <row r="517" spans="1:27">
      <c r="A517" t="s">
        <v>76</v>
      </c>
      <c r="B517" s="18">
        <v>2046</v>
      </c>
      <c r="C517" t="s">
        <v>169</v>
      </c>
      <c r="D517" s="20" t="s">
        <v>380</v>
      </c>
      <c r="E517" s="20" t="s">
        <v>381</v>
      </c>
      <c r="F517" s="20" t="s">
        <v>177</v>
      </c>
      <c r="G517" s="20" t="s">
        <v>382</v>
      </c>
      <c r="H517" s="20" t="s">
        <v>384</v>
      </c>
      <c r="I517" s="29">
        <v>1</v>
      </c>
      <c r="J517" s="30">
        <v>1</v>
      </c>
      <c r="K517" s="31">
        <v>5.5999999999999999E-3</v>
      </c>
      <c r="L517" s="9">
        <v>644974193.08303404</v>
      </c>
      <c r="M517" s="9">
        <v>643697330.762573</v>
      </c>
      <c r="N517" s="32">
        <f>MIN(MAX((B517-Calculation_Assumptions!$B$5+1)/Calculation_Assumptions!$B$7,0),1)</f>
        <v>1</v>
      </c>
      <c r="O517" s="21">
        <f t="shared" si="64"/>
        <v>644974193.08303404</v>
      </c>
      <c r="P517" s="21">
        <f t="shared" si="65"/>
        <v>643697330.762573</v>
      </c>
      <c r="Q517" s="21">
        <f>P517*Calculation_Assumptions!$B$14*J517*K517</f>
        <v>0</v>
      </c>
      <c r="R517" s="21">
        <f t="shared" si="66"/>
        <v>3611855.4812649908</v>
      </c>
      <c r="S517" s="21">
        <f t="shared" si="67"/>
        <v>3611855.4812649908</v>
      </c>
      <c r="T517" s="32">
        <f>1/(1+Calculation_Assumptions!$B$8)^(B517-Calculation_Assumptions!$B$2)</f>
        <v>0.5375492759090631</v>
      </c>
      <c r="U517" s="21">
        <f t="shared" si="68"/>
        <v>0</v>
      </c>
      <c r="V517" s="21">
        <f t="shared" si="69"/>
        <v>1941550.2986421764</v>
      </c>
      <c r="W517" s="21">
        <f t="shared" si="70"/>
        <v>1941550.2986421764</v>
      </c>
      <c r="X517">
        <v>0</v>
      </c>
      <c r="Y517" s="18">
        <v>2017</v>
      </c>
      <c r="Z517" t="s">
        <v>387</v>
      </c>
      <c r="AA517" s="21">
        <f t="shared" si="71"/>
        <v>1</v>
      </c>
    </row>
    <row r="518" spans="1:27">
      <c r="A518" t="s">
        <v>76</v>
      </c>
      <c r="B518" s="18">
        <v>2047</v>
      </c>
      <c r="C518" t="s">
        <v>169</v>
      </c>
      <c r="D518" s="20" t="s">
        <v>380</v>
      </c>
      <c r="E518" s="20" t="s">
        <v>381</v>
      </c>
      <c r="F518" s="20" t="s">
        <v>177</v>
      </c>
      <c r="G518" s="20" t="s">
        <v>382</v>
      </c>
      <c r="H518" s="20" t="s">
        <v>384</v>
      </c>
      <c r="I518" s="29">
        <v>1</v>
      </c>
      <c r="J518" s="30">
        <v>1</v>
      </c>
      <c r="K518" s="31">
        <v>5.5999999999999999E-3</v>
      </c>
      <c r="L518" s="9">
        <v>647124942.32164299</v>
      </c>
      <c r="M518" s="9">
        <v>645745914.53009498</v>
      </c>
      <c r="N518" s="32">
        <f>MIN(MAX((B518-Calculation_Assumptions!$B$5+1)/Calculation_Assumptions!$B$7,0),1)</f>
        <v>1</v>
      </c>
      <c r="O518" s="21">
        <f t="shared" si="64"/>
        <v>647124942.32164299</v>
      </c>
      <c r="P518" s="21">
        <f t="shared" si="65"/>
        <v>645745914.53009498</v>
      </c>
      <c r="Q518" s="21">
        <f>P518*Calculation_Assumptions!$B$14*J518*K518</f>
        <v>0</v>
      </c>
      <c r="R518" s="21">
        <f t="shared" si="66"/>
        <v>3623899.6770012006</v>
      </c>
      <c r="S518" s="21">
        <f t="shared" si="67"/>
        <v>3623899.6770012006</v>
      </c>
      <c r="T518" s="32">
        <f>1/(1+Calculation_Assumptions!$B$8)^(B518-Calculation_Assumptions!$B$2)</f>
        <v>0.52189250088258554</v>
      </c>
      <c r="U518" s="21">
        <f t="shared" si="68"/>
        <v>0</v>
      </c>
      <c r="V518" s="21">
        <f t="shared" si="69"/>
        <v>1891286.0653777507</v>
      </c>
      <c r="W518" s="21">
        <f t="shared" si="70"/>
        <v>1891286.0653777507</v>
      </c>
      <c r="X518">
        <v>0</v>
      </c>
      <c r="Y518" s="18">
        <v>2017</v>
      </c>
      <c r="Z518" t="s">
        <v>387</v>
      </c>
      <c r="AA518" s="21">
        <f t="shared" si="71"/>
        <v>1</v>
      </c>
    </row>
    <row r="519" spans="1:27">
      <c r="A519" t="s">
        <v>76</v>
      </c>
      <c r="B519" s="18">
        <v>2048</v>
      </c>
      <c r="C519" t="s">
        <v>169</v>
      </c>
      <c r="D519" s="20" t="s">
        <v>380</v>
      </c>
      <c r="E519" s="20" t="s">
        <v>381</v>
      </c>
      <c r="F519" s="20" t="s">
        <v>177</v>
      </c>
      <c r="G519" s="20" t="s">
        <v>382</v>
      </c>
      <c r="H519" s="20" t="s">
        <v>384</v>
      </c>
      <c r="I519" s="29">
        <v>1</v>
      </c>
      <c r="J519" s="30">
        <v>1</v>
      </c>
      <c r="K519" s="31">
        <v>5.5999999999999999E-3</v>
      </c>
      <c r="L519" s="9">
        <v>649147853.41567302</v>
      </c>
      <c r="M519" s="9">
        <v>647666796.64810395</v>
      </c>
      <c r="N519" s="32">
        <f>MIN(MAX((B519-Calculation_Assumptions!$B$5+1)/Calculation_Assumptions!$B$7,0),1)</f>
        <v>1</v>
      </c>
      <c r="O519" s="21">
        <f t="shared" si="64"/>
        <v>649147853.41567302</v>
      </c>
      <c r="P519" s="21">
        <f t="shared" si="65"/>
        <v>647666796.64810395</v>
      </c>
      <c r="Q519" s="21">
        <f>P519*Calculation_Assumptions!$B$14*J519*K519</f>
        <v>0</v>
      </c>
      <c r="R519" s="21">
        <f t="shared" si="66"/>
        <v>3635227.9791277689</v>
      </c>
      <c r="S519" s="21">
        <f t="shared" si="67"/>
        <v>3635227.9791277689</v>
      </c>
      <c r="T519" s="32">
        <f>1/(1+Calculation_Assumptions!$B$8)^(B519-Calculation_Assumptions!$B$2)</f>
        <v>0.50669174842969467</v>
      </c>
      <c r="U519" s="21">
        <f t="shared" si="68"/>
        <v>0</v>
      </c>
      <c r="V519" s="21">
        <f t="shared" si="69"/>
        <v>1841940.0206847948</v>
      </c>
      <c r="W519" s="21">
        <f t="shared" si="70"/>
        <v>1841940.0206847948</v>
      </c>
      <c r="X519">
        <v>0</v>
      </c>
      <c r="Y519" s="18">
        <v>2017</v>
      </c>
      <c r="Z519" t="s">
        <v>387</v>
      </c>
      <c r="AA519" s="21">
        <f t="shared" si="71"/>
        <v>1</v>
      </c>
    </row>
    <row r="520" spans="1:27">
      <c r="A520" t="s">
        <v>76</v>
      </c>
      <c r="B520" s="18">
        <v>2049</v>
      </c>
      <c r="C520" t="s">
        <v>169</v>
      </c>
      <c r="D520" s="20" t="s">
        <v>380</v>
      </c>
      <c r="E520" s="20" t="s">
        <v>381</v>
      </c>
      <c r="F520" s="20" t="s">
        <v>177</v>
      </c>
      <c r="G520" s="20" t="s">
        <v>382</v>
      </c>
      <c r="H520" s="20" t="s">
        <v>384</v>
      </c>
      <c r="I520" s="29">
        <v>1</v>
      </c>
      <c r="J520" s="30">
        <v>1</v>
      </c>
      <c r="K520" s="31">
        <v>5.5999999999999999E-3</v>
      </c>
      <c r="L520" s="9">
        <v>651040967.5934</v>
      </c>
      <c r="M520" s="9">
        <v>649421968.02473402</v>
      </c>
      <c r="N520" s="32">
        <f>MIN(MAX((B520-Calculation_Assumptions!$B$5+1)/Calculation_Assumptions!$B$7,0),1)</f>
        <v>1</v>
      </c>
      <c r="O520" s="21">
        <f t="shared" si="64"/>
        <v>651040967.5934</v>
      </c>
      <c r="P520" s="21">
        <f t="shared" si="65"/>
        <v>649421968.02473402</v>
      </c>
      <c r="Q520" s="21">
        <f>P520*Calculation_Assumptions!$B$14*J520*K520</f>
        <v>0</v>
      </c>
      <c r="R520" s="21">
        <f t="shared" si="66"/>
        <v>3645829.4185230401</v>
      </c>
      <c r="S520" s="21">
        <f t="shared" si="67"/>
        <v>3645829.4185230401</v>
      </c>
      <c r="T520" s="32">
        <f>1/(1+Calculation_Assumptions!$B$8)^(B520-Calculation_Assumptions!$B$2)</f>
        <v>0.49193373633950943</v>
      </c>
      <c r="U520" s="21">
        <f t="shared" si="68"/>
        <v>0</v>
      </c>
      <c r="V520" s="21">
        <f t="shared" si="69"/>
        <v>1793506.4879105403</v>
      </c>
      <c r="W520" s="21">
        <f t="shared" si="70"/>
        <v>1793506.4879105403</v>
      </c>
      <c r="X520">
        <v>0</v>
      </c>
      <c r="Y520" s="18">
        <v>2017</v>
      </c>
      <c r="Z520" t="s">
        <v>387</v>
      </c>
      <c r="AA520" s="21">
        <f t="shared" si="71"/>
        <v>1</v>
      </c>
    </row>
    <row r="521" spans="1:27">
      <c r="A521" t="s">
        <v>76</v>
      </c>
      <c r="B521" s="18">
        <v>2050</v>
      </c>
      <c r="C521" t="s">
        <v>169</v>
      </c>
      <c r="D521" s="20" t="s">
        <v>380</v>
      </c>
      <c r="E521" s="20" t="s">
        <v>381</v>
      </c>
      <c r="F521" s="20" t="s">
        <v>177</v>
      </c>
      <c r="G521" s="20" t="s">
        <v>382</v>
      </c>
      <c r="H521" s="20" t="s">
        <v>384</v>
      </c>
      <c r="I521" s="29">
        <v>1</v>
      </c>
      <c r="J521" s="30">
        <v>1</v>
      </c>
      <c r="K521" s="31">
        <v>5.5999999999999999E-3</v>
      </c>
      <c r="L521" s="9">
        <v>652799148.10289598</v>
      </c>
      <c r="M521" s="9">
        <v>651074457.25957894</v>
      </c>
      <c r="N521" s="32">
        <f>MIN(MAX((B521-Calculation_Assumptions!$B$5+1)/Calculation_Assumptions!$B$7,0),1)</f>
        <v>1</v>
      </c>
      <c r="O521" s="21">
        <f t="shared" si="64"/>
        <v>652799148.10289598</v>
      </c>
      <c r="P521" s="21">
        <f t="shared" si="65"/>
        <v>651074457.25957894</v>
      </c>
      <c r="Q521" s="21">
        <f>P521*Calculation_Assumptions!$B$14*J521*K521</f>
        <v>0</v>
      </c>
      <c r="R521" s="21">
        <f t="shared" si="66"/>
        <v>3655675.2293762174</v>
      </c>
      <c r="S521" s="21">
        <f t="shared" si="67"/>
        <v>3655675.2293762174</v>
      </c>
      <c r="T521" s="32">
        <f>1/(1+Calculation_Assumptions!$B$8)^(B521-Calculation_Assumptions!$B$2)</f>
        <v>0.47760556926165965</v>
      </c>
      <c r="U521" s="21">
        <f t="shared" si="68"/>
        <v>0</v>
      </c>
      <c r="V521" s="21">
        <f t="shared" si="69"/>
        <v>1745970.8489619766</v>
      </c>
      <c r="W521" s="21">
        <f t="shared" si="70"/>
        <v>1745970.8489619766</v>
      </c>
      <c r="X521">
        <v>0</v>
      </c>
      <c r="Y521" s="18">
        <v>2017</v>
      </c>
      <c r="Z521" t="s">
        <v>387</v>
      </c>
      <c r="AA521" s="21">
        <f t="shared" si="71"/>
        <v>1</v>
      </c>
    </row>
    <row r="522" spans="1:27">
      <c r="A522" t="s">
        <v>76</v>
      </c>
      <c r="B522" s="18">
        <v>2025</v>
      </c>
      <c r="C522" t="s">
        <v>192</v>
      </c>
      <c r="D522" s="20" t="s">
        <v>389</v>
      </c>
      <c r="E522" s="20" t="s">
        <v>390</v>
      </c>
      <c r="F522" s="20" t="s">
        <v>195</v>
      </c>
      <c r="G522" s="20" t="s">
        <v>382</v>
      </c>
      <c r="H522" s="20" t="s">
        <v>384</v>
      </c>
      <c r="I522" s="29">
        <v>1</v>
      </c>
      <c r="J522" s="30">
        <v>1</v>
      </c>
      <c r="K522" s="31">
        <v>4.0000000000000001E-3</v>
      </c>
      <c r="L522" s="9">
        <v>575134853.59312999</v>
      </c>
      <c r="M522" s="9">
        <v>575134853.59312999</v>
      </c>
      <c r="N522" s="32">
        <f>MIN(MAX((B522-Calculation_Assumptions!$B$5+1)/Calculation_Assumptions!$B$7,0),1)</f>
        <v>0</v>
      </c>
      <c r="O522" s="21">
        <f t="shared" si="64"/>
        <v>575134853.59312999</v>
      </c>
      <c r="P522" s="21">
        <f t="shared" si="65"/>
        <v>575134853.59312999</v>
      </c>
      <c r="Q522" s="21">
        <f>P522*Calculation_Assumptions!$B$14*J522*K522</f>
        <v>0</v>
      </c>
      <c r="R522" s="21">
        <f t="shared" si="66"/>
        <v>0</v>
      </c>
      <c r="S522" s="21">
        <f t="shared" si="67"/>
        <v>0</v>
      </c>
      <c r="T522" s="32">
        <f>1/(1+Calculation_Assumptions!$B$8)^(B522-Calculation_Assumptions!$B$2)</f>
        <v>1</v>
      </c>
      <c r="U522" s="21">
        <f t="shared" si="68"/>
        <v>0</v>
      </c>
      <c r="V522" s="21">
        <f t="shared" si="69"/>
        <v>0</v>
      </c>
      <c r="W522" s="21">
        <f t="shared" si="70"/>
        <v>0</v>
      </c>
      <c r="X522">
        <v>0</v>
      </c>
      <c r="Y522" s="18">
        <v>2017</v>
      </c>
      <c r="Z522" t="s">
        <v>387</v>
      </c>
      <c r="AA522" s="21">
        <f t="shared" si="71"/>
        <v>1</v>
      </c>
    </row>
    <row r="523" spans="1:27">
      <c r="A523" t="s">
        <v>76</v>
      </c>
      <c r="B523" s="18">
        <v>2026</v>
      </c>
      <c r="C523" t="s">
        <v>192</v>
      </c>
      <c r="D523" s="20" t="s">
        <v>389</v>
      </c>
      <c r="E523" s="20" t="s">
        <v>390</v>
      </c>
      <c r="F523" s="20" t="s">
        <v>195</v>
      </c>
      <c r="G523" s="20" t="s">
        <v>382</v>
      </c>
      <c r="H523" s="20" t="s">
        <v>384</v>
      </c>
      <c r="I523" s="29">
        <v>1</v>
      </c>
      <c r="J523" s="30">
        <v>1</v>
      </c>
      <c r="K523" s="31">
        <v>4.0000000000000001E-3</v>
      </c>
      <c r="L523" s="9">
        <v>579268647.32329595</v>
      </c>
      <c r="M523" s="9">
        <v>579268647.32329595</v>
      </c>
      <c r="N523" s="32">
        <f>MIN(MAX((B523-Calculation_Assumptions!$B$5+1)/Calculation_Assumptions!$B$7,0),1)</f>
        <v>0.33333333333333331</v>
      </c>
      <c r="O523" s="21">
        <f t="shared" si="64"/>
        <v>579268647.32329595</v>
      </c>
      <c r="P523" s="21">
        <f t="shared" si="65"/>
        <v>579268647.32329595</v>
      </c>
      <c r="Q523" s="21">
        <f>P523*Calculation_Assumptions!$B$14*J523*K523</f>
        <v>0</v>
      </c>
      <c r="R523" s="21">
        <f t="shared" si="66"/>
        <v>772358.19643106125</v>
      </c>
      <c r="S523" s="21">
        <f t="shared" si="67"/>
        <v>772358.19643106125</v>
      </c>
      <c r="T523" s="32">
        <f>1/(1+Calculation_Assumptions!$B$8)^(B523-Calculation_Assumptions!$B$2)</f>
        <v>0.970873786407767</v>
      </c>
      <c r="U523" s="21">
        <f t="shared" si="68"/>
        <v>0</v>
      </c>
      <c r="V523" s="21">
        <f t="shared" si="69"/>
        <v>749862.32663209829</v>
      </c>
      <c r="W523" s="21">
        <f t="shared" si="70"/>
        <v>749862.32663209829</v>
      </c>
      <c r="X523">
        <v>0</v>
      </c>
      <c r="Y523" s="18">
        <v>2017</v>
      </c>
      <c r="Z523" t="s">
        <v>387</v>
      </c>
      <c r="AA523" s="21">
        <f t="shared" si="71"/>
        <v>1</v>
      </c>
    </row>
    <row r="524" spans="1:27">
      <c r="A524" t="s">
        <v>76</v>
      </c>
      <c r="B524" s="18">
        <v>2027</v>
      </c>
      <c r="C524" t="s">
        <v>192</v>
      </c>
      <c r="D524" s="20" t="s">
        <v>389</v>
      </c>
      <c r="E524" s="20" t="s">
        <v>390</v>
      </c>
      <c r="F524" s="20" t="s">
        <v>195</v>
      </c>
      <c r="G524" s="20" t="s">
        <v>382</v>
      </c>
      <c r="H524" s="20" t="s">
        <v>384</v>
      </c>
      <c r="I524" s="29">
        <v>1</v>
      </c>
      <c r="J524" s="30">
        <v>1</v>
      </c>
      <c r="K524" s="31">
        <v>4.0000000000000001E-3</v>
      </c>
      <c r="L524" s="9">
        <v>583039014.28645599</v>
      </c>
      <c r="M524" s="9">
        <v>583039014.28645599</v>
      </c>
      <c r="N524" s="32">
        <f>MIN(MAX((B524-Calculation_Assumptions!$B$5+1)/Calculation_Assumptions!$B$7,0),1)</f>
        <v>0.66666666666666663</v>
      </c>
      <c r="O524" s="21">
        <f t="shared" si="64"/>
        <v>583039014.28645599</v>
      </c>
      <c r="P524" s="21">
        <f t="shared" si="65"/>
        <v>583039014.28645599</v>
      </c>
      <c r="Q524" s="21">
        <f>P524*Calculation_Assumptions!$B$14*J524*K524</f>
        <v>0</v>
      </c>
      <c r="R524" s="21">
        <f t="shared" si="66"/>
        <v>1554770.7047638826</v>
      </c>
      <c r="S524" s="21">
        <f t="shared" si="67"/>
        <v>1554770.7047638826</v>
      </c>
      <c r="T524" s="32">
        <f>1/(1+Calculation_Assumptions!$B$8)^(B524-Calculation_Assumptions!$B$2)</f>
        <v>0.94259590913375435</v>
      </c>
      <c r="U524" s="21">
        <f t="shared" si="68"/>
        <v>0</v>
      </c>
      <c r="V524" s="21">
        <f t="shared" si="69"/>
        <v>1465520.50595144</v>
      </c>
      <c r="W524" s="21">
        <f t="shared" si="70"/>
        <v>1465520.50595144</v>
      </c>
      <c r="X524">
        <v>0</v>
      </c>
      <c r="Y524" s="18">
        <v>2017</v>
      </c>
      <c r="Z524" t="s">
        <v>387</v>
      </c>
      <c r="AA524" s="21">
        <f t="shared" si="71"/>
        <v>1</v>
      </c>
    </row>
    <row r="525" spans="1:27">
      <c r="A525" t="s">
        <v>76</v>
      </c>
      <c r="B525" s="18">
        <v>2028</v>
      </c>
      <c r="C525" t="s">
        <v>192</v>
      </c>
      <c r="D525" s="20" t="s">
        <v>389</v>
      </c>
      <c r="E525" s="20" t="s">
        <v>390</v>
      </c>
      <c r="F525" s="20" t="s">
        <v>195</v>
      </c>
      <c r="G525" s="20" t="s">
        <v>382</v>
      </c>
      <c r="H525" s="20" t="s">
        <v>384</v>
      </c>
      <c r="I525" s="29">
        <v>1</v>
      </c>
      <c r="J525" s="30">
        <v>1</v>
      </c>
      <c r="K525" s="31">
        <v>4.0000000000000001E-3</v>
      </c>
      <c r="L525" s="9">
        <v>587039795.04372799</v>
      </c>
      <c r="M525" s="9">
        <v>587035116.25746298</v>
      </c>
      <c r="N525" s="32">
        <f>MIN(MAX((B525-Calculation_Assumptions!$B$5+1)/Calculation_Assumptions!$B$7,0),1)</f>
        <v>1</v>
      </c>
      <c r="O525" s="21">
        <f t="shared" si="64"/>
        <v>587039795.04372799</v>
      </c>
      <c r="P525" s="21">
        <f t="shared" si="65"/>
        <v>587035116.25746298</v>
      </c>
      <c r="Q525" s="21">
        <f>P525*Calculation_Assumptions!$B$14*J525*K525</f>
        <v>0</v>
      </c>
      <c r="R525" s="21">
        <f t="shared" si="66"/>
        <v>2348159.1801749119</v>
      </c>
      <c r="S525" s="21">
        <f t="shared" si="67"/>
        <v>2348159.1801749119</v>
      </c>
      <c r="T525" s="32">
        <f>1/(1+Calculation_Assumptions!$B$8)^(B525-Calculation_Assumptions!$B$2)</f>
        <v>0.91514165935315961</v>
      </c>
      <c r="U525" s="21">
        <f t="shared" si="68"/>
        <v>0</v>
      </c>
      <c r="V525" s="21">
        <f t="shared" si="69"/>
        <v>2148898.2885706238</v>
      </c>
      <c r="W525" s="21">
        <f t="shared" si="70"/>
        <v>2148898.2885706238</v>
      </c>
      <c r="X525">
        <v>0</v>
      </c>
      <c r="Y525" s="18">
        <v>2017</v>
      </c>
      <c r="Z525" t="s">
        <v>387</v>
      </c>
      <c r="AA525" s="21">
        <f t="shared" si="71"/>
        <v>1</v>
      </c>
    </row>
    <row r="526" spans="1:27">
      <c r="A526" t="s">
        <v>76</v>
      </c>
      <c r="B526" s="18">
        <v>2029</v>
      </c>
      <c r="C526" t="s">
        <v>192</v>
      </c>
      <c r="D526" s="20" t="s">
        <v>389</v>
      </c>
      <c r="E526" s="20" t="s">
        <v>390</v>
      </c>
      <c r="F526" s="20" t="s">
        <v>195</v>
      </c>
      <c r="G526" s="20" t="s">
        <v>382</v>
      </c>
      <c r="H526" s="20" t="s">
        <v>384</v>
      </c>
      <c r="I526" s="29">
        <v>1</v>
      </c>
      <c r="J526" s="30">
        <v>1</v>
      </c>
      <c r="K526" s="31">
        <v>4.0000000000000001E-3</v>
      </c>
      <c r="L526" s="9">
        <v>590766467.10548604</v>
      </c>
      <c r="M526" s="9">
        <v>590968059.72178304</v>
      </c>
      <c r="N526" s="32">
        <f>MIN(MAX((B526-Calculation_Assumptions!$B$5+1)/Calculation_Assumptions!$B$7,0),1)</f>
        <v>1</v>
      </c>
      <c r="O526" s="21">
        <f t="shared" si="64"/>
        <v>590766467.10548604</v>
      </c>
      <c r="P526" s="21">
        <f t="shared" si="65"/>
        <v>590968059.72178304</v>
      </c>
      <c r="Q526" s="21">
        <f>P526*Calculation_Assumptions!$B$14*J526*K526</f>
        <v>0</v>
      </c>
      <c r="R526" s="21">
        <f t="shared" si="66"/>
        <v>2363065.8684219443</v>
      </c>
      <c r="S526" s="21">
        <f t="shared" si="67"/>
        <v>2363065.8684219443</v>
      </c>
      <c r="T526" s="32">
        <f>1/(1+Calculation_Assumptions!$B$8)^(B526-Calculation_Assumptions!$B$2)</f>
        <v>0.888487047915689</v>
      </c>
      <c r="U526" s="21">
        <f t="shared" si="68"/>
        <v>0</v>
      </c>
      <c r="V526" s="21">
        <f t="shared" si="69"/>
        <v>2099553.4174645371</v>
      </c>
      <c r="W526" s="21">
        <f t="shared" si="70"/>
        <v>2099553.4174645371</v>
      </c>
      <c r="X526">
        <v>0</v>
      </c>
      <c r="Y526" s="18">
        <v>2017</v>
      </c>
      <c r="Z526" t="s">
        <v>387</v>
      </c>
      <c r="AA526" s="21">
        <f t="shared" si="71"/>
        <v>1</v>
      </c>
    </row>
    <row r="527" spans="1:27">
      <c r="A527" t="s">
        <v>76</v>
      </c>
      <c r="B527" s="18">
        <v>2030</v>
      </c>
      <c r="C527" t="s">
        <v>192</v>
      </c>
      <c r="D527" s="20" t="s">
        <v>389</v>
      </c>
      <c r="E527" s="20" t="s">
        <v>390</v>
      </c>
      <c r="F527" s="20" t="s">
        <v>195</v>
      </c>
      <c r="G527" s="20" t="s">
        <v>382</v>
      </c>
      <c r="H527" s="20" t="s">
        <v>384</v>
      </c>
      <c r="I527" s="29">
        <v>1</v>
      </c>
      <c r="J527" s="30">
        <v>1</v>
      </c>
      <c r="K527" s="31">
        <v>4.0000000000000001E-3</v>
      </c>
      <c r="L527" s="9">
        <v>594652967.05338001</v>
      </c>
      <c r="M527" s="9">
        <v>594808018.62654305</v>
      </c>
      <c r="N527" s="32">
        <f>MIN(MAX((B527-Calculation_Assumptions!$B$5+1)/Calculation_Assumptions!$B$7,0),1)</f>
        <v>1</v>
      </c>
      <c r="O527" s="21">
        <f t="shared" si="64"/>
        <v>594652967.05338001</v>
      </c>
      <c r="P527" s="21">
        <f t="shared" si="65"/>
        <v>594808018.62654305</v>
      </c>
      <c r="Q527" s="21">
        <f>P527*Calculation_Assumptions!$B$14*J527*K527</f>
        <v>0</v>
      </c>
      <c r="R527" s="21">
        <f t="shared" si="66"/>
        <v>2378611.8682135199</v>
      </c>
      <c r="S527" s="21">
        <f t="shared" si="67"/>
        <v>2378611.8682135199</v>
      </c>
      <c r="T527" s="32">
        <f>1/(1+Calculation_Assumptions!$B$8)^(B527-Calculation_Assumptions!$B$2)</f>
        <v>0.86260878438416411</v>
      </c>
      <c r="U527" s="21">
        <f t="shared" si="68"/>
        <v>0</v>
      </c>
      <c r="V527" s="21">
        <f t="shared" si="69"/>
        <v>2051811.4921614099</v>
      </c>
      <c r="W527" s="21">
        <f t="shared" si="70"/>
        <v>2051811.4921614099</v>
      </c>
      <c r="X527">
        <v>0</v>
      </c>
      <c r="Y527" s="18">
        <v>2017</v>
      </c>
      <c r="Z527" t="s">
        <v>387</v>
      </c>
      <c r="AA527" s="21">
        <f t="shared" si="71"/>
        <v>1</v>
      </c>
    </row>
    <row r="528" spans="1:27">
      <c r="A528" t="s">
        <v>76</v>
      </c>
      <c r="B528" s="18">
        <v>2031</v>
      </c>
      <c r="C528" t="s">
        <v>192</v>
      </c>
      <c r="D528" s="20" t="s">
        <v>389</v>
      </c>
      <c r="E528" s="20" t="s">
        <v>390</v>
      </c>
      <c r="F528" s="20" t="s">
        <v>195</v>
      </c>
      <c r="G528" s="20" t="s">
        <v>382</v>
      </c>
      <c r="H528" s="20" t="s">
        <v>384</v>
      </c>
      <c r="I528" s="29">
        <v>1</v>
      </c>
      <c r="J528" s="30">
        <v>1</v>
      </c>
      <c r="K528" s="31">
        <v>4.0000000000000001E-3</v>
      </c>
      <c r="L528" s="9">
        <v>598482853.08345401</v>
      </c>
      <c r="M528" s="9">
        <v>598581381.03442597</v>
      </c>
      <c r="N528" s="32">
        <f>MIN(MAX((B528-Calculation_Assumptions!$B$5+1)/Calculation_Assumptions!$B$7,0),1)</f>
        <v>1</v>
      </c>
      <c r="O528" s="21">
        <f t="shared" si="64"/>
        <v>598482853.08345401</v>
      </c>
      <c r="P528" s="21">
        <f t="shared" si="65"/>
        <v>598581381.03442597</v>
      </c>
      <c r="Q528" s="21">
        <f>P528*Calculation_Assumptions!$B$14*J528*K528</f>
        <v>0</v>
      </c>
      <c r="R528" s="21">
        <f t="shared" si="66"/>
        <v>2393931.4123338163</v>
      </c>
      <c r="S528" s="21">
        <f t="shared" si="67"/>
        <v>2393931.4123338163</v>
      </c>
      <c r="T528" s="32">
        <f>1/(1+Calculation_Assumptions!$B$8)^(B528-Calculation_Assumptions!$B$2)</f>
        <v>0.83748425668365445</v>
      </c>
      <c r="U528" s="21">
        <f t="shared" si="68"/>
        <v>0</v>
      </c>
      <c r="V528" s="21">
        <f t="shared" si="69"/>
        <v>2004879.8694100373</v>
      </c>
      <c r="W528" s="21">
        <f t="shared" si="70"/>
        <v>2004879.8694100373</v>
      </c>
      <c r="X528">
        <v>0</v>
      </c>
      <c r="Y528" s="18">
        <v>2017</v>
      </c>
      <c r="Z528" t="s">
        <v>387</v>
      </c>
      <c r="AA528" s="21">
        <f t="shared" si="71"/>
        <v>1</v>
      </c>
    </row>
    <row r="529" spans="1:27">
      <c r="A529" t="s">
        <v>76</v>
      </c>
      <c r="B529" s="18">
        <v>2032</v>
      </c>
      <c r="C529" t="s">
        <v>192</v>
      </c>
      <c r="D529" s="20" t="s">
        <v>389</v>
      </c>
      <c r="E529" s="20" t="s">
        <v>390</v>
      </c>
      <c r="F529" s="20" t="s">
        <v>195</v>
      </c>
      <c r="G529" s="20" t="s">
        <v>382</v>
      </c>
      <c r="H529" s="20" t="s">
        <v>384</v>
      </c>
      <c r="I529" s="29">
        <v>1</v>
      </c>
      <c r="J529" s="30">
        <v>1</v>
      </c>
      <c r="K529" s="31">
        <v>4.0000000000000001E-3</v>
      </c>
      <c r="L529" s="9">
        <v>602252425.332353</v>
      </c>
      <c r="M529" s="9">
        <v>602283583.58638096</v>
      </c>
      <c r="N529" s="32">
        <f>MIN(MAX((B529-Calculation_Assumptions!$B$5+1)/Calculation_Assumptions!$B$7,0),1)</f>
        <v>1</v>
      </c>
      <c r="O529" s="21">
        <f t="shared" si="64"/>
        <v>602252425.332353</v>
      </c>
      <c r="P529" s="21">
        <f t="shared" si="65"/>
        <v>602283583.58638096</v>
      </c>
      <c r="Q529" s="21">
        <f>P529*Calculation_Assumptions!$B$14*J529*K529</f>
        <v>0</v>
      </c>
      <c r="R529" s="21">
        <f t="shared" si="66"/>
        <v>2409009.7013294119</v>
      </c>
      <c r="S529" s="21">
        <f t="shared" si="67"/>
        <v>2409009.7013294119</v>
      </c>
      <c r="T529" s="32">
        <f>1/(1+Calculation_Assumptions!$B$8)^(B529-Calculation_Assumptions!$B$2)</f>
        <v>0.81309151134335378</v>
      </c>
      <c r="U529" s="21">
        <f t="shared" si="68"/>
        <v>0</v>
      </c>
      <c r="V529" s="21">
        <f t="shared" si="69"/>
        <v>1958745.3388947328</v>
      </c>
      <c r="W529" s="21">
        <f t="shared" si="70"/>
        <v>1958745.3388947328</v>
      </c>
      <c r="X529">
        <v>0</v>
      </c>
      <c r="Y529" s="18">
        <v>2017</v>
      </c>
      <c r="Z529" t="s">
        <v>387</v>
      </c>
      <c r="AA529" s="21">
        <f t="shared" si="71"/>
        <v>1</v>
      </c>
    </row>
    <row r="530" spans="1:27">
      <c r="A530" t="s">
        <v>76</v>
      </c>
      <c r="B530" s="18">
        <v>2033</v>
      </c>
      <c r="C530" t="s">
        <v>192</v>
      </c>
      <c r="D530" s="20" t="s">
        <v>389</v>
      </c>
      <c r="E530" s="20" t="s">
        <v>390</v>
      </c>
      <c r="F530" s="20" t="s">
        <v>195</v>
      </c>
      <c r="G530" s="20" t="s">
        <v>382</v>
      </c>
      <c r="H530" s="20" t="s">
        <v>384</v>
      </c>
      <c r="I530" s="29">
        <v>1</v>
      </c>
      <c r="J530" s="30">
        <v>1</v>
      </c>
      <c r="K530" s="31">
        <v>4.0000000000000001E-3</v>
      </c>
      <c r="L530" s="9">
        <v>605955528.04318595</v>
      </c>
      <c r="M530" s="9">
        <v>605911902.99473</v>
      </c>
      <c r="N530" s="32">
        <f>MIN(MAX((B530-Calculation_Assumptions!$B$5+1)/Calculation_Assumptions!$B$7,0),1)</f>
        <v>1</v>
      </c>
      <c r="O530" s="21">
        <f t="shared" si="64"/>
        <v>605955528.04318595</v>
      </c>
      <c r="P530" s="21">
        <f t="shared" si="65"/>
        <v>605911902.99473</v>
      </c>
      <c r="Q530" s="21">
        <f>P530*Calculation_Assumptions!$B$14*J530*K530</f>
        <v>0</v>
      </c>
      <c r="R530" s="21">
        <f t="shared" si="66"/>
        <v>2423822.1121727438</v>
      </c>
      <c r="S530" s="21">
        <f t="shared" si="67"/>
        <v>2423822.1121727438</v>
      </c>
      <c r="T530" s="32">
        <f>1/(1+Calculation_Assumptions!$B$8)^(B530-Calculation_Assumptions!$B$2)</f>
        <v>0.78940923431393573</v>
      </c>
      <c r="U530" s="21">
        <f t="shared" si="68"/>
        <v>0</v>
      </c>
      <c r="V530" s="21">
        <f t="shared" si="69"/>
        <v>1913387.5576834721</v>
      </c>
      <c r="W530" s="21">
        <f t="shared" si="70"/>
        <v>1913387.5576834721</v>
      </c>
      <c r="X530">
        <v>0</v>
      </c>
      <c r="Y530" s="18">
        <v>2017</v>
      </c>
      <c r="Z530" t="s">
        <v>387</v>
      </c>
      <c r="AA530" s="21">
        <f t="shared" si="71"/>
        <v>1</v>
      </c>
    </row>
    <row r="531" spans="1:27">
      <c r="A531" t="s">
        <v>76</v>
      </c>
      <c r="B531" s="18">
        <v>2034</v>
      </c>
      <c r="C531" t="s">
        <v>192</v>
      </c>
      <c r="D531" s="20" t="s">
        <v>389</v>
      </c>
      <c r="E531" s="20" t="s">
        <v>390</v>
      </c>
      <c r="F531" s="20" t="s">
        <v>195</v>
      </c>
      <c r="G531" s="20" t="s">
        <v>382</v>
      </c>
      <c r="H531" s="20" t="s">
        <v>384</v>
      </c>
      <c r="I531" s="29">
        <v>1</v>
      </c>
      <c r="J531" s="30">
        <v>1</v>
      </c>
      <c r="K531" s="31">
        <v>4.0000000000000001E-3</v>
      </c>
      <c r="L531" s="9">
        <v>609560284.09550095</v>
      </c>
      <c r="M531" s="9">
        <v>609455548.12077105</v>
      </c>
      <c r="N531" s="32">
        <f>MIN(MAX((B531-Calculation_Assumptions!$B$5+1)/Calculation_Assumptions!$B$7,0),1)</f>
        <v>1</v>
      </c>
      <c r="O531" s="21">
        <f t="shared" si="64"/>
        <v>609560284.09550095</v>
      </c>
      <c r="P531" s="21">
        <f t="shared" si="65"/>
        <v>609455548.12077105</v>
      </c>
      <c r="Q531" s="21">
        <f>P531*Calculation_Assumptions!$B$14*J531*K531</f>
        <v>0</v>
      </c>
      <c r="R531" s="21">
        <f t="shared" si="66"/>
        <v>2438241.1363820038</v>
      </c>
      <c r="S531" s="21">
        <f t="shared" si="67"/>
        <v>2438241.1363820038</v>
      </c>
      <c r="T531" s="32">
        <f>1/(1+Calculation_Assumptions!$B$8)^(B531-Calculation_Assumptions!$B$2)</f>
        <v>0.76641673234362695</v>
      </c>
      <c r="U531" s="21">
        <f t="shared" si="68"/>
        <v>0</v>
      </c>
      <c r="V531" s="21">
        <f t="shared" si="69"/>
        <v>1868708.804411707</v>
      </c>
      <c r="W531" s="21">
        <f t="shared" si="70"/>
        <v>1868708.804411707</v>
      </c>
      <c r="X531">
        <v>0</v>
      </c>
      <c r="Y531" s="18">
        <v>2017</v>
      </c>
      <c r="Z531" t="s">
        <v>387</v>
      </c>
      <c r="AA531" s="21">
        <f t="shared" si="71"/>
        <v>1</v>
      </c>
    </row>
    <row r="532" spans="1:27">
      <c r="A532" t="s">
        <v>76</v>
      </c>
      <c r="B532" s="18">
        <v>2035</v>
      </c>
      <c r="C532" t="s">
        <v>192</v>
      </c>
      <c r="D532" s="20" t="s">
        <v>389</v>
      </c>
      <c r="E532" s="20" t="s">
        <v>390</v>
      </c>
      <c r="F532" s="20" t="s">
        <v>195</v>
      </c>
      <c r="G532" s="20" t="s">
        <v>382</v>
      </c>
      <c r="H532" s="20" t="s">
        <v>384</v>
      </c>
      <c r="I532" s="29">
        <v>1</v>
      </c>
      <c r="J532" s="30">
        <v>1</v>
      </c>
      <c r="K532" s="31">
        <v>4.0000000000000001E-3</v>
      </c>
      <c r="L532" s="9">
        <v>613092698.26085901</v>
      </c>
      <c r="M532" s="9">
        <v>612884294.47334194</v>
      </c>
      <c r="N532" s="32">
        <f>MIN(MAX((B532-Calculation_Assumptions!$B$5+1)/Calculation_Assumptions!$B$7,0),1)</f>
        <v>1</v>
      </c>
      <c r="O532" s="21">
        <f t="shared" si="64"/>
        <v>613092698.26085901</v>
      </c>
      <c r="P532" s="21">
        <f t="shared" si="65"/>
        <v>612884294.47334194</v>
      </c>
      <c r="Q532" s="21">
        <f>P532*Calculation_Assumptions!$B$14*J532*K532</f>
        <v>0</v>
      </c>
      <c r="R532" s="21">
        <f t="shared" si="66"/>
        <v>2452370.793043436</v>
      </c>
      <c r="S532" s="21">
        <f t="shared" si="67"/>
        <v>2452370.793043436</v>
      </c>
      <c r="T532" s="32">
        <f>1/(1+Calculation_Assumptions!$B$8)^(B532-Calculation_Assumptions!$B$2)</f>
        <v>0.74409391489672516</v>
      </c>
      <c r="U532" s="21">
        <f t="shared" si="68"/>
        <v>0</v>
      </c>
      <c r="V532" s="21">
        <f t="shared" si="69"/>
        <v>1824794.1841740769</v>
      </c>
      <c r="W532" s="21">
        <f t="shared" si="70"/>
        <v>1824794.1841740769</v>
      </c>
      <c r="X532">
        <v>0</v>
      </c>
      <c r="Y532" s="18">
        <v>2017</v>
      </c>
      <c r="Z532" t="s">
        <v>387</v>
      </c>
      <c r="AA532" s="21">
        <f t="shared" si="71"/>
        <v>1</v>
      </c>
    </row>
    <row r="533" spans="1:27">
      <c r="A533" t="s">
        <v>76</v>
      </c>
      <c r="B533" s="18">
        <v>2036</v>
      </c>
      <c r="C533" t="s">
        <v>192</v>
      </c>
      <c r="D533" s="20" t="s">
        <v>389</v>
      </c>
      <c r="E533" s="20" t="s">
        <v>390</v>
      </c>
      <c r="F533" s="20" t="s">
        <v>195</v>
      </c>
      <c r="G533" s="20" t="s">
        <v>382</v>
      </c>
      <c r="H533" s="20" t="s">
        <v>384</v>
      </c>
      <c r="I533" s="29">
        <v>1</v>
      </c>
      <c r="J533" s="30">
        <v>1</v>
      </c>
      <c r="K533" s="31">
        <v>4.0000000000000001E-3</v>
      </c>
      <c r="L533" s="9">
        <v>616539654.35734701</v>
      </c>
      <c r="M533" s="9">
        <v>616262053.85817397</v>
      </c>
      <c r="N533" s="32">
        <f>MIN(MAX((B533-Calculation_Assumptions!$B$5+1)/Calculation_Assumptions!$B$7,0),1)</f>
        <v>1</v>
      </c>
      <c r="O533" s="21">
        <f t="shared" si="64"/>
        <v>616539654.35734701</v>
      </c>
      <c r="P533" s="21">
        <f t="shared" si="65"/>
        <v>616262053.85817397</v>
      </c>
      <c r="Q533" s="21">
        <f>P533*Calculation_Assumptions!$B$14*J533*K533</f>
        <v>0</v>
      </c>
      <c r="R533" s="21">
        <f t="shared" si="66"/>
        <v>2466158.6174293882</v>
      </c>
      <c r="S533" s="21">
        <f t="shared" si="67"/>
        <v>2466158.6174293882</v>
      </c>
      <c r="T533" s="32">
        <f>1/(1+Calculation_Assumptions!$B$8)^(B533-Calculation_Assumptions!$B$2)</f>
        <v>0.72242127659876232</v>
      </c>
      <c r="U533" s="21">
        <f t="shared" si="68"/>
        <v>0</v>
      </c>
      <c r="V533" s="21">
        <f t="shared" si="69"/>
        <v>1781605.4566983774</v>
      </c>
      <c r="W533" s="21">
        <f t="shared" si="70"/>
        <v>1781605.4566983774</v>
      </c>
      <c r="X533">
        <v>0</v>
      </c>
      <c r="Y533" s="18">
        <v>2017</v>
      </c>
      <c r="Z533" t="s">
        <v>387</v>
      </c>
      <c r="AA533" s="21">
        <f t="shared" si="71"/>
        <v>1</v>
      </c>
    </row>
    <row r="534" spans="1:27">
      <c r="A534" t="s">
        <v>76</v>
      </c>
      <c r="B534" s="18">
        <v>2037</v>
      </c>
      <c r="C534" t="s">
        <v>192</v>
      </c>
      <c r="D534" s="20" t="s">
        <v>389</v>
      </c>
      <c r="E534" s="20" t="s">
        <v>390</v>
      </c>
      <c r="F534" s="20" t="s">
        <v>195</v>
      </c>
      <c r="G534" s="20" t="s">
        <v>382</v>
      </c>
      <c r="H534" s="20" t="s">
        <v>384</v>
      </c>
      <c r="I534" s="29">
        <v>1</v>
      </c>
      <c r="J534" s="30">
        <v>1</v>
      </c>
      <c r="K534" s="31">
        <v>4.0000000000000001E-3</v>
      </c>
      <c r="L534" s="9">
        <v>619898345.122545</v>
      </c>
      <c r="M534" s="9">
        <v>619529380.90729904</v>
      </c>
      <c r="N534" s="32">
        <f>MIN(MAX((B534-Calculation_Assumptions!$B$5+1)/Calculation_Assumptions!$B$7,0),1)</f>
        <v>1</v>
      </c>
      <c r="O534" s="21">
        <f t="shared" si="64"/>
        <v>619898345.122545</v>
      </c>
      <c r="P534" s="21">
        <f t="shared" si="65"/>
        <v>619529380.90729904</v>
      </c>
      <c r="Q534" s="21">
        <f>P534*Calculation_Assumptions!$B$14*J534*K534</f>
        <v>0</v>
      </c>
      <c r="R534" s="21">
        <f t="shared" si="66"/>
        <v>2479593.3804901801</v>
      </c>
      <c r="S534" s="21">
        <f t="shared" si="67"/>
        <v>2479593.3804901801</v>
      </c>
      <c r="T534" s="32">
        <f>1/(1+Calculation_Assumptions!$B$8)^(B534-Calculation_Assumptions!$B$2)</f>
        <v>0.70137988019297326</v>
      </c>
      <c r="U534" s="21">
        <f t="shared" si="68"/>
        <v>0</v>
      </c>
      <c r="V534" s="21">
        <f t="shared" si="69"/>
        <v>1739136.9081354921</v>
      </c>
      <c r="W534" s="21">
        <f t="shared" si="70"/>
        <v>1739136.9081354921</v>
      </c>
      <c r="X534">
        <v>0</v>
      </c>
      <c r="Y534" s="18">
        <v>2017</v>
      </c>
      <c r="Z534" t="s">
        <v>387</v>
      </c>
      <c r="AA534" s="21">
        <f t="shared" si="71"/>
        <v>1</v>
      </c>
    </row>
    <row r="535" spans="1:27">
      <c r="A535" t="s">
        <v>76</v>
      </c>
      <c r="B535" s="18">
        <v>2038</v>
      </c>
      <c r="C535" t="s">
        <v>192</v>
      </c>
      <c r="D535" s="20" t="s">
        <v>389</v>
      </c>
      <c r="E535" s="20" t="s">
        <v>390</v>
      </c>
      <c r="F535" s="20" t="s">
        <v>195</v>
      </c>
      <c r="G535" s="20" t="s">
        <v>382</v>
      </c>
      <c r="H535" s="20" t="s">
        <v>384</v>
      </c>
      <c r="I535" s="29">
        <v>1</v>
      </c>
      <c r="J535" s="30">
        <v>1</v>
      </c>
      <c r="K535" s="31">
        <v>4.0000000000000001E-3</v>
      </c>
      <c r="L535" s="9">
        <v>623157085.01735401</v>
      </c>
      <c r="M535" s="9">
        <v>622673191.62836504</v>
      </c>
      <c r="N535" s="32">
        <f>MIN(MAX((B535-Calculation_Assumptions!$B$5+1)/Calculation_Assumptions!$B$7,0),1)</f>
        <v>1</v>
      </c>
      <c r="O535" s="21">
        <f t="shared" si="64"/>
        <v>623157085.01735401</v>
      </c>
      <c r="P535" s="21">
        <f t="shared" si="65"/>
        <v>622673191.62836504</v>
      </c>
      <c r="Q535" s="21">
        <f>P535*Calculation_Assumptions!$B$14*J535*K535</f>
        <v>0</v>
      </c>
      <c r="R535" s="21">
        <f t="shared" si="66"/>
        <v>2492628.340069416</v>
      </c>
      <c r="S535" s="21">
        <f t="shared" si="67"/>
        <v>2492628.340069416</v>
      </c>
      <c r="T535" s="32">
        <f>1/(1+Calculation_Assumptions!$B$8)^(B535-Calculation_Assumptions!$B$2)</f>
        <v>0.68095133999317792</v>
      </c>
      <c r="U535" s="21">
        <f t="shared" si="68"/>
        <v>0</v>
      </c>
      <c r="V535" s="21">
        <f t="shared" si="69"/>
        <v>1697358.6082752396</v>
      </c>
      <c r="W535" s="21">
        <f t="shared" si="70"/>
        <v>1697358.6082752396</v>
      </c>
      <c r="X535">
        <v>0</v>
      </c>
      <c r="Y535" s="18">
        <v>2017</v>
      </c>
      <c r="Z535" t="s">
        <v>387</v>
      </c>
      <c r="AA535" s="21">
        <f t="shared" si="71"/>
        <v>1</v>
      </c>
    </row>
    <row r="536" spans="1:27">
      <c r="A536" t="s">
        <v>76</v>
      </c>
      <c r="B536" s="18">
        <v>2039</v>
      </c>
      <c r="C536" t="s">
        <v>192</v>
      </c>
      <c r="D536" s="20" t="s">
        <v>389</v>
      </c>
      <c r="E536" s="20" t="s">
        <v>390</v>
      </c>
      <c r="F536" s="20" t="s">
        <v>195</v>
      </c>
      <c r="G536" s="20" t="s">
        <v>382</v>
      </c>
      <c r="H536" s="20" t="s">
        <v>384</v>
      </c>
      <c r="I536" s="29">
        <v>1</v>
      </c>
      <c r="J536" s="30">
        <v>1</v>
      </c>
      <c r="K536" s="31">
        <v>4.0000000000000001E-3</v>
      </c>
      <c r="L536" s="9">
        <v>626312438.007918</v>
      </c>
      <c r="M536" s="9">
        <v>625731758.218045</v>
      </c>
      <c r="N536" s="32">
        <f>MIN(MAX((B536-Calculation_Assumptions!$B$5+1)/Calculation_Assumptions!$B$7,0),1)</f>
        <v>1</v>
      </c>
      <c r="O536" s="21">
        <f t="shared" si="64"/>
        <v>626312438.007918</v>
      </c>
      <c r="P536" s="21">
        <f t="shared" si="65"/>
        <v>625731758.218045</v>
      </c>
      <c r="Q536" s="21">
        <f>P536*Calculation_Assumptions!$B$14*J536*K536</f>
        <v>0</v>
      </c>
      <c r="R536" s="21">
        <f t="shared" si="66"/>
        <v>2505249.7520316723</v>
      </c>
      <c r="S536" s="21">
        <f t="shared" si="67"/>
        <v>2505249.7520316723</v>
      </c>
      <c r="T536" s="32">
        <f>1/(1+Calculation_Assumptions!$B$8)^(B536-Calculation_Assumptions!$B$2)</f>
        <v>0.66111780581861923</v>
      </c>
      <c r="U536" s="21">
        <f t="shared" si="68"/>
        <v>0</v>
      </c>
      <c r="V536" s="21">
        <f t="shared" si="69"/>
        <v>1656265.2190908191</v>
      </c>
      <c r="W536" s="21">
        <f t="shared" si="70"/>
        <v>1656265.2190908191</v>
      </c>
      <c r="X536">
        <v>0</v>
      </c>
      <c r="Y536" s="18">
        <v>2017</v>
      </c>
      <c r="Z536" t="s">
        <v>387</v>
      </c>
      <c r="AA536" s="21">
        <f t="shared" si="71"/>
        <v>1</v>
      </c>
    </row>
    <row r="537" spans="1:27">
      <c r="A537" t="s">
        <v>76</v>
      </c>
      <c r="B537" s="18">
        <v>2040</v>
      </c>
      <c r="C537" t="s">
        <v>192</v>
      </c>
      <c r="D537" s="20" t="s">
        <v>389</v>
      </c>
      <c r="E537" s="20" t="s">
        <v>390</v>
      </c>
      <c r="F537" s="20" t="s">
        <v>195</v>
      </c>
      <c r="G537" s="20" t="s">
        <v>382</v>
      </c>
      <c r="H537" s="20" t="s">
        <v>384</v>
      </c>
      <c r="I537" s="29">
        <v>1</v>
      </c>
      <c r="J537" s="30">
        <v>1</v>
      </c>
      <c r="K537" s="31">
        <v>4.0000000000000001E-3</v>
      </c>
      <c r="L537" s="9">
        <v>629347032.33731306</v>
      </c>
      <c r="M537" s="9">
        <v>628667498.21665299</v>
      </c>
      <c r="N537" s="32">
        <f>MIN(MAX((B537-Calculation_Assumptions!$B$5+1)/Calculation_Assumptions!$B$7,0),1)</f>
        <v>1</v>
      </c>
      <c r="O537" s="21">
        <f t="shared" si="64"/>
        <v>629347032.33731306</v>
      </c>
      <c r="P537" s="21">
        <f t="shared" si="65"/>
        <v>628667498.21665299</v>
      </c>
      <c r="Q537" s="21">
        <f>P537*Calculation_Assumptions!$B$14*J537*K537</f>
        <v>0</v>
      </c>
      <c r="R537" s="21">
        <f t="shared" si="66"/>
        <v>2517388.1293492522</v>
      </c>
      <c r="S537" s="21">
        <f t="shared" si="67"/>
        <v>2517388.1293492522</v>
      </c>
      <c r="T537" s="32">
        <f>1/(1+Calculation_Assumptions!$B$8)^(B537-Calculation_Assumptions!$B$2)</f>
        <v>0.64186194739671765</v>
      </c>
      <c r="U537" s="21">
        <f t="shared" si="68"/>
        <v>0</v>
      </c>
      <c r="V537" s="21">
        <f t="shared" si="69"/>
        <v>1615815.6470574911</v>
      </c>
      <c r="W537" s="21">
        <f t="shared" si="70"/>
        <v>1615815.6470574911</v>
      </c>
      <c r="X537">
        <v>0</v>
      </c>
      <c r="Y537" s="18">
        <v>2017</v>
      </c>
      <c r="Z537" t="s">
        <v>387</v>
      </c>
      <c r="AA537" s="21">
        <f t="shared" si="71"/>
        <v>1</v>
      </c>
    </row>
    <row r="538" spans="1:27">
      <c r="A538" t="s">
        <v>76</v>
      </c>
      <c r="B538" s="18">
        <v>2041</v>
      </c>
      <c r="C538" t="s">
        <v>192</v>
      </c>
      <c r="D538" s="20" t="s">
        <v>389</v>
      </c>
      <c r="E538" s="20" t="s">
        <v>390</v>
      </c>
      <c r="F538" s="20" t="s">
        <v>195</v>
      </c>
      <c r="G538" s="20" t="s">
        <v>382</v>
      </c>
      <c r="H538" s="20" t="s">
        <v>384</v>
      </c>
      <c r="I538" s="29">
        <v>1</v>
      </c>
      <c r="J538" s="30">
        <v>1</v>
      </c>
      <c r="K538" s="31">
        <v>4.0000000000000001E-3</v>
      </c>
      <c r="L538" s="9">
        <v>632268493.39175498</v>
      </c>
      <c r="M538" s="9">
        <v>631488405.68781996</v>
      </c>
      <c r="N538" s="32">
        <f>MIN(MAX((B538-Calculation_Assumptions!$B$5+1)/Calculation_Assumptions!$B$7,0),1)</f>
        <v>1</v>
      </c>
      <c r="O538" s="21">
        <f t="shared" si="64"/>
        <v>632268493.39175498</v>
      </c>
      <c r="P538" s="21">
        <f t="shared" si="65"/>
        <v>631488405.68781996</v>
      </c>
      <c r="Q538" s="21">
        <f>P538*Calculation_Assumptions!$B$14*J538*K538</f>
        <v>0</v>
      </c>
      <c r="R538" s="21">
        <f t="shared" si="66"/>
        <v>2529073.9735670201</v>
      </c>
      <c r="S538" s="21">
        <f t="shared" si="67"/>
        <v>2529073.9735670201</v>
      </c>
      <c r="T538" s="32">
        <f>1/(1+Calculation_Assumptions!$B$8)^(B538-Calculation_Assumptions!$B$2)</f>
        <v>0.62316693922011435</v>
      </c>
      <c r="U538" s="21">
        <f t="shared" si="68"/>
        <v>0</v>
      </c>
      <c r="V538" s="21">
        <f t="shared" si="69"/>
        <v>1576035.2871690122</v>
      </c>
      <c r="W538" s="21">
        <f t="shared" si="70"/>
        <v>1576035.2871690122</v>
      </c>
      <c r="X538">
        <v>0</v>
      </c>
      <c r="Y538" s="18">
        <v>2017</v>
      </c>
      <c r="Z538" t="s">
        <v>387</v>
      </c>
      <c r="AA538" s="21">
        <f t="shared" si="71"/>
        <v>1</v>
      </c>
    </row>
    <row r="539" spans="1:27">
      <c r="A539" t="s">
        <v>76</v>
      </c>
      <c r="B539" s="18">
        <v>2042</v>
      </c>
      <c r="C539" t="s">
        <v>192</v>
      </c>
      <c r="D539" s="20" t="s">
        <v>389</v>
      </c>
      <c r="E539" s="20" t="s">
        <v>390</v>
      </c>
      <c r="F539" s="20" t="s">
        <v>195</v>
      </c>
      <c r="G539" s="20" t="s">
        <v>382</v>
      </c>
      <c r="H539" s="20" t="s">
        <v>384</v>
      </c>
      <c r="I539" s="29">
        <v>1</v>
      </c>
      <c r="J539" s="30">
        <v>1</v>
      </c>
      <c r="K539" s="31">
        <v>4.0000000000000001E-3</v>
      </c>
      <c r="L539" s="9">
        <v>635066634.14519799</v>
      </c>
      <c r="M539" s="9">
        <v>634184560.98858297</v>
      </c>
      <c r="N539" s="32">
        <f>MIN(MAX((B539-Calculation_Assumptions!$B$5+1)/Calculation_Assumptions!$B$7,0),1)</f>
        <v>1</v>
      </c>
      <c r="O539" s="21">
        <f t="shared" si="64"/>
        <v>635066634.14519799</v>
      </c>
      <c r="P539" s="21">
        <f t="shared" si="65"/>
        <v>634184560.98858297</v>
      </c>
      <c r="Q539" s="21">
        <f>P539*Calculation_Assumptions!$B$14*J539*K539</f>
        <v>0</v>
      </c>
      <c r="R539" s="21">
        <f t="shared" si="66"/>
        <v>2540266.5365807922</v>
      </c>
      <c r="S539" s="21">
        <f t="shared" si="67"/>
        <v>2540266.5365807922</v>
      </c>
      <c r="T539" s="32">
        <f>1/(1+Calculation_Assumptions!$B$8)^(B539-Calculation_Assumptions!$B$2)</f>
        <v>0.60501644584477121</v>
      </c>
      <c r="U539" s="21">
        <f t="shared" si="68"/>
        <v>0</v>
      </c>
      <c r="V539" s="21">
        <f t="shared" si="69"/>
        <v>1536903.0314605173</v>
      </c>
      <c r="W539" s="21">
        <f t="shared" si="70"/>
        <v>1536903.0314605173</v>
      </c>
      <c r="X539">
        <v>0</v>
      </c>
      <c r="Y539" s="18">
        <v>2017</v>
      </c>
      <c r="Z539" t="s">
        <v>387</v>
      </c>
      <c r="AA539" s="21">
        <f t="shared" si="71"/>
        <v>1</v>
      </c>
    </row>
    <row r="540" spans="1:27">
      <c r="A540" t="s">
        <v>76</v>
      </c>
      <c r="B540" s="18">
        <v>2043</v>
      </c>
      <c r="C540" t="s">
        <v>192</v>
      </c>
      <c r="D540" s="20" t="s">
        <v>389</v>
      </c>
      <c r="E540" s="20" t="s">
        <v>390</v>
      </c>
      <c r="F540" s="20" t="s">
        <v>195</v>
      </c>
      <c r="G540" s="20" t="s">
        <v>382</v>
      </c>
      <c r="H540" s="20" t="s">
        <v>384</v>
      </c>
      <c r="I540" s="29">
        <v>1</v>
      </c>
      <c r="J540" s="30">
        <v>1</v>
      </c>
      <c r="K540" s="31">
        <v>4.0000000000000001E-3</v>
      </c>
      <c r="L540" s="9">
        <v>637740511.15042996</v>
      </c>
      <c r="M540" s="9">
        <v>636767020.67603099</v>
      </c>
      <c r="N540" s="32">
        <f>MIN(MAX((B540-Calculation_Assumptions!$B$5+1)/Calculation_Assumptions!$B$7,0),1)</f>
        <v>1</v>
      </c>
      <c r="O540" s="21">
        <f t="shared" si="64"/>
        <v>637740511.15042996</v>
      </c>
      <c r="P540" s="21">
        <f t="shared" si="65"/>
        <v>636767020.67603099</v>
      </c>
      <c r="Q540" s="21">
        <f>P540*Calculation_Assumptions!$B$14*J540*K540</f>
        <v>0</v>
      </c>
      <c r="R540" s="21">
        <f t="shared" si="66"/>
        <v>2550962.0446017198</v>
      </c>
      <c r="S540" s="21">
        <f t="shared" si="67"/>
        <v>2550962.0446017198</v>
      </c>
      <c r="T540" s="32">
        <f>1/(1+Calculation_Assumptions!$B$8)^(B540-Calculation_Assumptions!$B$2)</f>
        <v>0.5873946076162827</v>
      </c>
      <c r="U540" s="21">
        <f t="shared" si="68"/>
        <v>0</v>
      </c>
      <c r="V540" s="21">
        <f t="shared" si="69"/>
        <v>1498421.3492328576</v>
      </c>
      <c r="W540" s="21">
        <f t="shared" si="70"/>
        <v>1498421.3492328576</v>
      </c>
      <c r="X540">
        <v>0</v>
      </c>
      <c r="Y540" s="18">
        <v>2017</v>
      </c>
      <c r="Z540" t="s">
        <v>387</v>
      </c>
      <c r="AA540" s="21">
        <f t="shared" si="71"/>
        <v>1</v>
      </c>
    </row>
    <row r="541" spans="1:27">
      <c r="A541" t="s">
        <v>76</v>
      </c>
      <c r="B541" s="18">
        <v>2044</v>
      </c>
      <c r="C541" t="s">
        <v>192</v>
      </c>
      <c r="D541" s="20" t="s">
        <v>389</v>
      </c>
      <c r="E541" s="20" t="s">
        <v>390</v>
      </c>
      <c r="F541" s="20" t="s">
        <v>195</v>
      </c>
      <c r="G541" s="20" t="s">
        <v>382</v>
      </c>
      <c r="H541" s="20" t="s">
        <v>384</v>
      </c>
      <c r="I541" s="29">
        <v>1</v>
      </c>
      <c r="J541" s="30">
        <v>1</v>
      </c>
      <c r="K541" s="31">
        <v>4.0000000000000001E-3</v>
      </c>
      <c r="L541" s="9">
        <v>640285329.92099202</v>
      </c>
      <c r="M541" s="9">
        <v>639211548.58069301</v>
      </c>
      <c r="N541" s="32">
        <f>MIN(MAX((B541-Calculation_Assumptions!$B$5+1)/Calculation_Assumptions!$B$7,0),1)</f>
        <v>1</v>
      </c>
      <c r="O541" s="21">
        <f t="shared" si="64"/>
        <v>640285329.92099202</v>
      </c>
      <c r="P541" s="21">
        <f t="shared" si="65"/>
        <v>639211548.58069301</v>
      </c>
      <c r="Q541" s="21">
        <f>P541*Calculation_Assumptions!$B$14*J541*K541</f>
        <v>0</v>
      </c>
      <c r="R541" s="21">
        <f t="shared" si="66"/>
        <v>2561141.3196839681</v>
      </c>
      <c r="S541" s="21">
        <f t="shared" si="67"/>
        <v>2561141.3196839681</v>
      </c>
      <c r="T541" s="32">
        <f>1/(1+Calculation_Assumptions!$B$8)^(B541-Calculation_Assumptions!$B$2)</f>
        <v>0.57028602681192497</v>
      </c>
      <c r="U541" s="21">
        <f t="shared" si="68"/>
        <v>0</v>
      </c>
      <c r="V541" s="21">
        <f t="shared" si="69"/>
        <v>1460583.1073064203</v>
      </c>
      <c r="W541" s="21">
        <f t="shared" si="70"/>
        <v>1460583.1073064203</v>
      </c>
      <c r="X541">
        <v>0</v>
      </c>
      <c r="Y541" s="18">
        <v>2017</v>
      </c>
      <c r="Z541" t="s">
        <v>387</v>
      </c>
      <c r="AA541" s="21">
        <f t="shared" si="71"/>
        <v>1</v>
      </c>
    </row>
    <row r="542" spans="1:27">
      <c r="A542" t="s">
        <v>76</v>
      </c>
      <c r="B542" s="18">
        <v>2045</v>
      </c>
      <c r="C542" t="s">
        <v>192</v>
      </c>
      <c r="D542" s="20" t="s">
        <v>389</v>
      </c>
      <c r="E542" s="20" t="s">
        <v>390</v>
      </c>
      <c r="F542" s="20" t="s">
        <v>195</v>
      </c>
      <c r="G542" s="20" t="s">
        <v>382</v>
      </c>
      <c r="H542" s="20" t="s">
        <v>384</v>
      </c>
      <c r="I542" s="29">
        <v>1</v>
      </c>
      <c r="J542" s="30">
        <v>1</v>
      </c>
      <c r="K542" s="31">
        <v>4.0000000000000001E-3</v>
      </c>
      <c r="L542" s="9">
        <v>642695843.59439898</v>
      </c>
      <c r="M542" s="9">
        <v>641520754.67294204</v>
      </c>
      <c r="N542" s="32">
        <f>MIN(MAX((B542-Calculation_Assumptions!$B$5+1)/Calculation_Assumptions!$B$7,0),1)</f>
        <v>1</v>
      </c>
      <c r="O542" s="21">
        <f t="shared" si="64"/>
        <v>642695843.59439898</v>
      </c>
      <c r="P542" s="21">
        <f t="shared" si="65"/>
        <v>641520754.67294204</v>
      </c>
      <c r="Q542" s="21">
        <f>P542*Calculation_Assumptions!$B$14*J542*K542</f>
        <v>0</v>
      </c>
      <c r="R542" s="21">
        <f t="shared" si="66"/>
        <v>2570783.3743775957</v>
      </c>
      <c r="S542" s="21">
        <f t="shared" si="67"/>
        <v>2570783.3743775957</v>
      </c>
      <c r="T542" s="32">
        <f>1/(1+Calculation_Assumptions!$B$8)^(B542-Calculation_Assumptions!$B$2)</f>
        <v>0.55367575418633497</v>
      </c>
      <c r="U542" s="21">
        <f t="shared" si="68"/>
        <v>0</v>
      </c>
      <c r="V542" s="21">
        <f t="shared" si="69"/>
        <v>1423380.4236582064</v>
      </c>
      <c r="W542" s="21">
        <f t="shared" si="70"/>
        <v>1423380.4236582064</v>
      </c>
      <c r="X542">
        <v>0</v>
      </c>
      <c r="Y542" s="18">
        <v>2017</v>
      </c>
      <c r="Z542" t="s">
        <v>387</v>
      </c>
      <c r="AA542" s="21">
        <f t="shared" si="71"/>
        <v>1</v>
      </c>
    </row>
    <row r="543" spans="1:27">
      <c r="A543" t="s">
        <v>76</v>
      </c>
      <c r="B543" s="18">
        <v>2046</v>
      </c>
      <c r="C543" t="s">
        <v>192</v>
      </c>
      <c r="D543" s="20" t="s">
        <v>389</v>
      </c>
      <c r="E543" s="20" t="s">
        <v>390</v>
      </c>
      <c r="F543" s="20" t="s">
        <v>195</v>
      </c>
      <c r="G543" s="20" t="s">
        <v>382</v>
      </c>
      <c r="H543" s="20" t="s">
        <v>384</v>
      </c>
      <c r="I543" s="29">
        <v>1</v>
      </c>
      <c r="J543" s="30">
        <v>1</v>
      </c>
      <c r="K543" s="31">
        <v>4.0000000000000001E-3</v>
      </c>
      <c r="L543" s="9">
        <v>644974193.08303404</v>
      </c>
      <c r="M543" s="9">
        <v>643697330.762573</v>
      </c>
      <c r="N543" s="32">
        <f>MIN(MAX((B543-Calculation_Assumptions!$B$5+1)/Calculation_Assumptions!$B$7,0),1)</f>
        <v>1</v>
      </c>
      <c r="O543" s="21">
        <f t="shared" si="64"/>
        <v>644974193.08303404</v>
      </c>
      <c r="P543" s="21">
        <f t="shared" si="65"/>
        <v>643697330.762573</v>
      </c>
      <c r="Q543" s="21">
        <f>P543*Calculation_Assumptions!$B$14*J543*K543</f>
        <v>0</v>
      </c>
      <c r="R543" s="21">
        <f t="shared" si="66"/>
        <v>2579896.7723321361</v>
      </c>
      <c r="S543" s="21">
        <f t="shared" si="67"/>
        <v>2579896.7723321361</v>
      </c>
      <c r="T543" s="32">
        <f>1/(1+Calculation_Assumptions!$B$8)^(B543-Calculation_Assumptions!$B$2)</f>
        <v>0.5375492759090631</v>
      </c>
      <c r="U543" s="21">
        <f t="shared" si="68"/>
        <v>0</v>
      </c>
      <c r="V543" s="21">
        <f t="shared" si="69"/>
        <v>1386821.6418872687</v>
      </c>
      <c r="W543" s="21">
        <f t="shared" si="70"/>
        <v>1386821.6418872687</v>
      </c>
      <c r="X543">
        <v>0</v>
      </c>
      <c r="Y543" s="18">
        <v>2017</v>
      </c>
      <c r="Z543" t="s">
        <v>387</v>
      </c>
      <c r="AA543" s="21">
        <f t="shared" si="71"/>
        <v>1</v>
      </c>
    </row>
    <row r="544" spans="1:27">
      <c r="A544" t="s">
        <v>76</v>
      </c>
      <c r="B544" s="18">
        <v>2047</v>
      </c>
      <c r="C544" t="s">
        <v>192</v>
      </c>
      <c r="D544" s="20" t="s">
        <v>389</v>
      </c>
      <c r="E544" s="20" t="s">
        <v>390</v>
      </c>
      <c r="F544" s="20" t="s">
        <v>195</v>
      </c>
      <c r="G544" s="20" t="s">
        <v>382</v>
      </c>
      <c r="H544" s="20" t="s">
        <v>384</v>
      </c>
      <c r="I544" s="29">
        <v>1</v>
      </c>
      <c r="J544" s="30">
        <v>1</v>
      </c>
      <c r="K544" s="31">
        <v>4.0000000000000001E-3</v>
      </c>
      <c r="L544" s="9">
        <v>647124942.32164299</v>
      </c>
      <c r="M544" s="9">
        <v>645745914.53009498</v>
      </c>
      <c r="N544" s="32">
        <f>MIN(MAX((B544-Calculation_Assumptions!$B$5+1)/Calculation_Assumptions!$B$7,0),1)</f>
        <v>1</v>
      </c>
      <c r="O544" s="21">
        <f t="shared" si="64"/>
        <v>647124942.32164299</v>
      </c>
      <c r="P544" s="21">
        <f t="shared" si="65"/>
        <v>645745914.53009498</v>
      </c>
      <c r="Q544" s="21">
        <f>P544*Calculation_Assumptions!$B$14*J544*K544</f>
        <v>0</v>
      </c>
      <c r="R544" s="21">
        <f t="shared" si="66"/>
        <v>2588499.769286572</v>
      </c>
      <c r="S544" s="21">
        <f t="shared" si="67"/>
        <v>2588499.769286572</v>
      </c>
      <c r="T544" s="32">
        <f>1/(1+Calculation_Assumptions!$B$8)^(B544-Calculation_Assumptions!$B$2)</f>
        <v>0.52189250088258554</v>
      </c>
      <c r="U544" s="21">
        <f t="shared" si="68"/>
        <v>0</v>
      </c>
      <c r="V544" s="21">
        <f t="shared" si="69"/>
        <v>1350918.6181269647</v>
      </c>
      <c r="W544" s="21">
        <f t="shared" si="70"/>
        <v>1350918.6181269647</v>
      </c>
      <c r="X544">
        <v>0</v>
      </c>
      <c r="Y544" s="18">
        <v>2017</v>
      </c>
      <c r="Z544" t="s">
        <v>387</v>
      </c>
      <c r="AA544" s="21">
        <f t="shared" si="71"/>
        <v>1</v>
      </c>
    </row>
    <row r="545" spans="1:27">
      <c r="A545" t="s">
        <v>76</v>
      </c>
      <c r="B545" s="18">
        <v>2048</v>
      </c>
      <c r="C545" t="s">
        <v>192</v>
      </c>
      <c r="D545" s="20" t="s">
        <v>389</v>
      </c>
      <c r="E545" s="20" t="s">
        <v>390</v>
      </c>
      <c r="F545" s="20" t="s">
        <v>195</v>
      </c>
      <c r="G545" s="20" t="s">
        <v>382</v>
      </c>
      <c r="H545" s="20" t="s">
        <v>384</v>
      </c>
      <c r="I545" s="29">
        <v>1</v>
      </c>
      <c r="J545" s="30">
        <v>1</v>
      </c>
      <c r="K545" s="31">
        <v>4.0000000000000001E-3</v>
      </c>
      <c r="L545" s="9">
        <v>649147853.41567302</v>
      </c>
      <c r="M545" s="9">
        <v>647666796.64810395</v>
      </c>
      <c r="N545" s="32">
        <f>MIN(MAX((B545-Calculation_Assumptions!$B$5+1)/Calculation_Assumptions!$B$7,0),1)</f>
        <v>1</v>
      </c>
      <c r="O545" s="21">
        <f t="shared" si="64"/>
        <v>649147853.41567302</v>
      </c>
      <c r="P545" s="21">
        <f t="shared" si="65"/>
        <v>647666796.64810395</v>
      </c>
      <c r="Q545" s="21">
        <f>P545*Calculation_Assumptions!$B$14*J545*K545</f>
        <v>0</v>
      </c>
      <c r="R545" s="21">
        <f t="shared" si="66"/>
        <v>2596591.4136626921</v>
      </c>
      <c r="S545" s="21">
        <f t="shared" si="67"/>
        <v>2596591.4136626921</v>
      </c>
      <c r="T545" s="32">
        <f>1/(1+Calculation_Assumptions!$B$8)^(B545-Calculation_Assumptions!$B$2)</f>
        <v>0.50669174842969467</v>
      </c>
      <c r="U545" s="21">
        <f t="shared" si="68"/>
        <v>0</v>
      </c>
      <c r="V545" s="21">
        <f t="shared" si="69"/>
        <v>1315671.443346282</v>
      </c>
      <c r="W545" s="21">
        <f t="shared" si="70"/>
        <v>1315671.443346282</v>
      </c>
      <c r="X545">
        <v>0</v>
      </c>
      <c r="Y545" s="18">
        <v>2017</v>
      </c>
      <c r="Z545" t="s">
        <v>387</v>
      </c>
      <c r="AA545" s="21">
        <f t="shared" si="71"/>
        <v>1</v>
      </c>
    </row>
    <row r="546" spans="1:27">
      <c r="A546" t="s">
        <v>76</v>
      </c>
      <c r="B546" s="18">
        <v>2049</v>
      </c>
      <c r="C546" t="s">
        <v>192</v>
      </c>
      <c r="D546" s="20" t="s">
        <v>389</v>
      </c>
      <c r="E546" s="20" t="s">
        <v>390</v>
      </c>
      <c r="F546" s="20" t="s">
        <v>195</v>
      </c>
      <c r="G546" s="20" t="s">
        <v>382</v>
      </c>
      <c r="H546" s="20" t="s">
        <v>384</v>
      </c>
      <c r="I546" s="29">
        <v>1</v>
      </c>
      <c r="J546" s="30">
        <v>1</v>
      </c>
      <c r="K546" s="31">
        <v>4.0000000000000001E-3</v>
      </c>
      <c r="L546" s="9">
        <v>651040967.5934</v>
      </c>
      <c r="M546" s="9">
        <v>649421968.02473402</v>
      </c>
      <c r="N546" s="32">
        <f>MIN(MAX((B546-Calculation_Assumptions!$B$5+1)/Calculation_Assumptions!$B$7,0),1)</f>
        <v>1</v>
      </c>
      <c r="O546" s="21">
        <f t="shared" si="64"/>
        <v>651040967.5934</v>
      </c>
      <c r="P546" s="21">
        <f t="shared" si="65"/>
        <v>649421968.02473402</v>
      </c>
      <c r="Q546" s="21">
        <f>P546*Calculation_Assumptions!$B$14*J546*K546</f>
        <v>0</v>
      </c>
      <c r="R546" s="21">
        <f t="shared" si="66"/>
        <v>2604163.8703736002</v>
      </c>
      <c r="S546" s="21">
        <f t="shared" si="67"/>
        <v>2604163.8703736002</v>
      </c>
      <c r="T546" s="32">
        <f>1/(1+Calculation_Assumptions!$B$8)^(B546-Calculation_Assumptions!$B$2)</f>
        <v>0.49193373633950943</v>
      </c>
      <c r="U546" s="21">
        <f t="shared" si="68"/>
        <v>0</v>
      </c>
      <c r="V546" s="21">
        <f t="shared" si="69"/>
        <v>1281076.062793243</v>
      </c>
      <c r="W546" s="21">
        <f t="shared" si="70"/>
        <v>1281076.062793243</v>
      </c>
      <c r="X546">
        <v>0</v>
      </c>
      <c r="Y546" s="18">
        <v>2017</v>
      </c>
      <c r="Z546" t="s">
        <v>387</v>
      </c>
      <c r="AA546" s="21">
        <f t="shared" si="71"/>
        <v>1</v>
      </c>
    </row>
    <row r="547" spans="1:27">
      <c r="A547" t="s">
        <v>76</v>
      </c>
      <c r="B547" s="18">
        <v>2050</v>
      </c>
      <c r="C547" t="s">
        <v>192</v>
      </c>
      <c r="D547" s="20" t="s">
        <v>389</v>
      </c>
      <c r="E547" s="20" t="s">
        <v>390</v>
      </c>
      <c r="F547" s="20" t="s">
        <v>195</v>
      </c>
      <c r="G547" s="20" t="s">
        <v>382</v>
      </c>
      <c r="H547" s="20" t="s">
        <v>384</v>
      </c>
      <c r="I547" s="29">
        <v>1</v>
      </c>
      <c r="J547" s="30">
        <v>1</v>
      </c>
      <c r="K547" s="31">
        <v>4.0000000000000001E-3</v>
      </c>
      <c r="L547" s="9">
        <v>652799148.10289598</v>
      </c>
      <c r="M547" s="9">
        <v>651074457.25957894</v>
      </c>
      <c r="N547" s="32">
        <f>MIN(MAX((B547-Calculation_Assumptions!$B$5+1)/Calculation_Assumptions!$B$7,0),1)</f>
        <v>1</v>
      </c>
      <c r="O547" s="21">
        <f t="shared" si="64"/>
        <v>652799148.10289598</v>
      </c>
      <c r="P547" s="21">
        <f t="shared" si="65"/>
        <v>651074457.25957894</v>
      </c>
      <c r="Q547" s="21">
        <f>P547*Calculation_Assumptions!$B$14*J547*K547</f>
        <v>0</v>
      </c>
      <c r="R547" s="21">
        <f t="shared" si="66"/>
        <v>2611196.5924115838</v>
      </c>
      <c r="S547" s="21">
        <f t="shared" si="67"/>
        <v>2611196.5924115838</v>
      </c>
      <c r="T547" s="32">
        <f>1/(1+Calculation_Assumptions!$B$8)^(B547-Calculation_Assumptions!$B$2)</f>
        <v>0.47760556926165965</v>
      </c>
      <c r="U547" s="21">
        <f t="shared" si="68"/>
        <v>0</v>
      </c>
      <c r="V547" s="21">
        <f t="shared" si="69"/>
        <v>1247122.0349728402</v>
      </c>
      <c r="W547" s="21">
        <f t="shared" si="70"/>
        <v>1247122.0349728402</v>
      </c>
      <c r="X547">
        <v>0</v>
      </c>
      <c r="Y547" s="18">
        <v>2017</v>
      </c>
      <c r="Z547" t="s">
        <v>387</v>
      </c>
      <c r="AA547" s="21">
        <f t="shared" si="71"/>
        <v>1</v>
      </c>
    </row>
    <row r="548" spans="1:27">
      <c r="A548" t="s">
        <v>76</v>
      </c>
      <c r="B548" s="18">
        <v>2025</v>
      </c>
      <c r="C548" t="s">
        <v>200</v>
      </c>
      <c r="D548" s="20" t="s">
        <v>391</v>
      </c>
      <c r="E548" s="20" t="s">
        <v>392</v>
      </c>
      <c r="F548" s="20" t="s">
        <v>204</v>
      </c>
      <c r="G548" s="20" t="s">
        <v>393</v>
      </c>
      <c r="H548" s="20" t="s">
        <v>384</v>
      </c>
      <c r="I548" s="29">
        <v>1</v>
      </c>
      <c r="J548" s="30">
        <v>1</v>
      </c>
      <c r="K548" s="31">
        <v>8.7749999999999998E-3</v>
      </c>
      <c r="L548" s="9">
        <v>575134853.59312999</v>
      </c>
      <c r="M548" s="9">
        <v>575134853.59312999</v>
      </c>
      <c r="N548" s="32">
        <f>MIN(MAX((B548-Calculation_Assumptions!$B$5+1)/Calculation_Assumptions!$B$7,0),1)</f>
        <v>0</v>
      </c>
      <c r="O548" s="21">
        <f t="shared" si="64"/>
        <v>575134853.59312999</v>
      </c>
      <c r="P548" s="21">
        <f t="shared" si="65"/>
        <v>575134853.59312999</v>
      </c>
      <c r="Q548" s="21">
        <f>P548*Calculation_Assumptions!$B$14*J548*K548</f>
        <v>0</v>
      </c>
      <c r="R548" s="21">
        <f t="shared" si="66"/>
        <v>0</v>
      </c>
      <c r="S548" s="21">
        <f t="shared" si="67"/>
        <v>0</v>
      </c>
      <c r="T548" s="32">
        <f>1/(1+Calculation_Assumptions!$B$8)^(B548-Calculation_Assumptions!$B$2)</f>
        <v>1</v>
      </c>
      <c r="U548" s="21">
        <f t="shared" si="68"/>
        <v>0</v>
      </c>
      <c r="V548" s="21">
        <f t="shared" si="69"/>
        <v>0</v>
      </c>
      <c r="W548" s="21">
        <f t="shared" si="70"/>
        <v>0</v>
      </c>
      <c r="X548">
        <v>0</v>
      </c>
      <c r="Y548" s="18">
        <v>2017</v>
      </c>
      <c r="Z548" t="s">
        <v>387</v>
      </c>
      <c r="AA548" s="21">
        <f t="shared" si="71"/>
        <v>1</v>
      </c>
    </row>
    <row r="549" spans="1:27">
      <c r="A549" t="s">
        <v>76</v>
      </c>
      <c r="B549" s="18">
        <v>2026</v>
      </c>
      <c r="C549" t="s">
        <v>200</v>
      </c>
      <c r="D549" s="20" t="s">
        <v>391</v>
      </c>
      <c r="E549" s="20" t="s">
        <v>392</v>
      </c>
      <c r="F549" s="20" t="s">
        <v>204</v>
      </c>
      <c r="G549" s="20" t="s">
        <v>393</v>
      </c>
      <c r="H549" s="20" t="s">
        <v>384</v>
      </c>
      <c r="I549" s="29">
        <v>1</v>
      </c>
      <c r="J549" s="30">
        <v>1</v>
      </c>
      <c r="K549" s="31">
        <v>8.7749999999999998E-3</v>
      </c>
      <c r="L549" s="9">
        <v>579268647.32329595</v>
      </c>
      <c r="M549" s="9">
        <v>579268647.32329595</v>
      </c>
      <c r="N549" s="32">
        <f>MIN(MAX((B549-Calculation_Assumptions!$B$5+1)/Calculation_Assumptions!$B$7,0),1)</f>
        <v>0.33333333333333331</v>
      </c>
      <c r="O549" s="21">
        <f t="shared" si="64"/>
        <v>579268647.32329595</v>
      </c>
      <c r="P549" s="21">
        <f t="shared" si="65"/>
        <v>579268647.32329595</v>
      </c>
      <c r="Q549" s="21">
        <f>P549*Calculation_Assumptions!$B$14*J549*K549</f>
        <v>0</v>
      </c>
      <c r="R549" s="21">
        <f t="shared" si="66"/>
        <v>1694360.7934206405</v>
      </c>
      <c r="S549" s="21">
        <f t="shared" si="67"/>
        <v>1694360.7934206405</v>
      </c>
      <c r="T549" s="32">
        <f>1/(1+Calculation_Assumptions!$B$8)^(B549-Calculation_Assumptions!$B$2)</f>
        <v>0.970873786407767</v>
      </c>
      <c r="U549" s="21">
        <f t="shared" si="68"/>
        <v>0</v>
      </c>
      <c r="V549" s="21">
        <f t="shared" si="69"/>
        <v>1645010.4790491655</v>
      </c>
      <c r="W549" s="21">
        <f t="shared" si="70"/>
        <v>1645010.4790491655</v>
      </c>
      <c r="X549">
        <v>0</v>
      </c>
      <c r="Y549" s="18">
        <v>2017</v>
      </c>
      <c r="Z549" t="s">
        <v>387</v>
      </c>
      <c r="AA549" s="21">
        <f t="shared" si="71"/>
        <v>1</v>
      </c>
    </row>
    <row r="550" spans="1:27">
      <c r="A550" t="s">
        <v>76</v>
      </c>
      <c r="B550" s="18">
        <v>2027</v>
      </c>
      <c r="C550" t="s">
        <v>200</v>
      </c>
      <c r="D550" s="20" t="s">
        <v>391</v>
      </c>
      <c r="E550" s="20" t="s">
        <v>392</v>
      </c>
      <c r="F550" s="20" t="s">
        <v>204</v>
      </c>
      <c r="G550" s="20" t="s">
        <v>393</v>
      </c>
      <c r="H550" s="20" t="s">
        <v>384</v>
      </c>
      <c r="I550" s="29">
        <v>1</v>
      </c>
      <c r="J550" s="30">
        <v>1</v>
      </c>
      <c r="K550" s="31">
        <v>8.7749999999999998E-3</v>
      </c>
      <c r="L550" s="9">
        <v>583039014.28645599</v>
      </c>
      <c r="M550" s="9">
        <v>583039014.28645599</v>
      </c>
      <c r="N550" s="32">
        <f>MIN(MAX((B550-Calculation_Assumptions!$B$5+1)/Calculation_Assumptions!$B$7,0),1)</f>
        <v>0.66666666666666663</v>
      </c>
      <c r="O550" s="21">
        <f t="shared" si="64"/>
        <v>583039014.28645599</v>
      </c>
      <c r="P550" s="21">
        <f t="shared" si="65"/>
        <v>583039014.28645599</v>
      </c>
      <c r="Q550" s="21">
        <f>P550*Calculation_Assumptions!$B$14*J550*K550</f>
        <v>0</v>
      </c>
      <c r="R550" s="21">
        <f t="shared" si="66"/>
        <v>3410778.2335757674</v>
      </c>
      <c r="S550" s="21">
        <f t="shared" si="67"/>
        <v>3410778.2335757674</v>
      </c>
      <c r="T550" s="32">
        <f>1/(1+Calculation_Assumptions!$B$8)^(B550-Calculation_Assumptions!$B$2)</f>
        <v>0.94259590913375435</v>
      </c>
      <c r="U550" s="21">
        <f t="shared" si="68"/>
        <v>0</v>
      </c>
      <c r="V550" s="21">
        <f t="shared" si="69"/>
        <v>3214985.6099309712</v>
      </c>
      <c r="W550" s="21">
        <f t="shared" si="70"/>
        <v>3214985.6099309712</v>
      </c>
      <c r="X550">
        <v>0</v>
      </c>
      <c r="Y550" s="18">
        <v>2017</v>
      </c>
      <c r="Z550" t="s">
        <v>387</v>
      </c>
      <c r="AA550" s="21">
        <f t="shared" si="71"/>
        <v>1</v>
      </c>
    </row>
    <row r="551" spans="1:27">
      <c r="A551" t="s">
        <v>76</v>
      </c>
      <c r="B551" s="18">
        <v>2028</v>
      </c>
      <c r="C551" t="s">
        <v>200</v>
      </c>
      <c r="D551" s="20" t="s">
        <v>391</v>
      </c>
      <c r="E551" s="20" t="s">
        <v>392</v>
      </c>
      <c r="F551" s="20" t="s">
        <v>204</v>
      </c>
      <c r="G551" s="20" t="s">
        <v>393</v>
      </c>
      <c r="H551" s="20" t="s">
        <v>384</v>
      </c>
      <c r="I551" s="29">
        <v>1</v>
      </c>
      <c r="J551" s="30">
        <v>1</v>
      </c>
      <c r="K551" s="31">
        <v>8.7749999999999998E-3</v>
      </c>
      <c r="L551" s="9">
        <v>587039795.04372799</v>
      </c>
      <c r="M551" s="9">
        <v>587035116.25746298</v>
      </c>
      <c r="N551" s="32">
        <f>MIN(MAX((B551-Calculation_Assumptions!$B$5+1)/Calculation_Assumptions!$B$7,0),1)</f>
        <v>1</v>
      </c>
      <c r="O551" s="21">
        <f t="shared" si="64"/>
        <v>587039795.04372799</v>
      </c>
      <c r="P551" s="21">
        <f t="shared" si="65"/>
        <v>587035116.25746298</v>
      </c>
      <c r="Q551" s="21">
        <f>P551*Calculation_Assumptions!$B$14*J551*K551</f>
        <v>0</v>
      </c>
      <c r="R551" s="21">
        <f t="shared" si="66"/>
        <v>5151274.201508713</v>
      </c>
      <c r="S551" s="21">
        <f t="shared" si="67"/>
        <v>5151274.201508713</v>
      </c>
      <c r="T551" s="32">
        <f>1/(1+Calculation_Assumptions!$B$8)^(B551-Calculation_Assumptions!$B$2)</f>
        <v>0.91514165935315961</v>
      </c>
      <c r="U551" s="21">
        <f t="shared" si="68"/>
        <v>0</v>
      </c>
      <c r="V551" s="21">
        <f t="shared" si="69"/>
        <v>4714145.6205518059</v>
      </c>
      <c r="W551" s="21">
        <f t="shared" si="70"/>
        <v>4714145.6205518059</v>
      </c>
      <c r="X551">
        <v>0</v>
      </c>
      <c r="Y551" s="18">
        <v>2017</v>
      </c>
      <c r="Z551" t="s">
        <v>387</v>
      </c>
      <c r="AA551" s="21">
        <f t="shared" si="71"/>
        <v>1</v>
      </c>
    </row>
    <row r="552" spans="1:27">
      <c r="A552" t="s">
        <v>76</v>
      </c>
      <c r="B552" s="18">
        <v>2029</v>
      </c>
      <c r="C552" t="s">
        <v>200</v>
      </c>
      <c r="D552" s="20" t="s">
        <v>391</v>
      </c>
      <c r="E552" s="20" t="s">
        <v>392</v>
      </c>
      <c r="F552" s="20" t="s">
        <v>204</v>
      </c>
      <c r="G552" s="20" t="s">
        <v>393</v>
      </c>
      <c r="H552" s="20" t="s">
        <v>384</v>
      </c>
      <c r="I552" s="29">
        <v>1</v>
      </c>
      <c r="J552" s="30">
        <v>1</v>
      </c>
      <c r="K552" s="31">
        <v>8.7749999999999998E-3</v>
      </c>
      <c r="L552" s="9">
        <v>590766467.10548604</v>
      </c>
      <c r="M552" s="9">
        <v>590968059.72178304</v>
      </c>
      <c r="N552" s="32">
        <f>MIN(MAX((B552-Calculation_Assumptions!$B$5+1)/Calculation_Assumptions!$B$7,0),1)</f>
        <v>1</v>
      </c>
      <c r="O552" s="21">
        <f t="shared" si="64"/>
        <v>590766467.10548604</v>
      </c>
      <c r="P552" s="21">
        <f t="shared" si="65"/>
        <v>590968059.72178304</v>
      </c>
      <c r="Q552" s="21">
        <f>P552*Calculation_Assumptions!$B$14*J552*K552</f>
        <v>0</v>
      </c>
      <c r="R552" s="21">
        <f t="shared" si="66"/>
        <v>5183975.7488506399</v>
      </c>
      <c r="S552" s="21">
        <f t="shared" si="67"/>
        <v>5183975.7488506399</v>
      </c>
      <c r="T552" s="32">
        <f>1/(1+Calculation_Assumptions!$B$8)^(B552-Calculation_Assumptions!$B$2)</f>
        <v>0.888487047915689</v>
      </c>
      <c r="U552" s="21">
        <f t="shared" si="68"/>
        <v>0</v>
      </c>
      <c r="V552" s="21">
        <f t="shared" si="69"/>
        <v>4605895.3095628284</v>
      </c>
      <c r="W552" s="21">
        <f t="shared" si="70"/>
        <v>4605895.3095628284</v>
      </c>
      <c r="X552">
        <v>0</v>
      </c>
      <c r="Y552" s="18">
        <v>2017</v>
      </c>
      <c r="Z552" t="s">
        <v>387</v>
      </c>
      <c r="AA552" s="21">
        <f t="shared" si="71"/>
        <v>1</v>
      </c>
    </row>
    <row r="553" spans="1:27">
      <c r="A553" t="s">
        <v>76</v>
      </c>
      <c r="B553" s="18">
        <v>2030</v>
      </c>
      <c r="C553" t="s">
        <v>200</v>
      </c>
      <c r="D553" s="20" t="s">
        <v>391</v>
      </c>
      <c r="E553" s="20" t="s">
        <v>392</v>
      </c>
      <c r="F553" s="20" t="s">
        <v>204</v>
      </c>
      <c r="G553" s="20" t="s">
        <v>393</v>
      </c>
      <c r="H553" s="20" t="s">
        <v>384</v>
      </c>
      <c r="I553" s="29">
        <v>1</v>
      </c>
      <c r="J553" s="30">
        <v>1</v>
      </c>
      <c r="K553" s="31">
        <v>8.7749999999999998E-3</v>
      </c>
      <c r="L553" s="9">
        <v>594652967.05338001</v>
      </c>
      <c r="M553" s="9">
        <v>594808018.62654305</v>
      </c>
      <c r="N553" s="32">
        <f>MIN(MAX((B553-Calculation_Assumptions!$B$5+1)/Calculation_Assumptions!$B$7,0),1)</f>
        <v>1</v>
      </c>
      <c r="O553" s="21">
        <f t="shared" si="64"/>
        <v>594652967.05338001</v>
      </c>
      <c r="P553" s="21">
        <f t="shared" si="65"/>
        <v>594808018.62654305</v>
      </c>
      <c r="Q553" s="21">
        <f>P553*Calculation_Assumptions!$B$14*J553*K553</f>
        <v>0</v>
      </c>
      <c r="R553" s="21">
        <f t="shared" si="66"/>
        <v>5218079.7858934095</v>
      </c>
      <c r="S553" s="21">
        <f t="shared" si="67"/>
        <v>5218079.7858934095</v>
      </c>
      <c r="T553" s="32">
        <f>1/(1+Calculation_Assumptions!$B$8)^(B553-Calculation_Assumptions!$B$2)</f>
        <v>0.86260878438416411</v>
      </c>
      <c r="U553" s="21">
        <f t="shared" si="68"/>
        <v>0</v>
      </c>
      <c r="V553" s="21">
        <f t="shared" si="69"/>
        <v>4501161.460929093</v>
      </c>
      <c r="W553" s="21">
        <f t="shared" si="70"/>
        <v>4501161.460929093</v>
      </c>
      <c r="X553">
        <v>0</v>
      </c>
      <c r="Y553" s="18">
        <v>2017</v>
      </c>
      <c r="Z553" t="s">
        <v>387</v>
      </c>
      <c r="AA553" s="21">
        <f t="shared" si="71"/>
        <v>1</v>
      </c>
    </row>
    <row r="554" spans="1:27">
      <c r="A554" t="s">
        <v>76</v>
      </c>
      <c r="B554" s="18">
        <v>2031</v>
      </c>
      <c r="C554" t="s">
        <v>200</v>
      </c>
      <c r="D554" s="20" t="s">
        <v>391</v>
      </c>
      <c r="E554" s="20" t="s">
        <v>392</v>
      </c>
      <c r="F554" s="20" t="s">
        <v>204</v>
      </c>
      <c r="G554" s="20" t="s">
        <v>393</v>
      </c>
      <c r="H554" s="20" t="s">
        <v>384</v>
      </c>
      <c r="I554" s="29">
        <v>1</v>
      </c>
      <c r="J554" s="30">
        <v>1</v>
      </c>
      <c r="K554" s="31">
        <v>8.7749999999999998E-3</v>
      </c>
      <c r="L554" s="9">
        <v>598482853.08345401</v>
      </c>
      <c r="M554" s="9">
        <v>598581381.03442597</v>
      </c>
      <c r="N554" s="32">
        <f>MIN(MAX((B554-Calculation_Assumptions!$B$5+1)/Calculation_Assumptions!$B$7,0),1)</f>
        <v>1</v>
      </c>
      <c r="O554" s="21">
        <f t="shared" si="64"/>
        <v>598482853.08345401</v>
      </c>
      <c r="P554" s="21">
        <f t="shared" si="65"/>
        <v>598581381.03442597</v>
      </c>
      <c r="Q554" s="21">
        <f>P554*Calculation_Assumptions!$B$14*J554*K554</f>
        <v>0</v>
      </c>
      <c r="R554" s="21">
        <f t="shared" si="66"/>
        <v>5251687.0358073087</v>
      </c>
      <c r="S554" s="21">
        <f t="shared" si="67"/>
        <v>5251687.0358073087</v>
      </c>
      <c r="T554" s="32">
        <f>1/(1+Calculation_Assumptions!$B$8)^(B554-Calculation_Assumptions!$B$2)</f>
        <v>0.83748425668365445</v>
      </c>
      <c r="U554" s="21">
        <f t="shared" si="68"/>
        <v>0</v>
      </c>
      <c r="V554" s="21">
        <f t="shared" si="69"/>
        <v>4398205.2135182684</v>
      </c>
      <c r="W554" s="21">
        <f t="shared" si="70"/>
        <v>4398205.2135182684</v>
      </c>
      <c r="X554">
        <v>0</v>
      </c>
      <c r="Y554" s="18">
        <v>2017</v>
      </c>
      <c r="Z554" t="s">
        <v>387</v>
      </c>
      <c r="AA554" s="21">
        <f t="shared" si="71"/>
        <v>1</v>
      </c>
    </row>
    <row r="555" spans="1:27">
      <c r="A555" t="s">
        <v>76</v>
      </c>
      <c r="B555" s="18">
        <v>2032</v>
      </c>
      <c r="C555" t="s">
        <v>200</v>
      </c>
      <c r="D555" s="20" t="s">
        <v>391</v>
      </c>
      <c r="E555" s="20" t="s">
        <v>392</v>
      </c>
      <c r="F555" s="20" t="s">
        <v>204</v>
      </c>
      <c r="G555" s="20" t="s">
        <v>393</v>
      </c>
      <c r="H555" s="20" t="s">
        <v>384</v>
      </c>
      <c r="I555" s="29">
        <v>1</v>
      </c>
      <c r="J555" s="30">
        <v>1</v>
      </c>
      <c r="K555" s="31">
        <v>8.7749999999999998E-3</v>
      </c>
      <c r="L555" s="9">
        <v>602252425.332353</v>
      </c>
      <c r="M555" s="9">
        <v>602283583.58638096</v>
      </c>
      <c r="N555" s="32">
        <f>MIN(MAX((B555-Calculation_Assumptions!$B$5+1)/Calculation_Assumptions!$B$7,0),1)</f>
        <v>1</v>
      </c>
      <c r="O555" s="21">
        <f t="shared" si="64"/>
        <v>602252425.332353</v>
      </c>
      <c r="P555" s="21">
        <f t="shared" si="65"/>
        <v>602283583.58638096</v>
      </c>
      <c r="Q555" s="21">
        <f>P555*Calculation_Assumptions!$B$14*J555*K555</f>
        <v>0</v>
      </c>
      <c r="R555" s="21">
        <f t="shared" si="66"/>
        <v>5284765.0322913975</v>
      </c>
      <c r="S555" s="21">
        <f t="shared" si="67"/>
        <v>5284765.0322913975</v>
      </c>
      <c r="T555" s="32">
        <f>1/(1+Calculation_Assumptions!$B$8)^(B555-Calculation_Assumptions!$B$2)</f>
        <v>0.81309151134335378</v>
      </c>
      <c r="U555" s="21">
        <f t="shared" si="68"/>
        <v>0</v>
      </c>
      <c r="V555" s="21">
        <f t="shared" si="69"/>
        <v>4296997.5872003203</v>
      </c>
      <c r="W555" s="21">
        <f t="shared" si="70"/>
        <v>4296997.5872003203</v>
      </c>
      <c r="X555">
        <v>0</v>
      </c>
      <c r="Y555" s="18">
        <v>2017</v>
      </c>
      <c r="Z555" t="s">
        <v>387</v>
      </c>
      <c r="AA555" s="21">
        <f t="shared" si="71"/>
        <v>1</v>
      </c>
    </row>
    <row r="556" spans="1:27">
      <c r="A556" t="s">
        <v>76</v>
      </c>
      <c r="B556" s="18">
        <v>2033</v>
      </c>
      <c r="C556" t="s">
        <v>200</v>
      </c>
      <c r="D556" s="20" t="s">
        <v>391</v>
      </c>
      <c r="E556" s="20" t="s">
        <v>392</v>
      </c>
      <c r="F556" s="20" t="s">
        <v>204</v>
      </c>
      <c r="G556" s="20" t="s">
        <v>393</v>
      </c>
      <c r="H556" s="20" t="s">
        <v>384</v>
      </c>
      <c r="I556" s="29">
        <v>1</v>
      </c>
      <c r="J556" s="30">
        <v>1</v>
      </c>
      <c r="K556" s="31">
        <v>8.7749999999999998E-3</v>
      </c>
      <c r="L556" s="9">
        <v>605955528.04318595</v>
      </c>
      <c r="M556" s="9">
        <v>605911902.99473</v>
      </c>
      <c r="N556" s="32">
        <f>MIN(MAX((B556-Calculation_Assumptions!$B$5+1)/Calculation_Assumptions!$B$7,0),1)</f>
        <v>1</v>
      </c>
      <c r="O556" s="21">
        <f t="shared" si="64"/>
        <v>605955528.04318595</v>
      </c>
      <c r="P556" s="21">
        <f t="shared" si="65"/>
        <v>605911902.99473</v>
      </c>
      <c r="Q556" s="21">
        <f>P556*Calculation_Assumptions!$B$14*J556*K556</f>
        <v>0</v>
      </c>
      <c r="R556" s="21">
        <f t="shared" si="66"/>
        <v>5317259.7585789561</v>
      </c>
      <c r="S556" s="21">
        <f t="shared" si="67"/>
        <v>5317259.7585789561</v>
      </c>
      <c r="T556" s="32">
        <f>1/(1+Calculation_Assumptions!$B$8)^(B556-Calculation_Assumptions!$B$2)</f>
        <v>0.78940923431393573</v>
      </c>
      <c r="U556" s="21">
        <f t="shared" si="68"/>
        <v>0</v>
      </c>
      <c r="V556" s="21">
        <f t="shared" si="69"/>
        <v>4197493.9546681168</v>
      </c>
      <c r="W556" s="21">
        <f t="shared" si="70"/>
        <v>4197493.9546681168</v>
      </c>
      <c r="X556">
        <v>0</v>
      </c>
      <c r="Y556" s="18">
        <v>2017</v>
      </c>
      <c r="Z556" t="s">
        <v>387</v>
      </c>
      <c r="AA556" s="21">
        <f t="shared" si="71"/>
        <v>1</v>
      </c>
    </row>
    <row r="557" spans="1:27">
      <c r="A557" t="s">
        <v>76</v>
      </c>
      <c r="B557" s="18">
        <v>2034</v>
      </c>
      <c r="C557" t="s">
        <v>200</v>
      </c>
      <c r="D557" s="20" t="s">
        <v>391</v>
      </c>
      <c r="E557" s="20" t="s">
        <v>392</v>
      </c>
      <c r="F557" s="20" t="s">
        <v>204</v>
      </c>
      <c r="G557" s="20" t="s">
        <v>393</v>
      </c>
      <c r="H557" s="20" t="s">
        <v>384</v>
      </c>
      <c r="I557" s="29">
        <v>1</v>
      </c>
      <c r="J557" s="30">
        <v>1</v>
      </c>
      <c r="K557" s="31">
        <v>8.7749999999999998E-3</v>
      </c>
      <c r="L557" s="9">
        <v>609560284.09550095</v>
      </c>
      <c r="M557" s="9">
        <v>609455548.12077105</v>
      </c>
      <c r="N557" s="32">
        <f>MIN(MAX((B557-Calculation_Assumptions!$B$5+1)/Calculation_Assumptions!$B$7,0),1)</f>
        <v>1</v>
      </c>
      <c r="O557" s="21">
        <f t="shared" si="64"/>
        <v>609560284.09550095</v>
      </c>
      <c r="P557" s="21">
        <f t="shared" si="65"/>
        <v>609455548.12077105</v>
      </c>
      <c r="Q557" s="21">
        <f>P557*Calculation_Assumptions!$B$14*J557*K557</f>
        <v>0</v>
      </c>
      <c r="R557" s="21">
        <f t="shared" si="66"/>
        <v>5348891.4929380203</v>
      </c>
      <c r="S557" s="21">
        <f t="shared" si="67"/>
        <v>5348891.4929380203</v>
      </c>
      <c r="T557" s="32">
        <f>1/(1+Calculation_Assumptions!$B$8)^(B557-Calculation_Assumptions!$B$2)</f>
        <v>0.76641673234362695</v>
      </c>
      <c r="U557" s="21">
        <f t="shared" si="68"/>
        <v>0</v>
      </c>
      <c r="V557" s="21">
        <f t="shared" si="69"/>
        <v>4099479.9396781819</v>
      </c>
      <c r="W557" s="21">
        <f t="shared" si="70"/>
        <v>4099479.9396781819</v>
      </c>
      <c r="X557">
        <v>0</v>
      </c>
      <c r="Y557" s="18">
        <v>2017</v>
      </c>
      <c r="Z557" t="s">
        <v>387</v>
      </c>
      <c r="AA557" s="21">
        <f t="shared" si="71"/>
        <v>1</v>
      </c>
    </row>
    <row r="558" spans="1:27">
      <c r="A558" t="s">
        <v>76</v>
      </c>
      <c r="B558" s="18">
        <v>2035</v>
      </c>
      <c r="C558" t="s">
        <v>200</v>
      </c>
      <c r="D558" s="20" t="s">
        <v>391</v>
      </c>
      <c r="E558" s="20" t="s">
        <v>392</v>
      </c>
      <c r="F558" s="20" t="s">
        <v>204</v>
      </c>
      <c r="G558" s="20" t="s">
        <v>393</v>
      </c>
      <c r="H558" s="20" t="s">
        <v>384</v>
      </c>
      <c r="I558" s="29">
        <v>1</v>
      </c>
      <c r="J558" s="30">
        <v>1</v>
      </c>
      <c r="K558" s="31">
        <v>8.7749999999999998E-3</v>
      </c>
      <c r="L558" s="9">
        <v>613092698.26085901</v>
      </c>
      <c r="M558" s="9">
        <v>612884294.47334194</v>
      </c>
      <c r="N558" s="32">
        <f>MIN(MAX((B558-Calculation_Assumptions!$B$5+1)/Calculation_Assumptions!$B$7,0),1)</f>
        <v>1</v>
      </c>
      <c r="O558" s="21">
        <f t="shared" si="64"/>
        <v>613092698.26085901</v>
      </c>
      <c r="P558" s="21">
        <f t="shared" si="65"/>
        <v>612884294.47334194</v>
      </c>
      <c r="Q558" s="21">
        <f>P558*Calculation_Assumptions!$B$14*J558*K558</f>
        <v>0</v>
      </c>
      <c r="R558" s="21">
        <f t="shared" si="66"/>
        <v>5379888.4272390381</v>
      </c>
      <c r="S558" s="21">
        <f t="shared" si="67"/>
        <v>5379888.4272390381</v>
      </c>
      <c r="T558" s="32">
        <f>1/(1+Calculation_Assumptions!$B$8)^(B558-Calculation_Assumptions!$B$2)</f>
        <v>0.74409391489672516</v>
      </c>
      <c r="U558" s="21">
        <f t="shared" si="68"/>
        <v>0</v>
      </c>
      <c r="V558" s="21">
        <f t="shared" si="69"/>
        <v>4003142.2415318815</v>
      </c>
      <c r="W558" s="21">
        <f t="shared" si="70"/>
        <v>4003142.2415318815</v>
      </c>
      <c r="X558">
        <v>0</v>
      </c>
      <c r="Y558" s="18">
        <v>2017</v>
      </c>
      <c r="Z558" t="s">
        <v>387</v>
      </c>
      <c r="AA558" s="21">
        <f t="shared" si="71"/>
        <v>1</v>
      </c>
    </row>
    <row r="559" spans="1:27">
      <c r="A559" t="s">
        <v>76</v>
      </c>
      <c r="B559" s="18">
        <v>2036</v>
      </c>
      <c r="C559" t="s">
        <v>200</v>
      </c>
      <c r="D559" s="20" t="s">
        <v>391</v>
      </c>
      <c r="E559" s="20" t="s">
        <v>392</v>
      </c>
      <c r="F559" s="20" t="s">
        <v>204</v>
      </c>
      <c r="G559" s="20" t="s">
        <v>393</v>
      </c>
      <c r="H559" s="20" t="s">
        <v>384</v>
      </c>
      <c r="I559" s="29">
        <v>1</v>
      </c>
      <c r="J559" s="30">
        <v>1</v>
      </c>
      <c r="K559" s="31">
        <v>8.7749999999999998E-3</v>
      </c>
      <c r="L559" s="9">
        <v>616539654.35734701</v>
      </c>
      <c r="M559" s="9">
        <v>616262053.85817397</v>
      </c>
      <c r="N559" s="32">
        <f>MIN(MAX((B559-Calculation_Assumptions!$B$5+1)/Calculation_Assumptions!$B$7,0),1)</f>
        <v>1</v>
      </c>
      <c r="O559" s="21">
        <f t="shared" si="64"/>
        <v>616539654.35734701</v>
      </c>
      <c r="P559" s="21">
        <f t="shared" si="65"/>
        <v>616262053.85817397</v>
      </c>
      <c r="Q559" s="21">
        <f>P559*Calculation_Assumptions!$B$14*J559*K559</f>
        <v>0</v>
      </c>
      <c r="R559" s="21">
        <f t="shared" si="66"/>
        <v>5410135.4669857202</v>
      </c>
      <c r="S559" s="21">
        <f t="shared" si="67"/>
        <v>5410135.4669857202</v>
      </c>
      <c r="T559" s="32">
        <f>1/(1+Calculation_Assumptions!$B$8)^(B559-Calculation_Assumptions!$B$2)</f>
        <v>0.72242127659876232</v>
      </c>
      <c r="U559" s="21">
        <f t="shared" si="68"/>
        <v>0</v>
      </c>
      <c r="V559" s="21">
        <f t="shared" si="69"/>
        <v>3908396.9706320651</v>
      </c>
      <c r="W559" s="21">
        <f t="shared" si="70"/>
        <v>3908396.9706320651</v>
      </c>
      <c r="X559">
        <v>0</v>
      </c>
      <c r="Y559" s="18">
        <v>2017</v>
      </c>
      <c r="Z559" t="s">
        <v>387</v>
      </c>
      <c r="AA559" s="21">
        <f t="shared" si="71"/>
        <v>1</v>
      </c>
    </row>
    <row r="560" spans="1:27">
      <c r="A560" t="s">
        <v>76</v>
      </c>
      <c r="B560" s="18">
        <v>2037</v>
      </c>
      <c r="C560" t="s">
        <v>200</v>
      </c>
      <c r="D560" s="20" t="s">
        <v>391</v>
      </c>
      <c r="E560" s="20" t="s">
        <v>392</v>
      </c>
      <c r="F560" s="20" t="s">
        <v>204</v>
      </c>
      <c r="G560" s="20" t="s">
        <v>393</v>
      </c>
      <c r="H560" s="20" t="s">
        <v>384</v>
      </c>
      <c r="I560" s="29">
        <v>1</v>
      </c>
      <c r="J560" s="30">
        <v>1</v>
      </c>
      <c r="K560" s="31">
        <v>8.7749999999999998E-3</v>
      </c>
      <c r="L560" s="9">
        <v>619898345.122545</v>
      </c>
      <c r="M560" s="9">
        <v>619529380.90729904</v>
      </c>
      <c r="N560" s="32">
        <f>MIN(MAX((B560-Calculation_Assumptions!$B$5+1)/Calculation_Assumptions!$B$7,0),1)</f>
        <v>1</v>
      </c>
      <c r="O560" s="21">
        <f t="shared" si="64"/>
        <v>619898345.122545</v>
      </c>
      <c r="P560" s="21">
        <f t="shared" si="65"/>
        <v>619529380.90729904</v>
      </c>
      <c r="Q560" s="21">
        <f>P560*Calculation_Assumptions!$B$14*J560*K560</f>
        <v>0</v>
      </c>
      <c r="R560" s="21">
        <f t="shared" si="66"/>
        <v>5439607.9784503318</v>
      </c>
      <c r="S560" s="21">
        <f t="shared" si="67"/>
        <v>5439607.9784503318</v>
      </c>
      <c r="T560" s="32">
        <f>1/(1+Calculation_Assumptions!$B$8)^(B560-Calculation_Assumptions!$B$2)</f>
        <v>0.70137988019297326</v>
      </c>
      <c r="U560" s="21">
        <f t="shared" si="68"/>
        <v>0</v>
      </c>
      <c r="V560" s="21">
        <f t="shared" si="69"/>
        <v>3815231.5922222352</v>
      </c>
      <c r="W560" s="21">
        <f t="shared" si="70"/>
        <v>3815231.5922222352</v>
      </c>
      <c r="X560">
        <v>0</v>
      </c>
      <c r="Y560" s="18">
        <v>2017</v>
      </c>
      <c r="Z560" t="s">
        <v>387</v>
      </c>
      <c r="AA560" s="21">
        <f t="shared" si="71"/>
        <v>1</v>
      </c>
    </row>
    <row r="561" spans="1:27">
      <c r="A561" t="s">
        <v>76</v>
      </c>
      <c r="B561" s="18">
        <v>2038</v>
      </c>
      <c r="C561" t="s">
        <v>200</v>
      </c>
      <c r="D561" s="20" t="s">
        <v>391</v>
      </c>
      <c r="E561" s="20" t="s">
        <v>392</v>
      </c>
      <c r="F561" s="20" t="s">
        <v>204</v>
      </c>
      <c r="G561" s="20" t="s">
        <v>393</v>
      </c>
      <c r="H561" s="20" t="s">
        <v>384</v>
      </c>
      <c r="I561" s="29">
        <v>1</v>
      </c>
      <c r="J561" s="30">
        <v>1</v>
      </c>
      <c r="K561" s="31">
        <v>8.7749999999999998E-3</v>
      </c>
      <c r="L561" s="9">
        <v>623157085.01735401</v>
      </c>
      <c r="M561" s="9">
        <v>622673191.62836504</v>
      </c>
      <c r="N561" s="32">
        <f>MIN(MAX((B561-Calculation_Assumptions!$B$5+1)/Calculation_Assumptions!$B$7,0),1)</f>
        <v>1</v>
      </c>
      <c r="O561" s="21">
        <f t="shared" si="64"/>
        <v>623157085.01735401</v>
      </c>
      <c r="P561" s="21">
        <f t="shared" si="65"/>
        <v>622673191.62836504</v>
      </c>
      <c r="Q561" s="21">
        <f>P561*Calculation_Assumptions!$B$14*J561*K561</f>
        <v>0</v>
      </c>
      <c r="R561" s="21">
        <f t="shared" si="66"/>
        <v>5468203.4210272813</v>
      </c>
      <c r="S561" s="21">
        <f t="shared" si="67"/>
        <v>5468203.4210272813</v>
      </c>
      <c r="T561" s="32">
        <f>1/(1+Calculation_Assumptions!$B$8)^(B561-Calculation_Assumptions!$B$2)</f>
        <v>0.68095133999317792</v>
      </c>
      <c r="U561" s="21">
        <f t="shared" si="68"/>
        <v>0</v>
      </c>
      <c r="V561" s="21">
        <f t="shared" si="69"/>
        <v>3723580.4469038066</v>
      </c>
      <c r="W561" s="21">
        <f t="shared" si="70"/>
        <v>3723580.4469038066</v>
      </c>
      <c r="X561">
        <v>0</v>
      </c>
      <c r="Y561" s="18">
        <v>2017</v>
      </c>
      <c r="Z561" t="s">
        <v>387</v>
      </c>
      <c r="AA561" s="21">
        <f t="shared" si="71"/>
        <v>1</v>
      </c>
    </row>
    <row r="562" spans="1:27">
      <c r="A562" t="s">
        <v>76</v>
      </c>
      <c r="B562" s="18">
        <v>2039</v>
      </c>
      <c r="C562" t="s">
        <v>200</v>
      </c>
      <c r="D562" s="20" t="s">
        <v>391</v>
      </c>
      <c r="E562" s="20" t="s">
        <v>392</v>
      </c>
      <c r="F562" s="20" t="s">
        <v>204</v>
      </c>
      <c r="G562" s="20" t="s">
        <v>393</v>
      </c>
      <c r="H562" s="20" t="s">
        <v>384</v>
      </c>
      <c r="I562" s="29">
        <v>1</v>
      </c>
      <c r="J562" s="30">
        <v>1</v>
      </c>
      <c r="K562" s="31">
        <v>8.7749999999999998E-3</v>
      </c>
      <c r="L562" s="9">
        <v>626312438.007918</v>
      </c>
      <c r="M562" s="9">
        <v>625731758.218045</v>
      </c>
      <c r="N562" s="32">
        <f>MIN(MAX((B562-Calculation_Assumptions!$B$5+1)/Calculation_Assumptions!$B$7,0),1)</f>
        <v>1</v>
      </c>
      <c r="O562" s="21">
        <f t="shared" si="64"/>
        <v>626312438.007918</v>
      </c>
      <c r="P562" s="21">
        <f t="shared" si="65"/>
        <v>625731758.218045</v>
      </c>
      <c r="Q562" s="21">
        <f>P562*Calculation_Assumptions!$B$14*J562*K562</f>
        <v>0</v>
      </c>
      <c r="R562" s="21">
        <f t="shared" si="66"/>
        <v>5495891.6435194807</v>
      </c>
      <c r="S562" s="21">
        <f t="shared" si="67"/>
        <v>5495891.6435194807</v>
      </c>
      <c r="T562" s="32">
        <f>1/(1+Calculation_Assumptions!$B$8)^(B562-Calculation_Assumptions!$B$2)</f>
        <v>0.66111780581861923</v>
      </c>
      <c r="U562" s="21">
        <f t="shared" si="68"/>
        <v>0</v>
      </c>
      <c r="V562" s="21">
        <f t="shared" si="69"/>
        <v>3633431.8243804839</v>
      </c>
      <c r="W562" s="21">
        <f t="shared" si="70"/>
        <v>3633431.8243804839</v>
      </c>
      <c r="X562">
        <v>0</v>
      </c>
      <c r="Y562" s="18">
        <v>2017</v>
      </c>
      <c r="Z562" t="s">
        <v>387</v>
      </c>
      <c r="AA562" s="21">
        <f t="shared" si="71"/>
        <v>1</v>
      </c>
    </row>
    <row r="563" spans="1:27">
      <c r="A563" t="s">
        <v>76</v>
      </c>
      <c r="B563" s="18">
        <v>2040</v>
      </c>
      <c r="C563" t="s">
        <v>200</v>
      </c>
      <c r="D563" s="20" t="s">
        <v>391</v>
      </c>
      <c r="E563" s="20" t="s">
        <v>392</v>
      </c>
      <c r="F563" s="20" t="s">
        <v>204</v>
      </c>
      <c r="G563" s="20" t="s">
        <v>393</v>
      </c>
      <c r="H563" s="20" t="s">
        <v>384</v>
      </c>
      <c r="I563" s="29">
        <v>1</v>
      </c>
      <c r="J563" s="30">
        <v>1</v>
      </c>
      <c r="K563" s="31">
        <v>8.7749999999999998E-3</v>
      </c>
      <c r="L563" s="9">
        <v>629347032.33731306</v>
      </c>
      <c r="M563" s="9">
        <v>628667498.21665299</v>
      </c>
      <c r="N563" s="32">
        <f>MIN(MAX((B563-Calculation_Assumptions!$B$5+1)/Calculation_Assumptions!$B$7,0),1)</f>
        <v>1</v>
      </c>
      <c r="O563" s="21">
        <f t="shared" si="64"/>
        <v>629347032.33731306</v>
      </c>
      <c r="P563" s="21">
        <f t="shared" si="65"/>
        <v>628667498.21665299</v>
      </c>
      <c r="Q563" s="21">
        <f>P563*Calculation_Assumptions!$B$14*J563*K563</f>
        <v>0</v>
      </c>
      <c r="R563" s="21">
        <f t="shared" si="66"/>
        <v>5522520.2087599216</v>
      </c>
      <c r="S563" s="21">
        <f t="shared" si="67"/>
        <v>5522520.2087599216</v>
      </c>
      <c r="T563" s="32">
        <f>1/(1+Calculation_Assumptions!$B$8)^(B563-Calculation_Assumptions!$B$2)</f>
        <v>0.64186194739671765</v>
      </c>
      <c r="U563" s="21">
        <f t="shared" si="68"/>
        <v>0</v>
      </c>
      <c r="V563" s="21">
        <f t="shared" si="69"/>
        <v>3544695.5757323708</v>
      </c>
      <c r="W563" s="21">
        <f t="shared" si="70"/>
        <v>3544695.5757323708</v>
      </c>
      <c r="X563">
        <v>0</v>
      </c>
      <c r="Y563" s="18">
        <v>2017</v>
      </c>
      <c r="Z563" t="s">
        <v>387</v>
      </c>
      <c r="AA563" s="21">
        <f t="shared" si="71"/>
        <v>1</v>
      </c>
    </row>
    <row r="564" spans="1:27">
      <c r="A564" t="s">
        <v>76</v>
      </c>
      <c r="B564" s="18">
        <v>2041</v>
      </c>
      <c r="C564" t="s">
        <v>200</v>
      </c>
      <c r="D564" s="20" t="s">
        <v>391</v>
      </c>
      <c r="E564" s="20" t="s">
        <v>392</v>
      </c>
      <c r="F564" s="20" t="s">
        <v>204</v>
      </c>
      <c r="G564" s="20" t="s">
        <v>393</v>
      </c>
      <c r="H564" s="20" t="s">
        <v>384</v>
      </c>
      <c r="I564" s="29">
        <v>1</v>
      </c>
      <c r="J564" s="30">
        <v>1</v>
      </c>
      <c r="K564" s="31">
        <v>8.7749999999999998E-3</v>
      </c>
      <c r="L564" s="9">
        <v>632268493.39175498</v>
      </c>
      <c r="M564" s="9">
        <v>631488405.68781996</v>
      </c>
      <c r="N564" s="32">
        <f>MIN(MAX((B564-Calculation_Assumptions!$B$5+1)/Calculation_Assumptions!$B$7,0),1)</f>
        <v>1</v>
      </c>
      <c r="O564" s="21">
        <f t="shared" si="64"/>
        <v>632268493.39175498</v>
      </c>
      <c r="P564" s="21">
        <f t="shared" si="65"/>
        <v>631488405.68781996</v>
      </c>
      <c r="Q564" s="21">
        <f>P564*Calculation_Assumptions!$B$14*J564*K564</f>
        <v>0</v>
      </c>
      <c r="R564" s="21">
        <f t="shared" si="66"/>
        <v>5548156.0295126503</v>
      </c>
      <c r="S564" s="21">
        <f t="shared" si="67"/>
        <v>5548156.0295126503</v>
      </c>
      <c r="T564" s="32">
        <f>1/(1+Calculation_Assumptions!$B$8)^(B564-Calculation_Assumptions!$B$2)</f>
        <v>0.62316693922011435</v>
      </c>
      <c r="U564" s="21">
        <f t="shared" si="68"/>
        <v>0</v>
      </c>
      <c r="V564" s="21">
        <f t="shared" si="69"/>
        <v>3457427.4112270209</v>
      </c>
      <c r="W564" s="21">
        <f t="shared" si="70"/>
        <v>3457427.4112270209</v>
      </c>
      <c r="X564">
        <v>0</v>
      </c>
      <c r="Y564" s="18">
        <v>2017</v>
      </c>
      <c r="Z564" t="s">
        <v>387</v>
      </c>
      <c r="AA564" s="21">
        <f t="shared" si="71"/>
        <v>1</v>
      </c>
    </row>
    <row r="565" spans="1:27">
      <c r="A565" t="s">
        <v>76</v>
      </c>
      <c r="B565" s="18">
        <v>2042</v>
      </c>
      <c r="C565" t="s">
        <v>200</v>
      </c>
      <c r="D565" s="20" t="s">
        <v>391</v>
      </c>
      <c r="E565" s="20" t="s">
        <v>392</v>
      </c>
      <c r="F565" s="20" t="s">
        <v>204</v>
      </c>
      <c r="G565" s="20" t="s">
        <v>393</v>
      </c>
      <c r="H565" s="20" t="s">
        <v>384</v>
      </c>
      <c r="I565" s="29">
        <v>1</v>
      </c>
      <c r="J565" s="30">
        <v>1</v>
      </c>
      <c r="K565" s="31">
        <v>8.7749999999999998E-3</v>
      </c>
      <c r="L565" s="9">
        <v>635066634.14519799</v>
      </c>
      <c r="M565" s="9">
        <v>634184560.98858297</v>
      </c>
      <c r="N565" s="32">
        <f>MIN(MAX((B565-Calculation_Assumptions!$B$5+1)/Calculation_Assumptions!$B$7,0),1)</f>
        <v>1</v>
      </c>
      <c r="O565" s="21">
        <f t="shared" si="64"/>
        <v>635066634.14519799</v>
      </c>
      <c r="P565" s="21">
        <f t="shared" si="65"/>
        <v>634184560.98858297</v>
      </c>
      <c r="Q565" s="21">
        <f>P565*Calculation_Assumptions!$B$14*J565*K565</f>
        <v>0</v>
      </c>
      <c r="R565" s="21">
        <f t="shared" si="66"/>
        <v>5572709.7146241125</v>
      </c>
      <c r="S565" s="21">
        <f t="shared" si="67"/>
        <v>5572709.7146241125</v>
      </c>
      <c r="T565" s="32">
        <f>1/(1+Calculation_Assumptions!$B$8)^(B565-Calculation_Assumptions!$B$2)</f>
        <v>0.60501644584477121</v>
      </c>
      <c r="U565" s="21">
        <f t="shared" si="68"/>
        <v>0</v>
      </c>
      <c r="V565" s="21">
        <f t="shared" si="69"/>
        <v>3371581.02526651</v>
      </c>
      <c r="W565" s="21">
        <f t="shared" si="70"/>
        <v>3371581.02526651</v>
      </c>
      <c r="X565">
        <v>0</v>
      </c>
      <c r="Y565" s="18">
        <v>2017</v>
      </c>
      <c r="Z565" t="s">
        <v>387</v>
      </c>
      <c r="AA565" s="21">
        <f t="shared" si="71"/>
        <v>1</v>
      </c>
    </row>
    <row r="566" spans="1:27">
      <c r="A566" t="s">
        <v>76</v>
      </c>
      <c r="B566" s="18">
        <v>2043</v>
      </c>
      <c r="C566" t="s">
        <v>200</v>
      </c>
      <c r="D566" s="20" t="s">
        <v>391</v>
      </c>
      <c r="E566" s="20" t="s">
        <v>392</v>
      </c>
      <c r="F566" s="20" t="s">
        <v>204</v>
      </c>
      <c r="G566" s="20" t="s">
        <v>393</v>
      </c>
      <c r="H566" s="20" t="s">
        <v>384</v>
      </c>
      <c r="I566" s="29">
        <v>1</v>
      </c>
      <c r="J566" s="30">
        <v>1</v>
      </c>
      <c r="K566" s="31">
        <v>8.7749999999999998E-3</v>
      </c>
      <c r="L566" s="9">
        <v>637740511.15042996</v>
      </c>
      <c r="M566" s="9">
        <v>636767020.67603099</v>
      </c>
      <c r="N566" s="32">
        <f>MIN(MAX((B566-Calculation_Assumptions!$B$5+1)/Calculation_Assumptions!$B$7,0),1)</f>
        <v>1</v>
      </c>
      <c r="O566" s="21">
        <f t="shared" si="64"/>
        <v>637740511.15042996</v>
      </c>
      <c r="P566" s="21">
        <f t="shared" si="65"/>
        <v>636767020.67603099</v>
      </c>
      <c r="Q566" s="21">
        <f>P566*Calculation_Assumptions!$B$14*J566*K566</f>
        <v>0</v>
      </c>
      <c r="R566" s="21">
        <f t="shared" si="66"/>
        <v>5596172.9853450228</v>
      </c>
      <c r="S566" s="21">
        <f t="shared" si="67"/>
        <v>5596172.9853450228</v>
      </c>
      <c r="T566" s="32">
        <f>1/(1+Calculation_Assumptions!$B$8)^(B566-Calculation_Assumptions!$B$2)</f>
        <v>0.5873946076162827</v>
      </c>
      <c r="U566" s="21">
        <f t="shared" si="68"/>
        <v>0</v>
      </c>
      <c r="V566" s="21">
        <f t="shared" si="69"/>
        <v>3287161.8348795809</v>
      </c>
      <c r="W566" s="21">
        <f t="shared" si="70"/>
        <v>3287161.8348795809</v>
      </c>
      <c r="X566">
        <v>0</v>
      </c>
      <c r="Y566" s="18">
        <v>2017</v>
      </c>
      <c r="Z566" t="s">
        <v>387</v>
      </c>
      <c r="AA566" s="21">
        <f t="shared" si="71"/>
        <v>1</v>
      </c>
    </row>
    <row r="567" spans="1:27">
      <c r="A567" t="s">
        <v>76</v>
      </c>
      <c r="B567" s="18">
        <v>2044</v>
      </c>
      <c r="C567" t="s">
        <v>200</v>
      </c>
      <c r="D567" s="20" t="s">
        <v>391</v>
      </c>
      <c r="E567" s="20" t="s">
        <v>392</v>
      </c>
      <c r="F567" s="20" t="s">
        <v>204</v>
      </c>
      <c r="G567" s="20" t="s">
        <v>393</v>
      </c>
      <c r="H567" s="20" t="s">
        <v>384</v>
      </c>
      <c r="I567" s="29">
        <v>1</v>
      </c>
      <c r="J567" s="30">
        <v>1</v>
      </c>
      <c r="K567" s="31">
        <v>8.7749999999999998E-3</v>
      </c>
      <c r="L567" s="9">
        <v>640285329.92099202</v>
      </c>
      <c r="M567" s="9">
        <v>639211548.58069301</v>
      </c>
      <c r="N567" s="32">
        <f>MIN(MAX((B567-Calculation_Assumptions!$B$5+1)/Calculation_Assumptions!$B$7,0),1)</f>
        <v>1</v>
      </c>
      <c r="O567" s="21">
        <f t="shared" si="64"/>
        <v>640285329.92099202</v>
      </c>
      <c r="P567" s="21">
        <f t="shared" si="65"/>
        <v>639211548.58069301</v>
      </c>
      <c r="Q567" s="21">
        <f>P567*Calculation_Assumptions!$B$14*J567*K567</f>
        <v>0</v>
      </c>
      <c r="R567" s="21">
        <f t="shared" si="66"/>
        <v>5618503.770056705</v>
      </c>
      <c r="S567" s="21">
        <f t="shared" si="67"/>
        <v>5618503.770056705</v>
      </c>
      <c r="T567" s="32">
        <f>1/(1+Calculation_Assumptions!$B$8)^(B567-Calculation_Assumptions!$B$2)</f>
        <v>0.57028602681192497</v>
      </c>
      <c r="U567" s="21">
        <f t="shared" si="68"/>
        <v>0</v>
      </c>
      <c r="V567" s="21">
        <f t="shared" si="69"/>
        <v>3204154.1916534598</v>
      </c>
      <c r="W567" s="21">
        <f t="shared" si="70"/>
        <v>3204154.1916534598</v>
      </c>
      <c r="X567">
        <v>0</v>
      </c>
      <c r="Y567" s="18">
        <v>2017</v>
      </c>
      <c r="Z567" t="s">
        <v>387</v>
      </c>
      <c r="AA567" s="21">
        <f t="shared" si="71"/>
        <v>1</v>
      </c>
    </row>
    <row r="568" spans="1:27">
      <c r="A568" t="s">
        <v>76</v>
      </c>
      <c r="B568" s="18">
        <v>2045</v>
      </c>
      <c r="C568" t="s">
        <v>200</v>
      </c>
      <c r="D568" s="20" t="s">
        <v>391</v>
      </c>
      <c r="E568" s="20" t="s">
        <v>392</v>
      </c>
      <c r="F568" s="20" t="s">
        <v>204</v>
      </c>
      <c r="G568" s="20" t="s">
        <v>393</v>
      </c>
      <c r="H568" s="20" t="s">
        <v>384</v>
      </c>
      <c r="I568" s="29">
        <v>1</v>
      </c>
      <c r="J568" s="30">
        <v>1</v>
      </c>
      <c r="K568" s="31">
        <v>8.7749999999999998E-3</v>
      </c>
      <c r="L568" s="9">
        <v>642695843.59439898</v>
      </c>
      <c r="M568" s="9">
        <v>641520754.67294204</v>
      </c>
      <c r="N568" s="32">
        <f>MIN(MAX((B568-Calculation_Assumptions!$B$5+1)/Calculation_Assumptions!$B$7,0),1)</f>
        <v>1</v>
      </c>
      <c r="O568" s="21">
        <f t="shared" si="64"/>
        <v>642695843.59439898</v>
      </c>
      <c r="P568" s="21">
        <f t="shared" si="65"/>
        <v>641520754.67294204</v>
      </c>
      <c r="Q568" s="21">
        <f>P568*Calculation_Assumptions!$B$14*J568*K568</f>
        <v>0</v>
      </c>
      <c r="R568" s="21">
        <f t="shared" si="66"/>
        <v>5639656.0275408505</v>
      </c>
      <c r="S568" s="21">
        <f t="shared" si="67"/>
        <v>5639656.0275408505</v>
      </c>
      <c r="T568" s="32">
        <f>1/(1+Calculation_Assumptions!$B$8)^(B568-Calculation_Assumptions!$B$2)</f>
        <v>0.55367575418633497</v>
      </c>
      <c r="U568" s="21">
        <f t="shared" si="68"/>
        <v>0</v>
      </c>
      <c r="V568" s="21">
        <f t="shared" si="69"/>
        <v>3122540.8044001902</v>
      </c>
      <c r="W568" s="21">
        <f t="shared" si="70"/>
        <v>3122540.8044001902</v>
      </c>
      <c r="X568">
        <v>0</v>
      </c>
      <c r="Y568" s="18">
        <v>2017</v>
      </c>
      <c r="Z568" t="s">
        <v>387</v>
      </c>
      <c r="AA568" s="21">
        <f t="shared" si="71"/>
        <v>1</v>
      </c>
    </row>
    <row r="569" spans="1:27">
      <c r="A569" t="s">
        <v>76</v>
      </c>
      <c r="B569" s="18">
        <v>2046</v>
      </c>
      <c r="C569" t="s">
        <v>200</v>
      </c>
      <c r="D569" s="20" t="s">
        <v>391</v>
      </c>
      <c r="E569" s="20" t="s">
        <v>392</v>
      </c>
      <c r="F569" s="20" t="s">
        <v>204</v>
      </c>
      <c r="G569" s="20" t="s">
        <v>393</v>
      </c>
      <c r="H569" s="20" t="s">
        <v>384</v>
      </c>
      <c r="I569" s="29">
        <v>1</v>
      </c>
      <c r="J569" s="30">
        <v>1</v>
      </c>
      <c r="K569" s="31">
        <v>8.7749999999999998E-3</v>
      </c>
      <c r="L569" s="9">
        <v>644974193.08303404</v>
      </c>
      <c r="M569" s="9">
        <v>643697330.762573</v>
      </c>
      <c r="N569" s="32">
        <f>MIN(MAX((B569-Calculation_Assumptions!$B$5+1)/Calculation_Assumptions!$B$7,0),1)</f>
        <v>1</v>
      </c>
      <c r="O569" s="21">
        <f t="shared" si="64"/>
        <v>644974193.08303404</v>
      </c>
      <c r="P569" s="21">
        <f t="shared" si="65"/>
        <v>643697330.762573</v>
      </c>
      <c r="Q569" s="21">
        <f>P569*Calculation_Assumptions!$B$14*J569*K569</f>
        <v>0</v>
      </c>
      <c r="R569" s="21">
        <f t="shared" si="66"/>
        <v>5659648.544303624</v>
      </c>
      <c r="S569" s="21">
        <f t="shared" si="67"/>
        <v>5659648.544303624</v>
      </c>
      <c r="T569" s="32">
        <f>1/(1+Calculation_Assumptions!$B$8)^(B569-Calculation_Assumptions!$B$2)</f>
        <v>0.5375492759090631</v>
      </c>
      <c r="U569" s="21">
        <f t="shared" si="68"/>
        <v>0</v>
      </c>
      <c r="V569" s="21">
        <f t="shared" si="69"/>
        <v>3042339.9768901961</v>
      </c>
      <c r="W569" s="21">
        <f t="shared" si="70"/>
        <v>3042339.9768901961</v>
      </c>
      <c r="X569">
        <v>0</v>
      </c>
      <c r="Y569" s="18">
        <v>2017</v>
      </c>
      <c r="Z569" t="s">
        <v>387</v>
      </c>
      <c r="AA569" s="21">
        <f t="shared" si="71"/>
        <v>1</v>
      </c>
    </row>
    <row r="570" spans="1:27">
      <c r="A570" t="s">
        <v>76</v>
      </c>
      <c r="B570" s="18">
        <v>2047</v>
      </c>
      <c r="C570" t="s">
        <v>200</v>
      </c>
      <c r="D570" s="20" t="s">
        <v>391</v>
      </c>
      <c r="E570" s="20" t="s">
        <v>392</v>
      </c>
      <c r="F570" s="20" t="s">
        <v>204</v>
      </c>
      <c r="G570" s="20" t="s">
        <v>393</v>
      </c>
      <c r="H570" s="20" t="s">
        <v>384</v>
      </c>
      <c r="I570" s="29">
        <v>1</v>
      </c>
      <c r="J570" s="30">
        <v>1</v>
      </c>
      <c r="K570" s="31">
        <v>8.7749999999999998E-3</v>
      </c>
      <c r="L570" s="9">
        <v>647124942.32164299</v>
      </c>
      <c r="M570" s="9">
        <v>645745914.53009498</v>
      </c>
      <c r="N570" s="32">
        <f>MIN(MAX((B570-Calculation_Assumptions!$B$5+1)/Calculation_Assumptions!$B$7,0),1)</f>
        <v>1</v>
      </c>
      <c r="O570" s="21">
        <f t="shared" si="64"/>
        <v>647124942.32164299</v>
      </c>
      <c r="P570" s="21">
        <f t="shared" si="65"/>
        <v>645745914.53009498</v>
      </c>
      <c r="Q570" s="21">
        <f>P570*Calculation_Assumptions!$B$14*J570*K570</f>
        <v>0</v>
      </c>
      <c r="R570" s="21">
        <f t="shared" si="66"/>
        <v>5678521.3688724171</v>
      </c>
      <c r="S570" s="21">
        <f t="shared" si="67"/>
        <v>5678521.3688724171</v>
      </c>
      <c r="T570" s="32">
        <f>1/(1+Calculation_Assumptions!$B$8)^(B570-Calculation_Assumptions!$B$2)</f>
        <v>0.52189250088258554</v>
      </c>
      <c r="U570" s="21">
        <f t="shared" si="68"/>
        <v>0</v>
      </c>
      <c r="V570" s="21">
        <f t="shared" si="69"/>
        <v>2963577.718516029</v>
      </c>
      <c r="W570" s="21">
        <f t="shared" si="70"/>
        <v>2963577.718516029</v>
      </c>
      <c r="X570">
        <v>0</v>
      </c>
      <c r="Y570" s="18">
        <v>2017</v>
      </c>
      <c r="Z570" t="s">
        <v>387</v>
      </c>
      <c r="AA570" s="21">
        <f t="shared" si="71"/>
        <v>1</v>
      </c>
    </row>
    <row r="571" spans="1:27">
      <c r="A571" t="s">
        <v>76</v>
      </c>
      <c r="B571" s="18">
        <v>2048</v>
      </c>
      <c r="C571" t="s">
        <v>200</v>
      </c>
      <c r="D571" s="20" t="s">
        <v>391</v>
      </c>
      <c r="E571" s="20" t="s">
        <v>392</v>
      </c>
      <c r="F571" s="20" t="s">
        <v>204</v>
      </c>
      <c r="G571" s="20" t="s">
        <v>393</v>
      </c>
      <c r="H571" s="20" t="s">
        <v>384</v>
      </c>
      <c r="I571" s="29">
        <v>1</v>
      </c>
      <c r="J571" s="30">
        <v>1</v>
      </c>
      <c r="K571" s="31">
        <v>8.7749999999999998E-3</v>
      </c>
      <c r="L571" s="9">
        <v>649147853.41567302</v>
      </c>
      <c r="M571" s="9">
        <v>647666796.64810395</v>
      </c>
      <c r="N571" s="32">
        <f>MIN(MAX((B571-Calculation_Assumptions!$B$5+1)/Calculation_Assumptions!$B$7,0),1)</f>
        <v>1</v>
      </c>
      <c r="O571" s="21">
        <f t="shared" si="64"/>
        <v>649147853.41567302</v>
      </c>
      <c r="P571" s="21">
        <f t="shared" si="65"/>
        <v>647666796.64810395</v>
      </c>
      <c r="Q571" s="21">
        <f>P571*Calculation_Assumptions!$B$14*J571*K571</f>
        <v>0</v>
      </c>
      <c r="R571" s="21">
        <f t="shared" si="66"/>
        <v>5696272.4137225309</v>
      </c>
      <c r="S571" s="21">
        <f t="shared" si="67"/>
        <v>5696272.4137225309</v>
      </c>
      <c r="T571" s="32">
        <f>1/(1+Calculation_Assumptions!$B$8)^(B571-Calculation_Assumptions!$B$2)</f>
        <v>0.50669174842969467</v>
      </c>
      <c r="U571" s="21">
        <f t="shared" si="68"/>
        <v>0</v>
      </c>
      <c r="V571" s="21">
        <f t="shared" si="69"/>
        <v>2886254.2288409062</v>
      </c>
      <c r="W571" s="21">
        <f t="shared" si="70"/>
        <v>2886254.2288409062</v>
      </c>
      <c r="X571">
        <v>0</v>
      </c>
      <c r="Y571" s="18">
        <v>2017</v>
      </c>
      <c r="Z571" t="s">
        <v>387</v>
      </c>
      <c r="AA571" s="21">
        <f t="shared" si="71"/>
        <v>1</v>
      </c>
    </row>
    <row r="572" spans="1:27">
      <c r="A572" t="s">
        <v>76</v>
      </c>
      <c r="B572" s="18">
        <v>2049</v>
      </c>
      <c r="C572" t="s">
        <v>200</v>
      </c>
      <c r="D572" s="20" t="s">
        <v>391</v>
      </c>
      <c r="E572" s="20" t="s">
        <v>392</v>
      </c>
      <c r="F572" s="20" t="s">
        <v>204</v>
      </c>
      <c r="G572" s="20" t="s">
        <v>393</v>
      </c>
      <c r="H572" s="20" t="s">
        <v>384</v>
      </c>
      <c r="I572" s="29">
        <v>1</v>
      </c>
      <c r="J572" s="30">
        <v>1</v>
      </c>
      <c r="K572" s="31">
        <v>8.7749999999999998E-3</v>
      </c>
      <c r="L572" s="9">
        <v>651040967.5934</v>
      </c>
      <c r="M572" s="9">
        <v>649421968.02473402</v>
      </c>
      <c r="N572" s="32">
        <f>MIN(MAX((B572-Calculation_Assumptions!$B$5+1)/Calculation_Assumptions!$B$7,0),1)</f>
        <v>1</v>
      </c>
      <c r="O572" s="21">
        <f t="shared" si="64"/>
        <v>651040967.5934</v>
      </c>
      <c r="P572" s="21">
        <f t="shared" si="65"/>
        <v>649421968.02473402</v>
      </c>
      <c r="Q572" s="21">
        <f>P572*Calculation_Assumptions!$B$14*J572*K572</f>
        <v>0</v>
      </c>
      <c r="R572" s="21">
        <f t="shared" si="66"/>
        <v>5712884.4906320851</v>
      </c>
      <c r="S572" s="21">
        <f t="shared" si="67"/>
        <v>5712884.4906320851</v>
      </c>
      <c r="T572" s="32">
        <f>1/(1+Calculation_Assumptions!$B$8)^(B572-Calculation_Assumptions!$B$2)</f>
        <v>0.49193373633950943</v>
      </c>
      <c r="U572" s="21">
        <f t="shared" si="68"/>
        <v>0</v>
      </c>
      <c r="V572" s="21">
        <f t="shared" si="69"/>
        <v>2810360.6127526769</v>
      </c>
      <c r="W572" s="21">
        <f t="shared" si="70"/>
        <v>2810360.6127526769</v>
      </c>
      <c r="X572">
        <v>0</v>
      </c>
      <c r="Y572" s="18">
        <v>2017</v>
      </c>
      <c r="Z572" t="s">
        <v>387</v>
      </c>
      <c r="AA572" s="21">
        <f t="shared" si="71"/>
        <v>1</v>
      </c>
    </row>
    <row r="573" spans="1:27">
      <c r="A573" t="s">
        <v>76</v>
      </c>
      <c r="B573" s="18">
        <v>2050</v>
      </c>
      <c r="C573" t="s">
        <v>200</v>
      </c>
      <c r="D573" s="20" t="s">
        <v>391</v>
      </c>
      <c r="E573" s="20" t="s">
        <v>392</v>
      </c>
      <c r="F573" s="20" t="s">
        <v>204</v>
      </c>
      <c r="G573" s="20" t="s">
        <v>393</v>
      </c>
      <c r="H573" s="20" t="s">
        <v>384</v>
      </c>
      <c r="I573" s="29">
        <v>1</v>
      </c>
      <c r="J573" s="30">
        <v>1</v>
      </c>
      <c r="K573" s="31">
        <v>8.7749999999999998E-3</v>
      </c>
      <c r="L573" s="9">
        <v>652799148.10289598</v>
      </c>
      <c r="M573" s="9">
        <v>651074457.25957894</v>
      </c>
      <c r="N573" s="32">
        <f>MIN(MAX((B573-Calculation_Assumptions!$B$5+1)/Calculation_Assumptions!$B$7,0),1)</f>
        <v>1</v>
      </c>
      <c r="O573" s="21">
        <f t="shared" si="64"/>
        <v>652799148.10289598</v>
      </c>
      <c r="P573" s="21">
        <f t="shared" si="65"/>
        <v>651074457.25957894</v>
      </c>
      <c r="Q573" s="21">
        <f>P573*Calculation_Assumptions!$B$14*J573*K573</f>
        <v>0</v>
      </c>
      <c r="R573" s="21">
        <f t="shared" si="66"/>
        <v>5728312.5246029124</v>
      </c>
      <c r="S573" s="21">
        <f t="shared" si="67"/>
        <v>5728312.5246029124</v>
      </c>
      <c r="T573" s="32">
        <f>1/(1+Calculation_Assumptions!$B$8)^(B573-Calculation_Assumptions!$B$2)</f>
        <v>0.47760556926165965</v>
      </c>
      <c r="U573" s="21">
        <f t="shared" si="68"/>
        <v>0</v>
      </c>
      <c r="V573" s="21">
        <f t="shared" si="69"/>
        <v>2735873.9642216689</v>
      </c>
      <c r="W573" s="21">
        <f t="shared" si="70"/>
        <v>2735873.9642216689</v>
      </c>
      <c r="X573">
        <v>0</v>
      </c>
      <c r="Y573" s="18">
        <v>2017</v>
      </c>
      <c r="Z573" t="s">
        <v>387</v>
      </c>
      <c r="AA573" s="21">
        <f t="shared" si="71"/>
        <v>1</v>
      </c>
    </row>
    <row r="574" spans="1:27">
      <c r="A574" t="s">
        <v>76</v>
      </c>
      <c r="B574" s="18">
        <v>2025</v>
      </c>
      <c r="C574" t="s">
        <v>210</v>
      </c>
      <c r="D574" s="20" t="s">
        <v>395</v>
      </c>
      <c r="E574" s="20" t="s">
        <v>396</v>
      </c>
      <c r="F574" s="20" t="s">
        <v>213</v>
      </c>
      <c r="G574" s="20" t="s">
        <v>393</v>
      </c>
      <c r="H574" s="20" t="s">
        <v>384</v>
      </c>
      <c r="I574" s="29">
        <v>1</v>
      </c>
      <c r="J574" s="30">
        <v>1</v>
      </c>
      <c r="K574" s="31">
        <v>8.7749999999999998E-3</v>
      </c>
      <c r="L574" s="9">
        <v>575134853.59312999</v>
      </c>
      <c r="M574" s="9">
        <v>575134853.59312999</v>
      </c>
      <c r="N574" s="32">
        <f>MIN(MAX((B574-Calculation_Assumptions!$B$5+1)/Calculation_Assumptions!$B$7,0),1)</f>
        <v>0</v>
      </c>
      <c r="O574" s="21">
        <f t="shared" si="64"/>
        <v>575134853.59312999</v>
      </c>
      <c r="P574" s="21">
        <f t="shared" si="65"/>
        <v>575134853.59312999</v>
      </c>
      <c r="Q574" s="21">
        <f>P574*Calculation_Assumptions!$B$14*J574*K574</f>
        <v>0</v>
      </c>
      <c r="R574" s="21">
        <f t="shared" si="66"/>
        <v>0</v>
      </c>
      <c r="S574" s="21">
        <f t="shared" si="67"/>
        <v>0</v>
      </c>
      <c r="T574" s="32">
        <f>1/(1+Calculation_Assumptions!$B$8)^(B574-Calculation_Assumptions!$B$2)</f>
        <v>1</v>
      </c>
      <c r="U574" s="21">
        <f t="shared" si="68"/>
        <v>0</v>
      </c>
      <c r="V574" s="21">
        <f t="shared" si="69"/>
        <v>0</v>
      </c>
      <c r="W574" s="21">
        <f t="shared" si="70"/>
        <v>0</v>
      </c>
      <c r="X574">
        <v>0</v>
      </c>
      <c r="Y574" s="18">
        <v>2017</v>
      </c>
      <c r="Z574" t="s">
        <v>387</v>
      </c>
      <c r="AA574" s="21">
        <f t="shared" si="71"/>
        <v>1</v>
      </c>
    </row>
    <row r="575" spans="1:27">
      <c r="A575" t="s">
        <v>76</v>
      </c>
      <c r="B575" s="18">
        <v>2026</v>
      </c>
      <c r="C575" t="s">
        <v>210</v>
      </c>
      <c r="D575" s="20" t="s">
        <v>395</v>
      </c>
      <c r="E575" s="20" t="s">
        <v>396</v>
      </c>
      <c r="F575" s="20" t="s">
        <v>213</v>
      </c>
      <c r="G575" s="20" t="s">
        <v>393</v>
      </c>
      <c r="H575" s="20" t="s">
        <v>384</v>
      </c>
      <c r="I575" s="29">
        <v>1</v>
      </c>
      <c r="J575" s="30">
        <v>1</v>
      </c>
      <c r="K575" s="31">
        <v>8.7749999999999998E-3</v>
      </c>
      <c r="L575" s="9">
        <v>579268647.32329595</v>
      </c>
      <c r="M575" s="9">
        <v>579268647.32329595</v>
      </c>
      <c r="N575" s="32">
        <f>MIN(MAX((B575-Calculation_Assumptions!$B$5+1)/Calculation_Assumptions!$B$7,0),1)</f>
        <v>0.33333333333333331</v>
      </c>
      <c r="O575" s="21">
        <f t="shared" si="64"/>
        <v>579268647.32329595</v>
      </c>
      <c r="P575" s="21">
        <f t="shared" si="65"/>
        <v>579268647.32329595</v>
      </c>
      <c r="Q575" s="21">
        <f>P575*Calculation_Assumptions!$B$14*J575*K575</f>
        <v>0</v>
      </c>
      <c r="R575" s="21">
        <f t="shared" si="66"/>
        <v>1694360.7934206405</v>
      </c>
      <c r="S575" s="21">
        <f t="shared" si="67"/>
        <v>1694360.7934206405</v>
      </c>
      <c r="T575" s="32">
        <f>1/(1+Calculation_Assumptions!$B$8)^(B575-Calculation_Assumptions!$B$2)</f>
        <v>0.970873786407767</v>
      </c>
      <c r="U575" s="21">
        <f t="shared" si="68"/>
        <v>0</v>
      </c>
      <c r="V575" s="21">
        <f t="shared" si="69"/>
        <v>1645010.4790491655</v>
      </c>
      <c r="W575" s="21">
        <f t="shared" si="70"/>
        <v>1645010.4790491655</v>
      </c>
      <c r="X575">
        <v>0</v>
      </c>
      <c r="Y575" s="18">
        <v>2017</v>
      </c>
      <c r="Z575" t="s">
        <v>387</v>
      </c>
      <c r="AA575" s="21">
        <f t="shared" si="71"/>
        <v>1</v>
      </c>
    </row>
    <row r="576" spans="1:27">
      <c r="A576" t="s">
        <v>76</v>
      </c>
      <c r="B576" s="18">
        <v>2027</v>
      </c>
      <c r="C576" t="s">
        <v>210</v>
      </c>
      <c r="D576" s="20" t="s">
        <v>395</v>
      </c>
      <c r="E576" s="20" t="s">
        <v>396</v>
      </c>
      <c r="F576" s="20" t="s">
        <v>213</v>
      </c>
      <c r="G576" s="20" t="s">
        <v>393</v>
      </c>
      <c r="H576" s="20" t="s">
        <v>384</v>
      </c>
      <c r="I576" s="29">
        <v>1</v>
      </c>
      <c r="J576" s="30">
        <v>1</v>
      </c>
      <c r="K576" s="31">
        <v>8.7749999999999998E-3</v>
      </c>
      <c r="L576" s="9">
        <v>583039014.28645599</v>
      </c>
      <c r="M576" s="9">
        <v>583039014.28645599</v>
      </c>
      <c r="N576" s="32">
        <f>MIN(MAX((B576-Calculation_Assumptions!$B$5+1)/Calculation_Assumptions!$B$7,0),1)</f>
        <v>0.66666666666666663</v>
      </c>
      <c r="O576" s="21">
        <f t="shared" si="64"/>
        <v>583039014.28645599</v>
      </c>
      <c r="P576" s="21">
        <f t="shared" si="65"/>
        <v>583039014.28645599</v>
      </c>
      <c r="Q576" s="21">
        <f>P576*Calculation_Assumptions!$B$14*J576*K576</f>
        <v>0</v>
      </c>
      <c r="R576" s="21">
        <f t="shared" si="66"/>
        <v>3410778.2335757674</v>
      </c>
      <c r="S576" s="21">
        <f t="shared" si="67"/>
        <v>3410778.2335757674</v>
      </c>
      <c r="T576" s="32">
        <f>1/(1+Calculation_Assumptions!$B$8)^(B576-Calculation_Assumptions!$B$2)</f>
        <v>0.94259590913375435</v>
      </c>
      <c r="U576" s="21">
        <f t="shared" si="68"/>
        <v>0</v>
      </c>
      <c r="V576" s="21">
        <f t="shared" si="69"/>
        <v>3214985.6099309712</v>
      </c>
      <c r="W576" s="21">
        <f t="shared" si="70"/>
        <v>3214985.6099309712</v>
      </c>
      <c r="X576">
        <v>0</v>
      </c>
      <c r="Y576" s="18">
        <v>2017</v>
      </c>
      <c r="Z576" t="s">
        <v>387</v>
      </c>
      <c r="AA576" s="21">
        <f t="shared" si="71"/>
        <v>1</v>
      </c>
    </row>
    <row r="577" spans="1:27">
      <c r="A577" t="s">
        <v>76</v>
      </c>
      <c r="B577" s="18">
        <v>2028</v>
      </c>
      <c r="C577" t="s">
        <v>210</v>
      </c>
      <c r="D577" s="20" t="s">
        <v>395</v>
      </c>
      <c r="E577" s="20" t="s">
        <v>396</v>
      </c>
      <c r="F577" s="20" t="s">
        <v>213</v>
      </c>
      <c r="G577" s="20" t="s">
        <v>393</v>
      </c>
      <c r="H577" s="20" t="s">
        <v>384</v>
      </c>
      <c r="I577" s="29">
        <v>1</v>
      </c>
      <c r="J577" s="30">
        <v>1</v>
      </c>
      <c r="K577" s="31">
        <v>8.7749999999999998E-3</v>
      </c>
      <c r="L577" s="9">
        <v>587039795.04372799</v>
      </c>
      <c r="M577" s="9">
        <v>587035116.25746298</v>
      </c>
      <c r="N577" s="32">
        <f>MIN(MAX((B577-Calculation_Assumptions!$B$5+1)/Calculation_Assumptions!$B$7,0),1)</f>
        <v>1</v>
      </c>
      <c r="O577" s="21">
        <f t="shared" si="64"/>
        <v>587039795.04372799</v>
      </c>
      <c r="P577" s="21">
        <f t="shared" si="65"/>
        <v>587035116.25746298</v>
      </c>
      <c r="Q577" s="21">
        <f>P577*Calculation_Assumptions!$B$14*J577*K577</f>
        <v>0</v>
      </c>
      <c r="R577" s="21">
        <f t="shared" si="66"/>
        <v>5151274.201508713</v>
      </c>
      <c r="S577" s="21">
        <f t="shared" si="67"/>
        <v>5151274.201508713</v>
      </c>
      <c r="T577" s="32">
        <f>1/(1+Calculation_Assumptions!$B$8)^(B577-Calculation_Assumptions!$B$2)</f>
        <v>0.91514165935315961</v>
      </c>
      <c r="U577" s="21">
        <f t="shared" si="68"/>
        <v>0</v>
      </c>
      <c r="V577" s="21">
        <f t="shared" si="69"/>
        <v>4714145.6205518059</v>
      </c>
      <c r="W577" s="21">
        <f t="shared" si="70"/>
        <v>4714145.6205518059</v>
      </c>
      <c r="X577">
        <v>0</v>
      </c>
      <c r="Y577" s="18">
        <v>2017</v>
      </c>
      <c r="Z577" t="s">
        <v>387</v>
      </c>
      <c r="AA577" s="21">
        <f t="shared" si="71"/>
        <v>1</v>
      </c>
    </row>
    <row r="578" spans="1:27">
      <c r="A578" t="s">
        <v>76</v>
      </c>
      <c r="B578" s="18">
        <v>2029</v>
      </c>
      <c r="C578" t="s">
        <v>210</v>
      </c>
      <c r="D578" s="20" t="s">
        <v>395</v>
      </c>
      <c r="E578" s="20" t="s">
        <v>396</v>
      </c>
      <c r="F578" s="20" t="s">
        <v>213</v>
      </c>
      <c r="G578" s="20" t="s">
        <v>393</v>
      </c>
      <c r="H578" s="20" t="s">
        <v>384</v>
      </c>
      <c r="I578" s="29">
        <v>1</v>
      </c>
      <c r="J578" s="30">
        <v>1</v>
      </c>
      <c r="K578" s="31">
        <v>8.7749999999999998E-3</v>
      </c>
      <c r="L578" s="9">
        <v>590766467.10548604</v>
      </c>
      <c r="M578" s="9">
        <v>590968059.72178304</v>
      </c>
      <c r="N578" s="32">
        <f>MIN(MAX((B578-Calculation_Assumptions!$B$5+1)/Calculation_Assumptions!$B$7,0),1)</f>
        <v>1</v>
      </c>
      <c r="O578" s="21">
        <f t="shared" ref="O578:O641" si="72">L578*I578</f>
        <v>590766467.10548604</v>
      </c>
      <c r="P578" s="21">
        <f t="shared" ref="P578:P641" si="73">M578*I578</f>
        <v>590968059.72178304</v>
      </c>
      <c r="Q578" s="21">
        <f>P578*Calculation_Assumptions!$B$14*J578*K578</f>
        <v>0</v>
      </c>
      <c r="R578" s="21">
        <f t="shared" ref="R578:R641" si="74">O578*N578*J578*K578</f>
        <v>5183975.7488506399</v>
      </c>
      <c r="S578" s="21">
        <f t="shared" ref="S578:S641" si="75">R578-Q578</f>
        <v>5183975.7488506399</v>
      </c>
      <c r="T578" s="32">
        <f>1/(1+Calculation_Assumptions!$B$8)^(B578-Calculation_Assumptions!$B$2)</f>
        <v>0.888487047915689</v>
      </c>
      <c r="U578" s="21">
        <f t="shared" ref="U578:U641" si="76">Q578*T578</f>
        <v>0</v>
      </c>
      <c r="V578" s="21">
        <f t="shared" ref="V578:V641" si="77">R578*T578</f>
        <v>4605895.3095628284</v>
      </c>
      <c r="W578" s="21">
        <f t="shared" ref="W578:W641" si="78">S578*T578</f>
        <v>4605895.3095628284</v>
      </c>
      <c r="X578">
        <v>0</v>
      </c>
      <c r="Y578" s="18">
        <v>2017</v>
      </c>
      <c r="Z578" t="s">
        <v>387</v>
      </c>
      <c r="AA578" s="21">
        <f t="shared" ref="AA578:AA641" si="79">IF(G578="shared-count-once",COUNTIFS($A$2:$A$807,A578,$B$2:$B$807,B578,$D$2:$D$807,D578),1)</f>
        <v>1</v>
      </c>
    </row>
    <row r="579" spans="1:27">
      <c r="A579" t="s">
        <v>76</v>
      </c>
      <c r="B579" s="18">
        <v>2030</v>
      </c>
      <c r="C579" t="s">
        <v>210</v>
      </c>
      <c r="D579" s="20" t="s">
        <v>395</v>
      </c>
      <c r="E579" s="20" t="s">
        <v>396</v>
      </c>
      <c r="F579" s="20" t="s">
        <v>213</v>
      </c>
      <c r="G579" s="20" t="s">
        <v>393</v>
      </c>
      <c r="H579" s="20" t="s">
        <v>384</v>
      </c>
      <c r="I579" s="29">
        <v>1</v>
      </c>
      <c r="J579" s="30">
        <v>1</v>
      </c>
      <c r="K579" s="31">
        <v>8.7749999999999998E-3</v>
      </c>
      <c r="L579" s="9">
        <v>594652967.05338001</v>
      </c>
      <c r="M579" s="9">
        <v>594808018.62654305</v>
      </c>
      <c r="N579" s="32">
        <f>MIN(MAX((B579-Calculation_Assumptions!$B$5+1)/Calculation_Assumptions!$B$7,0),1)</f>
        <v>1</v>
      </c>
      <c r="O579" s="21">
        <f t="shared" si="72"/>
        <v>594652967.05338001</v>
      </c>
      <c r="P579" s="21">
        <f t="shared" si="73"/>
        <v>594808018.62654305</v>
      </c>
      <c r="Q579" s="21">
        <f>P579*Calculation_Assumptions!$B$14*J579*K579</f>
        <v>0</v>
      </c>
      <c r="R579" s="21">
        <f t="shared" si="74"/>
        <v>5218079.7858934095</v>
      </c>
      <c r="S579" s="21">
        <f t="shared" si="75"/>
        <v>5218079.7858934095</v>
      </c>
      <c r="T579" s="32">
        <f>1/(1+Calculation_Assumptions!$B$8)^(B579-Calculation_Assumptions!$B$2)</f>
        <v>0.86260878438416411</v>
      </c>
      <c r="U579" s="21">
        <f t="shared" si="76"/>
        <v>0</v>
      </c>
      <c r="V579" s="21">
        <f t="shared" si="77"/>
        <v>4501161.460929093</v>
      </c>
      <c r="W579" s="21">
        <f t="shared" si="78"/>
        <v>4501161.460929093</v>
      </c>
      <c r="X579">
        <v>0</v>
      </c>
      <c r="Y579" s="18">
        <v>2017</v>
      </c>
      <c r="Z579" t="s">
        <v>387</v>
      </c>
      <c r="AA579" s="21">
        <f t="shared" si="79"/>
        <v>1</v>
      </c>
    </row>
    <row r="580" spans="1:27">
      <c r="A580" t="s">
        <v>76</v>
      </c>
      <c r="B580" s="18">
        <v>2031</v>
      </c>
      <c r="C580" t="s">
        <v>210</v>
      </c>
      <c r="D580" s="20" t="s">
        <v>395</v>
      </c>
      <c r="E580" s="20" t="s">
        <v>396</v>
      </c>
      <c r="F580" s="20" t="s">
        <v>213</v>
      </c>
      <c r="G580" s="20" t="s">
        <v>393</v>
      </c>
      <c r="H580" s="20" t="s">
        <v>384</v>
      </c>
      <c r="I580" s="29">
        <v>1</v>
      </c>
      <c r="J580" s="30">
        <v>1</v>
      </c>
      <c r="K580" s="31">
        <v>8.7749999999999998E-3</v>
      </c>
      <c r="L580" s="9">
        <v>598482853.08345401</v>
      </c>
      <c r="M580" s="9">
        <v>598581381.03442597</v>
      </c>
      <c r="N580" s="32">
        <f>MIN(MAX((B580-Calculation_Assumptions!$B$5+1)/Calculation_Assumptions!$B$7,0),1)</f>
        <v>1</v>
      </c>
      <c r="O580" s="21">
        <f t="shared" si="72"/>
        <v>598482853.08345401</v>
      </c>
      <c r="P580" s="21">
        <f t="shared" si="73"/>
        <v>598581381.03442597</v>
      </c>
      <c r="Q580" s="21">
        <f>P580*Calculation_Assumptions!$B$14*J580*K580</f>
        <v>0</v>
      </c>
      <c r="R580" s="21">
        <f t="shared" si="74"/>
        <v>5251687.0358073087</v>
      </c>
      <c r="S580" s="21">
        <f t="shared" si="75"/>
        <v>5251687.0358073087</v>
      </c>
      <c r="T580" s="32">
        <f>1/(1+Calculation_Assumptions!$B$8)^(B580-Calculation_Assumptions!$B$2)</f>
        <v>0.83748425668365445</v>
      </c>
      <c r="U580" s="21">
        <f t="shared" si="76"/>
        <v>0</v>
      </c>
      <c r="V580" s="21">
        <f t="shared" si="77"/>
        <v>4398205.2135182684</v>
      </c>
      <c r="W580" s="21">
        <f t="shared" si="78"/>
        <v>4398205.2135182684</v>
      </c>
      <c r="X580">
        <v>0</v>
      </c>
      <c r="Y580" s="18">
        <v>2017</v>
      </c>
      <c r="Z580" t="s">
        <v>387</v>
      </c>
      <c r="AA580" s="21">
        <f t="shared" si="79"/>
        <v>1</v>
      </c>
    </row>
    <row r="581" spans="1:27">
      <c r="A581" t="s">
        <v>76</v>
      </c>
      <c r="B581" s="18">
        <v>2032</v>
      </c>
      <c r="C581" t="s">
        <v>210</v>
      </c>
      <c r="D581" s="20" t="s">
        <v>395</v>
      </c>
      <c r="E581" s="20" t="s">
        <v>396</v>
      </c>
      <c r="F581" s="20" t="s">
        <v>213</v>
      </c>
      <c r="G581" s="20" t="s">
        <v>393</v>
      </c>
      <c r="H581" s="20" t="s">
        <v>384</v>
      </c>
      <c r="I581" s="29">
        <v>1</v>
      </c>
      <c r="J581" s="30">
        <v>1</v>
      </c>
      <c r="K581" s="31">
        <v>8.7749999999999998E-3</v>
      </c>
      <c r="L581" s="9">
        <v>602252425.332353</v>
      </c>
      <c r="M581" s="9">
        <v>602283583.58638096</v>
      </c>
      <c r="N581" s="32">
        <f>MIN(MAX((B581-Calculation_Assumptions!$B$5+1)/Calculation_Assumptions!$B$7,0),1)</f>
        <v>1</v>
      </c>
      <c r="O581" s="21">
        <f t="shared" si="72"/>
        <v>602252425.332353</v>
      </c>
      <c r="P581" s="21">
        <f t="shared" si="73"/>
        <v>602283583.58638096</v>
      </c>
      <c r="Q581" s="21">
        <f>P581*Calculation_Assumptions!$B$14*J581*K581</f>
        <v>0</v>
      </c>
      <c r="R581" s="21">
        <f t="shared" si="74"/>
        <v>5284765.0322913975</v>
      </c>
      <c r="S581" s="21">
        <f t="shared" si="75"/>
        <v>5284765.0322913975</v>
      </c>
      <c r="T581" s="32">
        <f>1/(1+Calculation_Assumptions!$B$8)^(B581-Calculation_Assumptions!$B$2)</f>
        <v>0.81309151134335378</v>
      </c>
      <c r="U581" s="21">
        <f t="shared" si="76"/>
        <v>0</v>
      </c>
      <c r="V581" s="21">
        <f t="shared" si="77"/>
        <v>4296997.5872003203</v>
      </c>
      <c r="W581" s="21">
        <f t="shared" si="78"/>
        <v>4296997.5872003203</v>
      </c>
      <c r="X581">
        <v>0</v>
      </c>
      <c r="Y581" s="18">
        <v>2017</v>
      </c>
      <c r="Z581" t="s">
        <v>387</v>
      </c>
      <c r="AA581" s="21">
        <f t="shared" si="79"/>
        <v>1</v>
      </c>
    </row>
    <row r="582" spans="1:27">
      <c r="A582" t="s">
        <v>76</v>
      </c>
      <c r="B582" s="18">
        <v>2033</v>
      </c>
      <c r="C582" t="s">
        <v>210</v>
      </c>
      <c r="D582" s="20" t="s">
        <v>395</v>
      </c>
      <c r="E582" s="20" t="s">
        <v>396</v>
      </c>
      <c r="F582" s="20" t="s">
        <v>213</v>
      </c>
      <c r="G582" s="20" t="s">
        <v>393</v>
      </c>
      <c r="H582" s="20" t="s">
        <v>384</v>
      </c>
      <c r="I582" s="29">
        <v>1</v>
      </c>
      <c r="J582" s="30">
        <v>1</v>
      </c>
      <c r="K582" s="31">
        <v>8.7749999999999998E-3</v>
      </c>
      <c r="L582" s="9">
        <v>605955528.04318595</v>
      </c>
      <c r="M582" s="9">
        <v>605911902.99473</v>
      </c>
      <c r="N582" s="32">
        <f>MIN(MAX((B582-Calculation_Assumptions!$B$5+1)/Calculation_Assumptions!$B$7,0),1)</f>
        <v>1</v>
      </c>
      <c r="O582" s="21">
        <f t="shared" si="72"/>
        <v>605955528.04318595</v>
      </c>
      <c r="P582" s="21">
        <f t="shared" si="73"/>
        <v>605911902.99473</v>
      </c>
      <c r="Q582" s="21">
        <f>P582*Calculation_Assumptions!$B$14*J582*K582</f>
        <v>0</v>
      </c>
      <c r="R582" s="21">
        <f t="shared" si="74"/>
        <v>5317259.7585789561</v>
      </c>
      <c r="S582" s="21">
        <f t="shared" si="75"/>
        <v>5317259.7585789561</v>
      </c>
      <c r="T582" s="32">
        <f>1/(1+Calculation_Assumptions!$B$8)^(B582-Calculation_Assumptions!$B$2)</f>
        <v>0.78940923431393573</v>
      </c>
      <c r="U582" s="21">
        <f t="shared" si="76"/>
        <v>0</v>
      </c>
      <c r="V582" s="21">
        <f t="shared" si="77"/>
        <v>4197493.9546681168</v>
      </c>
      <c r="W582" s="21">
        <f t="shared" si="78"/>
        <v>4197493.9546681168</v>
      </c>
      <c r="X582">
        <v>0</v>
      </c>
      <c r="Y582" s="18">
        <v>2017</v>
      </c>
      <c r="Z582" t="s">
        <v>387</v>
      </c>
      <c r="AA582" s="21">
        <f t="shared" si="79"/>
        <v>1</v>
      </c>
    </row>
    <row r="583" spans="1:27">
      <c r="A583" t="s">
        <v>76</v>
      </c>
      <c r="B583" s="18">
        <v>2034</v>
      </c>
      <c r="C583" t="s">
        <v>210</v>
      </c>
      <c r="D583" s="20" t="s">
        <v>395</v>
      </c>
      <c r="E583" s="20" t="s">
        <v>396</v>
      </c>
      <c r="F583" s="20" t="s">
        <v>213</v>
      </c>
      <c r="G583" s="20" t="s">
        <v>393</v>
      </c>
      <c r="H583" s="20" t="s">
        <v>384</v>
      </c>
      <c r="I583" s="29">
        <v>1</v>
      </c>
      <c r="J583" s="30">
        <v>1</v>
      </c>
      <c r="K583" s="31">
        <v>8.7749999999999998E-3</v>
      </c>
      <c r="L583" s="9">
        <v>609560284.09550095</v>
      </c>
      <c r="M583" s="9">
        <v>609455548.12077105</v>
      </c>
      <c r="N583" s="32">
        <f>MIN(MAX((B583-Calculation_Assumptions!$B$5+1)/Calculation_Assumptions!$B$7,0),1)</f>
        <v>1</v>
      </c>
      <c r="O583" s="21">
        <f t="shared" si="72"/>
        <v>609560284.09550095</v>
      </c>
      <c r="P583" s="21">
        <f t="shared" si="73"/>
        <v>609455548.12077105</v>
      </c>
      <c r="Q583" s="21">
        <f>P583*Calculation_Assumptions!$B$14*J583*K583</f>
        <v>0</v>
      </c>
      <c r="R583" s="21">
        <f t="shared" si="74"/>
        <v>5348891.4929380203</v>
      </c>
      <c r="S583" s="21">
        <f t="shared" si="75"/>
        <v>5348891.4929380203</v>
      </c>
      <c r="T583" s="32">
        <f>1/(1+Calculation_Assumptions!$B$8)^(B583-Calculation_Assumptions!$B$2)</f>
        <v>0.76641673234362695</v>
      </c>
      <c r="U583" s="21">
        <f t="shared" si="76"/>
        <v>0</v>
      </c>
      <c r="V583" s="21">
        <f t="shared" si="77"/>
        <v>4099479.9396781819</v>
      </c>
      <c r="W583" s="21">
        <f t="shared" si="78"/>
        <v>4099479.9396781819</v>
      </c>
      <c r="X583">
        <v>0</v>
      </c>
      <c r="Y583" s="18">
        <v>2017</v>
      </c>
      <c r="Z583" t="s">
        <v>387</v>
      </c>
      <c r="AA583" s="21">
        <f t="shared" si="79"/>
        <v>1</v>
      </c>
    </row>
    <row r="584" spans="1:27">
      <c r="A584" t="s">
        <v>76</v>
      </c>
      <c r="B584" s="18">
        <v>2035</v>
      </c>
      <c r="C584" t="s">
        <v>210</v>
      </c>
      <c r="D584" s="20" t="s">
        <v>395</v>
      </c>
      <c r="E584" s="20" t="s">
        <v>396</v>
      </c>
      <c r="F584" s="20" t="s">
        <v>213</v>
      </c>
      <c r="G584" s="20" t="s">
        <v>393</v>
      </c>
      <c r="H584" s="20" t="s">
        <v>384</v>
      </c>
      <c r="I584" s="29">
        <v>1</v>
      </c>
      <c r="J584" s="30">
        <v>1</v>
      </c>
      <c r="K584" s="31">
        <v>8.7749999999999998E-3</v>
      </c>
      <c r="L584" s="9">
        <v>613092698.26085901</v>
      </c>
      <c r="M584" s="9">
        <v>612884294.47334194</v>
      </c>
      <c r="N584" s="32">
        <f>MIN(MAX((B584-Calculation_Assumptions!$B$5+1)/Calculation_Assumptions!$B$7,0),1)</f>
        <v>1</v>
      </c>
      <c r="O584" s="21">
        <f t="shared" si="72"/>
        <v>613092698.26085901</v>
      </c>
      <c r="P584" s="21">
        <f t="shared" si="73"/>
        <v>612884294.47334194</v>
      </c>
      <c r="Q584" s="21">
        <f>P584*Calculation_Assumptions!$B$14*J584*K584</f>
        <v>0</v>
      </c>
      <c r="R584" s="21">
        <f t="shared" si="74"/>
        <v>5379888.4272390381</v>
      </c>
      <c r="S584" s="21">
        <f t="shared" si="75"/>
        <v>5379888.4272390381</v>
      </c>
      <c r="T584" s="32">
        <f>1/(1+Calculation_Assumptions!$B$8)^(B584-Calculation_Assumptions!$B$2)</f>
        <v>0.74409391489672516</v>
      </c>
      <c r="U584" s="21">
        <f t="shared" si="76"/>
        <v>0</v>
      </c>
      <c r="V584" s="21">
        <f t="shared" si="77"/>
        <v>4003142.2415318815</v>
      </c>
      <c r="W584" s="21">
        <f t="shared" si="78"/>
        <v>4003142.2415318815</v>
      </c>
      <c r="X584">
        <v>0</v>
      </c>
      <c r="Y584" s="18">
        <v>2017</v>
      </c>
      <c r="Z584" t="s">
        <v>387</v>
      </c>
      <c r="AA584" s="21">
        <f t="shared" si="79"/>
        <v>1</v>
      </c>
    </row>
    <row r="585" spans="1:27">
      <c r="A585" t="s">
        <v>76</v>
      </c>
      <c r="B585" s="18">
        <v>2036</v>
      </c>
      <c r="C585" t="s">
        <v>210</v>
      </c>
      <c r="D585" s="20" t="s">
        <v>395</v>
      </c>
      <c r="E585" s="20" t="s">
        <v>396</v>
      </c>
      <c r="F585" s="20" t="s">
        <v>213</v>
      </c>
      <c r="G585" s="20" t="s">
        <v>393</v>
      </c>
      <c r="H585" s="20" t="s">
        <v>384</v>
      </c>
      <c r="I585" s="29">
        <v>1</v>
      </c>
      <c r="J585" s="30">
        <v>1</v>
      </c>
      <c r="K585" s="31">
        <v>8.7749999999999998E-3</v>
      </c>
      <c r="L585" s="9">
        <v>616539654.35734701</v>
      </c>
      <c r="M585" s="9">
        <v>616262053.85817397</v>
      </c>
      <c r="N585" s="32">
        <f>MIN(MAX((B585-Calculation_Assumptions!$B$5+1)/Calculation_Assumptions!$B$7,0),1)</f>
        <v>1</v>
      </c>
      <c r="O585" s="21">
        <f t="shared" si="72"/>
        <v>616539654.35734701</v>
      </c>
      <c r="P585" s="21">
        <f t="shared" si="73"/>
        <v>616262053.85817397</v>
      </c>
      <c r="Q585" s="21">
        <f>P585*Calculation_Assumptions!$B$14*J585*K585</f>
        <v>0</v>
      </c>
      <c r="R585" s="21">
        <f t="shared" si="74"/>
        <v>5410135.4669857202</v>
      </c>
      <c r="S585" s="21">
        <f t="shared" si="75"/>
        <v>5410135.4669857202</v>
      </c>
      <c r="T585" s="32">
        <f>1/(1+Calculation_Assumptions!$B$8)^(B585-Calculation_Assumptions!$B$2)</f>
        <v>0.72242127659876232</v>
      </c>
      <c r="U585" s="21">
        <f t="shared" si="76"/>
        <v>0</v>
      </c>
      <c r="V585" s="21">
        <f t="shared" si="77"/>
        <v>3908396.9706320651</v>
      </c>
      <c r="W585" s="21">
        <f t="shared" si="78"/>
        <v>3908396.9706320651</v>
      </c>
      <c r="X585">
        <v>0</v>
      </c>
      <c r="Y585" s="18">
        <v>2017</v>
      </c>
      <c r="Z585" t="s">
        <v>387</v>
      </c>
      <c r="AA585" s="21">
        <f t="shared" si="79"/>
        <v>1</v>
      </c>
    </row>
    <row r="586" spans="1:27">
      <c r="A586" t="s">
        <v>76</v>
      </c>
      <c r="B586" s="18">
        <v>2037</v>
      </c>
      <c r="C586" t="s">
        <v>210</v>
      </c>
      <c r="D586" s="20" t="s">
        <v>395</v>
      </c>
      <c r="E586" s="20" t="s">
        <v>396</v>
      </c>
      <c r="F586" s="20" t="s">
        <v>213</v>
      </c>
      <c r="G586" s="20" t="s">
        <v>393</v>
      </c>
      <c r="H586" s="20" t="s">
        <v>384</v>
      </c>
      <c r="I586" s="29">
        <v>1</v>
      </c>
      <c r="J586" s="30">
        <v>1</v>
      </c>
      <c r="K586" s="31">
        <v>8.7749999999999998E-3</v>
      </c>
      <c r="L586" s="9">
        <v>619898345.122545</v>
      </c>
      <c r="M586" s="9">
        <v>619529380.90729904</v>
      </c>
      <c r="N586" s="32">
        <f>MIN(MAX((B586-Calculation_Assumptions!$B$5+1)/Calculation_Assumptions!$B$7,0),1)</f>
        <v>1</v>
      </c>
      <c r="O586" s="21">
        <f t="shared" si="72"/>
        <v>619898345.122545</v>
      </c>
      <c r="P586" s="21">
        <f t="shared" si="73"/>
        <v>619529380.90729904</v>
      </c>
      <c r="Q586" s="21">
        <f>P586*Calculation_Assumptions!$B$14*J586*K586</f>
        <v>0</v>
      </c>
      <c r="R586" s="21">
        <f t="shared" si="74"/>
        <v>5439607.9784503318</v>
      </c>
      <c r="S586" s="21">
        <f t="shared" si="75"/>
        <v>5439607.9784503318</v>
      </c>
      <c r="T586" s="32">
        <f>1/(1+Calculation_Assumptions!$B$8)^(B586-Calculation_Assumptions!$B$2)</f>
        <v>0.70137988019297326</v>
      </c>
      <c r="U586" s="21">
        <f t="shared" si="76"/>
        <v>0</v>
      </c>
      <c r="V586" s="21">
        <f t="shared" si="77"/>
        <v>3815231.5922222352</v>
      </c>
      <c r="W586" s="21">
        <f t="shared" si="78"/>
        <v>3815231.5922222352</v>
      </c>
      <c r="X586">
        <v>0</v>
      </c>
      <c r="Y586" s="18">
        <v>2017</v>
      </c>
      <c r="Z586" t="s">
        <v>387</v>
      </c>
      <c r="AA586" s="21">
        <f t="shared" si="79"/>
        <v>1</v>
      </c>
    </row>
    <row r="587" spans="1:27">
      <c r="A587" t="s">
        <v>76</v>
      </c>
      <c r="B587" s="18">
        <v>2038</v>
      </c>
      <c r="C587" t="s">
        <v>210</v>
      </c>
      <c r="D587" s="20" t="s">
        <v>395</v>
      </c>
      <c r="E587" s="20" t="s">
        <v>396</v>
      </c>
      <c r="F587" s="20" t="s">
        <v>213</v>
      </c>
      <c r="G587" s="20" t="s">
        <v>393</v>
      </c>
      <c r="H587" s="20" t="s">
        <v>384</v>
      </c>
      <c r="I587" s="29">
        <v>1</v>
      </c>
      <c r="J587" s="30">
        <v>1</v>
      </c>
      <c r="K587" s="31">
        <v>8.7749999999999998E-3</v>
      </c>
      <c r="L587" s="9">
        <v>623157085.01735401</v>
      </c>
      <c r="M587" s="9">
        <v>622673191.62836504</v>
      </c>
      <c r="N587" s="32">
        <f>MIN(MAX((B587-Calculation_Assumptions!$B$5+1)/Calculation_Assumptions!$B$7,0),1)</f>
        <v>1</v>
      </c>
      <c r="O587" s="21">
        <f t="shared" si="72"/>
        <v>623157085.01735401</v>
      </c>
      <c r="P587" s="21">
        <f t="shared" si="73"/>
        <v>622673191.62836504</v>
      </c>
      <c r="Q587" s="21">
        <f>P587*Calculation_Assumptions!$B$14*J587*K587</f>
        <v>0</v>
      </c>
      <c r="R587" s="21">
        <f t="shared" si="74"/>
        <v>5468203.4210272813</v>
      </c>
      <c r="S587" s="21">
        <f t="shared" si="75"/>
        <v>5468203.4210272813</v>
      </c>
      <c r="T587" s="32">
        <f>1/(1+Calculation_Assumptions!$B$8)^(B587-Calculation_Assumptions!$B$2)</f>
        <v>0.68095133999317792</v>
      </c>
      <c r="U587" s="21">
        <f t="shared" si="76"/>
        <v>0</v>
      </c>
      <c r="V587" s="21">
        <f t="shared" si="77"/>
        <v>3723580.4469038066</v>
      </c>
      <c r="W587" s="21">
        <f t="shared" si="78"/>
        <v>3723580.4469038066</v>
      </c>
      <c r="X587">
        <v>0</v>
      </c>
      <c r="Y587" s="18">
        <v>2017</v>
      </c>
      <c r="Z587" t="s">
        <v>387</v>
      </c>
      <c r="AA587" s="21">
        <f t="shared" si="79"/>
        <v>1</v>
      </c>
    </row>
    <row r="588" spans="1:27">
      <c r="A588" t="s">
        <v>76</v>
      </c>
      <c r="B588" s="18">
        <v>2039</v>
      </c>
      <c r="C588" t="s">
        <v>210</v>
      </c>
      <c r="D588" s="20" t="s">
        <v>395</v>
      </c>
      <c r="E588" s="20" t="s">
        <v>396</v>
      </c>
      <c r="F588" s="20" t="s">
        <v>213</v>
      </c>
      <c r="G588" s="20" t="s">
        <v>393</v>
      </c>
      <c r="H588" s="20" t="s">
        <v>384</v>
      </c>
      <c r="I588" s="29">
        <v>1</v>
      </c>
      <c r="J588" s="30">
        <v>1</v>
      </c>
      <c r="K588" s="31">
        <v>8.7749999999999998E-3</v>
      </c>
      <c r="L588" s="9">
        <v>626312438.007918</v>
      </c>
      <c r="M588" s="9">
        <v>625731758.218045</v>
      </c>
      <c r="N588" s="32">
        <f>MIN(MAX((B588-Calculation_Assumptions!$B$5+1)/Calculation_Assumptions!$B$7,0),1)</f>
        <v>1</v>
      </c>
      <c r="O588" s="21">
        <f t="shared" si="72"/>
        <v>626312438.007918</v>
      </c>
      <c r="P588" s="21">
        <f t="shared" si="73"/>
        <v>625731758.218045</v>
      </c>
      <c r="Q588" s="21">
        <f>P588*Calculation_Assumptions!$B$14*J588*K588</f>
        <v>0</v>
      </c>
      <c r="R588" s="21">
        <f t="shared" si="74"/>
        <v>5495891.6435194807</v>
      </c>
      <c r="S588" s="21">
        <f t="shared" si="75"/>
        <v>5495891.6435194807</v>
      </c>
      <c r="T588" s="32">
        <f>1/(1+Calculation_Assumptions!$B$8)^(B588-Calculation_Assumptions!$B$2)</f>
        <v>0.66111780581861923</v>
      </c>
      <c r="U588" s="21">
        <f t="shared" si="76"/>
        <v>0</v>
      </c>
      <c r="V588" s="21">
        <f t="shared" si="77"/>
        <v>3633431.8243804839</v>
      </c>
      <c r="W588" s="21">
        <f t="shared" si="78"/>
        <v>3633431.8243804839</v>
      </c>
      <c r="X588">
        <v>0</v>
      </c>
      <c r="Y588" s="18">
        <v>2017</v>
      </c>
      <c r="Z588" t="s">
        <v>387</v>
      </c>
      <c r="AA588" s="21">
        <f t="shared" si="79"/>
        <v>1</v>
      </c>
    </row>
    <row r="589" spans="1:27">
      <c r="A589" t="s">
        <v>76</v>
      </c>
      <c r="B589" s="18">
        <v>2040</v>
      </c>
      <c r="C589" t="s">
        <v>210</v>
      </c>
      <c r="D589" s="20" t="s">
        <v>395</v>
      </c>
      <c r="E589" s="20" t="s">
        <v>396</v>
      </c>
      <c r="F589" s="20" t="s">
        <v>213</v>
      </c>
      <c r="G589" s="20" t="s">
        <v>393</v>
      </c>
      <c r="H589" s="20" t="s">
        <v>384</v>
      </c>
      <c r="I589" s="29">
        <v>1</v>
      </c>
      <c r="J589" s="30">
        <v>1</v>
      </c>
      <c r="K589" s="31">
        <v>8.7749999999999998E-3</v>
      </c>
      <c r="L589" s="9">
        <v>629347032.33731306</v>
      </c>
      <c r="M589" s="9">
        <v>628667498.21665299</v>
      </c>
      <c r="N589" s="32">
        <f>MIN(MAX((B589-Calculation_Assumptions!$B$5+1)/Calculation_Assumptions!$B$7,0),1)</f>
        <v>1</v>
      </c>
      <c r="O589" s="21">
        <f t="shared" si="72"/>
        <v>629347032.33731306</v>
      </c>
      <c r="P589" s="21">
        <f t="shared" si="73"/>
        <v>628667498.21665299</v>
      </c>
      <c r="Q589" s="21">
        <f>P589*Calculation_Assumptions!$B$14*J589*K589</f>
        <v>0</v>
      </c>
      <c r="R589" s="21">
        <f t="shared" si="74"/>
        <v>5522520.2087599216</v>
      </c>
      <c r="S589" s="21">
        <f t="shared" si="75"/>
        <v>5522520.2087599216</v>
      </c>
      <c r="T589" s="32">
        <f>1/(1+Calculation_Assumptions!$B$8)^(B589-Calculation_Assumptions!$B$2)</f>
        <v>0.64186194739671765</v>
      </c>
      <c r="U589" s="21">
        <f t="shared" si="76"/>
        <v>0</v>
      </c>
      <c r="V589" s="21">
        <f t="shared" si="77"/>
        <v>3544695.5757323708</v>
      </c>
      <c r="W589" s="21">
        <f t="shared" si="78"/>
        <v>3544695.5757323708</v>
      </c>
      <c r="X589">
        <v>0</v>
      </c>
      <c r="Y589" s="18">
        <v>2017</v>
      </c>
      <c r="Z589" t="s">
        <v>387</v>
      </c>
      <c r="AA589" s="21">
        <f t="shared" si="79"/>
        <v>1</v>
      </c>
    </row>
    <row r="590" spans="1:27">
      <c r="A590" t="s">
        <v>76</v>
      </c>
      <c r="B590" s="18">
        <v>2041</v>
      </c>
      <c r="C590" t="s">
        <v>210</v>
      </c>
      <c r="D590" s="20" t="s">
        <v>395</v>
      </c>
      <c r="E590" s="20" t="s">
        <v>396</v>
      </c>
      <c r="F590" s="20" t="s">
        <v>213</v>
      </c>
      <c r="G590" s="20" t="s">
        <v>393</v>
      </c>
      <c r="H590" s="20" t="s">
        <v>384</v>
      </c>
      <c r="I590" s="29">
        <v>1</v>
      </c>
      <c r="J590" s="30">
        <v>1</v>
      </c>
      <c r="K590" s="31">
        <v>8.7749999999999998E-3</v>
      </c>
      <c r="L590" s="9">
        <v>632268493.39175498</v>
      </c>
      <c r="M590" s="9">
        <v>631488405.68781996</v>
      </c>
      <c r="N590" s="32">
        <f>MIN(MAX((B590-Calculation_Assumptions!$B$5+1)/Calculation_Assumptions!$B$7,0),1)</f>
        <v>1</v>
      </c>
      <c r="O590" s="21">
        <f t="shared" si="72"/>
        <v>632268493.39175498</v>
      </c>
      <c r="P590" s="21">
        <f t="shared" si="73"/>
        <v>631488405.68781996</v>
      </c>
      <c r="Q590" s="21">
        <f>P590*Calculation_Assumptions!$B$14*J590*K590</f>
        <v>0</v>
      </c>
      <c r="R590" s="21">
        <f t="shared" si="74"/>
        <v>5548156.0295126503</v>
      </c>
      <c r="S590" s="21">
        <f t="shared" si="75"/>
        <v>5548156.0295126503</v>
      </c>
      <c r="T590" s="32">
        <f>1/(1+Calculation_Assumptions!$B$8)^(B590-Calculation_Assumptions!$B$2)</f>
        <v>0.62316693922011435</v>
      </c>
      <c r="U590" s="21">
        <f t="shared" si="76"/>
        <v>0</v>
      </c>
      <c r="V590" s="21">
        <f t="shared" si="77"/>
        <v>3457427.4112270209</v>
      </c>
      <c r="W590" s="21">
        <f t="shared" si="78"/>
        <v>3457427.4112270209</v>
      </c>
      <c r="X590">
        <v>0</v>
      </c>
      <c r="Y590" s="18">
        <v>2017</v>
      </c>
      <c r="Z590" t="s">
        <v>387</v>
      </c>
      <c r="AA590" s="21">
        <f t="shared" si="79"/>
        <v>1</v>
      </c>
    </row>
    <row r="591" spans="1:27">
      <c r="A591" t="s">
        <v>76</v>
      </c>
      <c r="B591" s="18">
        <v>2042</v>
      </c>
      <c r="C591" t="s">
        <v>210</v>
      </c>
      <c r="D591" s="20" t="s">
        <v>395</v>
      </c>
      <c r="E591" s="20" t="s">
        <v>396</v>
      </c>
      <c r="F591" s="20" t="s">
        <v>213</v>
      </c>
      <c r="G591" s="20" t="s">
        <v>393</v>
      </c>
      <c r="H591" s="20" t="s">
        <v>384</v>
      </c>
      <c r="I591" s="29">
        <v>1</v>
      </c>
      <c r="J591" s="30">
        <v>1</v>
      </c>
      <c r="K591" s="31">
        <v>8.7749999999999998E-3</v>
      </c>
      <c r="L591" s="9">
        <v>635066634.14519799</v>
      </c>
      <c r="M591" s="9">
        <v>634184560.98858297</v>
      </c>
      <c r="N591" s="32">
        <f>MIN(MAX((B591-Calculation_Assumptions!$B$5+1)/Calculation_Assumptions!$B$7,0),1)</f>
        <v>1</v>
      </c>
      <c r="O591" s="21">
        <f t="shared" si="72"/>
        <v>635066634.14519799</v>
      </c>
      <c r="P591" s="21">
        <f t="shared" si="73"/>
        <v>634184560.98858297</v>
      </c>
      <c r="Q591" s="21">
        <f>P591*Calculation_Assumptions!$B$14*J591*K591</f>
        <v>0</v>
      </c>
      <c r="R591" s="21">
        <f t="shared" si="74"/>
        <v>5572709.7146241125</v>
      </c>
      <c r="S591" s="21">
        <f t="shared" si="75"/>
        <v>5572709.7146241125</v>
      </c>
      <c r="T591" s="32">
        <f>1/(1+Calculation_Assumptions!$B$8)^(B591-Calculation_Assumptions!$B$2)</f>
        <v>0.60501644584477121</v>
      </c>
      <c r="U591" s="21">
        <f t="shared" si="76"/>
        <v>0</v>
      </c>
      <c r="V591" s="21">
        <f t="shared" si="77"/>
        <v>3371581.02526651</v>
      </c>
      <c r="W591" s="21">
        <f t="shared" si="78"/>
        <v>3371581.02526651</v>
      </c>
      <c r="X591">
        <v>0</v>
      </c>
      <c r="Y591" s="18">
        <v>2017</v>
      </c>
      <c r="Z591" t="s">
        <v>387</v>
      </c>
      <c r="AA591" s="21">
        <f t="shared" si="79"/>
        <v>1</v>
      </c>
    </row>
    <row r="592" spans="1:27">
      <c r="A592" t="s">
        <v>76</v>
      </c>
      <c r="B592" s="18">
        <v>2043</v>
      </c>
      <c r="C592" t="s">
        <v>210</v>
      </c>
      <c r="D592" s="20" t="s">
        <v>395</v>
      </c>
      <c r="E592" s="20" t="s">
        <v>396</v>
      </c>
      <c r="F592" s="20" t="s">
        <v>213</v>
      </c>
      <c r="G592" s="20" t="s">
        <v>393</v>
      </c>
      <c r="H592" s="20" t="s">
        <v>384</v>
      </c>
      <c r="I592" s="29">
        <v>1</v>
      </c>
      <c r="J592" s="30">
        <v>1</v>
      </c>
      <c r="K592" s="31">
        <v>8.7749999999999998E-3</v>
      </c>
      <c r="L592" s="9">
        <v>637740511.15042996</v>
      </c>
      <c r="M592" s="9">
        <v>636767020.67603099</v>
      </c>
      <c r="N592" s="32">
        <f>MIN(MAX((B592-Calculation_Assumptions!$B$5+1)/Calculation_Assumptions!$B$7,0),1)</f>
        <v>1</v>
      </c>
      <c r="O592" s="21">
        <f t="shared" si="72"/>
        <v>637740511.15042996</v>
      </c>
      <c r="P592" s="21">
        <f t="shared" si="73"/>
        <v>636767020.67603099</v>
      </c>
      <c r="Q592" s="21">
        <f>P592*Calculation_Assumptions!$B$14*J592*K592</f>
        <v>0</v>
      </c>
      <c r="R592" s="21">
        <f t="shared" si="74"/>
        <v>5596172.9853450228</v>
      </c>
      <c r="S592" s="21">
        <f t="shared" si="75"/>
        <v>5596172.9853450228</v>
      </c>
      <c r="T592" s="32">
        <f>1/(1+Calculation_Assumptions!$B$8)^(B592-Calculation_Assumptions!$B$2)</f>
        <v>0.5873946076162827</v>
      </c>
      <c r="U592" s="21">
        <f t="shared" si="76"/>
        <v>0</v>
      </c>
      <c r="V592" s="21">
        <f t="shared" si="77"/>
        <v>3287161.8348795809</v>
      </c>
      <c r="W592" s="21">
        <f t="shared" si="78"/>
        <v>3287161.8348795809</v>
      </c>
      <c r="X592">
        <v>0</v>
      </c>
      <c r="Y592" s="18">
        <v>2017</v>
      </c>
      <c r="Z592" t="s">
        <v>387</v>
      </c>
      <c r="AA592" s="21">
        <f t="shared" si="79"/>
        <v>1</v>
      </c>
    </row>
    <row r="593" spans="1:27">
      <c r="A593" t="s">
        <v>76</v>
      </c>
      <c r="B593" s="18">
        <v>2044</v>
      </c>
      <c r="C593" t="s">
        <v>210</v>
      </c>
      <c r="D593" s="20" t="s">
        <v>395</v>
      </c>
      <c r="E593" s="20" t="s">
        <v>396</v>
      </c>
      <c r="F593" s="20" t="s">
        <v>213</v>
      </c>
      <c r="G593" s="20" t="s">
        <v>393</v>
      </c>
      <c r="H593" s="20" t="s">
        <v>384</v>
      </c>
      <c r="I593" s="29">
        <v>1</v>
      </c>
      <c r="J593" s="30">
        <v>1</v>
      </c>
      <c r="K593" s="31">
        <v>8.7749999999999998E-3</v>
      </c>
      <c r="L593" s="9">
        <v>640285329.92099202</v>
      </c>
      <c r="M593" s="9">
        <v>639211548.58069301</v>
      </c>
      <c r="N593" s="32">
        <f>MIN(MAX((B593-Calculation_Assumptions!$B$5+1)/Calculation_Assumptions!$B$7,0),1)</f>
        <v>1</v>
      </c>
      <c r="O593" s="21">
        <f t="shared" si="72"/>
        <v>640285329.92099202</v>
      </c>
      <c r="P593" s="21">
        <f t="shared" si="73"/>
        <v>639211548.58069301</v>
      </c>
      <c r="Q593" s="21">
        <f>P593*Calculation_Assumptions!$B$14*J593*K593</f>
        <v>0</v>
      </c>
      <c r="R593" s="21">
        <f t="shared" si="74"/>
        <v>5618503.770056705</v>
      </c>
      <c r="S593" s="21">
        <f t="shared" si="75"/>
        <v>5618503.770056705</v>
      </c>
      <c r="T593" s="32">
        <f>1/(1+Calculation_Assumptions!$B$8)^(B593-Calculation_Assumptions!$B$2)</f>
        <v>0.57028602681192497</v>
      </c>
      <c r="U593" s="21">
        <f t="shared" si="76"/>
        <v>0</v>
      </c>
      <c r="V593" s="21">
        <f t="shared" si="77"/>
        <v>3204154.1916534598</v>
      </c>
      <c r="W593" s="21">
        <f t="shared" si="78"/>
        <v>3204154.1916534598</v>
      </c>
      <c r="X593">
        <v>0</v>
      </c>
      <c r="Y593" s="18">
        <v>2017</v>
      </c>
      <c r="Z593" t="s">
        <v>387</v>
      </c>
      <c r="AA593" s="21">
        <f t="shared" si="79"/>
        <v>1</v>
      </c>
    </row>
    <row r="594" spans="1:27">
      <c r="A594" t="s">
        <v>76</v>
      </c>
      <c r="B594" s="18">
        <v>2045</v>
      </c>
      <c r="C594" t="s">
        <v>210</v>
      </c>
      <c r="D594" s="20" t="s">
        <v>395</v>
      </c>
      <c r="E594" s="20" t="s">
        <v>396</v>
      </c>
      <c r="F594" s="20" t="s">
        <v>213</v>
      </c>
      <c r="G594" s="20" t="s">
        <v>393</v>
      </c>
      <c r="H594" s="20" t="s">
        <v>384</v>
      </c>
      <c r="I594" s="29">
        <v>1</v>
      </c>
      <c r="J594" s="30">
        <v>1</v>
      </c>
      <c r="K594" s="31">
        <v>8.7749999999999998E-3</v>
      </c>
      <c r="L594" s="9">
        <v>642695843.59439898</v>
      </c>
      <c r="M594" s="9">
        <v>641520754.67294204</v>
      </c>
      <c r="N594" s="32">
        <f>MIN(MAX((B594-Calculation_Assumptions!$B$5+1)/Calculation_Assumptions!$B$7,0),1)</f>
        <v>1</v>
      </c>
      <c r="O594" s="21">
        <f t="shared" si="72"/>
        <v>642695843.59439898</v>
      </c>
      <c r="P594" s="21">
        <f t="shared" si="73"/>
        <v>641520754.67294204</v>
      </c>
      <c r="Q594" s="21">
        <f>P594*Calculation_Assumptions!$B$14*J594*K594</f>
        <v>0</v>
      </c>
      <c r="R594" s="21">
        <f t="shared" si="74"/>
        <v>5639656.0275408505</v>
      </c>
      <c r="S594" s="21">
        <f t="shared" si="75"/>
        <v>5639656.0275408505</v>
      </c>
      <c r="T594" s="32">
        <f>1/(1+Calculation_Assumptions!$B$8)^(B594-Calculation_Assumptions!$B$2)</f>
        <v>0.55367575418633497</v>
      </c>
      <c r="U594" s="21">
        <f t="shared" si="76"/>
        <v>0</v>
      </c>
      <c r="V594" s="21">
        <f t="shared" si="77"/>
        <v>3122540.8044001902</v>
      </c>
      <c r="W594" s="21">
        <f t="shared" si="78"/>
        <v>3122540.8044001902</v>
      </c>
      <c r="X594">
        <v>0</v>
      </c>
      <c r="Y594" s="18">
        <v>2017</v>
      </c>
      <c r="Z594" t="s">
        <v>387</v>
      </c>
      <c r="AA594" s="21">
        <f t="shared" si="79"/>
        <v>1</v>
      </c>
    </row>
    <row r="595" spans="1:27">
      <c r="A595" t="s">
        <v>76</v>
      </c>
      <c r="B595" s="18">
        <v>2046</v>
      </c>
      <c r="C595" t="s">
        <v>210</v>
      </c>
      <c r="D595" s="20" t="s">
        <v>395</v>
      </c>
      <c r="E595" s="20" t="s">
        <v>396</v>
      </c>
      <c r="F595" s="20" t="s">
        <v>213</v>
      </c>
      <c r="G595" s="20" t="s">
        <v>393</v>
      </c>
      <c r="H595" s="20" t="s">
        <v>384</v>
      </c>
      <c r="I595" s="29">
        <v>1</v>
      </c>
      <c r="J595" s="30">
        <v>1</v>
      </c>
      <c r="K595" s="31">
        <v>8.7749999999999998E-3</v>
      </c>
      <c r="L595" s="9">
        <v>644974193.08303404</v>
      </c>
      <c r="M595" s="9">
        <v>643697330.762573</v>
      </c>
      <c r="N595" s="32">
        <f>MIN(MAX((B595-Calculation_Assumptions!$B$5+1)/Calculation_Assumptions!$B$7,0),1)</f>
        <v>1</v>
      </c>
      <c r="O595" s="21">
        <f t="shared" si="72"/>
        <v>644974193.08303404</v>
      </c>
      <c r="P595" s="21">
        <f t="shared" si="73"/>
        <v>643697330.762573</v>
      </c>
      <c r="Q595" s="21">
        <f>P595*Calculation_Assumptions!$B$14*J595*K595</f>
        <v>0</v>
      </c>
      <c r="R595" s="21">
        <f t="shared" si="74"/>
        <v>5659648.544303624</v>
      </c>
      <c r="S595" s="21">
        <f t="shared" si="75"/>
        <v>5659648.544303624</v>
      </c>
      <c r="T595" s="32">
        <f>1/(1+Calculation_Assumptions!$B$8)^(B595-Calculation_Assumptions!$B$2)</f>
        <v>0.5375492759090631</v>
      </c>
      <c r="U595" s="21">
        <f t="shared" si="76"/>
        <v>0</v>
      </c>
      <c r="V595" s="21">
        <f t="shared" si="77"/>
        <v>3042339.9768901961</v>
      </c>
      <c r="W595" s="21">
        <f t="shared" si="78"/>
        <v>3042339.9768901961</v>
      </c>
      <c r="X595">
        <v>0</v>
      </c>
      <c r="Y595" s="18">
        <v>2017</v>
      </c>
      <c r="Z595" t="s">
        <v>387</v>
      </c>
      <c r="AA595" s="21">
        <f t="shared" si="79"/>
        <v>1</v>
      </c>
    </row>
    <row r="596" spans="1:27">
      <c r="A596" t="s">
        <v>76</v>
      </c>
      <c r="B596" s="18">
        <v>2047</v>
      </c>
      <c r="C596" t="s">
        <v>210</v>
      </c>
      <c r="D596" s="20" t="s">
        <v>395</v>
      </c>
      <c r="E596" s="20" t="s">
        <v>396</v>
      </c>
      <c r="F596" s="20" t="s">
        <v>213</v>
      </c>
      <c r="G596" s="20" t="s">
        <v>393</v>
      </c>
      <c r="H596" s="20" t="s">
        <v>384</v>
      </c>
      <c r="I596" s="29">
        <v>1</v>
      </c>
      <c r="J596" s="30">
        <v>1</v>
      </c>
      <c r="K596" s="31">
        <v>8.7749999999999998E-3</v>
      </c>
      <c r="L596" s="9">
        <v>647124942.32164299</v>
      </c>
      <c r="M596" s="9">
        <v>645745914.53009498</v>
      </c>
      <c r="N596" s="32">
        <f>MIN(MAX((B596-Calculation_Assumptions!$B$5+1)/Calculation_Assumptions!$B$7,0),1)</f>
        <v>1</v>
      </c>
      <c r="O596" s="21">
        <f t="shared" si="72"/>
        <v>647124942.32164299</v>
      </c>
      <c r="P596" s="21">
        <f t="shared" si="73"/>
        <v>645745914.53009498</v>
      </c>
      <c r="Q596" s="21">
        <f>P596*Calculation_Assumptions!$B$14*J596*K596</f>
        <v>0</v>
      </c>
      <c r="R596" s="21">
        <f t="shared" si="74"/>
        <v>5678521.3688724171</v>
      </c>
      <c r="S596" s="21">
        <f t="shared" si="75"/>
        <v>5678521.3688724171</v>
      </c>
      <c r="T596" s="32">
        <f>1/(1+Calculation_Assumptions!$B$8)^(B596-Calculation_Assumptions!$B$2)</f>
        <v>0.52189250088258554</v>
      </c>
      <c r="U596" s="21">
        <f t="shared" si="76"/>
        <v>0</v>
      </c>
      <c r="V596" s="21">
        <f t="shared" si="77"/>
        <v>2963577.718516029</v>
      </c>
      <c r="W596" s="21">
        <f t="shared" si="78"/>
        <v>2963577.718516029</v>
      </c>
      <c r="X596">
        <v>0</v>
      </c>
      <c r="Y596" s="18">
        <v>2017</v>
      </c>
      <c r="Z596" t="s">
        <v>387</v>
      </c>
      <c r="AA596" s="21">
        <f t="shared" si="79"/>
        <v>1</v>
      </c>
    </row>
    <row r="597" spans="1:27">
      <c r="A597" t="s">
        <v>76</v>
      </c>
      <c r="B597" s="18">
        <v>2048</v>
      </c>
      <c r="C597" t="s">
        <v>210</v>
      </c>
      <c r="D597" s="20" t="s">
        <v>395</v>
      </c>
      <c r="E597" s="20" t="s">
        <v>396</v>
      </c>
      <c r="F597" s="20" t="s">
        <v>213</v>
      </c>
      <c r="G597" s="20" t="s">
        <v>393</v>
      </c>
      <c r="H597" s="20" t="s">
        <v>384</v>
      </c>
      <c r="I597" s="29">
        <v>1</v>
      </c>
      <c r="J597" s="30">
        <v>1</v>
      </c>
      <c r="K597" s="31">
        <v>8.7749999999999998E-3</v>
      </c>
      <c r="L597" s="9">
        <v>649147853.41567302</v>
      </c>
      <c r="M597" s="9">
        <v>647666796.64810395</v>
      </c>
      <c r="N597" s="32">
        <f>MIN(MAX((B597-Calculation_Assumptions!$B$5+1)/Calculation_Assumptions!$B$7,0),1)</f>
        <v>1</v>
      </c>
      <c r="O597" s="21">
        <f t="shared" si="72"/>
        <v>649147853.41567302</v>
      </c>
      <c r="P597" s="21">
        <f t="shared" si="73"/>
        <v>647666796.64810395</v>
      </c>
      <c r="Q597" s="21">
        <f>P597*Calculation_Assumptions!$B$14*J597*K597</f>
        <v>0</v>
      </c>
      <c r="R597" s="21">
        <f t="shared" si="74"/>
        <v>5696272.4137225309</v>
      </c>
      <c r="S597" s="21">
        <f t="shared" si="75"/>
        <v>5696272.4137225309</v>
      </c>
      <c r="T597" s="32">
        <f>1/(1+Calculation_Assumptions!$B$8)^(B597-Calculation_Assumptions!$B$2)</f>
        <v>0.50669174842969467</v>
      </c>
      <c r="U597" s="21">
        <f t="shared" si="76"/>
        <v>0</v>
      </c>
      <c r="V597" s="21">
        <f t="shared" si="77"/>
        <v>2886254.2288409062</v>
      </c>
      <c r="W597" s="21">
        <f t="shared" si="78"/>
        <v>2886254.2288409062</v>
      </c>
      <c r="X597">
        <v>0</v>
      </c>
      <c r="Y597" s="18">
        <v>2017</v>
      </c>
      <c r="Z597" t="s">
        <v>387</v>
      </c>
      <c r="AA597" s="21">
        <f t="shared" si="79"/>
        <v>1</v>
      </c>
    </row>
    <row r="598" spans="1:27">
      <c r="A598" t="s">
        <v>76</v>
      </c>
      <c r="B598" s="18">
        <v>2049</v>
      </c>
      <c r="C598" t="s">
        <v>210</v>
      </c>
      <c r="D598" s="20" t="s">
        <v>395</v>
      </c>
      <c r="E598" s="20" t="s">
        <v>396</v>
      </c>
      <c r="F598" s="20" t="s">
        <v>213</v>
      </c>
      <c r="G598" s="20" t="s">
        <v>393</v>
      </c>
      <c r="H598" s="20" t="s">
        <v>384</v>
      </c>
      <c r="I598" s="29">
        <v>1</v>
      </c>
      <c r="J598" s="30">
        <v>1</v>
      </c>
      <c r="K598" s="31">
        <v>8.7749999999999998E-3</v>
      </c>
      <c r="L598" s="9">
        <v>651040967.5934</v>
      </c>
      <c r="M598" s="9">
        <v>649421968.02473402</v>
      </c>
      <c r="N598" s="32">
        <f>MIN(MAX((B598-Calculation_Assumptions!$B$5+1)/Calculation_Assumptions!$B$7,0),1)</f>
        <v>1</v>
      </c>
      <c r="O598" s="21">
        <f t="shared" si="72"/>
        <v>651040967.5934</v>
      </c>
      <c r="P598" s="21">
        <f t="shared" si="73"/>
        <v>649421968.02473402</v>
      </c>
      <c r="Q598" s="21">
        <f>P598*Calculation_Assumptions!$B$14*J598*K598</f>
        <v>0</v>
      </c>
      <c r="R598" s="21">
        <f t="shared" si="74"/>
        <v>5712884.4906320851</v>
      </c>
      <c r="S598" s="21">
        <f t="shared" si="75"/>
        <v>5712884.4906320851</v>
      </c>
      <c r="T598" s="32">
        <f>1/(1+Calculation_Assumptions!$B$8)^(B598-Calculation_Assumptions!$B$2)</f>
        <v>0.49193373633950943</v>
      </c>
      <c r="U598" s="21">
        <f t="shared" si="76"/>
        <v>0</v>
      </c>
      <c r="V598" s="21">
        <f t="shared" si="77"/>
        <v>2810360.6127526769</v>
      </c>
      <c r="W598" s="21">
        <f t="shared" si="78"/>
        <v>2810360.6127526769</v>
      </c>
      <c r="X598">
        <v>0</v>
      </c>
      <c r="Y598" s="18">
        <v>2017</v>
      </c>
      <c r="Z598" t="s">
        <v>387</v>
      </c>
      <c r="AA598" s="21">
        <f t="shared" si="79"/>
        <v>1</v>
      </c>
    </row>
    <row r="599" spans="1:27">
      <c r="A599" t="s">
        <v>76</v>
      </c>
      <c r="B599" s="18">
        <v>2050</v>
      </c>
      <c r="C599" t="s">
        <v>210</v>
      </c>
      <c r="D599" s="20" t="s">
        <v>395</v>
      </c>
      <c r="E599" s="20" t="s">
        <v>396</v>
      </c>
      <c r="F599" s="20" t="s">
        <v>213</v>
      </c>
      <c r="G599" s="20" t="s">
        <v>393</v>
      </c>
      <c r="H599" s="20" t="s">
        <v>384</v>
      </c>
      <c r="I599" s="29">
        <v>1</v>
      </c>
      <c r="J599" s="30">
        <v>1</v>
      </c>
      <c r="K599" s="31">
        <v>8.7749999999999998E-3</v>
      </c>
      <c r="L599" s="9">
        <v>652799148.10289598</v>
      </c>
      <c r="M599" s="9">
        <v>651074457.25957894</v>
      </c>
      <c r="N599" s="32">
        <f>MIN(MAX((B599-Calculation_Assumptions!$B$5+1)/Calculation_Assumptions!$B$7,0),1)</f>
        <v>1</v>
      </c>
      <c r="O599" s="21">
        <f t="shared" si="72"/>
        <v>652799148.10289598</v>
      </c>
      <c r="P599" s="21">
        <f t="shared" si="73"/>
        <v>651074457.25957894</v>
      </c>
      <c r="Q599" s="21">
        <f>P599*Calculation_Assumptions!$B$14*J599*K599</f>
        <v>0</v>
      </c>
      <c r="R599" s="21">
        <f t="shared" si="74"/>
        <v>5728312.5246029124</v>
      </c>
      <c r="S599" s="21">
        <f t="shared" si="75"/>
        <v>5728312.5246029124</v>
      </c>
      <c r="T599" s="32">
        <f>1/(1+Calculation_Assumptions!$B$8)^(B599-Calculation_Assumptions!$B$2)</f>
        <v>0.47760556926165965</v>
      </c>
      <c r="U599" s="21">
        <f t="shared" si="76"/>
        <v>0</v>
      </c>
      <c r="V599" s="21">
        <f t="shared" si="77"/>
        <v>2735873.9642216689</v>
      </c>
      <c r="W599" s="21">
        <f t="shared" si="78"/>
        <v>2735873.9642216689</v>
      </c>
      <c r="X599">
        <v>0</v>
      </c>
      <c r="Y599" s="18">
        <v>2017</v>
      </c>
      <c r="Z599" t="s">
        <v>387</v>
      </c>
      <c r="AA599" s="21">
        <f t="shared" si="79"/>
        <v>1</v>
      </c>
    </row>
    <row r="600" spans="1:27">
      <c r="A600" t="s">
        <v>76</v>
      </c>
      <c r="B600" s="18">
        <v>2025</v>
      </c>
      <c r="C600" t="s">
        <v>217</v>
      </c>
      <c r="D600" s="20" t="s">
        <v>397</v>
      </c>
      <c r="E600" s="20" t="s">
        <v>398</v>
      </c>
      <c r="F600" s="20" t="s">
        <v>220</v>
      </c>
      <c r="G600" s="20" t="s">
        <v>393</v>
      </c>
      <c r="H600" s="20" t="s">
        <v>384</v>
      </c>
      <c r="I600" s="29">
        <v>1</v>
      </c>
      <c r="J600" s="30">
        <v>1</v>
      </c>
      <c r="K600" s="31">
        <v>8.7749999999999998E-3</v>
      </c>
      <c r="L600" s="9">
        <v>575134853.59312999</v>
      </c>
      <c r="M600" s="9">
        <v>575134853.59312999</v>
      </c>
      <c r="N600" s="32">
        <f>MIN(MAX((B600-Calculation_Assumptions!$B$5+1)/Calculation_Assumptions!$B$7,0),1)</f>
        <v>0</v>
      </c>
      <c r="O600" s="21">
        <f t="shared" si="72"/>
        <v>575134853.59312999</v>
      </c>
      <c r="P600" s="21">
        <f t="shared" si="73"/>
        <v>575134853.59312999</v>
      </c>
      <c r="Q600" s="21">
        <f>P600*Calculation_Assumptions!$B$14*J600*K600</f>
        <v>0</v>
      </c>
      <c r="R600" s="21">
        <f t="shared" si="74"/>
        <v>0</v>
      </c>
      <c r="S600" s="21">
        <f t="shared" si="75"/>
        <v>0</v>
      </c>
      <c r="T600" s="32">
        <f>1/(1+Calculation_Assumptions!$B$8)^(B600-Calculation_Assumptions!$B$2)</f>
        <v>1</v>
      </c>
      <c r="U600" s="21">
        <f t="shared" si="76"/>
        <v>0</v>
      </c>
      <c r="V600" s="21">
        <f t="shared" si="77"/>
        <v>0</v>
      </c>
      <c r="W600" s="21">
        <f t="shared" si="78"/>
        <v>0</v>
      </c>
      <c r="X600">
        <v>0</v>
      </c>
      <c r="Y600" s="18">
        <v>2017</v>
      </c>
      <c r="Z600" t="s">
        <v>387</v>
      </c>
      <c r="AA600" s="21">
        <f t="shared" si="79"/>
        <v>1</v>
      </c>
    </row>
    <row r="601" spans="1:27">
      <c r="A601" t="s">
        <v>76</v>
      </c>
      <c r="B601" s="18">
        <v>2026</v>
      </c>
      <c r="C601" t="s">
        <v>217</v>
      </c>
      <c r="D601" s="20" t="s">
        <v>397</v>
      </c>
      <c r="E601" s="20" t="s">
        <v>398</v>
      </c>
      <c r="F601" s="20" t="s">
        <v>220</v>
      </c>
      <c r="G601" s="20" t="s">
        <v>393</v>
      </c>
      <c r="H601" s="20" t="s">
        <v>384</v>
      </c>
      <c r="I601" s="29">
        <v>1</v>
      </c>
      <c r="J601" s="30">
        <v>1</v>
      </c>
      <c r="K601" s="31">
        <v>8.7749999999999998E-3</v>
      </c>
      <c r="L601" s="9">
        <v>579268647.32329595</v>
      </c>
      <c r="M601" s="9">
        <v>579268647.32329595</v>
      </c>
      <c r="N601" s="32">
        <f>MIN(MAX((B601-Calculation_Assumptions!$B$5+1)/Calculation_Assumptions!$B$7,0),1)</f>
        <v>0.33333333333333331</v>
      </c>
      <c r="O601" s="21">
        <f t="shared" si="72"/>
        <v>579268647.32329595</v>
      </c>
      <c r="P601" s="21">
        <f t="shared" si="73"/>
        <v>579268647.32329595</v>
      </c>
      <c r="Q601" s="21">
        <f>P601*Calculation_Assumptions!$B$14*J601*K601</f>
        <v>0</v>
      </c>
      <c r="R601" s="21">
        <f t="shared" si="74"/>
        <v>1694360.7934206405</v>
      </c>
      <c r="S601" s="21">
        <f t="shared" si="75"/>
        <v>1694360.7934206405</v>
      </c>
      <c r="T601" s="32">
        <f>1/(1+Calculation_Assumptions!$B$8)^(B601-Calculation_Assumptions!$B$2)</f>
        <v>0.970873786407767</v>
      </c>
      <c r="U601" s="21">
        <f t="shared" si="76"/>
        <v>0</v>
      </c>
      <c r="V601" s="21">
        <f t="shared" si="77"/>
        <v>1645010.4790491655</v>
      </c>
      <c r="W601" s="21">
        <f t="shared" si="78"/>
        <v>1645010.4790491655</v>
      </c>
      <c r="X601">
        <v>0</v>
      </c>
      <c r="Y601" s="18">
        <v>2017</v>
      </c>
      <c r="Z601" t="s">
        <v>387</v>
      </c>
      <c r="AA601" s="21">
        <f t="shared" si="79"/>
        <v>1</v>
      </c>
    </row>
    <row r="602" spans="1:27">
      <c r="A602" t="s">
        <v>76</v>
      </c>
      <c r="B602" s="18">
        <v>2027</v>
      </c>
      <c r="C602" t="s">
        <v>217</v>
      </c>
      <c r="D602" s="20" t="s">
        <v>397</v>
      </c>
      <c r="E602" s="20" t="s">
        <v>398</v>
      </c>
      <c r="F602" s="20" t="s">
        <v>220</v>
      </c>
      <c r="G602" s="20" t="s">
        <v>393</v>
      </c>
      <c r="H602" s="20" t="s">
        <v>384</v>
      </c>
      <c r="I602" s="29">
        <v>1</v>
      </c>
      <c r="J602" s="30">
        <v>1</v>
      </c>
      <c r="K602" s="31">
        <v>8.7749999999999998E-3</v>
      </c>
      <c r="L602" s="9">
        <v>583039014.28645599</v>
      </c>
      <c r="M602" s="9">
        <v>583039014.28645599</v>
      </c>
      <c r="N602" s="32">
        <f>MIN(MAX((B602-Calculation_Assumptions!$B$5+1)/Calculation_Assumptions!$B$7,0),1)</f>
        <v>0.66666666666666663</v>
      </c>
      <c r="O602" s="21">
        <f t="shared" si="72"/>
        <v>583039014.28645599</v>
      </c>
      <c r="P602" s="21">
        <f t="shared" si="73"/>
        <v>583039014.28645599</v>
      </c>
      <c r="Q602" s="21">
        <f>P602*Calculation_Assumptions!$B$14*J602*K602</f>
        <v>0</v>
      </c>
      <c r="R602" s="21">
        <f t="shared" si="74"/>
        <v>3410778.2335757674</v>
      </c>
      <c r="S602" s="21">
        <f t="shared" si="75"/>
        <v>3410778.2335757674</v>
      </c>
      <c r="T602" s="32">
        <f>1/(1+Calculation_Assumptions!$B$8)^(B602-Calculation_Assumptions!$B$2)</f>
        <v>0.94259590913375435</v>
      </c>
      <c r="U602" s="21">
        <f t="shared" si="76"/>
        <v>0</v>
      </c>
      <c r="V602" s="21">
        <f t="shared" si="77"/>
        <v>3214985.6099309712</v>
      </c>
      <c r="W602" s="21">
        <f t="shared" si="78"/>
        <v>3214985.6099309712</v>
      </c>
      <c r="X602">
        <v>0</v>
      </c>
      <c r="Y602" s="18">
        <v>2017</v>
      </c>
      <c r="Z602" t="s">
        <v>387</v>
      </c>
      <c r="AA602" s="21">
        <f t="shared" si="79"/>
        <v>1</v>
      </c>
    </row>
    <row r="603" spans="1:27">
      <c r="A603" t="s">
        <v>76</v>
      </c>
      <c r="B603" s="18">
        <v>2028</v>
      </c>
      <c r="C603" t="s">
        <v>217</v>
      </c>
      <c r="D603" s="20" t="s">
        <v>397</v>
      </c>
      <c r="E603" s="20" t="s">
        <v>398</v>
      </c>
      <c r="F603" s="20" t="s">
        <v>220</v>
      </c>
      <c r="G603" s="20" t="s">
        <v>393</v>
      </c>
      <c r="H603" s="20" t="s">
        <v>384</v>
      </c>
      <c r="I603" s="29">
        <v>1</v>
      </c>
      <c r="J603" s="30">
        <v>1</v>
      </c>
      <c r="K603" s="31">
        <v>8.7749999999999998E-3</v>
      </c>
      <c r="L603" s="9">
        <v>587039795.04372799</v>
      </c>
      <c r="M603" s="9">
        <v>587035116.25746298</v>
      </c>
      <c r="N603" s="32">
        <f>MIN(MAX((B603-Calculation_Assumptions!$B$5+1)/Calculation_Assumptions!$B$7,0),1)</f>
        <v>1</v>
      </c>
      <c r="O603" s="21">
        <f t="shared" si="72"/>
        <v>587039795.04372799</v>
      </c>
      <c r="P603" s="21">
        <f t="shared" si="73"/>
        <v>587035116.25746298</v>
      </c>
      <c r="Q603" s="21">
        <f>P603*Calculation_Assumptions!$B$14*J603*K603</f>
        <v>0</v>
      </c>
      <c r="R603" s="21">
        <f t="shared" si="74"/>
        <v>5151274.201508713</v>
      </c>
      <c r="S603" s="21">
        <f t="shared" si="75"/>
        <v>5151274.201508713</v>
      </c>
      <c r="T603" s="32">
        <f>1/(1+Calculation_Assumptions!$B$8)^(B603-Calculation_Assumptions!$B$2)</f>
        <v>0.91514165935315961</v>
      </c>
      <c r="U603" s="21">
        <f t="shared" si="76"/>
        <v>0</v>
      </c>
      <c r="V603" s="21">
        <f t="shared" si="77"/>
        <v>4714145.6205518059</v>
      </c>
      <c r="W603" s="21">
        <f t="shared" si="78"/>
        <v>4714145.6205518059</v>
      </c>
      <c r="X603">
        <v>0</v>
      </c>
      <c r="Y603" s="18">
        <v>2017</v>
      </c>
      <c r="Z603" t="s">
        <v>387</v>
      </c>
      <c r="AA603" s="21">
        <f t="shared" si="79"/>
        <v>1</v>
      </c>
    </row>
    <row r="604" spans="1:27">
      <c r="A604" t="s">
        <v>76</v>
      </c>
      <c r="B604" s="18">
        <v>2029</v>
      </c>
      <c r="C604" t="s">
        <v>217</v>
      </c>
      <c r="D604" s="20" t="s">
        <v>397</v>
      </c>
      <c r="E604" s="20" t="s">
        <v>398</v>
      </c>
      <c r="F604" s="20" t="s">
        <v>220</v>
      </c>
      <c r="G604" s="20" t="s">
        <v>393</v>
      </c>
      <c r="H604" s="20" t="s">
        <v>384</v>
      </c>
      <c r="I604" s="29">
        <v>1</v>
      </c>
      <c r="J604" s="30">
        <v>1</v>
      </c>
      <c r="K604" s="31">
        <v>8.7749999999999998E-3</v>
      </c>
      <c r="L604" s="9">
        <v>590766467.10548604</v>
      </c>
      <c r="M604" s="9">
        <v>590968059.72178304</v>
      </c>
      <c r="N604" s="32">
        <f>MIN(MAX((B604-Calculation_Assumptions!$B$5+1)/Calculation_Assumptions!$B$7,0),1)</f>
        <v>1</v>
      </c>
      <c r="O604" s="21">
        <f t="shared" si="72"/>
        <v>590766467.10548604</v>
      </c>
      <c r="P604" s="21">
        <f t="shared" si="73"/>
        <v>590968059.72178304</v>
      </c>
      <c r="Q604" s="21">
        <f>P604*Calculation_Assumptions!$B$14*J604*K604</f>
        <v>0</v>
      </c>
      <c r="R604" s="21">
        <f t="shared" si="74"/>
        <v>5183975.7488506399</v>
      </c>
      <c r="S604" s="21">
        <f t="shared" si="75"/>
        <v>5183975.7488506399</v>
      </c>
      <c r="T604" s="32">
        <f>1/(1+Calculation_Assumptions!$B$8)^(B604-Calculation_Assumptions!$B$2)</f>
        <v>0.888487047915689</v>
      </c>
      <c r="U604" s="21">
        <f t="shared" si="76"/>
        <v>0</v>
      </c>
      <c r="V604" s="21">
        <f t="shared" si="77"/>
        <v>4605895.3095628284</v>
      </c>
      <c r="W604" s="21">
        <f t="shared" si="78"/>
        <v>4605895.3095628284</v>
      </c>
      <c r="X604">
        <v>0</v>
      </c>
      <c r="Y604" s="18">
        <v>2017</v>
      </c>
      <c r="Z604" t="s">
        <v>387</v>
      </c>
      <c r="AA604" s="21">
        <f t="shared" si="79"/>
        <v>1</v>
      </c>
    </row>
    <row r="605" spans="1:27">
      <c r="A605" t="s">
        <v>76</v>
      </c>
      <c r="B605" s="18">
        <v>2030</v>
      </c>
      <c r="C605" t="s">
        <v>217</v>
      </c>
      <c r="D605" s="20" t="s">
        <v>397</v>
      </c>
      <c r="E605" s="20" t="s">
        <v>398</v>
      </c>
      <c r="F605" s="20" t="s">
        <v>220</v>
      </c>
      <c r="G605" s="20" t="s">
        <v>393</v>
      </c>
      <c r="H605" s="20" t="s">
        <v>384</v>
      </c>
      <c r="I605" s="29">
        <v>1</v>
      </c>
      <c r="J605" s="30">
        <v>1</v>
      </c>
      <c r="K605" s="31">
        <v>8.7749999999999998E-3</v>
      </c>
      <c r="L605" s="9">
        <v>594652967.05338001</v>
      </c>
      <c r="M605" s="9">
        <v>594808018.62654305</v>
      </c>
      <c r="N605" s="32">
        <f>MIN(MAX((B605-Calculation_Assumptions!$B$5+1)/Calculation_Assumptions!$B$7,0),1)</f>
        <v>1</v>
      </c>
      <c r="O605" s="21">
        <f t="shared" si="72"/>
        <v>594652967.05338001</v>
      </c>
      <c r="P605" s="21">
        <f t="shared" si="73"/>
        <v>594808018.62654305</v>
      </c>
      <c r="Q605" s="21">
        <f>P605*Calculation_Assumptions!$B$14*J605*K605</f>
        <v>0</v>
      </c>
      <c r="R605" s="21">
        <f t="shared" si="74"/>
        <v>5218079.7858934095</v>
      </c>
      <c r="S605" s="21">
        <f t="shared" si="75"/>
        <v>5218079.7858934095</v>
      </c>
      <c r="T605" s="32">
        <f>1/(1+Calculation_Assumptions!$B$8)^(B605-Calculation_Assumptions!$B$2)</f>
        <v>0.86260878438416411</v>
      </c>
      <c r="U605" s="21">
        <f t="shared" si="76"/>
        <v>0</v>
      </c>
      <c r="V605" s="21">
        <f t="shared" si="77"/>
        <v>4501161.460929093</v>
      </c>
      <c r="W605" s="21">
        <f t="shared" si="78"/>
        <v>4501161.460929093</v>
      </c>
      <c r="X605">
        <v>0</v>
      </c>
      <c r="Y605" s="18">
        <v>2017</v>
      </c>
      <c r="Z605" t="s">
        <v>387</v>
      </c>
      <c r="AA605" s="21">
        <f t="shared" si="79"/>
        <v>1</v>
      </c>
    </row>
    <row r="606" spans="1:27">
      <c r="A606" t="s">
        <v>76</v>
      </c>
      <c r="B606" s="18">
        <v>2031</v>
      </c>
      <c r="C606" t="s">
        <v>217</v>
      </c>
      <c r="D606" s="20" t="s">
        <v>397</v>
      </c>
      <c r="E606" s="20" t="s">
        <v>398</v>
      </c>
      <c r="F606" s="20" t="s">
        <v>220</v>
      </c>
      <c r="G606" s="20" t="s">
        <v>393</v>
      </c>
      <c r="H606" s="20" t="s">
        <v>384</v>
      </c>
      <c r="I606" s="29">
        <v>1</v>
      </c>
      <c r="J606" s="30">
        <v>1</v>
      </c>
      <c r="K606" s="31">
        <v>8.7749999999999998E-3</v>
      </c>
      <c r="L606" s="9">
        <v>598482853.08345401</v>
      </c>
      <c r="M606" s="9">
        <v>598581381.03442597</v>
      </c>
      <c r="N606" s="32">
        <f>MIN(MAX((B606-Calculation_Assumptions!$B$5+1)/Calculation_Assumptions!$B$7,0),1)</f>
        <v>1</v>
      </c>
      <c r="O606" s="21">
        <f t="shared" si="72"/>
        <v>598482853.08345401</v>
      </c>
      <c r="P606" s="21">
        <f t="shared" si="73"/>
        <v>598581381.03442597</v>
      </c>
      <c r="Q606" s="21">
        <f>P606*Calculation_Assumptions!$B$14*J606*K606</f>
        <v>0</v>
      </c>
      <c r="R606" s="21">
        <f t="shared" si="74"/>
        <v>5251687.0358073087</v>
      </c>
      <c r="S606" s="21">
        <f t="shared" si="75"/>
        <v>5251687.0358073087</v>
      </c>
      <c r="T606" s="32">
        <f>1/(1+Calculation_Assumptions!$B$8)^(B606-Calculation_Assumptions!$B$2)</f>
        <v>0.83748425668365445</v>
      </c>
      <c r="U606" s="21">
        <f t="shared" si="76"/>
        <v>0</v>
      </c>
      <c r="V606" s="21">
        <f t="shared" si="77"/>
        <v>4398205.2135182684</v>
      </c>
      <c r="W606" s="21">
        <f t="shared" si="78"/>
        <v>4398205.2135182684</v>
      </c>
      <c r="X606">
        <v>0</v>
      </c>
      <c r="Y606" s="18">
        <v>2017</v>
      </c>
      <c r="Z606" t="s">
        <v>387</v>
      </c>
      <c r="AA606" s="21">
        <f t="shared" si="79"/>
        <v>1</v>
      </c>
    </row>
    <row r="607" spans="1:27">
      <c r="A607" t="s">
        <v>76</v>
      </c>
      <c r="B607" s="18">
        <v>2032</v>
      </c>
      <c r="C607" t="s">
        <v>217</v>
      </c>
      <c r="D607" s="20" t="s">
        <v>397</v>
      </c>
      <c r="E607" s="20" t="s">
        <v>398</v>
      </c>
      <c r="F607" s="20" t="s">
        <v>220</v>
      </c>
      <c r="G607" s="20" t="s">
        <v>393</v>
      </c>
      <c r="H607" s="20" t="s">
        <v>384</v>
      </c>
      <c r="I607" s="29">
        <v>1</v>
      </c>
      <c r="J607" s="30">
        <v>1</v>
      </c>
      <c r="K607" s="31">
        <v>8.7749999999999998E-3</v>
      </c>
      <c r="L607" s="9">
        <v>602252425.332353</v>
      </c>
      <c r="M607" s="9">
        <v>602283583.58638096</v>
      </c>
      <c r="N607" s="32">
        <f>MIN(MAX((B607-Calculation_Assumptions!$B$5+1)/Calculation_Assumptions!$B$7,0),1)</f>
        <v>1</v>
      </c>
      <c r="O607" s="21">
        <f t="shared" si="72"/>
        <v>602252425.332353</v>
      </c>
      <c r="P607" s="21">
        <f t="shared" si="73"/>
        <v>602283583.58638096</v>
      </c>
      <c r="Q607" s="21">
        <f>P607*Calculation_Assumptions!$B$14*J607*K607</f>
        <v>0</v>
      </c>
      <c r="R607" s="21">
        <f t="shared" si="74"/>
        <v>5284765.0322913975</v>
      </c>
      <c r="S607" s="21">
        <f t="shared" si="75"/>
        <v>5284765.0322913975</v>
      </c>
      <c r="T607" s="32">
        <f>1/(1+Calculation_Assumptions!$B$8)^(B607-Calculation_Assumptions!$B$2)</f>
        <v>0.81309151134335378</v>
      </c>
      <c r="U607" s="21">
        <f t="shared" si="76"/>
        <v>0</v>
      </c>
      <c r="V607" s="21">
        <f t="shared" si="77"/>
        <v>4296997.5872003203</v>
      </c>
      <c r="W607" s="21">
        <f t="shared" si="78"/>
        <v>4296997.5872003203</v>
      </c>
      <c r="X607">
        <v>0</v>
      </c>
      <c r="Y607" s="18">
        <v>2017</v>
      </c>
      <c r="Z607" t="s">
        <v>387</v>
      </c>
      <c r="AA607" s="21">
        <f t="shared" si="79"/>
        <v>1</v>
      </c>
    </row>
    <row r="608" spans="1:27">
      <c r="A608" t="s">
        <v>76</v>
      </c>
      <c r="B608" s="18">
        <v>2033</v>
      </c>
      <c r="C608" t="s">
        <v>217</v>
      </c>
      <c r="D608" s="20" t="s">
        <v>397</v>
      </c>
      <c r="E608" s="20" t="s">
        <v>398</v>
      </c>
      <c r="F608" s="20" t="s">
        <v>220</v>
      </c>
      <c r="G608" s="20" t="s">
        <v>393</v>
      </c>
      <c r="H608" s="20" t="s">
        <v>384</v>
      </c>
      <c r="I608" s="29">
        <v>1</v>
      </c>
      <c r="J608" s="30">
        <v>1</v>
      </c>
      <c r="K608" s="31">
        <v>8.7749999999999998E-3</v>
      </c>
      <c r="L608" s="9">
        <v>605955528.04318595</v>
      </c>
      <c r="M608" s="9">
        <v>605911902.99473</v>
      </c>
      <c r="N608" s="32">
        <f>MIN(MAX((B608-Calculation_Assumptions!$B$5+1)/Calculation_Assumptions!$B$7,0),1)</f>
        <v>1</v>
      </c>
      <c r="O608" s="21">
        <f t="shared" si="72"/>
        <v>605955528.04318595</v>
      </c>
      <c r="P608" s="21">
        <f t="shared" si="73"/>
        <v>605911902.99473</v>
      </c>
      <c r="Q608" s="21">
        <f>P608*Calculation_Assumptions!$B$14*J608*K608</f>
        <v>0</v>
      </c>
      <c r="R608" s="21">
        <f t="shared" si="74"/>
        <v>5317259.7585789561</v>
      </c>
      <c r="S608" s="21">
        <f t="shared" si="75"/>
        <v>5317259.7585789561</v>
      </c>
      <c r="T608" s="32">
        <f>1/(1+Calculation_Assumptions!$B$8)^(B608-Calculation_Assumptions!$B$2)</f>
        <v>0.78940923431393573</v>
      </c>
      <c r="U608" s="21">
        <f t="shared" si="76"/>
        <v>0</v>
      </c>
      <c r="V608" s="21">
        <f t="shared" si="77"/>
        <v>4197493.9546681168</v>
      </c>
      <c r="W608" s="21">
        <f t="shared" si="78"/>
        <v>4197493.9546681168</v>
      </c>
      <c r="X608">
        <v>0</v>
      </c>
      <c r="Y608" s="18">
        <v>2017</v>
      </c>
      <c r="Z608" t="s">
        <v>387</v>
      </c>
      <c r="AA608" s="21">
        <f t="shared" si="79"/>
        <v>1</v>
      </c>
    </row>
    <row r="609" spans="1:27">
      <c r="A609" t="s">
        <v>76</v>
      </c>
      <c r="B609" s="18">
        <v>2034</v>
      </c>
      <c r="C609" t="s">
        <v>217</v>
      </c>
      <c r="D609" s="20" t="s">
        <v>397</v>
      </c>
      <c r="E609" s="20" t="s">
        <v>398</v>
      </c>
      <c r="F609" s="20" t="s">
        <v>220</v>
      </c>
      <c r="G609" s="20" t="s">
        <v>393</v>
      </c>
      <c r="H609" s="20" t="s">
        <v>384</v>
      </c>
      <c r="I609" s="29">
        <v>1</v>
      </c>
      <c r="J609" s="30">
        <v>1</v>
      </c>
      <c r="K609" s="31">
        <v>8.7749999999999998E-3</v>
      </c>
      <c r="L609" s="9">
        <v>609560284.09550095</v>
      </c>
      <c r="M609" s="9">
        <v>609455548.12077105</v>
      </c>
      <c r="N609" s="32">
        <f>MIN(MAX((B609-Calculation_Assumptions!$B$5+1)/Calculation_Assumptions!$B$7,0),1)</f>
        <v>1</v>
      </c>
      <c r="O609" s="21">
        <f t="shared" si="72"/>
        <v>609560284.09550095</v>
      </c>
      <c r="P609" s="21">
        <f t="shared" si="73"/>
        <v>609455548.12077105</v>
      </c>
      <c r="Q609" s="21">
        <f>P609*Calculation_Assumptions!$B$14*J609*K609</f>
        <v>0</v>
      </c>
      <c r="R609" s="21">
        <f t="shared" si="74"/>
        <v>5348891.4929380203</v>
      </c>
      <c r="S609" s="21">
        <f t="shared" si="75"/>
        <v>5348891.4929380203</v>
      </c>
      <c r="T609" s="32">
        <f>1/(1+Calculation_Assumptions!$B$8)^(B609-Calculation_Assumptions!$B$2)</f>
        <v>0.76641673234362695</v>
      </c>
      <c r="U609" s="21">
        <f t="shared" si="76"/>
        <v>0</v>
      </c>
      <c r="V609" s="21">
        <f t="shared" si="77"/>
        <v>4099479.9396781819</v>
      </c>
      <c r="W609" s="21">
        <f t="shared" si="78"/>
        <v>4099479.9396781819</v>
      </c>
      <c r="X609">
        <v>0</v>
      </c>
      <c r="Y609" s="18">
        <v>2017</v>
      </c>
      <c r="Z609" t="s">
        <v>387</v>
      </c>
      <c r="AA609" s="21">
        <f t="shared" si="79"/>
        <v>1</v>
      </c>
    </row>
    <row r="610" spans="1:27">
      <c r="A610" t="s">
        <v>76</v>
      </c>
      <c r="B610" s="18">
        <v>2035</v>
      </c>
      <c r="C610" t="s">
        <v>217</v>
      </c>
      <c r="D610" s="20" t="s">
        <v>397</v>
      </c>
      <c r="E610" s="20" t="s">
        <v>398</v>
      </c>
      <c r="F610" s="20" t="s">
        <v>220</v>
      </c>
      <c r="G610" s="20" t="s">
        <v>393</v>
      </c>
      <c r="H610" s="20" t="s">
        <v>384</v>
      </c>
      <c r="I610" s="29">
        <v>1</v>
      </c>
      <c r="J610" s="30">
        <v>1</v>
      </c>
      <c r="K610" s="31">
        <v>8.7749999999999998E-3</v>
      </c>
      <c r="L610" s="9">
        <v>613092698.26085901</v>
      </c>
      <c r="M610" s="9">
        <v>612884294.47334194</v>
      </c>
      <c r="N610" s="32">
        <f>MIN(MAX((B610-Calculation_Assumptions!$B$5+1)/Calculation_Assumptions!$B$7,0),1)</f>
        <v>1</v>
      </c>
      <c r="O610" s="21">
        <f t="shared" si="72"/>
        <v>613092698.26085901</v>
      </c>
      <c r="P610" s="21">
        <f t="shared" si="73"/>
        <v>612884294.47334194</v>
      </c>
      <c r="Q610" s="21">
        <f>P610*Calculation_Assumptions!$B$14*J610*K610</f>
        <v>0</v>
      </c>
      <c r="R610" s="21">
        <f t="shared" si="74"/>
        <v>5379888.4272390381</v>
      </c>
      <c r="S610" s="21">
        <f t="shared" si="75"/>
        <v>5379888.4272390381</v>
      </c>
      <c r="T610" s="32">
        <f>1/(1+Calculation_Assumptions!$B$8)^(B610-Calculation_Assumptions!$B$2)</f>
        <v>0.74409391489672516</v>
      </c>
      <c r="U610" s="21">
        <f t="shared" si="76"/>
        <v>0</v>
      </c>
      <c r="V610" s="21">
        <f t="shared" si="77"/>
        <v>4003142.2415318815</v>
      </c>
      <c r="W610" s="21">
        <f t="shared" si="78"/>
        <v>4003142.2415318815</v>
      </c>
      <c r="X610">
        <v>0</v>
      </c>
      <c r="Y610" s="18">
        <v>2017</v>
      </c>
      <c r="Z610" t="s">
        <v>387</v>
      </c>
      <c r="AA610" s="21">
        <f t="shared" si="79"/>
        <v>1</v>
      </c>
    </row>
    <row r="611" spans="1:27">
      <c r="A611" t="s">
        <v>76</v>
      </c>
      <c r="B611" s="18">
        <v>2036</v>
      </c>
      <c r="C611" t="s">
        <v>217</v>
      </c>
      <c r="D611" s="20" t="s">
        <v>397</v>
      </c>
      <c r="E611" s="20" t="s">
        <v>398</v>
      </c>
      <c r="F611" s="20" t="s">
        <v>220</v>
      </c>
      <c r="G611" s="20" t="s">
        <v>393</v>
      </c>
      <c r="H611" s="20" t="s">
        <v>384</v>
      </c>
      <c r="I611" s="29">
        <v>1</v>
      </c>
      <c r="J611" s="30">
        <v>1</v>
      </c>
      <c r="K611" s="31">
        <v>8.7749999999999998E-3</v>
      </c>
      <c r="L611" s="9">
        <v>616539654.35734701</v>
      </c>
      <c r="M611" s="9">
        <v>616262053.85817397</v>
      </c>
      <c r="N611" s="32">
        <f>MIN(MAX((B611-Calculation_Assumptions!$B$5+1)/Calculation_Assumptions!$B$7,0),1)</f>
        <v>1</v>
      </c>
      <c r="O611" s="21">
        <f t="shared" si="72"/>
        <v>616539654.35734701</v>
      </c>
      <c r="P611" s="21">
        <f t="shared" si="73"/>
        <v>616262053.85817397</v>
      </c>
      <c r="Q611" s="21">
        <f>P611*Calculation_Assumptions!$B$14*J611*K611</f>
        <v>0</v>
      </c>
      <c r="R611" s="21">
        <f t="shared" si="74"/>
        <v>5410135.4669857202</v>
      </c>
      <c r="S611" s="21">
        <f t="shared" si="75"/>
        <v>5410135.4669857202</v>
      </c>
      <c r="T611" s="32">
        <f>1/(1+Calculation_Assumptions!$B$8)^(B611-Calculation_Assumptions!$B$2)</f>
        <v>0.72242127659876232</v>
      </c>
      <c r="U611" s="21">
        <f t="shared" si="76"/>
        <v>0</v>
      </c>
      <c r="V611" s="21">
        <f t="shared" si="77"/>
        <v>3908396.9706320651</v>
      </c>
      <c r="W611" s="21">
        <f t="shared" si="78"/>
        <v>3908396.9706320651</v>
      </c>
      <c r="X611">
        <v>0</v>
      </c>
      <c r="Y611" s="18">
        <v>2017</v>
      </c>
      <c r="Z611" t="s">
        <v>387</v>
      </c>
      <c r="AA611" s="21">
        <f t="shared" si="79"/>
        <v>1</v>
      </c>
    </row>
    <row r="612" spans="1:27">
      <c r="A612" t="s">
        <v>76</v>
      </c>
      <c r="B612" s="18">
        <v>2037</v>
      </c>
      <c r="C612" t="s">
        <v>217</v>
      </c>
      <c r="D612" s="20" t="s">
        <v>397</v>
      </c>
      <c r="E612" s="20" t="s">
        <v>398</v>
      </c>
      <c r="F612" s="20" t="s">
        <v>220</v>
      </c>
      <c r="G612" s="20" t="s">
        <v>393</v>
      </c>
      <c r="H612" s="20" t="s">
        <v>384</v>
      </c>
      <c r="I612" s="29">
        <v>1</v>
      </c>
      <c r="J612" s="30">
        <v>1</v>
      </c>
      <c r="K612" s="31">
        <v>8.7749999999999998E-3</v>
      </c>
      <c r="L612" s="9">
        <v>619898345.122545</v>
      </c>
      <c r="M612" s="9">
        <v>619529380.90729904</v>
      </c>
      <c r="N612" s="32">
        <f>MIN(MAX((B612-Calculation_Assumptions!$B$5+1)/Calculation_Assumptions!$B$7,0),1)</f>
        <v>1</v>
      </c>
      <c r="O612" s="21">
        <f t="shared" si="72"/>
        <v>619898345.122545</v>
      </c>
      <c r="P612" s="21">
        <f t="shared" si="73"/>
        <v>619529380.90729904</v>
      </c>
      <c r="Q612" s="21">
        <f>P612*Calculation_Assumptions!$B$14*J612*K612</f>
        <v>0</v>
      </c>
      <c r="R612" s="21">
        <f t="shared" si="74"/>
        <v>5439607.9784503318</v>
      </c>
      <c r="S612" s="21">
        <f t="shared" si="75"/>
        <v>5439607.9784503318</v>
      </c>
      <c r="T612" s="32">
        <f>1/(1+Calculation_Assumptions!$B$8)^(B612-Calculation_Assumptions!$B$2)</f>
        <v>0.70137988019297326</v>
      </c>
      <c r="U612" s="21">
        <f t="shared" si="76"/>
        <v>0</v>
      </c>
      <c r="V612" s="21">
        <f t="shared" si="77"/>
        <v>3815231.5922222352</v>
      </c>
      <c r="W612" s="21">
        <f t="shared" si="78"/>
        <v>3815231.5922222352</v>
      </c>
      <c r="X612">
        <v>0</v>
      </c>
      <c r="Y612" s="18">
        <v>2017</v>
      </c>
      <c r="Z612" t="s">
        <v>387</v>
      </c>
      <c r="AA612" s="21">
        <f t="shared" si="79"/>
        <v>1</v>
      </c>
    </row>
    <row r="613" spans="1:27">
      <c r="A613" t="s">
        <v>76</v>
      </c>
      <c r="B613" s="18">
        <v>2038</v>
      </c>
      <c r="C613" t="s">
        <v>217</v>
      </c>
      <c r="D613" s="20" t="s">
        <v>397</v>
      </c>
      <c r="E613" s="20" t="s">
        <v>398</v>
      </c>
      <c r="F613" s="20" t="s">
        <v>220</v>
      </c>
      <c r="G613" s="20" t="s">
        <v>393</v>
      </c>
      <c r="H613" s="20" t="s">
        <v>384</v>
      </c>
      <c r="I613" s="29">
        <v>1</v>
      </c>
      <c r="J613" s="30">
        <v>1</v>
      </c>
      <c r="K613" s="31">
        <v>8.7749999999999998E-3</v>
      </c>
      <c r="L613" s="9">
        <v>623157085.01735401</v>
      </c>
      <c r="M613" s="9">
        <v>622673191.62836504</v>
      </c>
      <c r="N613" s="32">
        <f>MIN(MAX((B613-Calculation_Assumptions!$B$5+1)/Calculation_Assumptions!$B$7,0),1)</f>
        <v>1</v>
      </c>
      <c r="O613" s="21">
        <f t="shared" si="72"/>
        <v>623157085.01735401</v>
      </c>
      <c r="P613" s="21">
        <f t="shared" si="73"/>
        <v>622673191.62836504</v>
      </c>
      <c r="Q613" s="21">
        <f>P613*Calculation_Assumptions!$B$14*J613*K613</f>
        <v>0</v>
      </c>
      <c r="R613" s="21">
        <f t="shared" si="74"/>
        <v>5468203.4210272813</v>
      </c>
      <c r="S613" s="21">
        <f t="shared" si="75"/>
        <v>5468203.4210272813</v>
      </c>
      <c r="T613" s="32">
        <f>1/(1+Calculation_Assumptions!$B$8)^(B613-Calculation_Assumptions!$B$2)</f>
        <v>0.68095133999317792</v>
      </c>
      <c r="U613" s="21">
        <f t="shared" si="76"/>
        <v>0</v>
      </c>
      <c r="V613" s="21">
        <f t="shared" si="77"/>
        <v>3723580.4469038066</v>
      </c>
      <c r="W613" s="21">
        <f t="shared" si="78"/>
        <v>3723580.4469038066</v>
      </c>
      <c r="X613">
        <v>0</v>
      </c>
      <c r="Y613" s="18">
        <v>2017</v>
      </c>
      <c r="Z613" t="s">
        <v>387</v>
      </c>
      <c r="AA613" s="21">
        <f t="shared" si="79"/>
        <v>1</v>
      </c>
    </row>
    <row r="614" spans="1:27">
      <c r="A614" t="s">
        <v>76</v>
      </c>
      <c r="B614" s="18">
        <v>2039</v>
      </c>
      <c r="C614" t="s">
        <v>217</v>
      </c>
      <c r="D614" s="20" t="s">
        <v>397</v>
      </c>
      <c r="E614" s="20" t="s">
        <v>398</v>
      </c>
      <c r="F614" s="20" t="s">
        <v>220</v>
      </c>
      <c r="G614" s="20" t="s">
        <v>393</v>
      </c>
      <c r="H614" s="20" t="s">
        <v>384</v>
      </c>
      <c r="I614" s="29">
        <v>1</v>
      </c>
      <c r="J614" s="30">
        <v>1</v>
      </c>
      <c r="K614" s="31">
        <v>8.7749999999999998E-3</v>
      </c>
      <c r="L614" s="9">
        <v>626312438.007918</v>
      </c>
      <c r="M614" s="9">
        <v>625731758.218045</v>
      </c>
      <c r="N614" s="32">
        <f>MIN(MAX((B614-Calculation_Assumptions!$B$5+1)/Calculation_Assumptions!$B$7,0),1)</f>
        <v>1</v>
      </c>
      <c r="O614" s="21">
        <f t="shared" si="72"/>
        <v>626312438.007918</v>
      </c>
      <c r="P614" s="21">
        <f t="shared" si="73"/>
        <v>625731758.218045</v>
      </c>
      <c r="Q614" s="21">
        <f>P614*Calculation_Assumptions!$B$14*J614*K614</f>
        <v>0</v>
      </c>
      <c r="R614" s="21">
        <f t="shared" si="74"/>
        <v>5495891.6435194807</v>
      </c>
      <c r="S614" s="21">
        <f t="shared" si="75"/>
        <v>5495891.6435194807</v>
      </c>
      <c r="T614" s="32">
        <f>1/(1+Calculation_Assumptions!$B$8)^(B614-Calculation_Assumptions!$B$2)</f>
        <v>0.66111780581861923</v>
      </c>
      <c r="U614" s="21">
        <f t="shared" si="76"/>
        <v>0</v>
      </c>
      <c r="V614" s="21">
        <f t="shared" si="77"/>
        <v>3633431.8243804839</v>
      </c>
      <c r="W614" s="21">
        <f t="shared" si="78"/>
        <v>3633431.8243804839</v>
      </c>
      <c r="X614">
        <v>0</v>
      </c>
      <c r="Y614" s="18">
        <v>2017</v>
      </c>
      <c r="Z614" t="s">
        <v>387</v>
      </c>
      <c r="AA614" s="21">
        <f t="shared" si="79"/>
        <v>1</v>
      </c>
    </row>
    <row r="615" spans="1:27">
      <c r="A615" t="s">
        <v>76</v>
      </c>
      <c r="B615" s="18">
        <v>2040</v>
      </c>
      <c r="C615" t="s">
        <v>217</v>
      </c>
      <c r="D615" s="20" t="s">
        <v>397</v>
      </c>
      <c r="E615" s="20" t="s">
        <v>398</v>
      </c>
      <c r="F615" s="20" t="s">
        <v>220</v>
      </c>
      <c r="G615" s="20" t="s">
        <v>393</v>
      </c>
      <c r="H615" s="20" t="s">
        <v>384</v>
      </c>
      <c r="I615" s="29">
        <v>1</v>
      </c>
      <c r="J615" s="30">
        <v>1</v>
      </c>
      <c r="K615" s="31">
        <v>8.7749999999999998E-3</v>
      </c>
      <c r="L615" s="9">
        <v>629347032.33731306</v>
      </c>
      <c r="M615" s="9">
        <v>628667498.21665299</v>
      </c>
      <c r="N615" s="32">
        <f>MIN(MAX((B615-Calculation_Assumptions!$B$5+1)/Calculation_Assumptions!$B$7,0),1)</f>
        <v>1</v>
      </c>
      <c r="O615" s="21">
        <f t="shared" si="72"/>
        <v>629347032.33731306</v>
      </c>
      <c r="P615" s="21">
        <f t="shared" si="73"/>
        <v>628667498.21665299</v>
      </c>
      <c r="Q615" s="21">
        <f>P615*Calculation_Assumptions!$B$14*J615*K615</f>
        <v>0</v>
      </c>
      <c r="R615" s="21">
        <f t="shared" si="74"/>
        <v>5522520.2087599216</v>
      </c>
      <c r="S615" s="21">
        <f t="shared" si="75"/>
        <v>5522520.2087599216</v>
      </c>
      <c r="T615" s="32">
        <f>1/(1+Calculation_Assumptions!$B$8)^(B615-Calculation_Assumptions!$B$2)</f>
        <v>0.64186194739671765</v>
      </c>
      <c r="U615" s="21">
        <f t="shared" si="76"/>
        <v>0</v>
      </c>
      <c r="V615" s="21">
        <f t="shared" si="77"/>
        <v>3544695.5757323708</v>
      </c>
      <c r="W615" s="21">
        <f t="shared" si="78"/>
        <v>3544695.5757323708</v>
      </c>
      <c r="X615">
        <v>0</v>
      </c>
      <c r="Y615" s="18">
        <v>2017</v>
      </c>
      <c r="Z615" t="s">
        <v>387</v>
      </c>
      <c r="AA615" s="21">
        <f t="shared" si="79"/>
        <v>1</v>
      </c>
    </row>
    <row r="616" spans="1:27">
      <c r="A616" t="s">
        <v>76</v>
      </c>
      <c r="B616" s="18">
        <v>2041</v>
      </c>
      <c r="C616" t="s">
        <v>217</v>
      </c>
      <c r="D616" s="20" t="s">
        <v>397</v>
      </c>
      <c r="E616" s="20" t="s">
        <v>398</v>
      </c>
      <c r="F616" s="20" t="s">
        <v>220</v>
      </c>
      <c r="G616" s="20" t="s">
        <v>393</v>
      </c>
      <c r="H616" s="20" t="s">
        <v>384</v>
      </c>
      <c r="I616" s="29">
        <v>1</v>
      </c>
      <c r="J616" s="30">
        <v>1</v>
      </c>
      <c r="K616" s="31">
        <v>8.7749999999999998E-3</v>
      </c>
      <c r="L616" s="9">
        <v>632268493.39175498</v>
      </c>
      <c r="M616" s="9">
        <v>631488405.68781996</v>
      </c>
      <c r="N616" s="32">
        <f>MIN(MAX((B616-Calculation_Assumptions!$B$5+1)/Calculation_Assumptions!$B$7,0),1)</f>
        <v>1</v>
      </c>
      <c r="O616" s="21">
        <f t="shared" si="72"/>
        <v>632268493.39175498</v>
      </c>
      <c r="P616" s="21">
        <f t="shared" si="73"/>
        <v>631488405.68781996</v>
      </c>
      <c r="Q616" s="21">
        <f>P616*Calculation_Assumptions!$B$14*J616*K616</f>
        <v>0</v>
      </c>
      <c r="R616" s="21">
        <f t="shared" si="74"/>
        <v>5548156.0295126503</v>
      </c>
      <c r="S616" s="21">
        <f t="shared" si="75"/>
        <v>5548156.0295126503</v>
      </c>
      <c r="T616" s="32">
        <f>1/(1+Calculation_Assumptions!$B$8)^(B616-Calculation_Assumptions!$B$2)</f>
        <v>0.62316693922011435</v>
      </c>
      <c r="U616" s="21">
        <f t="shared" si="76"/>
        <v>0</v>
      </c>
      <c r="V616" s="21">
        <f t="shared" si="77"/>
        <v>3457427.4112270209</v>
      </c>
      <c r="W616" s="21">
        <f t="shared" si="78"/>
        <v>3457427.4112270209</v>
      </c>
      <c r="X616">
        <v>0</v>
      </c>
      <c r="Y616" s="18">
        <v>2017</v>
      </c>
      <c r="Z616" t="s">
        <v>387</v>
      </c>
      <c r="AA616" s="21">
        <f t="shared" si="79"/>
        <v>1</v>
      </c>
    </row>
    <row r="617" spans="1:27">
      <c r="A617" t="s">
        <v>76</v>
      </c>
      <c r="B617" s="18">
        <v>2042</v>
      </c>
      <c r="C617" t="s">
        <v>217</v>
      </c>
      <c r="D617" s="20" t="s">
        <v>397</v>
      </c>
      <c r="E617" s="20" t="s">
        <v>398</v>
      </c>
      <c r="F617" s="20" t="s">
        <v>220</v>
      </c>
      <c r="G617" s="20" t="s">
        <v>393</v>
      </c>
      <c r="H617" s="20" t="s">
        <v>384</v>
      </c>
      <c r="I617" s="29">
        <v>1</v>
      </c>
      <c r="J617" s="30">
        <v>1</v>
      </c>
      <c r="K617" s="31">
        <v>8.7749999999999998E-3</v>
      </c>
      <c r="L617" s="9">
        <v>635066634.14519799</v>
      </c>
      <c r="M617" s="9">
        <v>634184560.98858297</v>
      </c>
      <c r="N617" s="32">
        <f>MIN(MAX((B617-Calculation_Assumptions!$B$5+1)/Calculation_Assumptions!$B$7,0),1)</f>
        <v>1</v>
      </c>
      <c r="O617" s="21">
        <f t="shared" si="72"/>
        <v>635066634.14519799</v>
      </c>
      <c r="P617" s="21">
        <f t="shared" si="73"/>
        <v>634184560.98858297</v>
      </c>
      <c r="Q617" s="21">
        <f>P617*Calculation_Assumptions!$B$14*J617*K617</f>
        <v>0</v>
      </c>
      <c r="R617" s="21">
        <f t="shared" si="74"/>
        <v>5572709.7146241125</v>
      </c>
      <c r="S617" s="21">
        <f t="shared" si="75"/>
        <v>5572709.7146241125</v>
      </c>
      <c r="T617" s="32">
        <f>1/(1+Calculation_Assumptions!$B$8)^(B617-Calculation_Assumptions!$B$2)</f>
        <v>0.60501644584477121</v>
      </c>
      <c r="U617" s="21">
        <f t="shared" si="76"/>
        <v>0</v>
      </c>
      <c r="V617" s="21">
        <f t="shared" si="77"/>
        <v>3371581.02526651</v>
      </c>
      <c r="W617" s="21">
        <f t="shared" si="78"/>
        <v>3371581.02526651</v>
      </c>
      <c r="X617">
        <v>0</v>
      </c>
      <c r="Y617" s="18">
        <v>2017</v>
      </c>
      <c r="Z617" t="s">
        <v>387</v>
      </c>
      <c r="AA617" s="21">
        <f t="shared" si="79"/>
        <v>1</v>
      </c>
    </row>
    <row r="618" spans="1:27">
      <c r="A618" t="s">
        <v>76</v>
      </c>
      <c r="B618" s="18">
        <v>2043</v>
      </c>
      <c r="C618" t="s">
        <v>217</v>
      </c>
      <c r="D618" s="20" t="s">
        <v>397</v>
      </c>
      <c r="E618" s="20" t="s">
        <v>398</v>
      </c>
      <c r="F618" s="20" t="s">
        <v>220</v>
      </c>
      <c r="G618" s="20" t="s">
        <v>393</v>
      </c>
      <c r="H618" s="20" t="s">
        <v>384</v>
      </c>
      <c r="I618" s="29">
        <v>1</v>
      </c>
      <c r="J618" s="30">
        <v>1</v>
      </c>
      <c r="K618" s="31">
        <v>8.7749999999999998E-3</v>
      </c>
      <c r="L618" s="9">
        <v>637740511.15042996</v>
      </c>
      <c r="M618" s="9">
        <v>636767020.67603099</v>
      </c>
      <c r="N618" s="32">
        <f>MIN(MAX((B618-Calculation_Assumptions!$B$5+1)/Calculation_Assumptions!$B$7,0),1)</f>
        <v>1</v>
      </c>
      <c r="O618" s="21">
        <f t="shared" si="72"/>
        <v>637740511.15042996</v>
      </c>
      <c r="P618" s="21">
        <f t="shared" si="73"/>
        <v>636767020.67603099</v>
      </c>
      <c r="Q618" s="21">
        <f>P618*Calculation_Assumptions!$B$14*J618*K618</f>
        <v>0</v>
      </c>
      <c r="R618" s="21">
        <f t="shared" si="74"/>
        <v>5596172.9853450228</v>
      </c>
      <c r="S618" s="21">
        <f t="shared" si="75"/>
        <v>5596172.9853450228</v>
      </c>
      <c r="T618" s="32">
        <f>1/(1+Calculation_Assumptions!$B$8)^(B618-Calculation_Assumptions!$B$2)</f>
        <v>0.5873946076162827</v>
      </c>
      <c r="U618" s="21">
        <f t="shared" si="76"/>
        <v>0</v>
      </c>
      <c r="V618" s="21">
        <f t="shared" si="77"/>
        <v>3287161.8348795809</v>
      </c>
      <c r="W618" s="21">
        <f t="shared" si="78"/>
        <v>3287161.8348795809</v>
      </c>
      <c r="X618">
        <v>0</v>
      </c>
      <c r="Y618" s="18">
        <v>2017</v>
      </c>
      <c r="Z618" t="s">
        <v>387</v>
      </c>
      <c r="AA618" s="21">
        <f t="shared" si="79"/>
        <v>1</v>
      </c>
    </row>
    <row r="619" spans="1:27">
      <c r="A619" t="s">
        <v>76</v>
      </c>
      <c r="B619" s="18">
        <v>2044</v>
      </c>
      <c r="C619" t="s">
        <v>217</v>
      </c>
      <c r="D619" s="20" t="s">
        <v>397</v>
      </c>
      <c r="E619" s="20" t="s">
        <v>398</v>
      </c>
      <c r="F619" s="20" t="s">
        <v>220</v>
      </c>
      <c r="G619" s="20" t="s">
        <v>393</v>
      </c>
      <c r="H619" s="20" t="s">
        <v>384</v>
      </c>
      <c r="I619" s="29">
        <v>1</v>
      </c>
      <c r="J619" s="30">
        <v>1</v>
      </c>
      <c r="K619" s="31">
        <v>8.7749999999999998E-3</v>
      </c>
      <c r="L619" s="9">
        <v>640285329.92099202</v>
      </c>
      <c r="M619" s="9">
        <v>639211548.58069301</v>
      </c>
      <c r="N619" s="32">
        <f>MIN(MAX((B619-Calculation_Assumptions!$B$5+1)/Calculation_Assumptions!$B$7,0),1)</f>
        <v>1</v>
      </c>
      <c r="O619" s="21">
        <f t="shared" si="72"/>
        <v>640285329.92099202</v>
      </c>
      <c r="P619" s="21">
        <f t="shared" si="73"/>
        <v>639211548.58069301</v>
      </c>
      <c r="Q619" s="21">
        <f>P619*Calculation_Assumptions!$B$14*J619*K619</f>
        <v>0</v>
      </c>
      <c r="R619" s="21">
        <f t="shared" si="74"/>
        <v>5618503.770056705</v>
      </c>
      <c r="S619" s="21">
        <f t="shared" si="75"/>
        <v>5618503.770056705</v>
      </c>
      <c r="T619" s="32">
        <f>1/(1+Calculation_Assumptions!$B$8)^(B619-Calculation_Assumptions!$B$2)</f>
        <v>0.57028602681192497</v>
      </c>
      <c r="U619" s="21">
        <f t="shared" si="76"/>
        <v>0</v>
      </c>
      <c r="V619" s="21">
        <f t="shared" si="77"/>
        <v>3204154.1916534598</v>
      </c>
      <c r="W619" s="21">
        <f t="shared" si="78"/>
        <v>3204154.1916534598</v>
      </c>
      <c r="X619">
        <v>0</v>
      </c>
      <c r="Y619" s="18">
        <v>2017</v>
      </c>
      <c r="Z619" t="s">
        <v>387</v>
      </c>
      <c r="AA619" s="21">
        <f t="shared" si="79"/>
        <v>1</v>
      </c>
    </row>
    <row r="620" spans="1:27">
      <c r="A620" t="s">
        <v>76</v>
      </c>
      <c r="B620" s="18">
        <v>2045</v>
      </c>
      <c r="C620" t="s">
        <v>217</v>
      </c>
      <c r="D620" s="20" t="s">
        <v>397</v>
      </c>
      <c r="E620" s="20" t="s">
        <v>398</v>
      </c>
      <c r="F620" s="20" t="s">
        <v>220</v>
      </c>
      <c r="G620" s="20" t="s">
        <v>393</v>
      </c>
      <c r="H620" s="20" t="s">
        <v>384</v>
      </c>
      <c r="I620" s="29">
        <v>1</v>
      </c>
      <c r="J620" s="30">
        <v>1</v>
      </c>
      <c r="K620" s="31">
        <v>8.7749999999999998E-3</v>
      </c>
      <c r="L620" s="9">
        <v>642695843.59439898</v>
      </c>
      <c r="M620" s="9">
        <v>641520754.67294204</v>
      </c>
      <c r="N620" s="32">
        <f>MIN(MAX((B620-Calculation_Assumptions!$B$5+1)/Calculation_Assumptions!$B$7,0),1)</f>
        <v>1</v>
      </c>
      <c r="O620" s="21">
        <f t="shared" si="72"/>
        <v>642695843.59439898</v>
      </c>
      <c r="P620" s="21">
        <f t="shared" si="73"/>
        <v>641520754.67294204</v>
      </c>
      <c r="Q620" s="21">
        <f>P620*Calculation_Assumptions!$B$14*J620*K620</f>
        <v>0</v>
      </c>
      <c r="R620" s="21">
        <f t="shared" si="74"/>
        <v>5639656.0275408505</v>
      </c>
      <c r="S620" s="21">
        <f t="shared" si="75"/>
        <v>5639656.0275408505</v>
      </c>
      <c r="T620" s="32">
        <f>1/(1+Calculation_Assumptions!$B$8)^(B620-Calculation_Assumptions!$B$2)</f>
        <v>0.55367575418633497</v>
      </c>
      <c r="U620" s="21">
        <f t="shared" si="76"/>
        <v>0</v>
      </c>
      <c r="V620" s="21">
        <f t="shared" si="77"/>
        <v>3122540.8044001902</v>
      </c>
      <c r="W620" s="21">
        <f t="shared" si="78"/>
        <v>3122540.8044001902</v>
      </c>
      <c r="X620">
        <v>0</v>
      </c>
      <c r="Y620" s="18">
        <v>2017</v>
      </c>
      <c r="Z620" t="s">
        <v>387</v>
      </c>
      <c r="AA620" s="21">
        <f t="shared" si="79"/>
        <v>1</v>
      </c>
    </row>
    <row r="621" spans="1:27">
      <c r="A621" t="s">
        <v>76</v>
      </c>
      <c r="B621" s="18">
        <v>2046</v>
      </c>
      <c r="C621" t="s">
        <v>217</v>
      </c>
      <c r="D621" s="20" t="s">
        <v>397</v>
      </c>
      <c r="E621" s="20" t="s">
        <v>398</v>
      </c>
      <c r="F621" s="20" t="s">
        <v>220</v>
      </c>
      <c r="G621" s="20" t="s">
        <v>393</v>
      </c>
      <c r="H621" s="20" t="s">
        <v>384</v>
      </c>
      <c r="I621" s="29">
        <v>1</v>
      </c>
      <c r="J621" s="30">
        <v>1</v>
      </c>
      <c r="K621" s="31">
        <v>8.7749999999999998E-3</v>
      </c>
      <c r="L621" s="9">
        <v>644974193.08303404</v>
      </c>
      <c r="M621" s="9">
        <v>643697330.762573</v>
      </c>
      <c r="N621" s="32">
        <f>MIN(MAX((B621-Calculation_Assumptions!$B$5+1)/Calculation_Assumptions!$B$7,0),1)</f>
        <v>1</v>
      </c>
      <c r="O621" s="21">
        <f t="shared" si="72"/>
        <v>644974193.08303404</v>
      </c>
      <c r="P621" s="21">
        <f t="shared" si="73"/>
        <v>643697330.762573</v>
      </c>
      <c r="Q621" s="21">
        <f>P621*Calculation_Assumptions!$B$14*J621*K621</f>
        <v>0</v>
      </c>
      <c r="R621" s="21">
        <f t="shared" si="74"/>
        <v>5659648.544303624</v>
      </c>
      <c r="S621" s="21">
        <f t="shared" si="75"/>
        <v>5659648.544303624</v>
      </c>
      <c r="T621" s="32">
        <f>1/(1+Calculation_Assumptions!$B$8)^(B621-Calculation_Assumptions!$B$2)</f>
        <v>0.5375492759090631</v>
      </c>
      <c r="U621" s="21">
        <f t="shared" si="76"/>
        <v>0</v>
      </c>
      <c r="V621" s="21">
        <f t="shared" si="77"/>
        <v>3042339.9768901961</v>
      </c>
      <c r="W621" s="21">
        <f t="shared" si="78"/>
        <v>3042339.9768901961</v>
      </c>
      <c r="X621">
        <v>0</v>
      </c>
      <c r="Y621" s="18">
        <v>2017</v>
      </c>
      <c r="Z621" t="s">
        <v>387</v>
      </c>
      <c r="AA621" s="21">
        <f t="shared" si="79"/>
        <v>1</v>
      </c>
    </row>
    <row r="622" spans="1:27">
      <c r="A622" t="s">
        <v>76</v>
      </c>
      <c r="B622" s="18">
        <v>2047</v>
      </c>
      <c r="C622" t="s">
        <v>217</v>
      </c>
      <c r="D622" s="20" t="s">
        <v>397</v>
      </c>
      <c r="E622" s="20" t="s">
        <v>398</v>
      </c>
      <c r="F622" s="20" t="s">
        <v>220</v>
      </c>
      <c r="G622" s="20" t="s">
        <v>393</v>
      </c>
      <c r="H622" s="20" t="s">
        <v>384</v>
      </c>
      <c r="I622" s="29">
        <v>1</v>
      </c>
      <c r="J622" s="30">
        <v>1</v>
      </c>
      <c r="K622" s="31">
        <v>8.7749999999999998E-3</v>
      </c>
      <c r="L622" s="9">
        <v>647124942.32164299</v>
      </c>
      <c r="M622" s="9">
        <v>645745914.53009498</v>
      </c>
      <c r="N622" s="32">
        <f>MIN(MAX((B622-Calculation_Assumptions!$B$5+1)/Calculation_Assumptions!$B$7,0),1)</f>
        <v>1</v>
      </c>
      <c r="O622" s="21">
        <f t="shared" si="72"/>
        <v>647124942.32164299</v>
      </c>
      <c r="P622" s="21">
        <f t="shared" si="73"/>
        <v>645745914.53009498</v>
      </c>
      <c r="Q622" s="21">
        <f>P622*Calculation_Assumptions!$B$14*J622*K622</f>
        <v>0</v>
      </c>
      <c r="R622" s="21">
        <f t="shared" si="74"/>
        <v>5678521.3688724171</v>
      </c>
      <c r="S622" s="21">
        <f t="shared" si="75"/>
        <v>5678521.3688724171</v>
      </c>
      <c r="T622" s="32">
        <f>1/(1+Calculation_Assumptions!$B$8)^(B622-Calculation_Assumptions!$B$2)</f>
        <v>0.52189250088258554</v>
      </c>
      <c r="U622" s="21">
        <f t="shared" si="76"/>
        <v>0</v>
      </c>
      <c r="V622" s="21">
        <f t="shared" si="77"/>
        <v>2963577.718516029</v>
      </c>
      <c r="W622" s="21">
        <f t="shared" si="78"/>
        <v>2963577.718516029</v>
      </c>
      <c r="X622">
        <v>0</v>
      </c>
      <c r="Y622" s="18">
        <v>2017</v>
      </c>
      <c r="Z622" t="s">
        <v>387</v>
      </c>
      <c r="AA622" s="21">
        <f t="shared" si="79"/>
        <v>1</v>
      </c>
    </row>
    <row r="623" spans="1:27">
      <c r="A623" t="s">
        <v>76</v>
      </c>
      <c r="B623" s="18">
        <v>2048</v>
      </c>
      <c r="C623" t="s">
        <v>217</v>
      </c>
      <c r="D623" s="20" t="s">
        <v>397</v>
      </c>
      <c r="E623" s="20" t="s">
        <v>398</v>
      </c>
      <c r="F623" s="20" t="s">
        <v>220</v>
      </c>
      <c r="G623" s="20" t="s">
        <v>393</v>
      </c>
      <c r="H623" s="20" t="s">
        <v>384</v>
      </c>
      <c r="I623" s="29">
        <v>1</v>
      </c>
      <c r="J623" s="30">
        <v>1</v>
      </c>
      <c r="K623" s="31">
        <v>8.7749999999999998E-3</v>
      </c>
      <c r="L623" s="9">
        <v>649147853.41567302</v>
      </c>
      <c r="M623" s="9">
        <v>647666796.64810395</v>
      </c>
      <c r="N623" s="32">
        <f>MIN(MAX((B623-Calculation_Assumptions!$B$5+1)/Calculation_Assumptions!$B$7,0),1)</f>
        <v>1</v>
      </c>
      <c r="O623" s="21">
        <f t="shared" si="72"/>
        <v>649147853.41567302</v>
      </c>
      <c r="P623" s="21">
        <f t="shared" si="73"/>
        <v>647666796.64810395</v>
      </c>
      <c r="Q623" s="21">
        <f>P623*Calculation_Assumptions!$B$14*J623*K623</f>
        <v>0</v>
      </c>
      <c r="R623" s="21">
        <f t="shared" si="74"/>
        <v>5696272.4137225309</v>
      </c>
      <c r="S623" s="21">
        <f t="shared" si="75"/>
        <v>5696272.4137225309</v>
      </c>
      <c r="T623" s="32">
        <f>1/(1+Calculation_Assumptions!$B$8)^(B623-Calculation_Assumptions!$B$2)</f>
        <v>0.50669174842969467</v>
      </c>
      <c r="U623" s="21">
        <f t="shared" si="76"/>
        <v>0</v>
      </c>
      <c r="V623" s="21">
        <f t="shared" si="77"/>
        <v>2886254.2288409062</v>
      </c>
      <c r="W623" s="21">
        <f t="shared" si="78"/>
        <v>2886254.2288409062</v>
      </c>
      <c r="X623">
        <v>0</v>
      </c>
      <c r="Y623" s="18">
        <v>2017</v>
      </c>
      <c r="Z623" t="s">
        <v>387</v>
      </c>
      <c r="AA623" s="21">
        <f t="shared" si="79"/>
        <v>1</v>
      </c>
    </row>
    <row r="624" spans="1:27">
      <c r="A624" t="s">
        <v>76</v>
      </c>
      <c r="B624" s="18">
        <v>2049</v>
      </c>
      <c r="C624" t="s">
        <v>217</v>
      </c>
      <c r="D624" s="20" t="s">
        <v>397</v>
      </c>
      <c r="E624" s="20" t="s">
        <v>398</v>
      </c>
      <c r="F624" s="20" t="s">
        <v>220</v>
      </c>
      <c r="G624" s="20" t="s">
        <v>393</v>
      </c>
      <c r="H624" s="20" t="s">
        <v>384</v>
      </c>
      <c r="I624" s="29">
        <v>1</v>
      </c>
      <c r="J624" s="30">
        <v>1</v>
      </c>
      <c r="K624" s="31">
        <v>8.7749999999999998E-3</v>
      </c>
      <c r="L624" s="9">
        <v>651040967.5934</v>
      </c>
      <c r="M624" s="9">
        <v>649421968.02473402</v>
      </c>
      <c r="N624" s="32">
        <f>MIN(MAX((B624-Calculation_Assumptions!$B$5+1)/Calculation_Assumptions!$B$7,0),1)</f>
        <v>1</v>
      </c>
      <c r="O624" s="21">
        <f t="shared" si="72"/>
        <v>651040967.5934</v>
      </c>
      <c r="P624" s="21">
        <f t="shared" si="73"/>
        <v>649421968.02473402</v>
      </c>
      <c r="Q624" s="21">
        <f>P624*Calculation_Assumptions!$B$14*J624*K624</f>
        <v>0</v>
      </c>
      <c r="R624" s="21">
        <f t="shared" si="74"/>
        <v>5712884.4906320851</v>
      </c>
      <c r="S624" s="21">
        <f t="shared" si="75"/>
        <v>5712884.4906320851</v>
      </c>
      <c r="T624" s="32">
        <f>1/(1+Calculation_Assumptions!$B$8)^(B624-Calculation_Assumptions!$B$2)</f>
        <v>0.49193373633950943</v>
      </c>
      <c r="U624" s="21">
        <f t="shared" si="76"/>
        <v>0</v>
      </c>
      <c r="V624" s="21">
        <f t="shared" si="77"/>
        <v>2810360.6127526769</v>
      </c>
      <c r="W624" s="21">
        <f t="shared" si="78"/>
        <v>2810360.6127526769</v>
      </c>
      <c r="X624">
        <v>0</v>
      </c>
      <c r="Y624" s="18">
        <v>2017</v>
      </c>
      <c r="Z624" t="s">
        <v>387</v>
      </c>
      <c r="AA624" s="21">
        <f t="shared" si="79"/>
        <v>1</v>
      </c>
    </row>
    <row r="625" spans="1:27">
      <c r="A625" t="s">
        <v>76</v>
      </c>
      <c r="B625" s="18">
        <v>2050</v>
      </c>
      <c r="C625" t="s">
        <v>217</v>
      </c>
      <c r="D625" s="20" t="s">
        <v>397</v>
      </c>
      <c r="E625" s="20" t="s">
        <v>398</v>
      </c>
      <c r="F625" s="20" t="s">
        <v>220</v>
      </c>
      <c r="G625" s="20" t="s">
        <v>393</v>
      </c>
      <c r="H625" s="20" t="s">
        <v>384</v>
      </c>
      <c r="I625" s="29">
        <v>1</v>
      </c>
      <c r="J625" s="30">
        <v>1</v>
      </c>
      <c r="K625" s="31">
        <v>8.7749999999999998E-3</v>
      </c>
      <c r="L625" s="9">
        <v>652799148.10289598</v>
      </c>
      <c r="M625" s="9">
        <v>651074457.25957894</v>
      </c>
      <c r="N625" s="32">
        <f>MIN(MAX((B625-Calculation_Assumptions!$B$5+1)/Calculation_Assumptions!$B$7,0),1)</f>
        <v>1</v>
      </c>
      <c r="O625" s="21">
        <f t="shared" si="72"/>
        <v>652799148.10289598</v>
      </c>
      <c r="P625" s="21">
        <f t="shared" si="73"/>
        <v>651074457.25957894</v>
      </c>
      <c r="Q625" s="21">
        <f>P625*Calculation_Assumptions!$B$14*J625*K625</f>
        <v>0</v>
      </c>
      <c r="R625" s="21">
        <f t="shared" si="74"/>
        <v>5728312.5246029124</v>
      </c>
      <c r="S625" s="21">
        <f t="shared" si="75"/>
        <v>5728312.5246029124</v>
      </c>
      <c r="T625" s="32">
        <f>1/(1+Calculation_Assumptions!$B$8)^(B625-Calculation_Assumptions!$B$2)</f>
        <v>0.47760556926165965</v>
      </c>
      <c r="U625" s="21">
        <f t="shared" si="76"/>
        <v>0</v>
      </c>
      <c r="V625" s="21">
        <f t="shared" si="77"/>
        <v>2735873.9642216689</v>
      </c>
      <c r="W625" s="21">
        <f t="shared" si="78"/>
        <v>2735873.9642216689</v>
      </c>
      <c r="X625">
        <v>0</v>
      </c>
      <c r="Y625" s="18">
        <v>2017</v>
      </c>
      <c r="Z625" t="s">
        <v>387</v>
      </c>
      <c r="AA625" s="21">
        <f t="shared" si="79"/>
        <v>1</v>
      </c>
    </row>
    <row r="626" spans="1:27">
      <c r="A626" t="s">
        <v>76</v>
      </c>
      <c r="B626" s="18">
        <v>2025</v>
      </c>
      <c r="C626" t="s">
        <v>224</v>
      </c>
      <c r="D626" s="20" t="s">
        <v>399</v>
      </c>
      <c r="E626" s="20" t="s">
        <v>400</v>
      </c>
      <c r="F626" s="20" t="s">
        <v>227</v>
      </c>
      <c r="G626" s="20" t="s">
        <v>393</v>
      </c>
      <c r="H626" s="20" t="s">
        <v>384</v>
      </c>
      <c r="I626" s="29">
        <v>1</v>
      </c>
      <c r="J626" s="30">
        <v>1</v>
      </c>
      <c r="K626" s="31">
        <v>8.7749999999999998E-3</v>
      </c>
      <c r="L626" s="9">
        <v>575134853.59312999</v>
      </c>
      <c r="M626" s="9">
        <v>575134853.59312999</v>
      </c>
      <c r="N626" s="32">
        <f>MIN(MAX((B626-Calculation_Assumptions!$B$5+1)/Calculation_Assumptions!$B$7,0),1)</f>
        <v>0</v>
      </c>
      <c r="O626" s="21">
        <f t="shared" si="72"/>
        <v>575134853.59312999</v>
      </c>
      <c r="P626" s="21">
        <f t="shared" si="73"/>
        <v>575134853.59312999</v>
      </c>
      <c r="Q626" s="21">
        <f>P626*Calculation_Assumptions!$B$14*J626*K626</f>
        <v>0</v>
      </c>
      <c r="R626" s="21">
        <f t="shared" si="74"/>
        <v>0</v>
      </c>
      <c r="S626" s="21">
        <f t="shared" si="75"/>
        <v>0</v>
      </c>
      <c r="T626" s="32">
        <f>1/(1+Calculation_Assumptions!$B$8)^(B626-Calculation_Assumptions!$B$2)</f>
        <v>1</v>
      </c>
      <c r="U626" s="21">
        <f t="shared" si="76"/>
        <v>0</v>
      </c>
      <c r="V626" s="21">
        <f t="shared" si="77"/>
        <v>0</v>
      </c>
      <c r="W626" s="21">
        <f t="shared" si="78"/>
        <v>0</v>
      </c>
      <c r="X626">
        <v>0</v>
      </c>
      <c r="Y626" s="18">
        <v>2017</v>
      </c>
      <c r="Z626" t="s">
        <v>387</v>
      </c>
      <c r="AA626" s="21">
        <f t="shared" si="79"/>
        <v>1</v>
      </c>
    </row>
    <row r="627" spans="1:27">
      <c r="A627" t="s">
        <v>76</v>
      </c>
      <c r="B627" s="18">
        <v>2026</v>
      </c>
      <c r="C627" t="s">
        <v>224</v>
      </c>
      <c r="D627" s="20" t="s">
        <v>399</v>
      </c>
      <c r="E627" s="20" t="s">
        <v>400</v>
      </c>
      <c r="F627" s="20" t="s">
        <v>227</v>
      </c>
      <c r="G627" s="20" t="s">
        <v>393</v>
      </c>
      <c r="H627" s="20" t="s">
        <v>384</v>
      </c>
      <c r="I627" s="29">
        <v>1</v>
      </c>
      <c r="J627" s="30">
        <v>1</v>
      </c>
      <c r="K627" s="31">
        <v>8.7749999999999998E-3</v>
      </c>
      <c r="L627" s="9">
        <v>579268647.32329595</v>
      </c>
      <c r="M627" s="9">
        <v>579268647.32329595</v>
      </c>
      <c r="N627" s="32">
        <f>MIN(MAX((B627-Calculation_Assumptions!$B$5+1)/Calculation_Assumptions!$B$7,0),1)</f>
        <v>0.33333333333333331</v>
      </c>
      <c r="O627" s="21">
        <f t="shared" si="72"/>
        <v>579268647.32329595</v>
      </c>
      <c r="P627" s="21">
        <f t="shared" si="73"/>
        <v>579268647.32329595</v>
      </c>
      <c r="Q627" s="21">
        <f>P627*Calculation_Assumptions!$B$14*J627*K627</f>
        <v>0</v>
      </c>
      <c r="R627" s="21">
        <f t="shared" si="74"/>
        <v>1694360.7934206405</v>
      </c>
      <c r="S627" s="21">
        <f t="shared" si="75"/>
        <v>1694360.7934206405</v>
      </c>
      <c r="T627" s="32">
        <f>1/(1+Calculation_Assumptions!$B$8)^(B627-Calculation_Assumptions!$B$2)</f>
        <v>0.970873786407767</v>
      </c>
      <c r="U627" s="21">
        <f t="shared" si="76"/>
        <v>0</v>
      </c>
      <c r="V627" s="21">
        <f t="shared" si="77"/>
        <v>1645010.4790491655</v>
      </c>
      <c r="W627" s="21">
        <f t="shared" si="78"/>
        <v>1645010.4790491655</v>
      </c>
      <c r="X627">
        <v>0</v>
      </c>
      <c r="Y627" s="18">
        <v>2017</v>
      </c>
      <c r="Z627" t="s">
        <v>387</v>
      </c>
      <c r="AA627" s="21">
        <f t="shared" si="79"/>
        <v>1</v>
      </c>
    </row>
    <row r="628" spans="1:27">
      <c r="A628" t="s">
        <v>76</v>
      </c>
      <c r="B628" s="18">
        <v>2027</v>
      </c>
      <c r="C628" t="s">
        <v>224</v>
      </c>
      <c r="D628" s="20" t="s">
        <v>399</v>
      </c>
      <c r="E628" s="20" t="s">
        <v>400</v>
      </c>
      <c r="F628" s="20" t="s">
        <v>227</v>
      </c>
      <c r="G628" s="20" t="s">
        <v>393</v>
      </c>
      <c r="H628" s="20" t="s">
        <v>384</v>
      </c>
      <c r="I628" s="29">
        <v>1</v>
      </c>
      <c r="J628" s="30">
        <v>1</v>
      </c>
      <c r="K628" s="31">
        <v>8.7749999999999998E-3</v>
      </c>
      <c r="L628" s="9">
        <v>583039014.28645599</v>
      </c>
      <c r="M628" s="9">
        <v>583039014.28645599</v>
      </c>
      <c r="N628" s="32">
        <f>MIN(MAX((B628-Calculation_Assumptions!$B$5+1)/Calculation_Assumptions!$B$7,0),1)</f>
        <v>0.66666666666666663</v>
      </c>
      <c r="O628" s="21">
        <f t="shared" si="72"/>
        <v>583039014.28645599</v>
      </c>
      <c r="P628" s="21">
        <f t="shared" si="73"/>
        <v>583039014.28645599</v>
      </c>
      <c r="Q628" s="21">
        <f>P628*Calculation_Assumptions!$B$14*J628*K628</f>
        <v>0</v>
      </c>
      <c r="R628" s="21">
        <f t="shared" si="74"/>
        <v>3410778.2335757674</v>
      </c>
      <c r="S628" s="21">
        <f t="shared" si="75"/>
        <v>3410778.2335757674</v>
      </c>
      <c r="T628" s="32">
        <f>1/(1+Calculation_Assumptions!$B$8)^(B628-Calculation_Assumptions!$B$2)</f>
        <v>0.94259590913375435</v>
      </c>
      <c r="U628" s="21">
        <f t="shared" si="76"/>
        <v>0</v>
      </c>
      <c r="V628" s="21">
        <f t="shared" si="77"/>
        <v>3214985.6099309712</v>
      </c>
      <c r="W628" s="21">
        <f t="shared" si="78"/>
        <v>3214985.6099309712</v>
      </c>
      <c r="X628">
        <v>0</v>
      </c>
      <c r="Y628" s="18">
        <v>2017</v>
      </c>
      <c r="Z628" t="s">
        <v>387</v>
      </c>
      <c r="AA628" s="21">
        <f t="shared" si="79"/>
        <v>1</v>
      </c>
    </row>
    <row r="629" spans="1:27">
      <c r="A629" t="s">
        <v>76</v>
      </c>
      <c r="B629" s="18">
        <v>2028</v>
      </c>
      <c r="C629" t="s">
        <v>224</v>
      </c>
      <c r="D629" s="20" t="s">
        <v>399</v>
      </c>
      <c r="E629" s="20" t="s">
        <v>400</v>
      </c>
      <c r="F629" s="20" t="s">
        <v>227</v>
      </c>
      <c r="G629" s="20" t="s">
        <v>393</v>
      </c>
      <c r="H629" s="20" t="s">
        <v>384</v>
      </c>
      <c r="I629" s="29">
        <v>1</v>
      </c>
      <c r="J629" s="30">
        <v>1</v>
      </c>
      <c r="K629" s="31">
        <v>8.7749999999999998E-3</v>
      </c>
      <c r="L629" s="9">
        <v>587039795.04372799</v>
      </c>
      <c r="M629" s="9">
        <v>587035116.25746298</v>
      </c>
      <c r="N629" s="32">
        <f>MIN(MAX((B629-Calculation_Assumptions!$B$5+1)/Calculation_Assumptions!$B$7,0),1)</f>
        <v>1</v>
      </c>
      <c r="O629" s="21">
        <f t="shared" si="72"/>
        <v>587039795.04372799</v>
      </c>
      <c r="P629" s="21">
        <f t="shared" si="73"/>
        <v>587035116.25746298</v>
      </c>
      <c r="Q629" s="21">
        <f>P629*Calculation_Assumptions!$B$14*J629*K629</f>
        <v>0</v>
      </c>
      <c r="R629" s="21">
        <f t="shared" si="74"/>
        <v>5151274.201508713</v>
      </c>
      <c r="S629" s="21">
        <f t="shared" si="75"/>
        <v>5151274.201508713</v>
      </c>
      <c r="T629" s="32">
        <f>1/(1+Calculation_Assumptions!$B$8)^(B629-Calculation_Assumptions!$B$2)</f>
        <v>0.91514165935315961</v>
      </c>
      <c r="U629" s="21">
        <f t="shared" si="76"/>
        <v>0</v>
      </c>
      <c r="V629" s="21">
        <f t="shared" si="77"/>
        <v>4714145.6205518059</v>
      </c>
      <c r="W629" s="21">
        <f t="shared" si="78"/>
        <v>4714145.6205518059</v>
      </c>
      <c r="X629">
        <v>0</v>
      </c>
      <c r="Y629" s="18">
        <v>2017</v>
      </c>
      <c r="Z629" t="s">
        <v>387</v>
      </c>
      <c r="AA629" s="21">
        <f t="shared" si="79"/>
        <v>1</v>
      </c>
    </row>
    <row r="630" spans="1:27">
      <c r="A630" t="s">
        <v>76</v>
      </c>
      <c r="B630" s="18">
        <v>2029</v>
      </c>
      <c r="C630" t="s">
        <v>224</v>
      </c>
      <c r="D630" s="20" t="s">
        <v>399</v>
      </c>
      <c r="E630" s="20" t="s">
        <v>400</v>
      </c>
      <c r="F630" s="20" t="s">
        <v>227</v>
      </c>
      <c r="G630" s="20" t="s">
        <v>393</v>
      </c>
      <c r="H630" s="20" t="s">
        <v>384</v>
      </c>
      <c r="I630" s="29">
        <v>1</v>
      </c>
      <c r="J630" s="30">
        <v>1</v>
      </c>
      <c r="K630" s="31">
        <v>8.7749999999999998E-3</v>
      </c>
      <c r="L630" s="9">
        <v>590766467.10548604</v>
      </c>
      <c r="M630" s="9">
        <v>590968059.72178304</v>
      </c>
      <c r="N630" s="32">
        <f>MIN(MAX((B630-Calculation_Assumptions!$B$5+1)/Calculation_Assumptions!$B$7,0),1)</f>
        <v>1</v>
      </c>
      <c r="O630" s="21">
        <f t="shared" si="72"/>
        <v>590766467.10548604</v>
      </c>
      <c r="P630" s="21">
        <f t="shared" si="73"/>
        <v>590968059.72178304</v>
      </c>
      <c r="Q630" s="21">
        <f>P630*Calculation_Assumptions!$B$14*J630*K630</f>
        <v>0</v>
      </c>
      <c r="R630" s="21">
        <f t="shared" si="74"/>
        <v>5183975.7488506399</v>
      </c>
      <c r="S630" s="21">
        <f t="shared" si="75"/>
        <v>5183975.7488506399</v>
      </c>
      <c r="T630" s="32">
        <f>1/(1+Calculation_Assumptions!$B$8)^(B630-Calculation_Assumptions!$B$2)</f>
        <v>0.888487047915689</v>
      </c>
      <c r="U630" s="21">
        <f t="shared" si="76"/>
        <v>0</v>
      </c>
      <c r="V630" s="21">
        <f t="shared" si="77"/>
        <v>4605895.3095628284</v>
      </c>
      <c r="W630" s="21">
        <f t="shared" si="78"/>
        <v>4605895.3095628284</v>
      </c>
      <c r="X630">
        <v>0</v>
      </c>
      <c r="Y630" s="18">
        <v>2017</v>
      </c>
      <c r="Z630" t="s">
        <v>387</v>
      </c>
      <c r="AA630" s="21">
        <f t="shared" si="79"/>
        <v>1</v>
      </c>
    </row>
    <row r="631" spans="1:27">
      <c r="A631" t="s">
        <v>76</v>
      </c>
      <c r="B631" s="18">
        <v>2030</v>
      </c>
      <c r="C631" t="s">
        <v>224</v>
      </c>
      <c r="D631" s="20" t="s">
        <v>399</v>
      </c>
      <c r="E631" s="20" t="s">
        <v>400</v>
      </c>
      <c r="F631" s="20" t="s">
        <v>227</v>
      </c>
      <c r="G631" s="20" t="s">
        <v>393</v>
      </c>
      <c r="H631" s="20" t="s">
        <v>384</v>
      </c>
      <c r="I631" s="29">
        <v>1</v>
      </c>
      <c r="J631" s="30">
        <v>1</v>
      </c>
      <c r="K631" s="31">
        <v>8.7749999999999998E-3</v>
      </c>
      <c r="L631" s="9">
        <v>594652967.05338001</v>
      </c>
      <c r="M631" s="9">
        <v>594808018.62654305</v>
      </c>
      <c r="N631" s="32">
        <f>MIN(MAX((B631-Calculation_Assumptions!$B$5+1)/Calculation_Assumptions!$B$7,0),1)</f>
        <v>1</v>
      </c>
      <c r="O631" s="21">
        <f t="shared" si="72"/>
        <v>594652967.05338001</v>
      </c>
      <c r="P631" s="21">
        <f t="shared" si="73"/>
        <v>594808018.62654305</v>
      </c>
      <c r="Q631" s="21">
        <f>P631*Calculation_Assumptions!$B$14*J631*K631</f>
        <v>0</v>
      </c>
      <c r="R631" s="21">
        <f t="shared" si="74"/>
        <v>5218079.7858934095</v>
      </c>
      <c r="S631" s="21">
        <f t="shared" si="75"/>
        <v>5218079.7858934095</v>
      </c>
      <c r="T631" s="32">
        <f>1/(1+Calculation_Assumptions!$B$8)^(B631-Calculation_Assumptions!$B$2)</f>
        <v>0.86260878438416411</v>
      </c>
      <c r="U631" s="21">
        <f t="shared" si="76"/>
        <v>0</v>
      </c>
      <c r="V631" s="21">
        <f t="shared" si="77"/>
        <v>4501161.460929093</v>
      </c>
      <c r="W631" s="21">
        <f t="shared" si="78"/>
        <v>4501161.460929093</v>
      </c>
      <c r="X631">
        <v>0</v>
      </c>
      <c r="Y631" s="18">
        <v>2017</v>
      </c>
      <c r="Z631" t="s">
        <v>387</v>
      </c>
      <c r="AA631" s="21">
        <f t="shared" si="79"/>
        <v>1</v>
      </c>
    </row>
    <row r="632" spans="1:27">
      <c r="A632" t="s">
        <v>76</v>
      </c>
      <c r="B632" s="18">
        <v>2031</v>
      </c>
      <c r="C632" t="s">
        <v>224</v>
      </c>
      <c r="D632" s="20" t="s">
        <v>399</v>
      </c>
      <c r="E632" s="20" t="s">
        <v>400</v>
      </c>
      <c r="F632" s="20" t="s">
        <v>227</v>
      </c>
      <c r="G632" s="20" t="s">
        <v>393</v>
      </c>
      <c r="H632" s="20" t="s">
        <v>384</v>
      </c>
      <c r="I632" s="29">
        <v>1</v>
      </c>
      <c r="J632" s="30">
        <v>1</v>
      </c>
      <c r="K632" s="31">
        <v>8.7749999999999998E-3</v>
      </c>
      <c r="L632" s="9">
        <v>598482853.08345401</v>
      </c>
      <c r="M632" s="9">
        <v>598581381.03442597</v>
      </c>
      <c r="N632" s="32">
        <f>MIN(MAX((B632-Calculation_Assumptions!$B$5+1)/Calculation_Assumptions!$B$7,0),1)</f>
        <v>1</v>
      </c>
      <c r="O632" s="21">
        <f t="shared" si="72"/>
        <v>598482853.08345401</v>
      </c>
      <c r="P632" s="21">
        <f t="shared" si="73"/>
        <v>598581381.03442597</v>
      </c>
      <c r="Q632" s="21">
        <f>P632*Calculation_Assumptions!$B$14*J632*K632</f>
        <v>0</v>
      </c>
      <c r="R632" s="21">
        <f t="shared" si="74"/>
        <v>5251687.0358073087</v>
      </c>
      <c r="S632" s="21">
        <f t="shared" si="75"/>
        <v>5251687.0358073087</v>
      </c>
      <c r="T632" s="32">
        <f>1/(1+Calculation_Assumptions!$B$8)^(B632-Calculation_Assumptions!$B$2)</f>
        <v>0.83748425668365445</v>
      </c>
      <c r="U632" s="21">
        <f t="shared" si="76"/>
        <v>0</v>
      </c>
      <c r="V632" s="21">
        <f t="shared" si="77"/>
        <v>4398205.2135182684</v>
      </c>
      <c r="W632" s="21">
        <f t="shared" si="78"/>
        <v>4398205.2135182684</v>
      </c>
      <c r="X632">
        <v>0</v>
      </c>
      <c r="Y632" s="18">
        <v>2017</v>
      </c>
      <c r="Z632" t="s">
        <v>387</v>
      </c>
      <c r="AA632" s="21">
        <f t="shared" si="79"/>
        <v>1</v>
      </c>
    </row>
    <row r="633" spans="1:27">
      <c r="A633" t="s">
        <v>76</v>
      </c>
      <c r="B633" s="18">
        <v>2032</v>
      </c>
      <c r="C633" t="s">
        <v>224</v>
      </c>
      <c r="D633" s="20" t="s">
        <v>399</v>
      </c>
      <c r="E633" s="20" t="s">
        <v>400</v>
      </c>
      <c r="F633" s="20" t="s">
        <v>227</v>
      </c>
      <c r="G633" s="20" t="s">
        <v>393</v>
      </c>
      <c r="H633" s="20" t="s">
        <v>384</v>
      </c>
      <c r="I633" s="29">
        <v>1</v>
      </c>
      <c r="J633" s="30">
        <v>1</v>
      </c>
      <c r="K633" s="31">
        <v>8.7749999999999998E-3</v>
      </c>
      <c r="L633" s="9">
        <v>602252425.332353</v>
      </c>
      <c r="M633" s="9">
        <v>602283583.58638096</v>
      </c>
      <c r="N633" s="32">
        <f>MIN(MAX((B633-Calculation_Assumptions!$B$5+1)/Calculation_Assumptions!$B$7,0),1)</f>
        <v>1</v>
      </c>
      <c r="O633" s="21">
        <f t="shared" si="72"/>
        <v>602252425.332353</v>
      </c>
      <c r="P633" s="21">
        <f t="shared" si="73"/>
        <v>602283583.58638096</v>
      </c>
      <c r="Q633" s="21">
        <f>P633*Calculation_Assumptions!$B$14*J633*K633</f>
        <v>0</v>
      </c>
      <c r="R633" s="21">
        <f t="shared" si="74"/>
        <v>5284765.0322913975</v>
      </c>
      <c r="S633" s="21">
        <f t="shared" si="75"/>
        <v>5284765.0322913975</v>
      </c>
      <c r="T633" s="32">
        <f>1/(1+Calculation_Assumptions!$B$8)^(B633-Calculation_Assumptions!$B$2)</f>
        <v>0.81309151134335378</v>
      </c>
      <c r="U633" s="21">
        <f t="shared" si="76"/>
        <v>0</v>
      </c>
      <c r="V633" s="21">
        <f t="shared" si="77"/>
        <v>4296997.5872003203</v>
      </c>
      <c r="W633" s="21">
        <f t="shared" si="78"/>
        <v>4296997.5872003203</v>
      </c>
      <c r="X633">
        <v>0</v>
      </c>
      <c r="Y633" s="18">
        <v>2017</v>
      </c>
      <c r="Z633" t="s">
        <v>387</v>
      </c>
      <c r="AA633" s="21">
        <f t="shared" si="79"/>
        <v>1</v>
      </c>
    </row>
    <row r="634" spans="1:27">
      <c r="A634" t="s">
        <v>76</v>
      </c>
      <c r="B634" s="18">
        <v>2033</v>
      </c>
      <c r="C634" t="s">
        <v>224</v>
      </c>
      <c r="D634" s="20" t="s">
        <v>399</v>
      </c>
      <c r="E634" s="20" t="s">
        <v>400</v>
      </c>
      <c r="F634" s="20" t="s">
        <v>227</v>
      </c>
      <c r="G634" s="20" t="s">
        <v>393</v>
      </c>
      <c r="H634" s="20" t="s">
        <v>384</v>
      </c>
      <c r="I634" s="29">
        <v>1</v>
      </c>
      <c r="J634" s="30">
        <v>1</v>
      </c>
      <c r="K634" s="31">
        <v>8.7749999999999998E-3</v>
      </c>
      <c r="L634" s="9">
        <v>605955528.04318595</v>
      </c>
      <c r="M634" s="9">
        <v>605911902.99473</v>
      </c>
      <c r="N634" s="32">
        <f>MIN(MAX((B634-Calculation_Assumptions!$B$5+1)/Calculation_Assumptions!$B$7,0),1)</f>
        <v>1</v>
      </c>
      <c r="O634" s="21">
        <f t="shared" si="72"/>
        <v>605955528.04318595</v>
      </c>
      <c r="P634" s="21">
        <f t="shared" si="73"/>
        <v>605911902.99473</v>
      </c>
      <c r="Q634" s="21">
        <f>P634*Calculation_Assumptions!$B$14*J634*K634</f>
        <v>0</v>
      </c>
      <c r="R634" s="21">
        <f t="shared" si="74"/>
        <v>5317259.7585789561</v>
      </c>
      <c r="S634" s="21">
        <f t="shared" si="75"/>
        <v>5317259.7585789561</v>
      </c>
      <c r="T634" s="32">
        <f>1/(1+Calculation_Assumptions!$B$8)^(B634-Calculation_Assumptions!$B$2)</f>
        <v>0.78940923431393573</v>
      </c>
      <c r="U634" s="21">
        <f t="shared" si="76"/>
        <v>0</v>
      </c>
      <c r="V634" s="21">
        <f t="shared" si="77"/>
        <v>4197493.9546681168</v>
      </c>
      <c r="W634" s="21">
        <f t="shared" si="78"/>
        <v>4197493.9546681168</v>
      </c>
      <c r="X634">
        <v>0</v>
      </c>
      <c r="Y634" s="18">
        <v>2017</v>
      </c>
      <c r="Z634" t="s">
        <v>387</v>
      </c>
      <c r="AA634" s="21">
        <f t="shared" si="79"/>
        <v>1</v>
      </c>
    </row>
    <row r="635" spans="1:27">
      <c r="A635" t="s">
        <v>76</v>
      </c>
      <c r="B635" s="18">
        <v>2034</v>
      </c>
      <c r="C635" t="s">
        <v>224</v>
      </c>
      <c r="D635" s="20" t="s">
        <v>399</v>
      </c>
      <c r="E635" s="20" t="s">
        <v>400</v>
      </c>
      <c r="F635" s="20" t="s">
        <v>227</v>
      </c>
      <c r="G635" s="20" t="s">
        <v>393</v>
      </c>
      <c r="H635" s="20" t="s">
        <v>384</v>
      </c>
      <c r="I635" s="29">
        <v>1</v>
      </c>
      <c r="J635" s="30">
        <v>1</v>
      </c>
      <c r="K635" s="31">
        <v>8.7749999999999998E-3</v>
      </c>
      <c r="L635" s="9">
        <v>609560284.09550095</v>
      </c>
      <c r="M635" s="9">
        <v>609455548.12077105</v>
      </c>
      <c r="N635" s="32">
        <f>MIN(MAX((B635-Calculation_Assumptions!$B$5+1)/Calculation_Assumptions!$B$7,0),1)</f>
        <v>1</v>
      </c>
      <c r="O635" s="21">
        <f t="shared" si="72"/>
        <v>609560284.09550095</v>
      </c>
      <c r="P635" s="21">
        <f t="shared" si="73"/>
        <v>609455548.12077105</v>
      </c>
      <c r="Q635" s="21">
        <f>P635*Calculation_Assumptions!$B$14*J635*K635</f>
        <v>0</v>
      </c>
      <c r="R635" s="21">
        <f t="shared" si="74"/>
        <v>5348891.4929380203</v>
      </c>
      <c r="S635" s="21">
        <f t="shared" si="75"/>
        <v>5348891.4929380203</v>
      </c>
      <c r="T635" s="32">
        <f>1/(1+Calculation_Assumptions!$B$8)^(B635-Calculation_Assumptions!$B$2)</f>
        <v>0.76641673234362695</v>
      </c>
      <c r="U635" s="21">
        <f t="shared" si="76"/>
        <v>0</v>
      </c>
      <c r="V635" s="21">
        <f t="shared" si="77"/>
        <v>4099479.9396781819</v>
      </c>
      <c r="W635" s="21">
        <f t="shared" si="78"/>
        <v>4099479.9396781819</v>
      </c>
      <c r="X635">
        <v>0</v>
      </c>
      <c r="Y635" s="18">
        <v>2017</v>
      </c>
      <c r="Z635" t="s">
        <v>387</v>
      </c>
      <c r="AA635" s="21">
        <f t="shared" si="79"/>
        <v>1</v>
      </c>
    </row>
    <row r="636" spans="1:27">
      <c r="A636" t="s">
        <v>76</v>
      </c>
      <c r="B636" s="18">
        <v>2035</v>
      </c>
      <c r="C636" t="s">
        <v>224</v>
      </c>
      <c r="D636" s="20" t="s">
        <v>399</v>
      </c>
      <c r="E636" s="20" t="s">
        <v>400</v>
      </c>
      <c r="F636" s="20" t="s">
        <v>227</v>
      </c>
      <c r="G636" s="20" t="s">
        <v>393</v>
      </c>
      <c r="H636" s="20" t="s">
        <v>384</v>
      </c>
      <c r="I636" s="29">
        <v>1</v>
      </c>
      <c r="J636" s="30">
        <v>1</v>
      </c>
      <c r="K636" s="31">
        <v>8.7749999999999998E-3</v>
      </c>
      <c r="L636" s="9">
        <v>613092698.26085901</v>
      </c>
      <c r="M636" s="9">
        <v>612884294.47334194</v>
      </c>
      <c r="N636" s="32">
        <f>MIN(MAX((B636-Calculation_Assumptions!$B$5+1)/Calculation_Assumptions!$B$7,0),1)</f>
        <v>1</v>
      </c>
      <c r="O636" s="21">
        <f t="shared" si="72"/>
        <v>613092698.26085901</v>
      </c>
      <c r="P636" s="21">
        <f t="shared" si="73"/>
        <v>612884294.47334194</v>
      </c>
      <c r="Q636" s="21">
        <f>P636*Calculation_Assumptions!$B$14*J636*K636</f>
        <v>0</v>
      </c>
      <c r="R636" s="21">
        <f t="shared" si="74"/>
        <v>5379888.4272390381</v>
      </c>
      <c r="S636" s="21">
        <f t="shared" si="75"/>
        <v>5379888.4272390381</v>
      </c>
      <c r="T636" s="32">
        <f>1/(1+Calculation_Assumptions!$B$8)^(B636-Calculation_Assumptions!$B$2)</f>
        <v>0.74409391489672516</v>
      </c>
      <c r="U636" s="21">
        <f t="shared" si="76"/>
        <v>0</v>
      </c>
      <c r="V636" s="21">
        <f t="shared" si="77"/>
        <v>4003142.2415318815</v>
      </c>
      <c r="W636" s="21">
        <f t="shared" si="78"/>
        <v>4003142.2415318815</v>
      </c>
      <c r="X636">
        <v>0</v>
      </c>
      <c r="Y636" s="18">
        <v>2017</v>
      </c>
      <c r="Z636" t="s">
        <v>387</v>
      </c>
      <c r="AA636" s="21">
        <f t="shared" si="79"/>
        <v>1</v>
      </c>
    </row>
    <row r="637" spans="1:27">
      <c r="A637" t="s">
        <v>76</v>
      </c>
      <c r="B637" s="18">
        <v>2036</v>
      </c>
      <c r="C637" t="s">
        <v>224</v>
      </c>
      <c r="D637" s="20" t="s">
        <v>399</v>
      </c>
      <c r="E637" s="20" t="s">
        <v>400</v>
      </c>
      <c r="F637" s="20" t="s">
        <v>227</v>
      </c>
      <c r="G637" s="20" t="s">
        <v>393</v>
      </c>
      <c r="H637" s="20" t="s">
        <v>384</v>
      </c>
      <c r="I637" s="29">
        <v>1</v>
      </c>
      <c r="J637" s="30">
        <v>1</v>
      </c>
      <c r="K637" s="31">
        <v>8.7749999999999998E-3</v>
      </c>
      <c r="L637" s="9">
        <v>616539654.35734701</v>
      </c>
      <c r="M637" s="9">
        <v>616262053.85817397</v>
      </c>
      <c r="N637" s="32">
        <f>MIN(MAX((B637-Calculation_Assumptions!$B$5+1)/Calculation_Assumptions!$B$7,0),1)</f>
        <v>1</v>
      </c>
      <c r="O637" s="21">
        <f t="shared" si="72"/>
        <v>616539654.35734701</v>
      </c>
      <c r="P637" s="21">
        <f t="shared" si="73"/>
        <v>616262053.85817397</v>
      </c>
      <c r="Q637" s="21">
        <f>P637*Calculation_Assumptions!$B$14*J637*K637</f>
        <v>0</v>
      </c>
      <c r="R637" s="21">
        <f t="shared" si="74"/>
        <v>5410135.4669857202</v>
      </c>
      <c r="S637" s="21">
        <f t="shared" si="75"/>
        <v>5410135.4669857202</v>
      </c>
      <c r="T637" s="32">
        <f>1/(1+Calculation_Assumptions!$B$8)^(B637-Calculation_Assumptions!$B$2)</f>
        <v>0.72242127659876232</v>
      </c>
      <c r="U637" s="21">
        <f t="shared" si="76"/>
        <v>0</v>
      </c>
      <c r="V637" s="21">
        <f t="shared" si="77"/>
        <v>3908396.9706320651</v>
      </c>
      <c r="W637" s="21">
        <f t="shared" si="78"/>
        <v>3908396.9706320651</v>
      </c>
      <c r="X637">
        <v>0</v>
      </c>
      <c r="Y637" s="18">
        <v>2017</v>
      </c>
      <c r="Z637" t="s">
        <v>387</v>
      </c>
      <c r="AA637" s="21">
        <f t="shared" si="79"/>
        <v>1</v>
      </c>
    </row>
    <row r="638" spans="1:27">
      <c r="A638" t="s">
        <v>76</v>
      </c>
      <c r="B638" s="18">
        <v>2037</v>
      </c>
      <c r="C638" t="s">
        <v>224</v>
      </c>
      <c r="D638" s="20" t="s">
        <v>399</v>
      </c>
      <c r="E638" s="20" t="s">
        <v>400</v>
      </c>
      <c r="F638" s="20" t="s">
        <v>227</v>
      </c>
      <c r="G638" s="20" t="s">
        <v>393</v>
      </c>
      <c r="H638" s="20" t="s">
        <v>384</v>
      </c>
      <c r="I638" s="29">
        <v>1</v>
      </c>
      <c r="J638" s="30">
        <v>1</v>
      </c>
      <c r="K638" s="31">
        <v>8.7749999999999998E-3</v>
      </c>
      <c r="L638" s="9">
        <v>619898345.122545</v>
      </c>
      <c r="M638" s="9">
        <v>619529380.90729904</v>
      </c>
      <c r="N638" s="32">
        <f>MIN(MAX((B638-Calculation_Assumptions!$B$5+1)/Calculation_Assumptions!$B$7,0),1)</f>
        <v>1</v>
      </c>
      <c r="O638" s="21">
        <f t="shared" si="72"/>
        <v>619898345.122545</v>
      </c>
      <c r="P638" s="21">
        <f t="shared" si="73"/>
        <v>619529380.90729904</v>
      </c>
      <c r="Q638" s="21">
        <f>P638*Calculation_Assumptions!$B$14*J638*K638</f>
        <v>0</v>
      </c>
      <c r="R638" s="21">
        <f t="shared" si="74"/>
        <v>5439607.9784503318</v>
      </c>
      <c r="S638" s="21">
        <f t="shared" si="75"/>
        <v>5439607.9784503318</v>
      </c>
      <c r="T638" s="32">
        <f>1/(1+Calculation_Assumptions!$B$8)^(B638-Calculation_Assumptions!$B$2)</f>
        <v>0.70137988019297326</v>
      </c>
      <c r="U638" s="21">
        <f t="shared" si="76"/>
        <v>0</v>
      </c>
      <c r="V638" s="21">
        <f t="shared" si="77"/>
        <v>3815231.5922222352</v>
      </c>
      <c r="W638" s="21">
        <f t="shared" si="78"/>
        <v>3815231.5922222352</v>
      </c>
      <c r="X638">
        <v>0</v>
      </c>
      <c r="Y638" s="18">
        <v>2017</v>
      </c>
      <c r="Z638" t="s">
        <v>387</v>
      </c>
      <c r="AA638" s="21">
        <f t="shared" si="79"/>
        <v>1</v>
      </c>
    </row>
    <row r="639" spans="1:27">
      <c r="A639" t="s">
        <v>76</v>
      </c>
      <c r="B639" s="18">
        <v>2038</v>
      </c>
      <c r="C639" t="s">
        <v>224</v>
      </c>
      <c r="D639" s="20" t="s">
        <v>399</v>
      </c>
      <c r="E639" s="20" t="s">
        <v>400</v>
      </c>
      <c r="F639" s="20" t="s">
        <v>227</v>
      </c>
      <c r="G639" s="20" t="s">
        <v>393</v>
      </c>
      <c r="H639" s="20" t="s">
        <v>384</v>
      </c>
      <c r="I639" s="29">
        <v>1</v>
      </c>
      <c r="J639" s="30">
        <v>1</v>
      </c>
      <c r="K639" s="31">
        <v>8.7749999999999998E-3</v>
      </c>
      <c r="L639" s="9">
        <v>623157085.01735401</v>
      </c>
      <c r="M639" s="9">
        <v>622673191.62836504</v>
      </c>
      <c r="N639" s="32">
        <f>MIN(MAX((B639-Calculation_Assumptions!$B$5+1)/Calculation_Assumptions!$B$7,0),1)</f>
        <v>1</v>
      </c>
      <c r="O639" s="21">
        <f t="shared" si="72"/>
        <v>623157085.01735401</v>
      </c>
      <c r="P639" s="21">
        <f t="shared" si="73"/>
        <v>622673191.62836504</v>
      </c>
      <c r="Q639" s="21">
        <f>P639*Calculation_Assumptions!$B$14*J639*K639</f>
        <v>0</v>
      </c>
      <c r="R639" s="21">
        <f t="shared" si="74"/>
        <v>5468203.4210272813</v>
      </c>
      <c r="S639" s="21">
        <f t="shared" si="75"/>
        <v>5468203.4210272813</v>
      </c>
      <c r="T639" s="32">
        <f>1/(1+Calculation_Assumptions!$B$8)^(B639-Calculation_Assumptions!$B$2)</f>
        <v>0.68095133999317792</v>
      </c>
      <c r="U639" s="21">
        <f t="shared" si="76"/>
        <v>0</v>
      </c>
      <c r="V639" s="21">
        <f t="shared" si="77"/>
        <v>3723580.4469038066</v>
      </c>
      <c r="W639" s="21">
        <f t="shared" si="78"/>
        <v>3723580.4469038066</v>
      </c>
      <c r="X639">
        <v>0</v>
      </c>
      <c r="Y639" s="18">
        <v>2017</v>
      </c>
      <c r="Z639" t="s">
        <v>387</v>
      </c>
      <c r="AA639" s="21">
        <f t="shared" si="79"/>
        <v>1</v>
      </c>
    </row>
    <row r="640" spans="1:27">
      <c r="A640" t="s">
        <v>76</v>
      </c>
      <c r="B640" s="18">
        <v>2039</v>
      </c>
      <c r="C640" t="s">
        <v>224</v>
      </c>
      <c r="D640" s="20" t="s">
        <v>399</v>
      </c>
      <c r="E640" s="20" t="s">
        <v>400</v>
      </c>
      <c r="F640" s="20" t="s">
        <v>227</v>
      </c>
      <c r="G640" s="20" t="s">
        <v>393</v>
      </c>
      <c r="H640" s="20" t="s">
        <v>384</v>
      </c>
      <c r="I640" s="29">
        <v>1</v>
      </c>
      <c r="J640" s="30">
        <v>1</v>
      </c>
      <c r="K640" s="31">
        <v>8.7749999999999998E-3</v>
      </c>
      <c r="L640" s="9">
        <v>626312438.007918</v>
      </c>
      <c r="M640" s="9">
        <v>625731758.218045</v>
      </c>
      <c r="N640" s="32">
        <f>MIN(MAX((B640-Calculation_Assumptions!$B$5+1)/Calculation_Assumptions!$B$7,0),1)</f>
        <v>1</v>
      </c>
      <c r="O640" s="21">
        <f t="shared" si="72"/>
        <v>626312438.007918</v>
      </c>
      <c r="P640" s="21">
        <f t="shared" si="73"/>
        <v>625731758.218045</v>
      </c>
      <c r="Q640" s="21">
        <f>P640*Calculation_Assumptions!$B$14*J640*K640</f>
        <v>0</v>
      </c>
      <c r="R640" s="21">
        <f t="shared" si="74"/>
        <v>5495891.6435194807</v>
      </c>
      <c r="S640" s="21">
        <f t="shared" si="75"/>
        <v>5495891.6435194807</v>
      </c>
      <c r="T640" s="32">
        <f>1/(1+Calculation_Assumptions!$B$8)^(B640-Calculation_Assumptions!$B$2)</f>
        <v>0.66111780581861923</v>
      </c>
      <c r="U640" s="21">
        <f t="shared" si="76"/>
        <v>0</v>
      </c>
      <c r="V640" s="21">
        <f t="shared" si="77"/>
        <v>3633431.8243804839</v>
      </c>
      <c r="W640" s="21">
        <f t="shared" si="78"/>
        <v>3633431.8243804839</v>
      </c>
      <c r="X640">
        <v>0</v>
      </c>
      <c r="Y640" s="18">
        <v>2017</v>
      </c>
      <c r="Z640" t="s">
        <v>387</v>
      </c>
      <c r="AA640" s="21">
        <f t="shared" si="79"/>
        <v>1</v>
      </c>
    </row>
    <row r="641" spans="1:27">
      <c r="A641" t="s">
        <v>76</v>
      </c>
      <c r="B641" s="18">
        <v>2040</v>
      </c>
      <c r="C641" t="s">
        <v>224</v>
      </c>
      <c r="D641" s="20" t="s">
        <v>399</v>
      </c>
      <c r="E641" s="20" t="s">
        <v>400</v>
      </c>
      <c r="F641" s="20" t="s">
        <v>227</v>
      </c>
      <c r="G641" s="20" t="s">
        <v>393</v>
      </c>
      <c r="H641" s="20" t="s">
        <v>384</v>
      </c>
      <c r="I641" s="29">
        <v>1</v>
      </c>
      <c r="J641" s="30">
        <v>1</v>
      </c>
      <c r="K641" s="31">
        <v>8.7749999999999998E-3</v>
      </c>
      <c r="L641" s="9">
        <v>629347032.33731306</v>
      </c>
      <c r="M641" s="9">
        <v>628667498.21665299</v>
      </c>
      <c r="N641" s="32">
        <f>MIN(MAX((B641-Calculation_Assumptions!$B$5+1)/Calculation_Assumptions!$B$7,0),1)</f>
        <v>1</v>
      </c>
      <c r="O641" s="21">
        <f t="shared" si="72"/>
        <v>629347032.33731306</v>
      </c>
      <c r="P641" s="21">
        <f t="shared" si="73"/>
        <v>628667498.21665299</v>
      </c>
      <c r="Q641" s="21">
        <f>P641*Calculation_Assumptions!$B$14*J641*K641</f>
        <v>0</v>
      </c>
      <c r="R641" s="21">
        <f t="shared" si="74"/>
        <v>5522520.2087599216</v>
      </c>
      <c r="S641" s="21">
        <f t="shared" si="75"/>
        <v>5522520.2087599216</v>
      </c>
      <c r="T641" s="32">
        <f>1/(1+Calculation_Assumptions!$B$8)^(B641-Calculation_Assumptions!$B$2)</f>
        <v>0.64186194739671765</v>
      </c>
      <c r="U641" s="21">
        <f t="shared" si="76"/>
        <v>0</v>
      </c>
      <c r="V641" s="21">
        <f t="shared" si="77"/>
        <v>3544695.5757323708</v>
      </c>
      <c r="W641" s="21">
        <f t="shared" si="78"/>
        <v>3544695.5757323708</v>
      </c>
      <c r="X641">
        <v>0</v>
      </c>
      <c r="Y641" s="18">
        <v>2017</v>
      </c>
      <c r="Z641" t="s">
        <v>387</v>
      </c>
      <c r="AA641" s="21">
        <f t="shared" si="79"/>
        <v>1</v>
      </c>
    </row>
    <row r="642" spans="1:27">
      <c r="A642" t="s">
        <v>76</v>
      </c>
      <c r="B642" s="18">
        <v>2041</v>
      </c>
      <c r="C642" t="s">
        <v>224</v>
      </c>
      <c r="D642" s="20" t="s">
        <v>399</v>
      </c>
      <c r="E642" s="20" t="s">
        <v>400</v>
      </c>
      <c r="F642" s="20" t="s">
        <v>227</v>
      </c>
      <c r="G642" s="20" t="s">
        <v>393</v>
      </c>
      <c r="H642" s="20" t="s">
        <v>384</v>
      </c>
      <c r="I642" s="29">
        <v>1</v>
      </c>
      <c r="J642" s="30">
        <v>1</v>
      </c>
      <c r="K642" s="31">
        <v>8.7749999999999998E-3</v>
      </c>
      <c r="L642" s="9">
        <v>632268493.39175498</v>
      </c>
      <c r="M642" s="9">
        <v>631488405.68781996</v>
      </c>
      <c r="N642" s="32">
        <f>MIN(MAX((B642-Calculation_Assumptions!$B$5+1)/Calculation_Assumptions!$B$7,0),1)</f>
        <v>1</v>
      </c>
      <c r="O642" s="21">
        <f t="shared" ref="O642:O705" si="80">L642*I642</f>
        <v>632268493.39175498</v>
      </c>
      <c r="P642" s="21">
        <f t="shared" ref="P642:P705" si="81">M642*I642</f>
        <v>631488405.68781996</v>
      </c>
      <c r="Q642" s="21">
        <f>P642*Calculation_Assumptions!$B$14*J642*K642</f>
        <v>0</v>
      </c>
      <c r="R642" s="21">
        <f t="shared" ref="R642:R705" si="82">O642*N642*J642*K642</f>
        <v>5548156.0295126503</v>
      </c>
      <c r="S642" s="21">
        <f t="shared" ref="S642:S705" si="83">R642-Q642</f>
        <v>5548156.0295126503</v>
      </c>
      <c r="T642" s="32">
        <f>1/(1+Calculation_Assumptions!$B$8)^(B642-Calculation_Assumptions!$B$2)</f>
        <v>0.62316693922011435</v>
      </c>
      <c r="U642" s="21">
        <f t="shared" ref="U642:U705" si="84">Q642*T642</f>
        <v>0</v>
      </c>
      <c r="V642" s="21">
        <f t="shared" ref="V642:V705" si="85">R642*T642</f>
        <v>3457427.4112270209</v>
      </c>
      <c r="W642" s="21">
        <f t="shared" ref="W642:W705" si="86">S642*T642</f>
        <v>3457427.4112270209</v>
      </c>
      <c r="X642">
        <v>0</v>
      </c>
      <c r="Y642" s="18">
        <v>2017</v>
      </c>
      <c r="Z642" t="s">
        <v>387</v>
      </c>
      <c r="AA642" s="21">
        <f t="shared" ref="AA642:AA705" si="87">IF(G642="shared-count-once",COUNTIFS($A$2:$A$807,A642,$B$2:$B$807,B642,$D$2:$D$807,D642),1)</f>
        <v>1</v>
      </c>
    </row>
    <row r="643" spans="1:27">
      <c r="A643" t="s">
        <v>76</v>
      </c>
      <c r="B643" s="18">
        <v>2042</v>
      </c>
      <c r="C643" t="s">
        <v>224</v>
      </c>
      <c r="D643" s="20" t="s">
        <v>399</v>
      </c>
      <c r="E643" s="20" t="s">
        <v>400</v>
      </c>
      <c r="F643" s="20" t="s">
        <v>227</v>
      </c>
      <c r="G643" s="20" t="s">
        <v>393</v>
      </c>
      <c r="H643" s="20" t="s">
        <v>384</v>
      </c>
      <c r="I643" s="29">
        <v>1</v>
      </c>
      <c r="J643" s="30">
        <v>1</v>
      </c>
      <c r="K643" s="31">
        <v>8.7749999999999998E-3</v>
      </c>
      <c r="L643" s="9">
        <v>635066634.14519799</v>
      </c>
      <c r="M643" s="9">
        <v>634184560.98858297</v>
      </c>
      <c r="N643" s="32">
        <f>MIN(MAX((B643-Calculation_Assumptions!$B$5+1)/Calculation_Assumptions!$B$7,0),1)</f>
        <v>1</v>
      </c>
      <c r="O643" s="21">
        <f t="shared" si="80"/>
        <v>635066634.14519799</v>
      </c>
      <c r="P643" s="21">
        <f t="shared" si="81"/>
        <v>634184560.98858297</v>
      </c>
      <c r="Q643" s="21">
        <f>P643*Calculation_Assumptions!$B$14*J643*K643</f>
        <v>0</v>
      </c>
      <c r="R643" s="21">
        <f t="shared" si="82"/>
        <v>5572709.7146241125</v>
      </c>
      <c r="S643" s="21">
        <f t="shared" si="83"/>
        <v>5572709.7146241125</v>
      </c>
      <c r="T643" s="32">
        <f>1/(1+Calculation_Assumptions!$B$8)^(B643-Calculation_Assumptions!$B$2)</f>
        <v>0.60501644584477121</v>
      </c>
      <c r="U643" s="21">
        <f t="shared" si="84"/>
        <v>0</v>
      </c>
      <c r="V643" s="21">
        <f t="shared" si="85"/>
        <v>3371581.02526651</v>
      </c>
      <c r="W643" s="21">
        <f t="shared" si="86"/>
        <v>3371581.02526651</v>
      </c>
      <c r="X643">
        <v>0</v>
      </c>
      <c r="Y643" s="18">
        <v>2017</v>
      </c>
      <c r="Z643" t="s">
        <v>387</v>
      </c>
      <c r="AA643" s="21">
        <f t="shared" si="87"/>
        <v>1</v>
      </c>
    </row>
    <row r="644" spans="1:27">
      <c r="A644" t="s">
        <v>76</v>
      </c>
      <c r="B644" s="18">
        <v>2043</v>
      </c>
      <c r="C644" t="s">
        <v>224</v>
      </c>
      <c r="D644" s="20" t="s">
        <v>399</v>
      </c>
      <c r="E644" s="20" t="s">
        <v>400</v>
      </c>
      <c r="F644" s="20" t="s">
        <v>227</v>
      </c>
      <c r="G644" s="20" t="s">
        <v>393</v>
      </c>
      <c r="H644" s="20" t="s">
        <v>384</v>
      </c>
      <c r="I644" s="29">
        <v>1</v>
      </c>
      <c r="J644" s="30">
        <v>1</v>
      </c>
      <c r="K644" s="31">
        <v>8.7749999999999998E-3</v>
      </c>
      <c r="L644" s="9">
        <v>637740511.15042996</v>
      </c>
      <c r="M644" s="9">
        <v>636767020.67603099</v>
      </c>
      <c r="N644" s="32">
        <f>MIN(MAX((B644-Calculation_Assumptions!$B$5+1)/Calculation_Assumptions!$B$7,0),1)</f>
        <v>1</v>
      </c>
      <c r="O644" s="21">
        <f t="shared" si="80"/>
        <v>637740511.15042996</v>
      </c>
      <c r="P644" s="21">
        <f t="shared" si="81"/>
        <v>636767020.67603099</v>
      </c>
      <c r="Q644" s="21">
        <f>P644*Calculation_Assumptions!$B$14*J644*K644</f>
        <v>0</v>
      </c>
      <c r="R644" s="21">
        <f t="shared" si="82"/>
        <v>5596172.9853450228</v>
      </c>
      <c r="S644" s="21">
        <f t="shared" si="83"/>
        <v>5596172.9853450228</v>
      </c>
      <c r="T644" s="32">
        <f>1/(1+Calculation_Assumptions!$B$8)^(B644-Calculation_Assumptions!$B$2)</f>
        <v>0.5873946076162827</v>
      </c>
      <c r="U644" s="21">
        <f t="shared" si="84"/>
        <v>0</v>
      </c>
      <c r="V644" s="21">
        <f t="shared" si="85"/>
        <v>3287161.8348795809</v>
      </c>
      <c r="W644" s="21">
        <f t="shared" si="86"/>
        <v>3287161.8348795809</v>
      </c>
      <c r="X644">
        <v>0</v>
      </c>
      <c r="Y644" s="18">
        <v>2017</v>
      </c>
      <c r="Z644" t="s">
        <v>387</v>
      </c>
      <c r="AA644" s="21">
        <f t="shared" si="87"/>
        <v>1</v>
      </c>
    </row>
    <row r="645" spans="1:27">
      <c r="A645" t="s">
        <v>76</v>
      </c>
      <c r="B645" s="18">
        <v>2044</v>
      </c>
      <c r="C645" t="s">
        <v>224</v>
      </c>
      <c r="D645" s="20" t="s">
        <v>399</v>
      </c>
      <c r="E645" s="20" t="s">
        <v>400</v>
      </c>
      <c r="F645" s="20" t="s">
        <v>227</v>
      </c>
      <c r="G645" s="20" t="s">
        <v>393</v>
      </c>
      <c r="H645" s="20" t="s">
        <v>384</v>
      </c>
      <c r="I645" s="29">
        <v>1</v>
      </c>
      <c r="J645" s="30">
        <v>1</v>
      </c>
      <c r="K645" s="31">
        <v>8.7749999999999998E-3</v>
      </c>
      <c r="L645" s="9">
        <v>640285329.92099202</v>
      </c>
      <c r="M645" s="9">
        <v>639211548.58069301</v>
      </c>
      <c r="N645" s="32">
        <f>MIN(MAX((B645-Calculation_Assumptions!$B$5+1)/Calculation_Assumptions!$B$7,0),1)</f>
        <v>1</v>
      </c>
      <c r="O645" s="21">
        <f t="shared" si="80"/>
        <v>640285329.92099202</v>
      </c>
      <c r="P645" s="21">
        <f t="shared" si="81"/>
        <v>639211548.58069301</v>
      </c>
      <c r="Q645" s="21">
        <f>P645*Calculation_Assumptions!$B$14*J645*K645</f>
        <v>0</v>
      </c>
      <c r="R645" s="21">
        <f t="shared" si="82"/>
        <v>5618503.770056705</v>
      </c>
      <c r="S645" s="21">
        <f t="shared" si="83"/>
        <v>5618503.770056705</v>
      </c>
      <c r="T645" s="32">
        <f>1/(1+Calculation_Assumptions!$B$8)^(B645-Calculation_Assumptions!$B$2)</f>
        <v>0.57028602681192497</v>
      </c>
      <c r="U645" s="21">
        <f t="shared" si="84"/>
        <v>0</v>
      </c>
      <c r="V645" s="21">
        <f t="shared" si="85"/>
        <v>3204154.1916534598</v>
      </c>
      <c r="W645" s="21">
        <f t="shared" si="86"/>
        <v>3204154.1916534598</v>
      </c>
      <c r="X645">
        <v>0</v>
      </c>
      <c r="Y645" s="18">
        <v>2017</v>
      </c>
      <c r="Z645" t="s">
        <v>387</v>
      </c>
      <c r="AA645" s="21">
        <f t="shared" si="87"/>
        <v>1</v>
      </c>
    </row>
    <row r="646" spans="1:27">
      <c r="A646" t="s">
        <v>76</v>
      </c>
      <c r="B646" s="18">
        <v>2045</v>
      </c>
      <c r="C646" t="s">
        <v>224</v>
      </c>
      <c r="D646" s="20" t="s">
        <v>399</v>
      </c>
      <c r="E646" s="20" t="s">
        <v>400</v>
      </c>
      <c r="F646" s="20" t="s">
        <v>227</v>
      </c>
      <c r="G646" s="20" t="s">
        <v>393</v>
      </c>
      <c r="H646" s="20" t="s">
        <v>384</v>
      </c>
      <c r="I646" s="29">
        <v>1</v>
      </c>
      <c r="J646" s="30">
        <v>1</v>
      </c>
      <c r="K646" s="31">
        <v>8.7749999999999998E-3</v>
      </c>
      <c r="L646" s="9">
        <v>642695843.59439898</v>
      </c>
      <c r="M646" s="9">
        <v>641520754.67294204</v>
      </c>
      <c r="N646" s="32">
        <f>MIN(MAX((B646-Calculation_Assumptions!$B$5+1)/Calculation_Assumptions!$B$7,0),1)</f>
        <v>1</v>
      </c>
      <c r="O646" s="21">
        <f t="shared" si="80"/>
        <v>642695843.59439898</v>
      </c>
      <c r="P646" s="21">
        <f t="shared" si="81"/>
        <v>641520754.67294204</v>
      </c>
      <c r="Q646" s="21">
        <f>P646*Calculation_Assumptions!$B$14*J646*K646</f>
        <v>0</v>
      </c>
      <c r="R646" s="21">
        <f t="shared" si="82"/>
        <v>5639656.0275408505</v>
      </c>
      <c r="S646" s="21">
        <f t="shared" si="83"/>
        <v>5639656.0275408505</v>
      </c>
      <c r="T646" s="32">
        <f>1/(1+Calculation_Assumptions!$B$8)^(B646-Calculation_Assumptions!$B$2)</f>
        <v>0.55367575418633497</v>
      </c>
      <c r="U646" s="21">
        <f t="shared" si="84"/>
        <v>0</v>
      </c>
      <c r="V646" s="21">
        <f t="shared" si="85"/>
        <v>3122540.8044001902</v>
      </c>
      <c r="W646" s="21">
        <f t="shared" si="86"/>
        <v>3122540.8044001902</v>
      </c>
      <c r="X646">
        <v>0</v>
      </c>
      <c r="Y646" s="18">
        <v>2017</v>
      </c>
      <c r="Z646" t="s">
        <v>387</v>
      </c>
      <c r="AA646" s="21">
        <f t="shared" si="87"/>
        <v>1</v>
      </c>
    </row>
    <row r="647" spans="1:27">
      <c r="A647" t="s">
        <v>76</v>
      </c>
      <c r="B647" s="18">
        <v>2046</v>
      </c>
      <c r="C647" t="s">
        <v>224</v>
      </c>
      <c r="D647" s="20" t="s">
        <v>399</v>
      </c>
      <c r="E647" s="20" t="s">
        <v>400</v>
      </c>
      <c r="F647" s="20" t="s">
        <v>227</v>
      </c>
      <c r="G647" s="20" t="s">
        <v>393</v>
      </c>
      <c r="H647" s="20" t="s">
        <v>384</v>
      </c>
      <c r="I647" s="29">
        <v>1</v>
      </c>
      <c r="J647" s="30">
        <v>1</v>
      </c>
      <c r="K647" s="31">
        <v>8.7749999999999998E-3</v>
      </c>
      <c r="L647" s="9">
        <v>644974193.08303404</v>
      </c>
      <c r="M647" s="9">
        <v>643697330.762573</v>
      </c>
      <c r="N647" s="32">
        <f>MIN(MAX((B647-Calculation_Assumptions!$B$5+1)/Calculation_Assumptions!$B$7,0),1)</f>
        <v>1</v>
      </c>
      <c r="O647" s="21">
        <f t="shared" si="80"/>
        <v>644974193.08303404</v>
      </c>
      <c r="P647" s="21">
        <f t="shared" si="81"/>
        <v>643697330.762573</v>
      </c>
      <c r="Q647" s="21">
        <f>P647*Calculation_Assumptions!$B$14*J647*K647</f>
        <v>0</v>
      </c>
      <c r="R647" s="21">
        <f t="shared" si="82"/>
        <v>5659648.544303624</v>
      </c>
      <c r="S647" s="21">
        <f t="shared" si="83"/>
        <v>5659648.544303624</v>
      </c>
      <c r="T647" s="32">
        <f>1/(1+Calculation_Assumptions!$B$8)^(B647-Calculation_Assumptions!$B$2)</f>
        <v>0.5375492759090631</v>
      </c>
      <c r="U647" s="21">
        <f t="shared" si="84"/>
        <v>0</v>
      </c>
      <c r="V647" s="21">
        <f t="shared" si="85"/>
        <v>3042339.9768901961</v>
      </c>
      <c r="W647" s="21">
        <f t="shared" si="86"/>
        <v>3042339.9768901961</v>
      </c>
      <c r="X647">
        <v>0</v>
      </c>
      <c r="Y647" s="18">
        <v>2017</v>
      </c>
      <c r="Z647" t="s">
        <v>387</v>
      </c>
      <c r="AA647" s="21">
        <f t="shared" si="87"/>
        <v>1</v>
      </c>
    </row>
    <row r="648" spans="1:27">
      <c r="A648" t="s">
        <v>76</v>
      </c>
      <c r="B648" s="18">
        <v>2047</v>
      </c>
      <c r="C648" t="s">
        <v>224</v>
      </c>
      <c r="D648" s="20" t="s">
        <v>399</v>
      </c>
      <c r="E648" s="20" t="s">
        <v>400</v>
      </c>
      <c r="F648" s="20" t="s">
        <v>227</v>
      </c>
      <c r="G648" s="20" t="s">
        <v>393</v>
      </c>
      <c r="H648" s="20" t="s">
        <v>384</v>
      </c>
      <c r="I648" s="29">
        <v>1</v>
      </c>
      <c r="J648" s="30">
        <v>1</v>
      </c>
      <c r="K648" s="31">
        <v>8.7749999999999998E-3</v>
      </c>
      <c r="L648" s="9">
        <v>647124942.32164299</v>
      </c>
      <c r="M648" s="9">
        <v>645745914.53009498</v>
      </c>
      <c r="N648" s="32">
        <f>MIN(MAX((B648-Calculation_Assumptions!$B$5+1)/Calculation_Assumptions!$B$7,0),1)</f>
        <v>1</v>
      </c>
      <c r="O648" s="21">
        <f t="shared" si="80"/>
        <v>647124942.32164299</v>
      </c>
      <c r="P648" s="21">
        <f t="shared" si="81"/>
        <v>645745914.53009498</v>
      </c>
      <c r="Q648" s="21">
        <f>P648*Calculation_Assumptions!$B$14*J648*K648</f>
        <v>0</v>
      </c>
      <c r="R648" s="21">
        <f t="shared" si="82"/>
        <v>5678521.3688724171</v>
      </c>
      <c r="S648" s="21">
        <f t="shared" si="83"/>
        <v>5678521.3688724171</v>
      </c>
      <c r="T648" s="32">
        <f>1/(1+Calculation_Assumptions!$B$8)^(B648-Calculation_Assumptions!$B$2)</f>
        <v>0.52189250088258554</v>
      </c>
      <c r="U648" s="21">
        <f t="shared" si="84"/>
        <v>0</v>
      </c>
      <c r="V648" s="21">
        <f t="shared" si="85"/>
        <v>2963577.718516029</v>
      </c>
      <c r="W648" s="21">
        <f t="shared" si="86"/>
        <v>2963577.718516029</v>
      </c>
      <c r="X648">
        <v>0</v>
      </c>
      <c r="Y648" s="18">
        <v>2017</v>
      </c>
      <c r="Z648" t="s">
        <v>387</v>
      </c>
      <c r="AA648" s="21">
        <f t="shared" si="87"/>
        <v>1</v>
      </c>
    </row>
    <row r="649" spans="1:27">
      <c r="A649" t="s">
        <v>76</v>
      </c>
      <c r="B649" s="18">
        <v>2048</v>
      </c>
      <c r="C649" t="s">
        <v>224</v>
      </c>
      <c r="D649" s="20" t="s">
        <v>399</v>
      </c>
      <c r="E649" s="20" t="s">
        <v>400</v>
      </c>
      <c r="F649" s="20" t="s">
        <v>227</v>
      </c>
      <c r="G649" s="20" t="s">
        <v>393</v>
      </c>
      <c r="H649" s="20" t="s">
        <v>384</v>
      </c>
      <c r="I649" s="29">
        <v>1</v>
      </c>
      <c r="J649" s="30">
        <v>1</v>
      </c>
      <c r="K649" s="31">
        <v>8.7749999999999998E-3</v>
      </c>
      <c r="L649" s="9">
        <v>649147853.41567302</v>
      </c>
      <c r="M649" s="9">
        <v>647666796.64810395</v>
      </c>
      <c r="N649" s="32">
        <f>MIN(MAX((B649-Calculation_Assumptions!$B$5+1)/Calculation_Assumptions!$B$7,0),1)</f>
        <v>1</v>
      </c>
      <c r="O649" s="21">
        <f t="shared" si="80"/>
        <v>649147853.41567302</v>
      </c>
      <c r="P649" s="21">
        <f t="shared" si="81"/>
        <v>647666796.64810395</v>
      </c>
      <c r="Q649" s="21">
        <f>P649*Calculation_Assumptions!$B$14*J649*K649</f>
        <v>0</v>
      </c>
      <c r="R649" s="21">
        <f t="shared" si="82"/>
        <v>5696272.4137225309</v>
      </c>
      <c r="S649" s="21">
        <f t="shared" si="83"/>
        <v>5696272.4137225309</v>
      </c>
      <c r="T649" s="32">
        <f>1/(1+Calculation_Assumptions!$B$8)^(B649-Calculation_Assumptions!$B$2)</f>
        <v>0.50669174842969467</v>
      </c>
      <c r="U649" s="21">
        <f t="shared" si="84"/>
        <v>0</v>
      </c>
      <c r="V649" s="21">
        <f t="shared" si="85"/>
        <v>2886254.2288409062</v>
      </c>
      <c r="W649" s="21">
        <f t="shared" si="86"/>
        <v>2886254.2288409062</v>
      </c>
      <c r="X649">
        <v>0</v>
      </c>
      <c r="Y649" s="18">
        <v>2017</v>
      </c>
      <c r="Z649" t="s">
        <v>387</v>
      </c>
      <c r="AA649" s="21">
        <f t="shared" si="87"/>
        <v>1</v>
      </c>
    </row>
    <row r="650" spans="1:27">
      <c r="A650" t="s">
        <v>76</v>
      </c>
      <c r="B650" s="18">
        <v>2049</v>
      </c>
      <c r="C650" t="s">
        <v>224</v>
      </c>
      <c r="D650" s="20" t="s">
        <v>399</v>
      </c>
      <c r="E650" s="20" t="s">
        <v>400</v>
      </c>
      <c r="F650" s="20" t="s">
        <v>227</v>
      </c>
      <c r="G650" s="20" t="s">
        <v>393</v>
      </c>
      <c r="H650" s="20" t="s">
        <v>384</v>
      </c>
      <c r="I650" s="29">
        <v>1</v>
      </c>
      <c r="J650" s="30">
        <v>1</v>
      </c>
      <c r="K650" s="31">
        <v>8.7749999999999998E-3</v>
      </c>
      <c r="L650" s="9">
        <v>651040967.5934</v>
      </c>
      <c r="M650" s="9">
        <v>649421968.02473402</v>
      </c>
      <c r="N650" s="32">
        <f>MIN(MAX((B650-Calculation_Assumptions!$B$5+1)/Calculation_Assumptions!$B$7,0),1)</f>
        <v>1</v>
      </c>
      <c r="O650" s="21">
        <f t="shared" si="80"/>
        <v>651040967.5934</v>
      </c>
      <c r="P650" s="21">
        <f t="shared" si="81"/>
        <v>649421968.02473402</v>
      </c>
      <c r="Q650" s="21">
        <f>P650*Calculation_Assumptions!$B$14*J650*K650</f>
        <v>0</v>
      </c>
      <c r="R650" s="21">
        <f t="shared" si="82"/>
        <v>5712884.4906320851</v>
      </c>
      <c r="S650" s="21">
        <f t="shared" si="83"/>
        <v>5712884.4906320851</v>
      </c>
      <c r="T650" s="32">
        <f>1/(1+Calculation_Assumptions!$B$8)^(B650-Calculation_Assumptions!$B$2)</f>
        <v>0.49193373633950943</v>
      </c>
      <c r="U650" s="21">
        <f t="shared" si="84"/>
        <v>0</v>
      </c>
      <c r="V650" s="21">
        <f t="shared" si="85"/>
        <v>2810360.6127526769</v>
      </c>
      <c r="W650" s="21">
        <f t="shared" si="86"/>
        <v>2810360.6127526769</v>
      </c>
      <c r="X650">
        <v>0</v>
      </c>
      <c r="Y650" s="18">
        <v>2017</v>
      </c>
      <c r="Z650" t="s">
        <v>387</v>
      </c>
      <c r="AA650" s="21">
        <f t="shared" si="87"/>
        <v>1</v>
      </c>
    </row>
    <row r="651" spans="1:27">
      <c r="A651" t="s">
        <v>76</v>
      </c>
      <c r="B651" s="18">
        <v>2050</v>
      </c>
      <c r="C651" t="s">
        <v>224</v>
      </c>
      <c r="D651" s="20" t="s">
        <v>399</v>
      </c>
      <c r="E651" s="20" t="s">
        <v>400</v>
      </c>
      <c r="F651" s="20" t="s">
        <v>227</v>
      </c>
      <c r="G651" s="20" t="s">
        <v>393</v>
      </c>
      <c r="H651" s="20" t="s">
        <v>384</v>
      </c>
      <c r="I651" s="29">
        <v>1</v>
      </c>
      <c r="J651" s="30">
        <v>1</v>
      </c>
      <c r="K651" s="31">
        <v>8.7749999999999998E-3</v>
      </c>
      <c r="L651" s="9">
        <v>652799148.10289598</v>
      </c>
      <c r="M651" s="9">
        <v>651074457.25957894</v>
      </c>
      <c r="N651" s="32">
        <f>MIN(MAX((B651-Calculation_Assumptions!$B$5+1)/Calculation_Assumptions!$B$7,0),1)</f>
        <v>1</v>
      </c>
      <c r="O651" s="21">
        <f t="shared" si="80"/>
        <v>652799148.10289598</v>
      </c>
      <c r="P651" s="21">
        <f t="shared" si="81"/>
        <v>651074457.25957894</v>
      </c>
      <c r="Q651" s="21">
        <f>P651*Calculation_Assumptions!$B$14*J651*K651</f>
        <v>0</v>
      </c>
      <c r="R651" s="21">
        <f t="shared" si="82"/>
        <v>5728312.5246029124</v>
      </c>
      <c r="S651" s="21">
        <f t="shared" si="83"/>
        <v>5728312.5246029124</v>
      </c>
      <c r="T651" s="32">
        <f>1/(1+Calculation_Assumptions!$B$8)^(B651-Calculation_Assumptions!$B$2)</f>
        <v>0.47760556926165965</v>
      </c>
      <c r="U651" s="21">
        <f t="shared" si="84"/>
        <v>0</v>
      </c>
      <c r="V651" s="21">
        <f t="shared" si="85"/>
        <v>2735873.9642216689</v>
      </c>
      <c r="W651" s="21">
        <f t="shared" si="86"/>
        <v>2735873.9642216689</v>
      </c>
      <c r="X651">
        <v>0</v>
      </c>
      <c r="Y651" s="18">
        <v>2017</v>
      </c>
      <c r="Z651" t="s">
        <v>387</v>
      </c>
      <c r="AA651" s="21">
        <f t="shared" si="87"/>
        <v>1</v>
      </c>
    </row>
    <row r="652" spans="1:27">
      <c r="A652" t="s">
        <v>76</v>
      </c>
      <c r="B652" s="18">
        <v>2025</v>
      </c>
      <c r="C652" t="s">
        <v>231</v>
      </c>
      <c r="D652" s="20" t="s">
        <v>401</v>
      </c>
      <c r="E652" s="20" t="s">
        <v>402</v>
      </c>
      <c r="F652" s="20" t="s">
        <v>237</v>
      </c>
      <c r="G652" s="20" t="s">
        <v>382</v>
      </c>
      <c r="H652" s="20" t="s">
        <v>384</v>
      </c>
      <c r="I652" s="29">
        <v>1</v>
      </c>
      <c r="J652" s="30">
        <v>1</v>
      </c>
      <c r="K652" s="31">
        <v>4.0000000000000001E-3</v>
      </c>
      <c r="L652" s="9">
        <v>575134853.59312999</v>
      </c>
      <c r="M652" s="9">
        <v>575134853.59312999</v>
      </c>
      <c r="N652" s="32">
        <f>MIN(MAX((B652-Calculation_Assumptions!$B$5+1)/Calculation_Assumptions!$B$7,0),1)</f>
        <v>0</v>
      </c>
      <c r="O652" s="21">
        <f t="shared" si="80"/>
        <v>575134853.59312999</v>
      </c>
      <c r="P652" s="21">
        <f t="shared" si="81"/>
        <v>575134853.59312999</v>
      </c>
      <c r="Q652" s="21">
        <f>P652*Calculation_Assumptions!$B$14*J652*K652</f>
        <v>0</v>
      </c>
      <c r="R652" s="21">
        <f t="shared" si="82"/>
        <v>0</v>
      </c>
      <c r="S652" s="21">
        <f t="shared" si="83"/>
        <v>0</v>
      </c>
      <c r="T652" s="32">
        <f>1/(1+Calculation_Assumptions!$B$8)^(B652-Calculation_Assumptions!$B$2)</f>
        <v>1</v>
      </c>
      <c r="U652" s="21">
        <f t="shared" si="84"/>
        <v>0</v>
      </c>
      <c r="V652" s="21">
        <f t="shared" si="85"/>
        <v>0</v>
      </c>
      <c r="W652" s="21">
        <f t="shared" si="86"/>
        <v>0</v>
      </c>
      <c r="X652">
        <v>0</v>
      </c>
      <c r="Y652" s="18">
        <v>2017</v>
      </c>
      <c r="Z652" t="s">
        <v>387</v>
      </c>
      <c r="AA652" s="21">
        <f t="shared" si="87"/>
        <v>1</v>
      </c>
    </row>
    <row r="653" spans="1:27">
      <c r="A653" t="s">
        <v>76</v>
      </c>
      <c r="B653" s="18">
        <v>2026</v>
      </c>
      <c r="C653" t="s">
        <v>231</v>
      </c>
      <c r="D653" s="20" t="s">
        <v>401</v>
      </c>
      <c r="E653" s="20" t="s">
        <v>402</v>
      </c>
      <c r="F653" s="20" t="s">
        <v>237</v>
      </c>
      <c r="G653" s="20" t="s">
        <v>382</v>
      </c>
      <c r="H653" s="20" t="s">
        <v>384</v>
      </c>
      <c r="I653" s="29">
        <v>1</v>
      </c>
      <c r="J653" s="30">
        <v>1</v>
      </c>
      <c r="K653" s="31">
        <v>4.0000000000000001E-3</v>
      </c>
      <c r="L653" s="9">
        <v>579268647.32329595</v>
      </c>
      <c r="M653" s="9">
        <v>579268647.32329595</v>
      </c>
      <c r="N653" s="32">
        <f>MIN(MAX((B653-Calculation_Assumptions!$B$5+1)/Calculation_Assumptions!$B$7,0),1)</f>
        <v>0.33333333333333331</v>
      </c>
      <c r="O653" s="21">
        <f t="shared" si="80"/>
        <v>579268647.32329595</v>
      </c>
      <c r="P653" s="21">
        <f t="shared" si="81"/>
        <v>579268647.32329595</v>
      </c>
      <c r="Q653" s="21">
        <f>P653*Calculation_Assumptions!$B$14*J653*K653</f>
        <v>0</v>
      </c>
      <c r="R653" s="21">
        <f t="shared" si="82"/>
        <v>772358.19643106125</v>
      </c>
      <c r="S653" s="21">
        <f t="shared" si="83"/>
        <v>772358.19643106125</v>
      </c>
      <c r="T653" s="32">
        <f>1/(1+Calculation_Assumptions!$B$8)^(B653-Calculation_Assumptions!$B$2)</f>
        <v>0.970873786407767</v>
      </c>
      <c r="U653" s="21">
        <f t="shared" si="84"/>
        <v>0</v>
      </c>
      <c r="V653" s="21">
        <f t="shared" si="85"/>
        <v>749862.32663209829</v>
      </c>
      <c r="W653" s="21">
        <f t="shared" si="86"/>
        <v>749862.32663209829</v>
      </c>
      <c r="X653">
        <v>0</v>
      </c>
      <c r="Y653" s="18">
        <v>2017</v>
      </c>
      <c r="Z653" t="s">
        <v>387</v>
      </c>
      <c r="AA653" s="21">
        <f t="shared" si="87"/>
        <v>1</v>
      </c>
    </row>
    <row r="654" spans="1:27">
      <c r="A654" t="s">
        <v>76</v>
      </c>
      <c r="B654" s="18">
        <v>2027</v>
      </c>
      <c r="C654" t="s">
        <v>231</v>
      </c>
      <c r="D654" s="20" t="s">
        <v>401</v>
      </c>
      <c r="E654" s="20" t="s">
        <v>402</v>
      </c>
      <c r="F654" s="20" t="s">
        <v>237</v>
      </c>
      <c r="G654" s="20" t="s">
        <v>382</v>
      </c>
      <c r="H654" s="20" t="s">
        <v>384</v>
      </c>
      <c r="I654" s="29">
        <v>1</v>
      </c>
      <c r="J654" s="30">
        <v>1</v>
      </c>
      <c r="K654" s="31">
        <v>4.0000000000000001E-3</v>
      </c>
      <c r="L654" s="9">
        <v>583039014.28645599</v>
      </c>
      <c r="M654" s="9">
        <v>583039014.28645599</v>
      </c>
      <c r="N654" s="32">
        <f>MIN(MAX((B654-Calculation_Assumptions!$B$5+1)/Calculation_Assumptions!$B$7,0),1)</f>
        <v>0.66666666666666663</v>
      </c>
      <c r="O654" s="21">
        <f t="shared" si="80"/>
        <v>583039014.28645599</v>
      </c>
      <c r="P654" s="21">
        <f t="shared" si="81"/>
        <v>583039014.28645599</v>
      </c>
      <c r="Q654" s="21">
        <f>P654*Calculation_Assumptions!$B$14*J654*K654</f>
        <v>0</v>
      </c>
      <c r="R654" s="21">
        <f t="shared" si="82"/>
        <v>1554770.7047638826</v>
      </c>
      <c r="S654" s="21">
        <f t="shared" si="83"/>
        <v>1554770.7047638826</v>
      </c>
      <c r="T654" s="32">
        <f>1/(1+Calculation_Assumptions!$B$8)^(B654-Calculation_Assumptions!$B$2)</f>
        <v>0.94259590913375435</v>
      </c>
      <c r="U654" s="21">
        <f t="shared" si="84"/>
        <v>0</v>
      </c>
      <c r="V654" s="21">
        <f t="shared" si="85"/>
        <v>1465520.50595144</v>
      </c>
      <c r="W654" s="21">
        <f t="shared" si="86"/>
        <v>1465520.50595144</v>
      </c>
      <c r="X654">
        <v>0</v>
      </c>
      <c r="Y654" s="18">
        <v>2017</v>
      </c>
      <c r="Z654" t="s">
        <v>387</v>
      </c>
      <c r="AA654" s="21">
        <f t="shared" si="87"/>
        <v>1</v>
      </c>
    </row>
    <row r="655" spans="1:27">
      <c r="A655" t="s">
        <v>76</v>
      </c>
      <c r="B655" s="18">
        <v>2028</v>
      </c>
      <c r="C655" t="s">
        <v>231</v>
      </c>
      <c r="D655" s="20" t="s">
        <v>401</v>
      </c>
      <c r="E655" s="20" t="s">
        <v>402</v>
      </c>
      <c r="F655" s="20" t="s">
        <v>237</v>
      </c>
      <c r="G655" s="20" t="s">
        <v>382</v>
      </c>
      <c r="H655" s="20" t="s">
        <v>384</v>
      </c>
      <c r="I655" s="29">
        <v>1</v>
      </c>
      <c r="J655" s="30">
        <v>1</v>
      </c>
      <c r="K655" s="31">
        <v>4.0000000000000001E-3</v>
      </c>
      <c r="L655" s="9">
        <v>587039795.04372799</v>
      </c>
      <c r="M655" s="9">
        <v>587035116.25746298</v>
      </c>
      <c r="N655" s="32">
        <f>MIN(MAX((B655-Calculation_Assumptions!$B$5+1)/Calculation_Assumptions!$B$7,0),1)</f>
        <v>1</v>
      </c>
      <c r="O655" s="21">
        <f t="shared" si="80"/>
        <v>587039795.04372799</v>
      </c>
      <c r="P655" s="21">
        <f t="shared" si="81"/>
        <v>587035116.25746298</v>
      </c>
      <c r="Q655" s="21">
        <f>P655*Calculation_Assumptions!$B$14*J655*K655</f>
        <v>0</v>
      </c>
      <c r="R655" s="21">
        <f t="shared" si="82"/>
        <v>2348159.1801749119</v>
      </c>
      <c r="S655" s="21">
        <f t="shared" si="83"/>
        <v>2348159.1801749119</v>
      </c>
      <c r="T655" s="32">
        <f>1/(1+Calculation_Assumptions!$B$8)^(B655-Calculation_Assumptions!$B$2)</f>
        <v>0.91514165935315961</v>
      </c>
      <c r="U655" s="21">
        <f t="shared" si="84"/>
        <v>0</v>
      </c>
      <c r="V655" s="21">
        <f t="shared" si="85"/>
        <v>2148898.2885706238</v>
      </c>
      <c r="W655" s="21">
        <f t="shared" si="86"/>
        <v>2148898.2885706238</v>
      </c>
      <c r="X655">
        <v>0</v>
      </c>
      <c r="Y655" s="18">
        <v>2017</v>
      </c>
      <c r="Z655" t="s">
        <v>387</v>
      </c>
      <c r="AA655" s="21">
        <f t="shared" si="87"/>
        <v>1</v>
      </c>
    </row>
    <row r="656" spans="1:27">
      <c r="A656" t="s">
        <v>76</v>
      </c>
      <c r="B656" s="18">
        <v>2029</v>
      </c>
      <c r="C656" t="s">
        <v>231</v>
      </c>
      <c r="D656" s="20" t="s">
        <v>401</v>
      </c>
      <c r="E656" s="20" t="s">
        <v>402</v>
      </c>
      <c r="F656" s="20" t="s">
        <v>237</v>
      </c>
      <c r="G656" s="20" t="s">
        <v>382</v>
      </c>
      <c r="H656" s="20" t="s">
        <v>384</v>
      </c>
      <c r="I656" s="29">
        <v>1</v>
      </c>
      <c r="J656" s="30">
        <v>1</v>
      </c>
      <c r="K656" s="31">
        <v>4.0000000000000001E-3</v>
      </c>
      <c r="L656" s="9">
        <v>590766467.10548604</v>
      </c>
      <c r="M656" s="9">
        <v>590968059.72178304</v>
      </c>
      <c r="N656" s="32">
        <f>MIN(MAX((B656-Calculation_Assumptions!$B$5+1)/Calculation_Assumptions!$B$7,0),1)</f>
        <v>1</v>
      </c>
      <c r="O656" s="21">
        <f t="shared" si="80"/>
        <v>590766467.10548604</v>
      </c>
      <c r="P656" s="21">
        <f t="shared" si="81"/>
        <v>590968059.72178304</v>
      </c>
      <c r="Q656" s="21">
        <f>P656*Calculation_Assumptions!$B$14*J656*K656</f>
        <v>0</v>
      </c>
      <c r="R656" s="21">
        <f t="shared" si="82"/>
        <v>2363065.8684219443</v>
      </c>
      <c r="S656" s="21">
        <f t="shared" si="83"/>
        <v>2363065.8684219443</v>
      </c>
      <c r="T656" s="32">
        <f>1/(1+Calculation_Assumptions!$B$8)^(B656-Calculation_Assumptions!$B$2)</f>
        <v>0.888487047915689</v>
      </c>
      <c r="U656" s="21">
        <f t="shared" si="84"/>
        <v>0</v>
      </c>
      <c r="V656" s="21">
        <f t="shared" si="85"/>
        <v>2099553.4174645371</v>
      </c>
      <c r="W656" s="21">
        <f t="shared" si="86"/>
        <v>2099553.4174645371</v>
      </c>
      <c r="X656">
        <v>0</v>
      </c>
      <c r="Y656" s="18">
        <v>2017</v>
      </c>
      <c r="Z656" t="s">
        <v>387</v>
      </c>
      <c r="AA656" s="21">
        <f t="shared" si="87"/>
        <v>1</v>
      </c>
    </row>
    <row r="657" spans="1:27">
      <c r="A657" t="s">
        <v>76</v>
      </c>
      <c r="B657" s="18">
        <v>2030</v>
      </c>
      <c r="C657" t="s">
        <v>231</v>
      </c>
      <c r="D657" s="20" t="s">
        <v>401</v>
      </c>
      <c r="E657" s="20" t="s">
        <v>402</v>
      </c>
      <c r="F657" s="20" t="s">
        <v>237</v>
      </c>
      <c r="G657" s="20" t="s">
        <v>382</v>
      </c>
      <c r="H657" s="20" t="s">
        <v>384</v>
      </c>
      <c r="I657" s="29">
        <v>1</v>
      </c>
      <c r="J657" s="30">
        <v>1</v>
      </c>
      <c r="K657" s="31">
        <v>4.0000000000000001E-3</v>
      </c>
      <c r="L657" s="9">
        <v>594652967.05338001</v>
      </c>
      <c r="M657" s="9">
        <v>594808018.62654305</v>
      </c>
      <c r="N657" s="32">
        <f>MIN(MAX((B657-Calculation_Assumptions!$B$5+1)/Calculation_Assumptions!$B$7,0),1)</f>
        <v>1</v>
      </c>
      <c r="O657" s="21">
        <f t="shared" si="80"/>
        <v>594652967.05338001</v>
      </c>
      <c r="P657" s="21">
        <f t="shared" si="81"/>
        <v>594808018.62654305</v>
      </c>
      <c r="Q657" s="21">
        <f>P657*Calculation_Assumptions!$B$14*J657*K657</f>
        <v>0</v>
      </c>
      <c r="R657" s="21">
        <f t="shared" si="82"/>
        <v>2378611.8682135199</v>
      </c>
      <c r="S657" s="21">
        <f t="shared" si="83"/>
        <v>2378611.8682135199</v>
      </c>
      <c r="T657" s="32">
        <f>1/(1+Calculation_Assumptions!$B$8)^(B657-Calculation_Assumptions!$B$2)</f>
        <v>0.86260878438416411</v>
      </c>
      <c r="U657" s="21">
        <f t="shared" si="84"/>
        <v>0</v>
      </c>
      <c r="V657" s="21">
        <f t="shared" si="85"/>
        <v>2051811.4921614099</v>
      </c>
      <c r="W657" s="21">
        <f t="shared" si="86"/>
        <v>2051811.4921614099</v>
      </c>
      <c r="X657">
        <v>0</v>
      </c>
      <c r="Y657" s="18">
        <v>2017</v>
      </c>
      <c r="Z657" t="s">
        <v>387</v>
      </c>
      <c r="AA657" s="21">
        <f t="shared" si="87"/>
        <v>1</v>
      </c>
    </row>
    <row r="658" spans="1:27">
      <c r="A658" t="s">
        <v>76</v>
      </c>
      <c r="B658" s="18">
        <v>2031</v>
      </c>
      <c r="C658" t="s">
        <v>231</v>
      </c>
      <c r="D658" s="20" t="s">
        <v>401</v>
      </c>
      <c r="E658" s="20" t="s">
        <v>402</v>
      </c>
      <c r="F658" s="20" t="s">
        <v>237</v>
      </c>
      <c r="G658" s="20" t="s">
        <v>382</v>
      </c>
      <c r="H658" s="20" t="s">
        <v>384</v>
      </c>
      <c r="I658" s="29">
        <v>1</v>
      </c>
      <c r="J658" s="30">
        <v>1</v>
      </c>
      <c r="K658" s="31">
        <v>4.0000000000000001E-3</v>
      </c>
      <c r="L658" s="9">
        <v>598482853.08345401</v>
      </c>
      <c r="M658" s="9">
        <v>598581381.03442597</v>
      </c>
      <c r="N658" s="32">
        <f>MIN(MAX((B658-Calculation_Assumptions!$B$5+1)/Calculation_Assumptions!$B$7,0),1)</f>
        <v>1</v>
      </c>
      <c r="O658" s="21">
        <f t="shared" si="80"/>
        <v>598482853.08345401</v>
      </c>
      <c r="P658" s="21">
        <f t="shared" si="81"/>
        <v>598581381.03442597</v>
      </c>
      <c r="Q658" s="21">
        <f>P658*Calculation_Assumptions!$B$14*J658*K658</f>
        <v>0</v>
      </c>
      <c r="R658" s="21">
        <f t="shared" si="82"/>
        <v>2393931.4123338163</v>
      </c>
      <c r="S658" s="21">
        <f t="shared" si="83"/>
        <v>2393931.4123338163</v>
      </c>
      <c r="T658" s="32">
        <f>1/(1+Calculation_Assumptions!$B$8)^(B658-Calculation_Assumptions!$B$2)</f>
        <v>0.83748425668365445</v>
      </c>
      <c r="U658" s="21">
        <f t="shared" si="84"/>
        <v>0</v>
      </c>
      <c r="V658" s="21">
        <f t="shared" si="85"/>
        <v>2004879.8694100373</v>
      </c>
      <c r="W658" s="21">
        <f t="shared" si="86"/>
        <v>2004879.8694100373</v>
      </c>
      <c r="X658">
        <v>0</v>
      </c>
      <c r="Y658" s="18">
        <v>2017</v>
      </c>
      <c r="Z658" t="s">
        <v>387</v>
      </c>
      <c r="AA658" s="21">
        <f t="shared" si="87"/>
        <v>1</v>
      </c>
    </row>
    <row r="659" spans="1:27">
      <c r="A659" t="s">
        <v>76</v>
      </c>
      <c r="B659" s="18">
        <v>2032</v>
      </c>
      <c r="C659" t="s">
        <v>231</v>
      </c>
      <c r="D659" s="20" t="s">
        <v>401</v>
      </c>
      <c r="E659" s="20" t="s">
        <v>402</v>
      </c>
      <c r="F659" s="20" t="s">
        <v>237</v>
      </c>
      <c r="G659" s="20" t="s">
        <v>382</v>
      </c>
      <c r="H659" s="20" t="s">
        <v>384</v>
      </c>
      <c r="I659" s="29">
        <v>1</v>
      </c>
      <c r="J659" s="30">
        <v>1</v>
      </c>
      <c r="K659" s="31">
        <v>4.0000000000000001E-3</v>
      </c>
      <c r="L659" s="9">
        <v>602252425.332353</v>
      </c>
      <c r="M659" s="9">
        <v>602283583.58638096</v>
      </c>
      <c r="N659" s="32">
        <f>MIN(MAX((B659-Calculation_Assumptions!$B$5+1)/Calculation_Assumptions!$B$7,0),1)</f>
        <v>1</v>
      </c>
      <c r="O659" s="21">
        <f t="shared" si="80"/>
        <v>602252425.332353</v>
      </c>
      <c r="P659" s="21">
        <f t="shared" si="81"/>
        <v>602283583.58638096</v>
      </c>
      <c r="Q659" s="21">
        <f>P659*Calculation_Assumptions!$B$14*J659*K659</f>
        <v>0</v>
      </c>
      <c r="R659" s="21">
        <f t="shared" si="82"/>
        <v>2409009.7013294119</v>
      </c>
      <c r="S659" s="21">
        <f t="shared" si="83"/>
        <v>2409009.7013294119</v>
      </c>
      <c r="T659" s="32">
        <f>1/(1+Calculation_Assumptions!$B$8)^(B659-Calculation_Assumptions!$B$2)</f>
        <v>0.81309151134335378</v>
      </c>
      <c r="U659" s="21">
        <f t="shared" si="84"/>
        <v>0</v>
      </c>
      <c r="V659" s="21">
        <f t="shared" si="85"/>
        <v>1958745.3388947328</v>
      </c>
      <c r="W659" s="21">
        <f t="shared" si="86"/>
        <v>1958745.3388947328</v>
      </c>
      <c r="X659">
        <v>0</v>
      </c>
      <c r="Y659" s="18">
        <v>2017</v>
      </c>
      <c r="Z659" t="s">
        <v>387</v>
      </c>
      <c r="AA659" s="21">
        <f t="shared" si="87"/>
        <v>1</v>
      </c>
    </row>
    <row r="660" spans="1:27">
      <c r="A660" t="s">
        <v>76</v>
      </c>
      <c r="B660" s="18">
        <v>2033</v>
      </c>
      <c r="C660" t="s">
        <v>231</v>
      </c>
      <c r="D660" s="20" t="s">
        <v>401</v>
      </c>
      <c r="E660" s="20" t="s">
        <v>402</v>
      </c>
      <c r="F660" s="20" t="s">
        <v>237</v>
      </c>
      <c r="G660" s="20" t="s">
        <v>382</v>
      </c>
      <c r="H660" s="20" t="s">
        <v>384</v>
      </c>
      <c r="I660" s="29">
        <v>1</v>
      </c>
      <c r="J660" s="30">
        <v>1</v>
      </c>
      <c r="K660" s="31">
        <v>4.0000000000000001E-3</v>
      </c>
      <c r="L660" s="9">
        <v>605955528.04318595</v>
      </c>
      <c r="M660" s="9">
        <v>605911902.99473</v>
      </c>
      <c r="N660" s="32">
        <f>MIN(MAX((B660-Calculation_Assumptions!$B$5+1)/Calculation_Assumptions!$B$7,0),1)</f>
        <v>1</v>
      </c>
      <c r="O660" s="21">
        <f t="shared" si="80"/>
        <v>605955528.04318595</v>
      </c>
      <c r="P660" s="21">
        <f t="shared" si="81"/>
        <v>605911902.99473</v>
      </c>
      <c r="Q660" s="21">
        <f>P660*Calculation_Assumptions!$B$14*J660*K660</f>
        <v>0</v>
      </c>
      <c r="R660" s="21">
        <f t="shared" si="82"/>
        <v>2423822.1121727438</v>
      </c>
      <c r="S660" s="21">
        <f t="shared" si="83"/>
        <v>2423822.1121727438</v>
      </c>
      <c r="T660" s="32">
        <f>1/(1+Calculation_Assumptions!$B$8)^(B660-Calculation_Assumptions!$B$2)</f>
        <v>0.78940923431393573</v>
      </c>
      <c r="U660" s="21">
        <f t="shared" si="84"/>
        <v>0</v>
      </c>
      <c r="V660" s="21">
        <f t="shared" si="85"/>
        <v>1913387.5576834721</v>
      </c>
      <c r="W660" s="21">
        <f t="shared" si="86"/>
        <v>1913387.5576834721</v>
      </c>
      <c r="X660">
        <v>0</v>
      </c>
      <c r="Y660" s="18">
        <v>2017</v>
      </c>
      <c r="Z660" t="s">
        <v>387</v>
      </c>
      <c r="AA660" s="21">
        <f t="shared" si="87"/>
        <v>1</v>
      </c>
    </row>
    <row r="661" spans="1:27">
      <c r="A661" t="s">
        <v>76</v>
      </c>
      <c r="B661" s="18">
        <v>2034</v>
      </c>
      <c r="C661" t="s">
        <v>231</v>
      </c>
      <c r="D661" s="20" t="s">
        <v>401</v>
      </c>
      <c r="E661" s="20" t="s">
        <v>402</v>
      </c>
      <c r="F661" s="20" t="s">
        <v>237</v>
      </c>
      <c r="G661" s="20" t="s">
        <v>382</v>
      </c>
      <c r="H661" s="20" t="s">
        <v>384</v>
      </c>
      <c r="I661" s="29">
        <v>1</v>
      </c>
      <c r="J661" s="30">
        <v>1</v>
      </c>
      <c r="K661" s="31">
        <v>4.0000000000000001E-3</v>
      </c>
      <c r="L661" s="9">
        <v>609560284.09550095</v>
      </c>
      <c r="M661" s="9">
        <v>609455548.12077105</v>
      </c>
      <c r="N661" s="32">
        <f>MIN(MAX((B661-Calculation_Assumptions!$B$5+1)/Calculation_Assumptions!$B$7,0),1)</f>
        <v>1</v>
      </c>
      <c r="O661" s="21">
        <f t="shared" si="80"/>
        <v>609560284.09550095</v>
      </c>
      <c r="P661" s="21">
        <f t="shared" si="81"/>
        <v>609455548.12077105</v>
      </c>
      <c r="Q661" s="21">
        <f>P661*Calculation_Assumptions!$B$14*J661*K661</f>
        <v>0</v>
      </c>
      <c r="R661" s="21">
        <f t="shared" si="82"/>
        <v>2438241.1363820038</v>
      </c>
      <c r="S661" s="21">
        <f t="shared" si="83"/>
        <v>2438241.1363820038</v>
      </c>
      <c r="T661" s="32">
        <f>1/(1+Calculation_Assumptions!$B$8)^(B661-Calculation_Assumptions!$B$2)</f>
        <v>0.76641673234362695</v>
      </c>
      <c r="U661" s="21">
        <f t="shared" si="84"/>
        <v>0</v>
      </c>
      <c r="V661" s="21">
        <f t="shared" si="85"/>
        <v>1868708.804411707</v>
      </c>
      <c r="W661" s="21">
        <f t="shared" si="86"/>
        <v>1868708.804411707</v>
      </c>
      <c r="X661">
        <v>0</v>
      </c>
      <c r="Y661" s="18">
        <v>2017</v>
      </c>
      <c r="Z661" t="s">
        <v>387</v>
      </c>
      <c r="AA661" s="21">
        <f t="shared" si="87"/>
        <v>1</v>
      </c>
    </row>
    <row r="662" spans="1:27">
      <c r="A662" t="s">
        <v>76</v>
      </c>
      <c r="B662" s="18">
        <v>2035</v>
      </c>
      <c r="C662" t="s">
        <v>231</v>
      </c>
      <c r="D662" s="20" t="s">
        <v>401</v>
      </c>
      <c r="E662" s="20" t="s">
        <v>402</v>
      </c>
      <c r="F662" s="20" t="s">
        <v>237</v>
      </c>
      <c r="G662" s="20" t="s">
        <v>382</v>
      </c>
      <c r="H662" s="20" t="s">
        <v>384</v>
      </c>
      <c r="I662" s="29">
        <v>1</v>
      </c>
      <c r="J662" s="30">
        <v>1</v>
      </c>
      <c r="K662" s="31">
        <v>4.0000000000000001E-3</v>
      </c>
      <c r="L662" s="9">
        <v>613092698.26085901</v>
      </c>
      <c r="M662" s="9">
        <v>612884294.47334194</v>
      </c>
      <c r="N662" s="32">
        <f>MIN(MAX((B662-Calculation_Assumptions!$B$5+1)/Calculation_Assumptions!$B$7,0),1)</f>
        <v>1</v>
      </c>
      <c r="O662" s="21">
        <f t="shared" si="80"/>
        <v>613092698.26085901</v>
      </c>
      <c r="P662" s="21">
        <f t="shared" si="81"/>
        <v>612884294.47334194</v>
      </c>
      <c r="Q662" s="21">
        <f>P662*Calculation_Assumptions!$B$14*J662*K662</f>
        <v>0</v>
      </c>
      <c r="R662" s="21">
        <f t="shared" si="82"/>
        <v>2452370.793043436</v>
      </c>
      <c r="S662" s="21">
        <f t="shared" si="83"/>
        <v>2452370.793043436</v>
      </c>
      <c r="T662" s="32">
        <f>1/(1+Calculation_Assumptions!$B$8)^(B662-Calculation_Assumptions!$B$2)</f>
        <v>0.74409391489672516</v>
      </c>
      <c r="U662" s="21">
        <f t="shared" si="84"/>
        <v>0</v>
      </c>
      <c r="V662" s="21">
        <f t="shared" si="85"/>
        <v>1824794.1841740769</v>
      </c>
      <c r="W662" s="21">
        <f t="shared" si="86"/>
        <v>1824794.1841740769</v>
      </c>
      <c r="X662">
        <v>0</v>
      </c>
      <c r="Y662" s="18">
        <v>2017</v>
      </c>
      <c r="Z662" t="s">
        <v>387</v>
      </c>
      <c r="AA662" s="21">
        <f t="shared" si="87"/>
        <v>1</v>
      </c>
    </row>
    <row r="663" spans="1:27">
      <c r="A663" t="s">
        <v>76</v>
      </c>
      <c r="B663" s="18">
        <v>2036</v>
      </c>
      <c r="C663" t="s">
        <v>231</v>
      </c>
      <c r="D663" s="20" t="s">
        <v>401</v>
      </c>
      <c r="E663" s="20" t="s">
        <v>402</v>
      </c>
      <c r="F663" s="20" t="s">
        <v>237</v>
      </c>
      <c r="G663" s="20" t="s">
        <v>382</v>
      </c>
      <c r="H663" s="20" t="s">
        <v>384</v>
      </c>
      <c r="I663" s="29">
        <v>1</v>
      </c>
      <c r="J663" s="30">
        <v>1</v>
      </c>
      <c r="K663" s="31">
        <v>4.0000000000000001E-3</v>
      </c>
      <c r="L663" s="9">
        <v>616539654.35734701</v>
      </c>
      <c r="M663" s="9">
        <v>616262053.85817397</v>
      </c>
      <c r="N663" s="32">
        <f>MIN(MAX((B663-Calculation_Assumptions!$B$5+1)/Calculation_Assumptions!$B$7,0),1)</f>
        <v>1</v>
      </c>
      <c r="O663" s="21">
        <f t="shared" si="80"/>
        <v>616539654.35734701</v>
      </c>
      <c r="P663" s="21">
        <f t="shared" si="81"/>
        <v>616262053.85817397</v>
      </c>
      <c r="Q663" s="21">
        <f>P663*Calculation_Assumptions!$B$14*J663*K663</f>
        <v>0</v>
      </c>
      <c r="R663" s="21">
        <f t="shared" si="82"/>
        <v>2466158.6174293882</v>
      </c>
      <c r="S663" s="21">
        <f t="shared" si="83"/>
        <v>2466158.6174293882</v>
      </c>
      <c r="T663" s="32">
        <f>1/(1+Calculation_Assumptions!$B$8)^(B663-Calculation_Assumptions!$B$2)</f>
        <v>0.72242127659876232</v>
      </c>
      <c r="U663" s="21">
        <f t="shared" si="84"/>
        <v>0</v>
      </c>
      <c r="V663" s="21">
        <f t="shared" si="85"/>
        <v>1781605.4566983774</v>
      </c>
      <c r="W663" s="21">
        <f t="shared" si="86"/>
        <v>1781605.4566983774</v>
      </c>
      <c r="X663">
        <v>0</v>
      </c>
      <c r="Y663" s="18">
        <v>2017</v>
      </c>
      <c r="Z663" t="s">
        <v>387</v>
      </c>
      <c r="AA663" s="21">
        <f t="shared" si="87"/>
        <v>1</v>
      </c>
    </row>
    <row r="664" spans="1:27">
      <c r="A664" t="s">
        <v>76</v>
      </c>
      <c r="B664" s="18">
        <v>2037</v>
      </c>
      <c r="C664" t="s">
        <v>231</v>
      </c>
      <c r="D664" s="20" t="s">
        <v>401</v>
      </c>
      <c r="E664" s="20" t="s">
        <v>402</v>
      </c>
      <c r="F664" s="20" t="s">
        <v>237</v>
      </c>
      <c r="G664" s="20" t="s">
        <v>382</v>
      </c>
      <c r="H664" s="20" t="s">
        <v>384</v>
      </c>
      <c r="I664" s="29">
        <v>1</v>
      </c>
      <c r="J664" s="30">
        <v>1</v>
      </c>
      <c r="K664" s="31">
        <v>4.0000000000000001E-3</v>
      </c>
      <c r="L664" s="9">
        <v>619898345.122545</v>
      </c>
      <c r="M664" s="9">
        <v>619529380.90729904</v>
      </c>
      <c r="N664" s="32">
        <f>MIN(MAX((B664-Calculation_Assumptions!$B$5+1)/Calculation_Assumptions!$B$7,0),1)</f>
        <v>1</v>
      </c>
      <c r="O664" s="21">
        <f t="shared" si="80"/>
        <v>619898345.122545</v>
      </c>
      <c r="P664" s="21">
        <f t="shared" si="81"/>
        <v>619529380.90729904</v>
      </c>
      <c r="Q664" s="21">
        <f>P664*Calculation_Assumptions!$B$14*J664*K664</f>
        <v>0</v>
      </c>
      <c r="R664" s="21">
        <f t="shared" si="82"/>
        <v>2479593.3804901801</v>
      </c>
      <c r="S664" s="21">
        <f t="shared" si="83"/>
        <v>2479593.3804901801</v>
      </c>
      <c r="T664" s="32">
        <f>1/(1+Calculation_Assumptions!$B$8)^(B664-Calculation_Assumptions!$B$2)</f>
        <v>0.70137988019297326</v>
      </c>
      <c r="U664" s="21">
        <f t="shared" si="84"/>
        <v>0</v>
      </c>
      <c r="V664" s="21">
        <f t="shared" si="85"/>
        <v>1739136.9081354921</v>
      </c>
      <c r="W664" s="21">
        <f t="shared" si="86"/>
        <v>1739136.9081354921</v>
      </c>
      <c r="X664">
        <v>0</v>
      </c>
      <c r="Y664" s="18">
        <v>2017</v>
      </c>
      <c r="Z664" t="s">
        <v>387</v>
      </c>
      <c r="AA664" s="21">
        <f t="shared" si="87"/>
        <v>1</v>
      </c>
    </row>
    <row r="665" spans="1:27">
      <c r="A665" t="s">
        <v>76</v>
      </c>
      <c r="B665" s="18">
        <v>2038</v>
      </c>
      <c r="C665" t="s">
        <v>231</v>
      </c>
      <c r="D665" s="20" t="s">
        <v>401</v>
      </c>
      <c r="E665" s="20" t="s">
        <v>402</v>
      </c>
      <c r="F665" s="20" t="s">
        <v>237</v>
      </c>
      <c r="G665" s="20" t="s">
        <v>382</v>
      </c>
      <c r="H665" s="20" t="s">
        <v>384</v>
      </c>
      <c r="I665" s="29">
        <v>1</v>
      </c>
      <c r="J665" s="30">
        <v>1</v>
      </c>
      <c r="K665" s="31">
        <v>4.0000000000000001E-3</v>
      </c>
      <c r="L665" s="9">
        <v>623157085.01735401</v>
      </c>
      <c r="M665" s="9">
        <v>622673191.62836504</v>
      </c>
      <c r="N665" s="32">
        <f>MIN(MAX((B665-Calculation_Assumptions!$B$5+1)/Calculation_Assumptions!$B$7,0),1)</f>
        <v>1</v>
      </c>
      <c r="O665" s="21">
        <f t="shared" si="80"/>
        <v>623157085.01735401</v>
      </c>
      <c r="P665" s="21">
        <f t="shared" si="81"/>
        <v>622673191.62836504</v>
      </c>
      <c r="Q665" s="21">
        <f>P665*Calculation_Assumptions!$B$14*J665*K665</f>
        <v>0</v>
      </c>
      <c r="R665" s="21">
        <f t="shared" si="82"/>
        <v>2492628.340069416</v>
      </c>
      <c r="S665" s="21">
        <f t="shared" si="83"/>
        <v>2492628.340069416</v>
      </c>
      <c r="T665" s="32">
        <f>1/(1+Calculation_Assumptions!$B$8)^(B665-Calculation_Assumptions!$B$2)</f>
        <v>0.68095133999317792</v>
      </c>
      <c r="U665" s="21">
        <f t="shared" si="84"/>
        <v>0</v>
      </c>
      <c r="V665" s="21">
        <f t="shared" si="85"/>
        <v>1697358.6082752396</v>
      </c>
      <c r="W665" s="21">
        <f t="shared" si="86"/>
        <v>1697358.6082752396</v>
      </c>
      <c r="X665">
        <v>0</v>
      </c>
      <c r="Y665" s="18">
        <v>2017</v>
      </c>
      <c r="Z665" t="s">
        <v>387</v>
      </c>
      <c r="AA665" s="21">
        <f t="shared" si="87"/>
        <v>1</v>
      </c>
    </row>
    <row r="666" spans="1:27">
      <c r="A666" t="s">
        <v>76</v>
      </c>
      <c r="B666" s="18">
        <v>2039</v>
      </c>
      <c r="C666" t="s">
        <v>231</v>
      </c>
      <c r="D666" s="20" t="s">
        <v>401</v>
      </c>
      <c r="E666" s="20" t="s">
        <v>402</v>
      </c>
      <c r="F666" s="20" t="s">
        <v>237</v>
      </c>
      <c r="G666" s="20" t="s">
        <v>382</v>
      </c>
      <c r="H666" s="20" t="s">
        <v>384</v>
      </c>
      <c r="I666" s="29">
        <v>1</v>
      </c>
      <c r="J666" s="30">
        <v>1</v>
      </c>
      <c r="K666" s="31">
        <v>4.0000000000000001E-3</v>
      </c>
      <c r="L666" s="9">
        <v>626312438.007918</v>
      </c>
      <c r="M666" s="9">
        <v>625731758.218045</v>
      </c>
      <c r="N666" s="32">
        <f>MIN(MAX((B666-Calculation_Assumptions!$B$5+1)/Calculation_Assumptions!$B$7,0),1)</f>
        <v>1</v>
      </c>
      <c r="O666" s="21">
        <f t="shared" si="80"/>
        <v>626312438.007918</v>
      </c>
      <c r="P666" s="21">
        <f t="shared" si="81"/>
        <v>625731758.218045</v>
      </c>
      <c r="Q666" s="21">
        <f>P666*Calculation_Assumptions!$B$14*J666*K666</f>
        <v>0</v>
      </c>
      <c r="R666" s="21">
        <f t="shared" si="82"/>
        <v>2505249.7520316723</v>
      </c>
      <c r="S666" s="21">
        <f t="shared" si="83"/>
        <v>2505249.7520316723</v>
      </c>
      <c r="T666" s="32">
        <f>1/(1+Calculation_Assumptions!$B$8)^(B666-Calculation_Assumptions!$B$2)</f>
        <v>0.66111780581861923</v>
      </c>
      <c r="U666" s="21">
        <f t="shared" si="84"/>
        <v>0</v>
      </c>
      <c r="V666" s="21">
        <f t="shared" si="85"/>
        <v>1656265.2190908191</v>
      </c>
      <c r="W666" s="21">
        <f t="shared" si="86"/>
        <v>1656265.2190908191</v>
      </c>
      <c r="X666">
        <v>0</v>
      </c>
      <c r="Y666" s="18">
        <v>2017</v>
      </c>
      <c r="Z666" t="s">
        <v>387</v>
      </c>
      <c r="AA666" s="21">
        <f t="shared" si="87"/>
        <v>1</v>
      </c>
    </row>
    <row r="667" spans="1:27">
      <c r="A667" t="s">
        <v>76</v>
      </c>
      <c r="B667" s="18">
        <v>2040</v>
      </c>
      <c r="C667" t="s">
        <v>231</v>
      </c>
      <c r="D667" s="20" t="s">
        <v>401</v>
      </c>
      <c r="E667" s="20" t="s">
        <v>402</v>
      </c>
      <c r="F667" s="20" t="s">
        <v>237</v>
      </c>
      <c r="G667" s="20" t="s">
        <v>382</v>
      </c>
      <c r="H667" s="20" t="s">
        <v>384</v>
      </c>
      <c r="I667" s="29">
        <v>1</v>
      </c>
      <c r="J667" s="30">
        <v>1</v>
      </c>
      <c r="K667" s="31">
        <v>4.0000000000000001E-3</v>
      </c>
      <c r="L667" s="9">
        <v>629347032.33731306</v>
      </c>
      <c r="M667" s="9">
        <v>628667498.21665299</v>
      </c>
      <c r="N667" s="32">
        <f>MIN(MAX((B667-Calculation_Assumptions!$B$5+1)/Calculation_Assumptions!$B$7,0),1)</f>
        <v>1</v>
      </c>
      <c r="O667" s="21">
        <f t="shared" si="80"/>
        <v>629347032.33731306</v>
      </c>
      <c r="P667" s="21">
        <f t="shared" si="81"/>
        <v>628667498.21665299</v>
      </c>
      <c r="Q667" s="21">
        <f>P667*Calculation_Assumptions!$B$14*J667*K667</f>
        <v>0</v>
      </c>
      <c r="R667" s="21">
        <f t="shared" si="82"/>
        <v>2517388.1293492522</v>
      </c>
      <c r="S667" s="21">
        <f t="shared" si="83"/>
        <v>2517388.1293492522</v>
      </c>
      <c r="T667" s="32">
        <f>1/(1+Calculation_Assumptions!$B$8)^(B667-Calculation_Assumptions!$B$2)</f>
        <v>0.64186194739671765</v>
      </c>
      <c r="U667" s="21">
        <f t="shared" si="84"/>
        <v>0</v>
      </c>
      <c r="V667" s="21">
        <f t="shared" si="85"/>
        <v>1615815.6470574911</v>
      </c>
      <c r="W667" s="21">
        <f t="shared" si="86"/>
        <v>1615815.6470574911</v>
      </c>
      <c r="X667">
        <v>0</v>
      </c>
      <c r="Y667" s="18">
        <v>2017</v>
      </c>
      <c r="Z667" t="s">
        <v>387</v>
      </c>
      <c r="AA667" s="21">
        <f t="shared" si="87"/>
        <v>1</v>
      </c>
    </row>
    <row r="668" spans="1:27">
      <c r="A668" t="s">
        <v>76</v>
      </c>
      <c r="B668" s="18">
        <v>2041</v>
      </c>
      <c r="C668" t="s">
        <v>231</v>
      </c>
      <c r="D668" s="20" t="s">
        <v>401</v>
      </c>
      <c r="E668" s="20" t="s">
        <v>402</v>
      </c>
      <c r="F668" s="20" t="s">
        <v>237</v>
      </c>
      <c r="G668" s="20" t="s">
        <v>382</v>
      </c>
      <c r="H668" s="20" t="s">
        <v>384</v>
      </c>
      <c r="I668" s="29">
        <v>1</v>
      </c>
      <c r="J668" s="30">
        <v>1</v>
      </c>
      <c r="K668" s="31">
        <v>4.0000000000000001E-3</v>
      </c>
      <c r="L668" s="9">
        <v>632268493.39175498</v>
      </c>
      <c r="M668" s="9">
        <v>631488405.68781996</v>
      </c>
      <c r="N668" s="32">
        <f>MIN(MAX((B668-Calculation_Assumptions!$B$5+1)/Calculation_Assumptions!$B$7,0),1)</f>
        <v>1</v>
      </c>
      <c r="O668" s="21">
        <f t="shared" si="80"/>
        <v>632268493.39175498</v>
      </c>
      <c r="P668" s="21">
        <f t="shared" si="81"/>
        <v>631488405.68781996</v>
      </c>
      <c r="Q668" s="21">
        <f>P668*Calculation_Assumptions!$B$14*J668*K668</f>
        <v>0</v>
      </c>
      <c r="R668" s="21">
        <f t="shared" si="82"/>
        <v>2529073.9735670201</v>
      </c>
      <c r="S668" s="21">
        <f t="shared" si="83"/>
        <v>2529073.9735670201</v>
      </c>
      <c r="T668" s="32">
        <f>1/(1+Calculation_Assumptions!$B$8)^(B668-Calculation_Assumptions!$B$2)</f>
        <v>0.62316693922011435</v>
      </c>
      <c r="U668" s="21">
        <f t="shared" si="84"/>
        <v>0</v>
      </c>
      <c r="V668" s="21">
        <f t="shared" si="85"/>
        <v>1576035.2871690122</v>
      </c>
      <c r="W668" s="21">
        <f t="shared" si="86"/>
        <v>1576035.2871690122</v>
      </c>
      <c r="X668">
        <v>0</v>
      </c>
      <c r="Y668" s="18">
        <v>2017</v>
      </c>
      <c r="Z668" t="s">
        <v>387</v>
      </c>
      <c r="AA668" s="21">
        <f t="shared" si="87"/>
        <v>1</v>
      </c>
    </row>
    <row r="669" spans="1:27">
      <c r="A669" t="s">
        <v>76</v>
      </c>
      <c r="B669" s="18">
        <v>2042</v>
      </c>
      <c r="C669" t="s">
        <v>231</v>
      </c>
      <c r="D669" s="20" t="s">
        <v>401</v>
      </c>
      <c r="E669" s="20" t="s">
        <v>402</v>
      </c>
      <c r="F669" s="20" t="s">
        <v>237</v>
      </c>
      <c r="G669" s="20" t="s">
        <v>382</v>
      </c>
      <c r="H669" s="20" t="s">
        <v>384</v>
      </c>
      <c r="I669" s="29">
        <v>1</v>
      </c>
      <c r="J669" s="30">
        <v>1</v>
      </c>
      <c r="K669" s="31">
        <v>4.0000000000000001E-3</v>
      </c>
      <c r="L669" s="9">
        <v>635066634.14519799</v>
      </c>
      <c r="M669" s="9">
        <v>634184560.98858297</v>
      </c>
      <c r="N669" s="32">
        <f>MIN(MAX((B669-Calculation_Assumptions!$B$5+1)/Calculation_Assumptions!$B$7,0),1)</f>
        <v>1</v>
      </c>
      <c r="O669" s="21">
        <f t="shared" si="80"/>
        <v>635066634.14519799</v>
      </c>
      <c r="P669" s="21">
        <f t="shared" si="81"/>
        <v>634184560.98858297</v>
      </c>
      <c r="Q669" s="21">
        <f>P669*Calculation_Assumptions!$B$14*J669*K669</f>
        <v>0</v>
      </c>
      <c r="R669" s="21">
        <f t="shared" si="82"/>
        <v>2540266.5365807922</v>
      </c>
      <c r="S669" s="21">
        <f t="shared" si="83"/>
        <v>2540266.5365807922</v>
      </c>
      <c r="T669" s="32">
        <f>1/(1+Calculation_Assumptions!$B$8)^(B669-Calculation_Assumptions!$B$2)</f>
        <v>0.60501644584477121</v>
      </c>
      <c r="U669" s="21">
        <f t="shared" si="84"/>
        <v>0</v>
      </c>
      <c r="V669" s="21">
        <f t="shared" si="85"/>
        <v>1536903.0314605173</v>
      </c>
      <c r="W669" s="21">
        <f t="shared" si="86"/>
        <v>1536903.0314605173</v>
      </c>
      <c r="X669">
        <v>0</v>
      </c>
      <c r="Y669" s="18">
        <v>2017</v>
      </c>
      <c r="Z669" t="s">
        <v>387</v>
      </c>
      <c r="AA669" s="21">
        <f t="shared" si="87"/>
        <v>1</v>
      </c>
    </row>
    <row r="670" spans="1:27">
      <c r="A670" t="s">
        <v>76</v>
      </c>
      <c r="B670" s="18">
        <v>2043</v>
      </c>
      <c r="C670" t="s">
        <v>231</v>
      </c>
      <c r="D670" s="20" t="s">
        <v>401</v>
      </c>
      <c r="E670" s="20" t="s">
        <v>402</v>
      </c>
      <c r="F670" s="20" t="s">
        <v>237</v>
      </c>
      <c r="G670" s="20" t="s">
        <v>382</v>
      </c>
      <c r="H670" s="20" t="s">
        <v>384</v>
      </c>
      <c r="I670" s="29">
        <v>1</v>
      </c>
      <c r="J670" s="30">
        <v>1</v>
      </c>
      <c r="K670" s="31">
        <v>4.0000000000000001E-3</v>
      </c>
      <c r="L670" s="9">
        <v>637740511.15042996</v>
      </c>
      <c r="M670" s="9">
        <v>636767020.67603099</v>
      </c>
      <c r="N670" s="32">
        <f>MIN(MAX((B670-Calculation_Assumptions!$B$5+1)/Calculation_Assumptions!$B$7,0),1)</f>
        <v>1</v>
      </c>
      <c r="O670" s="21">
        <f t="shared" si="80"/>
        <v>637740511.15042996</v>
      </c>
      <c r="P670" s="21">
        <f t="shared" si="81"/>
        <v>636767020.67603099</v>
      </c>
      <c r="Q670" s="21">
        <f>P670*Calculation_Assumptions!$B$14*J670*K670</f>
        <v>0</v>
      </c>
      <c r="R670" s="21">
        <f t="shared" si="82"/>
        <v>2550962.0446017198</v>
      </c>
      <c r="S670" s="21">
        <f t="shared" si="83"/>
        <v>2550962.0446017198</v>
      </c>
      <c r="T670" s="32">
        <f>1/(1+Calculation_Assumptions!$B$8)^(B670-Calculation_Assumptions!$B$2)</f>
        <v>0.5873946076162827</v>
      </c>
      <c r="U670" s="21">
        <f t="shared" si="84"/>
        <v>0</v>
      </c>
      <c r="V670" s="21">
        <f t="shared" si="85"/>
        <v>1498421.3492328576</v>
      </c>
      <c r="W670" s="21">
        <f t="shared" si="86"/>
        <v>1498421.3492328576</v>
      </c>
      <c r="X670">
        <v>0</v>
      </c>
      <c r="Y670" s="18">
        <v>2017</v>
      </c>
      <c r="Z670" t="s">
        <v>387</v>
      </c>
      <c r="AA670" s="21">
        <f t="shared" si="87"/>
        <v>1</v>
      </c>
    </row>
    <row r="671" spans="1:27">
      <c r="A671" t="s">
        <v>76</v>
      </c>
      <c r="B671" s="18">
        <v>2044</v>
      </c>
      <c r="C671" t="s">
        <v>231</v>
      </c>
      <c r="D671" s="20" t="s">
        <v>401</v>
      </c>
      <c r="E671" s="20" t="s">
        <v>402</v>
      </c>
      <c r="F671" s="20" t="s">
        <v>237</v>
      </c>
      <c r="G671" s="20" t="s">
        <v>382</v>
      </c>
      <c r="H671" s="20" t="s">
        <v>384</v>
      </c>
      <c r="I671" s="29">
        <v>1</v>
      </c>
      <c r="J671" s="30">
        <v>1</v>
      </c>
      <c r="K671" s="31">
        <v>4.0000000000000001E-3</v>
      </c>
      <c r="L671" s="9">
        <v>640285329.92099202</v>
      </c>
      <c r="M671" s="9">
        <v>639211548.58069301</v>
      </c>
      <c r="N671" s="32">
        <f>MIN(MAX((B671-Calculation_Assumptions!$B$5+1)/Calculation_Assumptions!$B$7,0),1)</f>
        <v>1</v>
      </c>
      <c r="O671" s="21">
        <f t="shared" si="80"/>
        <v>640285329.92099202</v>
      </c>
      <c r="P671" s="21">
        <f t="shared" si="81"/>
        <v>639211548.58069301</v>
      </c>
      <c r="Q671" s="21">
        <f>P671*Calculation_Assumptions!$B$14*J671*K671</f>
        <v>0</v>
      </c>
      <c r="R671" s="21">
        <f t="shared" si="82"/>
        <v>2561141.3196839681</v>
      </c>
      <c r="S671" s="21">
        <f t="shared" si="83"/>
        <v>2561141.3196839681</v>
      </c>
      <c r="T671" s="32">
        <f>1/(1+Calculation_Assumptions!$B$8)^(B671-Calculation_Assumptions!$B$2)</f>
        <v>0.57028602681192497</v>
      </c>
      <c r="U671" s="21">
        <f t="shared" si="84"/>
        <v>0</v>
      </c>
      <c r="V671" s="21">
        <f t="shared" si="85"/>
        <v>1460583.1073064203</v>
      </c>
      <c r="W671" s="21">
        <f t="shared" si="86"/>
        <v>1460583.1073064203</v>
      </c>
      <c r="X671">
        <v>0</v>
      </c>
      <c r="Y671" s="18">
        <v>2017</v>
      </c>
      <c r="Z671" t="s">
        <v>387</v>
      </c>
      <c r="AA671" s="21">
        <f t="shared" si="87"/>
        <v>1</v>
      </c>
    </row>
    <row r="672" spans="1:27">
      <c r="A672" t="s">
        <v>76</v>
      </c>
      <c r="B672" s="18">
        <v>2045</v>
      </c>
      <c r="C672" t="s">
        <v>231</v>
      </c>
      <c r="D672" s="20" t="s">
        <v>401</v>
      </c>
      <c r="E672" s="20" t="s">
        <v>402</v>
      </c>
      <c r="F672" s="20" t="s">
        <v>237</v>
      </c>
      <c r="G672" s="20" t="s">
        <v>382</v>
      </c>
      <c r="H672" s="20" t="s">
        <v>384</v>
      </c>
      <c r="I672" s="29">
        <v>1</v>
      </c>
      <c r="J672" s="30">
        <v>1</v>
      </c>
      <c r="K672" s="31">
        <v>4.0000000000000001E-3</v>
      </c>
      <c r="L672" s="9">
        <v>642695843.59439898</v>
      </c>
      <c r="M672" s="9">
        <v>641520754.67294204</v>
      </c>
      <c r="N672" s="32">
        <f>MIN(MAX((B672-Calculation_Assumptions!$B$5+1)/Calculation_Assumptions!$B$7,0),1)</f>
        <v>1</v>
      </c>
      <c r="O672" s="21">
        <f t="shared" si="80"/>
        <v>642695843.59439898</v>
      </c>
      <c r="P672" s="21">
        <f t="shared" si="81"/>
        <v>641520754.67294204</v>
      </c>
      <c r="Q672" s="21">
        <f>P672*Calculation_Assumptions!$B$14*J672*K672</f>
        <v>0</v>
      </c>
      <c r="R672" s="21">
        <f t="shared" si="82"/>
        <v>2570783.3743775957</v>
      </c>
      <c r="S672" s="21">
        <f t="shared" si="83"/>
        <v>2570783.3743775957</v>
      </c>
      <c r="T672" s="32">
        <f>1/(1+Calculation_Assumptions!$B$8)^(B672-Calculation_Assumptions!$B$2)</f>
        <v>0.55367575418633497</v>
      </c>
      <c r="U672" s="21">
        <f t="shared" si="84"/>
        <v>0</v>
      </c>
      <c r="V672" s="21">
        <f t="shared" si="85"/>
        <v>1423380.4236582064</v>
      </c>
      <c r="W672" s="21">
        <f t="shared" si="86"/>
        <v>1423380.4236582064</v>
      </c>
      <c r="X672">
        <v>0</v>
      </c>
      <c r="Y672" s="18">
        <v>2017</v>
      </c>
      <c r="Z672" t="s">
        <v>387</v>
      </c>
      <c r="AA672" s="21">
        <f t="shared" si="87"/>
        <v>1</v>
      </c>
    </row>
    <row r="673" spans="1:27">
      <c r="A673" t="s">
        <v>76</v>
      </c>
      <c r="B673" s="18">
        <v>2046</v>
      </c>
      <c r="C673" t="s">
        <v>231</v>
      </c>
      <c r="D673" s="20" t="s">
        <v>401</v>
      </c>
      <c r="E673" s="20" t="s">
        <v>402</v>
      </c>
      <c r="F673" s="20" t="s">
        <v>237</v>
      </c>
      <c r="G673" s="20" t="s">
        <v>382</v>
      </c>
      <c r="H673" s="20" t="s">
        <v>384</v>
      </c>
      <c r="I673" s="29">
        <v>1</v>
      </c>
      <c r="J673" s="30">
        <v>1</v>
      </c>
      <c r="K673" s="31">
        <v>4.0000000000000001E-3</v>
      </c>
      <c r="L673" s="9">
        <v>644974193.08303404</v>
      </c>
      <c r="M673" s="9">
        <v>643697330.762573</v>
      </c>
      <c r="N673" s="32">
        <f>MIN(MAX((B673-Calculation_Assumptions!$B$5+1)/Calculation_Assumptions!$B$7,0),1)</f>
        <v>1</v>
      </c>
      <c r="O673" s="21">
        <f t="shared" si="80"/>
        <v>644974193.08303404</v>
      </c>
      <c r="P673" s="21">
        <f t="shared" si="81"/>
        <v>643697330.762573</v>
      </c>
      <c r="Q673" s="21">
        <f>P673*Calculation_Assumptions!$B$14*J673*K673</f>
        <v>0</v>
      </c>
      <c r="R673" s="21">
        <f t="shared" si="82"/>
        <v>2579896.7723321361</v>
      </c>
      <c r="S673" s="21">
        <f t="shared" si="83"/>
        <v>2579896.7723321361</v>
      </c>
      <c r="T673" s="32">
        <f>1/(1+Calculation_Assumptions!$B$8)^(B673-Calculation_Assumptions!$B$2)</f>
        <v>0.5375492759090631</v>
      </c>
      <c r="U673" s="21">
        <f t="shared" si="84"/>
        <v>0</v>
      </c>
      <c r="V673" s="21">
        <f t="shared" si="85"/>
        <v>1386821.6418872687</v>
      </c>
      <c r="W673" s="21">
        <f t="shared" si="86"/>
        <v>1386821.6418872687</v>
      </c>
      <c r="X673">
        <v>0</v>
      </c>
      <c r="Y673" s="18">
        <v>2017</v>
      </c>
      <c r="Z673" t="s">
        <v>387</v>
      </c>
      <c r="AA673" s="21">
        <f t="shared" si="87"/>
        <v>1</v>
      </c>
    </row>
    <row r="674" spans="1:27">
      <c r="A674" t="s">
        <v>76</v>
      </c>
      <c r="B674" s="18">
        <v>2047</v>
      </c>
      <c r="C674" t="s">
        <v>231</v>
      </c>
      <c r="D674" s="20" t="s">
        <v>401</v>
      </c>
      <c r="E674" s="20" t="s">
        <v>402</v>
      </c>
      <c r="F674" s="20" t="s">
        <v>237</v>
      </c>
      <c r="G674" s="20" t="s">
        <v>382</v>
      </c>
      <c r="H674" s="20" t="s">
        <v>384</v>
      </c>
      <c r="I674" s="29">
        <v>1</v>
      </c>
      <c r="J674" s="30">
        <v>1</v>
      </c>
      <c r="K674" s="31">
        <v>4.0000000000000001E-3</v>
      </c>
      <c r="L674" s="9">
        <v>647124942.32164299</v>
      </c>
      <c r="M674" s="9">
        <v>645745914.53009498</v>
      </c>
      <c r="N674" s="32">
        <f>MIN(MAX((B674-Calculation_Assumptions!$B$5+1)/Calculation_Assumptions!$B$7,0),1)</f>
        <v>1</v>
      </c>
      <c r="O674" s="21">
        <f t="shared" si="80"/>
        <v>647124942.32164299</v>
      </c>
      <c r="P674" s="21">
        <f t="shared" si="81"/>
        <v>645745914.53009498</v>
      </c>
      <c r="Q674" s="21">
        <f>P674*Calculation_Assumptions!$B$14*J674*K674</f>
        <v>0</v>
      </c>
      <c r="R674" s="21">
        <f t="shared" si="82"/>
        <v>2588499.769286572</v>
      </c>
      <c r="S674" s="21">
        <f t="shared" si="83"/>
        <v>2588499.769286572</v>
      </c>
      <c r="T674" s="32">
        <f>1/(1+Calculation_Assumptions!$B$8)^(B674-Calculation_Assumptions!$B$2)</f>
        <v>0.52189250088258554</v>
      </c>
      <c r="U674" s="21">
        <f t="shared" si="84"/>
        <v>0</v>
      </c>
      <c r="V674" s="21">
        <f t="shared" si="85"/>
        <v>1350918.6181269647</v>
      </c>
      <c r="W674" s="21">
        <f t="shared" si="86"/>
        <v>1350918.6181269647</v>
      </c>
      <c r="X674">
        <v>0</v>
      </c>
      <c r="Y674" s="18">
        <v>2017</v>
      </c>
      <c r="Z674" t="s">
        <v>387</v>
      </c>
      <c r="AA674" s="21">
        <f t="shared" si="87"/>
        <v>1</v>
      </c>
    </row>
    <row r="675" spans="1:27">
      <c r="A675" t="s">
        <v>76</v>
      </c>
      <c r="B675" s="18">
        <v>2048</v>
      </c>
      <c r="C675" t="s">
        <v>231</v>
      </c>
      <c r="D675" s="20" t="s">
        <v>401</v>
      </c>
      <c r="E675" s="20" t="s">
        <v>402</v>
      </c>
      <c r="F675" s="20" t="s">
        <v>237</v>
      </c>
      <c r="G675" s="20" t="s">
        <v>382</v>
      </c>
      <c r="H675" s="20" t="s">
        <v>384</v>
      </c>
      <c r="I675" s="29">
        <v>1</v>
      </c>
      <c r="J675" s="30">
        <v>1</v>
      </c>
      <c r="K675" s="31">
        <v>4.0000000000000001E-3</v>
      </c>
      <c r="L675" s="9">
        <v>649147853.41567302</v>
      </c>
      <c r="M675" s="9">
        <v>647666796.64810395</v>
      </c>
      <c r="N675" s="32">
        <f>MIN(MAX((B675-Calculation_Assumptions!$B$5+1)/Calculation_Assumptions!$B$7,0),1)</f>
        <v>1</v>
      </c>
      <c r="O675" s="21">
        <f t="shared" si="80"/>
        <v>649147853.41567302</v>
      </c>
      <c r="P675" s="21">
        <f t="shared" si="81"/>
        <v>647666796.64810395</v>
      </c>
      <c r="Q675" s="21">
        <f>P675*Calculation_Assumptions!$B$14*J675*K675</f>
        <v>0</v>
      </c>
      <c r="R675" s="21">
        <f t="shared" si="82"/>
        <v>2596591.4136626921</v>
      </c>
      <c r="S675" s="21">
        <f t="shared" si="83"/>
        <v>2596591.4136626921</v>
      </c>
      <c r="T675" s="32">
        <f>1/(1+Calculation_Assumptions!$B$8)^(B675-Calculation_Assumptions!$B$2)</f>
        <v>0.50669174842969467</v>
      </c>
      <c r="U675" s="21">
        <f t="shared" si="84"/>
        <v>0</v>
      </c>
      <c r="V675" s="21">
        <f t="shared" si="85"/>
        <v>1315671.443346282</v>
      </c>
      <c r="W675" s="21">
        <f t="shared" si="86"/>
        <v>1315671.443346282</v>
      </c>
      <c r="X675">
        <v>0</v>
      </c>
      <c r="Y675" s="18">
        <v>2017</v>
      </c>
      <c r="Z675" t="s">
        <v>387</v>
      </c>
      <c r="AA675" s="21">
        <f t="shared" si="87"/>
        <v>1</v>
      </c>
    </row>
    <row r="676" spans="1:27">
      <c r="A676" t="s">
        <v>76</v>
      </c>
      <c r="B676" s="18">
        <v>2049</v>
      </c>
      <c r="C676" t="s">
        <v>231</v>
      </c>
      <c r="D676" s="20" t="s">
        <v>401</v>
      </c>
      <c r="E676" s="20" t="s">
        <v>402</v>
      </c>
      <c r="F676" s="20" t="s">
        <v>237</v>
      </c>
      <c r="G676" s="20" t="s">
        <v>382</v>
      </c>
      <c r="H676" s="20" t="s">
        <v>384</v>
      </c>
      <c r="I676" s="29">
        <v>1</v>
      </c>
      <c r="J676" s="30">
        <v>1</v>
      </c>
      <c r="K676" s="31">
        <v>4.0000000000000001E-3</v>
      </c>
      <c r="L676" s="9">
        <v>651040967.5934</v>
      </c>
      <c r="M676" s="9">
        <v>649421968.02473402</v>
      </c>
      <c r="N676" s="32">
        <f>MIN(MAX((B676-Calculation_Assumptions!$B$5+1)/Calculation_Assumptions!$B$7,0),1)</f>
        <v>1</v>
      </c>
      <c r="O676" s="21">
        <f t="shared" si="80"/>
        <v>651040967.5934</v>
      </c>
      <c r="P676" s="21">
        <f t="shared" si="81"/>
        <v>649421968.02473402</v>
      </c>
      <c r="Q676" s="21">
        <f>P676*Calculation_Assumptions!$B$14*J676*K676</f>
        <v>0</v>
      </c>
      <c r="R676" s="21">
        <f t="shared" si="82"/>
        <v>2604163.8703736002</v>
      </c>
      <c r="S676" s="21">
        <f t="shared" si="83"/>
        <v>2604163.8703736002</v>
      </c>
      <c r="T676" s="32">
        <f>1/(1+Calculation_Assumptions!$B$8)^(B676-Calculation_Assumptions!$B$2)</f>
        <v>0.49193373633950943</v>
      </c>
      <c r="U676" s="21">
        <f t="shared" si="84"/>
        <v>0</v>
      </c>
      <c r="V676" s="21">
        <f t="shared" si="85"/>
        <v>1281076.062793243</v>
      </c>
      <c r="W676" s="21">
        <f t="shared" si="86"/>
        <v>1281076.062793243</v>
      </c>
      <c r="X676">
        <v>0</v>
      </c>
      <c r="Y676" s="18">
        <v>2017</v>
      </c>
      <c r="Z676" t="s">
        <v>387</v>
      </c>
      <c r="AA676" s="21">
        <f t="shared" si="87"/>
        <v>1</v>
      </c>
    </row>
    <row r="677" spans="1:27">
      <c r="A677" t="s">
        <v>76</v>
      </c>
      <c r="B677" s="18">
        <v>2050</v>
      </c>
      <c r="C677" t="s">
        <v>231</v>
      </c>
      <c r="D677" s="20" t="s">
        <v>401</v>
      </c>
      <c r="E677" s="20" t="s">
        <v>402</v>
      </c>
      <c r="F677" s="20" t="s">
        <v>237</v>
      </c>
      <c r="G677" s="20" t="s">
        <v>382</v>
      </c>
      <c r="H677" s="20" t="s">
        <v>384</v>
      </c>
      <c r="I677" s="29">
        <v>1</v>
      </c>
      <c r="J677" s="30">
        <v>1</v>
      </c>
      <c r="K677" s="31">
        <v>4.0000000000000001E-3</v>
      </c>
      <c r="L677" s="9">
        <v>652799148.10289598</v>
      </c>
      <c r="M677" s="9">
        <v>651074457.25957894</v>
      </c>
      <c r="N677" s="32">
        <f>MIN(MAX((B677-Calculation_Assumptions!$B$5+1)/Calculation_Assumptions!$B$7,0),1)</f>
        <v>1</v>
      </c>
      <c r="O677" s="21">
        <f t="shared" si="80"/>
        <v>652799148.10289598</v>
      </c>
      <c r="P677" s="21">
        <f t="shared" si="81"/>
        <v>651074457.25957894</v>
      </c>
      <c r="Q677" s="21">
        <f>P677*Calculation_Assumptions!$B$14*J677*K677</f>
        <v>0</v>
      </c>
      <c r="R677" s="21">
        <f t="shared" si="82"/>
        <v>2611196.5924115838</v>
      </c>
      <c r="S677" s="21">
        <f t="shared" si="83"/>
        <v>2611196.5924115838</v>
      </c>
      <c r="T677" s="32">
        <f>1/(1+Calculation_Assumptions!$B$8)^(B677-Calculation_Assumptions!$B$2)</f>
        <v>0.47760556926165965</v>
      </c>
      <c r="U677" s="21">
        <f t="shared" si="84"/>
        <v>0</v>
      </c>
      <c r="V677" s="21">
        <f t="shared" si="85"/>
        <v>1247122.0349728402</v>
      </c>
      <c r="W677" s="21">
        <f t="shared" si="86"/>
        <v>1247122.0349728402</v>
      </c>
      <c r="X677">
        <v>0</v>
      </c>
      <c r="Y677" s="18">
        <v>2017</v>
      </c>
      <c r="Z677" t="s">
        <v>387</v>
      </c>
      <c r="AA677" s="21">
        <f t="shared" si="87"/>
        <v>1</v>
      </c>
    </row>
    <row r="678" spans="1:27">
      <c r="A678" t="s">
        <v>76</v>
      </c>
      <c r="B678" s="18">
        <v>2025</v>
      </c>
      <c r="C678" t="s">
        <v>242</v>
      </c>
      <c r="D678" s="20" t="s">
        <v>403</v>
      </c>
      <c r="E678" s="20" t="s">
        <v>404</v>
      </c>
      <c r="F678" s="20" t="s">
        <v>246</v>
      </c>
      <c r="G678" s="20" t="s">
        <v>382</v>
      </c>
      <c r="H678" s="20" t="s">
        <v>384</v>
      </c>
      <c r="I678" s="29">
        <v>1</v>
      </c>
      <c r="J678" s="30">
        <v>1</v>
      </c>
      <c r="K678" s="31">
        <v>8.6999999999999994E-3</v>
      </c>
      <c r="L678" s="9">
        <v>575134853.59312999</v>
      </c>
      <c r="M678" s="9">
        <v>575134853.59312999</v>
      </c>
      <c r="N678" s="32">
        <f>MIN(MAX((B678-Calculation_Assumptions!$B$5+1)/Calculation_Assumptions!$B$7,0),1)</f>
        <v>0</v>
      </c>
      <c r="O678" s="21">
        <f t="shared" si="80"/>
        <v>575134853.59312999</v>
      </c>
      <c r="P678" s="21">
        <f t="shared" si="81"/>
        <v>575134853.59312999</v>
      </c>
      <c r="Q678" s="21">
        <f>P678*Calculation_Assumptions!$B$14*J678*K678</f>
        <v>0</v>
      </c>
      <c r="R678" s="21">
        <f t="shared" si="82"/>
        <v>0</v>
      </c>
      <c r="S678" s="21">
        <f t="shared" si="83"/>
        <v>0</v>
      </c>
      <c r="T678" s="32">
        <f>1/(1+Calculation_Assumptions!$B$8)^(B678-Calculation_Assumptions!$B$2)</f>
        <v>1</v>
      </c>
      <c r="U678" s="21">
        <f t="shared" si="84"/>
        <v>0</v>
      </c>
      <c r="V678" s="21">
        <f t="shared" si="85"/>
        <v>0</v>
      </c>
      <c r="W678" s="21">
        <f t="shared" si="86"/>
        <v>0</v>
      </c>
      <c r="X678">
        <v>0</v>
      </c>
      <c r="Y678" s="18">
        <v>2017</v>
      </c>
      <c r="Z678" t="s">
        <v>387</v>
      </c>
      <c r="AA678" s="21">
        <f t="shared" si="87"/>
        <v>1</v>
      </c>
    </row>
    <row r="679" spans="1:27">
      <c r="A679" t="s">
        <v>76</v>
      </c>
      <c r="B679" s="18">
        <v>2026</v>
      </c>
      <c r="C679" t="s">
        <v>242</v>
      </c>
      <c r="D679" s="20" t="s">
        <v>403</v>
      </c>
      <c r="E679" s="20" t="s">
        <v>404</v>
      </c>
      <c r="F679" s="20" t="s">
        <v>246</v>
      </c>
      <c r="G679" s="20" t="s">
        <v>382</v>
      </c>
      <c r="H679" s="20" t="s">
        <v>384</v>
      </c>
      <c r="I679" s="29">
        <v>1</v>
      </c>
      <c r="J679" s="30">
        <v>1</v>
      </c>
      <c r="K679" s="31">
        <v>8.6999999999999994E-3</v>
      </c>
      <c r="L679" s="9">
        <v>579268647.32329595</v>
      </c>
      <c r="M679" s="9">
        <v>579268647.32329595</v>
      </c>
      <c r="N679" s="32">
        <f>MIN(MAX((B679-Calculation_Assumptions!$B$5+1)/Calculation_Assumptions!$B$7,0),1)</f>
        <v>0.33333333333333331</v>
      </c>
      <c r="O679" s="21">
        <f t="shared" si="80"/>
        <v>579268647.32329595</v>
      </c>
      <c r="P679" s="21">
        <f t="shared" si="81"/>
        <v>579268647.32329595</v>
      </c>
      <c r="Q679" s="21">
        <f>P679*Calculation_Assumptions!$B$14*J679*K679</f>
        <v>0</v>
      </c>
      <c r="R679" s="21">
        <f t="shared" si="82"/>
        <v>1679879.0772375581</v>
      </c>
      <c r="S679" s="21">
        <f t="shared" si="83"/>
        <v>1679879.0772375581</v>
      </c>
      <c r="T679" s="32">
        <f>1/(1+Calculation_Assumptions!$B$8)^(B679-Calculation_Assumptions!$B$2)</f>
        <v>0.970873786407767</v>
      </c>
      <c r="U679" s="21">
        <f t="shared" si="84"/>
        <v>0</v>
      </c>
      <c r="V679" s="21">
        <f t="shared" si="85"/>
        <v>1630950.5604248138</v>
      </c>
      <c r="W679" s="21">
        <f t="shared" si="86"/>
        <v>1630950.5604248138</v>
      </c>
      <c r="X679">
        <v>0</v>
      </c>
      <c r="Y679" s="18">
        <v>2017</v>
      </c>
      <c r="Z679" t="s">
        <v>387</v>
      </c>
      <c r="AA679" s="21">
        <f t="shared" si="87"/>
        <v>1</v>
      </c>
    </row>
    <row r="680" spans="1:27">
      <c r="A680" t="s">
        <v>76</v>
      </c>
      <c r="B680" s="18">
        <v>2027</v>
      </c>
      <c r="C680" t="s">
        <v>242</v>
      </c>
      <c r="D680" s="20" t="s">
        <v>403</v>
      </c>
      <c r="E680" s="20" t="s">
        <v>404</v>
      </c>
      <c r="F680" s="20" t="s">
        <v>246</v>
      </c>
      <c r="G680" s="20" t="s">
        <v>382</v>
      </c>
      <c r="H680" s="20" t="s">
        <v>384</v>
      </c>
      <c r="I680" s="29">
        <v>1</v>
      </c>
      <c r="J680" s="30">
        <v>1</v>
      </c>
      <c r="K680" s="31">
        <v>8.6999999999999994E-3</v>
      </c>
      <c r="L680" s="9">
        <v>583039014.28645599</v>
      </c>
      <c r="M680" s="9">
        <v>583039014.28645599</v>
      </c>
      <c r="N680" s="32">
        <f>MIN(MAX((B680-Calculation_Assumptions!$B$5+1)/Calculation_Assumptions!$B$7,0),1)</f>
        <v>0.66666666666666663</v>
      </c>
      <c r="O680" s="21">
        <f t="shared" si="80"/>
        <v>583039014.28645599</v>
      </c>
      <c r="P680" s="21">
        <f t="shared" si="81"/>
        <v>583039014.28645599</v>
      </c>
      <c r="Q680" s="21">
        <f>P680*Calculation_Assumptions!$B$14*J680*K680</f>
        <v>0</v>
      </c>
      <c r="R680" s="21">
        <f t="shared" si="82"/>
        <v>3381626.2828614446</v>
      </c>
      <c r="S680" s="21">
        <f t="shared" si="83"/>
        <v>3381626.2828614446</v>
      </c>
      <c r="T680" s="32">
        <f>1/(1+Calculation_Assumptions!$B$8)^(B680-Calculation_Assumptions!$B$2)</f>
        <v>0.94259590913375435</v>
      </c>
      <c r="U680" s="21">
        <f t="shared" si="84"/>
        <v>0</v>
      </c>
      <c r="V680" s="21">
        <f t="shared" si="85"/>
        <v>3187507.1004443816</v>
      </c>
      <c r="W680" s="21">
        <f t="shared" si="86"/>
        <v>3187507.1004443816</v>
      </c>
      <c r="X680">
        <v>0</v>
      </c>
      <c r="Y680" s="18">
        <v>2017</v>
      </c>
      <c r="Z680" t="s">
        <v>387</v>
      </c>
      <c r="AA680" s="21">
        <f t="shared" si="87"/>
        <v>1</v>
      </c>
    </row>
    <row r="681" spans="1:27">
      <c r="A681" t="s">
        <v>76</v>
      </c>
      <c r="B681" s="18">
        <v>2028</v>
      </c>
      <c r="C681" t="s">
        <v>242</v>
      </c>
      <c r="D681" s="20" t="s">
        <v>403</v>
      </c>
      <c r="E681" s="20" t="s">
        <v>404</v>
      </c>
      <c r="F681" s="20" t="s">
        <v>246</v>
      </c>
      <c r="G681" s="20" t="s">
        <v>382</v>
      </c>
      <c r="H681" s="20" t="s">
        <v>384</v>
      </c>
      <c r="I681" s="29">
        <v>1</v>
      </c>
      <c r="J681" s="30">
        <v>1</v>
      </c>
      <c r="K681" s="31">
        <v>8.6999999999999994E-3</v>
      </c>
      <c r="L681" s="9">
        <v>587039795.04372799</v>
      </c>
      <c r="M681" s="9">
        <v>587035116.25746298</v>
      </c>
      <c r="N681" s="32">
        <f>MIN(MAX((B681-Calculation_Assumptions!$B$5+1)/Calculation_Assumptions!$B$7,0),1)</f>
        <v>1</v>
      </c>
      <c r="O681" s="21">
        <f t="shared" si="80"/>
        <v>587039795.04372799</v>
      </c>
      <c r="P681" s="21">
        <f t="shared" si="81"/>
        <v>587035116.25746298</v>
      </c>
      <c r="Q681" s="21">
        <f>P681*Calculation_Assumptions!$B$14*J681*K681</f>
        <v>0</v>
      </c>
      <c r="R681" s="21">
        <f t="shared" si="82"/>
        <v>5107246.2168804333</v>
      </c>
      <c r="S681" s="21">
        <f t="shared" si="83"/>
        <v>5107246.2168804333</v>
      </c>
      <c r="T681" s="32">
        <f>1/(1+Calculation_Assumptions!$B$8)^(B681-Calculation_Assumptions!$B$2)</f>
        <v>0.91514165935315961</v>
      </c>
      <c r="U681" s="21">
        <f t="shared" si="84"/>
        <v>0</v>
      </c>
      <c r="V681" s="21">
        <f t="shared" si="85"/>
        <v>4673853.7776411064</v>
      </c>
      <c r="W681" s="21">
        <f t="shared" si="86"/>
        <v>4673853.7776411064</v>
      </c>
      <c r="X681">
        <v>0</v>
      </c>
      <c r="Y681" s="18">
        <v>2017</v>
      </c>
      <c r="Z681" t="s">
        <v>387</v>
      </c>
      <c r="AA681" s="21">
        <f t="shared" si="87"/>
        <v>1</v>
      </c>
    </row>
    <row r="682" spans="1:27">
      <c r="A682" t="s">
        <v>76</v>
      </c>
      <c r="B682" s="18">
        <v>2029</v>
      </c>
      <c r="C682" t="s">
        <v>242</v>
      </c>
      <c r="D682" s="20" t="s">
        <v>403</v>
      </c>
      <c r="E682" s="20" t="s">
        <v>404</v>
      </c>
      <c r="F682" s="20" t="s">
        <v>246</v>
      </c>
      <c r="G682" s="20" t="s">
        <v>382</v>
      </c>
      <c r="H682" s="20" t="s">
        <v>384</v>
      </c>
      <c r="I682" s="29">
        <v>1</v>
      </c>
      <c r="J682" s="30">
        <v>1</v>
      </c>
      <c r="K682" s="31">
        <v>8.6999999999999994E-3</v>
      </c>
      <c r="L682" s="9">
        <v>590766467.10548604</v>
      </c>
      <c r="M682" s="9">
        <v>590968059.72178304</v>
      </c>
      <c r="N682" s="32">
        <f>MIN(MAX((B682-Calculation_Assumptions!$B$5+1)/Calculation_Assumptions!$B$7,0),1)</f>
        <v>1</v>
      </c>
      <c r="O682" s="21">
        <f t="shared" si="80"/>
        <v>590766467.10548604</v>
      </c>
      <c r="P682" s="21">
        <f t="shared" si="81"/>
        <v>590968059.72178304</v>
      </c>
      <c r="Q682" s="21">
        <f>P682*Calculation_Assumptions!$B$14*J682*K682</f>
        <v>0</v>
      </c>
      <c r="R682" s="21">
        <f t="shared" si="82"/>
        <v>5139668.2638177285</v>
      </c>
      <c r="S682" s="21">
        <f t="shared" si="83"/>
        <v>5139668.2638177285</v>
      </c>
      <c r="T682" s="32">
        <f>1/(1+Calculation_Assumptions!$B$8)^(B682-Calculation_Assumptions!$B$2)</f>
        <v>0.888487047915689</v>
      </c>
      <c r="U682" s="21">
        <f t="shared" si="84"/>
        <v>0</v>
      </c>
      <c r="V682" s="21">
        <f t="shared" si="85"/>
        <v>4566528.6829853682</v>
      </c>
      <c r="W682" s="21">
        <f t="shared" si="86"/>
        <v>4566528.6829853682</v>
      </c>
      <c r="X682">
        <v>0</v>
      </c>
      <c r="Y682" s="18">
        <v>2017</v>
      </c>
      <c r="Z682" t="s">
        <v>387</v>
      </c>
      <c r="AA682" s="21">
        <f t="shared" si="87"/>
        <v>1</v>
      </c>
    </row>
    <row r="683" spans="1:27">
      <c r="A683" t="s">
        <v>76</v>
      </c>
      <c r="B683" s="18">
        <v>2030</v>
      </c>
      <c r="C683" t="s">
        <v>242</v>
      </c>
      <c r="D683" s="20" t="s">
        <v>403</v>
      </c>
      <c r="E683" s="20" t="s">
        <v>404</v>
      </c>
      <c r="F683" s="20" t="s">
        <v>246</v>
      </c>
      <c r="G683" s="20" t="s">
        <v>382</v>
      </c>
      <c r="H683" s="20" t="s">
        <v>384</v>
      </c>
      <c r="I683" s="29">
        <v>1</v>
      </c>
      <c r="J683" s="30">
        <v>1</v>
      </c>
      <c r="K683" s="31">
        <v>8.6999999999999994E-3</v>
      </c>
      <c r="L683" s="9">
        <v>594652967.05338001</v>
      </c>
      <c r="M683" s="9">
        <v>594808018.62654305</v>
      </c>
      <c r="N683" s="32">
        <f>MIN(MAX((B683-Calculation_Assumptions!$B$5+1)/Calculation_Assumptions!$B$7,0),1)</f>
        <v>1</v>
      </c>
      <c r="O683" s="21">
        <f t="shared" si="80"/>
        <v>594652967.05338001</v>
      </c>
      <c r="P683" s="21">
        <f t="shared" si="81"/>
        <v>594808018.62654305</v>
      </c>
      <c r="Q683" s="21">
        <f>P683*Calculation_Assumptions!$B$14*J683*K683</f>
        <v>0</v>
      </c>
      <c r="R683" s="21">
        <f t="shared" si="82"/>
        <v>5173480.8133644061</v>
      </c>
      <c r="S683" s="21">
        <f t="shared" si="83"/>
        <v>5173480.8133644061</v>
      </c>
      <c r="T683" s="32">
        <f>1/(1+Calculation_Assumptions!$B$8)^(B683-Calculation_Assumptions!$B$2)</f>
        <v>0.86260878438416411</v>
      </c>
      <c r="U683" s="21">
        <f t="shared" si="84"/>
        <v>0</v>
      </c>
      <c r="V683" s="21">
        <f t="shared" si="85"/>
        <v>4462689.9954510666</v>
      </c>
      <c r="W683" s="21">
        <f t="shared" si="86"/>
        <v>4462689.9954510666</v>
      </c>
      <c r="X683">
        <v>0</v>
      </c>
      <c r="Y683" s="18">
        <v>2017</v>
      </c>
      <c r="Z683" t="s">
        <v>387</v>
      </c>
      <c r="AA683" s="21">
        <f t="shared" si="87"/>
        <v>1</v>
      </c>
    </row>
    <row r="684" spans="1:27">
      <c r="A684" t="s">
        <v>76</v>
      </c>
      <c r="B684" s="18">
        <v>2031</v>
      </c>
      <c r="C684" t="s">
        <v>242</v>
      </c>
      <c r="D684" s="20" t="s">
        <v>403</v>
      </c>
      <c r="E684" s="20" t="s">
        <v>404</v>
      </c>
      <c r="F684" s="20" t="s">
        <v>246</v>
      </c>
      <c r="G684" s="20" t="s">
        <v>382</v>
      </c>
      <c r="H684" s="20" t="s">
        <v>384</v>
      </c>
      <c r="I684" s="29">
        <v>1</v>
      </c>
      <c r="J684" s="30">
        <v>1</v>
      </c>
      <c r="K684" s="31">
        <v>8.6999999999999994E-3</v>
      </c>
      <c r="L684" s="9">
        <v>598482853.08345401</v>
      </c>
      <c r="M684" s="9">
        <v>598581381.03442597</v>
      </c>
      <c r="N684" s="32">
        <f>MIN(MAX((B684-Calculation_Assumptions!$B$5+1)/Calculation_Assumptions!$B$7,0),1)</f>
        <v>1</v>
      </c>
      <c r="O684" s="21">
        <f t="shared" si="80"/>
        <v>598482853.08345401</v>
      </c>
      <c r="P684" s="21">
        <f t="shared" si="81"/>
        <v>598581381.03442597</v>
      </c>
      <c r="Q684" s="21">
        <f>P684*Calculation_Assumptions!$B$14*J684*K684</f>
        <v>0</v>
      </c>
      <c r="R684" s="21">
        <f t="shared" si="82"/>
        <v>5206800.8218260491</v>
      </c>
      <c r="S684" s="21">
        <f t="shared" si="83"/>
        <v>5206800.8218260491</v>
      </c>
      <c r="T684" s="32">
        <f>1/(1+Calculation_Assumptions!$B$8)^(B684-Calculation_Assumptions!$B$2)</f>
        <v>0.83748425668365445</v>
      </c>
      <c r="U684" s="21">
        <f t="shared" si="84"/>
        <v>0</v>
      </c>
      <c r="V684" s="21">
        <f t="shared" si="85"/>
        <v>4360613.71596683</v>
      </c>
      <c r="W684" s="21">
        <f t="shared" si="86"/>
        <v>4360613.71596683</v>
      </c>
      <c r="X684">
        <v>0</v>
      </c>
      <c r="Y684" s="18">
        <v>2017</v>
      </c>
      <c r="Z684" t="s">
        <v>387</v>
      </c>
      <c r="AA684" s="21">
        <f t="shared" si="87"/>
        <v>1</v>
      </c>
    </row>
    <row r="685" spans="1:27">
      <c r="A685" t="s">
        <v>76</v>
      </c>
      <c r="B685" s="18">
        <v>2032</v>
      </c>
      <c r="C685" t="s">
        <v>242</v>
      </c>
      <c r="D685" s="20" t="s">
        <v>403</v>
      </c>
      <c r="E685" s="20" t="s">
        <v>404</v>
      </c>
      <c r="F685" s="20" t="s">
        <v>246</v>
      </c>
      <c r="G685" s="20" t="s">
        <v>382</v>
      </c>
      <c r="H685" s="20" t="s">
        <v>384</v>
      </c>
      <c r="I685" s="29">
        <v>1</v>
      </c>
      <c r="J685" s="30">
        <v>1</v>
      </c>
      <c r="K685" s="31">
        <v>8.6999999999999994E-3</v>
      </c>
      <c r="L685" s="9">
        <v>602252425.332353</v>
      </c>
      <c r="M685" s="9">
        <v>602283583.58638096</v>
      </c>
      <c r="N685" s="32">
        <f>MIN(MAX((B685-Calculation_Assumptions!$B$5+1)/Calculation_Assumptions!$B$7,0),1)</f>
        <v>1</v>
      </c>
      <c r="O685" s="21">
        <f t="shared" si="80"/>
        <v>602252425.332353</v>
      </c>
      <c r="P685" s="21">
        <f t="shared" si="81"/>
        <v>602283583.58638096</v>
      </c>
      <c r="Q685" s="21">
        <f>P685*Calculation_Assumptions!$B$14*J685*K685</f>
        <v>0</v>
      </c>
      <c r="R685" s="21">
        <f t="shared" si="82"/>
        <v>5239596.1003914708</v>
      </c>
      <c r="S685" s="21">
        <f t="shared" si="83"/>
        <v>5239596.1003914708</v>
      </c>
      <c r="T685" s="32">
        <f>1/(1+Calculation_Assumptions!$B$8)^(B685-Calculation_Assumptions!$B$2)</f>
        <v>0.81309151134335378</v>
      </c>
      <c r="U685" s="21">
        <f t="shared" si="84"/>
        <v>0</v>
      </c>
      <c r="V685" s="21">
        <f t="shared" si="85"/>
        <v>4260271.1120960442</v>
      </c>
      <c r="W685" s="21">
        <f t="shared" si="86"/>
        <v>4260271.1120960442</v>
      </c>
      <c r="X685">
        <v>0</v>
      </c>
      <c r="Y685" s="18">
        <v>2017</v>
      </c>
      <c r="Z685" t="s">
        <v>387</v>
      </c>
      <c r="AA685" s="21">
        <f t="shared" si="87"/>
        <v>1</v>
      </c>
    </row>
    <row r="686" spans="1:27">
      <c r="A686" t="s">
        <v>76</v>
      </c>
      <c r="B686" s="18">
        <v>2033</v>
      </c>
      <c r="C686" t="s">
        <v>242</v>
      </c>
      <c r="D686" s="20" t="s">
        <v>403</v>
      </c>
      <c r="E686" s="20" t="s">
        <v>404</v>
      </c>
      <c r="F686" s="20" t="s">
        <v>246</v>
      </c>
      <c r="G686" s="20" t="s">
        <v>382</v>
      </c>
      <c r="H686" s="20" t="s">
        <v>384</v>
      </c>
      <c r="I686" s="29">
        <v>1</v>
      </c>
      <c r="J686" s="30">
        <v>1</v>
      </c>
      <c r="K686" s="31">
        <v>8.6999999999999994E-3</v>
      </c>
      <c r="L686" s="9">
        <v>605955528.04318595</v>
      </c>
      <c r="M686" s="9">
        <v>605911902.99473</v>
      </c>
      <c r="N686" s="32">
        <f>MIN(MAX((B686-Calculation_Assumptions!$B$5+1)/Calculation_Assumptions!$B$7,0),1)</f>
        <v>1</v>
      </c>
      <c r="O686" s="21">
        <f t="shared" si="80"/>
        <v>605955528.04318595</v>
      </c>
      <c r="P686" s="21">
        <f t="shared" si="81"/>
        <v>605911902.99473</v>
      </c>
      <c r="Q686" s="21">
        <f>P686*Calculation_Assumptions!$B$14*J686*K686</f>
        <v>0</v>
      </c>
      <c r="R686" s="21">
        <f t="shared" si="82"/>
        <v>5271813.0939757172</v>
      </c>
      <c r="S686" s="21">
        <f t="shared" si="83"/>
        <v>5271813.0939757172</v>
      </c>
      <c r="T686" s="32">
        <f>1/(1+Calculation_Assumptions!$B$8)^(B686-Calculation_Assumptions!$B$2)</f>
        <v>0.78940923431393573</v>
      </c>
      <c r="U686" s="21">
        <f t="shared" si="84"/>
        <v>0</v>
      </c>
      <c r="V686" s="21">
        <f t="shared" si="85"/>
        <v>4161617.9379615514</v>
      </c>
      <c r="W686" s="21">
        <f t="shared" si="86"/>
        <v>4161617.9379615514</v>
      </c>
      <c r="X686">
        <v>0</v>
      </c>
      <c r="Y686" s="18">
        <v>2017</v>
      </c>
      <c r="Z686" t="s">
        <v>387</v>
      </c>
      <c r="AA686" s="21">
        <f t="shared" si="87"/>
        <v>1</v>
      </c>
    </row>
    <row r="687" spans="1:27">
      <c r="A687" t="s">
        <v>76</v>
      </c>
      <c r="B687" s="18">
        <v>2034</v>
      </c>
      <c r="C687" t="s">
        <v>242</v>
      </c>
      <c r="D687" s="20" t="s">
        <v>403</v>
      </c>
      <c r="E687" s="20" t="s">
        <v>404</v>
      </c>
      <c r="F687" s="20" t="s">
        <v>246</v>
      </c>
      <c r="G687" s="20" t="s">
        <v>382</v>
      </c>
      <c r="H687" s="20" t="s">
        <v>384</v>
      </c>
      <c r="I687" s="29">
        <v>1</v>
      </c>
      <c r="J687" s="30">
        <v>1</v>
      </c>
      <c r="K687" s="31">
        <v>8.6999999999999994E-3</v>
      </c>
      <c r="L687" s="9">
        <v>609560284.09550095</v>
      </c>
      <c r="M687" s="9">
        <v>609455548.12077105</v>
      </c>
      <c r="N687" s="32">
        <f>MIN(MAX((B687-Calculation_Assumptions!$B$5+1)/Calculation_Assumptions!$B$7,0),1)</f>
        <v>1</v>
      </c>
      <c r="O687" s="21">
        <f t="shared" si="80"/>
        <v>609560284.09550095</v>
      </c>
      <c r="P687" s="21">
        <f t="shared" si="81"/>
        <v>609455548.12077105</v>
      </c>
      <c r="Q687" s="21">
        <f>P687*Calculation_Assumptions!$B$14*J687*K687</f>
        <v>0</v>
      </c>
      <c r="R687" s="21">
        <f t="shared" si="82"/>
        <v>5303174.4716308583</v>
      </c>
      <c r="S687" s="21">
        <f t="shared" si="83"/>
        <v>5303174.4716308583</v>
      </c>
      <c r="T687" s="32">
        <f>1/(1+Calculation_Assumptions!$B$8)^(B687-Calculation_Assumptions!$B$2)</f>
        <v>0.76641673234362695</v>
      </c>
      <c r="U687" s="21">
        <f t="shared" si="84"/>
        <v>0</v>
      </c>
      <c r="V687" s="21">
        <f t="shared" si="85"/>
        <v>4064441.6495954627</v>
      </c>
      <c r="W687" s="21">
        <f t="shared" si="86"/>
        <v>4064441.6495954627</v>
      </c>
      <c r="X687">
        <v>0</v>
      </c>
      <c r="Y687" s="18">
        <v>2017</v>
      </c>
      <c r="Z687" t="s">
        <v>387</v>
      </c>
      <c r="AA687" s="21">
        <f t="shared" si="87"/>
        <v>1</v>
      </c>
    </row>
    <row r="688" spans="1:27">
      <c r="A688" t="s">
        <v>76</v>
      </c>
      <c r="B688" s="18">
        <v>2035</v>
      </c>
      <c r="C688" t="s">
        <v>242</v>
      </c>
      <c r="D688" s="20" t="s">
        <v>403</v>
      </c>
      <c r="E688" s="20" t="s">
        <v>404</v>
      </c>
      <c r="F688" s="20" t="s">
        <v>246</v>
      </c>
      <c r="G688" s="20" t="s">
        <v>382</v>
      </c>
      <c r="H688" s="20" t="s">
        <v>384</v>
      </c>
      <c r="I688" s="29">
        <v>1</v>
      </c>
      <c r="J688" s="30">
        <v>1</v>
      </c>
      <c r="K688" s="31">
        <v>8.6999999999999994E-3</v>
      </c>
      <c r="L688" s="9">
        <v>613092698.26085901</v>
      </c>
      <c r="M688" s="9">
        <v>612884294.47334194</v>
      </c>
      <c r="N688" s="32">
        <f>MIN(MAX((B688-Calculation_Assumptions!$B$5+1)/Calculation_Assumptions!$B$7,0),1)</f>
        <v>1</v>
      </c>
      <c r="O688" s="21">
        <f t="shared" si="80"/>
        <v>613092698.26085901</v>
      </c>
      <c r="P688" s="21">
        <f t="shared" si="81"/>
        <v>612884294.47334194</v>
      </c>
      <c r="Q688" s="21">
        <f>P688*Calculation_Assumptions!$B$14*J688*K688</f>
        <v>0</v>
      </c>
      <c r="R688" s="21">
        <f t="shared" si="82"/>
        <v>5333906.4748694729</v>
      </c>
      <c r="S688" s="21">
        <f t="shared" si="83"/>
        <v>5333906.4748694729</v>
      </c>
      <c r="T688" s="32">
        <f>1/(1+Calculation_Assumptions!$B$8)^(B688-Calculation_Assumptions!$B$2)</f>
        <v>0.74409391489672516</v>
      </c>
      <c r="U688" s="21">
        <f t="shared" si="84"/>
        <v>0</v>
      </c>
      <c r="V688" s="21">
        <f t="shared" si="85"/>
        <v>3968927.3505786168</v>
      </c>
      <c r="W688" s="21">
        <f t="shared" si="86"/>
        <v>3968927.3505786168</v>
      </c>
      <c r="X688">
        <v>0</v>
      </c>
      <c r="Y688" s="18">
        <v>2017</v>
      </c>
      <c r="Z688" t="s">
        <v>387</v>
      </c>
      <c r="AA688" s="21">
        <f t="shared" si="87"/>
        <v>1</v>
      </c>
    </row>
    <row r="689" spans="1:27">
      <c r="A689" t="s">
        <v>76</v>
      </c>
      <c r="B689" s="18">
        <v>2036</v>
      </c>
      <c r="C689" t="s">
        <v>242</v>
      </c>
      <c r="D689" s="20" t="s">
        <v>403</v>
      </c>
      <c r="E689" s="20" t="s">
        <v>404</v>
      </c>
      <c r="F689" s="20" t="s">
        <v>246</v>
      </c>
      <c r="G689" s="20" t="s">
        <v>382</v>
      </c>
      <c r="H689" s="20" t="s">
        <v>384</v>
      </c>
      <c r="I689" s="29">
        <v>1</v>
      </c>
      <c r="J689" s="30">
        <v>1</v>
      </c>
      <c r="K689" s="31">
        <v>8.6999999999999994E-3</v>
      </c>
      <c r="L689" s="9">
        <v>616539654.35734701</v>
      </c>
      <c r="M689" s="9">
        <v>616262053.85817397</v>
      </c>
      <c r="N689" s="32">
        <f>MIN(MAX((B689-Calculation_Assumptions!$B$5+1)/Calculation_Assumptions!$B$7,0),1)</f>
        <v>1</v>
      </c>
      <c r="O689" s="21">
        <f t="shared" si="80"/>
        <v>616539654.35734701</v>
      </c>
      <c r="P689" s="21">
        <f t="shared" si="81"/>
        <v>616262053.85817397</v>
      </c>
      <c r="Q689" s="21">
        <f>P689*Calculation_Assumptions!$B$14*J689*K689</f>
        <v>0</v>
      </c>
      <c r="R689" s="21">
        <f t="shared" si="82"/>
        <v>5363894.9929089183</v>
      </c>
      <c r="S689" s="21">
        <f t="shared" si="83"/>
        <v>5363894.9929089183</v>
      </c>
      <c r="T689" s="32">
        <f>1/(1+Calculation_Assumptions!$B$8)^(B689-Calculation_Assumptions!$B$2)</f>
        <v>0.72242127659876232</v>
      </c>
      <c r="U689" s="21">
        <f t="shared" si="84"/>
        <v>0</v>
      </c>
      <c r="V689" s="21">
        <f t="shared" si="85"/>
        <v>3874991.8683189698</v>
      </c>
      <c r="W689" s="21">
        <f t="shared" si="86"/>
        <v>3874991.8683189698</v>
      </c>
      <c r="X689">
        <v>0</v>
      </c>
      <c r="Y689" s="18">
        <v>2017</v>
      </c>
      <c r="Z689" t="s">
        <v>387</v>
      </c>
      <c r="AA689" s="21">
        <f t="shared" si="87"/>
        <v>1</v>
      </c>
    </row>
    <row r="690" spans="1:27">
      <c r="A690" t="s">
        <v>76</v>
      </c>
      <c r="B690" s="18">
        <v>2037</v>
      </c>
      <c r="C690" t="s">
        <v>242</v>
      </c>
      <c r="D690" s="20" t="s">
        <v>403</v>
      </c>
      <c r="E690" s="20" t="s">
        <v>404</v>
      </c>
      <c r="F690" s="20" t="s">
        <v>246</v>
      </c>
      <c r="G690" s="20" t="s">
        <v>382</v>
      </c>
      <c r="H690" s="20" t="s">
        <v>384</v>
      </c>
      <c r="I690" s="29">
        <v>1</v>
      </c>
      <c r="J690" s="30">
        <v>1</v>
      </c>
      <c r="K690" s="31">
        <v>8.6999999999999994E-3</v>
      </c>
      <c r="L690" s="9">
        <v>619898345.122545</v>
      </c>
      <c r="M690" s="9">
        <v>619529380.90729904</v>
      </c>
      <c r="N690" s="32">
        <f>MIN(MAX((B690-Calculation_Assumptions!$B$5+1)/Calculation_Assumptions!$B$7,0),1)</f>
        <v>1</v>
      </c>
      <c r="O690" s="21">
        <f t="shared" si="80"/>
        <v>619898345.122545</v>
      </c>
      <c r="P690" s="21">
        <f t="shared" si="81"/>
        <v>619529380.90729904</v>
      </c>
      <c r="Q690" s="21">
        <f>P690*Calculation_Assumptions!$B$14*J690*K690</f>
        <v>0</v>
      </c>
      <c r="R690" s="21">
        <f t="shared" si="82"/>
        <v>5393115.6025661407</v>
      </c>
      <c r="S690" s="21">
        <f t="shared" si="83"/>
        <v>5393115.6025661407</v>
      </c>
      <c r="T690" s="32">
        <f>1/(1+Calculation_Assumptions!$B$8)^(B690-Calculation_Assumptions!$B$2)</f>
        <v>0.70137988019297326</v>
      </c>
      <c r="U690" s="21">
        <f t="shared" si="84"/>
        <v>0</v>
      </c>
      <c r="V690" s="21">
        <f t="shared" si="85"/>
        <v>3782622.7751946948</v>
      </c>
      <c r="W690" s="21">
        <f t="shared" si="86"/>
        <v>3782622.7751946948</v>
      </c>
      <c r="X690">
        <v>0</v>
      </c>
      <c r="Y690" s="18">
        <v>2017</v>
      </c>
      <c r="Z690" t="s">
        <v>387</v>
      </c>
      <c r="AA690" s="21">
        <f t="shared" si="87"/>
        <v>1</v>
      </c>
    </row>
    <row r="691" spans="1:27">
      <c r="A691" t="s">
        <v>76</v>
      </c>
      <c r="B691" s="18">
        <v>2038</v>
      </c>
      <c r="C691" t="s">
        <v>242</v>
      </c>
      <c r="D691" s="20" t="s">
        <v>403</v>
      </c>
      <c r="E691" s="20" t="s">
        <v>404</v>
      </c>
      <c r="F691" s="20" t="s">
        <v>246</v>
      </c>
      <c r="G691" s="20" t="s">
        <v>382</v>
      </c>
      <c r="H691" s="20" t="s">
        <v>384</v>
      </c>
      <c r="I691" s="29">
        <v>1</v>
      </c>
      <c r="J691" s="30">
        <v>1</v>
      </c>
      <c r="K691" s="31">
        <v>8.6999999999999994E-3</v>
      </c>
      <c r="L691" s="9">
        <v>623157085.01735401</v>
      </c>
      <c r="M691" s="9">
        <v>622673191.62836504</v>
      </c>
      <c r="N691" s="32">
        <f>MIN(MAX((B691-Calculation_Assumptions!$B$5+1)/Calculation_Assumptions!$B$7,0),1)</f>
        <v>1</v>
      </c>
      <c r="O691" s="21">
        <f t="shared" si="80"/>
        <v>623157085.01735401</v>
      </c>
      <c r="P691" s="21">
        <f t="shared" si="81"/>
        <v>622673191.62836504</v>
      </c>
      <c r="Q691" s="21">
        <f>P691*Calculation_Assumptions!$B$14*J691*K691</f>
        <v>0</v>
      </c>
      <c r="R691" s="21">
        <f t="shared" si="82"/>
        <v>5421466.6396509791</v>
      </c>
      <c r="S691" s="21">
        <f t="shared" si="83"/>
        <v>5421466.6396509791</v>
      </c>
      <c r="T691" s="32">
        <f>1/(1+Calculation_Assumptions!$B$8)^(B691-Calculation_Assumptions!$B$2)</f>
        <v>0.68095133999317792</v>
      </c>
      <c r="U691" s="21">
        <f t="shared" si="84"/>
        <v>0</v>
      </c>
      <c r="V691" s="21">
        <f t="shared" si="85"/>
        <v>3691754.9729986456</v>
      </c>
      <c r="W691" s="21">
        <f t="shared" si="86"/>
        <v>3691754.9729986456</v>
      </c>
      <c r="X691">
        <v>0</v>
      </c>
      <c r="Y691" s="18">
        <v>2017</v>
      </c>
      <c r="Z691" t="s">
        <v>387</v>
      </c>
      <c r="AA691" s="21">
        <f t="shared" si="87"/>
        <v>1</v>
      </c>
    </row>
    <row r="692" spans="1:27">
      <c r="A692" t="s">
        <v>76</v>
      </c>
      <c r="B692" s="18">
        <v>2039</v>
      </c>
      <c r="C692" t="s">
        <v>242</v>
      </c>
      <c r="D692" s="20" t="s">
        <v>403</v>
      </c>
      <c r="E692" s="20" t="s">
        <v>404</v>
      </c>
      <c r="F692" s="20" t="s">
        <v>246</v>
      </c>
      <c r="G692" s="20" t="s">
        <v>382</v>
      </c>
      <c r="H692" s="20" t="s">
        <v>384</v>
      </c>
      <c r="I692" s="29">
        <v>1</v>
      </c>
      <c r="J692" s="30">
        <v>1</v>
      </c>
      <c r="K692" s="31">
        <v>8.6999999999999994E-3</v>
      </c>
      <c r="L692" s="9">
        <v>626312438.007918</v>
      </c>
      <c r="M692" s="9">
        <v>625731758.218045</v>
      </c>
      <c r="N692" s="32">
        <f>MIN(MAX((B692-Calculation_Assumptions!$B$5+1)/Calculation_Assumptions!$B$7,0),1)</f>
        <v>1</v>
      </c>
      <c r="O692" s="21">
        <f t="shared" si="80"/>
        <v>626312438.007918</v>
      </c>
      <c r="P692" s="21">
        <f t="shared" si="81"/>
        <v>625731758.218045</v>
      </c>
      <c r="Q692" s="21">
        <f>P692*Calculation_Assumptions!$B$14*J692*K692</f>
        <v>0</v>
      </c>
      <c r="R692" s="21">
        <f t="shared" si="82"/>
        <v>5448918.2106688861</v>
      </c>
      <c r="S692" s="21">
        <f t="shared" si="83"/>
        <v>5448918.2106688861</v>
      </c>
      <c r="T692" s="32">
        <f>1/(1+Calculation_Assumptions!$B$8)^(B692-Calculation_Assumptions!$B$2)</f>
        <v>0.66111780581861923</v>
      </c>
      <c r="U692" s="21">
        <f t="shared" si="84"/>
        <v>0</v>
      </c>
      <c r="V692" s="21">
        <f t="shared" si="85"/>
        <v>3602376.8515225309</v>
      </c>
      <c r="W692" s="21">
        <f t="shared" si="86"/>
        <v>3602376.8515225309</v>
      </c>
      <c r="X692">
        <v>0</v>
      </c>
      <c r="Y692" s="18">
        <v>2017</v>
      </c>
      <c r="Z692" t="s">
        <v>387</v>
      </c>
      <c r="AA692" s="21">
        <f t="shared" si="87"/>
        <v>1</v>
      </c>
    </row>
    <row r="693" spans="1:27">
      <c r="A693" t="s">
        <v>76</v>
      </c>
      <c r="B693" s="18">
        <v>2040</v>
      </c>
      <c r="C693" t="s">
        <v>242</v>
      </c>
      <c r="D693" s="20" t="s">
        <v>403</v>
      </c>
      <c r="E693" s="20" t="s">
        <v>404</v>
      </c>
      <c r="F693" s="20" t="s">
        <v>246</v>
      </c>
      <c r="G693" s="20" t="s">
        <v>382</v>
      </c>
      <c r="H693" s="20" t="s">
        <v>384</v>
      </c>
      <c r="I693" s="29">
        <v>1</v>
      </c>
      <c r="J693" s="30">
        <v>1</v>
      </c>
      <c r="K693" s="31">
        <v>8.6999999999999994E-3</v>
      </c>
      <c r="L693" s="9">
        <v>629347032.33731306</v>
      </c>
      <c r="M693" s="9">
        <v>628667498.21665299</v>
      </c>
      <c r="N693" s="32">
        <f>MIN(MAX((B693-Calculation_Assumptions!$B$5+1)/Calculation_Assumptions!$B$7,0),1)</f>
        <v>1</v>
      </c>
      <c r="O693" s="21">
        <f t="shared" si="80"/>
        <v>629347032.33731306</v>
      </c>
      <c r="P693" s="21">
        <f t="shared" si="81"/>
        <v>628667498.21665299</v>
      </c>
      <c r="Q693" s="21">
        <f>P693*Calculation_Assumptions!$B$14*J693*K693</f>
        <v>0</v>
      </c>
      <c r="R693" s="21">
        <f t="shared" si="82"/>
        <v>5475319.1813346231</v>
      </c>
      <c r="S693" s="21">
        <f t="shared" si="83"/>
        <v>5475319.1813346231</v>
      </c>
      <c r="T693" s="32">
        <f>1/(1+Calculation_Assumptions!$B$8)^(B693-Calculation_Assumptions!$B$2)</f>
        <v>0.64186194739671765</v>
      </c>
      <c r="U693" s="21">
        <f t="shared" si="84"/>
        <v>0</v>
      </c>
      <c r="V693" s="21">
        <f t="shared" si="85"/>
        <v>3514399.0323500428</v>
      </c>
      <c r="W693" s="21">
        <f t="shared" si="86"/>
        <v>3514399.0323500428</v>
      </c>
      <c r="X693">
        <v>0</v>
      </c>
      <c r="Y693" s="18">
        <v>2017</v>
      </c>
      <c r="Z693" t="s">
        <v>387</v>
      </c>
      <c r="AA693" s="21">
        <f t="shared" si="87"/>
        <v>1</v>
      </c>
    </row>
    <row r="694" spans="1:27">
      <c r="A694" t="s">
        <v>76</v>
      </c>
      <c r="B694" s="18">
        <v>2041</v>
      </c>
      <c r="C694" t="s">
        <v>242</v>
      </c>
      <c r="D694" s="20" t="s">
        <v>403</v>
      </c>
      <c r="E694" s="20" t="s">
        <v>404</v>
      </c>
      <c r="F694" s="20" t="s">
        <v>246</v>
      </c>
      <c r="G694" s="20" t="s">
        <v>382</v>
      </c>
      <c r="H694" s="20" t="s">
        <v>384</v>
      </c>
      <c r="I694" s="29">
        <v>1</v>
      </c>
      <c r="J694" s="30">
        <v>1</v>
      </c>
      <c r="K694" s="31">
        <v>8.6999999999999994E-3</v>
      </c>
      <c r="L694" s="9">
        <v>632268493.39175498</v>
      </c>
      <c r="M694" s="9">
        <v>631488405.68781996</v>
      </c>
      <c r="N694" s="32">
        <f>MIN(MAX((B694-Calculation_Assumptions!$B$5+1)/Calculation_Assumptions!$B$7,0),1)</f>
        <v>1</v>
      </c>
      <c r="O694" s="21">
        <f t="shared" si="80"/>
        <v>632268493.39175498</v>
      </c>
      <c r="P694" s="21">
        <f t="shared" si="81"/>
        <v>631488405.68781996</v>
      </c>
      <c r="Q694" s="21">
        <f>P694*Calculation_Assumptions!$B$14*J694*K694</f>
        <v>0</v>
      </c>
      <c r="R694" s="21">
        <f t="shared" si="82"/>
        <v>5500735.8925082684</v>
      </c>
      <c r="S694" s="21">
        <f t="shared" si="83"/>
        <v>5500735.8925082684</v>
      </c>
      <c r="T694" s="32">
        <f>1/(1+Calculation_Assumptions!$B$8)^(B694-Calculation_Assumptions!$B$2)</f>
        <v>0.62316693922011435</v>
      </c>
      <c r="U694" s="21">
        <f t="shared" si="84"/>
        <v>0</v>
      </c>
      <c r="V694" s="21">
        <f t="shared" si="85"/>
        <v>3427876.7495926013</v>
      </c>
      <c r="W694" s="21">
        <f t="shared" si="86"/>
        <v>3427876.7495926013</v>
      </c>
      <c r="X694">
        <v>0</v>
      </c>
      <c r="Y694" s="18">
        <v>2017</v>
      </c>
      <c r="Z694" t="s">
        <v>387</v>
      </c>
      <c r="AA694" s="21">
        <f t="shared" si="87"/>
        <v>1</v>
      </c>
    </row>
    <row r="695" spans="1:27">
      <c r="A695" t="s">
        <v>76</v>
      </c>
      <c r="B695" s="18">
        <v>2042</v>
      </c>
      <c r="C695" t="s">
        <v>242</v>
      </c>
      <c r="D695" s="20" t="s">
        <v>403</v>
      </c>
      <c r="E695" s="20" t="s">
        <v>404</v>
      </c>
      <c r="F695" s="20" t="s">
        <v>246</v>
      </c>
      <c r="G695" s="20" t="s">
        <v>382</v>
      </c>
      <c r="H695" s="20" t="s">
        <v>384</v>
      </c>
      <c r="I695" s="29">
        <v>1</v>
      </c>
      <c r="J695" s="30">
        <v>1</v>
      </c>
      <c r="K695" s="31">
        <v>8.6999999999999994E-3</v>
      </c>
      <c r="L695" s="9">
        <v>635066634.14519799</v>
      </c>
      <c r="M695" s="9">
        <v>634184560.98858297</v>
      </c>
      <c r="N695" s="32">
        <f>MIN(MAX((B695-Calculation_Assumptions!$B$5+1)/Calculation_Assumptions!$B$7,0),1)</f>
        <v>1</v>
      </c>
      <c r="O695" s="21">
        <f t="shared" si="80"/>
        <v>635066634.14519799</v>
      </c>
      <c r="P695" s="21">
        <f t="shared" si="81"/>
        <v>634184560.98858297</v>
      </c>
      <c r="Q695" s="21">
        <f>P695*Calculation_Assumptions!$B$14*J695*K695</f>
        <v>0</v>
      </c>
      <c r="R695" s="21">
        <f t="shared" si="82"/>
        <v>5525079.7170632221</v>
      </c>
      <c r="S695" s="21">
        <f t="shared" si="83"/>
        <v>5525079.7170632221</v>
      </c>
      <c r="T695" s="32">
        <f>1/(1+Calculation_Assumptions!$B$8)^(B695-Calculation_Assumptions!$B$2)</f>
        <v>0.60501644584477121</v>
      </c>
      <c r="U695" s="21">
        <f t="shared" si="84"/>
        <v>0</v>
      </c>
      <c r="V695" s="21">
        <f t="shared" si="85"/>
        <v>3342764.0934266248</v>
      </c>
      <c r="W695" s="21">
        <f t="shared" si="86"/>
        <v>3342764.0934266248</v>
      </c>
      <c r="X695">
        <v>0</v>
      </c>
      <c r="Y695" s="18">
        <v>2017</v>
      </c>
      <c r="Z695" t="s">
        <v>387</v>
      </c>
      <c r="AA695" s="21">
        <f t="shared" si="87"/>
        <v>1</v>
      </c>
    </row>
    <row r="696" spans="1:27">
      <c r="A696" t="s">
        <v>76</v>
      </c>
      <c r="B696" s="18">
        <v>2043</v>
      </c>
      <c r="C696" t="s">
        <v>242</v>
      </c>
      <c r="D696" s="20" t="s">
        <v>403</v>
      </c>
      <c r="E696" s="20" t="s">
        <v>404</v>
      </c>
      <c r="F696" s="20" t="s">
        <v>246</v>
      </c>
      <c r="G696" s="20" t="s">
        <v>382</v>
      </c>
      <c r="H696" s="20" t="s">
        <v>384</v>
      </c>
      <c r="I696" s="29">
        <v>1</v>
      </c>
      <c r="J696" s="30">
        <v>1</v>
      </c>
      <c r="K696" s="31">
        <v>8.6999999999999994E-3</v>
      </c>
      <c r="L696" s="9">
        <v>637740511.15042996</v>
      </c>
      <c r="M696" s="9">
        <v>636767020.67603099</v>
      </c>
      <c r="N696" s="32">
        <f>MIN(MAX((B696-Calculation_Assumptions!$B$5+1)/Calculation_Assumptions!$B$7,0),1)</f>
        <v>1</v>
      </c>
      <c r="O696" s="21">
        <f t="shared" si="80"/>
        <v>637740511.15042996</v>
      </c>
      <c r="P696" s="21">
        <f t="shared" si="81"/>
        <v>636767020.67603099</v>
      </c>
      <c r="Q696" s="21">
        <f>P696*Calculation_Assumptions!$B$14*J696*K696</f>
        <v>0</v>
      </c>
      <c r="R696" s="21">
        <f t="shared" si="82"/>
        <v>5548342.4470087402</v>
      </c>
      <c r="S696" s="21">
        <f t="shared" si="83"/>
        <v>5548342.4470087402</v>
      </c>
      <c r="T696" s="32">
        <f>1/(1+Calculation_Assumptions!$B$8)^(B696-Calculation_Assumptions!$B$2)</f>
        <v>0.5873946076162827</v>
      </c>
      <c r="U696" s="21">
        <f t="shared" si="84"/>
        <v>0</v>
      </c>
      <c r="V696" s="21">
        <f t="shared" si="85"/>
        <v>3259066.4345814646</v>
      </c>
      <c r="W696" s="21">
        <f t="shared" si="86"/>
        <v>3259066.4345814646</v>
      </c>
      <c r="X696">
        <v>0</v>
      </c>
      <c r="Y696" s="18">
        <v>2017</v>
      </c>
      <c r="Z696" t="s">
        <v>387</v>
      </c>
      <c r="AA696" s="21">
        <f t="shared" si="87"/>
        <v>1</v>
      </c>
    </row>
    <row r="697" spans="1:27">
      <c r="A697" t="s">
        <v>76</v>
      </c>
      <c r="B697" s="18">
        <v>2044</v>
      </c>
      <c r="C697" t="s">
        <v>242</v>
      </c>
      <c r="D697" s="20" t="s">
        <v>403</v>
      </c>
      <c r="E697" s="20" t="s">
        <v>404</v>
      </c>
      <c r="F697" s="20" t="s">
        <v>246</v>
      </c>
      <c r="G697" s="20" t="s">
        <v>382</v>
      </c>
      <c r="H697" s="20" t="s">
        <v>384</v>
      </c>
      <c r="I697" s="29">
        <v>1</v>
      </c>
      <c r="J697" s="30">
        <v>1</v>
      </c>
      <c r="K697" s="31">
        <v>8.6999999999999994E-3</v>
      </c>
      <c r="L697" s="9">
        <v>640285329.92099202</v>
      </c>
      <c r="M697" s="9">
        <v>639211548.58069301</v>
      </c>
      <c r="N697" s="32">
        <f>MIN(MAX((B697-Calculation_Assumptions!$B$5+1)/Calculation_Assumptions!$B$7,0),1)</f>
        <v>1</v>
      </c>
      <c r="O697" s="21">
        <f t="shared" si="80"/>
        <v>640285329.92099202</v>
      </c>
      <c r="P697" s="21">
        <f t="shared" si="81"/>
        <v>639211548.58069301</v>
      </c>
      <c r="Q697" s="21">
        <f>P697*Calculation_Assumptions!$B$14*J697*K697</f>
        <v>0</v>
      </c>
      <c r="R697" s="21">
        <f t="shared" si="82"/>
        <v>5570482.3703126302</v>
      </c>
      <c r="S697" s="21">
        <f t="shared" si="83"/>
        <v>5570482.3703126302</v>
      </c>
      <c r="T697" s="32">
        <f>1/(1+Calculation_Assumptions!$B$8)^(B697-Calculation_Assumptions!$B$2)</f>
        <v>0.57028602681192497</v>
      </c>
      <c r="U697" s="21">
        <f t="shared" si="84"/>
        <v>0</v>
      </c>
      <c r="V697" s="21">
        <f t="shared" si="85"/>
        <v>3176768.2583914641</v>
      </c>
      <c r="W697" s="21">
        <f t="shared" si="86"/>
        <v>3176768.2583914641</v>
      </c>
      <c r="X697">
        <v>0</v>
      </c>
      <c r="Y697" s="18">
        <v>2017</v>
      </c>
      <c r="Z697" t="s">
        <v>387</v>
      </c>
      <c r="AA697" s="21">
        <f t="shared" si="87"/>
        <v>1</v>
      </c>
    </row>
    <row r="698" spans="1:27">
      <c r="A698" t="s">
        <v>76</v>
      </c>
      <c r="B698" s="18">
        <v>2045</v>
      </c>
      <c r="C698" t="s">
        <v>242</v>
      </c>
      <c r="D698" s="20" t="s">
        <v>403</v>
      </c>
      <c r="E698" s="20" t="s">
        <v>404</v>
      </c>
      <c r="F698" s="20" t="s">
        <v>246</v>
      </c>
      <c r="G698" s="20" t="s">
        <v>382</v>
      </c>
      <c r="H698" s="20" t="s">
        <v>384</v>
      </c>
      <c r="I698" s="29">
        <v>1</v>
      </c>
      <c r="J698" s="30">
        <v>1</v>
      </c>
      <c r="K698" s="31">
        <v>8.6999999999999994E-3</v>
      </c>
      <c r="L698" s="9">
        <v>642695843.59439898</v>
      </c>
      <c r="M698" s="9">
        <v>641520754.67294204</v>
      </c>
      <c r="N698" s="32">
        <f>MIN(MAX((B698-Calculation_Assumptions!$B$5+1)/Calculation_Assumptions!$B$7,0),1)</f>
        <v>1</v>
      </c>
      <c r="O698" s="21">
        <f t="shared" si="80"/>
        <v>642695843.59439898</v>
      </c>
      <c r="P698" s="21">
        <f t="shared" si="81"/>
        <v>641520754.67294204</v>
      </c>
      <c r="Q698" s="21">
        <f>P698*Calculation_Assumptions!$B$14*J698*K698</f>
        <v>0</v>
      </c>
      <c r="R698" s="21">
        <f t="shared" si="82"/>
        <v>5591453.8392712707</v>
      </c>
      <c r="S698" s="21">
        <f t="shared" si="83"/>
        <v>5591453.8392712707</v>
      </c>
      <c r="T698" s="32">
        <f>1/(1+Calculation_Assumptions!$B$8)^(B698-Calculation_Assumptions!$B$2)</f>
        <v>0.55367575418633497</v>
      </c>
      <c r="U698" s="21">
        <f t="shared" si="84"/>
        <v>0</v>
      </c>
      <c r="V698" s="21">
        <f t="shared" si="85"/>
        <v>3095852.4214565991</v>
      </c>
      <c r="W698" s="21">
        <f t="shared" si="86"/>
        <v>3095852.4214565991</v>
      </c>
      <c r="X698">
        <v>0</v>
      </c>
      <c r="Y698" s="18">
        <v>2017</v>
      </c>
      <c r="Z698" t="s">
        <v>387</v>
      </c>
      <c r="AA698" s="21">
        <f t="shared" si="87"/>
        <v>1</v>
      </c>
    </row>
    <row r="699" spans="1:27">
      <c r="A699" t="s">
        <v>76</v>
      </c>
      <c r="B699" s="18">
        <v>2046</v>
      </c>
      <c r="C699" t="s">
        <v>242</v>
      </c>
      <c r="D699" s="20" t="s">
        <v>403</v>
      </c>
      <c r="E699" s="20" t="s">
        <v>404</v>
      </c>
      <c r="F699" s="20" t="s">
        <v>246</v>
      </c>
      <c r="G699" s="20" t="s">
        <v>382</v>
      </c>
      <c r="H699" s="20" t="s">
        <v>384</v>
      </c>
      <c r="I699" s="29">
        <v>1</v>
      </c>
      <c r="J699" s="30">
        <v>1</v>
      </c>
      <c r="K699" s="31">
        <v>8.6999999999999994E-3</v>
      </c>
      <c r="L699" s="9">
        <v>644974193.08303404</v>
      </c>
      <c r="M699" s="9">
        <v>643697330.762573</v>
      </c>
      <c r="N699" s="32">
        <f>MIN(MAX((B699-Calculation_Assumptions!$B$5+1)/Calculation_Assumptions!$B$7,0),1)</f>
        <v>1</v>
      </c>
      <c r="O699" s="21">
        <f t="shared" si="80"/>
        <v>644974193.08303404</v>
      </c>
      <c r="P699" s="21">
        <f t="shared" si="81"/>
        <v>643697330.762573</v>
      </c>
      <c r="Q699" s="21">
        <f>P699*Calculation_Assumptions!$B$14*J699*K699</f>
        <v>0</v>
      </c>
      <c r="R699" s="21">
        <f t="shared" si="82"/>
        <v>5611275.4798223954</v>
      </c>
      <c r="S699" s="21">
        <f t="shared" si="83"/>
        <v>5611275.4798223954</v>
      </c>
      <c r="T699" s="32">
        <f>1/(1+Calculation_Assumptions!$B$8)^(B699-Calculation_Assumptions!$B$2)</f>
        <v>0.5375492759090631</v>
      </c>
      <c r="U699" s="21">
        <f t="shared" si="84"/>
        <v>0</v>
      </c>
      <c r="V699" s="21">
        <f t="shared" si="85"/>
        <v>3016337.0711048092</v>
      </c>
      <c r="W699" s="21">
        <f t="shared" si="86"/>
        <v>3016337.0711048092</v>
      </c>
      <c r="X699">
        <v>0</v>
      </c>
      <c r="Y699" s="18">
        <v>2017</v>
      </c>
      <c r="Z699" t="s">
        <v>387</v>
      </c>
      <c r="AA699" s="21">
        <f t="shared" si="87"/>
        <v>1</v>
      </c>
    </row>
    <row r="700" spans="1:27">
      <c r="A700" t="s">
        <v>76</v>
      </c>
      <c r="B700" s="18">
        <v>2047</v>
      </c>
      <c r="C700" t="s">
        <v>242</v>
      </c>
      <c r="D700" s="20" t="s">
        <v>403</v>
      </c>
      <c r="E700" s="20" t="s">
        <v>404</v>
      </c>
      <c r="F700" s="20" t="s">
        <v>246</v>
      </c>
      <c r="G700" s="20" t="s">
        <v>382</v>
      </c>
      <c r="H700" s="20" t="s">
        <v>384</v>
      </c>
      <c r="I700" s="29">
        <v>1</v>
      </c>
      <c r="J700" s="30">
        <v>1</v>
      </c>
      <c r="K700" s="31">
        <v>8.6999999999999994E-3</v>
      </c>
      <c r="L700" s="9">
        <v>647124942.32164299</v>
      </c>
      <c r="M700" s="9">
        <v>645745914.53009498</v>
      </c>
      <c r="N700" s="32">
        <f>MIN(MAX((B700-Calculation_Assumptions!$B$5+1)/Calculation_Assumptions!$B$7,0),1)</f>
        <v>1</v>
      </c>
      <c r="O700" s="21">
        <f t="shared" si="80"/>
        <v>647124942.32164299</v>
      </c>
      <c r="P700" s="21">
        <f t="shared" si="81"/>
        <v>645745914.53009498</v>
      </c>
      <c r="Q700" s="21">
        <f>P700*Calculation_Assumptions!$B$14*J700*K700</f>
        <v>0</v>
      </c>
      <c r="R700" s="21">
        <f t="shared" si="82"/>
        <v>5629986.9981982941</v>
      </c>
      <c r="S700" s="21">
        <f t="shared" si="83"/>
        <v>5629986.9981982941</v>
      </c>
      <c r="T700" s="32">
        <f>1/(1+Calculation_Assumptions!$B$8)^(B700-Calculation_Assumptions!$B$2)</f>
        <v>0.52189250088258554</v>
      </c>
      <c r="U700" s="21">
        <f t="shared" si="84"/>
        <v>0</v>
      </c>
      <c r="V700" s="21">
        <f t="shared" si="85"/>
        <v>2938247.9944261485</v>
      </c>
      <c r="W700" s="21">
        <f t="shared" si="86"/>
        <v>2938247.9944261485</v>
      </c>
      <c r="X700">
        <v>0</v>
      </c>
      <c r="Y700" s="18">
        <v>2017</v>
      </c>
      <c r="Z700" t="s">
        <v>387</v>
      </c>
      <c r="AA700" s="21">
        <f t="shared" si="87"/>
        <v>1</v>
      </c>
    </row>
    <row r="701" spans="1:27">
      <c r="A701" t="s">
        <v>76</v>
      </c>
      <c r="B701" s="18">
        <v>2048</v>
      </c>
      <c r="C701" t="s">
        <v>242</v>
      </c>
      <c r="D701" s="20" t="s">
        <v>403</v>
      </c>
      <c r="E701" s="20" t="s">
        <v>404</v>
      </c>
      <c r="F701" s="20" t="s">
        <v>246</v>
      </c>
      <c r="G701" s="20" t="s">
        <v>382</v>
      </c>
      <c r="H701" s="20" t="s">
        <v>384</v>
      </c>
      <c r="I701" s="29">
        <v>1</v>
      </c>
      <c r="J701" s="30">
        <v>1</v>
      </c>
      <c r="K701" s="31">
        <v>8.6999999999999994E-3</v>
      </c>
      <c r="L701" s="9">
        <v>649147853.41567302</v>
      </c>
      <c r="M701" s="9">
        <v>647666796.64810395</v>
      </c>
      <c r="N701" s="32">
        <f>MIN(MAX((B701-Calculation_Assumptions!$B$5+1)/Calculation_Assumptions!$B$7,0),1)</f>
        <v>1</v>
      </c>
      <c r="O701" s="21">
        <f t="shared" si="80"/>
        <v>649147853.41567302</v>
      </c>
      <c r="P701" s="21">
        <f t="shared" si="81"/>
        <v>647666796.64810395</v>
      </c>
      <c r="Q701" s="21">
        <f>P701*Calculation_Assumptions!$B$14*J701*K701</f>
        <v>0</v>
      </c>
      <c r="R701" s="21">
        <f t="shared" si="82"/>
        <v>5647586.3247163547</v>
      </c>
      <c r="S701" s="21">
        <f t="shared" si="83"/>
        <v>5647586.3247163547</v>
      </c>
      <c r="T701" s="32">
        <f>1/(1+Calculation_Assumptions!$B$8)^(B701-Calculation_Assumptions!$B$2)</f>
        <v>0.50669174842969467</v>
      </c>
      <c r="U701" s="21">
        <f t="shared" si="84"/>
        <v>0</v>
      </c>
      <c r="V701" s="21">
        <f t="shared" si="85"/>
        <v>2861585.3892781632</v>
      </c>
      <c r="W701" s="21">
        <f t="shared" si="86"/>
        <v>2861585.3892781632</v>
      </c>
      <c r="X701">
        <v>0</v>
      </c>
      <c r="Y701" s="18">
        <v>2017</v>
      </c>
      <c r="Z701" t="s">
        <v>387</v>
      </c>
      <c r="AA701" s="21">
        <f t="shared" si="87"/>
        <v>1</v>
      </c>
    </row>
    <row r="702" spans="1:27">
      <c r="A702" t="s">
        <v>76</v>
      </c>
      <c r="B702" s="18">
        <v>2049</v>
      </c>
      <c r="C702" t="s">
        <v>242</v>
      </c>
      <c r="D702" s="20" t="s">
        <v>403</v>
      </c>
      <c r="E702" s="20" t="s">
        <v>404</v>
      </c>
      <c r="F702" s="20" t="s">
        <v>246</v>
      </c>
      <c r="G702" s="20" t="s">
        <v>382</v>
      </c>
      <c r="H702" s="20" t="s">
        <v>384</v>
      </c>
      <c r="I702" s="29">
        <v>1</v>
      </c>
      <c r="J702" s="30">
        <v>1</v>
      </c>
      <c r="K702" s="31">
        <v>8.6999999999999994E-3</v>
      </c>
      <c r="L702" s="9">
        <v>651040967.5934</v>
      </c>
      <c r="M702" s="9">
        <v>649421968.02473402</v>
      </c>
      <c r="N702" s="32">
        <f>MIN(MAX((B702-Calculation_Assumptions!$B$5+1)/Calculation_Assumptions!$B$7,0),1)</f>
        <v>1</v>
      </c>
      <c r="O702" s="21">
        <f t="shared" si="80"/>
        <v>651040967.5934</v>
      </c>
      <c r="P702" s="21">
        <f t="shared" si="81"/>
        <v>649421968.02473402</v>
      </c>
      <c r="Q702" s="21">
        <f>P702*Calculation_Assumptions!$B$14*J702*K702</f>
        <v>0</v>
      </c>
      <c r="R702" s="21">
        <f t="shared" si="82"/>
        <v>5664056.4180625798</v>
      </c>
      <c r="S702" s="21">
        <f t="shared" si="83"/>
        <v>5664056.4180625798</v>
      </c>
      <c r="T702" s="32">
        <f>1/(1+Calculation_Assumptions!$B$8)^(B702-Calculation_Assumptions!$B$2)</f>
        <v>0.49193373633950943</v>
      </c>
      <c r="U702" s="21">
        <f t="shared" si="84"/>
        <v>0</v>
      </c>
      <c r="V702" s="21">
        <f t="shared" si="85"/>
        <v>2786340.4365753033</v>
      </c>
      <c r="W702" s="21">
        <f t="shared" si="86"/>
        <v>2786340.4365753033</v>
      </c>
      <c r="X702">
        <v>0</v>
      </c>
      <c r="Y702" s="18">
        <v>2017</v>
      </c>
      <c r="Z702" t="s">
        <v>387</v>
      </c>
      <c r="AA702" s="21">
        <f t="shared" si="87"/>
        <v>1</v>
      </c>
    </row>
    <row r="703" spans="1:27">
      <c r="A703" t="s">
        <v>76</v>
      </c>
      <c r="B703" s="18">
        <v>2050</v>
      </c>
      <c r="C703" t="s">
        <v>242</v>
      </c>
      <c r="D703" s="20" t="s">
        <v>403</v>
      </c>
      <c r="E703" s="20" t="s">
        <v>404</v>
      </c>
      <c r="F703" s="20" t="s">
        <v>246</v>
      </c>
      <c r="G703" s="20" t="s">
        <v>382</v>
      </c>
      <c r="H703" s="20" t="s">
        <v>384</v>
      </c>
      <c r="I703" s="29">
        <v>1</v>
      </c>
      <c r="J703" s="30">
        <v>1</v>
      </c>
      <c r="K703" s="31">
        <v>8.6999999999999994E-3</v>
      </c>
      <c r="L703" s="9">
        <v>652799148.10289598</v>
      </c>
      <c r="M703" s="9">
        <v>651074457.25957894</v>
      </c>
      <c r="N703" s="32">
        <f>MIN(MAX((B703-Calculation_Assumptions!$B$5+1)/Calculation_Assumptions!$B$7,0),1)</f>
        <v>1</v>
      </c>
      <c r="O703" s="21">
        <f t="shared" si="80"/>
        <v>652799148.10289598</v>
      </c>
      <c r="P703" s="21">
        <f t="shared" si="81"/>
        <v>651074457.25957894</v>
      </c>
      <c r="Q703" s="21">
        <f>P703*Calculation_Assumptions!$B$14*J703*K703</f>
        <v>0</v>
      </c>
      <c r="R703" s="21">
        <f t="shared" si="82"/>
        <v>5679352.5884951949</v>
      </c>
      <c r="S703" s="21">
        <f t="shared" si="83"/>
        <v>5679352.5884951949</v>
      </c>
      <c r="T703" s="32">
        <f>1/(1+Calculation_Assumptions!$B$8)^(B703-Calculation_Assumptions!$B$2)</f>
        <v>0.47760556926165965</v>
      </c>
      <c r="U703" s="21">
        <f t="shared" si="84"/>
        <v>0</v>
      </c>
      <c r="V703" s="21">
        <f t="shared" si="85"/>
        <v>2712490.4260659278</v>
      </c>
      <c r="W703" s="21">
        <f t="shared" si="86"/>
        <v>2712490.4260659278</v>
      </c>
      <c r="X703">
        <v>0</v>
      </c>
      <c r="Y703" s="18">
        <v>2017</v>
      </c>
      <c r="Z703" t="s">
        <v>387</v>
      </c>
      <c r="AA703" s="21">
        <f t="shared" si="87"/>
        <v>1</v>
      </c>
    </row>
    <row r="704" spans="1:27">
      <c r="A704" t="s">
        <v>76</v>
      </c>
      <c r="B704" s="18">
        <v>2025</v>
      </c>
      <c r="C704" t="s">
        <v>247</v>
      </c>
      <c r="D704" s="20" t="s">
        <v>405</v>
      </c>
      <c r="E704" s="20" t="s">
        <v>406</v>
      </c>
      <c r="F704" s="20" t="s">
        <v>253</v>
      </c>
      <c r="G704" s="20" t="s">
        <v>382</v>
      </c>
      <c r="H704" s="20" t="s">
        <v>384</v>
      </c>
      <c r="I704" s="29">
        <v>1</v>
      </c>
      <c r="J704" s="30">
        <v>1</v>
      </c>
      <c r="K704" s="31">
        <v>4.0000000000000001E-3</v>
      </c>
      <c r="L704" s="9">
        <v>575134853.59312999</v>
      </c>
      <c r="M704" s="9">
        <v>575134853.59312999</v>
      </c>
      <c r="N704" s="32">
        <f>MIN(MAX((B704-Calculation_Assumptions!$B$5+1)/Calculation_Assumptions!$B$7,0),1)</f>
        <v>0</v>
      </c>
      <c r="O704" s="21">
        <f t="shared" si="80"/>
        <v>575134853.59312999</v>
      </c>
      <c r="P704" s="21">
        <f t="shared" si="81"/>
        <v>575134853.59312999</v>
      </c>
      <c r="Q704" s="21">
        <f>P704*Calculation_Assumptions!$B$14*J704*K704</f>
        <v>0</v>
      </c>
      <c r="R704" s="21">
        <f t="shared" si="82"/>
        <v>0</v>
      </c>
      <c r="S704" s="21">
        <f t="shared" si="83"/>
        <v>0</v>
      </c>
      <c r="T704" s="32">
        <f>1/(1+Calculation_Assumptions!$B$8)^(B704-Calculation_Assumptions!$B$2)</f>
        <v>1</v>
      </c>
      <c r="U704" s="21">
        <f t="shared" si="84"/>
        <v>0</v>
      </c>
      <c r="V704" s="21">
        <f t="shared" si="85"/>
        <v>0</v>
      </c>
      <c r="W704" s="21">
        <f t="shared" si="86"/>
        <v>0</v>
      </c>
      <c r="X704">
        <v>0</v>
      </c>
      <c r="Y704" s="18">
        <v>2017</v>
      </c>
      <c r="Z704" t="s">
        <v>387</v>
      </c>
      <c r="AA704" s="21">
        <f t="shared" si="87"/>
        <v>1</v>
      </c>
    </row>
    <row r="705" spans="1:27">
      <c r="A705" t="s">
        <v>76</v>
      </c>
      <c r="B705" s="18">
        <v>2026</v>
      </c>
      <c r="C705" t="s">
        <v>247</v>
      </c>
      <c r="D705" s="20" t="s">
        <v>405</v>
      </c>
      <c r="E705" s="20" t="s">
        <v>406</v>
      </c>
      <c r="F705" s="20" t="s">
        <v>253</v>
      </c>
      <c r="G705" s="20" t="s">
        <v>382</v>
      </c>
      <c r="H705" s="20" t="s">
        <v>384</v>
      </c>
      <c r="I705" s="29">
        <v>1</v>
      </c>
      <c r="J705" s="30">
        <v>1</v>
      </c>
      <c r="K705" s="31">
        <v>4.0000000000000001E-3</v>
      </c>
      <c r="L705" s="9">
        <v>579268647.32329595</v>
      </c>
      <c r="M705" s="9">
        <v>579268647.32329595</v>
      </c>
      <c r="N705" s="32">
        <f>MIN(MAX((B705-Calculation_Assumptions!$B$5+1)/Calculation_Assumptions!$B$7,0),1)</f>
        <v>0.33333333333333331</v>
      </c>
      <c r="O705" s="21">
        <f t="shared" si="80"/>
        <v>579268647.32329595</v>
      </c>
      <c r="P705" s="21">
        <f t="shared" si="81"/>
        <v>579268647.32329595</v>
      </c>
      <c r="Q705" s="21">
        <f>P705*Calculation_Assumptions!$B$14*J705*K705</f>
        <v>0</v>
      </c>
      <c r="R705" s="21">
        <f t="shared" si="82"/>
        <v>772358.19643106125</v>
      </c>
      <c r="S705" s="21">
        <f t="shared" si="83"/>
        <v>772358.19643106125</v>
      </c>
      <c r="T705" s="32">
        <f>1/(1+Calculation_Assumptions!$B$8)^(B705-Calculation_Assumptions!$B$2)</f>
        <v>0.970873786407767</v>
      </c>
      <c r="U705" s="21">
        <f t="shared" si="84"/>
        <v>0</v>
      </c>
      <c r="V705" s="21">
        <f t="shared" si="85"/>
        <v>749862.32663209829</v>
      </c>
      <c r="W705" s="21">
        <f t="shared" si="86"/>
        <v>749862.32663209829</v>
      </c>
      <c r="X705">
        <v>0</v>
      </c>
      <c r="Y705" s="18">
        <v>2017</v>
      </c>
      <c r="Z705" t="s">
        <v>387</v>
      </c>
      <c r="AA705" s="21">
        <f t="shared" si="87"/>
        <v>1</v>
      </c>
    </row>
    <row r="706" spans="1:27">
      <c r="A706" t="s">
        <v>76</v>
      </c>
      <c r="B706" s="18">
        <v>2027</v>
      </c>
      <c r="C706" t="s">
        <v>247</v>
      </c>
      <c r="D706" s="20" t="s">
        <v>405</v>
      </c>
      <c r="E706" s="20" t="s">
        <v>406</v>
      </c>
      <c r="F706" s="20" t="s">
        <v>253</v>
      </c>
      <c r="G706" s="20" t="s">
        <v>382</v>
      </c>
      <c r="H706" s="20" t="s">
        <v>384</v>
      </c>
      <c r="I706" s="29">
        <v>1</v>
      </c>
      <c r="J706" s="30">
        <v>1</v>
      </c>
      <c r="K706" s="31">
        <v>4.0000000000000001E-3</v>
      </c>
      <c r="L706" s="9">
        <v>583039014.28645599</v>
      </c>
      <c r="M706" s="9">
        <v>583039014.28645599</v>
      </c>
      <c r="N706" s="32">
        <f>MIN(MAX((B706-Calculation_Assumptions!$B$5+1)/Calculation_Assumptions!$B$7,0),1)</f>
        <v>0.66666666666666663</v>
      </c>
      <c r="O706" s="21">
        <f t="shared" ref="O706:O769" si="88">L706*I706</f>
        <v>583039014.28645599</v>
      </c>
      <c r="P706" s="21">
        <f t="shared" ref="P706:P769" si="89">M706*I706</f>
        <v>583039014.28645599</v>
      </c>
      <c r="Q706" s="21">
        <f>P706*Calculation_Assumptions!$B$14*J706*K706</f>
        <v>0</v>
      </c>
      <c r="R706" s="21">
        <f t="shared" ref="R706:R769" si="90">O706*N706*J706*K706</f>
        <v>1554770.7047638826</v>
      </c>
      <c r="S706" s="21">
        <f t="shared" ref="S706:S769" si="91">R706-Q706</f>
        <v>1554770.7047638826</v>
      </c>
      <c r="T706" s="32">
        <f>1/(1+Calculation_Assumptions!$B$8)^(B706-Calculation_Assumptions!$B$2)</f>
        <v>0.94259590913375435</v>
      </c>
      <c r="U706" s="21">
        <f t="shared" ref="U706:U769" si="92">Q706*T706</f>
        <v>0</v>
      </c>
      <c r="V706" s="21">
        <f t="shared" ref="V706:V769" si="93">R706*T706</f>
        <v>1465520.50595144</v>
      </c>
      <c r="W706" s="21">
        <f t="shared" ref="W706:W769" si="94">S706*T706</f>
        <v>1465520.50595144</v>
      </c>
      <c r="X706">
        <v>0</v>
      </c>
      <c r="Y706" s="18">
        <v>2017</v>
      </c>
      <c r="Z706" t="s">
        <v>387</v>
      </c>
      <c r="AA706" s="21">
        <f t="shared" ref="AA706:AA769" si="95">IF(G706="shared-count-once",COUNTIFS($A$2:$A$807,A706,$B$2:$B$807,B706,$D$2:$D$807,D706),1)</f>
        <v>1</v>
      </c>
    </row>
    <row r="707" spans="1:27">
      <c r="A707" t="s">
        <v>76</v>
      </c>
      <c r="B707" s="18">
        <v>2028</v>
      </c>
      <c r="C707" t="s">
        <v>247</v>
      </c>
      <c r="D707" s="20" t="s">
        <v>405</v>
      </c>
      <c r="E707" s="20" t="s">
        <v>406</v>
      </c>
      <c r="F707" s="20" t="s">
        <v>253</v>
      </c>
      <c r="G707" s="20" t="s">
        <v>382</v>
      </c>
      <c r="H707" s="20" t="s">
        <v>384</v>
      </c>
      <c r="I707" s="29">
        <v>1</v>
      </c>
      <c r="J707" s="30">
        <v>1</v>
      </c>
      <c r="K707" s="31">
        <v>4.0000000000000001E-3</v>
      </c>
      <c r="L707" s="9">
        <v>587039795.04372799</v>
      </c>
      <c r="M707" s="9">
        <v>587035116.25746298</v>
      </c>
      <c r="N707" s="32">
        <f>MIN(MAX((B707-Calculation_Assumptions!$B$5+1)/Calculation_Assumptions!$B$7,0),1)</f>
        <v>1</v>
      </c>
      <c r="O707" s="21">
        <f t="shared" si="88"/>
        <v>587039795.04372799</v>
      </c>
      <c r="P707" s="21">
        <f t="shared" si="89"/>
        <v>587035116.25746298</v>
      </c>
      <c r="Q707" s="21">
        <f>P707*Calculation_Assumptions!$B$14*J707*K707</f>
        <v>0</v>
      </c>
      <c r="R707" s="21">
        <f t="shared" si="90"/>
        <v>2348159.1801749119</v>
      </c>
      <c r="S707" s="21">
        <f t="shared" si="91"/>
        <v>2348159.1801749119</v>
      </c>
      <c r="T707" s="32">
        <f>1/(1+Calculation_Assumptions!$B$8)^(B707-Calculation_Assumptions!$B$2)</f>
        <v>0.91514165935315961</v>
      </c>
      <c r="U707" s="21">
        <f t="shared" si="92"/>
        <v>0</v>
      </c>
      <c r="V707" s="21">
        <f t="shared" si="93"/>
        <v>2148898.2885706238</v>
      </c>
      <c r="W707" s="21">
        <f t="shared" si="94"/>
        <v>2148898.2885706238</v>
      </c>
      <c r="X707">
        <v>0</v>
      </c>
      <c r="Y707" s="18">
        <v>2017</v>
      </c>
      <c r="Z707" t="s">
        <v>387</v>
      </c>
      <c r="AA707" s="21">
        <f t="shared" si="95"/>
        <v>1</v>
      </c>
    </row>
    <row r="708" spans="1:27">
      <c r="A708" t="s">
        <v>76</v>
      </c>
      <c r="B708" s="18">
        <v>2029</v>
      </c>
      <c r="C708" t="s">
        <v>247</v>
      </c>
      <c r="D708" s="20" t="s">
        <v>405</v>
      </c>
      <c r="E708" s="20" t="s">
        <v>406</v>
      </c>
      <c r="F708" s="20" t="s">
        <v>253</v>
      </c>
      <c r="G708" s="20" t="s">
        <v>382</v>
      </c>
      <c r="H708" s="20" t="s">
        <v>384</v>
      </c>
      <c r="I708" s="29">
        <v>1</v>
      </c>
      <c r="J708" s="30">
        <v>1</v>
      </c>
      <c r="K708" s="31">
        <v>4.0000000000000001E-3</v>
      </c>
      <c r="L708" s="9">
        <v>590766467.10548604</v>
      </c>
      <c r="M708" s="9">
        <v>590968059.72178304</v>
      </c>
      <c r="N708" s="32">
        <f>MIN(MAX((B708-Calculation_Assumptions!$B$5+1)/Calculation_Assumptions!$B$7,0),1)</f>
        <v>1</v>
      </c>
      <c r="O708" s="21">
        <f t="shared" si="88"/>
        <v>590766467.10548604</v>
      </c>
      <c r="P708" s="21">
        <f t="shared" si="89"/>
        <v>590968059.72178304</v>
      </c>
      <c r="Q708" s="21">
        <f>P708*Calculation_Assumptions!$B$14*J708*K708</f>
        <v>0</v>
      </c>
      <c r="R708" s="21">
        <f t="shared" si="90"/>
        <v>2363065.8684219443</v>
      </c>
      <c r="S708" s="21">
        <f t="shared" si="91"/>
        <v>2363065.8684219443</v>
      </c>
      <c r="T708" s="32">
        <f>1/(1+Calculation_Assumptions!$B$8)^(B708-Calculation_Assumptions!$B$2)</f>
        <v>0.888487047915689</v>
      </c>
      <c r="U708" s="21">
        <f t="shared" si="92"/>
        <v>0</v>
      </c>
      <c r="V708" s="21">
        <f t="shared" si="93"/>
        <v>2099553.4174645371</v>
      </c>
      <c r="W708" s="21">
        <f t="shared" si="94"/>
        <v>2099553.4174645371</v>
      </c>
      <c r="X708">
        <v>0</v>
      </c>
      <c r="Y708" s="18">
        <v>2017</v>
      </c>
      <c r="Z708" t="s">
        <v>387</v>
      </c>
      <c r="AA708" s="21">
        <f t="shared" si="95"/>
        <v>1</v>
      </c>
    </row>
    <row r="709" spans="1:27">
      <c r="A709" t="s">
        <v>76</v>
      </c>
      <c r="B709" s="18">
        <v>2030</v>
      </c>
      <c r="C709" t="s">
        <v>247</v>
      </c>
      <c r="D709" s="20" t="s">
        <v>405</v>
      </c>
      <c r="E709" s="20" t="s">
        <v>406</v>
      </c>
      <c r="F709" s="20" t="s">
        <v>253</v>
      </c>
      <c r="G709" s="20" t="s">
        <v>382</v>
      </c>
      <c r="H709" s="20" t="s">
        <v>384</v>
      </c>
      <c r="I709" s="29">
        <v>1</v>
      </c>
      <c r="J709" s="30">
        <v>1</v>
      </c>
      <c r="K709" s="31">
        <v>4.0000000000000001E-3</v>
      </c>
      <c r="L709" s="9">
        <v>594652967.05338001</v>
      </c>
      <c r="M709" s="9">
        <v>594808018.62654305</v>
      </c>
      <c r="N709" s="32">
        <f>MIN(MAX((B709-Calculation_Assumptions!$B$5+1)/Calculation_Assumptions!$B$7,0),1)</f>
        <v>1</v>
      </c>
      <c r="O709" s="21">
        <f t="shared" si="88"/>
        <v>594652967.05338001</v>
      </c>
      <c r="P709" s="21">
        <f t="shared" si="89"/>
        <v>594808018.62654305</v>
      </c>
      <c r="Q709" s="21">
        <f>P709*Calculation_Assumptions!$B$14*J709*K709</f>
        <v>0</v>
      </c>
      <c r="R709" s="21">
        <f t="shared" si="90"/>
        <v>2378611.8682135199</v>
      </c>
      <c r="S709" s="21">
        <f t="shared" si="91"/>
        <v>2378611.8682135199</v>
      </c>
      <c r="T709" s="32">
        <f>1/(1+Calculation_Assumptions!$B$8)^(B709-Calculation_Assumptions!$B$2)</f>
        <v>0.86260878438416411</v>
      </c>
      <c r="U709" s="21">
        <f t="shared" si="92"/>
        <v>0</v>
      </c>
      <c r="V709" s="21">
        <f t="shared" si="93"/>
        <v>2051811.4921614099</v>
      </c>
      <c r="W709" s="21">
        <f t="shared" si="94"/>
        <v>2051811.4921614099</v>
      </c>
      <c r="X709">
        <v>0</v>
      </c>
      <c r="Y709" s="18">
        <v>2017</v>
      </c>
      <c r="Z709" t="s">
        <v>387</v>
      </c>
      <c r="AA709" s="21">
        <f t="shared" si="95"/>
        <v>1</v>
      </c>
    </row>
    <row r="710" spans="1:27">
      <c r="A710" t="s">
        <v>76</v>
      </c>
      <c r="B710" s="18">
        <v>2031</v>
      </c>
      <c r="C710" t="s">
        <v>247</v>
      </c>
      <c r="D710" s="20" t="s">
        <v>405</v>
      </c>
      <c r="E710" s="20" t="s">
        <v>406</v>
      </c>
      <c r="F710" s="20" t="s">
        <v>253</v>
      </c>
      <c r="G710" s="20" t="s">
        <v>382</v>
      </c>
      <c r="H710" s="20" t="s">
        <v>384</v>
      </c>
      <c r="I710" s="29">
        <v>1</v>
      </c>
      <c r="J710" s="30">
        <v>1</v>
      </c>
      <c r="K710" s="31">
        <v>4.0000000000000001E-3</v>
      </c>
      <c r="L710" s="9">
        <v>598482853.08345401</v>
      </c>
      <c r="M710" s="9">
        <v>598581381.03442597</v>
      </c>
      <c r="N710" s="32">
        <f>MIN(MAX((B710-Calculation_Assumptions!$B$5+1)/Calculation_Assumptions!$B$7,0),1)</f>
        <v>1</v>
      </c>
      <c r="O710" s="21">
        <f t="shared" si="88"/>
        <v>598482853.08345401</v>
      </c>
      <c r="P710" s="21">
        <f t="shared" si="89"/>
        <v>598581381.03442597</v>
      </c>
      <c r="Q710" s="21">
        <f>P710*Calculation_Assumptions!$B$14*J710*K710</f>
        <v>0</v>
      </c>
      <c r="R710" s="21">
        <f t="shared" si="90"/>
        <v>2393931.4123338163</v>
      </c>
      <c r="S710" s="21">
        <f t="shared" si="91"/>
        <v>2393931.4123338163</v>
      </c>
      <c r="T710" s="32">
        <f>1/(1+Calculation_Assumptions!$B$8)^(B710-Calculation_Assumptions!$B$2)</f>
        <v>0.83748425668365445</v>
      </c>
      <c r="U710" s="21">
        <f t="shared" si="92"/>
        <v>0</v>
      </c>
      <c r="V710" s="21">
        <f t="shared" si="93"/>
        <v>2004879.8694100373</v>
      </c>
      <c r="W710" s="21">
        <f t="shared" si="94"/>
        <v>2004879.8694100373</v>
      </c>
      <c r="X710">
        <v>0</v>
      </c>
      <c r="Y710" s="18">
        <v>2017</v>
      </c>
      <c r="Z710" t="s">
        <v>387</v>
      </c>
      <c r="AA710" s="21">
        <f t="shared" si="95"/>
        <v>1</v>
      </c>
    </row>
    <row r="711" spans="1:27">
      <c r="A711" t="s">
        <v>76</v>
      </c>
      <c r="B711" s="18">
        <v>2032</v>
      </c>
      <c r="C711" t="s">
        <v>247</v>
      </c>
      <c r="D711" s="20" t="s">
        <v>405</v>
      </c>
      <c r="E711" s="20" t="s">
        <v>406</v>
      </c>
      <c r="F711" s="20" t="s">
        <v>253</v>
      </c>
      <c r="G711" s="20" t="s">
        <v>382</v>
      </c>
      <c r="H711" s="20" t="s">
        <v>384</v>
      </c>
      <c r="I711" s="29">
        <v>1</v>
      </c>
      <c r="J711" s="30">
        <v>1</v>
      </c>
      <c r="K711" s="31">
        <v>4.0000000000000001E-3</v>
      </c>
      <c r="L711" s="9">
        <v>602252425.332353</v>
      </c>
      <c r="M711" s="9">
        <v>602283583.58638096</v>
      </c>
      <c r="N711" s="32">
        <f>MIN(MAX((B711-Calculation_Assumptions!$B$5+1)/Calculation_Assumptions!$B$7,0),1)</f>
        <v>1</v>
      </c>
      <c r="O711" s="21">
        <f t="shared" si="88"/>
        <v>602252425.332353</v>
      </c>
      <c r="P711" s="21">
        <f t="shared" si="89"/>
        <v>602283583.58638096</v>
      </c>
      <c r="Q711" s="21">
        <f>P711*Calculation_Assumptions!$B$14*J711*K711</f>
        <v>0</v>
      </c>
      <c r="R711" s="21">
        <f t="shared" si="90"/>
        <v>2409009.7013294119</v>
      </c>
      <c r="S711" s="21">
        <f t="shared" si="91"/>
        <v>2409009.7013294119</v>
      </c>
      <c r="T711" s="32">
        <f>1/(1+Calculation_Assumptions!$B$8)^(B711-Calculation_Assumptions!$B$2)</f>
        <v>0.81309151134335378</v>
      </c>
      <c r="U711" s="21">
        <f t="shared" si="92"/>
        <v>0</v>
      </c>
      <c r="V711" s="21">
        <f t="shared" si="93"/>
        <v>1958745.3388947328</v>
      </c>
      <c r="W711" s="21">
        <f t="shared" si="94"/>
        <v>1958745.3388947328</v>
      </c>
      <c r="X711">
        <v>0</v>
      </c>
      <c r="Y711" s="18">
        <v>2017</v>
      </c>
      <c r="Z711" t="s">
        <v>387</v>
      </c>
      <c r="AA711" s="21">
        <f t="shared" si="95"/>
        <v>1</v>
      </c>
    </row>
    <row r="712" spans="1:27">
      <c r="A712" t="s">
        <v>76</v>
      </c>
      <c r="B712" s="18">
        <v>2033</v>
      </c>
      <c r="C712" t="s">
        <v>247</v>
      </c>
      <c r="D712" s="20" t="s">
        <v>405</v>
      </c>
      <c r="E712" s="20" t="s">
        <v>406</v>
      </c>
      <c r="F712" s="20" t="s">
        <v>253</v>
      </c>
      <c r="G712" s="20" t="s">
        <v>382</v>
      </c>
      <c r="H712" s="20" t="s">
        <v>384</v>
      </c>
      <c r="I712" s="29">
        <v>1</v>
      </c>
      <c r="J712" s="30">
        <v>1</v>
      </c>
      <c r="K712" s="31">
        <v>4.0000000000000001E-3</v>
      </c>
      <c r="L712" s="9">
        <v>605955528.04318595</v>
      </c>
      <c r="M712" s="9">
        <v>605911902.99473</v>
      </c>
      <c r="N712" s="32">
        <f>MIN(MAX((B712-Calculation_Assumptions!$B$5+1)/Calculation_Assumptions!$B$7,0),1)</f>
        <v>1</v>
      </c>
      <c r="O712" s="21">
        <f t="shared" si="88"/>
        <v>605955528.04318595</v>
      </c>
      <c r="P712" s="21">
        <f t="shared" si="89"/>
        <v>605911902.99473</v>
      </c>
      <c r="Q712" s="21">
        <f>P712*Calculation_Assumptions!$B$14*J712*K712</f>
        <v>0</v>
      </c>
      <c r="R712" s="21">
        <f t="shared" si="90"/>
        <v>2423822.1121727438</v>
      </c>
      <c r="S712" s="21">
        <f t="shared" si="91"/>
        <v>2423822.1121727438</v>
      </c>
      <c r="T712" s="32">
        <f>1/(1+Calculation_Assumptions!$B$8)^(B712-Calculation_Assumptions!$B$2)</f>
        <v>0.78940923431393573</v>
      </c>
      <c r="U712" s="21">
        <f t="shared" si="92"/>
        <v>0</v>
      </c>
      <c r="V712" s="21">
        <f t="shared" si="93"/>
        <v>1913387.5576834721</v>
      </c>
      <c r="W712" s="21">
        <f t="shared" si="94"/>
        <v>1913387.5576834721</v>
      </c>
      <c r="X712">
        <v>0</v>
      </c>
      <c r="Y712" s="18">
        <v>2017</v>
      </c>
      <c r="Z712" t="s">
        <v>387</v>
      </c>
      <c r="AA712" s="21">
        <f t="shared" si="95"/>
        <v>1</v>
      </c>
    </row>
    <row r="713" spans="1:27">
      <c r="A713" t="s">
        <v>76</v>
      </c>
      <c r="B713" s="18">
        <v>2034</v>
      </c>
      <c r="C713" t="s">
        <v>247</v>
      </c>
      <c r="D713" s="20" t="s">
        <v>405</v>
      </c>
      <c r="E713" s="20" t="s">
        <v>406</v>
      </c>
      <c r="F713" s="20" t="s">
        <v>253</v>
      </c>
      <c r="G713" s="20" t="s">
        <v>382</v>
      </c>
      <c r="H713" s="20" t="s">
        <v>384</v>
      </c>
      <c r="I713" s="29">
        <v>1</v>
      </c>
      <c r="J713" s="30">
        <v>1</v>
      </c>
      <c r="K713" s="31">
        <v>4.0000000000000001E-3</v>
      </c>
      <c r="L713" s="9">
        <v>609560284.09550095</v>
      </c>
      <c r="M713" s="9">
        <v>609455548.12077105</v>
      </c>
      <c r="N713" s="32">
        <f>MIN(MAX((B713-Calculation_Assumptions!$B$5+1)/Calculation_Assumptions!$B$7,0),1)</f>
        <v>1</v>
      </c>
      <c r="O713" s="21">
        <f t="shared" si="88"/>
        <v>609560284.09550095</v>
      </c>
      <c r="P713" s="21">
        <f t="shared" si="89"/>
        <v>609455548.12077105</v>
      </c>
      <c r="Q713" s="21">
        <f>P713*Calculation_Assumptions!$B$14*J713*K713</f>
        <v>0</v>
      </c>
      <c r="R713" s="21">
        <f t="shared" si="90"/>
        <v>2438241.1363820038</v>
      </c>
      <c r="S713" s="21">
        <f t="shared" si="91"/>
        <v>2438241.1363820038</v>
      </c>
      <c r="T713" s="32">
        <f>1/(1+Calculation_Assumptions!$B$8)^(B713-Calculation_Assumptions!$B$2)</f>
        <v>0.76641673234362695</v>
      </c>
      <c r="U713" s="21">
        <f t="shared" si="92"/>
        <v>0</v>
      </c>
      <c r="V713" s="21">
        <f t="shared" si="93"/>
        <v>1868708.804411707</v>
      </c>
      <c r="W713" s="21">
        <f t="shared" si="94"/>
        <v>1868708.804411707</v>
      </c>
      <c r="X713">
        <v>0</v>
      </c>
      <c r="Y713" s="18">
        <v>2017</v>
      </c>
      <c r="Z713" t="s">
        <v>387</v>
      </c>
      <c r="AA713" s="21">
        <f t="shared" si="95"/>
        <v>1</v>
      </c>
    </row>
    <row r="714" spans="1:27">
      <c r="A714" t="s">
        <v>76</v>
      </c>
      <c r="B714" s="18">
        <v>2035</v>
      </c>
      <c r="C714" t="s">
        <v>247</v>
      </c>
      <c r="D714" s="20" t="s">
        <v>405</v>
      </c>
      <c r="E714" s="20" t="s">
        <v>406</v>
      </c>
      <c r="F714" s="20" t="s">
        <v>253</v>
      </c>
      <c r="G714" s="20" t="s">
        <v>382</v>
      </c>
      <c r="H714" s="20" t="s">
        <v>384</v>
      </c>
      <c r="I714" s="29">
        <v>1</v>
      </c>
      <c r="J714" s="30">
        <v>1</v>
      </c>
      <c r="K714" s="31">
        <v>4.0000000000000001E-3</v>
      </c>
      <c r="L714" s="9">
        <v>613092698.26085901</v>
      </c>
      <c r="M714" s="9">
        <v>612884294.47334194</v>
      </c>
      <c r="N714" s="32">
        <f>MIN(MAX((B714-Calculation_Assumptions!$B$5+1)/Calculation_Assumptions!$B$7,0),1)</f>
        <v>1</v>
      </c>
      <c r="O714" s="21">
        <f t="shared" si="88"/>
        <v>613092698.26085901</v>
      </c>
      <c r="P714" s="21">
        <f t="shared" si="89"/>
        <v>612884294.47334194</v>
      </c>
      <c r="Q714" s="21">
        <f>P714*Calculation_Assumptions!$B$14*J714*K714</f>
        <v>0</v>
      </c>
      <c r="R714" s="21">
        <f t="shared" si="90"/>
        <v>2452370.793043436</v>
      </c>
      <c r="S714" s="21">
        <f t="shared" si="91"/>
        <v>2452370.793043436</v>
      </c>
      <c r="T714" s="32">
        <f>1/(1+Calculation_Assumptions!$B$8)^(B714-Calculation_Assumptions!$B$2)</f>
        <v>0.74409391489672516</v>
      </c>
      <c r="U714" s="21">
        <f t="shared" si="92"/>
        <v>0</v>
      </c>
      <c r="V714" s="21">
        <f t="shared" si="93"/>
        <v>1824794.1841740769</v>
      </c>
      <c r="W714" s="21">
        <f t="shared" si="94"/>
        <v>1824794.1841740769</v>
      </c>
      <c r="X714">
        <v>0</v>
      </c>
      <c r="Y714" s="18">
        <v>2017</v>
      </c>
      <c r="Z714" t="s">
        <v>387</v>
      </c>
      <c r="AA714" s="21">
        <f t="shared" si="95"/>
        <v>1</v>
      </c>
    </row>
    <row r="715" spans="1:27">
      <c r="A715" t="s">
        <v>76</v>
      </c>
      <c r="B715" s="18">
        <v>2036</v>
      </c>
      <c r="C715" t="s">
        <v>247</v>
      </c>
      <c r="D715" s="20" t="s">
        <v>405</v>
      </c>
      <c r="E715" s="20" t="s">
        <v>406</v>
      </c>
      <c r="F715" s="20" t="s">
        <v>253</v>
      </c>
      <c r="G715" s="20" t="s">
        <v>382</v>
      </c>
      <c r="H715" s="20" t="s">
        <v>384</v>
      </c>
      <c r="I715" s="29">
        <v>1</v>
      </c>
      <c r="J715" s="30">
        <v>1</v>
      </c>
      <c r="K715" s="31">
        <v>4.0000000000000001E-3</v>
      </c>
      <c r="L715" s="9">
        <v>616539654.35734701</v>
      </c>
      <c r="M715" s="9">
        <v>616262053.85817397</v>
      </c>
      <c r="N715" s="32">
        <f>MIN(MAX((B715-Calculation_Assumptions!$B$5+1)/Calculation_Assumptions!$B$7,0),1)</f>
        <v>1</v>
      </c>
      <c r="O715" s="21">
        <f t="shared" si="88"/>
        <v>616539654.35734701</v>
      </c>
      <c r="P715" s="21">
        <f t="shared" si="89"/>
        <v>616262053.85817397</v>
      </c>
      <c r="Q715" s="21">
        <f>P715*Calculation_Assumptions!$B$14*J715*K715</f>
        <v>0</v>
      </c>
      <c r="R715" s="21">
        <f t="shared" si="90"/>
        <v>2466158.6174293882</v>
      </c>
      <c r="S715" s="21">
        <f t="shared" si="91"/>
        <v>2466158.6174293882</v>
      </c>
      <c r="T715" s="32">
        <f>1/(1+Calculation_Assumptions!$B$8)^(B715-Calculation_Assumptions!$B$2)</f>
        <v>0.72242127659876232</v>
      </c>
      <c r="U715" s="21">
        <f t="shared" si="92"/>
        <v>0</v>
      </c>
      <c r="V715" s="21">
        <f t="shared" si="93"/>
        <v>1781605.4566983774</v>
      </c>
      <c r="W715" s="21">
        <f t="shared" si="94"/>
        <v>1781605.4566983774</v>
      </c>
      <c r="X715">
        <v>0</v>
      </c>
      <c r="Y715" s="18">
        <v>2017</v>
      </c>
      <c r="Z715" t="s">
        <v>387</v>
      </c>
      <c r="AA715" s="21">
        <f t="shared" si="95"/>
        <v>1</v>
      </c>
    </row>
    <row r="716" spans="1:27">
      <c r="A716" t="s">
        <v>76</v>
      </c>
      <c r="B716" s="18">
        <v>2037</v>
      </c>
      <c r="C716" t="s">
        <v>247</v>
      </c>
      <c r="D716" s="20" t="s">
        <v>405</v>
      </c>
      <c r="E716" s="20" t="s">
        <v>406</v>
      </c>
      <c r="F716" s="20" t="s">
        <v>253</v>
      </c>
      <c r="G716" s="20" t="s">
        <v>382</v>
      </c>
      <c r="H716" s="20" t="s">
        <v>384</v>
      </c>
      <c r="I716" s="29">
        <v>1</v>
      </c>
      <c r="J716" s="30">
        <v>1</v>
      </c>
      <c r="K716" s="31">
        <v>4.0000000000000001E-3</v>
      </c>
      <c r="L716" s="9">
        <v>619898345.122545</v>
      </c>
      <c r="M716" s="9">
        <v>619529380.90729904</v>
      </c>
      <c r="N716" s="32">
        <f>MIN(MAX((B716-Calculation_Assumptions!$B$5+1)/Calculation_Assumptions!$B$7,0),1)</f>
        <v>1</v>
      </c>
      <c r="O716" s="21">
        <f t="shared" si="88"/>
        <v>619898345.122545</v>
      </c>
      <c r="P716" s="21">
        <f t="shared" si="89"/>
        <v>619529380.90729904</v>
      </c>
      <c r="Q716" s="21">
        <f>P716*Calculation_Assumptions!$B$14*J716*K716</f>
        <v>0</v>
      </c>
      <c r="R716" s="21">
        <f t="shared" si="90"/>
        <v>2479593.3804901801</v>
      </c>
      <c r="S716" s="21">
        <f t="shared" si="91"/>
        <v>2479593.3804901801</v>
      </c>
      <c r="T716" s="32">
        <f>1/(1+Calculation_Assumptions!$B$8)^(B716-Calculation_Assumptions!$B$2)</f>
        <v>0.70137988019297326</v>
      </c>
      <c r="U716" s="21">
        <f t="shared" si="92"/>
        <v>0</v>
      </c>
      <c r="V716" s="21">
        <f t="shared" si="93"/>
        <v>1739136.9081354921</v>
      </c>
      <c r="W716" s="21">
        <f t="shared" si="94"/>
        <v>1739136.9081354921</v>
      </c>
      <c r="X716">
        <v>0</v>
      </c>
      <c r="Y716" s="18">
        <v>2017</v>
      </c>
      <c r="Z716" t="s">
        <v>387</v>
      </c>
      <c r="AA716" s="21">
        <f t="shared" si="95"/>
        <v>1</v>
      </c>
    </row>
    <row r="717" spans="1:27">
      <c r="A717" t="s">
        <v>76</v>
      </c>
      <c r="B717" s="18">
        <v>2038</v>
      </c>
      <c r="C717" t="s">
        <v>247</v>
      </c>
      <c r="D717" s="20" t="s">
        <v>405</v>
      </c>
      <c r="E717" s="20" t="s">
        <v>406</v>
      </c>
      <c r="F717" s="20" t="s">
        <v>253</v>
      </c>
      <c r="G717" s="20" t="s">
        <v>382</v>
      </c>
      <c r="H717" s="20" t="s">
        <v>384</v>
      </c>
      <c r="I717" s="29">
        <v>1</v>
      </c>
      <c r="J717" s="30">
        <v>1</v>
      </c>
      <c r="K717" s="31">
        <v>4.0000000000000001E-3</v>
      </c>
      <c r="L717" s="9">
        <v>623157085.01735401</v>
      </c>
      <c r="M717" s="9">
        <v>622673191.62836504</v>
      </c>
      <c r="N717" s="32">
        <f>MIN(MAX((B717-Calculation_Assumptions!$B$5+1)/Calculation_Assumptions!$B$7,0),1)</f>
        <v>1</v>
      </c>
      <c r="O717" s="21">
        <f t="shared" si="88"/>
        <v>623157085.01735401</v>
      </c>
      <c r="P717" s="21">
        <f t="shared" si="89"/>
        <v>622673191.62836504</v>
      </c>
      <c r="Q717" s="21">
        <f>P717*Calculation_Assumptions!$B$14*J717*K717</f>
        <v>0</v>
      </c>
      <c r="R717" s="21">
        <f t="shared" si="90"/>
        <v>2492628.340069416</v>
      </c>
      <c r="S717" s="21">
        <f t="shared" si="91"/>
        <v>2492628.340069416</v>
      </c>
      <c r="T717" s="32">
        <f>1/(1+Calculation_Assumptions!$B$8)^(B717-Calculation_Assumptions!$B$2)</f>
        <v>0.68095133999317792</v>
      </c>
      <c r="U717" s="21">
        <f t="shared" si="92"/>
        <v>0</v>
      </c>
      <c r="V717" s="21">
        <f t="shared" si="93"/>
        <v>1697358.6082752396</v>
      </c>
      <c r="W717" s="21">
        <f t="shared" si="94"/>
        <v>1697358.6082752396</v>
      </c>
      <c r="X717">
        <v>0</v>
      </c>
      <c r="Y717" s="18">
        <v>2017</v>
      </c>
      <c r="Z717" t="s">
        <v>387</v>
      </c>
      <c r="AA717" s="21">
        <f t="shared" si="95"/>
        <v>1</v>
      </c>
    </row>
    <row r="718" spans="1:27">
      <c r="A718" t="s">
        <v>76</v>
      </c>
      <c r="B718" s="18">
        <v>2039</v>
      </c>
      <c r="C718" t="s">
        <v>247</v>
      </c>
      <c r="D718" s="20" t="s">
        <v>405</v>
      </c>
      <c r="E718" s="20" t="s">
        <v>406</v>
      </c>
      <c r="F718" s="20" t="s">
        <v>253</v>
      </c>
      <c r="G718" s="20" t="s">
        <v>382</v>
      </c>
      <c r="H718" s="20" t="s">
        <v>384</v>
      </c>
      <c r="I718" s="29">
        <v>1</v>
      </c>
      <c r="J718" s="30">
        <v>1</v>
      </c>
      <c r="K718" s="31">
        <v>4.0000000000000001E-3</v>
      </c>
      <c r="L718" s="9">
        <v>626312438.007918</v>
      </c>
      <c r="M718" s="9">
        <v>625731758.218045</v>
      </c>
      <c r="N718" s="32">
        <f>MIN(MAX((B718-Calculation_Assumptions!$B$5+1)/Calculation_Assumptions!$B$7,0),1)</f>
        <v>1</v>
      </c>
      <c r="O718" s="21">
        <f t="shared" si="88"/>
        <v>626312438.007918</v>
      </c>
      <c r="P718" s="21">
        <f t="shared" si="89"/>
        <v>625731758.218045</v>
      </c>
      <c r="Q718" s="21">
        <f>P718*Calculation_Assumptions!$B$14*J718*K718</f>
        <v>0</v>
      </c>
      <c r="R718" s="21">
        <f t="shared" si="90"/>
        <v>2505249.7520316723</v>
      </c>
      <c r="S718" s="21">
        <f t="shared" si="91"/>
        <v>2505249.7520316723</v>
      </c>
      <c r="T718" s="32">
        <f>1/(1+Calculation_Assumptions!$B$8)^(B718-Calculation_Assumptions!$B$2)</f>
        <v>0.66111780581861923</v>
      </c>
      <c r="U718" s="21">
        <f t="shared" si="92"/>
        <v>0</v>
      </c>
      <c r="V718" s="21">
        <f t="shared" si="93"/>
        <v>1656265.2190908191</v>
      </c>
      <c r="W718" s="21">
        <f t="shared" si="94"/>
        <v>1656265.2190908191</v>
      </c>
      <c r="X718">
        <v>0</v>
      </c>
      <c r="Y718" s="18">
        <v>2017</v>
      </c>
      <c r="Z718" t="s">
        <v>387</v>
      </c>
      <c r="AA718" s="21">
        <f t="shared" si="95"/>
        <v>1</v>
      </c>
    </row>
    <row r="719" spans="1:27">
      <c r="A719" t="s">
        <v>76</v>
      </c>
      <c r="B719" s="18">
        <v>2040</v>
      </c>
      <c r="C719" t="s">
        <v>247</v>
      </c>
      <c r="D719" s="20" t="s">
        <v>405</v>
      </c>
      <c r="E719" s="20" t="s">
        <v>406</v>
      </c>
      <c r="F719" s="20" t="s">
        <v>253</v>
      </c>
      <c r="G719" s="20" t="s">
        <v>382</v>
      </c>
      <c r="H719" s="20" t="s">
        <v>384</v>
      </c>
      <c r="I719" s="29">
        <v>1</v>
      </c>
      <c r="J719" s="30">
        <v>1</v>
      </c>
      <c r="K719" s="31">
        <v>4.0000000000000001E-3</v>
      </c>
      <c r="L719" s="9">
        <v>629347032.33731306</v>
      </c>
      <c r="M719" s="9">
        <v>628667498.21665299</v>
      </c>
      <c r="N719" s="32">
        <f>MIN(MAX((B719-Calculation_Assumptions!$B$5+1)/Calculation_Assumptions!$B$7,0),1)</f>
        <v>1</v>
      </c>
      <c r="O719" s="21">
        <f t="shared" si="88"/>
        <v>629347032.33731306</v>
      </c>
      <c r="P719" s="21">
        <f t="shared" si="89"/>
        <v>628667498.21665299</v>
      </c>
      <c r="Q719" s="21">
        <f>P719*Calculation_Assumptions!$B$14*J719*K719</f>
        <v>0</v>
      </c>
      <c r="R719" s="21">
        <f t="shared" si="90"/>
        <v>2517388.1293492522</v>
      </c>
      <c r="S719" s="21">
        <f t="shared" si="91"/>
        <v>2517388.1293492522</v>
      </c>
      <c r="T719" s="32">
        <f>1/(1+Calculation_Assumptions!$B$8)^(B719-Calculation_Assumptions!$B$2)</f>
        <v>0.64186194739671765</v>
      </c>
      <c r="U719" s="21">
        <f t="shared" si="92"/>
        <v>0</v>
      </c>
      <c r="V719" s="21">
        <f t="shared" si="93"/>
        <v>1615815.6470574911</v>
      </c>
      <c r="W719" s="21">
        <f t="shared" si="94"/>
        <v>1615815.6470574911</v>
      </c>
      <c r="X719">
        <v>0</v>
      </c>
      <c r="Y719" s="18">
        <v>2017</v>
      </c>
      <c r="Z719" t="s">
        <v>387</v>
      </c>
      <c r="AA719" s="21">
        <f t="shared" si="95"/>
        <v>1</v>
      </c>
    </row>
    <row r="720" spans="1:27">
      <c r="A720" t="s">
        <v>76</v>
      </c>
      <c r="B720" s="18">
        <v>2041</v>
      </c>
      <c r="C720" t="s">
        <v>247</v>
      </c>
      <c r="D720" s="20" t="s">
        <v>405</v>
      </c>
      <c r="E720" s="20" t="s">
        <v>406</v>
      </c>
      <c r="F720" s="20" t="s">
        <v>253</v>
      </c>
      <c r="G720" s="20" t="s">
        <v>382</v>
      </c>
      <c r="H720" s="20" t="s">
        <v>384</v>
      </c>
      <c r="I720" s="29">
        <v>1</v>
      </c>
      <c r="J720" s="30">
        <v>1</v>
      </c>
      <c r="K720" s="31">
        <v>4.0000000000000001E-3</v>
      </c>
      <c r="L720" s="9">
        <v>632268493.39175498</v>
      </c>
      <c r="M720" s="9">
        <v>631488405.68781996</v>
      </c>
      <c r="N720" s="32">
        <f>MIN(MAX((B720-Calculation_Assumptions!$B$5+1)/Calculation_Assumptions!$B$7,0),1)</f>
        <v>1</v>
      </c>
      <c r="O720" s="21">
        <f t="shared" si="88"/>
        <v>632268493.39175498</v>
      </c>
      <c r="P720" s="21">
        <f t="shared" si="89"/>
        <v>631488405.68781996</v>
      </c>
      <c r="Q720" s="21">
        <f>P720*Calculation_Assumptions!$B$14*J720*K720</f>
        <v>0</v>
      </c>
      <c r="R720" s="21">
        <f t="shared" si="90"/>
        <v>2529073.9735670201</v>
      </c>
      <c r="S720" s="21">
        <f t="shared" si="91"/>
        <v>2529073.9735670201</v>
      </c>
      <c r="T720" s="32">
        <f>1/(1+Calculation_Assumptions!$B$8)^(B720-Calculation_Assumptions!$B$2)</f>
        <v>0.62316693922011435</v>
      </c>
      <c r="U720" s="21">
        <f t="shared" si="92"/>
        <v>0</v>
      </c>
      <c r="V720" s="21">
        <f t="shared" si="93"/>
        <v>1576035.2871690122</v>
      </c>
      <c r="W720" s="21">
        <f t="shared" si="94"/>
        <v>1576035.2871690122</v>
      </c>
      <c r="X720">
        <v>0</v>
      </c>
      <c r="Y720" s="18">
        <v>2017</v>
      </c>
      <c r="Z720" t="s">
        <v>387</v>
      </c>
      <c r="AA720" s="21">
        <f t="shared" si="95"/>
        <v>1</v>
      </c>
    </row>
    <row r="721" spans="1:27">
      <c r="A721" t="s">
        <v>76</v>
      </c>
      <c r="B721" s="18">
        <v>2042</v>
      </c>
      <c r="C721" t="s">
        <v>247</v>
      </c>
      <c r="D721" s="20" t="s">
        <v>405</v>
      </c>
      <c r="E721" s="20" t="s">
        <v>406</v>
      </c>
      <c r="F721" s="20" t="s">
        <v>253</v>
      </c>
      <c r="G721" s="20" t="s">
        <v>382</v>
      </c>
      <c r="H721" s="20" t="s">
        <v>384</v>
      </c>
      <c r="I721" s="29">
        <v>1</v>
      </c>
      <c r="J721" s="30">
        <v>1</v>
      </c>
      <c r="K721" s="31">
        <v>4.0000000000000001E-3</v>
      </c>
      <c r="L721" s="9">
        <v>635066634.14519799</v>
      </c>
      <c r="M721" s="9">
        <v>634184560.98858297</v>
      </c>
      <c r="N721" s="32">
        <f>MIN(MAX((B721-Calculation_Assumptions!$B$5+1)/Calculation_Assumptions!$B$7,0),1)</f>
        <v>1</v>
      </c>
      <c r="O721" s="21">
        <f t="shared" si="88"/>
        <v>635066634.14519799</v>
      </c>
      <c r="P721" s="21">
        <f t="shared" si="89"/>
        <v>634184560.98858297</v>
      </c>
      <c r="Q721" s="21">
        <f>P721*Calculation_Assumptions!$B$14*J721*K721</f>
        <v>0</v>
      </c>
      <c r="R721" s="21">
        <f t="shared" si="90"/>
        <v>2540266.5365807922</v>
      </c>
      <c r="S721" s="21">
        <f t="shared" si="91"/>
        <v>2540266.5365807922</v>
      </c>
      <c r="T721" s="32">
        <f>1/(1+Calculation_Assumptions!$B$8)^(B721-Calculation_Assumptions!$B$2)</f>
        <v>0.60501644584477121</v>
      </c>
      <c r="U721" s="21">
        <f t="shared" si="92"/>
        <v>0</v>
      </c>
      <c r="V721" s="21">
        <f t="shared" si="93"/>
        <v>1536903.0314605173</v>
      </c>
      <c r="W721" s="21">
        <f t="shared" si="94"/>
        <v>1536903.0314605173</v>
      </c>
      <c r="X721">
        <v>0</v>
      </c>
      <c r="Y721" s="18">
        <v>2017</v>
      </c>
      <c r="Z721" t="s">
        <v>387</v>
      </c>
      <c r="AA721" s="21">
        <f t="shared" si="95"/>
        <v>1</v>
      </c>
    </row>
    <row r="722" spans="1:27">
      <c r="A722" t="s">
        <v>76</v>
      </c>
      <c r="B722" s="18">
        <v>2043</v>
      </c>
      <c r="C722" t="s">
        <v>247</v>
      </c>
      <c r="D722" s="20" t="s">
        <v>405</v>
      </c>
      <c r="E722" s="20" t="s">
        <v>406</v>
      </c>
      <c r="F722" s="20" t="s">
        <v>253</v>
      </c>
      <c r="G722" s="20" t="s">
        <v>382</v>
      </c>
      <c r="H722" s="20" t="s">
        <v>384</v>
      </c>
      <c r="I722" s="29">
        <v>1</v>
      </c>
      <c r="J722" s="30">
        <v>1</v>
      </c>
      <c r="K722" s="31">
        <v>4.0000000000000001E-3</v>
      </c>
      <c r="L722" s="9">
        <v>637740511.15042996</v>
      </c>
      <c r="M722" s="9">
        <v>636767020.67603099</v>
      </c>
      <c r="N722" s="32">
        <f>MIN(MAX((B722-Calculation_Assumptions!$B$5+1)/Calculation_Assumptions!$B$7,0),1)</f>
        <v>1</v>
      </c>
      <c r="O722" s="21">
        <f t="shared" si="88"/>
        <v>637740511.15042996</v>
      </c>
      <c r="P722" s="21">
        <f t="shared" si="89"/>
        <v>636767020.67603099</v>
      </c>
      <c r="Q722" s="21">
        <f>P722*Calculation_Assumptions!$B$14*J722*K722</f>
        <v>0</v>
      </c>
      <c r="R722" s="21">
        <f t="shared" si="90"/>
        <v>2550962.0446017198</v>
      </c>
      <c r="S722" s="21">
        <f t="shared" si="91"/>
        <v>2550962.0446017198</v>
      </c>
      <c r="T722" s="32">
        <f>1/(1+Calculation_Assumptions!$B$8)^(B722-Calculation_Assumptions!$B$2)</f>
        <v>0.5873946076162827</v>
      </c>
      <c r="U722" s="21">
        <f t="shared" si="92"/>
        <v>0</v>
      </c>
      <c r="V722" s="21">
        <f t="shared" si="93"/>
        <v>1498421.3492328576</v>
      </c>
      <c r="W722" s="21">
        <f t="shared" si="94"/>
        <v>1498421.3492328576</v>
      </c>
      <c r="X722">
        <v>0</v>
      </c>
      <c r="Y722" s="18">
        <v>2017</v>
      </c>
      <c r="Z722" t="s">
        <v>387</v>
      </c>
      <c r="AA722" s="21">
        <f t="shared" si="95"/>
        <v>1</v>
      </c>
    </row>
    <row r="723" spans="1:27">
      <c r="A723" t="s">
        <v>76</v>
      </c>
      <c r="B723" s="18">
        <v>2044</v>
      </c>
      <c r="C723" t="s">
        <v>247</v>
      </c>
      <c r="D723" s="20" t="s">
        <v>405</v>
      </c>
      <c r="E723" s="20" t="s">
        <v>406</v>
      </c>
      <c r="F723" s="20" t="s">
        <v>253</v>
      </c>
      <c r="G723" s="20" t="s">
        <v>382</v>
      </c>
      <c r="H723" s="20" t="s">
        <v>384</v>
      </c>
      <c r="I723" s="29">
        <v>1</v>
      </c>
      <c r="J723" s="30">
        <v>1</v>
      </c>
      <c r="K723" s="31">
        <v>4.0000000000000001E-3</v>
      </c>
      <c r="L723" s="9">
        <v>640285329.92099202</v>
      </c>
      <c r="M723" s="9">
        <v>639211548.58069301</v>
      </c>
      <c r="N723" s="32">
        <f>MIN(MAX((B723-Calculation_Assumptions!$B$5+1)/Calculation_Assumptions!$B$7,0),1)</f>
        <v>1</v>
      </c>
      <c r="O723" s="21">
        <f t="shared" si="88"/>
        <v>640285329.92099202</v>
      </c>
      <c r="P723" s="21">
        <f t="shared" si="89"/>
        <v>639211548.58069301</v>
      </c>
      <c r="Q723" s="21">
        <f>P723*Calculation_Assumptions!$B$14*J723*K723</f>
        <v>0</v>
      </c>
      <c r="R723" s="21">
        <f t="shared" si="90"/>
        <v>2561141.3196839681</v>
      </c>
      <c r="S723" s="21">
        <f t="shared" si="91"/>
        <v>2561141.3196839681</v>
      </c>
      <c r="T723" s="32">
        <f>1/(1+Calculation_Assumptions!$B$8)^(B723-Calculation_Assumptions!$B$2)</f>
        <v>0.57028602681192497</v>
      </c>
      <c r="U723" s="21">
        <f t="shared" si="92"/>
        <v>0</v>
      </c>
      <c r="V723" s="21">
        <f t="shared" si="93"/>
        <v>1460583.1073064203</v>
      </c>
      <c r="W723" s="21">
        <f t="shared" si="94"/>
        <v>1460583.1073064203</v>
      </c>
      <c r="X723">
        <v>0</v>
      </c>
      <c r="Y723" s="18">
        <v>2017</v>
      </c>
      <c r="Z723" t="s">
        <v>387</v>
      </c>
      <c r="AA723" s="21">
        <f t="shared" si="95"/>
        <v>1</v>
      </c>
    </row>
    <row r="724" spans="1:27">
      <c r="A724" t="s">
        <v>76</v>
      </c>
      <c r="B724" s="18">
        <v>2045</v>
      </c>
      <c r="C724" t="s">
        <v>247</v>
      </c>
      <c r="D724" s="20" t="s">
        <v>405</v>
      </c>
      <c r="E724" s="20" t="s">
        <v>406</v>
      </c>
      <c r="F724" s="20" t="s">
        <v>253</v>
      </c>
      <c r="G724" s="20" t="s">
        <v>382</v>
      </c>
      <c r="H724" s="20" t="s">
        <v>384</v>
      </c>
      <c r="I724" s="29">
        <v>1</v>
      </c>
      <c r="J724" s="30">
        <v>1</v>
      </c>
      <c r="K724" s="31">
        <v>4.0000000000000001E-3</v>
      </c>
      <c r="L724" s="9">
        <v>642695843.59439898</v>
      </c>
      <c r="M724" s="9">
        <v>641520754.67294204</v>
      </c>
      <c r="N724" s="32">
        <f>MIN(MAX((B724-Calculation_Assumptions!$B$5+1)/Calculation_Assumptions!$B$7,0),1)</f>
        <v>1</v>
      </c>
      <c r="O724" s="21">
        <f t="shared" si="88"/>
        <v>642695843.59439898</v>
      </c>
      <c r="P724" s="21">
        <f t="shared" si="89"/>
        <v>641520754.67294204</v>
      </c>
      <c r="Q724" s="21">
        <f>P724*Calculation_Assumptions!$B$14*J724*K724</f>
        <v>0</v>
      </c>
      <c r="R724" s="21">
        <f t="shared" si="90"/>
        <v>2570783.3743775957</v>
      </c>
      <c r="S724" s="21">
        <f t="shared" si="91"/>
        <v>2570783.3743775957</v>
      </c>
      <c r="T724" s="32">
        <f>1/(1+Calculation_Assumptions!$B$8)^(B724-Calculation_Assumptions!$B$2)</f>
        <v>0.55367575418633497</v>
      </c>
      <c r="U724" s="21">
        <f t="shared" si="92"/>
        <v>0</v>
      </c>
      <c r="V724" s="21">
        <f t="shared" si="93"/>
        <v>1423380.4236582064</v>
      </c>
      <c r="W724" s="21">
        <f t="shared" si="94"/>
        <v>1423380.4236582064</v>
      </c>
      <c r="X724">
        <v>0</v>
      </c>
      <c r="Y724" s="18">
        <v>2017</v>
      </c>
      <c r="Z724" t="s">
        <v>387</v>
      </c>
      <c r="AA724" s="21">
        <f t="shared" si="95"/>
        <v>1</v>
      </c>
    </row>
    <row r="725" spans="1:27">
      <c r="A725" t="s">
        <v>76</v>
      </c>
      <c r="B725" s="18">
        <v>2046</v>
      </c>
      <c r="C725" t="s">
        <v>247</v>
      </c>
      <c r="D725" s="20" t="s">
        <v>405</v>
      </c>
      <c r="E725" s="20" t="s">
        <v>406</v>
      </c>
      <c r="F725" s="20" t="s">
        <v>253</v>
      </c>
      <c r="G725" s="20" t="s">
        <v>382</v>
      </c>
      <c r="H725" s="20" t="s">
        <v>384</v>
      </c>
      <c r="I725" s="29">
        <v>1</v>
      </c>
      <c r="J725" s="30">
        <v>1</v>
      </c>
      <c r="K725" s="31">
        <v>4.0000000000000001E-3</v>
      </c>
      <c r="L725" s="9">
        <v>644974193.08303404</v>
      </c>
      <c r="M725" s="9">
        <v>643697330.762573</v>
      </c>
      <c r="N725" s="32">
        <f>MIN(MAX((B725-Calculation_Assumptions!$B$5+1)/Calculation_Assumptions!$B$7,0),1)</f>
        <v>1</v>
      </c>
      <c r="O725" s="21">
        <f t="shared" si="88"/>
        <v>644974193.08303404</v>
      </c>
      <c r="P725" s="21">
        <f t="shared" si="89"/>
        <v>643697330.762573</v>
      </c>
      <c r="Q725" s="21">
        <f>P725*Calculation_Assumptions!$B$14*J725*K725</f>
        <v>0</v>
      </c>
      <c r="R725" s="21">
        <f t="shared" si="90"/>
        <v>2579896.7723321361</v>
      </c>
      <c r="S725" s="21">
        <f t="shared" si="91"/>
        <v>2579896.7723321361</v>
      </c>
      <c r="T725" s="32">
        <f>1/(1+Calculation_Assumptions!$B$8)^(B725-Calculation_Assumptions!$B$2)</f>
        <v>0.5375492759090631</v>
      </c>
      <c r="U725" s="21">
        <f t="shared" si="92"/>
        <v>0</v>
      </c>
      <c r="V725" s="21">
        <f t="shared" si="93"/>
        <v>1386821.6418872687</v>
      </c>
      <c r="W725" s="21">
        <f t="shared" si="94"/>
        <v>1386821.6418872687</v>
      </c>
      <c r="X725">
        <v>0</v>
      </c>
      <c r="Y725" s="18">
        <v>2017</v>
      </c>
      <c r="Z725" t="s">
        <v>387</v>
      </c>
      <c r="AA725" s="21">
        <f t="shared" si="95"/>
        <v>1</v>
      </c>
    </row>
    <row r="726" spans="1:27">
      <c r="A726" t="s">
        <v>76</v>
      </c>
      <c r="B726" s="18">
        <v>2047</v>
      </c>
      <c r="C726" t="s">
        <v>247</v>
      </c>
      <c r="D726" s="20" t="s">
        <v>405</v>
      </c>
      <c r="E726" s="20" t="s">
        <v>406</v>
      </c>
      <c r="F726" s="20" t="s">
        <v>253</v>
      </c>
      <c r="G726" s="20" t="s">
        <v>382</v>
      </c>
      <c r="H726" s="20" t="s">
        <v>384</v>
      </c>
      <c r="I726" s="29">
        <v>1</v>
      </c>
      <c r="J726" s="30">
        <v>1</v>
      </c>
      <c r="K726" s="31">
        <v>4.0000000000000001E-3</v>
      </c>
      <c r="L726" s="9">
        <v>647124942.32164299</v>
      </c>
      <c r="M726" s="9">
        <v>645745914.53009498</v>
      </c>
      <c r="N726" s="32">
        <f>MIN(MAX((B726-Calculation_Assumptions!$B$5+1)/Calculation_Assumptions!$B$7,0),1)</f>
        <v>1</v>
      </c>
      <c r="O726" s="21">
        <f t="shared" si="88"/>
        <v>647124942.32164299</v>
      </c>
      <c r="P726" s="21">
        <f t="shared" si="89"/>
        <v>645745914.53009498</v>
      </c>
      <c r="Q726" s="21">
        <f>P726*Calculation_Assumptions!$B$14*J726*K726</f>
        <v>0</v>
      </c>
      <c r="R726" s="21">
        <f t="shared" si="90"/>
        <v>2588499.769286572</v>
      </c>
      <c r="S726" s="21">
        <f t="shared" si="91"/>
        <v>2588499.769286572</v>
      </c>
      <c r="T726" s="32">
        <f>1/(1+Calculation_Assumptions!$B$8)^(B726-Calculation_Assumptions!$B$2)</f>
        <v>0.52189250088258554</v>
      </c>
      <c r="U726" s="21">
        <f t="shared" si="92"/>
        <v>0</v>
      </c>
      <c r="V726" s="21">
        <f t="shared" si="93"/>
        <v>1350918.6181269647</v>
      </c>
      <c r="W726" s="21">
        <f t="shared" si="94"/>
        <v>1350918.6181269647</v>
      </c>
      <c r="X726">
        <v>0</v>
      </c>
      <c r="Y726" s="18">
        <v>2017</v>
      </c>
      <c r="Z726" t="s">
        <v>387</v>
      </c>
      <c r="AA726" s="21">
        <f t="shared" si="95"/>
        <v>1</v>
      </c>
    </row>
    <row r="727" spans="1:27">
      <c r="A727" t="s">
        <v>76</v>
      </c>
      <c r="B727" s="18">
        <v>2048</v>
      </c>
      <c r="C727" t="s">
        <v>247</v>
      </c>
      <c r="D727" s="20" t="s">
        <v>405</v>
      </c>
      <c r="E727" s="20" t="s">
        <v>406</v>
      </c>
      <c r="F727" s="20" t="s">
        <v>253</v>
      </c>
      <c r="G727" s="20" t="s">
        <v>382</v>
      </c>
      <c r="H727" s="20" t="s">
        <v>384</v>
      </c>
      <c r="I727" s="29">
        <v>1</v>
      </c>
      <c r="J727" s="30">
        <v>1</v>
      </c>
      <c r="K727" s="31">
        <v>4.0000000000000001E-3</v>
      </c>
      <c r="L727" s="9">
        <v>649147853.41567302</v>
      </c>
      <c r="M727" s="9">
        <v>647666796.64810395</v>
      </c>
      <c r="N727" s="32">
        <f>MIN(MAX((B727-Calculation_Assumptions!$B$5+1)/Calculation_Assumptions!$B$7,0),1)</f>
        <v>1</v>
      </c>
      <c r="O727" s="21">
        <f t="shared" si="88"/>
        <v>649147853.41567302</v>
      </c>
      <c r="P727" s="21">
        <f t="shared" si="89"/>
        <v>647666796.64810395</v>
      </c>
      <c r="Q727" s="21">
        <f>P727*Calculation_Assumptions!$B$14*J727*K727</f>
        <v>0</v>
      </c>
      <c r="R727" s="21">
        <f t="shared" si="90"/>
        <v>2596591.4136626921</v>
      </c>
      <c r="S727" s="21">
        <f t="shared" si="91"/>
        <v>2596591.4136626921</v>
      </c>
      <c r="T727" s="32">
        <f>1/(1+Calculation_Assumptions!$B$8)^(B727-Calculation_Assumptions!$B$2)</f>
        <v>0.50669174842969467</v>
      </c>
      <c r="U727" s="21">
        <f t="shared" si="92"/>
        <v>0</v>
      </c>
      <c r="V727" s="21">
        <f t="shared" si="93"/>
        <v>1315671.443346282</v>
      </c>
      <c r="W727" s="21">
        <f t="shared" si="94"/>
        <v>1315671.443346282</v>
      </c>
      <c r="X727">
        <v>0</v>
      </c>
      <c r="Y727" s="18">
        <v>2017</v>
      </c>
      <c r="Z727" t="s">
        <v>387</v>
      </c>
      <c r="AA727" s="21">
        <f t="shared" si="95"/>
        <v>1</v>
      </c>
    </row>
    <row r="728" spans="1:27">
      <c r="A728" t="s">
        <v>76</v>
      </c>
      <c r="B728" s="18">
        <v>2049</v>
      </c>
      <c r="C728" t="s">
        <v>247</v>
      </c>
      <c r="D728" s="20" t="s">
        <v>405</v>
      </c>
      <c r="E728" s="20" t="s">
        <v>406</v>
      </c>
      <c r="F728" s="20" t="s">
        <v>253</v>
      </c>
      <c r="G728" s="20" t="s">
        <v>382</v>
      </c>
      <c r="H728" s="20" t="s">
        <v>384</v>
      </c>
      <c r="I728" s="29">
        <v>1</v>
      </c>
      <c r="J728" s="30">
        <v>1</v>
      </c>
      <c r="K728" s="31">
        <v>4.0000000000000001E-3</v>
      </c>
      <c r="L728" s="9">
        <v>651040967.5934</v>
      </c>
      <c r="M728" s="9">
        <v>649421968.02473402</v>
      </c>
      <c r="N728" s="32">
        <f>MIN(MAX((B728-Calculation_Assumptions!$B$5+1)/Calculation_Assumptions!$B$7,0),1)</f>
        <v>1</v>
      </c>
      <c r="O728" s="21">
        <f t="shared" si="88"/>
        <v>651040967.5934</v>
      </c>
      <c r="P728" s="21">
        <f t="shared" si="89"/>
        <v>649421968.02473402</v>
      </c>
      <c r="Q728" s="21">
        <f>P728*Calculation_Assumptions!$B$14*J728*K728</f>
        <v>0</v>
      </c>
      <c r="R728" s="21">
        <f t="shared" si="90"/>
        <v>2604163.8703736002</v>
      </c>
      <c r="S728" s="21">
        <f t="shared" si="91"/>
        <v>2604163.8703736002</v>
      </c>
      <c r="T728" s="32">
        <f>1/(1+Calculation_Assumptions!$B$8)^(B728-Calculation_Assumptions!$B$2)</f>
        <v>0.49193373633950943</v>
      </c>
      <c r="U728" s="21">
        <f t="shared" si="92"/>
        <v>0</v>
      </c>
      <c r="V728" s="21">
        <f t="shared" si="93"/>
        <v>1281076.062793243</v>
      </c>
      <c r="W728" s="21">
        <f t="shared" si="94"/>
        <v>1281076.062793243</v>
      </c>
      <c r="X728">
        <v>0</v>
      </c>
      <c r="Y728" s="18">
        <v>2017</v>
      </c>
      <c r="Z728" t="s">
        <v>387</v>
      </c>
      <c r="AA728" s="21">
        <f t="shared" si="95"/>
        <v>1</v>
      </c>
    </row>
    <row r="729" spans="1:27">
      <c r="A729" t="s">
        <v>76</v>
      </c>
      <c r="B729" s="18">
        <v>2050</v>
      </c>
      <c r="C729" t="s">
        <v>247</v>
      </c>
      <c r="D729" s="20" t="s">
        <v>405</v>
      </c>
      <c r="E729" s="20" t="s">
        <v>406</v>
      </c>
      <c r="F729" s="20" t="s">
        <v>253</v>
      </c>
      <c r="G729" s="20" t="s">
        <v>382</v>
      </c>
      <c r="H729" s="20" t="s">
        <v>384</v>
      </c>
      <c r="I729" s="29">
        <v>1</v>
      </c>
      <c r="J729" s="30">
        <v>1</v>
      </c>
      <c r="K729" s="31">
        <v>4.0000000000000001E-3</v>
      </c>
      <c r="L729" s="9">
        <v>652799148.10289598</v>
      </c>
      <c r="M729" s="9">
        <v>651074457.25957894</v>
      </c>
      <c r="N729" s="32">
        <f>MIN(MAX((B729-Calculation_Assumptions!$B$5+1)/Calculation_Assumptions!$B$7,0),1)</f>
        <v>1</v>
      </c>
      <c r="O729" s="21">
        <f t="shared" si="88"/>
        <v>652799148.10289598</v>
      </c>
      <c r="P729" s="21">
        <f t="shared" si="89"/>
        <v>651074457.25957894</v>
      </c>
      <c r="Q729" s="21">
        <f>P729*Calculation_Assumptions!$B$14*J729*K729</f>
        <v>0</v>
      </c>
      <c r="R729" s="21">
        <f t="shared" si="90"/>
        <v>2611196.5924115838</v>
      </c>
      <c r="S729" s="21">
        <f t="shared" si="91"/>
        <v>2611196.5924115838</v>
      </c>
      <c r="T729" s="32">
        <f>1/(1+Calculation_Assumptions!$B$8)^(B729-Calculation_Assumptions!$B$2)</f>
        <v>0.47760556926165965</v>
      </c>
      <c r="U729" s="21">
        <f t="shared" si="92"/>
        <v>0</v>
      </c>
      <c r="V729" s="21">
        <f t="shared" si="93"/>
        <v>1247122.0349728402</v>
      </c>
      <c r="W729" s="21">
        <f t="shared" si="94"/>
        <v>1247122.0349728402</v>
      </c>
      <c r="X729">
        <v>0</v>
      </c>
      <c r="Y729" s="18">
        <v>2017</v>
      </c>
      <c r="Z729" t="s">
        <v>387</v>
      </c>
      <c r="AA729" s="21">
        <f t="shared" si="95"/>
        <v>1</v>
      </c>
    </row>
    <row r="730" spans="1:27">
      <c r="A730" t="s">
        <v>76</v>
      </c>
      <c r="B730" s="18">
        <v>2025</v>
      </c>
      <c r="C730" t="s">
        <v>257</v>
      </c>
      <c r="D730" s="20" t="s">
        <v>407</v>
      </c>
      <c r="E730" s="20" t="s">
        <v>408</v>
      </c>
      <c r="F730" s="20" t="s">
        <v>260</v>
      </c>
      <c r="G730" s="20" t="s">
        <v>393</v>
      </c>
      <c r="H730" s="20" t="s">
        <v>384</v>
      </c>
      <c r="I730" s="29">
        <v>1</v>
      </c>
      <c r="J730" s="30">
        <v>1</v>
      </c>
      <c r="K730" s="31">
        <v>7.7000000000000002E-3</v>
      </c>
      <c r="L730" s="9">
        <v>575134853.59312999</v>
      </c>
      <c r="M730" s="9">
        <v>575134853.59312999</v>
      </c>
      <c r="N730" s="32">
        <f>MIN(MAX((B730-Calculation_Assumptions!$B$5+1)/Calculation_Assumptions!$B$7,0),1)</f>
        <v>0</v>
      </c>
      <c r="O730" s="21">
        <f t="shared" si="88"/>
        <v>575134853.59312999</v>
      </c>
      <c r="P730" s="21">
        <f t="shared" si="89"/>
        <v>575134853.59312999</v>
      </c>
      <c r="Q730" s="21">
        <f>P730*Calculation_Assumptions!$B$14*J730*K730</f>
        <v>0</v>
      </c>
      <c r="R730" s="21">
        <f t="shared" si="90"/>
        <v>0</v>
      </c>
      <c r="S730" s="21">
        <f t="shared" si="91"/>
        <v>0</v>
      </c>
      <c r="T730" s="32">
        <f>1/(1+Calculation_Assumptions!$B$8)^(B730-Calculation_Assumptions!$B$2)</f>
        <v>1</v>
      </c>
      <c r="U730" s="21">
        <f t="shared" si="92"/>
        <v>0</v>
      </c>
      <c r="V730" s="21">
        <f t="shared" si="93"/>
        <v>0</v>
      </c>
      <c r="W730" s="21">
        <f t="shared" si="94"/>
        <v>0</v>
      </c>
      <c r="X730">
        <v>0</v>
      </c>
      <c r="Y730" s="18">
        <v>2017</v>
      </c>
      <c r="Z730" t="s">
        <v>387</v>
      </c>
      <c r="AA730" s="21">
        <f t="shared" si="95"/>
        <v>1</v>
      </c>
    </row>
    <row r="731" spans="1:27">
      <c r="A731" t="s">
        <v>76</v>
      </c>
      <c r="B731" s="18">
        <v>2026</v>
      </c>
      <c r="C731" t="s">
        <v>257</v>
      </c>
      <c r="D731" s="20" t="s">
        <v>407</v>
      </c>
      <c r="E731" s="20" t="s">
        <v>408</v>
      </c>
      <c r="F731" s="20" t="s">
        <v>260</v>
      </c>
      <c r="G731" s="20" t="s">
        <v>393</v>
      </c>
      <c r="H731" s="20" t="s">
        <v>384</v>
      </c>
      <c r="I731" s="29">
        <v>1</v>
      </c>
      <c r="J731" s="30">
        <v>1</v>
      </c>
      <c r="K731" s="31">
        <v>7.7000000000000002E-3</v>
      </c>
      <c r="L731" s="9">
        <v>579268647.32329595</v>
      </c>
      <c r="M731" s="9">
        <v>579268647.32329595</v>
      </c>
      <c r="N731" s="32">
        <f>MIN(MAX((B731-Calculation_Assumptions!$B$5+1)/Calculation_Assumptions!$B$7,0),1)</f>
        <v>0.33333333333333331</v>
      </c>
      <c r="O731" s="21">
        <f t="shared" si="88"/>
        <v>579268647.32329595</v>
      </c>
      <c r="P731" s="21">
        <f t="shared" si="89"/>
        <v>579268647.32329595</v>
      </c>
      <c r="Q731" s="21">
        <f>P731*Calculation_Assumptions!$B$14*J731*K731</f>
        <v>0</v>
      </c>
      <c r="R731" s="21">
        <f t="shared" si="90"/>
        <v>1486789.528129793</v>
      </c>
      <c r="S731" s="21">
        <f t="shared" si="91"/>
        <v>1486789.528129793</v>
      </c>
      <c r="T731" s="32">
        <f>1/(1+Calculation_Assumptions!$B$8)^(B731-Calculation_Assumptions!$B$2)</f>
        <v>0.970873786407767</v>
      </c>
      <c r="U731" s="21">
        <f t="shared" si="92"/>
        <v>0</v>
      </c>
      <c r="V731" s="21">
        <f t="shared" si="93"/>
        <v>1443484.9787667894</v>
      </c>
      <c r="W731" s="21">
        <f t="shared" si="94"/>
        <v>1443484.9787667894</v>
      </c>
      <c r="X731">
        <v>0</v>
      </c>
      <c r="Y731" s="18">
        <v>2017</v>
      </c>
      <c r="Z731" t="s">
        <v>387</v>
      </c>
      <c r="AA731" s="21">
        <f t="shared" si="95"/>
        <v>1</v>
      </c>
    </row>
    <row r="732" spans="1:27">
      <c r="A732" t="s">
        <v>76</v>
      </c>
      <c r="B732" s="18">
        <v>2027</v>
      </c>
      <c r="C732" t="s">
        <v>257</v>
      </c>
      <c r="D732" s="20" t="s">
        <v>407</v>
      </c>
      <c r="E732" s="20" t="s">
        <v>408</v>
      </c>
      <c r="F732" s="20" t="s">
        <v>260</v>
      </c>
      <c r="G732" s="20" t="s">
        <v>393</v>
      </c>
      <c r="H732" s="20" t="s">
        <v>384</v>
      </c>
      <c r="I732" s="29">
        <v>1</v>
      </c>
      <c r="J732" s="30">
        <v>1</v>
      </c>
      <c r="K732" s="31">
        <v>7.7000000000000002E-3</v>
      </c>
      <c r="L732" s="9">
        <v>583039014.28645599</v>
      </c>
      <c r="M732" s="9">
        <v>583039014.28645599</v>
      </c>
      <c r="N732" s="32">
        <f>MIN(MAX((B732-Calculation_Assumptions!$B$5+1)/Calculation_Assumptions!$B$7,0),1)</f>
        <v>0.66666666666666663</v>
      </c>
      <c r="O732" s="21">
        <f t="shared" si="88"/>
        <v>583039014.28645599</v>
      </c>
      <c r="P732" s="21">
        <f t="shared" si="89"/>
        <v>583039014.28645599</v>
      </c>
      <c r="Q732" s="21">
        <f>P732*Calculation_Assumptions!$B$14*J732*K732</f>
        <v>0</v>
      </c>
      <c r="R732" s="21">
        <f t="shared" si="90"/>
        <v>2992933.6066704742</v>
      </c>
      <c r="S732" s="21">
        <f t="shared" si="91"/>
        <v>2992933.6066704742</v>
      </c>
      <c r="T732" s="32">
        <f>1/(1+Calculation_Assumptions!$B$8)^(B732-Calculation_Assumptions!$B$2)</f>
        <v>0.94259590913375435</v>
      </c>
      <c r="U732" s="21">
        <f t="shared" si="92"/>
        <v>0</v>
      </c>
      <c r="V732" s="21">
        <f t="shared" si="93"/>
        <v>2821126.9739565221</v>
      </c>
      <c r="W732" s="21">
        <f t="shared" si="94"/>
        <v>2821126.9739565221</v>
      </c>
      <c r="X732">
        <v>0</v>
      </c>
      <c r="Y732" s="18">
        <v>2017</v>
      </c>
      <c r="Z732" t="s">
        <v>387</v>
      </c>
      <c r="AA732" s="21">
        <f t="shared" si="95"/>
        <v>1</v>
      </c>
    </row>
    <row r="733" spans="1:27">
      <c r="A733" t="s">
        <v>76</v>
      </c>
      <c r="B733" s="18">
        <v>2028</v>
      </c>
      <c r="C733" t="s">
        <v>257</v>
      </c>
      <c r="D733" s="20" t="s">
        <v>407</v>
      </c>
      <c r="E733" s="20" t="s">
        <v>408</v>
      </c>
      <c r="F733" s="20" t="s">
        <v>260</v>
      </c>
      <c r="G733" s="20" t="s">
        <v>393</v>
      </c>
      <c r="H733" s="20" t="s">
        <v>384</v>
      </c>
      <c r="I733" s="29">
        <v>1</v>
      </c>
      <c r="J733" s="30">
        <v>1</v>
      </c>
      <c r="K733" s="31">
        <v>7.7000000000000002E-3</v>
      </c>
      <c r="L733" s="9">
        <v>587039795.04372799</v>
      </c>
      <c r="M733" s="9">
        <v>587035116.25746298</v>
      </c>
      <c r="N733" s="32">
        <f>MIN(MAX((B733-Calculation_Assumptions!$B$5+1)/Calculation_Assumptions!$B$7,0),1)</f>
        <v>1</v>
      </c>
      <c r="O733" s="21">
        <f t="shared" si="88"/>
        <v>587039795.04372799</v>
      </c>
      <c r="P733" s="21">
        <f t="shared" si="89"/>
        <v>587035116.25746298</v>
      </c>
      <c r="Q733" s="21">
        <f>P733*Calculation_Assumptions!$B$14*J733*K733</f>
        <v>0</v>
      </c>
      <c r="R733" s="21">
        <f t="shared" si="90"/>
        <v>4520206.4218367059</v>
      </c>
      <c r="S733" s="21">
        <f t="shared" si="91"/>
        <v>4520206.4218367059</v>
      </c>
      <c r="T733" s="32">
        <f>1/(1+Calculation_Assumptions!$B$8)^(B733-Calculation_Assumptions!$B$2)</f>
        <v>0.91514165935315961</v>
      </c>
      <c r="U733" s="21">
        <f t="shared" si="92"/>
        <v>0</v>
      </c>
      <c r="V733" s="21">
        <f t="shared" si="93"/>
        <v>4136629.2054984514</v>
      </c>
      <c r="W733" s="21">
        <f t="shared" si="94"/>
        <v>4136629.2054984514</v>
      </c>
      <c r="X733">
        <v>0</v>
      </c>
      <c r="Y733" s="18">
        <v>2017</v>
      </c>
      <c r="Z733" t="s">
        <v>387</v>
      </c>
      <c r="AA733" s="21">
        <f t="shared" si="95"/>
        <v>1</v>
      </c>
    </row>
    <row r="734" spans="1:27">
      <c r="A734" t="s">
        <v>76</v>
      </c>
      <c r="B734" s="18">
        <v>2029</v>
      </c>
      <c r="C734" t="s">
        <v>257</v>
      </c>
      <c r="D734" s="20" t="s">
        <v>407</v>
      </c>
      <c r="E734" s="20" t="s">
        <v>408</v>
      </c>
      <c r="F734" s="20" t="s">
        <v>260</v>
      </c>
      <c r="G734" s="20" t="s">
        <v>393</v>
      </c>
      <c r="H734" s="20" t="s">
        <v>384</v>
      </c>
      <c r="I734" s="29">
        <v>1</v>
      </c>
      <c r="J734" s="30">
        <v>1</v>
      </c>
      <c r="K734" s="31">
        <v>7.7000000000000002E-3</v>
      </c>
      <c r="L734" s="9">
        <v>590766467.10548604</v>
      </c>
      <c r="M734" s="9">
        <v>590968059.72178304</v>
      </c>
      <c r="N734" s="32">
        <f>MIN(MAX((B734-Calculation_Assumptions!$B$5+1)/Calculation_Assumptions!$B$7,0),1)</f>
        <v>1</v>
      </c>
      <c r="O734" s="21">
        <f t="shared" si="88"/>
        <v>590766467.10548604</v>
      </c>
      <c r="P734" s="21">
        <f t="shared" si="89"/>
        <v>590968059.72178304</v>
      </c>
      <c r="Q734" s="21">
        <f>P734*Calculation_Assumptions!$B$14*J734*K734</f>
        <v>0</v>
      </c>
      <c r="R734" s="21">
        <f t="shared" si="90"/>
        <v>4548901.796712243</v>
      </c>
      <c r="S734" s="21">
        <f t="shared" si="91"/>
        <v>4548901.796712243</v>
      </c>
      <c r="T734" s="32">
        <f>1/(1+Calculation_Assumptions!$B$8)^(B734-Calculation_Assumptions!$B$2)</f>
        <v>0.888487047915689</v>
      </c>
      <c r="U734" s="21">
        <f t="shared" si="92"/>
        <v>0</v>
      </c>
      <c r="V734" s="21">
        <f t="shared" si="93"/>
        <v>4041640.3286192343</v>
      </c>
      <c r="W734" s="21">
        <f t="shared" si="94"/>
        <v>4041640.3286192343</v>
      </c>
      <c r="X734">
        <v>0</v>
      </c>
      <c r="Y734" s="18">
        <v>2017</v>
      </c>
      <c r="Z734" t="s">
        <v>387</v>
      </c>
      <c r="AA734" s="21">
        <f t="shared" si="95"/>
        <v>1</v>
      </c>
    </row>
    <row r="735" spans="1:27">
      <c r="A735" t="s">
        <v>76</v>
      </c>
      <c r="B735" s="18">
        <v>2030</v>
      </c>
      <c r="C735" t="s">
        <v>257</v>
      </c>
      <c r="D735" s="20" t="s">
        <v>407</v>
      </c>
      <c r="E735" s="20" t="s">
        <v>408</v>
      </c>
      <c r="F735" s="20" t="s">
        <v>260</v>
      </c>
      <c r="G735" s="20" t="s">
        <v>393</v>
      </c>
      <c r="H735" s="20" t="s">
        <v>384</v>
      </c>
      <c r="I735" s="29">
        <v>1</v>
      </c>
      <c r="J735" s="30">
        <v>1</v>
      </c>
      <c r="K735" s="31">
        <v>7.7000000000000002E-3</v>
      </c>
      <c r="L735" s="9">
        <v>594652967.05338001</v>
      </c>
      <c r="M735" s="9">
        <v>594808018.62654305</v>
      </c>
      <c r="N735" s="32">
        <f>MIN(MAX((B735-Calculation_Assumptions!$B$5+1)/Calculation_Assumptions!$B$7,0),1)</f>
        <v>1</v>
      </c>
      <c r="O735" s="21">
        <f t="shared" si="88"/>
        <v>594652967.05338001</v>
      </c>
      <c r="P735" s="21">
        <f t="shared" si="89"/>
        <v>594808018.62654305</v>
      </c>
      <c r="Q735" s="21">
        <f>P735*Calculation_Assumptions!$B$14*J735*K735</f>
        <v>0</v>
      </c>
      <c r="R735" s="21">
        <f t="shared" si="90"/>
        <v>4578827.8463110263</v>
      </c>
      <c r="S735" s="21">
        <f t="shared" si="91"/>
        <v>4578827.8463110263</v>
      </c>
      <c r="T735" s="32">
        <f>1/(1+Calculation_Assumptions!$B$8)^(B735-Calculation_Assumptions!$B$2)</f>
        <v>0.86260878438416411</v>
      </c>
      <c r="U735" s="21">
        <f t="shared" si="92"/>
        <v>0</v>
      </c>
      <c r="V735" s="21">
        <f t="shared" si="93"/>
        <v>3949737.1224107146</v>
      </c>
      <c r="W735" s="21">
        <f t="shared" si="94"/>
        <v>3949737.1224107146</v>
      </c>
      <c r="X735">
        <v>0</v>
      </c>
      <c r="Y735" s="18">
        <v>2017</v>
      </c>
      <c r="Z735" t="s">
        <v>387</v>
      </c>
      <c r="AA735" s="21">
        <f t="shared" si="95"/>
        <v>1</v>
      </c>
    </row>
    <row r="736" spans="1:27">
      <c r="A736" t="s">
        <v>76</v>
      </c>
      <c r="B736" s="18">
        <v>2031</v>
      </c>
      <c r="C736" t="s">
        <v>257</v>
      </c>
      <c r="D736" s="20" t="s">
        <v>407</v>
      </c>
      <c r="E736" s="20" t="s">
        <v>408</v>
      </c>
      <c r="F736" s="20" t="s">
        <v>260</v>
      </c>
      <c r="G736" s="20" t="s">
        <v>393</v>
      </c>
      <c r="H736" s="20" t="s">
        <v>384</v>
      </c>
      <c r="I736" s="29">
        <v>1</v>
      </c>
      <c r="J736" s="30">
        <v>1</v>
      </c>
      <c r="K736" s="31">
        <v>7.7000000000000002E-3</v>
      </c>
      <c r="L736" s="9">
        <v>598482853.08345401</v>
      </c>
      <c r="M736" s="9">
        <v>598581381.03442597</v>
      </c>
      <c r="N736" s="32">
        <f>MIN(MAX((B736-Calculation_Assumptions!$B$5+1)/Calculation_Assumptions!$B$7,0),1)</f>
        <v>1</v>
      </c>
      <c r="O736" s="21">
        <f t="shared" si="88"/>
        <v>598482853.08345401</v>
      </c>
      <c r="P736" s="21">
        <f t="shared" si="89"/>
        <v>598581381.03442597</v>
      </c>
      <c r="Q736" s="21">
        <f>P736*Calculation_Assumptions!$B$14*J736*K736</f>
        <v>0</v>
      </c>
      <c r="R736" s="21">
        <f t="shared" si="90"/>
        <v>4608317.968742596</v>
      </c>
      <c r="S736" s="21">
        <f t="shared" si="91"/>
        <v>4608317.968742596</v>
      </c>
      <c r="T736" s="32">
        <f>1/(1+Calculation_Assumptions!$B$8)^(B736-Calculation_Assumptions!$B$2)</f>
        <v>0.83748425668365445</v>
      </c>
      <c r="U736" s="21">
        <f t="shared" si="92"/>
        <v>0</v>
      </c>
      <c r="V736" s="21">
        <f t="shared" si="93"/>
        <v>3859393.7486143215</v>
      </c>
      <c r="W736" s="21">
        <f t="shared" si="94"/>
        <v>3859393.7486143215</v>
      </c>
      <c r="X736">
        <v>0</v>
      </c>
      <c r="Y736" s="18">
        <v>2017</v>
      </c>
      <c r="Z736" t="s">
        <v>387</v>
      </c>
      <c r="AA736" s="21">
        <f t="shared" si="95"/>
        <v>1</v>
      </c>
    </row>
    <row r="737" spans="1:27">
      <c r="A737" t="s">
        <v>76</v>
      </c>
      <c r="B737" s="18">
        <v>2032</v>
      </c>
      <c r="C737" t="s">
        <v>257</v>
      </c>
      <c r="D737" s="20" t="s">
        <v>407</v>
      </c>
      <c r="E737" s="20" t="s">
        <v>408</v>
      </c>
      <c r="F737" s="20" t="s">
        <v>260</v>
      </c>
      <c r="G737" s="20" t="s">
        <v>393</v>
      </c>
      <c r="H737" s="20" t="s">
        <v>384</v>
      </c>
      <c r="I737" s="29">
        <v>1</v>
      </c>
      <c r="J737" s="30">
        <v>1</v>
      </c>
      <c r="K737" s="31">
        <v>7.7000000000000002E-3</v>
      </c>
      <c r="L737" s="9">
        <v>602252425.332353</v>
      </c>
      <c r="M737" s="9">
        <v>602283583.58638096</v>
      </c>
      <c r="N737" s="32">
        <f>MIN(MAX((B737-Calculation_Assumptions!$B$5+1)/Calculation_Assumptions!$B$7,0),1)</f>
        <v>1</v>
      </c>
      <c r="O737" s="21">
        <f t="shared" si="88"/>
        <v>602252425.332353</v>
      </c>
      <c r="P737" s="21">
        <f t="shared" si="89"/>
        <v>602283583.58638096</v>
      </c>
      <c r="Q737" s="21">
        <f>P737*Calculation_Assumptions!$B$14*J737*K737</f>
        <v>0</v>
      </c>
      <c r="R737" s="21">
        <f t="shared" si="90"/>
        <v>4637343.6750591183</v>
      </c>
      <c r="S737" s="21">
        <f t="shared" si="91"/>
        <v>4637343.6750591183</v>
      </c>
      <c r="T737" s="32">
        <f>1/(1+Calculation_Assumptions!$B$8)^(B737-Calculation_Assumptions!$B$2)</f>
        <v>0.81309151134335378</v>
      </c>
      <c r="U737" s="21">
        <f t="shared" si="92"/>
        <v>0</v>
      </c>
      <c r="V737" s="21">
        <f t="shared" si="93"/>
        <v>3770584.7773723612</v>
      </c>
      <c r="W737" s="21">
        <f t="shared" si="94"/>
        <v>3770584.7773723612</v>
      </c>
      <c r="X737">
        <v>0</v>
      </c>
      <c r="Y737" s="18">
        <v>2017</v>
      </c>
      <c r="Z737" t="s">
        <v>387</v>
      </c>
      <c r="AA737" s="21">
        <f t="shared" si="95"/>
        <v>1</v>
      </c>
    </row>
    <row r="738" spans="1:27">
      <c r="A738" t="s">
        <v>76</v>
      </c>
      <c r="B738" s="18">
        <v>2033</v>
      </c>
      <c r="C738" t="s">
        <v>257</v>
      </c>
      <c r="D738" s="20" t="s">
        <v>407</v>
      </c>
      <c r="E738" s="20" t="s">
        <v>408</v>
      </c>
      <c r="F738" s="20" t="s">
        <v>260</v>
      </c>
      <c r="G738" s="20" t="s">
        <v>393</v>
      </c>
      <c r="H738" s="20" t="s">
        <v>384</v>
      </c>
      <c r="I738" s="29">
        <v>1</v>
      </c>
      <c r="J738" s="30">
        <v>1</v>
      </c>
      <c r="K738" s="31">
        <v>7.7000000000000002E-3</v>
      </c>
      <c r="L738" s="9">
        <v>605955528.04318595</v>
      </c>
      <c r="M738" s="9">
        <v>605911902.99473</v>
      </c>
      <c r="N738" s="32">
        <f>MIN(MAX((B738-Calculation_Assumptions!$B$5+1)/Calculation_Assumptions!$B$7,0),1)</f>
        <v>1</v>
      </c>
      <c r="O738" s="21">
        <f t="shared" si="88"/>
        <v>605955528.04318595</v>
      </c>
      <c r="P738" s="21">
        <f t="shared" si="89"/>
        <v>605911902.99473</v>
      </c>
      <c r="Q738" s="21">
        <f>P738*Calculation_Assumptions!$B$14*J738*K738</f>
        <v>0</v>
      </c>
      <c r="R738" s="21">
        <f t="shared" si="90"/>
        <v>4665857.5659325318</v>
      </c>
      <c r="S738" s="21">
        <f t="shared" si="91"/>
        <v>4665857.5659325318</v>
      </c>
      <c r="T738" s="32">
        <f>1/(1+Calculation_Assumptions!$B$8)^(B738-Calculation_Assumptions!$B$2)</f>
        <v>0.78940923431393573</v>
      </c>
      <c r="U738" s="21">
        <f t="shared" si="92"/>
        <v>0</v>
      </c>
      <c r="V738" s="21">
        <f t="shared" si="93"/>
        <v>3683271.0485406839</v>
      </c>
      <c r="W738" s="21">
        <f t="shared" si="94"/>
        <v>3683271.0485406839</v>
      </c>
      <c r="X738">
        <v>0</v>
      </c>
      <c r="Y738" s="18">
        <v>2017</v>
      </c>
      <c r="Z738" t="s">
        <v>387</v>
      </c>
      <c r="AA738" s="21">
        <f t="shared" si="95"/>
        <v>1</v>
      </c>
    </row>
    <row r="739" spans="1:27">
      <c r="A739" t="s">
        <v>76</v>
      </c>
      <c r="B739" s="18">
        <v>2034</v>
      </c>
      <c r="C739" t="s">
        <v>257</v>
      </c>
      <c r="D739" s="20" t="s">
        <v>407</v>
      </c>
      <c r="E739" s="20" t="s">
        <v>408</v>
      </c>
      <c r="F739" s="20" t="s">
        <v>260</v>
      </c>
      <c r="G739" s="20" t="s">
        <v>393</v>
      </c>
      <c r="H739" s="20" t="s">
        <v>384</v>
      </c>
      <c r="I739" s="29">
        <v>1</v>
      </c>
      <c r="J739" s="30">
        <v>1</v>
      </c>
      <c r="K739" s="31">
        <v>7.7000000000000002E-3</v>
      </c>
      <c r="L739" s="9">
        <v>609560284.09550095</v>
      </c>
      <c r="M739" s="9">
        <v>609455548.12077105</v>
      </c>
      <c r="N739" s="32">
        <f>MIN(MAX((B739-Calculation_Assumptions!$B$5+1)/Calculation_Assumptions!$B$7,0),1)</f>
        <v>1</v>
      </c>
      <c r="O739" s="21">
        <f t="shared" si="88"/>
        <v>609560284.09550095</v>
      </c>
      <c r="P739" s="21">
        <f t="shared" si="89"/>
        <v>609455548.12077105</v>
      </c>
      <c r="Q739" s="21">
        <f>P739*Calculation_Assumptions!$B$14*J739*K739</f>
        <v>0</v>
      </c>
      <c r="R739" s="21">
        <f t="shared" si="90"/>
        <v>4693614.1875353577</v>
      </c>
      <c r="S739" s="21">
        <f t="shared" si="91"/>
        <v>4693614.1875353577</v>
      </c>
      <c r="T739" s="32">
        <f>1/(1+Calculation_Assumptions!$B$8)^(B739-Calculation_Assumptions!$B$2)</f>
        <v>0.76641673234362695</v>
      </c>
      <c r="U739" s="21">
        <f t="shared" si="92"/>
        <v>0</v>
      </c>
      <c r="V739" s="21">
        <f t="shared" si="93"/>
        <v>3597264.4484925363</v>
      </c>
      <c r="W739" s="21">
        <f t="shared" si="94"/>
        <v>3597264.4484925363</v>
      </c>
      <c r="X739">
        <v>0</v>
      </c>
      <c r="Y739" s="18">
        <v>2017</v>
      </c>
      <c r="Z739" t="s">
        <v>387</v>
      </c>
      <c r="AA739" s="21">
        <f t="shared" si="95"/>
        <v>1</v>
      </c>
    </row>
    <row r="740" spans="1:27">
      <c r="A740" t="s">
        <v>76</v>
      </c>
      <c r="B740" s="18">
        <v>2035</v>
      </c>
      <c r="C740" t="s">
        <v>257</v>
      </c>
      <c r="D740" s="20" t="s">
        <v>407</v>
      </c>
      <c r="E740" s="20" t="s">
        <v>408</v>
      </c>
      <c r="F740" s="20" t="s">
        <v>260</v>
      </c>
      <c r="G740" s="20" t="s">
        <v>393</v>
      </c>
      <c r="H740" s="20" t="s">
        <v>384</v>
      </c>
      <c r="I740" s="29">
        <v>1</v>
      </c>
      <c r="J740" s="30">
        <v>1</v>
      </c>
      <c r="K740" s="31">
        <v>7.7000000000000002E-3</v>
      </c>
      <c r="L740" s="9">
        <v>613092698.26085901</v>
      </c>
      <c r="M740" s="9">
        <v>612884294.47334194</v>
      </c>
      <c r="N740" s="32">
        <f>MIN(MAX((B740-Calculation_Assumptions!$B$5+1)/Calculation_Assumptions!$B$7,0),1)</f>
        <v>1</v>
      </c>
      <c r="O740" s="21">
        <f t="shared" si="88"/>
        <v>613092698.26085901</v>
      </c>
      <c r="P740" s="21">
        <f t="shared" si="89"/>
        <v>612884294.47334194</v>
      </c>
      <c r="Q740" s="21">
        <f>P740*Calculation_Assumptions!$B$14*J740*K740</f>
        <v>0</v>
      </c>
      <c r="R740" s="21">
        <f t="shared" si="90"/>
        <v>4720813.7766086143</v>
      </c>
      <c r="S740" s="21">
        <f t="shared" si="91"/>
        <v>4720813.7766086143</v>
      </c>
      <c r="T740" s="32">
        <f>1/(1+Calculation_Assumptions!$B$8)^(B740-Calculation_Assumptions!$B$2)</f>
        <v>0.74409391489672516</v>
      </c>
      <c r="U740" s="21">
        <f t="shared" si="92"/>
        <v>0</v>
      </c>
      <c r="V740" s="21">
        <f t="shared" si="93"/>
        <v>3512728.8045350979</v>
      </c>
      <c r="W740" s="21">
        <f t="shared" si="94"/>
        <v>3512728.8045350979</v>
      </c>
      <c r="X740">
        <v>0</v>
      </c>
      <c r="Y740" s="18">
        <v>2017</v>
      </c>
      <c r="Z740" t="s">
        <v>387</v>
      </c>
      <c r="AA740" s="21">
        <f t="shared" si="95"/>
        <v>1</v>
      </c>
    </row>
    <row r="741" spans="1:27">
      <c r="A741" t="s">
        <v>76</v>
      </c>
      <c r="B741" s="18">
        <v>2036</v>
      </c>
      <c r="C741" t="s">
        <v>257</v>
      </c>
      <c r="D741" s="20" t="s">
        <v>407</v>
      </c>
      <c r="E741" s="20" t="s">
        <v>408</v>
      </c>
      <c r="F741" s="20" t="s">
        <v>260</v>
      </c>
      <c r="G741" s="20" t="s">
        <v>393</v>
      </c>
      <c r="H741" s="20" t="s">
        <v>384</v>
      </c>
      <c r="I741" s="29">
        <v>1</v>
      </c>
      <c r="J741" s="30">
        <v>1</v>
      </c>
      <c r="K741" s="31">
        <v>7.7000000000000002E-3</v>
      </c>
      <c r="L741" s="9">
        <v>616539654.35734701</v>
      </c>
      <c r="M741" s="9">
        <v>616262053.85817397</v>
      </c>
      <c r="N741" s="32">
        <f>MIN(MAX((B741-Calculation_Assumptions!$B$5+1)/Calculation_Assumptions!$B$7,0),1)</f>
        <v>1</v>
      </c>
      <c r="O741" s="21">
        <f t="shared" si="88"/>
        <v>616539654.35734701</v>
      </c>
      <c r="P741" s="21">
        <f t="shared" si="89"/>
        <v>616262053.85817397</v>
      </c>
      <c r="Q741" s="21">
        <f>P741*Calculation_Assumptions!$B$14*J741*K741</f>
        <v>0</v>
      </c>
      <c r="R741" s="21">
        <f t="shared" si="90"/>
        <v>4747355.3385515725</v>
      </c>
      <c r="S741" s="21">
        <f t="shared" si="91"/>
        <v>4747355.3385515725</v>
      </c>
      <c r="T741" s="32">
        <f>1/(1+Calculation_Assumptions!$B$8)^(B741-Calculation_Assumptions!$B$2)</f>
        <v>0.72242127659876232</v>
      </c>
      <c r="U741" s="21">
        <f t="shared" si="92"/>
        <v>0</v>
      </c>
      <c r="V741" s="21">
        <f t="shared" si="93"/>
        <v>3429590.5041443766</v>
      </c>
      <c r="W741" s="21">
        <f t="shared" si="94"/>
        <v>3429590.5041443766</v>
      </c>
      <c r="X741">
        <v>0</v>
      </c>
      <c r="Y741" s="18">
        <v>2017</v>
      </c>
      <c r="Z741" t="s">
        <v>387</v>
      </c>
      <c r="AA741" s="21">
        <f t="shared" si="95"/>
        <v>1</v>
      </c>
    </row>
    <row r="742" spans="1:27">
      <c r="A742" t="s">
        <v>76</v>
      </c>
      <c r="B742" s="18">
        <v>2037</v>
      </c>
      <c r="C742" t="s">
        <v>257</v>
      </c>
      <c r="D742" s="20" t="s">
        <v>407</v>
      </c>
      <c r="E742" s="20" t="s">
        <v>408</v>
      </c>
      <c r="F742" s="20" t="s">
        <v>260</v>
      </c>
      <c r="G742" s="20" t="s">
        <v>393</v>
      </c>
      <c r="H742" s="20" t="s">
        <v>384</v>
      </c>
      <c r="I742" s="29">
        <v>1</v>
      </c>
      <c r="J742" s="30">
        <v>1</v>
      </c>
      <c r="K742" s="31">
        <v>7.7000000000000002E-3</v>
      </c>
      <c r="L742" s="9">
        <v>619898345.122545</v>
      </c>
      <c r="M742" s="9">
        <v>619529380.90729904</v>
      </c>
      <c r="N742" s="32">
        <f>MIN(MAX((B742-Calculation_Assumptions!$B$5+1)/Calculation_Assumptions!$B$7,0),1)</f>
        <v>1</v>
      </c>
      <c r="O742" s="21">
        <f t="shared" si="88"/>
        <v>619898345.122545</v>
      </c>
      <c r="P742" s="21">
        <f t="shared" si="89"/>
        <v>619529380.90729904</v>
      </c>
      <c r="Q742" s="21">
        <f>P742*Calculation_Assumptions!$B$14*J742*K742</f>
        <v>0</v>
      </c>
      <c r="R742" s="21">
        <f t="shared" si="90"/>
        <v>4773217.2574435966</v>
      </c>
      <c r="S742" s="21">
        <f t="shared" si="91"/>
        <v>4773217.2574435966</v>
      </c>
      <c r="T742" s="32">
        <f>1/(1+Calculation_Assumptions!$B$8)^(B742-Calculation_Assumptions!$B$2)</f>
        <v>0.70137988019297326</v>
      </c>
      <c r="U742" s="21">
        <f t="shared" si="92"/>
        <v>0</v>
      </c>
      <c r="V742" s="21">
        <f t="shared" si="93"/>
        <v>3347838.5481608221</v>
      </c>
      <c r="W742" s="21">
        <f t="shared" si="94"/>
        <v>3347838.5481608221</v>
      </c>
      <c r="X742">
        <v>0</v>
      </c>
      <c r="Y742" s="18">
        <v>2017</v>
      </c>
      <c r="Z742" t="s">
        <v>387</v>
      </c>
      <c r="AA742" s="21">
        <f t="shared" si="95"/>
        <v>1</v>
      </c>
    </row>
    <row r="743" spans="1:27">
      <c r="A743" t="s">
        <v>76</v>
      </c>
      <c r="B743" s="18">
        <v>2038</v>
      </c>
      <c r="C743" t="s">
        <v>257</v>
      </c>
      <c r="D743" s="20" t="s">
        <v>407</v>
      </c>
      <c r="E743" s="20" t="s">
        <v>408</v>
      </c>
      <c r="F743" s="20" t="s">
        <v>260</v>
      </c>
      <c r="G743" s="20" t="s">
        <v>393</v>
      </c>
      <c r="H743" s="20" t="s">
        <v>384</v>
      </c>
      <c r="I743" s="29">
        <v>1</v>
      </c>
      <c r="J743" s="30">
        <v>1</v>
      </c>
      <c r="K743" s="31">
        <v>7.7000000000000002E-3</v>
      </c>
      <c r="L743" s="9">
        <v>623157085.01735401</v>
      </c>
      <c r="M743" s="9">
        <v>622673191.62836504</v>
      </c>
      <c r="N743" s="32">
        <f>MIN(MAX((B743-Calculation_Assumptions!$B$5+1)/Calculation_Assumptions!$B$7,0),1)</f>
        <v>1</v>
      </c>
      <c r="O743" s="21">
        <f t="shared" si="88"/>
        <v>623157085.01735401</v>
      </c>
      <c r="P743" s="21">
        <f t="shared" si="89"/>
        <v>622673191.62836504</v>
      </c>
      <c r="Q743" s="21">
        <f>P743*Calculation_Assumptions!$B$14*J743*K743</f>
        <v>0</v>
      </c>
      <c r="R743" s="21">
        <f t="shared" si="90"/>
        <v>4798309.5546336258</v>
      </c>
      <c r="S743" s="21">
        <f t="shared" si="91"/>
        <v>4798309.5546336258</v>
      </c>
      <c r="T743" s="32">
        <f>1/(1+Calculation_Assumptions!$B$8)^(B743-Calculation_Assumptions!$B$2)</f>
        <v>0.68095133999317792</v>
      </c>
      <c r="U743" s="21">
        <f t="shared" si="92"/>
        <v>0</v>
      </c>
      <c r="V743" s="21">
        <f t="shared" si="93"/>
        <v>3267415.320929836</v>
      </c>
      <c r="W743" s="21">
        <f t="shared" si="94"/>
        <v>3267415.320929836</v>
      </c>
      <c r="X743">
        <v>0</v>
      </c>
      <c r="Y743" s="18">
        <v>2017</v>
      </c>
      <c r="Z743" t="s">
        <v>387</v>
      </c>
      <c r="AA743" s="21">
        <f t="shared" si="95"/>
        <v>1</v>
      </c>
    </row>
    <row r="744" spans="1:27">
      <c r="A744" t="s">
        <v>76</v>
      </c>
      <c r="B744" s="18">
        <v>2039</v>
      </c>
      <c r="C744" t="s">
        <v>257</v>
      </c>
      <c r="D744" s="20" t="s">
        <v>407</v>
      </c>
      <c r="E744" s="20" t="s">
        <v>408</v>
      </c>
      <c r="F744" s="20" t="s">
        <v>260</v>
      </c>
      <c r="G744" s="20" t="s">
        <v>393</v>
      </c>
      <c r="H744" s="20" t="s">
        <v>384</v>
      </c>
      <c r="I744" s="29">
        <v>1</v>
      </c>
      <c r="J744" s="30">
        <v>1</v>
      </c>
      <c r="K744" s="31">
        <v>7.7000000000000002E-3</v>
      </c>
      <c r="L744" s="9">
        <v>626312438.007918</v>
      </c>
      <c r="M744" s="9">
        <v>625731758.218045</v>
      </c>
      <c r="N744" s="32">
        <f>MIN(MAX((B744-Calculation_Assumptions!$B$5+1)/Calculation_Assumptions!$B$7,0),1)</f>
        <v>1</v>
      </c>
      <c r="O744" s="21">
        <f t="shared" si="88"/>
        <v>626312438.007918</v>
      </c>
      <c r="P744" s="21">
        <f t="shared" si="89"/>
        <v>625731758.218045</v>
      </c>
      <c r="Q744" s="21">
        <f>P744*Calculation_Assumptions!$B$14*J744*K744</f>
        <v>0</v>
      </c>
      <c r="R744" s="21">
        <f t="shared" si="90"/>
        <v>4822605.7726609688</v>
      </c>
      <c r="S744" s="21">
        <f t="shared" si="91"/>
        <v>4822605.7726609688</v>
      </c>
      <c r="T744" s="32">
        <f>1/(1+Calculation_Assumptions!$B$8)^(B744-Calculation_Assumptions!$B$2)</f>
        <v>0.66111780581861923</v>
      </c>
      <c r="U744" s="21">
        <f t="shared" si="92"/>
        <v>0</v>
      </c>
      <c r="V744" s="21">
        <f t="shared" si="93"/>
        <v>3188310.5467498265</v>
      </c>
      <c r="W744" s="21">
        <f t="shared" si="94"/>
        <v>3188310.5467498265</v>
      </c>
      <c r="X744">
        <v>0</v>
      </c>
      <c r="Y744" s="18">
        <v>2017</v>
      </c>
      <c r="Z744" t="s">
        <v>387</v>
      </c>
      <c r="AA744" s="21">
        <f t="shared" si="95"/>
        <v>1</v>
      </c>
    </row>
    <row r="745" spans="1:27">
      <c r="A745" t="s">
        <v>76</v>
      </c>
      <c r="B745" s="18">
        <v>2040</v>
      </c>
      <c r="C745" t="s">
        <v>257</v>
      </c>
      <c r="D745" s="20" t="s">
        <v>407</v>
      </c>
      <c r="E745" s="20" t="s">
        <v>408</v>
      </c>
      <c r="F745" s="20" t="s">
        <v>260</v>
      </c>
      <c r="G745" s="20" t="s">
        <v>393</v>
      </c>
      <c r="H745" s="20" t="s">
        <v>384</v>
      </c>
      <c r="I745" s="29">
        <v>1</v>
      </c>
      <c r="J745" s="30">
        <v>1</v>
      </c>
      <c r="K745" s="31">
        <v>7.7000000000000002E-3</v>
      </c>
      <c r="L745" s="9">
        <v>629347032.33731306</v>
      </c>
      <c r="M745" s="9">
        <v>628667498.21665299</v>
      </c>
      <c r="N745" s="32">
        <f>MIN(MAX((B745-Calculation_Assumptions!$B$5+1)/Calculation_Assumptions!$B$7,0),1)</f>
        <v>1</v>
      </c>
      <c r="O745" s="21">
        <f t="shared" si="88"/>
        <v>629347032.33731306</v>
      </c>
      <c r="P745" s="21">
        <f t="shared" si="89"/>
        <v>628667498.21665299</v>
      </c>
      <c r="Q745" s="21">
        <f>P745*Calculation_Assumptions!$B$14*J745*K745</f>
        <v>0</v>
      </c>
      <c r="R745" s="21">
        <f t="shared" si="90"/>
        <v>4845972.1489973105</v>
      </c>
      <c r="S745" s="21">
        <f t="shared" si="91"/>
        <v>4845972.1489973105</v>
      </c>
      <c r="T745" s="32">
        <f>1/(1+Calculation_Assumptions!$B$8)^(B745-Calculation_Assumptions!$B$2)</f>
        <v>0.64186194739671765</v>
      </c>
      <c r="U745" s="21">
        <f t="shared" si="92"/>
        <v>0</v>
      </c>
      <c r="V745" s="21">
        <f t="shared" si="93"/>
        <v>3110445.1205856707</v>
      </c>
      <c r="W745" s="21">
        <f t="shared" si="94"/>
        <v>3110445.1205856707</v>
      </c>
      <c r="X745">
        <v>0</v>
      </c>
      <c r="Y745" s="18">
        <v>2017</v>
      </c>
      <c r="Z745" t="s">
        <v>387</v>
      </c>
      <c r="AA745" s="21">
        <f t="shared" si="95"/>
        <v>1</v>
      </c>
    </row>
    <row r="746" spans="1:27">
      <c r="A746" t="s">
        <v>76</v>
      </c>
      <c r="B746" s="18">
        <v>2041</v>
      </c>
      <c r="C746" t="s">
        <v>257</v>
      </c>
      <c r="D746" s="20" t="s">
        <v>407</v>
      </c>
      <c r="E746" s="20" t="s">
        <v>408</v>
      </c>
      <c r="F746" s="20" t="s">
        <v>260</v>
      </c>
      <c r="G746" s="20" t="s">
        <v>393</v>
      </c>
      <c r="H746" s="20" t="s">
        <v>384</v>
      </c>
      <c r="I746" s="29">
        <v>1</v>
      </c>
      <c r="J746" s="30">
        <v>1</v>
      </c>
      <c r="K746" s="31">
        <v>7.7000000000000002E-3</v>
      </c>
      <c r="L746" s="9">
        <v>632268493.39175498</v>
      </c>
      <c r="M746" s="9">
        <v>631488405.68781996</v>
      </c>
      <c r="N746" s="32">
        <f>MIN(MAX((B746-Calculation_Assumptions!$B$5+1)/Calculation_Assumptions!$B$7,0),1)</f>
        <v>1</v>
      </c>
      <c r="O746" s="21">
        <f t="shared" si="88"/>
        <v>632268493.39175498</v>
      </c>
      <c r="P746" s="21">
        <f t="shared" si="89"/>
        <v>631488405.68781996</v>
      </c>
      <c r="Q746" s="21">
        <f>P746*Calculation_Assumptions!$B$14*J746*K746</f>
        <v>0</v>
      </c>
      <c r="R746" s="21">
        <f t="shared" si="90"/>
        <v>4868467.3991165133</v>
      </c>
      <c r="S746" s="21">
        <f t="shared" si="91"/>
        <v>4868467.3991165133</v>
      </c>
      <c r="T746" s="32">
        <f>1/(1+Calculation_Assumptions!$B$8)^(B746-Calculation_Assumptions!$B$2)</f>
        <v>0.62316693922011435</v>
      </c>
      <c r="U746" s="21">
        <f t="shared" si="92"/>
        <v>0</v>
      </c>
      <c r="V746" s="21">
        <f t="shared" si="93"/>
        <v>3033867.9278003485</v>
      </c>
      <c r="W746" s="21">
        <f t="shared" si="94"/>
        <v>3033867.9278003485</v>
      </c>
      <c r="X746">
        <v>0</v>
      </c>
      <c r="Y746" s="18">
        <v>2017</v>
      </c>
      <c r="Z746" t="s">
        <v>387</v>
      </c>
      <c r="AA746" s="21">
        <f t="shared" si="95"/>
        <v>1</v>
      </c>
    </row>
    <row r="747" spans="1:27">
      <c r="A747" t="s">
        <v>76</v>
      </c>
      <c r="B747" s="18">
        <v>2042</v>
      </c>
      <c r="C747" t="s">
        <v>257</v>
      </c>
      <c r="D747" s="20" t="s">
        <v>407</v>
      </c>
      <c r="E747" s="20" t="s">
        <v>408</v>
      </c>
      <c r="F747" s="20" t="s">
        <v>260</v>
      </c>
      <c r="G747" s="20" t="s">
        <v>393</v>
      </c>
      <c r="H747" s="20" t="s">
        <v>384</v>
      </c>
      <c r="I747" s="29">
        <v>1</v>
      </c>
      <c r="J747" s="30">
        <v>1</v>
      </c>
      <c r="K747" s="31">
        <v>7.7000000000000002E-3</v>
      </c>
      <c r="L747" s="9">
        <v>635066634.14519799</v>
      </c>
      <c r="M747" s="9">
        <v>634184560.98858297</v>
      </c>
      <c r="N747" s="32">
        <f>MIN(MAX((B747-Calculation_Assumptions!$B$5+1)/Calculation_Assumptions!$B$7,0),1)</f>
        <v>1</v>
      </c>
      <c r="O747" s="21">
        <f t="shared" si="88"/>
        <v>635066634.14519799</v>
      </c>
      <c r="P747" s="21">
        <f t="shared" si="89"/>
        <v>634184560.98858297</v>
      </c>
      <c r="Q747" s="21">
        <f>P747*Calculation_Assumptions!$B$14*J747*K747</f>
        <v>0</v>
      </c>
      <c r="R747" s="21">
        <f t="shared" si="90"/>
        <v>4890013.0829180246</v>
      </c>
      <c r="S747" s="21">
        <f t="shared" si="91"/>
        <v>4890013.0829180246</v>
      </c>
      <c r="T747" s="32">
        <f>1/(1+Calculation_Assumptions!$B$8)^(B747-Calculation_Assumptions!$B$2)</f>
        <v>0.60501644584477121</v>
      </c>
      <c r="U747" s="21">
        <f t="shared" si="92"/>
        <v>0</v>
      </c>
      <c r="V747" s="21">
        <f t="shared" si="93"/>
        <v>2958538.3355614957</v>
      </c>
      <c r="W747" s="21">
        <f t="shared" si="94"/>
        <v>2958538.3355614957</v>
      </c>
      <c r="X747">
        <v>0</v>
      </c>
      <c r="Y747" s="18">
        <v>2017</v>
      </c>
      <c r="Z747" t="s">
        <v>387</v>
      </c>
      <c r="AA747" s="21">
        <f t="shared" si="95"/>
        <v>1</v>
      </c>
    </row>
    <row r="748" spans="1:27">
      <c r="A748" t="s">
        <v>76</v>
      </c>
      <c r="B748" s="18">
        <v>2043</v>
      </c>
      <c r="C748" t="s">
        <v>257</v>
      </c>
      <c r="D748" s="20" t="s">
        <v>407</v>
      </c>
      <c r="E748" s="20" t="s">
        <v>408</v>
      </c>
      <c r="F748" s="20" t="s">
        <v>260</v>
      </c>
      <c r="G748" s="20" t="s">
        <v>393</v>
      </c>
      <c r="H748" s="20" t="s">
        <v>384</v>
      </c>
      <c r="I748" s="29">
        <v>1</v>
      </c>
      <c r="J748" s="30">
        <v>1</v>
      </c>
      <c r="K748" s="31">
        <v>7.7000000000000002E-3</v>
      </c>
      <c r="L748" s="9">
        <v>637740511.15042996</v>
      </c>
      <c r="M748" s="9">
        <v>636767020.67603099</v>
      </c>
      <c r="N748" s="32">
        <f>MIN(MAX((B748-Calculation_Assumptions!$B$5+1)/Calculation_Assumptions!$B$7,0),1)</f>
        <v>1</v>
      </c>
      <c r="O748" s="21">
        <f t="shared" si="88"/>
        <v>637740511.15042996</v>
      </c>
      <c r="P748" s="21">
        <f t="shared" si="89"/>
        <v>636767020.67603099</v>
      </c>
      <c r="Q748" s="21">
        <f>P748*Calculation_Assumptions!$B$14*J748*K748</f>
        <v>0</v>
      </c>
      <c r="R748" s="21">
        <f t="shared" si="90"/>
        <v>4910601.9358583111</v>
      </c>
      <c r="S748" s="21">
        <f t="shared" si="91"/>
        <v>4910601.9358583111</v>
      </c>
      <c r="T748" s="32">
        <f>1/(1+Calculation_Assumptions!$B$8)^(B748-Calculation_Assumptions!$B$2)</f>
        <v>0.5873946076162827</v>
      </c>
      <c r="U748" s="21">
        <f t="shared" si="92"/>
        <v>0</v>
      </c>
      <c r="V748" s="21">
        <f t="shared" si="93"/>
        <v>2884461.097273251</v>
      </c>
      <c r="W748" s="21">
        <f t="shared" si="94"/>
        <v>2884461.097273251</v>
      </c>
      <c r="X748">
        <v>0</v>
      </c>
      <c r="Y748" s="18">
        <v>2017</v>
      </c>
      <c r="Z748" t="s">
        <v>387</v>
      </c>
      <c r="AA748" s="21">
        <f t="shared" si="95"/>
        <v>1</v>
      </c>
    </row>
    <row r="749" spans="1:27">
      <c r="A749" t="s">
        <v>76</v>
      </c>
      <c r="B749" s="18">
        <v>2044</v>
      </c>
      <c r="C749" t="s">
        <v>257</v>
      </c>
      <c r="D749" s="20" t="s">
        <v>407</v>
      </c>
      <c r="E749" s="20" t="s">
        <v>408</v>
      </c>
      <c r="F749" s="20" t="s">
        <v>260</v>
      </c>
      <c r="G749" s="20" t="s">
        <v>393</v>
      </c>
      <c r="H749" s="20" t="s">
        <v>384</v>
      </c>
      <c r="I749" s="29">
        <v>1</v>
      </c>
      <c r="J749" s="30">
        <v>1</v>
      </c>
      <c r="K749" s="31">
        <v>7.7000000000000002E-3</v>
      </c>
      <c r="L749" s="9">
        <v>640285329.92099202</v>
      </c>
      <c r="M749" s="9">
        <v>639211548.58069301</v>
      </c>
      <c r="N749" s="32">
        <f>MIN(MAX((B749-Calculation_Assumptions!$B$5+1)/Calculation_Assumptions!$B$7,0),1)</f>
        <v>1</v>
      </c>
      <c r="O749" s="21">
        <f t="shared" si="88"/>
        <v>640285329.92099202</v>
      </c>
      <c r="P749" s="21">
        <f t="shared" si="89"/>
        <v>639211548.58069301</v>
      </c>
      <c r="Q749" s="21">
        <f>P749*Calculation_Assumptions!$B$14*J749*K749</f>
        <v>0</v>
      </c>
      <c r="R749" s="21">
        <f t="shared" si="90"/>
        <v>4930197.0403916389</v>
      </c>
      <c r="S749" s="21">
        <f t="shared" si="91"/>
        <v>4930197.0403916389</v>
      </c>
      <c r="T749" s="32">
        <f>1/(1+Calculation_Assumptions!$B$8)^(B749-Calculation_Assumptions!$B$2)</f>
        <v>0.57028602681192497</v>
      </c>
      <c r="U749" s="21">
        <f t="shared" si="92"/>
        <v>0</v>
      </c>
      <c r="V749" s="21">
        <f t="shared" si="93"/>
        <v>2811622.4815648594</v>
      </c>
      <c r="W749" s="21">
        <f t="shared" si="94"/>
        <v>2811622.4815648594</v>
      </c>
      <c r="X749">
        <v>0</v>
      </c>
      <c r="Y749" s="18">
        <v>2017</v>
      </c>
      <c r="Z749" t="s">
        <v>387</v>
      </c>
      <c r="AA749" s="21">
        <f t="shared" si="95"/>
        <v>1</v>
      </c>
    </row>
    <row r="750" spans="1:27">
      <c r="A750" t="s">
        <v>76</v>
      </c>
      <c r="B750" s="18">
        <v>2045</v>
      </c>
      <c r="C750" t="s">
        <v>257</v>
      </c>
      <c r="D750" s="20" t="s">
        <v>407</v>
      </c>
      <c r="E750" s="20" t="s">
        <v>408</v>
      </c>
      <c r="F750" s="20" t="s">
        <v>260</v>
      </c>
      <c r="G750" s="20" t="s">
        <v>393</v>
      </c>
      <c r="H750" s="20" t="s">
        <v>384</v>
      </c>
      <c r="I750" s="29">
        <v>1</v>
      </c>
      <c r="J750" s="30">
        <v>1</v>
      </c>
      <c r="K750" s="31">
        <v>7.7000000000000002E-3</v>
      </c>
      <c r="L750" s="9">
        <v>642695843.59439898</v>
      </c>
      <c r="M750" s="9">
        <v>641520754.67294204</v>
      </c>
      <c r="N750" s="32">
        <f>MIN(MAX((B750-Calculation_Assumptions!$B$5+1)/Calculation_Assumptions!$B$7,0),1)</f>
        <v>1</v>
      </c>
      <c r="O750" s="21">
        <f t="shared" si="88"/>
        <v>642695843.59439898</v>
      </c>
      <c r="P750" s="21">
        <f t="shared" si="89"/>
        <v>641520754.67294204</v>
      </c>
      <c r="Q750" s="21">
        <f>P750*Calculation_Assumptions!$B$14*J750*K750</f>
        <v>0</v>
      </c>
      <c r="R750" s="21">
        <f t="shared" si="90"/>
        <v>4948757.9956768723</v>
      </c>
      <c r="S750" s="21">
        <f t="shared" si="91"/>
        <v>4948757.9956768723</v>
      </c>
      <c r="T750" s="32">
        <f>1/(1+Calculation_Assumptions!$B$8)^(B750-Calculation_Assumptions!$B$2)</f>
        <v>0.55367575418633497</v>
      </c>
      <c r="U750" s="21">
        <f t="shared" si="92"/>
        <v>0</v>
      </c>
      <c r="V750" s="21">
        <f t="shared" si="93"/>
        <v>2740007.3155420478</v>
      </c>
      <c r="W750" s="21">
        <f t="shared" si="94"/>
        <v>2740007.3155420478</v>
      </c>
      <c r="X750">
        <v>0</v>
      </c>
      <c r="Y750" s="18">
        <v>2017</v>
      </c>
      <c r="Z750" t="s">
        <v>387</v>
      </c>
      <c r="AA750" s="21">
        <f t="shared" si="95"/>
        <v>1</v>
      </c>
    </row>
    <row r="751" spans="1:27">
      <c r="A751" t="s">
        <v>76</v>
      </c>
      <c r="B751" s="18">
        <v>2046</v>
      </c>
      <c r="C751" t="s">
        <v>257</v>
      </c>
      <c r="D751" s="20" t="s">
        <v>407</v>
      </c>
      <c r="E751" s="20" t="s">
        <v>408</v>
      </c>
      <c r="F751" s="20" t="s">
        <v>260</v>
      </c>
      <c r="G751" s="20" t="s">
        <v>393</v>
      </c>
      <c r="H751" s="20" t="s">
        <v>384</v>
      </c>
      <c r="I751" s="29">
        <v>1</v>
      </c>
      <c r="J751" s="30">
        <v>1</v>
      </c>
      <c r="K751" s="31">
        <v>7.7000000000000002E-3</v>
      </c>
      <c r="L751" s="9">
        <v>644974193.08303404</v>
      </c>
      <c r="M751" s="9">
        <v>643697330.762573</v>
      </c>
      <c r="N751" s="32">
        <f>MIN(MAX((B751-Calculation_Assumptions!$B$5+1)/Calculation_Assumptions!$B$7,0),1)</f>
        <v>1</v>
      </c>
      <c r="O751" s="21">
        <f t="shared" si="88"/>
        <v>644974193.08303404</v>
      </c>
      <c r="P751" s="21">
        <f t="shared" si="89"/>
        <v>643697330.762573</v>
      </c>
      <c r="Q751" s="21">
        <f>P751*Calculation_Assumptions!$B$14*J751*K751</f>
        <v>0</v>
      </c>
      <c r="R751" s="21">
        <f t="shared" si="90"/>
        <v>4966301.2867393624</v>
      </c>
      <c r="S751" s="21">
        <f t="shared" si="91"/>
        <v>4966301.2867393624</v>
      </c>
      <c r="T751" s="32">
        <f>1/(1+Calculation_Assumptions!$B$8)^(B751-Calculation_Assumptions!$B$2)</f>
        <v>0.5375492759090631</v>
      </c>
      <c r="U751" s="21">
        <f t="shared" si="92"/>
        <v>0</v>
      </c>
      <c r="V751" s="21">
        <f t="shared" si="93"/>
        <v>2669631.6606329926</v>
      </c>
      <c r="W751" s="21">
        <f t="shared" si="94"/>
        <v>2669631.6606329926</v>
      </c>
      <c r="X751">
        <v>0</v>
      </c>
      <c r="Y751" s="18">
        <v>2017</v>
      </c>
      <c r="Z751" t="s">
        <v>387</v>
      </c>
      <c r="AA751" s="21">
        <f t="shared" si="95"/>
        <v>1</v>
      </c>
    </row>
    <row r="752" spans="1:27">
      <c r="A752" t="s">
        <v>76</v>
      </c>
      <c r="B752" s="18">
        <v>2047</v>
      </c>
      <c r="C752" t="s">
        <v>257</v>
      </c>
      <c r="D752" s="20" t="s">
        <v>407</v>
      </c>
      <c r="E752" s="20" t="s">
        <v>408</v>
      </c>
      <c r="F752" s="20" t="s">
        <v>260</v>
      </c>
      <c r="G752" s="20" t="s">
        <v>393</v>
      </c>
      <c r="H752" s="20" t="s">
        <v>384</v>
      </c>
      <c r="I752" s="29">
        <v>1</v>
      </c>
      <c r="J752" s="30">
        <v>1</v>
      </c>
      <c r="K752" s="31">
        <v>7.7000000000000002E-3</v>
      </c>
      <c r="L752" s="9">
        <v>647124942.32164299</v>
      </c>
      <c r="M752" s="9">
        <v>645745914.53009498</v>
      </c>
      <c r="N752" s="32">
        <f>MIN(MAX((B752-Calculation_Assumptions!$B$5+1)/Calculation_Assumptions!$B$7,0),1)</f>
        <v>1</v>
      </c>
      <c r="O752" s="21">
        <f t="shared" si="88"/>
        <v>647124942.32164299</v>
      </c>
      <c r="P752" s="21">
        <f t="shared" si="89"/>
        <v>645745914.53009498</v>
      </c>
      <c r="Q752" s="21">
        <f>P752*Calculation_Assumptions!$B$14*J752*K752</f>
        <v>0</v>
      </c>
      <c r="R752" s="21">
        <f t="shared" si="90"/>
        <v>4982862.0558766508</v>
      </c>
      <c r="S752" s="21">
        <f t="shared" si="91"/>
        <v>4982862.0558766508</v>
      </c>
      <c r="T752" s="32">
        <f>1/(1+Calculation_Assumptions!$B$8)^(B752-Calculation_Assumptions!$B$2)</f>
        <v>0.52189250088258554</v>
      </c>
      <c r="U752" s="21">
        <f t="shared" si="92"/>
        <v>0</v>
      </c>
      <c r="V752" s="21">
        <f t="shared" si="93"/>
        <v>2600518.339894407</v>
      </c>
      <c r="W752" s="21">
        <f t="shared" si="94"/>
        <v>2600518.339894407</v>
      </c>
      <c r="X752">
        <v>0</v>
      </c>
      <c r="Y752" s="18">
        <v>2017</v>
      </c>
      <c r="Z752" t="s">
        <v>387</v>
      </c>
      <c r="AA752" s="21">
        <f t="shared" si="95"/>
        <v>1</v>
      </c>
    </row>
    <row r="753" spans="1:27">
      <c r="A753" t="s">
        <v>76</v>
      </c>
      <c r="B753" s="18">
        <v>2048</v>
      </c>
      <c r="C753" t="s">
        <v>257</v>
      </c>
      <c r="D753" s="20" t="s">
        <v>407</v>
      </c>
      <c r="E753" s="20" t="s">
        <v>408</v>
      </c>
      <c r="F753" s="20" t="s">
        <v>260</v>
      </c>
      <c r="G753" s="20" t="s">
        <v>393</v>
      </c>
      <c r="H753" s="20" t="s">
        <v>384</v>
      </c>
      <c r="I753" s="29">
        <v>1</v>
      </c>
      <c r="J753" s="30">
        <v>1</v>
      </c>
      <c r="K753" s="31">
        <v>7.7000000000000002E-3</v>
      </c>
      <c r="L753" s="9">
        <v>649147853.41567302</v>
      </c>
      <c r="M753" s="9">
        <v>647666796.64810395</v>
      </c>
      <c r="N753" s="32">
        <f>MIN(MAX((B753-Calculation_Assumptions!$B$5+1)/Calculation_Assumptions!$B$7,0),1)</f>
        <v>1</v>
      </c>
      <c r="O753" s="21">
        <f t="shared" si="88"/>
        <v>649147853.41567302</v>
      </c>
      <c r="P753" s="21">
        <f t="shared" si="89"/>
        <v>647666796.64810395</v>
      </c>
      <c r="Q753" s="21">
        <f>P753*Calculation_Assumptions!$B$14*J753*K753</f>
        <v>0</v>
      </c>
      <c r="R753" s="21">
        <f t="shared" si="90"/>
        <v>4998438.4713006821</v>
      </c>
      <c r="S753" s="21">
        <f t="shared" si="91"/>
        <v>4998438.4713006821</v>
      </c>
      <c r="T753" s="32">
        <f>1/(1+Calculation_Assumptions!$B$8)^(B753-Calculation_Assumptions!$B$2)</f>
        <v>0.50669174842969467</v>
      </c>
      <c r="U753" s="21">
        <f t="shared" si="92"/>
        <v>0</v>
      </c>
      <c r="V753" s="21">
        <f t="shared" si="93"/>
        <v>2532667.5284415926</v>
      </c>
      <c r="W753" s="21">
        <f t="shared" si="94"/>
        <v>2532667.5284415926</v>
      </c>
      <c r="X753">
        <v>0</v>
      </c>
      <c r="Y753" s="18">
        <v>2017</v>
      </c>
      <c r="Z753" t="s">
        <v>387</v>
      </c>
      <c r="AA753" s="21">
        <f t="shared" si="95"/>
        <v>1</v>
      </c>
    </row>
    <row r="754" spans="1:27">
      <c r="A754" t="s">
        <v>76</v>
      </c>
      <c r="B754" s="18">
        <v>2049</v>
      </c>
      <c r="C754" t="s">
        <v>257</v>
      </c>
      <c r="D754" s="20" t="s">
        <v>407</v>
      </c>
      <c r="E754" s="20" t="s">
        <v>408</v>
      </c>
      <c r="F754" s="20" t="s">
        <v>260</v>
      </c>
      <c r="G754" s="20" t="s">
        <v>393</v>
      </c>
      <c r="H754" s="20" t="s">
        <v>384</v>
      </c>
      <c r="I754" s="29">
        <v>1</v>
      </c>
      <c r="J754" s="30">
        <v>1</v>
      </c>
      <c r="K754" s="31">
        <v>7.7000000000000002E-3</v>
      </c>
      <c r="L754" s="9">
        <v>651040967.5934</v>
      </c>
      <c r="M754" s="9">
        <v>649421968.02473402</v>
      </c>
      <c r="N754" s="32">
        <f>MIN(MAX((B754-Calculation_Assumptions!$B$5+1)/Calculation_Assumptions!$B$7,0),1)</f>
        <v>1</v>
      </c>
      <c r="O754" s="21">
        <f t="shared" si="88"/>
        <v>651040967.5934</v>
      </c>
      <c r="P754" s="21">
        <f t="shared" si="89"/>
        <v>649421968.02473402</v>
      </c>
      <c r="Q754" s="21">
        <f>P754*Calculation_Assumptions!$B$14*J754*K754</f>
        <v>0</v>
      </c>
      <c r="R754" s="21">
        <f t="shared" si="90"/>
        <v>5013015.45046918</v>
      </c>
      <c r="S754" s="21">
        <f t="shared" si="91"/>
        <v>5013015.45046918</v>
      </c>
      <c r="T754" s="32">
        <f>1/(1+Calculation_Assumptions!$B$8)^(B754-Calculation_Assumptions!$B$2)</f>
        <v>0.49193373633950943</v>
      </c>
      <c r="U754" s="21">
        <f t="shared" si="92"/>
        <v>0</v>
      </c>
      <c r="V754" s="21">
        <f t="shared" si="93"/>
        <v>2466071.4208769929</v>
      </c>
      <c r="W754" s="21">
        <f t="shared" si="94"/>
        <v>2466071.4208769929</v>
      </c>
      <c r="X754">
        <v>0</v>
      </c>
      <c r="Y754" s="18">
        <v>2017</v>
      </c>
      <c r="Z754" t="s">
        <v>387</v>
      </c>
      <c r="AA754" s="21">
        <f t="shared" si="95"/>
        <v>1</v>
      </c>
    </row>
    <row r="755" spans="1:27">
      <c r="A755" t="s">
        <v>76</v>
      </c>
      <c r="B755" s="18">
        <v>2050</v>
      </c>
      <c r="C755" t="s">
        <v>257</v>
      </c>
      <c r="D755" s="20" t="s">
        <v>407</v>
      </c>
      <c r="E755" s="20" t="s">
        <v>408</v>
      </c>
      <c r="F755" s="20" t="s">
        <v>260</v>
      </c>
      <c r="G755" s="20" t="s">
        <v>393</v>
      </c>
      <c r="H755" s="20" t="s">
        <v>384</v>
      </c>
      <c r="I755" s="29">
        <v>1</v>
      </c>
      <c r="J755" s="30">
        <v>1</v>
      </c>
      <c r="K755" s="31">
        <v>7.7000000000000002E-3</v>
      </c>
      <c r="L755" s="9">
        <v>652799148.10289598</v>
      </c>
      <c r="M755" s="9">
        <v>651074457.25957894</v>
      </c>
      <c r="N755" s="32">
        <f>MIN(MAX((B755-Calculation_Assumptions!$B$5+1)/Calculation_Assumptions!$B$7,0),1)</f>
        <v>1</v>
      </c>
      <c r="O755" s="21">
        <f t="shared" si="88"/>
        <v>652799148.10289598</v>
      </c>
      <c r="P755" s="21">
        <f t="shared" si="89"/>
        <v>651074457.25957894</v>
      </c>
      <c r="Q755" s="21">
        <f>P755*Calculation_Assumptions!$B$14*J755*K755</f>
        <v>0</v>
      </c>
      <c r="R755" s="21">
        <f t="shared" si="90"/>
        <v>5026553.4403922996</v>
      </c>
      <c r="S755" s="21">
        <f t="shared" si="91"/>
        <v>5026553.4403922996</v>
      </c>
      <c r="T755" s="32">
        <f>1/(1+Calculation_Assumptions!$B$8)^(B755-Calculation_Assumptions!$B$2)</f>
        <v>0.47760556926165965</v>
      </c>
      <c r="U755" s="21">
        <f t="shared" si="92"/>
        <v>0</v>
      </c>
      <c r="V755" s="21">
        <f t="shared" si="93"/>
        <v>2400709.9173227181</v>
      </c>
      <c r="W755" s="21">
        <f t="shared" si="94"/>
        <v>2400709.9173227181</v>
      </c>
      <c r="X755">
        <v>0</v>
      </c>
      <c r="Y755" s="18">
        <v>2017</v>
      </c>
      <c r="Z755" t="s">
        <v>387</v>
      </c>
      <c r="AA755" s="21">
        <f t="shared" si="95"/>
        <v>1</v>
      </c>
    </row>
    <row r="756" spans="1:27">
      <c r="A756" t="s">
        <v>76</v>
      </c>
      <c r="B756" s="18">
        <v>2025</v>
      </c>
      <c r="C756" t="s">
        <v>265</v>
      </c>
      <c r="D756" s="20" t="s">
        <v>409</v>
      </c>
      <c r="E756" s="20" t="s">
        <v>410</v>
      </c>
      <c r="F756" s="20" t="s">
        <v>268</v>
      </c>
      <c r="G756" s="20" t="s">
        <v>393</v>
      </c>
      <c r="H756" s="20" t="s">
        <v>384</v>
      </c>
      <c r="I756" s="29">
        <v>1</v>
      </c>
      <c r="J756" s="30">
        <v>1</v>
      </c>
      <c r="K756" s="31">
        <v>7.7000000000000002E-3</v>
      </c>
      <c r="L756" s="9">
        <v>575134853.59312999</v>
      </c>
      <c r="M756" s="9">
        <v>575134853.59312999</v>
      </c>
      <c r="N756" s="32">
        <f>MIN(MAX((B756-Calculation_Assumptions!$B$5+1)/Calculation_Assumptions!$B$7,0),1)</f>
        <v>0</v>
      </c>
      <c r="O756" s="21">
        <f t="shared" si="88"/>
        <v>575134853.59312999</v>
      </c>
      <c r="P756" s="21">
        <f t="shared" si="89"/>
        <v>575134853.59312999</v>
      </c>
      <c r="Q756" s="21">
        <f>P756*Calculation_Assumptions!$B$14*J756*K756</f>
        <v>0</v>
      </c>
      <c r="R756" s="21">
        <f t="shared" si="90"/>
        <v>0</v>
      </c>
      <c r="S756" s="21">
        <f t="shared" si="91"/>
        <v>0</v>
      </c>
      <c r="T756" s="32">
        <f>1/(1+Calculation_Assumptions!$B$8)^(B756-Calculation_Assumptions!$B$2)</f>
        <v>1</v>
      </c>
      <c r="U756" s="21">
        <f t="shared" si="92"/>
        <v>0</v>
      </c>
      <c r="V756" s="21">
        <f t="shared" si="93"/>
        <v>0</v>
      </c>
      <c r="W756" s="21">
        <f t="shared" si="94"/>
        <v>0</v>
      </c>
      <c r="X756">
        <v>0</v>
      </c>
      <c r="Y756" s="18">
        <v>2017</v>
      </c>
      <c r="Z756" t="s">
        <v>387</v>
      </c>
      <c r="AA756" s="21">
        <f t="shared" si="95"/>
        <v>1</v>
      </c>
    </row>
    <row r="757" spans="1:27">
      <c r="A757" t="s">
        <v>76</v>
      </c>
      <c r="B757" s="18">
        <v>2026</v>
      </c>
      <c r="C757" t="s">
        <v>265</v>
      </c>
      <c r="D757" s="20" t="s">
        <v>409</v>
      </c>
      <c r="E757" s="20" t="s">
        <v>410</v>
      </c>
      <c r="F757" s="20" t="s">
        <v>268</v>
      </c>
      <c r="G757" s="20" t="s">
        <v>393</v>
      </c>
      <c r="H757" s="20" t="s">
        <v>384</v>
      </c>
      <c r="I757" s="29">
        <v>1</v>
      </c>
      <c r="J757" s="30">
        <v>1</v>
      </c>
      <c r="K757" s="31">
        <v>7.7000000000000002E-3</v>
      </c>
      <c r="L757" s="9">
        <v>579268647.32329595</v>
      </c>
      <c r="M757" s="9">
        <v>579268647.32329595</v>
      </c>
      <c r="N757" s="32">
        <f>MIN(MAX((B757-Calculation_Assumptions!$B$5+1)/Calculation_Assumptions!$B$7,0),1)</f>
        <v>0.33333333333333331</v>
      </c>
      <c r="O757" s="21">
        <f t="shared" si="88"/>
        <v>579268647.32329595</v>
      </c>
      <c r="P757" s="21">
        <f t="shared" si="89"/>
        <v>579268647.32329595</v>
      </c>
      <c r="Q757" s="21">
        <f>P757*Calculation_Assumptions!$B$14*J757*K757</f>
        <v>0</v>
      </c>
      <c r="R757" s="21">
        <f t="shared" si="90"/>
        <v>1486789.528129793</v>
      </c>
      <c r="S757" s="21">
        <f t="shared" si="91"/>
        <v>1486789.528129793</v>
      </c>
      <c r="T757" s="32">
        <f>1/(1+Calculation_Assumptions!$B$8)^(B757-Calculation_Assumptions!$B$2)</f>
        <v>0.970873786407767</v>
      </c>
      <c r="U757" s="21">
        <f t="shared" si="92"/>
        <v>0</v>
      </c>
      <c r="V757" s="21">
        <f t="shared" si="93"/>
        <v>1443484.9787667894</v>
      </c>
      <c r="W757" s="21">
        <f t="shared" si="94"/>
        <v>1443484.9787667894</v>
      </c>
      <c r="X757">
        <v>0</v>
      </c>
      <c r="Y757" s="18">
        <v>2017</v>
      </c>
      <c r="Z757" t="s">
        <v>387</v>
      </c>
      <c r="AA757" s="21">
        <f t="shared" si="95"/>
        <v>1</v>
      </c>
    </row>
    <row r="758" spans="1:27">
      <c r="A758" t="s">
        <v>76</v>
      </c>
      <c r="B758" s="18">
        <v>2027</v>
      </c>
      <c r="C758" t="s">
        <v>265</v>
      </c>
      <c r="D758" s="20" t="s">
        <v>409</v>
      </c>
      <c r="E758" s="20" t="s">
        <v>410</v>
      </c>
      <c r="F758" s="20" t="s">
        <v>268</v>
      </c>
      <c r="G758" s="20" t="s">
        <v>393</v>
      </c>
      <c r="H758" s="20" t="s">
        <v>384</v>
      </c>
      <c r="I758" s="29">
        <v>1</v>
      </c>
      <c r="J758" s="30">
        <v>1</v>
      </c>
      <c r="K758" s="31">
        <v>7.7000000000000002E-3</v>
      </c>
      <c r="L758" s="9">
        <v>583039014.28645599</v>
      </c>
      <c r="M758" s="9">
        <v>583039014.28645599</v>
      </c>
      <c r="N758" s="32">
        <f>MIN(MAX((B758-Calculation_Assumptions!$B$5+1)/Calculation_Assumptions!$B$7,0),1)</f>
        <v>0.66666666666666663</v>
      </c>
      <c r="O758" s="21">
        <f t="shared" si="88"/>
        <v>583039014.28645599</v>
      </c>
      <c r="P758" s="21">
        <f t="shared" si="89"/>
        <v>583039014.28645599</v>
      </c>
      <c r="Q758" s="21">
        <f>P758*Calculation_Assumptions!$B$14*J758*K758</f>
        <v>0</v>
      </c>
      <c r="R758" s="21">
        <f t="shared" si="90"/>
        <v>2992933.6066704742</v>
      </c>
      <c r="S758" s="21">
        <f t="shared" si="91"/>
        <v>2992933.6066704742</v>
      </c>
      <c r="T758" s="32">
        <f>1/(1+Calculation_Assumptions!$B$8)^(B758-Calculation_Assumptions!$B$2)</f>
        <v>0.94259590913375435</v>
      </c>
      <c r="U758" s="21">
        <f t="shared" si="92"/>
        <v>0</v>
      </c>
      <c r="V758" s="21">
        <f t="shared" si="93"/>
        <v>2821126.9739565221</v>
      </c>
      <c r="W758" s="21">
        <f t="shared" si="94"/>
        <v>2821126.9739565221</v>
      </c>
      <c r="X758">
        <v>0</v>
      </c>
      <c r="Y758" s="18">
        <v>2017</v>
      </c>
      <c r="Z758" t="s">
        <v>387</v>
      </c>
      <c r="AA758" s="21">
        <f t="shared" si="95"/>
        <v>1</v>
      </c>
    </row>
    <row r="759" spans="1:27">
      <c r="A759" t="s">
        <v>76</v>
      </c>
      <c r="B759" s="18">
        <v>2028</v>
      </c>
      <c r="C759" t="s">
        <v>265</v>
      </c>
      <c r="D759" s="20" t="s">
        <v>409</v>
      </c>
      <c r="E759" s="20" t="s">
        <v>410</v>
      </c>
      <c r="F759" s="20" t="s">
        <v>268</v>
      </c>
      <c r="G759" s="20" t="s">
        <v>393</v>
      </c>
      <c r="H759" s="20" t="s">
        <v>384</v>
      </c>
      <c r="I759" s="29">
        <v>1</v>
      </c>
      <c r="J759" s="30">
        <v>1</v>
      </c>
      <c r="K759" s="31">
        <v>7.7000000000000002E-3</v>
      </c>
      <c r="L759" s="9">
        <v>587039795.04372799</v>
      </c>
      <c r="M759" s="9">
        <v>587035116.25746298</v>
      </c>
      <c r="N759" s="32">
        <f>MIN(MAX((B759-Calculation_Assumptions!$B$5+1)/Calculation_Assumptions!$B$7,0),1)</f>
        <v>1</v>
      </c>
      <c r="O759" s="21">
        <f t="shared" si="88"/>
        <v>587039795.04372799</v>
      </c>
      <c r="P759" s="21">
        <f t="shared" si="89"/>
        <v>587035116.25746298</v>
      </c>
      <c r="Q759" s="21">
        <f>P759*Calculation_Assumptions!$B$14*J759*K759</f>
        <v>0</v>
      </c>
      <c r="R759" s="21">
        <f t="shared" si="90"/>
        <v>4520206.4218367059</v>
      </c>
      <c r="S759" s="21">
        <f t="shared" si="91"/>
        <v>4520206.4218367059</v>
      </c>
      <c r="T759" s="32">
        <f>1/(1+Calculation_Assumptions!$B$8)^(B759-Calculation_Assumptions!$B$2)</f>
        <v>0.91514165935315961</v>
      </c>
      <c r="U759" s="21">
        <f t="shared" si="92"/>
        <v>0</v>
      </c>
      <c r="V759" s="21">
        <f t="shared" si="93"/>
        <v>4136629.2054984514</v>
      </c>
      <c r="W759" s="21">
        <f t="shared" si="94"/>
        <v>4136629.2054984514</v>
      </c>
      <c r="X759">
        <v>0</v>
      </c>
      <c r="Y759" s="18">
        <v>2017</v>
      </c>
      <c r="Z759" t="s">
        <v>387</v>
      </c>
      <c r="AA759" s="21">
        <f t="shared" si="95"/>
        <v>1</v>
      </c>
    </row>
    <row r="760" spans="1:27">
      <c r="A760" t="s">
        <v>76</v>
      </c>
      <c r="B760" s="18">
        <v>2029</v>
      </c>
      <c r="C760" t="s">
        <v>265</v>
      </c>
      <c r="D760" s="20" t="s">
        <v>409</v>
      </c>
      <c r="E760" s="20" t="s">
        <v>410</v>
      </c>
      <c r="F760" s="20" t="s">
        <v>268</v>
      </c>
      <c r="G760" s="20" t="s">
        <v>393</v>
      </c>
      <c r="H760" s="20" t="s">
        <v>384</v>
      </c>
      <c r="I760" s="29">
        <v>1</v>
      </c>
      <c r="J760" s="30">
        <v>1</v>
      </c>
      <c r="K760" s="31">
        <v>7.7000000000000002E-3</v>
      </c>
      <c r="L760" s="9">
        <v>590766467.10548604</v>
      </c>
      <c r="M760" s="9">
        <v>590968059.72178304</v>
      </c>
      <c r="N760" s="32">
        <f>MIN(MAX((B760-Calculation_Assumptions!$B$5+1)/Calculation_Assumptions!$B$7,0),1)</f>
        <v>1</v>
      </c>
      <c r="O760" s="21">
        <f t="shared" si="88"/>
        <v>590766467.10548604</v>
      </c>
      <c r="P760" s="21">
        <f t="shared" si="89"/>
        <v>590968059.72178304</v>
      </c>
      <c r="Q760" s="21">
        <f>P760*Calculation_Assumptions!$B$14*J760*K760</f>
        <v>0</v>
      </c>
      <c r="R760" s="21">
        <f t="shared" si="90"/>
        <v>4548901.796712243</v>
      </c>
      <c r="S760" s="21">
        <f t="shared" si="91"/>
        <v>4548901.796712243</v>
      </c>
      <c r="T760" s="32">
        <f>1/(1+Calculation_Assumptions!$B$8)^(B760-Calculation_Assumptions!$B$2)</f>
        <v>0.888487047915689</v>
      </c>
      <c r="U760" s="21">
        <f t="shared" si="92"/>
        <v>0</v>
      </c>
      <c r="V760" s="21">
        <f t="shared" si="93"/>
        <v>4041640.3286192343</v>
      </c>
      <c r="W760" s="21">
        <f t="shared" si="94"/>
        <v>4041640.3286192343</v>
      </c>
      <c r="X760">
        <v>0</v>
      </c>
      <c r="Y760" s="18">
        <v>2017</v>
      </c>
      <c r="Z760" t="s">
        <v>387</v>
      </c>
      <c r="AA760" s="21">
        <f t="shared" si="95"/>
        <v>1</v>
      </c>
    </row>
    <row r="761" spans="1:27">
      <c r="A761" t="s">
        <v>76</v>
      </c>
      <c r="B761" s="18">
        <v>2030</v>
      </c>
      <c r="C761" t="s">
        <v>265</v>
      </c>
      <c r="D761" s="20" t="s">
        <v>409</v>
      </c>
      <c r="E761" s="20" t="s">
        <v>410</v>
      </c>
      <c r="F761" s="20" t="s">
        <v>268</v>
      </c>
      <c r="G761" s="20" t="s">
        <v>393</v>
      </c>
      <c r="H761" s="20" t="s">
        <v>384</v>
      </c>
      <c r="I761" s="29">
        <v>1</v>
      </c>
      <c r="J761" s="30">
        <v>1</v>
      </c>
      <c r="K761" s="31">
        <v>7.7000000000000002E-3</v>
      </c>
      <c r="L761" s="9">
        <v>594652967.05338001</v>
      </c>
      <c r="M761" s="9">
        <v>594808018.62654305</v>
      </c>
      <c r="N761" s="32">
        <f>MIN(MAX((B761-Calculation_Assumptions!$B$5+1)/Calculation_Assumptions!$B$7,0),1)</f>
        <v>1</v>
      </c>
      <c r="O761" s="21">
        <f t="shared" si="88"/>
        <v>594652967.05338001</v>
      </c>
      <c r="P761" s="21">
        <f t="shared" si="89"/>
        <v>594808018.62654305</v>
      </c>
      <c r="Q761" s="21">
        <f>P761*Calculation_Assumptions!$B$14*J761*K761</f>
        <v>0</v>
      </c>
      <c r="R761" s="21">
        <f t="shared" si="90"/>
        <v>4578827.8463110263</v>
      </c>
      <c r="S761" s="21">
        <f t="shared" si="91"/>
        <v>4578827.8463110263</v>
      </c>
      <c r="T761" s="32">
        <f>1/(1+Calculation_Assumptions!$B$8)^(B761-Calculation_Assumptions!$B$2)</f>
        <v>0.86260878438416411</v>
      </c>
      <c r="U761" s="21">
        <f t="shared" si="92"/>
        <v>0</v>
      </c>
      <c r="V761" s="21">
        <f t="shared" si="93"/>
        <v>3949737.1224107146</v>
      </c>
      <c r="W761" s="21">
        <f t="shared" si="94"/>
        <v>3949737.1224107146</v>
      </c>
      <c r="X761">
        <v>0</v>
      </c>
      <c r="Y761" s="18">
        <v>2017</v>
      </c>
      <c r="Z761" t="s">
        <v>387</v>
      </c>
      <c r="AA761" s="21">
        <f t="shared" si="95"/>
        <v>1</v>
      </c>
    </row>
    <row r="762" spans="1:27">
      <c r="A762" t="s">
        <v>76</v>
      </c>
      <c r="B762" s="18">
        <v>2031</v>
      </c>
      <c r="C762" t="s">
        <v>265</v>
      </c>
      <c r="D762" s="20" t="s">
        <v>409</v>
      </c>
      <c r="E762" s="20" t="s">
        <v>410</v>
      </c>
      <c r="F762" s="20" t="s">
        <v>268</v>
      </c>
      <c r="G762" s="20" t="s">
        <v>393</v>
      </c>
      <c r="H762" s="20" t="s">
        <v>384</v>
      </c>
      <c r="I762" s="29">
        <v>1</v>
      </c>
      <c r="J762" s="30">
        <v>1</v>
      </c>
      <c r="K762" s="31">
        <v>7.7000000000000002E-3</v>
      </c>
      <c r="L762" s="9">
        <v>598482853.08345401</v>
      </c>
      <c r="M762" s="9">
        <v>598581381.03442597</v>
      </c>
      <c r="N762" s="32">
        <f>MIN(MAX((B762-Calculation_Assumptions!$B$5+1)/Calculation_Assumptions!$B$7,0),1)</f>
        <v>1</v>
      </c>
      <c r="O762" s="21">
        <f t="shared" si="88"/>
        <v>598482853.08345401</v>
      </c>
      <c r="P762" s="21">
        <f t="shared" si="89"/>
        <v>598581381.03442597</v>
      </c>
      <c r="Q762" s="21">
        <f>P762*Calculation_Assumptions!$B$14*J762*K762</f>
        <v>0</v>
      </c>
      <c r="R762" s="21">
        <f t="shared" si="90"/>
        <v>4608317.968742596</v>
      </c>
      <c r="S762" s="21">
        <f t="shared" si="91"/>
        <v>4608317.968742596</v>
      </c>
      <c r="T762" s="32">
        <f>1/(1+Calculation_Assumptions!$B$8)^(B762-Calculation_Assumptions!$B$2)</f>
        <v>0.83748425668365445</v>
      </c>
      <c r="U762" s="21">
        <f t="shared" si="92"/>
        <v>0</v>
      </c>
      <c r="V762" s="21">
        <f t="shared" si="93"/>
        <v>3859393.7486143215</v>
      </c>
      <c r="W762" s="21">
        <f t="shared" si="94"/>
        <v>3859393.7486143215</v>
      </c>
      <c r="X762">
        <v>0</v>
      </c>
      <c r="Y762" s="18">
        <v>2017</v>
      </c>
      <c r="Z762" t="s">
        <v>387</v>
      </c>
      <c r="AA762" s="21">
        <f t="shared" si="95"/>
        <v>1</v>
      </c>
    </row>
    <row r="763" spans="1:27">
      <c r="A763" t="s">
        <v>76</v>
      </c>
      <c r="B763" s="18">
        <v>2032</v>
      </c>
      <c r="C763" t="s">
        <v>265</v>
      </c>
      <c r="D763" s="20" t="s">
        <v>409</v>
      </c>
      <c r="E763" s="20" t="s">
        <v>410</v>
      </c>
      <c r="F763" s="20" t="s">
        <v>268</v>
      </c>
      <c r="G763" s="20" t="s">
        <v>393</v>
      </c>
      <c r="H763" s="20" t="s">
        <v>384</v>
      </c>
      <c r="I763" s="29">
        <v>1</v>
      </c>
      <c r="J763" s="30">
        <v>1</v>
      </c>
      <c r="K763" s="31">
        <v>7.7000000000000002E-3</v>
      </c>
      <c r="L763" s="9">
        <v>602252425.332353</v>
      </c>
      <c r="M763" s="9">
        <v>602283583.58638096</v>
      </c>
      <c r="N763" s="32">
        <f>MIN(MAX((B763-Calculation_Assumptions!$B$5+1)/Calculation_Assumptions!$B$7,0),1)</f>
        <v>1</v>
      </c>
      <c r="O763" s="21">
        <f t="shared" si="88"/>
        <v>602252425.332353</v>
      </c>
      <c r="P763" s="21">
        <f t="shared" si="89"/>
        <v>602283583.58638096</v>
      </c>
      <c r="Q763" s="21">
        <f>P763*Calculation_Assumptions!$B$14*J763*K763</f>
        <v>0</v>
      </c>
      <c r="R763" s="21">
        <f t="shared" si="90"/>
        <v>4637343.6750591183</v>
      </c>
      <c r="S763" s="21">
        <f t="shared" si="91"/>
        <v>4637343.6750591183</v>
      </c>
      <c r="T763" s="32">
        <f>1/(1+Calculation_Assumptions!$B$8)^(B763-Calculation_Assumptions!$B$2)</f>
        <v>0.81309151134335378</v>
      </c>
      <c r="U763" s="21">
        <f t="shared" si="92"/>
        <v>0</v>
      </c>
      <c r="V763" s="21">
        <f t="shared" si="93"/>
        <v>3770584.7773723612</v>
      </c>
      <c r="W763" s="21">
        <f t="shared" si="94"/>
        <v>3770584.7773723612</v>
      </c>
      <c r="X763">
        <v>0</v>
      </c>
      <c r="Y763" s="18">
        <v>2017</v>
      </c>
      <c r="Z763" t="s">
        <v>387</v>
      </c>
      <c r="AA763" s="21">
        <f t="shared" si="95"/>
        <v>1</v>
      </c>
    </row>
    <row r="764" spans="1:27">
      <c r="A764" t="s">
        <v>76</v>
      </c>
      <c r="B764" s="18">
        <v>2033</v>
      </c>
      <c r="C764" t="s">
        <v>265</v>
      </c>
      <c r="D764" s="20" t="s">
        <v>409</v>
      </c>
      <c r="E764" s="20" t="s">
        <v>410</v>
      </c>
      <c r="F764" s="20" t="s">
        <v>268</v>
      </c>
      <c r="G764" s="20" t="s">
        <v>393</v>
      </c>
      <c r="H764" s="20" t="s">
        <v>384</v>
      </c>
      <c r="I764" s="29">
        <v>1</v>
      </c>
      <c r="J764" s="30">
        <v>1</v>
      </c>
      <c r="K764" s="31">
        <v>7.7000000000000002E-3</v>
      </c>
      <c r="L764" s="9">
        <v>605955528.04318595</v>
      </c>
      <c r="M764" s="9">
        <v>605911902.99473</v>
      </c>
      <c r="N764" s="32">
        <f>MIN(MAX((B764-Calculation_Assumptions!$B$5+1)/Calculation_Assumptions!$B$7,0),1)</f>
        <v>1</v>
      </c>
      <c r="O764" s="21">
        <f t="shared" si="88"/>
        <v>605955528.04318595</v>
      </c>
      <c r="P764" s="21">
        <f t="shared" si="89"/>
        <v>605911902.99473</v>
      </c>
      <c r="Q764" s="21">
        <f>P764*Calculation_Assumptions!$B$14*J764*K764</f>
        <v>0</v>
      </c>
      <c r="R764" s="21">
        <f t="shared" si="90"/>
        <v>4665857.5659325318</v>
      </c>
      <c r="S764" s="21">
        <f t="shared" si="91"/>
        <v>4665857.5659325318</v>
      </c>
      <c r="T764" s="32">
        <f>1/(1+Calculation_Assumptions!$B$8)^(B764-Calculation_Assumptions!$B$2)</f>
        <v>0.78940923431393573</v>
      </c>
      <c r="U764" s="21">
        <f t="shared" si="92"/>
        <v>0</v>
      </c>
      <c r="V764" s="21">
        <f t="shared" si="93"/>
        <v>3683271.0485406839</v>
      </c>
      <c r="W764" s="21">
        <f t="shared" si="94"/>
        <v>3683271.0485406839</v>
      </c>
      <c r="X764">
        <v>0</v>
      </c>
      <c r="Y764" s="18">
        <v>2017</v>
      </c>
      <c r="Z764" t="s">
        <v>387</v>
      </c>
      <c r="AA764" s="21">
        <f t="shared" si="95"/>
        <v>1</v>
      </c>
    </row>
    <row r="765" spans="1:27">
      <c r="A765" t="s">
        <v>76</v>
      </c>
      <c r="B765" s="18">
        <v>2034</v>
      </c>
      <c r="C765" t="s">
        <v>265</v>
      </c>
      <c r="D765" s="20" t="s">
        <v>409</v>
      </c>
      <c r="E765" s="20" t="s">
        <v>410</v>
      </c>
      <c r="F765" s="20" t="s">
        <v>268</v>
      </c>
      <c r="G765" s="20" t="s">
        <v>393</v>
      </c>
      <c r="H765" s="20" t="s">
        <v>384</v>
      </c>
      <c r="I765" s="29">
        <v>1</v>
      </c>
      <c r="J765" s="30">
        <v>1</v>
      </c>
      <c r="K765" s="31">
        <v>7.7000000000000002E-3</v>
      </c>
      <c r="L765" s="9">
        <v>609560284.09550095</v>
      </c>
      <c r="M765" s="9">
        <v>609455548.12077105</v>
      </c>
      <c r="N765" s="32">
        <f>MIN(MAX((B765-Calculation_Assumptions!$B$5+1)/Calculation_Assumptions!$B$7,0),1)</f>
        <v>1</v>
      </c>
      <c r="O765" s="21">
        <f t="shared" si="88"/>
        <v>609560284.09550095</v>
      </c>
      <c r="P765" s="21">
        <f t="shared" si="89"/>
        <v>609455548.12077105</v>
      </c>
      <c r="Q765" s="21">
        <f>P765*Calculation_Assumptions!$B$14*J765*K765</f>
        <v>0</v>
      </c>
      <c r="R765" s="21">
        <f t="shared" si="90"/>
        <v>4693614.1875353577</v>
      </c>
      <c r="S765" s="21">
        <f t="shared" si="91"/>
        <v>4693614.1875353577</v>
      </c>
      <c r="T765" s="32">
        <f>1/(1+Calculation_Assumptions!$B$8)^(B765-Calculation_Assumptions!$B$2)</f>
        <v>0.76641673234362695</v>
      </c>
      <c r="U765" s="21">
        <f t="shared" si="92"/>
        <v>0</v>
      </c>
      <c r="V765" s="21">
        <f t="shared" si="93"/>
        <v>3597264.4484925363</v>
      </c>
      <c r="W765" s="21">
        <f t="shared" si="94"/>
        <v>3597264.4484925363</v>
      </c>
      <c r="X765">
        <v>0</v>
      </c>
      <c r="Y765" s="18">
        <v>2017</v>
      </c>
      <c r="Z765" t="s">
        <v>387</v>
      </c>
      <c r="AA765" s="21">
        <f t="shared" si="95"/>
        <v>1</v>
      </c>
    </row>
    <row r="766" spans="1:27">
      <c r="A766" t="s">
        <v>76</v>
      </c>
      <c r="B766" s="18">
        <v>2035</v>
      </c>
      <c r="C766" t="s">
        <v>265</v>
      </c>
      <c r="D766" s="20" t="s">
        <v>409</v>
      </c>
      <c r="E766" s="20" t="s">
        <v>410</v>
      </c>
      <c r="F766" s="20" t="s">
        <v>268</v>
      </c>
      <c r="G766" s="20" t="s">
        <v>393</v>
      </c>
      <c r="H766" s="20" t="s">
        <v>384</v>
      </c>
      <c r="I766" s="29">
        <v>1</v>
      </c>
      <c r="J766" s="30">
        <v>1</v>
      </c>
      <c r="K766" s="31">
        <v>7.7000000000000002E-3</v>
      </c>
      <c r="L766" s="9">
        <v>613092698.26085901</v>
      </c>
      <c r="M766" s="9">
        <v>612884294.47334194</v>
      </c>
      <c r="N766" s="32">
        <f>MIN(MAX((B766-Calculation_Assumptions!$B$5+1)/Calculation_Assumptions!$B$7,0),1)</f>
        <v>1</v>
      </c>
      <c r="O766" s="21">
        <f t="shared" si="88"/>
        <v>613092698.26085901</v>
      </c>
      <c r="P766" s="21">
        <f t="shared" si="89"/>
        <v>612884294.47334194</v>
      </c>
      <c r="Q766" s="21">
        <f>P766*Calculation_Assumptions!$B$14*J766*K766</f>
        <v>0</v>
      </c>
      <c r="R766" s="21">
        <f t="shared" si="90"/>
        <v>4720813.7766086143</v>
      </c>
      <c r="S766" s="21">
        <f t="shared" si="91"/>
        <v>4720813.7766086143</v>
      </c>
      <c r="T766" s="32">
        <f>1/(1+Calculation_Assumptions!$B$8)^(B766-Calculation_Assumptions!$B$2)</f>
        <v>0.74409391489672516</v>
      </c>
      <c r="U766" s="21">
        <f t="shared" si="92"/>
        <v>0</v>
      </c>
      <c r="V766" s="21">
        <f t="shared" si="93"/>
        <v>3512728.8045350979</v>
      </c>
      <c r="W766" s="21">
        <f t="shared" si="94"/>
        <v>3512728.8045350979</v>
      </c>
      <c r="X766">
        <v>0</v>
      </c>
      <c r="Y766" s="18">
        <v>2017</v>
      </c>
      <c r="Z766" t="s">
        <v>387</v>
      </c>
      <c r="AA766" s="21">
        <f t="shared" si="95"/>
        <v>1</v>
      </c>
    </row>
    <row r="767" spans="1:27">
      <c r="A767" t="s">
        <v>76</v>
      </c>
      <c r="B767" s="18">
        <v>2036</v>
      </c>
      <c r="C767" t="s">
        <v>265</v>
      </c>
      <c r="D767" s="20" t="s">
        <v>409</v>
      </c>
      <c r="E767" s="20" t="s">
        <v>410</v>
      </c>
      <c r="F767" s="20" t="s">
        <v>268</v>
      </c>
      <c r="G767" s="20" t="s">
        <v>393</v>
      </c>
      <c r="H767" s="20" t="s">
        <v>384</v>
      </c>
      <c r="I767" s="29">
        <v>1</v>
      </c>
      <c r="J767" s="30">
        <v>1</v>
      </c>
      <c r="K767" s="31">
        <v>7.7000000000000002E-3</v>
      </c>
      <c r="L767" s="9">
        <v>616539654.35734701</v>
      </c>
      <c r="M767" s="9">
        <v>616262053.85817397</v>
      </c>
      <c r="N767" s="32">
        <f>MIN(MAX((B767-Calculation_Assumptions!$B$5+1)/Calculation_Assumptions!$B$7,0),1)</f>
        <v>1</v>
      </c>
      <c r="O767" s="21">
        <f t="shared" si="88"/>
        <v>616539654.35734701</v>
      </c>
      <c r="P767" s="21">
        <f t="shared" si="89"/>
        <v>616262053.85817397</v>
      </c>
      <c r="Q767" s="21">
        <f>P767*Calculation_Assumptions!$B$14*J767*K767</f>
        <v>0</v>
      </c>
      <c r="R767" s="21">
        <f t="shared" si="90"/>
        <v>4747355.3385515725</v>
      </c>
      <c r="S767" s="21">
        <f t="shared" si="91"/>
        <v>4747355.3385515725</v>
      </c>
      <c r="T767" s="32">
        <f>1/(1+Calculation_Assumptions!$B$8)^(B767-Calculation_Assumptions!$B$2)</f>
        <v>0.72242127659876232</v>
      </c>
      <c r="U767" s="21">
        <f t="shared" si="92"/>
        <v>0</v>
      </c>
      <c r="V767" s="21">
        <f t="shared" si="93"/>
        <v>3429590.5041443766</v>
      </c>
      <c r="W767" s="21">
        <f t="shared" si="94"/>
        <v>3429590.5041443766</v>
      </c>
      <c r="X767">
        <v>0</v>
      </c>
      <c r="Y767" s="18">
        <v>2017</v>
      </c>
      <c r="Z767" t="s">
        <v>387</v>
      </c>
      <c r="AA767" s="21">
        <f t="shared" si="95"/>
        <v>1</v>
      </c>
    </row>
    <row r="768" spans="1:27">
      <c r="A768" t="s">
        <v>76</v>
      </c>
      <c r="B768" s="18">
        <v>2037</v>
      </c>
      <c r="C768" t="s">
        <v>265</v>
      </c>
      <c r="D768" s="20" t="s">
        <v>409</v>
      </c>
      <c r="E768" s="20" t="s">
        <v>410</v>
      </c>
      <c r="F768" s="20" t="s">
        <v>268</v>
      </c>
      <c r="G768" s="20" t="s">
        <v>393</v>
      </c>
      <c r="H768" s="20" t="s">
        <v>384</v>
      </c>
      <c r="I768" s="29">
        <v>1</v>
      </c>
      <c r="J768" s="30">
        <v>1</v>
      </c>
      <c r="K768" s="31">
        <v>7.7000000000000002E-3</v>
      </c>
      <c r="L768" s="9">
        <v>619898345.122545</v>
      </c>
      <c r="M768" s="9">
        <v>619529380.90729904</v>
      </c>
      <c r="N768" s="32">
        <f>MIN(MAX((B768-Calculation_Assumptions!$B$5+1)/Calculation_Assumptions!$B$7,0),1)</f>
        <v>1</v>
      </c>
      <c r="O768" s="21">
        <f t="shared" si="88"/>
        <v>619898345.122545</v>
      </c>
      <c r="P768" s="21">
        <f t="shared" si="89"/>
        <v>619529380.90729904</v>
      </c>
      <c r="Q768" s="21">
        <f>P768*Calculation_Assumptions!$B$14*J768*K768</f>
        <v>0</v>
      </c>
      <c r="R768" s="21">
        <f t="shared" si="90"/>
        <v>4773217.2574435966</v>
      </c>
      <c r="S768" s="21">
        <f t="shared" si="91"/>
        <v>4773217.2574435966</v>
      </c>
      <c r="T768" s="32">
        <f>1/(1+Calculation_Assumptions!$B$8)^(B768-Calculation_Assumptions!$B$2)</f>
        <v>0.70137988019297326</v>
      </c>
      <c r="U768" s="21">
        <f t="shared" si="92"/>
        <v>0</v>
      </c>
      <c r="V768" s="21">
        <f t="shared" si="93"/>
        <v>3347838.5481608221</v>
      </c>
      <c r="W768" s="21">
        <f t="shared" si="94"/>
        <v>3347838.5481608221</v>
      </c>
      <c r="X768">
        <v>0</v>
      </c>
      <c r="Y768" s="18">
        <v>2017</v>
      </c>
      <c r="Z768" t="s">
        <v>387</v>
      </c>
      <c r="AA768" s="21">
        <f t="shared" si="95"/>
        <v>1</v>
      </c>
    </row>
    <row r="769" spans="1:27">
      <c r="A769" t="s">
        <v>76</v>
      </c>
      <c r="B769" s="18">
        <v>2038</v>
      </c>
      <c r="C769" t="s">
        <v>265</v>
      </c>
      <c r="D769" s="20" t="s">
        <v>409</v>
      </c>
      <c r="E769" s="20" t="s">
        <v>410</v>
      </c>
      <c r="F769" s="20" t="s">
        <v>268</v>
      </c>
      <c r="G769" s="20" t="s">
        <v>393</v>
      </c>
      <c r="H769" s="20" t="s">
        <v>384</v>
      </c>
      <c r="I769" s="29">
        <v>1</v>
      </c>
      <c r="J769" s="30">
        <v>1</v>
      </c>
      <c r="K769" s="31">
        <v>7.7000000000000002E-3</v>
      </c>
      <c r="L769" s="9">
        <v>623157085.01735401</v>
      </c>
      <c r="M769" s="9">
        <v>622673191.62836504</v>
      </c>
      <c r="N769" s="32">
        <f>MIN(MAX((B769-Calculation_Assumptions!$B$5+1)/Calculation_Assumptions!$B$7,0),1)</f>
        <v>1</v>
      </c>
      <c r="O769" s="21">
        <f t="shared" si="88"/>
        <v>623157085.01735401</v>
      </c>
      <c r="P769" s="21">
        <f t="shared" si="89"/>
        <v>622673191.62836504</v>
      </c>
      <c r="Q769" s="21">
        <f>P769*Calculation_Assumptions!$B$14*J769*K769</f>
        <v>0</v>
      </c>
      <c r="R769" s="21">
        <f t="shared" si="90"/>
        <v>4798309.5546336258</v>
      </c>
      <c r="S769" s="21">
        <f t="shared" si="91"/>
        <v>4798309.5546336258</v>
      </c>
      <c r="T769" s="32">
        <f>1/(1+Calculation_Assumptions!$B$8)^(B769-Calculation_Assumptions!$B$2)</f>
        <v>0.68095133999317792</v>
      </c>
      <c r="U769" s="21">
        <f t="shared" si="92"/>
        <v>0</v>
      </c>
      <c r="V769" s="21">
        <f t="shared" si="93"/>
        <v>3267415.320929836</v>
      </c>
      <c r="W769" s="21">
        <f t="shared" si="94"/>
        <v>3267415.320929836</v>
      </c>
      <c r="X769">
        <v>0</v>
      </c>
      <c r="Y769" s="18">
        <v>2017</v>
      </c>
      <c r="Z769" t="s">
        <v>387</v>
      </c>
      <c r="AA769" s="21">
        <f t="shared" si="95"/>
        <v>1</v>
      </c>
    </row>
    <row r="770" spans="1:27">
      <c r="A770" t="s">
        <v>76</v>
      </c>
      <c r="B770" s="18">
        <v>2039</v>
      </c>
      <c r="C770" t="s">
        <v>265</v>
      </c>
      <c r="D770" s="20" t="s">
        <v>409</v>
      </c>
      <c r="E770" s="20" t="s">
        <v>410</v>
      </c>
      <c r="F770" s="20" t="s">
        <v>268</v>
      </c>
      <c r="G770" s="20" t="s">
        <v>393</v>
      </c>
      <c r="H770" s="20" t="s">
        <v>384</v>
      </c>
      <c r="I770" s="29">
        <v>1</v>
      </c>
      <c r="J770" s="30">
        <v>1</v>
      </c>
      <c r="K770" s="31">
        <v>7.7000000000000002E-3</v>
      </c>
      <c r="L770" s="9">
        <v>626312438.007918</v>
      </c>
      <c r="M770" s="9">
        <v>625731758.218045</v>
      </c>
      <c r="N770" s="32">
        <f>MIN(MAX((B770-Calculation_Assumptions!$B$5+1)/Calculation_Assumptions!$B$7,0),1)</f>
        <v>1</v>
      </c>
      <c r="O770" s="21">
        <f t="shared" ref="O770:O807" si="96">L770*I770</f>
        <v>626312438.007918</v>
      </c>
      <c r="P770" s="21">
        <f t="shared" ref="P770:P807" si="97">M770*I770</f>
        <v>625731758.218045</v>
      </c>
      <c r="Q770" s="21">
        <f>P770*Calculation_Assumptions!$B$14*J770*K770</f>
        <v>0</v>
      </c>
      <c r="R770" s="21">
        <f t="shared" ref="R770:R807" si="98">O770*N770*J770*K770</f>
        <v>4822605.7726609688</v>
      </c>
      <c r="S770" s="21">
        <f t="shared" ref="S770:S833" si="99">R770-Q770</f>
        <v>4822605.7726609688</v>
      </c>
      <c r="T770" s="32">
        <f>1/(1+Calculation_Assumptions!$B$8)^(B770-Calculation_Assumptions!$B$2)</f>
        <v>0.66111780581861923</v>
      </c>
      <c r="U770" s="21">
        <f t="shared" ref="U770:U833" si="100">Q770*T770</f>
        <v>0</v>
      </c>
      <c r="V770" s="21">
        <f t="shared" ref="V770:V807" si="101">R770*T770</f>
        <v>3188310.5467498265</v>
      </c>
      <c r="W770" s="21">
        <f t="shared" ref="W770:W807" si="102">S770*T770</f>
        <v>3188310.5467498265</v>
      </c>
      <c r="X770">
        <v>0</v>
      </c>
      <c r="Y770" s="18">
        <v>2017</v>
      </c>
      <c r="Z770" t="s">
        <v>387</v>
      </c>
      <c r="AA770" s="21">
        <f t="shared" ref="AA770:AA807" si="103">IF(G770="shared-count-once",COUNTIFS($A$2:$A$807,A770,$B$2:$B$807,B770,$D$2:$D$807,D770),1)</f>
        <v>1</v>
      </c>
    </row>
    <row r="771" spans="1:27">
      <c r="A771" t="s">
        <v>76</v>
      </c>
      <c r="B771" s="18">
        <v>2040</v>
      </c>
      <c r="C771" t="s">
        <v>265</v>
      </c>
      <c r="D771" s="20" t="s">
        <v>409</v>
      </c>
      <c r="E771" s="20" t="s">
        <v>410</v>
      </c>
      <c r="F771" s="20" t="s">
        <v>268</v>
      </c>
      <c r="G771" s="20" t="s">
        <v>393</v>
      </c>
      <c r="H771" s="20" t="s">
        <v>384</v>
      </c>
      <c r="I771" s="29">
        <v>1</v>
      </c>
      <c r="J771" s="30">
        <v>1</v>
      </c>
      <c r="K771" s="31">
        <v>7.7000000000000002E-3</v>
      </c>
      <c r="L771" s="9">
        <v>629347032.33731306</v>
      </c>
      <c r="M771" s="9">
        <v>628667498.21665299</v>
      </c>
      <c r="N771" s="32">
        <f>MIN(MAX((B771-Calculation_Assumptions!$B$5+1)/Calculation_Assumptions!$B$7,0),1)</f>
        <v>1</v>
      </c>
      <c r="O771" s="21">
        <f t="shared" si="96"/>
        <v>629347032.33731306</v>
      </c>
      <c r="P771" s="21">
        <f t="shared" si="97"/>
        <v>628667498.21665299</v>
      </c>
      <c r="Q771" s="21">
        <f>P771*Calculation_Assumptions!$B$14*J771*K771</f>
        <v>0</v>
      </c>
      <c r="R771" s="21">
        <f t="shared" si="98"/>
        <v>4845972.1489973105</v>
      </c>
      <c r="S771" s="21">
        <f t="shared" si="99"/>
        <v>4845972.1489973105</v>
      </c>
      <c r="T771" s="32">
        <f>1/(1+Calculation_Assumptions!$B$8)^(B771-Calculation_Assumptions!$B$2)</f>
        <v>0.64186194739671765</v>
      </c>
      <c r="U771" s="21">
        <f t="shared" si="100"/>
        <v>0</v>
      </c>
      <c r="V771" s="21">
        <f t="shared" si="101"/>
        <v>3110445.1205856707</v>
      </c>
      <c r="W771" s="21">
        <f t="shared" si="102"/>
        <v>3110445.1205856707</v>
      </c>
      <c r="X771">
        <v>0</v>
      </c>
      <c r="Y771" s="18">
        <v>2017</v>
      </c>
      <c r="Z771" t="s">
        <v>387</v>
      </c>
      <c r="AA771" s="21">
        <f t="shared" si="103"/>
        <v>1</v>
      </c>
    </row>
    <row r="772" spans="1:27">
      <c r="A772" t="s">
        <v>76</v>
      </c>
      <c r="B772" s="18">
        <v>2041</v>
      </c>
      <c r="C772" t="s">
        <v>265</v>
      </c>
      <c r="D772" s="20" t="s">
        <v>409</v>
      </c>
      <c r="E772" s="20" t="s">
        <v>410</v>
      </c>
      <c r="F772" s="20" t="s">
        <v>268</v>
      </c>
      <c r="G772" s="20" t="s">
        <v>393</v>
      </c>
      <c r="H772" s="20" t="s">
        <v>384</v>
      </c>
      <c r="I772" s="29">
        <v>1</v>
      </c>
      <c r="J772" s="30">
        <v>1</v>
      </c>
      <c r="K772" s="31">
        <v>7.7000000000000002E-3</v>
      </c>
      <c r="L772" s="9">
        <v>632268493.39175498</v>
      </c>
      <c r="M772" s="9">
        <v>631488405.68781996</v>
      </c>
      <c r="N772" s="32">
        <f>MIN(MAX((B772-Calculation_Assumptions!$B$5+1)/Calculation_Assumptions!$B$7,0),1)</f>
        <v>1</v>
      </c>
      <c r="O772" s="21">
        <f t="shared" si="96"/>
        <v>632268493.39175498</v>
      </c>
      <c r="P772" s="21">
        <f t="shared" si="97"/>
        <v>631488405.68781996</v>
      </c>
      <c r="Q772" s="21">
        <f>P772*Calculation_Assumptions!$B$14*J772*K772</f>
        <v>0</v>
      </c>
      <c r="R772" s="21">
        <f t="shared" si="98"/>
        <v>4868467.3991165133</v>
      </c>
      <c r="S772" s="21">
        <f t="shared" si="99"/>
        <v>4868467.3991165133</v>
      </c>
      <c r="T772" s="32">
        <f>1/(1+Calculation_Assumptions!$B$8)^(B772-Calculation_Assumptions!$B$2)</f>
        <v>0.62316693922011435</v>
      </c>
      <c r="U772" s="21">
        <f t="shared" si="100"/>
        <v>0</v>
      </c>
      <c r="V772" s="21">
        <f t="shared" si="101"/>
        <v>3033867.9278003485</v>
      </c>
      <c r="W772" s="21">
        <f t="shared" si="102"/>
        <v>3033867.9278003485</v>
      </c>
      <c r="X772">
        <v>0</v>
      </c>
      <c r="Y772" s="18">
        <v>2017</v>
      </c>
      <c r="Z772" t="s">
        <v>387</v>
      </c>
      <c r="AA772" s="21">
        <f t="shared" si="103"/>
        <v>1</v>
      </c>
    </row>
    <row r="773" spans="1:27">
      <c r="A773" t="s">
        <v>76</v>
      </c>
      <c r="B773" s="18">
        <v>2042</v>
      </c>
      <c r="C773" t="s">
        <v>265</v>
      </c>
      <c r="D773" s="20" t="s">
        <v>409</v>
      </c>
      <c r="E773" s="20" t="s">
        <v>410</v>
      </c>
      <c r="F773" s="20" t="s">
        <v>268</v>
      </c>
      <c r="G773" s="20" t="s">
        <v>393</v>
      </c>
      <c r="H773" s="20" t="s">
        <v>384</v>
      </c>
      <c r="I773" s="29">
        <v>1</v>
      </c>
      <c r="J773" s="30">
        <v>1</v>
      </c>
      <c r="K773" s="31">
        <v>7.7000000000000002E-3</v>
      </c>
      <c r="L773" s="9">
        <v>635066634.14519799</v>
      </c>
      <c r="M773" s="9">
        <v>634184560.98858297</v>
      </c>
      <c r="N773" s="32">
        <f>MIN(MAX((B773-Calculation_Assumptions!$B$5+1)/Calculation_Assumptions!$B$7,0),1)</f>
        <v>1</v>
      </c>
      <c r="O773" s="21">
        <f t="shared" si="96"/>
        <v>635066634.14519799</v>
      </c>
      <c r="P773" s="21">
        <f t="shared" si="97"/>
        <v>634184560.98858297</v>
      </c>
      <c r="Q773" s="21">
        <f>P773*Calculation_Assumptions!$B$14*J773*K773</f>
        <v>0</v>
      </c>
      <c r="R773" s="21">
        <f t="shared" si="98"/>
        <v>4890013.0829180246</v>
      </c>
      <c r="S773" s="21">
        <f t="shared" si="99"/>
        <v>4890013.0829180246</v>
      </c>
      <c r="T773" s="32">
        <f>1/(1+Calculation_Assumptions!$B$8)^(B773-Calculation_Assumptions!$B$2)</f>
        <v>0.60501644584477121</v>
      </c>
      <c r="U773" s="21">
        <f t="shared" si="100"/>
        <v>0</v>
      </c>
      <c r="V773" s="21">
        <f t="shared" si="101"/>
        <v>2958538.3355614957</v>
      </c>
      <c r="W773" s="21">
        <f t="shared" si="102"/>
        <v>2958538.3355614957</v>
      </c>
      <c r="X773">
        <v>0</v>
      </c>
      <c r="Y773" s="18">
        <v>2017</v>
      </c>
      <c r="Z773" t="s">
        <v>387</v>
      </c>
      <c r="AA773" s="21">
        <f t="shared" si="103"/>
        <v>1</v>
      </c>
    </row>
    <row r="774" spans="1:27">
      <c r="A774" t="s">
        <v>76</v>
      </c>
      <c r="B774" s="18">
        <v>2043</v>
      </c>
      <c r="C774" t="s">
        <v>265</v>
      </c>
      <c r="D774" s="20" t="s">
        <v>409</v>
      </c>
      <c r="E774" s="20" t="s">
        <v>410</v>
      </c>
      <c r="F774" s="20" t="s">
        <v>268</v>
      </c>
      <c r="G774" s="20" t="s">
        <v>393</v>
      </c>
      <c r="H774" s="20" t="s">
        <v>384</v>
      </c>
      <c r="I774" s="29">
        <v>1</v>
      </c>
      <c r="J774" s="30">
        <v>1</v>
      </c>
      <c r="K774" s="31">
        <v>7.7000000000000002E-3</v>
      </c>
      <c r="L774" s="9">
        <v>637740511.15042996</v>
      </c>
      <c r="M774" s="9">
        <v>636767020.67603099</v>
      </c>
      <c r="N774" s="32">
        <f>MIN(MAX((B774-Calculation_Assumptions!$B$5+1)/Calculation_Assumptions!$B$7,0),1)</f>
        <v>1</v>
      </c>
      <c r="O774" s="21">
        <f t="shared" si="96"/>
        <v>637740511.15042996</v>
      </c>
      <c r="P774" s="21">
        <f t="shared" si="97"/>
        <v>636767020.67603099</v>
      </c>
      <c r="Q774" s="21">
        <f>P774*Calculation_Assumptions!$B$14*J774*K774</f>
        <v>0</v>
      </c>
      <c r="R774" s="21">
        <f t="shared" si="98"/>
        <v>4910601.9358583111</v>
      </c>
      <c r="S774" s="21">
        <f t="shared" si="99"/>
        <v>4910601.9358583111</v>
      </c>
      <c r="T774" s="32">
        <f>1/(1+Calculation_Assumptions!$B$8)^(B774-Calculation_Assumptions!$B$2)</f>
        <v>0.5873946076162827</v>
      </c>
      <c r="U774" s="21">
        <f t="shared" si="100"/>
        <v>0</v>
      </c>
      <c r="V774" s="21">
        <f t="shared" si="101"/>
        <v>2884461.097273251</v>
      </c>
      <c r="W774" s="21">
        <f t="shared" si="102"/>
        <v>2884461.097273251</v>
      </c>
      <c r="X774">
        <v>0</v>
      </c>
      <c r="Y774" s="18">
        <v>2017</v>
      </c>
      <c r="Z774" t="s">
        <v>387</v>
      </c>
      <c r="AA774" s="21">
        <f t="shared" si="103"/>
        <v>1</v>
      </c>
    </row>
    <row r="775" spans="1:27">
      <c r="A775" t="s">
        <v>76</v>
      </c>
      <c r="B775" s="18">
        <v>2044</v>
      </c>
      <c r="C775" t="s">
        <v>265</v>
      </c>
      <c r="D775" s="20" t="s">
        <v>409</v>
      </c>
      <c r="E775" s="20" t="s">
        <v>410</v>
      </c>
      <c r="F775" s="20" t="s">
        <v>268</v>
      </c>
      <c r="G775" s="20" t="s">
        <v>393</v>
      </c>
      <c r="H775" s="20" t="s">
        <v>384</v>
      </c>
      <c r="I775" s="29">
        <v>1</v>
      </c>
      <c r="J775" s="30">
        <v>1</v>
      </c>
      <c r="K775" s="31">
        <v>7.7000000000000002E-3</v>
      </c>
      <c r="L775" s="9">
        <v>640285329.92099202</v>
      </c>
      <c r="M775" s="9">
        <v>639211548.58069301</v>
      </c>
      <c r="N775" s="32">
        <f>MIN(MAX((B775-Calculation_Assumptions!$B$5+1)/Calculation_Assumptions!$B$7,0),1)</f>
        <v>1</v>
      </c>
      <c r="O775" s="21">
        <f t="shared" si="96"/>
        <v>640285329.92099202</v>
      </c>
      <c r="P775" s="21">
        <f t="shared" si="97"/>
        <v>639211548.58069301</v>
      </c>
      <c r="Q775" s="21">
        <f>P775*Calculation_Assumptions!$B$14*J775*K775</f>
        <v>0</v>
      </c>
      <c r="R775" s="21">
        <f t="shared" si="98"/>
        <v>4930197.0403916389</v>
      </c>
      <c r="S775" s="21">
        <f t="shared" si="99"/>
        <v>4930197.0403916389</v>
      </c>
      <c r="T775" s="32">
        <f>1/(1+Calculation_Assumptions!$B$8)^(B775-Calculation_Assumptions!$B$2)</f>
        <v>0.57028602681192497</v>
      </c>
      <c r="U775" s="21">
        <f t="shared" si="100"/>
        <v>0</v>
      </c>
      <c r="V775" s="21">
        <f t="shared" si="101"/>
        <v>2811622.4815648594</v>
      </c>
      <c r="W775" s="21">
        <f t="shared" si="102"/>
        <v>2811622.4815648594</v>
      </c>
      <c r="X775">
        <v>0</v>
      </c>
      <c r="Y775" s="18">
        <v>2017</v>
      </c>
      <c r="Z775" t="s">
        <v>387</v>
      </c>
      <c r="AA775" s="21">
        <f t="shared" si="103"/>
        <v>1</v>
      </c>
    </row>
    <row r="776" spans="1:27">
      <c r="A776" t="s">
        <v>76</v>
      </c>
      <c r="B776" s="18">
        <v>2045</v>
      </c>
      <c r="C776" t="s">
        <v>265</v>
      </c>
      <c r="D776" s="20" t="s">
        <v>409</v>
      </c>
      <c r="E776" s="20" t="s">
        <v>410</v>
      </c>
      <c r="F776" s="20" t="s">
        <v>268</v>
      </c>
      <c r="G776" s="20" t="s">
        <v>393</v>
      </c>
      <c r="H776" s="20" t="s">
        <v>384</v>
      </c>
      <c r="I776" s="29">
        <v>1</v>
      </c>
      <c r="J776" s="30">
        <v>1</v>
      </c>
      <c r="K776" s="31">
        <v>7.7000000000000002E-3</v>
      </c>
      <c r="L776" s="9">
        <v>642695843.59439898</v>
      </c>
      <c r="M776" s="9">
        <v>641520754.67294204</v>
      </c>
      <c r="N776" s="32">
        <f>MIN(MAX((B776-Calculation_Assumptions!$B$5+1)/Calculation_Assumptions!$B$7,0),1)</f>
        <v>1</v>
      </c>
      <c r="O776" s="21">
        <f t="shared" si="96"/>
        <v>642695843.59439898</v>
      </c>
      <c r="P776" s="21">
        <f t="shared" si="97"/>
        <v>641520754.67294204</v>
      </c>
      <c r="Q776" s="21">
        <f>P776*Calculation_Assumptions!$B$14*J776*K776</f>
        <v>0</v>
      </c>
      <c r="R776" s="21">
        <f t="shared" si="98"/>
        <v>4948757.9956768723</v>
      </c>
      <c r="S776" s="21">
        <f t="shared" si="99"/>
        <v>4948757.9956768723</v>
      </c>
      <c r="T776" s="32">
        <f>1/(1+Calculation_Assumptions!$B$8)^(B776-Calculation_Assumptions!$B$2)</f>
        <v>0.55367575418633497</v>
      </c>
      <c r="U776" s="21">
        <f t="shared" si="100"/>
        <v>0</v>
      </c>
      <c r="V776" s="21">
        <f t="shared" si="101"/>
        <v>2740007.3155420478</v>
      </c>
      <c r="W776" s="21">
        <f t="shared" si="102"/>
        <v>2740007.3155420478</v>
      </c>
      <c r="X776">
        <v>0</v>
      </c>
      <c r="Y776" s="18">
        <v>2017</v>
      </c>
      <c r="Z776" t="s">
        <v>387</v>
      </c>
      <c r="AA776" s="21">
        <f t="shared" si="103"/>
        <v>1</v>
      </c>
    </row>
    <row r="777" spans="1:27">
      <c r="A777" t="s">
        <v>76</v>
      </c>
      <c r="B777" s="18">
        <v>2046</v>
      </c>
      <c r="C777" t="s">
        <v>265</v>
      </c>
      <c r="D777" s="20" t="s">
        <v>409</v>
      </c>
      <c r="E777" s="20" t="s">
        <v>410</v>
      </c>
      <c r="F777" s="20" t="s">
        <v>268</v>
      </c>
      <c r="G777" s="20" t="s">
        <v>393</v>
      </c>
      <c r="H777" s="20" t="s">
        <v>384</v>
      </c>
      <c r="I777" s="29">
        <v>1</v>
      </c>
      <c r="J777" s="30">
        <v>1</v>
      </c>
      <c r="K777" s="31">
        <v>7.7000000000000002E-3</v>
      </c>
      <c r="L777" s="9">
        <v>644974193.08303404</v>
      </c>
      <c r="M777" s="9">
        <v>643697330.762573</v>
      </c>
      <c r="N777" s="32">
        <f>MIN(MAX((B777-Calculation_Assumptions!$B$5+1)/Calculation_Assumptions!$B$7,0),1)</f>
        <v>1</v>
      </c>
      <c r="O777" s="21">
        <f t="shared" si="96"/>
        <v>644974193.08303404</v>
      </c>
      <c r="P777" s="21">
        <f t="shared" si="97"/>
        <v>643697330.762573</v>
      </c>
      <c r="Q777" s="21">
        <f>P777*Calculation_Assumptions!$B$14*J777*K777</f>
        <v>0</v>
      </c>
      <c r="R777" s="21">
        <f t="shared" si="98"/>
        <v>4966301.2867393624</v>
      </c>
      <c r="S777" s="21">
        <f t="shared" si="99"/>
        <v>4966301.2867393624</v>
      </c>
      <c r="T777" s="32">
        <f>1/(1+Calculation_Assumptions!$B$8)^(B777-Calculation_Assumptions!$B$2)</f>
        <v>0.5375492759090631</v>
      </c>
      <c r="U777" s="21">
        <f t="shared" si="100"/>
        <v>0</v>
      </c>
      <c r="V777" s="21">
        <f t="shared" si="101"/>
        <v>2669631.6606329926</v>
      </c>
      <c r="W777" s="21">
        <f t="shared" si="102"/>
        <v>2669631.6606329926</v>
      </c>
      <c r="X777">
        <v>0</v>
      </c>
      <c r="Y777" s="18">
        <v>2017</v>
      </c>
      <c r="Z777" t="s">
        <v>387</v>
      </c>
      <c r="AA777" s="21">
        <f t="shared" si="103"/>
        <v>1</v>
      </c>
    </row>
    <row r="778" spans="1:27">
      <c r="A778" t="s">
        <v>76</v>
      </c>
      <c r="B778" s="18">
        <v>2047</v>
      </c>
      <c r="C778" t="s">
        <v>265</v>
      </c>
      <c r="D778" s="20" t="s">
        <v>409</v>
      </c>
      <c r="E778" s="20" t="s">
        <v>410</v>
      </c>
      <c r="F778" s="20" t="s">
        <v>268</v>
      </c>
      <c r="G778" s="20" t="s">
        <v>393</v>
      </c>
      <c r="H778" s="20" t="s">
        <v>384</v>
      </c>
      <c r="I778" s="29">
        <v>1</v>
      </c>
      <c r="J778" s="30">
        <v>1</v>
      </c>
      <c r="K778" s="31">
        <v>7.7000000000000002E-3</v>
      </c>
      <c r="L778" s="9">
        <v>647124942.32164299</v>
      </c>
      <c r="M778" s="9">
        <v>645745914.53009498</v>
      </c>
      <c r="N778" s="32">
        <f>MIN(MAX((B778-Calculation_Assumptions!$B$5+1)/Calculation_Assumptions!$B$7,0),1)</f>
        <v>1</v>
      </c>
      <c r="O778" s="21">
        <f t="shared" si="96"/>
        <v>647124942.32164299</v>
      </c>
      <c r="P778" s="21">
        <f t="shared" si="97"/>
        <v>645745914.53009498</v>
      </c>
      <c r="Q778" s="21">
        <f>P778*Calculation_Assumptions!$B$14*J778*K778</f>
        <v>0</v>
      </c>
      <c r="R778" s="21">
        <f t="shared" si="98"/>
        <v>4982862.0558766508</v>
      </c>
      <c r="S778" s="21">
        <f t="shared" si="99"/>
        <v>4982862.0558766508</v>
      </c>
      <c r="T778" s="32">
        <f>1/(1+Calculation_Assumptions!$B$8)^(B778-Calculation_Assumptions!$B$2)</f>
        <v>0.52189250088258554</v>
      </c>
      <c r="U778" s="21">
        <f t="shared" si="100"/>
        <v>0</v>
      </c>
      <c r="V778" s="21">
        <f t="shared" si="101"/>
        <v>2600518.339894407</v>
      </c>
      <c r="W778" s="21">
        <f t="shared" si="102"/>
        <v>2600518.339894407</v>
      </c>
      <c r="X778">
        <v>0</v>
      </c>
      <c r="Y778" s="18">
        <v>2017</v>
      </c>
      <c r="Z778" t="s">
        <v>387</v>
      </c>
      <c r="AA778" s="21">
        <f t="shared" si="103"/>
        <v>1</v>
      </c>
    </row>
    <row r="779" spans="1:27">
      <c r="A779" t="s">
        <v>76</v>
      </c>
      <c r="B779" s="18">
        <v>2048</v>
      </c>
      <c r="C779" t="s">
        <v>265</v>
      </c>
      <c r="D779" s="20" t="s">
        <v>409</v>
      </c>
      <c r="E779" s="20" t="s">
        <v>410</v>
      </c>
      <c r="F779" s="20" t="s">
        <v>268</v>
      </c>
      <c r="G779" s="20" t="s">
        <v>393</v>
      </c>
      <c r="H779" s="20" t="s">
        <v>384</v>
      </c>
      <c r="I779" s="29">
        <v>1</v>
      </c>
      <c r="J779" s="30">
        <v>1</v>
      </c>
      <c r="K779" s="31">
        <v>7.7000000000000002E-3</v>
      </c>
      <c r="L779" s="9">
        <v>649147853.41567302</v>
      </c>
      <c r="M779" s="9">
        <v>647666796.64810395</v>
      </c>
      <c r="N779" s="32">
        <f>MIN(MAX((B779-Calculation_Assumptions!$B$5+1)/Calculation_Assumptions!$B$7,0),1)</f>
        <v>1</v>
      </c>
      <c r="O779" s="21">
        <f t="shared" si="96"/>
        <v>649147853.41567302</v>
      </c>
      <c r="P779" s="21">
        <f t="shared" si="97"/>
        <v>647666796.64810395</v>
      </c>
      <c r="Q779" s="21">
        <f>P779*Calculation_Assumptions!$B$14*J779*K779</f>
        <v>0</v>
      </c>
      <c r="R779" s="21">
        <f t="shared" si="98"/>
        <v>4998438.4713006821</v>
      </c>
      <c r="S779" s="21">
        <f t="shared" si="99"/>
        <v>4998438.4713006821</v>
      </c>
      <c r="T779" s="32">
        <f>1/(1+Calculation_Assumptions!$B$8)^(B779-Calculation_Assumptions!$B$2)</f>
        <v>0.50669174842969467</v>
      </c>
      <c r="U779" s="21">
        <f t="shared" si="100"/>
        <v>0</v>
      </c>
      <c r="V779" s="21">
        <f t="shared" si="101"/>
        <v>2532667.5284415926</v>
      </c>
      <c r="W779" s="21">
        <f t="shared" si="102"/>
        <v>2532667.5284415926</v>
      </c>
      <c r="X779">
        <v>0</v>
      </c>
      <c r="Y779" s="18">
        <v>2017</v>
      </c>
      <c r="Z779" t="s">
        <v>387</v>
      </c>
      <c r="AA779" s="21">
        <f t="shared" si="103"/>
        <v>1</v>
      </c>
    </row>
    <row r="780" spans="1:27">
      <c r="A780" t="s">
        <v>76</v>
      </c>
      <c r="B780" s="18">
        <v>2049</v>
      </c>
      <c r="C780" t="s">
        <v>265</v>
      </c>
      <c r="D780" s="20" t="s">
        <v>409</v>
      </c>
      <c r="E780" s="20" t="s">
        <v>410</v>
      </c>
      <c r="F780" s="20" t="s">
        <v>268</v>
      </c>
      <c r="G780" s="20" t="s">
        <v>393</v>
      </c>
      <c r="H780" s="20" t="s">
        <v>384</v>
      </c>
      <c r="I780" s="29">
        <v>1</v>
      </c>
      <c r="J780" s="30">
        <v>1</v>
      </c>
      <c r="K780" s="31">
        <v>7.7000000000000002E-3</v>
      </c>
      <c r="L780" s="9">
        <v>651040967.5934</v>
      </c>
      <c r="M780" s="9">
        <v>649421968.02473402</v>
      </c>
      <c r="N780" s="32">
        <f>MIN(MAX((B780-Calculation_Assumptions!$B$5+1)/Calculation_Assumptions!$B$7,0),1)</f>
        <v>1</v>
      </c>
      <c r="O780" s="21">
        <f t="shared" si="96"/>
        <v>651040967.5934</v>
      </c>
      <c r="P780" s="21">
        <f t="shared" si="97"/>
        <v>649421968.02473402</v>
      </c>
      <c r="Q780" s="21">
        <f>P780*Calculation_Assumptions!$B$14*J780*K780</f>
        <v>0</v>
      </c>
      <c r="R780" s="21">
        <f t="shared" si="98"/>
        <v>5013015.45046918</v>
      </c>
      <c r="S780" s="21">
        <f t="shared" si="99"/>
        <v>5013015.45046918</v>
      </c>
      <c r="T780" s="32">
        <f>1/(1+Calculation_Assumptions!$B$8)^(B780-Calculation_Assumptions!$B$2)</f>
        <v>0.49193373633950943</v>
      </c>
      <c r="U780" s="21">
        <f t="shared" si="100"/>
        <v>0</v>
      </c>
      <c r="V780" s="21">
        <f t="shared" si="101"/>
        <v>2466071.4208769929</v>
      </c>
      <c r="W780" s="21">
        <f t="shared" si="102"/>
        <v>2466071.4208769929</v>
      </c>
      <c r="X780">
        <v>0</v>
      </c>
      <c r="Y780" s="18">
        <v>2017</v>
      </c>
      <c r="Z780" t="s">
        <v>387</v>
      </c>
      <c r="AA780" s="21">
        <f t="shared" si="103"/>
        <v>1</v>
      </c>
    </row>
    <row r="781" spans="1:27">
      <c r="A781" t="s">
        <v>76</v>
      </c>
      <c r="B781" s="18">
        <v>2050</v>
      </c>
      <c r="C781" t="s">
        <v>265</v>
      </c>
      <c r="D781" s="20" t="s">
        <v>409</v>
      </c>
      <c r="E781" s="20" t="s">
        <v>410</v>
      </c>
      <c r="F781" s="20" t="s">
        <v>268</v>
      </c>
      <c r="G781" s="20" t="s">
        <v>393</v>
      </c>
      <c r="H781" s="20" t="s">
        <v>384</v>
      </c>
      <c r="I781" s="29">
        <v>1</v>
      </c>
      <c r="J781" s="30">
        <v>1</v>
      </c>
      <c r="K781" s="31">
        <v>7.7000000000000002E-3</v>
      </c>
      <c r="L781" s="9">
        <v>652799148.10289598</v>
      </c>
      <c r="M781" s="9">
        <v>651074457.25957894</v>
      </c>
      <c r="N781" s="32">
        <f>MIN(MAX((B781-Calculation_Assumptions!$B$5+1)/Calculation_Assumptions!$B$7,0),1)</f>
        <v>1</v>
      </c>
      <c r="O781" s="21">
        <f t="shared" si="96"/>
        <v>652799148.10289598</v>
      </c>
      <c r="P781" s="21">
        <f t="shared" si="97"/>
        <v>651074457.25957894</v>
      </c>
      <c r="Q781" s="21">
        <f>P781*Calculation_Assumptions!$B$14*J781*K781</f>
        <v>0</v>
      </c>
      <c r="R781" s="21">
        <f t="shared" si="98"/>
        <v>5026553.4403922996</v>
      </c>
      <c r="S781" s="21">
        <f t="shared" si="99"/>
        <v>5026553.4403922996</v>
      </c>
      <c r="T781" s="32">
        <f>1/(1+Calculation_Assumptions!$B$8)^(B781-Calculation_Assumptions!$B$2)</f>
        <v>0.47760556926165965</v>
      </c>
      <c r="U781" s="21">
        <f t="shared" si="100"/>
        <v>0</v>
      </c>
      <c r="V781" s="21">
        <f t="shared" si="101"/>
        <v>2400709.9173227181</v>
      </c>
      <c r="W781" s="21">
        <f t="shared" si="102"/>
        <v>2400709.9173227181</v>
      </c>
      <c r="X781">
        <v>0</v>
      </c>
      <c r="Y781" s="18">
        <v>2017</v>
      </c>
      <c r="Z781" t="s">
        <v>387</v>
      </c>
      <c r="AA781" s="21">
        <f t="shared" si="103"/>
        <v>1</v>
      </c>
    </row>
    <row r="782" spans="1:27">
      <c r="A782" t="s">
        <v>76</v>
      </c>
      <c r="B782" s="18">
        <v>2025</v>
      </c>
      <c r="C782" t="s">
        <v>272</v>
      </c>
      <c r="D782" s="20" t="s">
        <v>411</v>
      </c>
      <c r="E782" s="20" t="s">
        <v>412</v>
      </c>
      <c r="F782" s="20" t="s">
        <v>275</v>
      </c>
      <c r="G782" s="20" t="s">
        <v>393</v>
      </c>
      <c r="H782" s="20" t="s">
        <v>384</v>
      </c>
      <c r="I782" s="29">
        <v>1</v>
      </c>
      <c r="J782" s="30">
        <v>1</v>
      </c>
      <c r="K782" s="31">
        <v>7.7000000000000002E-3</v>
      </c>
      <c r="L782" s="9">
        <v>575134853.59312999</v>
      </c>
      <c r="M782" s="9">
        <v>575134853.59312999</v>
      </c>
      <c r="N782" s="32">
        <f>MIN(MAX((B782-Calculation_Assumptions!$B$5+1)/Calculation_Assumptions!$B$7,0),1)</f>
        <v>0</v>
      </c>
      <c r="O782" s="21">
        <f t="shared" si="96"/>
        <v>575134853.59312999</v>
      </c>
      <c r="P782" s="21">
        <f t="shared" si="97"/>
        <v>575134853.59312999</v>
      </c>
      <c r="Q782" s="21">
        <f>P782*Calculation_Assumptions!$B$14*J782*K782</f>
        <v>0</v>
      </c>
      <c r="R782" s="21">
        <f t="shared" si="98"/>
        <v>0</v>
      </c>
      <c r="S782" s="21">
        <f t="shared" si="99"/>
        <v>0</v>
      </c>
      <c r="T782" s="32">
        <f>1/(1+Calculation_Assumptions!$B$8)^(B782-Calculation_Assumptions!$B$2)</f>
        <v>1</v>
      </c>
      <c r="U782" s="21">
        <f t="shared" si="100"/>
        <v>0</v>
      </c>
      <c r="V782" s="21">
        <f t="shared" si="101"/>
        <v>0</v>
      </c>
      <c r="W782" s="21">
        <f t="shared" si="102"/>
        <v>0</v>
      </c>
      <c r="X782">
        <v>0</v>
      </c>
      <c r="Y782" s="18">
        <v>2017</v>
      </c>
      <c r="Z782" t="s">
        <v>387</v>
      </c>
      <c r="AA782" s="21">
        <f t="shared" si="103"/>
        <v>1</v>
      </c>
    </row>
    <row r="783" spans="1:27">
      <c r="A783" t="s">
        <v>76</v>
      </c>
      <c r="B783" s="18">
        <v>2026</v>
      </c>
      <c r="C783" t="s">
        <v>272</v>
      </c>
      <c r="D783" s="20" t="s">
        <v>411</v>
      </c>
      <c r="E783" s="20" t="s">
        <v>412</v>
      </c>
      <c r="F783" s="20" t="s">
        <v>275</v>
      </c>
      <c r="G783" s="20" t="s">
        <v>393</v>
      </c>
      <c r="H783" s="20" t="s">
        <v>384</v>
      </c>
      <c r="I783" s="29">
        <v>1</v>
      </c>
      <c r="J783" s="30">
        <v>1</v>
      </c>
      <c r="K783" s="31">
        <v>7.7000000000000002E-3</v>
      </c>
      <c r="L783" s="9">
        <v>579268647.32329595</v>
      </c>
      <c r="M783" s="9">
        <v>579268647.32329595</v>
      </c>
      <c r="N783" s="32">
        <f>MIN(MAX((B783-Calculation_Assumptions!$B$5+1)/Calculation_Assumptions!$B$7,0),1)</f>
        <v>0.33333333333333331</v>
      </c>
      <c r="O783" s="21">
        <f t="shared" si="96"/>
        <v>579268647.32329595</v>
      </c>
      <c r="P783" s="21">
        <f t="shared" si="97"/>
        <v>579268647.32329595</v>
      </c>
      <c r="Q783" s="21">
        <f>P783*Calculation_Assumptions!$B$14*J783*K783</f>
        <v>0</v>
      </c>
      <c r="R783" s="21">
        <f t="shared" si="98"/>
        <v>1486789.528129793</v>
      </c>
      <c r="S783" s="21">
        <f t="shared" si="99"/>
        <v>1486789.528129793</v>
      </c>
      <c r="T783" s="32">
        <f>1/(1+Calculation_Assumptions!$B$8)^(B783-Calculation_Assumptions!$B$2)</f>
        <v>0.970873786407767</v>
      </c>
      <c r="U783" s="21">
        <f t="shared" si="100"/>
        <v>0</v>
      </c>
      <c r="V783" s="21">
        <f t="shared" si="101"/>
        <v>1443484.9787667894</v>
      </c>
      <c r="W783" s="21">
        <f t="shared" si="102"/>
        <v>1443484.9787667894</v>
      </c>
      <c r="X783">
        <v>0</v>
      </c>
      <c r="Y783" s="18">
        <v>2017</v>
      </c>
      <c r="Z783" t="s">
        <v>387</v>
      </c>
      <c r="AA783" s="21">
        <f t="shared" si="103"/>
        <v>1</v>
      </c>
    </row>
    <row r="784" spans="1:27">
      <c r="A784" t="s">
        <v>76</v>
      </c>
      <c r="B784" s="18">
        <v>2027</v>
      </c>
      <c r="C784" t="s">
        <v>272</v>
      </c>
      <c r="D784" s="20" t="s">
        <v>411</v>
      </c>
      <c r="E784" s="20" t="s">
        <v>412</v>
      </c>
      <c r="F784" s="20" t="s">
        <v>275</v>
      </c>
      <c r="G784" s="20" t="s">
        <v>393</v>
      </c>
      <c r="H784" s="20" t="s">
        <v>384</v>
      </c>
      <c r="I784" s="29">
        <v>1</v>
      </c>
      <c r="J784" s="30">
        <v>1</v>
      </c>
      <c r="K784" s="31">
        <v>7.7000000000000002E-3</v>
      </c>
      <c r="L784" s="9">
        <v>583039014.28645599</v>
      </c>
      <c r="M784" s="9">
        <v>583039014.28645599</v>
      </c>
      <c r="N784" s="32">
        <f>MIN(MAX((B784-Calculation_Assumptions!$B$5+1)/Calculation_Assumptions!$B$7,0),1)</f>
        <v>0.66666666666666663</v>
      </c>
      <c r="O784" s="21">
        <f t="shared" si="96"/>
        <v>583039014.28645599</v>
      </c>
      <c r="P784" s="21">
        <f t="shared" si="97"/>
        <v>583039014.28645599</v>
      </c>
      <c r="Q784" s="21">
        <f>P784*Calculation_Assumptions!$B$14*J784*K784</f>
        <v>0</v>
      </c>
      <c r="R784" s="21">
        <f t="shared" si="98"/>
        <v>2992933.6066704742</v>
      </c>
      <c r="S784" s="21">
        <f t="shared" si="99"/>
        <v>2992933.6066704742</v>
      </c>
      <c r="T784" s="32">
        <f>1/(1+Calculation_Assumptions!$B$8)^(B784-Calculation_Assumptions!$B$2)</f>
        <v>0.94259590913375435</v>
      </c>
      <c r="U784" s="21">
        <f t="shared" si="100"/>
        <v>0</v>
      </c>
      <c r="V784" s="21">
        <f t="shared" si="101"/>
        <v>2821126.9739565221</v>
      </c>
      <c r="W784" s="21">
        <f t="shared" si="102"/>
        <v>2821126.9739565221</v>
      </c>
      <c r="X784">
        <v>0</v>
      </c>
      <c r="Y784" s="18">
        <v>2017</v>
      </c>
      <c r="Z784" t="s">
        <v>387</v>
      </c>
      <c r="AA784" s="21">
        <f t="shared" si="103"/>
        <v>1</v>
      </c>
    </row>
    <row r="785" spans="1:27">
      <c r="A785" t="s">
        <v>76</v>
      </c>
      <c r="B785" s="18">
        <v>2028</v>
      </c>
      <c r="C785" t="s">
        <v>272</v>
      </c>
      <c r="D785" s="20" t="s">
        <v>411</v>
      </c>
      <c r="E785" s="20" t="s">
        <v>412</v>
      </c>
      <c r="F785" s="20" t="s">
        <v>275</v>
      </c>
      <c r="G785" s="20" t="s">
        <v>393</v>
      </c>
      <c r="H785" s="20" t="s">
        <v>384</v>
      </c>
      <c r="I785" s="29">
        <v>1</v>
      </c>
      <c r="J785" s="30">
        <v>1</v>
      </c>
      <c r="K785" s="31">
        <v>7.7000000000000002E-3</v>
      </c>
      <c r="L785" s="9">
        <v>587039795.04372799</v>
      </c>
      <c r="M785" s="9">
        <v>587035116.25746298</v>
      </c>
      <c r="N785" s="32">
        <f>MIN(MAX((B785-Calculation_Assumptions!$B$5+1)/Calculation_Assumptions!$B$7,0),1)</f>
        <v>1</v>
      </c>
      <c r="O785" s="21">
        <f t="shared" si="96"/>
        <v>587039795.04372799</v>
      </c>
      <c r="P785" s="21">
        <f t="shared" si="97"/>
        <v>587035116.25746298</v>
      </c>
      <c r="Q785" s="21">
        <f>P785*Calculation_Assumptions!$B$14*J785*K785</f>
        <v>0</v>
      </c>
      <c r="R785" s="21">
        <f t="shared" si="98"/>
        <v>4520206.4218367059</v>
      </c>
      <c r="S785" s="21">
        <f t="shared" si="99"/>
        <v>4520206.4218367059</v>
      </c>
      <c r="T785" s="32">
        <f>1/(1+Calculation_Assumptions!$B$8)^(B785-Calculation_Assumptions!$B$2)</f>
        <v>0.91514165935315961</v>
      </c>
      <c r="U785" s="21">
        <f t="shared" si="100"/>
        <v>0</v>
      </c>
      <c r="V785" s="21">
        <f t="shared" si="101"/>
        <v>4136629.2054984514</v>
      </c>
      <c r="W785" s="21">
        <f t="shared" si="102"/>
        <v>4136629.2054984514</v>
      </c>
      <c r="X785">
        <v>0</v>
      </c>
      <c r="Y785" s="18">
        <v>2017</v>
      </c>
      <c r="Z785" t="s">
        <v>387</v>
      </c>
      <c r="AA785" s="21">
        <f t="shared" si="103"/>
        <v>1</v>
      </c>
    </row>
    <row r="786" spans="1:27">
      <c r="A786" t="s">
        <v>76</v>
      </c>
      <c r="B786" s="18">
        <v>2029</v>
      </c>
      <c r="C786" t="s">
        <v>272</v>
      </c>
      <c r="D786" s="20" t="s">
        <v>411</v>
      </c>
      <c r="E786" s="20" t="s">
        <v>412</v>
      </c>
      <c r="F786" s="20" t="s">
        <v>275</v>
      </c>
      <c r="G786" s="20" t="s">
        <v>393</v>
      </c>
      <c r="H786" s="20" t="s">
        <v>384</v>
      </c>
      <c r="I786" s="29">
        <v>1</v>
      </c>
      <c r="J786" s="30">
        <v>1</v>
      </c>
      <c r="K786" s="31">
        <v>7.7000000000000002E-3</v>
      </c>
      <c r="L786" s="9">
        <v>590766467.10548604</v>
      </c>
      <c r="M786" s="9">
        <v>590968059.72178304</v>
      </c>
      <c r="N786" s="32">
        <f>MIN(MAX((B786-Calculation_Assumptions!$B$5+1)/Calculation_Assumptions!$B$7,0),1)</f>
        <v>1</v>
      </c>
      <c r="O786" s="21">
        <f t="shared" si="96"/>
        <v>590766467.10548604</v>
      </c>
      <c r="P786" s="21">
        <f t="shared" si="97"/>
        <v>590968059.72178304</v>
      </c>
      <c r="Q786" s="21">
        <f>P786*Calculation_Assumptions!$B$14*J786*K786</f>
        <v>0</v>
      </c>
      <c r="R786" s="21">
        <f t="shared" si="98"/>
        <v>4548901.796712243</v>
      </c>
      <c r="S786" s="21">
        <f t="shared" si="99"/>
        <v>4548901.796712243</v>
      </c>
      <c r="T786" s="32">
        <f>1/(1+Calculation_Assumptions!$B$8)^(B786-Calculation_Assumptions!$B$2)</f>
        <v>0.888487047915689</v>
      </c>
      <c r="U786" s="21">
        <f t="shared" si="100"/>
        <v>0</v>
      </c>
      <c r="V786" s="21">
        <f t="shared" si="101"/>
        <v>4041640.3286192343</v>
      </c>
      <c r="W786" s="21">
        <f t="shared" si="102"/>
        <v>4041640.3286192343</v>
      </c>
      <c r="X786">
        <v>0</v>
      </c>
      <c r="Y786" s="18">
        <v>2017</v>
      </c>
      <c r="Z786" t="s">
        <v>387</v>
      </c>
      <c r="AA786" s="21">
        <f t="shared" si="103"/>
        <v>1</v>
      </c>
    </row>
    <row r="787" spans="1:27">
      <c r="A787" t="s">
        <v>76</v>
      </c>
      <c r="B787" s="18">
        <v>2030</v>
      </c>
      <c r="C787" t="s">
        <v>272</v>
      </c>
      <c r="D787" s="20" t="s">
        <v>411</v>
      </c>
      <c r="E787" s="20" t="s">
        <v>412</v>
      </c>
      <c r="F787" s="20" t="s">
        <v>275</v>
      </c>
      <c r="G787" s="20" t="s">
        <v>393</v>
      </c>
      <c r="H787" s="20" t="s">
        <v>384</v>
      </c>
      <c r="I787" s="29">
        <v>1</v>
      </c>
      <c r="J787" s="30">
        <v>1</v>
      </c>
      <c r="K787" s="31">
        <v>7.7000000000000002E-3</v>
      </c>
      <c r="L787" s="9">
        <v>594652967.05338001</v>
      </c>
      <c r="M787" s="9">
        <v>594808018.62654305</v>
      </c>
      <c r="N787" s="32">
        <f>MIN(MAX((B787-Calculation_Assumptions!$B$5+1)/Calculation_Assumptions!$B$7,0),1)</f>
        <v>1</v>
      </c>
      <c r="O787" s="21">
        <f t="shared" si="96"/>
        <v>594652967.05338001</v>
      </c>
      <c r="P787" s="21">
        <f t="shared" si="97"/>
        <v>594808018.62654305</v>
      </c>
      <c r="Q787" s="21">
        <f>P787*Calculation_Assumptions!$B$14*J787*K787</f>
        <v>0</v>
      </c>
      <c r="R787" s="21">
        <f t="shared" si="98"/>
        <v>4578827.8463110263</v>
      </c>
      <c r="S787" s="21">
        <f t="shared" si="99"/>
        <v>4578827.8463110263</v>
      </c>
      <c r="T787" s="32">
        <f>1/(1+Calculation_Assumptions!$B$8)^(B787-Calculation_Assumptions!$B$2)</f>
        <v>0.86260878438416411</v>
      </c>
      <c r="U787" s="21">
        <f t="shared" si="100"/>
        <v>0</v>
      </c>
      <c r="V787" s="21">
        <f t="shared" si="101"/>
        <v>3949737.1224107146</v>
      </c>
      <c r="W787" s="21">
        <f t="shared" si="102"/>
        <v>3949737.1224107146</v>
      </c>
      <c r="X787">
        <v>0</v>
      </c>
      <c r="Y787" s="18">
        <v>2017</v>
      </c>
      <c r="Z787" t="s">
        <v>387</v>
      </c>
      <c r="AA787" s="21">
        <f t="shared" si="103"/>
        <v>1</v>
      </c>
    </row>
    <row r="788" spans="1:27">
      <c r="A788" t="s">
        <v>76</v>
      </c>
      <c r="B788" s="18">
        <v>2031</v>
      </c>
      <c r="C788" t="s">
        <v>272</v>
      </c>
      <c r="D788" s="20" t="s">
        <v>411</v>
      </c>
      <c r="E788" s="20" t="s">
        <v>412</v>
      </c>
      <c r="F788" s="20" t="s">
        <v>275</v>
      </c>
      <c r="G788" s="20" t="s">
        <v>393</v>
      </c>
      <c r="H788" s="20" t="s">
        <v>384</v>
      </c>
      <c r="I788" s="29">
        <v>1</v>
      </c>
      <c r="J788" s="30">
        <v>1</v>
      </c>
      <c r="K788" s="31">
        <v>7.7000000000000002E-3</v>
      </c>
      <c r="L788" s="9">
        <v>598482853.08345401</v>
      </c>
      <c r="M788" s="9">
        <v>598581381.03442597</v>
      </c>
      <c r="N788" s="32">
        <f>MIN(MAX((B788-Calculation_Assumptions!$B$5+1)/Calculation_Assumptions!$B$7,0),1)</f>
        <v>1</v>
      </c>
      <c r="O788" s="21">
        <f t="shared" si="96"/>
        <v>598482853.08345401</v>
      </c>
      <c r="P788" s="21">
        <f t="shared" si="97"/>
        <v>598581381.03442597</v>
      </c>
      <c r="Q788" s="21">
        <f>P788*Calculation_Assumptions!$B$14*J788*K788</f>
        <v>0</v>
      </c>
      <c r="R788" s="21">
        <f t="shared" si="98"/>
        <v>4608317.968742596</v>
      </c>
      <c r="S788" s="21">
        <f t="shared" si="99"/>
        <v>4608317.968742596</v>
      </c>
      <c r="T788" s="32">
        <f>1/(1+Calculation_Assumptions!$B$8)^(B788-Calculation_Assumptions!$B$2)</f>
        <v>0.83748425668365445</v>
      </c>
      <c r="U788" s="21">
        <f t="shared" si="100"/>
        <v>0</v>
      </c>
      <c r="V788" s="21">
        <f t="shared" si="101"/>
        <v>3859393.7486143215</v>
      </c>
      <c r="W788" s="21">
        <f t="shared" si="102"/>
        <v>3859393.7486143215</v>
      </c>
      <c r="X788">
        <v>0</v>
      </c>
      <c r="Y788" s="18">
        <v>2017</v>
      </c>
      <c r="Z788" t="s">
        <v>387</v>
      </c>
      <c r="AA788" s="21">
        <f t="shared" si="103"/>
        <v>1</v>
      </c>
    </row>
    <row r="789" spans="1:27">
      <c r="A789" t="s">
        <v>76</v>
      </c>
      <c r="B789" s="18">
        <v>2032</v>
      </c>
      <c r="C789" t="s">
        <v>272</v>
      </c>
      <c r="D789" s="20" t="s">
        <v>411</v>
      </c>
      <c r="E789" s="20" t="s">
        <v>412</v>
      </c>
      <c r="F789" s="20" t="s">
        <v>275</v>
      </c>
      <c r="G789" s="20" t="s">
        <v>393</v>
      </c>
      <c r="H789" s="20" t="s">
        <v>384</v>
      </c>
      <c r="I789" s="29">
        <v>1</v>
      </c>
      <c r="J789" s="30">
        <v>1</v>
      </c>
      <c r="K789" s="31">
        <v>7.7000000000000002E-3</v>
      </c>
      <c r="L789" s="9">
        <v>602252425.332353</v>
      </c>
      <c r="M789" s="9">
        <v>602283583.58638096</v>
      </c>
      <c r="N789" s="32">
        <f>MIN(MAX((B789-Calculation_Assumptions!$B$5+1)/Calculation_Assumptions!$B$7,0),1)</f>
        <v>1</v>
      </c>
      <c r="O789" s="21">
        <f t="shared" si="96"/>
        <v>602252425.332353</v>
      </c>
      <c r="P789" s="21">
        <f t="shared" si="97"/>
        <v>602283583.58638096</v>
      </c>
      <c r="Q789" s="21">
        <f>P789*Calculation_Assumptions!$B$14*J789*K789</f>
        <v>0</v>
      </c>
      <c r="R789" s="21">
        <f t="shared" si="98"/>
        <v>4637343.6750591183</v>
      </c>
      <c r="S789" s="21">
        <f t="shared" si="99"/>
        <v>4637343.6750591183</v>
      </c>
      <c r="T789" s="32">
        <f>1/(1+Calculation_Assumptions!$B$8)^(B789-Calculation_Assumptions!$B$2)</f>
        <v>0.81309151134335378</v>
      </c>
      <c r="U789" s="21">
        <f t="shared" si="100"/>
        <v>0</v>
      </c>
      <c r="V789" s="21">
        <f t="shared" si="101"/>
        <v>3770584.7773723612</v>
      </c>
      <c r="W789" s="21">
        <f t="shared" si="102"/>
        <v>3770584.7773723612</v>
      </c>
      <c r="X789">
        <v>0</v>
      </c>
      <c r="Y789" s="18">
        <v>2017</v>
      </c>
      <c r="Z789" t="s">
        <v>387</v>
      </c>
      <c r="AA789" s="21">
        <f t="shared" si="103"/>
        <v>1</v>
      </c>
    </row>
    <row r="790" spans="1:27">
      <c r="A790" t="s">
        <v>76</v>
      </c>
      <c r="B790" s="18">
        <v>2033</v>
      </c>
      <c r="C790" t="s">
        <v>272</v>
      </c>
      <c r="D790" s="20" t="s">
        <v>411</v>
      </c>
      <c r="E790" s="20" t="s">
        <v>412</v>
      </c>
      <c r="F790" s="20" t="s">
        <v>275</v>
      </c>
      <c r="G790" s="20" t="s">
        <v>393</v>
      </c>
      <c r="H790" s="20" t="s">
        <v>384</v>
      </c>
      <c r="I790" s="29">
        <v>1</v>
      </c>
      <c r="J790" s="30">
        <v>1</v>
      </c>
      <c r="K790" s="31">
        <v>7.7000000000000002E-3</v>
      </c>
      <c r="L790" s="9">
        <v>605955528.04318595</v>
      </c>
      <c r="M790" s="9">
        <v>605911902.99473</v>
      </c>
      <c r="N790" s="32">
        <f>MIN(MAX((B790-Calculation_Assumptions!$B$5+1)/Calculation_Assumptions!$B$7,0),1)</f>
        <v>1</v>
      </c>
      <c r="O790" s="21">
        <f t="shared" si="96"/>
        <v>605955528.04318595</v>
      </c>
      <c r="P790" s="21">
        <f t="shared" si="97"/>
        <v>605911902.99473</v>
      </c>
      <c r="Q790" s="21">
        <f>P790*Calculation_Assumptions!$B$14*J790*K790</f>
        <v>0</v>
      </c>
      <c r="R790" s="21">
        <f t="shared" si="98"/>
        <v>4665857.5659325318</v>
      </c>
      <c r="S790" s="21">
        <f t="shared" si="99"/>
        <v>4665857.5659325318</v>
      </c>
      <c r="T790" s="32">
        <f>1/(1+Calculation_Assumptions!$B$8)^(B790-Calculation_Assumptions!$B$2)</f>
        <v>0.78940923431393573</v>
      </c>
      <c r="U790" s="21">
        <f t="shared" si="100"/>
        <v>0</v>
      </c>
      <c r="V790" s="21">
        <f t="shared" si="101"/>
        <v>3683271.0485406839</v>
      </c>
      <c r="W790" s="21">
        <f t="shared" si="102"/>
        <v>3683271.0485406839</v>
      </c>
      <c r="X790">
        <v>0</v>
      </c>
      <c r="Y790" s="18">
        <v>2017</v>
      </c>
      <c r="Z790" t="s">
        <v>387</v>
      </c>
      <c r="AA790" s="21">
        <f t="shared" si="103"/>
        <v>1</v>
      </c>
    </row>
    <row r="791" spans="1:27">
      <c r="A791" t="s">
        <v>76</v>
      </c>
      <c r="B791" s="18">
        <v>2034</v>
      </c>
      <c r="C791" t="s">
        <v>272</v>
      </c>
      <c r="D791" s="20" t="s">
        <v>411</v>
      </c>
      <c r="E791" s="20" t="s">
        <v>412</v>
      </c>
      <c r="F791" s="20" t="s">
        <v>275</v>
      </c>
      <c r="G791" s="20" t="s">
        <v>393</v>
      </c>
      <c r="H791" s="20" t="s">
        <v>384</v>
      </c>
      <c r="I791" s="29">
        <v>1</v>
      </c>
      <c r="J791" s="30">
        <v>1</v>
      </c>
      <c r="K791" s="31">
        <v>7.7000000000000002E-3</v>
      </c>
      <c r="L791" s="9">
        <v>609560284.09550095</v>
      </c>
      <c r="M791" s="9">
        <v>609455548.12077105</v>
      </c>
      <c r="N791" s="32">
        <f>MIN(MAX((B791-Calculation_Assumptions!$B$5+1)/Calculation_Assumptions!$B$7,0),1)</f>
        <v>1</v>
      </c>
      <c r="O791" s="21">
        <f t="shared" si="96"/>
        <v>609560284.09550095</v>
      </c>
      <c r="P791" s="21">
        <f t="shared" si="97"/>
        <v>609455548.12077105</v>
      </c>
      <c r="Q791" s="21">
        <f>P791*Calculation_Assumptions!$B$14*J791*K791</f>
        <v>0</v>
      </c>
      <c r="R791" s="21">
        <f t="shared" si="98"/>
        <v>4693614.1875353577</v>
      </c>
      <c r="S791" s="21">
        <f t="shared" si="99"/>
        <v>4693614.1875353577</v>
      </c>
      <c r="T791" s="32">
        <f>1/(1+Calculation_Assumptions!$B$8)^(B791-Calculation_Assumptions!$B$2)</f>
        <v>0.76641673234362695</v>
      </c>
      <c r="U791" s="21">
        <f t="shared" si="100"/>
        <v>0</v>
      </c>
      <c r="V791" s="21">
        <f t="shared" si="101"/>
        <v>3597264.4484925363</v>
      </c>
      <c r="W791" s="21">
        <f t="shared" si="102"/>
        <v>3597264.4484925363</v>
      </c>
      <c r="X791">
        <v>0</v>
      </c>
      <c r="Y791" s="18">
        <v>2017</v>
      </c>
      <c r="Z791" t="s">
        <v>387</v>
      </c>
      <c r="AA791" s="21">
        <f t="shared" si="103"/>
        <v>1</v>
      </c>
    </row>
    <row r="792" spans="1:27">
      <c r="A792" t="s">
        <v>76</v>
      </c>
      <c r="B792" s="18">
        <v>2035</v>
      </c>
      <c r="C792" t="s">
        <v>272</v>
      </c>
      <c r="D792" s="20" t="s">
        <v>411</v>
      </c>
      <c r="E792" s="20" t="s">
        <v>412</v>
      </c>
      <c r="F792" s="20" t="s">
        <v>275</v>
      </c>
      <c r="G792" s="20" t="s">
        <v>393</v>
      </c>
      <c r="H792" s="20" t="s">
        <v>384</v>
      </c>
      <c r="I792" s="29">
        <v>1</v>
      </c>
      <c r="J792" s="30">
        <v>1</v>
      </c>
      <c r="K792" s="31">
        <v>7.7000000000000002E-3</v>
      </c>
      <c r="L792" s="9">
        <v>613092698.26085901</v>
      </c>
      <c r="M792" s="9">
        <v>612884294.47334194</v>
      </c>
      <c r="N792" s="32">
        <f>MIN(MAX((B792-Calculation_Assumptions!$B$5+1)/Calculation_Assumptions!$B$7,0),1)</f>
        <v>1</v>
      </c>
      <c r="O792" s="21">
        <f t="shared" si="96"/>
        <v>613092698.26085901</v>
      </c>
      <c r="P792" s="21">
        <f t="shared" si="97"/>
        <v>612884294.47334194</v>
      </c>
      <c r="Q792" s="21">
        <f>P792*Calculation_Assumptions!$B$14*J792*K792</f>
        <v>0</v>
      </c>
      <c r="R792" s="21">
        <f t="shared" si="98"/>
        <v>4720813.7766086143</v>
      </c>
      <c r="S792" s="21">
        <f t="shared" si="99"/>
        <v>4720813.7766086143</v>
      </c>
      <c r="T792" s="32">
        <f>1/(1+Calculation_Assumptions!$B$8)^(B792-Calculation_Assumptions!$B$2)</f>
        <v>0.74409391489672516</v>
      </c>
      <c r="U792" s="21">
        <f t="shared" si="100"/>
        <v>0</v>
      </c>
      <c r="V792" s="21">
        <f t="shared" si="101"/>
        <v>3512728.8045350979</v>
      </c>
      <c r="W792" s="21">
        <f t="shared" si="102"/>
        <v>3512728.8045350979</v>
      </c>
      <c r="X792">
        <v>0</v>
      </c>
      <c r="Y792" s="18">
        <v>2017</v>
      </c>
      <c r="Z792" t="s">
        <v>387</v>
      </c>
      <c r="AA792" s="21">
        <f t="shared" si="103"/>
        <v>1</v>
      </c>
    </row>
    <row r="793" spans="1:27">
      <c r="A793" t="s">
        <v>76</v>
      </c>
      <c r="B793" s="18">
        <v>2036</v>
      </c>
      <c r="C793" t="s">
        <v>272</v>
      </c>
      <c r="D793" s="20" t="s">
        <v>411</v>
      </c>
      <c r="E793" s="20" t="s">
        <v>412</v>
      </c>
      <c r="F793" s="20" t="s">
        <v>275</v>
      </c>
      <c r="G793" s="20" t="s">
        <v>393</v>
      </c>
      <c r="H793" s="20" t="s">
        <v>384</v>
      </c>
      <c r="I793" s="29">
        <v>1</v>
      </c>
      <c r="J793" s="30">
        <v>1</v>
      </c>
      <c r="K793" s="31">
        <v>7.7000000000000002E-3</v>
      </c>
      <c r="L793" s="9">
        <v>616539654.35734701</v>
      </c>
      <c r="M793" s="9">
        <v>616262053.85817397</v>
      </c>
      <c r="N793" s="32">
        <f>MIN(MAX((B793-Calculation_Assumptions!$B$5+1)/Calculation_Assumptions!$B$7,0),1)</f>
        <v>1</v>
      </c>
      <c r="O793" s="21">
        <f t="shared" si="96"/>
        <v>616539654.35734701</v>
      </c>
      <c r="P793" s="21">
        <f t="shared" si="97"/>
        <v>616262053.85817397</v>
      </c>
      <c r="Q793" s="21">
        <f>P793*Calculation_Assumptions!$B$14*J793*K793</f>
        <v>0</v>
      </c>
      <c r="R793" s="21">
        <f t="shared" si="98"/>
        <v>4747355.3385515725</v>
      </c>
      <c r="S793" s="21">
        <f t="shared" si="99"/>
        <v>4747355.3385515725</v>
      </c>
      <c r="T793" s="32">
        <f>1/(1+Calculation_Assumptions!$B$8)^(B793-Calculation_Assumptions!$B$2)</f>
        <v>0.72242127659876232</v>
      </c>
      <c r="U793" s="21">
        <f t="shared" si="100"/>
        <v>0</v>
      </c>
      <c r="V793" s="21">
        <f t="shared" si="101"/>
        <v>3429590.5041443766</v>
      </c>
      <c r="W793" s="21">
        <f t="shared" si="102"/>
        <v>3429590.5041443766</v>
      </c>
      <c r="X793">
        <v>0</v>
      </c>
      <c r="Y793" s="18">
        <v>2017</v>
      </c>
      <c r="Z793" t="s">
        <v>387</v>
      </c>
      <c r="AA793" s="21">
        <f t="shared" si="103"/>
        <v>1</v>
      </c>
    </row>
    <row r="794" spans="1:27">
      <c r="A794" t="s">
        <v>76</v>
      </c>
      <c r="B794" s="18">
        <v>2037</v>
      </c>
      <c r="C794" t="s">
        <v>272</v>
      </c>
      <c r="D794" s="20" t="s">
        <v>411</v>
      </c>
      <c r="E794" s="20" t="s">
        <v>412</v>
      </c>
      <c r="F794" s="20" t="s">
        <v>275</v>
      </c>
      <c r="G794" s="20" t="s">
        <v>393</v>
      </c>
      <c r="H794" s="20" t="s">
        <v>384</v>
      </c>
      <c r="I794" s="29">
        <v>1</v>
      </c>
      <c r="J794" s="30">
        <v>1</v>
      </c>
      <c r="K794" s="31">
        <v>7.7000000000000002E-3</v>
      </c>
      <c r="L794" s="9">
        <v>619898345.122545</v>
      </c>
      <c r="M794" s="9">
        <v>619529380.90729904</v>
      </c>
      <c r="N794" s="32">
        <f>MIN(MAX((B794-Calculation_Assumptions!$B$5+1)/Calculation_Assumptions!$B$7,0),1)</f>
        <v>1</v>
      </c>
      <c r="O794" s="21">
        <f t="shared" si="96"/>
        <v>619898345.122545</v>
      </c>
      <c r="P794" s="21">
        <f t="shared" si="97"/>
        <v>619529380.90729904</v>
      </c>
      <c r="Q794" s="21">
        <f>P794*Calculation_Assumptions!$B$14*J794*K794</f>
        <v>0</v>
      </c>
      <c r="R794" s="21">
        <f t="shared" si="98"/>
        <v>4773217.2574435966</v>
      </c>
      <c r="S794" s="21">
        <f t="shared" si="99"/>
        <v>4773217.2574435966</v>
      </c>
      <c r="T794" s="32">
        <f>1/(1+Calculation_Assumptions!$B$8)^(B794-Calculation_Assumptions!$B$2)</f>
        <v>0.70137988019297326</v>
      </c>
      <c r="U794" s="21">
        <f t="shared" si="100"/>
        <v>0</v>
      </c>
      <c r="V794" s="21">
        <f t="shared" si="101"/>
        <v>3347838.5481608221</v>
      </c>
      <c r="W794" s="21">
        <f t="shared" si="102"/>
        <v>3347838.5481608221</v>
      </c>
      <c r="X794">
        <v>0</v>
      </c>
      <c r="Y794" s="18">
        <v>2017</v>
      </c>
      <c r="Z794" t="s">
        <v>387</v>
      </c>
      <c r="AA794" s="21">
        <f t="shared" si="103"/>
        <v>1</v>
      </c>
    </row>
    <row r="795" spans="1:27">
      <c r="A795" t="s">
        <v>76</v>
      </c>
      <c r="B795" s="18">
        <v>2038</v>
      </c>
      <c r="C795" t="s">
        <v>272</v>
      </c>
      <c r="D795" s="20" t="s">
        <v>411</v>
      </c>
      <c r="E795" s="20" t="s">
        <v>412</v>
      </c>
      <c r="F795" s="20" t="s">
        <v>275</v>
      </c>
      <c r="G795" s="20" t="s">
        <v>393</v>
      </c>
      <c r="H795" s="20" t="s">
        <v>384</v>
      </c>
      <c r="I795" s="29">
        <v>1</v>
      </c>
      <c r="J795" s="30">
        <v>1</v>
      </c>
      <c r="K795" s="31">
        <v>7.7000000000000002E-3</v>
      </c>
      <c r="L795" s="9">
        <v>623157085.01735401</v>
      </c>
      <c r="M795" s="9">
        <v>622673191.62836504</v>
      </c>
      <c r="N795" s="32">
        <f>MIN(MAX((B795-Calculation_Assumptions!$B$5+1)/Calculation_Assumptions!$B$7,0),1)</f>
        <v>1</v>
      </c>
      <c r="O795" s="21">
        <f t="shared" si="96"/>
        <v>623157085.01735401</v>
      </c>
      <c r="P795" s="21">
        <f t="shared" si="97"/>
        <v>622673191.62836504</v>
      </c>
      <c r="Q795" s="21">
        <f>P795*Calculation_Assumptions!$B$14*J795*K795</f>
        <v>0</v>
      </c>
      <c r="R795" s="21">
        <f t="shared" si="98"/>
        <v>4798309.5546336258</v>
      </c>
      <c r="S795" s="21">
        <f t="shared" si="99"/>
        <v>4798309.5546336258</v>
      </c>
      <c r="T795" s="32">
        <f>1/(1+Calculation_Assumptions!$B$8)^(B795-Calculation_Assumptions!$B$2)</f>
        <v>0.68095133999317792</v>
      </c>
      <c r="U795" s="21">
        <f t="shared" si="100"/>
        <v>0</v>
      </c>
      <c r="V795" s="21">
        <f t="shared" si="101"/>
        <v>3267415.320929836</v>
      </c>
      <c r="W795" s="21">
        <f t="shared" si="102"/>
        <v>3267415.320929836</v>
      </c>
      <c r="X795">
        <v>0</v>
      </c>
      <c r="Y795" s="18">
        <v>2017</v>
      </c>
      <c r="Z795" t="s">
        <v>387</v>
      </c>
      <c r="AA795" s="21">
        <f t="shared" si="103"/>
        <v>1</v>
      </c>
    </row>
    <row r="796" spans="1:27">
      <c r="A796" t="s">
        <v>76</v>
      </c>
      <c r="B796" s="18">
        <v>2039</v>
      </c>
      <c r="C796" t="s">
        <v>272</v>
      </c>
      <c r="D796" s="20" t="s">
        <v>411</v>
      </c>
      <c r="E796" s="20" t="s">
        <v>412</v>
      </c>
      <c r="F796" s="20" t="s">
        <v>275</v>
      </c>
      <c r="G796" s="20" t="s">
        <v>393</v>
      </c>
      <c r="H796" s="20" t="s">
        <v>384</v>
      </c>
      <c r="I796" s="29">
        <v>1</v>
      </c>
      <c r="J796" s="30">
        <v>1</v>
      </c>
      <c r="K796" s="31">
        <v>7.7000000000000002E-3</v>
      </c>
      <c r="L796" s="9">
        <v>626312438.007918</v>
      </c>
      <c r="M796" s="9">
        <v>625731758.218045</v>
      </c>
      <c r="N796" s="32">
        <f>MIN(MAX((B796-Calculation_Assumptions!$B$5+1)/Calculation_Assumptions!$B$7,0),1)</f>
        <v>1</v>
      </c>
      <c r="O796" s="21">
        <f t="shared" si="96"/>
        <v>626312438.007918</v>
      </c>
      <c r="P796" s="21">
        <f t="shared" si="97"/>
        <v>625731758.218045</v>
      </c>
      <c r="Q796" s="21">
        <f>P796*Calculation_Assumptions!$B$14*J796*K796</f>
        <v>0</v>
      </c>
      <c r="R796" s="21">
        <f t="shared" si="98"/>
        <v>4822605.7726609688</v>
      </c>
      <c r="S796" s="21">
        <f t="shared" si="99"/>
        <v>4822605.7726609688</v>
      </c>
      <c r="T796" s="32">
        <f>1/(1+Calculation_Assumptions!$B$8)^(B796-Calculation_Assumptions!$B$2)</f>
        <v>0.66111780581861923</v>
      </c>
      <c r="U796" s="21">
        <f t="shared" si="100"/>
        <v>0</v>
      </c>
      <c r="V796" s="21">
        <f t="shared" si="101"/>
        <v>3188310.5467498265</v>
      </c>
      <c r="W796" s="21">
        <f t="shared" si="102"/>
        <v>3188310.5467498265</v>
      </c>
      <c r="X796">
        <v>0</v>
      </c>
      <c r="Y796" s="18">
        <v>2017</v>
      </c>
      <c r="Z796" t="s">
        <v>387</v>
      </c>
      <c r="AA796" s="21">
        <f t="shared" si="103"/>
        <v>1</v>
      </c>
    </row>
    <row r="797" spans="1:27">
      <c r="A797" t="s">
        <v>76</v>
      </c>
      <c r="B797" s="18">
        <v>2040</v>
      </c>
      <c r="C797" t="s">
        <v>272</v>
      </c>
      <c r="D797" s="20" t="s">
        <v>411</v>
      </c>
      <c r="E797" s="20" t="s">
        <v>412</v>
      </c>
      <c r="F797" s="20" t="s">
        <v>275</v>
      </c>
      <c r="G797" s="20" t="s">
        <v>393</v>
      </c>
      <c r="H797" s="20" t="s">
        <v>384</v>
      </c>
      <c r="I797" s="29">
        <v>1</v>
      </c>
      <c r="J797" s="30">
        <v>1</v>
      </c>
      <c r="K797" s="31">
        <v>7.7000000000000002E-3</v>
      </c>
      <c r="L797" s="9">
        <v>629347032.33731306</v>
      </c>
      <c r="M797" s="9">
        <v>628667498.21665299</v>
      </c>
      <c r="N797" s="32">
        <f>MIN(MAX((B797-Calculation_Assumptions!$B$5+1)/Calculation_Assumptions!$B$7,0),1)</f>
        <v>1</v>
      </c>
      <c r="O797" s="21">
        <f t="shared" si="96"/>
        <v>629347032.33731306</v>
      </c>
      <c r="P797" s="21">
        <f t="shared" si="97"/>
        <v>628667498.21665299</v>
      </c>
      <c r="Q797" s="21">
        <f>P797*Calculation_Assumptions!$B$14*J797*K797</f>
        <v>0</v>
      </c>
      <c r="R797" s="21">
        <f t="shared" si="98"/>
        <v>4845972.1489973105</v>
      </c>
      <c r="S797" s="21">
        <f t="shared" si="99"/>
        <v>4845972.1489973105</v>
      </c>
      <c r="T797" s="32">
        <f>1/(1+Calculation_Assumptions!$B$8)^(B797-Calculation_Assumptions!$B$2)</f>
        <v>0.64186194739671765</v>
      </c>
      <c r="U797" s="21">
        <f t="shared" si="100"/>
        <v>0</v>
      </c>
      <c r="V797" s="21">
        <f t="shared" si="101"/>
        <v>3110445.1205856707</v>
      </c>
      <c r="W797" s="21">
        <f t="shared" si="102"/>
        <v>3110445.1205856707</v>
      </c>
      <c r="X797">
        <v>0</v>
      </c>
      <c r="Y797" s="18">
        <v>2017</v>
      </c>
      <c r="Z797" t="s">
        <v>387</v>
      </c>
      <c r="AA797" s="21">
        <f t="shared" si="103"/>
        <v>1</v>
      </c>
    </row>
    <row r="798" spans="1:27">
      <c r="A798" t="s">
        <v>76</v>
      </c>
      <c r="B798" s="18">
        <v>2041</v>
      </c>
      <c r="C798" t="s">
        <v>272</v>
      </c>
      <c r="D798" s="20" t="s">
        <v>411</v>
      </c>
      <c r="E798" s="20" t="s">
        <v>412</v>
      </c>
      <c r="F798" s="20" t="s">
        <v>275</v>
      </c>
      <c r="G798" s="20" t="s">
        <v>393</v>
      </c>
      <c r="H798" s="20" t="s">
        <v>384</v>
      </c>
      <c r="I798" s="29">
        <v>1</v>
      </c>
      <c r="J798" s="30">
        <v>1</v>
      </c>
      <c r="K798" s="31">
        <v>7.7000000000000002E-3</v>
      </c>
      <c r="L798" s="9">
        <v>632268493.39175498</v>
      </c>
      <c r="M798" s="9">
        <v>631488405.68781996</v>
      </c>
      <c r="N798" s="32">
        <f>MIN(MAX((B798-Calculation_Assumptions!$B$5+1)/Calculation_Assumptions!$B$7,0),1)</f>
        <v>1</v>
      </c>
      <c r="O798" s="21">
        <f t="shared" si="96"/>
        <v>632268493.39175498</v>
      </c>
      <c r="P798" s="21">
        <f t="shared" si="97"/>
        <v>631488405.68781996</v>
      </c>
      <c r="Q798" s="21">
        <f>P798*Calculation_Assumptions!$B$14*J798*K798</f>
        <v>0</v>
      </c>
      <c r="R798" s="21">
        <f t="shared" si="98"/>
        <v>4868467.3991165133</v>
      </c>
      <c r="S798" s="21">
        <f t="shared" si="99"/>
        <v>4868467.3991165133</v>
      </c>
      <c r="T798" s="32">
        <f>1/(1+Calculation_Assumptions!$B$8)^(B798-Calculation_Assumptions!$B$2)</f>
        <v>0.62316693922011435</v>
      </c>
      <c r="U798" s="21">
        <f t="shared" si="100"/>
        <v>0</v>
      </c>
      <c r="V798" s="21">
        <f t="shared" si="101"/>
        <v>3033867.9278003485</v>
      </c>
      <c r="W798" s="21">
        <f t="shared" si="102"/>
        <v>3033867.9278003485</v>
      </c>
      <c r="X798">
        <v>0</v>
      </c>
      <c r="Y798" s="18">
        <v>2017</v>
      </c>
      <c r="Z798" t="s">
        <v>387</v>
      </c>
      <c r="AA798" s="21">
        <f t="shared" si="103"/>
        <v>1</v>
      </c>
    </row>
    <row r="799" spans="1:27">
      <c r="A799" t="s">
        <v>76</v>
      </c>
      <c r="B799" s="18">
        <v>2042</v>
      </c>
      <c r="C799" t="s">
        <v>272</v>
      </c>
      <c r="D799" s="20" t="s">
        <v>411</v>
      </c>
      <c r="E799" s="20" t="s">
        <v>412</v>
      </c>
      <c r="F799" s="20" t="s">
        <v>275</v>
      </c>
      <c r="G799" s="20" t="s">
        <v>393</v>
      </c>
      <c r="H799" s="20" t="s">
        <v>384</v>
      </c>
      <c r="I799" s="29">
        <v>1</v>
      </c>
      <c r="J799" s="30">
        <v>1</v>
      </c>
      <c r="K799" s="31">
        <v>7.7000000000000002E-3</v>
      </c>
      <c r="L799" s="9">
        <v>635066634.14519799</v>
      </c>
      <c r="M799" s="9">
        <v>634184560.98858297</v>
      </c>
      <c r="N799" s="32">
        <f>MIN(MAX((B799-Calculation_Assumptions!$B$5+1)/Calculation_Assumptions!$B$7,0),1)</f>
        <v>1</v>
      </c>
      <c r="O799" s="21">
        <f t="shared" si="96"/>
        <v>635066634.14519799</v>
      </c>
      <c r="P799" s="21">
        <f t="shared" si="97"/>
        <v>634184560.98858297</v>
      </c>
      <c r="Q799" s="21">
        <f>P799*Calculation_Assumptions!$B$14*J799*K799</f>
        <v>0</v>
      </c>
      <c r="R799" s="21">
        <f t="shared" si="98"/>
        <v>4890013.0829180246</v>
      </c>
      <c r="S799" s="21">
        <f t="shared" si="99"/>
        <v>4890013.0829180246</v>
      </c>
      <c r="T799" s="32">
        <f>1/(1+Calculation_Assumptions!$B$8)^(B799-Calculation_Assumptions!$B$2)</f>
        <v>0.60501644584477121</v>
      </c>
      <c r="U799" s="21">
        <f t="shared" si="100"/>
        <v>0</v>
      </c>
      <c r="V799" s="21">
        <f t="shared" si="101"/>
        <v>2958538.3355614957</v>
      </c>
      <c r="W799" s="21">
        <f t="shared" si="102"/>
        <v>2958538.3355614957</v>
      </c>
      <c r="X799">
        <v>0</v>
      </c>
      <c r="Y799" s="18">
        <v>2017</v>
      </c>
      <c r="Z799" t="s">
        <v>387</v>
      </c>
      <c r="AA799" s="21">
        <f t="shared" si="103"/>
        <v>1</v>
      </c>
    </row>
    <row r="800" spans="1:27">
      <c r="A800" t="s">
        <v>76</v>
      </c>
      <c r="B800" s="18">
        <v>2043</v>
      </c>
      <c r="C800" t="s">
        <v>272</v>
      </c>
      <c r="D800" s="20" t="s">
        <v>411</v>
      </c>
      <c r="E800" s="20" t="s">
        <v>412</v>
      </c>
      <c r="F800" s="20" t="s">
        <v>275</v>
      </c>
      <c r="G800" s="20" t="s">
        <v>393</v>
      </c>
      <c r="H800" s="20" t="s">
        <v>384</v>
      </c>
      <c r="I800" s="29">
        <v>1</v>
      </c>
      <c r="J800" s="30">
        <v>1</v>
      </c>
      <c r="K800" s="31">
        <v>7.7000000000000002E-3</v>
      </c>
      <c r="L800" s="9">
        <v>637740511.15042996</v>
      </c>
      <c r="M800" s="9">
        <v>636767020.67603099</v>
      </c>
      <c r="N800" s="32">
        <f>MIN(MAX((B800-Calculation_Assumptions!$B$5+1)/Calculation_Assumptions!$B$7,0),1)</f>
        <v>1</v>
      </c>
      <c r="O800" s="21">
        <f t="shared" si="96"/>
        <v>637740511.15042996</v>
      </c>
      <c r="P800" s="21">
        <f t="shared" si="97"/>
        <v>636767020.67603099</v>
      </c>
      <c r="Q800" s="21">
        <f>P800*Calculation_Assumptions!$B$14*J800*K800</f>
        <v>0</v>
      </c>
      <c r="R800" s="21">
        <f t="shared" si="98"/>
        <v>4910601.9358583111</v>
      </c>
      <c r="S800" s="21">
        <f t="shared" si="99"/>
        <v>4910601.9358583111</v>
      </c>
      <c r="T800" s="32">
        <f>1/(1+Calculation_Assumptions!$B$8)^(B800-Calculation_Assumptions!$B$2)</f>
        <v>0.5873946076162827</v>
      </c>
      <c r="U800" s="21">
        <f t="shared" si="100"/>
        <v>0</v>
      </c>
      <c r="V800" s="21">
        <f t="shared" si="101"/>
        <v>2884461.097273251</v>
      </c>
      <c r="W800" s="21">
        <f t="shared" si="102"/>
        <v>2884461.097273251</v>
      </c>
      <c r="X800">
        <v>0</v>
      </c>
      <c r="Y800" s="18">
        <v>2017</v>
      </c>
      <c r="Z800" t="s">
        <v>387</v>
      </c>
      <c r="AA800" s="21">
        <f t="shared" si="103"/>
        <v>1</v>
      </c>
    </row>
    <row r="801" spans="1:27">
      <c r="A801" t="s">
        <v>76</v>
      </c>
      <c r="B801" s="18">
        <v>2044</v>
      </c>
      <c r="C801" t="s">
        <v>272</v>
      </c>
      <c r="D801" s="20" t="s">
        <v>411</v>
      </c>
      <c r="E801" s="20" t="s">
        <v>412</v>
      </c>
      <c r="F801" s="20" t="s">
        <v>275</v>
      </c>
      <c r="G801" s="20" t="s">
        <v>393</v>
      </c>
      <c r="H801" s="20" t="s">
        <v>384</v>
      </c>
      <c r="I801" s="29">
        <v>1</v>
      </c>
      <c r="J801" s="30">
        <v>1</v>
      </c>
      <c r="K801" s="31">
        <v>7.7000000000000002E-3</v>
      </c>
      <c r="L801" s="9">
        <v>640285329.92099202</v>
      </c>
      <c r="M801" s="9">
        <v>639211548.58069301</v>
      </c>
      <c r="N801" s="32">
        <f>MIN(MAX((B801-Calculation_Assumptions!$B$5+1)/Calculation_Assumptions!$B$7,0),1)</f>
        <v>1</v>
      </c>
      <c r="O801" s="21">
        <f t="shared" si="96"/>
        <v>640285329.92099202</v>
      </c>
      <c r="P801" s="21">
        <f t="shared" si="97"/>
        <v>639211548.58069301</v>
      </c>
      <c r="Q801" s="21">
        <f>P801*Calculation_Assumptions!$B$14*J801*K801</f>
        <v>0</v>
      </c>
      <c r="R801" s="21">
        <f t="shared" si="98"/>
        <v>4930197.0403916389</v>
      </c>
      <c r="S801" s="21">
        <f t="shared" si="99"/>
        <v>4930197.0403916389</v>
      </c>
      <c r="T801" s="32">
        <f>1/(1+Calculation_Assumptions!$B$8)^(B801-Calculation_Assumptions!$B$2)</f>
        <v>0.57028602681192497</v>
      </c>
      <c r="U801" s="21">
        <f t="shared" si="100"/>
        <v>0</v>
      </c>
      <c r="V801" s="21">
        <f t="shared" si="101"/>
        <v>2811622.4815648594</v>
      </c>
      <c r="W801" s="21">
        <f t="shared" si="102"/>
        <v>2811622.4815648594</v>
      </c>
      <c r="X801">
        <v>0</v>
      </c>
      <c r="Y801" s="18">
        <v>2017</v>
      </c>
      <c r="Z801" t="s">
        <v>387</v>
      </c>
      <c r="AA801" s="21">
        <f t="shared" si="103"/>
        <v>1</v>
      </c>
    </row>
    <row r="802" spans="1:27">
      <c r="A802" t="s">
        <v>76</v>
      </c>
      <c r="B802" s="18">
        <v>2045</v>
      </c>
      <c r="C802" t="s">
        <v>272</v>
      </c>
      <c r="D802" s="20" t="s">
        <v>411</v>
      </c>
      <c r="E802" s="20" t="s">
        <v>412</v>
      </c>
      <c r="F802" s="20" t="s">
        <v>275</v>
      </c>
      <c r="G802" s="20" t="s">
        <v>393</v>
      </c>
      <c r="H802" s="20" t="s">
        <v>384</v>
      </c>
      <c r="I802" s="29">
        <v>1</v>
      </c>
      <c r="J802" s="30">
        <v>1</v>
      </c>
      <c r="K802" s="31">
        <v>7.7000000000000002E-3</v>
      </c>
      <c r="L802" s="9">
        <v>642695843.59439898</v>
      </c>
      <c r="M802" s="9">
        <v>641520754.67294204</v>
      </c>
      <c r="N802" s="32">
        <f>MIN(MAX((B802-Calculation_Assumptions!$B$5+1)/Calculation_Assumptions!$B$7,0),1)</f>
        <v>1</v>
      </c>
      <c r="O802" s="21">
        <f t="shared" si="96"/>
        <v>642695843.59439898</v>
      </c>
      <c r="P802" s="21">
        <f t="shared" si="97"/>
        <v>641520754.67294204</v>
      </c>
      <c r="Q802" s="21">
        <f>P802*Calculation_Assumptions!$B$14*J802*K802</f>
        <v>0</v>
      </c>
      <c r="R802" s="21">
        <f t="shared" si="98"/>
        <v>4948757.9956768723</v>
      </c>
      <c r="S802" s="21">
        <f t="shared" si="99"/>
        <v>4948757.9956768723</v>
      </c>
      <c r="T802" s="32">
        <f>1/(1+Calculation_Assumptions!$B$8)^(B802-Calculation_Assumptions!$B$2)</f>
        <v>0.55367575418633497</v>
      </c>
      <c r="U802" s="21">
        <f t="shared" si="100"/>
        <v>0</v>
      </c>
      <c r="V802" s="21">
        <f t="shared" si="101"/>
        <v>2740007.3155420478</v>
      </c>
      <c r="W802" s="21">
        <f t="shared" si="102"/>
        <v>2740007.3155420478</v>
      </c>
      <c r="X802">
        <v>0</v>
      </c>
      <c r="Y802" s="18">
        <v>2017</v>
      </c>
      <c r="Z802" t="s">
        <v>387</v>
      </c>
      <c r="AA802" s="21">
        <f t="shared" si="103"/>
        <v>1</v>
      </c>
    </row>
    <row r="803" spans="1:27">
      <c r="A803" t="s">
        <v>76</v>
      </c>
      <c r="B803" s="18">
        <v>2046</v>
      </c>
      <c r="C803" t="s">
        <v>272</v>
      </c>
      <c r="D803" s="20" t="s">
        <v>411</v>
      </c>
      <c r="E803" s="20" t="s">
        <v>412</v>
      </c>
      <c r="F803" s="20" t="s">
        <v>275</v>
      </c>
      <c r="G803" s="20" t="s">
        <v>393</v>
      </c>
      <c r="H803" s="20" t="s">
        <v>384</v>
      </c>
      <c r="I803" s="29">
        <v>1</v>
      </c>
      <c r="J803" s="30">
        <v>1</v>
      </c>
      <c r="K803" s="31">
        <v>7.7000000000000002E-3</v>
      </c>
      <c r="L803" s="9">
        <v>644974193.08303404</v>
      </c>
      <c r="M803" s="9">
        <v>643697330.762573</v>
      </c>
      <c r="N803" s="32">
        <f>MIN(MAX((B803-Calculation_Assumptions!$B$5+1)/Calculation_Assumptions!$B$7,0),1)</f>
        <v>1</v>
      </c>
      <c r="O803" s="21">
        <f t="shared" si="96"/>
        <v>644974193.08303404</v>
      </c>
      <c r="P803" s="21">
        <f t="shared" si="97"/>
        <v>643697330.762573</v>
      </c>
      <c r="Q803" s="21">
        <f>P803*Calculation_Assumptions!$B$14*J803*K803</f>
        <v>0</v>
      </c>
      <c r="R803" s="21">
        <f t="shared" si="98"/>
        <v>4966301.2867393624</v>
      </c>
      <c r="S803" s="21">
        <f t="shared" si="99"/>
        <v>4966301.2867393624</v>
      </c>
      <c r="T803" s="32">
        <f>1/(1+Calculation_Assumptions!$B$8)^(B803-Calculation_Assumptions!$B$2)</f>
        <v>0.5375492759090631</v>
      </c>
      <c r="U803" s="21">
        <f t="shared" si="100"/>
        <v>0</v>
      </c>
      <c r="V803" s="21">
        <f t="shared" si="101"/>
        <v>2669631.6606329926</v>
      </c>
      <c r="W803" s="21">
        <f t="shared" si="102"/>
        <v>2669631.6606329926</v>
      </c>
      <c r="X803">
        <v>0</v>
      </c>
      <c r="Y803" s="18">
        <v>2017</v>
      </c>
      <c r="Z803" t="s">
        <v>387</v>
      </c>
      <c r="AA803" s="21">
        <f t="shared" si="103"/>
        <v>1</v>
      </c>
    </row>
    <row r="804" spans="1:27">
      <c r="A804" t="s">
        <v>76</v>
      </c>
      <c r="B804" s="18">
        <v>2047</v>
      </c>
      <c r="C804" t="s">
        <v>272</v>
      </c>
      <c r="D804" s="20" t="s">
        <v>411</v>
      </c>
      <c r="E804" s="20" t="s">
        <v>412</v>
      </c>
      <c r="F804" s="20" t="s">
        <v>275</v>
      </c>
      <c r="G804" s="20" t="s">
        <v>393</v>
      </c>
      <c r="H804" s="20" t="s">
        <v>384</v>
      </c>
      <c r="I804" s="29">
        <v>1</v>
      </c>
      <c r="J804" s="30">
        <v>1</v>
      </c>
      <c r="K804" s="31">
        <v>7.7000000000000002E-3</v>
      </c>
      <c r="L804" s="9">
        <v>647124942.32164299</v>
      </c>
      <c r="M804" s="9">
        <v>645745914.53009498</v>
      </c>
      <c r="N804" s="32">
        <f>MIN(MAX((B804-Calculation_Assumptions!$B$5+1)/Calculation_Assumptions!$B$7,0),1)</f>
        <v>1</v>
      </c>
      <c r="O804" s="21">
        <f t="shared" si="96"/>
        <v>647124942.32164299</v>
      </c>
      <c r="P804" s="21">
        <f t="shared" si="97"/>
        <v>645745914.53009498</v>
      </c>
      <c r="Q804" s="21">
        <f>P804*Calculation_Assumptions!$B$14*J804*K804</f>
        <v>0</v>
      </c>
      <c r="R804" s="21">
        <f t="shared" si="98"/>
        <v>4982862.0558766508</v>
      </c>
      <c r="S804" s="21">
        <f t="shared" si="99"/>
        <v>4982862.0558766508</v>
      </c>
      <c r="T804" s="32">
        <f>1/(1+Calculation_Assumptions!$B$8)^(B804-Calculation_Assumptions!$B$2)</f>
        <v>0.52189250088258554</v>
      </c>
      <c r="U804" s="21">
        <f t="shared" si="100"/>
        <v>0</v>
      </c>
      <c r="V804" s="21">
        <f t="shared" si="101"/>
        <v>2600518.339894407</v>
      </c>
      <c r="W804" s="21">
        <f t="shared" si="102"/>
        <v>2600518.339894407</v>
      </c>
      <c r="X804">
        <v>0</v>
      </c>
      <c r="Y804" s="18">
        <v>2017</v>
      </c>
      <c r="Z804" t="s">
        <v>387</v>
      </c>
      <c r="AA804" s="21">
        <f t="shared" si="103"/>
        <v>1</v>
      </c>
    </row>
    <row r="805" spans="1:27">
      <c r="A805" t="s">
        <v>76</v>
      </c>
      <c r="B805" s="18">
        <v>2048</v>
      </c>
      <c r="C805" t="s">
        <v>272</v>
      </c>
      <c r="D805" s="20" t="s">
        <v>411</v>
      </c>
      <c r="E805" s="20" t="s">
        <v>412</v>
      </c>
      <c r="F805" s="20" t="s">
        <v>275</v>
      </c>
      <c r="G805" s="20" t="s">
        <v>393</v>
      </c>
      <c r="H805" s="20" t="s">
        <v>384</v>
      </c>
      <c r="I805" s="29">
        <v>1</v>
      </c>
      <c r="J805" s="30">
        <v>1</v>
      </c>
      <c r="K805" s="31">
        <v>7.7000000000000002E-3</v>
      </c>
      <c r="L805" s="9">
        <v>649147853.41567302</v>
      </c>
      <c r="M805" s="9">
        <v>647666796.64810395</v>
      </c>
      <c r="N805" s="32">
        <f>MIN(MAX((B805-Calculation_Assumptions!$B$5+1)/Calculation_Assumptions!$B$7,0),1)</f>
        <v>1</v>
      </c>
      <c r="O805" s="21">
        <f t="shared" si="96"/>
        <v>649147853.41567302</v>
      </c>
      <c r="P805" s="21">
        <f t="shared" si="97"/>
        <v>647666796.64810395</v>
      </c>
      <c r="Q805" s="21">
        <f>P805*Calculation_Assumptions!$B$14*J805*K805</f>
        <v>0</v>
      </c>
      <c r="R805" s="21">
        <f t="shared" si="98"/>
        <v>4998438.4713006821</v>
      </c>
      <c r="S805" s="21">
        <f t="shared" si="99"/>
        <v>4998438.4713006821</v>
      </c>
      <c r="T805" s="32">
        <f>1/(1+Calculation_Assumptions!$B$8)^(B805-Calculation_Assumptions!$B$2)</f>
        <v>0.50669174842969467</v>
      </c>
      <c r="U805" s="21">
        <f t="shared" si="100"/>
        <v>0</v>
      </c>
      <c r="V805" s="21">
        <f t="shared" si="101"/>
        <v>2532667.5284415926</v>
      </c>
      <c r="W805" s="21">
        <f t="shared" si="102"/>
        <v>2532667.5284415926</v>
      </c>
      <c r="X805">
        <v>0</v>
      </c>
      <c r="Y805" s="18">
        <v>2017</v>
      </c>
      <c r="Z805" t="s">
        <v>387</v>
      </c>
      <c r="AA805" s="21">
        <f t="shared" si="103"/>
        <v>1</v>
      </c>
    </row>
    <row r="806" spans="1:27">
      <c r="A806" t="s">
        <v>76</v>
      </c>
      <c r="B806" s="18">
        <v>2049</v>
      </c>
      <c r="C806" t="s">
        <v>272</v>
      </c>
      <c r="D806" s="20" t="s">
        <v>411</v>
      </c>
      <c r="E806" s="20" t="s">
        <v>412</v>
      </c>
      <c r="F806" s="20" t="s">
        <v>275</v>
      </c>
      <c r="G806" s="20" t="s">
        <v>393</v>
      </c>
      <c r="H806" s="20" t="s">
        <v>384</v>
      </c>
      <c r="I806" s="29">
        <v>1</v>
      </c>
      <c r="J806" s="30">
        <v>1</v>
      </c>
      <c r="K806" s="31">
        <v>7.7000000000000002E-3</v>
      </c>
      <c r="L806" s="9">
        <v>651040967.5934</v>
      </c>
      <c r="M806" s="9">
        <v>649421968.02473402</v>
      </c>
      <c r="N806" s="32">
        <f>MIN(MAX((B806-Calculation_Assumptions!$B$5+1)/Calculation_Assumptions!$B$7,0),1)</f>
        <v>1</v>
      </c>
      <c r="O806" s="21">
        <f t="shared" si="96"/>
        <v>651040967.5934</v>
      </c>
      <c r="P806" s="21">
        <f t="shared" si="97"/>
        <v>649421968.02473402</v>
      </c>
      <c r="Q806" s="21">
        <f>P806*Calculation_Assumptions!$B$14*J806*K806</f>
        <v>0</v>
      </c>
      <c r="R806" s="21">
        <f t="shared" si="98"/>
        <v>5013015.45046918</v>
      </c>
      <c r="S806" s="21">
        <f t="shared" si="99"/>
        <v>5013015.45046918</v>
      </c>
      <c r="T806" s="32">
        <f>1/(1+Calculation_Assumptions!$B$8)^(B806-Calculation_Assumptions!$B$2)</f>
        <v>0.49193373633950943</v>
      </c>
      <c r="U806" s="21">
        <f t="shared" si="100"/>
        <v>0</v>
      </c>
      <c r="V806" s="21">
        <f t="shared" si="101"/>
        <v>2466071.4208769929</v>
      </c>
      <c r="W806" s="21">
        <f t="shared" si="102"/>
        <v>2466071.4208769929</v>
      </c>
      <c r="X806">
        <v>0</v>
      </c>
      <c r="Y806" s="18">
        <v>2017</v>
      </c>
      <c r="Z806" t="s">
        <v>387</v>
      </c>
      <c r="AA806" s="21">
        <f t="shared" si="103"/>
        <v>1</v>
      </c>
    </row>
    <row r="807" spans="1:27">
      <c r="A807" t="s">
        <v>76</v>
      </c>
      <c r="B807" s="18">
        <v>2050</v>
      </c>
      <c r="C807" t="s">
        <v>272</v>
      </c>
      <c r="D807" s="20" t="s">
        <v>411</v>
      </c>
      <c r="E807" s="20" t="s">
        <v>412</v>
      </c>
      <c r="F807" s="20" t="s">
        <v>275</v>
      </c>
      <c r="G807" s="20" t="s">
        <v>393</v>
      </c>
      <c r="H807" s="20" t="s">
        <v>384</v>
      </c>
      <c r="I807" s="29">
        <v>1</v>
      </c>
      <c r="J807" s="30">
        <v>1</v>
      </c>
      <c r="K807" s="31">
        <v>7.7000000000000002E-3</v>
      </c>
      <c r="L807" s="9">
        <v>652799148.10289598</v>
      </c>
      <c r="M807" s="9">
        <v>651074457.25957894</v>
      </c>
      <c r="N807" s="32">
        <f>MIN(MAX((B807-Calculation_Assumptions!$B$5+1)/Calculation_Assumptions!$B$7,0),1)</f>
        <v>1</v>
      </c>
      <c r="O807" s="21">
        <f t="shared" si="96"/>
        <v>652799148.10289598</v>
      </c>
      <c r="P807" s="21">
        <f t="shared" si="97"/>
        <v>651074457.25957894</v>
      </c>
      <c r="Q807" s="21">
        <f>P807*Calculation_Assumptions!$B$14*J807*K807</f>
        <v>0</v>
      </c>
      <c r="R807" s="21">
        <f t="shared" si="98"/>
        <v>5026553.4403922996</v>
      </c>
      <c r="S807" s="21">
        <f t="shared" si="99"/>
        <v>5026553.4403922996</v>
      </c>
      <c r="T807" s="32">
        <f>1/(1+Calculation_Assumptions!$B$8)^(B807-Calculation_Assumptions!$B$2)</f>
        <v>0.47760556926165965</v>
      </c>
      <c r="U807" s="21">
        <f t="shared" si="100"/>
        <v>0</v>
      </c>
      <c r="V807" s="21">
        <f t="shared" si="101"/>
        <v>2400709.9173227181</v>
      </c>
      <c r="W807" s="21">
        <f t="shared" si="102"/>
        <v>2400709.9173227181</v>
      </c>
      <c r="X807">
        <v>0</v>
      </c>
      <c r="Y807" s="18">
        <v>2017</v>
      </c>
      <c r="Z807" t="s">
        <v>387</v>
      </c>
      <c r="AA807" s="21">
        <f t="shared" si="103"/>
        <v>1</v>
      </c>
    </row>
  </sheetData>
  <autoFilter ref="A1:AA1" xr:uid="{00000000-0009-0000-0000-00000B000000}"/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391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2" width="11.69921875" customWidth="1"/>
    <col min="3" max="4" width="15.69921875" customWidth="1"/>
    <col min="5" max="5" width="18.69921875" customWidth="1"/>
    <col min="6" max="6" width="23.69921875" customWidth="1"/>
    <col min="7" max="7" width="29.69921875" customWidth="1"/>
    <col min="8" max="8" width="34.69921875" customWidth="1"/>
  </cols>
  <sheetData>
    <row r="1" spans="1:8" ht="28.05" customHeight="1">
      <c r="A1" s="1" t="s">
        <v>413</v>
      </c>
      <c r="B1" s="1" t="s">
        <v>28</v>
      </c>
      <c r="C1" s="1" t="s">
        <v>439</v>
      </c>
      <c r="D1" s="1" t="s">
        <v>440</v>
      </c>
      <c r="E1" s="1" t="s">
        <v>441</v>
      </c>
      <c r="F1" s="1" t="s">
        <v>442</v>
      </c>
      <c r="G1" s="1" t="s">
        <v>443</v>
      </c>
      <c r="H1" s="1" t="s">
        <v>444</v>
      </c>
    </row>
    <row r="2" spans="1:8">
      <c r="A2" t="s">
        <v>169</v>
      </c>
      <c r="B2" s="18">
        <v>2025</v>
      </c>
      <c r="C2" s="21">
        <f>SUMIFS(Annual_Cost!$Q$2:$Q$807,Annual_Cost!$A$2:$A$807,A2,Annual_Cost!$B$2:$B$807,B2)</f>
        <v>0</v>
      </c>
      <c r="D2" s="21">
        <f>SUMIFS(Annual_Cost!$R$2:$R$807,Annual_Cost!$A$2:$A$807,A2,Annual_Cost!$B$2:$B$807,B2)</f>
        <v>0</v>
      </c>
      <c r="E2" s="21">
        <f>SUMIFS(Annual_Cost!$S$2:$S$807,Annual_Cost!$A$2:$A$807,A2,Annual_Cost!$B$2:$B$807,B2)</f>
        <v>0</v>
      </c>
      <c r="F2" s="21">
        <f>SUMIFS(Annual_Cost!$W$2:$W$807,Annual_Cost!$A$2:$A$807,A2,Annual_Cost!$B$2:$B$807,B2)</f>
        <v>0</v>
      </c>
      <c r="G2" s="21">
        <f>SUMIFS($E$2:E2,$A$2:A2,A2)</f>
        <v>0</v>
      </c>
      <c r="H2" s="21">
        <f>SUMIFS($F$2:F2,$A$2:A2,A2)</f>
        <v>0</v>
      </c>
    </row>
    <row r="3" spans="1:8">
      <c r="A3" t="s">
        <v>169</v>
      </c>
      <c r="B3" s="18">
        <v>2026</v>
      </c>
      <c r="C3" s="21">
        <f>SUMIFS(Annual_Cost!$Q$2:$Q$807,Annual_Cost!$A$2:$A$807,A3,Annual_Cost!$B$2:$B$807,B3)</f>
        <v>0</v>
      </c>
      <c r="D3" s="21">
        <f>SUMIFS(Annual_Cost!$R$2:$R$807,Annual_Cost!$A$2:$A$807,A3,Annual_Cost!$B$2:$B$807,B3)</f>
        <v>1081301.4750034858</v>
      </c>
      <c r="E3" s="21">
        <f>SUMIFS(Annual_Cost!$S$2:$S$807,Annual_Cost!$A$2:$A$807,A3,Annual_Cost!$B$2:$B$807,B3)</f>
        <v>1081301.4750034858</v>
      </c>
      <c r="F3" s="21">
        <f>SUMIFS(Annual_Cost!$W$2:$W$807,Annual_Cost!$A$2:$A$807,A3,Annual_Cost!$B$2:$B$807,B3)</f>
        <v>1049807.2572849377</v>
      </c>
      <c r="G3" s="21">
        <f>SUMIFS($E$2:E3,$A$2:A3,A3)</f>
        <v>1081301.4750034858</v>
      </c>
      <c r="H3" s="21">
        <f>SUMIFS($F$2:F3,$A$2:A3,A3)</f>
        <v>1049807.2572849377</v>
      </c>
    </row>
    <row r="4" spans="1:8">
      <c r="A4" t="s">
        <v>169</v>
      </c>
      <c r="B4" s="18">
        <v>2027</v>
      </c>
      <c r="C4" s="21">
        <f>SUMIFS(Annual_Cost!$Q$2:$Q$807,Annual_Cost!$A$2:$A$807,A4,Annual_Cost!$B$2:$B$807,B4)</f>
        <v>0</v>
      </c>
      <c r="D4" s="21">
        <f>SUMIFS(Annual_Cost!$R$2:$R$807,Annual_Cost!$A$2:$A$807,A4,Annual_Cost!$B$2:$B$807,B4)</f>
        <v>2176678.9866694356</v>
      </c>
      <c r="E4" s="21">
        <f>SUMIFS(Annual_Cost!$S$2:$S$807,Annual_Cost!$A$2:$A$807,A4,Annual_Cost!$B$2:$B$807,B4)</f>
        <v>2176678.9866694356</v>
      </c>
      <c r="F4" s="21">
        <f>SUMIFS(Annual_Cost!$W$2:$W$807,Annual_Cost!$A$2:$A$807,A4,Annual_Cost!$B$2:$B$807,B4)</f>
        <v>2051728.7083320159</v>
      </c>
      <c r="G4" s="21">
        <f>SUMIFS($E$2:E4,$A$2:A4,A4)</f>
        <v>3257980.4616729217</v>
      </c>
      <c r="H4" s="21">
        <f>SUMIFS($F$2:F4,$A$2:A4,A4)</f>
        <v>3101535.9656169536</v>
      </c>
    </row>
    <row r="5" spans="1:8">
      <c r="A5" t="s">
        <v>169</v>
      </c>
      <c r="B5" s="18">
        <v>2028</v>
      </c>
      <c r="C5" s="21">
        <f>SUMIFS(Annual_Cost!$Q$2:$Q$807,Annual_Cost!$A$2:$A$807,A5,Annual_Cost!$B$2:$B$807,B5)</f>
        <v>0</v>
      </c>
      <c r="D5" s="21">
        <f>SUMIFS(Annual_Cost!$R$2:$R$807,Annual_Cost!$A$2:$A$807,A5,Annual_Cost!$B$2:$B$807,B5)</f>
        <v>3287396.7730651936</v>
      </c>
      <c r="E5" s="21">
        <f>SUMIFS(Annual_Cost!$S$2:$S$807,Annual_Cost!$A$2:$A$807,A5,Annual_Cost!$B$2:$B$807,B5)</f>
        <v>3287396.7730651936</v>
      </c>
      <c r="F5" s="21">
        <f>SUMIFS(Annual_Cost!$W$2:$W$807,Annual_Cost!$A$2:$A$807,A5,Annual_Cost!$B$2:$B$807,B5)</f>
        <v>3008433.7378551033</v>
      </c>
      <c r="G5" s="21">
        <f>SUMIFS($E$2:E5,$A$2:A5,A5)</f>
        <v>6545377.2347381152</v>
      </c>
      <c r="H5" s="21">
        <f>SUMIFS($F$2:F5,$A$2:A5,A5)</f>
        <v>6109969.7034720574</v>
      </c>
    </row>
    <row r="6" spans="1:8">
      <c r="A6" t="s">
        <v>169</v>
      </c>
      <c r="B6" s="18">
        <v>2029</v>
      </c>
      <c r="C6" s="21">
        <f>SUMIFS(Annual_Cost!$Q$2:$Q$807,Annual_Cost!$A$2:$A$807,A6,Annual_Cost!$B$2:$B$807,B6)</f>
        <v>0</v>
      </c>
      <c r="D6" s="21">
        <f>SUMIFS(Annual_Cost!$R$2:$R$807,Annual_Cost!$A$2:$A$807,A6,Annual_Cost!$B$2:$B$807,B6)</f>
        <v>3309421.5478405142</v>
      </c>
      <c r="E6" s="21">
        <f>SUMIFS(Annual_Cost!$S$2:$S$807,Annual_Cost!$A$2:$A$807,A6,Annual_Cost!$B$2:$B$807,B6)</f>
        <v>3309421.5478405142</v>
      </c>
      <c r="F6" s="21">
        <f>SUMIFS(Annual_Cost!$W$2:$W$807,Annual_Cost!$A$2:$A$807,A6,Annual_Cost!$B$2:$B$807,B6)</f>
        <v>2940378.1813493888</v>
      </c>
      <c r="G6" s="21">
        <f>SUMIFS($E$2:E6,$A$2:A6,A6)</f>
        <v>9854798.7825786285</v>
      </c>
      <c r="H6" s="21">
        <f>SUMIFS($F$2:F6,$A$2:A6,A6)</f>
        <v>9050347.8848214466</v>
      </c>
    </row>
    <row r="7" spans="1:8">
      <c r="A7" t="s">
        <v>169</v>
      </c>
      <c r="B7" s="18">
        <v>2030</v>
      </c>
      <c r="C7" s="21">
        <f>SUMIFS(Annual_Cost!$Q$2:$Q$807,Annual_Cost!$A$2:$A$807,A7,Annual_Cost!$B$2:$B$807,B7)</f>
        <v>0</v>
      </c>
      <c r="D7" s="21">
        <f>SUMIFS(Annual_Cost!$R$2:$R$807,Annual_Cost!$A$2:$A$807,A7,Annual_Cost!$B$2:$B$807,B7)</f>
        <v>3330925.8119796063</v>
      </c>
      <c r="E7" s="21">
        <f>SUMIFS(Annual_Cost!$S$2:$S$807,Annual_Cost!$A$2:$A$807,A7,Annual_Cost!$B$2:$B$807,B7)</f>
        <v>3330925.8119796063</v>
      </c>
      <c r="F7" s="21">
        <f>SUMIFS(Annual_Cost!$W$2:$W$807,Annual_Cost!$A$2:$A$807,A7,Annual_Cost!$B$2:$B$807,B7)</f>
        <v>2873285.8655455629</v>
      </c>
      <c r="G7" s="21">
        <f>SUMIFS($E$2:E7,$A$2:A7,A7)</f>
        <v>13185724.594558235</v>
      </c>
      <c r="H7" s="21">
        <f>SUMIFS($F$2:F7,$A$2:A7,A7)</f>
        <v>11923633.75036701</v>
      </c>
    </row>
    <row r="8" spans="1:8">
      <c r="A8" t="s">
        <v>169</v>
      </c>
      <c r="B8" s="18">
        <v>2031</v>
      </c>
      <c r="C8" s="21">
        <f>SUMIFS(Annual_Cost!$Q$2:$Q$807,Annual_Cost!$A$2:$A$807,A8,Annual_Cost!$B$2:$B$807,B8)</f>
        <v>0</v>
      </c>
      <c r="D8" s="21">
        <f>SUMIFS(Annual_Cost!$R$2:$R$807,Annual_Cost!$A$2:$A$807,A8,Annual_Cost!$B$2:$B$807,B8)</f>
        <v>3351101.3285681568</v>
      </c>
      <c r="E8" s="21">
        <f>SUMIFS(Annual_Cost!$S$2:$S$807,Annual_Cost!$A$2:$A$807,A8,Annual_Cost!$B$2:$B$807,B8)</f>
        <v>3351101.3285681568</v>
      </c>
      <c r="F8" s="21">
        <f>SUMIFS(Annual_Cost!$W$2:$W$807,Annual_Cost!$A$2:$A$807,A8,Annual_Cost!$B$2:$B$807,B8)</f>
        <v>2806494.6052275095</v>
      </c>
      <c r="G8" s="21">
        <f>SUMIFS($E$2:E8,$A$2:A8,A8)</f>
        <v>16536825.923126392</v>
      </c>
      <c r="H8" s="21">
        <f>SUMIFS($F$2:F8,$A$2:A8,A8)</f>
        <v>14730128.35559452</v>
      </c>
    </row>
    <row r="9" spans="1:8">
      <c r="A9" t="s">
        <v>169</v>
      </c>
      <c r="B9" s="18">
        <v>2032</v>
      </c>
      <c r="C9" s="21">
        <f>SUMIFS(Annual_Cost!$Q$2:$Q$807,Annual_Cost!$A$2:$A$807,A9,Annual_Cost!$B$2:$B$807,B9)</f>
        <v>0</v>
      </c>
      <c r="D9" s="21">
        <f>SUMIFS(Annual_Cost!$R$2:$R$807,Annual_Cost!$A$2:$A$807,A9,Annual_Cost!$B$2:$B$807,B9)</f>
        <v>3371958.8382796398</v>
      </c>
      <c r="E9" s="21">
        <f>SUMIFS(Annual_Cost!$S$2:$S$807,Annual_Cost!$A$2:$A$807,A9,Annual_Cost!$B$2:$B$807,B9)</f>
        <v>3371958.8382796398</v>
      </c>
      <c r="F9" s="21">
        <f>SUMIFS(Annual_Cost!$W$2:$W$807,Annual_Cost!$A$2:$A$807,A9,Annual_Cost!$B$2:$B$807,B9)</f>
        <v>2741711.1080043716</v>
      </c>
      <c r="G9" s="21">
        <f>SUMIFS($E$2:E9,$A$2:A9,A9)</f>
        <v>19908784.761406031</v>
      </c>
      <c r="H9" s="21">
        <f>SUMIFS($F$2:F9,$A$2:A9,A9)</f>
        <v>17471839.463598892</v>
      </c>
    </row>
    <row r="10" spans="1:8">
      <c r="A10" t="s">
        <v>169</v>
      </c>
      <c r="B10" s="18">
        <v>2033</v>
      </c>
      <c r="C10" s="21">
        <f>SUMIFS(Annual_Cost!$Q$2:$Q$807,Annual_Cost!$A$2:$A$807,A10,Annual_Cost!$B$2:$B$807,B10)</f>
        <v>0</v>
      </c>
      <c r="D10" s="21">
        <f>SUMIFS(Annual_Cost!$R$2:$R$807,Annual_Cost!$A$2:$A$807,A10,Annual_Cost!$B$2:$B$807,B10)</f>
        <v>3392296.1757068778</v>
      </c>
      <c r="E10" s="21">
        <f>SUMIFS(Annual_Cost!$S$2:$S$807,Annual_Cost!$A$2:$A$807,A10,Annual_Cost!$B$2:$B$807,B10)</f>
        <v>3392296.1757068778</v>
      </c>
      <c r="F10" s="21">
        <f>SUMIFS(Annual_Cost!$W$2:$W$807,Annual_Cost!$A$2:$A$807,A10,Annual_Cost!$B$2:$B$807,B10)</f>
        <v>2677909.9266308588</v>
      </c>
      <c r="G10" s="21">
        <f>SUMIFS($E$2:E10,$A$2:A10,A10)</f>
        <v>23301080.937112909</v>
      </c>
      <c r="H10" s="21">
        <f>SUMIFS($F$2:F10,$A$2:A10,A10)</f>
        <v>20149749.39022975</v>
      </c>
    </row>
    <row r="11" spans="1:8">
      <c r="A11" t="s">
        <v>169</v>
      </c>
      <c r="B11" s="18">
        <v>2034</v>
      </c>
      <c r="C11" s="21">
        <f>SUMIFS(Annual_Cost!$Q$2:$Q$807,Annual_Cost!$A$2:$A$807,A11,Annual_Cost!$B$2:$B$807,B11)</f>
        <v>0</v>
      </c>
      <c r="D11" s="21">
        <f>SUMIFS(Annual_Cost!$R$2:$R$807,Annual_Cost!$A$2:$A$807,A11,Annual_Cost!$B$2:$B$807,B11)</f>
        <v>3412244.37761905</v>
      </c>
      <c r="E11" s="21">
        <f>SUMIFS(Annual_Cost!$S$2:$S$807,Annual_Cost!$A$2:$A$807,A11,Annual_Cost!$B$2:$B$807,B11)</f>
        <v>3412244.37761905</v>
      </c>
      <c r="F11" s="21">
        <f>SUMIFS(Annual_Cost!$W$2:$W$807,Annual_Cost!$A$2:$A$807,A11,Annual_Cost!$B$2:$B$807,B11)</f>
        <v>2615201.1858527055</v>
      </c>
      <c r="G11" s="21">
        <f>SUMIFS($E$2:E11,$A$2:A11,A11)</f>
        <v>26713325.314731959</v>
      </c>
      <c r="H11" s="21">
        <f>SUMIFS($F$2:F11,$A$2:A11,A11)</f>
        <v>22764950.576082457</v>
      </c>
    </row>
    <row r="12" spans="1:8">
      <c r="A12" t="s">
        <v>169</v>
      </c>
      <c r="B12" s="18">
        <v>2035</v>
      </c>
      <c r="C12" s="21">
        <f>SUMIFS(Annual_Cost!$Q$2:$Q$807,Annual_Cost!$A$2:$A$807,A12,Annual_Cost!$B$2:$B$807,B12)</f>
        <v>0</v>
      </c>
      <c r="D12" s="21">
        <f>SUMIFS(Annual_Cost!$R$2:$R$807,Annual_Cost!$A$2:$A$807,A12,Annual_Cost!$B$2:$B$807,B12)</f>
        <v>3431650.4431803608</v>
      </c>
      <c r="E12" s="21">
        <f>SUMIFS(Annual_Cost!$S$2:$S$807,Annual_Cost!$A$2:$A$807,A12,Annual_Cost!$B$2:$B$807,B12)</f>
        <v>3431650.4431803608</v>
      </c>
      <c r="F12" s="21">
        <f>SUMIFS(Annual_Cost!$W$2:$W$807,Annual_Cost!$A$2:$A$807,A12,Annual_Cost!$B$2:$B$807,B12)</f>
        <v>2553470.2128231567</v>
      </c>
      <c r="G12" s="21">
        <f>SUMIFS($E$2:E12,$A$2:A12,A12)</f>
        <v>30144975.757912319</v>
      </c>
      <c r="H12" s="21">
        <f>SUMIFS($F$2:F12,$A$2:A12,A12)</f>
        <v>25318420.788905613</v>
      </c>
    </row>
    <row r="13" spans="1:8">
      <c r="A13" t="s">
        <v>169</v>
      </c>
      <c r="B13" s="18">
        <v>2036</v>
      </c>
      <c r="C13" s="21">
        <f>SUMIFS(Annual_Cost!$Q$2:$Q$807,Annual_Cost!$A$2:$A$807,A13,Annual_Cost!$B$2:$B$807,B13)</f>
        <v>0</v>
      </c>
      <c r="D13" s="21">
        <f>SUMIFS(Annual_Cost!$R$2:$R$807,Annual_Cost!$A$2:$A$807,A13,Annual_Cost!$B$2:$B$807,B13)</f>
        <v>3450547.2369772154</v>
      </c>
      <c r="E13" s="21">
        <f>SUMIFS(Annual_Cost!$S$2:$S$807,Annual_Cost!$A$2:$A$807,A13,Annual_Cost!$B$2:$B$807,B13)</f>
        <v>3450547.2369772154</v>
      </c>
      <c r="F13" s="21">
        <f>SUMIFS(Annual_Cost!$W$2:$W$807,Annual_Cost!$A$2:$A$807,A13,Annual_Cost!$B$2:$B$807,B13)</f>
        <v>2492748.7399014118</v>
      </c>
      <c r="G13" s="21">
        <f>SUMIFS($E$2:E13,$A$2:A13,A13)</f>
        <v>33595522.994889535</v>
      </c>
      <c r="H13" s="21">
        <f>SUMIFS($F$2:F13,$A$2:A13,A13)</f>
        <v>27811169.528807025</v>
      </c>
    </row>
    <row r="14" spans="1:8">
      <c r="A14" t="s">
        <v>169</v>
      </c>
      <c r="B14" s="18">
        <v>2037</v>
      </c>
      <c r="C14" s="21">
        <f>SUMIFS(Annual_Cost!$Q$2:$Q$807,Annual_Cost!$A$2:$A$807,A14,Annual_Cost!$B$2:$B$807,B14)</f>
        <v>0</v>
      </c>
      <c r="D14" s="21">
        <f>SUMIFS(Annual_Cost!$R$2:$R$807,Annual_Cost!$A$2:$A$807,A14,Annual_Cost!$B$2:$B$807,B14)</f>
        <v>3468922.1471154937</v>
      </c>
      <c r="E14" s="21">
        <f>SUMIFS(Annual_Cost!$S$2:$S$807,Annual_Cost!$A$2:$A$807,A14,Annual_Cost!$B$2:$B$807,B14)</f>
        <v>3468922.1471154937</v>
      </c>
      <c r="F14" s="21">
        <f>SUMIFS(Annual_Cost!$W$2:$W$807,Annual_Cost!$A$2:$A$807,A14,Annual_Cost!$B$2:$B$807,B14)</f>
        <v>2433032.1999426163</v>
      </c>
      <c r="G14" s="21">
        <f>SUMIFS($E$2:E14,$A$2:A14,A14)</f>
        <v>37064445.142005026</v>
      </c>
      <c r="H14" s="21">
        <f>SUMIFS($F$2:F14,$A$2:A14,A14)</f>
        <v>30244201.72874964</v>
      </c>
    </row>
    <row r="15" spans="1:8">
      <c r="A15" t="s">
        <v>169</v>
      </c>
      <c r="B15" s="18">
        <v>2038</v>
      </c>
      <c r="C15" s="21">
        <f>SUMIFS(Annual_Cost!$Q$2:$Q$807,Annual_Cost!$A$2:$A$807,A15,Annual_Cost!$B$2:$B$807,B15)</f>
        <v>0</v>
      </c>
      <c r="D15" s="21">
        <f>SUMIFS(Annual_Cost!$R$2:$R$807,Annual_Cost!$A$2:$A$807,A15,Annual_Cost!$B$2:$B$807,B15)</f>
        <v>3486712.1886548335</v>
      </c>
      <c r="E15" s="21">
        <f>SUMIFS(Annual_Cost!$S$2:$S$807,Annual_Cost!$A$2:$A$807,A15,Annual_Cost!$B$2:$B$807,B15)</f>
        <v>3486712.1886548335</v>
      </c>
      <c r="F15" s="21">
        <f>SUMIFS(Annual_Cost!$W$2:$W$807,Annual_Cost!$A$2:$A$807,A15,Annual_Cost!$B$2:$B$807,B15)</f>
        <v>2374281.3370350548</v>
      </c>
      <c r="G15" s="21">
        <f>SUMIFS($E$2:E15,$A$2:A15,A15)</f>
        <v>40551157.330659859</v>
      </c>
      <c r="H15" s="21">
        <f>SUMIFS($F$2:F15,$A$2:A15,A15)</f>
        <v>32618483.065784696</v>
      </c>
    </row>
    <row r="16" spans="1:8">
      <c r="A16" t="s">
        <v>169</v>
      </c>
      <c r="B16" s="18">
        <v>2039</v>
      </c>
      <c r="C16" s="21">
        <f>SUMIFS(Annual_Cost!$Q$2:$Q$807,Annual_Cost!$A$2:$A$807,A16,Annual_Cost!$B$2:$B$807,B16)</f>
        <v>0</v>
      </c>
      <c r="D16" s="21">
        <f>SUMIFS(Annual_Cost!$R$2:$R$807,Annual_Cost!$A$2:$A$807,A16,Annual_Cost!$B$2:$B$807,B16)</f>
        <v>3503900.5417613066</v>
      </c>
      <c r="E16" s="21">
        <f>SUMIFS(Annual_Cost!$S$2:$S$807,Annual_Cost!$A$2:$A$807,A16,Annual_Cost!$B$2:$B$807,B16)</f>
        <v>3503900.5417613066</v>
      </c>
      <c r="F16" s="21">
        <f>SUMIFS(Annual_Cost!$W$2:$W$807,Annual_Cost!$A$2:$A$807,A16,Annual_Cost!$B$2:$B$807,B16)</f>
        <v>2316491.0379759064</v>
      </c>
      <c r="G16" s="21">
        <f>SUMIFS($E$2:E16,$A$2:A16,A16)</f>
        <v>44055057.872421168</v>
      </c>
      <c r="H16" s="21">
        <f>SUMIFS($F$2:F16,$A$2:A16,A16)</f>
        <v>34934974.1037606</v>
      </c>
    </row>
    <row r="17" spans="1:8">
      <c r="A17" t="s">
        <v>169</v>
      </c>
      <c r="B17" s="18">
        <v>2040</v>
      </c>
      <c r="C17" s="21">
        <f>SUMIFS(Annual_Cost!$Q$2:$Q$807,Annual_Cost!$A$2:$A$807,A17,Annual_Cost!$B$2:$B$807,B17)</f>
        <v>0</v>
      </c>
      <c r="D17" s="21">
        <f>SUMIFS(Annual_Cost!$R$2:$R$807,Annual_Cost!$A$2:$A$807,A17,Annual_Cost!$B$2:$B$807,B17)</f>
        <v>3520391.8263116567</v>
      </c>
      <c r="E17" s="21">
        <f>SUMIFS(Annual_Cost!$S$2:$S$807,Annual_Cost!$A$2:$A$807,A17,Annual_Cost!$B$2:$B$807,B17)</f>
        <v>3520391.8263116567</v>
      </c>
      <c r="F17" s="21">
        <f>SUMIFS(Annual_Cost!$W$2:$W$807,Annual_Cost!$A$2:$A$807,A17,Annual_Cost!$B$2:$B$807,B17)</f>
        <v>2259605.5532358875</v>
      </c>
      <c r="G17" s="21">
        <f>SUMIFS($E$2:E17,$A$2:A17,A17)</f>
        <v>47575449.698732823</v>
      </c>
      <c r="H17" s="21">
        <f>SUMIFS($F$2:F17,$A$2:A17,A17)</f>
        <v>37194579.656996489</v>
      </c>
    </row>
    <row r="18" spans="1:8">
      <c r="A18" t="s">
        <v>169</v>
      </c>
      <c r="B18" s="18">
        <v>2041</v>
      </c>
      <c r="C18" s="21">
        <f>SUMIFS(Annual_Cost!$Q$2:$Q$807,Annual_Cost!$A$2:$A$807,A18,Annual_Cost!$B$2:$B$807,B18)</f>
        <v>0</v>
      </c>
      <c r="D18" s="21">
        <f>SUMIFS(Annual_Cost!$R$2:$R$807,Annual_Cost!$A$2:$A$807,A18,Annual_Cost!$B$2:$B$807,B18)</f>
        <v>3536231.2332652649</v>
      </c>
      <c r="E18" s="21">
        <f>SUMIFS(Annual_Cost!$S$2:$S$807,Annual_Cost!$A$2:$A$807,A18,Annual_Cost!$B$2:$B$807,B18)</f>
        <v>3536231.2332652649</v>
      </c>
      <c r="F18" s="21">
        <f>SUMIFS(Annual_Cost!$W$2:$W$807,Annual_Cost!$A$2:$A$807,A18,Annual_Cost!$B$2:$B$807,B18)</f>
        <v>2203662.3940084851</v>
      </c>
      <c r="G18" s="21">
        <f>SUMIFS($E$2:E18,$A$2:A18,A18)</f>
        <v>51111680.931998089</v>
      </c>
      <c r="H18" s="21">
        <f>SUMIFS($F$2:F18,$A$2:A18,A18)</f>
        <v>39398242.051004976</v>
      </c>
    </row>
    <row r="19" spans="1:8">
      <c r="A19" t="s">
        <v>169</v>
      </c>
      <c r="B19" s="18">
        <v>2042</v>
      </c>
      <c r="C19" s="21">
        <f>SUMIFS(Annual_Cost!$Q$2:$Q$807,Annual_Cost!$A$2:$A$807,A19,Annual_Cost!$B$2:$B$807,B19)</f>
        <v>0</v>
      </c>
      <c r="D19" s="21">
        <f>SUMIFS(Annual_Cost!$R$2:$R$807,Annual_Cost!$A$2:$A$807,A19,Annual_Cost!$B$2:$B$807,B19)</f>
        <v>3551363.8847144418</v>
      </c>
      <c r="E19" s="21">
        <f>SUMIFS(Annual_Cost!$S$2:$S$807,Annual_Cost!$A$2:$A$807,A19,Annual_Cost!$B$2:$B$807,B19)</f>
        <v>3551363.8847144418</v>
      </c>
      <c r="F19" s="21">
        <f>SUMIFS(Annual_Cost!$W$2:$W$807,Annual_Cost!$A$2:$A$807,A19,Annual_Cost!$B$2:$B$807,B19)</f>
        <v>2148633.5554314116</v>
      </c>
      <c r="G19" s="21">
        <f>SUMIFS($E$2:E19,$A$2:A19,A19)</f>
        <v>54663044.816712528</v>
      </c>
      <c r="H19" s="21">
        <f>SUMIFS($F$2:F19,$A$2:A19,A19)</f>
        <v>41546875.606436387</v>
      </c>
    </row>
    <row r="20" spans="1:8">
      <c r="A20" t="s">
        <v>169</v>
      </c>
      <c r="B20" s="18">
        <v>2043</v>
      </c>
      <c r="C20" s="21">
        <f>SUMIFS(Annual_Cost!$Q$2:$Q$807,Annual_Cost!$A$2:$A$807,A20,Annual_Cost!$B$2:$B$807,B20)</f>
        <v>0</v>
      </c>
      <c r="D20" s="21">
        <f>SUMIFS(Annual_Cost!$R$2:$R$807,Annual_Cost!$A$2:$A$807,A20,Annual_Cost!$B$2:$B$807,B20)</f>
        <v>3565786.6113301436</v>
      </c>
      <c r="E20" s="21">
        <f>SUMIFS(Annual_Cost!$S$2:$S$807,Annual_Cost!$A$2:$A$807,A20,Annual_Cost!$B$2:$B$807,B20)</f>
        <v>3565786.6113301436</v>
      </c>
      <c r="F20" s="21">
        <f>SUMIFS(Annual_Cost!$W$2:$W$807,Annual_Cost!$A$2:$A$807,A20,Annual_Cost!$B$2:$B$807,B20)</f>
        <v>2094523.8274056641</v>
      </c>
      <c r="G20" s="21">
        <f>SUMIFS($E$2:E20,$A$2:A20,A20)</f>
        <v>58228831.428042673</v>
      </c>
      <c r="H20" s="21">
        <f>SUMIFS($F$2:F20,$A$2:A20,A20)</f>
        <v>43641399.433842048</v>
      </c>
    </row>
    <row r="21" spans="1:8">
      <c r="A21" t="s">
        <v>169</v>
      </c>
      <c r="B21" s="18">
        <v>2044</v>
      </c>
      <c r="C21" s="21">
        <f>SUMIFS(Annual_Cost!$Q$2:$Q$807,Annual_Cost!$A$2:$A$807,A21,Annual_Cost!$B$2:$B$807,B21)</f>
        <v>0</v>
      </c>
      <c r="D21" s="21">
        <f>SUMIFS(Annual_Cost!$R$2:$R$807,Annual_Cost!$A$2:$A$807,A21,Annual_Cost!$B$2:$B$807,B21)</f>
        <v>3579474.886334883</v>
      </c>
      <c r="E21" s="21">
        <f>SUMIFS(Annual_Cost!$S$2:$S$807,Annual_Cost!$A$2:$A$807,A21,Annual_Cost!$B$2:$B$807,B21)</f>
        <v>3579474.886334883</v>
      </c>
      <c r="F21" s="21">
        <f>SUMIFS(Annual_Cost!$W$2:$W$807,Annual_Cost!$A$2:$A$807,A21,Annual_Cost!$B$2:$B$807,B21)</f>
        <v>2041324.5110009871</v>
      </c>
      <c r="G21" s="21">
        <f>SUMIFS($E$2:E21,$A$2:A21,A21)</f>
        <v>61808306.314377554</v>
      </c>
      <c r="H21" s="21">
        <f>SUMIFS($F$2:F21,$A$2:A21,A21)</f>
        <v>45682723.944843039</v>
      </c>
    </row>
    <row r="22" spans="1:8">
      <c r="A22" t="s">
        <v>169</v>
      </c>
      <c r="B22" s="18">
        <v>2045</v>
      </c>
      <c r="C22" s="21">
        <f>SUMIFS(Annual_Cost!$Q$2:$Q$807,Annual_Cost!$A$2:$A$807,A22,Annual_Cost!$B$2:$B$807,B22)</f>
        <v>0</v>
      </c>
      <c r="D22" s="21">
        <f>SUMIFS(Annual_Cost!$R$2:$R$807,Annual_Cost!$A$2:$A$807,A22,Annual_Cost!$B$2:$B$807,B22)</f>
        <v>3592401.3670697492</v>
      </c>
      <c r="E22" s="21">
        <f>SUMIFS(Annual_Cost!$S$2:$S$807,Annual_Cost!$A$2:$A$807,A22,Annual_Cost!$B$2:$B$807,B22)</f>
        <v>3592401.3670697492</v>
      </c>
      <c r="F22" s="21">
        <f>SUMIFS(Annual_Cost!$W$2:$W$807,Annual_Cost!$A$2:$A$807,A22,Annual_Cost!$B$2:$B$807,B22)</f>
        <v>1989025.5362523641</v>
      </c>
      <c r="G22" s="21">
        <f>SUMIFS($E$2:E22,$A$2:A22,A22)</f>
        <v>65400707.681447305</v>
      </c>
      <c r="H22" s="21">
        <f>SUMIFS($F$2:F22,$A$2:A22,A22)</f>
        <v>47671749.481095403</v>
      </c>
    </row>
    <row r="23" spans="1:8">
      <c r="A23" t="s">
        <v>169</v>
      </c>
      <c r="B23" s="18">
        <v>2046</v>
      </c>
      <c r="C23" s="21">
        <f>SUMIFS(Annual_Cost!$Q$2:$Q$807,Annual_Cost!$A$2:$A$807,A23,Annual_Cost!$B$2:$B$807,B23)</f>
        <v>0</v>
      </c>
      <c r="D23" s="21">
        <f>SUMIFS(Annual_Cost!$R$2:$R$807,Annual_Cost!$A$2:$A$807,A23,Annual_Cost!$B$2:$B$807,B23)</f>
        <v>3604579.9289689222</v>
      </c>
      <c r="E23" s="21">
        <f>SUMIFS(Annual_Cost!$S$2:$S$807,Annual_Cost!$A$2:$A$807,A23,Annual_Cost!$B$2:$B$807,B23)</f>
        <v>3604579.9289689222</v>
      </c>
      <c r="F23" s="21">
        <f>SUMIFS(Annual_Cost!$W$2:$W$807,Annual_Cost!$A$2:$A$807,A23,Annual_Cost!$B$2:$B$807,B23)</f>
        <v>1937639.3307735862</v>
      </c>
      <c r="G23" s="21">
        <f>SUMIFS($E$2:E23,$A$2:A23,A23)</f>
        <v>69005287.610416234</v>
      </c>
      <c r="H23" s="21">
        <f>SUMIFS($F$2:F23,$A$2:A23,A23)</f>
        <v>49609388.811868988</v>
      </c>
    </row>
    <row r="24" spans="1:8">
      <c r="A24" t="s">
        <v>169</v>
      </c>
      <c r="B24" s="18">
        <v>2047</v>
      </c>
      <c r="C24" s="21">
        <f>SUMIFS(Annual_Cost!$Q$2:$Q$807,Annual_Cost!$A$2:$A$807,A24,Annual_Cost!$B$2:$B$807,B24)</f>
        <v>0</v>
      </c>
      <c r="D24" s="21">
        <f>SUMIFS(Annual_Cost!$R$2:$R$807,Annual_Cost!$A$2:$A$807,A24,Annual_Cost!$B$2:$B$807,B24)</f>
        <v>3616038.1753204521</v>
      </c>
      <c r="E24" s="21">
        <f>SUMIFS(Annual_Cost!$S$2:$S$807,Annual_Cost!$A$2:$A$807,A24,Annual_Cost!$B$2:$B$807,B24)</f>
        <v>3616038.1753204521</v>
      </c>
      <c r="F24" s="21">
        <f>SUMIFS(Annual_Cost!$W$2:$W$807,Annual_Cost!$A$2:$A$807,A24,Annual_Cost!$B$2:$B$807,B24)</f>
        <v>1887183.2066048922</v>
      </c>
      <c r="G24" s="21">
        <f>SUMIFS($E$2:E24,$A$2:A24,A24)</f>
        <v>72621325.78573668</v>
      </c>
      <c r="H24" s="21">
        <f>SUMIFS($F$2:F24,$A$2:A24,A24)</f>
        <v>51496572.018473879</v>
      </c>
    </row>
    <row r="25" spans="1:8">
      <c r="A25" t="s">
        <v>169</v>
      </c>
      <c r="B25" s="18">
        <v>2048</v>
      </c>
      <c r="C25" s="21">
        <f>SUMIFS(Annual_Cost!$Q$2:$Q$807,Annual_Cost!$A$2:$A$807,A25,Annual_Cost!$B$2:$B$807,B25)</f>
        <v>0</v>
      </c>
      <c r="D25" s="21">
        <f>SUMIFS(Annual_Cost!$R$2:$R$807,Annual_Cost!$A$2:$A$807,A25,Annual_Cost!$B$2:$B$807,B25)</f>
        <v>3626776.8812953327</v>
      </c>
      <c r="E25" s="21">
        <f>SUMIFS(Annual_Cost!$S$2:$S$807,Annual_Cost!$A$2:$A$807,A25,Annual_Cost!$B$2:$B$807,B25)</f>
        <v>3626776.8812953327</v>
      </c>
      <c r="F25" s="21">
        <f>SUMIFS(Annual_Cost!$W$2:$W$807,Annual_Cost!$A$2:$A$807,A25,Annual_Cost!$B$2:$B$807,B25)</f>
        <v>1837657.9191479273</v>
      </c>
      <c r="G25" s="21">
        <f>SUMIFS($E$2:E25,$A$2:A25,A25)</f>
        <v>76248102.667032018</v>
      </c>
      <c r="H25" s="21">
        <f>SUMIFS($F$2:F25,$A$2:A25,A25)</f>
        <v>53334229.937621802</v>
      </c>
    </row>
    <row r="26" spans="1:8">
      <c r="A26" t="s">
        <v>169</v>
      </c>
      <c r="B26" s="18">
        <v>2049</v>
      </c>
      <c r="C26" s="21">
        <f>SUMIFS(Annual_Cost!$Q$2:$Q$807,Annual_Cost!$A$2:$A$807,A26,Annual_Cost!$B$2:$B$807,B26)</f>
        <v>0</v>
      </c>
      <c r="D26" s="21">
        <f>SUMIFS(Annual_Cost!$R$2:$R$807,Annual_Cost!$A$2:$A$807,A26,Annual_Cost!$B$2:$B$807,B26)</f>
        <v>3636787.3648529416</v>
      </c>
      <c r="E26" s="21">
        <f>SUMIFS(Annual_Cost!$S$2:$S$807,Annual_Cost!$A$2:$A$807,A26,Annual_Cost!$B$2:$B$807,B26)</f>
        <v>3636787.3648529416</v>
      </c>
      <c r="F26" s="21">
        <f>SUMIFS(Annual_Cost!$W$2:$W$807,Annual_Cost!$A$2:$A$807,A26,Annual_Cost!$B$2:$B$807,B26)</f>
        <v>1789058.3966644262</v>
      </c>
      <c r="G26" s="21">
        <f>SUMIFS($E$2:E26,$A$2:A26,A26)</f>
        <v>79884890.031884953</v>
      </c>
      <c r="H26" s="21">
        <f>SUMIFS($F$2:F26,$A$2:A26,A26)</f>
        <v>55123288.334286228</v>
      </c>
    </row>
    <row r="27" spans="1:8">
      <c r="A27" t="s">
        <v>169</v>
      </c>
      <c r="B27" s="18">
        <v>2050</v>
      </c>
      <c r="C27" s="21">
        <f>SUMIFS(Annual_Cost!$Q$2:$Q$807,Annual_Cost!$A$2:$A$807,A27,Annual_Cost!$B$2:$B$807,B27)</f>
        <v>0</v>
      </c>
      <c r="D27" s="21">
        <f>SUMIFS(Annual_Cost!$R$2:$R$807,Annual_Cost!$A$2:$A$807,A27,Annual_Cost!$B$2:$B$807,B27)</f>
        <v>3646042.433321551</v>
      </c>
      <c r="E27" s="21">
        <f>SUMIFS(Annual_Cost!$S$2:$S$807,Annual_Cost!$A$2:$A$807,A27,Annual_Cost!$B$2:$B$807,B27)</f>
        <v>3646042.433321551</v>
      </c>
      <c r="F27" s="21">
        <f>SUMIFS(Annual_Cost!$W$2:$W$807,Annual_Cost!$A$2:$A$807,A27,Annual_Cost!$B$2:$B$807,B27)</f>
        <v>1741370.171918706</v>
      </c>
      <c r="G27" s="21">
        <f>SUMIFS($E$2:E27,$A$2:A27,A27)</f>
        <v>83530932.465206504</v>
      </c>
      <c r="H27" s="21">
        <f>SUMIFS($F$2:F27,$A$2:A27,A27)</f>
        <v>56864658.506204933</v>
      </c>
    </row>
    <row r="28" spans="1:8">
      <c r="A28" t="s">
        <v>192</v>
      </c>
      <c r="B28" s="18">
        <v>2025</v>
      </c>
      <c r="C28" s="21">
        <f>SUMIFS(Annual_Cost!$Q$2:$Q$807,Annual_Cost!$A$2:$A$807,A28,Annual_Cost!$B$2:$B$807,B28)</f>
        <v>0</v>
      </c>
      <c r="D28" s="21">
        <f>SUMIFS(Annual_Cost!$R$2:$R$807,Annual_Cost!$A$2:$A$807,A28,Annual_Cost!$B$2:$B$807,B28)</f>
        <v>0</v>
      </c>
      <c r="E28" s="21">
        <f>SUMIFS(Annual_Cost!$S$2:$S$807,Annual_Cost!$A$2:$A$807,A28,Annual_Cost!$B$2:$B$807,B28)</f>
        <v>0</v>
      </c>
      <c r="F28" s="21">
        <f>SUMIFS(Annual_Cost!$W$2:$W$807,Annual_Cost!$A$2:$A$807,A28,Annual_Cost!$B$2:$B$807,B28)</f>
        <v>0</v>
      </c>
      <c r="G28" s="21">
        <f>SUMIFS($E$2:E28,$A$2:A28,A28)</f>
        <v>0</v>
      </c>
      <c r="H28" s="21">
        <f>SUMIFS($F$2:F28,$A$2:A28,A28)</f>
        <v>0</v>
      </c>
    </row>
    <row r="29" spans="1:8">
      <c r="A29" t="s">
        <v>192</v>
      </c>
      <c r="B29" s="18">
        <v>2026</v>
      </c>
      <c r="C29" s="21">
        <f>SUMIFS(Annual_Cost!$Q$2:$Q$807,Annual_Cost!$A$2:$A$807,A29,Annual_Cost!$B$2:$B$807,B29)</f>
        <v>0</v>
      </c>
      <c r="D29" s="21">
        <f>SUMIFS(Annual_Cost!$R$2:$R$807,Annual_Cost!$A$2:$A$807,A29,Annual_Cost!$B$2:$B$807,B29)</f>
        <v>772358.19643106125</v>
      </c>
      <c r="E29" s="21">
        <f>SUMIFS(Annual_Cost!$S$2:$S$807,Annual_Cost!$A$2:$A$807,A29,Annual_Cost!$B$2:$B$807,B29)</f>
        <v>772358.19643106125</v>
      </c>
      <c r="F29" s="21">
        <f>SUMIFS(Annual_Cost!$W$2:$W$807,Annual_Cost!$A$2:$A$807,A29,Annual_Cost!$B$2:$B$807,B29)</f>
        <v>749862.32663209829</v>
      </c>
      <c r="G29" s="21">
        <f>SUMIFS($E$2:E29,$A$2:A29,A29)</f>
        <v>772358.19643106125</v>
      </c>
      <c r="H29" s="21">
        <f>SUMIFS($F$2:F29,$A$2:A29,A29)</f>
        <v>749862.32663209829</v>
      </c>
    </row>
    <row r="30" spans="1:8">
      <c r="A30" t="s">
        <v>192</v>
      </c>
      <c r="B30" s="18">
        <v>2027</v>
      </c>
      <c r="C30" s="21">
        <f>SUMIFS(Annual_Cost!$Q$2:$Q$807,Annual_Cost!$A$2:$A$807,A30,Annual_Cost!$B$2:$B$807,B30)</f>
        <v>0</v>
      </c>
      <c r="D30" s="21">
        <f>SUMIFS(Annual_Cost!$R$2:$R$807,Annual_Cost!$A$2:$A$807,A30,Annual_Cost!$B$2:$B$807,B30)</f>
        <v>1554770.7047638826</v>
      </c>
      <c r="E30" s="21">
        <f>SUMIFS(Annual_Cost!$S$2:$S$807,Annual_Cost!$A$2:$A$807,A30,Annual_Cost!$B$2:$B$807,B30)</f>
        <v>1554770.7047638826</v>
      </c>
      <c r="F30" s="21">
        <f>SUMIFS(Annual_Cost!$W$2:$W$807,Annual_Cost!$A$2:$A$807,A30,Annual_Cost!$B$2:$B$807,B30)</f>
        <v>1465520.50595144</v>
      </c>
      <c r="G30" s="21">
        <f>SUMIFS($E$2:E30,$A$2:A30,A30)</f>
        <v>2327128.901194944</v>
      </c>
      <c r="H30" s="21">
        <f>SUMIFS($F$2:F30,$A$2:A30,A30)</f>
        <v>2215382.8325835383</v>
      </c>
    </row>
    <row r="31" spans="1:8">
      <c r="A31" t="s">
        <v>192</v>
      </c>
      <c r="B31" s="18">
        <v>2028</v>
      </c>
      <c r="C31" s="21">
        <f>SUMIFS(Annual_Cost!$Q$2:$Q$807,Annual_Cost!$A$2:$A$807,A31,Annual_Cost!$B$2:$B$807,B31)</f>
        <v>0</v>
      </c>
      <c r="D31" s="21">
        <f>SUMIFS(Annual_Cost!$R$2:$R$807,Annual_Cost!$A$2:$A$807,A31,Annual_Cost!$B$2:$B$807,B31)</f>
        <v>2348140.544413304</v>
      </c>
      <c r="E31" s="21">
        <f>SUMIFS(Annual_Cost!$S$2:$S$807,Annual_Cost!$A$2:$A$807,A31,Annual_Cost!$B$2:$B$807,B31)</f>
        <v>2348140.544413304</v>
      </c>
      <c r="F31" s="21">
        <f>SUMIFS(Annual_Cost!$W$2:$W$807,Annual_Cost!$A$2:$A$807,A31,Annual_Cost!$B$2:$B$807,B31)</f>
        <v>2148881.2342088227</v>
      </c>
      <c r="G31" s="21">
        <f>SUMIFS($E$2:E31,$A$2:A31,A31)</f>
        <v>4675269.445608248</v>
      </c>
      <c r="H31" s="21">
        <f>SUMIFS($F$2:F31,$A$2:A31,A31)</f>
        <v>4364264.0667923614</v>
      </c>
    </row>
    <row r="32" spans="1:8">
      <c r="A32" t="s">
        <v>192</v>
      </c>
      <c r="B32" s="18">
        <v>2029</v>
      </c>
      <c r="C32" s="21">
        <f>SUMIFS(Annual_Cost!$Q$2:$Q$807,Annual_Cost!$A$2:$A$807,A32,Annual_Cost!$B$2:$B$807,B32)</f>
        <v>0</v>
      </c>
      <c r="D32" s="21">
        <f>SUMIFS(Annual_Cost!$R$2:$R$807,Annual_Cost!$A$2:$A$807,A32,Annual_Cost!$B$2:$B$807,B32)</f>
        <v>2363872.5078277322</v>
      </c>
      <c r="E32" s="21">
        <f>SUMIFS(Annual_Cost!$S$2:$S$807,Annual_Cost!$A$2:$A$807,A32,Annual_Cost!$B$2:$B$807,B32)</f>
        <v>2363872.5078277322</v>
      </c>
      <c r="F32" s="21">
        <f>SUMIFS(Annual_Cost!$W$2:$W$807,Annual_Cost!$A$2:$A$807,A32,Annual_Cost!$B$2:$B$807,B32)</f>
        <v>2100270.1061289185</v>
      </c>
      <c r="G32" s="21">
        <f>SUMIFS($E$2:E32,$A$2:A32,A32)</f>
        <v>7039141.9534359798</v>
      </c>
      <c r="H32" s="21">
        <f>SUMIFS($F$2:F32,$A$2:A32,A32)</f>
        <v>6464534.1729212794</v>
      </c>
    </row>
    <row r="33" spans="1:8">
      <c r="A33" t="s">
        <v>192</v>
      </c>
      <c r="B33" s="18">
        <v>2030</v>
      </c>
      <c r="C33" s="21">
        <f>SUMIFS(Annual_Cost!$Q$2:$Q$807,Annual_Cost!$A$2:$A$807,A33,Annual_Cost!$B$2:$B$807,B33)</f>
        <v>0</v>
      </c>
      <c r="D33" s="21">
        <f>SUMIFS(Annual_Cost!$R$2:$R$807,Annual_Cost!$A$2:$A$807,A33,Annual_Cost!$B$2:$B$807,B33)</f>
        <v>2379232.6650015479</v>
      </c>
      <c r="E33" s="21">
        <f>SUMIFS(Annual_Cost!$S$2:$S$807,Annual_Cost!$A$2:$A$807,A33,Annual_Cost!$B$2:$B$807,B33)</f>
        <v>2379232.6650015479</v>
      </c>
      <c r="F33" s="21">
        <f>SUMIFS(Annual_Cost!$W$2:$W$807,Annual_Cost!$A$2:$A$807,A33,Annual_Cost!$B$2:$B$807,B33)</f>
        <v>2052346.9969240804</v>
      </c>
      <c r="G33" s="21">
        <f>SUMIFS($E$2:E33,$A$2:A33,A33)</f>
        <v>9418374.6184375286</v>
      </c>
      <c r="H33" s="21">
        <f>SUMIFS($F$2:F33,$A$2:A33,A33)</f>
        <v>8516881.1698453594</v>
      </c>
    </row>
    <row r="34" spans="1:8">
      <c r="A34" t="s">
        <v>192</v>
      </c>
      <c r="B34" s="18">
        <v>2031</v>
      </c>
      <c r="C34" s="21">
        <f>SUMIFS(Annual_Cost!$Q$2:$Q$807,Annual_Cost!$A$2:$A$807,A34,Annual_Cost!$B$2:$B$807,B34)</f>
        <v>0</v>
      </c>
      <c r="D34" s="21">
        <f>SUMIFS(Annual_Cost!$R$2:$R$807,Annual_Cost!$A$2:$A$807,A34,Annual_Cost!$B$2:$B$807,B34)</f>
        <v>2394326.5803471599</v>
      </c>
      <c r="E34" s="21">
        <f>SUMIFS(Annual_Cost!$S$2:$S$807,Annual_Cost!$A$2:$A$807,A34,Annual_Cost!$B$2:$B$807,B34)</f>
        <v>2394326.5803471599</v>
      </c>
      <c r="F34" s="21">
        <f>SUMIFS(Annual_Cost!$W$2:$W$807,Annual_Cost!$A$2:$A$807,A34,Annual_Cost!$B$2:$B$807,B34)</f>
        <v>2005210.8163999575</v>
      </c>
      <c r="G34" s="21">
        <f>SUMIFS($E$2:E34,$A$2:A34,A34)</f>
        <v>11812701.198784688</v>
      </c>
      <c r="H34" s="21">
        <f>SUMIFS($F$2:F34,$A$2:A34,A34)</f>
        <v>10522091.986245317</v>
      </c>
    </row>
    <row r="35" spans="1:8">
      <c r="A35" t="s">
        <v>192</v>
      </c>
      <c r="B35" s="18">
        <v>2032</v>
      </c>
      <c r="C35" s="21">
        <f>SUMIFS(Annual_Cost!$Q$2:$Q$807,Annual_Cost!$A$2:$A$807,A35,Annual_Cost!$B$2:$B$807,B35)</f>
        <v>0</v>
      </c>
      <c r="D35" s="21">
        <f>SUMIFS(Annual_Cost!$R$2:$R$807,Annual_Cost!$A$2:$A$807,A35,Annual_Cost!$B$2:$B$807,B35)</f>
        <v>2409136.0125981681</v>
      </c>
      <c r="E35" s="21">
        <f>SUMIFS(Annual_Cost!$S$2:$S$807,Annual_Cost!$A$2:$A$807,A35,Annual_Cost!$B$2:$B$807,B35)</f>
        <v>2409136.0125981681</v>
      </c>
      <c r="F35" s="21">
        <f>SUMIFS(Annual_Cost!$W$2:$W$807,Annual_Cost!$A$2:$A$807,A35,Annual_Cost!$B$2:$B$807,B35)</f>
        <v>1958848.0415151455</v>
      </c>
      <c r="G35" s="21">
        <f>SUMIFS($E$2:E35,$A$2:A35,A35)</f>
        <v>14221837.211382857</v>
      </c>
      <c r="H35" s="21">
        <f>SUMIFS($F$2:F35,$A$2:A35,A35)</f>
        <v>12480940.027760463</v>
      </c>
    </row>
    <row r="36" spans="1:8">
      <c r="A36" t="s">
        <v>192</v>
      </c>
      <c r="B36" s="18">
        <v>2033</v>
      </c>
      <c r="C36" s="21">
        <f>SUMIFS(Annual_Cost!$Q$2:$Q$807,Annual_Cost!$A$2:$A$807,A36,Annual_Cost!$B$2:$B$807,B36)</f>
        <v>0</v>
      </c>
      <c r="D36" s="21">
        <f>SUMIFS(Annual_Cost!$R$2:$R$807,Annual_Cost!$A$2:$A$807,A36,Annual_Cost!$B$2:$B$807,B36)</f>
        <v>2423650.0014767479</v>
      </c>
      <c r="E36" s="21">
        <f>SUMIFS(Annual_Cost!$S$2:$S$807,Annual_Cost!$A$2:$A$807,A36,Annual_Cost!$B$2:$B$807,B36)</f>
        <v>2423650.0014767479</v>
      </c>
      <c r="F36" s="21">
        <f>SUMIFS(Annual_Cost!$W$2:$W$807,Annual_Cost!$A$2:$A$807,A36,Annual_Cost!$B$2:$B$807,B36)</f>
        <v>1913251.6919107288</v>
      </c>
      <c r="G36" s="21">
        <f>SUMIFS($E$2:E36,$A$2:A36,A36)</f>
        <v>16645487.212859605</v>
      </c>
      <c r="H36" s="21">
        <f>SUMIFS($F$2:F36,$A$2:A36,A36)</f>
        <v>14394191.719671192</v>
      </c>
    </row>
    <row r="37" spans="1:8">
      <c r="A37" t="s">
        <v>192</v>
      </c>
      <c r="B37" s="18">
        <v>2034</v>
      </c>
      <c r="C37" s="21">
        <f>SUMIFS(Annual_Cost!$Q$2:$Q$807,Annual_Cost!$A$2:$A$807,A37,Annual_Cost!$B$2:$B$807,B37)</f>
        <v>0</v>
      </c>
      <c r="D37" s="21">
        <f>SUMIFS(Annual_Cost!$R$2:$R$807,Annual_Cost!$A$2:$A$807,A37,Annual_Cost!$B$2:$B$807,B37)</f>
        <v>2437825.3540649479</v>
      </c>
      <c r="E37" s="21">
        <f>SUMIFS(Annual_Cost!$S$2:$S$807,Annual_Cost!$A$2:$A$807,A37,Annual_Cost!$B$2:$B$807,B37)</f>
        <v>2437825.3540649479</v>
      </c>
      <c r="F37" s="21">
        <f>SUMIFS(Annual_Cost!$W$2:$W$807,Annual_Cost!$A$2:$A$807,A37,Annual_Cost!$B$2:$B$807,B37)</f>
        <v>1868390.1418869027</v>
      </c>
      <c r="G37" s="21">
        <f>SUMIFS($E$2:E37,$A$2:A37,A37)</f>
        <v>19083312.566924553</v>
      </c>
      <c r="H37" s="21">
        <f>SUMIFS($F$2:F37,$A$2:A37,A37)</f>
        <v>16262581.861558095</v>
      </c>
    </row>
    <row r="38" spans="1:8">
      <c r="A38" t="s">
        <v>192</v>
      </c>
      <c r="B38" s="18">
        <v>2035</v>
      </c>
      <c r="C38" s="21">
        <f>SUMIFS(Annual_Cost!$Q$2:$Q$807,Annual_Cost!$A$2:$A$807,A38,Annual_Cost!$B$2:$B$807,B38)</f>
        <v>0</v>
      </c>
      <c r="D38" s="21">
        <f>SUMIFS(Annual_Cost!$R$2:$R$807,Annual_Cost!$A$2:$A$807,A38,Annual_Cost!$B$2:$B$807,B38)</f>
        <v>2451617.6079898118</v>
      </c>
      <c r="E38" s="21">
        <f>SUMIFS(Annual_Cost!$S$2:$S$807,Annual_Cost!$A$2:$A$807,A38,Annual_Cost!$B$2:$B$807,B38)</f>
        <v>2451617.6079898118</v>
      </c>
      <c r="F38" s="21">
        <f>SUMIFS(Annual_Cost!$W$2:$W$807,Annual_Cost!$A$2:$A$807,A38,Annual_Cost!$B$2:$B$807,B38)</f>
        <v>1824233.743758884</v>
      </c>
      <c r="G38" s="21">
        <f>SUMIFS($E$2:E38,$A$2:A38,A38)</f>
        <v>21534930.174914364</v>
      </c>
      <c r="H38" s="21">
        <f>SUMIFS($F$2:F38,$A$2:A38,A38)</f>
        <v>18086815.605316978</v>
      </c>
    </row>
    <row r="39" spans="1:8">
      <c r="A39" t="s">
        <v>192</v>
      </c>
      <c r="B39" s="18">
        <v>2036</v>
      </c>
      <c r="C39" s="21">
        <f>SUMIFS(Annual_Cost!$Q$2:$Q$807,Annual_Cost!$A$2:$A$807,A39,Annual_Cost!$B$2:$B$807,B39)</f>
        <v>0</v>
      </c>
      <c r="D39" s="21">
        <f>SUMIFS(Annual_Cost!$R$2:$R$807,Annual_Cost!$A$2:$A$807,A39,Annual_Cost!$B$2:$B$807,B39)</f>
        <v>2465053.0357949361</v>
      </c>
      <c r="E39" s="21">
        <f>SUMIFS(Annual_Cost!$S$2:$S$807,Annual_Cost!$A$2:$A$807,A39,Annual_Cost!$B$2:$B$807,B39)</f>
        <v>2465053.0357949361</v>
      </c>
      <c r="F39" s="21">
        <f>SUMIFS(Annual_Cost!$W$2:$W$807,Annual_Cost!$A$2:$A$807,A39,Annual_Cost!$B$2:$B$807,B39)</f>
        <v>1780806.7610026323</v>
      </c>
      <c r="G39" s="21">
        <f>SUMIFS($E$2:E39,$A$2:A39,A39)</f>
        <v>23999983.2107093</v>
      </c>
      <c r="H39" s="21">
        <f>SUMIFS($F$2:F39,$A$2:A39,A39)</f>
        <v>19867622.366319612</v>
      </c>
    </row>
    <row r="40" spans="1:8">
      <c r="A40" t="s">
        <v>192</v>
      </c>
      <c r="B40" s="18">
        <v>2037</v>
      </c>
      <c r="C40" s="21">
        <f>SUMIFS(Annual_Cost!$Q$2:$Q$807,Annual_Cost!$A$2:$A$807,A40,Annual_Cost!$B$2:$B$807,B40)</f>
        <v>0</v>
      </c>
      <c r="D40" s="21">
        <f>SUMIFS(Annual_Cost!$R$2:$R$807,Annual_Cost!$A$2:$A$807,A40,Annual_Cost!$B$2:$B$807,B40)</f>
        <v>2478123.2084477558</v>
      </c>
      <c r="E40" s="21">
        <f>SUMIFS(Annual_Cost!$S$2:$S$807,Annual_Cost!$A$2:$A$807,A40,Annual_Cost!$B$2:$B$807,B40)</f>
        <v>2478123.2084477558</v>
      </c>
      <c r="F40" s="21">
        <f>SUMIFS(Annual_Cost!$W$2:$W$807,Annual_Cost!$A$2:$A$807,A40,Annual_Cost!$B$2:$B$807,B40)</f>
        <v>1738105.7590445133</v>
      </c>
      <c r="G40" s="21">
        <f>SUMIFS($E$2:E40,$A$2:A40,A40)</f>
        <v>26478106.419157054</v>
      </c>
      <c r="H40" s="21">
        <f>SUMIFS($F$2:F40,$A$2:A40,A40)</f>
        <v>21605728.125364125</v>
      </c>
    </row>
    <row r="41" spans="1:8">
      <c r="A41" t="s">
        <v>192</v>
      </c>
      <c r="B41" s="18">
        <v>2038</v>
      </c>
      <c r="C41" s="21">
        <f>SUMIFS(Annual_Cost!$Q$2:$Q$807,Annual_Cost!$A$2:$A$807,A41,Annual_Cost!$B$2:$B$807,B41)</f>
        <v>0</v>
      </c>
      <c r="D41" s="21">
        <f>SUMIFS(Annual_Cost!$R$2:$R$807,Annual_Cost!$A$2:$A$807,A41,Annual_Cost!$B$2:$B$807,B41)</f>
        <v>2490699.3157289601</v>
      </c>
      <c r="E41" s="21">
        <f>SUMIFS(Annual_Cost!$S$2:$S$807,Annual_Cost!$A$2:$A$807,A41,Annual_Cost!$B$2:$B$807,B41)</f>
        <v>2490699.3157289601</v>
      </c>
      <c r="F41" s="21">
        <f>SUMIFS(Annual_Cost!$W$2:$W$807,Annual_Cost!$A$2:$A$807,A41,Annual_Cost!$B$2:$B$807,B41)</f>
        <v>1696045.0365657266</v>
      </c>
      <c r="G41" s="21">
        <f>SUMIFS($E$2:E41,$A$2:A41,A41)</f>
        <v>28968805.734886013</v>
      </c>
      <c r="H41" s="21">
        <f>SUMIFS($F$2:F41,$A$2:A41,A41)</f>
        <v>23301773.161929853</v>
      </c>
    </row>
    <row r="42" spans="1:8">
      <c r="A42" t="s">
        <v>192</v>
      </c>
      <c r="B42" s="18">
        <v>2039</v>
      </c>
      <c r="C42" s="21">
        <f>SUMIFS(Annual_Cost!$Q$2:$Q$807,Annual_Cost!$A$2:$A$807,A42,Annual_Cost!$B$2:$B$807,B42)</f>
        <v>0</v>
      </c>
      <c r="D42" s="21">
        <f>SUMIFS(Annual_Cost!$R$2:$R$807,Annual_Cost!$A$2:$A$807,A42,Annual_Cost!$B$2:$B$807,B42)</f>
        <v>2502934.465983232</v>
      </c>
      <c r="E42" s="21">
        <f>SUMIFS(Annual_Cost!$S$2:$S$807,Annual_Cost!$A$2:$A$807,A42,Annual_Cost!$B$2:$B$807,B42)</f>
        <v>2502934.465983232</v>
      </c>
      <c r="F42" s="21">
        <f>SUMIFS(Annual_Cost!$W$2:$W$807,Annual_Cost!$A$2:$A$807,A42,Annual_Cost!$B$2:$B$807,B42)</f>
        <v>1654734.5422586319</v>
      </c>
      <c r="G42" s="21">
        <f>SUMIFS($E$2:E42,$A$2:A42,A42)</f>
        <v>31471740.200869244</v>
      </c>
      <c r="H42" s="21">
        <f>SUMIFS($F$2:F42,$A$2:A42,A42)</f>
        <v>24956507.704188485</v>
      </c>
    </row>
    <row r="43" spans="1:8">
      <c r="A43" t="s">
        <v>192</v>
      </c>
      <c r="B43" s="18">
        <v>2040</v>
      </c>
      <c r="C43" s="21">
        <f>SUMIFS(Annual_Cost!$Q$2:$Q$807,Annual_Cost!$A$2:$A$807,A43,Annual_Cost!$B$2:$B$807,B43)</f>
        <v>0</v>
      </c>
      <c r="D43" s="21">
        <f>SUMIFS(Annual_Cost!$R$2:$R$807,Annual_Cost!$A$2:$A$807,A43,Annual_Cost!$B$2:$B$807,B43)</f>
        <v>2514678.313233648</v>
      </c>
      <c r="E43" s="21">
        <f>SUMIFS(Annual_Cost!$S$2:$S$807,Annual_Cost!$A$2:$A$807,A43,Annual_Cost!$B$2:$B$807,B43)</f>
        <v>2514678.313233648</v>
      </c>
      <c r="F43" s="21">
        <f>SUMIFS(Annual_Cost!$W$2:$W$807,Annual_Cost!$A$2:$A$807,A43,Annual_Cost!$B$2:$B$807,B43)</f>
        <v>1614076.3192084425</v>
      </c>
      <c r="G43" s="21">
        <f>SUMIFS($E$2:E43,$A$2:A43,A43)</f>
        <v>33986418.514102891</v>
      </c>
      <c r="H43" s="21">
        <f>SUMIFS($F$2:F43,$A$2:A43,A43)</f>
        <v>26570584.023396928</v>
      </c>
    </row>
    <row r="44" spans="1:8">
      <c r="A44" t="s">
        <v>192</v>
      </c>
      <c r="B44" s="18">
        <v>2041</v>
      </c>
      <c r="C44" s="21">
        <f>SUMIFS(Annual_Cost!$Q$2:$Q$807,Annual_Cost!$A$2:$A$807,A44,Annual_Cost!$B$2:$B$807,B44)</f>
        <v>0</v>
      </c>
      <c r="D44" s="21">
        <f>SUMIFS(Annual_Cost!$R$2:$R$807,Annual_Cost!$A$2:$A$807,A44,Annual_Cost!$B$2:$B$807,B44)</f>
        <v>2525962.829002664</v>
      </c>
      <c r="E44" s="21">
        <f>SUMIFS(Annual_Cost!$S$2:$S$807,Annual_Cost!$A$2:$A$807,A44,Annual_Cost!$B$2:$B$807,B44)</f>
        <v>2525962.829002664</v>
      </c>
      <c r="F44" s="21">
        <f>SUMIFS(Annual_Cost!$W$2:$W$807,Annual_Cost!$A$2:$A$807,A44,Annual_Cost!$B$2:$B$807,B44)</f>
        <v>1574096.5247333711</v>
      </c>
      <c r="G44" s="21">
        <f>SUMIFS($E$2:E44,$A$2:A44,A44)</f>
        <v>36512381.343105555</v>
      </c>
      <c r="H44" s="21">
        <f>SUMIFS($F$2:F44,$A$2:A44,A44)</f>
        <v>28144680.5481303</v>
      </c>
    </row>
    <row r="45" spans="1:8">
      <c r="A45" t="s">
        <v>192</v>
      </c>
      <c r="B45" s="18">
        <v>2042</v>
      </c>
      <c r="C45" s="21">
        <f>SUMIFS(Annual_Cost!$Q$2:$Q$807,Annual_Cost!$A$2:$A$807,A45,Annual_Cost!$B$2:$B$807,B45)</f>
        <v>0</v>
      </c>
      <c r="D45" s="21">
        <f>SUMIFS(Annual_Cost!$R$2:$R$807,Annual_Cost!$A$2:$A$807,A45,Annual_Cost!$B$2:$B$807,B45)</f>
        <v>2536748.3306188481</v>
      </c>
      <c r="E45" s="21">
        <f>SUMIFS(Annual_Cost!$S$2:$S$807,Annual_Cost!$A$2:$A$807,A45,Annual_Cost!$B$2:$B$807,B45)</f>
        <v>2536748.3306188481</v>
      </c>
      <c r="F45" s="21">
        <f>SUMIFS(Annual_Cost!$W$2:$W$807,Annual_Cost!$A$2:$A$807,A45,Annual_Cost!$B$2:$B$807,B45)</f>
        <v>1534774.4589936722</v>
      </c>
      <c r="G45" s="21">
        <f>SUMIFS($E$2:E45,$A$2:A45,A45)</f>
        <v>39049129.673724405</v>
      </c>
      <c r="H45" s="21">
        <f>SUMIFS($F$2:F45,$A$2:A45,A45)</f>
        <v>29679455.007123973</v>
      </c>
    </row>
    <row r="46" spans="1:8">
      <c r="A46" t="s">
        <v>192</v>
      </c>
      <c r="B46" s="18">
        <v>2043</v>
      </c>
      <c r="C46" s="21">
        <f>SUMIFS(Annual_Cost!$Q$2:$Q$807,Annual_Cost!$A$2:$A$807,A46,Annual_Cost!$B$2:$B$807,B46)</f>
        <v>0</v>
      </c>
      <c r="D46" s="21">
        <f>SUMIFS(Annual_Cost!$R$2:$R$807,Annual_Cost!$A$2:$A$807,A46,Annual_Cost!$B$2:$B$807,B46)</f>
        <v>2547079.0549448719</v>
      </c>
      <c r="E46" s="21">
        <f>SUMIFS(Annual_Cost!$S$2:$S$807,Annual_Cost!$A$2:$A$807,A46,Annual_Cost!$B$2:$B$807,B46)</f>
        <v>2547079.0549448719</v>
      </c>
      <c r="F46" s="21">
        <f>SUMIFS(Annual_Cost!$W$2:$W$807,Annual_Cost!$A$2:$A$807,A46,Annual_Cost!$B$2:$B$807,B46)</f>
        <v>1496140.5020469953</v>
      </c>
      <c r="G46" s="21">
        <f>SUMIFS($E$2:E46,$A$2:A46,A46)</f>
        <v>41596208.728669278</v>
      </c>
      <c r="H46" s="21">
        <f>SUMIFS($F$2:F46,$A$2:A46,A46)</f>
        <v>31175595.509170968</v>
      </c>
    </row>
    <row r="47" spans="1:8">
      <c r="A47" t="s">
        <v>192</v>
      </c>
      <c r="B47" s="18">
        <v>2044</v>
      </c>
      <c r="C47" s="21">
        <f>SUMIFS(Annual_Cost!$Q$2:$Q$807,Annual_Cost!$A$2:$A$807,A47,Annual_Cost!$B$2:$B$807,B47)</f>
        <v>0</v>
      </c>
      <c r="D47" s="21">
        <f>SUMIFS(Annual_Cost!$R$2:$R$807,Annual_Cost!$A$2:$A$807,A47,Annual_Cost!$B$2:$B$807,B47)</f>
        <v>2556858.0283700563</v>
      </c>
      <c r="E47" s="21">
        <f>SUMIFS(Annual_Cost!$S$2:$S$807,Annual_Cost!$A$2:$A$807,A47,Annual_Cost!$B$2:$B$807,B47)</f>
        <v>2556858.0283700563</v>
      </c>
      <c r="F47" s="21">
        <f>SUMIFS(Annual_Cost!$W$2:$W$807,Annual_Cost!$A$2:$A$807,A47,Annual_Cost!$B$2:$B$807,B47)</f>
        <v>1458140.4061213315</v>
      </c>
      <c r="G47" s="21">
        <f>SUMIFS($E$2:E47,$A$2:A47,A47)</f>
        <v>44153066.757039338</v>
      </c>
      <c r="H47" s="21">
        <f>SUMIFS($F$2:F47,$A$2:A47,A47)</f>
        <v>32633735.9152923</v>
      </c>
    </row>
    <row r="48" spans="1:8">
      <c r="A48" t="s">
        <v>192</v>
      </c>
      <c r="B48" s="18">
        <v>2045</v>
      </c>
      <c r="C48" s="21">
        <f>SUMIFS(Annual_Cost!$Q$2:$Q$807,Annual_Cost!$A$2:$A$807,A48,Annual_Cost!$B$2:$B$807,B48)</f>
        <v>0</v>
      </c>
      <c r="D48" s="21">
        <f>SUMIFS(Annual_Cost!$R$2:$R$807,Annual_Cost!$A$2:$A$807,A48,Annual_Cost!$B$2:$B$807,B48)</f>
        <v>2566095.6995894122</v>
      </c>
      <c r="E48" s="21">
        <f>SUMIFS(Annual_Cost!$S$2:$S$807,Annual_Cost!$A$2:$A$807,A48,Annual_Cost!$B$2:$B$807,B48)</f>
        <v>2566095.6995894122</v>
      </c>
      <c r="F48" s="21">
        <f>SUMIFS(Annual_Cost!$W$2:$W$807,Annual_Cost!$A$2:$A$807,A48,Annual_Cost!$B$2:$B$807,B48)</f>
        <v>1420784.9717844788</v>
      </c>
      <c r="G48" s="21">
        <f>SUMIFS($E$2:E48,$A$2:A48,A48)</f>
        <v>46719162.456628747</v>
      </c>
      <c r="H48" s="21">
        <f>SUMIFS($F$2:F48,$A$2:A48,A48)</f>
        <v>34054520.88707678</v>
      </c>
    </row>
    <row r="49" spans="1:8">
      <c r="A49" t="s">
        <v>192</v>
      </c>
      <c r="B49" s="18">
        <v>2046</v>
      </c>
      <c r="C49" s="21">
        <f>SUMIFS(Annual_Cost!$Q$2:$Q$807,Annual_Cost!$A$2:$A$807,A49,Annual_Cost!$B$2:$B$807,B49)</f>
        <v>0</v>
      </c>
      <c r="D49" s="21">
        <f>SUMIFS(Annual_Cost!$R$2:$R$807,Annual_Cost!$A$2:$A$807,A49,Annual_Cost!$B$2:$B$807,B49)</f>
        <v>2574802.8337942362</v>
      </c>
      <c r="E49" s="21">
        <f>SUMIFS(Annual_Cost!$S$2:$S$807,Annual_Cost!$A$2:$A$807,A49,Annual_Cost!$B$2:$B$807,B49)</f>
        <v>2574802.8337942362</v>
      </c>
      <c r="F49" s="21">
        <f>SUMIFS(Annual_Cost!$W$2:$W$807,Annual_Cost!$A$2:$A$807,A49,Annual_Cost!$B$2:$B$807,B49)</f>
        <v>1384083.3989146955</v>
      </c>
      <c r="G49" s="21">
        <f>SUMIFS($E$2:E49,$A$2:A49,A49)</f>
        <v>49293965.290422983</v>
      </c>
      <c r="H49" s="21">
        <f>SUMIFS($F$2:F49,$A$2:A49,A49)</f>
        <v>35438604.285991475</v>
      </c>
    </row>
    <row r="50" spans="1:8">
      <c r="A50" t="s">
        <v>192</v>
      </c>
      <c r="B50" s="18">
        <v>2047</v>
      </c>
      <c r="C50" s="21">
        <f>SUMIFS(Annual_Cost!$Q$2:$Q$807,Annual_Cost!$A$2:$A$807,A50,Annual_Cost!$B$2:$B$807,B50)</f>
        <v>0</v>
      </c>
      <c r="D50" s="21">
        <f>SUMIFS(Annual_Cost!$R$2:$R$807,Annual_Cost!$A$2:$A$807,A50,Annual_Cost!$B$2:$B$807,B50)</f>
        <v>2582997.9790088357</v>
      </c>
      <c r="E50" s="21">
        <f>SUMIFS(Annual_Cost!$S$2:$S$807,Annual_Cost!$A$2:$A$807,A50,Annual_Cost!$B$2:$B$807,B50)</f>
        <v>2582997.9790088357</v>
      </c>
      <c r="F50" s="21">
        <f>SUMIFS(Annual_Cost!$W$2:$W$807,Annual_Cost!$A$2:$A$807,A50,Annual_Cost!$B$2:$B$807,B50)</f>
        <v>1348047.2750395855</v>
      </c>
      <c r="G50" s="21">
        <f>SUMIFS($E$2:E50,$A$2:A50,A50)</f>
        <v>51876963.269431822</v>
      </c>
      <c r="H50" s="21">
        <f>SUMIFS($F$2:F50,$A$2:A50,A50)</f>
        <v>36786651.561031058</v>
      </c>
    </row>
    <row r="51" spans="1:8">
      <c r="A51" t="s">
        <v>192</v>
      </c>
      <c r="B51" s="18">
        <v>2048</v>
      </c>
      <c r="C51" s="21">
        <f>SUMIFS(Annual_Cost!$Q$2:$Q$807,Annual_Cost!$A$2:$A$807,A51,Annual_Cost!$B$2:$B$807,B51)</f>
        <v>0</v>
      </c>
      <c r="D51" s="21">
        <f>SUMIFS(Annual_Cost!$R$2:$R$807,Annual_Cost!$A$2:$A$807,A51,Annual_Cost!$B$2:$B$807,B51)</f>
        <v>2590553.438440524</v>
      </c>
      <c r="E51" s="21">
        <f>SUMIFS(Annual_Cost!$S$2:$S$807,Annual_Cost!$A$2:$A$807,A51,Annual_Cost!$B$2:$B$807,B51)</f>
        <v>2590553.438440524</v>
      </c>
      <c r="F51" s="21">
        <f>SUMIFS(Annual_Cost!$W$2:$W$807,Annual_Cost!$A$2:$A$807,A51,Annual_Cost!$B$2:$B$807,B51)</f>
        <v>1312612.0511239865</v>
      </c>
      <c r="G51" s="21">
        <f>SUMIFS($E$2:E51,$A$2:A51,A51)</f>
        <v>54467516.707872346</v>
      </c>
      <c r="H51" s="21">
        <f>SUMIFS($F$2:F51,$A$2:A51,A51)</f>
        <v>38099263.612155043</v>
      </c>
    </row>
    <row r="52" spans="1:8">
      <c r="A52" t="s">
        <v>192</v>
      </c>
      <c r="B52" s="18">
        <v>2049</v>
      </c>
      <c r="C52" s="21">
        <f>SUMIFS(Annual_Cost!$Q$2:$Q$807,Annual_Cost!$A$2:$A$807,A52,Annual_Cost!$B$2:$B$807,B52)</f>
        <v>0</v>
      </c>
      <c r="D52" s="21">
        <f>SUMIFS(Annual_Cost!$R$2:$R$807,Annual_Cost!$A$2:$A$807,A52,Annual_Cost!$B$2:$B$807,B52)</f>
        <v>2597703.7093793321</v>
      </c>
      <c r="E52" s="21">
        <f>SUMIFS(Annual_Cost!$S$2:$S$807,Annual_Cost!$A$2:$A$807,A52,Annual_Cost!$B$2:$B$807,B52)</f>
        <v>2597703.7093793321</v>
      </c>
      <c r="F52" s="21">
        <f>SUMIFS(Annual_Cost!$W$2:$W$807,Annual_Cost!$A$2:$A$807,A52,Annual_Cost!$B$2:$B$807,B52)</f>
        <v>1277898.091657978</v>
      </c>
      <c r="G52" s="21">
        <f>SUMIFS($E$2:E52,$A$2:A52,A52)</f>
        <v>57065220.417251676</v>
      </c>
      <c r="H52" s="21">
        <f>SUMIFS($F$2:F52,$A$2:A52,A52)</f>
        <v>39377161.703813024</v>
      </c>
    </row>
    <row r="53" spans="1:8">
      <c r="A53" t="s">
        <v>192</v>
      </c>
      <c r="B53" s="18">
        <v>2050</v>
      </c>
      <c r="C53" s="21">
        <f>SUMIFS(Annual_Cost!$Q$2:$Q$807,Annual_Cost!$A$2:$A$807,A53,Annual_Cost!$B$2:$B$807,B53)</f>
        <v>0</v>
      </c>
      <c r="D53" s="21">
        <f>SUMIFS(Annual_Cost!$R$2:$R$807,Annual_Cost!$A$2:$A$807,A53,Annual_Cost!$B$2:$B$807,B53)</f>
        <v>2604314.4006445841</v>
      </c>
      <c r="E53" s="21">
        <f>SUMIFS(Annual_Cost!$S$2:$S$807,Annual_Cost!$A$2:$A$807,A53,Annual_Cost!$B$2:$B$807,B53)</f>
        <v>2604314.4006445841</v>
      </c>
      <c r="F53" s="21">
        <f>SUMIFS(Annual_Cost!$W$2:$W$807,Annual_Cost!$A$2:$A$807,A53,Annual_Cost!$B$2:$B$807,B53)</f>
        <v>1243835.0618561946</v>
      </c>
      <c r="G53" s="21">
        <f>SUMIFS($E$2:E53,$A$2:A53,A53)</f>
        <v>59669534.817896262</v>
      </c>
      <c r="H53" s="21">
        <f>SUMIFS($F$2:F53,$A$2:A53,A53)</f>
        <v>40620996.765669219</v>
      </c>
    </row>
    <row r="54" spans="1:8">
      <c r="A54" t="s">
        <v>200</v>
      </c>
      <c r="B54" s="18">
        <v>2025</v>
      </c>
      <c r="C54" s="21">
        <f>SUMIFS(Annual_Cost!$Q$2:$Q$807,Annual_Cost!$A$2:$A$807,A54,Annual_Cost!$B$2:$B$807,B54)</f>
        <v>0</v>
      </c>
      <c r="D54" s="21">
        <f>SUMIFS(Annual_Cost!$R$2:$R$807,Annual_Cost!$A$2:$A$807,A54,Annual_Cost!$B$2:$B$807,B54)</f>
        <v>0</v>
      </c>
      <c r="E54" s="21">
        <f>SUMIFS(Annual_Cost!$S$2:$S$807,Annual_Cost!$A$2:$A$807,A54,Annual_Cost!$B$2:$B$807,B54)</f>
        <v>0</v>
      </c>
      <c r="F54" s="21">
        <f>SUMIFS(Annual_Cost!$W$2:$W$807,Annual_Cost!$A$2:$A$807,A54,Annual_Cost!$B$2:$B$807,B54)</f>
        <v>0</v>
      </c>
      <c r="G54" s="21">
        <f>SUMIFS($E$2:E54,$A$2:A54,A54)</f>
        <v>0</v>
      </c>
      <c r="H54" s="21">
        <f>SUMIFS($F$2:F54,$A$2:A54,A54)</f>
        <v>0</v>
      </c>
    </row>
    <row r="55" spans="1:8">
      <c r="A55" t="s">
        <v>200</v>
      </c>
      <c r="B55" s="18">
        <v>2026</v>
      </c>
      <c r="C55" s="21">
        <f>SUMIFS(Annual_Cost!$Q$2:$Q$807,Annual_Cost!$A$2:$A$807,A55,Annual_Cost!$B$2:$B$807,B55)</f>
        <v>0</v>
      </c>
      <c r="D55" s="21">
        <f>SUMIFS(Annual_Cost!$R$2:$R$807,Annual_Cost!$A$2:$A$807,A55,Annual_Cost!$B$2:$B$807,B55)</f>
        <v>1694360.7934206405</v>
      </c>
      <c r="E55" s="21">
        <f>SUMIFS(Annual_Cost!$S$2:$S$807,Annual_Cost!$A$2:$A$807,A55,Annual_Cost!$B$2:$B$807,B55)</f>
        <v>1694360.7934206405</v>
      </c>
      <c r="F55" s="21">
        <f>SUMIFS(Annual_Cost!$W$2:$W$807,Annual_Cost!$A$2:$A$807,A55,Annual_Cost!$B$2:$B$807,B55)</f>
        <v>1645010.4790491655</v>
      </c>
      <c r="G55" s="21">
        <f>SUMIFS($E$2:E55,$A$2:A55,A55)</f>
        <v>1694360.7934206405</v>
      </c>
      <c r="H55" s="21">
        <f>SUMIFS($F$2:F55,$A$2:A55,A55)</f>
        <v>1645010.4790491655</v>
      </c>
    </row>
    <row r="56" spans="1:8">
      <c r="A56" t="s">
        <v>200</v>
      </c>
      <c r="B56" s="18">
        <v>2027</v>
      </c>
      <c r="C56" s="21">
        <f>SUMIFS(Annual_Cost!$Q$2:$Q$807,Annual_Cost!$A$2:$A$807,A56,Annual_Cost!$B$2:$B$807,B56)</f>
        <v>0</v>
      </c>
      <c r="D56" s="21">
        <f>SUMIFS(Annual_Cost!$R$2:$R$807,Annual_Cost!$A$2:$A$807,A56,Annual_Cost!$B$2:$B$807,B56)</f>
        <v>3410778.2335757674</v>
      </c>
      <c r="E56" s="21">
        <f>SUMIFS(Annual_Cost!$S$2:$S$807,Annual_Cost!$A$2:$A$807,A56,Annual_Cost!$B$2:$B$807,B56)</f>
        <v>3410778.2335757674</v>
      </c>
      <c r="F56" s="21">
        <f>SUMIFS(Annual_Cost!$W$2:$W$807,Annual_Cost!$A$2:$A$807,A56,Annual_Cost!$B$2:$B$807,B56)</f>
        <v>3214985.6099309712</v>
      </c>
      <c r="G56" s="21">
        <f>SUMIFS($E$2:E56,$A$2:A56,A56)</f>
        <v>5105139.0269964077</v>
      </c>
      <c r="H56" s="21">
        <f>SUMIFS($F$2:F56,$A$2:A56,A56)</f>
        <v>4859996.0889801364</v>
      </c>
    </row>
    <row r="57" spans="1:8">
      <c r="A57" t="s">
        <v>200</v>
      </c>
      <c r="B57" s="18">
        <v>2028</v>
      </c>
      <c r="C57" s="21">
        <f>SUMIFS(Annual_Cost!$Q$2:$Q$807,Annual_Cost!$A$2:$A$807,A57,Annual_Cost!$B$2:$B$807,B57)</f>
        <v>0</v>
      </c>
      <c r="D57" s="21">
        <f>SUMIFS(Annual_Cost!$R$2:$R$807,Annual_Cost!$A$2:$A$807,A57,Annual_Cost!$B$2:$B$807,B57)</f>
        <v>5151239.9402512228</v>
      </c>
      <c r="E57" s="21">
        <f>SUMIFS(Annual_Cost!$S$2:$S$807,Annual_Cost!$A$2:$A$807,A57,Annual_Cost!$B$2:$B$807,B57)</f>
        <v>5151239.9402512228</v>
      </c>
      <c r="F57" s="21">
        <f>SUMIFS(Annual_Cost!$W$2:$W$807,Annual_Cost!$A$2:$A$807,A57,Annual_Cost!$B$2:$B$807,B57)</f>
        <v>4714114.2666477747</v>
      </c>
      <c r="G57" s="21">
        <f>SUMIFS($E$2:E57,$A$2:A57,A57)</f>
        <v>10256378.967247631</v>
      </c>
      <c r="H57" s="21">
        <f>SUMIFS($F$2:F57,$A$2:A57,A57)</f>
        <v>9574110.3556279112</v>
      </c>
    </row>
    <row r="58" spans="1:8">
      <c r="A58" t="s">
        <v>200</v>
      </c>
      <c r="B58" s="18">
        <v>2029</v>
      </c>
      <c r="C58" s="21">
        <f>SUMIFS(Annual_Cost!$Q$2:$Q$807,Annual_Cost!$A$2:$A$807,A58,Annual_Cost!$B$2:$B$807,B58)</f>
        <v>0</v>
      </c>
      <c r="D58" s="21">
        <f>SUMIFS(Annual_Cost!$R$2:$R$807,Annual_Cost!$A$2:$A$807,A58,Annual_Cost!$B$2:$B$807,B58)</f>
        <v>5185767.9292034553</v>
      </c>
      <c r="E58" s="21">
        <f>SUMIFS(Annual_Cost!$S$2:$S$807,Annual_Cost!$A$2:$A$807,A58,Annual_Cost!$B$2:$B$807,B58)</f>
        <v>5185767.9292034553</v>
      </c>
      <c r="F58" s="21">
        <f>SUMIFS(Annual_Cost!$W$2:$W$807,Annual_Cost!$A$2:$A$807,A58,Annual_Cost!$B$2:$B$807,B58)</f>
        <v>4607487.6385938339</v>
      </c>
      <c r="G58" s="21">
        <f>SUMIFS($E$2:E58,$A$2:A58,A58)</f>
        <v>15442146.896451086</v>
      </c>
      <c r="H58" s="21">
        <f>SUMIFS($F$2:F58,$A$2:A58,A58)</f>
        <v>14181597.994221745</v>
      </c>
    </row>
    <row r="59" spans="1:8">
      <c r="A59" t="s">
        <v>200</v>
      </c>
      <c r="B59" s="18">
        <v>2030</v>
      </c>
      <c r="C59" s="21">
        <f>SUMIFS(Annual_Cost!$Q$2:$Q$807,Annual_Cost!$A$2:$A$807,A59,Annual_Cost!$B$2:$B$807,B59)</f>
        <v>0</v>
      </c>
      <c r="D59" s="21">
        <f>SUMIFS(Annual_Cost!$R$2:$R$807,Annual_Cost!$A$2:$A$807,A59,Annual_Cost!$B$2:$B$807,B59)</f>
        <v>5219491.6412380114</v>
      </c>
      <c r="E59" s="21">
        <f>SUMIFS(Annual_Cost!$S$2:$S$807,Annual_Cost!$A$2:$A$807,A59,Annual_Cost!$B$2:$B$807,B59)</f>
        <v>5219491.6412380114</v>
      </c>
      <c r="F59" s="21">
        <f>SUMIFS(Annual_Cost!$W$2:$W$807,Annual_Cost!$A$2:$A$807,A59,Annual_Cost!$B$2:$B$807,B59)</f>
        <v>4502379.3397516264</v>
      </c>
      <c r="G59" s="21">
        <f>SUMIFS($E$2:E59,$A$2:A59,A59)</f>
        <v>20661638.537689097</v>
      </c>
      <c r="H59" s="21">
        <f>SUMIFS($F$2:F59,$A$2:A59,A59)</f>
        <v>18683977.33397337</v>
      </c>
    </row>
    <row r="60" spans="1:8">
      <c r="A60" t="s">
        <v>200</v>
      </c>
      <c r="B60" s="18">
        <v>2031</v>
      </c>
      <c r="C60" s="21">
        <f>SUMIFS(Annual_Cost!$Q$2:$Q$807,Annual_Cost!$A$2:$A$807,A60,Annual_Cost!$B$2:$B$807,B60)</f>
        <v>0</v>
      </c>
      <c r="D60" s="21">
        <f>SUMIFS(Annual_Cost!$R$2:$R$807,Annual_Cost!$A$2:$A$807,A60,Annual_Cost!$B$2:$B$807,B60)</f>
        <v>5252643.8885160657</v>
      </c>
      <c r="E60" s="21">
        <f>SUMIFS(Annual_Cost!$S$2:$S$807,Annual_Cost!$A$2:$A$807,A60,Annual_Cost!$B$2:$B$807,B60)</f>
        <v>5252643.8885160657</v>
      </c>
      <c r="F60" s="21">
        <f>SUMIFS(Annual_Cost!$W$2:$W$807,Annual_Cost!$A$2:$A$807,A60,Annual_Cost!$B$2:$B$807,B60)</f>
        <v>4399006.5625978177</v>
      </c>
      <c r="G60" s="21">
        <f>SUMIFS($E$2:E60,$A$2:A60,A60)</f>
        <v>25914282.426205162</v>
      </c>
      <c r="H60" s="21">
        <f>SUMIFS($F$2:F60,$A$2:A60,A60)</f>
        <v>23082983.896571189</v>
      </c>
    </row>
    <row r="61" spans="1:8">
      <c r="A61" t="s">
        <v>200</v>
      </c>
      <c r="B61" s="18">
        <v>2032</v>
      </c>
      <c r="C61" s="21">
        <f>SUMIFS(Annual_Cost!$Q$2:$Q$807,Annual_Cost!$A$2:$A$807,A61,Annual_Cost!$B$2:$B$807,B61)</f>
        <v>0</v>
      </c>
      <c r="D61" s="21">
        <f>SUMIFS(Annual_Cost!$R$2:$R$807,Annual_Cost!$A$2:$A$807,A61,Annual_Cost!$B$2:$B$807,B61)</f>
        <v>5285185.8877511136</v>
      </c>
      <c r="E61" s="21">
        <f>SUMIFS(Annual_Cost!$S$2:$S$807,Annual_Cost!$A$2:$A$807,A61,Annual_Cost!$B$2:$B$807,B61)</f>
        <v>5285185.8877511136</v>
      </c>
      <c r="F61" s="21">
        <f>SUMIFS(Annual_Cost!$W$2:$W$807,Annual_Cost!$A$2:$A$807,A61,Annual_Cost!$B$2:$B$807,B61)</f>
        <v>4297339.7812021179</v>
      </c>
      <c r="G61" s="21">
        <f>SUMIFS($E$2:E61,$A$2:A61,A61)</f>
        <v>31199468.313956276</v>
      </c>
      <c r="H61" s="21">
        <f>SUMIFS($F$2:F61,$A$2:A61,A61)</f>
        <v>27380323.677773308</v>
      </c>
    </row>
    <row r="62" spans="1:8">
      <c r="A62" t="s">
        <v>200</v>
      </c>
      <c r="B62" s="18">
        <v>2033</v>
      </c>
      <c r="C62" s="21">
        <f>SUMIFS(Annual_Cost!$Q$2:$Q$807,Annual_Cost!$A$2:$A$807,A62,Annual_Cost!$B$2:$B$807,B62)</f>
        <v>0</v>
      </c>
      <c r="D62" s="21">
        <f>SUMIFS(Annual_Cost!$R$2:$R$807,Annual_Cost!$A$2:$A$807,A62,Annual_Cost!$B$2:$B$807,B62)</f>
        <v>5316932.3937295228</v>
      </c>
      <c r="E62" s="21">
        <f>SUMIFS(Annual_Cost!$S$2:$S$807,Annual_Cost!$A$2:$A$807,A62,Annual_Cost!$B$2:$B$807,B62)</f>
        <v>5316932.3937295228</v>
      </c>
      <c r="F62" s="21">
        <f>SUMIFS(Annual_Cost!$W$2:$W$807,Annual_Cost!$A$2:$A$807,A62,Annual_Cost!$B$2:$B$807,B62)</f>
        <v>4197235.5298329843</v>
      </c>
      <c r="G62" s="21">
        <f>SUMIFS($E$2:E62,$A$2:A62,A62)</f>
        <v>36516400.707685798</v>
      </c>
      <c r="H62" s="21">
        <f>SUMIFS($F$2:F62,$A$2:A62,A62)</f>
        <v>31577559.207606293</v>
      </c>
    </row>
    <row r="63" spans="1:8">
      <c r="A63" t="s">
        <v>200</v>
      </c>
      <c r="B63" s="18">
        <v>2034</v>
      </c>
      <c r="C63" s="21">
        <f>SUMIFS(Annual_Cost!$Q$2:$Q$807,Annual_Cost!$A$2:$A$807,A63,Annual_Cost!$B$2:$B$807,B63)</f>
        <v>0</v>
      </c>
      <c r="D63" s="21">
        <f>SUMIFS(Annual_Cost!$R$2:$R$807,Annual_Cost!$A$2:$A$807,A63,Annual_Cost!$B$2:$B$807,B63)</f>
        <v>5348091.4333063513</v>
      </c>
      <c r="E63" s="21">
        <f>SUMIFS(Annual_Cost!$S$2:$S$807,Annual_Cost!$A$2:$A$807,A63,Annual_Cost!$B$2:$B$807,B63)</f>
        <v>5348091.4333063513</v>
      </c>
      <c r="F63" s="21">
        <f>SUMIFS(Annual_Cost!$W$2:$W$807,Annual_Cost!$A$2:$A$807,A63,Annual_Cost!$B$2:$B$807,B63)</f>
        <v>4098866.7605895982</v>
      </c>
      <c r="G63" s="21">
        <f>SUMIFS($E$2:E63,$A$2:A63,A63)</f>
        <v>41864492.14099215</v>
      </c>
      <c r="H63" s="21">
        <f>SUMIFS($F$2:F63,$A$2:A63,A63)</f>
        <v>35676425.968195893</v>
      </c>
    </row>
    <row r="64" spans="1:8">
      <c r="A64" t="s">
        <v>200</v>
      </c>
      <c r="B64" s="18">
        <v>2035</v>
      </c>
      <c r="C64" s="21">
        <f>SUMIFS(Annual_Cost!$Q$2:$Q$807,Annual_Cost!$A$2:$A$807,A64,Annual_Cost!$B$2:$B$807,B64)</f>
        <v>0</v>
      </c>
      <c r="D64" s="21">
        <f>SUMIFS(Annual_Cost!$R$2:$R$807,Annual_Cost!$A$2:$A$807,A64,Annual_Cost!$B$2:$B$807,B64)</f>
        <v>5377618.3400061084</v>
      </c>
      <c r="E64" s="21">
        <f>SUMIFS(Annual_Cost!$S$2:$S$807,Annual_Cost!$A$2:$A$807,A64,Annual_Cost!$B$2:$B$807,B64)</f>
        <v>5377618.3400061084</v>
      </c>
      <c r="F64" s="21">
        <f>SUMIFS(Annual_Cost!$W$2:$W$807,Annual_Cost!$A$2:$A$807,A64,Annual_Cost!$B$2:$B$807,B64)</f>
        <v>4001453.0834355736</v>
      </c>
      <c r="G64" s="21">
        <f>SUMIFS($E$2:E64,$A$2:A64,A64)</f>
        <v>47242110.480998255</v>
      </c>
      <c r="H64" s="21">
        <f>SUMIFS($F$2:F64,$A$2:A64,A64)</f>
        <v>39677879.051631466</v>
      </c>
    </row>
    <row r="65" spans="1:8">
      <c r="A65" t="s">
        <v>200</v>
      </c>
      <c r="B65" s="18">
        <v>2036</v>
      </c>
      <c r="C65" s="21">
        <f>SUMIFS(Annual_Cost!$Q$2:$Q$807,Annual_Cost!$A$2:$A$807,A65,Annual_Cost!$B$2:$B$807,B65)</f>
        <v>0</v>
      </c>
      <c r="D65" s="21">
        <f>SUMIFS(Annual_Cost!$R$2:$R$807,Annual_Cost!$A$2:$A$807,A65,Annual_Cost!$B$2:$B$807,B65)</f>
        <v>5407305.1102281278</v>
      </c>
      <c r="E65" s="21">
        <f>SUMIFS(Annual_Cost!$S$2:$S$807,Annual_Cost!$A$2:$A$807,A65,Annual_Cost!$B$2:$B$807,B65)</f>
        <v>5407305.1102281278</v>
      </c>
      <c r="F65" s="21">
        <f>SUMIFS(Annual_Cost!$W$2:$W$807,Annual_Cost!$A$2:$A$807,A65,Annual_Cost!$B$2:$B$807,B65)</f>
        <v>3906352.2606900153</v>
      </c>
      <c r="G65" s="21">
        <f>SUMIFS($E$2:E65,$A$2:A65,A65)</f>
        <v>52649415.591226384</v>
      </c>
      <c r="H65" s="21">
        <f>SUMIFS($F$2:F65,$A$2:A65,A65)</f>
        <v>43584231.312321484</v>
      </c>
    </row>
    <row r="66" spans="1:8">
      <c r="A66" t="s">
        <v>200</v>
      </c>
      <c r="B66" s="18">
        <v>2037</v>
      </c>
      <c r="C66" s="21">
        <f>SUMIFS(Annual_Cost!$Q$2:$Q$807,Annual_Cost!$A$2:$A$807,A66,Annual_Cost!$B$2:$B$807,B66)</f>
        <v>0</v>
      </c>
      <c r="D66" s="21">
        <f>SUMIFS(Annual_Cost!$R$2:$R$807,Annual_Cost!$A$2:$A$807,A66,Annual_Cost!$B$2:$B$807,B66)</f>
        <v>5436176.8450898314</v>
      </c>
      <c r="E66" s="21">
        <f>SUMIFS(Annual_Cost!$S$2:$S$807,Annual_Cost!$A$2:$A$807,A66,Annual_Cost!$B$2:$B$807,B66)</f>
        <v>5436176.8450898314</v>
      </c>
      <c r="F66" s="21">
        <f>SUMIFS(Annual_Cost!$W$2:$W$807,Annual_Cost!$A$2:$A$807,A66,Annual_Cost!$B$2:$B$807,B66)</f>
        <v>3812825.0643169214</v>
      </c>
      <c r="G66" s="21">
        <f>SUMIFS($E$2:E66,$A$2:A66,A66)</f>
        <v>58085592.436316215</v>
      </c>
      <c r="H66" s="21">
        <f>SUMIFS($F$2:F66,$A$2:A66,A66)</f>
        <v>47397056.376638405</v>
      </c>
    </row>
    <row r="67" spans="1:8">
      <c r="A67" t="s">
        <v>200</v>
      </c>
      <c r="B67" s="18">
        <v>2038</v>
      </c>
      <c r="C67" s="21">
        <f>SUMIFS(Annual_Cost!$Q$2:$Q$807,Annual_Cost!$A$2:$A$807,A67,Annual_Cost!$B$2:$B$807,B67)</f>
        <v>0</v>
      </c>
      <c r="D67" s="21">
        <f>SUMIFS(Annual_Cost!$R$2:$R$807,Annual_Cost!$A$2:$A$807,A67,Annual_Cost!$B$2:$B$807,B67)</f>
        <v>5464134.2257265616</v>
      </c>
      <c r="E67" s="21">
        <f>SUMIFS(Annual_Cost!$S$2:$S$807,Annual_Cost!$A$2:$A$807,A67,Annual_Cost!$B$2:$B$807,B67)</f>
        <v>5464134.2257265616</v>
      </c>
      <c r="F67" s="21">
        <f>SUMIFS(Annual_Cost!$W$2:$W$807,Annual_Cost!$A$2:$A$807,A67,Annual_Cost!$B$2:$B$807,B67)</f>
        <v>3720809.5229110876</v>
      </c>
      <c r="G67" s="21">
        <f>SUMIFS($E$2:E67,$A$2:A67,A67)</f>
        <v>63549726.662042774</v>
      </c>
      <c r="H67" s="21">
        <f>SUMIFS($F$2:F67,$A$2:A67,A67)</f>
        <v>51117865.899549492</v>
      </c>
    </row>
    <row r="68" spans="1:8">
      <c r="A68" t="s">
        <v>200</v>
      </c>
      <c r="B68" s="18">
        <v>2039</v>
      </c>
      <c r="C68" s="21">
        <f>SUMIFS(Annual_Cost!$Q$2:$Q$807,Annual_Cost!$A$2:$A$807,A68,Annual_Cost!$B$2:$B$807,B68)</f>
        <v>0</v>
      </c>
      <c r="D68" s="21">
        <f>SUMIFS(Annual_Cost!$R$2:$R$807,Annual_Cost!$A$2:$A$807,A68,Annual_Cost!$B$2:$B$807,B68)</f>
        <v>5491150.3515157085</v>
      </c>
      <c r="E68" s="21">
        <f>SUMIFS(Annual_Cost!$S$2:$S$807,Annual_Cost!$A$2:$A$807,A68,Annual_Cost!$B$2:$B$807,B68)</f>
        <v>5491150.3515157085</v>
      </c>
      <c r="F68" s="21">
        <f>SUMIFS(Annual_Cost!$W$2:$W$807,Annual_Cost!$A$2:$A$807,A68,Annual_Cost!$B$2:$B$807,B68)</f>
        <v>3630297.2718142048</v>
      </c>
      <c r="G68" s="21">
        <f>SUMIFS($E$2:E68,$A$2:A68,A68)</f>
        <v>69040877.013558477</v>
      </c>
      <c r="H68" s="21">
        <f>SUMIFS($F$2:F68,$A$2:A68,A68)</f>
        <v>54748163.171363696</v>
      </c>
    </row>
    <row r="69" spans="1:8">
      <c r="A69" t="s">
        <v>200</v>
      </c>
      <c r="B69" s="18">
        <v>2040</v>
      </c>
      <c r="C69" s="21">
        <f>SUMIFS(Annual_Cost!$Q$2:$Q$807,Annual_Cost!$A$2:$A$807,A69,Annual_Cost!$B$2:$B$807,B69)</f>
        <v>0</v>
      </c>
      <c r="D69" s="21">
        <f>SUMIFS(Annual_Cost!$R$2:$R$807,Annual_Cost!$A$2:$A$807,A69,Annual_Cost!$B$2:$B$807,B69)</f>
        <v>5517075.3435506765</v>
      </c>
      <c r="E69" s="21">
        <f>SUMIFS(Annual_Cost!$S$2:$S$807,Annual_Cost!$A$2:$A$807,A69,Annual_Cost!$B$2:$B$807,B69)</f>
        <v>5517075.3435506765</v>
      </c>
      <c r="F69" s="21">
        <f>SUMIFS(Annual_Cost!$W$2:$W$807,Annual_Cost!$A$2:$A$807,A69,Annual_Cost!$B$2:$B$807,B69)</f>
        <v>3541200.7239458524</v>
      </c>
      <c r="G69" s="21">
        <f>SUMIFS($E$2:E69,$A$2:A69,A69)</f>
        <v>74557952.357109159</v>
      </c>
      <c r="H69" s="21">
        <f>SUMIFS($F$2:F69,$A$2:A69,A69)</f>
        <v>58289363.895309553</v>
      </c>
    </row>
    <row r="70" spans="1:8">
      <c r="A70" t="s">
        <v>200</v>
      </c>
      <c r="B70" s="18">
        <v>2041</v>
      </c>
      <c r="C70" s="21">
        <f>SUMIFS(Annual_Cost!$Q$2:$Q$807,Annual_Cost!$A$2:$A$807,A70,Annual_Cost!$B$2:$B$807,B70)</f>
        <v>0</v>
      </c>
      <c r="D70" s="21">
        <f>SUMIFS(Annual_Cost!$R$2:$R$807,Annual_Cost!$A$2:$A$807,A70,Annual_Cost!$B$2:$B$807,B70)</f>
        <v>5541979.5229377504</v>
      </c>
      <c r="E70" s="21">
        <f>SUMIFS(Annual_Cost!$S$2:$S$807,Annual_Cost!$A$2:$A$807,A70,Annual_Cost!$B$2:$B$807,B70)</f>
        <v>5541979.5229377504</v>
      </c>
      <c r="F70" s="21">
        <f>SUMIFS(Annual_Cost!$W$2:$W$807,Annual_Cost!$A$2:$A$807,A70,Annual_Cost!$B$2:$B$807,B70)</f>
        <v>3453578.4165296676</v>
      </c>
      <c r="G70" s="21">
        <f>SUMIFS($E$2:E70,$A$2:A70,A70)</f>
        <v>80099931.880046904</v>
      </c>
      <c r="H70" s="21">
        <f>SUMIFS($F$2:F70,$A$2:A70,A70)</f>
        <v>61742942.311839223</v>
      </c>
    </row>
    <row r="71" spans="1:8">
      <c r="A71" t="s">
        <v>200</v>
      </c>
      <c r="B71" s="18">
        <v>2042</v>
      </c>
      <c r="C71" s="21">
        <f>SUMIFS(Annual_Cost!$Q$2:$Q$807,Annual_Cost!$A$2:$A$807,A71,Annual_Cost!$B$2:$B$807,B71)</f>
        <v>0</v>
      </c>
      <c r="D71" s="21">
        <f>SUMIFS(Annual_Cost!$R$2:$R$807,Annual_Cost!$A$2:$A$807,A71,Annual_Cost!$B$2:$B$807,B71)</f>
        <v>5565776.4764588494</v>
      </c>
      <c r="E71" s="21">
        <f>SUMIFS(Annual_Cost!$S$2:$S$807,Annual_Cost!$A$2:$A$807,A71,Annual_Cost!$B$2:$B$807,B71)</f>
        <v>5565776.4764588494</v>
      </c>
      <c r="F71" s="21">
        <f>SUMIFS(Annual_Cost!$W$2:$W$807,Annual_Cost!$A$2:$A$807,A71,Annual_Cost!$B$2:$B$807,B71)</f>
        <v>3367386.3021535669</v>
      </c>
      <c r="G71" s="21">
        <f>SUMIFS($E$2:E71,$A$2:A71,A71)</f>
        <v>85665708.356505752</v>
      </c>
      <c r="H71" s="21">
        <f>SUMIFS($F$2:F71,$A$2:A71,A71)</f>
        <v>65110328.613992788</v>
      </c>
    </row>
    <row r="72" spans="1:8">
      <c r="A72" t="s">
        <v>200</v>
      </c>
      <c r="B72" s="18">
        <v>2043</v>
      </c>
      <c r="C72" s="21">
        <f>SUMIFS(Annual_Cost!$Q$2:$Q$807,Annual_Cost!$A$2:$A$807,A72,Annual_Cost!$B$2:$B$807,B72)</f>
        <v>0</v>
      </c>
      <c r="D72" s="21">
        <f>SUMIFS(Annual_Cost!$R$2:$R$807,Annual_Cost!$A$2:$A$807,A72,Annual_Cost!$B$2:$B$807,B72)</f>
        <v>5588460.8624942806</v>
      </c>
      <c r="E72" s="21">
        <f>SUMIFS(Annual_Cost!$S$2:$S$807,Annual_Cost!$A$2:$A$807,A72,Annual_Cost!$B$2:$B$807,B72)</f>
        <v>5588460.8624942806</v>
      </c>
      <c r="F72" s="21">
        <f>SUMIFS(Annual_Cost!$W$2:$W$807,Annual_Cost!$A$2:$A$807,A72,Annual_Cost!$B$2:$B$807,B72)</f>
        <v>3282631.7755037807</v>
      </c>
      <c r="G72" s="21">
        <f>SUMIFS($E$2:E72,$A$2:A72,A72)</f>
        <v>91254169.219000027</v>
      </c>
      <c r="H72" s="21">
        <f>SUMIFS($F$2:F72,$A$2:A72,A72)</f>
        <v>68392960.389496565</v>
      </c>
    </row>
    <row r="73" spans="1:8">
      <c r="A73" t="s">
        <v>200</v>
      </c>
      <c r="B73" s="18">
        <v>2044</v>
      </c>
      <c r="C73" s="21">
        <f>SUMIFS(Annual_Cost!$Q$2:$Q$807,Annual_Cost!$A$2:$A$807,A73,Annual_Cost!$B$2:$B$807,B73)</f>
        <v>0</v>
      </c>
      <c r="D73" s="21">
        <f>SUMIFS(Annual_Cost!$R$2:$R$807,Annual_Cost!$A$2:$A$807,A73,Annual_Cost!$B$2:$B$807,B73)</f>
        <v>5609993.8785620602</v>
      </c>
      <c r="E73" s="21">
        <f>SUMIFS(Annual_Cost!$S$2:$S$807,Annual_Cost!$A$2:$A$807,A73,Annual_Cost!$B$2:$B$807,B73)</f>
        <v>5609993.8785620602</v>
      </c>
      <c r="F73" s="21">
        <f>SUMIFS(Annual_Cost!$W$2:$W$807,Annual_Cost!$A$2:$A$807,A73,Annual_Cost!$B$2:$B$807,B73)</f>
        <v>3199301.1194443782</v>
      </c>
      <c r="G73" s="21">
        <f>SUMIFS($E$2:E73,$A$2:A73,A73)</f>
        <v>96864163.09756209</v>
      </c>
      <c r="H73" s="21">
        <f>SUMIFS($F$2:F73,$A$2:A73,A73)</f>
        <v>71592261.50894095</v>
      </c>
    </row>
    <row r="74" spans="1:8">
      <c r="A74" t="s">
        <v>200</v>
      </c>
      <c r="B74" s="18">
        <v>2045</v>
      </c>
      <c r="C74" s="21">
        <f>SUMIFS(Annual_Cost!$Q$2:$Q$807,Annual_Cost!$A$2:$A$807,A74,Annual_Cost!$B$2:$B$807,B74)</f>
        <v>0</v>
      </c>
      <c r="D74" s="21">
        <f>SUMIFS(Annual_Cost!$R$2:$R$807,Annual_Cost!$A$2:$A$807,A74,Annual_Cost!$B$2:$B$807,B74)</f>
        <v>5630332.3758676192</v>
      </c>
      <c r="E74" s="21">
        <f>SUMIFS(Annual_Cost!$S$2:$S$807,Annual_Cost!$A$2:$A$807,A74,Annual_Cost!$B$2:$B$807,B74)</f>
        <v>5630332.3758676192</v>
      </c>
      <c r="F74" s="21">
        <f>SUMIFS(Annual_Cost!$W$2:$W$807,Annual_Cost!$A$2:$A$807,A74,Annual_Cost!$B$2:$B$807,B74)</f>
        <v>3117378.5245282431</v>
      </c>
      <c r="G74" s="21">
        <f>SUMIFS($E$2:E74,$A$2:A74,A74)</f>
        <v>102494495.47342971</v>
      </c>
      <c r="H74" s="21">
        <f>SUMIFS($F$2:F74,$A$2:A74,A74)</f>
        <v>74709640.0334692</v>
      </c>
    </row>
    <row r="75" spans="1:8">
      <c r="A75" t="s">
        <v>200</v>
      </c>
      <c r="B75" s="18">
        <v>2046</v>
      </c>
      <c r="C75" s="21">
        <f>SUMIFS(Annual_Cost!$Q$2:$Q$807,Annual_Cost!$A$2:$A$807,A75,Annual_Cost!$B$2:$B$807,B75)</f>
        <v>0</v>
      </c>
      <c r="D75" s="21">
        <f>SUMIFS(Annual_Cost!$R$2:$R$807,Annual_Cost!$A$2:$A$807,A75,Annual_Cost!$B$2:$B$807,B75)</f>
        <v>5649497.8359036222</v>
      </c>
      <c r="E75" s="21">
        <f>SUMIFS(Annual_Cost!$S$2:$S$807,Annual_Cost!$A$2:$A$807,A75,Annual_Cost!$B$2:$B$807,B75)</f>
        <v>5649497.8359036222</v>
      </c>
      <c r="F75" s="21">
        <f>SUMIFS(Annual_Cost!$W$2:$W$807,Annual_Cost!$A$2:$A$807,A75,Annual_Cost!$B$2:$B$807,B75)</f>
        <v>3036883.4709398109</v>
      </c>
      <c r="G75" s="21">
        <f>SUMIFS($E$2:E75,$A$2:A75,A75)</f>
        <v>108143993.30933332</v>
      </c>
      <c r="H75" s="21">
        <f>SUMIFS($F$2:F75,$A$2:A75,A75)</f>
        <v>77746523.504409015</v>
      </c>
    </row>
    <row r="76" spans="1:8">
      <c r="A76" t="s">
        <v>200</v>
      </c>
      <c r="B76" s="18">
        <v>2047</v>
      </c>
      <c r="C76" s="21">
        <f>SUMIFS(Annual_Cost!$Q$2:$Q$807,Annual_Cost!$A$2:$A$807,A76,Annual_Cost!$B$2:$B$807,B76)</f>
        <v>0</v>
      </c>
      <c r="D76" s="21">
        <f>SUMIFS(Annual_Cost!$R$2:$R$807,Annual_Cost!$A$2:$A$807,A76,Annual_Cost!$B$2:$B$807,B76)</f>
        <v>5667533.2273390535</v>
      </c>
      <c r="E76" s="21">
        <f>SUMIFS(Annual_Cost!$S$2:$S$807,Annual_Cost!$A$2:$A$807,A76,Annual_Cost!$B$2:$B$807,B76)</f>
        <v>5667533.2273390535</v>
      </c>
      <c r="F76" s="21">
        <f>SUMIFS(Annual_Cost!$W$2:$W$807,Annual_Cost!$A$2:$A$807,A76,Annual_Cost!$B$2:$B$807,B76)</f>
        <v>2957843.0898511298</v>
      </c>
      <c r="G76" s="21">
        <f>SUMIFS($E$2:E76,$A$2:A76,A76)</f>
        <v>113811526.53667238</v>
      </c>
      <c r="H76" s="21">
        <f>SUMIFS($F$2:F76,$A$2:A76,A76)</f>
        <v>80704366.594260141</v>
      </c>
    </row>
    <row r="77" spans="1:8">
      <c r="A77" t="s">
        <v>200</v>
      </c>
      <c r="B77" s="18">
        <v>2048</v>
      </c>
      <c r="C77" s="21">
        <f>SUMIFS(Annual_Cost!$Q$2:$Q$807,Annual_Cost!$A$2:$A$807,A77,Annual_Cost!$B$2:$B$807,B77)</f>
        <v>0</v>
      </c>
      <c r="D77" s="21">
        <f>SUMIFS(Annual_Cost!$R$2:$R$807,Annual_Cost!$A$2:$A$807,A77,Annual_Cost!$B$2:$B$807,B77)</f>
        <v>5684439.5014371667</v>
      </c>
      <c r="E77" s="21">
        <f>SUMIFS(Annual_Cost!$S$2:$S$807,Annual_Cost!$A$2:$A$807,A77,Annual_Cost!$B$2:$B$807,B77)</f>
        <v>5684439.5014371667</v>
      </c>
      <c r="F77" s="21">
        <f>SUMIFS(Annual_Cost!$W$2:$W$807,Annual_Cost!$A$2:$A$807,A77,Annual_Cost!$B$2:$B$807,B77)</f>
        <v>2880258.5898260199</v>
      </c>
      <c r="G77" s="21">
        <f>SUMIFS($E$2:E77,$A$2:A77,A77)</f>
        <v>119495966.03810956</v>
      </c>
      <c r="H77" s="21">
        <f>SUMIFS($F$2:F77,$A$2:A77,A77)</f>
        <v>83584625.184086159</v>
      </c>
    </row>
    <row r="78" spans="1:8">
      <c r="A78" t="s">
        <v>200</v>
      </c>
      <c r="B78" s="18">
        <v>2049</v>
      </c>
      <c r="C78" s="21">
        <f>SUMIFS(Annual_Cost!$Q$2:$Q$807,Annual_Cost!$A$2:$A$807,A78,Annual_Cost!$B$2:$B$807,B78)</f>
        <v>0</v>
      </c>
      <c r="D78" s="21">
        <f>SUMIFS(Annual_Cost!$R$2:$R$807,Annual_Cost!$A$2:$A$807,A78,Annual_Cost!$B$2:$B$807,B78)</f>
        <v>5700202.7867180128</v>
      </c>
      <c r="E78" s="21">
        <f>SUMIFS(Annual_Cost!$S$2:$S$807,Annual_Cost!$A$2:$A$807,A78,Annual_Cost!$B$2:$B$807,B78)</f>
        <v>5700202.7867180128</v>
      </c>
      <c r="F78" s="21">
        <f>SUMIFS(Annual_Cost!$W$2:$W$807,Annual_Cost!$A$2:$A$807,A78,Annual_Cost!$B$2:$B$807,B78)</f>
        <v>2804122.0547630759</v>
      </c>
      <c r="G78" s="21">
        <f>SUMIFS($E$2:E78,$A$2:A78,A78)</f>
        <v>125196168.82482757</v>
      </c>
      <c r="H78" s="21">
        <f>SUMIFS($F$2:F78,$A$2:A78,A78)</f>
        <v>86388747.238849238</v>
      </c>
    </row>
    <row r="79" spans="1:8">
      <c r="A79" t="s">
        <v>200</v>
      </c>
      <c r="B79" s="18">
        <v>2050</v>
      </c>
      <c r="C79" s="21">
        <f>SUMIFS(Annual_Cost!$Q$2:$Q$807,Annual_Cost!$A$2:$A$807,A79,Annual_Cost!$B$2:$B$807,B79)</f>
        <v>0</v>
      </c>
      <c r="D79" s="21">
        <f>SUMIFS(Annual_Cost!$R$2:$R$807,Annual_Cost!$A$2:$A$807,A79,Annual_Cost!$B$2:$B$807,B79)</f>
        <v>5714780.3246193398</v>
      </c>
      <c r="E79" s="21">
        <f>SUMIFS(Annual_Cost!$S$2:$S$807,Annual_Cost!$A$2:$A$807,A79,Annual_Cost!$B$2:$B$807,B79)</f>
        <v>5714780.3246193398</v>
      </c>
      <c r="F79" s="21">
        <f>SUMIFS(Annual_Cost!$W$2:$W$807,Annual_Cost!$A$2:$A$807,A79,Annual_Cost!$B$2:$B$807,B79)</f>
        <v>2729410.9101451519</v>
      </c>
      <c r="G79" s="21">
        <f>SUMIFS($E$2:E79,$A$2:A79,A79)</f>
        <v>130910949.1494469</v>
      </c>
      <c r="H79" s="21">
        <f>SUMIFS($F$2:F79,$A$2:A79,A79)</f>
        <v>89118158.148994386</v>
      </c>
    </row>
    <row r="80" spans="1:8">
      <c r="A80" t="s">
        <v>210</v>
      </c>
      <c r="B80" s="18">
        <v>2025</v>
      </c>
      <c r="C80" s="21">
        <f>SUMIFS(Annual_Cost!$Q$2:$Q$807,Annual_Cost!$A$2:$A$807,A80,Annual_Cost!$B$2:$B$807,B80)</f>
        <v>0</v>
      </c>
      <c r="D80" s="21">
        <f>SUMIFS(Annual_Cost!$R$2:$R$807,Annual_Cost!$A$2:$A$807,A80,Annual_Cost!$B$2:$B$807,B80)</f>
        <v>0</v>
      </c>
      <c r="E80" s="21">
        <f>SUMIFS(Annual_Cost!$S$2:$S$807,Annual_Cost!$A$2:$A$807,A80,Annual_Cost!$B$2:$B$807,B80)</f>
        <v>0</v>
      </c>
      <c r="F80" s="21">
        <f>SUMIFS(Annual_Cost!$W$2:$W$807,Annual_Cost!$A$2:$A$807,A80,Annual_Cost!$B$2:$B$807,B80)</f>
        <v>0</v>
      </c>
      <c r="G80" s="21">
        <f>SUMIFS($E$2:E80,$A$2:A80,A80)</f>
        <v>0</v>
      </c>
      <c r="H80" s="21">
        <f>SUMIFS($F$2:F80,$A$2:A80,A80)</f>
        <v>0</v>
      </c>
    </row>
    <row r="81" spans="1:8">
      <c r="A81" t="s">
        <v>210</v>
      </c>
      <c r="B81" s="18">
        <v>2026</v>
      </c>
      <c r="C81" s="21">
        <f>SUMIFS(Annual_Cost!$Q$2:$Q$807,Annual_Cost!$A$2:$A$807,A81,Annual_Cost!$B$2:$B$807,B81)</f>
        <v>0</v>
      </c>
      <c r="D81" s="21">
        <f>SUMIFS(Annual_Cost!$R$2:$R$807,Annual_Cost!$A$2:$A$807,A81,Annual_Cost!$B$2:$B$807,B81)</f>
        <v>1694360.7934206405</v>
      </c>
      <c r="E81" s="21">
        <f>SUMIFS(Annual_Cost!$S$2:$S$807,Annual_Cost!$A$2:$A$807,A81,Annual_Cost!$B$2:$B$807,B81)</f>
        <v>1694360.7934206405</v>
      </c>
      <c r="F81" s="21">
        <f>SUMIFS(Annual_Cost!$W$2:$W$807,Annual_Cost!$A$2:$A$807,A81,Annual_Cost!$B$2:$B$807,B81)</f>
        <v>1645010.4790491655</v>
      </c>
      <c r="G81" s="21">
        <f>SUMIFS($E$2:E81,$A$2:A81,A81)</f>
        <v>1694360.7934206405</v>
      </c>
      <c r="H81" s="21">
        <f>SUMIFS($F$2:F81,$A$2:A81,A81)</f>
        <v>1645010.4790491655</v>
      </c>
    </row>
    <row r="82" spans="1:8">
      <c r="A82" t="s">
        <v>210</v>
      </c>
      <c r="B82" s="18">
        <v>2027</v>
      </c>
      <c r="C82" s="21">
        <f>SUMIFS(Annual_Cost!$Q$2:$Q$807,Annual_Cost!$A$2:$A$807,A82,Annual_Cost!$B$2:$B$807,B82)</f>
        <v>0</v>
      </c>
      <c r="D82" s="21">
        <f>SUMIFS(Annual_Cost!$R$2:$R$807,Annual_Cost!$A$2:$A$807,A82,Annual_Cost!$B$2:$B$807,B82)</f>
        <v>3410778.2335757674</v>
      </c>
      <c r="E82" s="21">
        <f>SUMIFS(Annual_Cost!$S$2:$S$807,Annual_Cost!$A$2:$A$807,A82,Annual_Cost!$B$2:$B$807,B82)</f>
        <v>3410778.2335757674</v>
      </c>
      <c r="F82" s="21">
        <f>SUMIFS(Annual_Cost!$W$2:$W$807,Annual_Cost!$A$2:$A$807,A82,Annual_Cost!$B$2:$B$807,B82)</f>
        <v>3214985.6099309712</v>
      </c>
      <c r="G82" s="21">
        <f>SUMIFS($E$2:E82,$A$2:A82,A82)</f>
        <v>5105139.0269964077</v>
      </c>
      <c r="H82" s="21">
        <f>SUMIFS($F$2:F82,$A$2:A82,A82)</f>
        <v>4859996.0889801364</v>
      </c>
    </row>
    <row r="83" spans="1:8">
      <c r="A83" t="s">
        <v>210</v>
      </c>
      <c r="B83" s="18">
        <v>2028</v>
      </c>
      <c r="C83" s="21">
        <f>SUMIFS(Annual_Cost!$Q$2:$Q$807,Annual_Cost!$A$2:$A$807,A83,Annual_Cost!$B$2:$B$807,B83)</f>
        <v>0</v>
      </c>
      <c r="D83" s="21">
        <f>SUMIFS(Annual_Cost!$R$2:$R$807,Annual_Cost!$A$2:$A$807,A83,Annual_Cost!$B$2:$B$807,B83)</f>
        <v>5151242.8487023953</v>
      </c>
      <c r="E83" s="21">
        <f>SUMIFS(Annual_Cost!$S$2:$S$807,Annual_Cost!$A$2:$A$807,A83,Annual_Cost!$B$2:$B$807,B83)</f>
        <v>5151242.8487023953</v>
      </c>
      <c r="F83" s="21">
        <f>SUMIFS(Annual_Cost!$W$2:$W$807,Annual_Cost!$A$2:$A$807,A83,Annual_Cost!$B$2:$B$807,B83)</f>
        <v>4714116.928292607</v>
      </c>
      <c r="G83" s="21">
        <f>SUMIFS($E$2:E83,$A$2:A83,A83)</f>
        <v>10256381.875698803</v>
      </c>
      <c r="H83" s="21">
        <f>SUMIFS($F$2:F83,$A$2:A83,A83)</f>
        <v>9574113.0172727443</v>
      </c>
    </row>
    <row r="84" spans="1:8">
      <c r="A84" t="s">
        <v>210</v>
      </c>
      <c r="B84" s="18">
        <v>2029</v>
      </c>
      <c r="C84" s="21">
        <f>SUMIFS(Annual_Cost!$Q$2:$Q$807,Annual_Cost!$A$2:$A$807,A84,Annual_Cost!$B$2:$B$807,B84)</f>
        <v>0</v>
      </c>
      <c r="D84" s="21">
        <f>SUMIFS(Annual_Cost!$R$2:$R$807,Annual_Cost!$A$2:$A$807,A84,Annual_Cost!$B$2:$B$807,B84)</f>
        <v>5185777.8544295514</v>
      </c>
      <c r="E84" s="21">
        <f>SUMIFS(Annual_Cost!$S$2:$S$807,Annual_Cost!$A$2:$A$807,A84,Annual_Cost!$B$2:$B$807,B84)</f>
        <v>5185777.8544295514</v>
      </c>
      <c r="F84" s="21">
        <f>SUMIFS(Annual_Cost!$W$2:$W$807,Annual_Cost!$A$2:$A$807,A84,Annual_Cost!$B$2:$B$807,B84)</f>
        <v>4607496.4570286674</v>
      </c>
      <c r="G84" s="21">
        <f>SUMIFS($E$2:E84,$A$2:A84,A84)</f>
        <v>15442159.730128355</v>
      </c>
      <c r="H84" s="21">
        <f>SUMIFS($F$2:F84,$A$2:A84,A84)</f>
        <v>14181609.474301413</v>
      </c>
    </row>
    <row r="85" spans="1:8">
      <c r="A85" t="s">
        <v>210</v>
      </c>
      <c r="B85" s="18">
        <v>2030</v>
      </c>
      <c r="C85" s="21">
        <f>SUMIFS(Annual_Cost!$Q$2:$Q$807,Annual_Cost!$A$2:$A$807,A85,Annual_Cost!$B$2:$B$807,B85)</f>
        <v>0</v>
      </c>
      <c r="D85" s="21">
        <f>SUMIFS(Annual_Cost!$R$2:$R$807,Annual_Cost!$A$2:$A$807,A85,Annual_Cost!$B$2:$B$807,B85)</f>
        <v>5219513.5579804936</v>
      </c>
      <c r="E85" s="21">
        <f>SUMIFS(Annual_Cost!$S$2:$S$807,Annual_Cost!$A$2:$A$807,A85,Annual_Cost!$B$2:$B$807,B85)</f>
        <v>5219513.5579804936</v>
      </c>
      <c r="F85" s="21">
        <f>SUMIFS(Annual_Cost!$W$2:$W$807,Annual_Cost!$A$2:$A$807,A85,Annual_Cost!$B$2:$B$807,B85)</f>
        <v>4502398.2453262173</v>
      </c>
      <c r="G85" s="21">
        <f>SUMIFS($E$2:E85,$A$2:A85,A85)</f>
        <v>20661673.288108848</v>
      </c>
      <c r="H85" s="21">
        <f>SUMIFS($F$2:F85,$A$2:A85,A85)</f>
        <v>18684007.71962763</v>
      </c>
    </row>
    <row r="86" spans="1:8">
      <c r="A86" t="s">
        <v>210</v>
      </c>
      <c r="B86" s="18">
        <v>2031</v>
      </c>
      <c r="C86" s="21">
        <f>SUMIFS(Annual_Cost!$Q$2:$Q$807,Annual_Cost!$A$2:$A$807,A86,Annual_Cost!$B$2:$B$807,B86)</f>
        <v>0</v>
      </c>
      <c r="D86" s="21">
        <f>SUMIFS(Annual_Cost!$R$2:$R$807,Annual_Cost!$A$2:$A$807,A86,Annual_Cost!$B$2:$B$807,B86)</f>
        <v>5252683.2980311755</v>
      </c>
      <c r="E86" s="21">
        <f>SUMIFS(Annual_Cost!$S$2:$S$807,Annual_Cost!$A$2:$A$807,A86,Annual_Cost!$B$2:$B$807,B86)</f>
        <v>5252683.2980311755</v>
      </c>
      <c r="F86" s="21">
        <f>SUMIFS(Annual_Cost!$W$2:$W$807,Annual_Cost!$A$2:$A$807,A86,Annual_Cost!$B$2:$B$807,B86)</f>
        <v>4399039.5674462859</v>
      </c>
      <c r="G86" s="21">
        <f>SUMIFS($E$2:E86,$A$2:A86,A86)</f>
        <v>25914356.586140022</v>
      </c>
      <c r="H86" s="21">
        <f>SUMIFS($F$2:F86,$A$2:A86,A86)</f>
        <v>23083047.287073918</v>
      </c>
    </row>
    <row r="87" spans="1:8">
      <c r="A87" t="s">
        <v>210</v>
      </c>
      <c r="B87" s="18">
        <v>2032</v>
      </c>
      <c r="C87" s="21">
        <f>SUMIFS(Annual_Cost!$Q$2:$Q$807,Annual_Cost!$A$2:$A$807,A87,Annual_Cost!$B$2:$B$807,B87)</f>
        <v>0</v>
      </c>
      <c r="D87" s="21">
        <f>SUMIFS(Annual_Cost!$R$2:$R$807,Annual_Cost!$A$2:$A$807,A87,Annual_Cost!$B$2:$B$807,B87)</f>
        <v>5285248.8176386049</v>
      </c>
      <c r="E87" s="21">
        <f>SUMIFS(Annual_Cost!$S$2:$S$807,Annual_Cost!$A$2:$A$807,A87,Annual_Cost!$B$2:$B$807,B87)</f>
        <v>5285248.8176386049</v>
      </c>
      <c r="F87" s="21">
        <f>SUMIFS(Annual_Cost!$W$2:$W$807,Annual_Cost!$A$2:$A$807,A87,Annual_Cost!$B$2:$B$807,B87)</f>
        <v>4297390.9489594465</v>
      </c>
      <c r="G87" s="21">
        <f>SUMIFS($E$2:E87,$A$2:A87,A87)</f>
        <v>31199605.403778628</v>
      </c>
      <c r="H87" s="21">
        <f>SUMIFS($F$2:F87,$A$2:A87,A87)</f>
        <v>27380438.236033365</v>
      </c>
    </row>
    <row r="88" spans="1:8">
      <c r="A88" t="s">
        <v>210</v>
      </c>
      <c r="B88" s="18">
        <v>2033</v>
      </c>
      <c r="C88" s="21">
        <f>SUMIFS(Annual_Cost!$Q$2:$Q$807,Annual_Cost!$A$2:$A$807,A88,Annual_Cost!$B$2:$B$807,B88)</f>
        <v>0</v>
      </c>
      <c r="D88" s="21">
        <f>SUMIFS(Annual_Cost!$R$2:$R$807,Annual_Cost!$A$2:$A$807,A88,Annual_Cost!$B$2:$B$807,B88)</f>
        <v>5317178.3641969701</v>
      </c>
      <c r="E88" s="21">
        <f>SUMIFS(Annual_Cost!$S$2:$S$807,Annual_Cost!$A$2:$A$807,A88,Annual_Cost!$B$2:$B$807,B88)</f>
        <v>5317178.3641969701</v>
      </c>
      <c r="F88" s="21">
        <f>SUMIFS(Annual_Cost!$W$2:$W$807,Annual_Cost!$A$2:$A$807,A88,Annual_Cost!$B$2:$B$807,B88)</f>
        <v>4197429.7011913555</v>
      </c>
      <c r="G88" s="21">
        <f>SUMIFS($E$2:E88,$A$2:A88,A88)</f>
        <v>36516783.767975599</v>
      </c>
      <c r="H88" s="21">
        <f>SUMIFS($F$2:F88,$A$2:A88,A88)</f>
        <v>31577867.93722472</v>
      </c>
    </row>
    <row r="89" spans="1:8">
      <c r="A89" t="s">
        <v>210</v>
      </c>
      <c r="B89" s="18">
        <v>2034</v>
      </c>
      <c r="C89" s="21">
        <f>SUMIFS(Annual_Cost!$Q$2:$Q$807,Annual_Cost!$A$2:$A$807,A89,Annual_Cost!$B$2:$B$807,B89)</f>
        <v>0</v>
      </c>
      <c r="D89" s="21">
        <f>SUMIFS(Annual_Cost!$R$2:$R$807,Annual_Cost!$A$2:$A$807,A89,Annual_Cost!$B$2:$B$807,B89)</f>
        <v>5348211.1357694929</v>
      </c>
      <c r="E89" s="21">
        <f>SUMIFS(Annual_Cost!$S$2:$S$807,Annual_Cost!$A$2:$A$807,A89,Annual_Cost!$B$2:$B$807,B89)</f>
        <v>5348211.1357694929</v>
      </c>
      <c r="F89" s="21">
        <f>SUMIFS(Annual_Cost!$W$2:$W$807,Annual_Cost!$A$2:$A$807,A89,Annual_Cost!$B$2:$B$807,B89)</f>
        <v>4098958.5025602528</v>
      </c>
      <c r="G89" s="21">
        <f>SUMIFS($E$2:E89,$A$2:A89,A89)</f>
        <v>41864994.903745092</v>
      </c>
      <c r="H89" s="21">
        <f>SUMIFS($F$2:F89,$A$2:A89,A89)</f>
        <v>35676826.439784974</v>
      </c>
    </row>
    <row r="90" spans="1:8">
      <c r="A90" t="s">
        <v>210</v>
      </c>
      <c r="B90" s="18">
        <v>2035</v>
      </c>
      <c r="C90" s="21">
        <f>SUMIFS(Annual_Cost!$Q$2:$Q$807,Annual_Cost!$A$2:$A$807,A90,Annual_Cost!$B$2:$B$807,B90)</f>
        <v>0</v>
      </c>
      <c r="D90" s="21">
        <f>SUMIFS(Annual_Cost!$R$2:$R$807,Annual_Cost!$A$2:$A$807,A90,Annual_Cost!$B$2:$B$807,B90)</f>
        <v>5378566.5434847381</v>
      </c>
      <c r="E90" s="21">
        <f>SUMIFS(Annual_Cost!$S$2:$S$807,Annual_Cost!$A$2:$A$807,A90,Annual_Cost!$B$2:$B$807,B90)</f>
        <v>5378566.5434847381</v>
      </c>
      <c r="F90" s="21">
        <f>SUMIFS(Annual_Cost!$W$2:$W$807,Annual_Cost!$A$2:$A$807,A90,Annual_Cost!$B$2:$B$807,B90)</f>
        <v>4002158.6358741061</v>
      </c>
      <c r="G90" s="21">
        <f>SUMIFS($E$2:E90,$A$2:A90,A90)</f>
        <v>47243561.447229832</v>
      </c>
      <c r="H90" s="21">
        <f>SUMIFS($F$2:F90,$A$2:A90,A90)</f>
        <v>39678985.075659081</v>
      </c>
    </row>
    <row r="91" spans="1:8">
      <c r="A91" t="s">
        <v>210</v>
      </c>
      <c r="B91" s="18">
        <v>2036</v>
      </c>
      <c r="C91" s="21">
        <f>SUMIFS(Annual_Cost!$Q$2:$Q$807,Annual_Cost!$A$2:$A$807,A91,Annual_Cost!$B$2:$B$807,B91)</f>
        <v>0</v>
      </c>
      <c r="D91" s="21">
        <f>SUMIFS(Annual_Cost!$R$2:$R$807,Annual_Cost!$A$2:$A$807,A91,Annual_Cost!$B$2:$B$807,B91)</f>
        <v>5408144.9427777641</v>
      </c>
      <c r="E91" s="21">
        <f>SUMIFS(Annual_Cost!$S$2:$S$807,Annual_Cost!$A$2:$A$807,A91,Annual_Cost!$B$2:$B$807,B91)</f>
        <v>5408144.9427777641</v>
      </c>
      <c r="F91" s="21">
        <f>SUMIFS(Annual_Cost!$W$2:$W$807,Annual_Cost!$A$2:$A$807,A91,Annual_Cost!$B$2:$B$807,B91)</f>
        <v>3906958.9735926525</v>
      </c>
      <c r="G91" s="21">
        <f>SUMIFS($E$2:E91,$A$2:A91,A91)</f>
        <v>52651706.3900076</v>
      </c>
      <c r="H91" s="21">
        <f>SUMIFS($F$2:F91,$A$2:A91,A91)</f>
        <v>43585944.049251735</v>
      </c>
    </row>
    <row r="92" spans="1:8">
      <c r="A92" t="s">
        <v>210</v>
      </c>
      <c r="B92" s="18">
        <v>2037</v>
      </c>
      <c r="C92" s="21">
        <f>SUMIFS(Annual_Cost!$Q$2:$Q$807,Annual_Cost!$A$2:$A$807,A92,Annual_Cost!$B$2:$B$807,B92)</f>
        <v>0</v>
      </c>
      <c r="D92" s="21">
        <f>SUMIFS(Annual_Cost!$R$2:$R$807,Annual_Cost!$A$2:$A$807,A92,Annual_Cost!$B$2:$B$807,B92)</f>
        <v>5436926.0728615848</v>
      </c>
      <c r="E92" s="21">
        <f>SUMIFS(Annual_Cost!$S$2:$S$807,Annual_Cost!$A$2:$A$807,A92,Annual_Cost!$B$2:$B$807,B92)</f>
        <v>5436926.0728615848</v>
      </c>
      <c r="F92" s="21">
        <f>SUMIFS(Annual_Cost!$W$2:$W$807,Annual_Cost!$A$2:$A$807,A92,Annual_Cost!$B$2:$B$807,B92)</f>
        <v>3813350.5576017108</v>
      </c>
      <c r="G92" s="21">
        <f>SUMIFS($E$2:E92,$A$2:A92,A92)</f>
        <v>58088632.462869182</v>
      </c>
      <c r="H92" s="21">
        <f>SUMIFS($F$2:F92,$A$2:A92,A92)</f>
        <v>47399294.606853448</v>
      </c>
    </row>
    <row r="93" spans="1:8">
      <c r="A93" t="s">
        <v>210</v>
      </c>
      <c r="B93" s="18">
        <v>2038</v>
      </c>
      <c r="C93" s="21">
        <f>SUMIFS(Annual_Cost!$Q$2:$Q$807,Annual_Cost!$A$2:$A$807,A93,Annual_Cost!$B$2:$B$807,B93)</f>
        <v>0</v>
      </c>
      <c r="D93" s="21">
        <f>SUMIFS(Annual_Cost!$R$2:$R$807,Annual_Cost!$A$2:$A$807,A93,Annual_Cost!$B$2:$B$807,B93)</f>
        <v>5464809.7730965996</v>
      </c>
      <c r="E93" s="21">
        <f>SUMIFS(Annual_Cost!$S$2:$S$807,Annual_Cost!$A$2:$A$807,A93,Annual_Cost!$B$2:$B$807,B93)</f>
        <v>5464809.7730965996</v>
      </c>
      <c r="F93" s="21">
        <f>SUMIFS(Annual_Cost!$W$2:$W$807,Annual_Cost!$A$2:$A$807,A93,Annual_Cost!$B$2:$B$807,B93)</f>
        <v>3721269.5377979442</v>
      </c>
      <c r="G93" s="21">
        <f>SUMIFS($E$2:E93,$A$2:A93,A93)</f>
        <v>63553442.235965781</v>
      </c>
      <c r="H93" s="21">
        <f>SUMIFS($F$2:F93,$A$2:A93,A93)</f>
        <v>51120564.144651391</v>
      </c>
    </row>
    <row r="94" spans="1:8">
      <c r="A94" t="s">
        <v>210</v>
      </c>
      <c r="B94" s="18">
        <v>2039</v>
      </c>
      <c r="C94" s="21">
        <f>SUMIFS(Annual_Cost!$Q$2:$Q$807,Annual_Cost!$A$2:$A$807,A94,Annual_Cost!$B$2:$B$807,B94)</f>
        <v>0</v>
      </c>
      <c r="D94" s="21">
        <f>SUMIFS(Annual_Cost!$R$2:$R$807,Annual_Cost!$A$2:$A$807,A94,Annual_Cost!$B$2:$B$807,B94)</f>
        <v>5491769.4167312514</v>
      </c>
      <c r="E94" s="21">
        <f>SUMIFS(Annual_Cost!$S$2:$S$807,Annual_Cost!$A$2:$A$807,A94,Annual_Cost!$B$2:$B$807,B94)</f>
        <v>5491769.4167312514</v>
      </c>
      <c r="F94" s="21">
        <f>SUMIFS(Annual_Cost!$W$2:$W$807,Annual_Cost!$A$2:$A$807,A94,Annual_Cost!$B$2:$B$807,B94)</f>
        <v>3630706.5468511633</v>
      </c>
      <c r="G94" s="21">
        <f>SUMIFS($E$2:E94,$A$2:A94,A94)</f>
        <v>69045211.652697027</v>
      </c>
      <c r="H94" s="21">
        <f>SUMIFS($F$2:F94,$A$2:A94,A94)</f>
        <v>54751270.691502556</v>
      </c>
    </row>
    <row r="95" spans="1:8">
      <c r="A95" t="s">
        <v>210</v>
      </c>
      <c r="B95" s="18">
        <v>2040</v>
      </c>
      <c r="C95" s="21">
        <f>SUMIFS(Annual_Cost!$Q$2:$Q$807,Annual_Cost!$A$2:$A$807,A95,Annual_Cost!$B$2:$B$807,B95)</f>
        <v>0</v>
      </c>
      <c r="D95" s="21">
        <f>SUMIFS(Annual_Cost!$R$2:$R$807,Annual_Cost!$A$2:$A$807,A95,Annual_Cost!$B$2:$B$807,B95)</f>
        <v>5517652.8546806322</v>
      </c>
      <c r="E95" s="21">
        <f>SUMIFS(Annual_Cost!$S$2:$S$807,Annual_Cost!$A$2:$A$807,A95,Annual_Cost!$B$2:$B$807,B95)</f>
        <v>5517652.8546806322</v>
      </c>
      <c r="F95" s="21">
        <f>SUMIFS(Annual_Cost!$W$2:$W$807,Annual_Cost!$A$2:$A$807,A95,Annual_Cost!$B$2:$B$807,B95)</f>
        <v>3541571.4063643687</v>
      </c>
      <c r="G95" s="21">
        <f>SUMIFS($E$2:E95,$A$2:A95,A95)</f>
        <v>74562864.507377654</v>
      </c>
      <c r="H95" s="21">
        <f>SUMIFS($F$2:F95,$A$2:A95,A95)</f>
        <v>58292842.097866923</v>
      </c>
    </row>
    <row r="96" spans="1:8">
      <c r="A96" t="s">
        <v>210</v>
      </c>
      <c r="B96" s="18">
        <v>2041</v>
      </c>
      <c r="C96" s="21">
        <f>SUMIFS(Annual_Cost!$Q$2:$Q$807,Annual_Cost!$A$2:$A$807,A96,Annual_Cost!$B$2:$B$807,B96)</f>
        <v>0</v>
      </c>
      <c r="D96" s="21">
        <f>SUMIFS(Annual_Cost!$R$2:$R$807,Annual_Cost!$A$2:$A$807,A96,Annual_Cost!$B$2:$B$807,B96)</f>
        <v>5542529.5441945558</v>
      </c>
      <c r="E96" s="21">
        <f>SUMIFS(Annual_Cost!$S$2:$S$807,Annual_Cost!$A$2:$A$807,A96,Annual_Cost!$B$2:$B$807,B96)</f>
        <v>5542529.5441945558</v>
      </c>
      <c r="F96" s="21">
        <f>SUMIFS(Annual_Cost!$W$2:$W$807,Annual_Cost!$A$2:$A$807,A96,Annual_Cost!$B$2:$B$807,B96)</f>
        <v>3453921.1715927767</v>
      </c>
      <c r="G96" s="21">
        <f>SUMIFS($E$2:E96,$A$2:A96,A96)</f>
        <v>80105394.051572204</v>
      </c>
      <c r="H96" s="21">
        <f>SUMIFS($F$2:F96,$A$2:A96,A96)</f>
        <v>61746763.269459702</v>
      </c>
    </row>
    <row r="97" spans="1:8">
      <c r="A97" t="s">
        <v>210</v>
      </c>
      <c r="B97" s="18">
        <v>2042</v>
      </c>
      <c r="C97" s="21">
        <f>SUMIFS(Annual_Cost!$Q$2:$Q$807,Annual_Cost!$A$2:$A$807,A97,Annual_Cost!$B$2:$B$807,B97)</f>
        <v>0</v>
      </c>
      <c r="D97" s="21">
        <f>SUMIFS(Annual_Cost!$R$2:$R$807,Annual_Cost!$A$2:$A$807,A97,Annual_Cost!$B$2:$B$807,B97)</f>
        <v>5566311.8380867466</v>
      </c>
      <c r="E97" s="21">
        <f>SUMIFS(Annual_Cost!$S$2:$S$807,Annual_Cost!$A$2:$A$807,A97,Annual_Cost!$B$2:$B$807,B97)</f>
        <v>5566311.8380867466</v>
      </c>
      <c r="F97" s="21">
        <f>SUMIFS(Annual_Cost!$W$2:$W$807,Annual_Cost!$A$2:$A$807,A97,Annual_Cost!$B$2:$B$807,B97)</f>
        <v>3367710.2047429192</v>
      </c>
      <c r="G97" s="21">
        <f>SUMIFS($E$2:E97,$A$2:A97,A97)</f>
        <v>85671705.889658958</v>
      </c>
      <c r="H97" s="21">
        <f>SUMIFS($F$2:F97,$A$2:A97,A97)</f>
        <v>65114473.474202618</v>
      </c>
    </row>
    <row r="98" spans="1:8">
      <c r="A98" t="s">
        <v>210</v>
      </c>
      <c r="B98" s="18">
        <v>2043</v>
      </c>
      <c r="C98" s="21">
        <f>SUMIFS(Annual_Cost!$Q$2:$Q$807,Annual_Cost!$A$2:$A$807,A98,Annual_Cost!$B$2:$B$807,B98)</f>
        <v>0</v>
      </c>
      <c r="D98" s="21">
        <f>SUMIFS(Annual_Cost!$R$2:$R$807,Annual_Cost!$A$2:$A$807,A98,Annual_Cost!$B$2:$B$807,B98)</f>
        <v>5589098.1511885459</v>
      </c>
      <c r="E98" s="21">
        <f>SUMIFS(Annual_Cost!$S$2:$S$807,Annual_Cost!$A$2:$A$807,A98,Annual_Cost!$B$2:$B$807,B98)</f>
        <v>5589098.1511885459</v>
      </c>
      <c r="F98" s="21">
        <f>SUMIFS(Annual_Cost!$W$2:$W$807,Annual_Cost!$A$2:$A$807,A98,Annual_Cost!$B$2:$B$807,B98)</f>
        <v>3283006.1154462872</v>
      </c>
      <c r="G98" s="21">
        <f>SUMIFS($E$2:E98,$A$2:A98,A98)</f>
        <v>91260804.04084751</v>
      </c>
      <c r="H98" s="21">
        <f>SUMIFS($F$2:F98,$A$2:A98,A98)</f>
        <v>68397479.589648902</v>
      </c>
    </row>
    <row r="99" spans="1:8">
      <c r="A99" t="s">
        <v>210</v>
      </c>
      <c r="B99" s="18">
        <v>2044</v>
      </c>
      <c r="C99" s="21">
        <f>SUMIFS(Annual_Cost!$Q$2:$Q$807,Annual_Cost!$A$2:$A$807,A99,Annual_Cost!$B$2:$B$807,B99)</f>
        <v>0</v>
      </c>
      <c r="D99" s="21">
        <f>SUMIFS(Annual_Cost!$R$2:$R$807,Annual_Cost!$A$2:$A$807,A99,Annual_Cost!$B$2:$B$807,B99)</f>
        <v>5610671.8033429002</v>
      </c>
      <c r="E99" s="21">
        <f>SUMIFS(Annual_Cost!$S$2:$S$807,Annual_Cost!$A$2:$A$807,A99,Annual_Cost!$B$2:$B$807,B99)</f>
        <v>5610671.8033429002</v>
      </c>
      <c r="F99" s="21">
        <f>SUMIFS(Annual_Cost!$W$2:$W$807,Annual_Cost!$A$2:$A$807,A99,Annual_Cost!$B$2:$B$807,B99)</f>
        <v>3199687.7304741205</v>
      </c>
      <c r="G99" s="21">
        <f>SUMIFS($E$2:E99,$A$2:A99,A99)</f>
        <v>96871475.844190404</v>
      </c>
      <c r="H99" s="21">
        <f>SUMIFS($F$2:F99,$A$2:A99,A99)</f>
        <v>71597167.320123017</v>
      </c>
    </row>
    <row r="100" spans="1:8">
      <c r="A100" t="s">
        <v>210</v>
      </c>
      <c r="B100" s="18">
        <v>2045</v>
      </c>
      <c r="C100" s="21">
        <f>SUMIFS(Annual_Cost!$Q$2:$Q$807,Annual_Cost!$A$2:$A$807,A100,Annual_Cost!$B$2:$B$807,B100)</f>
        <v>0</v>
      </c>
      <c r="D100" s="21">
        <f>SUMIFS(Annual_Cost!$R$2:$R$807,Annual_Cost!$A$2:$A$807,A100,Annual_Cost!$B$2:$B$807,B100)</f>
        <v>5631056.8387045804</v>
      </c>
      <c r="E100" s="21">
        <f>SUMIFS(Annual_Cost!$S$2:$S$807,Annual_Cost!$A$2:$A$807,A100,Annual_Cost!$B$2:$B$807,B100)</f>
        <v>5631056.8387045804</v>
      </c>
      <c r="F100" s="21">
        <f>SUMIFS(Annual_Cost!$W$2:$W$807,Annual_Cost!$A$2:$A$807,A100,Annual_Cost!$B$2:$B$807,B100)</f>
        <v>3117779.6420358778</v>
      </c>
      <c r="G100" s="21">
        <f>SUMIFS($E$2:E100,$A$2:A100,A100)</f>
        <v>102502532.68289499</v>
      </c>
      <c r="H100" s="21">
        <f>SUMIFS($F$2:F100,$A$2:A100,A100)</f>
        <v>74714946.962158889</v>
      </c>
    </row>
    <row r="101" spans="1:8">
      <c r="A101" t="s">
        <v>210</v>
      </c>
      <c r="B101" s="18">
        <v>2046</v>
      </c>
      <c r="C101" s="21">
        <f>SUMIFS(Annual_Cost!$Q$2:$Q$807,Annual_Cost!$A$2:$A$807,A101,Annual_Cost!$B$2:$B$807,B101)</f>
        <v>0</v>
      </c>
      <c r="D101" s="21">
        <f>SUMIFS(Annual_Cost!$R$2:$R$807,Annual_Cost!$A$2:$A$807,A101,Annual_Cost!$B$2:$B$807,B101)</f>
        <v>5650276.5332437996</v>
      </c>
      <c r="E101" s="21">
        <f>SUMIFS(Annual_Cost!$S$2:$S$807,Annual_Cost!$A$2:$A$807,A101,Annual_Cost!$B$2:$B$807,B101)</f>
        <v>5650276.5332437996</v>
      </c>
      <c r="F101" s="21">
        <f>SUMIFS(Annual_Cost!$W$2:$W$807,Annual_Cost!$A$2:$A$807,A101,Annual_Cost!$B$2:$B$807,B101)</f>
        <v>3037302.0591311757</v>
      </c>
      <c r="G101" s="21">
        <f>SUMIFS($E$2:E101,$A$2:A101,A101)</f>
        <v>108152809.2161388</v>
      </c>
      <c r="H101" s="21">
        <f>SUMIFS($F$2:F101,$A$2:A101,A101)</f>
        <v>77752249.021290064</v>
      </c>
    </row>
    <row r="102" spans="1:8">
      <c r="A102" t="s">
        <v>210</v>
      </c>
      <c r="B102" s="18">
        <v>2047</v>
      </c>
      <c r="C102" s="21">
        <f>SUMIFS(Annual_Cost!$Q$2:$Q$807,Annual_Cost!$A$2:$A$807,A102,Annual_Cost!$B$2:$B$807,B102)</f>
        <v>0</v>
      </c>
      <c r="D102" s="21">
        <f>SUMIFS(Annual_Cost!$R$2:$R$807,Annual_Cost!$A$2:$A$807,A102,Annual_Cost!$B$2:$B$807,B102)</f>
        <v>5668371.1515024276</v>
      </c>
      <c r="E102" s="21">
        <f>SUMIFS(Annual_Cost!$S$2:$S$807,Annual_Cost!$A$2:$A$807,A102,Annual_Cost!$B$2:$B$807,B102)</f>
        <v>5668371.1515024276</v>
      </c>
      <c r="F102" s="21">
        <f>SUMIFS(Annual_Cost!$W$2:$W$807,Annual_Cost!$A$2:$A$807,A102,Annual_Cost!$B$2:$B$807,B102)</f>
        <v>2958280.3961883034</v>
      </c>
      <c r="G102" s="21">
        <f>SUMIFS($E$2:E102,$A$2:A102,A102)</f>
        <v>113821180.36764123</v>
      </c>
      <c r="H102" s="21">
        <f>SUMIFS($F$2:F102,$A$2:A102,A102)</f>
        <v>80710529.417478368</v>
      </c>
    </row>
    <row r="103" spans="1:8">
      <c r="A103" t="s">
        <v>210</v>
      </c>
      <c r="B103" s="18">
        <v>2048</v>
      </c>
      <c r="C103" s="21">
        <f>SUMIFS(Annual_Cost!$Q$2:$Q$807,Annual_Cost!$A$2:$A$807,A103,Annual_Cost!$B$2:$B$807,B103)</f>
        <v>0</v>
      </c>
      <c r="D103" s="21">
        <f>SUMIFS(Annual_Cost!$R$2:$R$807,Annual_Cost!$A$2:$A$807,A103,Annual_Cost!$B$2:$B$807,B103)</f>
        <v>5685342.8733063908</v>
      </c>
      <c r="E103" s="21">
        <f>SUMIFS(Annual_Cost!$S$2:$S$807,Annual_Cost!$A$2:$A$807,A103,Annual_Cost!$B$2:$B$807,B103)</f>
        <v>5685342.8733063908</v>
      </c>
      <c r="F103" s="21">
        <f>SUMIFS(Annual_Cost!$W$2:$W$807,Annual_Cost!$A$2:$A$807,A103,Annual_Cost!$B$2:$B$807,B103)</f>
        <v>2880716.3208979191</v>
      </c>
      <c r="G103" s="21">
        <f>SUMIFS($E$2:E103,$A$2:A103,A103)</f>
        <v>119506523.24094762</v>
      </c>
      <c r="H103" s="21">
        <f>SUMIFS($F$2:F103,$A$2:A103,A103)</f>
        <v>83591245.73837629</v>
      </c>
    </row>
    <row r="104" spans="1:8">
      <c r="A104" t="s">
        <v>210</v>
      </c>
      <c r="B104" s="18">
        <v>2049</v>
      </c>
      <c r="C104" s="21">
        <f>SUMIFS(Annual_Cost!$Q$2:$Q$807,Annual_Cost!$A$2:$A$807,A104,Annual_Cost!$B$2:$B$807,B104)</f>
        <v>0</v>
      </c>
      <c r="D104" s="21">
        <f>SUMIFS(Annual_Cost!$R$2:$R$807,Annual_Cost!$A$2:$A$807,A104,Annual_Cost!$B$2:$B$807,B104)</f>
        <v>5701165.776269923</v>
      </c>
      <c r="E104" s="21">
        <f>SUMIFS(Annual_Cost!$S$2:$S$807,Annual_Cost!$A$2:$A$807,A104,Annual_Cost!$B$2:$B$807,B104)</f>
        <v>5701165.776269923</v>
      </c>
      <c r="F104" s="21">
        <f>SUMIFS(Annual_Cost!$W$2:$W$807,Annual_Cost!$A$2:$A$807,A104,Annual_Cost!$B$2:$B$807,B104)</f>
        <v>2804595.7818114031</v>
      </c>
      <c r="G104" s="21">
        <f>SUMIFS($E$2:E104,$A$2:A104,A104)</f>
        <v>125207689.01721755</v>
      </c>
      <c r="H104" s="21">
        <f>SUMIFS($F$2:F104,$A$2:A104,A104)</f>
        <v>86395841.520187691</v>
      </c>
    </row>
    <row r="105" spans="1:8">
      <c r="A105" t="s">
        <v>210</v>
      </c>
      <c r="B105" s="18">
        <v>2050</v>
      </c>
      <c r="C105" s="21">
        <f>SUMIFS(Annual_Cost!$Q$2:$Q$807,Annual_Cost!$A$2:$A$807,A105,Annual_Cost!$B$2:$B$807,B105)</f>
        <v>0</v>
      </c>
      <c r="D105" s="21">
        <f>SUMIFS(Annual_Cost!$R$2:$R$807,Annual_Cost!$A$2:$A$807,A105,Annual_Cost!$B$2:$B$807,B105)</f>
        <v>5715807.9875769773</v>
      </c>
      <c r="E105" s="21">
        <f>SUMIFS(Annual_Cost!$S$2:$S$807,Annual_Cost!$A$2:$A$807,A105,Annual_Cost!$B$2:$B$807,B105)</f>
        <v>5715807.9875769773</v>
      </c>
      <c r="F105" s="21">
        <f>SUMIFS(Annual_Cost!$W$2:$W$807,Annual_Cost!$A$2:$A$807,A105,Annual_Cost!$B$2:$B$807,B105)</f>
        <v>2729901.7276970437</v>
      </c>
      <c r="G105" s="21">
        <f>SUMIFS($E$2:E105,$A$2:A105,A105)</f>
        <v>130923497.00479452</v>
      </c>
      <c r="H105" s="21">
        <f>SUMIFS($F$2:F105,$A$2:A105,A105)</f>
        <v>89125743.247884735</v>
      </c>
    </row>
    <row r="106" spans="1:8">
      <c r="A106" t="s">
        <v>217</v>
      </c>
      <c r="B106" s="18">
        <v>2025</v>
      </c>
      <c r="C106" s="21">
        <f>SUMIFS(Annual_Cost!$Q$2:$Q$807,Annual_Cost!$A$2:$A$807,A106,Annual_Cost!$B$2:$B$807,B106)</f>
        <v>0</v>
      </c>
      <c r="D106" s="21">
        <f>SUMIFS(Annual_Cost!$R$2:$R$807,Annual_Cost!$A$2:$A$807,A106,Annual_Cost!$B$2:$B$807,B106)</f>
        <v>0</v>
      </c>
      <c r="E106" s="21">
        <f>SUMIFS(Annual_Cost!$S$2:$S$807,Annual_Cost!$A$2:$A$807,A106,Annual_Cost!$B$2:$B$807,B106)</f>
        <v>0</v>
      </c>
      <c r="F106" s="21">
        <f>SUMIFS(Annual_Cost!$W$2:$W$807,Annual_Cost!$A$2:$A$807,A106,Annual_Cost!$B$2:$B$807,B106)</f>
        <v>0</v>
      </c>
      <c r="G106" s="21">
        <f>SUMIFS($E$2:E106,$A$2:A106,A106)</f>
        <v>0</v>
      </c>
      <c r="H106" s="21">
        <f>SUMIFS($F$2:F106,$A$2:A106,A106)</f>
        <v>0</v>
      </c>
    </row>
    <row r="107" spans="1:8">
      <c r="A107" t="s">
        <v>217</v>
      </c>
      <c r="B107" s="18">
        <v>2026</v>
      </c>
      <c r="C107" s="21">
        <f>SUMIFS(Annual_Cost!$Q$2:$Q$807,Annual_Cost!$A$2:$A$807,A107,Annual_Cost!$B$2:$B$807,B107)</f>
        <v>0</v>
      </c>
      <c r="D107" s="21">
        <f>SUMIFS(Annual_Cost!$R$2:$R$807,Annual_Cost!$A$2:$A$807,A107,Annual_Cost!$B$2:$B$807,B107)</f>
        <v>1694360.7934206405</v>
      </c>
      <c r="E107" s="21">
        <f>SUMIFS(Annual_Cost!$S$2:$S$807,Annual_Cost!$A$2:$A$807,A107,Annual_Cost!$B$2:$B$807,B107)</f>
        <v>1694360.7934206405</v>
      </c>
      <c r="F107" s="21">
        <f>SUMIFS(Annual_Cost!$W$2:$W$807,Annual_Cost!$A$2:$A$807,A107,Annual_Cost!$B$2:$B$807,B107)</f>
        <v>1645010.4790491655</v>
      </c>
      <c r="G107" s="21">
        <f>SUMIFS($E$2:E107,$A$2:A107,A107)</f>
        <v>1694360.7934206405</v>
      </c>
      <c r="H107" s="21">
        <f>SUMIFS($F$2:F107,$A$2:A107,A107)</f>
        <v>1645010.4790491655</v>
      </c>
    </row>
    <row r="108" spans="1:8">
      <c r="A108" t="s">
        <v>217</v>
      </c>
      <c r="B108" s="18">
        <v>2027</v>
      </c>
      <c r="C108" s="21">
        <f>SUMIFS(Annual_Cost!$Q$2:$Q$807,Annual_Cost!$A$2:$A$807,A108,Annual_Cost!$B$2:$B$807,B108)</f>
        <v>0</v>
      </c>
      <c r="D108" s="21">
        <f>SUMIFS(Annual_Cost!$R$2:$R$807,Annual_Cost!$A$2:$A$807,A108,Annual_Cost!$B$2:$B$807,B108)</f>
        <v>3410778.2335757674</v>
      </c>
      <c r="E108" s="21">
        <f>SUMIFS(Annual_Cost!$S$2:$S$807,Annual_Cost!$A$2:$A$807,A108,Annual_Cost!$B$2:$B$807,B108)</f>
        <v>3410778.2335757674</v>
      </c>
      <c r="F108" s="21">
        <f>SUMIFS(Annual_Cost!$W$2:$W$807,Annual_Cost!$A$2:$A$807,A108,Annual_Cost!$B$2:$B$807,B108)</f>
        <v>3214985.6099309712</v>
      </c>
      <c r="G108" s="21">
        <f>SUMIFS($E$2:E108,$A$2:A108,A108)</f>
        <v>5105139.0269964077</v>
      </c>
      <c r="H108" s="21">
        <f>SUMIFS($F$2:F108,$A$2:A108,A108)</f>
        <v>4859996.0889801364</v>
      </c>
    </row>
    <row r="109" spans="1:8">
      <c r="A109" t="s">
        <v>217</v>
      </c>
      <c r="B109" s="18">
        <v>2028</v>
      </c>
      <c r="C109" s="21">
        <f>SUMIFS(Annual_Cost!$Q$2:$Q$807,Annual_Cost!$A$2:$A$807,A109,Annual_Cost!$B$2:$B$807,B109)</f>
        <v>0</v>
      </c>
      <c r="D109" s="21">
        <f>SUMIFS(Annual_Cost!$R$2:$R$807,Annual_Cost!$A$2:$A$807,A109,Annual_Cost!$B$2:$B$807,B109)</f>
        <v>5151233.1451592371</v>
      </c>
      <c r="E109" s="21">
        <f>SUMIFS(Annual_Cost!$S$2:$S$807,Annual_Cost!$A$2:$A$807,A109,Annual_Cost!$B$2:$B$807,B109)</f>
        <v>5151233.1451592371</v>
      </c>
      <c r="F109" s="21">
        <f>SUMIFS(Annual_Cost!$W$2:$W$807,Annual_Cost!$A$2:$A$807,A109,Annual_Cost!$B$2:$B$807,B109)</f>
        <v>4714108.0481760195</v>
      </c>
      <c r="G109" s="21">
        <f>SUMIFS($E$2:E109,$A$2:A109,A109)</f>
        <v>10256372.172155645</v>
      </c>
      <c r="H109" s="21">
        <f>SUMIFS($F$2:F109,$A$2:A109,A109)</f>
        <v>9574104.137156155</v>
      </c>
    </row>
    <row r="110" spans="1:8">
      <c r="A110" t="s">
        <v>217</v>
      </c>
      <c r="B110" s="18">
        <v>2029</v>
      </c>
      <c r="C110" s="21">
        <f>SUMIFS(Annual_Cost!$Q$2:$Q$807,Annual_Cost!$A$2:$A$807,A110,Annual_Cost!$B$2:$B$807,B110)</f>
        <v>0</v>
      </c>
      <c r="D110" s="21">
        <f>SUMIFS(Annual_Cost!$R$2:$R$807,Annual_Cost!$A$2:$A$807,A110,Annual_Cost!$B$2:$B$807,B110)</f>
        <v>5185744.7240586458</v>
      </c>
      <c r="E110" s="21">
        <f>SUMIFS(Annual_Cost!$S$2:$S$807,Annual_Cost!$A$2:$A$807,A110,Annual_Cost!$B$2:$B$807,B110)</f>
        <v>5185744.7240586458</v>
      </c>
      <c r="F110" s="21">
        <f>SUMIFS(Annual_Cost!$W$2:$W$807,Annual_Cost!$A$2:$A$807,A110,Annual_Cost!$B$2:$B$807,B110)</f>
        <v>4607467.0211232258</v>
      </c>
      <c r="G110" s="21">
        <f>SUMIFS($E$2:E110,$A$2:A110,A110)</f>
        <v>15442116.896214291</v>
      </c>
      <c r="H110" s="21">
        <f>SUMIFS($F$2:F110,$A$2:A110,A110)</f>
        <v>14181571.158279382</v>
      </c>
    </row>
    <row r="111" spans="1:8">
      <c r="A111" t="s">
        <v>217</v>
      </c>
      <c r="B111" s="18">
        <v>2030</v>
      </c>
      <c r="C111" s="21">
        <f>SUMIFS(Annual_Cost!$Q$2:$Q$807,Annual_Cost!$A$2:$A$807,A111,Annual_Cost!$B$2:$B$807,B111)</f>
        <v>0</v>
      </c>
      <c r="D111" s="21">
        <f>SUMIFS(Annual_Cost!$R$2:$R$807,Annual_Cost!$A$2:$A$807,A111,Annual_Cost!$B$2:$B$807,B111)</f>
        <v>5219440.3634479148</v>
      </c>
      <c r="E111" s="21">
        <f>SUMIFS(Annual_Cost!$S$2:$S$807,Annual_Cost!$A$2:$A$807,A111,Annual_Cost!$B$2:$B$807,B111)</f>
        <v>5219440.3634479148</v>
      </c>
      <c r="F111" s="21">
        <f>SUMIFS(Annual_Cost!$W$2:$W$807,Annual_Cost!$A$2:$A$807,A111,Annual_Cost!$B$2:$B$807,B111)</f>
        <v>4502335.1070794454</v>
      </c>
      <c r="G111" s="21">
        <f>SUMIFS($E$2:E111,$A$2:A111,A111)</f>
        <v>20661557.259662207</v>
      </c>
      <c r="H111" s="21">
        <f>SUMIFS($F$2:F111,$A$2:A111,A111)</f>
        <v>18683906.265358828</v>
      </c>
    </row>
    <row r="112" spans="1:8">
      <c r="A112" t="s">
        <v>217</v>
      </c>
      <c r="B112" s="18">
        <v>2031</v>
      </c>
      <c r="C112" s="21">
        <f>SUMIFS(Annual_Cost!$Q$2:$Q$807,Annual_Cost!$A$2:$A$807,A112,Annual_Cost!$B$2:$B$807,B112)</f>
        <v>0</v>
      </c>
      <c r="D112" s="21">
        <f>SUMIFS(Annual_Cost!$R$2:$R$807,Annual_Cost!$A$2:$A$807,A112,Annual_Cost!$B$2:$B$807,B112)</f>
        <v>5252551.6185770882</v>
      </c>
      <c r="E112" s="21">
        <f>SUMIFS(Annual_Cost!$S$2:$S$807,Annual_Cost!$A$2:$A$807,A112,Annual_Cost!$B$2:$B$807,B112)</f>
        <v>5252551.6185770882</v>
      </c>
      <c r="F112" s="21">
        <f>SUMIFS(Annual_Cost!$W$2:$W$807,Annual_Cost!$A$2:$A$807,A112,Annual_Cost!$B$2:$B$807,B112)</f>
        <v>4398929.2879765593</v>
      </c>
      <c r="G112" s="21">
        <f>SUMIFS($E$2:E112,$A$2:A112,A112)</f>
        <v>25914108.878239296</v>
      </c>
      <c r="H112" s="21">
        <f>SUMIFS($F$2:F112,$A$2:A112,A112)</f>
        <v>23082835.553335387</v>
      </c>
    </row>
    <row r="113" spans="1:8">
      <c r="A113" t="s">
        <v>217</v>
      </c>
      <c r="B113" s="18">
        <v>2032</v>
      </c>
      <c r="C113" s="21">
        <f>SUMIFS(Annual_Cost!$Q$2:$Q$807,Annual_Cost!$A$2:$A$807,A113,Annual_Cost!$B$2:$B$807,B113)</f>
        <v>0</v>
      </c>
      <c r="D113" s="21">
        <f>SUMIFS(Annual_Cost!$R$2:$R$807,Annual_Cost!$A$2:$A$807,A113,Annual_Cost!$B$2:$B$807,B113)</f>
        <v>5285038.4459704924</v>
      </c>
      <c r="E113" s="21">
        <f>SUMIFS(Annual_Cost!$S$2:$S$807,Annual_Cost!$A$2:$A$807,A113,Annual_Cost!$B$2:$B$807,B113)</f>
        <v>5285038.4459704924</v>
      </c>
      <c r="F113" s="21">
        <f>SUMIFS(Annual_Cost!$W$2:$W$807,Annual_Cost!$A$2:$A$807,A113,Annual_Cost!$B$2:$B$807,B113)</f>
        <v>4297219.8975418778</v>
      </c>
      <c r="G113" s="21">
        <f>SUMIFS($E$2:E113,$A$2:A113,A113)</f>
        <v>31199147.324209787</v>
      </c>
      <c r="H113" s="21">
        <f>SUMIFS($F$2:F113,$A$2:A113,A113)</f>
        <v>27380055.450877264</v>
      </c>
    </row>
    <row r="114" spans="1:8">
      <c r="A114" t="s">
        <v>217</v>
      </c>
      <c r="B114" s="18">
        <v>2033</v>
      </c>
      <c r="C114" s="21">
        <f>SUMIFS(Annual_Cost!$Q$2:$Q$807,Annual_Cost!$A$2:$A$807,A114,Annual_Cost!$B$2:$B$807,B114)</f>
        <v>0</v>
      </c>
      <c r="D114" s="21">
        <f>SUMIFS(Annual_Cost!$R$2:$R$807,Annual_Cost!$A$2:$A$807,A114,Annual_Cost!$B$2:$B$807,B114)</f>
        <v>5316876.948778756</v>
      </c>
      <c r="E114" s="21">
        <f>SUMIFS(Annual_Cost!$S$2:$S$807,Annual_Cost!$A$2:$A$807,A114,Annual_Cost!$B$2:$B$807,B114)</f>
        <v>5316876.948778756</v>
      </c>
      <c r="F114" s="21">
        <f>SUMIFS(Annual_Cost!$W$2:$W$807,Annual_Cost!$A$2:$A$807,A114,Annual_Cost!$B$2:$B$807,B114)</f>
        <v>4197191.7610768527</v>
      </c>
      <c r="G114" s="21">
        <f>SUMIFS($E$2:E114,$A$2:A114,A114)</f>
        <v>36516024.272988543</v>
      </c>
      <c r="H114" s="21">
        <f>SUMIFS($F$2:F114,$A$2:A114,A114)</f>
        <v>31577247.211954117</v>
      </c>
    </row>
    <row r="115" spans="1:8">
      <c r="A115" t="s">
        <v>217</v>
      </c>
      <c r="B115" s="18">
        <v>2034</v>
      </c>
      <c r="C115" s="21">
        <f>SUMIFS(Annual_Cost!$Q$2:$Q$807,Annual_Cost!$A$2:$A$807,A115,Annual_Cost!$B$2:$B$807,B115)</f>
        <v>0</v>
      </c>
      <c r="D115" s="21">
        <f>SUMIFS(Annual_Cost!$R$2:$R$807,Annual_Cost!$A$2:$A$807,A115,Annual_Cost!$B$2:$B$807,B115)</f>
        <v>5347972.4347597659</v>
      </c>
      <c r="E115" s="21">
        <f>SUMIFS(Annual_Cost!$S$2:$S$807,Annual_Cost!$A$2:$A$807,A115,Annual_Cost!$B$2:$B$807,B115)</f>
        <v>5347972.4347597659</v>
      </c>
      <c r="F115" s="21">
        <f>SUMIFS(Annual_Cost!$W$2:$W$807,Annual_Cost!$A$2:$A$807,A115,Annual_Cost!$B$2:$B$807,B115)</f>
        <v>4098775.5581123703</v>
      </c>
      <c r="G115" s="21">
        <f>SUMIFS($E$2:E115,$A$2:A115,A115)</f>
        <v>41863996.707748309</v>
      </c>
      <c r="H115" s="21">
        <f>SUMIFS($F$2:F115,$A$2:A115,A115)</f>
        <v>35676022.770066485</v>
      </c>
    </row>
    <row r="116" spans="1:8">
      <c r="A116" t="s">
        <v>217</v>
      </c>
      <c r="B116" s="18">
        <v>2035</v>
      </c>
      <c r="C116" s="21">
        <f>SUMIFS(Annual_Cost!$Q$2:$Q$807,Annual_Cost!$A$2:$A$807,A116,Annual_Cost!$B$2:$B$807,B116)</f>
        <v>0</v>
      </c>
      <c r="D116" s="21">
        <f>SUMIFS(Annual_Cost!$R$2:$R$807,Annual_Cost!$A$2:$A$807,A116,Annual_Cost!$B$2:$B$807,B116)</f>
        <v>5378059.6840035757</v>
      </c>
      <c r="E116" s="21">
        <f>SUMIFS(Annual_Cost!$S$2:$S$807,Annual_Cost!$A$2:$A$807,A116,Annual_Cost!$B$2:$B$807,B116)</f>
        <v>5378059.6840035757</v>
      </c>
      <c r="F116" s="21">
        <f>SUMIFS(Annual_Cost!$W$2:$W$807,Annual_Cost!$A$2:$A$807,A116,Annual_Cost!$B$2:$B$807,B116)</f>
        <v>4001781.4848184651</v>
      </c>
      <c r="G116" s="21">
        <f>SUMIFS($E$2:E116,$A$2:A116,A116)</f>
        <v>47242056.391751885</v>
      </c>
      <c r="H116" s="21">
        <f>SUMIFS($F$2:F116,$A$2:A116,A116)</f>
        <v>39677804.254884951</v>
      </c>
    </row>
    <row r="117" spans="1:8">
      <c r="A117" t="s">
        <v>217</v>
      </c>
      <c r="B117" s="18">
        <v>2036</v>
      </c>
      <c r="C117" s="21">
        <f>SUMIFS(Annual_Cost!$Q$2:$Q$807,Annual_Cost!$A$2:$A$807,A117,Annual_Cost!$B$2:$B$807,B117)</f>
        <v>0</v>
      </c>
      <c r="D117" s="21">
        <f>SUMIFS(Annual_Cost!$R$2:$R$807,Annual_Cost!$A$2:$A$807,A117,Annual_Cost!$B$2:$B$807,B117)</f>
        <v>5407699.5226054769</v>
      </c>
      <c r="E117" s="21">
        <f>SUMIFS(Annual_Cost!$S$2:$S$807,Annual_Cost!$A$2:$A$807,A117,Annual_Cost!$B$2:$B$807,B117)</f>
        <v>5407699.5226054769</v>
      </c>
      <c r="F117" s="21">
        <f>SUMIFS(Annual_Cost!$W$2:$W$807,Annual_Cost!$A$2:$A$807,A117,Annual_Cost!$B$2:$B$807,B117)</f>
        <v>3906637.1925831661</v>
      </c>
      <c r="G117" s="21">
        <f>SUMIFS($E$2:E117,$A$2:A117,A117)</f>
        <v>52649755.914357364</v>
      </c>
      <c r="H117" s="21">
        <f>SUMIFS($F$2:F117,$A$2:A117,A117)</f>
        <v>43584441.447468117</v>
      </c>
    </row>
    <row r="118" spans="1:8">
      <c r="A118" t="s">
        <v>217</v>
      </c>
      <c r="B118" s="18">
        <v>2037</v>
      </c>
      <c r="C118" s="21">
        <f>SUMIFS(Annual_Cost!$Q$2:$Q$807,Annual_Cost!$A$2:$A$807,A118,Annual_Cost!$B$2:$B$807,B118)</f>
        <v>0</v>
      </c>
      <c r="D118" s="21">
        <f>SUMIFS(Annual_Cost!$R$2:$R$807,Annual_Cost!$A$2:$A$807,A118,Annual_Cost!$B$2:$B$807,B118)</f>
        <v>5436370.3174615493</v>
      </c>
      <c r="E118" s="21">
        <f>SUMIFS(Annual_Cost!$S$2:$S$807,Annual_Cost!$A$2:$A$807,A118,Annual_Cost!$B$2:$B$807,B118)</f>
        <v>5436370.3174615493</v>
      </c>
      <c r="F118" s="21">
        <f>SUMIFS(Annual_Cost!$W$2:$W$807,Annual_Cost!$A$2:$A$807,A118,Annual_Cost!$B$2:$B$807,B118)</f>
        <v>3812960.7619458176</v>
      </c>
      <c r="G118" s="21">
        <f>SUMIFS($E$2:E118,$A$2:A118,A118)</f>
        <v>58086126.231818914</v>
      </c>
      <c r="H118" s="21">
        <f>SUMIFS($F$2:F118,$A$2:A118,A118)</f>
        <v>47397402.209413931</v>
      </c>
    </row>
    <row r="119" spans="1:8">
      <c r="A119" t="s">
        <v>217</v>
      </c>
      <c r="B119" s="18">
        <v>2038</v>
      </c>
      <c r="C119" s="21">
        <f>SUMIFS(Annual_Cost!$Q$2:$Q$807,Annual_Cost!$A$2:$A$807,A119,Annual_Cost!$B$2:$B$807,B119)</f>
        <v>0</v>
      </c>
      <c r="D119" s="21">
        <f>SUMIFS(Annual_Cost!$R$2:$R$807,Annual_Cost!$A$2:$A$807,A119,Annual_Cost!$B$2:$B$807,B119)</f>
        <v>5463957.2565389033</v>
      </c>
      <c r="E119" s="21">
        <f>SUMIFS(Annual_Cost!$S$2:$S$807,Annual_Cost!$A$2:$A$807,A119,Annual_Cost!$B$2:$B$807,B119)</f>
        <v>5463957.2565389033</v>
      </c>
      <c r="F119" s="21">
        <f>SUMIFS(Annual_Cost!$W$2:$W$807,Annual_Cost!$A$2:$A$807,A119,Annual_Cost!$B$2:$B$807,B119)</f>
        <v>3720689.0155056142</v>
      </c>
      <c r="G119" s="21">
        <f>SUMIFS($E$2:E119,$A$2:A119,A119)</f>
        <v>63550083.48835782</v>
      </c>
      <c r="H119" s="21">
        <f>SUMIFS($F$2:F119,$A$2:A119,A119)</f>
        <v>51118091.224919543</v>
      </c>
    </row>
    <row r="120" spans="1:8">
      <c r="A120" t="s">
        <v>217</v>
      </c>
      <c r="B120" s="18">
        <v>2039</v>
      </c>
      <c r="C120" s="21">
        <f>SUMIFS(Annual_Cost!$Q$2:$Q$807,Annual_Cost!$A$2:$A$807,A120,Annual_Cost!$B$2:$B$807,B120)</f>
        <v>0</v>
      </c>
      <c r="D120" s="21">
        <f>SUMIFS(Annual_Cost!$R$2:$R$807,Annual_Cost!$A$2:$A$807,A120,Annual_Cost!$B$2:$B$807,B120)</f>
        <v>5490796.1783633446</v>
      </c>
      <c r="E120" s="21">
        <f>SUMIFS(Annual_Cost!$S$2:$S$807,Annual_Cost!$A$2:$A$807,A120,Annual_Cost!$B$2:$B$807,B120)</f>
        <v>5490796.1783633446</v>
      </c>
      <c r="F120" s="21">
        <f>SUMIFS(Annual_Cost!$W$2:$W$807,Annual_Cost!$A$2:$A$807,A120,Annual_Cost!$B$2:$B$807,B120)</f>
        <v>3630063.1216368345</v>
      </c>
      <c r="G120" s="21">
        <f>SUMIFS($E$2:E120,$A$2:A120,A120)</f>
        <v>69040879.666721165</v>
      </c>
      <c r="H120" s="21">
        <f>SUMIFS($F$2:F120,$A$2:A120,A120)</f>
        <v>54748154.34655638</v>
      </c>
    </row>
    <row r="121" spans="1:8">
      <c r="A121" t="s">
        <v>217</v>
      </c>
      <c r="B121" s="18">
        <v>2040</v>
      </c>
      <c r="C121" s="21">
        <f>SUMIFS(Annual_Cost!$Q$2:$Q$807,Annual_Cost!$A$2:$A$807,A121,Annual_Cost!$B$2:$B$807,B121)</f>
        <v>0</v>
      </c>
      <c r="D121" s="21">
        <f>SUMIFS(Annual_Cost!$R$2:$R$807,Annual_Cost!$A$2:$A$807,A121,Annual_Cost!$B$2:$B$807,B121)</f>
        <v>5516557.2968511302</v>
      </c>
      <c r="E121" s="21">
        <f>SUMIFS(Annual_Cost!$S$2:$S$807,Annual_Cost!$A$2:$A$807,A121,Annual_Cost!$B$2:$B$807,B121)</f>
        <v>5516557.2968511302</v>
      </c>
      <c r="F121" s="21">
        <f>SUMIFS(Annual_Cost!$W$2:$W$807,Annual_Cost!$A$2:$A$807,A121,Annual_Cost!$B$2:$B$807,B121)</f>
        <v>3540868.2094824389</v>
      </c>
      <c r="G121" s="21">
        <f>SUMIFS($E$2:E121,$A$2:A121,A121)</f>
        <v>74557436.963572294</v>
      </c>
      <c r="H121" s="21">
        <f>SUMIFS($F$2:F121,$A$2:A121,A121)</f>
        <v>58289022.556038819</v>
      </c>
    </row>
    <row r="122" spans="1:8">
      <c r="A122" t="s">
        <v>217</v>
      </c>
      <c r="B122" s="18">
        <v>2041</v>
      </c>
      <c r="C122" s="21">
        <f>SUMIFS(Annual_Cost!$Q$2:$Q$807,Annual_Cost!$A$2:$A$807,A122,Annual_Cost!$B$2:$B$807,B122)</f>
        <v>0</v>
      </c>
      <c r="D122" s="21">
        <f>SUMIFS(Annual_Cost!$R$2:$R$807,Annual_Cost!$A$2:$A$807,A122,Annual_Cost!$B$2:$B$807,B122)</f>
        <v>5541310.7599106198</v>
      </c>
      <c r="E122" s="21">
        <f>SUMIFS(Annual_Cost!$S$2:$S$807,Annual_Cost!$A$2:$A$807,A122,Annual_Cost!$B$2:$B$807,B122)</f>
        <v>5541310.7599106198</v>
      </c>
      <c r="F122" s="21">
        <f>SUMIFS(Annual_Cost!$W$2:$W$807,Annual_Cost!$A$2:$A$807,A122,Annual_Cost!$B$2:$B$807,B122)</f>
        <v>3453161.665520987</v>
      </c>
      <c r="G122" s="21">
        <f>SUMIFS($E$2:E122,$A$2:A122,A122)</f>
        <v>80098747.723482907</v>
      </c>
      <c r="H122" s="21">
        <f>SUMIFS($F$2:F122,$A$2:A122,A122)</f>
        <v>61742184.221559808</v>
      </c>
    </row>
    <row r="123" spans="1:8">
      <c r="A123" t="s">
        <v>217</v>
      </c>
      <c r="B123" s="18">
        <v>2042</v>
      </c>
      <c r="C123" s="21">
        <f>SUMIFS(Annual_Cost!$Q$2:$Q$807,Annual_Cost!$A$2:$A$807,A123,Annual_Cost!$B$2:$B$807,B123)</f>
        <v>0</v>
      </c>
      <c r="D123" s="21">
        <f>SUMIFS(Annual_Cost!$R$2:$R$807,Annual_Cost!$A$2:$A$807,A123,Annual_Cost!$B$2:$B$807,B123)</f>
        <v>5564969.5226748157</v>
      </c>
      <c r="E123" s="21">
        <f>SUMIFS(Annual_Cost!$S$2:$S$807,Annual_Cost!$A$2:$A$807,A123,Annual_Cost!$B$2:$B$807,B123)</f>
        <v>5564969.5226748157</v>
      </c>
      <c r="F123" s="21">
        <f>SUMIFS(Annual_Cost!$W$2:$W$807,Annual_Cost!$A$2:$A$807,A123,Annual_Cost!$B$2:$B$807,B123)</f>
        <v>3366898.0818431899</v>
      </c>
      <c r="G123" s="21">
        <f>SUMIFS($E$2:E123,$A$2:A123,A123)</f>
        <v>85663717.246157721</v>
      </c>
      <c r="H123" s="21">
        <f>SUMIFS($F$2:F123,$A$2:A123,A123)</f>
        <v>65109082.303402998</v>
      </c>
    </row>
    <row r="124" spans="1:8">
      <c r="A124" t="s">
        <v>217</v>
      </c>
      <c r="B124" s="18">
        <v>2043</v>
      </c>
      <c r="C124" s="21">
        <f>SUMIFS(Annual_Cost!$Q$2:$Q$807,Annual_Cost!$A$2:$A$807,A124,Annual_Cost!$B$2:$B$807,B124)</f>
        <v>0</v>
      </c>
      <c r="D124" s="21">
        <f>SUMIFS(Annual_Cost!$R$2:$R$807,Annual_Cost!$A$2:$A$807,A124,Annual_Cost!$B$2:$B$807,B124)</f>
        <v>5587630.6064321715</v>
      </c>
      <c r="E124" s="21">
        <f>SUMIFS(Annual_Cost!$S$2:$S$807,Annual_Cost!$A$2:$A$807,A124,Annual_Cost!$B$2:$B$807,B124)</f>
        <v>5587630.6064321715</v>
      </c>
      <c r="F124" s="21">
        <f>SUMIFS(Annual_Cost!$W$2:$W$807,Annual_Cost!$A$2:$A$807,A124,Annual_Cost!$B$2:$B$807,B124)</f>
        <v>3282144.0875699571</v>
      </c>
      <c r="G124" s="21">
        <f>SUMIFS($E$2:E124,$A$2:A124,A124)</f>
        <v>91251347.85258989</v>
      </c>
      <c r="H124" s="21">
        <f>SUMIFS($F$2:F124,$A$2:A124,A124)</f>
        <v>68391226.390972957</v>
      </c>
    </row>
    <row r="125" spans="1:8">
      <c r="A125" t="s">
        <v>217</v>
      </c>
      <c r="B125" s="18">
        <v>2044</v>
      </c>
      <c r="C125" s="21">
        <f>SUMIFS(Annual_Cost!$Q$2:$Q$807,Annual_Cost!$A$2:$A$807,A125,Annual_Cost!$B$2:$B$807,B125)</f>
        <v>0</v>
      </c>
      <c r="D125" s="21">
        <f>SUMIFS(Annual_Cost!$R$2:$R$807,Annual_Cost!$A$2:$A$807,A125,Annual_Cost!$B$2:$B$807,B125)</f>
        <v>5609081.3387955809</v>
      </c>
      <c r="E125" s="21">
        <f>SUMIFS(Annual_Cost!$S$2:$S$807,Annual_Cost!$A$2:$A$807,A125,Annual_Cost!$B$2:$B$807,B125)</f>
        <v>5609081.3387955809</v>
      </c>
      <c r="F125" s="21">
        <f>SUMIFS(Annual_Cost!$W$2:$W$807,Annual_Cost!$A$2:$A$807,A125,Annual_Cost!$B$2:$B$807,B125)</f>
        <v>3198780.7107666447</v>
      </c>
      <c r="G125" s="21">
        <f>SUMIFS($E$2:E125,$A$2:A125,A125)</f>
        <v>96860429.191385478</v>
      </c>
      <c r="H125" s="21">
        <f>SUMIFS($F$2:F125,$A$2:A125,A125)</f>
        <v>71590007.1017396</v>
      </c>
    </row>
    <row r="126" spans="1:8">
      <c r="A126" t="s">
        <v>217</v>
      </c>
      <c r="B126" s="18">
        <v>2045</v>
      </c>
      <c r="C126" s="21">
        <f>SUMIFS(Annual_Cost!$Q$2:$Q$807,Annual_Cost!$A$2:$A$807,A126,Annual_Cost!$B$2:$B$807,B126)</f>
        <v>0</v>
      </c>
      <c r="D126" s="21">
        <f>SUMIFS(Annual_Cost!$R$2:$R$807,Annual_Cost!$A$2:$A$807,A126,Annual_Cost!$B$2:$B$807,B126)</f>
        <v>5629344.6222550664</v>
      </c>
      <c r="E126" s="21">
        <f>SUMIFS(Annual_Cost!$S$2:$S$807,Annual_Cost!$A$2:$A$807,A126,Annual_Cost!$B$2:$B$807,B126)</f>
        <v>5629344.6222550664</v>
      </c>
      <c r="F126" s="21">
        <f>SUMIFS(Annual_Cost!$W$2:$W$807,Annual_Cost!$A$2:$A$807,A126,Annual_Cost!$B$2:$B$807,B126)</f>
        <v>3116831.6293018628</v>
      </c>
      <c r="G126" s="21">
        <f>SUMIFS($E$2:E126,$A$2:A126,A126)</f>
        <v>102489773.81364055</v>
      </c>
      <c r="H126" s="21">
        <f>SUMIFS($F$2:F126,$A$2:A126,A126)</f>
        <v>74706838.731041461</v>
      </c>
    </row>
    <row r="127" spans="1:8">
      <c r="A127" t="s">
        <v>217</v>
      </c>
      <c r="B127" s="18">
        <v>2046</v>
      </c>
      <c r="C127" s="21">
        <f>SUMIFS(Annual_Cost!$Q$2:$Q$807,Annual_Cost!$A$2:$A$807,A127,Annual_Cost!$B$2:$B$807,B127)</f>
        <v>0</v>
      </c>
      <c r="D127" s="21">
        <f>SUMIFS(Annual_Cost!$R$2:$R$807,Annual_Cost!$A$2:$A$807,A127,Annual_Cost!$B$2:$B$807,B127)</f>
        <v>5648444.0774415778</v>
      </c>
      <c r="E127" s="21">
        <f>SUMIFS(Annual_Cost!$S$2:$S$807,Annual_Cost!$A$2:$A$807,A127,Annual_Cost!$B$2:$B$807,B127)</f>
        <v>5648444.0774415778</v>
      </c>
      <c r="F127" s="21">
        <f>SUMIFS(Annual_Cost!$W$2:$W$807,Annual_Cost!$A$2:$A$807,A127,Annual_Cost!$B$2:$B$807,B127)</f>
        <v>3036317.0238415562</v>
      </c>
      <c r="G127" s="21">
        <f>SUMIFS($E$2:E127,$A$2:A127,A127)</f>
        <v>108138217.89108212</v>
      </c>
      <c r="H127" s="21">
        <f>SUMIFS($F$2:F127,$A$2:A127,A127)</f>
        <v>77743155.754883021</v>
      </c>
    </row>
    <row r="128" spans="1:8">
      <c r="A128" t="s">
        <v>217</v>
      </c>
      <c r="B128" s="18">
        <v>2047</v>
      </c>
      <c r="C128" s="21">
        <f>SUMIFS(Annual_Cost!$Q$2:$Q$807,Annual_Cost!$A$2:$A$807,A128,Annual_Cost!$B$2:$B$807,B128)</f>
        <v>0</v>
      </c>
      <c r="D128" s="21">
        <f>SUMIFS(Annual_Cost!$R$2:$R$807,Annual_Cost!$A$2:$A$807,A128,Annual_Cost!$B$2:$B$807,B128)</f>
        <v>5666420.4000015836</v>
      </c>
      <c r="E128" s="21">
        <f>SUMIFS(Annual_Cost!$S$2:$S$807,Annual_Cost!$A$2:$A$807,A128,Annual_Cost!$B$2:$B$807,B128)</f>
        <v>5666420.4000015836</v>
      </c>
      <c r="F128" s="21">
        <f>SUMIFS(Annual_Cost!$W$2:$W$807,Annual_Cost!$A$2:$A$807,A128,Annual_Cost!$B$2:$B$807,B128)</f>
        <v>2957262.3136089272</v>
      </c>
      <c r="G128" s="21">
        <f>SUMIFS($E$2:E128,$A$2:A128,A128)</f>
        <v>113804638.29108371</v>
      </c>
      <c r="H128" s="21">
        <f>SUMIFS($F$2:F128,$A$2:A128,A128)</f>
        <v>80700418.068491951</v>
      </c>
    </row>
    <row r="129" spans="1:8">
      <c r="A129" t="s">
        <v>217</v>
      </c>
      <c r="B129" s="18">
        <v>2048</v>
      </c>
      <c r="C129" s="21">
        <f>SUMIFS(Annual_Cost!$Q$2:$Q$807,Annual_Cost!$A$2:$A$807,A129,Annual_Cost!$B$2:$B$807,B129)</f>
        <v>0</v>
      </c>
      <c r="D129" s="21">
        <f>SUMIFS(Annual_Cost!$R$2:$R$807,Annual_Cost!$A$2:$A$807,A129,Annual_Cost!$B$2:$B$807,B129)</f>
        <v>5683276.1405871119</v>
      </c>
      <c r="E129" s="21">
        <f>SUMIFS(Annual_Cost!$S$2:$S$807,Annual_Cost!$A$2:$A$807,A129,Annual_Cost!$B$2:$B$807,B129)</f>
        <v>5683276.1405871119</v>
      </c>
      <c r="F129" s="21">
        <f>SUMIFS(Annual_Cost!$W$2:$W$807,Annual_Cost!$A$2:$A$807,A129,Annual_Cost!$B$2:$B$807,B129)</f>
        <v>2879669.124482851</v>
      </c>
      <c r="G129" s="21">
        <f>SUMIFS($E$2:E129,$A$2:A129,A129)</f>
        <v>119487914.43167081</v>
      </c>
      <c r="H129" s="21">
        <f>SUMIFS($F$2:F129,$A$2:A129,A129)</f>
        <v>83580087.192974806</v>
      </c>
    </row>
    <row r="130" spans="1:8">
      <c r="A130" t="s">
        <v>217</v>
      </c>
      <c r="B130" s="18">
        <v>2049</v>
      </c>
      <c r="C130" s="21">
        <f>SUMIFS(Annual_Cost!$Q$2:$Q$807,Annual_Cost!$A$2:$A$807,A130,Annual_Cost!$B$2:$B$807,B130)</f>
        <v>0</v>
      </c>
      <c r="D130" s="21">
        <f>SUMIFS(Annual_Cost!$R$2:$R$807,Annual_Cost!$A$2:$A$807,A130,Annual_Cost!$B$2:$B$807,B130)</f>
        <v>5698677.769417041</v>
      </c>
      <c r="E130" s="21">
        <f>SUMIFS(Annual_Cost!$S$2:$S$807,Annual_Cost!$A$2:$A$807,A130,Annual_Cost!$B$2:$B$807,B130)</f>
        <v>5698677.769417041</v>
      </c>
      <c r="F130" s="21">
        <f>SUMIFS(Annual_Cost!$W$2:$W$807,Annual_Cost!$A$2:$A$807,A130,Annual_Cost!$B$2:$B$807,B130)</f>
        <v>2803371.8473042264</v>
      </c>
      <c r="G130" s="21">
        <f>SUMIFS($E$2:E130,$A$2:A130,A130)</f>
        <v>125186592.20108786</v>
      </c>
      <c r="H130" s="21">
        <f>SUMIFS($F$2:F130,$A$2:A130,A130)</f>
        <v>86383459.040279031</v>
      </c>
    </row>
    <row r="131" spans="1:8">
      <c r="A131" t="s">
        <v>217</v>
      </c>
      <c r="B131" s="18">
        <v>2050</v>
      </c>
      <c r="C131" s="21">
        <f>SUMIFS(Annual_Cost!$Q$2:$Q$807,Annual_Cost!$A$2:$A$807,A131,Annual_Cost!$B$2:$B$807,B131)</f>
        <v>0</v>
      </c>
      <c r="D131" s="21">
        <f>SUMIFS(Annual_Cost!$R$2:$R$807,Annual_Cost!$A$2:$A$807,A131,Annual_Cost!$B$2:$B$807,B131)</f>
        <v>5713178.362452805</v>
      </c>
      <c r="E131" s="21">
        <f>SUMIFS(Annual_Cost!$S$2:$S$807,Annual_Cost!$A$2:$A$807,A131,Annual_Cost!$B$2:$B$807,B131)</f>
        <v>5713178.362452805</v>
      </c>
      <c r="F131" s="21">
        <f>SUMIFS(Annual_Cost!$W$2:$W$807,Annual_Cost!$A$2:$A$807,A131,Annual_Cost!$B$2:$B$807,B131)</f>
        <v>2728645.8040926685</v>
      </c>
      <c r="G131" s="21">
        <f>SUMIFS($E$2:E131,$A$2:A131,A131)</f>
        <v>130899770.56354067</v>
      </c>
      <c r="H131" s="21">
        <f>SUMIFS($F$2:F131,$A$2:A131,A131)</f>
        <v>89112104.844371706</v>
      </c>
    </row>
    <row r="132" spans="1:8">
      <c r="A132" t="s">
        <v>205</v>
      </c>
      <c r="B132" s="18">
        <v>2025</v>
      </c>
      <c r="C132" s="21">
        <f>SUMIFS(Annual_Cost!$Q$2:$Q$807,Annual_Cost!$A$2:$A$807,A132,Annual_Cost!$B$2:$B$807,B132)</f>
        <v>0</v>
      </c>
      <c r="D132" s="21">
        <f>SUMIFS(Annual_Cost!$R$2:$R$807,Annual_Cost!$A$2:$A$807,A132,Annual_Cost!$B$2:$B$807,B132)</f>
        <v>0</v>
      </c>
      <c r="E132" s="21">
        <f>SUMIFS(Annual_Cost!$S$2:$S$807,Annual_Cost!$A$2:$A$807,A132,Annual_Cost!$B$2:$B$807,B132)</f>
        <v>0</v>
      </c>
      <c r="F132" s="21">
        <f>SUMIFS(Annual_Cost!$W$2:$W$807,Annual_Cost!$A$2:$A$807,A132,Annual_Cost!$B$2:$B$807,B132)</f>
        <v>0</v>
      </c>
      <c r="G132" s="21">
        <f>SUMIFS($E$2:E132,$A$2:A132,A132)</f>
        <v>0</v>
      </c>
      <c r="H132" s="21">
        <f>SUMIFS($F$2:F132,$A$2:A132,A132)</f>
        <v>0</v>
      </c>
    </row>
    <row r="133" spans="1:8">
      <c r="A133" t="s">
        <v>205</v>
      </c>
      <c r="B133" s="18">
        <v>2026</v>
      </c>
      <c r="C133" s="21">
        <f>SUMIFS(Annual_Cost!$Q$2:$Q$807,Annual_Cost!$A$2:$A$807,A133,Annual_Cost!$B$2:$B$807,B133)</f>
        <v>0</v>
      </c>
      <c r="D133" s="21">
        <f>SUMIFS(Annual_Cost!$R$2:$R$807,Annual_Cost!$A$2:$A$807,A133,Annual_Cost!$B$2:$B$807,B133)</f>
        <v>6777443.1736825621</v>
      </c>
      <c r="E133" s="21">
        <f>SUMIFS(Annual_Cost!$S$2:$S$807,Annual_Cost!$A$2:$A$807,A133,Annual_Cost!$B$2:$B$807,B133)</f>
        <v>6777443.1736825621</v>
      </c>
      <c r="F133" s="21">
        <f>SUMIFS(Annual_Cost!$W$2:$W$807,Annual_Cost!$A$2:$A$807,A133,Annual_Cost!$B$2:$B$807,B133)</f>
        <v>6580041.916196662</v>
      </c>
      <c r="G133" s="21">
        <f>SUMIFS($E$2:E133,$A$2:A133,A133)</f>
        <v>6777443.1736825621</v>
      </c>
      <c r="H133" s="21">
        <f>SUMIFS($F$2:F133,$A$2:A133,A133)</f>
        <v>6580041.916196662</v>
      </c>
    </row>
    <row r="134" spans="1:8">
      <c r="A134" t="s">
        <v>205</v>
      </c>
      <c r="B134" s="18">
        <v>2027</v>
      </c>
      <c r="C134" s="21">
        <f>SUMIFS(Annual_Cost!$Q$2:$Q$807,Annual_Cost!$A$2:$A$807,A134,Annual_Cost!$B$2:$B$807,B134)</f>
        <v>0</v>
      </c>
      <c r="D134" s="21">
        <f>SUMIFS(Annual_Cost!$R$2:$R$807,Annual_Cost!$A$2:$A$807,A134,Annual_Cost!$B$2:$B$807,B134)</f>
        <v>13643112.934303069</v>
      </c>
      <c r="E134" s="21">
        <f>SUMIFS(Annual_Cost!$S$2:$S$807,Annual_Cost!$A$2:$A$807,A134,Annual_Cost!$B$2:$B$807,B134)</f>
        <v>13643112.934303069</v>
      </c>
      <c r="F134" s="21">
        <f>SUMIFS(Annual_Cost!$W$2:$W$807,Annual_Cost!$A$2:$A$807,A134,Annual_Cost!$B$2:$B$807,B134)</f>
        <v>12859942.439723885</v>
      </c>
      <c r="G134" s="21">
        <f>SUMIFS($E$2:E134,$A$2:A134,A134)</f>
        <v>20420556.107985631</v>
      </c>
      <c r="H134" s="21">
        <f>SUMIFS($F$2:F134,$A$2:A134,A134)</f>
        <v>19439984.355920546</v>
      </c>
    </row>
    <row r="135" spans="1:8">
      <c r="A135" t="s">
        <v>205</v>
      </c>
      <c r="B135" s="18">
        <v>2028</v>
      </c>
      <c r="C135" s="21">
        <f>SUMIFS(Annual_Cost!$Q$2:$Q$807,Annual_Cost!$A$2:$A$807,A135,Annual_Cost!$B$2:$B$807,B135)</f>
        <v>0</v>
      </c>
      <c r="D135" s="21">
        <f>SUMIFS(Annual_Cost!$R$2:$R$807,Annual_Cost!$A$2:$A$807,A135,Annual_Cost!$B$2:$B$807,B135)</f>
        <v>20605075.697364841</v>
      </c>
      <c r="E135" s="21">
        <f>SUMIFS(Annual_Cost!$S$2:$S$807,Annual_Cost!$A$2:$A$807,A135,Annual_Cost!$B$2:$B$807,B135)</f>
        <v>20605075.697364841</v>
      </c>
      <c r="F135" s="21">
        <f>SUMIFS(Annual_Cost!$W$2:$W$807,Annual_Cost!$A$2:$A$807,A135,Annual_Cost!$B$2:$B$807,B135)</f>
        <v>18856563.164783921</v>
      </c>
      <c r="G135" s="21">
        <f>SUMIFS($E$2:E135,$A$2:A135,A135)</f>
        <v>41025631.805350468</v>
      </c>
      <c r="H135" s="21">
        <f>SUMIFS($F$2:F135,$A$2:A135,A135)</f>
        <v>38296547.520704463</v>
      </c>
    </row>
    <row r="136" spans="1:8">
      <c r="A136" t="s">
        <v>205</v>
      </c>
      <c r="B136" s="18">
        <v>2029</v>
      </c>
      <c r="C136" s="21">
        <f>SUMIFS(Annual_Cost!$Q$2:$Q$807,Annual_Cost!$A$2:$A$807,A136,Annual_Cost!$B$2:$B$807,B136)</f>
        <v>0</v>
      </c>
      <c r="D136" s="21">
        <f>SUMIFS(Annual_Cost!$R$2:$R$807,Annual_Cost!$A$2:$A$807,A136,Annual_Cost!$B$2:$B$807,B136)</f>
        <v>20743466.595083106</v>
      </c>
      <c r="E136" s="21">
        <f>SUMIFS(Annual_Cost!$S$2:$S$807,Annual_Cost!$A$2:$A$807,A136,Annual_Cost!$B$2:$B$807,B136)</f>
        <v>20743466.595083106</v>
      </c>
      <c r="F136" s="21">
        <f>SUMIFS(Annual_Cost!$W$2:$W$807,Annual_Cost!$A$2:$A$807,A136,Annual_Cost!$B$2:$B$807,B136)</f>
        <v>18430301.398603097</v>
      </c>
      <c r="G136" s="21">
        <f>SUMIFS($E$2:E136,$A$2:A136,A136)</f>
        <v>61769098.40043357</v>
      </c>
      <c r="H136" s="21">
        <f>SUMIFS($F$2:F136,$A$2:A136,A136)</f>
        <v>56726848.91930756</v>
      </c>
    </row>
    <row r="137" spans="1:8">
      <c r="A137" t="s">
        <v>205</v>
      </c>
      <c r="B137" s="18">
        <v>2030</v>
      </c>
      <c r="C137" s="21">
        <f>SUMIFS(Annual_Cost!$Q$2:$Q$807,Annual_Cost!$A$2:$A$807,A137,Annual_Cost!$B$2:$B$807,B137)</f>
        <v>0</v>
      </c>
      <c r="D137" s="21">
        <f>SUMIFS(Annual_Cost!$R$2:$R$807,Annual_Cost!$A$2:$A$807,A137,Annual_Cost!$B$2:$B$807,B137)</f>
        <v>20878836.861461457</v>
      </c>
      <c r="E137" s="21">
        <f>SUMIFS(Annual_Cost!$S$2:$S$807,Annual_Cost!$A$2:$A$807,A137,Annual_Cost!$B$2:$B$807,B137)</f>
        <v>20878836.861461457</v>
      </c>
      <c r="F137" s="21">
        <f>SUMIFS(Annual_Cost!$W$2:$W$807,Annual_Cost!$A$2:$A$807,A137,Annual_Cost!$B$2:$B$807,B137)</f>
        <v>18010268.084420543</v>
      </c>
      <c r="G137" s="21">
        <f>SUMIFS($E$2:E137,$A$2:A137,A137)</f>
        <v>82647935.261895031</v>
      </c>
      <c r="H137" s="21">
        <f>SUMIFS($F$2:F137,$A$2:A137,A137)</f>
        <v>74737117.003728107</v>
      </c>
    </row>
    <row r="138" spans="1:8">
      <c r="A138" t="s">
        <v>205</v>
      </c>
      <c r="B138" s="18">
        <v>2031</v>
      </c>
      <c r="C138" s="21">
        <f>SUMIFS(Annual_Cost!$Q$2:$Q$807,Annual_Cost!$A$2:$A$807,A138,Annual_Cost!$B$2:$B$807,B138)</f>
        <v>0</v>
      </c>
      <c r="D138" s="21">
        <f>SUMIFS(Annual_Cost!$R$2:$R$807,Annual_Cost!$A$2:$A$807,A138,Annual_Cost!$B$2:$B$807,B138)</f>
        <v>21012137.519185942</v>
      </c>
      <c r="E138" s="21">
        <f>SUMIFS(Annual_Cost!$S$2:$S$807,Annual_Cost!$A$2:$A$807,A138,Annual_Cost!$B$2:$B$807,B138)</f>
        <v>21012137.519185942</v>
      </c>
      <c r="F138" s="21">
        <f>SUMIFS(Annual_Cost!$W$2:$W$807,Annual_Cost!$A$2:$A$807,A138,Annual_Cost!$B$2:$B$807,B138)</f>
        <v>17597334.371590164</v>
      </c>
      <c r="G138" s="21">
        <f>SUMIFS($E$2:E138,$A$2:A138,A138)</f>
        <v>103660072.78108098</v>
      </c>
      <c r="H138" s="21">
        <f>SUMIFS($F$2:F138,$A$2:A138,A138)</f>
        <v>92334451.375318274</v>
      </c>
    </row>
    <row r="139" spans="1:8">
      <c r="A139" t="s">
        <v>205</v>
      </c>
      <c r="B139" s="18">
        <v>2032</v>
      </c>
      <c r="C139" s="21">
        <f>SUMIFS(Annual_Cost!$Q$2:$Q$807,Annual_Cost!$A$2:$A$807,A139,Annual_Cost!$B$2:$B$807,B139)</f>
        <v>0</v>
      </c>
      <c r="D139" s="21">
        <f>SUMIFS(Annual_Cost!$R$2:$R$807,Annual_Cost!$A$2:$A$807,A139,Annual_Cost!$B$2:$B$807,B139)</f>
        <v>21143233.043462098</v>
      </c>
      <c r="E139" s="21">
        <f>SUMIFS(Annual_Cost!$S$2:$S$807,Annual_Cost!$A$2:$A$807,A139,Annual_Cost!$B$2:$B$807,B139)</f>
        <v>21143233.043462098</v>
      </c>
      <c r="F139" s="21">
        <f>SUMIFS(Annual_Cost!$W$2:$W$807,Annual_Cost!$A$2:$A$807,A139,Annual_Cost!$B$2:$B$807,B139)</f>
        <v>17191383.309993334</v>
      </c>
      <c r="G139" s="21">
        <f>SUMIFS($E$2:E139,$A$2:A139,A139)</f>
        <v>124803305.82454307</v>
      </c>
      <c r="H139" s="21">
        <f>SUMIFS($F$2:F139,$A$2:A139,A139)</f>
        <v>109525834.68531162</v>
      </c>
    </row>
    <row r="140" spans="1:8">
      <c r="A140" t="s">
        <v>205</v>
      </c>
      <c r="B140" s="18">
        <v>2033</v>
      </c>
      <c r="C140" s="21">
        <f>SUMIFS(Annual_Cost!$Q$2:$Q$807,Annual_Cost!$A$2:$A$807,A140,Annual_Cost!$B$2:$B$807,B140)</f>
        <v>0</v>
      </c>
      <c r="D140" s="21">
        <f>SUMIFS(Annual_Cost!$R$2:$R$807,Annual_Cost!$A$2:$A$807,A140,Annual_Cost!$B$2:$B$807,B140)</f>
        <v>21271914.500172965</v>
      </c>
      <c r="E140" s="21">
        <f>SUMIFS(Annual_Cost!$S$2:$S$807,Annual_Cost!$A$2:$A$807,A140,Annual_Cost!$B$2:$B$807,B140)</f>
        <v>21271914.500172965</v>
      </c>
      <c r="F140" s="21">
        <f>SUMIFS(Annual_Cost!$W$2:$W$807,Annual_Cost!$A$2:$A$807,A140,Annual_Cost!$B$2:$B$807,B140)</f>
        <v>16792245.737973046</v>
      </c>
      <c r="G140" s="21">
        <f>SUMIFS($E$2:E140,$A$2:A140,A140)</f>
        <v>146075220.32471603</v>
      </c>
      <c r="H140" s="21">
        <f>SUMIFS($F$2:F140,$A$2:A140,A140)</f>
        <v>126318080.42328466</v>
      </c>
    </row>
    <row r="141" spans="1:8">
      <c r="A141" t="s">
        <v>205</v>
      </c>
      <c r="B141" s="18">
        <v>2034</v>
      </c>
      <c r="C141" s="21">
        <f>SUMIFS(Annual_Cost!$Q$2:$Q$807,Annual_Cost!$A$2:$A$807,A141,Annual_Cost!$B$2:$B$807,B141)</f>
        <v>0</v>
      </c>
      <c r="D141" s="21">
        <f>SUMIFS(Annual_Cost!$R$2:$R$807,Annual_Cost!$A$2:$A$807,A141,Annual_Cost!$B$2:$B$807,B141)</f>
        <v>21397753.953059681</v>
      </c>
      <c r="E141" s="21">
        <f>SUMIFS(Annual_Cost!$S$2:$S$807,Annual_Cost!$A$2:$A$807,A141,Annual_Cost!$B$2:$B$807,B141)</f>
        <v>21397753.953059681</v>
      </c>
      <c r="F141" s="21">
        <f>SUMIFS(Annual_Cost!$W$2:$W$807,Annual_Cost!$A$2:$A$807,A141,Annual_Cost!$B$2:$B$807,B141)</f>
        <v>16399596.664196927</v>
      </c>
      <c r="G141" s="21">
        <f>SUMIFS($E$2:E141,$A$2:A141,A141)</f>
        <v>167472974.2777757</v>
      </c>
      <c r="H141" s="21">
        <f>SUMIFS($F$2:F141,$A$2:A141,A141)</f>
        <v>142717677.08748159</v>
      </c>
    </row>
    <row r="142" spans="1:8">
      <c r="A142" t="s">
        <v>205</v>
      </c>
      <c r="B142" s="18">
        <v>2035</v>
      </c>
      <c r="C142" s="21">
        <f>SUMIFS(Annual_Cost!$Q$2:$Q$807,Annual_Cost!$A$2:$A$807,A142,Annual_Cost!$B$2:$B$807,B142)</f>
        <v>0</v>
      </c>
      <c r="D142" s="21">
        <f>SUMIFS(Annual_Cost!$R$2:$R$807,Annual_Cost!$A$2:$A$807,A142,Annual_Cost!$B$2:$B$807,B142)</f>
        <v>21517122.888601683</v>
      </c>
      <c r="E142" s="21">
        <f>SUMIFS(Annual_Cost!$S$2:$S$807,Annual_Cost!$A$2:$A$807,A142,Annual_Cost!$B$2:$B$807,B142)</f>
        <v>21517122.888601683</v>
      </c>
      <c r="F142" s="21">
        <f>SUMIFS(Annual_Cost!$W$2:$W$807,Annual_Cost!$A$2:$A$807,A142,Annual_Cost!$B$2:$B$807,B142)</f>
        <v>16010760.207493559</v>
      </c>
      <c r="G142" s="21">
        <f>SUMIFS($E$2:E142,$A$2:A142,A142)</f>
        <v>188990097.1663774</v>
      </c>
      <c r="H142" s="21">
        <f>SUMIFS($F$2:F142,$A$2:A142,A142)</f>
        <v>158728437.29497516</v>
      </c>
    </row>
    <row r="143" spans="1:8">
      <c r="A143" t="s">
        <v>205</v>
      </c>
      <c r="B143" s="18">
        <v>2036</v>
      </c>
      <c r="C143" s="21">
        <f>SUMIFS(Annual_Cost!$Q$2:$Q$807,Annual_Cost!$A$2:$A$807,A143,Annual_Cost!$B$2:$B$807,B143)</f>
        <v>0</v>
      </c>
      <c r="D143" s="21">
        <f>SUMIFS(Annual_Cost!$R$2:$R$807,Annual_Cost!$A$2:$A$807,A143,Annual_Cost!$B$2:$B$807,B143)</f>
        <v>21637206.913767729</v>
      </c>
      <c r="E143" s="21">
        <f>SUMIFS(Annual_Cost!$S$2:$S$807,Annual_Cost!$A$2:$A$807,A143,Annual_Cost!$B$2:$B$807,B143)</f>
        <v>21637206.913767729</v>
      </c>
      <c r="F143" s="21">
        <f>SUMIFS(Annual_Cost!$W$2:$W$807,Annual_Cost!$A$2:$A$807,A143,Annual_Cost!$B$2:$B$807,B143)</f>
        <v>15631178.640675649</v>
      </c>
      <c r="G143" s="21">
        <f>SUMIFS($E$2:E143,$A$2:A143,A143)</f>
        <v>210627304.08014512</v>
      </c>
      <c r="H143" s="21">
        <f>SUMIFS($F$2:F143,$A$2:A143,A143)</f>
        <v>174359615.93565083</v>
      </c>
    </row>
    <row r="144" spans="1:8">
      <c r="A144" t="s">
        <v>205</v>
      </c>
      <c r="B144" s="18">
        <v>2037</v>
      </c>
      <c r="C144" s="21">
        <f>SUMIFS(Annual_Cost!$Q$2:$Q$807,Annual_Cost!$A$2:$A$807,A144,Annual_Cost!$B$2:$B$807,B144)</f>
        <v>0</v>
      </c>
      <c r="D144" s="21">
        <f>SUMIFS(Annual_Cost!$R$2:$R$807,Annual_Cost!$A$2:$A$807,A144,Annual_Cost!$B$2:$B$807,B144)</f>
        <v>21754077.087316424</v>
      </c>
      <c r="E144" s="21">
        <f>SUMIFS(Annual_Cost!$S$2:$S$807,Annual_Cost!$A$2:$A$807,A144,Annual_Cost!$B$2:$B$807,B144)</f>
        <v>21754077.087316424</v>
      </c>
      <c r="F144" s="21">
        <f>SUMIFS(Annual_Cost!$W$2:$W$807,Annual_Cost!$A$2:$A$807,A144,Annual_Cost!$B$2:$B$807,B144)</f>
        <v>15257871.981210697</v>
      </c>
      <c r="G144" s="21">
        <f>SUMIFS($E$2:E144,$A$2:A144,A144)</f>
        <v>232381381.16746154</v>
      </c>
      <c r="H144" s="21">
        <f>SUMIFS($F$2:F144,$A$2:A144,A144)</f>
        <v>189617487.91686153</v>
      </c>
    </row>
    <row r="145" spans="1:8">
      <c r="A145" t="s">
        <v>205</v>
      </c>
      <c r="B145" s="18">
        <v>2038</v>
      </c>
      <c r="C145" s="21">
        <f>SUMIFS(Annual_Cost!$Q$2:$Q$807,Annual_Cost!$A$2:$A$807,A145,Annual_Cost!$B$2:$B$807,B145)</f>
        <v>0</v>
      </c>
      <c r="D145" s="21">
        <f>SUMIFS(Annual_Cost!$R$2:$R$807,Annual_Cost!$A$2:$A$807,A145,Annual_Cost!$B$2:$B$807,B145)</f>
        <v>21866564.510856867</v>
      </c>
      <c r="E145" s="21">
        <f>SUMIFS(Annual_Cost!$S$2:$S$807,Annual_Cost!$A$2:$A$807,A145,Annual_Cost!$B$2:$B$807,B145)</f>
        <v>21866564.510856867</v>
      </c>
      <c r="F145" s="21">
        <f>SUMIFS(Annual_Cost!$W$2:$W$807,Annual_Cost!$A$2:$A$807,A145,Annual_Cost!$B$2:$B$807,B145)</f>
        <v>14890066.404715253</v>
      </c>
      <c r="G145" s="21">
        <f>SUMIFS($E$2:E145,$A$2:A145,A145)</f>
        <v>254247945.67831841</v>
      </c>
      <c r="H145" s="21">
        <f>SUMIFS($F$2:F145,$A$2:A145,A145)</f>
        <v>204507554.32157677</v>
      </c>
    </row>
    <row r="146" spans="1:8">
      <c r="A146" t="s">
        <v>205</v>
      </c>
      <c r="B146" s="18">
        <v>2039</v>
      </c>
      <c r="C146" s="21">
        <f>SUMIFS(Annual_Cost!$Q$2:$Q$807,Annual_Cost!$A$2:$A$807,A146,Annual_Cost!$B$2:$B$807,B146)</f>
        <v>0</v>
      </c>
      <c r="D146" s="21">
        <f>SUMIFS(Annual_Cost!$R$2:$R$807,Annual_Cost!$A$2:$A$807,A146,Annual_Cost!$B$2:$B$807,B146)</f>
        <v>21976051.542262107</v>
      </c>
      <c r="E146" s="21">
        <f>SUMIFS(Annual_Cost!$S$2:$S$807,Annual_Cost!$A$2:$A$807,A146,Annual_Cost!$B$2:$B$807,B146)</f>
        <v>21976051.542262107</v>
      </c>
      <c r="F146" s="21">
        <f>SUMIFS(Annual_Cost!$W$2:$W$807,Annual_Cost!$A$2:$A$807,A146,Annual_Cost!$B$2:$B$807,B146)</f>
        <v>14528758.976177208</v>
      </c>
      <c r="G146" s="21">
        <f>SUMIFS($E$2:E146,$A$2:A146,A146)</f>
        <v>276223997.22058052</v>
      </c>
      <c r="H146" s="21">
        <f>SUMIFS($F$2:F146,$A$2:A146,A146)</f>
        <v>219036313.29775399</v>
      </c>
    </row>
    <row r="147" spans="1:8">
      <c r="A147" t="s">
        <v>205</v>
      </c>
      <c r="B147" s="18">
        <v>2040</v>
      </c>
      <c r="C147" s="21">
        <f>SUMIFS(Annual_Cost!$Q$2:$Q$807,Annual_Cost!$A$2:$A$807,A147,Annual_Cost!$B$2:$B$807,B147)</f>
        <v>0</v>
      </c>
      <c r="D147" s="21">
        <f>SUMIFS(Annual_Cost!$R$2:$R$807,Annual_Cost!$A$2:$A$807,A147,Annual_Cost!$B$2:$B$807,B147)</f>
        <v>22081193.706489511</v>
      </c>
      <c r="E147" s="21">
        <f>SUMIFS(Annual_Cost!$S$2:$S$807,Annual_Cost!$A$2:$A$807,A147,Annual_Cost!$B$2:$B$807,B147)</f>
        <v>22081193.706489511</v>
      </c>
      <c r="F147" s="21">
        <f>SUMIFS(Annual_Cost!$W$2:$W$807,Annual_Cost!$A$2:$A$807,A147,Annual_Cost!$B$2:$B$807,B147)</f>
        <v>14173077.993291503</v>
      </c>
      <c r="G147" s="21">
        <f>SUMIFS($E$2:E147,$A$2:A147,A147)</f>
        <v>298305190.92707002</v>
      </c>
      <c r="H147" s="21">
        <f>SUMIFS($F$2:F147,$A$2:A147,A147)</f>
        <v>233209391.29104549</v>
      </c>
    </row>
    <row r="148" spans="1:8">
      <c r="A148" t="s">
        <v>205</v>
      </c>
      <c r="B148" s="18">
        <v>2041</v>
      </c>
      <c r="C148" s="21">
        <f>SUMIFS(Annual_Cost!$Q$2:$Q$807,Annual_Cost!$A$2:$A$807,A148,Annual_Cost!$B$2:$B$807,B148)</f>
        <v>0</v>
      </c>
      <c r="D148" s="21">
        <f>SUMIFS(Annual_Cost!$R$2:$R$807,Annual_Cost!$A$2:$A$807,A148,Annual_Cost!$B$2:$B$807,B148)</f>
        <v>22182263.875349637</v>
      </c>
      <c r="E148" s="21">
        <f>SUMIFS(Annual_Cost!$S$2:$S$807,Annual_Cost!$A$2:$A$807,A148,Annual_Cost!$B$2:$B$807,B148)</f>
        <v>22182263.875349637</v>
      </c>
      <c r="F148" s="21">
        <f>SUMIFS(Annual_Cost!$W$2:$W$807,Annual_Cost!$A$2:$A$807,A148,Annual_Cost!$B$2:$B$807,B148)</f>
        <v>13823253.484174546</v>
      </c>
      <c r="G148" s="21">
        <f>SUMIFS($E$2:E148,$A$2:A148,A148)</f>
        <v>320487454.80241966</v>
      </c>
      <c r="H148" s="21">
        <f>SUMIFS($F$2:F148,$A$2:A148,A148)</f>
        <v>247032644.77522004</v>
      </c>
    </row>
    <row r="149" spans="1:8">
      <c r="A149" t="s">
        <v>205</v>
      </c>
      <c r="B149" s="18">
        <v>2042</v>
      </c>
      <c r="C149" s="21">
        <f>SUMIFS(Annual_Cost!$Q$2:$Q$807,Annual_Cost!$A$2:$A$807,A149,Annual_Cost!$B$2:$B$807,B149)</f>
        <v>0</v>
      </c>
      <c r="D149" s="21">
        <f>SUMIFS(Annual_Cost!$R$2:$R$807,Annual_Cost!$A$2:$A$807,A149,Annual_Cost!$B$2:$B$807,B149)</f>
        <v>22278909.216731086</v>
      </c>
      <c r="E149" s="21">
        <f>SUMIFS(Annual_Cost!$S$2:$S$807,Annual_Cost!$A$2:$A$807,A149,Annual_Cost!$B$2:$B$807,B149)</f>
        <v>22278909.216731086</v>
      </c>
      <c r="F149" s="21">
        <f>SUMIFS(Annual_Cost!$W$2:$W$807,Annual_Cost!$A$2:$A$807,A149,Annual_Cost!$B$2:$B$807,B149)</f>
        <v>13479106.471604958</v>
      </c>
      <c r="G149" s="21">
        <f>SUMIFS($E$2:E149,$A$2:A149,A149)</f>
        <v>342766364.01915073</v>
      </c>
      <c r="H149" s="21">
        <f>SUMIFS($F$2:F149,$A$2:A149,A149)</f>
        <v>260511751.24682498</v>
      </c>
    </row>
    <row r="150" spans="1:8">
      <c r="A150" t="s">
        <v>205</v>
      </c>
      <c r="B150" s="18">
        <v>2043</v>
      </c>
      <c r="C150" s="21">
        <f>SUMIFS(Annual_Cost!$Q$2:$Q$807,Annual_Cost!$A$2:$A$807,A150,Annual_Cost!$B$2:$B$807,B150)</f>
        <v>0</v>
      </c>
      <c r="D150" s="21">
        <f>SUMIFS(Annual_Cost!$R$2:$R$807,Annual_Cost!$A$2:$A$807,A150,Annual_Cost!$B$2:$B$807,B150)</f>
        <v>22371101.897632625</v>
      </c>
      <c r="E150" s="21">
        <f>SUMIFS(Annual_Cost!$S$2:$S$807,Annual_Cost!$A$2:$A$807,A150,Annual_Cost!$B$2:$B$807,B150)</f>
        <v>22371101.897632625</v>
      </c>
      <c r="F150" s="21">
        <f>SUMIFS(Annual_Cost!$W$2:$W$807,Annual_Cost!$A$2:$A$807,A150,Annual_Cost!$B$2:$B$807,B150)</f>
        <v>13140664.621103793</v>
      </c>
      <c r="G150" s="21">
        <f>SUMIFS($E$2:E150,$A$2:A150,A150)</f>
        <v>365137465.91678333</v>
      </c>
      <c r="H150" s="21">
        <f>SUMIFS($F$2:F150,$A$2:A150,A150)</f>
        <v>273652415.86792874</v>
      </c>
    </row>
    <row r="151" spans="1:8">
      <c r="A151" t="s">
        <v>205</v>
      </c>
      <c r="B151" s="18">
        <v>2044</v>
      </c>
      <c r="C151" s="21">
        <f>SUMIFS(Annual_Cost!$Q$2:$Q$807,Annual_Cost!$A$2:$A$807,A151,Annual_Cost!$B$2:$B$807,B151)</f>
        <v>0</v>
      </c>
      <c r="D151" s="21">
        <f>SUMIFS(Annual_Cost!$R$2:$R$807,Annual_Cost!$A$2:$A$807,A151,Annual_Cost!$B$2:$B$807,B151)</f>
        <v>22458680.343131173</v>
      </c>
      <c r="E151" s="21">
        <f>SUMIFS(Annual_Cost!$S$2:$S$807,Annual_Cost!$A$2:$A$807,A151,Annual_Cost!$B$2:$B$807,B151)</f>
        <v>22458680.343131173</v>
      </c>
      <c r="F151" s="21">
        <f>SUMIFS(Annual_Cost!$W$2:$W$807,Annual_Cost!$A$2:$A$807,A151,Annual_Cost!$B$2:$B$807,B151)</f>
        <v>12807871.580323357</v>
      </c>
      <c r="G151" s="21">
        <f>SUMIFS($E$2:E151,$A$2:A151,A151)</f>
        <v>387596146.25991452</v>
      </c>
      <c r="H151" s="21">
        <f>SUMIFS($F$2:F151,$A$2:A151,A151)</f>
        <v>286460287.44825208</v>
      </c>
    </row>
    <row r="152" spans="1:8">
      <c r="A152" t="s">
        <v>205</v>
      </c>
      <c r="B152" s="18">
        <v>2045</v>
      </c>
      <c r="C152" s="21">
        <f>SUMIFS(Annual_Cost!$Q$2:$Q$807,Annual_Cost!$A$2:$A$807,A152,Annual_Cost!$B$2:$B$807,B152)</f>
        <v>0</v>
      </c>
      <c r="D152" s="21">
        <f>SUMIFS(Annual_Cost!$R$2:$R$807,Annual_Cost!$A$2:$A$807,A152,Annual_Cost!$B$2:$B$807,B152)</f>
        <v>22541466.739100542</v>
      </c>
      <c r="E152" s="21">
        <f>SUMIFS(Annual_Cost!$S$2:$S$807,Annual_Cost!$A$2:$A$807,A152,Annual_Cost!$B$2:$B$807,B152)</f>
        <v>22541466.739100542</v>
      </c>
      <c r="F152" s="21">
        <f>SUMIFS(Annual_Cost!$W$2:$W$807,Annual_Cost!$A$2:$A$807,A152,Annual_Cost!$B$2:$B$807,B152)</f>
        <v>12480663.597237676</v>
      </c>
      <c r="G152" s="21">
        <f>SUMIFS($E$2:E152,$A$2:A152,A152)</f>
        <v>410137612.99901503</v>
      </c>
      <c r="H152" s="21">
        <f>SUMIFS($F$2:F152,$A$2:A152,A152)</f>
        <v>298940951.04548979</v>
      </c>
    </row>
    <row r="153" spans="1:8">
      <c r="A153" t="s">
        <v>205</v>
      </c>
      <c r="B153" s="18">
        <v>2046</v>
      </c>
      <c r="C153" s="21">
        <f>SUMIFS(Annual_Cost!$Q$2:$Q$807,Annual_Cost!$A$2:$A$807,A153,Annual_Cost!$B$2:$B$807,B153)</f>
        <v>0</v>
      </c>
      <c r="D153" s="21">
        <f>SUMIFS(Annual_Cost!$R$2:$R$807,Annual_Cost!$A$2:$A$807,A153,Annual_Cost!$B$2:$B$807,B153)</f>
        <v>22619542.536391426</v>
      </c>
      <c r="E153" s="21">
        <f>SUMIFS(Annual_Cost!$S$2:$S$807,Annual_Cost!$A$2:$A$807,A153,Annual_Cost!$B$2:$B$807,B153)</f>
        <v>22619542.536391426</v>
      </c>
      <c r="F153" s="21">
        <f>SUMIFS(Annual_Cost!$W$2:$W$807,Annual_Cost!$A$2:$A$807,A153,Annual_Cost!$B$2:$B$807,B153)</f>
        <v>12159118.711831464</v>
      </c>
      <c r="G153" s="21">
        <f>SUMIFS($E$2:E153,$A$2:A153,A153)</f>
        <v>432757155.53540647</v>
      </c>
      <c r="H153" s="21">
        <f>SUMIFS($F$2:F153,$A$2:A153,A153)</f>
        <v>311100069.75732124</v>
      </c>
    </row>
    <row r="154" spans="1:8">
      <c r="A154" t="s">
        <v>205</v>
      </c>
      <c r="B154" s="18">
        <v>2047</v>
      </c>
      <c r="C154" s="21">
        <f>SUMIFS(Annual_Cost!$Q$2:$Q$807,Annual_Cost!$A$2:$A$807,A154,Annual_Cost!$B$2:$B$807,B154)</f>
        <v>0</v>
      </c>
      <c r="D154" s="21">
        <f>SUMIFS(Annual_Cost!$R$2:$R$807,Annual_Cost!$A$2:$A$807,A154,Annual_Cost!$B$2:$B$807,B154)</f>
        <v>22693074.740392037</v>
      </c>
      <c r="E154" s="21">
        <f>SUMIFS(Annual_Cost!$S$2:$S$807,Annual_Cost!$A$2:$A$807,A154,Annual_Cost!$B$2:$B$807,B154)</f>
        <v>22693074.740392037</v>
      </c>
      <c r="F154" s="21">
        <f>SUMIFS(Annual_Cost!$W$2:$W$807,Annual_Cost!$A$2:$A$807,A154,Annual_Cost!$B$2:$B$807,B154)</f>
        <v>11843345.528978631</v>
      </c>
      <c r="G154" s="21">
        <f>SUMIFS($E$2:E154,$A$2:A154,A154)</f>
        <v>455450230.2757985</v>
      </c>
      <c r="H154" s="21">
        <f>SUMIFS($F$2:F154,$A$2:A154,A154)</f>
        <v>322943415.28629988</v>
      </c>
    </row>
    <row r="155" spans="1:8">
      <c r="A155" t="s">
        <v>205</v>
      </c>
      <c r="B155" s="18">
        <v>2048</v>
      </c>
      <c r="C155" s="21">
        <f>SUMIFS(Annual_Cost!$Q$2:$Q$807,Annual_Cost!$A$2:$A$807,A155,Annual_Cost!$B$2:$B$807,B155)</f>
        <v>0</v>
      </c>
      <c r="D155" s="21">
        <f>SUMIFS(Annual_Cost!$R$2:$R$807,Annual_Cost!$A$2:$A$807,A155,Annual_Cost!$B$2:$B$807,B155)</f>
        <v>22762062.597748477</v>
      </c>
      <c r="E155" s="21">
        <f>SUMIFS(Annual_Cost!$S$2:$S$807,Annual_Cost!$A$2:$A$807,A155,Annual_Cost!$B$2:$B$807,B155)</f>
        <v>22762062.597748477</v>
      </c>
      <c r="F155" s="21">
        <f>SUMIFS(Annual_Cost!$W$2:$W$807,Annual_Cost!$A$2:$A$807,A155,Annual_Cost!$B$2:$B$807,B155)</f>
        <v>11533349.295519333</v>
      </c>
      <c r="G155" s="21">
        <f>SUMIFS($E$2:E155,$A$2:A155,A155)</f>
        <v>478212292.87354696</v>
      </c>
      <c r="H155" s="21">
        <f>SUMIFS($F$2:F155,$A$2:A155,A155)</f>
        <v>334476764.58181924</v>
      </c>
    </row>
    <row r="156" spans="1:8">
      <c r="A156" t="s">
        <v>205</v>
      </c>
      <c r="B156" s="18">
        <v>2049</v>
      </c>
      <c r="C156" s="21">
        <f>SUMIFS(Annual_Cost!$Q$2:$Q$807,Annual_Cost!$A$2:$A$807,A156,Annual_Cost!$B$2:$B$807,B156)</f>
        <v>0</v>
      </c>
      <c r="D156" s="21">
        <f>SUMIFS(Annual_Cost!$R$2:$R$807,Annual_Cost!$A$2:$A$807,A156,Annual_Cost!$B$2:$B$807,B156)</f>
        <v>22826446.008320421</v>
      </c>
      <c r="E156" s="21">
        <f>SUMIFS(Annual_Cost!$S$2:$S$807,Annual_Cost!$A$2:$A$807,A156,Annual_Cost!$B$2:$B$807,B156)</f>
        <v>22826446.008320421</v>
      </c>
      <c r="F156" s="21">
        <f>SUMIFS(Annual_Cost!$W$2:$W$807,Annual_Cost!$A$2:$A$807,A156,Annual_Cost!$B$2:$B$807,B156)</f>
        <v>11229098.872225145</v>
      </c>
      <c r="G156" s="21">
        <f>SUMIFS($E$2:E156,$A$2:A156,A156)</f>
        <v>501038738.88186741</v>
      </c>
      <c r="H156" s="21">
        <f>SUMIFS($F$2:F156,$A$2:A156,A156)</f>
        <v>345705863.4540444</v>
      </c>
    </row>
    <row r="157" spans="1:8">
      <c r="A157" t="s">
        <v>205</v>
      </c>
      <c r="B157" s="18">
        <v>2050</v>
      </c>
      <c r="C157" s="21">
        <f>SUMIFS(Annual_Cost!$Q$2:$Q$807,Annual_Cost!$A$2:$A$807,A157,Annual_Cost!$B$2:$B$807,B157)</f>
        <v>0</v>
      </c>
      <c r="D157" s="21">
        <f>SUMIFS(Annual_Cost!$R$2:$R$807,Annual_Cost!$A$2:$A$807,A157,Annual_Cost!$B$2:$B$807,B157)</f>
        <v>22886051.372638024</v>
      </c>
      <c r="E157" s="21">
        <f>SUMIFS(Annual_Cost!$S$2:$S$807,Annual_Cost!$A$2:$A$807,A157,Annual_Cost!$B$2:$B$807,B157)</f>
        <v>22886051.372638024</v>
      </c>
      <c r="F157" s="21">
        <f>SUMIFS(Annual_Cost!$W$2:$W$807,Annual_Cost!$A$2:$A$807,A157,Annual_Cost!$B$2:$B$807,B157)</f>
        <v>10930505.59398037</v>
      </c>
      <c r="G157" s="21">
        <f>SUMIFS($E$2:E157,$A$2:A157,A157)</f>
        <v>523924790.25450546</v>
      </c>
      <c r="H157" s="21">
        <f>SUMIFS($F$2:F157,$A$2:A157,A157)</f>
        <v>356636369.04802477</v>
      </c>
    </row>
    <row r="158" spans="1:8">
      <c r="A158" t="s">
        <v>224</v>
      </c>
      <c r="B158" s="18">
        <v>2025</v>
      </c>
      <c r="C158" s="21">
        <f>SUMIFS(Annual_Cost!$Q$2:$Q$807,Annual_Cost!$A$2:$A$807,A158,Annual_Cost!$B$2:$B$807,B158)</f>
        <v>0</v>
      </c>
      <c r="D158" s="21">
        <f>SUMIFS(Annual_Cost!$R$2:$R$807,Annual_Cost!$A$2:$A$807,A158,Annual_Cost!$B$2:$B$807,B158)</f>
        <v>0</v>
      </c>
      <c r="E158" s="21">
        <f>SUMIFS(Annual_Cost!$S$2:$S$807,Annual_Cost!$A$2:$A$807,A158,Annual_Cost!$B$2:$B$807,B158)</f>
        <v>0</v>
      </c>
      <c r="F158" s="21">
        <f>SUMIFS(Annual_Cost!$W$2:$W$807,Annual_Cost!$A$2:$A$807,A158,Annual_Cost!$B$2:$B$807,B158)</f>
        <v>0</v>
      </c>
      <c r="G158" s="21">
        <f>SUMIFS($E$2:E158,$A$2:A158,A158)</f>
        <v>0</v>
      </c>
      <c r="H158" s="21">
        <f>SUMIFS($F$2:F158,$A$2:A158,A158)</f>
        <v>0</v>
      </c>
    </row>
    <row r="159" spans="1:8">
      <c r="A159" t="s">
        <v>224</v>
      </c>
      <c r="B159" s="18">
        <v>2026</v>
      </c>
      <c r="C159" s="21">
        <f>SUMIFS(Annual_Cost!$Q$2:$Q$807,Annual_Cost!$A$2:$A$807,A159,Annual_Cost!$B$2:$B$807,B159)</f>
        <v>0</v>
      </c>
      <c r="D159" s="21">
        <f>SUMIFS(Annual_Cost!$R$2:$R$807,Annual_Cost!$A$2:$A$807,A159,Annual_Cost!$B$2:$B$807,B159)</f>
        <v>1694360.7934206405</v>
      </c>
      <c r="E159" s="21">
        <f>SUMIFS(Annual_Cost!$S$2:$S$807,Annual_Cost!$A$2:$A$807,A159,Annual_Cost!$B$2:$B$807,B159)</f>
        <v>1694360.7934206405</v>
      </c>
      <c r="F159" s="21">
        <f>SUMIFS(Annual_Cost!$W$2:$W$807,Annual_Cost!$A$2:$A$807,A159,Annual_Cost!$B$2:$B$807,B159)</f>
        <v>1645010.4790491655</v>
      </c>
      <c r="G159" s="21">
        <f>SUMIFS($E$2:E159,$A$2:A159,A159)</f>
        <v>1694360.7934206405</v>
      </c>
      <c r="H159" s="21">
        <f>SUMIFS($F$2:F159,$A$2:A159,A159)</f>
        <v>1645010.4790491655</v>
      </c>
    </row>
    <row r="160" spans="1:8">
      <c r="A160" t="s">
        <v>224</v>
      </c>
      <c r="B160" s="18">
        <v>2027</v>
      </c>
      <c r="C160" s="21">
        <f>SUMIFS(Annual_Cost!$Q$2:$Q$807,Annual_Cost!$A$2:$A$807,A160,Annual_Cost!$B$2:$B$807,B160)</f>
        <v>0</v>
      </c>
      <c r="D160" s="21">
        <f>SUMIFS(Annual_Cost!$R$2:$R$807,Annual_Cost!$A$2:$A$807,A160,Annual_Cost!$B$2:$B$807,B160)</f>
        <v>3410778.2335757674</v>
      </c>
      <c r="E160" s="21">
        <f>SUMIFS(Annual_Cost!$S$2:$S$807,Annual_Cost!$A$2:$A$807,A160,Annual_Cost!$B$2:$B$807,B160)</f>
        <v>3410778.2335757674</v>
      </c>
      <c r="F160" s="21">
        <f>SUMIFS(Annual_Cost!$W$2:$W$807,Annual_Cost!$A$2:$A$807,A160,Annual_Cost!$B$2:$B$807,B160)</f>
        <v>3214985.6099309712</v>
      </c>
      <c r="G160" s="21">
        <f>SUMIFS($E$2:E160,$A$2:A160,A160)</f>
        <v>5105139.0269964077</v>
      </c>
      <c r="H160" s="21">
        <f>SUMIFS($F$2:F160,$A$2:A160,A160)</f>
        <v>4859996.0889801364</v>
      </c>
    </row>
    <row r="161" spans="1:8">
      <c r="A161" t="s">
        <v>224</v>
      </c>
      <c r="B161" s="18">
        <v>2028</v>
      </c>
      <c r="C161" s="21">
        <f>SUMIFS(Annual_Cost!$Q$2:$Q$807,Annual_Cost!$A$2:$A$807,A161,Annual_Cost!$B$2:$B$807,B161)</f>
        <v>0</v>
      </c>
      <c r="D161" s="21">
        <f>SUMIFS(Annual_Cost!$R$2:$R$807,Annual_Cost!$A$2:$A$807,A161,Annual_Cost!$B$2:$B$807,B161)</f>
        <v>5151252.5273991656</v>
      </c>
      <c r="E161" s="21">
        <f>SUMIFS(Annual_Cost!$S$2:$S$807,Annual_Cost!$A$2:$A$807,A161,Annual_Cost!$B$2:$B$807,B161)</f>
        <v>5151252.5273991656</v>
      </c>
      <c r="F161" s="21">
        <f>SUMIFS(Annual_Cost!$W$2:$W$807,Annual_Cost!$A$2:$A$807,A161,Annual_Cost!$B$2:$B$807,B161)</f>
        <v>4714125.7856712295</v>
      </c>
      <c r="G161" s="21">
        <f>SUMIFS($E$2:E161,$A$2:A161,A161)</f>
        <v>10256391.554395573</v>
      </c>
      <c r="H161" s="21">
        <f>SUMIFS($F$2:F161,$A$2:A161,A161)</f>
        <v>9574121.874651365</v>
      </c>
    </row>
    <row r="162" spans="1:8">
      <c r="A162" t="s">
        <v>224</v>
      </c>
      <c r="B162" s="18">
        <v>2029</v>
      </c>
      <c r="C162" s="21">
        <f>SUMIFS(Annual_Cost!$Q$2:$Q$807,Annual_Cost!$A$2:$A$807,A162,Annual_Cost!$B$2:$B$807,B162)</f>
        <v>0</v>
      </c>
      <c r="D162" s="21">
        <f>SUMIFS(Annual_Cost!$R$2:$R$807,Annual_Cost!$A$2:$A$807,A162,Annual_Cost!$B$2:$B$807,B162)</f>
        <v>5185810.8528108392</v>
      </c>
      <c r="E162" s="21">
        <f>SUMIFS(Annual_Cost!$S$2:$S$807,Annual_Cost!$A$2:$A$807,A162,Annual_Cost!$B$2:$B$807,B162)</f>
        <v>5185810.8528108392</v>
      </c>
      <c r="F162" s="21">
        <f>SUMIFS(Annual_Cost!$W$2:$W$807,Annual_Cost!$A$2:$A$807,A162,Annual_Cost!$B$2:$B$807,B162)</f>
        <v>4607525.7756630443</v>
      </c>
      <c r="G162" s="21">
        <f>SUMIFS($E$2:E162,$A$2:A162,A162)</f>
        <v>15442202.407206412</v>
      </c>
      <c r="H162" s="21">
        <f>SUMIFS($F$2:F162,$A$2:A162,A162)</f>
        <v>14181647.650314409</v>
      </c>
    </row>
    <row r="163" spans="1:8">
      <c r="A163" t="s">
        <v>224</v>
      </c>
      <c r="B163" s="18">
        <v>2030</v>
      </c>
      <c r="C163" s="21">
        <f>SUMIFS(Annual_Cost!$Q$2:$Q$807,Annual_Cost!$A$2:$A$807,A163,Annual_Cost!$B$2:$B$807,B163)</f>
        <v>0</v>
      </c>
      <c r="D163" s="21">
        <f>SUMIFS(Annual_Cost!$R$2:$R$807,Annual_Cost!$A$2:$A$807,A163,Annual_Cost!$B$2:$B$807,B163)</f>
        <v>5219586.3571966123</v>
      </c>
      <c r="E163" s="21">
        <f>SUMIFS(Annual_Cost!$S$2:$S$807,Annual_Cost!$A$2:$A$807,A163,Annual_Cost!$B$2:$B$807,B163)</f>
        <v>5219586.3571966123</v>
      </c>
      <c r="F163" s="21">
        <f>SUMIFS(Annual_Cost!$W$2:$W$807,Annual_Cost!$A$2:$A$807,A163,Annual_Cost!$B$2:$B$807,B163)</f>
        <v>4502461.0425695367</v>
      </c>
      <c r="G163" s="21">
        <f>SUMIFS($E$2:E163,$A$2:A163,A163)</f>
        <v>20661788.764403023</v>
      </c>
      <c r="H163" s="21">
        <f>SUMIFS($F$2:F163,$A$2:A163,A163)</f>
        <v>18684108.692883946</v>
      </c>
    </row>
    <row r="164" spans="1:8">
      <c r="A164" t="s">
        <v>224</v>
      </c>
      <c r="B164" s="18">
        <v>2031</v>
      </c>
      <c r="C164" s="21">
        <f>SUMIFS(Annual_Cost!$Q$2:$Q$807,Annual_Cost!$A$2:$A$807,A164,Annual_Cost!$B$2:$B$807,B164)</f>
        <v>0</v>
      </c>
      <c r="D164" s="21">
        <f>SUMIFS(Annual_Cost!$R$2:$R$807,Annual_Cost!$A$2:$A$807,A164,Annual_Cost!$B$2:$B$807,B164)</f>
        <v>5252814.0821686517</v>
      </c>
      <c r="E164" s="21">
        <f>SUMIFS(Annual_Cost!$S$2:$S$807,Annual_Cost!$A$2:$A$807,A164,Annual_Cost!$B$2:$B$807,B164)</f>
        <v>5252814.0821686517</v>
      </c>
      <c r="F164" s="21">
        <f>SUMIFS(Annual_Cost!$W$2:$W$807,Annual_Cost!$A$2:$A$807,A164,Annual_Cost!$B$2:$B$807,B164)</f>
        <v>4399149.0971024456</v>
      </c>
      <c r="G164" s="21">
        <f>SUMIFS($E$2:E164,$A$2:A164,A164)</f>
        <v>25914602.846571676</v>
      </c>
      <c r="H164" s="21">
        <f>SUMIFS($F$2:F164,$A$2:A164,A164)</f>
        <v>23083257.789986391</v>
      </c>
    </row>
    <row r="165" spans="1:8">
      <c r="A165" t="s">
        <v>224</v>
      </c>
      <c r="B165" s="18">
        <v>2032</v>
      </c>
      <c r="C165" s="21">
        <f>SUMIFS(Annual_Cost!$Q$2:$Q$807,Annual_Cost!$A$2:$A$807,A165,Annual_Cost!$B$2:$B$807,B165)</f>
        <v>0</v>
      </c>
      <c r="D165" s="21">
        <f>SUMIFS(Annual_Cost!$R$2:$R$807,Annual_Cost!$A$2:$A$807,A165,Annual_Cost!$B$2:$B$807,B165)</f>
        <v>5285457.4665683554</v>
      </c>
      <c r="E165" s="21">
        <f>SUMIFS(Annual_Cost!$S$2:$S$807,Annual_Cost!$A$2:$A$807,A165,Annual_Cost!$B$2:$B$807,B165)</f>
        <v>5285457.4665683554</v>
      </c>
      <c r="F165" s="21">
        <f>SUMIFS(Annual_Cost!$W$2:$W$807,Annual_Cost!$A$2:$A$807,A165,Annual_Cost!$B$2:$B$807,B165)</f>
        <v>4297560.5996330781</v>
      </c>
      <c r="G165" s="21">
        <f>SUMIFS($E$2:E165,$A$2:A165,A165)</f>
        <v>31200060.313140031</v>
      </c>
      <c r="H165" s="21">
        <f>SUMIFS($F$2:F165,$A$2:A165,A165)</f>
        <v>27380818.38961947</v>
      </c>
    </row>
    <row r="166" spans="1:8">
      <c r="A166" t="s">
        <v>224</v>
      </c>
      <c r="B166" s="18">
        <v>2033</v>
      </c>
      <c r="C166" s="21">
        <f>SUMIFS(Annual_Cost!$Q$2:$Q$807,Annual_Cost!$A$2:$A$807,A166,Annual_Cost!$B$2:$B$807,B166)</f>
        <v>0</v>
      </c>
      <c r="D166" s="21">
        <f>SUMIFS(Annual_Cost!$R$2:$R$807,Annual_Cost!$A$2:$A$807,A166,Annual_Cost!$B$2:$B$807,B166)</f>
        <v>5317477.0494458796</v>
      </c>
      <c r="E166" s="21">
        <f>SUMIFS(Annual_Cost!$S$2:$S$807,Annual_Cost!$A$2:$A$807,A166,Annual_Cost!$B$2:$B$807,B166)</f>
        <v>5317477.0494458796</v>
      </c>
      <c r="F166" s="21">
        <f>SUMIFS(Annual_Cost!$W$2:$W$807,Annual_Cost!$A$2:$A$807,A166,Annual_Cost!$B$2:$B$807,B166)</f>
        <v>4197665.4860849977</v>
      </c>
      <c r="G166" s="21">
        <f>SUMIFS($E$2:E166,$A$2:A166,A166)</f>
        <v>36517537.36258591</v>
      </c>
      <c r="H166" s="21">
        <f>SUMIFS($F$2:F166,$A$2:A166,A166)</f>
        <v>31578483.875704467</v>
      </c>
    </row>
    <row r="167" spans="1:8">
      <c r="A167" t="s">
        <v>224</v>
      </c>
      <c r="B167" s="18">
        <v>2034</v>
      </c>
      <c r="C167" s="21">
        <f>SUMIFS(Annual_Cost!$Q$2:$Q$807,Annual_Cost!$A$2:$A$807,A167,Annual_Cost!$B$2:$B$807,B167)</f>
        <v>0</v>
      </c>
      <c r="D167" s="21">
        <f>SUMIFS(Annual_Cost!$R$2:$R$807,Annual_Cost!$A$2:$A$807,A167,Annual_Cost!$B$2:$B$807,B167)</f>
        <v>5348771.3964091269</v>
      </c>
      <c r="E167" s="21">
        <f>SUMIFS(Annual_Cost!$S$2:$S$807,Annual_Cost!$A$2:$A$807,A167,Annual_Cost!$B$2:$B$807,B167)</f>
        <v>5348771.3964091269</v>
      </c>
      <c r="F167" s="21">
        <f>SUMIFS(Annual_Cost!$W$2:$W$807,Annual_Cost!$A$2:$A$807,A167,Annual_Cost!$B$2:$B$807,B167)</f>
        <v>4099387.8956889417</v>
      </c>
      <c r="G167" s="21">
        <f>SUMIFS($E$2:E167,$A$2:A167,A167)</f>
        <v>41866308.758995034</v>
      </c>
      <c r="H167" s="21">
        <f>SUMIFS($F$2:F167,$A$2:A167,A167)</f>
        <v>35677871.771393411</v>
      </c>
    </row>
    <row r="168" spans="1:8">
      <c r="A168" t="s">
        <v>224</v>
      </c>
      <c r="B168" s="18">
        <v>2035</v>
      </c>
      <c r="C168" s="21">
        <f>SUMIFS(Annual_Cost!$Q$2:$Q$807,Annual_Cost!$A$2:$A$807,A168,Annual_Cost!$B$2:$B$807,B168)</f>
        <v>0</v>
      </c>
      <c r="D168" s="21">
        <f>SUMIFS(Annual_Cost!$R$2:$R$807,Annual_Cost!$A$2:$A$807,A168,Annual_Cost!$B$2:$B$807,B168)</f>
        <v>5379238.5794355776</v>
      </c>
      <c r="E168" s="21">
        <f>SUMIFS(Annual_Cost!$S$2:$S$807,Annual_Cost!$A$2:$A$807,A168,Annual_Cost!$B$2:$B$807,B168)</f>
        <v>5379238.5794355776</v>
      </c>
      <c r="F168" s="21">
        <f>SUMIFS(Annual_Cost!$W$2:$W$807,Annual_Cost!$A$2:$A$807,A168,Annual_Cost!$B$2:$B$807,B168)</f>
        <v>4002658.6937357173</v>
      </c>
      <c r="G168" s="21">
        <f>SUMIFS($E$2:E168,$A$2:A168,A168)</f>
        <v>47245547.338430613</v>
      </c>
      <c r="H168" s="21">
        <f>SUMIFS($F$2:F168,$A$2:A168,A168)</f>
        <v>39680530.46512913</v>
      </c>
    </row>
    <row r="169" spans="1:8">
      <c r="A169" t="s">
        <v>224</v>
      </c>
      <c r="B169" s="18">
        <v>2036</v>
      </c>
      <c r="C169" s="21">
        <f>SUMIFS(Annual_Cost!$Q$2:$Q$807,Annual_Cost!$A$2:$A$807,A169,Annual_Cost!$B$2:$B$807,B169)</f>
        <v>0</v>
      </c>
      <c r="D169" s="21">
        <f>SUMIFS(Annual_Cost!$R$2:$R$807,Annual_Cost!$A$2:$A$807,A169,Annual_Cost!$B$2:$B$807,B169)</f>
        <v>5408933.085936645</v>
      </c>
      <c r="E169" s="21">
        <f>SUMIFS(Annual_Cost!$S$2:$S$807,Annual_Cost!$A$2:$A$807,A169,Annual_Cost!$B$2:$B$807,B169)</f>
        <v>5408933.085936645</v>
      </c>
      <c r="F169" s="21">
        <f>SUMIFS(Annual_Cost!$W$2:$W$807,Annual_Cost!$A$2:$A$807,A169,Annual_Cost!$B$2:$B$807,B169)</f>
        <v>3907528.344979634</v>
      </c>
      <c r="G169" s="21">
        <f>SUMIFS($E$2:E169,$A$2:A169,A169)</f>
        <v>52654480.424367256</v>
      </c>
      <c r="H169" s="21">
        <f>SUMIFS($F$2:F169,$A$2:A169,A169)</f>
        <v>43588058.810108766</v>
      </c>
    </row>
    <row r="170" spans="1:8">
      <c r="A170" t="s">
        <v>224</v>
      </c>
      <c r="B170" s="18">
        <v>2037</v>
      </c>
      <c r="C170" s="21">
        <f>SUMIFS(Annual_Cost!$Q$2:$Q$807,Annual_Cost!$A$2:$A$807,A170,Annual_Cost!$B$2:$B$807,B170)</f>
        <v>0</v>
      </c>
      <c r="D170" s="21">
        <f>SUMIFS(Annual_Cost!$R$2:$R$807,Annual_Cost!$A$2:$A$807,A170,Annual_Cost!$B$2:$B$807,B170)</f>
        <v>5437834.0343323685</v>
      </c>
      <c r="E170" s="21">
        <f>SUMIFS(Annual_Cost!$S$2:$S$807,Annual_Cost!$A$2:$A$807,A170,Annual_Cost!$B$2:$B$807,B170)</f>
        <v>5437834.0343323685</v>
      </c>
      <c r="F170" s="21">
        <f>SUMIFS(Annual_Cost!$W$2:$W$807,Annual_Cost!$A$2:$A$807,A170,Annual_Cost!$B$2:$B$807,B170)</f>
        <v>3813987.383509309</v>
      </c>
      <c r="G170" s="21">
        <f>SUMIFS($E$2:E170,$A$2:A170,A170)</f>
        <v>58092314.458699629</v>
      </c>
      <c r="H170" s="21">
        <f>SUMIFS($F$2:F170,$A$2:A170,A170)</f>
        <v>47402046.193618074</v>
      </c>
    </row>
    <row r="171" spans="1:8">
      <c r="A171" t="s">
        <v>224</v>
      </c>
      <c r="B171" s="18">
        <v>2038</v>
      </c>
      <c r="C171" s="21">
        <f>SUMIFS(Annual_Cost!$Q$2:$Q$807,Annual_Cost!$A$2:$A$807,A171,Annual_Cost!$B$2:$B$807,B171)</f>
        <v>0</v>
      </c>
      <c r="D171" s="21">
        <f>SUMIFS(Annual_Cost!$R$2:$R$807,Annual_Cost!$A$2:$A$807,A171,Annual_Cost!$B$2:$B$807,B171)</f>
        <v>5465653.310933616</v>
      </c>
      <c r="E171" s="21">
        <f>SUMIFS(Annual_Cost!$S$2:$S$807,Annual_Cost!$A$2:$A$807,A171,Annual_Cost!$B$2:$B$807,B171)</f>
        <v>5465653.310933616</v>
      </c>
      <c r="F171" s="21">
        <f>SUMIFS(Annual_Cost!$W$2:$W$807,Annual_Cost!$A$2:$A$807,A171,Annual_Cost!$B$2:$B$807,B171)</f>
        <v>3721843.9460183955</v>
      </c>
      <c r="G171" s="21">
        <f>SUMIFS($E$2:E171,$A$2:A171,A171)</f>
        <v>63557967.769633248</v>
      </c>
      <c r="H171" s="21">
        <f>SUMIFS($F$2:F171,$A$2:A171,A171)</f>
        <v>51123890.139636472</v>
      </c>
    </row>
    <row r="172" spans="1:8">
      <c r="A172" t="s">
        <v>224</v>
      </c>
      <c r="B172" s="18">
        <v>2039</v>
      </c>
      <c r="C172" s="21">
        <f>SUMIFS(Annual_Cost!$Q$2:$Q$807,Annual_Cost!$A$2:$A$807,A172,Annual_Cost!$B$2:$B$807,B172)</f>
        <v>0</v>
      </c>
      <c r="D172" s="21">
        <f>SUMIFS(Annual_Cost!$R$2:$R$807,Annual_Cost!$A$2:$A$807,A172,Annual_Cost!$B$2:$B$807,B172)</f>
        <v>5492732.3275708146</v>
      </c>
      <c r="E172" s="21">
        <f>SUMIFS(Annual_Cost!$S$2:$S$807,Annual_Cost!$A$2:$A$807,A172,Annual_Cost!$B$2:$B$807,B172)</f>
        <v>5492732.3275708146</v>
      </c>
      <c r="F172" s="21">
        <f>SUMIFS(Annual_Cost!$W$2:$W$807,Annual_Cost!$A$2:$A$807,A172,Annual_Cost!$B$2:$B$807,B172)</f>
        <v>3631343.1443526144</v>
      </c>
      <c r="G172" s="21">
        <f>SUMIFS($E$2:E172,$A$2:A172,A172)</f>
        <v>69050700.097204059</v>
      </c>
      <c r="H172" s="21">
        <f>SUMIFS($F$2:F172,$A$2:A172,A172)</f>
        <v>54755233.283989087</v>
      </c>
    </row>
    <row r="173" spans="1:8">
      <c r="A173" t="s">
        <v>224</v>
      </c>
      <c r="B173" s="18">
        <v>2040</v>
      </c>
      <c r="C173" s="21">
        <f>SUMIFS(Annual_Cost!$Q$2:$Q$807,Annual_Cost!$A$2:$A$807,A173,Annual_Cost!$B$2:$B$807,B173)</f>
        <v>0</v>
      </c>
      <c r="D173" s="21">
        <f>SUMIFS(Annual_Cost!$R$2:$R$807,Annual_Cost!$A$2:$A$807,A173,Annual_Cost!$B$2:$B$807,B173)</f>
        <v>5518736.729479786</v>
      </c>
      <c r="E173" s="21">
        <f>SUMIFS(Annual_Cost!$S$2:$S$807,Annual_Cost!$A$2:$A$807,A173,Annual_Cost!$B$2:$B$807,B173)</f>
        <v>5518736.729479786</v>
      </c>
      <c r="F173" s="21">
        <f>SUMIFS(Annual_Cost!$W$2:$W$807,Annual_Cost!$A$2:$A$807,A173,Annual_Cost!$B$2:$B$807,B173)</f>
        <v>3542267.1043536882</v>
      </c>
      <c r="G173" s="21">
        <f>SUMIFS($E$2:E173,$A$2:A173,A173)</f>
        <v>74569436.826683849</v>
      </c>
      <c r="H173" s="21">
        <f>SUMIFS($F$2:F173,$A$2:A173,A173)</f>
        <v>58297500.388342775</v>
      </c>
    </row>
    <row r="174" spans="1:8">
      <c r="A174" t="s">
        <v>224</v>
      </c>
      <c r="B174" s="18">
        <v>2041</v>
      </c>
      <c r="C174" s="21">
        <f>SUMIFS(Annual_Cost!$Q$2:$Q$807,Annual_Cost!$A$2:$A$807,A174,Annual_Cost!$B$2:$B$807,B174)</f>
        <v>0</v>
      </c>
      <c r="D174" s="21">
        <f>SUMIFS(Annual_Cost!$R$2:$R$807,Annual_Cost!$A$2:$A$807,A174,Annual_Cost!$B$2:$B$807,B174)</f>
        <v>5543735.2928846106</v>
      </c>
      <c r="E174" s="21">
        <f>SUMIFS(Annual_Cost!$S$2:$S$807,Annual_Cost!$A$2:$A$807,A174,Annual_Cost!$B$2:$B$807,B174)</f>
        <v>5543735.2928846106</v>
      </c>
      <c r="F174" s="21">
        <f>SUMIFS(Annual_Cost!$W$2:$W$807,Annual_Cost!$A$2:$A$807,A174,Annual_Cost!$B$2:$B$807,B174)</f>
        <v>3454672.5543134268</v>
      </c>
      <c r="G174" s="21">
        <f>SUMIFS($E$2:E174,$A$2:A174,A174)</f>
        <v>80113172.119568467</v>
      </c>
      <c r="H174" s="21">
        <f>SUMIFS($F$2:F174,$A$2:A174,A174)</f>
        <v>61752172.942656204</v>
      </c>
    </row>
    <row r="175" spans="1:8">
      <c r="A175" t="s">
        <v>224</v>
      </c>
      <c r="B175" s="18">
        <v>2042</v>
      </c>
      <c r="C175" s="21">
        <f>SUMIFS(Annual_Cost!$Q$2:$Q$807,Annual_Cost!$A$2:$A$807,A175,Annual_Cost!$B$2:$B$807,B175)</f>
        <v>0</v>
      </c>
      <c r="D175" s="21">
        <f>SUMIFS(Annual_Cost!$R$2:$R$807,Annual_Cost!$A$2:$A$807,A175,Annual_Cost!$B$2:$B$807,B175)</f>
        <v>5567639.7779924572</v>
      </c>
      <c r="E175" s="21">
        <f>SUMIFS(Annual_Cost!$S$2:$S$807,Annual_Cost!$A$2:$A$807,A175,Annual_Cost!$B$2:$B$807,B175)</f>
        <v>5567639.7779924572</v>
      </c>
      <c r="F175" s="21">
        <f>SUMIFS(Annual_Cost!$W$2:$W$807,Annual_Cost!$A$2:$A$807,A175,Annual_Cost!$B$2:$B$807,B175)</f>
        <v>3368513.6302249674</v>
      </c>
      <c r="G175" s="21">
        <f>SUMIFS($E$2:E175,$A$2:A175,A175)</f>
        <v>85680811.897560924</v>
      </c>
      <c r="H175" s="21">
        <f>SUMIFS($F$2:F175,$A$2:A175,A175)</f>
        <v>65120686.57288117</v>
      </c>
    </row>
    <row r="176" spans="1:8">
      <c r="A176" t="s">
        <v>224</v>
      </c>
      <c r="B176" s="18">
        <v>2043</v>
      </c>
      <c r="C176" s="21">
        <f>SUMIFS(Annual_Cost!$Q$2:$Q$807,Annual_Cost!$A$2:$A$807,A176,Annual_Cost!$B$2:$B$807,B176)</f>
        <v>0</v>
      </c>
      <c r="D176" s="21">
        <f>SUMIFS(Annual_Cost!$R$2:$R$807,Annual_Cost!$A$2:$A$807,A176,Annual_Cost!$B$2:$B$807,B176)</f>
        <v>5590549.9889023798</v>
      </c>
      <c r="E176" s="21">
        <f>SUMIFS(Annual_Cost!$S$2:$S$807,Annual_Cost!$A$2:$A$807,A176,Annual_Cost!$B$2:$B$807,B176)</f>
        <v>5590549.9889023798</v>
      </c>
      <c r="F176" s="21">
        <f>SUMIFS(Annual_Cost!$W$2:$W$807,Annual_Cost!$A$2:$A$807,A176,Annual_Cost!$B$2:$B$807,B176)</f>
        <v>3283858.9170905268</v>
      </c>
      <c r="G176" s="21">
        <f>SUMIFS($E$2:E176,$A$2:A176,A176)</f>
        <v>91271361.886463299</v>
      </c>
      <c r="H176" s="21">
        <f>SUMIFS($F$2:F176,$A$2:A176,A176)</f>
        <v>68404545.489971697</v>
      </c>
    </row>
    <row r="177" spans="1:8">
      <c r="A177" t="s">
        <v>224</v>
      </c>
      <c r="B177" s="18">
        <v>2044</v>
      </c>
      <c r="C177" s="21">
        <f>SUMIFS(Annual_Cost!$Q$2:$Q$807,Annual_Cost!$A$2:$A$807,A177,Annual_Cost!$B$2:$B$807,B177)</f>
        <v>0</v>
      </c>
      <c r="D177" s="21">
        <f>SUMIFS(Annual_Cost!$R$2:$R$807,Annual_Cost!$A$2:$A$807,A177,Annual_Cost!$B$2:$B$807,B177)</f>
        <v>5612245.259575163</v>
      </c>
      <c r="E177" s="21">
        <f>SUMIFS(Annual_Cost!$S$2:$S$807,Annual_Cost!$A$2:$A$807,A177,Annual_Cost!$B$2:$B$807,B177)</f>
        <v>5612245.259575163</v>
      </c>
      <c r="F177" s="21">
        <f>SUMIFS(Annual_Cost!$W$2:$W$807,Annual_Cost!$A$2:$A$807,A177,Annual_Cost!$B$2:$B$807,B177)</f>
        <v>3200585.0505771805</v>
      </c>
      <c r="G177" s="21">
        <f>SUMIFS($E$2:E177,$A$2:A177,A177)</f>
        <v>96883607.146038458</v>
      </c>
      <c r="H177" s="21">
        <f>SUMIFS($F$2:F177,$A$2:A177,A177)</f>
        <v>71605130.540548876</v>
      </c>
    </row>
    <row r="178" spans="1:8">
      <c r="A178" t="s">
        <v>224</v>
      </c>
      <c r="B178" s="18">
        <v>2045</v>
      </c>
      <c r="C178" s="21">
        <f>SUMIFS(Annual_Cost!$Q$2:$Q$807,Annual_Cost!$A$2:$A$807,A178,Annual_Cost!$B$2:$B$807,B178)</f>
        <v>0</v>
      </c>
      <c r="D178" s="21">
        <f>SUMIFS(Annual_Cost!$R$2:$R$807,Annual_Cost!$A$2:$A$807,A178,Annual_Cost!$B$2:$B$807,B178)</f>
        <v>5632750.7732505789</v>
      </c>
      <c r="E178" s="21">
        <f>SUMIFS(Annual_Cost!$S$2:$S$807,Annual_Cost!$A$2:$A$807,A178,Annual_Cost!$B$2:$B$807,B178)</f>
        <v>5632750.7732505789</v>
      </c>
      <c r="F178" s="21">
        <f>SUMIFS(Annual_Cost!$W$2:$W$807,Annual_Cost!$A$2:$A$807,A178,Annual_Cost!$B$2:$B$807,B178)</f>
        <v>3118717.5325231757</v>
      </c>
      <c r="G178" s="21">
        <f>SUMIFS($E$2:E178,$A$2:A178,A178)</f>
        <v>102516357.91928904</v>
      </c>
      <c r="H178" s="21">
        <f>SUMIFS($F$2:F178,$A$2:A178,A178)</f>
        <v>74723848.073072046</v>
      </c>
    </row>
    <row r="179" spans="1:8">
      <c r="A179" t="s">
        <v>224</v>
      </c>
      <c r="B179" s="18">
        <v>2046</v>
      </c>
      <c r="C179" s="21">
        <f>SUMIFS(Annual_Cost!$Q$2:$Q$807,Annual_Cost!$A$2:$A$807,A179,Annual_Cost!$B$2:$B$807,B179)</f>
        <v>0</v>
      </c>
      <c r="D179" s="21">
        <f>SUMIFS(Annual_Cost!$R$2:$R$807,Annual_Cost!$A$2:$A$807,A179,Annual_Cost!$B$2:$B$807,B179)</f>
        <v>5652089.4654782414</v>
      </c>
      <c r="E179" s="21">
        <f>SUMIFS(Annual_Cost!$S$2:$S$807,Annual_Cost!$A$2:$A$807,A179,Annual_Cost!$B$2:$B$807,B179)</f>
        <v>5652089.4654782414</v>
      </c>
      <c r="F179" s="21">
        <f>SUMIFS(Annual_Cost!$W$2:$W$807,Annual_Cost!$A$2:$A$807,A179,Annual_Cost!$B$2:$B$807,B179)</f>
        <v>3038276.5995410723</v>
      </c>
      <c r="G179" s="21">
        <f>SUMIFS($E$2:E179,$A$2:A179,A179)</f>
        <v>108168447.38476728</v>
      </c>
      <c r="H179" s="21">
        <f>SUMIFS($F$2:F179,$A$2:A179,A179)</f>
        <v>77762124.672613114</v>
      </c>
    </row>
    <row r="180" spans="1:8">
      <c r="A180" t="s">
        <v>224</v>
      </c>
      <c r="B180" s="18">
        <v>2047</v>
      </c>
      <c r="C180" s="21">
        <f>SUMIFS(Annual_Cost!$Q$2:$Q$807,Annual_Cost!$A$2:$A$807,A180,Annual_Cost!$B$2:$B$807,B180)</f>
        <v>0</v>
      </c>
      <c r="D180" s="21">
        <f>SUMIFS(Annual_Cost!$R$2:$R$807,Annual_Cost!$A$2:$A$807,A180,Annual_Cost!$B$2:$B$807,B180)</f>
        <v>5670301.1750551239</v>
      </c>
      <c r="E180" s="21">
        <f>SUMIFS(Annual_Cost!$S$2:$S$807,Annual_Cost!$A$2:$A$807,A180,Annual_Cost!$B$2:$B$807,B180)</f>
        <v>5670301.1750551239</v>
      </c>
      <c r="F180" s="21">
        <f>SUMIFS(Annual_Cost!$W$2:$W$807,Annual_Cost!$A$2:$A$807,A180,Annual_Cost!$B$2:$B$807,B180)</f>
        <v>2959287.661006982</v>
      </c>
      <c r="G180" s="21">
        <f>SUMIFS($E$2:E180,$A$2:A180,A180)</f>
        <v>113838748.55982241</v>
      </c>
      <c r="H180" s="21">
        <f>SUMIFS($F$2:F180,$A$2:A180,A180)</f>
        <v>80721412.333620101</v>
      </c>
    </row>
    <row r="181" spans="1:8">
      <c r="A181" t="s">
        <v>224</v>
      </c>
      <c r="B181" s="18">
        <v>2048</v>
      </c>
      <c r="C181" s="21">
        <f>SUMIFS(Annual_Cost!$Q$2:$Q$807,Annual_Cost!$A$2:$A$807,A181,Annual_Cost!$B$2:$B$807,B181)</f>
        <v>0</v>
      </c>
      <c r="D181" s="21">
        <f>SUMIFS(Annual_Cost!$R$2:$R$807,Annual_Cost!$A$2:$A$807,A181,Annual_Cost!$B$2:$B$807,B181)</f>
        <v>5687387.7131027915</v>
      </c>
      <c r="E181" s="21">
        <f>SUMIFS(Annual_Cost!$S$2:$S$807,Annual_Cost!$A$2:$A$807,A181,Annual_Cost!$B$2:$B$807,B181)</f>
        <v>5687387.7131027915</v>
      </c>
      <c r="F181" s="21">
        <f>SUMIFS(Annual_Cost!$W$2:$W$807,Annual_Cost!$A$2:$A$807,A181,Annual_Cost!$B$2:$B$807,B181)</f>
        <v>2881752.4243496163</v>
      </c>
      <c r="G181" s="21">
        <f>SUMIFS($E$2:E181,$A$2:A181,A181)</f>
        <v>119526136.2729252</v>
      </c>
      <c r="H181" s="21">
        <f>SUMIFS($F$2:F181,$A$2:A181,A181)</f>
        <v>83603164.757969722</v>
      </c>
    </row>
    <row r="182" spans="1:8">
      <c r="A182" t="s">
        <v>224</v>
      </c>
      <c r="B182" s="18">
        <v>2049</v>
      </c>
      <c r="C182" s="21">
        <f>SUMIFS(Annual_Cost!$Q$2:$Q$807,Annual_Cost!$A$2:$A$807,A182,Annual_Cost!$B$2:$B$807,B182)</f>
        <v>0</v>
      </c>
      <c r="D182" s="21">
        <f>SUMIFS(Annual_Cost!$R$2:$R$807,Annual_Cost!$A$2:$A$807,A182,Annual_Cost!$B$2:$B$807,B182)</f>
        <v>5703322.6923287744</v>
      </c>
      <c r="E182" s="21">
        <f>SUMIFS(Annual_Cost!$S$2:$S$807,Annual_Cost!$A$2:$A$807,A182,Annual_Cost!$B$2:$B$807,B182)</f>
        <v>5703322.6923287744</v>
      </c>
      <c r="F182" s="21">
        <f>SUMIFS(Annual_Cost!$W$2:$W$807,Annual_Cost!$A$2:$A$807,A182,Annual_Cost!$B$2:$B$807,B182)</f>
        <v>2805656.8415872045</v>
      </c>
      <c r="G182" s="21">
        <f>SUMIFS($E$2:E182,$A$2:A182,A182)</f>
        <v>125229458.96525398</v>
      </c>
      <c r="H182" s="21">
        <f>SUMIFS($F$2:F182,$A$2:A182,A182)</f>
        <v>86408821.599556923</v>
      </c>
    </row>
    <row r="183" spans="1:8">
      <c r="A183" t="s">
        <v>224</v>
      </c>
      <c r="B183" s="18">
        <v>2050</v>
      </c>
      <c r="C183" s="21">
        <f>SUMIFS(Annual_Cost!$Q$2:$Q$807,Annual_Cost!$A$2:$A$807,A183,Annual_Cost!$B$2:$B$807,B183)</f>
        <v>0</v>
      </c>
      <c r="D183" s="21">
        <f>SUMIFS(Annual_Cost!$R$2:$R$807,Annual_Cost!$A$2:$A$807,A183,Annual_Cost!$B$2:$B$807,B183)</f>
        <v>5717724.0805728687</v>
      </c>
      <c r="E183" s="21">
        <f>SUMIFS(Annual_Cost!$S$2:$S$807,Annual_Cost!$A$2:$A$807,A183,Annual_Cost!$B$2:$B$807,B183)</f>
        <v>5717724.0805728687</v>
      </c>
      <c r="F183" s="21">
        <f>SUMIFS(Annual_Cost!$W$2:$W$807,Annual_Cost!$A$2:$A$807,A183,Annual_Cost!$B$2:$B$807,B183)</f>
        <v>2730816.8643831043</v>
      </c>
      <c r="G183" s="21">
        <f>SUMIFS($E$2:E183,$A$2:A183,A183)</f>
        <v>130947183.04582685</v>
      </c>
      <c r="H183" s="21">
        <f>SUMIFS($F$2:F183,$A$2:A183,A183)</f>
        <v>89139638.463940024</v>
      </c>
    </row>
    <row r="184" spans="1:8">
      <c r="A184" t="s">
        <v>231</v>
      </c>
      <c r="B184" s="18">
        <v>2025</v>
      </c>
      <c r="C184" s="21">
        <f>SUMIFS(Annual_Cost!$Q$2:$Q$807,Annual_Cost!$A$2:$A$807,A184,Annual_Cost!$B$2:$B$807,B184)</f>
        <v>0</v>
      </c>
      <c r="D184" s="21">
        <f>SUMIFS(Annual_Cost!$R$2:$R$807,Annual_Cost!$A$2:$A$807,A184,Annual_Cost!$B$2:$B$807,B184)</f>
        <v>0</v>
      </c>
      <c r="E184" s="21">
        <f>SUMIFS(Annual_Cost!$S$2:$S$807,Annual_Cost!$A$2:$A$807,A184,Annual_Cost!$B$2:$B$807,B184)</f>
        <v>0</v>
      </c>
      <c r="F184" s="21">
        <f>SUMIFS(Annual_Cost!$W$2:$W$807,Annual_Cost!$A$2:$A$807,A184,Annual_Cost!$B$2:$B$807,B184)</f>
        <v>0</v>
      </c>
      <c r="G184" s="21">
        <f>SUMIFS($E$2:E184,$A$2:A184,A184)</f>
        <v>0</v>
      </c>
      <c r="H184" s="21">
        <f>SUMIFS($F$2:F184,$A$2:A184,A184)</f>
        <v>0</v>
      </c>
    </row>
    <row r="185" spans="1:8">
      <c r="A185" t="s">
        <v>231</v>
      </c>
      <c r="B185" s="18">
        <v>2026</v>
      </c>
      <c r="C185" s="21">
        <f>SUMIFS(Annual_Cost!$Q$2:$Q$807,Annual_Cost!$A$2:$A$807,A185,Annual_Cost!$B$2:$B$807,B185)</f>
        <v>0</v>
      </c>
      <c r="D185" s="21">
        <f>SUMIFS(Annual_Cost!$R$2:$R$807,Annual_Cost!$A$2:$A$807,A185,Annual_Cost!$B$2:$B$807,B185)</f>
        <v>772358.19643106125</v>
      </c>
      <c r="E185" s="21">
        <f>SUMIFS(Annual_Cost!$S$2:$S$807,Annual_Cost!$A$2:$A$807,A185,Annual_Cost!$B$2:$B$807,B185)</f>
        <v>772358.19643106125</v>
      </c>
      <c r="F185" s="21">
        <f>SUMIFS(Annual_Cost!$W$2:$W$807,Annual_Cost!$A$2:$A$807,A185,Annual_Cost!$B$2:$B$807,B185)</f>
        <v>749862.32663209829</v>
      </c>
      <c r="G185" s="21">
        <f>SUMIFS($E$2:E185,$A$2:A185,A185)</f>
        <v>772358.19643106125</v>
      </c>
      <c r="H185" s="21">
        <f>SUMIFS($F$2:F185,$A$2:A185,A185)</f>
        <v>749862.32663209829</v>
      </c>
    </row>
    <row r="186" spans="1:8">
      <c r="A186" t="s">
        <v>231</v>
      </c>
      <c r="B186" s="18">
        <v>2027</v>
      </c>
      <c r="C186" s="21">
        <f>SUMIFS(Annual_Cost!$Q$2:$Q$807,Annual_Cost!$A$2:$A$807,A186,Annual_Cost!$B$2:$B$807,B186)</f>
        <v>0</v>
      </c>
      <c r="D186" s="21">
        <f>SUMIFS(Annual_Cost!$R$2:$R$807,Annual_Cost!$A$2:$A$807,A186,Annual_Cost!$B$2:$B$807,B186)</f>
        <v>1554770.7047638826</v>
      </c>
      <c r="E186" s="21">
        <f>SUMIFS(Annual_Cost!$S$2:$S$807,Annual_Cost!$A$2:$A$807,A186,Annual_Cost!$B$2:$B$807,B186)</f>
        <v>1554770.7047638826</v>
      </c>
      <c r="F186" s="21">
        <f>SUMIFS(Annual_Cost!$W$2:$W$807,Annual_Cost!$A$2:$A$807,A186,Annual_Cost!$B$2:$B$807,B186)</f>
        <v>1465520.50595144</v>
      </c>
      <c r="G186" s="21">
        <f>SUMIFS($E$2:E186,$A$2:A186,A186)</f>
        <v>2327128.901194944</v>
      </c>
      <c r="H186" s="21">
        <f>SUMIFS($F$2:F186,$A$2:A186,A186)</f>
        <v>2215382.8325835383</v>
      </c>
    </row>
    <row r="187" spans="1:8">
      <c r="A187" t="s">
        <v>231</v>
      </c>
      <c r="B187" s="18">
        <v>2028</v>
      </c>
      <c r="C187" s="21">
        <f>SUMIFS(Annual_Cost!$Q$2:$Q$807,Annual_Cost!$A$2:$A$807,A187,Annual_Cost!$B$2:$B$807,B187)</f>
        <v>0</v>
      </c>
      <c r="D187" s="21">
        <f>SUMIFS(Annual_Cost!$R$2:$R$807,Annual_Cost!$A$2:$A$807,A187,Annual_Cost!$B$2:$B$807,B187)</f>
        <v>2348141.1088087722</v>
      </c>
      <c r="E187" s="21">
        <f>SUMIFS(Annual_Cost!$S$2:$S$807,Annual_Cost!$A$2:$A$807,A187,Annual_Cost!$B$2:$B$807,B187)</f>
        <v>2348141.1088087722</v>
      </c>
      <c r="F187" s="21">
        <f>SUMIFS(Annual_Cost!$W$2:$W$807,Annual_Cost!$A$2:$A$807,A187,Annual_Cost!$B$2:$B$807,B187)</f>
        <v>2148881.750710628</v>
      </c>
      <c r="G187" s="21">
        <f>SUMIFS($E$2:E187,$A$2:A187,A187)</f>
        <v>4675270.0100037158</v>
      </c>
      <c r="H187" s="21">
        <f>SUMIFS($F$2:F187,$A$2:A187,A187)</f>
        <v>4364264.5832941663</v>
      </c>
    </row>
    <row r="188" spans="1:8">
      <c r="A188" t="s">
        <v>231</v>
      </c>
      <c r="B188" s="18">
        <v>2029</v>
      </c>
      <c r="C188" s="21">
        <f>SUMIFS(Annual_Cost!$Q$2:$Q$807,Annual_Cost!$A$2:$A$807,A188,Annual_Cost!$B$2:$B$807,B188)</f>
        <v>0</v>
      </c>
      <c r="D188" s="21">
        <f>SUMIFS(Annual_Cost!$R$2:$R$807,Annual_Cost!$A$2:$A$807,A188,Annual_Cost!$B$2:$B$807,B188)</f>
        <v>2363874.4911275879</v>
      </c>
      <c r="E188" s="21">
        <f>SUMIFS(Annual_Cost!$S$2:$S$807,Annual_Cost!$A$2:$A$807,A188,Annual_Cost!$B$2:$B$807,B188)</f>
        <v>2363874.4911275879</v>
      </c>
      <c r="F188" s="21">
        <f>SUMIFS(Annual_Cost!$W$2:$W$807,Annual_Cost!$A$2:$A$807,A188,Annual_Cost!$B$2:$B$807,B188)</f>
        <v>2100271.868265152</v>
      </c>
      <c r="G188" s="21">
        <f>SUMIFS($E$2:E188,$A$2:A188,A188)</f>
        <v>7039144.5011313036</v>
      </c>
      <c r="H188" s="21">
        <f>SUMIFS($F$2:F188,$A$2:A188,A188)</f>
        <v>6464536.4515593182</v>
      </c>
    </row>
    <row r="189" spans="1:8">
      <c r="A189" t="s">
        <v>231</v>
      </c>
      <c r="B189" s="18">
        <v>2030</v>
      </c>
      <c r="C189" s="21">
        <f>SUMIFS(Annual_Cost!$Q$2:$Q$807,Annual_Cost!$A$2:$A$807,A189,Annual_Cost!$B$2:$B$807,B189)</f>
        <v>0</v>
      </c>
      <c r="D189" s="21">
        <f>SUMIFS(Annual_Cost!$R$2:$R$807,Annual_Cost!$A$2:$A$807,A189,Annual_Cost!$B$2:$B$807,B189)</f>
        <v>2379237.1486382601</v>
      </c>
      <c r="E189" s="21">
        <f>SUMIFS(Annual_Cost!$S$2:$S$807,Annual_Cost!$A$2:$A$807,A189,Annual_Cost!$B$2:$B$807,B189)</f>
        <v>2379237.1486382601</v>
      </c>
      <c r="F189" s="21">
        <f>SUMIFS(Annual_Cost!$W$2:$W$807,Annual_Cost!$A$2:$A$807,A189,Annual_Cost!$B$2:$B$807,B189)</f>
        <v>2052350.8645484943</v>
      </c>
      <c r="G189" s="21">
        <f>SUMIFS($E$2:E189,$A$2:A189,A189)</f>
        <v>9418381.6497695632</v>
      </c>
      <c r="H189" s="21">
        <f>SUMIFS($F$2:F189,$A$2:A189,A189)</f>
        <v>8516887.3161078133</v>
      </c>
    </row>
    <row r="190" spans="1:8">
      <c r="A190" t="s">
        <v>231</v>
      </c>
      <c r="B190" s="18">
        <v>2031</v>
      </c>
      <c r="C190" s="21">
        <f>SUMIFS(Annual_Cost!$Q$2:$Q$807,Annual_Cost!$A$2:$A$807,A190,Annual_Cost!$B$2:$B$807,B190)</f>
        <v>0</v>
      </c>
      <c r="D190" s="21">
        <f>SUMIFS(Annual_Cost!$R$2:$R$807,Annual_Cost!$A$2:$A$807,A190,Annual_Cost!$B$2:$B$807,B190)</f>
        <v>2394334.8151311963</v>
      </c>
      <c r="E190" s="21">
        <f>SUMIFS(Annual_Cost!$S$2:$S$807,Annual_Cost!$A$2:$A$807,A190,Annual_Cost!$B$2:$B$807,B190)</f>
        <v>2394334.8151311963</v>
      </c>
      <c r="F190" s="21">
        <f>SUMIFS(Annual_Cost!$W$2:$W$807,Annual_Cost!$A$2:$A$807,A190,Annual_Cost!$B$2:$B$807,B190)</f>
        <v>2005217.7129019452</v>
      </c>
      <c r="G190" s="21">
        <f>SUMIFS($E$2:E190,$A$2:A190,A190)</f>
        <v>11812716.46490076</v>
      </c>
      <c r="H190" s="21">
        <f>SUMIFS($F$2:F190,$A$2:A190,A190)</f>
        <v>10522105.029009759</v>
      </c>
    </row>
    <row r="191" spans="1:8">
      <c r="A191" t="s">
        <v>231</v>
      </c>
      <c r="B191" s="18">
        <v>2032</v>
      </c>
      <c r="C191" s="21">
        <f>SUMIFS(Annual_Cost!$Q$2:$Q$807,Annual_Cost!$A$2:$A$807,A191,Annual_Cost!$B$2:$B$807,B191)</f>
        <v>0</v>
      </c>
      <c r="D191" s="21">
        <f>SUMIFS(Annual_Cost!$R$2:$R$807,Annual_Cost!$A$2:$A$807,A191,Annual_Cost!$B$2:$B$807,B191)</f>
        <v>2409081.4287369763</v>
      </c>
      <c r="E191" s="21">
        <f>SUMIFS(Annual_Cost!$S$2:$S$807,Annual_Cost!$A$2:$A$807,A191,Annual_Cost!$B$2:$B$807,B191)</f>
        <v>2409081.4287369763</v>
      </c>
      <c r="F191" s="21">
        <f>SUMIFS(Annual_Cost!$W$2:$W$807,Annual_Cost!$A$2:$A$807,A191,Annual_Cost!$B$2:$B$807,B191)</f>
        <v>1958803.6598409542</v>
      </c>
      <c r="G191" s="21">
        <f>SUMIFS($E$2:E191,$A$2:A191,A191)</f>
        <v>14221797.893637735</v>
      </c>
      <c r="H191" s="21">
        <f>SUMIFS($F$2:F191,$A$2:A191,A191)</f>
        <v>12480908.688850714</v>
      </c>
    </row>
    <row r="192" spans="1:8">
      <c r="A192" t="s">
        <v>231</v>
      </c>
      <c r="B192" s="18">
        <v>2033</v>
      </c>
      <c r="C192" s="21">
        <f>SUMIFS(Annual_Cost!$Q$2:$Q$807,Annual_Cost!$A$2:$A$807,A192,Annual_Cost!$B$2:$B$807,B192)</f>
        <v>0</v>
      </c>
      <c r="D192" s="21">
        <f>SUMIFS(Annual_Cost!$R$2:$R$807,Annual_Cost!$A$2:$A$807,A192,Annual_Cost!$B$2:$B$807,B192)</f>
        <v>2423598.7318294281</v>
      </c>
      <c r="E192" s="21">
        <f>SUMIFS(Annual_Cost!$S$2:$S$807,Annual_Cost!$A$2:$A$807,A192,Annual_Cost!$B$2:$B$807,B192)</f>
        <v>2423598.7318294281</v>
      </c>
      <c r="F192" s="21">
        <f>SUMIFS(Annual_Cost!$W$2:$W$807,Annual_Cost!$A$2:$A$807,A192,Annual_Cost!$B$2:$B$807,B192)</f>
        <v>1913211.2191776945</v>
      </c>
      <c r="G192" s="21">
        <f>SUMIFS($E$2:E192,$A$2:A192,A192)</f>
        <v>16645396.625467163</v>
      </c>
      <c r="H192" s="21">
        <f>SUMIFS($F$2:F192,$A$2:A192,A192)</f>
        <v>14394119.908028409</v>
      </c>
    </row>
    <row r="193" spans="1:8">
      <c r="A193" t="s">
        <v>231</v>
      </c>
      <c r="B193" s="18">
        <v>2034</v>
      </c>
      <c r="C193" s="21">
        <f>SUMIFS(Annual_Cost!$Q$2:$Q$807,Annual_Cost!$A$2:$A$807,A193,Annual_Cost!$B$2:$B$807,B193)</f>
        <v>0</v>
      </c>
      <c r="D193" s="21">
        <f>SUMIFS(Annual_Cost!$R$2:$R$807,Annual_Cost!$A$2:$A$807,A193,Annual_Cost!$B$2:$B$807,B193)</f>
        <v>2437778.1196092558</v>
      </c>
      <c r="E193" s="21">
        <f>SUMIFS(Annual_Cost!$S$2:$S$807,Annual_Cost!$A$2:$A$807,A193,Annual_Cost!$B$2:$B$807,B193)</f>
        <v>2437778.1196092558</v>
      </c>
      <c r="F193" s="21">
        <f>SUMIFS(Annual_Cost!$W$2:$W$807,Annual_Cost!$A$2:$A$807,A193,Annual_Cost!$B$2:$B$807,B193)</f>
        <v>1868353.9406097173</v>
      </c>
      <c r="G193" s="21">
        <f>SUMIFS($E$2:E193,$A$2:A193,A193)</f>
        <v>19083174.745076418</v>
      </c>
      <c r="H193" s="21">
        <f>SUMIFS($F$2:F193,$A$2:A193,A193)</f>
        <v>16262473.848638127</v>
      </c>
    </row>
    <row r="194" spans="1:8">
      <c r="A194" t="s">
        <v>231</v>
      </c>
      <c r="B194" s="18">
        <v>2035</v>
      </c>
      <c r="C194" s="21">
        <f>SUMIFS(Annual_Cost!$Q$2:$Q$807,Annual_Cost!$A$2:$A$807,A194,Annual_Cost!$B$2:$B$807,B194)</f>
        <v>0</v>
      </c>
      <c r="D194" s="21">
        <f>SUMIFS(Annual_Cost!$R$2:$R$807,Annual_Cost!$A$2:$A$807,A194,Annual_Cost!$B$2:$B$807,B194)</f>
        <v>2451575.2383653205</v>
      </c>
      <c r="E194" s="21">
        <f>SUMIFS(Annual_Cost!$S$2:$S$807,Annual_Cost!$A$2:$A$807,A194,Annual_Cost!$B$2:$B$807,B194)</f>
        <v>2451575.2383653205</v>
      </c>
      <c r="F194" s="21">
        <f>SUMIFS(Annual_Cost!$W$2:$W$807,Annual_Cost!$A$2:$A$807,A194,Annual_Cost!$B$2:$B$807,B194)</f>
        <v>1824202.2167791235</v>
      </c>
      <c r="G194" s="21">
        <f>SUMIFS($E$2:E194,$A$2:A194,A194)</f>
        <v>21534749.98344174</v>
      </c>
      <c r="H194" s="21">
        <f>SUMIFS($F$2:F194,$A$2:A194,A194)</f>
        <v>18086676.065417249</v>
      </c>
    </row>
    <row r="195" spans="1:8">
      <c r="A195" t="s">
        <v>231</v>
      </c>
      <c r="B195" s="18">
        <v>2036</v>
      </c>
      <c r="C195" s="21">
        <f>SUMIFS(Annual_Cost!$Q$2:$Q$807,Annual_Cost!$A$2:$A$807,A195,Annual_Cost!$B$2:$B$807,B195)</f>
        <v>0</v>
      </c>
      <c r="D195" s="21">
        <f>SUMIFS(Annual_Cost!$R$2:$R$807,Annual_Cost!$A$2:$A$807,A195,Annual_Cost!$B$2:$B$807,B195)</f>
        <v>2465016.4281908842</v>
      </c>
      <c r="E195" s="21">
        <f>SUMIFS(Annual_Cost!$S$2:$S$807,Annual_Cost!$A$2:$A$807,A195,Annual_Cost!$B$2:$B$807,B195)</f>
        <v>2465016.4281908842</v>
      </c>
      <c r="F195" s="21">
        <f>SUMIFS(Annual_Cost!$W$2:$W$807,Annual_Cost!$A$2:$A$807,A195,Annual_Cost!$B$2:$B$807,B195)</f>
        <v>1780780.3148905798</v>
      </c>
      <c r="G195" s="21">
        <f>SUMIFS($E$2:E195,$A$2:A195,A195)</f>
        <v>23999766.411632624</v>
      </c>
      <c r="H195" s="21">
        <f>SUMIFS($F$2:F195,$A$2:A195,A195)</f>
        <v>19867456.380307827</v>
      </c>
    </row>
    <row r="196" spans="1:8">
      <c r="A196" t="s">
        <v>231</v>
      </c>
      <c r="B196" s="18">
        <v>2037</v>
      </c>
      <c r="C196" s="21">
        <f>SUMIFS(Annual_Cost!$Q$2:$Q$807,Annual_Cost!$A$2:$A$807,A196,Annual_Cost!$B$2:$B$807,B196)</f>
        <v>0</v>
      </c>
      <c r="D196" s="21">
        <f>SUMIFS(Annual_Cost!$R$2:$R$807,Annual_Cost!$A$2:$A$807,A196,Annual_Cost!$B$2:$B$807,B196)</f>
        <v>2478092.9165545958</v>
      </c>
      <c r="E196" s="21">
        <f>SUMIFS(Annual_Cost!$S$2:$S$807,Annual_Cost!$A$2:$A$807,A196,Annual_Cost!$B$2:$B$807,B196)</f>
        <v>2478092.9165545958</v>
      </c>
      <c r="F196" s="21">
        <f>SUMIFS(Annual_Cost!$W$2:$W$807,Annual_Cost!$A$2:$A$807,A196,Annual_Cost!$B$2:$B$807,B196)</f>
        <v>1738084.5129201182</v>
      </c>
      <c r="G196" s="21">
        <f>SUMIFS($E$2:E196,$A$2:A196,A196)</f>
        <v>26477859.32818722</v>
      </c>
      <c r="H196" s="21">
        <f>SUMIFS($F$2:F196,$A$2:A196,A196)</f>
        <v>21605540.893227946</v>
      </c>
    </row>
    <row r="197" spans="1:8">
      <c r="A197" t="s">
        <v>231</v>
      </c>
      <c r="B197" s="18">
        <v>2038</v>
      </c>
      <c r="C197" s="21">
        <f>SUMIFS(Annual_Cost!$Q$2:$Q$807,Annual_Cost!$A$2:$A$807,A197,Annual_Cost!$B$2:$B$807,B197)</f>
        <v>0</v>
      </c>
      <c r="D197" s="21">
        <f>SUMIFS(Annual_Cost!$R$2:$R$807,Annual_Cost!$A$2:$A$807,A197,Annual_Cost!$B$2:$B$807,B197)</f>
        <v>2490759.3902718001</v>
      </c>
      <c r="E197" s="21">
        <f>SUMIFS(Annual_Cost!$S$2:$S$807,Annual_Cost!$A$2:$A$807,A197,Annual_Cost!$B$2:$B$807,B197)</f>
        <v>2490759.3902718001</v>
      </c>
      <c r="F197" s="21">
        <f>SUMIFS(Annual_Cost!$W$2:$W$807,Annual_Cost!$A$2:$A$807,A197,Annual_Cost!$B$2:$B$807,B197)</f>
        <v>1696085.9444061732</v>
      </c>
      <c r="G197" s="21">
        <f>SUMIFS($E$2:E197,$A$2:A197,A197)</f>
        <v>28968618.718459021</v>
      </c>
      <c r="H197" s="21">
        <f>SUMIFS($F$2:F197,$A$2:A197,A197)</f>
        <v>23301626.83763412</v>
      </c>
    </row>
    <row r="198" spans="1:8">
      <c r="A198" t="s">
        <v>231</v>
      </c>
      <c r="B198" s="18">
        <v>2039</v>
      </c>
      <c r="C198" s="21">
        <f>SUMIFS(Annual_Cost!$Q$2:$Q$807,Annual_Cost!$A$2:$A$807,A198,Annual_Cost!$B$2:$B$807,B198)</f>
        <v>0</v>
      </c>
      <c r="D198" s="21">
        <f>SUMIFS(Annual_Cost!$R$2:$R$807,Annual_Cost!$A$2:$A$807,A198,Annual_Cost!$B$2:$B$807,B198)</f>
        <v>2503004.0108508761</v>
      </c>
      <c r="E198" s="21">
        <f>SUMIFS(Annual_Cost!$S$2:$S$807,Annual_Cost!$A$2:$A$807,A198,Annual_Cost!$B$2:$B$807,B198)</f>
        <v>2503004.0108508761</v>
      </c>
      <c r="F198" s="21">
        <f>SUMIFS(Annual_Cost!$W$2:$W$807,Annual_Cost!$A$2:$A$807,A198,Annual_Cost!$B$2:$B$807,B198)</f>
        <v>1654780.5196089346</v>
      </c>
      <c r="G198" s="21">
        <f>SUMIFS($E$2:E198,$A$2:A198,A198)</f>
        <v>31471622.729309898</v>
      </c>
      <c r="H198" s="21">
        <f>SUMIFS($F$2:F198,$A$2:A198,A198)</f>
        <v>24956407.357243054</v>
      </c>
    </row>
    <row r="199" spans="1:8">
      <c r="A199" t="s">
        <v>231</v>
      </c>
      <c r="B199" s="18">
        <v>2040</v>
      </c>
      <c r="C199" s="21">
        <f>SUMIFS(Annual_Cost!$Q$2:$Q$807,Annual_Cost!$A$2:$A$807,A199,Annual_Cost!$B$2:$B$807,B199)</f>
        <v>0</v>
      </c>
      <c r="D199" s="21">
        <f>SUMIFS(Annual_Cost!$R$2:$R$807,Annual_Cost!$A$2:$A$807,A199,Annual_Cost!$B$2:$B$807,B199)</f>
        <v>2514757.6467376198</v>
      </c>
      <c r="E199" s="21">
        <f>SUMIFS(Annual_Cost!$S$2:$S$807,Annual_Cost!$A$2:$A$807,A199,Annual_Cost!$B$2:$B$807,B199)</f>
        <v>2514757.6467376198</v>
      </c>
      <c r="F199" s="21">
        <f>SUMIFS(Annual_Cost!$W$2:$W$807,Annual_Cost!$A$2:$A$807,A199,Annual_Cost!$B$2:$B$807,B199)</f>
        <v>1614127.2403657956</v>
      </c>
      <c r="G199" s="21">
        <f>SUMIFS($E$2:E199,$A$2:A199,A199)</f>
        <v>33986380.376047514</v>
      </c>
      <c r="H199" s="21">
        <f>SUMIFS($F$2:F199,$A$2:A199,A199)</f>
        <v>26570534.597608849</v>
      </c>
    </row>
    <row r="200" spans="1:8">
      <c r="A200" t="s">
        <v>231</v>
      </c>
      <c r="B200" s="18">
        <v>2041</v>
      </c>
      <c r="C200" s="21">
        <f>SUMIFS(Annual_Cost!$Q$2:$Q$807,Annual_Cost!$A$2:$A$807,A200,Annual_Cost!$B$2:$B$807,B200)</f>
        <v>0</v>
      </c>
      <c r="D200" s="21">
        <f>SUMIFS(Annual_Cost!$R$2:$R$807,Annual_Cost!$A$2:$A$807,A200,Annual_Cost!$B$2:$B$807,B200)</f>
        <v>2526052.2172559081</v>
      </c>
      <c r="E200" s="21">
        <f>SUMIFS(Annual_Cost!$S$2:$S$807,Annual_Cost!$A$2:$A$807,A200,Annual_Cost!$B$2:$B$807,B200)</f>
        <v>2526052.2172559081</v>
      </c>
      <c r="F200" s="21">
        <f>SUMIFS(Annual_Cost!$W$2:$W$807,Annual_Cost!$A$2:$A$807,A200,Annual_Cost!$B$2:$B$807,B200)</f>
        <v>1574152.2285375476</v>
      </c>
      <c r="G200" s="21">
        <f>SUMIFS($E$2:E200,$A$2:A200,A200)</f>
        <v>36512432.59330342</v>
      </c>
      <c r="H200" s="21">
        <f>SUMIFS($F$2:F200,$A$2:A200,A200)</f>
        <v>28144686.826146398</v>
      </c>
    </row>
    <row r="201" spans="1:8">
      <c r="A201" t="s">
        <v>231</v>
      </c>
      <c r="B201" s="18">
        <v>2042</v>
      </c>
      <c r="C201" s="21">
        <f>SUMIFS(Annual_Cost!$Q$2:$Q$807,Annual_Cost!$A$2:$A$807,A201,Annual_Cost!$B$2:$B$807,B201)</f>
        <v>0</v>
      </c>
      <c r="D201" s="21">
        <f>SUMIFS(Annual_Cost!$R$2:$R$807,Annual_Cost!$A$2:$A$807,A201,Annual_Cost!$B$2:$B$807,B201)</f>
        <v>2536847.993062132</v>
      </c>
      <c r="E201" s="21">
        <f>SUMIFS(Annual_Cost!$S$2:$S$807,Annual_Cost!$A$2:$A$807,A201,Annual_Cost!$B$2:$B$807,B201)</f>
        <v>2536847.993062132</v>
      </c>
      <c r="F201" s="21">
        <f>SUMIFS(Annual_Cost!$W$2:$W$807,Annual_Cost!$A$2:$A$807,A201,Annual_Cost!$B$2:$B$807,B201)</f>
        <v>1534834.7564108919</v>
      </c>
      <c r="G201" s="21">
        <f>SUMIFS($E$2:E201,$A$2:A201,A201)</f>
        <v>39049280.586365551</v>
      </c>
      <c r="H201" s="21">
        <f>SUMIFS($F$2:F201,$A$2:A201,A201)</f>
        <v>29679521.582557291</v>
      </c>
    </row>
    <row r="202" spans="1:8">
      <c r="A202" t="s">
        <v>231</v>
      </c>
      <c r="B202" s="18">
        <v>2043</v>
      </c>
      <c r="C202" s="21">
        <f>SUMIFS(Annual_Cost!$Q$2:$Q$807,Annual_Cost!$A$2:$A$807,A202,Annual_Cost!$B$2:$B$807,B202)</f>
        <v>0</v>
      </c>
      <c r="D202" s="21">
        <f>SUMIFS(Annual_Cost!$R$2:$R$807,Annual_Cost!$A$2:$A$807,A202,Annual_Cost!$B$2:$B$807,B202)</f>
        <v>2547189.3691212642</v>
      </c>
      <c r="E202" s="21">
        <f>SUMIFS(Annual_Cost!$S$2:$S$807,Annual_Cost!$A$2:$A$807,A202,Annual_Cost!$B$2:$B$807,B202)</f>
        <v>2547189.3691212642</v>
      </c>
      <c r="F202" s="21">
        <f>SUMIFS(Annual_Cost!$W$2:$W$807,Annual_Cost!$A$2:$A$807,A202,Annual_Cost!$B$2:$B$807,B202)</f>
        <v>1496205.2999993516</v>
      </c>
      <c r="G202" s="21">
        <f>SUMIFS($E$2:E202,$A$2:A202,A202)</f>
        <v>41596469.955486812</v>
      </c>
      <c r="H202" s="21">
        <f>SUMIFS($F$2:F202,$A$2:A202,A202)</f>
        <v>31175726.882556643</v>
      </c>
    </row>
    <row r="203" spans="1:8">
      <c r="A203" t="s">
        <v>231</v>
      </c>
      <c r="B203" s="18">
        <v>2044</v>
      </c>
      <c r="C203" s="21">
        <f>SUMIFS(Annual_Cost!$Q$2:$Q$807,Annual_Cost!$A$2:$A$807,A203,Annual_Cost!$B$2:$B$807,B203)</f>
        <v>0</v>
      </c>
      <c r="D203" s="21">
        <f>SUMIFS(Annual_Cost!$R$2:$R$807,Annual_Cost!$A$2:$A$807,A203,Annual_Cost!$B$2:$B$807,B203)</f>
        <v>2556887.2574494202</v>
      </c>
      <c r="E203" s="21">
        <f>SUMIFS(Annual_Cost!$S$2:$S$807,Annual_Cost!$A$2:$A$807,A203,Annual_Cost!$B$2:$B$807,B203)</f>
        <v>2556887.2574494202</v>
      </c>
      <c r="F203" s="21">
        <f>SUMIFS(Annual_Cost!$W$2:$W$807,Annual_Cost!$A$2:$A$807,A203,Annual_Cost!$B$2:$B$807,B203)</f>
        <v>1458157.0750568693</v>
      </c>
      <c r="G203" s="21">
        <f>SUMIFS($E$2:E203,$A$2:A203,A203)</f>
        <v>44153357.21293623</v>
      </c>
      <c r="H203" s="21">
        <f>SUMIFS($F$2:F203,$A$2:A203,A203)</f>
        <v>32633883.957613513</v>
      </c>
    </row>
    <row r="204" spans="1:8">
      <c r="A204" t="s">
        <v>231</v>
      </c>
      <c r="B204" s="18">
        <v>2045</v>
      </c>
      <c r="C204" s="21">
        <f>SUMIFS(Annual_Cost!$Q$2:$Q$807,Annual_Cost!$A$2:$A$807,A204,Annual_Cost!$B$2:$B$807,B204)</f>
        <v>0</v>
      </c>
      <c r="D204" s="21">
        <f>SUMIFS(Annual_Cost!$R$2:$R$807,Annual_Cost!$A$2:$A$807,A204,Annual_Cost!$B$2:$B$807,B204)</f>
        <v>2566227.3447671118</v>
      </c>
      <c r="E204" s="21">
        <f>SUMIFS(Annual_Cost!$S$2:$S$807,Annual_Cost!$A$2:$A$807,A204,Annual_Cost!$B$2:$B$807,B204)</f>
        <v>2566227.3447671118</v>
      </c>
      <c r="F204" s="21">
        <f>SUMIFS(Annual_Cost!$W$2:$W$807,Annual_Cost!$A$2:$A$807,A204,Annual_Cost!$B$2:$B$807,B204)</f>
        <v>1420857.8605275266</v>
      </c>
      <c r="G204" s="21">
        <f>SUMIFS($E$2:E204,$A$2:A204,A204)</f>
        <v>46719584.557703339</v>
      </c>
      <c r="H204" s="21">
        <f>SUMIFS($F$2:F204,$A$2:A204,A204)</f>
        <v>34054741.818141043</v>
      </c>
    </row>
    <row r="205" spans="1:8">
      <c r="A205" t="s">
        <v>231</v>
      </c>
      <c r="B205" s="18">
        <v>2046</v>
      </c>
      <c r="C205" s="21">
        <f>SUMIFS(Annual_Cost!$Q$2:$Q$807,Annual_Cost!$A$2:$A$807,A205,Annual_Cost!$B$2:$B$807,B205)</f>
        <v>0</v>
      </c>
      <c r="D205" s="21">
        <f>SUMIFS(Annual_Cost!$R$2:$R$807,Annual_Cost!$A$2:$A$807,A205,Annual_Cost!$B$2:$B$807,B205)</f>
        <v>2574945.257510588</v>
      </c>
      <c r="E205" s="21">
        <f>SUMIFS(Annual_Cost!$S$2:$S$807,Annual_Cost!$A$2:$A$807,A205,Annual_Cost!$B$2:$B$807,B205)</f>
        <v>2574945.257510588</v>
      </c>
      <c r="F205" s="21">
        <f>SUMIFS(Annual_Cost!$W$2:$W$807,Annual_Cost!$A$2:$A$807,A205,Annual_Cost!$B$2:$B$807,B205)</f>
        <v>1384159.9586802926</v>
      </c>
      <c r="G205" s="21">
        <f>SUMIFS($E$2:E205,$A$2:A205,A205)</f>
        <v>49294529.815213926</v>
      </c>
      <c r="H205" s="21">
        <f>SUMIFS($F$2:F205,$A$2:A205,A205)</f>
        <v>35438901.776821338</v>
      </c>
    </row>
    <row r="206" spans="1:8">
      <c r="A206" t="s">
        <v>231</v>
      </c>
      <c r="B206" s="18">
        <v>2047</v>
      </c>
      <c r="C206" s="21">
        <f>SUMIFS(Annual_Cost!$Q$2:$Q$807,Annual_Cost!$A$2:$A$807,A206,Annual_Cost!$B$2:$B$807,B206)</f>
        <v>0</v>
      </c>
      <c r="D206" s="21">
        <f>SUMIFS(Annual_Cost!$R$2:$R$807,Annual_Cost!$A$2:$A$807,A206,Annual_Cost!$B$2:$B$807,B206)</f>
        <v>2583035.8499686881</v>
      </c>
      <c r="E206" s="21">
        <f>SUMIFS(Annual_Cost!$S$2:$S$807,Annual_Cost!$A$2:$A$807,A206,Annual_Cost!$B$2:$B$807,B206)</f>
        <v>2583035.8499686881</v>
      </c>
      <c r="F206" s="21">
        <f>SUMIFS(Annual_Cost!$W$2:$W$807,Annual_Cost!$A$2:$A$807,A206,Annual_Cost!$B$2:$B$807,B206)</f>
        <v>1348067.0396095337</v>
      </c>
      <c r="G206" s="21">
        <f>SUMIFS($E$2:E206,$A$2:A206,A206)</f>
        <v>51877565.665182613</v>
      </c>
      <c r="H206" s="21">
        <f>SUMIFS($F$2:F206,$A$2:A206,A206)</f>
        <v>36786968.816430874</v>
      </c>
    </row>
    <row r="207" spans="1:8">
      <c r="A207" t="s">
        <v>231</v>
      </c>
      <c r="B207" s="18">
        <v>2048</v>
      </c>
      <c r="C207" s="21">
        <f>SUMIFS(Annual_Cost!$Q$2:$Q$807,Annual_Cost!$A$2:$A$807,A207,Annual_Cost!$B$2:$B$807,B207)</f>
        <v>0</v>
      </c>
      <c r="D207" s="21">
        <f>SUMIFS(Annual_Cost!$R$2:$R$807,Annual_Cost!$A$2:$A$807,A207,Annual_Cost!$B$2:$B$807,B207)</f>
        <v>2590717.0210830523</v>
      </c>
      <c r="E207" s="21">
        <f>SUMIFS(Annual_Cost!$S$2:$S$807,Annual_Cost!$A$2:$A$807,A207,Annual_Cost!$B$2:$B$807,B207)</f>
        <v>2590717.0210830523</v>
      </c>
      <c r="F207" s="21">
        <f>SUMIFS(Annual_Cost!$W$2:$W$807,Annual_Cost!$A$2:$A$807,A207,Annual_Cost!$B$2:$B$807,B207)</f>
        <v>1312694.937099142</v>
      </c>
      <c r="G207" s="21">
        <f>SUMIFS($E$2:E207,$A$2:A207,A207)</f>
        <v>54468282.686265662</v>
      </c>
      <c r="H207" s="21">
        <f>SUMIFS($F$2:F207,$A$2:A207,A207)</f>
        <v>38099663.753530018</v>
      </c>
    </row>
    <row r="208" spans="1:8">
      <c r="A208" t="s">
        <v>231</v>
      </c>
      <c r="B208" s="18">
        <v>2049</v>
      </c>
      <c r="C208" s="21">
        <f>SUMIFS(Annual_Cost!$Q$2:$Q$807,Annual_Cost!$A$2:$A$807,A208,Annual_Cost!$B$2:$B$807,B208)</f>
        <v>0</v>
      </c>
      <c r="D208" s="21">
        <f>SUMIFS(Annual_Cost!$R$2:$R$807,Annual_Cost!$A$2:$A$807,A208,Annual_Cost!$B$2:$B$807,B208)</f>
        <v>2597877.9760336718</v>
      </c>
      <c r="E208" s="21">
        <f>SUMIFS(Annual_Cost!$S$2:$S$807,Annual_Cost!$A$2:$A$807,A208,Annual_Cost!$B$2:$B$807,B208)</f>
        <v>2597877.9760336718</v>
      </c>
      <c r="F208" s="21">
        <f>SUMIFS(Annual_Cost!$W$2:$W$807,Annual_Cost!$A$2:$A$807,A208,Annual_Cost!$B$2:$B$807,B208)</f>
        <v>1277983.8193043666</v>
      </c>
      <c r="G208" s="21">
        <f>SUMIFS($E$2:E208,$A$2:A208,A208)</f>
        <v>57066160.662299335</v>
      </c>
      <c r="H208" s="21">
        <f>SUMIFS($F$2:F208,$A$2:A208,A208)</f>
        <v>39377647.572834387</v>
      </c>
    </row>
    <row r="209" spans="1:8">
      <c r="A209" t="s">
        <v>231</v>
      </c>
      <c r="B209" s="18">
        <v>2050</v>
      </c>
      <c r="C209" s="21">
        <f>SUMIFS(Annual_Cost!$Q$2:$Q$807,Annual_Cost!$A$2:$A$807,A209,Annual_Cost!$B$2:$B$807,B209)</f>
        <v>0</v>
      </c>
      <c r="D209" s="21">
        <f>SUMIFS(Annual_Cost!$R$2:$R$807,Annual_Cost!$A$2:$A$807,A209,Annual_Cost!$B$2:$B$807,B209)</f>
        <v>2604499.2632957157</v>
      </c>
      <c r="E209" s="21">
        <f>SUMIFS(Annual_Cost!$S$2:$S$807,Annual_Cost!$A$2:$A$807,A209,Annual_Cost!$B$2:$B$807,B209)</f>
        <v>2604499.2632957157</v>
      </c>
      <c r="F209" s="21">
        <f>SUMIFS(Annual_Cost!$W$2:$W$807,Annual_Cost!$A$2:$A$807,A209,Annual_Cost!$B$2:$B$807,B209)</f>
        <v>1243923.3532879234</v>
      </c>
      <c r="G209" s="21">
        <f>SUMIFS($E$2:E209,$A$2:A209,A209)</f>
        <v>59670659.925595053</v>
      </c>
      <c r="H209" s="21">
        <f>SUMIFS($F$2:F209,$A$2:A209,A209)</f>
        <v>40621570.926122308</v>
      </c>
    </row>
    <row r="210" spans="1:8">
      <c r="A210" t="s">
        <v>242</v>
      </c>
      <c r="B210" s="18">
        <v>2025</v>
      </c>
      <c r="C210" s="21">
        <f>SUMIFS(Annual_Cost!$Q$2:$Q$807,Annual_Cost!$A$2:$A$807,A210,Annual_Cost!$B$2:$B$807,B210)</f>
        <v>0</v>
      </c>
      <c r="D210" s="21">
        <f>SUMIFS(Annual_Cost!$R$2:$R$807,Annual_Cost!$A$2:$A$807,A210,Annual_Cost!$B$2:$B$807,B210)</f>
        <v>0</v>
      </c>
      <c r="E210" s="21">
        <f>SUMIFS(Annual_Cost!$S$2:$S$807,Annual_Cost!$A$2:$A$807,A210,Annual_Cost!$B$2:$B$807,B210)</f>
        <v>0</v>
      </c>
      <c r="F210" s="21">
        <f>SUMIFS(Annual_Cost!$W$2:$W$807,Annual_Cost!$A$2:$A$807,A210,Annual_Cost!$B$2:$B$807,B210)</f>
        <v>0</v>
      </c>
      <c r="G210" s="21">
        <f>SUMIFS($E$2:E210,$A$2:A210,A210)</f>
        <v>0</v>
      </c>
      <c r="H210" s="21">
        <f>SUMIFS($F$2:F210,$A$2:A210,A210)</f>
        <v>0</v>
      </c>
    </row>
    <row r="211" spans="1:8">
      <c r="A211" t="s">
        <v>242</v>
      </c>
      <c r="B211" s="18">
        <v>2026</v>
      </c>
      <c r="C211" s="21">
        <f>SUMIFS(Annual_Cost!$Q$2:$Q$807,Annual_Cost!$A$2:$A$807,A211,Annual_Cost!$B$2:$B$807,B211)</f>
        <v>0</v>
      </c>
      <c r="D211" s="21">
        <f>SUMIFS(Annual_Cost!$R$2:$R$807,Annual_Cost!$A$2:$A$807,A211,Annual_Cost!$B$2:$B$807,B211)</f>
        <v>1679879.0772375581</v>
      </c>
      <c r="E211" s="21">
        <f>SUMIFS(Annual_Cost!$S$2:$S$807,Annual_Cost!$A$2:$A$807,A211,Annual_Cost!$B$2:$B$807,B211)</f>
        <v>1679879.0772375581</v>
      </c>
      <c r="F211" s="21">
        <f>SUMIFS(Annual_Cost!$W$2:$W$807,Annual_Cost!$A$2:$A$807,A211,Annual_Cost!$B$2:$B$807,B211)</f>
        <v>1630950.5604248138</v>
      </c>
      <c r="G211" s="21">
        <f>SUMIFS($E$2:E211,$A$2:A211,A211)</f>
        <v>1679879.0772375581</v>
      </c>
      <c r="H211" s="21">
        <f>SUMIFS($F$2:F211,$A$2:A211,A211)</f>
        <v>1630950.5604248138</v>
      </c>
    </row>
    <row r="212" spans="1:8">
      <c r="A212" t="s">
        <v>242</v>
      </c>
      <c r="B212" s="18">
        <v>2027</v>
      </c>
      <c r="C212" s="21">
        <f>SUMIFS(Annual_Cost!$Q$2:$Q$807,Annual_Cost!$A$2:$A$807,A212,Annual_Cost!$B$2:$B$807,B212)</f>
        <v>0</v>
      </c>
      <c r="D212" s="21">
        <f>SUMIFS(Annual_Cost!$R$2:$R$807,Annual_Cost!$A$2:$A$807,A212,Annual_Cost!$B$2:$B$807,B212)</f>
        <v>3381626.2828614446</v>
      </c>
      <c r="E212" s="21">
        <f>SUMIFS(Annual_Cost!$S$2:$S$807,Annual_Cost!$A$2:$A$807,A212,Annual_Cost!$B$2:$B$807,B212)</f>
        <v>3381626.2828614446</v>
      </c>
      <c r="F212" s="21">
        <f>SUMIFS(Annual_Cost!$W$2:$W$807,Annual_Cost!$A$2:$A$807,A212,Annual_Cost!$B$2:$B$807,B212)</f>
        <v>3187507.1004443816</v>
      </c>
      <c r="G212" s="21">
        <f>SUMIFS($E$2:E212,$A$2:A212,A212)</f>
        <v>5061505.3600990027</v>
      </c>
      <c r="H212" s="21">
        <f>SUMIFS($F$2:F212,$A$2:A212,A212)</f>
        <v>4818457.6608691951</v>
      </c>
    </row>
    <row r="213" spans="1:8">
      <c r="A213" t="s">
        <v>242</v>
      </c>
      <c r="B213" s="18">
        <v>2028</v>
      </c>
      <c r="C213" s="21">
        <f>SUMIFS(Annual_Cost!$Q$2:$Q$807,Annual_Cost!$A$2:$A$807,A213,Annual_Cost!$B$2:$B$807,B213)</f>
        <v>0</v>
      </c>
      <c r="D213" s="21">
        <f>SUMIFS(Annual_Cost!$R$2:$R$807,Annual_Cost!$A$2:$A$807,A213,Annual_Cost!$B$2:$B$807,B213)</f>
        <v>5107209.0322880195</v>
      </c>
      <c r="E213" s="21">
        <f>SUMIFS(Annual_Cost!$S$2:$S$807,Annual_Cost!$A$2:$A$807,A213,Annual_Cost!$B$2:$B$807,B213)</f>
        <v>5107209.0322880195</v>
      </c>
      <c r="F213" s="21">
        <f>SUMIFS(Annual_Cost!$W$2:$W$807,Annual_Cost!$A$2:$A$807,A213,Annual_Cost!$B$2:$B$807,B213)</f>
        <v>4673819.7484715031</v>
      </c>
      <c r="G213" s="21">
        <f>SUMIFS($E$2:E213,$A$2:A213,A213)</f>
        <v>10168714.392387021</v>
      </c>
      <c r="H213" s="21">
        <f>SUMIFS($F$2:F213,$A$2:A213,A213)</f>
        <v>9492277.4093406983</v>
      </c>
    </row>
    <row r="214" spans="1:8">
      <c r="A214" t="s">
        <v>242</v>
      </c>
      <c r="B214" s="18">
        <v>2029</v>
      </c>
      <c r="C214" s="21">
        <f>SUMIFS(Annual_Cost!$Q$2:$Q$807,Annual_Cost!$A$2:$A$807,A214,Annual_Cost!$B$2:$B$807,B214)</f>
        <v>0</v>
      </c>
      <c r="D214" s="21">
        <f>SUMIFS(Annual_Cost!$R$2:$R$807,Annual_Cost!$A$2:$A$807,A214,Annual_Cost!$B$2:$B$807,B214)</f>
        <v>5141435.486702011</v>
      </c>
      <c r="E214" s="21">
        <f>SUMIFS(Annual_Cost!$S$2:$S$807,Annual_Cost!$A$2:$A$807,A214,Annual_Cost!$B$2:$B$807,B214)</f>
        <v>5141435.486702011</v>
      </c>
      <c r="F214" s="21">
        <f>SUMIFS(Annual_Cost!$W$2:$W$807,Annual_Cost!$A$2:$A$807,A214,Annual_Cost!$B$2:$B$807,B214)</f>
        <v>4568098.837628833</v>
      </c>
      <c r="G214" s="21">
        <f>SUMIFS($E$2:E214,$A$2:A214,A214)</f>
        <v>15310149.879089031</v>
      </c>
      <c r="H214" s="21">
        <f>SUMIFS($F$2:F214,$A$2:A214,A214)</f>
        <v>14060376.246969532</v>
      </c>
    </row>
    <row r="215" spans="1:8">
      <c r="A215" t="s">
        <v>242</v>
      </c>
      <c r="B215" s="18">
        <v>2030</v>
      </c>
      <c r="C215" s="21">
        <f>SUMIFS(Annual_Cost!$Q$2:$Q$807,Annual_Cost!$A$2:$A$807,A215,Annual_Cost!$B$2:$B$807,B215)</f>
        <v>0</v>
      </c>
      <c r="D215" s="21">
        <f>SUMIFS(Annual_Cost!$R$2:$R$807,Annual_Cost!$A$2:$A$807,A215,Annual_Cost!$B$2:$B$807,B215)</f>
        <v>5174861.5307717808</v>
      </c>
      <c r="E215" s="21">
        <f>SUMIFS(Annual_Cost!$S$2:$S$807,Annual_Cost!$A$2:$A$807,A215,Annual_Cost!$B$2:$B$807,B215)</f>
        <v>5174861.5307717808</v>
      </c>
      <c r="F215" s="21">
        <f>SUMIFS(Annual_Cost!$W$2:$W$807,Annual_Cost!$A$2:$A$807,A215,Annual_Cost!$B$2:$B$807,B215)</f>
        <v>4463881.0144154206</v>
      </c>
      <c r="G215" s="21">
        <f>SUMIFS($E$2:E215,$A$2:A215,A215)</f>
        <v>20485011.409860812</v>
      </c>
      <c r="H215" s="21">
        <f>SUMIFS($F$2:F215,$A$2:A215,A215)</f>
        <v>18524257.261384953</v>
      </c>
    </row>
    <row r="216" spans="1:8">
      <c r="A216" t="s">
        <v>242</v>
      </c>
      <c r="B216" s="18">
        <v>2031</v>
      </c>
      <c r="C216" s="21">
        <f>SUMIFS(Annual_Cost!$Q$2:$Q$807,Annual_Cost!$A$2:$A$807,A216,Annual_Cost!$B$2:$B$807,B216)</f>
        <v>0</v>
      </c>
      <c r="D216" s="21">
        <f>SUMIFS(Annual_Cost!$R$2:$R$807,Annual_Cost!$A$2:$A$807,A216,Annual_Cost!$B$2:$B$807,B216)</f>
        <v>5207718.667151113</v>
      </c>
      <c r="E216" s="21">
        <f>SUMIFS(Annual_Cost!$S$2:$S$807,Annual_Cost!$A$2:$A$807,A216,Annual_Cost!$B$2:$B$807,B216)</f>
        <v>5207718.667151113</v>
      </c>
      <c r="F216" s="21">
        <f>SUMIFS(Annual_Cost!$W$2:$W$807,Annual_Cost!$A$2:$A$807,A216,Annual_Cost!$B$2:$B$807,B216)</f>
        <v>4361382.3969766414</v>
      </c>
      <c r="G216" s="21">
        <f>SUMIFS($E$2:E216,$A$2:A216,A216)</f>
        <v>25692730.077011924</v>
      </c>
      <c r="H216" s="21">
        <f>SUMIFS($F$2:F216,$A$2:A216,A216)</f>
        <v>22885639.658361595</v>
      </c>
    </row>
    <row r="217" spans="1:8">
      <c r="A217" t="s">
        <v>242</v>
      </c>
      <c r="B217" s="18">
        <v>2032</v>
      </c>
      <c r="C217" s="21">
        <f>SUMIFS(Annual_Cost!$Q$2:$Q$807,Annual_Cost!$A$2:$A$807,A217,Annual_Cost!$B$2:$B$807,B217)</f>
        <v>0</v>
      </c>
      <c r="D217" s="21">
        <f>SUMIFS(Annual_Cost!$R$2:$R$807,Annual_Cost!$A$2:$A$807,A217,Annual_Cost!$B$2:$B$807,B217)</f>
        <v>5239968.976707248</v>
      </c>
      <c r="E217" s="21">
        <f>SUMIFS(Annual_Cost!$S$2:$S$807,Annual_Cost!$A$2:$A$807,A217,Annual_Cost!$B$2:$B$807,B217)</f>
        <v>5239968.976707248</v>
      </c>
      <c r="F217" s="21">
        <f>SUMIFS(Annual_Cost!$W$2:$W$807,Annual_Cost!$A$2:$A$807,A217,Annual_Cost!$B$2:$B$807,B217)</f>
        <v>4260574.2946631834</v>
      </c>
      <c r="G217" s="21">
        <f>SUMIFS($E$2:E217,$A$2:A217,A217)</f>
        <v>30932699.05371917</v>
      </c>
      <c r="H217" s="21">
        <f>SUMIFS($F$2:F217,$A$2:A217,A217)</f>
        <v>27146213.953024779</v>
      </c>
    </row>
    <row r="218" spans="1:8">
      <c r="A218" t="s">
        <v>242</v>
      </c>
      <c r="B218" s="18">
        <v>2033</v>
      </c>
      <c r="C218" s="21">
        <f>SUMIFS(Annual_Cost!$Q$2:$Q$807,Annual_Cost!$A$2:$A$807,A218,Annual_Cost!$B$2:$B$807,B218)</f>
        <v>0</v>
      </c>
      <c r="D218" s="21">
        <f>SUMIFS(Annual_Cost!$R$2:$R$807,Annual_Cost!$A$2:$A$807,A218,Annual_Cost!$B$2:$B$807,B218)</f>
        <v>5271586.7974715596</v>
      </c>
      <c r="E218" s="21">
        <f>SUMIFS(Annual_Cost!$S$2:$S$807,Annual_Cost!$A$2:$A$807,A218,Annual_Cost!$B$2:$B$807,B218)</f>
        <v>5271586.7974715596</v>
      </c>
      <c r="F218" s="21">
        <f>SUMIFS(Annual_Cost!$W$2:$W$807,Annual_Cost!$A$2:$A$807,A218,Annual_Cost!$B$2:$B$807,B218)</f>
        <v>4161439.2974114763</v>
      </c>
      <c r="G218" s="21">
        <f>SUMIFS($E$2:E218,$A$2:A218,A218)</f>
        <v>36204285.851190731</v>
      </c>
      <c r="H218" s="21">
        <f>SUMIFS($F$2:F218,$A$2:A218,A218)</f>
        <v>31307653.250436254</v>
      </c>
    </row>
    <row r="219" spans="1:8">
      <c r="A219" t="s">
        <v>242</v>
      </c>
      <c r="B219" s="18">
        <v>2034</v>
      </c>
      <c r="C219" s="21">
        <f>SUMIFS(Annual_Cost!$Q$2:$Q$807,Annual_Cost!$A$2:$A$807,A219,Annual_Cost!$B$2:$B$807,B219)</f>
        <v>0</v>
      </c>
      <c r="D219" s="21">
        <f>SUMIFS(Annual_Cost!$R$2:$R$807,Annual_Cost!$A$2:$A$807,A219,Annual_Cost!$B$2:$B$807,B219)</f>
        <v>5302315.4235277828</v>
      </c>
      <c r="E219" s="21">
        <f>SUMIFS(Annual_Cost!$S$2:$S$807,Annual_Cost!$A$2:$A$807,A219,Annual_Cost!$B$2:$B$807,B219)</f>
        <v>5302315.4235277828</v>
      </c>
      <c r="F219" s="21">
        <f>SUMIFS(Annual_Cost!$W$2:$W$807,Annual_Cost!$A$2:$A$807,A219,Annual_Cost!$B$2:$B$807,B219)</f>
        <v>4063783.2607553778</v>
      </c>
      <c r="G219" s="21">
        <f>SUMIFS($E$2:E219,$A$2:A219,A219)</f>
        <v>41506601.274718516</v>
      </c>
      <c r="H219" s="21">
        <f>SUMIFS($F$2:F219,$A$2:A219,A219)</f>
        <v>35371436.511191629</v>
      </c>
    </row>
    <row r="220" spans="1:8">
      <c r="A220" t="s">
        <v>242</v>
      </c>
      <c r="B220" s="18">
        <v>2035</v>
      </c>
      <c r="C220" s="21">
        <f>SUMIFS(Annual_Cost!$Q$2:$Q$807,Annual_Cost!$A$2:$A$807,A220,Annual_Cost!$B$2:$B$807,B220)</f>
        <v>0</v>
      </c>
      <c r="D220" s="21">
        <f>SUMIFS(Annual_Cost!$R$2:$R$807,Annual_Cost!$A$2:$A$807,A220,Annual_Cost!$B$2:$B$807,B220)</f>
        <v>5331583.5418294128</v>
      </c>
      <c r="E220" s="21">
        <f>SUMIFS(Annual_Cost!$S$2:$S$807,Annual_Cost!$A$2:$A$807,A220,Annual_Cost!$B$2:$B$807,B220)</f>
        <v>5331583.5418294128</v>
      </c>
      <c r="F220" s="21">
        <f>SUMIFS(Annual_Cost!$W$2:$W$807,Annual_Cost!$A$2:$A$807,A220,Annual_Cost!$B$2:$B$807,B220)</f>
        <v>3967198.8702387954</v>
      </c>
      <c r="G220" s="21">
        <f>SUMIFS($E$2:E220,$A$2:A220,A220)</f>
        <v>46838184.81654793</v>
      </c>
      <c r="H220" s="21">
        <f>SUMIFS($F$2:F220,$A$2:A220,A220)</f>
        <v>39338635.381430425</v>
      </c>
    </row>
    <row r="221" spans="1:8">
      <c r="A221" t="s">
        <v>242</v>
      </c>
      <c r="B221" s="18">
        <v>2036</v>
      </c>
      <c r="C221" s="21">
        <f>SUMIFS(Annual_Cost!$Q$2:$Q$807,Annual_Cost!$A$2:$A$807,A221,Annual_Cost!$B$2:$B$807,B221)</f>
        <v>0</v>
      </c>
      <c r="D221" s="21">
        <f>SUMIFS(Annual_Cost!$R$2:$R$807,Annual_Cost!$A$2:$A$807,A221,Annual_Cost!$B$2:$B$807,B221)</f>
        <v>5361012.9458238585</v>
      </c>
      <c r="E221" s="21">
        <f>SUMIFS(Annual_Cost!$S$2:$S$807,Annual_Cost!$A$2:$A$807,A221,Annual_Cost!$B$2:$B$807,B221)</f>
        <v>5361012.9458238585</v>
      </c>
      <c r="F221" s="21">
        <f>SUMIFS(Annual_Cost!$W$2:$W$807,Annual_Cost!$A$2:$A$807,A221,Annual_Cost!$B$2:$B$807,B221)</f>
        <v>3872909.8161845631</v>
      </c>
      <c r="G221" s="21">
        <f>SUMIFS($E$2:E221,$A$2:A221,A221)</f>
        <v>52199197.762371786</v>
      </c>
      <c r="H221" s="21">
        <f>SUMIFS($F$2:F221,$A$2:A221,A221)</f>
        <v>43211545.19761499</v>
      </c>
    </row>
    <row r="222" spans="1:8">
      <c r="A222" t="s">
        <v>242</v>
      </c>
      <c r="B222" s="18">
        <v>2037</v>
      </c>
      <c r="C222" s="21">
        <f>SUMIFS(Annual_Cost!$Q$2:$Q$807,Annual_Cost!$A$2:$A$807,A222,Annual_Cost!$B$2:$B$807,B222)</f>
        <v>0</v>
      </c>
      <c r="D222" s="21">
        <f>SUMIFS(Annual_Cost!$R$2:$R$807,Annual_Cost!$A$2:$A$807,A222,Annual_Cost!$B$2:$B$807,B222)</f>
        <v>5389637.1910616877</v>
      </c>
      <c r="E222" s="21">
        <f>SUMIFS(Annual_Cost!$S$2:$S$807,Annual_Cost!$A$2:$A$807,A222,Annual_Cost!$B$2:$B$807,B222)</f>
        <v>5389637.1910616877</v>
      </c>
      <c r="F222" s="21">
        <f>SUMIFS(Annual_Cost!$W$2:$W$807,Annual_Cost!$A$2:$A$807,A222,Annual_Cost!$B$2:$B$807,B222)</f>
        <v>3780183.0873504393</v>
      </c>
      <c r="G222" s="21">
        <f>SUMIFS($E$2:E222,$A$2:A222,A222)</f>
        <v>57588834.953433476</v>
      </c>
      <c r="H222" s="21">
        <f>SUMIFS($F$2:F222,$A$2:A222,A222)</f>
        <v>46991728.284965426</v>
      </c>
    </row>
    <row r="223" spans="1:8">
      <c r="A223" t="s">
        <v>242</v>
      </c>
      <c r="B223" s="18">
        <v>2038</v>
      </c>
      <c r="C223" s="21">
        <f>SUMIFS(Annual_Cost!$Q$2:$Q$807,Annual_Cost!$A$2:$A$807,A223,Annual_Cost!$B$2:$B$807,B223)</f>
        <v>0</v>
      </c>
      <c r="D223" s="21">
        <f>SUMIFS(Annual_Cost!$R$2:$R$807,Annual_Cost!$A$2:$A$807,A223,Annual_Cost!$B$2:$B$807,B223)</f>
        <v>5417357.7308921833</v>
      </c>
      <c r="E223" s="21">
        <f>SUMIFS(Annual_Cost!$S$2:$S$807,Annual_Cost!$A$2:$A$807,A223,Annual_Cost!$B$2:$B$807,B223)</f>
        <v>5417357.7308921833</v>
      </c>
      <c r="F223" s="21">
        <f>SUMIFS(Annual_Cost!$W$2:$W$807,Annual_Cost!$A$2:$A$807,A223,Annual_Cost!$B$2:$B$807,B223)</f>
        <v>3688957.0060734339</v>
      </c>
      <c r="G223" s="21">
        <f>SUMIFS($E$2:E223,$A$2:A223,A223)</f>
        <v>63006192.684325658</v>
      </c>
      <c r="H223" s="21">
        <f>SUMIFS($F$2:F223,$A$2:A223,A223)</f>
        <v>50680685.291038856</v>
      </c>
    </row>
    <row r="224" spans="1:8">
      <c r="A224" t="s">
        <v>242</v>
      </c>
      <c r="B224" s="18">
        <v>2039</v>
      </c>
      <c r="C224" s="21">
        <f>SUMIFS(Annual_Cost!$Q$2:$Q$807,Annual_Cost!$A$2:$A$807,A224,Annual_Cost!$B$2:$B$807,B224)</f>
        <v>0</v>
      </c>
      <c r="D224" s="21">
        <f>SUMIFS(Annual_Cost!$R$2:$R$807,Annual_Cost!$A$2:$A$807,A224,Annual_Cost!$B$2:$B$807,B224)</f>
        <v>5444147.7756727925</v>
      </c>
      <c r="E224" s="21">
        <f>SUMIFS(Annual_Cost!$S$2:$S$807,Annual_Cost!$A$2:$A$807,A224,Annual_Cost!$B$2:$B$807,B224)</f>
        <v>5444147.7756727925</v>
      </c>
      <c r="F224" s="21">
        <f>SUMIFS(Annual_Cost!$W$2:$W$807,Annual_Cost!$A$2:$A$807,A224,Annual_Cost!$B$2:$B$807,B224)</f>
        <v>3599223.0320051131</v>
      </c>
      <c r="G224" s="21">
        <f>SUMIFS($E$2:E224,$A$2:A224,A224)</f>
        <v>68450340.459998444</v>
      </c>
      <c r="H224" s="21">
        <f>SUMIFS($F$2:F224,$A$2:A224,A224)</f>
        <v>54279908.323043972</v>
      </c>
    </row>
    <row r="225" spans="1:8">
      <c r="A225" t="s">
        <v>242</v>
      </c>
      <c r="B225" s="18">
        <v>2040</v>
      </c>
      <c r="C225" s="21">
        <f>SUMIFS(Annual_Cost!$Q$2:$Q$807,Annual_Cost!$A$2:$A$807,A225,Annual_Cost!$B$2:$B$807,B225)</f>
        <v>0</v>
      </c>
      <c r="D225" s="21">
        <f>SUMIFS(Annual_Cost!$R$2:$R$807,Annual_Cost!$A$2:$A$807,A225,Annual_Cost!$B$2:$B$807,B225)</f>
        <v>5469858.5890806653</v>
      </c>
      <c r="E225" s="21">
        <f>SUMIFS(Annual_Cost!$S$2:$S$807,Annual_Cost!$A$2:$A$807,A225,Annual_Cost!$B$2:$B$807,B225)</f>
        <v>5469858.5890806653</v>
      </c>
      <c r="F225" s="21">
        <f>SUMIFS(Annual_Cost!$W$2:$W$807,Annual_Cost!$A$2:$A$807,A225,Annual_Cost!$B$2:$B$807,B225)</f>
        <v>3510894.085971978</v>
      </c>
      <c r="G225" s="21">
        <f>SUMIFS($E$2:E225,$A$2:A225,A225)</f>
        <v>73920199.049079105</v>
      </c>
      <c r="H225" s="21">
        <f>SUMIFS($F$2:F225,$A$2:A225,A225)</f>
        <v>57790802.409015954</v>
      </c>
    </row>
    <row r="226" spans="1:8">
      <c r="A226" t="s">
        <v>242</v>
      </c>
      <c r="B226" s="18">
        <v>2041</v>
      </c>
      <c r="C226" s="21">
        <f>SUMIFS(Annual_Cost!$Q$2:$Q$807,Annual_Cost!$A$2:$A$807,A226,Annual_Cost!$B$2:$B$807,B226)</f>
        <v>0</v>
      </c>
      <c r="D226" s="21">
        <f>SUMIFS(Annual_Cost!$R$2:$R$807,Annual_Cost!$A$2:$A$807,A226,Annual_Cost!$B$2:$B$807,B226)</f>
        <v>5494559.7185265925</v>
      </c>
      <c r="E226" s="21">
        <f>SUMIFS(Annual_Cost!$S$2:$S$807,Annual_Cost!$A$2:$A$807,A226,Annual_Cost!$B$2:$B$807,B226)</f>
        <v>5494559.7185265925</v>
      </c>
      <c r="F226" s="21">
        <f>SUMIFS(Annual_Cost!$W$2:$W$807,Annual_Cost!$A$2:$A$807,A226,Annual_Cost!$B$2:$B$807,B226)</f>
        <v>3424027.9621563498</v>
      </c>
      <c r="G226" s="21">
        <f>SUMIFS($E$2:E226,$A$2:A226,A226)</f>
        <v>79414758.767605692</v>
      </c>
      <c r="H226" s="21">
        <f>SUMIFS($F$2:F226,$A$2:A226,A226)</f>
        <v>61214830.371172301</v>
      </c>
    </row>
    <row r="227" spans="1:8">
      <c r="A227" t="s">
        <v>242</v>
      </c>
      <c r="B227" s="18">
        <v>2042</v>
      </c>
      <c r="C227" s="21">
        <f>SUMIFS(Annual_Cost!$Q$2:$Q$807,Annual_Cost!$A$2:$A$807,A227,Annual_Cost!$B$2:$B$807,B227)</f>
        <v>0</v>
      </c>
      <c r="D227" s="21">
        <f>SUMIFS(Annual_Cost!$R$2:$R$807,Annual_Cost!$A$2:$A$807,A227,Annual_Cost!$B$2:$B$807,B227)</f>
        <v>5518165.3314902633</v>
      </c>
      <c r="E227" s="21">
        <f>SUMIFS(Annual_Cost!$S$2:$S$807,Annual_Cost!$A$2:$A$807,A227,Annual_Cost!$B$2:$B$807,B227)</f>
        <v>5518165.3314902633</v>
      </c>
      <c r="F227" s="21">
        <f>SUMIFS(Annual_Cost!$W$2:$W$807,Annual_Cost!$A$2:$A$807,A227,Annual_Cost!$B$2:$B$807,B227)</f>
        <v>3338580.7764420728</v>
      </c>
      <c r="G227" s="21">
        <f>SUMIFS($E$2:E227,$A$2:A227,A227)</f>
        <v>84932924.099095955</v>
      </c>
      <c r="H227" s="21">
        <f>SUMIFS($F$2:F227,$A$2:A227,A227)</f>
        <v>64553411.147614375</v>
      </c>
    </row>
    <row r="228" spans="1:8">
      <c r="A228" t="s">
        <v>242</v>
      </c>
      <c r="B228" s="18">
        <v>2043</v>
      </c>
      <c r="C228" s="21">
        <f>SUMIFS(Annual_Cost!$Q$2:$Q$807,Annual_Cost!$A$2:$A$807,A228,Annual_Cost!$B$2:$B$807,B228)</f>
        <v>0</v>
      </c>
      <c r="D228" s="21">
        <f>SUMIFS(Annual_Cost!$R$2:$R$807,Annual_Cost!$A$2:$A$807,A228,Annual_Cost!$B$2:$B$807,B228)</f>
        <v>5540669.9726429703</v>
      </c>
      <c r="E228" s="21">
        <f>SUMIFS(Annual_Cost!$S$2:$S$807,Annual_Cost!$A$2:$A$807,A228,Annual_Cost!$B$2:$B$807,B228)</f>
        <v>5540669.9726429703</v>
      </c>
      <c r="F228" s="21">
        <f>SUMIFS(Annual_Cost!$W$2:$W$807,Annual_Cost!$A$2:$A$807,A228,Annual_Cost!$B$2:$B$807,B228)</f>
        <v>3254559.6645119372</v>
      </c>
      <c r="G228" s="21">
        <f>SUMIFS($E$2:E228,$A$2:A228,A228)</f>
        <v>90473594.071738929</v>
      </c>
      <c r="H228" s="21">
        <f>SUMIFS($F$2:F228,$A$2:A228,A228)</f>
        <v>67807970.812126309</v>
      </c>
    </row>
    <row r="229" spans="1:8">
      <c r="A229" t="s">
        <v>242</v>
      </c>
      <c r="B229" s="18">
        <v>2044</v>
      </c>
      <c r="C229" s="21">
        <f>SUMIFS(Annual_Cost!$Q$2:$Q$807,Annual_Cost!$A$2:$A$807,A229,Annual_Cost!$B$2:$B$807,B229)</f>
        <v>0</v>
      </c>
      <c r="D229" s="21">
        <f>SUMIFS(Annual_Cost!$R$2:$R$807,Annual_Cost!$A$2:$A$807,A229,Annual_Cost!$B$2:$B$807,B229)</f>
        <v>5562035.0047568651</v>
      </c>
      <c r="E229" s="21">
        <f>SUMIFS(Annual_Cost!$S$2:$S$807,Annual_Cost!$A$2:$A$807,A229,Annual_Cost!$B$2:$B$807,B229)</f>
        <v>5562035.0047568651</v>
      </c>
      <c r="F229" s="21">
        <f>SUMIFS(Annual_Cost!$W$2:$W$807,Annual_Cost!$A$2:$A$807,A229,Annual_Cost!$B$2:$B$807,B229)</f>
        <v>3171950.843851639</v>
      </c>
      <c r="G229" s="21">
        <f>SUMIFS($E$2:E229,$A$2:A229,A229)</f>
        <v>96035629.076495796</v>
      </c>
      <c r="H229" s="21">
        <f>SUMIFS($F$2:F229,$A$2:A229,A229)</f>
        <v>70979921.65597795</v>
      </c>
    </row>
    <row r="230" spans="1:8">
      <c r="A230" t="s">
        <v>242</v>
      </c>
      <c r="B230" s="18">
        <v>2045</v>
      </c>
      <c r="C230" s="21">
        <f>SUMIFS(Annual_Cost!$Q$2:$Q$807,Annual_Cost!$A$2:$A$807,A230,Annual_Cost!$B$2:$B$807,B230)</f>
        <v>0</v>
      </c>
      <c r="D230" s="21">
        <f>SUMIFS(Annual_Cost!$R$2:$R$807,Annual_Cost!$A$2:$A$807,A230,Annual_Cost!$B$2:$B$807,B230)</f>
        <v>5582217.4673274811</v>
      </c>
      <c r="E230" s="21">
        <f>SUMIFS(Annual_Cost!$S$2:$S$807,Annual_Cost!$A$2:$A$807,A230,Annual_Cost!$B$2:$B$807,B230)</f>
        <v>5582217.4673274811</v>
      </c>
      <c r="F230" s="21">
        <f>SUMIFS(Annual_Cost!$W$2:$W$807,Annual_Cost!$A$2:$A$807,A230,Annual_Cost!$B$2:$B$807,B230)</f>
        <v>3090738.4662546758</v>
      </c>
      <c r="G230" s="21">
        <f>SUMIFS($E$2:E230,$A$2:A230,A230)</f>
        <v>101617846.54382327</v>
      </c>
      <c r="H230" s="21">
        <f>SUMIFS($F$2:F230,$A$2:A230,A230)</f>
        <v>74070660.122232631</v>
      </c>
    </row>
    <row r="231" spans="1:8">
      <c r="A231" t="s">
        <v>242</v>
      </c>
      <c r="B231" s="18">
        <v>2046</v>
      </c>
      <c r="C231" s="21">
        <f>SUMIFS(Annual_Cost!$Q$2:$Q$807,Annual_Cost!$A$2:$A$807,A231,Annual_Cost!$B$2:$B$807,B231)</f>
        <v>0</v>
      </c>
      <c r="D231" s="21">
        <f>SUMIFS(Annual_Cost!$R$2:$R$807,Annual_Cost!$A$2:$A$807,A231,Annual_Cost!$B$2:$B$807,B231)</f>
        <v>5601238.4896167908</v>
      </c>
      <c r="E231" s="21">
        <f>SUMIFS(Annual_Cost!$S$2:$S$807,Annual_Cost!$A$2:$A$807,A231,Annual_Cost!$B$2:$B$807,B231)</f>
        <v>5601238.4896167908</v>
      </c>
      <c r="F231" s="21">
        <f>SUMIFS(Annual_Cost!$W$2:$W$807,Annual_Cost!$A$2:$A$807,A231,Annual_Cost!$B$2:$B$807,B231)</f>
        <v>3010941.6942874803</v>
      </c>
      <c r="G231" s="21">
        <f>SUMIFS($E$2:E231,$A$2:A231,A231)</f>
        <v>107219085.03344007</v>
      </c>
      <c r="H231" s="21">
        <f>SUMIFS($F$2:F231,$A$2:A231,A231)</f>
        <v>77081601.81652011</v>
      </c>
    </row>
    <row r="232" spans="1:8">
      <c r="A232" t="s">
        <v>242</v>
      </c>
      <c r="B232" s="18">
        <v>2047</v>
      </c>
      <c r="C232" s="21">
        <f>SUMIFS(Annual_Cost!$Q$2:$Q$807,Annual_Cost!$A$2:$A$807,A232,Annual_Cost!$B$2:$B$807,B232)</f>
        <v>0</v>
      </c>
      <c r="D232" s="21">
        <f>SUMIFS(Annual_Cost!$R$2:$R$807,Annual_Cost!$A$2:$A$807,A232,Annual_Cost!$B$2:$B$807,B232)</f>
        <v>5619140.520243546</v>
      </c>
      <c r="E232" s="21">
        <f>SUMIFS(Annual_Cost!$S$2:$S$807,Annual_Cost!$A$2:$A$807,A232,Annual_Cost!$B$2:$B$807,B232)</f>
        <v>5619140.520243546</v>
      </c>
      <c r="F232" s="21">
        <f>SUMIFS(Annual_Cost!$W$2:$W$807,Annual_Cost!$A$2:$A$807,A232,Annual_Cost!$B$2:$B$807,B232)</f>
        <v>2932587.2989205769</v>
      </c>
      <c r="G232" s="21">
        <f>SUMIFS($E$2:E232,$A$2:A232,A232)</f>
        <v>112838225.55368361</v>
      </c>
      <c r="H232" s="21">
        <f>SUMIFS($F$2:F232,$A$2:A232,A232)</f>
        <v>80014189.115440682</v>
      </c>
    </row>
    <row r="233" spans="1:8">
      <c r="A233" t="s">
        <v>242</v>
      </c>
      <c r="B233" s="18">
        <v>2048</v>
      </c>
      <c r="C233" s="21">
        <f>SUMIFS(Annual_Cost!$Q$2:$Q$807,Annual_Cost!$A$2:$A$807,A233,Annual_Cost!$B$2:$B$807,B233)</f>
        <v>0</v>
      </c>
      <c r="D233" s="21">
        <f>SUMIFS(Annual_Cost!$R$2:$R$807,Annual_Cost!$A$2:$A$807,A233,Annual_Cost!$B$2:$B$807,B233)</f>
        <v>5635924.3375196047</v>
      </c>
      <c r="E233" s="21">
        <f>SUMIFS(Annual_Cost!$S$2:$S$807,Annual_Cost!$A$2:$A$807,A233,Annual_Cost!$B$2:$B$807,B233)</f>
        <v>5635924.3375196047</v>
      </c>
      <c r="F233" s="21">
        <f>SUMIFS(Annual_Cost!$W$2:$W$807,Annual_Cost!$A$2:$A$807,A233,Annual_Cost!$B$2:$B$807,B233)</f>
        <v>2855676.3565952773</v>
      </c>
      <c r="G233" s="21">
        <f>SUMIFS($E$2:E233,$A$2:A233,A233)</f>
        <v>118474149.89120321</v>
      </c>
      <c r="H233" s="21">
        <f>SUMIFS($F$2:F233,$A$2:A233,A233)</f>
        <v>82869865.472035959</v>
      </c>
    </row>
    <row r="234" spans="1:8">
      <c r="A234" t="s">
        <v>242</v>
      </c>
      <c r="B234" s="18">
        <v>2049</v>
      </c>
      <c r="C234" s="21">
        <f>SUMIFS(Annual_Cost!$Q$2:$Q$807,Annual_Cost!$A$2:$A$807,A234,Annual_Cost!$B$2:$B$807,B234)</f>
        <v>0</v>
      </c>
      <c r="D234" s="21">
        <f>SUMIFS(Annual_Cost!$R$2:$R$807,Annual_Cost!$A$2:$A$807,A234,Annual_Cost!$B$2:$B$807,B234)</f>
        <v>5651576.0216501569</v>
      </c>
      <c r="E234" s="21">
        <f>SUMIFS(Annual_Cost!$S$2:$S$807,Annual_Cost!$A$2:$A$807,A234,Annual_Cost!$B$2:$B$807,B234)</f>
        <v>5651576.0216501569</v>
      </c>
      <c r="F234" s="21">
        <f>SUMIFS(Annual_Cost!$W$2:$W$807,Annual_Cost!$A$2:$A$807,A234,Annual_Cost!$B$2:$B$807,B234)</f>
        <v>2780200.908537142</v>
      </c>
      <c r="G234" s="21">
        <f>SUMIFS($E$2:E234,$A$2:A234,A234)</f>
        <v>124125725.91285336</v>
      </c>
      <c r="H234" s="21">
        <f>SUMIFS($F$2:F234,$A$2:A234,A234)</f>
        <v>85650066.380573094</v>
      </c>
    </row>
    <row r="235" spans="1:8">
      <c r="A235" t="s">
        <v>242</v>
      </c>
      <c r="B235" s="18">
        <v>2050</v>
      </c>
      <c r="C235" s="21">
        <f>SUMIFS(Annual_Cost!$Q$2:$Q$807,Annual_Cost!$A$2:$A$807,A235,Annual_Cost!$B$2:$B$807,B235)</f>
        <v>0</v>
      </c>
      <c r="D235" s="21">
        <f>SUMIFS(Annual_Cost!$R$2:$R$807,Annual_Cost!$A$2:$A$807,A235,Annual_Cost!$B$2:$B$807,B235)</f>
        <v>5666053.0234227581</v>
      </c>
      <c r="E235" s="21">
        <f>SUMIFS(Annual_Cost!$S$2:$S$807,Annual_Cost!$A$2:$A$807,A235,Annual_Cost!$B$2:$B$807,B235)</f>
        <v>5666053.0234227581</v>
      </c>
      <c r="F235" s="21">
        <f>SUMIFS(Annual_Cost!$W$2:$W$807,Annual_Cost!$A$2:$A$807,A235,Annual_Cost!$B$2:$B$807,B235)</f>
        <v>2706138.4797185743</v>
      </c>
      <c r="G235" s="21">
        <f>SUMIFS($E$2:E235,$A$2:A235,A235)</f>
        <v>129791778.93627612</v>
      </c>
      <c r="H235" s="21">
        <f>SUMIFS($F$2:F235,$A$2:A235,A235)</f>
        <v>88356204.860291675</v>
      </c>
    </row>
    <row r="236" spans="1:8">
      <c r="A236" t="s">
        <v>261</v>
      </c>
      <c r="B236" s="18">
        <v>2025</v>
      </c>
      <c r="C236" s="21">
        <f>SUMIFS(Annual_Cost!$Q$2:$Q$807,Annual_Cost!$A$2:$A$807,A236,Annual_Cost!$B$2:$B$807,B236)</f>
        <v>0</v>
      </c>
      <c r="D236" s="21">
        <f>SUMIFS(Annual_Cost!$R$2:$R$807,Annual_Cost!$A$2:$A$807,A236,Annual_Cost!$B$2:$B$807,B236)</f>
        <v>0</v>
      </c>
      <c r="E236" s="21">
        <f>SUMIFS(Annual_Cost!$S$2:$S$807,Annual_Cost!$A$2:$A$807,A236,Annual_Cost!$B$2:$B$807,B236)</f>
        <v>0</v>
      </c>
      <c r="F236" s="21">
        <f>SUMIFS(Annual_Cost!$W$2:$W$807,Annual_Cost!$A$2:$A$807,A236,Annual_Cost!$B$2:$B$807,B236)</f>
        <v>0</v>
      </c>
      <c r="G236" s="21">
        <f>SUMIFS($E$2:E236,$A$2:A236,A236)</f>
        <v>0</v>
      </c>
      <c r="H236" s="21">
        <f>SUMIFS($F$2:F236,$A$2:A236,A236)</f>
        <v>0</v>
      </c>
    </row>
    <row r="237" spans="1:8">
      <c r="A237" t="s">
        <v>261</v>
      </c>
      <c r="B237" s="18">
        <v>2026</v>
      </c>
      <c r="C237" s="21">
        <f>SUMIFS(Annual_Cost!$Q$2:$Q$807,Annual_Cost!$A$2:$A$807,A237,Annual_Cost!$B$2:$B$807,B237)</f>
        <v>0</v>
      </c>
      <c r="D237" s="21">
        <f>SUMIFS(Annual_Cost!$R$2:$R$807,Annual_Cost!$A$2:$A$807,A237,Annual_Cost!$B$2:$B$807,B237)</f>
        <v>4460368.5843893792</v>
      </c>
      <c r="E237" s="21">
        <f>SUMIFS(Annual_Cost!$S$2:$S$807,Annual_Cost!$A$2:$A$807,A237,Annual_Cost!$B$2:$B$807,B237)</f>
        <v>4460368.5843893792</v>
      </c>
      <c r="F237" s="21">
        <f>SUMIFS(Annual_Cost!$W$2:$W$807,Annual_Cost!$A$2:$A$807,A237,Annual_Cost!$B$2:$B$807,B237)</f>
        <v>4330454.936300368</v>
      </c>
      <c r="G237" s="21">
        <f>SUMIFS($E$2:E237,$A$2:A237,A237)</f>
        <v>4460368.5843893792</v>
      </c>
      <c r="H237" s="21">
        <f>SUMIFS($F$2:F237,$A$2:A237,A237)</f>
        <v>4330454.936300368</v>
      </c>
    </row>
    <row r="238" spans="1:8">
      <c r="A238" t="s">
        <v>261</v>
      </c>
      <c r="B238" s="18">
        <v>2027</v>
      </c>
      <c r="C238" s="21">
        <f>SUMIFS(Annual_Cost!$Q$2:$Q$807,Annual_Cost!$A$2:$A$807,A238,Annual_Cost!$B$2:$B$807,B238)</f>
        <v>0</v>
      </c>
      <c r="D238" s="21">
        <f>SUMIFS(Annual_Cost!$R$2:$R$807,Annual_Cost!$A$2:$A$807,A238,Annual_Cost!$B$2:$B$807,B238)</f>
        <v>8978800.820011422</v>
      </c>
      <c r="E238" s="21">
        <f>SUMIFS(Annual_Cost!$S$2:$S$807,Annual_Cost!$A$2:$A$807,A238,Annual_Cost!$B$2:$B$807,B238)</f>
        <v>8978800.820011422</v>
      </c>
      <c r="F238" s="21">
        <f>SUMIFS(Annual_Cost!$W$2:$W$807,Annual_Cost!$A$2:$A$807,A238,Annual_Cost!$B$2:$B$807,B238)</f>
        <v>8463380.9218695667</v>
      </c>
      <c r="G238" s="21">
        <f>SUMIFS($E$2:E238,$A$2:A238,A238)</f>
        <v>13439169.404400801</v>
      </c>
      <c r="H238" s="21">
        <f>SUMIFS($F$2:F238,$A$2:A238,A238)</f>
        <v>12793835.858169936</v>
      </c>
    </row>
    <row r="239" spans="1:8">
      <c r="A239" t="s">
        <v>261</v>
      </c>
      <c r="B239" s="18">
        <v>2028</v>
      </c>
      <c r="C239" s="21">
        <f>SUMIFS(Annual_Cost!$Q$2:$Q$807,Annual_Cost!$A$2:$A$807,A239,Annual_Cost!$B$2:$B$807,B239)</f>
        <v>0</v>
      </c>
      <c r="D239" s="21">
        <f>SUMIFS(Annual_Cost!$R$2:$R$807,Annual_Cost!$A$2:$A$807,A239,Annual_Cost!$B$2:$B$807,B239)</f>
        <v>13560511.185547397</v>
      </c>
      <c r="E239" s="21">
        <f>SUMIFS(Annual_Cost!$S$2:$S$807,Annual_Cost!$A$2:$A$807,A239,Annual_Cost!$B$2:$B$807,B239)</f>
        <v>13560511.185547397</v>
      </c>
      <c r="F239" s="21">
        <f>SUMIFS(Annual_Cost!$W$2:$W$807,Annual_Cost!$A$2:$A$807,A239,Annual_Cost!$B$2:$B$807,B239)</f>
        <v>12409788.708018925</v>
      </c>
      <c r="G239" s="21">
        <f>SUMIFS($E$2:E239,$A$2:A239,A239)</f>
        <v>26999680.5899482</v>
      </c>
      <c r="H239" s="21">
        <f>SUMIFS($F$2:F239,$A$2:A239,A239)</f>
        <v>25203624.566188861</v>
      </c>
    </row>
    <row r="240" spans="1:8">
      <c r="A240" t="s">
        <v>261</v>
      </c>
      <c r="B240" s="18">
        <v>2029</v>
      </c>
      <c r="C240" s="21">
        <f>SUMIFS(Annual_Cost!$Q$2:$Q$807,Annual_Cost!$A$2:$A$807,A240,Annual_Cost!$B$2:$B$807,B240)</f>
        <v>0</v>
      </c>
      <c r="D240" s="21">
        <f>SUMIFS(Annual_Cost!$R$2:$R$807,Annual_Cost!$A$2:$A$807,A240,Annual_Cost!$B$2:$B$807,B240)</f>
        <v>13651369.865184721</v>
      </c>
      <c r="E240" s="21">
        <f>SUMIFS(Annual_Cost!$S$2:$S$807,Annual_Cost!$A$2:$A$807,A240,Annual_Cost!$B$2:$B$807,B240)</f>
        <v>13651369.865184721</v>
      </c>
      <c r="F240" s="21">
        <f>SUMIFS(Annual_Cost!$W$2:$W$807,Annual_Cost!$A$2:$A$807,A240,Annual_Cost!$B$2:$B$807,B240)</f>
        <v>12129065.311523171</v>
      </c>
      <c r="G240" s="21">
        <f>SUMIFS($E$2:E240,$A$2:A240,A240)</f>
        <v>40651050.455132917</v>
      </c>
      <c r="H240" s="21">
        <f>SUMIFS($F$2:F240,$A$2:A240,A240)</f>
        <v>37332689.877712034</v>
      </c>
    </row>
    <row r="241" spans="1:8">
      <c r="A241" t="s">
        <v>261</v>
      </c>
      <c r="B241" s="18">
        <v>2030</v>
      </c>
      <c r="C241" s="21">
        <f>SUMIFS(Annual_Cost!$Q$2:$Q$807,Annual_Cost!$A$2:$A$807,A241,Annual_Cost!$B$2:$B$807,B241)</f>
        <v>0</v>
      </c>
      <c r="D241" s="21">
        <f>SUMIFS(Annual_Cost!$R$2:$R$807,Annual_Cost!$A$2:$A$807,A241,Annual_Cost!$B$2:$B$807,B241)</f>
        <v>13740092.182126626</v>
      </c>
      <c r="E241" s="21">
        <f>SUMIFS(Annual_Cost!$S$2:$S$807,Annual_Cost!$A$2:$A$807,A241,Annual_Cost!$B$2:$B$807,B241)</f>
        <v>13740092.182126626</v>
      </c>
      <c r="F241" s="21">
        <f>SUMIFS(Annual_Cost!$W$2:$W$807,Annual_Cost!$A$2:$A$807,A241,Annual_Cost!$B$2:$B$807,B241)</f>
        <v>11852324.214550605</v>
      </c>
      <c r="G241" s="21">
        <f>SUMIFS($E$2:E241,$A$2:A241,A241)</f>
        <v>54391142.637259543</v>
      </c>
      <c r="H241" s="21">
        <f>SUMIFS($F$2:F241,$A$2:A241,A241)</f>
        <v>49185014.092262641</v>
      </c>
    </row>
    <row r="242" spans="1:8">
      <c r="A242" t="s">
        <v>261</v>
      </c>
      <c r="B242" s="18">
        <v>2031</v>
      </c>
      <c r="C242" s="21">
        <f>SUMIFS(Annual_Cost!$Q$2:$Q$807,Annual_Cost!$A$2:$A$807,A242,Annual_Cost!$B$2:$B$807,B242)</f>
        <v>0</v>
      </c>
      <c r="D242" s="21">
        <f>SUMIFS(Annual_Cost!$R$2:$R$807,Annual_Cost!$A$2:$A$807,A242,Annual_Cost!$B$2:$B$807,B242)</f>
        <v>13827290.087139837</v>
      </c>
      <c r="E242" s="21">
        <f>SUMIFS(Annual_Cost!$S$2:$S$807,Annual_Cost!$A$2:$A$807,A242,Annual_Cost!$B$2:$B$807,B242)</f>
        <v>13827290.087139837</v>
      </c>
      <c r="F242" s="21">
        <f>SUMIFS(Annual_Cost!$W$2:$W$807,Annual_Cost!$A$2:$A$807,A242,Annual_Cost!$B$2:$B$807,B242)</f>
        <v>11580137.760577571</v>
      </c>
      <c r="G242" s="21">
        <f>SUMIFS($E$2:E242,$A$2:A242,A242)</f>
        <v>68218432.724399388</v>
      </c>
      <c r="H242" s="21">
        <f>SUMIFS($F$2:F242,$A$2:A242,A242)</f>
        <v>60765151.852840215</v>
      </c>
    </row>
    <row r="243" spans="1:8">
      <c r="A243" t="s">
        <v>261</v>
      </c>
      <c r="B243" s="18">
        <v>2032</v>
      </c>
      <c r="C243" s="21">
        <f>SUMIFS(Annual_Cost!$Q$2:$Q$807,Annual_Cost!$A$2:$A$807,A243,Annual_Cost!$B$2:$B$807,B243)</f>
        <v>0</v>
      </c>
      <c r="D243" s="21">
        <f>SUMIFS(Annual_Cost!$R$2:$R$807,Annual_Cost!$A$2:$A$807,A243,Annual_Cost!$B$2:$B$807,B243)</f>
        <v>13912467.220534181</v>
      </c>
      <c r="E243" s="21">
        <f>SUMIFS(Annual_Cost!$S$2:$S$807,Annual_Cost!$A$2:$A$807,A243,Annual_Cost!$B$2:$B$807,B243)</f>
        <v>13912467.220534181</v>
      </c>
      <c r="F243" s="21">
        <f>SUMIFS(Annual_Cost!$W$2:$W$807,Annual_Cost!$A$2:$A$807,A243,Annual_Cost!$B$2:$B$807,B243)</f>
        <v>11312108.998859007</v>
      </c>
      <c r="G243" s="21">
        <f>SUMIFS($E$2:E243,$A$2:A243,A243)</f>
        <v>82130899.944933563</v>
      </c>
      <c r="H243" s="21">
        <f>SUMIFS($F$2:F243,$A$2:A243,A243)</f>
        <v>72077260.851699218</v>
      </c>
    </row>
    <row r="244" spans="1:8">
      <c r="A244" t="s">
        <v>261</v>
      </c>
      <c r="B244" s="18">
        <v>2033</v>
      </c>
      <c r="C244" s="21">
        <f>SUMIFS(Annual_Cost!$Q$2:$Q$807,Annual_Cost!$A$2:$A$807,A244,Annual_Cost!$B$2:$B$807,B244)</f>
        <v>0</v>
      </c>
      <c r="D244" s="21">
        <f>SUMIFS(Annual_Cost!$R$2:$R$807,Annual_Cost!$A$2:$A$807,A244,Annual_Cost!$B$2:$B$807,B244)</f>
        <v>13996331.010755524</v>
      </c>
      <c r="E244" s="21">
        <f>SUMIFS(Annual_Cost!$S$2:$S$807,Annual_Cost!$A$2:$A$807,A244,Annual_Cost!$B$2:$B$807,B244)</f>
        <v>13996331.010755524</v>
      </c>
      <c r="F244" s="21">
        <f>SUMIFS(Annual_Cost!$W$2:$W$807,Annual_Cost!$A$2:$A$807,A244,Annual_Cost!$B$2:$B$807,B244)</f>
        <v>11048832.946404913</v>
      </c>
      <c r="G244" s="21">
        <f>SUMIFS($E$2:E244,$A$2:A244,A244)</f>
        <v>96127230.955689088</v>
      </c>
      <c r="H244" s="21">
        <f>SUMIFS($F$2:F244,$A$2:A244,A244)</f>
        <v>83126093.798104137</v>
      </c>
    </row>
    <row r="245" spans="1:8">
      <c r="A245" t="s">
        <v>261</v>
      </c>
      <c r="B245" s="18">
        <v>2034</v>
      </c>
      <c r="C245" s="21">
        <f>SUMIFS(Annual_Cost!$Q$2:$Q$807,Annual_Cost!$A$2:$A$807,A245,Annual_Cost!$B$2:$B$807,B245)</f>
        <v>0</v>
      </c>
      <c r="D245" s="21">
        <f>SUMIFS(Annual_Cost!$R$2:$R$807,Annual_Cost!$A$2:$A$807,A245,Annual_Cost!$B$2:$B$807,B245)</f>
        <v>14078256.322625808</v>
      </c>
      <c r="E245" s="21">
        <f>SUMIFS(Annual_Cost!$S$2:$S$807,Annual_Cost!$A$2:$A$807,A245,Annual_Cost!$B$2:$B$807,B245)</f>
        <v>14078256.322625808</v>
      </c>
      <c r="F245" s="21">
        <f>SUMIFS(Annual_Cost!$W$2:$W$807,Annual_Cost!$A$2:$A$807,A245,Annual_Cost!$B$2:$B$807,B245)</f>
        <v>10789811.207882877</v>
      </c>
      <c r="G245" s="21">
        <f>SUMIFS($E$2:E245,$A$2:A245,A245)</f>
        <v>110205487.27831489</v>
      </c>
      <c r="H245" s="21">
        <f>SUMIFS($F$2:F245,$A$2:A245,A245)</f>
        <v>93915905.005987018</v>
      </c>
    </row>
    <row r="246" spans="1:8">
      <c r="A246" t="s">
        <v>261</v>
      </c>
      <c r="B246" s="18">
        <v>2035</v>
      </c>
      <c r="C246" s="21">
        <f>SUMIFS(Annual_Cost!$Q$2:$Q$807,Annual_Cost!$A$2:$A$807,A246,Annual_Cost!$B$2:$B$807,B246)</f>
        <v>0</v>
      </c>
      <c r="D246" s="21">
        <f>SUMIFS(Annual_Cost!$R$2:$R$807,Annual_Cost!$A$2:$A$807,A246,Annual_Cost!$B$2:$B$807,B246)</f>
        <v>14157988.522989351</v>
      </c>
      <c r="E246" s="21">
        <f>SUMIFS(Annual_Cost!$S$2:$S$807,Annual_Cost!$A$2:$A$807,A246,Annual_Cost!$B$2:$B$807,B246)</f>
        <v>14157988.522989351</v>
      </c>
      <c r="F246" s="21">
        <f>SUMIFS(Annual_Cost!$W$2:$W$807,Annual_Cost!$A$2:$A$807,A246,Annual_Cost!$B$2:$B$807,B246)</f>
        <v>10534873.107134048</v>
      </c>
      <c r="G246" s="21">
        <f>SUMIFS($E$2:E246,$A$2:A246,A246)</f>
        <v>124363475.80130424</v>
      </c>
      <c r="H246" s="21">
        <f>SUMIFS($F$2:F246,$A$2:A246,A246)</f>
        <v>104450778.11312106</v>
      </c>
    </row>
    <row r="247" spans="1:8">
      <c r="A247" t="s">
        <v>261</v>
      </c>
      <c r="B247" s="18">
        <v>2036</v>
      </c>
      <c r="C247" s="21">
        <f>SUMIFS(Annual_Cost!$Q$2:$Q$807,Annual_Cost!$A$2:$A$807,A247,Annual_Cost!$B$2:$B$807,B247)</f>
        <v>0</v>
      </c>
      <c r="D247" s="21">
        <f>SUMIFS(Annual_Cost!$R$2:$R$807,Annual_Cost!$A$2:$A$807,A247,Annual_Cost!$B$2:$B$807,B247)</f>
        <v>14235680.800160313</v>
      </c>
      <c r="E247" s="21">
        <f>SUMIFS(Annual_Cost!$S$2:$S$807,Annual_Cost!$A$2:$A$807,A247,Annual_Cost!$B$2:$B$807,B247)</f>
        <v>14235680.800160313</v>
      </c>
      <c r="F247" s="21">
        <f>SUMIFS(Annual_Cost!$W$2:$W$807,Annual_Cost!$A$2:$A$807,A247,Annual_Cost!$B$2:$B$807,B247)</f>
        <v>10284158.696904304</v>
      </c>
      <c r="G247" s="21">
        <f>SUMIFS($E$2:E247,$A$2:A247,A247)</f>
        <v>138599156.60146454</v>
      </c>
      <c r="H247" s="21">
        <f>SUMIFS($F$2:F247,$A$2:A247,A247)</f>
        <v>114734936.81002536</v>
      </c>
    </row>
    <row r="248" spans="1:8">
      <c r="A248" t="s">
        <v>261</v>
      </c>
      <c r="B248" s="18">
        <v>2037</v>
      </c>
      <c r="C248" s="21">
        <f>SUMIFS(Annual_Cost!$Q$2:$Q$807,Annual_Cost!$A$2:$A$807,A248,Annual_Cost!$B$2:$B$807,B248)</f>
        <v>0</v>
      </c>
      <c r="D248" s="21">
        <f>SUMIFS(Annual_Cost!$R$2:$R$807,Annual_Cost!$A$2:$A$807,A248,Annual_Cost!$B$2:$B$807,B248)</f>
        <v>14311283.386664858</v>
      </c>
      <c r="E248" s="21">
        <f>SUMIFS(Annual_Cost!$S$2:$S$807,Annual_Cost!$A$2:$A$807,A248,Annual_Cost!$B$2:$B$807,B248)</f>
        <v>14311283.386664858</v>
      </c>
      <c r="F248" s="21">
        <f>SUMIFS(Annual_Cost!$W$2:$W$807,Annual_Cost!$A$2:$A$807,A248,Annual_Cost!$B$2:$B$807,B248)</f>
        <v>10037646.227146687</v>
      </c>
      <c r="G248" s="21">
        <f>SUMIFS($E$2:E248,$A$2:A248,A248)</f>
        <v>152910439.98812941</v>
      </c>
      <c r="H248" s="21">
        <f>SUMIFS($F$2:F248,$A$2:A248,A248)</f>
        <v>124772583.03717205</v>
      </c>
    </row>
    <row r="249" spans="1:8">
      <c r="A249" t="s">
        <v>261</v>
      </c>
      <c r="B249" s="18">
        <v>2038</v>
      </c>
      <c r="C249" s="21">
        <f>SUMIFS(Annual_Cost!$Q$2:$Q$807,Annual_Cost!$A$2:$A$807,A249,Annual_Cost!$B$2:$B$807,B249)</f>
        <v>0</v>
      </c>
      <c r="D249" s="21">
        <f>SUMIFS(Annual_Cost!$R$2:$R$807,Annual_Cost!$A$2:$A$807,A249,Annual_Cost!$B$2:$B$807,B249)</f>
        <v>14384535.247257207</v>
      </c>
      <c r="E249" s="21">
        <f>SUMIFS(Annual_Cost!$S$2:$S$807,Annual_Cost!$A$2:$A$807,A249,Annual_Cost!$B$2:$B$807,B249)</f>
        <v>14384535.247257207</v>
      </c>
      <c r="F249" s="21">
        <f>SUMIFS(Annual_Cost!$W$2:$W$807,Annual_Cost!$A$2:$A$807,A249,Annual_Cost!$B$2:$B$807,B249)</f>
        <v>9795168.5517988931</v>
      </c>
      <c r="G249" s="21">
        <f>SUMIFS($E$2:E249,$A$2:A249,A249)</f>
        <v>167294975.23538661</v>
      </c>
      <c r="H249" s="21">
        <f>SUMIFS($F$2:F249,$A$2:A249,A249)</f>
        <v>134567751.58897093</v>
      </c>
    </row>
    <row r="250" spans="1:8">
      <c r="A250" t="s">
        <v>261</v>
      </c>
      <c r="B250" s="18">
        <v>2039</v>
      </c>
      <c r="C250" s="21">
        <f>SUMIFS(Annual_Cost!$Q$2:$Q$807,Annual_Cost!$A$2:$A$807,A250,Annual_Cost!$B$2:$B$807,B250)</f>
        <v>0</v>
      </c>
      <c r="D250" s="21">
        <f>SUMIFS(Annual_Cost!$R$2:$R$807,Annual_Cost!$A$2:$A$807,A250,Annual_Cost!$B$2:$B$807,B250)</f>
        <v>14455368.25040251</v>
      </c>
      <c r="E250" s="21">
        <f>SUMIFS(Annual_Cost!$S$2:$S$807,Annual_Cost!$A$2:$A$807,A250,Annual_Cost!$B$2:$B$807,B250)</f>
        <v>14455368.25040251</v>
      </c>
      <c r="F250" s="21">
        <f>SUMIFS(Annual_Cost!$W$2:$W$807,Annual_Cost!$A$2:$A$807,A250,Annual_Cost!$B$2:$B$807,B250)</f>
        <v>9556701.3400062397</v>
      </c>
      <c r="G250" s="21">
        <f>SUMIFS($E$2:E250,$A$2:A250,A250)</f>
        <v>181750343.48578912</v>
      </c>
      <c r="H250" s="21">
        <f>SUMIFS($F$2:F250,$A$2:A250,A250)</f>
        <v>144124452.92897716</v>
      </c>
    </row>
    <row r="251" spans="1:8">
      <c r="A251" t="s">
        <v>261</v>
      </c>
      <c r="B251" s="18">
        <v>2040</v>
      </c>
      <c r="C251" s="21">
        <f>SUMIFS(Annual_Cost!$Q$2:$Q$807,Annual_Cost!$A$2:$A$807,A251,Annual_Cost!$B$2:$B$807,B251)</f>
        <v>0</v>
      </c>
      <c r="D251" s="21">
        <f>SUMIFS(Annual_Cost!$R$2:$R$807,Annual_Cost!$A$2:$A$807,A251,Annual_Cost!$B$2:$B$807,B251)</f>
        <v>14523383.342151616</v>
      </c>
      <c r="E251" s="21">
        <f>SUMIFS(Annual_Cost!$S$2:$S$807,Annual_Cost!$A$2:$A$807,A251,Annual_Cost!$B$2:$B$807,B251)</f>
        <v>14523383.342151616</v>
      </c>
      <c r="F251" s="21">
        <f>SUMIFS(Annual_Cost!$W$2:$W$807,Annual_Cost!$A$2:$A$807,A251,Annual_Cost!$B$2:$B$807,B251)</f>
        <v>9322007.1147824861</v>
      </c>
      <c r="G251" s="21">
        <f>SUMIFS($E$2:E251,$A$2:A251,A251)</f>
        <v>196273726.82794073</v>
      </c>
      <c r="H251" s="21">
        <f>SUMIFS($F$2:F251,$A$2:A251,A251)</f>
        <v>153446460.04375964</v>
      </c>
    </row>
    <row r="252" spans="1:8">
      <c r="A252" t="s">
        <v>261</v>
      </c>
      <c r="B252" s="18">
        <v>2041</v>
      </c>
      <c r="C252" s="21">
        <f>SUMIFS(Annual_Cost!$Q$2:$Q$807,Annual_Cost!$A$2:$A$807,A252,Annual_Cost!$B$2:$B$807,B252)</f>
        <v>0</v>
      </c>
      <c r="D252" s="21">
        <f>SUMIFS(Annual_Cost!$R$2:$R$807,Annual_Cost!$A$2:$A$807,A252,Annual_Cost!$B$2:$B$807,B252)</f>
        <v>14588764.728685871</v>
      </c>
      <c r="E252" s="21">
        <f>SUMIFS(Annual_Cost!$S$2:$S$807,Annual_Cost!$A$2:$A$807,A252,Annual_Cost!$B$2:$B$807,B252)</f>
        <v>14588764.728685871</v>
      </c>
      <c r="F252" s="21">
        <f>SUMIFS(Annual_Cost!$W$2:$W$807,Annual_Cost!$A$2:$A$807,A252,Annual_Cost!$B$2:$B$807,B252)</f>
        <v>9091235.8629775345</v>
      </c>
      <c r="G252" s="21">
        <f>SUMIFS($E$2:E252,$A$2:A252,A252)</f>
        <v>210862491.55662662</v>
      </c>
      <c r="H252" s="21">
        <f>SUMIFS($F$2:F252,$A$2:A252,A252)</f>
        <v>162537695.90673718</v>
      </c>
    </row>
    <row r="253" spans="1:8">
      <c r="A253" t="s">
        <v>261</v>
      </c>
      <c r="B253" s="18">
        <v>2042</v>
      </c>
      <c r="C253" s="21">
        <f>SUMIFS(Annual_Cost!$Q$2:$Q$807,Annual_Cost!$A$2:$A$807,A253,Annual_Cost!$B$2:$B$807,B253)</f>
        <v>0</v>
      </c>
      <c r="D253" s="21">
        <f>SUMIFS(Annual_Cost!$R$2:$R$807,Annual_Cost!$A$2:$A$807,A253,Annual_Cost!$B$2:$B$807,B253)</f>
        <v>14651282.798550785</v>
      </c>
      <c r="E253" s="21">
        <f>SUMIFS(Annual_Cost!$S$2:$S$807,Annual_Cost!$A$2:$A$807,A253,Annual_Cost!$B$2:$B$807,B253)</f>
        <v>14651282.798550785</v>
      </c>
      <c r="F253" s="21">
        <f>SUMIFS(Annual_Cost!$W$2:$W$807,Annual_Cost!$A$2:$A$807,A253,Annual_Cost!$B$2:$B$807,B253)</f>
        <v>8864267.0458458271</v>
      </c>
      <c r="G253" s="21">
        <f>SUMIFS($E$2:E253,$A$2:A253,A253)</f>
        <v>225513774.3551774</v>
      </c>
      <c r="H253" s="21">
        <f>SUMIFS($F$2:F253,$A$2:A253,A253)</f>
        <v>171401962.95258301</v>
      </c>
    </row>
    <row r="254" spans="1:8">
      <c r="A254" t="s">
        <v>261</v>
      </c>
      <c r="B254" s="18">
        <v>2043</v>
      </c>
      <c r="C254" s="21">
        <f>SUMIFS(Annual_Cost!$Q$2:$Q$807,Annual_Cost!$A$2:$A$807,A254,Annual_Cost!$B$2:$B$807,B254)</f>
        <v>0</v>
      </c>
      <c r="D254" s="21">
        <f>SUMIFS(Annual_Cost!$R$2:$R$807,Annual_Cost!$A$2:$A$807,A254,Annual_Cost!$B$2:$B$807,B254)</f>
        <v>14711195.90062434</v>
      </c>
      <c r="E254" s="21">
        <f>SUMIFS(Annual_Cost!$S$2:$S$807,Annual_Cost!$A$2:$A$807,A254,Annual_Cost!$B$2:$B$807,B254)</f>
        <v>14711195.90062434</v>
      </c>
      <c r="F254" s="21">
        <f>SUMIFS(Annual_Cost!$W$2:$W$807,Annual_Cost!$A$2:$A$807,A254,Annual_Cost!$B$2:$B$807,B254)</f>
        <v>8641277.1436135024</v>
      </c>
      <c r="G254" s="21">
        <f>SUMIFS($E$2:E254,$A$2:A254,A254)</f>
        <v>240224970.25580174</v>
      </c>
      <c r="H254" s="21">
        <f>SUMIFS($F$2:F254,$A$2:A254,A254)</f>
        <v>180043240.09619653</v>
      </c>
    </row>
    <row r="255" spans="1:8">
      <c r="A255" t="s">
        <v>261</v>
      </c>
      <c r="B255" s="18">
        <v>2044</v>
      </c>
      <c r="C255" s="21">
        <f>SUMIFS(Annual_Cost!$Q$2:$Q$807,Annual_Cost!$A$2:$A$807,A255,Annual_Cost!$B$2:$B$807,B255)</f>
        <v>0</v>
      </c>
      <c r="D255" s="21">
        <f>SUMIFS(Annual_Cost!$R$2:$R$807,Annual_Cost!$A$2:$A$807,A255,Annual_Cost!$B$2:$B$807,B255)</f>
        <v>14767936.932125133</v>
      </c>
      <c r="E255" s="21">
        <f>SUMIFS(Annual_Cost!$S$2:$S$807,Annual_Cost!$A$2:$A$807,A255,Annual_Cost!$B$2:$B$807,B255)</f>
        <v>14767936.932125133</v>
      </c>
      <c r="F255" s="21">
        <f>SUMIFS(Annual_Cost!$W$2:$W$807,Annual_Cost!$A$2:$A$807,A255,Annual_Cost!$B$2:$B$807,B255)</f>
        <v>8421948.0772307292</v>
      </c>
      <c r="G255" s="21">
        <f>SUMIFS($E$2:E255,$A$2:A255,A255)</f>
        <v>254992907.18792686</v>
      </c>
      <c r="H255" s="21">
        <f>SUMIFS($F$2:F255,$A$2:A255,A255)</f>
        <v>188465188.17342725</v>
      </c>
    </row>
    <row r="256" spans="1:8">
      <c r="A256" t="s">
        <v>261</v>
      </c>
      <c r="B256" s="18">
        <v>2045</v>
      </c>
      <c r="C256" s="21">
        <f>SUMIFS(Annual_Cost!$Q$2:$Q$807,Annual_Cost!$A$2:$A$807,A256,Annual_Cost!$B$2:$B$807,B256)</f>
        <v>0</v>
      </c>
      <c r="D256" s="21">
        <f>SUMIFS(Annual_Cost!$R$2:$R$807,Annual_Cost!$A$2:$A$807,A256,Annual_Cost!$B$2:$B$807,B256)</f>
        <v>14821568.164912023</v>
      </c>
      <c r="E256" s="21">
        <f>SUMIFS(Annual_Cost!$S$2:$S$807,Annual_Cost!$A$2:$A$807,A256,Annual_Cost!$B$2:$B$807,B256)</f>
        <v>14821568.164912023</v>
      </c>
      <c r="F256" s="21">
        <f>SUMIFS(Annual_Cost!$W$2:$W$807,Annual_Cost!$A$2:$A$807,A256,Annual_Cost!$B$2:$B$807,B256)</f>
        <v>8206342.9319318384</v>
      </c>
      <c r="G256" s="21">
        <f>SUMIFS($E$2:E256,$A$2:A256,A256)</f>
        <v>269814475.35283887</v>
      </c>
      <c r="H256" s="21">
        <f>SUMIFS($F$2:F256,$A$2:A256,A256)</f>
        <v>196671531.10535908</v>
      </c>
    </row>
    <row r="257" spans="1:8">
      <c r="A257" t="s">
        <v>261</v>
      </c>
      <c r="B257" s="18">
        <v>2046</v>
      </c>
      <c r="C257" s="21">
        <f>SUMIFS(Annual_Cost!$Q$2:$Q$807,Annual_Cost!$A$2:$A$807,A257,Annual_Cost!$B$2:$B$807,B257)</f>
        <v>0</v>
      </c>
      <c r="D257" s="21">
        <f>SUMIFS(Annual_Cost!$R$2:$R$807,Annual_Cost!$A$2:$A$807,A257,Annual_Cost!$B$2:$B$807,B257)</f>
        <v>14872150.873130146</v>
      </c>
      <c r="E257" s="21">
        <f>SUMIFS(Annual_Cost!$S$2:$S$807,Annual_Cost!$A$2:$A$807,A257,Annual_Cost!$B$2:$B$807,B257)</f>
        <v>14872150.873130146</v>
      </c>
      <c r="F257" s="21">
        <f>SUMIFS(Annual_Cost!$W$2:$W$807,Annual_Cost!$A$2:$A$807,A257,Annual_Cost!$B$2:$B$807,B257)</f>
        <v>7994513.9330614507</v>
      </c>
      <c r="G257" s="21">
        <f>SUMIFS($E$2:E257,$A$2:A257,A257)</f>
        <v>284686626.22596902</v>
      </c>
      <c r="H257" s="21">
        <f>SUMIFS($F$2:F257,$A$2:A257,A257)</f>
        <v>204666045.03842053</v>
      </c>
    </row>
    <row r="258" spans="1:8">
      <c r="A258" t="s">
        <v>261</v>
      </c>
      <c r="B258" s="18">
        <v>2047</v>
      </c>
      <c r="C258" s="21">
        <f>SUMIFS(Annual_Cost!$Q$2:$Q$807,Annual_Cost!$A$2:$A$807,A258,Annual_Cost!$B$2:$B$807,B258)</f>
        <v>0</v>
      </c>
      <c r="D258" s="21">
        <f>SUMIFS(Annual_Cost!$R$2:$R$807,Annual_Cost!$A$2:$A$807,A258,Annual_Cost!$B$2:$B$807,B258)</f>
        <v>14919791.139636446</v>
      </c>
      <c r="E258" s="21">
        <f>SUMIFS(Annual_Cost!$S$2:$S$807,Annual_Cost!$A$2:$A$807,A258,Annual_Cost!$B$2:$B$807,B258)</f>
        <v>14919791.139636446</v>
      </c>
      <c r="F258" s="21">
        <f>SUMIFS(Annual_Cost!$W$2:$W$807,Annual_Cost!$A$2:$A$807,A258,Annual_Cost!$B$2:$B$807,B258)</f>
        <v>7786527.110510705</v>
      </c>
      <c r="G258" s="21">
        <f>SUMIFS($E$2:E258,$A$2:A258,A258)</f>
        <v>299606417.36560547</v>
      </c>
      <c r="H258" s="21">
        <f>SUMIFS($F$2:F258,$A$2:A258,A258)</f>
        <v>212452572.14893124</v>
      </c>
    </row>
    <row r="259" spans="1:8">
      <c r="A259" t="s">
        <v>261</v>
      </c>
      <c r="B259" s="18">
        <v>2048</v>
      </c>
      <c r="C259" s="21">
        <f>SUMIFS(Annual_Cost!$Q$2:$Q$807,Annual_Cost!$A$2:$A$807,A259,Annual_Cost!$B$2:$B$807,B259)</f>
        <v>0</v>
      </c>
      <c r="D259" s="21">
        <f>SUMIFS(Annual_Cost!$R$2:$R$807,Annual_Cost!$A$2:$A$807,A259,Annual_Cost!$B$2:$B$807,B259)</f>
        <v>14964494.494100776</v>
      </c>
      <c r="E259" s="21">
        <f>SUMIFS(Annual_Cost!$S$2:$S$807,Annual_Cost!$A$2:$A$807,A259,Annual_Cost!$B$2:$B$807,B259)</f>
        <v>14964494.494100776</v>
      </c>
      <c r="F259" s="21">
        <f>SUMIFS(Annual_Cost!$W$2:$W$807,Annual_Cost!$A$2:$A$807,A259,Annual_Cost!$B$2:$B$807,B259)</f>
        <v>7582385.879582461</v>
      </c>
      <c r="G259" s="21">
        <f>SUMIFS($E$2:E259,$A$2:A259,A259)</f>
        <v>314570911.85970622</v>
      </c>
      <c r="H259" s="21">
        <f>SUMIFS($F$2:F259,$A$2:A259,A259)</f>
        <v>220034958.0285137</v>
      </c>
    </row>
    <row r="260" spans="1:8">
      <c r="A260" t="s">
        <v>261</v>
      </c>
      <c r="B260" s="18">
        <v>2049</v>
      </c>
      <c r="C260" s="21">
        <f>SUMIFS(Annual_Cost!$Q$2:$Q$807,Annual_Cost!$A$2:$A$807,A260,Annual_Cost!$B$2:$B$807,B260)</f>
        <v>0</v>
      </c>
      <c r="D260" s="21">
        <f>SUMIFS(Annual_Cost!$R$2:$R$807,Annual_Cost!$A$2:$A$807,A260,Annual_Cost!$B$2:$B$807,B260)</f>
        <v>15005370.82813327</v>
      </c>
      <c r="E260" s="21">
        <f>SUMIFS(Annual_Cost!$S$2:$S$807,Annual_Cost!$A$2:$A$807,A260,Annual_Cost!$B$2:$B$807,B260)</f>
        <v>15005370.82813327</v>
      </c>
      <c r="F260" s="21">
        <f>SUMIFS(Annual_Cost!$W$2:$W$807,Annual_Cost!$A$2:$A$807,A260,Annual_Cost!$B$2:$B$807,B260)</f>
        <v>7381648.1366434786</v>
      </c>
      <c r="G260" s="21">
        <f>SUMIFS($E$2:E260,$A$2:A260,A260)</f>
        <v>329576282.68783951</v>
      </c>
      <c r="H260" s="21">
        <f>SUMIFS($F$2:F260,$A$2:A260,A260)</f>
        <v>227416606.16515717</v>
      </c>
    </row>
    <row r="261" spans="1:8">
      <c r="A261" t="s">
        <v>261</v>
      </c>
      <c r="B261" s="18">
        <v>2050</v>
      </c>
      <c r="C261" s="21">
        <f>SUMIFS(Annual_Cost!$Q$2:$Q$807,Annual_Cost!$A$2:$A$807,A261,Annual_Cost!$B$2:$B$807,B261)</f>
        <v>0</v>
      </c>
      <c r="D261" s="21">
        <f>SUMIFS(Annual_Cost!$R$2:$R$807,Annual_Cost!$A$2:$A$807,A261,Annual_Cost!$B$2:$B$807,B261)</f>
        <v>15043894.5948653</v>
      </c>
      <c r="E261" s="21">
        <f>SUMIFS(Annual_Cost!$S$2:$S$807,Annual_Cost!$A$2:$A$807,A261,Annual_Cost!$B$2:$B$807,B261)</f>
        <v>15043894.5948653</v>
      </c>
      <c r="F261" s="21">
        <f>SUMIFS(Annual_Cost!$W$2:$W$807,Annual_Cost!$A$2:$A$807,A261,Annual_Cost!$B$2:$B$807,B261)</f>
        <v>7185047.8418930462</v>
      </c>
      <c r="G261" s="21">
        <f>SUMIFS($E$2:E261,$A$2:A261,A261)</f>
        <v>344620177.28270483</v>
      </c>
      <c r="H261" s="21">
        <f>SUMIFS($F$2:F261,$A$2:A261,A261)</f>
        <v>234601654.00705022</v>
      </c>
    </row>
    <row r="262" spans="1:8">
      <c r="A262" t="s">
        <v>247</v>
      </c>
      <c r="B262" s="18">
        <v>2025</v>
      </c>
      <c r="C262" s="21">
        <f>SUMIFS(Annual_Cost!$Q$2:$Q$807,Annual_Cost!$A$2:$A$807,A262,Annual_Cost!$B$2:$B$807,B262)</f>
        <v>0</v>
      </c>
      <c r="D262" s="21">
        <f>SUMIFS(Annual_Cost!$R$2:$R$807,Annual_Cost!$A$2:$A$807,A262,Annual_Cost!$B$2:$B$807,B262)</f>
        <v>0</v>
      </c>
      <c r="E262" s="21">
        <f>SUMIFS(Annual_Cost!$S$2:$S$807,Annual_Cost!$A$2:$A$807,A262,Annual_Cost!$B$2:$B$807,B262)</f>
        <v>0</v>
      </c>
      <c r="F262" s="21">
        <f>SUMIFS(Annual_Cost!$W$2:$W$807,Annual_Cost!$A$2:$A$807,A262,Annual_Cost!$B$2:$B$807,B262)</f>
        <v>0</v>
      </c>
      <c r="G262" s="21">
        <f>SUMIFS($E$2:E262,$A$2:A262,A262)</f>
        <v>0</v>
      </c>
      <c r="H262" s="21">
        <f>SUMIFS($F$2:F262,$A$2:A262,A262)</f>
        <v>0</v>
      </c>
    </row>
    <row r="263" spans="1:8">
      <c r="A263" t="s">
        <v>247</v>
      </c>
      <c r="B263" s="18">
        <v>2026</v>
      </c>
      <c r="C263" s="21">
        <f>SUMIFS(Annual_Cost!$Q$2:$Q$807,Annual_Cost!$A$2:$A$807,A263,Annual_Cost!$B$2:$B$807,B263)</f>
        <v>0</v>
      </c>
      <c r="D263" s="21">
        <f>SUMIFS(Annual_Cost!$R$2:$R$807,Annual_Cost!$A$2:$A$807,A263,Annual_Cost!$B$2:$B$807,B263)</f>
        <v>772358.19643106125</v>
      </c>
      <c r="E263" s="21">
        <f>SUMIFS(Annual_Cost!$S$2:$S$807,Annual_Cost!$A$2:$A$807,A263,Annual_Cost!$B$2:$B$807,B263)</f>
        <v>772358.19643106125</v>
      </c>
      <c r="F263" s="21">
        <f>SUMIFS(Annual_Cost!$W$2:$W$807,Annual_Cost!$A$2:$A$807,A263,Annual_Cost!$B$2:$B$807,B263)</f>
        <v>749862.32663209829</v>
      </c>
      <c r="G263" s="21">
        <f>SUMIFS($E$2:E263,$A$2:A263,A263)</f>
        <v>772358.19643106125</v>
      </c>
      <c r="H263" s="21">
        <f>SUMIFS($F$2:F263,$A$2:A263,A263)</f>
        <v>749862.32663209829</v>
      </c>
    </row>
    <row r="264" spans="1:8">
      <c r="A264" t="s">
        <v>247</v>
      </c>
      <c r="B264" s="18">
        <v>2027</v>
      </c>
      <c r="C264" s="21">
        <f>SUMIFS(Annual_Cost!$Q$2:$Q$807,Annual_Cost!$A$2:$A$807,A264,Annual_Cost!$B$2:$B$807,B264)</f>
        <v>0</v>
      </c>
      <c r="D264" s="21">
        <f>SUMIFS(Annual_Cost!$R$2:$R$807,Annual_Cost!$A$2:$A$807,A264,Annual_Cost!$B$2:$B$807,B264)</f>
        <v>1554770.7047638826</v>
      </c>
      <c r="E264" s="21">
        <f>SUMIFS(Annual_Cost!$S$2:$S$807,Annual_Cost!$A$2:$A$807,A264,Annual_Cost!$B$2:$B$807,B264)</f>
        <v>1554770.7047638826</v>
      </c>
      <c r="F264" s="21">
        <f>SUMIFS(Annual_Cost!$W$2:$W$807,Annual_Cost!$A$2:$A$807,A264,Annual_Cost!$B$2:$B$807,B264)</f>
        <v>1465520.50595144</v>
      </c>
      <c r="G264" s="21">
        <f>SUMIFS($E$2:E264,$A$2:A264,A264)</f>
        <v>2327128.901194944</v>
      </c>
      <c r="H264" s="21">
        <f>SUMIFS($F$2:F264,$A$2:A264,A264)</f>
        <v>2215382.8325835383</v>
      </c>
    </row>
    <row r="265" spans="1:8">
      <c r="A265" t="s">
        <v>247</v>
      </c>
      <c r="B265" s="18">
        <v>2028</v>
      </c>
      <c r="C265" s="21">
        <f>SUMIFS(Annual_Cost!$Q$2:$Q$807,Annual_Cost!$A$2:$A$807,A265,Annual_Cost!$B$2:$B$807,B265)</f>
        <v>0</v>
      </c>
      <c r="D265" s="21">
        <f>SUMIFS(Annual_Cost!$R$2:$R$807,Annual_Cost!$A$2:$A$807,A265,Annual_Cost!$B$2:$B$807,B265)</f>
        <v>2348140.465029852</v>
      </c>
      <c r="E265" s="21">
        <f>SUMIFS(Annual_Cost!$S$2:$S$807,Annual_Cost!$A$2:$A$807,A265,Annual_Cost!$B$2:$B$807,B265)</f>
        <v>2348140.465029852</v>
      </c>
      <c r="F265" s="21">
        <f>SUMIFS(Annual_Cost!$W$2:$W$807,Annual_Cost!$A$2:$A$807,A265,Annual_Cost!$B$2:$B$807,B265)</f>
        <v>2148881.1615617187</v>
      </c>
      <c r="G265" s="21">
        <f>SUMIFS($E$2:E265,$A$2:A265,A265)</f>
        <v>4675269.3662247956</v>
      </c>
      <c r="H265" s="21">
        <f>SUMIFS($F$2:F265,$A$2:A265,A265)</f>
        <v>4364263.9941452574</v>
      </c>
    </row>
    <row r="266" spans="1:8">
      <c r="A266" t="s">
        <v>247</v>
      </c>
      <c r="B266" s="18">
        <v>2029</v>
      </c>
      <c r="C266" s="21">
        <f>SUMIFS(Annual_Cost!$Q$2:$Q$807,Annual_Cost!$A$2:$A$807,A266,Annual_Cost!$B$2:$B$807,B266)</f>
        <v>0</v>
      </c>
      <c r="D266" s="21">
        <f>SUMIFS(Annual_Cost!$R$2:$R$807,Annual_Cost!$A$2:$A$807,A266,Annual_Cost!$B$2:$B$807,B266)</f>
        <v>2363875.1144735077</v>
      </c>
      <c r="E266" s="21">
        <f>SUMIFS(Annual_Cost!$S$2:$S$807,Annual_Cost!$A$2:$A$807,A266,Annual_Cost!$B$2:$B$807,B266)</f>
        <v>2363875.1144735077</v>
      </c>
      <c r="F266" s="21">
        <f>SUMIFS(Annual_Cost!$W$2:$W$807,Annual_Cost!$A$2:$A$807,A266,Annual_Cost!$B$2:$B$807,B266)</f>
        <v>2100272.4220999284</v>
      </c>
      <c r="G266" s="21">
        <f>SUMIFS($E$2:E266,$A$2:A266,A266)</f>
        <v>7039144.4806983033</v>
      </c>
      <c r="H266" s="21">
        <f>SUMIFS($F$2:F266,$A$2:A266,A266)</f>
        <v>6464536.4162451858</v>
      </c>
    </row>
    <row r="267" spans="1:8">
      <c r="A267" t="s">
        <v>247</v>
      </c>
      <c r="B267" s="18">
        <v>2030</v>
      </c>
      <c r="C267" s="21">
        <f>SUMIFS(Annual_Cost!$Q$2:$Q$807,Annual_Cost!$A$2:$A$807,A267,Annual_Cost!$B$2:$B$807,B267)</f>
        <v>0</v>
      </c>
      <c r="D267" s="21">
        <f>SUMIFS(Annual_Cost!$R$2:$R$807,Annual_Cost!$A$2:$A$807,A267,Annual_Cost!$B$2:$B$807,B267)</f>
        <v>2379242.1605200162</v>
      </c>
      <c r="E267" s="21">
        <f>SUMIFS(Annual_Cost!$S$2:$S$807,Annual_Cost!$A$2:$A$807,A267,Annual_Cost!$B$2:$B$807,B267)</f>
        <v>2379242.1605200162</v>
      </c>
      <c r="F267" s="21">
        <f>SUMIFS(Annual_Cost!$W$2:$W$807,Annual_Cost!$A$2:$A$807,A267,Annual_Cost!$B$2:$B$807,B267)</f>
        <v>2052355.1878417234</v>
      </c>
      <c r="G267" s="21">
        <f>SUMIFS($E$2:E267,$A$2:A267,A267)</f>
        <v>9418386.6412183195</v>
      </c>
      <c r="H267" s="21">
        <f>SUMIFS($F$2:F267,$A$2:A267,A267)</f>
        <v>8516891.6040869094</v>
      </c>
    </row>
    <row r="268" spans="1:8">
      <c r="A268" t="s">
        <v>247</v>
      </c>
      <c r="B268" s="18">
        <v>2031</v>
      </c>
      <c r="C268" s="21">
        <f>SUMIFS(Annual_Cost!$Q$2:$Q$807,Annual_Cost!$A$2:$A$807,A268,Annual_Cost!$B$2:$B$807,B268)</f>
        <v>0</v>
      </c>
      <c r="D268" s="21">
        <f>SUMIFS(Annual_Cost!$R$2:$R$807,Annual_Cost!$A$2:$A$807,A268,Annual_Cost!$B$2:$B$807,B268)</f>
        <v>2394281.2228189404</v>
      </c>
      <c r="E268" s="21">
        <f>SUMIFS(Annual_Cost!$S$2:$S$807,Annual_Cost!$A$2:$A$807,A268,Annual_Cost!$B$2:$B$807,B268)</f>
        <v>2394281.2228189404</v>
      </c>
      <c r="F268" s="21">
        <f>SUMIFS(Annual_Cost!$W$2:$W$807,Annual_Cost!$A$2:$A$807,A268,Annual_Cost!$B$2:$B$807,B268)</f>
        <v>2005172.8301841517</v>
      </c>
      <c r="G268" s="21">
        <f>SUMIFS($E$2:E268,$A$2:A268,A268)</f>
        <v>11812667.86403726</v>
      </c>
      <c r="H268" s="21">
        <f>SUMIFS($F$2:F268,$A$2:A268,A268)</f>
        <v>10522064.434271062</v>
      </c>
    </row>
    <row r="269" spans="1:8">
      <c r="A269" t="s">
        <v>247</v>
      </c>
      <c r="B269" s="18">
        <v>2032</v>
      </c>
      <c r="C269" s="21">
        <f>SUMIFS(Annual_Cost!$Q$2:$Q$807,Annual_Cost!$A$2:$A$807,A269,Annual_Cost!$B$2:$B$807,B269)</f>
        <v>0</v>
      </c>
      <c r="D269" s="21">
        <f>SUMIFS(Annual_Cost!$R$2:$R$807,Annual_Cost!$A$2:$A$807,A269,Annual_Cost!$B$2:$B$807,B269)</f>
        <v>2409107.1160911722</v>
      </c>
      <c r="E269" s="21">
        <f>SUMIFS(Annual_Cost!$S$2:$S$807,Annual_Cost!$A$2:$A$807,A269,Annual_Cost!$B$2:$B$807,B269)</f>
        <v>2409107.1160911722</v>
      </c>
      <c r="F269" s="21">
        <f>SUMIFS(Annual_Cost!$W$2:$W$807,Annual_Cost!$A$2:$A$807,A269,Annual_Cost!$B$2:$B$807,B269)</f>
        <v>1958824.5460105997</v>
      </c>
      <c r="G269" s="21">
        <f>SUMIFS($E$2:E269,$A$2:A269,A269)</f>
        <v>14221774.980128434</v>
      </c>
      <c r="H269" s="21">
        <f>SUMIFS($F$2:F269,$A$2:A269,A269)</f>
        <v>12480888.980281662</v>
      </c>
    </row>
    <row r="270" spans="1:8">
      <c r="A270" t="s">
        <v>247</v>
      </c>
      <c r="B270" s="18">
        <v>2033</v>
      </c>
      <c r="C270" s="21">
        <f>SUMIFS(Annual_Cost!$Q$2:$Q$807,Annual_Cost!$A$2:$A$807,A270,Annual_Cost!$B$2:$B$807,B270)</f>
        <v>0</v>
      </c>
      <c r="D270" s="21">
        <f>SUMIFS(Annual_Cost!$R$2:$R$807,Annual_Cost!$A$2:$A$807,A270,Annual_Cost!$B$2:$B$807,B270)</f>
        <v>2423642.2762071802</v>
      </c>
      <c r="E270" s="21">
        <f>SUMIFS(Annual_Cost!$S$2:$S$807,Annual_Cost!$A$2:$A$807,A270,Annual_Cost!$B$2:$B$807,B270)</f>
        <v>2423642.2762071802</v>
      </c>
      <c r="F270" s="21">
        <f>SUMIFS(Annual_Cost!$W$2:$W$807,Annual_Cost!$A$2:$A$807,A270,Annual_Cost!$B$2:$B$807,B270)</f>
        <v>1913245.5935115945</v>
      </c>
      <c r="G270" s="21">
        <f>SUMIFS($E$2:E270,$A$2:A270,A270)</f>
        <v>16645417.256335614</v>
      </c>
      <c r="H270" s="21">
        <f>SUMIFS($F$2:F270,$A$2:A270,A270)</f>
        <v>14394134.573793257</v>
      </c>
    </row>
    <row r="271" spans="1:8">
      <c r="A271" t="s">
        <v>247</v>
      </c>
      <c r="B271" s="18">
        <v>2034</v>
      </c>
      <c r="C271" s="21">
        <f>SUMIFS(Annual_Cost!$Q$2:$Q$807,Annual_Cost!$A$2:$A$807,A271,Annual_Cost!$B$2:$B$807,B271)</f>
        <v>0</v>
      </c>
      <c r="D271" s="21">
        <f>SUMIFS(Annual_Cost!$R$2:$R$807,Annual_Cost!$A$2:$A$807,A271,Annual_Cost!$B$2:$B$807,B271)</f>
        <v>2437845.4001197079</v>
      </c>
      <c r="E271" s="21">
        <f>SUMIFS(Annual_Cost!$S$2:$S$807,Annual_Cost!$A$2:$A$807,A271,Annual_Cost!$B$2:$B$807,B271)</f>
        <v>2437845.4001197079</v>
      </c>
      <c r="F271" s="21">
        <f>SUMIFS(Annual_Cost!$W$2:$W$807,Annual_Cost!$A$2:$A$807,A271,Annual_Cost!$B$2:$B$807,B271)</f>
        <v>1868405.5055186884</v>
      </c>
      <c r="G271" s="21">
        <f>SUMIFS($E$2:E271,$A$2:A271,A271)</f>
        <v>19083262.656455323</v>
      </c>
      <c r="H271" s="21">
        <f>SUMIFS($F$2:F271,$A$2:A271,A271)</f>
        <v>16262540.079311945</v>
      </c>
    </row>
    <row r="272" spans="1:8">
      <c r="A272" t="s">
        <v>247</v>
      </c>
      <c r="B272" s="18">
        <v>2035</v>
      </c>
      <c r="C272" s="21">
        <f>SUMIFS(Annual_Cost!$Q$2:$Q$807,Annual_Cost!$A$2:$A$807,A272,Annual_Cost!$B$2:$B$807,B272)</f>
        <v>0</v>
      </c>
      <c r="D272" s="21">
        <f>SUMIFS(Annual_Cost!$R$2:$R$807,Annual_Cost!$A$2:$A$807,A272,Annual_Cost!$B$2:$B$807,B272)</f>
        <v>2451672.5258896244</v>
      </c>
      <c r="E272" s="21">
        <f>SUMIFS(Annual_Cost!$S$2:$S$807,Annual_Cost!$A$2:$A$807,A272,Annual_Cost!$B$2:$B$807,B272)</f>
        <v>2451672.5258896244</v>
      </c>
      <c r="F272" s="21">
        <f>SUMIFS(Annual_Cost!$W$2:$W$807,Annual_Cost!$A$2:$A$807,A272,Annual_Cost!$B$2:$B$807,B272)</f>
        <v>1824274.6078339533</v>
      </c>
      <c r="G272" s="21">
        <f>SUMIFS($E$2:E272,$A$2:A272,A272)</f>
        <v>21534935.182344947</v>
      </c>
      <c r="H272" s="21">
        <f>SUMIFS($F$2:F272,$A$2:A272,A272)</f>
        <v>18086814.687145896</v>
      </c>
    </row>
    <row r="273" spans="1:8">
      <c r="A273" t="s">
        <v>247</v>
      </c>
      <c r="B273" s="18">
        <v>2036</v>
      </c>
      <c r="C273" s="21">
        <f>SUMIFS(Annual_Cost!$Q$2:$Q$807,Annual_Cost!$A$2:$A$807,A273,Annual_Cost!$B$2:$B$807,B273)</f>
        <v>0</v>
      </c>
      <c r="D273" s="21">
        <f>SUMIFS(Annual_Cost!$R$2:$R$807,Annual_Cost!$A$2:$A$807,A273,Annual_Cost!$B$2:$B$807,B273)</f>
        <v>2465150.2643241282</v>
      </c>
      <c r="E273" s="21">
        <f>SUMIFS(Annual_Cost!$S$2:$S$807,Annual_Cost!$A$2:$A$807,A273,Annual_Cost!$B$2:$B$807,B273)</f>
        <v>2465150.2643241282</v>
      </c>
      <c r="F273" s="21">
        <f>SUMIFS(Annual_Cost!$W$2:$W$807,Annual_Cost!$A$2:$A$807,A273,Annual_Cost!$B$2:$B$807,B273)</f>
        <v>1780877.0009608131</v>
      </c>
      <c r="G273" s="21">
        <f>SUMIFS($E$2:E273,$A$2:A273,A273)</f>
        <v>24000085.446669076</v>
      </c>
      <c r="H273" s="21">
        <f>SUMIFS($F$2:F273,$A$2:A273,A273)</f>
        <v>19867691.688106708</v>
      </c>
    </row>
    <row r="274" spans="1:8">
      <c r="A274" t="s">
        <v>247</v>
      </c>
      <c r="B274" s="18">
        <v>2037</v>
      </c>
      <c r="C274" s="21">
        <f>SUMIFS(Annual_Cost!$Q$2:$Q$807,Annual_Cost!$A$2:$A$807,A274,Annual_Cost!$B$2:$B$807,B274)</f>
        <v>0</v>
      </c>
      <c r="D274" s="21">
        <f>SUMIFS(Annual_Cost!$R$2:$R$807,Annual_Cost!$A$2:$A$807,A274,Annual_Cost!$B$2:$B$807,B274)</f>
        <v>2478270.0768397041</v>
      </c>
      <c r="E274" s="21">
        <f>SUMIFS(Annual_Cost!$S$2:$S$807,Annual_Cost!$A$2:$A$807,A274,Annual_Cost!$B$2:$B$807,B274)</f>
        <v>2478270.0768397041</v>
      </c>
      <c r="F274" s="21">
        <f>SUMIFS(Annual_Cost!$W$2:$W$807,Annual_Cost!$A$2:$A$807,A274,Annual_Cost!$B$2:$B$807,B274)</f>
        <v>1738208.7695796622</v>
      </c>
      <c r="G274" s="21">
        <f>SUMIFS($E$2:E274,$A$2:A274,A274)</f>
        <v>26478355.52350878</v>
      </c>
      <c r="H274" s="21">
        <f>SUMIFS($F$2:F274,$A$2:A274,A274)</f>
        <v>21605900.457686372</v>
      </c>
    </row>
    <row r="275" spans="1:8">
      <c r="A275" t="s">
        <v>247</v>
      </c>
      <c r="B275" s="18">
        <v>2038</v>
      </c>
      <c r="C275" s="21">
        <f>SUMIFS(Annual_Cost!$Q$2:$Q$807,Annual_Cost!$A$2:$A$807,A275,Annual_Cost!$B$2:$B$807,B275)</f>
        <v>0</v>
      </c>
      <c r="D275" s="21">
        <f>SUMIFS(Annual_Cost!$R$2:$R$807,Annual_Cost!$A$2:$A$807,A275,Annual_Cost!$B$2:$B$807,B275)</f>
        <v>2490986.815662384</v>
      </c>
      <c r="E275" s="21">
        <f>SUMIFS(Annual_Cost!$S$2:$S$807,Annual_Cost!$A$2:$A$807,A275,Annual_Cost!$B$2:$B$807,B275)</f>
        <v>2490986.815662384</v>
      </c>
      <c r="F275" s="21">
        <f>SUMIFS(Annual_Cost!$W$2:$W$807,Annual_Cost!$A$2:$A$807,A275,Annual_Cost!$B$2:$B$807,B275)</f>
        <v>1696240.8100306396</v>
      </c>
      <c r="G275" s="21">
        <f>SUMIFS($E$2:E275,$A$2:A275,A275)</f>
        <v>28969342.339171164</v>
      </c>
      <c r="H275" s="21">
        <f>SUMIFS($F$2:F275,$A$2:A275,A275)</f>
        <v>23302141.267717011</v>
      </c>
    </row>
    <row r="276" spans="1:8">
      <c r="A276" t="s">
        <v>247</v>
      </c>
      <c r="B276" s="18">
        <v>2039</v>
      </c>
      <c r="C276" s="21">
        <f>SUMIFS(Annual_Cost!$Q$2:$Q$807,Annual_Cost!$A$2:$A$807,A276,Annual_Cost!$B$2:$B$807,B276)</f>
        <v>0</v>
      </c>
      <c r="D276" s="21">
        <f>SUMIFS(Annual_Cost!$R$2:$R$807,Annual_Cost!$A$2:$A$807,A276,Annual_Cost!$B$2:$B$807,B276)</f>
        <v>2503288.6617556559</v>
      </c>
      <c r="E276" s="21">
        <f>SUMIFS(Annual_Cost!$S$2:$S$807,Annual_Cost!$A$2:$A$807,A276,Annual_Cost!$B$2:$B$807,B276)</f>
        <v>2503288.6617556559</v>
      </c>
      <c r="F276" s="21">
        <f>SUMIFS(Annual_Cost!$W$2:$W$807,Annual_Cost!$A$2:$A$807,A276,Annual_Cost!$B$2:$B$807,B276)</f>
        <v>1654968.707390527</v>
      </c>
      <c r="G276" s="21">
        <f>SUMIFS($E$2:E276,$A$2:A276,A276)</f>
        <v>31472631.000926819</v>
      </c>
      <c r="H276" s="21">
        <f>SUMIFS($F$2:F276,$A$2:A276,A276)</f>
        <v>24957109.975107539</v>
      </c>
    </row>
    <row r="277" spans="1:8">
      <c r="A277" t="s">
        <v>247</v>
      </c>
      <c r="B277" s="18">
        <v>2040</v>
      </c>
      <c r="C277" s="21">
        <f>SUMIFS(Annual_Cost!$Q$2:$Q$807,Annual_Cost!$A$2:$A$807,A277,Annual_Cost!$B$2:$B$807,B277)</f>
        <v>0</v>
      </c>
      <c r="D277" s="21">
        <f>SUMIFS(Annual_Cost!$R$2:$R$807,Annual_Cost!$A$2:$A$807,A277,Annual_Cost!$B$2:$B$807,B277)</f>
        <v>2515106.4949452439</v>
      </c>
      <c r="E277" s="21">
        <f>SUMIFS(Annual_Cost!$S$2:$S$807,Annual_Cost!$A$2:$A$807,A277,Annual_Cost!$B$2:$B$807,B277)</f>
        <v>2515106.4949452439</v>
      </c>
      <c r="F277" s="21">
        <f>SUMIFS(Annual_Cost!$W$2:$W$807,Annual_Cost!$A$2:$A$807,A277,Annual_Cost!$B$2:$B$807,B277)</f>
        <v>1614351.152755687</v>
      </c>
      <c r="G277" s="21">
        <f>SUMIFS($E$2:E277,$A$2:A277,A277)</f>
        <v>33987737.495872065</v>
      </c>
      <c r="H277" s="21">
        <f>SUMIFS($F$2:F277,$A$2:A277,A277)</f>
        <v>26571461.127863228</v>
      </c>
    </row>
    <row r="278" spans="1:8">
      <c r="A278" t="s">
        <v>247</v>
      </c>
      <c r="B278" s="18">
        <v>2041</v>
      </c>
      <c r="C278" s="21">
        <f>SUMIFS(Annual_Cost!$Q$2:$Q$807,Annual_Cost!$A$2:$A$807,A278,Annual_Cost!$B$2:$B$807,B278)</f>
        <v>0</v>
      </c>
      <c r="D278" s="21">
        <f>SUMIFS(Annual_Cost!$R$2:$R$807,Annual_Cost!$A$2:$A$807,A278,Annual_Cost!$B$2:$B$807,B278)</f>
        <v>2526472.1239700918</v>
      </c>
      <c r="E278" s="21">
        <f>SUMIFS(Annual_Cost!$S$2:$S$807,Annual_Cost!$A$2:$A$807,A278,Annual_Cost!$B$2:$B$807,B278)</f>
        <v>2526472.1239700918</v>
      </c>
      <c r="F278" s="21">
        <f>SUMIFS(Annual_Cost!$W$2:$W$807,Annual_Cost!$A$2:$A$807,A278,Annual_Cost!$B$2:$B$807,B278)</f>
        <v>1574413.9005193834</v>
      </c>
      <c r="G278" s="21">
        <f>SUMIFS($E$2:E278,$A$2:A278,A278)</f>
        <v>36514209.619842157</v>
      </c>
      <c r="H278" s="21">
        <f>SUMIFS($F$2:F278,$A$2:A278,A278)</f>
        <v>28145875.028382611</v>
      </c>
    </row>
    <row r="279" spans="1:8">
      <c r="A279" t="s">
        <v>247</v>
      </c>
      <c r="B279" s="18">
        <v>2042</v>
      </c>
      <c r="C279" s="21">
        <f>SUMIFS(Annual_Cost!$Q$2:$Q$807,Annual_Cost!$A$2:$A$807,A279,Annual_Cost!$B$2:$B$807,B279)</f>
        <v>0</v>
      </c>
      <c r="D279" s="21">
        <f>SUMIFS(Annual_Cost!$R$2:$R$807,Annual_Cost!$A$2:$A$807,A279,Annual_Cost!$B$2:$B$807,B279)</f>
        <v>2537345.6984577398</v>
      </c>
      <c r="E279" s="21">
        <f>SUMIFS(Annual_Cost!$S$2:$S$807,Annual_Cost!$A$2:$A$807,A279,Annual_Cost!$B$2:$B$807,B279)</f>
        <v>2537345.6984577398</v>
      </c>
      <c r="F279" s="21">
        <f>SUMIFS(Annual_Cost!$W$2:$W$807,Annual_Cost!$A$2:$A$807,A279,Annual_Cost!$B$2:$B$807,B279)</f>
        <v>1535135.8763604204</v>
      </c>
      <c r="G279" s="21">
        <f>SUMIFS($E$2:E279,$A$2:A279,A279)</f>
        <v>39051555.318299897</v>
      </c>
      <c r="H279" s="21">
        <f>SUMIFS($F$2:F279,$A$2:A279,A279)</f>
        <v>29681010.904743031</v>
      </c>
    </row>
    <row r="280" spans="1:8">
      <c r="A280" t="s">
        <v>247</v>
      </c>
      <c r="B280" s="18">
        <v>2043</v>
      </c>
      <c r="C280" s="21">
        <f>SUMIFS(Annual_Cost!$Q$2:$Q$807,Annual_Cost!$A$2:$A$807,A280,Annual_Cost!$B$2:$B$807,B280)</f>
        <v>0</v>
      </c>
      <c r="D280" s="21">
        <f>SUMIFS(Annual_Cost!$R$2:$R$807,Annual_Cost!$A$2:$A$807,A280,Annual_Cost!$B$2:$B$807,B280)</f>
        <v>2547772.5548966643</v>
      </c>
      <c r="E280" s="21">
        <f>SUMIFS(Annual_Cost!$S$2:$S$807,Annual_Cost!$A$2:$A$807,A280,Annual_Cost!$B$2:$B$807,B280)</f>
        <v>2547772.5548966643</v>
      </c>
      <c r="F280" s="21">
        <f>SUMIFS(Annual_Cost!$W$2:$W$807,Annual_Cost!$A$2:$A$807,A280,Annual_Cost!$B$2:$B$807,B280)</f>
        <v>1496547.8601790601</v>
      </c>
      <c r="G280" s="21">
        <f>SUMIFS($E$2:E280,$A$2:A280,A280)</f>
        <v>41599327.873196565</v>
      </c>
      <c r="H280" s="21">
        <f>SUMIFS($F$2:F280,$A$2:A280,A280)</f>
        <v>31177558.76492209</v>
      </c>
    </row>
    <row r="281" spans="1:8">
      <c r="A281" t="s">
        <v>247</v>
      </c>
      <c r="B281" s="18">
        <v>2044</v>
      </c>
      <c r="C281" s="21">
        <f>SUMIFS(Annual_Cost!$Q$2:$Q$807,Annual_Cost!$A$2:$A$807,A281,Annual_Cost!$B$2:$B$807,B281)</f>
        <v>0</v>
      </c>
      <c r="D281" s="21">
        <f>SUMIFS(Annual_Cost!$R$2:$R$807,Annual_Cost!$A$2:$A$807,A281,Annual_Cost!$B$2:$B$807,B281)</f>
        <v>2557653.0279229321</v>
      </c>
      <c r="E281" s="21">
        <f>SUMIFS(Annual_Cost!$S$2:$S$807,Annual_Cost!$A$2:$A$807,A281,Annual_Cost!$B$2:$B$807,B281)</f>
        <v>2557653.0279229321</v>
      </c>
      <c r="F281" s="21">
        <f>SUMIFS(Annual_Cost!$W$2:$W$807,Annual_Cost!$A$2:$A$807,A281,Annual_Cost!$B$2:$B$807,B281)</f>
        <v>1458593.7832576584</v>
      </c>
      <c r="G281" s="21">
        <f>SUMIFS($E$2:E281,$A$2:A281,A281)</f>
        <v>44156980.9011195</v>
      </c>
      <c r="H281" s="21">
        <f>SUMIFS($F$2:F281,$A$2:A281,A281)</f>
        <v>32636152.548179749</v>
      </c>
    </row>
    <row r="282" spans="1:8">
      <c r="A282" t="s">
        <v>247</v>
      </c>
      <c r="B282" s="18">
        <v>2045</v>
      </c>
      <c r="C282" s="21">
        <f>SUMIFS(Annual_Cost!$Q$2:$Q$807,Annual_Cost!$A$2:$A$807,A282,Annual_Cost!$B$2:$B$807,B282)</f>
        <v>0</v>
      </c>
      <c r="D282" s="21">
        <f>SUMIFS(Annual_Cost!$R$2:$R$807,Annual_Cost!$A$2:$A$807,A282,Annual_Cost!$B$2:$B$807,B282)</f>
        <v>2566998.3059945479</v>
      </c>
      <c r="E282" s="21">
        <f>SUMIFS(Annual_Cost!$S$2:$S$807,Annual_Cost!$A$2:$A$807,A282,Annual_Cost!$B$2:$B$807,B282)</f>
        <v>2566998.3059945479</v>
      </c>
      <c r="F282" s="21">
        <f>SUMIFS(Annual_Cost!$W$2:$W$807,Annual_Cost!$A$2:$A$807,A282,Annual_Cost!$B$2:$B$807,B282)</f>
        <v>1421284.7230665756</v>
      </c>
      <c r="G282" s="21">
        <f>SUMIFS($E$2:E282,$A$2:A282,A282)</f>
        <v>46723979.207114048</v>
      </c>
      <c r="H282" s="21">
        <f>SUMIFS($F$2:F282,$A$2:A282,A282)</f>
        <v>34057437.271246321</v>
      </c>
    </row>
    <row r="283" spans="1:8">
      <c r="A283" t="s">
        <v>247</v>
      </c>
      <c r="B283" s="18">
        <v>2046</v>
      </c>
      <c r="C283" s="21">
        <f>SUMIFS(Annual_Cost!$Q$2:$Q$807,Annual_Cost!$A$2:$A$807,A283,Annual_Cost!$B$2:$B$807,B283)</f>
        <v>0</v>
      </c>
      <c r="D283" s="21">
        <f>SUMIFS(Annual_Cost!$R$2:$R$807,Annual_Cost!$A$2:$A$807,A283,Annual_Cost!$B$2:$B$807,B283)</f>
        <v>2575712.0121215801</v>
      </c>
      <c r="E283" s="21">
        <f>SUMIFS(Annual_Cost!$S$2:$S$807,Annual_Cost!$A$2:$A$807,A283,Annual_Cost!$B$2:$B$807,B283)</f>
        <v>2575712.0121215801</v>
      </c>
      <c r="F283" s="21">
        <f>SUMIFS(Annual_Cost!$W$2:$W$807,Annual_Cost!$A$2:$A$807,A283,Annual_Cost!$B$2:$B$807,B283)</f>
        <v>1384572.1270662313</v>
      </c>
      <c r="G283" s="21">
        <f>SUMIFS($E$2:E283,$A$2:A283,A283)</f>
        <v>49299691.219235629</v>
      </c>
      <c r="H283" s="21">
        <f>SUMIFS($F$2:F283,$A$2:A283,A283)</f>
        <v>35442009.398312554</v>
      </c>
    </row>
    <row r="284" spans="1:8">
      <c r="A284" t="s">
        <v>247</v>
      </c>
      <c r="B284" s="18">
        <v>2047</v>
      </c>
      <c r="C284" s="21">
        <f>SUMIFS(Annual_Cost!$Q$2:$Q$807,Annual_Cost!$A$2:$A$807,A284,Annual_Cost!$B$2:$B$807,B284)</f>
        <v>0</v>
      </c>
      <c r="D284" s="21">
        <f>SUMIFS(Annual_Cost!$R$2:$R$807,Annual_Cost!$A$2:$A$807,A284,Annual_Cost!$B$2:$B$807,B284)</f>
        <v>2584014.778923688</v>
      </c>
      <c r="E284" s="21">
        <f>SUMIFS(Annual_Cost!$S$2:$S$807,Annual_Cost!$A$2:$A$807,A284,Annual_Cost!$B$2:$B$807,B284)</f>
        <v>2584014.778923688</v>
      </c>
      <c r="F284" s="21">
        <f>SUMIFS(Annual_Cost!$W$2:$W$807,Annual_Cost!$A$2:$A$807,A284,Annual_Cost!$B$2:$B$807,B284)</f>
        <v>1348577.9352900449</v>
      </c>
      <c r="G284" s="21">
        <f>SUMIFS($E$2:E284,$A$2:A284,A284)</f>
        <v>51883705.998159319</v>
      </c>
      <c r="H284" s="21">
        <f>SUMIFS($F$2:F284,$A$2:A284,A284)</f>
        <v>36790587.3336026</v>
      </c>
    </row>
    <row r="285" spans="1:8">
      <c r="A285" t="s">
        <v>247</v>
      </c>
      <c r="B285" s="18">
        <v>2048</v>
      </c>
      <c r="C285" s="21">
        <f>SUMIFS(Annual_Cost!$Q$2:$Q$807,Annual_Cost!$A$2:$A$807,A285,Annual_Cost!$B$2:$B$807,B285)</f>
        <v>0</v>
      </c>
      <c r="D285" s="21">
        <f>SUMIFS(Annual_Cost!$R$2:$R$807,Annual_Cost!$A$2:$A$807,A285,Annual_Cost!$B$2:$B$807,B285)</f>
        <v>2591808.4534561601</v>
      </c>
      <c r="E285" s="21">
        <f>SUMIFS(Annual_Cost!$S$2:$S$807,Annual_Cost!$A$2:$A$807,A285,Annual_Cost!$B$2:$B$807,B285)</f>
        <v>2591808.4534561601</v>
      </c>
      <c r="F285" s="21">
        <f>SUMIFS(Annual_Cost!$W$2:$W$807,Annual_Cost!$A$2:$A$807,A285,Annual_Cost!$B$2:$B$807,B285)</f>
        <v>1313247.9568765648</v>
      </c>
      <c r="G285" s="21">
        <f>SUMIFS($E$2:E285,$A$2:A285,A285)</f>
        <v>54475514.451615483</v>
      </c>
      <c r="H285" s="21">
        <f>SUMIFS($F$2:F285,$A$2:A285,A285)</f>
        <v>38103835.290479168</v>
      </c>
    </row>
    <row r="286" spans="1:8">
      <c r="A286" t="s">
        <v>247</v>
      </c>
      <c r="B286" s="18">
        <v>2049</v>
      </c>
      <c r="C286" s="21">
        <f>SUMIFS(Annual_Cost!$Q$2:$Q$807,Annual_Cost!$A$2:$A$807,A286,Annual_Cost!$B$2:$B$807,B286)</f>
        <v>0</v>
      </c>
      <c r="D286" s="21">
        <f>SUMIFS(Annual_Cost!$R$2:$R$807,Annual_Cost!$A$2:$A$807,A286,Annual_Cost!$B$2:$B$807,B286)</f>
        <v>2599086.2945797238</v>
      </c>
      <c r="E286" s="21">
        <f>SUMIFS(Annual_Cost!$S$2:$S$807,Annual_Cost!$A$2:$A$807,A286,Annual_Cost!$B$2:$B$807,B286)</f>
        <v>2599086.2945797238</v>
      </c>
      <c r="F286" s="21">
        <f>SUMIFS(Annual_Cost!$W$2:$W$807,Annual_Cost!$A$2:$A$807,A286,Annual_Cost!$B$2:$B$807,B286)</f>
        <v>1278578.2319614145</v>
      </c>
      <c r="G286" s="21">
        <f>SUMIFS($E$2:E286,$A$2:A286,A286)</f>
        <v>57074600.746195205</v>
      </c>
      <c r="H286" s="21">
        <f>SUMIFS($F$2:F286,$A$2:A286,A286)</f>
        <v>39382413.522440583</v>
      </c>
    </row>
    <row r="287" spans="1:8">
      <c r="A287" t="s">
        <v>247</v>
      </c>
      <c r="B287" s="18">
        <v>2050</v>
      </c>
      <c r="C287" s="21">
        <f>SUMIFS(Annual_Cost!$Q$2:$Q$807,Annual_Cost!$A$2:$A$807,A287,Annual_Cost!$B$2:$B$807,B287)</f>
        <v>0</v>
      </c>
      <c r="D287" s="21">
        <f>SUMIFS(Annual_Cost!$R$2:$R$807,Annual_Cost!$A$2:$A$807,A287,Annual_Cost!$B$2:$B$807,B287)</f>
        <v>2605828.4463997078</v>
      </c>
      <c r="E287" s="21">
        <f>SUMIFS(Annual_Cost!$S$2:$S$807,Annual_Cost!$A$2:$A$807,A287,Annual_Cost!$B$2:$B$807,B287)</f>
        <v>2605828.4463997078</v>
      </c>
      <c r="F287" s="21">
        <f>SUMIFS(Annual_Cost!$W$2:$W$807,Annual_Cost!$A$2:$A$807,A287,Annual_Cost!$B$2:$B$807,B287)</f>
        <v>1244558.1785409586</v>
      </c>
      <c r="G287" s="21">
        <f>SUMIFS($E$2:E287,$A$2:A287,A287)</f>
        <v>59680429.192594916</v>
      </c>
      <c r="H287" s="21">
        <f>SUMIFS($F$2:F287,$A$2:A287,A287)</f>
        <v>40626971.700981542</v>
      </c>
    </row>
    <row r="288" spans="1:8">
      <c r="A288" t="s">
        <v>257</v>
      </c>
      <c r="B288" s="18">
        <v>2025</v>
      </c>
      <c r="C288" s="21">
        <f>SUMIFS(Annual_Cost!$Q$2:$Q$807,Annual_Cost!$A$2:$A$807,A288,Annual_Cost!$B$2:$B$807,B288)</f>
        <v>0</v>
      </c>
      <c r="D288" s="21">
        <f>SUMIFS(Annual_Cost!$R$2:$R$807,Annual_Cost!$A$2:$A$807,A288,Annual_Cost!$B$2:$B$807,B288)</f>
        <v>0</v>
      </c>
      <c r="E288" s="21">
        <f>SUMIFS(Annual_Cost!$S$2:$S$807,Annual_Cost!$A$2:$A$807,A288,Annual_Cost!$B$2:$B$807,B288)</f>
        <v>0</v>
      </c>
      <c r="F288" s="21">
        <f>SUMIFS(Annual_Cost!$W$2:$W$807,Annual_Cost!$A$2:$A$807,A288,Annual_Cost!$B$2:$B$807,B288)</f>
        <v>0</v>
      </c>
      <c r="G288" s="21">
        <f>SUMIFS($E$2:E288,$A$2:A288,A288)</f>
        <v>0</v>
      </c>
      <c r="H288" s="21">
        <f>SUMIFS($F$2:F288,$A$2:A288,A288)</f>
        <v>0</v>
      </c>
    </row>
    <row r="289" spans="1:8">
      <c r="A289" t="s">
        <v>257</v>
      </c>
      <c r="B289" s="18">
        <v>2026</v>
      </c>
      <c r="C289" s="21">
        <f>SUMIFS(Annual_Cost!$Q$2:$Q$807,Annual_Cost!$A$2:$A$807,A289,Annual_Cost!$B$2:$B$807,B289)</f>
        <v>0</v>
      </c>
      <c r="D289" s="21">
        <f>SUMIFS(Annual_Cost!$R$2:$R$807,Annual_Cost!$A$2:$A$807,A289,Annual_Cost!$B$2:$B$807,B289)</f>
        <v>1486789.528129793</v>
      </c>
      <c r="E289" s="21">
        <f>SUMIFS(Annual_Cost!$S$2:$S$807,Annual_Cost!$A$2:$A$807,A289,Annual_Cost!$B$2:$B$807,B289)</f>
        <v>1486789.528129793</v>
      </c>
      <c r="F289" s="21">
        <f>SUMIFS(Annual_Cost!$W$2:$W$807,Annual_Cost!$A$2:$A$807,A289,Annual_Cost!$B$2:$B$807,B289)</f>
        <v>1443484.9787667894</v>
      </c>
      <c r="G289" s="21">
        <f>SUMIFS($E$2:E289,$A$2:A289,A289)</f>
        <v>1486789.528129793</v>
      </c>
      <c r="H289" s="21">
        <f>SUMIFS($F$2:F289,$A$2:A289,A289)</f>
        <v>1443484.9787667894</v>
      </c>
    </row>
    <row r="290" spans="1:8">
      <c r="A290" t="s">
        <v>257</v>
      </c>
      <c r="B290" s="18">
        <v>2027</v>
      </c>
      <c r="C290" s="21">
        <f>SUMIFS(Annual_Cost!$Q$2:$Q$807,Annual_Cost!$A$2:$A$807,A290,Annual_Cost!$B$2:$B$807,B290)</f>
        <v>0</v>
      </c>
      <c r="D290" s="21">
        <f>SUMIFS(Annual_Cost!$R$2:$R$807,Annual_Cost!$A$2:$A$807,A290,Annual_Cost!$B$2:$B$807,B290)</f>
        <v>2992933.6066704742</v>
      </c>
      <c r="E290" s="21">
        <f>SUMIFS(Annual_Cost!$S$2:$S$807,Annual_Cost!$A$2:$A$807,A290,Annual_Cost!$B$2:$B$807,B290)</f>
        <v>2992933.6066704742</v>
      </c>
      <c r="F290" s="21">
        <f>SUMIFS(Annual_Cost!$W$2:$W$807,Annual_Cost!$A$2:$A$807,A290,Annual_Cost!$B$2:$B$807,B290)</f>
        <v>2821126.9739565221</v>
      </c>
      <c r="G290" s="21">
        <f>SUMIFS($E$2:E290,$A$2:A290,A290)</f>
        <v>4479723.1348002674</v>
      </c>
      <c r="H290" s="21">
        <f>SUMIFS($F$2:F290,$A$2:A290,A290)</f>
        <v>4264611.9527233113</v>
      </c>
    </row>
    <row r="291" spans="1:8">
      <c r="A291" t="s">
        <v>257</v>
      </c>
      <c r="B291" s="18">
        <v>2028</v>
      </c>
      <c r="C291" s="21">
        <f>SUMIFS(Annual_Cost!$Q$2:$Q$807,Annual_Cost!$A$2:$A$807,A291,Annual_Cost!$B$2:$B$807,B291)</f>
        <v>0</v>
      </c>
      <c r="D291" s="21">
        <f>SUMIFS(Annual_Cost!$R$2:$R$807,Annual_Cost!$A$2:$A$807,A291,Annual_Cost!$B$2:$B$807,B291)</f>
        <v>4520170.3951824652</v>
      </c>
      <c r="E291" s="21">
        <f>SUMIFS(Annual_Cost!$S$2:$S$807,Annual_Cost!$A$2:$A$807,A291,Annual_Cost!$B$2:$B$807,B291)</f>
        <v>4520170.3951824652</v>
      </c>
      <c r="F291" s="21">
        <f>SUMIFS(Annual_Cost!$W$2:$W$807,Annual_Cost!$A$2:$A$807,A291,Annual_Cost!$B$2:$B$807,B291)</f>
        <v>4136596.2360063083</v>
      </c>
      <c r="G291" s="21">
        <f>SUMIFS($E$2:E291,$A$2:A291,A291)</f>
        <v>8999893.5299827326</v>
      </c>
      <c r="H291" s="21">
        <f>SUMIFS($F$2:F291,$A$2:A291,A291)</f>
        <v>8401208.1887296196</v>
      </c>
    </row>
    <row r="292" spans="1:8">
      <c r="A292" t="s">
        <v>257</v>
      </c>
      <c r="B292" s="18">
        <v>2029</v>
      </c>
      <c r="C292" s="21">
        <f>SUMIFS(Annual_Cost!$Q$2:$Q$807,Annual_Cost!$A$2:$A$807,A292,Annual_Cost!$B$2:$B$807,B292)</f>
        <v>0</v>
      </c>
      <c r="D292" s="21">
        <f>SUMIFS(Annual_Cost!$R$2:$R$807,Annual_Cost!$A$2:$A$807,A292,Annual_Cost!$B$2:$B$807,B292)</f>
        <v>4550454.7005410418</v>
      </c>
      <c r="E292" s="21">
        <f>SUMIFS(Annual_Cost!$S$2:$S$807,Annual_Cost!$A$2:$A$807,A292,Annual_Cost!$B$2:$B$807,B292)</f>
        <v>4550454.7005410418</v>
      </c>
      <c r="F292" s="21">
        <f>SUMIFS(Annual_Cost!$W$2:$W$807,Annual_Cost!$A$2:$A$807,A292,Annual_Cost!$B$2:$B$807,B292)</f>
        <v>4043020.0635577808</v>
      </c>
      <c r="G292" s="21">
        <f>SUMIFS($E$2:E292,$A$2:A292,A292)</f>
        <v>13550348.230523774</v>
      </c>
      <c r="H292" s="21">
        <f>SUMIFS($F$2:F292,$A$2:A292,A292)</f>
        <v>12444228.252287401</v>
      </c>
    </row>
    <row r="293" spans="1:8">
      <c r="A293" t="s">
        <v>257</v>
      </c>
      <c r="B293" s="18">
        <v>2030</v>
      </c>
      <c r="C293" s="21">
        <f>SUMIFS(Annual_Cost!$Q$2:$Q$807,Annual_Cost!$A$2:$A$807,A293,Annual_Cost!$B$2:$B$807,B293)</f>
        <v>0</v>
      </c>
      <c r="D293" s="21">
        <f>SUMIFS(Annual_Cost!$R$2:$R$807,Annual_Cost!$A$2:$A$807,A293,Annual_Cost!$B$2:$B$807,B293)</f>
        <v>4580023.9905660469</v>
      </c>
      <c r="E293" s="21">
        <f>SUMIFS(Annual_Cost!$S$2:$S$807,Annual_Cost!$A$2:$A$807,A293,Annual_Cost!$B$2:$B$807,B293)</f>
        <v>4580023.9905660469</v>
      </c>
      <c r="F293" s="21">
        <f>SUMIFS(Annual_Cost!$W$2:$W$807,Annual_Cost!$A$2:$A$807,A293,Annual_Cost!$B$2:$B$807,B293)</f>
        <v>3950768.9269524859</v>
      </c>
      <c r="G293" s="21">
        <f>SUMIFS($E$2:E293,$A$2:A293,A293)</f>
        <v>18130372.221089821</v>
      </c>
      <c r="H293" s="21">
        <f>SUMIFS($F$2:F293,$A$2:A293,A293)</f>
        <v>16394997.179239888</v>
      </c>
    </row>
    <row r="294" spans="1:8">
      <c r="A294" t="s">
        <v>257</v>
      </c>
      <c r="B294" s="18">
        <v>2031</v>
      </c>
      <c r="C294" s="21">
        <f>SUMIFS(Annual_Cost!$Q$2:$Q$807,Annual_Cost!$A$2:$A$807,A294,Annual_Cost!$B$2:$B$807,B294)</f>
        <v>0</v>
      </c>
      <c r="D294" s="21">
        <f>SUMIFS(Annual_Cost!$R$2:$R$807,Annual_Cost!$A$2:$A$807,A294,Annual_Cost!$B$2:$B$807,B294)</f>
        <v>4609081.6528387861</v>
      </c>
      <c r="E294" s="21">
        <f>SUMIFS(Annual_Cost!$S$2:$S$807,Annual_Cost!$A$2:$A$807,A294,Annual_Cost!$B$2:$B$807,B294)</f>
        <v>4609081.6528387861</v>
      </c>
      <c r="F294" s="21">
        <f>SUMIFS(Annual_Cost!$W$2:$W$807,Annual_Cost!$A$2:$A$807,A294,Annual_Cost!$B$2:$B$807,B294)</f>
        <v>3860033.3220219603</v>
      </c>
      <c r="G294" s="21">
        <f>SUMIFS($E$2:E294,$A$2:A294,A294)</f>
        <v>22739453.873928607</v>
      </c>
      <c r="H294" s="21">
        <f>SUMIFS($F$2:F294,$A$2:A294,A294)</f>
        <v>20255030.501261849</v>
      </c>
    </row>
    <row r="295" spans="1:8">
      <c r="A295" t="s">
        <v>257</v>
      </c>
      <c r="B295" s="18">
        <v>2032</v>
      </c>
      <c r="C295" s="21">
        <f>SUMIFS(Annual_Cost!$Q$2:$Q$807,Annual_Cost!$A$2:$A$807,A295,Annual_Cost!$B$2:$B$807,B295)</f>
        <v>0</v>
      </c>
      <c r="D295" s="21">
        <f>SUMIFS(Annual_Cost!$R$2:$R$807,Annual_Cost!$A$2:$A$807,A295,Annual_Cost!$B$2:$B$807,B295)</f>
        <v>4637461.891743443</v>
      </c>
      <c r="E295" s="21">
        <f>SUMIFS(Annual_Cost!$S$2:$S$807,Annual_Cost!$A$2:$A$807,A295,Annual_Cost!$B$2:$B$807,B295)</f>
        <v>4637461.891743443</v>
      </c>
      <c r="F295" s="21">
        <f>SUMIFS(Annual_Cost!$W$2:$W$807,Annual_Cost!$A$2:$A$807,A295,Annual_Cost!$B$2:$B$807,B295)</f>
        <v>3770680.8983548847</v>
      </c>
      <c r="G295" s="21">
        <f>SUMIFS($E$2:E295,$A$2:A295,A295)</f>
        <v>27376915.76567205</v>
      </c>
      <c r="H295" s="21">
        <f>SUMIFS($F$2:F295,$A$2:A295,A295)</f>
        <v>24025711.399616733</v>
      </c>
    </row>
    <row r="296" spans="1:8">
      <c r="A296" t="s">
        <v>257</v>
      </c>
      <c r="B296" s="18">
        <v>2033</v>
      </c>
      <c r="C296" s="21">
        <f>SUMIFS(Annual_Cost!$Q$2:$Q$807,Annual_Cost!$A$2:$A$807,A296,Annual_Cost!$B$2:$B$807,B296)</f>
        <v>0</v>
      </c>
      <c r="D296" s="21">
        <f>SUMIFS(Annual_Cost!$R$2:$R$807,Annual_Cost!$A$2:$A$807,A296,Annual_Cost!$B$2:$B$807,B296)</f>
        <v>4665399.9968306506</v>
      </c>
      <c r="E296" s="21">
        <f>SUMIFS(Annual_Cost!$S$2:$S$807,Annual_Cost!$A$2:$A$807,A296,Annual_Cost!$B$2:$B$807,B296)</f>
        <v>4665399.9968306506</v>
      </c>
      <c r="F296" s="21">
        <f>SUMIFS(Annual_Cost!$W$2:$W$807,Annual_Cost!$A$2:$A$807,A296,Annual_Cost!$B$2:$B$807,B296)</f>
        <v>3682909.8392663221</v>
      </c>
      <c r="G296" s="21">
        <f>SUMIFS($E$2:E296,$A$2:A296,A296)</f>
        <v>32042315.7625027</v>
      </c>
      <c r="H296" s="21">
        <f>SUMIFS($F$2:F296,$A$2:A296,A296)</f>
        <v>27708621.238883056</v>
      </c>
    </row>
    <row r="297" spans="1:8">
      <c r="A297" t="s">
        <v>257</v>
      </c>
      <c r="B297" s="18">
        <v>2034</v>
      </c>
      <c r="C297" s="21">
        <f>SUMIFS(Annual_Cost!$Q$2:$Q$807,Annual_Cost!$A$2:$A$807,A297,Annual_Cost!$B$2:$B$807,B297)</f>
        <v>0</v>
      </c>
      <c r="D297" s="21">
        <f>SUMIFS(Annual_Cost!$R$2:$R$807,Annual_Cost!$A$2:$A$807,A297,Annual_Cost!$B$2:$B$807,B297)</f>
        <v>4692687.4499662463</v>
      </c>
      <c r="E297" s="21">
        <f>SUMIFS(Annual_Cost!$S$2:$S$807,Annual_Cost!$A$2:$A$807,A297,Annual_Cost!$B$2:$B$807,B297)</f>
        <v>4692687.4499662463</v>
      </c>
      <c r="F297" s="21">
        <f>SUMIFS(Annual_Cost!$W$2:$W$807,Annual_Cost!$A$2:$A$807,A297,Annual_Cost!$B$2:$B$807,B297)</f>
        <v>3596554.1813130779</v>
      </c>
      <c r="G297" s="21">
        <f>SUMIFS($E$2:E297,$A$2:A297,A297)</f>
        <v>36735003.212468944</v>
      </c>
      <c r="H297" s="21">
        <f>SUMIFS($F$2:F297,$A$2:A297,A297)</f>
        <v>31305175.420196135</v>
      </c>
    </row>
    <row r="298" spans="1:8">
      <c r="A298" t="s">
        <v>257</v>
      </c>
      <c r="B298" s="18">
        <v>2035</v>
      </c>
      <c r="C298" s="21">
        <f>SUMIFS(Annual_Cost!$Q$2:$Q$807,Annual_Cost!$A$2:$A$807,A298,Annual_Cost!$B$2:$B$807,B298)</f>
        <v>0</v>
      </c>
      <c r="D298" s="21">
        <f>SUMIFS(Annual_Cost!$R$2:$R$807,Annual_Cost!$A$2:$A$807,A298,Annual_Cost!$B$2:$B$807,B298)</f>
        <v>4719239.2172624003</v>
      </c>
      <c r="E298" s="21">
        <f>SUMIFS(Annual_Cost!$S$2:$S$807,Annual_Cost!$A$2:$A$807,A298,Annual_Cost!$B$2:$B$807,B298)</f>
        <v>4719239.2172624003</v>
      </c>
      <c r="F298" s="21">
        <f>SUMIFS(Annual_Cost!$W$2:$W$807,Annual_Cost!$A$2:$A$807,A298,Annual_Cost!$B$2:$B$807,B298)</f>
        <v>3511557.1845069365</v>
      </c>
      <c r="G298" s="21">
        <f>SUMIFS($E$2:E298,$A$2:A298,A298)</f>
        <v>41454242.429731347</v>
      </c>
      <c r="H298" s="21">
        <f>SUMIFS($F$2:F298,$A$2:A298,A298)</f>
        <v>34816732.604703069</v>
      </c>
    </row>
    <row r="299" spans="1:8">
      <c r="A299" t="s">
        <v>257</v>
      </c>
      <c r="B299" s="18">
        <v>2036</v>
      </c>
      <c r="C299" s="21">
        <f>SUMIFS(Annual_Cost!$Q$2:$Q$807,Annual_Cost!$A$2:$A$807,A299,Annual_Cost!$B$2:$B$807,B299)</f>
        <v>0</v>
      </c>
      <c r="D299" s="21">
        <f>SUMIFS(Annual_Cost!$R$2:$R$807,Annual_Cost!$A$2:$A$807,A299,Annual_Cost!$B$2:$B$807,B299)</f>
        <v>4745106.2619438628</v>
      </c>
      <c r="E299" s="21">
        <f>SUMIFS(Annual_Cost!$S$2:$S$807,Annual_Cost!$A$2:$A$807,A299,Annual_Cost!$B$2:$B$807,B299)</f>
        <v>4745106.2619438628</v>
      </c>
      <c r="F299" s="21">
        <f>SUMIFS(Annual_Cost!$W$2:$W$807,Annual_Cost!$A$2:$A$807,A299,Annual_Cost!$B$2:$B$807,B299)</f>
        <v>3427965.7233502665</v>
      </c>
      <c r="G299" s="21">
        <f>SUMIFS($E$2:E299,$A$2:A299,A299)</f>
        <v>46199348.691675209</v>
      </c>
      <c r="H299" s="21">
        <f>SUMIFS($F$2:F299,$A$2:A299,A299)</f>
        <v>38244698.328053333</v>
      </c>
    </row>
    <row r="300" spans="1:8">
      <c r="A300" t="s">
        <v>257</v>
      </c>
      <c r="B300" s="18">
        <v>2037</v>
      </c>
      <c r="C300" s="21">
        <f>SUMIFS(Annual_Cost!$Q$2:$Q$807,Annual_Cost!$A$2:$A$807,A300,Annual_Cost!$B$2:$B$807,B300)</f>
        <v>0</v>
      </c>
      <c r="D300" s="21">
        <f>SUMIFS(Annual_Cost!$R$2:$R$807,Annual_Cost!$A$2:$A$807,A300,Annual_Cost!$B$2:$B$807,B300)</f>
        <v>4770271.9022660088</v>
      </c>
      <c r="E300" s="21">
        <f>SUMIFS(Annual_Cost!$S$2:$S$807,Annual_Cost!$A$2:$A$807,A300,Annual_Cost!$B$2:$B$807,B300)</f>
        <v>4770271.9022660088</v>
      </c>
      <c r="F300" s="21">
        <f>SUMIFS(Annual_Cost!$W$2:$W$807,Annual_Cost!$A$2:$A$807,A300,Annual_Cost!$B$2:$B$807,B300)</f>
        <v>3345772.7352992399</v>
      </c>
      <c r="G300" s="21">
        <f>SUMIFS($E$2:E300,$A$2:A300,A300)</f>
        <v>50969620.593941219</v>
      </c>
      <c r="H300" s="21">
        <f>SUMIFS($F$2:F300,$A$2:A300,A300)</f>
        <v>41590471.06335257</v>
      </c>
    </row>
    <row r="301" spans="1:8">
      <c r="A301" t="s">
        <v>257</v>
      </c>
      <c r="B301" s="18">
        <v>2038</v>
      </c>
      <c r="C301" s="21">
        <f>SUMIFS(Annual_Cost!$Q$2:$Q$807,Annual_Cost!$A$2:$A$807,A301,Annual_Cost!$B$2:$B$807,B301)</f>
        <v>0</v>
      </c>
      <c r="D301" s="21">
        <f>SUMIFS(Annual_Cost!$R$2:$R$807,Annual_Cost!$A$2:$A$807,A301,Annual_Cost!$B$2:$B$807,B301)</f>
        <v>4794649.0660843924</v>
      </c>
      <c r="E301" s="21">
        <f>SUMIFS(Annual_Cost!$S$2:$S$807,Annual_Cost!$A$2:$A$807,A301,Annual_Cost!$B$2:$B$807,B301)</f>
        <v>4794649.0660843924</v>
      </c>
      <c r="F301" s="21">
        <f>SUMIFS(Annual_Cost!$W$2:$W$807,Annual_Cost!$A$2:$A$807,A301,Annual_Cost!$B$2:$B$807,B301)</f>
        <v>3264922.7063472061</v>
      </c>
      <c r="G301" s="21">
        <f>SUMIFS($E$2:E301,$A$2:A301,A301)</f>
        <v>55764269.660025612</v>
      </c>
      <c r="H301" s="21">
        <f>SUMIFS($F$2:F301,$A$2:A301,A301)</f>
        <v>44855393.769699775</v>
      </c>
    </row>
    <row r="302" spans="1:8">
      <c r="A302" t="s">
        <v>257</v>
      </c>
      <c r="B302" s="18">
        <v>2039</v>
      </c>
      <c r="C302" s="21">
        <f>SUMIFS(Annual_Cost!$Q$2:$Q$807,Annual_Cost!$A$2:$A$807,A302,Annual_Cost!$B$2:$B$807,B302)</f>
        <v>0</v>
      </c>
      <c r="D302" s="21">
        <f>SUMIFS(Annual_Cost!$R$2:$R$807,Annual_Cost!$A$2:$A$807,A302,Annual_Cost!$B$2:$B$807,B302)</f>
        <v>4818215.0749355238</v>
      </c>
      <c r="E302" s="21">
        <f>SUMIFS(Annual_Cost!$S$2:$S$807,Annual_Cost!$A$2:$A$807,A302,Annual_Cost!$B$2:$B$807,B302)</f>
        <v>4818215.0749355238</v>
      </c>
      <c r="F302" s="21">
        <f>SUMIFS(Annual_Cost!$W$2:$W$807,Annual_Cost!$A$2:$A$807,A302,Annual_Cost!$B$2:$B$807,B302)</f>
        <v>3185407.7783035673</v>
      </c>
      <c r="G302" s="21">
        <f>SUMIFS($E$2:E302,$A$2:A302,A302)</f>
        <v>60582484.734961137</v>
      </c>
      <c r="H302" s="21">
        <f>SUMIFS($F$2:F302,$A$2:A302,A302)</f>
        <v>48040801.548003346</v>
      </c>
    </row>
    <row r="303" spans="1:8">
      <c r="A303" t="s">
        <v>257</v>
      </c>
      <c r="B303" s="18">
        <v>2040</v>
      </c>
      <c r="C303" s="21">
        <f>SUMIFS(Annual_Cost!$Q$2:$Q$807,Annual_Cost!$A$2:$A$807,A303,Annual_Cost!$B$2:$B$807,B303)</f>
        <v>0</v>
      </c>
      <c r="D303" s="21">
        <f>SUMIFS(Annual_Cost!$R$2:$R$807,Annual_Cost!$A$2:$A$807,A303,Annual_Cost!$B$2:$B$807,B303)</f>
        <v>4840836.9408907965</v>
      </c>
      <c r="E303" s="21">
        <f>SUMIFS(Annual_Cost!$S$2:$S$807,Annual_Cost!$A$2:$A$807,A303,Annual_Cost!$B$2:$B$807,B303)</f>
        <v>4840836.9408907965</v>
      </c>
      <c r="F303" s="21">
        <f>SUMIFS(Annual_Cost!$W$2:$W$807,Annual_Cost!$A$2:$A$807,A303,Annual_Cost!$B$2:$B$807,B303)</f>
        <v>3107149.0259101358</v>
      </c>
      <c r="G303" s="21">
        <f>SUMIFS($E$2:E303,$A$2:A303,A303)</f>
        <v>65423321.675851934</v>
      </c>
      <c r="H303" s="21">
        <f>SUMIFS($F$2:F303,$A$2:A303,A303)</f>
        <v>51147950.573913485</v>
      </c>
    </row>
    <row r="304" spans="1:8">
      <c r="A304" t="s">
        <v>257</v>
      </c>
      <c r="B304" s="18">
        <v>2041</v>
      </c>
      <c r="C304" s="21">
        <f>SUMIFS(Annual_Cost!$Q$2:$Q$807,Annual_Cost!$A$2:$A$807,A304,Annual_Cost!$B$2:$B$807,B304)</f>
        <v>0</v>
      </c>
      <c r="D304" s="21">
        <f>SUMIFS(Annual_Cost!$R$2:$R$807,Annual_Cost!$A$2:$A$807,A304,Annual_Cost!$B$2:$B$807,B304)</f>
        <v>4862576.1804211903</v>
      </c>
      <c r="E304" s="21">
        <f>SUMIFS(Annual_Cost!$S$2:$S$807,Annual_Cost!$A$2:$A$807,A304,Annual_Cost!$B$2:$B$807,B304)</f>
        <v>4862576.1804211903</v>
      </c>
      <c r="F304" s="21">
        <f>SUMIFS(Annual_Cost!$W$2:$W$807,Annual_Cost!$A$2:$A$807,A304,Annual_Cost!$B$2:$B$807,B304)</f>
        <v>3030196.7150777075</v>
      </c>
      <c r="G304" s="21">
        <f>SUMIFS($E$2:E304,$A$2:A304,A304)</f>
        <v>70285897.85627313</v>
      </c>
      <c r="H304" s="21">
        <f>SUMIFS($F$2:F304,$A$2:A304,A304)</f>
        <v>54178147.28899119</v>
      </c>
    </row>
    <row r="305" spans="1:8">
      <c r="A305" t="s">
        <v>257</v>
      </c>
      <c r="B305" s="18">
        <v>2042</v>
      </c>
      <c r="C305" s="21">
        <f>SUMIFS(Annual_Cost!$Q$2:$Q$807,Annual_Cost!$A$2:$A$807,A305,Annual_Cost!$B$2:$B$807,B305)</f>
        <v>0</v>
      </c>
      <c r="D305" s="21">
        <f>SUMIFS(Annual_Cost!$R$2:$R$807,Annual_Cost!$A$2:$A$807,A305,Annual_Cost!$B$2:$B$807,B305)</f>
        <v>4883356.3734953459</v>
      </c>
      <c r="E305" s="21">
        <f>SUMIFS(Annual_Cost!$S$2:$S$807,Annual_Cost!$A$2:$A$807,A305,Annual_Cost!$B$2:$B$807,B305)</f>
        <v>4883356.3734953459</v>
      </c>
      <c r="F305" s="21">
        <f>SUMIFS(Annual_Cost!$W$2:$W$807,Annual_Cost!$A$2:$A$807,A305,Annual_Cost!$B$2:$B$807,B305)</f>
        <v>2954510.9168855655</v>
      </c>
      <c r="G305" s="21">
        <f>SUMIFS($E$2:E305,$A$2:A305,A305)</f>
        <v>75169254.22976847</v>
      </c>
      <c r="H305" s="21">
        <f>SUMIFS($F$2:F305,$A$2:A305,A305)</f>
        <v>57132658.205876753</v>
      </c>
    </row>
    <row r="306" spans="1:8">
      <c r="A306" t="s">
        <v>257</v>
      </c>
      <c r="B306" s="18">
        <v>2043</v>
      </c>
      <c r="C306" s="21">
        <f>SUMIFS(Annual_Cost!$Q$2:$Q$807,Annual_Cost!$A$2:$A$807,A306,Annual_Cost!$B$2:$B$807,B306)</f>
        <v>0</v>
      </c>
      <c r="D306" s="21">
        <f>SUMIFS(Annual_Cost!$R$2:$R$807,Annual_Cost!$A$2:$A$807,A306,Annual_Cost!$B$2:$B$807,B306)</f>
        <v>4903262.9013043223</v>
      </c>
      <c r="E306" s="21">
        <f>SUMIFS(Annual_Cost!$S$2:$S$807,Annual_Cost!$A$2:$A$807,A306,Annual_Cost!$B$2:$B$807,B306)</f>
        <v>4903262.9013043223</v>
      </c>
      <c r="F306" s="21">
        <f>SUMIFS(Annual_Cost!$W$2:$W$807,Annual_Cost!$A$2:$A$807,A306,Annual_Cost!$B$2:$B$807,B306)</f>
        <v>2880150.1879511285</v>
      </c>
      <c r="G306" s="21">
        <f>SUMIFS($E$2:E306,$A$2:A306,A306)</f>
        <v>80072517.131072789</v>
      </c>
      <c r="H306" s="21">
        <f>SUMIFS($F$2:F306,$A$2:A306,A306)</f>
        <v>60012808.393827878</v>
      </c>
    </row>
    <row r="307" spans="1:8">
      <c r="A307" t="s">
        <v>257</v>
      </c>
      <c r="B307" s="18">
        <v>2044</v>
      </c>
      <c r="C307" s="21">
        <f>SUMIFS(Annual_Cost!$Q$2:$Q$807,Annual_Cost!$A$2:$A$807,A307,Annual_Cost!$B$2:$B$807,B307)</f>
        <v>0</v>
      </c>
      <c r="D307" s="21">
        <f>SUMIFS(Annual_Cost!$R$2:$R$807,Annual_Cost!$A$2:$A$807,A307,Annual_Cost!$B$2:$B$807,B307)</f>
        <v>4922108.5407107305</v>
      </c>
      <c r="E307" s="21">
        <f>SUMIFS(Annual_Cost!$S$2:$S$807,Annual_Cost!$A$2:$A$807,A307,Annual_Cost!$B$2:$B$807,B307)</f>
        <v>4922108.5407107305</v>
      </c>
      <c r="F307" s="21">
        <f>SUMIFS(Annual_Cost!$W$2:$W$807,Annual_Cost!$A$2:$A$807,A307,Annual_Cost!$B$2:$B$807,B307)</f>
        <v>2807009.7232189644</v>
      </c>
      <c r="G307" s="21">
        <f>SUMIFS($E$2:E307,$A$2:A307,A307)</f>
        <v>84994625.671783522</v>
      </c>
      <c r="H307" s="21">
        <f>SUMIFS($F$2:F307,$A$2:A307,A307)</f>
        <v>62819818.11704684</v>
      </c>
    </row>
    <row r="308" spans="1:8">
      <c r="A308" t="s">
        <v>257</v>
      </c>
      <c r="B308" s="18">
        <v>2045</v>
      </c>
      <c r="C308" s="21">
        <f>SUMIFS(Annual_Cost!$Q$2:$Q$807,Annual_Cost!$A$2:$A$807,A308,Annual_Cost!$B$2:$B$807,B308)</f>
        <v>0</v>
      </c>
      <c r="D308" s="21">
        <f>SUMIFS(Annual_Cost!$R$2:$R$807,Annual_Cost!$A$2:$A$807,A308,Annual_Cost!$B$2:$B$807,B308)</f>
        <v>4939913.5538516305</v>
      </c>
      <c r="E308" s="21">
        <f>SUMIFS(Annual_Cost!$S$2:$S$807,Annual_Cost!$A$2:$A$807,A308,Annual_Cost!$B$2:$B$807,B308)</f>
        <v>4939913.5538516305</v>
      </c>
      <c r="F308" s="21">
        <f>SUMIFS(Annual_Cost!$W$2:$W$807,Annual_Cost!$A$2:$A$807,A308,Annual_Cost!$B$2:$B$807,B308)</f>
        <v>2735110.3625440998</v>
      </c>
      <c r="G308" s="21">
        <f>SUMIFS($E$2:E308,$A$2:A308,A308)</f>
        <v>89934539.225635156</v>
      </c>
      <c r="H308" s="21">
        <f>SUMIFS($F$2:F308,$A$2:A308,A308)</f>
        <v>65554928.479590937</v>
      </c>
    </row>
    <row r="309" spans="1:8">
      <c r="A309" t="s">
        <v>257</v>
      </c>
      <c r="B309" s="18">
        <v>2046</v>
      </c>
      <c r="C309" s="21">
        <f>SUMIFS(Annual_Cost!$Q$2:$Q$807,Annual_Cost!$A$2:$A$807,A309,Annual_Cost!$B$2:$B$807,B309)</f>
        <v>0</v>
      </c>
      <c r="D309" s="21">
        <f>SUMIFS(Annual_Cost!$R$2:$R$807,Annual_Cost!$A$2:$A$807,A309,Annual_Cost!$B$2:$B$807,B309)</f>
        <v>4956698.591963172</v>
      </c>
      <c r="E309" s="21">
        <f>SUMIFS(Annual_Cost!$S$2:$S$807,Annual_Cost!$A$2:$A$807,A309,Annual_Cost!$B$2:$B$807,B309)</f>
        <v>4956698.591963172</v>
      </c>
      <c r="F309" s="21">
        <f>SUMIFS(Annual_Cost!$W$2:$W$807,Annual_Cost!$A$2:$A$807,A309,Annual_Cost!$B$2:$B$807,B309)</f>
        <v>2664469.7390092756</v>
      </c>
      <c r="G309" s="21">
        <f>SUMIFS($E$2:E309,$A$2:A309,A309)</f>
        <v>94891237.817598328</v>
      </c>
      <c r="H309" s="21">
        <f>SUMIFS($F$2:F309,$A$2:A309,A309)</f>
        <v>68219398.218600214</v>
      </c>
    </row>
    <row r="310" spans="1:8">
      <c r="A310" t="s">
        <v>257</v>
      </c>
      <c r="B310" s="18">
        <v>2047</v>
      </c>
      <c r="C310" s="21">
        <f>SUMIFS(Annual_Cost!$Q$2:$Q$807,Annual_Cost!$A$2:$A$807,A310,Annual_Cost!$B$2:$B$807,B310)</f>
        <v>0</v>
      </c>
      <c r="D310" s="21">
        <f>SUMIFS(Annual_Cost!$R$2:$R$807,Annual_Cost!$A$2:$A$807,A310,Annual_Cost!$B$2:$B$807,B310)</f>
        <v>4972499.2776687695</v>
      </c>
      <c r="E310" s="21">
        <f>SUMIFS(Annual_Cost!$S$2:$S$807,Annual_Cost!$A$2:$A$807,A310,Annual_Cost!$B$2:$B$807,B310)</f>
        <v>4972499.2776687695</v>
      </c>
      <c r="F310" s="21">
        <f>SUMIFS(Annual_Cost!$W$2:$W$807,Annual_Cost!$A$2:$A$807,A310,Annual_Cost!$B$2:$B$807,B310)</f>
        <v>2595110.0836594044</v>
      </c>
      <c r="G310" s="21">
        <f>SUMIFS($E$2:E310,$A$2:A310,A310)</f>
        <v>99863737.095267102</v>
      </c>
      <c r="H310" s="21">
        <f>SUMIFS($F$2:F310,$A$2:A310,A310)</f>
        <v>70814508.302259624</v>
      </c>
    </row>
    <row r="311" spans="1:8">
      <c r="A311" t="s">
        <v>257</v>
      </c>
      <c r="B311" s="18">
        <v>2048</v>
      </c>
      <c r="C311" s="21">
        <f>SUMIFS(Annual_Cost!$Q$2:$Q$807,Annual_Cost!$A$2:$A$807,A311,Annual_Cost!$B$2:$B$807,B311)</f>
        <v>0</v>
      </c>
      <c r="D311" s="21">
        <f>SUMIFS(Annual_Cost!$R$2:$R$807,Annual_Cost!$A$2:$A$807,A311,Annual_Cost!$B$2:$B$807,B311)</f>
        <v>4987068.9924520543</v>
      </c>
      <c r="E311" s="21">
        <f>SUMIFS(Annual_Cost!$S$2:$S$807,Annual_Cost!$A$2:$A$807,A311,Annual_Cost!$B$2:$B$807,B311)</f>
        <v>4987068.9924520543</v>
      </c>
      <c r="F311" s="21">
        <f>SUMIFS(Annual_Cost!$W$2:$W$807,Annual_Cost!$A$2:$A$807,A311,Annual_Cost!$B$2:$B$807,B311)</f>
        <v>2526906.7073250473</v>
      </c>
      <c r="G311" s="21">
        <f>SUMIFS($E$2:E311,$A$2:A311,A311)</f>
        <v>104850806.08771916</v>
      </c>
      <c r="H311" s="21">
        <f>SUMIFS($F$2:F311,$A$2:A311,A311)</f>
        <v>73341415.009584665</v>
      </c>
    </row>
    <row r="312" spans="1:8">
      <c r="A312" t="s">
        <v>257</v>
      </c>
      <c r="B312" s="18">
        <v>2049</v>
      </c>
      <c r="C312" s="21">
        <f>SUMIFS(Annual_Cost!$Q$2:$Q$807,Annual_Cost!$A$2:$A$807,A312,Annual_Cost!$B$2:$B$807,B312)</f>
        <v>0</v>
      </c>
      <c r="D312" s="21">
        <f>SUMIFS(Annual_Cost!$R$2:$R$807,Annual_Cost!$A$2:$A$807,A312,Annual_Cost!$B$2:$B$807,B312)</f>
        <v>5001131.5395196471</v>
      </c>
      <c r="E312" s="21">
        <f>SUMIFS(Annual_Cost!$S$2:$S$807,Annual_Cost!$A$2:$A$807,A312,Annual_Cost!$B$2:$B$807,B312)</f>
        <v>5001131.5395196471</v>
      </c>
      <c r="F312" s="21">
        <f>SUMIFS(Annual_Cost!$W$2:$W$807,Annual_Cost!$A$2:$A$807,A312,Annual_Cost!$B$2:$B$807,B312)</f>
        <v>2460225.3241612632</v>
      </c>
      <c r="G312" s="21">
        <f>SUMIFS($E$2:E312,$A$2:A312,A312)</f>
        <v>109851937.62723881</v>
      </c>
      <c r="H312" s="21">
        <f>SUMIFS($F$2:F312,$A$2:A312,A312)</f>
        <v>75801640.333745927</v>
      </c>
    </row>
    <row r="313" spans="1:8">
      <c r="A313" t="s">
        <v>257</v>
      </c>
      <c r="B313" s="18">
        <v>2050</v>
      </c>
      <c r="C313" s="21">
        <f>SUMIFS(Annual_Cost!$Q$2:$Q$807,Annual_Cost!$A$2:$A$807,A313,Annual_Cost!$B$2:$B$807,B313)</f>
        <v>0</v>
      </c>
      <c r="D313" s="21">
        <f>SUMIFS(Annual_Cost!$R$2:$R$807,Annual_Cost!$A$2:$A$807,A313,Annual_Cost!$B$2:$B$807,B313)</f>
        <v>5013912.723238403</v>
      </c>
      <c r="E313" s="21">
        <f>SUMIFS(Annual_Cost!$S$2:$S$807,Annual_Cost!$A$2:$A$807,A313,Annual_Cost!$B$2:$B$807,B313)</f>
        <v>5013912.723238403</v>
      </c>
      <c r="F313" s="21">
        <f>SUMIFS(Annual_Cost!$W$2:$W$807,Annual_Cost!$A$2:$A$807,A313,Annual_Cost!$B$2:$B$807,B313)</f>
        <v>2394672.6404105555</v>
      </c>
      <c r="G313" s="21">
        <f>SUMIFS($E$2:E313,$A$2:A313,A313)</f>
        <v>114865850.35047722</v>
      </c>
      <c r="H313" s="21">
        <f>SUMIFS($F$2:F313,$A$2:A313,A313)</f>
        <v>78196312.974156484</v>
      </c>
    </row>
    <row r="314" spans="1:8">
      <c r="A314" t="s">
        <v>265</v>
      </c>
      <c r="B314" s="18">
        <v>2025</v>
      </c>
      <c r="C314" s="21">
        <f>SUMIFS(Annual_Cost!$Q$2:$Q$807,Annual_Cost!$A$2:$A$807,A314,Annual_Cost!$B$2:$B$807,B314)</f>
        <v>0</v>
      </c>
      <c r="D314" s="21">
        <f>SUMIFS(Annual_Cost!$R$2:$R$807,Annual_Cost!$A$2:$A$807,A314,Annual_Cost!$B$2:$B$807,B314)</f>
        <v>0</v>
      </c>
      <c r="E314" s="21">
        <f>SUMIFS(Annual_Cost!$S$2:$S$807,Annual_Cost!$A$2:$A$807,A314,Annual_Cost!$B$2:$B$807,B314)</f>
        <v>0</v>
      </c>
      <c r="F314" s="21">
        <f>SUMIFS(Annual_Cost!$W$2:$W$807,Annual_Cost!$A$2:$A$807,A314,Annual_Cost!$B$2:$B$807,B314)</f>
        <v>0</v>
      </c>
      <c r="G314" s="21">
        <f>SUMIFS($E$2:E314,$A$2:A314,A314)</f>
        <v>0</v>
      </c>
      <c r="H314" s="21">
        <f>SUMIFS($F$2:F314,$A$2:A314,A314)</f>
        <v>0</v>
      </c>
    </row>
    <row r="315" spans="1:8">
      <c r="A315" t="s">
        <v>265</v>
      </c>
      <c r="B315" s="18">
        <v>2026</v>
      </c>
      <c r="C315" s="21">
        <f>SUMIFS(Annual_Cost!$Q$2:$Q$807,Annual_Cost!$A$2:$A$807,A315,Annual_Cost!$B$2:$B$807,B315)</f>
        <v>0</v>
      </c>
      <c r="D315" s="21">
        <f>SUMIFS(Annual_Cost!$R$2:$R$807,Annual_Cost!$A$2:$A$807,A315,Annual_Cost!$B$2:$B$807,B315)</f>
        <v>1486789.528129793</v>
      </c>
      <c r="E315" s="21">
        <f>SUMIFS(Annual_Cost!$S$2:$S$807,Annual_Cost!$A$2:$A$807,A315,Annual_Cost!$B$2:$B$807,B315)</f>
        <v>1486789.528129793</v>
      </c>
      <c r="F315" s="21">
        <f>SUMIFS(Annual_Cost!$W$2:$W$807,Annual_Cost!$A$2:$A$807,A315,Annual_Cost!$B$2:$B$807,B315)</f>
        <v>1443484.9787667894</v>
      </c>
      <c r="G315" s="21">
        <f>SUMIFS($E$2:E315,$A$2:A315,A315)</f>
        <v>1486789.528129793</v>
      </c>
      <c r="H315" s="21">
        <f>SUMIFS($F$2:F315,$A$2:A315,A315)</f>
        <v>1443484.9787667894</v>
      </c>
    </row>
    <row r="316" spans="1:8">
      <c r="A316" t="s">
        <v>265</v>
      </c>
      <c r="B316" s="18">
        <v>2027</v>
      </c>
      <c r="C316" s="21">
        <f>SUMIFS(Annual_Cost!$Q$2:$Q$807,Annual_Cost!$A$2:$A$807,A316,Annual_Cost!$B$2:$B$807,B316)</f>
        <v>0</v>
      </c>
      <c r="D316" s="21">
        <f>SUMIFS(Annual_Cost!$R$2:$R$807,Annual_Cost!$A$2:$A$807,A316,Annual_Cost!$B$2:$B$807,B316)</f>
        <v>2992933.6066704742</v>
      </c>
      <c r="E316" s="21">
        <f>SUMIFS(Annual_Cost!$S$2:$S$807,Annual_Cost!$A$2:$A$807,A316,Annual_Cost!$B$2:$B$807,B316)</f>
        <v>2992933.6066704742</v>
      </c>
      <c r="F316" s="21">
        <f>SUMIFS(Annual_Cost!$W$2:$W$807,Annual_Cost!$A$2:$A$807,A316,Annual_Cost!$B$2:$B$807,B316)</f>
        <v>2821126.9739565221</v>
      </c>
      <c r="G316" s="21">
        <f>SUMIFS($E$2:E316,$A$2:A316,A316)</f>
        <v>4479723.1348002674</v>
      </c>
      <c r="H316" s="21">
        <f>SUMIFS($F$2:F316,$A$2:A316,A316)</f>
        <v>4264611.9527233113</v>
      </c>
    </row>
    <row r="317" spans="1:8">
      <c r="A317" t="s">
        <v>265</v>
      </c>
      <c r="B317" s="18">
        <v>2028</v>
      </c>
      <c r="C317" s="21">
        <f>SUMIFS(Annual_Cost!$Q$2:$Q$807,Annual_Cost!$A$2:$A$807,A317,Annual_Cost!$B$2:$B$807,B317)</f>
        <v>0</v>
      </c>
      <c r="D317" s="21">
        <f>SUMIFS(Annual_Cost!$R$2:$R$807,Annual_Cost!$A$2:$A$807,A317,Annual_Cost!$B$2:$B$807,B317)</f>
        <v>4520170.3951824652</v>
      </c>
      <c r="E317" s="21">
        <f>SUMIFS(Annual_Cost!$S$2:$S$807,Annual_Cost!$A$2:$A$807,A317,Annual_Cost!$B$2:$B$807,B317)</f>
        <v>4520170.3951824652</v>
      </c>
      <c r="F317" s="21">
        <f>SUMIFS(Annual_Cost!$W$2:$W$807,Annual_Cost!$A$2:$A$807,A317,Annual_Cost!$B$2:$B$807,B317)</f>
        <v>4136596.2360063083</v>
      </c>
      <c r="G317" s="21">
        <f>SUMIFS($E$2:E317,$A$2:A317,A317)</f>
        <v>8999893.5299827326</v>
      </c>
      <c r="H317" s="21">
        <f>SUMIFS($F$2:F317,$A$2:A317,A317)</f>
        <v>8401208.1887296196</v>
      </c>
    </row>
    <row r="318" spans="1:8">
      <c r="A318" t="s">
        <v>265</v>
      </c>
      <c r="B318" s="18">
        <v>2029</v>
      </c>
      <c r="C318" s="21">
        <f>SUMIFS(Annual_Cost!$Q$2:$Q$807,Annual_Cost!$A$2:$A$807,A318,Annual_Cost!$B$2:$B$807,B318)</f>
        <v>0</v>
      </c>
      <c r="D318" s="21">
        <f>SUMIFS(Annual_Cost!$R$2:$R$807,Annual_Cost!$A$2:$A$807,A318,Annual_Cost!$B$2:$B$807,B318)</f>
        <v>4548771.5340417661</v>
      </c>
      <c r="E318" s="21">
        <f>SUMIFS(Annual_Cost!$S$2:$S$807,Annual_Cost!$A$2:$A$807,A318,Annual_Cost!$B$2:$B$807,B318)</f>
        <v>4548771.5340417661</v>
      </c>
      <c r="F318" s="21">
        <f>SUMIFS(Annual_Cost!$W$2:$W$807,Annual_Cost!$A$2:$A$807,A318,Annual_Cost!$B$2:$B$807,B318)</f>
        <v>4041524.5919236885</v>
      </c>
      <c r="G318" s="21">
        <f>SUMIFS($E$2:E318,$A$2:A318,A318)</f>
        <v>13548665.064024499</v>
      </c>
      <c r="H318" s="21">
        <f>SUMIFS($F$2:F318,$A$2:A318,A318)</f>
        <v>12442732.780653309</v>
      </c>
    </row>
    <row r="319" spans="1:8">
      <c r="A319" t="s">
        <v>265</v>
      </c>
      <c r="B319" s="18">
        <v>2030</v>
      </c>
      <c r="C319" s="21">
        <f>SUMIFS(Annual_Cost!$Q$2:$Q$807,Annual_Cost!$A$2:$A$807,A319,Annual_Cost!$B$2:$B$807,B319)</f>
        <v>0</v>
      </c>
      <c r="D319" s="21">
        <f>SUMIFS(Annual_Cost!$R$2:$R$807,Annual_Cost!$A$2:$A$807,A319,Annual_Cost!$B$2:$B$807,B319)</f>
        <v>4578529.6601770269</v>
      </c>
      <c r="E319" s="21">
        <f>SUMIFS(Annual_Cost!$S$2:$S$807,Annual_Cost!$A$2:$A$807,A319,Annual_Cost!$B$2:$B$807,B319)</f>
        <v>4578529.6601770269</v>
      </c>
      <c r="F319" s="21">
        <f>SUMIFS(Annual_Cost!$W$2:$W$807,Annual_Cost!$A$2:$A$807,A319,Annual_Cost!$B$2:$B$807,B319)</f>
        <v>3949479.9044321449</v>
      </c>
      <c r="G319" s="21">
        <f>SUMIFS($E$2:E319,$A$2:A319,A319)</f>
        <v>18127194.724201526</v>
      </c>
      <c r="H319" s="21">
        <f>SUMIFS($F$2:F319,$A$2:A319,A319)</f>
        <v>16392212.685085453</v>
      </c>
    </row>
    <row r="320" spans="1:8">
      <c r="A320" t="s">
        <v>265</v>
      </c>
      <c r="B320" s="18">
        <v>2031</v>
      </c>
      <c r="C320" s="21">
        <f>SUMIFS(Annual_Cost!$Q$2:$Q$807,Annual_Cost!$A$2:$A$807,A320,Annual_Cost!$B$2:$B$807,B320)</f>
        <v>0</v>
      </c>
      <c r="D320" s="21">
        <f>SUMIFS(Annual_Cost!$R$2:$R$807,Annual_Cost!$A$2:$A$807,A320,Annual_Cost!$B$2:$B$807,B320)</f>
        <v>4607768.9686963325</v>
      </c>
      <c r="E320" s="21">
        <f>SUMIFS(Annual_Cost!$S$2:$S$807,Annual_Cost!$A$2:$A$807,A320,Annual_Cost!$B$2:$B$807,B320)</f>
        <v>4607768.9686963325</v>
      </c>
      <c r="F320" s="21">
        <f>SUMIFS(Annual_Cost!$W$2:$W$807,Annual_Cost!$A$2:$A$807,A320,Annual_Cost!$B$2:$B$807,B320)</f>
        <v>3858933.969718657</v>
      </c>
      <c r="G320" s="21">
        <f>SUMIFS($E$2:E320,$A$2:A320,A320)</f>
        <v>22734963.69289786</v>
      </c>
      <c r="H320" s="21">
        <f>SUMIFS($F$2:F320,$A$2:A320,A320)</f>
        <v>20251146.654804111</v>
      </c>
    </row>
    <row r="321" spans="1:8">
      <c r="A321" t="s">
        <v>265</v>
      </c>
      <c r="B321" s="18">
        <v>2032</v>
      </c>
      <c r="C321" s="21">
        <f>SUMIFS(Annual_Cost!$Q$2:$Q$807,Annual_Cost!$A$2:$A$807,A321,Annual_Cost!$B$2:$B$807,B321)</f>
        <v>0</v>
      </c>
      <c r="D321" s="21">
        <f>SUMIFS(Annual_Cost!$R$2:$R$807,Annual_Cost!$A$2:$A$807,A321,Annual_Cost!$B$2:$B$807,B321)</f>
        <v>4636321.5096364319</v>
      </c>
      <c r="E321" s="21">
        <f>SUMIFS(Annual_Cost!$S$2:$S$807,Annual_Cost!$A$2:$A$807,A321,Annual_Cost!$B$2:$B$807,B321)</f>
        <v>4636321.5096364319</v>
      </c>
      <c r="F321" s="21">
        <f>SUMIFS(Annual_Cost!$W$2:$W$807,Annual_Cost!$A$2:$A$807,A321,Annual_Cost!$B$2:$B$807,B321)</f>
        <v>3769753.663343986</v>
      </c>
      <c r="G321" s="21">
        <f>SUMIFS($E$2:E321,$A$2:A321,A321)</f>
        <v>27371285.202534292</v>
      </c>
      <c r="H321" s="21">
        <f>SUMIFS($F$2:F321,$A$2:A321,A321)</f>
        <v>24020900.318148095</v>
      </c>
    </row>
    <row r="322" spans="1:8">
      <c r="A322" t="s">
        <v>265</v>
      </c>
      <c r="B322" s="18">
        <v>2033</v>
      </c>
      <c r="C322" s="21">
        <f>SUMIFS(Annual_Cost!$Q$2:$Q$807,Annual_Cost!$A$2:$A$807,A322,Annual_Cost!$B$2:$B$807,B322)</f>
        <v>0</v>
      </c>
      <c r="D322" s="21">
        <f>SUMIFS(Annual_Cost!$R$2:$R$807,Annual_Cost!$A$2:$A$807,A322,Annual_Cost!$B$2:$B$807,B322)</f>
        <v>4664422.1786949011</v>
      </c>
      <c r="E322" s="21">
        <f>SUMIFS(Annual_Cost!$S$2:$S$807,Annual_Cost!$A$2:$A$807,A322,Annual_Cost!$B$2:$B$807,B322)</f>
        <v>4664422.1786949011</v>
      </c>
      <c r="F322" s="21">
        <f>SUMIFS(Annual_Cost!$W$2:$W$807,Annual_Cost!$A$2:$A$807,A322,Annual_Cost!$B$2:$B$807,B322)</f>
        <v>3682137.9406004818</v>
      </c>
      <c r="G322" s="21">
        <f>SUMIFS($E$2:E322,$A$2:A322,A322)</f>
        <v>32035707.381229192</v>
      </c>
      <c r="H322" s="21">
        <f>SUMIFS($F$2:F322,$A$2:A322,A322)</f>
        <v>27703038.258748576</v>
      </c>
    </row>
    <row r="323" spans="1:8">
      <c r="A323" t="s">
        <v>265</v>
      </c>
      <c r="B323" s="18">
        <v>2034</v>
      </c>
      <c r="C323" s="21">
        <f>SUMIFS(Annual_Cost!$Q$2:$Q$807,Annual_Cost!$A$2:$A$807,A323,Annual_Cost!$B$2:$B$807,B323)</f>
        <v>0</v>
      </c>
      <c r="D323" s="21">
        <f>SUMIFS(Annual_Cost!$R$2:$R$807,Annual_Cost!$A$2:$A$807,A323,Annual_Cost!$B$2:$B$807,B323)</f>
        <v>4691858.9399380246</v>
      </c>
      <c r="E323" s="21">
        <f>SUMIFS(Annual_Cost!$S$2:$S$807,Annual_Cost!$A$2:$A$807,A323,Annual_Cost!$B$2:$B$807,B323)</f>
        <v>4691858.9399380246</v>
      </c>
      <c r="F323" s="21">
        <f>SUMIFS(Annual_Cost!$W$2:$W$807,Annual_Cost!$A$2:$A$807,A323,Annual_Cost!$B$2:$B$807,B323)</f>
        <v>3595919.1973645343</v>
      </c>
      <c r="G323" s="21">
        <f>SUMIFS($E$2:E323,$A$2:A323,A323)</f>
        <v>36727566.321167216</v>
      </c>
      <c r="H323" s="21">
        <f>SUMIFS($F$2:F323,$A$2:A323,A323)</f>
        <v>31298957.456113111</v>
      </c>
    </row>
    <row r="324" spans="1:8">
      <c r="A324" t="s">
        <v>265</v>
      </c>
      <c r="B324" s="18">
        <v>2035</v>
      </c>
      <c r="C324" s="21">
        <f>SUMIFS(Annual_Cost!$Q$2:$Q$807,Annual_Cost!$A$2:$A$807,A324,Annual_Cost!$B$2:$B$807,B324)</f>
        <v>0</v>
      </c>
      <c r="D324" s="21">
        <f>SUMIFS(Annual_Cost!$R$2:$R$807,Annual_Cost!$A$2:$A$807,A324,Annual_Cost!$B$2:$B$807,B324)</f>
        <v>4718552.3120848658</v>
      </c>
      <c r="E324" s="21">
        <f>SUMIFS(Annual_Cost!$S$2:$S$807,Annual_Cost!$A$2:$A$807,A324,Annual_Cost!$B$2:$B$807,B324)</f>
        <v>4718552.3120848658</v>
      </c>
      <c r="F324" s="21">
        <f>SUMIFS(Annual_Cost!$W$2:$W$807,Annual_Cost!$A$2:$A$807,A324,Annual_Cost!$B$2:$B$807,B324)</f>
        <v>3511046.062544222</v>
      </c>
      <c r="G324" s="21">
        <f>SUMIFS($E$2:E324,$A$2:A324,A324)</f>
        <v>41446118.633252084</v>
      </c>
      <c r="H324" s="21">
        <f>SUMIFS($F$2:F324,$A$2:A324,A324)</f>
        <v>34810003.518657334</v>
      </c>
    </row>
    <row r="325" spans="1:8">
      <c r="A325" t="s">
        <v>265</v>
      </c>
      <c r="B325" s="18">
        <v>2036</v>
      </c>
      <c r="C325" s="21">
        <f>SUMIFS(Annual_Cost!$Q$2:$Q$807,Annual_Cost!$A$2:$A$807,A325,Annual_Cost!$B$2:$B$807,B325)</f>
        <v>0</v>
      </c>
      <c r="D325" s="21">
        <f>SUMIFS(Annual_Cost!$R$2:$R$807,Annual_Cost!$A$2:$A$807,A325,Annual_Cost!$B$2:$B$807,B325)</f>
        <v>4744547.5593396425</v>
      </c>
      <c r="E325" s="21">
        <f>SUMIFS(Annual_Cost!$S$2:$S$807,Annual_Cost!$A$2:$A$807,A325,Annual_Cost!$B$2:$B$807,B325)</f>
        <v>4744547.5593396425</v>
      </c>
      <c r="F325" s="21">
        <f>SUMIFS(Annual_Cost!$W$2:$W$807,Annual_Cost!$A$2:$A$807,A325,Annual_Cost!$B$2:$B$807,B325)</f>
        <v>3427562.1047016867</v>
      </c>
      <c r="G325" s="21">
        <f>SUMIFS($E$2:E325,$A$2:A325,A325)</f>
        <v>46190666.192591727</v>
      </c>
      <c r="H325" s="21">
        <f>SUMIFS($F$2:F325,$A$2:A325,A325)</f>
        <v>38237565.623359025</v>
      </c>
    </row>
    <row r="326" spans="1:8">
      <c r="A326" t="s">
        <v>265</v>
      </c>
      <c r="B326" s="18">
        <v>2037</v>
      </c>
      <c r="C326" s="21">
        <f>SUMIFS(Annual_Cost!$Q$2:$Q$807,Annual_Cost!$A$2:$A$807,A326,Annual_Cost!$B$2:$B$807,B326)</f>
        <v>0</v>
      </c>
      <c r="D326" s="21">
        <f>SUMIFS(Annual_Cost!$R$2:$R$807,Annual_Cost!$A$2:$A$807,A326,Annual_Cost!$B$2:$B$807,B326)</f>
        <v>4769827.4063585838</v>
      </c>
      <c r="E326" s="21">
        <f>SUMIFS(Annual_Cost!$S$2:$S$807,Annual_Cost!$A$2:$A$807,A326,Annual_Cost!$B$2:$B$807,B326)</f>
        <v>4769827.4063585838</v>
      </c>
      <c r="F326" s="21">
        <f>SUMIFS(Annual_Cost!$W$2:$W$807,Annual_Cost!$A$2:$A$807,A326,Annual_Cost!$B$2:$B$807,B326)</f>
        <v>3345460.974812944</v>
      </c>
      <c r="G326" s="21">
        <f>SUMIFS($E$2:E326,$A$2:A326,A326)</f>
        <v>50960493.598950312</v>
      </c>
      <c r="H326" s="21">
        <f>SUMIFS($F$2:F326,$A$2:A326,A326)</f>
        <v>41583026.598171972</v>
      </c>
    </row>
    <row r="327" spans="1:8">
      <c r="A327" t="s">
        <v>265</v>
      </c>
      <c r="B327" s="18">
        <v>2038</v>
      </c>
      <c r="C327" s="21">
        <f>SUMIFS(Annual_Cost!$Q$2:$Q$807,Annual_Cost!$A$2:$A$807,A327,Annual_Cost!$B$2:$B$807,B327)</f>
        <v>0</v>
      </c>
      <c r="D327" s="21">
        <f>SUMIFS(Annual_Cost!$R$2:$R$807,Annual_Cost!$A$2:$A$807,A327,Annual_Cost!$B$2:$B$807,B327)</f>
        <v>4794305.2934767995</v>
      </c>
      <c r="E327" s="21">
        <f>SUMIFS(Annual_Cost!$S$2:$S$807,Annual_Cost!$A$2:$A$807,A327,Annual_Cost!$B$2:$B$807,B327)</f>
        <v>4794305.2934767995</v>
      </c>
      <c r="F327" s="21">
        <f>SUMIFS(Annual_Cost!$W$2:$W$807,Annual_Cost!$A$2:$A$807,A327,Annual_Cost!$B$2:$B$807,B327)</f>
        <v>3264688.6139294128</v>
      </c>
      <c r="G327" s="21">
        <f>SUMIFS($E$2:E327,$A$2:A327,A327)</f>
        <v>55754798.892427109</v>
      </c>
      <c r="H327" s="21">
        <f>SUMIFS($F$2:F327,$A$2:A327,A327)</f>
        <v>44847715.212101385</v>
      </c>
    </row>
    <row r="328" spans="1:8">
      <c r="A328" t="s">
        <v>265</v>
      </c>
      <c r="B328" s="18">
        <v>2039</v>
      </c>
      <c r="C328" s="21">
        <f>SUMIFS(Annual_Cost!$Q$2:$Q$807,Annual_Cost!$A$2:$A$807,A328,Annual_Cost!$B$2:$B$807,B328)</f>
        <v>0</v>
      </c>
      <c r="D328" s="21">
        <f>SUMIFS(Annual_Cost!$R$2:$R$807,Annual_Cost!$A$2:$A$807,A328,Annual_Cost!$B$2:$B$807,B328)</f>
        <v>4817958.0930228056</v>
      </c>
      <c r="E328" s="21">
        <f>SUMIFS(Annual_Cost!$S$2:$S$807,Annual_Cost!$A$2:$A$807,A328,Annual_Cost!$B$2:$B$807,B328)</f>
        <v>4817958.0930228056</v>
      </c>
      <c r="F328" s="21">
        <f>SUMIFS(Annual_Cost!$W$2:$W$807,Annual_Cost!$A$2:$A$807,A328,Annual_Cost!$B$2:$B$807,B328)</f>
        <v>3185237.8829852962</v>
      </c>
      <c r="G328" s="21">
        <f>SUMIFS($E$2:E328,$A$2:A328,A328)</f>
        <v>60572756.985449918</v>
      </c>
      <c r="H328" s="21">
        <f>SUMIFS($F$2:F328,$A$2:A328,A328)</f>
        <v>48032953.095086679</v>
      </c>
    </row>
    <row r="329" spans="1:8">
      <c r="A329" t="s">
        <v>265</v>
      </c>
      <c r="B329" s="18">
        <v>2040</v>
      </c>
      <c r="C329" s="21">
        <f>SUMIFS(Annual_Cost!$Q$2:$Q$807,Annual_Cost!$A$2:$A$807,A329,Annual_Cost!$B$2:$B$807,B329)</f>
        <v>0</v>
      </c>
      <c r="D329" s="21">
        <f>SUMIFS(Annual_Cost!$R$2:$R$807,Annual_Cost!$A$2:$A$807,A329,Annual_Cost!$B$2:$B$807,B329)</f>
        <v>4840654.6557112746</v>
      </c>
      <c r="E329" s="21">
        <f>SUMIFS(Annual_Cost!$S$2:$S$807,Annual_Cost!$A$2:$A$807,A329,Annual_Cost!$B$2:$B$807,B329)</f>
        <v>4840654.6557112746</v>
      </c>
      <c r="F329" s="21">
        <f>SUMIFS(Annual_Cost!$W$2:$W$807,Annual_Cost!$A$2:$A$807,A329,Annual_Cost!$B$2:$B$807,B329)</f>
        <v>3107032.0239898264</v>
      </c>
      <c r="G329" s="21">
        <f>SUMIFS($E$2:E329,$A$2:A329,A329)</f>
        <v>65413411.641161188</v>
      </c>
      <c r="H329" s="21">
        <f>SUMIFS($F$2:F329,$A$2:A329,A329)</f>
        <v>51139985.119076505</v>
      </c>
    </row>
    <row r="330" spans="1:8">
      <c r="A330" t="s">
        <v>265</v>
      </c>
      <c r="B330" s="18">
        <v>2041</v>
      </c>
      <c r="C330" s="21">
        <f>SUMIFS(Annual_Cost!$Q$2:$Q$807,Annual_Cost!$A$2:$A$807,A330,Annual_Cost!$B$2:$B$807,B330)</f>
        <v>0</v>
      </c>
      <c r="D330" s="21">
        <f>SUMIFS(Annual_Cost!$R$2:$R$807,Annual_Cost!$A$2:$A$807,A330,Annual_Cost!$B$2:$B$807,B330)</f>
        <v>4862457.0739505915</v>
      </c>
      <c r="E330" s="21">
        <f>SUMIFS(Annual_Cost!$S$2:$S$807,Annual_Cost!$A$2:$A$807,A330,Annual_Cost!$B$2:$B$807,B330)</f>
        <v>4862457.0739505915</v>
      </c>
      <c r="F330" s="21">
        <f>SUMIFS(Annual_Cost!$W$2:$W$807,Annual_Cost!$A$2:$A$807,A330,Annual_Cost!$B$2:$B$807,B330)</f>
        <v>3030122.4918629834</v>
      </c>
      <c r="G330" s="21">
        <f>SUMIFS($E$2:E330,$A$2:A330,A330)</f>
        <v>70275868.715111777</v>
      </c>
      <c r="H330" s="21">
        <f>SUMIFS($F$2:F330,$A$2:A330,A330)</f>
        <v>54170107.610939488</v>
      </c>
    </row>
    <row r="331" spans="1:8">
      <c r="A331" t="s">
        <v>265</v>
      </c>
      <c r="B331" s="18">
        <v>2042</v>
      </c>
      <c r="C331" s="21">
        <f>SUMIFS(Annual_Cost!$Q$2:$Q$807,Annual_Cost!$A$2:$A$807,A331,Annual_Cost!$B$2:$B$807,B331)</f>
        <v>0</v>
      </c>
      <c r="D331" s="21">
        <f>SUMIFS(Annual_Cost!$R$2:$R$807,Annual_Cost!$A$2:$A$807,A331,Annual_Cost!$B$2:$B$807,B331)</f>
        <v>4883289.8452067655</v>
      </c>
      <c r="E331" s="21">
        <f>SUMIFS(Annual_Cost!$S$2:$S$807,Annual_Cost!$A$2:$A$807,A331,Annual_Cost!$B$2:$B$807,B331)</f>
        <v>4883289.8452067655</v>
      </c>
      <c r="F331" s="21">
        <f>SUMIFS(Annual_Cost!$W$2:$W$807,Annual_Cost!$A$2:$A$807,A331,Annual_Cost!$B$2:$B$807,B331)</f>
        <v>2954470.6661768602</v>
      </c>
      <c r="G331" s="21">
        <f>SUMIFS($E$2:E331,$A$2:A331,A331)</f>
        <v>75159158.560318545</v>
      </c>
      <c r="H331" s="21">
        <f>SUMIFS($F$2:F331,$A$2:A331,A331)</f>
        <v>57124578.277116351</v>
      </c>
    </row>
    <row r="332" spans="1:8">
      <c r="A332" t="s">
        <v>265</v>
      </c>
      <c r="B332" s="18">
        <v>2043</v>
      </c>
      <c r="C332" s="21">
        <f>SUMIFS(Annual_Cost!$Q$2:$Q$807,Annual_Cost!$A$2:$A$807,A332,Annual_Cost!$B$2:$B$807,B332)</f>
        <v>0</v>
      </c>
      <c r="D332" s="21">
        <f>SUMIFS(Annual_Cost!$R$2:$R$807,Annual_Cost!$A$2:$A$807,A332,Annual_Cost!$B$2:$B$807,B332)</f>
        <v>4903148.5480203228</v>
      </c>
      <c r="E332" s="21">
        <f>SUMIFS(Annual_Cost!$S$2:$S$807,Annual_Cost!$A$2:$A$807,A332,Annual_Cost!$B$2:$B$807,B332)</f>
        <v>4903148.5480203228</v>
      </c>
      <c r="F332" s="21">
        <f>SUMIFS(Annual_Cost!$W$2:$W$807,Annual_Cost!$A$2:$A$807,A332,Annual_Cost!$B$2:$B$807,B332)</f>
        <v>2880083.0174487438</v>
      </c>
      <c r="G332" s="21">
        <f>SUMIFS($E$2:E332,$A$2:A332,A332)</f>
        <v>80062307.108338863</v>
      </c>
      <c r="H332" s="21">
        <f>SUMIFS($F$2:F332,$A$2:A332,A332)</f>
        <v>60004661.294565096</v>
      </c>
    </row>
    <row r="333" spans="1:8">
      <c r="A333" t="s">
        <v>265</v>
      </c>
      <c r="B333" s="18">
        <v>2044</v>
      </c>
      <c r="C333" s="21">
        <f>SUMIFS(Annual_Cost!$Q$2:$Q$807,Annual_Cost!$A$2:$A$807,A333,Annual_Cost!$B$2:$B$807,B333)</f>
        <v>0</v>
      </c>
      <c r="D333" s="21">
        <f>SUMIFS(Annual_Cost!$R$2:$R$807,Annual_Cost!$A$2:$A$807,A333,Annual_Cost!$B$2:$B$807,B333)</f>
        <v>4921999.3586154236</v>
      </c>
      <c r="E333" s="21">
        <f>SUMIFS(Annual_Cost!$S$2:$S$807,Annual_Cost!$A$2:$A$807,A333,Annual_Cost!$B$2:$B$807,B333)</f>
        <v>4921999.3586154236</v>
      </c>
      <c r="F333" s="21">
        <f>SUMIFS(Annual_Cost!$W$2:$W$807,Annual_Cost!$A$2:$A$807,A333,Annual_Cost!$B$2:$B$807,B333)</f>
        <v>2806947.4581956328</v>
      </c>
      <c r="G333" s="21">
        <f>SUMIFS($E$2:E333,$A$2:A333,A333)</f>
        <v>84984306.466954291</v>
      </c>
      <c r="H333" s="21">
        <f>SUMIFS($F$2:F333,$A$2:A333,A333)</f>
        <v>62811608.752760731</v>
      </c>
    </row>
    <row r="334" spans="1:8">
      <c r="A334" t="s">
        <v>265</v>
      </c>
      <c r="B334" s="18">
        <v>2045</v>
      </c>
      <c r="C334" s="21">
        <f>SUMIFS(Annual_Cost!$Q$2:$Q$807,Annual_Cost!$A$2:$A$807,A334,Annual_Cost!$B$2:$B$807,B334)</f>
        <v>0</v>
      </c>
      <c r="D334" s="21">
        <f>SUMIFS(Annual_Cost!$R$2:$R$807,Annual_Cost!$A$2:$A$807,A334,Annual_Cost!$B$2:$B$807,B334)</f>
        <v>4939804.5816358551</v>
      </c>
      <c r="E334" s="21">
        <f>SUMIFS(Annual_Cost!$S$2:$S$807,Annual_Cost!$A$2:$A$807,A334,Annual_Cost!$B$2:$B$807,B334)</f>
        <v>4939804.5816358551</v>
      </c>
      <c r="F334" s="21">
        <f>SUMIFS(Annual_Cost!$W$2:$W$807,Annual_Cost!$A$2:$A$807,A334,Annual_Cost!$B$2:$B$807,B334)</f>
        <v>2735050.027270345</v>
      </c>
      <c r="G334" s="21">
        <f>SUMIFS($E$2:E334,$A$2:A334,A334)</f>
        <v>89924111.048590153</v>
      </c>
      <c r="H334" s="21">
        <f>SUMIFS($F$2:F334,$A$2:A334,A334)</f>
        <v>65546658.780031078</v>
      </c>
    </row>
    <row r="335" spans="1:8">
      <c r="A335" t="s">
        <v>265</v>
      </c>
      <c r="B335" s="18">
        <v>2046</v>
      </c>
      <c r="C335" s="21">
        <f>SUMIFS(Annual_Cost!$Q$2:$Q$807,Annual_Cost!$A$2:$A$807,A335,Annual_Cost!$B$2:$B$807,B335)</f>
        <v>0</v>
      </c>
      <c r="D335" s="21">
        <f>SUMIFS(Annual_Cost!$R$2:$R$807,Annual_Cost!$A$2:$A$807,A335,Annual_Cost!$B$2:$B$807,B335)</f>
        <v>4956583.1900290474</v>
      </c>
      <c r="E335" s="21">
        <f>SUMIFS(Annual_Cost!$S$2:$S$807,Annual_Cost!$A$2:$A$807,A335,Annual_Cost!$B$2:$B$807,B335)</f>
        <v>4956583.1900290474</v>
      </c>
      <c r="F335" s="21">
        <f>SUMIFS(Annual_Cost!$W$2:$W$807,Annual_Cost!$A$2:$A$807,A335,Annual_Cost!$B$2:$B$807,B335)</f>
        <v>2664407.7047831486</v>
      </c>
      <c r="G335" s="21">
        <f>SUMIFS($E$2:E335,$A$2:A335,A335)</f>
        <v>94880694.238619208</v>
      </c>
      <c r="H335" s="21">
        <f>SUMIFS($F$2:F335,$A$2:A335,A335)</f>
        <v>68211066.484814227</v>
      </c>
    </row>
    <row r="336" spans="1:8">
      <c r="A336" t="s">
        <v>265</v>
      </c>
      <c r="B336" s="18">
        <v>2047</v>
      </c>
      <c r="C336" s="21">
        <f>SUMIFS(Annual_Cost!$Q$2:$Q$807,Annual_Cost!$A$2:$A$807,A336,Annual_Cost!$B$2:$B$807,B336)</f>
        <v>0</v>
      </c>
      <c r="D336" s="21">
        <f>SUMIFS(Annual_Cost!$R$2:$R$807,Annual_Cost!$A$2:$A$807,A336,Annual_Cost!$B$2:$B$807,B336)</f>
        <v>4972373.0219940236</v>
      </c>
      <c r="E336" s="21">
        <f>SUMIFS(Annual_Cost!$S$2:$S$807,Annual_Cost!$A$2:$A$807,A336,Annual_Cost!$B$2:$B$807,B336)</f>
        <v>4972373.0219940236</v>
      </c>
      <c r="F336" s="21">
        <f>SUMIFS(Annual_Cost!$W$2:$W$807,Annual_Cost!$A$2:$A$807,A336,Annual_Cost!$B$2:$B$807,B336)</f>
        <v>2595044.1917695603</v>
      </c>
      <c r="G336" s="21">
        <f>SUMIFS($E$2:E336,$A$2:A336,A336)</f>
        <v>99853067.260613233</v>
      </c>
      <c r="H336" s="21">
        <f>SUMIFS($F$2:F336,$A$2:A336,A336)</f>
        <v>70806110.676583782</v>
      </c>
    </row>
    <row r="337" spans="1:8">
      <c r="A337" t="s">
        <v>265</v>
      </c>
      <c r="B337" s="18">
        <v>2048</v>
      </c>
      <c r="C337" s="21">
        <f>SUMIFS(Annual_Cost!$Q$2:$Q$807,Annual_Cost!$A$2:$A$807,A337,Annual_Cost!$B$2:$B$807,B337)</f>
        <v>0</v>
      </c>
      <c r="D337" s="21">
        <f>SUMIFS(Annual_Cost!$R$2:$R$807,Annual_Cost!$A$2:$A$807,A337,Annual_Cost!$B$2:$B$807,B337)</f>
        <v>4987175.0073311403</v>
      </c>
      <c r="E337" s="21">
        <f>SUMIFS(Annual_Cost!$S$2:$S$807,Annual_Cost!$A$2:$A$807,A337,Annual_Cost!$B$2:$B$807,B337)</f>
        <v>4987175.0073311403</v>
      </c>
      <c r="F337" s="21">
        <f>SUMIFS(Annual_Cost!$W$2:$W$807,Annual_Cost!$A$2:$A$807,A337,Annual_Cost!$B$2:$B$807,B337)</f>
        <v>2526960.4241894907</v>
      </c>
      <c r="G337" s="21">
        <f>SUMIFS($E$2:E337,$A$2:A337,A337)</f>
        <v>104840242.26794437</v>
      </c>
      <c r="H337" s="21">
        <f>SUMIFS($F$2:F337,$A$2:A337,A337)</f>
        <v>73333071.100773275</v>
      </c>
    </row>
    <row r="338" spans="1:8">
      <c r="A338" t="s">
        <v>265</v>
      </c>
      <c r="B338" s="18">
        <v>2049</v>
      </c>
      <c r="C338" s="21">
        <f>SUMIFS(Annual_Cost!$Q$2:$Q$807,Annual_Cost!$A$2:$A$807,A338,Annual_Cost!$B$2:$B$807,B338)</f>
        <v>0</v>
      </c>
      <c r="D338" s="21">
        <f>SUMIFS(Annual_Cost!$R$2:$R$807,Annual_Cost!$A$2:$A$807,A338,Annual_Cost!$B$2:$B$807,B338)</f>
        <v>5000977.046681447</v>
      </c>
      <c r="E338" s="21">
        <f>SUMIFS(Annual_Cost!$S$2:$S$807,Annual_Cost!$A$2:$A$807,A338,Annual_Cost!$B$2:$B$807,B338)</f>
        <v>5000977.046681447</v>
      </c>
      <c r="F338" s="21">
        <f>SUMIFS(Annual_Cost!$W$2:$W$807,Annual_Cost!$A$2:$A$807,A338,Annual_Cost!$B$2:$B$807,B338)</f>
        <v>2460149.3239221293</v>
      </c>
      <c r="G338" s="21">
        <f>SUMIFS($E$2:E338,$A$2:A338,A338)</f>
        <v>109841219.31462581</v>
      </c>
      <c r="H338" s="21">
        <f>SUMIFS($F$2:F338,$A$2:A338,A338)</f>
        <v>75793220.424695402</v>
      </c>
    </row>
    <row r="339" spans="1:8">
      <c r="A339" t="s">
        <v>265</v>
      </c>
      <c r="B339" s="18">
        <v>2050</v>
      </c>
      <c r="C339" s="21">
        <f>SUMIFS(Annual_Cost!$Q$2:$Q$807,Annual_Cost!$A$2:$A$807,A339,Annual_Cost!$B$2:$B$807,B339)</f>
        <v>0</v>
      </c>
      <c r="D339" s="21">
        <f>SUMIFS(Annual_Cost!$R$2:$R$807,Annual_Cost!$A$2:$A$807,A339,Annual_Cost!$B$2:$B$807,B339)</f>
        <v>5013741.619198096</v>
      </c>
      <c r="E339" s="21">
        <f>SUMIFS(Annual_Cost!$S$2:$S$807,Annual_Cost!$A$2:$A$807,A339,Annual_Cost!$B$2:$B$807,B339)</f>
        <v>5013741.619198096</v>
      </c>
      <c r="F339" s="21">
        <f>SUMIFS(Annual_Cost!$W$2:$W$807,Annual_Cost!$A$2:$A$807,A339,Annual_Cost!$B$2:$B$807,B339)</f>
        <v>2394590.9201679816</v>
      </c>
      <c r="G339" s="21">
        <f>SUMIFS($E$2:E339,$A$2:A339,A339)</f>
        <v>114854960.93382391</v>
      </c>
      <c r="H339" s="21">
        <f>SUMIFS($F$2:F339,$A$2:A339,A339)</f>
        <v>78187811.344863385</v>
      </c>
    </row>
    <row r="340" spans="1:8">
      <c r="A340" t="s">
        <v>272</v>
      </c>
      <c r="B340" s="18">
        <v>2025</v>
      </c>
      <c r="C340" s="21">
        <f>SUMIFS(Annual_Cost!$Q$2:$Q$807,Annual_Cost!$A$2:$A$807,A340,Annual_Cost!$B$2:$B$807,B340)</f>
        <v>0</v>
      </c>
      <c r="D340" s="21">
        <f>SUMIFS(Annual_Cost!$R$2:$R$807,Annual_Cost!$A$2:$A$807,A340,Annual_Cost!$B$2:$B$807,B340)</f>
        <v>0</v>
      </c>
      <c r="E340" s="21">
        <f>SUMIFS(Annual_Cost!$S$2:$S$807,Annual_Cost!$A$2:$A$807,A340,Annual_Cost!$B$2:$B$807,B340)</f>
        <v>0</v>
      </c>
      <c r="F340" s="21">
        <f>SUMIFS(Annual_Cost!$W$2:$W$807,Annual_Cost!$A$2:$A$807,A340,Annual_Cost!$B$2:$B$807,B340)</f>
        <v>0</v>
      </c>
      <c r="G340" s="21">
        <f>SUMIFS($E$2:E340,$A$2:A340,A340)</f>
        <v>0</v>
      </c>
      <c r="H340" s="21">
        <f>SUMIFS($F$2:F340,$A$2:A340,A340)</f>
        <v>0</v>
      </c>
    </row>
    <row r="341" spans="1:8">
      <c r="A341" t="s">
        <v>272</v>
      </c>
      <c r="B341" s="18">
        <v>2026</v>
      </c>
      <c r="C341" s="21">
        <f>SUMIFS(Annual_Cost!$Q$2:$Q$807,Annual_Cost!$A$2:$A$807,A341,Annual_Cost!$B$2:$B$807,B341)</f>
        <v>0</v>
      </c>
      <c r="D341" s="21">
        <f>SUMIFS(Annual_Cost!$R$2:$R$807,Annual_Cost!$A$2:$A$807,A341,Annual_Cost!$B$2:$B$807,B341)</f>
        <v>1486789.528129793</v>
      </c>
      <c r="E341" s="21">
        <f>SUMIFS(Annual_Cost!$S$2:$S$807,Annual_Cost!$A$2:$A$807,A341,Annual_Cost!$B$2:$B$807,B341)</f>
        <v>1486789.528129793</v>
      </c>
      <c r="F341" s="21">
        <f>SUMIFS(Annual_Cost!$W$2:$W$807,Annual_Cost!$A$2:$A$807,A341,Annual_Cost!$B$2:$B$807,B341)</f>
        <v>1443484.9787667894</v>
      </c>
      <c r="G341" s="21">
        <f>SUMIFS($E$2:E341,$A$2:A341,A341)</f>
        <v>1486789.528129793</v>
      </c>
      <c r="H341" s="21">
        <f>SUMIFS($F$2:F341,$A$2:A341,A341)</f>
        <v>1443484.9787667894</v>
      </c>
    </row>
    <row r="342" spans="1:8">
      <c r="A342" t="s">
        <v>272</v>
      </c>
      <c r="B342" s="18">
        <v>2027</v>
      </c>
      <c r="C342" s="21">
        <f>SUMIFS(Annual_Cost!$Q$2:$Q$807,Annual_Cost!$A$2:$A$807,A342,Annual_Cost!$B$2:$B$807,B342)</f>
        <v>0</v>
      </c>
      <c r="D342" s="21">
        <f>SUMIFS(Annual_Cost!$R$2:$R$807,Annual_Cost!$A$2:$A$807,A342,Annual_Cost!$B$2:$B$807,B342)</f>
        <v>2992933.6066704742</v>
      </c>
      <c r="E342" s="21">
        <f>SUMIFS(Annual_Cost!$S$2:$S$807,Annual_Cost!$A$2:$A$807,A342,Annual_Cost!$B$2:$B$807,B342)</f>
        <v>2992933.6066704742</v>
      </c>
      <c r="F342" s="21">
        <f>SUMIFS(Annual_Cost!$W$2:$W$807,Annual_Cost!$A$2:$A$807,A342,Annual_Cost!$B$2:$B$807,B342)</f>
        <v>2821126.9739565221</v>
      </c>
      <c r="G342" s="21">
        <f>SUMIFS($E$2:E342,$A$2:A342,A342)</f>
        <v>4479723.1348002674</v>
      </c>
      <c r="H342" s="21">
        <f>SUMIFS($F$2:F342,$A$2:A342,A342)</f>
        <v>4264611.9527233113</v>
      </c>
    </row>
    <row r="343" spans="1:8">
      <c r="A343" t="s">
        <v>272</v>
      </c>
      <c r="B343" s="18">
        <v>2028</v>
      </c>
      <c r="C343" s="21">
        <f>SUMIFS(Annual_Cost!$Q$2:$Q$807,Annual_Cost!$A$2:$A$807,A343,Annual_Cost!$B$2:$B$807,B343)</f>
        <v>0</v>
      </c>
      <c r="D343" s="21">
        <f>SUMIFS(Annual_Cost!$R$2:$R$807,Annual_Cost!$A$2:$A$807,A343,Annual_Cost!$B$2:$B$807,B343)</f>
        <v>4520170.3951824652</v>
      </c>
      <c r="E343" s="21">
        <f>SUMIFS(Annual_Cost!$S$2:$S$807,Annual_Cost!$A$2:$A$807,A343,Annual_Cost!$B$2:$B$807,B343)</f>
        <v>4520170.3951824652</v>
      </c>
      <c r="F343" s="21">
        <f>SUMIFS(Annual_Cost!$W$2:$W$807,Annual_Cost!$A$2:$A$807,A343,Annual_Cost!$B$2:$B$807,B343)</f>
        <v>4136596.2360063083</v>
      </c>
      <c r="G343" s="21">
        <f>SUMIFS($E$2:E343,$A$2:A343,A343)</f>
        <v>8999893.5299827326</v>
      </c>
      <c r="H343" s="21">
        <f>SUMIFS($F$2:F343,$A$2:A343,A343)</f>
        <v>8401208.1887296196</v>
      </c>
    </row>
    <row r="344" spans="1:8">
      <c r="A344" t="s">
        <v>272</v>
      </c>
      <c r="B344" s="18">
        <v>2029</v>
      </c>
      <c r="C344" s="21">
        <f>SUMIFS(Annual_Cost!$Q$2:$Q$807,Annual_Cost!$A$2:$A$807,A344,Annual_Cost!$B$2:$B$807,B344)</f>
        <v>0</v>
      </c>
      <c r="D344" s="21">
        <f>SUMIFS(Annual_Cost!$R$2:$R$807,Annual_Cost!$A$2:$A$807,A344,Annual_Cost!$B$2:$B$807,B344)</f>
        <v>4550455.1009681001</v>
      </c>
      <c r="E344" s="21">
        <f>SUMIFS(Annual_Cost!$S$2:$S$807,Annual_Cost!$A$2:$A$807,A344,Annual_Cost!$B$2:$B$807,B344)</f>
        <v>4550455.1009681001</v>
      </c>
      <c r="F344" s="21">
        <f>SUMIFS(Annual_Cost!$W$2:$W$807,Annual_Cost!$A$2:$A$807,A344,Annual_Cost!$B$2:$B$807,B344)</f>
        <v>4043020.4193320358</v>
      </c>
      <c r="G344" s="21">
        <f>SUMIFS($E$2:E344,$A$2:A344,A344)</f>
        <v>13550348.630950833</v>
      </c>
      <c r="H344" s="21">
        <f>SUMIFS($F$2:F344,$A$2:A344,A344)</f>
        <v>12444228.608061656</v>
      </c>
    </row>
    <row r="345" spans="1:8">
      <c r="A345" t="s">
        <v>272</v>
      </c>
      <c r="B345" s="18">
        <v>2030</v>
      </c>
      <c r="C345" s="21">
        <f>SUMIFS(Annual_Cost!$Q$2:$Q$807,Annual_Cost!$A$2:$A$807,A345,Annual_Cost!$B$2:$B$807,B345)</f>
        <v>0</v>
      </c>
      <c r="D345" s="21">
        <f>SUMIFS(Annual_Cost!$R$2:$R$807,Annual_Cost!$A$2:$A$807,A345,Annual_Cost!$B$2:$B$807,B345)</f>
        <v>4580025.3950337889</v>
      </c>
      <c r="E345" s="21">
        <f>SUMIFS(Annual_Cost!$S$2:$S$807,Annual_Cost!$A$2:$A$807,A345,Annual_Cost!$B$2:$B$807,B345)</f>
        <v>4580025.3950337889</v>
      </c>
      <c r="F345" s="21">
        <f>SUMIFS(Annual_Cost!$W$2:$W$807,Annual_Cost!$A$2:$A$807,A345,Annual_Cost!$B$2:$B$807,B345)</f>
        <v>3950770.1384586976</v>
      </c>
      <c r="G345" s="21">
        <f>SUMIFS($E$2:E345,$A$2:A345,A345)</f>
        <v>18130374.025984623</v>
      </c>
      <c r="H345" s="21">
        <f>SUMIFS($F$2:F345,$A$2:A345,A345)</f>
        <v>16394998.746520353</v>
      </c>
    </row>
    <row r="346" spans="1:8">
      <c r="A346" t="s">
        <v>272</v>
      </c>
      <c r="B346" s="18">
        <v>2031</v>
      </c>
      <c r="C346" s="21">
        <f>SUMIFS(Annual_Cost!$Q$2:$Q$807,Annual_Cost!$A$2:$A$807,A346,Annual_Cost!$B$2:$B$807,B346)</f>
        <v>0</v>
      </c>
      <c r="D346" s="21">
        <f>SUMIFS(Annual_Cost!$R$2:$R$807,Annual_Cost!$A$2:$A$807,A346,Annual_Cost!$B$2:$B$807,B346)</f>
        <v>4609084.7896598205</v>
      </c>
      <c r="E346" s="21">
        <f>SUMIFS(Annual_Cost!$S$2:$S$807,Annual_Cost!$A$2:$A$807,A346,Annual_Cost!$B$2:$B$807,B346)</f>
        <v>4609084.7896598205</v>
      </c>
      <c r="F346" s="21">
        <f>SUMIFS(Annual_Cost!$W$2:$W$807,Annual_Cost!$A$2:$A$807,A346,Annual_Cost!$B$2:$B$807,B346)</f>
        <v>3860035.9490601928</v>
      </c>
      <c r="G346" s="21">
        <f>SUMIFS($E$2:E346,$A$2:A346,A346)</f>
        <v>22739458.815644443</v>
      </c>
      <c r="H346" s="21">
        <f>SUMIFS($F$2:F346,$A$2:A346,A346)</f>
        <v>20255034.695580546</v>
      </c>
    </row>
    <row r="347" spans="1:8">
      <c r="A347" t="s">
        <v>272</v>
      </c>
      <c r="B347" s="18">
        <v>2032</v>
      </c>
      <c r="C347" s="21">
        <f>SUMIFS(Annual_Cost!$Q$2:$Q$807,Annual_Cost!$A$2:$A$807,A347,Annual_Cost!$B$2:$B$807,B347)</f>
        <v>0</v>
      </c>
      <c r="D347" s="21">
        <f>SUMIFS(Annual_Cost!$R$2:$R$807,Annual_Cost!$A$2:$A$807,A347,Annual_Cost!$B$2:$B$807,B347)</f>
        <v>4637598.3961200509</v>
      </c>
      <c r="E347" s="21">
        <f>SUMIFS(Annual_Cost!$S$2:$S$807,Annual_Cost!$A$2:$A$807,A347,Annual_Cost!$B$2:$B$807,B347)</f>
        <v>4637598.3961200509</v>
      </c>
      <c r="F347" s="21">
        <f>SUMIFS(Annual_Cost!$W$2:$W$807,Annual_Cost!$A$2:$A$807,A347,Annual_Cost!$B$2:$B$807,B347)</f>
        <v>3770791.8889047657</v>
      </c>
      <c r="G347" s="21">
        <f>SUMIFS($E$2:E347,$A$2:A347,A347)</f>
        <v>27377057.211764492</v>
      </c>
      <c r="H347" s="21">
        <f>SUMIFS($F$2:F347,$A$2:A347,A347)</f>
        <v>24025826.584485311</v>
      </c>
    </row>
    <row r="348" spans="1:8">
      <c r="A348" t="s">
        <v>272</v>
      </c>
      <c r="B348" s="18">
        <v>2033</v>
      </c>
      <c r="C348" s="21">
        <f>SUMIFS(Annual_Cost!$Q$2:$Q$807,Annual_Cost!$A$2:$A$807,A348,Annual_Cost!$B$2:$B$807,B348)</f>
        <v>0</v>
      </c>
      <c r="D348" s="21">
        <f>SUMIFS(Annual_Cost!$R$2:$R$807,Annual_Cost!$A$2:$A$807,A348,Annual_Cost!$B$2:$B$807,B348)</f>
        <v>4665545.4350833949</v>
      </c>
      <c r="E348" s="21">
        <f>SUMIFS(Annual_Cost!$S$2:$S$807,Annual_Cost!$A$2:$A$807,A348,Annual_Cost!$B$2:$B$807,B348)</f>
        <v>4665545.4350833949</v>
      </c>
      <c r="F348" s="21">
        <f>SUMIFS(Annual_Cost!$W$2:$W$807,Annual_Cost!$A$2:$A$807,A348,Annual_Cost!$B$2:$B$807,B348)</f>
        <v>3683024.6495660609</v>
      </c>
      <c r="G348" s="21">
        <f>SUMIFS($E$2:E348,$A$2:A348,A348)</f>
        <v>32042602.646847889</v>
      </c>
      <c r="H348" s="21">
        <f>SUMIFS($F$2:F348,$A$2:A348,A348)</f>
        <v>27708851.234051373</v>
      </c>
    </row>
    <row r="349" spans="1:8">
      <c r="A349" t="s">
        <v>272</v>
      </c>
      <c r="B349" s="18">
        <v>2034</v>
      </c>
      <c r="C349" s="21">
        <f>SUMIFS(Annual_Cost!$Q$2:$Q$807,Annual_Cost!$A$2:$A$807,A349,Annual_Cost!$B$2:$B$807,B349)</f>
        <v>0</v>
      </c>
      <c r="D349" s="21">
        <f>SUMIFS(Annual_Cost!$R$2:$R$807,Annual_Cost!$A$2:$A$807,A349,Annual_Cost!$B$2:$B$807,B349)</f>
        <v>4692842.9292112757</v>
      </c>
      <c r="E349" s="21">
        <f>SUMIFS(Annual_Cost!$S$2:$S$807,Annual_Cost!$A$2:$A$807,A349,Annual_Cost!$B$2:$B$807,B349)</f>
        <v>4692842.9292112757</v>
      </c>
      <c r="F349" s="21">
        <f>SUMIFS(Annual_Cost!$W$2:$W$807,Annual_Cost!$A$2:$A$807,A349,Annual_Cost!$B$2:$B$807,B349)</f>
        <v>3596673.3432080005</v>
      </c>
      <c r="G349" s="21">
        <f>SUMIFS($E$2:E349,$A$2:A349,A349)</f>
        <v>36735445.576059163</v>
      </c>
      <c r="H349" s="21">
        <f>SUMIFS($F$2:F349,$A$2:A349,A349)</f>
        <v>31305524.577259373</v>
      </c>
    </row>
    <row r="350" spans="1:8">
      <c r="A350" t="s">
        <v>272</v>
      </c>
      <c r="B350" s="18">
        <v>2035</v>
      </c>
      <c r="C350" s="21">
        <f>SUMIFS(Annual_Cost!$Q$2:$Q$807,Annual_Cost!$A$2:$A$807,A350,Annual_Cost!$B$2:$B$807,B350)</f>
        <v>0</v>
      </c>
      <c r="D350" s="21">
        <f>SUMIFS(Annual_Cost!$R$2:$R$807,Annual_Cost!$A$2:$A$807,A350,Annual_Cost!$B$2:$B$807,B350)</f>
        <v>4719405.4093936523</v>
      </c>
      <c r="E350" s="21">
        <f>SUMIFS(Annual_Cost!$S$2:$S$807,Annual_Cost!$A$2:$A$807,A350,Annual_Cost!$B$2:$B$807,B350)</f>
        <v>4719405.4093936523</v>
      </c>
      <c r="F350" s="21">
        <f>SUMIFS(Annual_Cost!$W$2:$W$807,Annual_Cost!$A$2:$A$807,A350,Annual_Cost!$B$2:$B$807,B350)</f>
        <v>3511680.8470605048</v>
      </c>
      <c r="G350" s="21">
        <f>SUMIFS($E$2:E350,$A$2:A350,A350)</f>
        <v>41454850.985452816</v>
      </c>
      <c r="H350" s="21">
        <f>SUMIFS($F$2:F350,$A$2:A350,A350)</f>
        <v>34817205.424319878</v>
      </c>
    </row>
    <row r="351" spans="1:8">
      <c r="A351" t="s">
        <v>272</v>
      </c>
      <c r="B351" s="18">
        <v>2036</v>
      </c>
      <c r="C351" s="21">
        <f>SUMIFS(Annual_Cost!$Q$2:$Q$807,Annual_Cost!$A$2:$A$807,A351,Annual_Cost!$B$2:$B$807,B351)</f>
        <v>0</v>
      </c>
      <c r="D351" s="21">
        <f>SUMIFS(Annual_Cost!$R$2:$R$807,Annual_Cost!$A$2:$A$807,A351,Annual_Cost!$B$2:$B$807,B351)</f>
        <v>4745283.5296566933</v>
      </c>
      <c r="E351" s="21">
        <f>SUMIFS(Annual_Cost!$S$2:$S$807,Annual_Cost!$A$2:$A$807,A351,Annual_Cost!$B$2:$B$807,B351)</f>
        <v>4745283.5296566933</v>
      </c>
      <c r="F351" s="21">
        <f>SUMIFS(Annual_Cost!$W$2:$W$807,Annual_Cost!$A$2:$A$807,A351,Annual_Cost!$B$2:$B$807,B351)</f>
        <v>3428093.7853176692</v>
      </c>
      <c r="G351" s="21">
        <f>SUMIFS($E$2:E351,$A$2:A351,A351)</f>
        <v>46200134.515109509</v>
      </c>
      <c r="H351" s="21">
        <f>SUMIFS($F$2:F351,$A$2:A351,A351)</f>
        <v>38245299.209637545</v>
      </c>
    </row>
    <row r="352" spans="1:8">
      <c r="A352" t="s">
        <v>272</v>
      </c>
      <c r="B352" s="18">
        <v>2037</v>
      </c>
      <c r="C352" s="21">
        <f>SUMIFS(Annual_Cost!$Q$2:$Q$807,Annual_Cost!$A$2:$A$807,A352,Annual_Cost!$B$2:$B$807,B352)</f>
        <v>0</v>
      </c>
      <c r="D352" s="21">
        <f>SUMIFS(Annual_Cost!$R$2:$R$807,Annual_Cost!$A$2:$A$807,A352,Annual_Cost!$B$2:$B$807,B352)</f>
        <v>4770304.4517373713</v>
      </c>
      <c r="E352" s="21">
        <f>SUMIFS(Annual_Cost!$S$2:$S$807,Annual_Cost!$A$2:$A$807,A352,Annual_Cost!$B$2:$B$807,B352)</f>
        <v>4770304.4517373713</v>
      </c>
      <c r="F352" s="21">
        <f>SUMIFS(Annual_Cost!$W$2:$W$807,Annual_Cost!$A$2:$A$807,A352,Annual_Cost!$B$2:$B$807,B352)</f>
        <v>3345795.5648435643</v>
      </c>
      <c r="G352" s="21">
        <f>SUMIFS($E$2:E352,$A$2:A352,A352)</f>
        <v>50970438.966846883</v>
      </c>
      <c r="H352" s="21">
        <f>SUMIFS($F$2:F352,$A$2:A352,A352)</f>
        <v>41591094.77448111</v>
      </c>
    </row>
    <row r="353" spans="1:8">
      <c r="A353" t="s">
        <v>272</v>
      </c>
      <c r="B353" s="18">
        <v>2038</v>
      </c>
      <c r="C353" s="21">
        <f>SUMIFS(Annual_Cost!$Q$2:$Q$807,Annual_Cost!$A$2:$A$807,A353,Annual_Cost!$B$2:$B$807,B353)</f>
        <v>0</v>
      </c>
      <c r="D353" s="21">
        <f>SUMIFS(Annual_Cost!$R$2:$R$807,Annual_Cost!$A$2:$A$807,A353,Annual_Cost!$B$2:$B$807,B353)</f>
        <v>4794690.0008485792</v>
      </c>
      <c r="E353" s="21">
        <f>SUMIFS(Annual_Cost!$S$2:$S$807,Annual_Cost!$A$2:$A$807,A353,Annual_Cost!$B$2:$B$807,B353)</f>
        <v>4794690.0008485792</v>
      </c>
      <c r="F353" s="21">
        <f>SUMIFS(Annual_Cost!$W$2:$W$807,Annual_Cost!$A$2:$A$807,A353,Annual_Cost!$B$2:$B$807,B353)</f>
        <v>3264950.5809297315</v>
      </c>
      <c r="G353" s="21">
        <f>SUMIFS($E$2:E353,$A$2:A353,A353)</f>
        <v>55765128.96769546</v>
      </c>
      <c r="H353" s="21">
        <f>SUMIFS($F$2:F353,$A$2:A353,A353)</f>
        <v>44856045.355410844</v>
      </c>
    </row>
    <row r="354" spans="1:8">
      <c r="A354" t="s">
        <v>272</v>
      </c>
      <c r="B354" s="18">
        <v>2039</v>
      </c>
      <c r="C354" s="21">
        <f>SUMIFS(Annual_Cost!$Q$2:$Q$807,Annual_Cost!$A$2:$A$807,A354,Annual_Cost!$B$2:$B$807,B354)</f>
        <v>0</v>
      </c>
      <c r="D354" s="21">
        <f>SUMIFS(Annual_Cost!$R$2:$R$807,Annual_Cost!$A$2:$A$807,A354,Annual_Cost!$B$2:$B$807,B354)</f>
        <v>4818265.4149427414</v>
      </c>
      <c r="E354" s="21">
        <f>SUMIFS(Annual_Cost!$S$2:$S$807,Annual_Cost!$A$2:$A$807,A354,Annual_Cost!$B$2:$B$807,B354)</f>
        <v>4818265.4149427414</v>
      </c>
      <c r="F354" s="21">
        <f>SUMIFS(Annual_Cost!$W$2:$W$807,Annual_Cost!$A$2:$A$807,A354,Annual_Cost!$B$2:$B$807,B354)</f>
        <v>3185441.0589786842</v>
      </c>
      <c r="G354" s="21">
        <f>SUMIFS($E$2:E354,$A$2:A354,A354)</f>
        <v>60583394.382638201</v>
      </c>
      <c r="H354" s="21">
        <f>SUMIFS($F$2:F354,$A$2:A354,A354)</f>
        <v>48041486.414389528</v>
      </c>
    </row>
    <row r="355" spans="1:8">
      <c r="A355" t="s">
        <v>272</v>
      </c>
      <c r="B355" s="18">
        <v>2040</v>
      </c>
      <c r="C355" s="21">
        <f>SUMIFS(Annual_Cost!$Q$2:$Q$807,Annual_Cost!$A$2:$A$807,A355,Annual_Cost!$B$2:$B$807,B355)</f>
        <v>0</v>
      </c>
      <c r="D355" s="21">
        <f>SUMIFS(Annual_Cost!$R$2:$R$807,Annual_Cost!$A$2:$A$807,A355,Annual_Cost!$B$2:$B$807,B355)</f>
        <v>4840897.7002169862</v>
      </c>
      <c r="E355" s="21">
        <f>SUMIFS(Annual_Cost!$S$2:$S$807,Annual_Cost!$A$2:$A$807,A355,Annual_Cost!$B$2:$B$807,B355)</f>
        <v>4840897.7002169862</v>
      </c>
      <c r="F355" s="21">
        <f>SUMIFS(Annual_Cost!$W$2:$W$807,Annual_Cost!$A$2:$A$807,A355,Annual_Cost!$B$2:$B$807,B355)</f>
        <v>3107188.0250095665</v>
      </c>
      <c r="G355" s="21">
        <f>SUMIFS($E$2:E355,$A$2:A355,A355)</f>
        <v>65424292.082855187</v>
      </c>
      <c r="H355" s="21">
        <f>SUMIFS($F$2:F355,$A$2:A355,A355)</f>
        <v>51148674.439399093</v>
      </c>
    </row>
    <row r="356" spans="1:8">
      <c r="A356" t="s">
        <v>272</v>
      </c>
      <c r="B356" s="18">
        <v>2041</v>
      </c>
      <c r="C356" s="21">
        <f>SUMIFS(Annual_Cost!$Q$2:$Q$807,Annual_Cost!$A$2:$A$807,A356,Annual_Cost!$B$2:$B$807,B356)</f>
        <v>0</v>
      </c>
      <c r="D356" s="21">
        <f>SUMIFS(Annual_Cost!$R$2:$R$807,Annual_Cost!$A$2:$A$807,A356,Annual_Cost!$B$2:$B$807,B356)</f>
        <v>4862648.3495713128</v>
      </c>
      <c r="E356" s="21">
        <f>SUMIFS(Annual_Cost!$S$2:$S$807,Annual_Cost!$A$2:$A$807,A356,Annual_Cost!$B$2:$B$807,B356)</f>
        <v>4862648.3495713128</v>
      </c>
      <c r="F356" s="21">
        <f>SUMIFS(Annual_Cost!$W$2:$W$807,Annual_Cost!$A$2:$A$807,A356,Annual_Cost!$B$2:$B$807,B356)</f>
        <v>3030241.6885060957</v>
      </c>
      <c r="G356" s="21">
        <f>SUMIFS($E$2:E356,$A$2:A356,A356)</f>
        <v>70286940.432426497</v>
      </c>
      <c r="H356" s="21">
        <f>SUMIFS($F$2:F356,$A$2:A356,A356)</f>
        <v>54178916.12790519</v>
      </c>
    </row>
    <row r="357" spans="1:8">
      <c r="A357" t="s">
        <v>272</v>
      </c>
      <c r="B357" s="18">
        <v>2042</v>
      </c>
      <c r="C357" s="21">
        <f>SUMIFS(Annual_Cost!$Q$2:$Q$807,Annual_Cost!$A$2:$A$807,A357,Annual_Cost!$B$2:$B$807,B357)</f>
        <v>0</v>
      </c>
      <c r="D357" s="21">
        <f>SUMIFS(Annual_Cost!$R$2:$R$807,Annual_Cost!$A$2:$A$807,A357,Annual_Cost!$B$2:$B$807,B357)</f>
        <v>4883440.9188032858</v>
      </c>
      <c r="E357" s="21">
        <f>SUMIFS(Annual_Cost!$S$2:$S$807,Annual_Cost!$A$2:$A$807,A357,Annual_Cost!$B$2:$B$807,B357)</f>
        <v>4883440.9188032858</v>
      </c>
      <c r="F357" s="21">
        <f>SUMIFS(Annual_Cost!$W$2:$W$807,Annual_Cost!$A$2:$A$807,A357,Annual_Cost!$B$2:$B$807,B357)</f>
        <v>2954562.068187288</v>
      </c>
      <c r="G357" s="21">
        <f>SUMIFS($E$2:E357,$A$2:A357,A357)</f>
        <v>75170381.351229787</v>
      </c>
      <c r="H357" s="21">
        <f>SUMIFS($F$2:F357,$A$2:A357,A357)</f>
        <v>57133478.196092479</v>
      </c>
    </row>
    <row r="358" spans="1:8">
      <c r="A358" t="s">
        <v>272</v>
      </c>
      <c r="B358" s="18">
        <v>2043</v>
      </c>
      <c r="C358" s="21">
        <f>SUMIFS(Annual_Cost!$Q$2:$Q$807,Annual_Cost!$A$2:$A$807,A358,Annual_Cost!$B$2:$B$807,B358)</f>
        <v>0</v>
      </c>
      <c r="D358" s="21">
        <f>SUMIFS(Annual_Cost!$R$2:$R$807,Annual_Cost!$A$2:$A$807,A358,Annual_Cost!$B$2:$B$807,B358)</f>
        <v>4903360.9428883158</v>
      </c>
      <c r="E358" s="21">
        <f>SUMIFS(Annual_Cost!$S$2:$S$807,Annual_Cost!$A$2:$A$807,A358,Annual_Cost!$B$2:$B$807,B358)</f>
        <v>4903360.9428883158</v>
      </c>
      <c r="F358" s="21">
        <f>SUMIFS(Annual_Cost!$W$2:$W$807,Annual_Cost!$A$2:$A$807,A358,Annual_Cost!$B$2:$B$807,B358)</f>
        <v>2880207.7770488882</v>
      </c>
      <c r="G358" s="21">
        <f>SUMIFS($E$2:E358,$A$2:A358,A358)</f>
        <v>80073742.294118106</v>
      </c>
      <c r="H358" s="21">
        <f>SUMIFS($F$2:F358,$A$2:A358,A358)</f>
        <v>60013685.973141365</v>
      </c>
    </row>
    <row r="359" spans="1:8">
      <c r="A359" t="s">
        <v>272</v>
      </c>
      <c r="B359" s="18">
        <v>2044</v>
      </c>
      <c r="C359" s="21">
        <f>SUMIFS(Annual_Cost!$Q$2:$Q$807,Annual_Cost!$A$2:$A$807,A359,Annual_Cost!$B$2:$B$807,B359)</f>
        <v>0</v>
      </c>
      <c r="D359" s="21">
        <f>SUMIFS(Annual_Cost!$R$2:$R$807,Annual_Cost!$A$2:$A$807,A359,Annual_Cost!$B$2:$B$807,B359)</f>
        <v>4922220.8205895107</v>
      </c>
      <c r="E359" s="21">
        <f>SUMIFS(Annual_Cost!$S$2:$S$807,Annual_Cost!$A$2:$A$807,A359,Annual_Cost!$B$2:$B$807,B359)</f>
        <v>4922220.8205895107</v>
      </c>
      <c r="F359" s="21">
        <f>SUMIFS(Annual_Cost!$W$2:$W$807,Annual_Cost!$A$2:$A$807,A359,Annual_Cost!$B$2:$B$807,B359)</f>
        <v>2807073.7548649251</v>
      </c>
      <c r="G359" s="21">
        <f>SUMIFS($E$2:E359,$A$2:A359,A359)</f>
        <v>84995963.114707619</v>
      </c>
      <c r="H359" s="21">
        <f>SUMIFS($F$2:F359,$A$2:A359,A359)</f>
        <v>62820759.728006288</v>
      </c>
    </row>
    <row r="360" spans="1:8">
      <c r="A360" t="s">
        <v>272</v>
      </c>
      <c r="B360" s="18">
        <v>2045</v>
      </c>
      <c r="C360" s="21">
        <f>SUMIFS(Annual_Cost!$Q$2:$Q$807,Annual_Cost!$A$2:$A$807,A360,Annual_Cost!$B$2:$B$807,B360)</f>
        <v>0</v>
      </c>
      <c r="D360" s="21">
        <f>SUMIFS(Annual_Cost!$R$2:$R$807,Annual_Cost!$A$2:$A$807,A360,Annual_Cost!$B$2:$B$807,B360)</f>
        <v>4940040.9175852668</v>
      </c>
      <c r="E360" s="21">
        <f>SUMIFS(Annual_Cost!$S$2:$S$807,Annual_Cost!$A$2:$A$807,A360,Annual_Cost!$B$2:$B$807,B360)</f>
        <v>4940040.9175852668</v>
      </c>
      <c r="F360" s="21">
        <f>SUMIFS(Annual_Cost!$W$2:$W$807,Annual_Cost!$A$2:$A$807,A360,Annual_Cost!$B$2:$B$807,B360)</f>
        <v>2735180.880755377</v>
      </c>
      <c r="G360" s="21">
        <f>SUMIFS($E$2:E360,$A$2:A360,A360)</f>
        <v>89936004.032292888</v>
      </c>
      <c r="H360" s="21">
        <f>SUMIFS($F$2:F360,$A$2:A360,A360)</f>
        <v>65555940.608761668</v>
      </c>
    </row>
    <row r="361" spans="1:8">
      <c r="A361" t="s">
        <v>272</v>
      </c>
      <c r="B361" s="18">
        <v>2046</v>
      </c>
      <c r="C361" s="21">
        <f>SUMIFS(Annual_Cost!$Q$2:$Q$807,Annual_Cost!$A$2:$A$807,A361,Annual_Cost!$B$2:$B$807,B361)</f>
        <v>0</v>
      </c>
      <c r="D361" s="21">
        <f>SUMIFS(Annual_Cost!$R$2:$R$807,Annual_Cost!$A$2:$A$807,A361,Annual_Cost!$B$2:$B$807,B361)</f>
        <v>4956841.8378618369</v>
      </c>
      <c r="E361" s="21">
        <f>SUMIFS(Annual_Cost!$S$2:$S$807,Annual_Cost!$A$2:$A$807,A361,Annual_Cost!$B$2:$B$807,B361)</f>
        <v>4956841.8378618369</v>
      </c>
      <c r="F361" s="21">
        <f>SUMIFS(Annual_Cost!$W$2:$W$807,Annual_Cost!$A$2:$A$807,A361,Annual_Cost!$B$2:$B$807,B361)</f>
        <v>2664546.7407383798</v>
      </c>
      <c r="G361" s="21">
        <f>SUMIFS($E$2:E361,$A$2:A361,A361)</f>
        <v>94892845.870154724</v>
      </c>
      <c r="H361" s="21">
        <f>SUMIFS($F$2:F361,$A$2:A361,A361)</f>
        <v>68220487.349500045</v>
      </c>
    </row>
    <row r="362" spans="1:8">
      <c r="A362" t="s">
        <v>272</v>
      </c>
      <c r="B362" s="18">
        <v>2047</v>
      </c>
      <c r="C362" s="21">
        <f>SUMIFS(Annual_Cost!$Q$2:$Q$807,Annual_Cost!$A$2:$A$807,A362,Annual_Cost!$B$2:$B$807,B362)</f>
        <v>0</v>
      </c>
      <c r="D362" s="21">
        <f>SUMIFS(Annual_Cost!$R$2:$R$807,Annual_Cost!$A$2:$A$807,A362,Annual_Cost!$B$2:$B$807,B362)</f>
        <v>4972436.8071347279</v>
      </c>
      <c r="E362" s="21">
        <f>SUMIFS(Annual_Cost!$S$2:$S$807,Annual_Cost!$A$2:$A$807,A362,Annual_Cost!$B$2:$B$807,B362)</f>
        <v>4972436.8071347279</v>
      </c>
      <c r="F362" s="21">
        <f>SUMIFS(Annual_Cost!$W$2:$W$807,Annual_Cost!$A$2:$A$807,A362,Annual_Cost!$B$2:$B$807,B362)</f>
        <v>2595077.4807561617</v>
      </c>
      <c r="G362" s="21">
        <f>SUMIFS($E$2:E362,$A$2:A362,A362)</f>
        <v>99865282.677289456</v>
      </c>
      <c r="H362" s="21">
        <f>SUMIFS($F$2:F362,$A$2:A362,A362)</f>
        <v>70815564.830256209</v>
      </c>
    </row>
    <row r="363" spans="1:8">
      <c r="A363" t="s">
        <v>272</v>
      </c>
      <c r="B363" s="18">
        <v>2048</v>
      </c>
      <c r="C363" s="21">
        <f>SUMIFS(Annual_Cost!$Q$2:$Q$807,Annual_Cost!$A$2:$A$807,A363,Annual_Cost!$B$2:$B$807,B363)</f>
        <v>0</v>
      </c>
      <c r="D363" s="21">
        <f>SUMIFS(Annual_Cost!$R$2:$R$807,Annual_Cost!$A$2:$A$807,A363,Annual_Cost!$B$2:$B$807,B363)</f>
        <v>4987245.6906782053</v>
      </c>
      <c r="E363" s="21">
        <f>SUMIFS(Annual_Cost!$S$2:$S$807,Annual_Cost!$A$2:$A$807,A363,Annual_Cost!$B$2:$B$807,B363)</f>
        <v>4987245.6906782053</v>
      </c>
      <c r="F363" s="21">
        <f>SUMIFS(Annual_Cost!$W$2:$W$807,Annual_Cost!$A$2:$A$807,A363,Annual_Cost!$B$2:$B$807,B363)</f>
        <v>2526996.2388582001</v>
      </c>
      <c r="G363" s="21">
        <f>SUMIFS($E$2:E363,$A$2:A363,A363)</f>
        <v>104852528.36796767</v>
      </c>
      <c r="H363" s="21">
        <f>SUMIFS($F$2:F363,$A$2:A363,A363)</f>
        <v>73342561.069114402</v>
      </c>
    </row>
    <row r="364" spans="1:8">
      <c r="A364" t="s">
        <v>272</v>
      </c>
      <c r="B364" s="18">
        <v>2049</v>
      </c>
      <c r="C364" s="21">
        <f>SUMIFS(Annual_Cost!$Q$2:$Q$807,Annual_Cost!$A$2:$A$807,A364,Annual_Cost!$B$2:$B$807,B364)</f>
        <v>0</v>
      </c>
      <c r="D364" s="21">
        <f>SUMIFS(Annual_Cost!$R$2:$R$807,Annual_Cost!$A$2:$A$807,A364,Annual_Cost!$B$2:$B$807,B364)</f>
        <v>5001054.8663367908</v>
      </c>
      <c r="E364" s="21">
        <f>SUMIFS(Annual_Cost!$S$2:$S$807,Annual_Cost!$A$2:$A$807,A364,Annual_Cost!$B$2:$B$807,B364)</f>
        <v>5001054.8663367908</v>
      </c>
      <c r="F364" s="21">
        <f>SUMIFS(Annual_Cost!$W$2:$W$807,Annual_Cost!$A$2:$A$807,A364,Annual_Cost!$B$2:$B$807,B364)</f>
        <v>2460187.6060359436</v>
      </c>
      <c r="G364" s="21">
        <f>SUMIFS($E$2:E364,$A$2:A364,A364)</f>
        <v>109853583.23430446</v>
      </c>
      <c r="H364" s="21">
        <f>SUMIFS($F$2:F364,$A$2:A364,A364)</f>
        <v>75802748.67515035</v>
      </c>
    </row>
    <row r="365" spans="1:8">
      <c r="A365" t="s">
        <v>272</v>
      </c>
      <c r="B365" s="18">
        <v>2050</v>
      </c>
      <c r="C365" s="21">
        <f>SUMIFS(Annual_Cost!$Q$2:$Q$807,Annual_Cost!$A$2:$A$807,A365,Annual_Cost!$B$2:$B$807,B365)</f>
        <v>0</v>
      </c>
      <c r="D365" s="21">
        <f>SUMIFS(Annual_Cost!$R$2:$R$807,Annual_Cost!$A$2:$A$807,A365,Annual_Cost!$B$2:$B$807,B365)</f>
        <v>5013826.7890540985</v>
      </c>
      <c r="E365" s="21">
        <f>SUMIFS(Annual_Cost!$S$2:$S$807,Annual_Cost!$A$2:$A$807,A365,Annual_Cost!$B$2:$B$807,B365)</f>
        <v>5013826.7890540985</v>
      </c>
      <c r="F365" s="21">
        <f>SUMIFS(Annual_Cost!$W$2:$W$807,Annual_Cost!$A$2:$A$807,A365,Annual_Cost!$B$2:$B$807,B365)</f>
        <v>2394631.5977655416</v>
      </c>
      <c r="G365" s="21">
        <f>SUMIFS($E$2:E365,$A$2:A365,A365)</f>
        <v>114867410.02335855</v>
      </c>
      <c r="H365" s="21">
        <f>SUMIFS($F$2:F365,$A$2:A365,A365)</f>
        <v>78197380.272915885</v>
      </c>
    </row>
    <row r="366" spans="1:8">
      <c r="A366" t="s">
        <v>76</v>
      </c>
      <c r="B366" s="18">
        <v>2025</v>
      </c>
      <c r="C366" s="21">
        <f>SUMIFS(Annual_Cost!$Q$2:$Q$807,Annual_Cost!$A$2:$A$807,A366,Annual_Cost!$B$2:$B$807,B366)</f>
        <v>0</v>
      </c>
      <c r="D366" s="21">
        <f>SUMIFS(Annual_Cost!$R$2:$R$807,Annual_Cost!$A$2:$A$807,A366,Annual_Cost!$B$2:$B$807,B366)</f>
        <v>0</v>
      </c>
      <c r="E366" s="21">
        <f>SUMIFS(Annual_Cost!$S$2:$S$807,Annual_Cost!$A$2:$A$807,A366,Annual_Cost!$B$2:$B$807,B366)</f>
        <v>0</v>
      </c>
      <c r="F366" s="21">
        <f>SUMIFS(Annual_Cost!$W$2:$W$807,Annual_Cost!$A$2:$A$807,A366,Annual_Cost!$B$2:$B$807,B366)</f>
        <v>0</v>
      </c>
      <c r="G366" s="21">
        <f>SUMIFS($E$2:E366,$A$2:A366,A366)</f>
        <v>0</v>
      </c>
      <c r="H366" s="21">
        <f>SUMIFS($F$2:F366,$A$2:A366,A366)</f>
        <v>0</v>
      </c>
    </row>
    <row r="367" spans="1:8">
      <c r="A367" t="s">
        <v>76</v>
      </c>
      <c r="B367" s="18">
        <v>2026</v>
      </c>
      <c r="C367" s="21">
        <f>SUMIFS(Annual_Cost!$Q$2:$Q$807,Annual_Cost!$A$2:$A$807,A367,Annual_Cost!$B$2:$B$807,B367)</f>
        <v>0</v>
      </c>
      <c r="D367" s="21">
        <f>SUMIFS(Annual_Cost!$R$2:$R$807,Annual_Cost!$A$2:$A$807,A367,Annual_Cost!$B$2:$B$807,B367)</f>
        <v>16316066.89960617</v>
      </c>
      <c r="E367" s="21">
        <f>SUMIFS(Annual_Cost!$S$2:$S$807,Annual_Cost!$A$2:$A$807,A367,Annual_Cost!$B$2:$B$807,B367)</f>
        <v>16316066.89960617</v>
      </c>
      <c r="F367" s="21">
        <f>SUMIFS(Annual_Cost!$W$2:$W$807,Annual_Cost!$A$2:$A$807,A367,Annual_Cost!$B$2:$B$807,B367)</f>
        <v>15840841.650103079</v>
      </c>
      <c r="G367" s="21">
        <f>SUMIFS($E$2:E367,$A$2:A367,A367)</f>
        <v>16316066.89960617</v>
      </c>
      <c r="H367" s="21">
        <f>SUMIFS($F$2:F367,$A$2:A367,A367)</f>
        <v>15840841.650103079</v>
      </c>
    </row>
    <row r="368" spans="1:8">
      <c r="A368" t="s">
        <v>76</v>
      </c>
      <c r="B368" s="18">
        <v>2027</v>
      </c>
      <c r="C368" s="21">
        <f>SUMIFS(Annual_Cost!$Q$2:$Q$807,Annual_Cost!$A$2:$A$807,A368,Annual_Cost!$B$2:$B$807,B368)</f>
        <v>0</v>
      </c>
      <c r="D368" s="21">
        <f>SUMIFS(Annual_Cost!$R$2:$R$807,Annual_Cost!$A$2:$A$807,A368,Annual_Cost!$B$2:$B$807,B368)</f>
        <v>32844531.138137013</v>
      </c>
      <c r="E368" s="21">
        <f>SUMIFS(Annual_Cost!$S$2:$S$807,Annual_Cost!$A$2:$A$807,A368,Annual_Cost!$B$2:$B$807,B368)</f>
        <v>32844531.138137013</v>
      </c>
      <c r="F368" s="21">
        <f>SUMIFS(Annual_Cost!$W$2:$W$807,Annual_Cost!$A$2:$A$807,A368,Annual_Cost!$B$2:$B$807,B368)</f>
        <v>30959120.688224163</v>
      </c>
      <c r="G368" s="21">
        <f>SUMIFS($E$2:E368,$A$2:A368,A368)</f>
        <v>49160598.037743181</v>
      </c>
      <c r="H368" s="21">
        <f>SUMIFS($F$2:F368,$A$2:A368,A368)</f>
        <v>46799962.338327244</v>
      </c>
    </row>
    <row r="369" spans="1:8">
      <c r="A369" t="s">
        <v>76</v>
      </c>
      <c r="B369" s="18">
        <v>2028</v>
      </c>
      <c r="C369" s="21">
        <f>SUMIFS(Annual_Cost!$Q$2:$Q$807,Annual_Cost!$A$2:$A$807,A369,Annual_Cost!$B$2:$B$807,B369)</f>
        <v>0</v>
      </c>
      <c r="D369" s="21">
        <f>SUMIFS(Annual_Cost!$R$2:$R$807,Annual_Cost!$A$2:$A$807,A369,Annual_Cost!$B$2:$B$807,B369)</f>
        <v>49604862.681195006</v>
      </c>
      <c r="E369" s="21">
        <f>SUMIFS(Annual_Cost!$S$2:$S$807,Annual_Cost!$A$2:$A$807,A369,Annual_Cost!$B$2:$B$807,B369)</f>
        <v>49604862.681195006</v>
      </c>
      <c r="F369" s="21">
        <f>SUMIFS(Annual_Cost!$W$2:$W$807,Annual_Cost!$A$2:$A$807,A369,Annual_Cost!$B$2:$B$807,B369)</f>
        <v>45395476.346054427</v>
      </c>
      <c r="G369" s="21">
        <f>SUMIFS($E$2:E369,$A$2:A369,A369)</f>
        <v>98765460.718938187</v>
      </c>
      <c r="H369" s="21">
        <f>SUMIFS($F$2:F369,$A$2:A369,A369)</f>
        <v>92195438.684381664</v>
      </c>
    </row>
    <row r="370" spans="1:8">
      <c r="A370" t="s">
        <v>76</v>
      </c>
      <c r="B370" s="18">
        <v>2029</v>
      </c>
      <c r="C370" s="21">
        <f>SUMIFS(Annual_Cost!$Q$2:$Q$807,Annual_Cost!$A$2:$A$807,A370,Annual_Cost!$B$2:$B$807,B370)</f>
        <v>0</v>
      </c>
      <c r="D370" s="21">
        <f>SUMIFS(Annual_Cost!$R$2:$R$807,Annual_Cost!$A$2:$A$807,A370,Annual_Cost!$B$2:$B$807,B370)</f>
        <v>49919766.470413566</v>
      </c>
      <c r="E370" s="21">
        <f>SUMIFS(Annual_Cost!$S$2:$S$807,Annual_Cost!$A$2:$A$807,A370,Annual_Cost!$B$2:$B$807,B370)</f>
        <v>49919766.470413566</v>
      </c>
      <c r="F370" s="21">
        <f>SUMIFS(Annual_Cost!$W$2:$W$807,Annual_Cost!$A$2:$A$807,A370,Annual_Cost!$B$2:$B$807,B370)</f>
        <v>44353065.943938345</v>
      </c>
      <c r="G370" s="21">
        <f>SUMIFS($E$2:E370,$A$2:A370,A370)</f>
        <v>148685227.18935174</v>
      </c>
      <c r="H370" s="21">
        <f>SUMIFS($F$2:F370,$A$2:A370,A370)</f>
        <v>136548504.62832001</v>
      </c>
    </row>
    <row r="371" spans="1:8">
      <c r="A371" t="s">
        <v>76</v>
      </c>
      <c r="B371" s="18">
        <v>2030</v>
      </c>
      <c r="C371" s="21">
        <f>SUMIFS(Annual_Cost!$Q$2:$Q$807,Annual_Cost!$A$2:$A$807,A371,Annual_Cost!$B$2:$B$807,B371)</f>
        <v>0</v>
      </c>
      <c r="D371" s="21">
        <f>SUMIFS(Annual_Cost!$R$2:$R$807,Annual_Cost!$A$2:$A$807,A371,Annual_Cost!$B$2:$B$807,B371)</f>
        <v>50248175.716010608</v>
      </c>
      <c r="E371" s="21">
        <f>SUMIFS(Annual_Cost!$S$2:$S$807,Annual_Cost!$A$2:$A$807,A371,Annual_Cost!$B$2:$B$807,B371)</f>
        <v>50248175.716010608</v>
      </c>
      <c r="F371" s="21">
        <f>SUMIFS(Annual_Cost!$W$2:$W$807,Annual_Cost!$A$2:$A$807,A371,Annual_Cost!$B$2:$B$807,B371)</f>
        <v>43344517.771909788</v>
      </c>
      <c r="G371" s="21">
        <f>SUMIFS($E$2:E371,$A$2:A371,A371)</f>
        <v>198933402.90536234</v>
      </c>
      <c r="H371" s="21">
        <f>SUMIFS($F$2:F371,$A$2:A371,A371)</f>
        <v>179893022.40022981</v>
      </c>
    </row>
    <row r="372" spans="1:8">
      <c r="A372" t="s">
        <v>76</v>
      </c>
      <c r="B372" s="18">
        <v>2031</v>
      </c>
      <c r="C372" s="21">
        <f>SUMIFS(Annual_Cost!$Q$2:$Q$807,Annual_Cost!$A$2:$A$807,A372,Annual_Cost!$B$2:$B$807,B372)</f>
        <v>0</v>
      </c>
      <c r="D372" s="21">
        <f>SUMIFS(Annual_Cost!$R$2:$R$807,Annual_Cost!$A$2:$A$807,A372,Annual_Cost!$B$2:$B$807,B372)</f>
        <v>50571801.085551858</v>
      </c>
      <c r="E372" s="21">
        <f>SUMIFS(Annual_Cost!$S$2:$S$807,Annual_Cost!$A$2:$A$807,A372,Annual_Cost!$B$2:$B$807,B372)</f>
        <v>50571801.085551858</v>
      </c>
      <c r="F372" s="21">
        <f>SUMIFS(Annual_Cost!$W$2:$W$807,Annual_Cost!$A$2:$A$807,A372,Annual_Cost!$B$2:$B$807,B372)</f>
        <v>42353087.24128703</v>
      </c>
      <c r="G372" s="21">
        <f>SUMIFS($E$2:E372,$A$2:A372,A372)</f>
        <v>249505203.9909142</v>
      </c>
      <c r="H372" s="21">
        <f>SUMIFS($F$2:F372,$A$2:A372,A372)</f>
        <v>222246109.64151683</v>
      </c>
    </row>
    <row r="373" spans="1:8">
      <c r="A373" t="s">
        <v>76</v>
      </c>
      <c r="B373" s="18">
        <v>2032</v>
      </c>
      <c r="C373" s="21">
        <f>SUMIFS(Annual_Cost!$Q$2:$Q$807,Annual_Cost!$A$2:$A$807,A373,Annual_Cost!$B$2:$B$807,B373)</f>
        <v>0</v>
      </c>
      <c r="D373" s="21">
        <f>SUMIFS(Annual_Cost!$R$2:$R$807,Annual_Cost!$A$2:$A$807,A373,Annual_Cost!$B$2:$B$807,B373)</f>
        <v>50890329.940583825</v>
      </c>
      <c r="E373" s="21">
        <f>SUMIFS(Annual_Cost!$S$2:$S$807,Annual_Cost!$A$2:$A$807,A373,Annual_Cost!$B$2:$B$807,B373)</f>
        <v>50890329.940583825</v>
      </c>
      <c r="F373" s="21">
        <f>SUMIFS(Annual_Cost!$W$2:$W$807,Annual_Cost!$A$2:$A$807,A373,Annual_Cost!$B$2:$B$807,B373)</f>
        <v>41378495.284151234</v>
      </c>
      <c r="G373" s="21">
        <f>SUMIFS($E$2:E373,$A$2:A373,A373)</f>
        <v>300395533.93149805</v>
      </c>
      <c r="H373" s="21">
        <f>SUMIFS($F$2:F373,$A$2:A373,A373)</f>
        <v>263624604.92566806</v>
      </c>
    </row>
    <row r="374" spans="1:8">
      <c r="A374" t="s">
        <v>76</v>
      </c>
      <c r="B374" s="18">
        <v>2033</v>
      </c>
      <c r="C374" s="21">
        <f>SUMIFS(Annual_Cost!$Q$2:$Q$807,Annual_Cost!$A$2:$A$807,A374,Annual_Cost!$B$2:$B$807,B374)</f>
        <v>0</v>
      </c>
      <c r="D374" s="21">
        <f>SUMIFS(Annual_Cost!$R$2:$R$807,Annual_Cost!$A$2:$A$807,A374,Annual_Cost!$B$2:$B$807,B374)</f>
        <v>51203242.119649224</v>
      </c>
      <c r="E374" s="21">
        <f>SUMIFS(Annual_Cost!$S$2:$S$807,Annual_Cost!$A$2:$A$807,A374,Annual_Cost!$B$2:$B$807,B374)</f>
        <v>51203242.119649224</v>
      </c>
      <c r="F374" s="21">
        <f>SUMIFS(Annual_Cost!$W$2:$W$807,Annual_Cost!$A$2:$A$807,A374,Annual_Cost!$B$2:$B$807,B374)</f>
        <v>40420312.156063341</v>
      </c>
      <c r="G374" s="21">
        <f>SUMIFS($E$2:E374,$A$2:A374,A374)</f>
        <v>351598776.05114728</v>
      </c>
      <c r="H374" s="21">
        <f>SUMIFS($F$2:F374,$A$2:A374,A374)</f>
        <v>304044917.08173138</v>
      </c>
    </row>
    <row r="375" spans="1:8">
      <c r="A375" t="s">
        <v>76</v>
      </c>
      <c r="B375" s="18">
        <v>2034</v>
      </c>
      <c r="C375" s="21">
        <f>SUMIFS(Annual_Cost!$Q$2:$Q$807,Annual_Cost!$A$2:$A$807,A375,Annual_Cost!$B$2:$B$807,B375)</f>
        <v>0</v>
      </c>
      <c r="D375" s="21">
        <f>SUMIFS(Annual_Cost!$R$2:$R$807,Annual_Cost!$A$2:$A$807,A375,Annual_Cost!$B$2:$B$807,B375)</f>
        <v>51507844.006069839</v>
      </c>
      <c r="E375" s="21">
        <f>SUMIFS(Annual_Cost!$S$2:$S$807,Annual_Cost!$A$2:$A$807,A375,Annual_Cost!$B$2:$B$807,B375)</f>
        <v>51507844.006069839</v>
      </c>
      <c r="F375" s="21">
        <f>SUMIFS(Annual_Cost!$W$2:$W$807,Annual_Cost!$A$2:$A$807,A375,Annual_Cost!$B$2:$B$807,B375)</f>
        <v>39476473.4931973</v>
      </c>
      <c r="G375" s="21">
        <f>SUMIFS($E$2:E375,$A$2:A375,A375)</f>
        <v>403106620.05721712</v>
      </c>
      <c r="H375" s="21">
        <f>SUMIFS($F$2:F375,$A$2:A375,A375)</f>
        <v>343521390.5749287</v>
      </c>
    </row>
    <row r="376" spans="1:8">
      <c r="A376" t="s">
        <v>76</v>
      </c>
      <c r="B376" s="18">
        <v>2035</v>
      </c>
      <c r="C376" s="21">
        <f>SUMIFS(Annual_Cost!$Q$2:$Q$807,Annual_Cost!$A$2:$A$807,A376,Annual_Cost!$B$2:$B$807,B376)</f>
        <v>0</v>
      </c>
      <c r="D376" s="21">
        <f>SUMIFS(Annual_Cost!$R$2:$R$807,Annual_Cost!$A$2:$A$807,A376,Annual_Cost!$B$2:$B$807,B376)</f>
        <v>51806333.003042586</v>
      </c>
      <c r="E376" s="21">
        <f>SUMIFS(Annual_Cost!$S$2:$S$807,Annual_Cost!$A$2:$A$807,A376,Annual_Cost!$B$2:$B$807,B376)</f>
        <v>51806333.003042586</v>
      </c>
      <c r="F376" s="21">
        <f>SUMIFS(Annual_Cost!$W$2:$W$807,Annual_Cost!$A$2:$A$807,A376,Annual_Cost!$B$2:$B$807,B376)</f>
        <v>38548777.14067737</v>
      </c>
      <c r="G376" s="21">
        <f>SUMIFS($E$2:E376,$A$2:A376,A376)</f>
        <v>454912953.0602597</v>
      </c>
      <c r="H376" s="21">
        <f>SUMIFS($F$2:F376,$A$2:A376,A376)</f>
        <v>382070167.71560609</v>
      </c>
    </row>
    <row r="377" spans="1:8">
      <c r="A377" t="s">
        <v>76</v>
      </c>
      <c r="B377" s="18">
        <v>2036</v>
      </c>
      <c r="C377" s="21">
        <f>SUMIFS(Annual_Cost!$Q$2:$Q$807,Annual_Cost!$A$2:$A$807,A377,Annual_Cost!$B$2:$B$807,B377)</f>
        <v>0</v>
      </c>
      <c r="D377" s="21">
        <f>SUMIFS(Annual_Cost!$R$2:$R$807,Annual_Cost!$A$2:$A$807,A377,Annual_Cost!$B$2:$B$807,B377)</f>
        <v>52097600.793195829</v>
      </c>
      <c r="E377" s="21">
        <f>SUMIFS(Annual_Cost!$S$2:$S$807,Annual_Cost!$A$2:$A$807,A377,Annual_Cost!$B$2:$B$807,B377)</f>
        <v>52097600.793195829</v>
      </c>
      <c r="F377" s="21">
        <f>SUMIFS(Annual_Cost!$W$2:$W$807,Annual_Cost!$A$2:$A$807,A377,Annual_Cost!$B$2:$B$807,B377)</f>
        <v>37636415.272753224</v>
      </c>
      <c r="G377" s="21">
        <f>SUMIFS($E$2:E377,$A$2:A377,A377)</f>
        <v>507010553.85345554</v>
      </c>
      <c r="H377" s="21">
        <f>SUMIFS($F$2:F377,$A$2:A377,A377)</f>
        <v>419706582.98835933</v>
      </c>
    </row>
    <row r="378" spans="1:8">
      <c r="A378" t="s">
        <v>76</v>
      </c>
      <c r="B378" s="18">
        <v>2037</v>
      </c>
      <c r="C378" s="21">
        <f>SUMIFS(Annual_Cost!$Q$2:$Q$807,Annual_Cost!$A$2:$A$807,A378,Annual_Cost!$B$2:$B$807,B378)</f>
        <v>0</v>
      </c>
      <c r="D378" s="21">
        <f>SUMIFS(Annual_Cost!$R$2:$R$807,Annual_Cost!$A$2:$A$807,A378,Annual_Cost!$B$2:$B$807,B378)</f>
        <v>52381410.162855051</v>
      </c>
      <c r="E378" s="21">
        <f>SUMIFS(Annual_Cost!$S$2:$S$807,Annual_Cost!$A$2:$A$807,A378,Annual_Cost!$B$2:$B$807,B378)</f>
        <v>52381410.162855051</v>
      </c>
      <c r="F378" s="21">
        <f>SUMIFS(Annual_Cost!$W$2:$W$807,Annual_Cost!$A$2:$A$807,A378,Annual_Cost!$B$2:$B$807,B378)</f>
        <v>36739267.18436227</v>
      </c>
      <c r="G378" s="21">
        <f>SUMIFS($E$2:E378,$A$2:A378,A378)</f>
        <v>559391964.01631057</v>
      </c>
      <c r="H378" s="21">
        <f>SUMIFS($F$2:F378,$A$2:A378,A378)</f>
        <v>456445850.17272162</v>
      </c>
    </row>
    <row r="379" spans="1:8">
      <c r="A379" t="s">
        <v>76</v>
      </c>
      <c r="B379" s="18">
        <v>2038</v>
      </c>
      <c r="C379" s="21">
        <f>SUMIFS(Annual_Cost!$Q$2:$Q$807,Annual_Cost!$A$2:$A$807,A379,Annual_Cost!$B$2:$B$807,B379)</f>
        <v>0</v>
      </c>
      <c r="D379" s="21">
        <f>SUMIFS(Annual_Cost!$R$2:$R$807,Annual_Cost!$A$2:$A$807,A379,Annual_Cost!$B$2:$B$807,B379)</f>
        <v>52656773.683966406</v>
      </c>
      <c r="E379" s="21">
        <f>SUMIFS(Annual_Cost!$S$2:$S$807,Annual_Cost!$A$2:$A$807,A379,Annual_Cost!$B$2:$B$807,B379)</f>
        <v>52656773.683966406</v>
      </c>
      <c r="F379" s="21">
        <f>SUMIFS(Annual_Cost!$W$2:$W$807,Annual_Cost!$A$2:$A$807,A379,Annual_Cost!$B$2:$B$807,B379)</f>
        <v>35856700.59981443</v>
      </c>
      <c r="G379" s="21">
        <f>SUMIFS($E$2:E379,$A$2:A379,A379)</f>
        <v>612048737.70027697</v>
      </c>
      <c r="H379" s="21">
        <f>SUMIFS($F$2:F379,$A$2:A379,A379)</f>
        <v>492302550.77253604</v>
      </c>
    </row>
    <row r="380" spans="1:8">
      <c r="A380" t="s">
        <v>76</v>
      </c>
      <c r="B380" s="18">
        <v>2039</v>
      </c>
      <c r="C380" s="21">
        <f>SUMIFS(Annual_Cost!$Q$2:$Q$807,Annual_Cost!$A$2:$A$807,A380,Annual_Cost!$B$2:$B$807,B380)</f>
        <v>0</v>
      </c>
      <c r="D380" s="21">
        <f>SUMIFS(Annual_Cost!$R$2:$R$807,Annual_Cost!$A$2:$A$807,A380,Annual_Cost!$B$2:$B$807,B380)</f>
        <v>52923401.01166907</v>
      </c>
      <c r="E380" s="21">
        <f>SUMIFS(Annual_Cost!$S$2:$S$807,Annual_Cost!$A$2:$A$807,A380,Annual_Cost!$B$2:$B$807,B380)</f>
        <v>52923401.01166907</v>
      </c>
      <c r="F380" s="21">
        <f>SUMIFS(Annual_Cost!$W$2:$W$807,Annual_Cost!$A$2:$A$807,A380,Annual_Cost!$B$2:$B$807,B380)</f>
        <v>34988602.753293552</v>
      </c>
      <c r="G380" s="21">
        <f>SUMIFS($E$2:E380,$A$2:A380,A380)</f>
        <v>664972138.71194601</v>
      </c>
      <c r="H380" s="21">
        <f>SUMIFS($F$2:F380,$A$2:A380,A380)</f>
        <v>527291153.52582961</v>
      </c>
    </row>
    <row r="381" spans="1:8">
      <c r="A381" t="s">
        <v>76</v>
      </c>
      <c r="B381" s="18">
        <v>2040</v>
      </c>
      <c r="C381" s="21">
        <f>SUMIFS(Annual_Cost!$Q$2:$Q$807,Annual_Cost!$A$2:$A$807,A381,Annual_Cost!$B$2:$B$807,B381)</f>
        <v>0</v>
      </c>
      <c r="D381" s="21">
        <f>SUMIFS(Annual_Cost!$R$2:$R$807,Annual_Cost!$A$2:$A$807,A381,Annual_Cost!$B$2:$B$807,B381)</f>
        <v>53179824.232502952</v>
      </c>
      <c r="E381" s="21">
        <f>SUMIFS(Annual_Cost!$S$2:$S$807,Annual_Cost!$A$2:$A$807,A381,Annual_Cost!$B$2:$B$807,B381)</f>
        <v>53179824.232502952</v>
      </c>
      <c r="F381" s="21">
        <f>SUMIFS(Annual_Cost!$W$2:$W$807,Annual_Cost!$A$2:$A$807,A381,Annual_Cost!$B$2:$B$807,B381)</f>
        <v>34134105.544089504</v>
      </c>
      <c r="G381" s="21">
        <f>SUMIFS($E$2:E381,$A$2:A381,A381)</f>
        <v>718151962.94444895</v>
      </c>
      <c r="H381" s="21">
        <f>SUMIFS($F$2:F381,$A$2:A381,A381)</f>
        <v>561425259.06991911</v>
      </c>
    </row>
    <row r="382" spans="1:8">
      <c r="A382" t="s">
        <v>76</v>
      </c>
      <c r="B382" s="18">
        <v>2041</v>
      </c>
      <c r="C382" s="21">
        <f>SUMIFS(Annual_Cost!$Q$2:$Q$807,Annual_Cost!$A$2:$A$807,A382,Annual_Cost!$B$2:$B$807,B382)</f>
        <v>0</v>
      </c>
      <c r="D382" s="21">
        <f>SUMIFS(Annual_Cost!$R$2:$R$807,Annual_Cost!$A$2:$A$807,A382,Annual_Cost!$B$2:$B$807,B382)</f>
        <v>53426687.691603318</v>
      </c>
      <c r="E382" s="21">
        <f>SUMIFS(Annual_Cost!$S$2:$S$807,Annual_Cost!$A$2:$A$807,A382,Annual_Cost!$B$2:$B$807,B382)</f>
        <v>53426687.691603318</v>
      </c>
      <c r="F382" s="21">
        <f>SUMIFS(Annual_Cost!$W$2:$W$807,Annual_Cost!$A$2:$A$807,A382,Annual_Cost!$B$2:$B$807,B382)</f>
        <v>33293745.441445392</v>
      </c>
      <c r="G382" s="21">
        <f>SUMIFS($E$2:E382,$A$2:A382,A382)</f>
        <v>771578650.63605225</v>
      </c>
      <c r="H382" s="21">
        <f>SUMIFS($F$2:F382,$A$2:A382,A382)</f>
        <v>594719004.51136446</v>
      </c>
    </row>
    <row r="383" spans="1:8">
      <c r="A383" t="s">
        <v>76</v>
      </c>
      <c r="B383" s="18">
        <v>2042</v>
      </c>
      <c r="C383" s="21">
        <f>SUMIFS(Annual_Cost!$Q$2:$Q$807,Annual_Cost!$A$2:$A$807,A383,Annual_Cost!$B$2:$B$807,B383)</f>
        <v>0</v>
      </c>
      <c r="D383" s="21">
        <f>SUMIFS(Annual_Cost!$R$2:$R$807,Annual_Cost!$A$2:$A$807,A383,Annual_Cost!$B$2:$B$807,B383)</f>
        <v>53663130.585269243</v>
      </c>
      <c r="E383" s="21">
        <f>SUMIFS(Annual_Cost!$S$2:$S$807,Annual_Cost!$A$2:$A$807,A383,Annual_Cost!$B$2:$B$807,B383)</f>
        <v>53663130.585269243</v>
      </c>
      <c r="F383" s="21">
        <f>SUMIFS(Annual_Cost!$W$2:$W$807,Annual_Cost!$A$2:$A$807,A383,Annual_Cost!$B$2:$B$807,B383)</f>
        <v>32467076.539603423</v>
      </c>
      <c r="G383" s="21">
        <f>SUMIFS($E$2:E383,$A$2:A383,A383)</f>
        <v>825241781.22132146</v>
      </c>
      <c r="H383" s="21">
        <f>SUMIFS($F$2:F383,$A$2:A383,A383)</f>
        <v>627186081.05096793</v>
      </c>
    </row>
    <row r="384" spans="1:8">
      <c r="A384" t="s">
        <v>76</v>
      </c>
      <c r="B384" s="18">
        <v>2043</v>
      </c>
      <c r="C384" s="21">
        <f>SUMIFS(Annual_Cost!$Q$2:$Q$807,Annual_Cost!$A$2:$A$807,A384,Annual_Cost!$B$2:$B$807,B384)</f>
        <v>0</v>
      </c>
      <c r="D384" s="21">
        <f>SUMIFS(Annual_Cost!$R$2:$R$807,Annual_Cost!$A$2:$A$807,A384,Annual_Cost!$B$2:$B$807,B384)</f>
        <v>53889073.19221133</v>
      </c>
      <c r="E384" s="21">
        <f>SUMIFS(Annual_Cost!$S$2:$S$807,Annual_Cost!$A$2:$A$807,A384,Annual_Cost!$B$2:$B$807,B384)</f>
        <v>53889073.19221133</v>
      </c>
      <c r="F384" s="21">
        <f>SUMIFS(Annual_Cost!$W$2:$W$807,Annual_Cost!$A$2:$A$807,A384,Annual_Cost!$B$2:$B$807,B384)</f>
        <v>31654151.00254412</v>
      </c>
      <c r="G384" s="21">
        <f>SUMIFS($E$2:E384,$A$2:A384,A384)</f>
        <v>879130854.41353273</v>
      </c>
      <c r="H384" s="21">
        <f>SUMIFS($F$2:F384,$A$2:A384,A384)</f>
        <v>658840232.0535121</v>
      </c>
    </row>
    <row r="385" spans="1:8">
      <c r="A385" t="s">
        <v>76</v>
      </c>
      <c r="B385" s="18">
        <v>2044</v>
      </c>
      <c r="C385" s="21">
        <f>SUMIFS(Annual_Cost!$Q$2:$Q$807,Annual_Cost!$A$2:$A$807,A385,Annual_Cost!$B$2:$B$807,B385)</f>
        <v>0</v>
      </c>
      <c r="D385" s="21">
        <f>SUMIFS(Annual_Cost!$R$2:$R$807,Annual_Cost!$A$2:$A$807,A385,Annual_Cost!$B$2:$B$807,B385)</f>
        <v>54104110.378323831</v>
      </c>
      <c r="E385" s="21">
        <f>SUMIFS(Annual_Cost!$S$2:$S$807,Annual_Cost!$A$2:$A$807,A385,Annual_Cost!$B$2:$B$807,B385)</f>
        <v>54104110.378323831</v>
      </c>
      <c r="F385" s="21">
        <f>SUMIFS(Annual_Cost!$W$2:$W$807,Annual_Cost!$A$2:$A$807,A385,Annual_Cost!$B$2:$B$807,B385)</f>
        <v>30854818.141848136</v>
      </c>
      <c r="G385" s="21">
        <f>SUMIFS($E$2:E385,$A$2:A385,A385)</f>
        <v>933234964.79185653</v>
      </c>
      <c r="H385" s="21">
        <f>SUMIFS($F$2:F385,$A$2:A385,A385)</f>
        <v>689695050.19536018</v>
      </c>
    </row>
    <row r="386" spans="1:8">
      <c r="A386" t="s">
        <v>76</v>
      </c>
      <c r="B386" s="18">
        <v>2045</v>
      </c>
      <c r="C386" s="21">
        <f>SUMIFS(Annual_Cost!$Q$2:$Q$807,Annual_Cost!$A$2:$A$807,A386,Annual_Cost!$B$2:$B$807,B386)</f>
        <v>0</v>
      </c>
      <c r="D386" s="21">
        <f>SUMIFS(Annual_Cost!$R$2:$R$807,Annual_Cost!$A$2:$A$807,A386,Annual_Cost!$B$2:$B$807,B386)</f>
        <v>54307798.783726722</v>
      </c>
      <c r="E386" s="21">
        <f>SUMIFS(Annual_Cost!$S$2:$S$807,Annual_Cost!$A$2:$A$807,A386,Annual_Cost!$B$2:$B$807,B386)</f>
        <v>54307798.783726722</v>
      </c>
      <c r="F386" s="21">
        <f>SUMIFS(Annual_Cost!$W$2:$W$807,Annual_Cost!$A$2:$A$807,A386,Annual_Cost!$B$2:$B$807,B386)</f>
        <v>30068911.449779615</v>
      </c>
      <c r="G386" s="21">
        <f>SUMIFS($E$2:E386,$A$2:A386,A386)</f>
        <v>987542763.57558322</v>
      </c>
      <c r="H386" s="21">
        <f>SUMIFS($F$2:F386,$A$2:A386,A386)</f>
        <v>719763961.64513981</v>
      </c>
    </row>
    <row r="387" spans="1:8">
      <c r="A387" t="s">
        <v>76</v>
      </c>
      <c r="B387" s="18">
        <v>2046</v>
      </c>
      <c r="C387" s="21">
        <f>SUMIFS(Annual_Cost!$Q$2:$Q$807,Annual_Cost!$A$2:$A$807,A387,Annual_Cost!$B$2:$B$807,B387)</f>
        <v>0</v>
      </c>
      <c r="D387" s="21">
        <f>SUMIFS(Annual_Cost!$R$2:$R$807,Annual_Cost!$A$2:$A$807,A387,Annual_Cost!$B$2:$B$807,B387)</f>
        <v>54500319.31551639</v>
      </c>
      <c r="E387" s="21">
        <f>SUMIFS(Annual_Cost!$S$2:$S$807,Annual_Cost!$A$2:$A$807,A387,Annual_Cost!$B$2:$B$807,B387)</f>
        <v>54500319.31551639</v>
      </c>
      <c r="F387" s="21">
        <f>SUMIFS(Annual_Cost!$W$2:$W$807,Annual_Cost!$A$2:$A$807,A387,Annual_Cost!$B$2:$B$807,B387)</f>
        <v>29296607.184868559</v>
      </c>
      <c r="G387" s="21">
        <f>SUMIFS($E$2:E387,$A$2:A387,A387)</f>
        <v>1042043082.8910996</v>
      </c>
      <c r="H387" s="21">
        <f>SUMIFS($F$2:F387,$A$2:A387,A387)</f>
        <v>749060568.83000839</v>
      </c>
    </row>
    <row r="388" spans="1:8">
      <c r="A388" t="s">
        <v>76</v>
      </c>
      <c r="B388" s="18">
        <v>2047</v>
      </c>
      <c r="C388" s="21">
        <f>SUMIFS(Annual_Cost!$Q$2:$Q$807,Annual_Cost!$A$2:$A$807,A388,Annual_Cost!$B$2:$B$807,B388)</f>
        <v>0</v>
      </c>
      <c r="D388" s="21">
        <f>SUMIFS(Annual_Cost!$R$2:$R$807,Annual_Cost!$A$2:$A$807,A388,Annual_Cost!$B$2:$B$807,B388)</f>
        <v>54682057.626178831</v>
      </c>
      <c r="E388" s="21">
        <f>SUMIFS(Annual_Cost!$S$2:$S$807,Annual_Cost!$A$2:$A$807,A388,Annual_Cost!$B$2:$B$807,B388)</f>
        <v>54682057.626178831</v>
      </c>
      <c r="F388" s="21">
        <f>SUMIFS(Annual_Cost!$W$2:$W$807,Annual_Cost!$A$2:$A$807,A388,Annual_Cost!$B$2:$B$807,B388)</f>
        <v>28538155.807932131</v>
      </c>
      <c r="G388" s="21">
        <f>SUMIFS($E$2:E388,$A$2:A388,A388)</f>
        <v>1096725140.5172784</v>
      </c>
      <c r="H388" s="21">
        <f>SUMIFS($F$2:F388,$A$2:A388,A388)</f>
        <v>777598724.63794053</v>
      </c>
    </row>
    <row r="389" spans="1:8">
      <c r="A389" t="s">
        <v>76</v>
      </c>
      <c r="B389" s="18">
        <v>2048</v>
      </c>
      <c r="C389" s="21">
        <f>SUMIFS(Annual_Cost!$Q$2:$Q$807,Annual_Cost!$A$2:$A$807,A389,Annual_Cost!$B$2:$B$807,B389)</f>
        <v>0</v>
      </c>
      <c r="D389" s="21">
        <f>SUMIFS(Annual_Cost!$R$2:$R$807,Annual_Cost!$A$2:$A$807,A389,Annual_Cost!$B$2:$B$807,B389)</f>
        <v>54852993.613624372</v>
      </c>
      <c r="E389" s="21">
        <f>SUMIFS(Annual_Cost!$S$2:$S$807,Annual_Cost!$A$2:$A$807,A389,Annual_Cost!$B$2:$B$807,B389)</f>
        <v>54852993.613624372</v>
      </c>
      <c r="F389" s="21">
        <f>SUMIFS(Annual_Cost!$W$2:$W$807,Annual_Cost!$A$2:$A$807,A389,Annual_Cost!$B$2:$B$807,B389)</f>
        <v>27793559.240690209</v>
      </c>
      <c r="G389" s="21">
        <f>SUMIFS($E$2:E389,$A$2:A389,A389)</f>
        <v>1151578134.1309028</v>
      </c>
      <c r="H389" s="21">
        <f>SUMIFS($F$2:F389,$A$2:A389,A389)</f>
        <v>805392283.87863076</v>
      </c>
    </row>
    <row r="390" spans="1:8">
      <c r="A390" t="s">
        <v>76</v>
      </c>
      <c r="B390" s="18">
        <v>2049</v>
      </c>
      <c r="C390" s="21">
        <f>SUMIFS(Annual_Cost!$Q$2:$Q$807,Annual_Cost!$A$2:$A$807,A390,Annual_Cost!$B$2:$B$807,B390)</f>
        <v>0</v>
      </c>
      <c r="D390" s="21">
        <f>SUMIFS(Annual_Cost!$R$2:$R$807,Annual_Cost!$A$2:$A$807,A390,Annual_Cost!$B$2:$B$807,B390)</f>
        <v>55012961.761642307</v>
      </c>
      <c r="E390" s="21">
        <f>SUMIFS(Annual_Cost!$S$2:$S$807,Annual_Cost!$A$2:$A$807,A390,Annual_Cost!$B$2:$B$807,B390)</f>
        <v>55012961.761642307</v>
      </c>
      <c r="F390" s="21">
        <f>SUMIFS(Annual_Cost!$W$2:$W$807,Annual_Cost!$A$2:$A$807,A390,Annual_Cost!$B$2:$B$807,B390)</f>
        <v>27062731.826507263</v>
      </c>
      <c r="G390" s="21">
        <f>SUMIFS($E$2:E390,$A$2:A390,A390)</f>
        <v>1206591095.892545</v>
      </c>
      <c r="H390" s="21">
        <f>SUMIFS($F$2:F390,$A$2:A390,A390)</f>
        <v>832455015.70513797</v>
      </c>
    </row>
    <row r="391" spans="1:8">
      <c r="A391" t="s">
        <v>76</v>
      </c>
      <c r="B391" s="18">
        <v>2050</v>
      </c>
      <c r="C391" s="21">
        <f>SUMIFS(Annual_Cost!$Q$2:$Q$807,Annual_Cost!$A$2:$A$807,A391,Annual_Cost!$B$2:$B$807,B391)</f>
        <v>0</v>
      </c>
      <c r="D391" s="21">
        <f>SUMIFS(Annual_Cost!$R$2:$R$807,Annual_Cost!$A$2:$A$807,A391,Annual_Cost!$B$2:$B$807,B391)</f>
        <v>55161528.014694713</v>
      </c>
      <c r="E391" s="21">
        <f>SUMIFS(Annual_Cost!$S$2:$S$807,Annual_Cost!$A$2:$A$807,A391,Annual_Cost!$B$2:$B$807,B391)</f>
        <v>55161528.014694713</v>
      </c>
      <c r="F391" s="21">
        <f>SUMIFS(Annual_Cost!$W$2:$W$807,Annual_Cost!$A$2:$A$807,A391,Annual_Cost!$B$2:$B$807,B391)</f>
        <v>26345452.988801256</v>
      </c>
      <c r="G391" s="21">
        <f>SUMIFS($E$2:E391,$A$2:A391,A391)</f>
        <v>1261752623.9072397</v>
      </c>
      <c r="H391" s="21">
        <f>SUMIFS($F$2:F391,$A$2:A391,A391)</f>
        <v>858800468.69393921</v>
      </c>
    </row>
  </sheetData>
  <autoFilter ref="A1:H1" xr:uid="{00000000-0009-0000-0000-00000C000000}"/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6"/>
  <sheetViews>
    <sheetView tabSelected="1" zoomScaleNormal="100" workbookViewId="0">
      <pane ySplit="1" topLeftCell="A7" activePane="bottomLeft" state="frozen"/>
      <selection pane="bottomLeft" activeCell="M2" sqref="M2:M15"/>
    </sheetView>
  </sheetViews>
  <sheetFormatPr defaultColWidth="11.19921875" defaultRowHeight="13.8"/>
  <cols>
    <col min="1" max="1" width="11.69921875" customWidth="1"/>
    <col min="2" max="3" width="16.69921875" customWidth="1"/>
    <col min="4" max="4" width="15.69921875" customWidth="1"/>
    <col min="5" max="5" width="18.69921875" customWidth="1"/>
    <col min="6" max="6" width="23.69921875" customWidth="1"/>
    <col min="7" max="7" width="24.69921875" customWidth="1"/>
    <col min="8" max="8" width="11.69921875" customWidth="1"/>
    <col min="9" max="9" width="23.69921875" customWidth="1"/>
  </cols>
  <sheetData>
    <row r="1" spans="1:14" ht="28.05" customHeight="1">
      <c r="A1" s="1" t="s">
        <v>413</v>
      </c>
      <c r="B1" s="1" t="s">
        <v>414</v>
      </c>
      <c r="C1" s="1" t="s">
        <v>420</v>
      </c>
      <c r="D1" s="1" t="s">
        <v>421</v>
      </c>
      <c r="E1" s="1" t="s">
        <v>441</v>
      </c>
      <c r="F1" s="1" t="s">
        <v>442</v>
      </c>
      <c r="G1" s="1" t="s">
        <v>445</v>
      </c>
      <c r="H1" s="1" t="s">
        <v>446</v>
      </c>
      <c r="I1" s="1" t="s">
        <v>447</v>
      </c>
      <c r="K1" s="1" t="s">
        <v>420</v>
      </c>
      <c r="L1" s="1" t="s">
        <v>421</v>
      </c>
    </row>
    <row r="2" spans="1:14" ht="41.4">
      <c r="A2" t="s">
        <v>76</v>
      </c>
      <c r="B2" s="13" t="s">
        <v>425</v>
      </c>
      <c r="C2" s="21">
        <f>SUMIFS(Annual_Mortality!$I$2:$I$2731,Annual_Mortality!$A$2:$A$2731,A2)</f>
        <v>1194655.9069768398</v>
      </c>
      <c r="D2" s="21">
        <f>SUMIFS(Annual_Mortality!$J$2:$J$2731,Annual_Mortality!$A$2:$A$2731,A2)</f>
        <v>3429943.6872133589</v>
      </c>
      <c r="E2" s="21">
        <f>SUMIFS(Budget_Impact!$E$2:$E$391,Budget_Impact!$A$2:$A$391,A2)</f>
        <v>1261752623.9072397</v>
      </c>
      <c r="F2" s="21">
        <f>SUMIFS(Budget_Impact!$F$2:$F$391,Budget_Impact!$A$2:$A$391,A2)</f>
        <v>858800468.69393921</v>
      </c>
      <c r="G2" s="21">
        <f t="shared" ref="G2:G16" si="0">IF(C2&gt;0,F2/C2,"")</f>
        <v>718.86847390826858</v>
      </c>
      <c r="H2" s="33" t="str">
        <f t="shared" ref="H2:H16" si="1">IF(AND(C2&gt;0,F2&lt;0),"Dominant (more health, lower cost)",IF(AND(C2&lt;=0,F2&gt;0),"Dominated (less/no health, higher cost)",IF(AND(C2&lt;=0,F2&lt;=0),"No deaths averted; ratio not defined","USD per death averted")))</f>
        <v>USD per death averted</v>
      </c>
      <c r="I2" s="15" t="str">
        <f>IF(AND(ABS(F2-SUMIFS(Budget_Impact!$F$2:$F$391,Budget_Impact!$A$2:$A$391,A2))&lt;=Calculation_Assumptions!$B$15,ABS(C2-SUMIFS(Annual_Mortality!$I$2:$I$2731,Annual_Mortality!$A$2:$A$2731,A2))&lt;=Calculation_Assumptions!$B$15),"consistent","mismatch")</f>
        <v>consistent</v>
      </c>
      <c r="K2" s="21">
        <v>1599276.4798805988</v>
      </c>
      <c r="L2" s="21">
        <v>3939514.9109728872</v>
      </c>
      <c r="M2">
        <f>+C2/K2</f>
        <v>0.74699773429171679</v>
      </c>
      <c r="N2">
        <f>+D2/L2</f>
        <v>0.87065127680055243</v>
      </c>
    </row>
    <row r="3" spans="1:14" ht="41.4">
      <c r="A3" t="s">
        <v>205</v>
      </c>
      <c r="B3" s="13" t="s">
        <v>423</v>
      </c>
      <c r="C3" s="21">
        <f>SUMIFS(Annual_Mortality!$I$2:$I$2731,Annual_Mortality!$A$2:$A$2731,A3)</f>
        <v>667741.61855491076</v>
      </c>
      <c r="D3" s="21">
        <f>SUMIFS(Annual_Mortality!$J$2:$J$2731,Annual_Mortality!$A$2:$A$2731,A3)</f>
        <v>1411355.8944058029</v>
      </c>
      <c r="E3" s="21">
        <f>SUMIFS(Budget_Impact!$E$2:$E$391,Budget_Impact!$A$2:$A$391,A3)</f>
        <v>523924790.25450546</v>
      </c>
      <c r="F3" s="21">
        <f>SUMIFS(Budget_Impact!$F$2:$F$391,Budget_Impact!$A$2:$A$391,A3)</f>
        <v>356636369.04802477</v>
      </c>
      <c r="G3" s="21">
        <f t="shared" si="0"/>
        <v>534.09336656270932</v>
      </c>
      <c r="H3" s="33" t="str">
        <f t="shared" si="1"/>
        <v>USD per death averted</v>
      </c>
      <c r="I3" s="15" t="str">
        <f>IF(AND(ABS(F3-SUMIFS(Budget_Impact!$F$2:$F$391,Budget_Impact!$A$2:$A$391,A3))&lt;=Calculation_Assumptions!$B$15,ABS(C3-SUMIFS(Annual_Mortality!$I$2:$I$2731,Annual_Mortality!$A$2:$A$2731,A3))&lt;=Calculation_Assumptions!$B$15),"consistent","mismatch")</f>
        <v>consistent</v>
      </c>
      <c r="K3" s="21">
        <v>930142.17849975603</v>
      </c>
      <c r="L3" s="21">
        <v>1725153.7191109336</v>
      </c>
      <c r="M3">
        <f t="shared" ref="M3:M16" si="2">+C3/K3</f>
        <v>0.7178919889773453</v>
      </c>
      <c r="N3">
        <f t="shared" ref="N3:N16" si="3">+D3/L3</f>
        <v>0.81810442673662265</v>
      </c>
    </row>
    <row r="4" spans="1:14" ht="41.4">
      <c r="A4" t="s">
        <v>224</v>
      </c>
      <c r="B4" s="13" t="s">
        <v>226</v>
      </c>
      <c r="C4" s="21">
        <f>SUMIFS(Annual_Mortality!$I$2:$I$2731,Annual_Mortality!$A$2:$A$2731,A4)</f>
        <v>364091.20031092712</v>
      </c>
      <c r="D4" s="21">
        <f>SUMIFS(Annual_Mortality!$J$2:$J$2731,Annual_Mortality!$A$2:$A$2731,A4)</f>
        <v>769544.39403437462</v>
      </c>
      <c r="E4" s="21">
        <f>SUMIFS(Budget_Impact!$E$2:$E$391,Budget_Impact!$A$2:$A$391,A4)</f>
        <v>130947183.04582685</v>
      </c>
      <c r="F4" s="21">
        <f>SUMIFS(Budget_Impact!$F$2:$F$391,Budget_Impact!$A$2:$A$391,A4)</f>
        <v>89139638.463940024</v>
      </c>
      <c r="G4" s="21">
        <f t="shared" si="0"/>
        <v>244.82777498554327</v>
      </c>
      <c r="H4" s="33" t="str">
        <f t="shared" si="1"/>
        <v>USD per death averted</v>
      </c>
      <c r="I4" s="15" t="str">
        <f>IF(AND(ABS(F4-SUMIFS(Budget_Impact!$F$2:$F$391,Budget_Impact!$A$2:$A$391,A4))&lt;=Calculation_Assumptions!$B$15,ABS(C4-SUMIFS(Annual_Mortality!$I$2:$I$2731,Annual_Mortality!$A$2:$A$2731,A4))&lt;=Calculation_Assumptions!$B$15),"consistent","mismatch")</f>
        <v>consistent</v>
      </c>
      <c r="K4" s="21">
        <v>506920.9576643582</v>
      </c>
      <c r="L4" s="21">
        <v>939836.824056827</v>
      </c>
      <c r="M4">
        <f t="shared" si="2"/>
        <v>0.71824057539163466</v>
      </c>
      <c r="N4">
        <f t="shared" si="3"/>
        <v>0.81880638674341233</v>
      </c>
    </row>
    <row r="5" spans="1:14" ht="41.4">
      <c r="A5" t="s">
        <v>247</v>
      </c>
      <c r="B5" s="13" t="s">
        <v>249</v>
      </c>
      <c r="C5" s="21">
        <f>SUMIFS(Annual_Mortality!$I$2:$I$2731,Annual_Mortality!$A$2:$A$2731,A5)</f>
        <v>258933.43068469773</v>
      </c>
      <c r="D5" s="21">
        <f>SUMIFS(Annual_Mortality!$J$2:$J$2731,Annual_Mortality!$A$2:$A$2731,A5)</f>
        <v>1098543.9443803504</v>
      </c>
      <c r="E5" s="21">
        <f>SUMIFS(Budget_Impact!$E$2:$E$391,Budget_Impact!$A$2:$A$391,A5)</f>
        <v>59680429.192594916</v>
      </c>
      <c r="F5" s="21">
        <f>SUMIFS(Budget_Impact!$F$2:$F$391,Budget_Impact!$A$2:$A$391,A5)</f>
        <v>40626971.700981542</v>
      </c>
      <c r="G5" s="21">
        <f t="shared" si="0"/>
        <v>156.90122203823444</v>
      </c>
      <c r="H5" s="33" t="str">
        <f t="shared" si="1"/>
        <v>USD per death averted</v>
      </c>
      <c r="I5" s="15" t="str">
        <f>IF(AND(ABS(F5-SUMIFS(Budget_Impact!$F$2:$F$391,Budget_Impact!$A$2:$A$391,A5))&lt;=Calculation_Assumptions!$B$15,ABS(C5-SUMIFS(Annual_Mortality!$I$2:$I$2731,Annual_Mortality!$A$2:$A$2731,A5))&lt;=Calculation_Assumptions!$B$15),"consistent","mismatch")</f>
        <v>consistent</v>
      </c>
      <c r="K5" s="21">
        <v>344357.50013360183</v>
      </c>
      <c r="L5" s="21">
        <v>1220850.5087413481</v>
      </c>
      <c r="M5">
        <f t="shared" si="2"/>
        <v>0.7519320200205839</v>
      </c>
      <c r="N5">
        <f t="shared" si="3"/>
        <v>0.89981855805827426</v>
      </c>
    </row>
    <row r="6" spans="1:14" ht="41.4">
      <c r="A6" t="s">
        <v>210</v>
      </c>
      <c r="B6" s="13" t="s">
        <v>212</v>
      </c>
      <c r="C6" s="21">
        <f>SUMIFS(Annual_Mortality!$I$2:$I$2731,Annual_Mortality!$A$2:$A$2731,A6)</f>
        <v>182978.9188666624</v>
      </c>
      <c r="D6" s="21">
        <f>SUMIFS(Annual_Mortality!$J$2:$J$2731,Annual_Mortality!$A$2:$A$2731,A6)</f>
        <v>386741.82752034848</v>
      </c>
      <c r="E6" s="21">
        <f>SUMIFS(Budget_Impact!$E$2:$E$391,Budget_Impact!$A$2:$A$391,A6)</f>
        <v>130923497.00479452</v>
      </c>
      <c r="F6" s="21">
        <f>SUMIFS(Budget_Impact!$F$2:$F$391,Budget_Impact!$A$2:$A$391,A6)</f>
        <v>89125743.247884735</v>
      </c>
      <c r="G6" s="21">
        <f t="shared" si="0"/>
        <v>487.08202999511155</v>
      </c>
      <c r="H6" s="33" t="str">
        <f t="shared" si="1"/>
        <v>USD per death averted</v>
      </c>
      <c r="I6" s="15" t="str">
        <f>IF(AND(ABS(F6-SUMIFS(Budget_Impact!$F$2:$F$391,Budget_Impact!$A$2:$A$391,A6))&lt;=Calculation_Assumptions!$B$15,ABS(C6-SUMIFS(Annual_Mortality!$I$2:$I$2731,Annual_Mortality!$A$2:$A$2731,A6))&lt;=Calculation_Assumptions!$B$15),"consistent","mismatch")</f>
        <v>consistent</v>
      </c>
      <c r="K6" s="21">
        <v>254686.12378262254</v>
      </c>
      <c r="L6" s="21">
        <v>472082.18728400586</v>
      </c>
      <c r="M6">
        <f t="shared" si="2"/>
        <v>0.71844871698953239</v>
      </c>
      <c r="N6">
        <f t="shared" si="3"/>
        <v>0.81922563048896313</v>
      </c>
    </row>
    <row r="7" spans="1:14" ht="41.4">
      <c r="A7" t="s">
        <v>242</v>
      </c>
      <c r="B7" s="13" t="s">
        <v>244</v>
      </c>
      <c r="C7" s="21">
        <f>SUMIFS(Annual_Mortality!$I$2:$I$2731,Annual_Mortality!$A$2:$A$2731,A7)</f>
        <v>133571.29492871027</v>
      </c>
      <c r="D7" s="21">
        <f>SUMIFS(Annual_Mortality!$J$2:$J$2731,Annual_Mortality!$A$2:$A$2731,A7)</f>
        <v>334789.0928004912</v>
      </c>
      <c r="E7" s="21">
        <f>SUMIFS(Budget_Impact!$E$2:$E$391,Budget_Impact!$A$2:$A$391,A7)</f>
        <v>129791778.93627612</v>
      </c>
      <c r="F7" s="21">
        <f>SUMIFS(Budget_Impact!$F$2:$F$391,Budget_Impact!$A$2:$A$391,A7)</f>
        <v>88356204.860291675</v>
      </c>
      <c r="G7" s="21">
        <f t="shared" si="0"/>
        <v>661.49096561090607</v>
      </c>
      <c r="H7" s="33" t="str">
        <f t="shared" si="1"/>
        <v>USD per death averted</v>
      </c>
      <c r="I7" s="15" t="str">
        <f>IF(AND(ABS(F7-SUMIFS(Budget_Impact!$F$2:$F$391,Budget_Impact!$A$2:$A$391,A7))&lt;=Calculation_Assumptions!$B$15,ABS(C7-SUMIFS(Annual_Mortality!$I$2:$I$2731,Annual_Mortality!$A$2:$A$2731,A7))&lt;=Calculation_Assumptions!$B$15),"consistent","mismatch")</f>
        <v>consistent</v>
      </c>
      <c r="K7" s="21">
        <v>178538.43751899159</v>
      </c>
      <c r="L7" s="21">
        <v>330912.9710065379</v>
      </c>
      <c r="M7">
        <f t="shared" si="2"/>
        <v>0.74813746991877839</v>
      </c>
      <c r="N7">
        <f t="shared" si="3"/>
        <v>1.011713417525349</v>
      </c>
    </row>
    <row r="8" spans="1:14" ht="41.4">
      <c r="A8" t="s">
        <v>200</v>
      </c>
      <c r="B8" s="13" t="s">
        <v>202</v>
      </c>
      <c r="C8" s="21">
        <f>SUMIFS(Annual_Mortality!$I$2:$I$2731,Annual_Mortality!$A$2:$A$2731,A8)</f>
        <v>128281.93991945992</v>
      </c>
      <c r="D8" s="21">
        <f>SUMIFS(Annual_Mortality!$J$2:$J$2731,Annual_Mortality!$A$2:$A$2731,A8)</f>
        <v>271134.31231293734</v>
      </c>
      <c r="E8" s="21">
        <f>SUMIFS(Budget_Impact!$E$2:$E$391,Budget_Impact!$A$2:$A$391,A8)</f>
        <v>130910949.1494469</v>
      </c>
      <c r="F8" s="21">
        <f>SUMIFS(Budget_Impact!$F$2:$F$391,Budget_Impact!$A$2:$A$391,A8)</f>
        <v>89118158.148994386</v>
      </c>
      <c r="G8" s="21">
        <f t="shared" si="0"/>
        <v>694.70541375462528</v>
      </c>
      <c r="H8" s="33" t="str">
        <f t="shared" si="1"/>
        <v>USD per death averted</v>
      </c>
      <c r="I8" s="15" t="str">
        <f>IF(AND(ABS(F8-SUMIFS(Budget_Impact!$F$2:$F$391,Budget_Impact!$A$2:$A$391,A8))&lt;=Calculation_Assumptions!$B$15,ABS(C8-SUMIFS(Annual_Mortality!$I$2:$I$2731,Annual_Mortality!$A$2:$A$2731,A8))&lt;=Calculation_Assumptions!$B$15),"consistent","mismatch")</f>
        <v>consistent</v>
      </c>
      <c r="K8" s="21">
        <v>158707.58997084823</v>
      </c>
      <c r="L8" s="21">
        <v>562301.9252526589</v>
      </c>
      <c r="M8">
        <f t="shared" si="2"/>
        <v>0.80829114690118498</v>
      </c>
      <c r="N8">
        <f t="shared" si="3"/>
        <v>0.48218634889273887</v>
      </c>
    </row>
    <row r="9" spans="1:14" ht="41.4">
      <c r="A9" t="s">
        <v>261</v>
      </c>
      <c r="B9" s="13" t="s">
        <v>424</v>
      </c>
      <c r="C9" s="21">
        <f>SUMIFS(Annual_Mortality!$I$2:$I$2731,Annual_Mortality!$A$2:$A$2731,A9)</f>
        <v>119354.87811709555</v>
      </c>
      <c r="D9" s="21">
        <f>SUMIFS(Annual_Mortality!$J$2:$J$2731,Annual_Mortality!$A$2:$A$2731,A9)</f>
        <v>506117.10291624296</v>
      </c>
      <c r="E9" s="21">
        <f>SUMIFS(Budget_Impact!$E$2:$E$391,Budget_Impact!$A$2:$A$391,A9)</f>
        <v>344620177.28270483</v>
      </c>
      <c r="F9" s="21">
        <f>SUMIFS(Budget_Impact!$F$2:$F$391,Budget_Impact!$A$2:$A$391,A9)</f>
        <v>234601654.00705022</v>
      </c>
      <c r="G9" s="21">
        <f t="shared" si="0"/>
        <v>1965.5807764881588</v>
      </c>
      <c r="H9" s="33" t="str">
        <f t="shared" si="1"/>
        <v>USD per death averted</v>
      </c>
      <c r="I9" s="15" t="str">
        <f>IF(AND(ABS(F9-SUMIFS(Budget_Impact!$F$2:$F$391,Budget_Impact!$A$2:$A$391,A9))&lt;=Calculation_Assumptions!$B$15,ABS(C9-SUMIFS(Annual_Mortality!$I$2:$I$2731,Annual_Mortality!$A$2:$A$2731,A9))&lt;=Calculation_Assumptions!$B$15),"consistent","mismatch")</f>
        <v>consistent</v>
      </c>
      <c r="K9" s="21">
        <v>144888.77460932493</v>
      </c>
      <c r="L9" s="21">
        <v>343401.54287167621</v>
      </c>
      <c r="M9">
        <f t="shared" si="2"/>
        <v>0.82376898030176282</v>
      </c>
      <c r="N9">
        <f t="shared" si="3"/>
        <v>1.4738346796111252</v>
      </c>
    </row>
    <row r="10" spans="1:14" ht="41.4">
      <c r="A10" t="s">
        <v>272</v>
      </c>
      <c r="B10" s="13" t="s">
        <v>274</v>
      </c>
      <c r="C10" s="21">
        <f>SUMIFS(Annual_Mortality!$I$2:$I$2731,Annual_Mortality!$A$2:$A$2731,A10)</f>
        <v>48633.085746134537</v>
      </c>
      <c r="D10" s="21">
        <f>SUMIFS(Annual_Mortality!$J$2:$J$2731,Annual_Mortality!$A$2:$A$2731,A10)</f>
        <v>206295.76175037865</v>
      </c>
      <c r="E10" s="21">
        <f>SUMIFS(Budget_Impact!$E$2:$E$391,Budget_Impact!$A$2:$A$391,A10)</f>
        <v>114867410.02335855</v>
      </c>
      <c r="F10" s="21">
        <f>SUMIFS(Budget_Impact!$F$2:$F$391,Budget_Impact!$A$2:$A$391,A10)</f>
        <v>78197380.272915885</v>
      </c>
      <c r="G10" s="21">
        <f t="shared" si="0"/>
        <v>1607.9049699027412</v>
      </c>
      <c r="H10" s="33" t="str">
        <f t="shared" si="1"/>
        <v>USD per death averted</v>
      </c>
      <c r="I10" s="15" t="str">
        <f>IF(AND(ABS(F10-SUMIFS(Budget_Impact!$F$2:$F$391,Budget_Impact!$A$2:$A$391,A10))&lt;=Calculation_Assumptions!$B$15,ABS(C10-SUMIFS(Annual_Mortality!$I$2:$I$2731,Annual_Mortality!$A$2:$A$2731,A10))&lt;=Calculation_Assumptions!$B$15),"consistent","mismatch")</f>
        <v>consistent</v>
      </c>
      <c r="K10" s="21">
        <v>64652.364777462521</v>
      </c>
      <c r="L10" s="21">
        <v>229152.70541834566</v>
      </c>
      <c r="M10">
        <f t="shared" si="2"/>
        <v>0.75222439138201147</v>
      </c>
      <c r="N10">
        <f t="shared" si="3"/>
        <v>0.90025453277438316</v>
      </c>
    </row>
    <row r="11" spans="1:14" ht="41.4">
      <c r="A11" t="s">
        <v>265</v>
      </c>
      <c r="B11" s="13" t="s">
        <v>267</v>
      </c>
      <c r="C11" s="21">
        <f>SUMIFS(Annual_Mortality!$I$2:$I$2731,Annual_Mortality!$A$2:$A$2731,A11)</f>
        <v>41149.06129463156</v>
      </c>
      <c r="D11" s="21">
        <f>SUMIFS(Annual_Mortality!$J$2:$J$2731,Annual_Mortality!$A$2:$A$2731,A11)</f>
        <v>174548.4059250213</v>
      </c>
      <c r="E11" s="21">
        <f>SUMIFS(Budget_Impact!$E$2:$E$391,Budget_Impact!$A$2:$A$391,A11)</f>
        <v>114854960.93382391</v>
      </c>
      <c r="F11" s="21">
        <f>SUMIFS(Budget_Impact!$F$2:$F$391,Budget_Impact!$A$2:$A$391,A11)</f>
        <v>78187811.344863385</v>
      </c>
      <c r="G11" s="21">
        <f t="shared" si="0"/>
        <v>1900.1116643957082</v>
      </c>
      <c r="H11" s="33" t="str">
        <f t="shared" si="1"/>
        <v>USD per death averted</v>
      </c>
      <c r="I11" s="15" t="str">
        <f>IF(AND(ABS(F11-SUMIFS(Budget_Impact!$F$2:$F$391,Budget_Impact!$A$2:$A$391,A11))&lt;=Calculation_Assumptions!$B$15,ABS(C11-SUMIFS(Annual_Mortality!$I$2:$I$2731,Annual_Mortality!$A$2:$A$2731,A11))&lt;=Calculation_Assumptions!$B$15),"consistent","mismatch")</f>
        <v>consistent</v>
      </c>
      <c r="K11" s="21">
        <v>54702.418146641365</v>
      </c>
      <c r="L11" s="21">
        <v>193884.49919640104</v>
      </c>
      <c r="M11">
        <f t="shared" si="2"/>
        <v>0.75223477661120619</v>
      </c>
      <c r="N11">
        <f t="shared" si="3"/>
        <v>0.90027004040280356</v>
      </c>
    </row>
    <row r="12" spans="1:14" ht="41.4">
      <c r="A12" t="s">
        <v>231</v>
      </c>
      <c r="B12" s="13" t="s">
        <v>233</v>
      </c>
      <c r="C12" s="21">
        <f>SUMIFS(Annual_Mortality!$I$2:$I$2731,Annual_Mortality!$A$2:$A$2731,A12)</f>
        <v>34788.231448187929</v>
      </c>
      <c r="D12" s="21">
        <f>SUMIFS(Annual_Mortality!$J$2:$J$2731,Annual_Mortality!$A$2:$A$2731,A12)</f>
        <v>142391.30461841889</v>
      </c>
      <c r="E12" s="21">
        <f>SUMIFS(Budget_Impact!$E$2:$E$391,Budget_Impact!$A$2:$A$391,A12)</f>
        <v>59670659.925595053</v>
      </c>
      <c r="F12" s="21">
        <f>SUMIFS(Budget_Impact!$F$2:$F$391,Budget_Impact!$A$2:$A$391,A12)</f>
        <v>40621570.926122308</v>
      </c>
      <c r="G12" s="21">
        <f t="shared" si="0"/>
        <v>1167.6814035982916</v>
      </c>
      <c r="H12" s="33" t="str">
        <f t="shared" si="1"/>
        <v>USD per death averted</v>
      </c>
      <c r="I12" s="15" t="str">
        <f>IF(AND(ABS(F12-SUMIFS(Budget_Impact!$F$2:$F$391,Budget_Impact!$A$2:$A$391,A12))&lt;=Calculation_Assumptions!$B$15,ABS(C12-SUMIFS(Annual_Mortality!$I$2:$I$2731,Annual_Mortality!$A$2:$A$2731,A12))&lt;=Calculation_Assumptions!$B$15),"consistent","mismatch")</f>
        <v>consistent</v>
      </c>
      <c r="K12" s="21">
        <v>43286.747917890214</v>
      </c>
      <c r="L12" s="21">
        <v>150767.70590155231</v>
      </c>
      <c r="M12">
        <f t="shared" si="2"/>
        <v>0.80366932425085491</v>
      </c>
      <c r="N12">
        <f t="shared" si="3"/>
        <v>0.94444167447501648</v>
      </c>
    </row>
    <row r="13" spans="1:14" ht="41.4">
      <c r="A13" t="s">
        <v>257</v>
      </c>
      <c r="B13" s="13" t="s">
        <v>259</v>
      </c>
      <c r="C13" s="21">
        <f>SUMIFS(Annual_Mortality!$I$2:$I$2731,Annual_Mortality!$A$2:$A$2731,A13)</f>
        <v>29924.396160444441</v>
      </c>
      <c r="D13" s="21">
        <f>SUMIFS(Annual_Mortality!$J$2:$J$2731,Annual_Mortality!$A$2:$A$2731,A13)</f>
        <v>126933.88213571024</v>
      </c>
      <c r="E13" s="21">
        <f>SUMIFS(Budget_Impact!$E$2:$E$391,Budget_Impact!$A$2:$A$391,A13)</f>
        <v>114865850.35047722</v>
      </c>
      <c r="F13" s="21">
        <f>SUMIFS(Budget_Impact!$F$2:$F$391,Budget_Impact!$A$2:$A$391,A13)</f>
        <v>78196312.974156484</v>
      </c>
      <c r="G13" s="21">
        <f t="shared" si="0"/>
        <v>2613.1291857952433</v>
      </c>
      <c r="H13" s="33" t="str">
        <f t="shared" si="1"/>
        <v>USD per death averted</v>
      </c>
      <c r="I13" s="15" t="str">
        <f>IF(AND(ABS(F13-SUMIFS(Budget_Impact!$F$2:$F$391,Budget_Impact!$A$2:$A$391,A13))&lt;=Calculation_Assumptions!$B$15,ABS(C13-SUMIFS(Annual_Mortality!$I$2:$I$2731,Annual_Mortality!$A$2:$A$2731,A13))&lt;=Calculation_Assumptions!$B$15),"consistent","mismatch")</f>
        <v>consistent</v>
      </c>
      <c r="K13" s="21">
        <v>39779.836803946528</v>
      </c>
      <c r="L13" s="21">
        <v>140991.69949672587</v>
      </c>
      <c r="M13">
        <f t="shared" si="2"/>
        <v>0.75225035004355933</v>
      </c>
      <c r="N13">
        <f t="shared" si="3"/>
        <v>0.90029329803672542</v>
      </c>
    </row>
    <row r="14" spans="1:14" ht="41.4">
      <c r="A14" t="s">
        <v>169</v>
      </c>
      <c r="B14" s="13" t="s">
        <v>171</v>
      </c>
      <c r="C14" s="21">
        <f>SUMIFS(Annual_Mortality!$I$2:$I$2731,Annual_Mortality!$A$2:$A$2731,A14)</f>
        <v>3234.9524870821006</v>
      </c>
      <c r="D14" s="21">
        <f>SUMIFS(Annual_Mortality!$J$2:$J$2731,Annual_Mortality!$A$2:$A$2731,A14)</f>
        <v>6308.4793934799363</v>
      </c>
      <c r="E14" s="21">
        <f>SUMIFS(Budget_Impact!$E$2:$E$391,Budget_Impact!$A$2:$A$391,A14)</f>
        <v>83530932.465206504</v>
      </c>
      <c r="F14" s="21">
        <f>SUMIFS(Budget_Impact!$F$2:$F$391,Budget_Impact!$A$2:$A$391,A14)</f>
        <v>56864658.506204933</v>
      </c>
      <c r="G14" s="21">
        <f t="shared" si="0"/>
        <v>17578.205161676538</v>
      </c>
      <c r="H14" s="33" t="str">
        <f t="shared" si="1"/>
        <v>USD per death averted</v>
      </c>
      <c r="I14" s="15" t="str">
        <f>IF(AND(ABS(F14-SUMIFS(Budget_Impact!$F$2:$F$391,Budget_Impact!$A$2:$A$391,A14))&lt;=Calculation_Assumptions!$B$15,ABS(C14-SUMIFS(Annual_Mortality!$I$2:$I$2731,Annual_Mortality!$A$2:$A$2731,A14))&lt;=Calculation_Assumptions!$B$15),"consistent","mismatch")</f>
        <v>consistent</v>
      </c>
      <c r="K14" s="21">
        <v>4675.9251767295</v>
      </c>
      <c r="L14" s="21">
        <v>8056.4862162869867</v>
      </c>
      <c r="M14">
        <f t="shared" si="2"/>
        <v>0.69183153382807883</v>
      </c>
      <c r="N14">
        <f t="shared" si="3"/>
        <v>0.78303111606232489</v>
      </c>
    </row>
    <row r="15" spans="1:14" ht="41.4">
      <c r="A15" t="s">
        <v>192</v>
      </c>
      <c r="B15" s="13" t="s">
        <v>194</v>
      </c>
      <c r="C15" s="21">
        <f>SUMIFS(Annual_Mortality!$I$2:$I$2731,Annual_Mortality!$A$2:$A$2731,A15)</f>
        <v>2946.3613423437173</v>
      </c>
      <c r="D15" s="21">
        <f>SUMIFS(Annual_Mortality!$J$2:$J$2731,Annual_Mortality!$A$2:$A$2731,A15)</f>
        <v>5745.6950796910878</v>
      </c>
      <c r="E15" s="21">
        <f>SUMIFS(Budget_Impact!$E$2:$E$391,Budget_Impact!$A$2:$A$391,A15)</f>
        <v>59669534.817896262</v>
      </c>
      <c r="F15" s="21">
        <f>SUMIFS(Budget_Impact!$F$2:$F$391,Budget_Impact!$A$2:$A$391,A15)</f>
        <v>40620996.765669219</v>
      </c>
      <c r="G15" s="21">
        <f t="shared" si="0"/>
        <v>13786.834690600705</v>
      </c>
      <c r="H15" s="33" t="str">
        <f t="shared" si="1"/>
        <v>USD per death averted</v>
      </c>
      <c r="I15" s="15" t="str">
        <f>IF(AND(ABS(F15-SUMIFS(Budget_Impact!$F$2:$F$391,Budget_Impact!$A$2:$A$391,A15))&lt;=Calculation_Assumptions!$B$15,ABS(C15-SUMIFS(Annual_Mortality!$I$2:$I$2731,Annual_Mortality!$A$2:$A$2731,A15))&lt;=Calculation_Assumptions!$B$15),"consistent","mismatch")</f>
        <v>consistent</v>
      </c>
      <c r="K15" s="21">
        <v>4258.7818105841552</v>
      </c>
      <c r="L15" s="21">
        <v>7337.7540502131706</v>
      </c>
      <c r="M15">
        <f t="shared" si="2"/>
        <v>0.69183195415676391</v>
      </c>
      <c r="N15">
        <f t="shared" si="3"/>
        <v>0.78303184330962528</v>
      </c>
    </row>
    <row r="16" spans="1:14" ht="55.2">
      <c r="A16" t="s">
        <v>217</v>
      </c>
      <c r="B16" s="13" t="s">
        <v>219</v>
      </c>
      <c r="C16" s="21">
        <f>SUMIFS(Annual_Mortality!$I$2:$I$2731,Annual_Mortality!$A$2:$A$2731,A16)</f>
        <v>0</v>
      </c>
      <c r="D16" s="21">
        <f>SUMIFS(Annual_Mortality!$J$2:$J$2731,Annual_Mortality!$A$2:$A$2731,A16)</f>
        <v>0</v>
      </c>
      <c r="E16" s="21">
        <f>SUMIFS(Budget_Impact!$E$2:$E$391,Budget_Impact!$A$2:$A$391,A16)</f>
        <v>130899770.56354067</v>
      </c>
      <c r="F16" s="21">
        <f>SUMIFS(Budget_Impact!$F$2:$F$391,Budget_Impact!$A$2:$A$391,A16)</f>
        <v>89112104.844371706</v>
      </c>
      <c r="G16" s="21" t="str">
        <f t="shared" si="0"/>
        <v/>
      </c>
      <c r="H16" s="33" t="str">
        <f t="shared" si="1"/>
        <v>Dominated (less/no health, higher cost)</v>
      </c>
      <c r="I16" s="15" t="str">
        <f>IF(AND(ABS(F16-SUMIFS(Budget_Impact!$F$2:$F$391,Budget_Impact!$A$2:$A$391,A16))&lt;=Calculation_Assumptions!$B$15,ABS(C16-SUMIFS(Annual_Mortality!$I$2:$I$2731,Annual_Mortality!$A$2:$A$2731,A16))&lt;=Calculation_Assumptions!$B$15),"consistent","mismatch")</f>
        <v>consistent</v>
      </c>
      <c r="K16" s="21">
        <v>0</v>
      </c>
      <c r="L16" s="21">
        <v>0</v>
      </c>
      <c r="M16" t="e">
        <f t="shared" si="2"/>
        <v>#DIV/0!</v>
      </c>
      <c r="N16" t="e">
        <f t="shared" si="3"/>
        <v>#DIV/0!</v>
      </c>
    </row>
  </sheetData>
  <autoFilter ref="A1:I1" xr:uid="{00000000-0009-0000-0000-00000D000000}"/>
  <conditionalFormatting sqref="H2:H16">
    <cfRule type="containsText" dxfId="7" priority="1" operator="containsText" text="Dominated">
      <formula>NOT(ISERROR(SEARCH("Dominated", H2)))</formula>
    </cfRule>
  </conditionalFormatting>
  <conditionalFormatting sqref="I2:I16">
    <cfRule type="containsText" dxfId="6" priority="2" operator="containsText" text="mismatch">
      <formula>NOT(ISERROR(SEARCH("mismatch", I2)))</formula>
    </cfRule>
    <cfRule type="containsText" dxfId="5" priority="3" operator="containsText" text="consistent">
      <formula>NOT(ISERROR(SEARCH("consistent", I2)))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13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1.69921875" customWidth="1"/>
    <col min="2" max="3" width="16.69921875" customWidth="1"/>
    <col min="4" max="4" width="15.69921875" customWidth="1"/>
    <col min="5" max="5" width="19.69921875" customWidth="1"/>
    <col min="6" max="6" width="21.69921875" customWidth="1"/>
    <col min="7" max="7" width="18.69921875" customWidth="1"/>
    <col min="8" max="8" width="17.69921875" customWidth="1"/>
    <col min="9" max="9" width="15.69921875" customWidth="1"/>
    <col min="10" max="10" width="16.69921875" customWidth="1"/>
    <col min="11" max="11" width="15.69921875" customWidth="1"/>
    <col min="12" max="12" width="16.69921875" customWidth="1"/>
    <col min="13" max="13" width="17.69921875" customWidth="1"/>
    <col min="14" max="14" width="16.69921875" customWidth="1"/>
    <col min="15" max="15" width="18.69921875" customWidth="1"/>
    <col min="16" max="17" width="23.69921875" customWidth="1"/>
    <col min="18" max="18" width="24.69921875" customWidth="1"/>
    <col min="19" max="19" width="11.69921875" customWidth="1"/>
  </cols>
  <sheetData>
    <row r="1" spans="1:19" ht="28.05" customHeight="1">
      <c r="A1" s="1" t="s">
        <v>413</v>
      </c>
      <c r="B1" s="1" t="s">
        <v>414</v>
      </c>
      <c r="C1" s="1" t="s">
        <v>797</v>
      </c>
      <c r="D1" s="1" t="s">
        <v>365</v>
      </c>
      <c r="E1" s="1" t="s">
        <v>166</v>
      </c>
      <c r="F1" s="1" t="s">
        <v>798</v>
      </c>
      <c r="G1" s="1" t="s">
        <v>799</v>
      </c>
      <c r="H1" s="1" t="s">
        <v>638</v>
      </c>
      <c r="I1" s="1" t="s">
        <v>800</v>
      </c>
      <c r="J1" s="1" t="s">
        <v>801</v>
      </c>
      <c r="K1" s="1" t="s">
        <v>421</v>
      </c>
      <c r="L1" s="1" t="s">
        <v>802</v>
      </c>
      <c r="M1" s="1" t="s">
        <v>803</v>
      </c>
      <c r="N1" s="1" t="s">
        <v>420</v>
      </c>
      <c r="O1" s="1" t="s">
        <v>441</v>
      </c>
      <c r="P1" s="1" t="s">
        <v>442</v>
      </c>
      <c r="Q1" s="1" t="s">
        <v>804</v>
      </c>
      <c r="R1" s="1" t="s">
        <v>445</v>
      </c>
      <c r="S1" s="1" t="s">
        <v>456</v>
      </c>
    </row>
    <row r="2" spans="1:19" ht="27.6">
      <c r="A2" t="s">
        <v>247</v>
      </c>
      <c r="B2" s="13" t="s">
        <v>249</v>
      </c>
      <c r="C2" t="s">
        <v>179</v>
      </c>
      <c r="D2" t="s">
        <v>179</v>
      </c>
      <c r="G2" s="13" t="s">
        <v>247</v>
      </c>
      <c r="H2">
        <v>1</v>
      </c>
      <c r="I2" s="21">
        <f>SUMIFS(Annual_Mortality!$E$2:$E$2731,Annual_Mortality!$A$2:$A$2731,A2)</f>
        <v>69191609.481029242</v>
      </c>
      <c r="J2" s="21">
        <f>SUMIFS(Annual_Mortality!$G$2:$G$2731,Annual_Mortality!$A$2:$A$2731,A2)</f>
        <v>70290153.4254096</v>
      </c>
      <c r="K2" s="21">
        <f>SUMIFS(Annual_Mortality!$J$2:$J$2731,Annual_Mortality!$A$2:$A$2731,A2)</f>
        <v>1098543.9443803504</v>
      </c>
      <c r="L2" s="21">
        <f>SUMIFS(Annual_Mortality!$F$2:$F$2731,Annual_Mortality!$A$2:$A$2731,A2)</f>
        <v>30941166.822878957</v>
      </c>
      <c r="M2" s="21">
        <f>SUMIFS(Annual_Mortality!$H$2:$H$2731,Annual_Mortality!$A$2:$A$2731,A2)</f>
        <v>31200100.25356365</v>
      </c>
      <c r="N2" s="21">
        <f>SUMIFS(Annual_Mortality!$I$2:$I$2731,Annual_Mortality!$A$2:$A$2731,A2)</f>
        <v>258933.43068469773</v>
      </c>
      <c r="O2" s="21">
        <f>SUMIFS(Budget_Impact!$E$2:$E$391,Budget_Impact!$A$2:$A$391,A2)</f>
        <v>59680429.192594916</v>
      </c>
      <c r="P2" s="21">
        <f>SUMIFS(Budget_Impact!$F$2:$F$391,Budget_Impact!$A$2:$A$391,A2)</f>
        <v>40626971.700981542</v>
      </c>
      <c r="Q2" s="21">
        <f t="shared" ref="Q2:Q13" si="0">IF(K2&gt;0,P2/K2,"")</f>
        <v>36.982563973713198</v>
      </c>
      <c r="R2" s="21">
        <f t="shared" ref="R2:R13" si="1">IF(N2&gt;0,P2/N2,"")</f>
        <v>156.90122203823444</v>
      </c>
      <c r="S2" s="33" t="str">
        <f t="shared" ref="S2:S13" si="2">IF(AND(K2&lt;=0,N2&lt;=0),"no incremental health effect",IF(AND(P2&lt;0,OR(K2&gt;0,N2&gt;0)),"Dominant (more health, lower cost)",IF(N2&gt;0,"USD per death averted","USD per case averted")))</f>
        <v>USD per death averted</v>
      </c>
    </row>
    <row r="3" spans="1:19" ht="27.6">
      <c r="A3" t="s">
        <v>192</v>
      </c>
      <c r="B3" s="13" t="s">
        <v>194</v>
      </c>
      <c r="C3" t="s">
        <v>179</v>
      </c>
      <c r="D3" t="s">
        <v>179</v>
      </c>
      <c r="G3" s="13" t="s">
        <v>192</v>
      </c>
      <c r="H3">
        <v>1</v>
      </c>
      <c r="I3" s="21">
        <f>SUMIFS(Annual_Mortality!$E$2:$E$2731,Annual_Mortality!$A$2:$A$2731,A3)</f>
        <v>70284407.730329886</v>
      </c>
      <c r="J3" s="21">
        <f>SUMIFS(Annual_Mortality!$G$2:$G$2731,Annual_Mortality!$A$2:$A$2731,A3)</f>
        <v>70290153.4254096</v>
      </c>
      <c r="K3" s="21">
        <f>SUMIFS(Annual_Mortality!$J$2:$J$2731,Annual_Mortality!$A$2:$A$2731,A3)</f>
        <v>5745.6950796910878</v>
      </c>
      <c r="L3" s="21">
        <f>SUMIFS(Annual_Mortality!$F$2:$F$2731,Annual_Mortality!$A$2:$A$2731,A3)</f>
        <v>31197153.892221317</v>
      </c>
      <c r="M3" s="21">
        <f>SUMIFS(Annual_Mortality!$H$2:$H$2731,Annual_Mortality!$A$2:$A$2731,A3)</f>
        <v>31200100.25356365</v>
      </c>
      <c r="N3" s="21">
        <f>SUMIFS(Annual_Mortality!$I$2:$I$2731,Annual_Mortality!$A$2:$A$2731,A3)</f>
        <v>2946.3613423437173</v>
      </c>
      <c r="O3" s="21">
        <f>SUMIFS(Budget_Impact!$E$2:$E$391,Budget_Impact!$A$2:$A$391,A3)</f>
        <v>59669534.817896262</v>
      </c>
      <c r="P3" s="21">
        <f>SUMIFS(Budget_Impact!$F$2:$F$391,Budget_Impact!$A$2:$A$391,A3)</f>
        <v>40620996.765669219</v>
      </c>
      <c r="Q3" s="21">
        <f t="shared" si="0"/>
        <v>7069.8142178218704</v>
      </c>
      <c r="R3" s="21">
        <f t="shared" si="1"/>
        <v>13786.834690600705</v>
      </c>
      <c r="S3" s="33" t="str">
        <f t="shared" si="2"/>
        <v>USD per death averted</v>
      </c>
    </row>
    <row r="4" spans="1:19" ht="27.6">
      <c r="A4" t="s">
        <v>265</v>
      </c>
      <c r="B4" s="13" t="s">
        <v>267</v>
      </c>
      <c r="C4" t="s">
        <v>179</v>
      </c>
      <c r="D4" t="s">
        <v>206</v>
      </c>
      <c r="E4" t="s">
        <v>261</v>
      </c>
      <c r="F4" t="s">
        <v>424</v>
      </c>
      <c r="G4" s="13" t="s">
        <v>265</v>
      </c>
      <c r="H4">
        <v>1</v>
      </c>
      <c r="I4" s="21">
        <f>SUMIFS(Annual_Mortality!$E$2:$E$2731,Annual_Mortality!$A$2:$A$2731,A4)</f>
        <v>70115605.01948458</v>
      </c>
      <c r="J4" s="21">
        <f>SUMIFS(Annual_Mortality!$G$2:$G$2731,Annual_Mortality!$A$2:$A$2731,A4)</f>
        <v>70290153.4254096</v>
      </c>
      <c r="K4" s="21">
        <f>SUMIFS(Annual_Mortality!$J$2:$J$2731,Annual_Mortality!$A$2:$A$2731,A4)</f>
        <v>174548.4059250213</v>
      </c>
      <c r="L4" s="21">
        <f>SUMIFS(Annual_Mortality!$F$2:$F$2731,Annual_Mortality!$A$2:$A$2731,A4)</f>
        <v>31158951.192269027</v>
      </c>
      <c r="M4" s="21">
        <f>SUMIFS(Annual_Mortality!$H$2:$H$2731,Annual_Mortality!$A$2:$A$2731,A4)</f>
        <v>31200100.25356365</v>
      </c>
      <c r="N4" s="21">
        <f>SUMIFS(Annual_Mortality!$I$2:$I$2731,Annual_Mortality!$A$2:$A$2731,A4)</f>
        <v>41149.06129463156</v>
      </c>
      <c r="O4" s="21">
        <f>SUMIFS(Budget_Impact!$E$2:$E$391,Budget_Impact!$A$2:$A$391,A4)</f>
        <v>114854960.93382391</v>
      </c>
      <c r="P4" s="21">
        <f>SUMIFS(Budget_Impact!$F$2:$F$391,Budget_Impact!$A$2:$A$391,A4)</f>
        <v>78187811.344863385</v>
      </c>
      <c r="Q4" s="21">
        <f t="shared" si="0"/>
        <v>447.94342824562716</v>
      </c>
      <c r="R4" s="21">
        <f t="shared" si="1"/>
        <v>1900.1116643957082</v>
      </c>
      <c r="S4" s="33" t="str">
        <f t="shared" si="2"/>
        <v>USD per death averted</v>
      </c>
    </row>
    <row r="5" spans="1:19" ht="27.6">
      <c r="A5" t="s">
        <v>272</v>
      </c>
      <c r="B5" s="13" t="s">
        <v>274</v>
      </c>
      <c r="C5" t="s">
        <v>179</v>
      </c>
      <c r="D5" t="s">
        <v>206</v>
      </c>
      <c r="E5" t="s">
        <v>261</v>
      </c>
      <c r="F5" t="s">
        <v>424</v>
      </c>
      <c r="G5" s="13" t="s">
        <v>272</v>
      </c>
      <c r="H5">
        <v>2</v>
      </c>
      <c r="I5" s="21">
        <f>SUMIFS(Annual_Mortality!$E$2:$E$2731,Annual_Mortality!$A$2:$A$2731,A5)</f>
        <v>70083857.66365923</v>
      </c>
      <c r="J5" s="21">
        <f>SUMIFS(Annual_Mortality!$G$2:$G$2731,Annual_Mortality!$A$2:$A$2731,A5)</f>
        <v>70290153.4254096</v>
      </c>
      <c r="K5" s="21">
        <f>SUMIFS(Annual_Mortality!$J$2:$J$2731,Annual_Mortality!$A$2:$A$2731,A5)</f>
        <v>206295.76175037865</v>
      </c>
      <c r="L5" s="21">
        <f>SUMIFS(Annual_Mortality!$F$2:$F$2731,Annual_Mortality!$A$2:$A$2731,A5)</f>
        <v>31151467.167817514</v>
      </c>
      <c r="M5" s="21">
        <f>SUMIFS(Annual_Mortality!$H$2:$H$2731,Annual_Mortality!$A$2:$A$2731,A5)</f>
        <v>31200100.25356365</v>
      </c>
      <c r="N5" s="21">
        <f>SUMIFS(Annual_Mortality!$I$2:$I$2731,Annual_Mortality!$A$2:$A$2731,A5)</f>
        <v>48633.085746134537</v>
      </c>
      <c r="O5" s="21">
        <f>SUMIFS(Budget_Impact!$E$2:$E$391,Budget_Impact!$A$2:$A$391,A5)</f>
        <v>114867410.02335855</v>
      </c>
      <c r="P5" s="21">
        <f>SUMIFS(Budget_Impact!$F$2:$F$391,Budget_Impact!$A$2:$A$391,A5)</f>
        <v>78197380.272915885</v>
      </c>
      <c r="Q5" s="21">
        <f t="shared" si="0"/>
        <v>379.05471062239286</v>
      </c>
      <c r="R5" s="21">
        <f t="shared" si="1"/>
        <v>1607.9049699027412</v>
      </c>
      <c r="S5" s="33" t="str">
        <f t="shared" si="2"/>
        <v>USD per death averted</v>
      </c>
    </row>
    <row r="6" spans="1:19" ht="27.6">
      <c r="A6" t="s">
        <v>257</v>
      </c>
      <c r="B6" s="13" t="s">
        <v>259</v>
      </c>
      <c r="C6" t="s">
        <v>179</v>
      </c>
      <c r="D6" t="s">
        <v>206</v>
      </c>
      <c r="E6" t="s">
        <v>261</v>
      </c>
      <c r="F6" t="s">
        <v>424</v>
      </c>
      <c r="G6" s="13" t="s">
        <v>257</v>
      </c>
      <c r="H6">
        <v>3</v>
      </c>
      <c r="I6" s="21">
        <f>SUMIFS(Annual_Mortality!$E$2:$E$2731,Annual_Mortality!$A$2:$A$2731,A6)</f>
        <v>70163219.543273836</v>
      </c>
      <c r="J6" s="21">
        <f>SUMIFS(Annual_Mortality!$G$2:$G$2731,Annual_Mortality!$A$2:$A$2731,A6)</f>
        <v>70290153.4254096</v>
      </c>
      <c r="K6" s="21">
        <f>SUMIFS(Annual_Mortality!$J$2:$J$2731,Annual_Mortality!$A$2:$A$2731,A6)</f>
        <v>126933.88213571024</v>
      </c>
      <c r="L6" s="21">
        <f>SUMIFS(Annual_Mortality!$F$2:$F$2731,Annual_Mortality!$A$2:$A$2731,A6)</f>
        <v>31170175.857403215</v>
      </c>
      <c r="M6" s="21">
        <f>SUMIFS(Annual_Mortality!$H$2:$H$2731,Annual_Mortality!$A$2:$A$2731,A6)</f>
        <v>31200100.25356365</v>
      </c>
      <c r="N6" s="21">
        <f>SUMIFS(Annual_Mortality!$I$2:$I$2731,Annual_Mortality!$A$2:$A$2731,A6)</f>
        <v>29924.396160444441</v>
      </c>
      <c r="O6" s="21">
        <f>SUMIFS(Budget_Impact!$E$2:$E$391,Budget_Impact!$A$2:$A$391,A6)</f>
        <v>114865850.35047722</v>
      </c>
      <c r="P6" s="21">
        <f>SUMIFS(Budget_Impact!$F$2:$F$391,Budget_Impact!$A$2:$A$391,A6)</f>
        <v>78196312.974156484</v>
      </c>
      <c r="Q6" s="21">
        <f t="shared" si="0"/>
        <v>616.03971814675594</v>
      </c>
      <c r="R6" s="21">
        <f t="shared" si="1"/>
        <v>2613.1291857952433</v>
      </c>
      <c r="S6" s="33" t="str">
        <f t="shared" si="2"/>
        <v>USD per death averted</v>
      </c>
    </row>
    <row r="7" spans="1:19" ht="27.6">
      <c r="A7" t="s">
        <v>169</v>
      </c>
      <c r="B7" s="13" t="s">
        <v>171</v>
      </c>
      <c r="C7" t="s">
        <v>179</v>
      </c>
      <c r="D7" t="s">
        <v>179</v>
      </c>
      <c r="G7" s="13" t="s">
        <v>169</v>
      </c>
      <c r="H7">
        <v>1</v>
      </c>
      <c r="I7" s="21">
        <f>SUMIFS(Annual_Mortality!$E$2:$E$2731,Annual_Mortality!$A$2:$A$2731,A7)</f>
        <v>70283844.946016118</v>
      </c>
      <c r="J7" s="21">
        <f>SUMIFS(Annual_Mortality!$G$2:$G$2731,Annual_Mortality!$A$2:$A$2731,A7)</f>
        <v>70290153.4254096</v>
      </c>
      <c r="K7" s="21">
        <f>SUMIFS(Annual_Mortality!$J$2:$J$2731,Annual_Mortality!$A$2:$A$2731,A7)</f>
        <v>6308.4793934799363</v>
      </c>
      <c r="L7" s="21">
        <f>SUMIFS(Annual_Mortality!$F$2:$F$2731,Annual_Mortality!$A$2:$A$2731,A7)</f>
        <v>31196865.30107658</v>
      </c>
      <c r="M7" s="21">
        <f>SUMIFS(Annual_Mortality!$H$2:$H$2731,Annual_Mortality!$A$2:$A$2731,A7)</f>
        <v>31200100.25356365</v>
      </c>
      <c r="N7" s="21">
        <f>SUMIFS(Annual_Mortality!$I$2:$I$2731,Annual_Mortality!$A$2:$A$2731,A7)</f>
        <v>3234.9524870821006</v>
      </c>
      <c r="O7" s="21">
        <f>SUMIFS(Budget_Impact!$E$2:$E$391,Budget_Impact!$A$2:$A$391,A7)</f>
        <v>83530932.465206504</v>
      </c>
      <c r="P7" s="21">
        <f>SUMIFS(Budget_Impact!$F$2:$F$391,Budget_Impact!$A$2:$A$391,A7)</f>
        <v>56864658.506204933</v>
      </c>
      <c r="Q7" s="21">
        <f t="shared" si="0"/>
        <v>9014.0040030846121</v>
      </c>
      <c r="R7" s="21">
        <f t="shared" si="1"/>
        <v>17578.205161676538</v>
      </c>
      <c r="S7" s="33" t="str">
        <f t="shared" si="2"/>
        <v>USD per death averted</v>
      </c>
    </row>
    <row r="8" spans="1:19" ht="27.6">
      <c r="A8" t="s">
        <v>224</v>
      </c>
      <c r="B8" s="13" t="s">
        <v>226</v>
      </c>
      <c r="C8" t="s">
        <v>179</v>
      </c>
      <c r="D8" t="s">
        <v>206</v>
      </c>
      <c r="E8" t="s">
        <v>205</v>
      </c>
      <c r="F8" t="s">
        <v>423</v>
      </c>
      <c r="G8" s="13" t="s">
        <v>224</v>
      </c>
      <c r="H8">
        <v>1</v>
      </c>
      <c r="I8" s="21">
        <f>SUMIFS(Annual_Mortality!$E$2:$E$2731,Annual_Mortality!$A$2:$A$2731,A8)</f>
        <v>69520609.031375214</v>
      </c>
      <c r="J8" s="21">
        <f>SUMIFS(Annual_Mortality!$G$2:$G$2731,Annual_Mortality!$A$2:$A$2731,A8)</f>
        <v>70290153.4254096</v>
      </c>
      <c r="K8" s="21">
        <f>SUMIFS(Annual_Mortality!$J$2:$J$2731,Annual_Mortality!$A$2:$A$2731,A8)</f>
        <v>769544.39403437462</v>
      </c>
      <c r="L8" s="21">
        <f>SUMIFS(Annual_Mortality!$F$2:$F$2731,Annual_Mortality!$A$2:$A$2731,A8)</f>
        <v>30836009.053252731</v>
      </c>
      <c r="M8" s="21">
        <f>SUMIFS(Annual_Mortality!$H$2:$H$2731,Annual_Mortality!$A$2:$A$2731,A8)</f>
        <v>31200100.25356365</v>
      </c>
      <c r="N8" s="21">
        <f>SUMIFS(Annual_Mortality!$I$2:$I$2731,Annual_Mortality!$A$2:$A$2731,A8)</f>
        <v>364091.20031092712</v>
      </c>
      <c r="O8" s="21">
        <f>SUMIFS(Budget_Impact!$E$2:$E$391,Budget_Impact!$A$2:$A$391,A8)</f>
        <v>130947183.04582685</v>
      </c>
      <c r="P8" s="21">
        <f>SUMIFS(Budget_Impact!$F$2:$F$391,Budget_Impact!$A$2:$A$391,A8)</f>
        <v>89139638.463940024</v>
      </c>
      <c r="Q8" s="21">
        <f t="shared" si="0"/>
        <v>115.83430293945884</v>
      </c>
      <c r="R8" s="21">
        <f t="shared" si="1"/>
        <v>244.82777498554327</v>
      </c>
      <c r="S8" s="33" t="str">
        <f t="shared" si="2"/>
        <v>USD per death averted</v>
      </c>
    </row>
    <row r="9" spans="1:19" ht="27.6">
      <c r="A9" t="s">
        <v>210</v>
      </c>
      <c r="B9" s="13" t="s">
        <v>212</v>
      </c>
      <c r="C9" t="s">
        <v>179</v>
      </c>
      <c r="D9" t="s">
        <v>206</v>
      </c>
      <c r="E9" t="s">
        <v>205</v>
      </c>
      <c r="F9" t="s">
        <v>423</v>
      </c>
      <c r="G9" s="13" t="s">
        <v>210</v>
      </c>
      <c r="H9">
        <v>2</v>
      </c>
      <c r="I9" s="21">
        <f>SUMIFS(Annual_Mortality!$E$2:$E$2731,Annual_Mortality!$A$2:$A$2731,A9)</f>
        <v>69903411.597889215</v>
      </c>
      <c r="J9" s="21">
        <f>SUMIFS(Annual_Mortality!$G$2:$G$2731,Annual_Mortality!$A$2:$A$2731,A9)</f>
        <v>70290153.4254096</v>
      </c>
      <c r="K9" s="21">
        <f>SUMIFS(Annual_Mortality!$J$2:$J$2731,Annual_Mortality!$A$2:$A$2731,A9)</f>
        <v>386741.82752034848</v>
      </c>
      <c r="L9" s="21">
        <f>SUMIFS(Annual_Mortality!$F$2:$F$2731,Annual_Mortality!$A$2:$A$2731,A9)</f>
        <v>31017121.334697004</v>
      </c>
      <c r="M9" s="21">
        <f>SUMIFS(Annual_Mortality!$H$2:$H$2731,Annual_Mortality!$A$2:$A$2731,A9)</f>
        <v>31200100.25356365</v>
      </c>
      <c r="N9" s="21">
        <f>SUMIFS(Annual_Mortality!$I$2:$I$2731,Annual_Mortality!$A$2:$A$2731,A9)</f>
        <v>182978.9188666624</v>
      </c>
      <c r="O9" s="21">
        <f>SUMIFS(Budget_Impact!$E$2:$E$391,Budget_Impact!$A$2:$A$391,A9)</f>
        <v>130923497.00479452</v>
      </c>
      <c r="P9" s="21">
        <f>SUMIFS(Budget_Impact!$F$2:$F$391,Budget_Impact!$A$2:$A$391,A9)</f>
        <v>89125743.247884735</v>
      </c>
      <c r="Q9" s="21">
        <f t="shared" si="0"/>
        <v>230.45281607972794</v>
      </c>
      <c r="R9" s="21">
        <f t="shared" si="1"/>
        <v>487.08202999511155</v>
      </c>
      <c r="S9" s="33" t="str">
        <f t="shared" si="2"/>
        <v>USD per death averted</v>
      </c>
    </row>
    <row r="10" spans="1:19" ht="27.6">
      <c r="A10" t="s">
        <v>217</v>
      </c>
      <c r="B10" s="13" t="s">
        <v>219</v>
      </c>
      <c r="C10" t="s">
        <v>179</v>
      </c>
      <c r="D10" t="s">
        <v>206</v>
      </c>
      <c r="E10" t="s">
        <v>205</v>
      </c>
      <c r="F10" t="s">
        <v>423</v>
      </c>
      <c r="G10" s="13" t="s">
        <v>217</v>
      </c>
      <c r="H10">
        <v>3</v>
      </c>
      <c r="I10" s="21">
        <f>SUMIFS(Annual_Mortality!$E$2:$E$2731,Annual_Mortality!$A$2:$A$2731,A10)</f>
        <v>70290153.4254096</v>
      </c>
      <c r="J10" s="21">
        <f>SUMIFS(Annual_Mortality!$G$2:$G$2731,Annual_Mortality!$A$2:$A$2731,A10)</f>
        <v>70290153.4254096</v>
      </c>
      <c r="K10" s="21">
        <f>SUMIFS(Annual_Mortality!$J$2:$J$2731,Annual_Mortality!$A$2:$A$2731,A10)</f>
        <v>0</v>
      </c>
      <c r="L10" s="21">
        <f>SUMIFS(Annual_Mortality!$F$2:$F$2731,Annual_Mortality!$A$2:$A$2731,A10)</f>
        <v>31200100.25356365</v>
      </c>
      <c r="M10" s="21">
        <f>SUMIFS(Annual_Mortality!$H$2:$H$2731,Annual_Mortality!$A$2:$A$2731,A10)</f>
        <v>31200100.25356365</v>
      </c>
      <c r="N10" s="21">
        <f>SUMIFS(Annual_Mortality!$I$2:$I$2731,Annual_Mortality!$A$2:$A$2731,A10)</f>
        <v>0</v>
      </c>
      <c r="O10" s="21">
        <f>SUMIFS(Budget_Impact!$E$2:$E$391,Budget_Impact!$A$2:$A$391,A10)</f>
        <v>130899770.56354067</v>
      </c>
      <c r="P10" s="21">
        <f>SUMIFS(Budget_Impact!$F$2:$F$391,Budget_Impact!$A$2:$A$391,A10)</f>
        <v>89112104.844371706</v>
      </c>
      <c r="Q10" s="21" t="str">
        <f t="shared" si="0"/>
        <v/>
      </c>
      <c r="R10" s="21" t="str">
        <f t="shared" si="1"/>
        <v/>
      </c>
      <c r="S10" s="33" t="str">
        <f t="shared" si="2"/>
        <v>no incremental health effect</v>
      </c>
    </row>
    <row r="11" spans="1:19" ht="41.4">
      <c r="A11" t="s">
        <v>200</v>
      </c>
      <c r="B11" s="13" t="s">
        <v>202</v>
      </c>
      <c r="C11" t="s">
        <v>179</v>
      </c>
      <c r="D11" t="s">
        <v>206</v>
      </c>
      <c r="E11" t="s">
        <v>205</v>
      </c>
      <c r="F11" t="s">
        <v>423</v>
      </c>
      <c r="G11" s="13" t="s">
        <v>200</v>
      </c>
      <c r="H11">
        <v>4</v>
      </c>
      <c r="I11" s="21">
        <f>SUMIFS(Annual_Mortality!$E$2:$E$2731,Annual_Mortality!$A$2:$A$2731,A11)</f>
        <v>70019019.11309664</v>
      </c>
      <c r="J11" s="21">
        <f>SUMIFS(Annual_Mortality!$G$2:$G$2731,Annual_Mortality!$A$2:$A$2731,A11)</f>
        <v>70290153.4254096</v>
      </c>
      <c r="K11" s="21">
        <f>SUMIFS(Annual_Mortality!$J$2:$J$2731,Annual_Mortality!$A$2:$A$2731,A11)</f>
        <v>271134.31231293734</v>
      </c>
      <c r="L11" s="21">
        <f>SUMIFS(Annual_Mortality!$F$2:$F$2731,Annual_Mortality!$A$2:$A$2731,A11)</f>
        <v>31071818.313644193</v>
      </c>
      <c r="M11" s="21">
        <f>SUMIFS(Annual_Mortality!$H$2:$H$2731,Annual_Mortality!$A$2:$A$2731,A11)</f>
        <v>31200100.25356365</v>
      </c>
      <c r="N11" s="21">
        <f>SUMIFS(Annual_Mortality!$I$2:$I$2731,Annual_Mortality!$A$2:$A$2731,A11)</f>
        <v>128281.93991945992</v>
      </c>
      <c r="O11" s="21">
        <f>SUMIFS(Budget_Impact!$E$2:$E$391,Budget_Impact!$A$2:$A$391,A11)</f>
        <v>130910949.1494469</v>
      </c>
      <c r="P11" s="21">
        <f>SUMIFS(Budget_Impact!$F$2:$F$391,Budget_Impact!$A$2:$A$391,A11)</f>
        <v>89118158.148994386</v>
      </c>
      <c r="Q11" s="21">
        <f t="shared" si="0"/>
        <v>328.68638937198085</v>
      </c>
      <c r="R11" s="21">
        <f t="shared" si="1"/>
        <v>694.70541375462528</v>
      </c>
      <c r="S11" s="33" t="str">
        <f t="shared" si="2"/>
        <v>USD per death averted</v>
      </c>
    </row>
    <row r="12" spans="1:19" ht="41.4">
      <c r="A12" t="s">
        <v>242</v>
      </c>
      <c r="B12" s="13" t="s">
        <v>244</v>
      </c>
      <c r="C12" t="s">
        <v>179</v>
      </c>
      <c r="D12" t="s">
        <v>179</v>
      </c>
      <c r="G12" s="13" t="s">
        <v>242</v>
      </c>
      <c r="H12">
        <v>1</v>
      </c>
      <c r="I12" s="21">
        <f>SUMIFS(Annual_Mortality!$E$2:$E$2731,Annual_Mortality!$A$2:$A$2731,A12)</f>
        <v>69955364.332609072</v>
      </c>
      <c r="J12" s="21">
        <f>SUMIFS(Annual_Mortality!$G$2:$G$2731,Annual_Mortality!$A$2:$A$2731,A12)</f>
        <v>70290153.4254096</v>
      </c>
      <c r="K12" s="21">
        <f>SUMIFS(Annual_Mortality!$J$2:$J$2731,Annual_Mortality!$A$2:$A$2731,A12)</f>
        <v>334789.0928004912</v>
      </c>
      <c r="L12" s="21">
        <f>SUMIFS(Annual_Mortality!$F$2:$F$2731,Annual_Mortality!$A$2:$A$2731,A12)</f>
        <v>31066528.95863495</v>
      </c>
      <c r="M12" s="21">
        <f>SUMIFS(Annual_Mortality!$H$2:$H$2731,Annual_Mortality!$A$2:$A$2731,A12)</f>
        <v>31200100.25356365</v>
      </c>
      <c r="N12" s="21">
        <f>SUMIFS(Annual_Mortality!$I$2:$I$2731,Annual_Mortality!$A$2:$A$2731,A12)</f>
        <v>133571.29492871027</v>
      </c>
      <c r="O12" s="21">
        <f>SUMIFS(Budget_Impact!$E$2:$E$391,Budget_Impact!$A$2:$A$391,A12)</f>
        <v>129791778.93627612</v>
      </c>
      <c r="P12" s="21">
        <f>SUMIFS(Budget_Impact!$F$2:$F$391,Budget_Impact!$A$2:$A$391,A12)</f>
        <v>88356204.860291675</v>
      </c>
      <c r="Q12" s="21">
        <f t="shared" si="0"/>
        <v>263.91601984759177</v>
      </c>
      <c r="R12" s="21">
        <f t="shared" si="1"/>
        <v>661.49096561090607</v>
      </c>
      <c r="S12" s="33" t="str">
        <f t="shared" si="2"/>
        <v>USD per death averted</v>
      </c>
    </row>
    <row r="13" spans="1:19" ht="41.4">
      <c r="A13" t="s">
        <v>231</v>
      </c>
      <c r="B13" s="13" t="s">
        <v>233</v>
      </c>
      <c r="C13" t="s">
        <v>179</v>
      </c>
      <c r="D13" t="s">
        <v>179</v>
      </c>
      <c r="G13" s="13" t="s">
        <v>231</v>
      </c>
      <c r="H13">
        <v>1</v>
      </c>
      <c r="I13" s="21">
        <f>SUMIFS(Annual_Mortality!$E$2:$E$2731,Annual_Mortality!$A$2:$A$2731,A13)</f>
        <v>70147762.120791182</v>
      </c>
      <c r="J13" s="21">
        <f>SUMIFS(Annual_Mortality!$G$2:$G$2731,Annual_Mortality!$A$2:$A$2731,A13)</f>
        <v>70290153.4254096</v>
      </c>
      <c r="K13" s="21">
        <f>SUMIFS(Annual_Mortality!$J$2:$J$2731,Annual_Mortality!$A$2:$A$2731,A13)</f>
        <v>142391.30461841889</v>
      </c>
      <c r="L13" s="21">
        <f>SUMIFS(Annual_Mortality!$F$2:$F$2731,Annual_Mortality!$A$2:$A$2731,A13)</f>
        <v>31165312.022115458</v>
      </c>
      <c r="M13" s="21">
        <f>SUMIFS(Annual_Mortality!$H$2:$H$2731,Annual_Mortality!$A$2:$A$2731,A13)</f>
        <v>31200100.25356365</v>
      </c>
      <c r="N13" s="21">
        <f>SUMIFS(Annual_Mortality!$I$2:$I$2731,Annual_Mortality!$A$2:$A$2731,A13)</f>
        <v>34788.231448187929</v>
      </c>
      <c r="O13" s="21">
        <f>SUMIFS(Budget_Impact!$E$2:$E$391,Budget_Impact!$A$2:$A$391,A13)</f>
        <v>59670659.925595053</v>
      </c>
      <c r="P13" s="21">
        <f>SUMIFS(Budget_Impact!$F$2:$F$391,Budget_Impact!$A$2:$A$391,A13)</f>
        <v>40621570.926122308</v>
      </c>
      <c r="Q13" s="21">
        <f t="shared" si="0"/>
        <v>285.28126092376391</v>
      </c>
      <c r="R13" s="21">
        <f t="shared" si="1"/>
        <v>1167.6814035982916</v>
      </c>
      <c r="S13" s="33" t="str">
        <f t="shared" si="2"/>
        <v>USD per death averted</v>
      </c>
    </row>
  </sheetData>
  <autoFilter ref="A1:S1" xr:uid="{00000000-0009-0000-0000-00000E000000}"/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4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1.69921875" customWidth="1"/>
    <col min="2" max="3" width="16.69921875" customWidth="1"/>
    <col min="4" max="4" width="15.69921875" customWidth="1"/>
    <col min="5" max="5" width="19.69921875" customWidth="1"/>
    <col min="6" max="6" width="21.69921875" customWidth="1"/>
    <col min="7" max="7" width="18.69921875" customWidth="1"/>
    <col min="8" max="8" width="17.69921875" customWidth="1"/>
    <col min="9" max="9" width="15.69921875" customWidth="1"/>
    <col min="10" max="10" width="16.69921875" customWidth="1"/>
    <col min="11" max="11" width="15.69921875" customWidth="1"/>
    <col min="12" max="12" width="16.69921875" customWidth="1"/>
    <col min="13" max="13" width="17.69921875" customWidth="1"/>
    <col min="14" max="14" width="16.69921875" customWidth="1"/>
    <col min="15" max="15" width="18.69921875" customWidth="1"/>
    <col min="16" max="17" width="23.69921875" customWidth="1"/>
    <col min="18" max="18" width="24.69921875" customWidth="1"/>
    <col min="19" max="19" width="11.69921875" customWidth="1"/>
  </cols>
  <sheetData>
    <row r="1" spans="1:19" ht="28.05" customHeight="1">
      <c r="A1" s="1" t="s">
        <v>413</v>
      </c>
      <c r="B1" s="1" t="s">
        <v>414</v>
      </c>
      <c r="C1" s="1" t="s">
        <v>797</v>
      </c>
      <c r="D1" s="1" t="s">
        <v>365</v>
      </c>
      <c r="E1" s="1" t="s">
        <v>166</v>
      </c>
      <c r="F1" s="1" t="s">
        <v>798</v>
      </c>
      <c r="G1" s="1" t="s">
        <v>799</v>
      </c>
      <c r="H1" s="1" t="s">
        <v>638</v>
      </c>
      <c r="I1" s="1" t="s">
        <v>800</v>
      </c>
      <c r="J1" s="1" t="s">
        <v>801</v>
      </c>
      <c r="K1" s="1" t="s">
        <v>421</v>
      </c>
      <c r="L1" s="1" t="s">
        <v>802</v>
      </c>
      <c r="M1" s="1" t="s">
        <v>803</v>
      </c>
      <c r="N1" s="1" t="s">
        <v>420</v>
      </c>
      <c r="O1" s="1" t="s">
        <v>441</v>
      </c>
      <c r="P1" s="1" t="s">
        <v>442</v>
      </c>
      <c r="Q1" s="1" t="s">
        <v>804</v>
      </c>
      <c r="R1" s="1" t="s">
        <v>445</v>
      </c>
      <c r="S1" s="1" t="s">
        <v>456</v>
      </c>
    </row>
    <row r="2" spans="1:19" ht="55.2">
      <c r="A2" t="s">
        <v>261</v>
      </c>
      <c r="B2" s="13" t="s">
        <v>424</v>
      </c>
      <c r="C2" t="s">
        <v>805</v>
      </c>
      <c r="D2" t="s">
        <v>805</v>
      </c>
      <c r="E2" t="s">
        <v>261</v>
      </c>
      <c r="F2" t="s">
        <v>424</v>
      </c>
      <c r="G2" s="13" t="s">
        <v>806</v>
      </c>
      <c r="I2" s="21">
        <f>SUMIFS(Annual_Mortality!$E$2:$E$2731,Annual_Mortality!$A$2:$A$2731,A2)</f>
        <v>69784036.322493345</v>
      </c>
      <c r="J2" s="21">
        <f>SUMIFS(Annual_Mortality!$G$2:$G$2731,Annual_Mortality!$A$2:$A$2731,A2)</f>
        <v>70290153.4254096</v>
      </c>
      <c r="K2" s="21">
        <f>SUMIFS(Annual_Mortality!$J$2:$J$2731,Annual_Mortality!$A$2:$A$2731,A2)</f>
        <v>506117.10291624296</v>
      </c>
      <c r="L2" s="21">
        <f>SUMIFS(Annual_Mortality!$F$2:$F$2731,Annual_Mortality!$A$2:$A$2731,A2)</f>
        <v>31080745.375446565</v>
      </c>
      <c r="M2" s="21">
        <f>SUMIFS(Annual_Mortality!$H$2:$H$2731,Annual_Mortality!$A$2:$A$2731,A2)</f>
        <v>31200100.25356365</v>
      </c>
      <c r="N2" s="21">
        <f>SUMIFS(Annual_Mortality!$I$2:$I$2731,Annual_Mortality!$A$2:$A$2731,A2)</f>
        <v>119354.87811709555</v>
      </c>
      <c r="O2" s="21">
        <f>SUMIFS(Budget_Impact!$E$2:$E$391,Budget_Impact!$A$2:$A$391,A2)</f>
        <v>344620177.28270483</v>
      </c>
      <c r="P2" s="21">
        <f>SUMIFS(Budget_Impact!$F$2:$F$391,Budget_Impact!$A$2:$A$391,A2)</f>
        <v>234601654.00705022</v>
      </c>
      <c r="Q2" s="21">
        <f>IF(K2&gt;0,P2/K2,"")</f>
        <v>463.53235773949791</v>
      </c>
      <c r="R2" s="21">
        <f>IF(N2&gt;0,P2/N2,"")</f>
        <v>1965.5807764881588</v>
      </c>
      <c r="S2" s="33" t="str">
        <f>IF(AND(K2&lt;=0,N2&lt;=0),"no incremental health effect",IF(AND(P2&lt;0,OR(K2&gt;0,N2&gt;0)),"Dominant (more health, lower cost)",IF(N2&gt;0,"USD per death averted","USD per case averted")))</f>
        <v>USD per death averted</v>
      </c>
    </row>
    <row r="3" spans="1:19" ht="69">
      <c r="A3" t="s">
        <v>205</v>
      </c>
      <c r="B3" s="13" t="s">
        <v>423</v>
      </c>
      <c r="C3" t="s">
        <v>805</v>
      </c>
      <c r="D3" t="s">
        <v>805</v>
      </c>
      <c r="E3" t="s">
        <v>205</v>
      </c>
      <c r="F3" t="s">
        <v>423</v>
      </c>
      <c r="G3" s="13" t="s">
        <v>807</v>
      </c>
      <c r="I3" s="21">
        <f>SUMIFS(Annual_Mortality!$E$2:$E$2731,Annual_Mortality!$A$2:$A$2731,A3)</f>
        <v>68878797.531003773</v>
      </c>
      <c r="J3" s="21">
        <f>SUMIFS(Annual_Mortality!$G$2:$G$2731,Annual_Mortality!$A$2:$A$2731,A3)</f>
        <v>70290153.4254096</v>
      </c>
      <c r="K3" s="21">
        <f>SUMIFS(Annual_Mortality!$J$2:$J$2731,Annual_Mortality!$A$2:$A$2731,A3)</f>
        <v>1411355.8944058029</v>
      </c>
      <c r="L3" s="21">
        <f>SUMIFS(Annual_Mortality!$F$2:$F$2731,Annual_Mortality!$A$2:$A$2731,A3)</f>
        <v>30532358.635008741</v>
      </c>
      <c r="M3" s="21">
        <f>SUMIFS(Annual_Mortality!$H$2:$H$2731,Annual_Mortality!$A$2:$A$2731,A3)</f>
        <v>31200100.25356365</v>
      </c>
      <c r="N3" s="21">
        <f>SUMIFS(Annual_Mortality!$I$2:$I$2731,Annual_Mortality!$A$2:$A$2731,A3)</f>
        <v>667741.61855491076</v>
      </c>
      <c r="O3" s="21">
        <f>SUMIFS(Budget_Impact!$E$2:$E$391,Budget_Impact!$A$2:$A$391,A3)</f>
        <v>523924790.25450546</v>
      </c>
      <c r="P3" s="21">
        <f>SUMIFS(Budget_Impact!$F$2:$F$391,Budget_Impact!$A$2:$A$391,A3)</f>
        <v>356636369.04802477</v>
      </c>
      <c r="Q3" s="21">
        <f>IF(K3&gt;0,P3/K3,"")</f>
        <v>252.69060090486445</v>
      </c>
      <c r="R3" s="21">
        <f>IF(N3&gt;0,P3/N3,"")</f>
        <v>534.09336656270932</v>
      </c>
      <c r="S3" s="33" t="str">
        <f>IF(AND(K3&lt;=0,N3&lt;=0),"no incremental health effect",IF(AND(P3&lt;0,OR(K3&gt;0,N3&gt;0)),"Dominant (more health, lower cost)",IF(N3&gt;0,"USD per death averted","USD per case averted")))</f>
        <v>USD per death averted</v>
      </c>
    </row>
    <row r="4" spans="1:19" ht="207">
      <c r="A4" t="s">
        <v>76</v>
      </c>
      <c r="B4" s="13" t="s">
        <v>425</v>
      </c>
      <c r="C4" t="s">
        <v>808</v>
      </c>
      <c r="D4" t="s">
        <v>808</v>
      </c>
      <c r="G4" s="13" t="s">
        <v>809</v>
      </c>
      <c r="I4" s="21">
        <f>SUMIFS(Annual_Mortality!$E$2:$E$2731,Annual_Mortality!$A$2:$A$2731,A4)</f>
        <v>66860209.738196202</v>
      </c>
      <c r="J4" s="21">
        <f>SUMIFS(Annual_Mortality!$G$2:$G$2731,Annual_Mortality!$A$2:$A$2731,A4)</f>
        <v>70290153.4254096</v>
      </c>
      <c r="K4" s="21">
        <f>SUMIFS(Annual_Mortality!$J$2:$J$2731,Annual_Mortality!$A$2:$A$2731,A4)</f>
        <v>3429943.6872133589</v>
      </c>
      <c r="L4" s="21">
        <f>SUMIFS(Annual_Mortality!$F$2:$F$2731,Annual_Mortality!$A$2:$A$2731,A4)</f>
        <v>30005444.346586809</v>
      </c>
      <c r="M4" s="21">
        <f>SUMIFS(Annual_Mortality!$H$2:$H$2731,Annual_Mortality!$A$2:$A$2731,A4)</f>
        <v>31200100.25356365</v>
      </c>
      <c r="N4" s="21">
        <f>SUMIFS(Annual_Mortality!$I$2:$I$2731,Annual_Mortality!$A$2:$A$2731,A4)</f>
        <v>1194655.9069768398</v>
      </c>
      <c r="O4" s="21">
        <f>SUMIFS(Budget_Impact!$E$2:$E$391,Budget_Impact!$A$2:$A$391,A4)</f>
        <v>1261752623.9072397</v>
      </c>
      <c r="P4" s="21">
        <f>SUMIFS(Budget_Impact!$F$2:$F$391,Budget_Impact!$A$2:$A$391,A4)</f>
        <v>858800468.69393921</v>
      </c>
      <c r="Q4" s="21">
        <f>IF(K4&gt;0,P4/K4,"")</f>
        <v>250.38325611452458</v>
      </c>
      <c r="R4" s="21">
        <f>IF(N4&gt;0,P4/N4,"")</f>
        <v>718.86847390826858</v>
      </c>
      <c r="S4" s="33" t="str">
        <f>IF(AND(K4&lt;=0,N4&lt;=0),"no incremental health effect",IF(AND(P4&lt;0,OR(K4&gt;0,N4&gt;0)),"Dominant (more health, lower cost)",IF(N4&gt;0,"USD per death averted","USD per case averted")))</f>
        <v>USD per death averted</v>
      </c>
    </row>
  </sheetData>
  <autoFilter ref="A1:S1" xr:uid="{00000000-0009-0000-0000-00000F000000}"/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6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20.69921875" customWidth="1"/>
  </cols>
  <sheetData>
    <row r="1" spans="1:1">
      <c r="A1" s="1" t="s">
        <v>279</v>
      </c>
    </row>
    <row r="2" spans="1:1">
      <c r="A2" s="13" t="s">
        <v>448</v>
      </c>
    </row>
    <row r="3" spans="1:1">
      <c r="A3" s="13" t="s">
        <v>449</v>
      </c>
    </row>
    <row r="4" spans="1:1">
      <c r="A4" s="13" t="s">
        <v>450</v>
      </c>
    </row>
    <row r="5" spans="1:1">
      <c r="A5" s="13" t="s">
        <v>451</v>
      </c>
    </row>
    <row r="6" spans="1:1">
      <c r="A6" s="13" t="s">
        <v>452</v>
      </c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20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5" width="11.69921875" customWidth="1"/>
  </cols>
  <sheetData>
    <row r="1" spans="1:5" ht="28.05" customHeight="1">
      <c r="A1" s="1" t="s">
        <v>453</v>
      </c>
      <c r="B1" s="1" t="s">
        <v>454</v>
      </c>
      <c r="C1" s="1" t="s">
        <v>455</v>
      </c>
      <c r="D1" s="1" t="s">
        <v>456</v>
      </c>
      <c r="E1" s="1" t="s">
        <v>279</v>
      </c>
    </row>
    <row r="2" spans="1:5" ht="55.2">
      <c r="A2" t="s">
        <v>457</v>
      </c>
      <c r="B2" t="s">
        <v>458</v>
      </c>
      <c r="C2" s="15">
        <f>COUNTIF(Selected_Interventions!$U$2:$U$49,"&gt;1")</f>
        <v>0</v>
      </c>
      <c r="D2" s="15" t="str">
        <f>IF(C2=0,"PASS","FAIL")</f>
        <v>PASS</v>
      </c>
      <c r="E2" s="13" t="s">
        <v>459</v>
      </c>
    </row>
    <row r="3" spans="1:5" ht="96.6">
      <c r="A3" t="s">
        <v>460</v>
      </c>
      <c r="B3" t="s">
        <v>458</v>
      </c>
      <c r="C3" s="15">
        <f>COUNTIF(Input_Diagnostic!$E$2:$E$25,"FAIL")</f>
        <v>0</v>
      </c>
      <c r="D3" s="15" t="str">
        <f>IF(C3=0,"PASS","REVIEW")</f>
        <v>PASS</v>
      </c>
      <c r="E3" s="13" t="s">
        <v>461</v>
      </c>
    </row>
    <row r="4" spans="1:5" ht="96.6">
      <c r="A4" t="s">
        <v>462</v>
      </c>
      <c r="B4" t="s">
        <v>458</v>
      </c>
      <c r="C4" s="15">
        <f>COUNTIF(Input_Diagnostic!$E$2:$E$25,"REVIEW")</f>
        <v>24</v>
      </c>
      <c r="D4" s="15" t="str">
        <f>IF(C4=0,"PASS","REVIEW")</f>
        <v>REVIEW</v>
      </c>
      <c r="E4" s="13" t="s">
        <v>463</v>
      </c>
    </row>
    <row r="5" spans="1:5" ht="82.8">
      <c r="A5" t="s">
        <v>464</v>
      </c>
      <c r="B5" t="s">
        <v>458</v>
      </c>
      <c r="C5" s="15">
        <f>COUNTBLANK(Annual_Mortality!$H$2:$H$2731)</f>
        <v>0</v>
      </c>
      <c r="D5" s="15" t="str">
        <f>IF(C5=0,"PASS","FAIL")</f>
        <v>PASS</v>
      </c>
      <c r="E5" s="13" t="s">
        <v>465</v>
      </c>
    </row>
    <row r="6" spans="1:5" ht="82.8">
      <c r="A6" t="s">
        <v>466</v>
      </c>
      <c r="B6" t="s">
        <v>458</v>
      </c>
      <c r="C6" s="15">
        <f>COUNTIF(Effect_Parameters!$N$2:$N$49,"&lt;&gt;incidence")</f>
        <v>0</v>
      </c>
      <c r="D6" s="15" t="str">
        <f>IF(C6=0,"PASS","FAIL")</f>
        <v>PASS</v>
      </c>
      <c r="E6" s="13" t="s">
        <v>467</v>
      </c>
    </row>
    <row r="7" spans="1:5" ht="55.2">
      <c r="A7" t="s">
        <v>468</v>
      </c>
      <c r="B7" t="s">
        <v>458</v>
      </c>
      <c r="C7" s="15">
        <f>Calculation_Assumptions!$B$17</f>
        <v>0</v>
      </c>
      <c r="D7" s="15" t="str">
        <f>IF(C7=0,"PASS","FAIL")</f>
        <v>PASS</v>
      </c>
      <c r="E7" s="13" t="s">
        <v>469</v>
      </c>
    </row>
    <row r="8" spans="1:5" ht="69">
      <c r="A8" t="s">
        <v>470</v>
      </c>
      <c r="B8" t="s">
        <v>471</v>
      </c>
      <c r="C8" s="15">
        <f>Calculation_Assumptions!$B$18</f>
        <v>108.16</v>
      </c>
      <c r="D8" s="15" t="str">
        <f>IF(C8&lt;=Calculation_Assumptions!$B$16,"PASS","REVIEW")</f>
        <v>PASS</v>
      </c>
      <c r="E8" s="13" t="s">
        <v>472</v>
      </c>
    </row>
    <row r="9" spans="1:5" ht="110.4">
      <c r="A9" t="s">
        <v>473</v>
      </c>
      <c r="B9" t="s">
        <v>474</v>
      </c>
      <c r="C9" s="15">
        <f>Calculation_Assumptions!$B$19</f>
        <v>3</v>
      </c>
      <c r="D9" s="15" t="str">
        <f>IF(C9=1,"PASS","FAIL")</f>
        <v>FAIL</v>
      </c>
      <c r="E9" s="13" t="s">
        <v>475</v>
      </c>
    </row>
    <row r="10" spans="1:5" ht="82.8">
      <c r="A10" t="s">
        <v>476</v>
      </c>
      <c r="B10" t="s">
        <v>477</v>
      </c>
      <c r="C10" s="15">
        <f>ABS(SUM(Budget_Impact!$D$2:$D$391)-SUM(Annual_Cost!$R$2:$R$807))+ABS(SUM(Budget_Impact!$C$2:$C$391)-SUM(Annual_Cost!$Q$2:$Q$807))</f>
        <v>9.5367431640625E-7</v>
      </c>
      <c r="D10" s="15" t="str">
        <f>IF(C10&lt;=Calculation_Assumptions!$B$15,"PASS","FAIL")</f>
        <v>PASS</v>
      </c>
      <c r="E10" s="13" t="s">
        <v>478</v>
      </c>
    </row>
    <row r="11" spans="1:5" ht="82.8">
      <c r="A11" t="s">
        <v>479</v>
      </c>
      <c r="B11" t="s">
        <v>458</v>
      </c>
      <c r="C11" s="15">
        <f>COUNTIF(Annual_Cost!$AA$2:$AA$807,"&gt;1")</f>
        <v>0</v>
      </c>
      <c r="D11" s="15" t="str">
        <f>IF(C11=0,"PASS","FAIL")</f>
        <v>PASS</v>
      </c>
      <c r="E11" s="13" t="s">
        <v>480</v>
      </c>
    </row>
    <row r="12" spans="1:5" ht="96.6">
      <c r="A12" t="s">
        <v>481</v>
      </c>
      <c r="B12" t="s">
        <v>477</v>
      </c>
      <c r="C12" s="15">
        <f>ABS(SUMIFS(Budget_Impact!$G$2:$G$391,Budget_Impact!$B$2:$B$391,Calculation_Assumptions!$B$3)-SUM(Budget_Impact!$E$2:$E$391))</f>
        <v>9.5367431640625E-7</v>
      </c>
      <c r="D12" s="15" t="str">
        <f>IF(C12&lt;=Calculation_Assumptions!$B$15,"PASS","FAIL")</f>
        <v>PASS</v>
      </c>
      <c r="E12" s="13" t="s">
        <v>482</v>
      </c>
    </row>
    <row r="13" spans="1:5" ht="82.8">
      <c r="A13" t="s">
        <v>483</v>
      </c>
      <c r="B13" t="s">
        <v>484</v>
      </c>
      <c r="C13" s="15" t="str">
        <f>IF(COUNTIF(Cost_Effectiveness!$I$2:$I$16,"mismatch")=0,"consistent","mismatch")</f>
        <v>consistent</v>
      </c>
      <c r="D13" s="15" t="str">
        <f>IF(C13="consistent","PASS","FAIL")</f>
        <v>PASS</v>
      </c>
      <c r="E13" s="13" t="s">
        <v>485</v>
      </c>
    </row>
    <row r="14" spans="1:5" ht="82.8">
      <c r="A14" t="s">
        <v>486</v>
      </c>
      <c r="B14" t="s">
        <v>487</v>
      </c>
      <c r="C14" s="15">
        <f>INDEX(Cost_Effectiveness!$C$2:$C$16,MATCH(Calculation_Assumptions!$B$23,Cost_Effectiveness!$A$2:$A$16,0))</f>
        <v>1194655.9069768398</v>
      </c>
      <c r="D14" s="15" t="str">
        <f>IF(ABS(C14-Calculation_Assumptions!$B$20)&lt;=ABS(Calculation_Assumptions!$B$20)*0.000001+0.5,"PASS","FAIL")</f>
        <v>PASS</v>
      </c>
      <c r="E14" s="13" t="s">
        <v>488</v>
      </c>
    </row>
    <row r="15" spans="1:5" ht="96.6">
      <c r="A15" t="s">
        <v>489</v>
      </c>
      <c r="B15" t="s">
        <v>487</v>
      </c>
      <c r="C15" s="15">
        <f>INDEX(Cost_Effectiveness!$F$2:$F$16,MATCH(Calculation_Assumptions!$B$23,Cost_Effectiveness!$A$2:$A$16,0))</f>
        <v>858800468.69393921</v>
      </c>
      <c r="D15" s="15" t="str">
        <f>IF(ABS(C15-Calculation_Assumptions!$B$21)&lt;=ABS(Calculation_Assumptions!$B$21)*0.000001+1,"PASS","FAIL")</f>
        <v>PASS</v>
      </c>
      <c r="E15" s="13" t="s">
        <v>490</v>
      </c>
    </row>
    <row r="16" spans="1:5" ht="96.6">
      <c r="A16" t="s">
        <v>491</v>
      </c>
      <c r="B16" t="s">
        <v>487</v>
      </c>
      <c r="C16" s="15">
        <f>INDEX(Cost_Effectiveness!$G$2:$G$16,MATCH(Calculation_Assumptions!$B$23,Cost_Effectiveness!$A$2:$A$16,0))</f>
        <v>718.86847390826858</v>
      </c>
      <c r="D16" s="15" t="str">
        <f>IF(ABS(C16-Calculation_Assumptions!$B$22)&lt;=ABS(Calculation_Assumptions!$B$22)*0.000001+1,"PASS","FAIL")</f>
        <v>PASS</v>
      </c>
      <c r="E16" s="13" t="s">
        <v>492</v>
      </c>
    </row>
    <row r="17" spans="1:5" ht="55.2">
      <c r="A17" t="s">
        <v>493</v>
      </c>
      <c r="B17" t="s">
        <v>134</v>
      </c>
      <c r="C17" s="15">
        <f>COUNTIFS(Scenario_Hierarchy!$A$2:$A$13,"I_PH_TOBACCO_POLICY",Scenario_Hierarchy!$F$2:$F$13,"child")</f>
        <v>3</v>
      </c>
      <c r="D17" s="15" t="str">
        <f>IF(C17=3,"PASS","FAIL")</f>
        <v>PASS</v>
      </c>
      <c r="E17" s="13" t="s">
        <v>494</v>
      </c>
    </row>
    <row r="18" spans="1:5" ht="82.8">
      <c r="A18" t="s">
        <v>495</v>
      </c>
      <c r="B18" t="s">
        <v>496</v>
      </c>
      <c r="C18" s="15">
        <f>COUNTIFS(Scenario_Hierarchy!$A$2:$A$13,"I_PH_SALT_POLICY",Scenario_Hierarchy!$F$2:$F$13,"child")</f>
        <v>4</v>
      </c>
      <c r="D18" s="15" t="str">
        <f>IF(C18=4,"PASS","FAIL")</f>
        <v>PASS</v>
      </c>
      <c r="E18" s="13" t="s">
        <v>497</v>
      </c>
    </row>
    <row r="19" spans="1:5" ht="110.4">
      <c r="A19" t="s">
        <v>498</v>
      </c>
      <c r="B19" t="s">
        <v>477</v>
      </c>
      <c r="C19" s="15">
        <f>ABS(SUMIFS(Cost_Components!$M$2:$M$13,Cost_Components!$F$2:$F$13,"I_PH_TOBACCO_POLICY")-1)+ABS(SUMIFS(Cost_Components!$M$2:$M$13,Cost_Components!$F$2:$F$13,"I_PH_SALT_POLICY")-1)</f>
        <v>1.1102230246251565E-15</v>
      </c>
      <c r="D19" s="15" t="str">
        <f>IF(C19&lt;=Calculation_Assumptions!$B$15,"PASS","FAIL")</f>
        <v>PASS</v>
      </c>
      <c r="E19" s="13" t="s">
        <v>499</v>
      </c>
    </row>
    <row r="20" spans="1:5" ht="124.2">
      <c r="A20" t="s">
        <v>500</v>
      </c>
      <c r="B20" t="s">
        <v>501</v>
      </c>
      <c r="C20" s="15">
        <f>MIN(COUNTIF(Annual_Mortality!$A$2:$A$2731,"I_PH_TOBACCO_POLICY"),COUNTIF(Annual_Mortality!$A$2:$A$2731,"I_PH_SALT_POLICY"))</f>
        <v>182</v>
      </c>
      <c r="D20" s="15" t="str">
        <f>IF(C20&gt;0,"PASS","FAIL")</f>
        <v>PASS</v>
      </c>
      <c r="E20" s="13" t="s">
        <v>502</v>
      </c>
    </row>
  </sheetData>
  <autoFilter ref="A1:E1" xr:uid="{00000000-0009-0000-0000-000011000000}"/>
  <conditionalFormatting sqref="D2:D20">
    <cfRule type="containsText" dxfId="4" priority="1" operator="containsText" text="REVIEW">
      <formula>NOT(ISERROR(SEARCH("REVIEW", D2)))</formula>
    </cfRule>
    <cfRule type="containsText" dxfId="3" priority="2" operator="containsText" text="FAIL">
      <formula>NOT(ISERROR(SEARCH("FAIL", D2)))</formula>
    </cfRule>
    <cfRule type="containsText" dxfId="2" priority="3" operator="containsText" text="PASS">
      <formula>NOT(ISERROR(SEARCH("PASS", D2)))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25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5" width="11.69921875" customWidth="1"/>
  </cols>
  <sheetData>
    <row r="1" spans="1:5" ht="28.05" customHeight="1">
      <c r="A1" s="1" t="s">
        <v>503</v>
      </c>
      <c r="B1" s="1" t="s">
        <v>504</v>
      </c>
      <c r="C1" s="1" t="s">
        <v>505</v>
      </c>
      <c r="D1" s="1" t="s">
        <v>506</v>
      </c>
      <c r="E1" s="1" t="s">
        <v>507</v>
      </c>
    </row>
    <row r="2" spans="1:5" ht="96.6">
      <c r="A2" t="s">
        <v>508</v>
      </c>
      <c r="B2" t="s">
        <v>405</v>
      </c>
      <c r="C2" t="s">
        <v>376</v>
      </c>
      <c r="D2" s="13" t="s">
        <v>509</v>
      </c>
      <c r="E2" t="s">
        <v>510</v>
      </c>
    </row>
    <row r="3" spans="1:5" ht="96.6">
      <c r="A3" t="s">
        <v>508</v>
      </c>
      <c r="B3" t="s">
        <v>389</v>
      </c>
      <c r="C3" t="s">
        <v>376</v>
      </c>
      <c r="D3" s="13" t="s">
        <v>509</v>
      </c>
      <c r="E3" t="s">
        <v>510</v>
      </c>
    </row>
    <row r="4" spans="1:5" ht="96.6">
      <c r="A4" t="s">
        <v>508</v>
      </c>
      <c r="B4" t="s">
        <v>409</v>
      </c>
      <c r="C4" t="s">
        <v>376</v>
      </c>
      <c r="D4" s="13" t="s">
        <v>509</v>
      </c>
      <c r="E4" t="s">
        <v>510</v>
      </c>
    </row>
    <row r="5" spans="1:5" ht="96.6">
      <c r="A5" t="s">
        <v>508</v>
      </c>
      <c r="B5" t="s">
        <v>411</v>
      </c>
      <c r="C5" t="s">
        <v>376</v>
      </c>
      <c r="D5" s="13" t="s">
        <v>509</v>
      </c>
      <c r="E5" t="s">
        <v>510</v>
      </c>
    </row>
    <row r="6" spans="1:5" ht="96.6">
      <c r="A6" t="s">
        <v>508</v>
      </c>
      <c r="B6" t="s">
        <v>407</v>
      </c>
      <c r="C6" t="s">
        <v>376</v>
      </c>
      <c r="D6" s="13" t="s">
        <v>509</v>
      </c>
      <c r="E6" t="s">
        <v>510</v>
      </c>
    </row>
    <row r="7" spans="1:5" ht="96.6">
      <c r="A7" t="s">
        <v>508</v>
      </c>
      <c r="B7" t="s">
        <v>380</v>
      </c>
      <c r="C7" t="s">
        <v>376</v>
      </c>
      <c r="D7" s="13" t="s">
        <v>509</v>
      </c>
      <c r="E7" t="s">
        <v>510</v>
      </c>
    </row>
    <row r="8" spans="1:5" ht="96.6">
      <c r="A8" t="s">
        <v>508</v>
      </c>
      <c r="B8" t="s">
        <v>399</v>
      </c>
      <c r="C8" t="s">
        <v>376</v>
      </c>
      <c r="D8" s="13" t="s">
        <v>509</v>
      </c>
      <c r="E8" t="s">
        <v>510</v>
      </c>
    </row>
    <row r="9" spans="1:5" ht="96.6">
      <c r="A9" t="s">
        <v>508</v>
      </c>
      <c r="B9" t="s">
        <v>395</v>
      </c>
      <c r="C9" t="s">
        <v>376</v>
      </c>
      <c r="D9" s="13" t="s">
        <v>509</v>
      </c>
      <c r="E9" t="s">
        <v>510</v>
      </c>
    </row>
    <row r="10" spans="1:5" ht="96.6">
      <c r="A10" t="s">
        <v>508</v>
      </c>
      <c r="B10" t="s">
        <v>397</v>
      </c>
      <c r="C10" t="s">
        <v>376</v>
      </c>
      <c r="D10" s="13" t="s">
        <v>509</v>
      </c>
      <c r="E10" t="s">
        <v>510</v>
      </c>
    </row>
    <row r="11" spans="1:5" ht="96.6">
      <c r="A11" t="s">
        <v>508</v>
      </c>
      <c r="B11" t="s">
        <v>391</v>
      </c>
      <c r="C11" t="s">
        <v>376</v>
      </c>
      <c r="D11" s="13" t="s">
        <v>509</v>
      </c>
      <c r="E11" t="s">
        <v>510</v>
      </c>
    </row>
    <row r="12" spans="1:5" ht="96.6">
      <c r="A12" t="s">
        <v>508</v>
      </c>
      <c r="B12" t="s">
        <v>403</v>
      </c>
      <c r="C12" t="s">
        <v>376</v>
      </c>
      <c r="D12" s="13" t="s">
        <v>509</v>
      </c>
      <c r="E12" t="s">
        <v>510</v>
      </c>
    </row>
    <row r="13" spans="1:5" ht="96.6">
      <c r="A13" t="s">
        <v>508</v>
      </c>
      <c r="B13" t="s">
        <v>401</v>
      </c>
      <c r="C13" t="s">
        <v>376</v>
      </c>
      <c r="D13" s="13" t="s">
        <v>509</v>
      </c>
      <c r="E13" t="s">
        <v>510</v>
      </c>
    </row>
    <row r="14" spans="1:5" ht="69">
      <c r="A14" t="s">
        <v>508</v>
      </c>
      <c r="B14" t="s">
        <v>405</v>
      </c>
      <c r="C14" t="s">
        <v>375</v>
      </c>
      <c r="D14" s="13" t="s">
        <v>511</v>
      </c>
      <c r="E14" t="s">
        <v>510</v>
      </c>
    </row>
    <row r="15" spans="1:5" ht="69">
      <c r="A15" t="s">
        <v>508</v>
      </c>
      <c r="B15" t="s">
        <v>389</v>
      </c>
      <c r="C15" t="s">
        <v>375</v>
      </c>
      <c r="D15" s="13" t="s">
        <v>511</v>
      </c>
      <c r="E15" t="s">
        <v>510</v>
      </c>
    </row>
    <row r="16" spans="1:5" ht="69">
      <c r="A16" t="s">
        <v>508</v>
      </c>
      <c r="B16" t="s">
        <v>409</v>
      </c>
      <c r="C16" t="s">
        <v>375</v>
      </c>
      <c r="D16" s="13" t="s">
        <v>511</v>
      </c>
      <c r="E16" t="s">
        <v>510</v>
      </c>
    </row>
    <row r="17" spans="1:5" ht="69">
      <c r="A17" t="s">
        <v>508</v>
      </c>
      <c r="B17" t="s">
        <v>411</v>
      </c>
      <c r="C17" t="s">
        <v>375</v>
      </c>
      <c r="D17" s="13" t="s">
        <v>511</v>
      </c>
      <c r="E17" t="s">
        <v>510</v>
      </c>
    </row>
    <row r="18" spans="1:5" ht="69">
      <c r="A18" t="s">
        <v>508</v>
      </c>
      <c r="B18" t="s">
        <v>407</v>
      </c>
      <c r="C18" t="s">
        <v>375</v>
      </c>
      <c r="D18" s="13" t="s">
        <v>511</v>
      </c>
      <c r="E18" t="s">
        <v>510</v>
      </c>
    </row>
    <row r="19" spans="1:5" ht="69">
      <c r="A19" t="s">
        <v>508</v>
      </c>
      <c r="B19" t="s">
        <v>380</v>
      </c>
      <c r="C19" t="s">
        <v>375</v>
      </c>
      <c r="D19" s="13" t="s">
        <v>511</v>
      </c>
      <c r="E19" t="s">
        <v>510</v>
      </c>
    </row>
    <row r="20" spans="1:5" ht="69">
      <c r="A20" t="s">
        <v>508</v>
      </c>
      <c r="B20" t="s">
        <v>399</v>
      </c>
      <c r="C20" t="s">
        <v>375</v>
      </c>
      <c r="D20" s="13" t="s">
        <v>511</v>
      </c>
      <c r="E20" t="s">
        <v>510</v>
      </c>
    </row>
    <row r="21" spans="1:5" ht="69">
      <c r="A21" t="s">
        <v>508</v>
      </c>
      <c r="B21" t="s">
        <v>395</v>
      </c>
      <c r="C21" t="s">
        <v>375</v>
      </c>
      <c r="D21" s="13" t="s">
        <v>511</v>
      </c>
      <c r="E21" t="s">
        <v>510</v>
      </c>
    </row>
    <row r="22" spans="1:5" ht="69">
      <c r="A22" t="s">
        <v>508</v>
      </c>
      <c r="B22" t="s">
        <v>397</v>
      </c>
      <c r="C22" t="s">
        <v>375</v>
      </c>
      <c r="D22" s="13" t="s">
        <v>511</v>
      </c>
      <c r="E22" t="s">
        <v>510</v>
      </c>
    </row>
    <row r="23" spans="1:5" ht="69">
      <c r="A23" t="s">
        <v>508</v>
      </c>
      <c r="B23" t="s">
        <v>391</v>
      </c>
      <c r="C23" t="s">
        <v>375</v>
      </c>
      <c r="D23" s="13" t="s">
        <v>511</v>
      </c>
      <c r="E23" t="s">
        <v>510</v>
      </c>
    </row>
    <row r="24" spans="1:5" ht="69">
      <c r="A24" t="s">
        <v>508</v>
      </c>
      <c r="B24" t="s">
        <v>403</v>
      </c>
      <c r="C24" t="s">
        <v>375</v>
      </c>
      <c r="D24" s="13" t="s">
        <v>511</v>
      </c>
      <c r="E24" t="s">
        <v>510</v>
      </c>
    </row>
    <row r="25" spans="1:5" ht="69">
      <c r="A25" t="s">
        <v>508</v>
      </c>
      <c r="B25" t="s">
        <v>401</v>
      </c>
      <c r="C25" t="s">
        <v>375</v>
      </c>
      <c r="D25" s="13" t="s">
        <v>511</v>
      </c>
      <c r="E25" t="s">
        <v>510</v>
      </c>
    </row>
  </sheetData>
  <autoFilter ref="A1:E1" xr:uid="{00000000-0009-0000-0000-000012000000}"/>
  <conditionalFormatting sqref="E2:E25">
    <cfRule type="containsText" dxfId="1" priority="1" operator="containsText" text="REVIEW">
      <formula>NOT(ISERROR(SEARCH("REVIEW", E2)))</formula>
    </cfRule>
    <cfRule type="containsText" dxfId="0" priority="2" operator="containsText" text="FAIL">
      <formula>NOT(ISERROR(SEARCH("FAIL", E2)))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D22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10.69921875" customWidth="1"/>
    <col min="2" max="2" width="28.69921875" customWidth="1"/>
    <col min="3" max="3" width="92.69921875" customWidth="1"/>
    <col min="4" max="4" width="56.69921875" customWidth="1"/>
  </cols>
  <sheetData>
    <row r="1" spans="1:4" ht="28.05" customHeight="1">
      <c r="A1" s="1" t="s">
        <v>512</v>
      </c>
      <c r="B1" s="1" t="s">
        <v>513</v>
      </c>
      <c r="C1" s="1" t="s">
        <v>514</v>
      </c>
      <c r="D1" s="1" t="s">
        <v>5</v>
      </c>
    </row>
    <row r="2" spans="1:4" ht="27.6">
      <c r="A2" t="s">
        <v>515</v>
      </c>
      <c r="B2" t="s">
        <v>516</v>
      </c>
      <c r="C2" s="13" t="s">
        <v>517</v>
      </c>
      <c r="D2" s="13" t="s">
        <v>518</v>
      </c>
    </row>
    <row r="3" spans="1:4" ht="27.6">
      <c r="A3" t="s">
        <v>519</v>
      </c>
      <c r="B3" t="s">
        <v>90</v>
      </c>
      <c r="C3" s="13" t="s">
        <v>520</v>
      </c>
      <c r="D3" s="13" t="s">
        <v>518</v>
      </c>
    </row>
    <row r="4" spans="1:4" ht="27.6">
      <c r="A4" t="s">
        <v>521</v>
      </c>
      <c r="B4" t="s">
        <v>522</v>
      </c>
      <c r="C4" s="13" t="s">
        <v>523</v>
      </c>
      <c r="D4" s="13" t="s">
        <v>518</v>
      </c>
    </row>
    <row r="5" spans="1:4" ht="27.6">
      <c r="A5" t="s">
        <v>524</v>
      </c>
      <c r="B5" t="s">
        <v>525</v>
      </c>
      <c r="C5" s="13" t="s">
        <v>526</v>
      </c>
      <c r="D5" s="13" t="s">
        <v>518</v>
      </c>
    </row>
    <row r="6" spans="1:4" ht="27.6">
      <c r="A6" t="s">
        <v>527</v>
      </c>
      <c r="B6" t="s">
        <v>528</v>
      </c>
      <c r="C6" s="13" t="s">
        <v>529</v>
      </c>
      <c r="D6" s="13" t="s">
        <v>518</v>
      </c>
    </row>
    <row r="7" spans="1:4" ht="27.6">
      <c r="A7" t="s">
        <v>530</v>
      </c>
      <c r="B7" t="s">
        <v>531</v>
      </c>
      <c r="C7" s="13" t="s">
        <v>532</v>
      </c>
      <c r="D7" s="13" t="s">
        <v>518</v>
      </c>
    </row>
    <row r="8" spans="1:4" ht="27.6">
      <c r="A8" t="s">
        <v>533</v>
      </c>
      <c r="B8" t="s">
        <v>534</v>
      </c>
      <c r="C8" s="13" t="s">
        <v>535</v>
      </c>
      <c r="D8" s="13" t="s">
        <v>518</v>
      </c>
    </row>
    <row r="9" spans="1:4" ht="27.6">
      <c r="A9" t="s">
        <v>536</v>
      </c>
      <c r="B9" t="s">
        <v>537</v>
      </c>
      <c r="C9" s="13" t="s">
        <v>538</v>
      </c>
      <c r="D9" s="13" t="s">
        <v>518</v>
      </c>
    </row>
    <row r="10" spans="1:4" ht="27.6">
      <c r="A10" t="s">
        <v>539</v>
      </c>
      <c r="B10" t="s">
        <v>540</v>
      </c>
      <c r="C10" s="13" t="s">
        <v>541</v>
      </c>
      <c r="D10" s="13" t="s">
        <v>518</v>
      </c>
    </row>
    <row r="11" spans="1:4" ht="27.6">
      <c r="A11" t="s">
        <v>542</v>
      </c>
      <c r="B11" t="s">
        <v>543</v>
      </c>
      <c r="C11" s="13" t="s">
        <v>544</v>
      </c>
      <c r="D11" s="13" t="s">
        <v>518</v>
      </c>
    </row>
    <row r="12" spans="1:4" ht="27.6">
      <c r="A12" t="s">
        <v>545</v>
      </c>
      <c r="B12" t="s">
        <v>546</v>
      </c>
      <c r="C12" s="13" t="s">
        <v>547</v>
      </c>
      <c r="D12" s="13" t="s">
        <v>518</v>
      </c>
    </row>
    <row r="13" spans="1:4" ht="27.6">
      <c r="A13" t="s">
        <v>548</v>
      </c>
      <c r="B13" t="s">
        <v>549</v>
      </c>
      <c r="C13" s="13" t="s">
        <v>550</v>
      </c>
      <c r="D13" s="13" t="s">
        <v>518</v>
      </c>
    </row>
    <row r="14" spans="1:4" ht="27.6">
      <c r="A14" t="s">
        <v>551</v>
      </c>
      <c r="B14" t="s">
        <v>552</v>
      </c>
      <c r="C14" s="13" t="s">
        <v>553</v>
      </c>
      <c r="D14" s="13" t="s">
        <v>518</v>
      </c>
    </row>
    <row r="15" spans="1:4" ht="27.6">
      <c r="A15" t="s">
        <v>554</v>
      </c>
      <c r="B15" t="s">
        <v>555</v>
      </c>
      <c r="C15" s="13" t="s">
        <v>556</v>
      </c>
      <c r="D15" s="13" t="s">
        <v>518</v>
      </c>
    </row>
    <row r="16" spans="1:4" ht="27.6">
      <c r="A16" t="s">
        <v>557</v>
      </c>
      <c r="B16" t="s">
        <v>558</v>
      </c>
      <c r="C16" s="13" t="s">
        <v>559</v>
      </c>
      <c r="D16" s="13" t="s">
        <v>518</v>
      </c>
    </row>
    <row r="17" spans="1:4" ht="27.6">
      <c r="A17" t="s">
        <v>560</v>
      </c>
      <c r="B17" t="s">
        <v>561</v>
      </c>
      <c r="C17" s="13" t="s">
        <v>562</v>
      </c>
      <c r="D17" s="13" t="s">
        <v>518</v>
      </c>
    </row>
    <row r="18" spans="1:4" ht="27.6">
      <c r="A18" t="s">
        <v>563</v>
      </c>
      <c r="B18" t="s">
        <v>564</v>
      </c>
      <c r="C18" s="13" t="s">
        <v>565</v>
      </c>
      <c r="D18" s="13" t="s">
        <v>518</v>
      </c>
    </row>
    <row r="19" spans="1:4" ht="27.6">
      <c r="A19" t="s">
        <v>566</v>
      </c>
      <c r="B19" t="s">
        <v>567</v>
      </c>
      <c r="C19" s="13" t="s">
        <v>568</v>
      </c>
      <c r="D19" s="13" t="s">
        <v>518</v>
      </c>
    </row>
    <row r="20" spans="1:4" ht="27.6">
      <c r="A20" t="s">
        <v>569</v>
      </c>
      <c r="B20" t="s">
        <v>100</v>
      </c>
      <c r="C20" s="13" t="s">
        <v>570</v>
      </c>
      <c r="D20" s="13" t="s">
        <v>518</v>
      </c>
    </row>
    <row r="21" spans="1:4" ht="27.6">
      <c r="A21" t="s">
        <v>571</v>
      </c>
      <c r="B21" t="s">
        <v>572</v>
      </c>
      <c r="C21" s="13" t="s">
        <v>573</v>
      </c>
      <c r="D21" s="13" t="s">
        <v>574</v>
      </c>
    </row>
    <row r="22" spans="1:4">
      <c r="A22" t="s">
        <v>571</v>
      </c>
      <c r="B22" t="s">
        <v>572</v>
      </c>
      <c r="C22" s="13" t="s">
        <v>575</v>
      </c>
      <c r="D22" s="13" t="s">
        <v>576</v>
      </c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3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32.69921875" customWidth="1"/>
    <col min="2" max="2" width="18.69921875" customWidth="1"/>
    <col min="3" max="3" width="14.69921875" customWidth="1"/>
    <col min="4" max="4" width="22.69921875" customWidth="1"/>
    <col min="5" max="5" width="60.69921875" customWidth="1"/>
    <col min="6" max="6" width="40.69921875" customWidth="1"/>
  </cols>
  <sheetData>
    <row r="1" spans="1:6" ht="28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s="4">
        <v>2025</v>
      </c>
      <c r="C2" t="s">
        <v>28</v>
      </c>
      <c r="D2" t="s">
        <v>29</v>
      </c>
      <c r="E2" s="13" t="s">
        <v>30</v>
      </c>
      <c r="F2" t="s">
        <v>31</v>
      </c>
    </row>
    <row r="3" spans="1:6">
      <c r="A3" t="s">
        <v>7</v>
      </c>
      <c r="B3" s="4">
        <v>2050</v>
      </c>
      <c r="C3" t="s">
        <v>28</v>
      </c>
      <c r="D3" t="s">
        <v>29</v>
      </c>
      <c r="E3" s="13" t="s">
        <v>32</v>
      </c>
      <c r="F3" t="s">
        <v>31</v>
      </c>
    </row>
    <row r="4" spans="1:6">
      <c r="A4" t="s">
        <v>8</v>
      </c>
      <c r="B4" s="2" t="s">
        <v>73</v>
      </c>
      <c r="C4" t="s">
        <v>33</v>
      </c>
      <c r="D4" t="s">
        <v>29</v>
      </c>
      <c r="E4" s="13" t="s">
        <v>34</v>
      </c>
      <c r="F4" t="s">
        <v>31</v>
      </c>
    </row>
    <row r="5" spans="1:6">
      <c r="A5" t="s">
        <v>9</v>
      </c>
      <c r="B5" s="4">
        <v>2026</v>
      </c>
      <c r="C5" t="s">
        <v>28</v>
      </c>
      <c r="D5" t="s">
        <v>29</v>
      </c>
      <c r="E5" s="13" t="s">
        <v>35</v>
      </c>
      <c r="F5" t="s">
        <v>31</v>
      </c>
    </row>
    <row r="6" spans="1:6">
      <c r="A6" t="s">
        <v>10</v>
      </c>
      <c r="B6" s="4">
        <v>2030</v>
      </c>
      <c r="C6" t="s">
        <v>28</v>
      </c>
      <c r="D6" t="s">
        <v>29</v>
      </c>
      <c r="E6" s="13" t="s">
        <v>36</v>
      </c>
      <c r="F6" t="s">
        <v>31</v>
      </c>
    </row>
    <row r="7" spans="1:6">
      <c r="A7" t="s">
        <v>11</v>
      </c>
      <c r="B7" s="5">
        <v>3</v>
      </c>
      <c r="C7" t="s">
        <v>37</v>
      </c>
      <c r="D7" t="s">
        <v>29</v>
      </c>
      <c r="E7" s="13" t="s">
        <v>38</v>
      </c>
      <c r="F7" t="s">
        <v>31</v>
      </c>
    </row>
    <row r="8" spans="1:6">
      <c r="A8" t="s">
        <v>12</v>
      </c>
      <c r="B8" s="6">
        <v>0.03</v>
      </c>
      <c r="C8" t="s">
        <v>39</v>
      </c>
      <c r="D8" t="s">
        <v>29</v>
      </c>
      <c r="E8" s="13" t="s">
        <v>40</v>
      </c>
      <c r="F8" t="s">
        <v>31</v>
      </c>
    </row>
    <row r="9" spans="1:6">
      <c r="A9" t="s">
        <v>13</v>
      </c>
      <c r="B9" s="4">
        <v>2023</v>
      </c>
      <c r="C9" t="s">
        <v>41</v>
      </c>
      <c r="D9" t="s">
        <v>29</v>
      </c>
      <c r="E9" s="13" t="s">
        <v>42</v>
      </c>
      <c r="F9" t="s">
        <v>31</v>
      </c>
    </row>
    <row r="10" spans="1:6">
      <c r="A10" t="s">
        <v>14</v>
      </c>
      <c r="B10" s="4">
        <v>2017</v>
      </c>
      <c r="C10" t="s">
        <v>41</v>
      </c>
      <c r="D10" t="s">
        <v>29</v>
      </c>
      <c r="E10" s="13" t="s">
        <v>43</v>
      </c>
      <c r="F10" t="s">
        <v>31</v>
      </c>
    </row>
    <row r="11" spans="1:6">
      <c r="A11" t="s">
        <v>15</v>
      </c>
      <c r="B11" s="2" t="s">
        <v>68</v>
      </c>
      <c r="C11" t="s">
        <v>15</v>
      </c>
      <c r="D11" t="s">
        <v>44</v>
      </c>
      <c r="E11" s="13" t="s">
        <v>45</v>
      </c>
      <c r="F11" t="s">
        <v>31</v>
      </c>
    </row>
    <row r="12" spans="1:6">
      <c r="A12" t="s">
        <v>16</v>
      </c>
      <c r="B12" s="2" t="s">
        <v>74</v>
      </c>
      <c r="C12" t="s">
        <v>46</v>
      </c>
      <c r="D12" t="s">
        <v>44</v>
      </c>
      <c r="E12" s="13" t="s">
        <v>47</v>
      </c>
      <c r="F12" t="s">
        <v>31</v>
      </c>
    </row>
    <row r="13" spans="1:6">
      <c r="A13" t="s">
        <v>17</v>
      </c>
      <c r="B13" s="2" t="s">
        <v>75</v>
      </c>
      <c r="C13" t="s">
        <v>46</v>
      </c>
      <c r="D13" t="s">
        <v>29</v>
      </c>
      <c r="E13" s="13" t="s">
        <v>48</v>
      </c>
      <c r="F13" t="s">
        <v>31</v>
      </c>
    </row>
    <row r="14" spans="1:6">
      <c r="A14" t="s">
        <v>18</v>
      </c>
      <c r="B14" s="7">
        <v>0</v>
      </c>
      <c r="C14" t="s">
        <v>49</v>
      </c>
      <c r="D14" t="s">
        <v>29</v>
      </c>
      <c r="E14" s="13" t="s">
        <v>50</v>
      </c>
      <c r="F14" t="s">
        <v>51</v>
      </c>
    </row>
    <row r="15" spans="1:6">
      <c r="A15" t="s">
        <v>19</v>
      </c>
      <c r="B15" s="7">
        <v>1E-3</v>
      </c>
      <c r="C15" t="s">
        <v>52</v>
      </c>
      <c r="D15" t="s">
        <v>53</v>
      </c>
      <c r="E15" s="13" t="s">
        <v>54</v>
      </c>
      <c r="F15" t="s">
        <v>55</v>
      </c>
    </row>
    <row r="16" spans="1:6">
      <c r="A16" t="s">
        <v>20</v>
      </c>
      <c r="B16" s="8">
        <v>1000</v>
      </c>
      <c r="C16" t="s">
        <v>56</v>
      </c>
      <c r="D16" t="s">
        <v>53</v>
      </c>
      <c r="E16" s="13" t="s">
        <v>57</v>
      </c>
      <c r="F16" t="s">
        <v>55</v>
      </c>
    </row>
    <row r="17" spans="1:6">
      <c r="A17" t="s">
        <v>21</v>
      </c>
      <c r="B17" s="9">
        <v>0</v>
      </c>
      <c r="C17" t="s">
        <v>58</v>
      </c>
      <c r="D17" t="s">
        <v>59</v>
      </c>
      <c r="E17" s="13" t="s">
        <v>60</v>
      </c>
      <c r="F17" t="s">
        <v>61</v>
      </c>
    </row>
    <row r="18" spans="1:6">
      <c r="A18" t="s">
        <v>22</v>
      </c>
      <c r="B18" s="10">
        <v>108.16</v>
      </c>
      <c r="C18" t="s">
        <v>56</v>
      </c>
      <c r="D18" t="s">
        <v>59</v>
      </c>
      <c r="E18" s="13" t="s">
        <v>62</v>
      </c>
      <c r="F18" t="s">
        <v>61</v>
      </c>
    </row>
    <row r="19" spans="1:6">
      <c r="A19" t="s">
        <v>23</v>
      </c>
      <c r="B19" s="11">
        <v>3</v>
      </c>
      <c r="C19" t="s">
        <v>58</v>
      </c>
      <c r="D19" t="s">
        <v>59</v>
      </c>
      <c r="E19" s="13" t="s">
        <v>63</v>
      </c>
      <c r="F19" t="s">
        <v>61</v>
      </c>
    </row>
    <row r="20" spans="1:6">
      <c r="A20" t="s">
        <v>24</v>
      </c>
      <c r="B20" s="9">
        <v>1194655.90697684</v>
      </c>
      <c r="C20" t="s">
        <v>64</v>
      </c>
      <c r="D20" t="s">
        <v>65</v>
      </c>
      <c r="E20" s="13" t="s">
        <v>66</v>
      </c>
      <c r="F20" t="s">
        <v>67</v>
      </c>
    </row>
    <row r="21" spans="1:6">
      <c r="A21" t="s">
        <v>25</v>
      </c>
      <c r="B21" s="9">
        <v>858800468.69393897</v>
      </c>
      <c r="C21" t="s">
        <v>68</v>
      </c>
      <c r="D21" t="s">
        <v>65</v>
      </c>
      <c r="E21" s="13" t="s">
        <v>69</v>
      </c>
      <c r="F21" t="s">
        <v>67</v>
      </c>
    </row>
    <row r="22" spans="1:6">
      <c r="A22" t="s">
        <v>26</v>
      </c>
      <c r="B22" s="12">
        <v>718.86847390826904</v>
      </c>
      <c r="C22" t="s">
        <v>70</v>
      </c>
      <c r="D22" t="s">
        <v>65</v>
      </c>
      <c r="E22" s="13" t="s">
        <v>71</v>
      </c>
      <c r="F22" t="s">
        <v>67</v>
      </c>
    </row>
    <row r="23" spans="1:6">
      <c r="A23" t="s">
        <v>27</v>
      </c>
      <c r="B23" s="3" t="s">
        <v>76</v>
      </c>
      <c r="C23" t="s">
        <v>33</v>
      </c>
      <c r="D23" t="s">
        <v>65</v>
      </c>
      <c r="E23" s="13" t="s">
        <v>72</v>
      </c>
      <c r="F23" t="s">
        <v>67</v>
      </c>
    </row>
  </sheetData>
  <autoFilter ref="A1:F1" xr:uid="{00000000-0009-0000-0000-000014000000}"/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14"/>
  <sheetViews>
    <sheetView workbookViewId="0">
      <pane ySplit="1" topLeftCell="A2" activePane="bottomLeft" state="frozen"/>
      <selection pane="bottomLeft"/>
    </sheetView>
  </sheetViews>
  <sheetFormatPr defaultColWidth="11.19921875" defaultRowHeight="13.8"/>
  <cols>
    <col min="1" max="1" width="22.69921875" customWidth="1"/>
    <col min="2" max="2" width="30.69921875" customWidth="1"/>
    <col min="3" max="3" width="40.69921875" customWidth="1"/>
    <col min="4" max="4" width="52.69921875" customWidth="1"/>
  </cols>
  <sheetData>
    <row r="1" spans="1:4" ht="28.05" customHeight="1">
      <c r="A1" s="1" t="s">
        <v>577</v>
      </c>
      <c r="B1" s="1" t="s">
        <v>578</v>
      </c>
      <c r="C1" s="1" t="s">
        <v>579</v>
      </c>
      <c r="D1" s="1" t="s">
        <v>580</v>
      </c>
    </row>
    <row r="2" spans="1:4" ht="27.6">
      <c r="A2" t="s">
        <v>581</v>
      </c>
      <c r="B2" t="s">
        <v>582</v>
      </c>
      <c r="C2" s="13" t="s">
        <v>583</v>
      </c>
      <c r="D2" s="13" t="s">
        <v>584</v>
      </c>
    </row>
    <row r="3" spans="1:4">
      <c r="A3" t="s">
        <v>585</v>
      </c>
      <c r="B3" t="s">
        <v>586</v>
      </c>
      <c r="C3" s="13" t="s">
        <v>587</v>
      </c>
      <c r="D3" s="13" t="s">
        <v>588</v>
      </c>
    </row>
    <row r="4" spans="1:4">
      <c r="A4" t="s">
        <v>589</v>
      </c>
      <c r="B4" t="s">
        <v>590</v>
      </c>
      <c r="C4" s="13" t="s">
        <v>591</v>
      </c>
      <c r="D4" s="13" t="s">
        <v>592</v>
      </c>
    </row>
    <row r="5" spans="1:4">
      <c r="A5" t="s">
        <v>593</v>
      </c>
      <c r="B5" t="s">
        <v>594</v>
      </c>
      <c r="C5" s="13" t="s">
        <v>587</v>
      </c>
      <c r="D5" s="13" t="s">
        <v>595</v>
      </c>
    </row>
    <row r="6" spans="1:4">
      <c r="A6" t="s">
        <v>596</v>
      </c>
      <c r="B6" t="s">
        <v>597</v>
      </c>
      <c r="C6" s="13" t="s">
        <v>598</v>
      </c>
      <c r="D6" s="13" t="s">
        <v>599</v>
      </c>
    </row>
    <row r="7" spans="1:4">
      <c r="A7" t="s">
        <v>600</v>
      </c>
      <c r="B7" t="s">
        <v>601</v>
      </c>
      <c r="C7" s="13" t="s">
        <v>602</v>
      </c>
      <c r="D7" s="13" t="s">
        <v>603</v>
      </c>
    </row>
    <row r="8" spans="1:4" ht="27.6">
      <c r="A8" t="s">
        <v>604</v>
      </c>
      <c r="B8" t="s">
        <v>605</v>
      </c>
      <c r="C8" s="13" t="s">
        <v>606</v>
      </c>
      <c r="D8" s="13" t="s">
        <v>607</v>
      </c>
    </row>
    <row r="9" spans="1:4">
      <c r="A9" t="s">
        <v>608</v>
      </c>
      <c r="B9" t="s">
        <v>609</v>
      </c>
      <c r="C9" s="13" t="s">
        <v>604</v>
      </c>
      <c r="D9" s="13" t="s">
        <v>610</v>
      </c>
    </row>
    <row r="10" spans="1:4" ht="27.6">
      <c r="A10" t="s">
        <v>611</v>
      </c>
      <c r="B10" t="s">
        <v>612</v>
      </c>
      <c r="C10" s="13" t="s">
        <v>613</v>
      </c>
      <c r="D10" s="13" t="s">
        <v>614</v>
      </c>
    </row>
    <row r="11" spans="1:4" ht="27.6">
      <c r="A11" t="s">
        <v>615</v>
      </c>
      <c r="B11" t="s">
        <v>616</v>
      </c>
      <c r="C11" s="13" t="s">
        <v>617</v>
      </c>
      <c r="D11" s="13" t="s">
        <v>618</v>
      </c>
    </row>
    <row r="12" spans="1:4" ht="27.6">
      <c r="A12" t="s">
        <v>619</v>
      </c>
      <c r="B12" t="s">
        <v>616</v>
      </c>
      <c r="C12" s="13" t="s">
        <v>620</v>
      </c>
      <c r="D12" s="13" t="s">
        <v>621</v>
      </c>
    </row>
    <row r="13" spans="1:4">
      <c r="A13" t="s">
        <v>622</v>
      </c>
      <c r="B13" t="s">
        <v>623</v>
      </c>
      <c r="C13" s="13" t="s">
        <v>624</v>
      </c>
      <c r="D13" s="13" t="s">
        <v>625</v>
      </c>
    </row>
    <row r="14" spans="1:4">
      <c r="A14" t="s">
        <v>626</v>
      </c>
      <c r="B14" t="s">
        <v>627</v>
      </c>
      <c r="C14" s="13" t="s">
        <v>628</v>
      </c>
      <c r="D14" s="13" t="s">
        <v>629</v>
      </c>
    </row>
  </sheetData>
  <pageMargins left="0.7" right="0.7" top="0.75" bottom="0.75" header="0.3" footer="0.3"/>
  <pageSetup paperSize="9" orientation="portrait" horizontalDpi="300" verticalDpi="300"/>
</worksheet>
</file>

<file path=docMetadata/LabelInfo.xml><?xml version="1.0" encoding="utf-8"?>
<clbl:labelList xmlns:clbl="http://schemas.microsoft.com/office/2020/mipLabelMetadata">
  <clbl:label id="{f6b6dd5b-f02f-441a-99a0-162ac5060bd2}" enabled="0" method="" siteId="{f6b6dd5b-f02f-441a-99a0-162ac5060b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README</vt:lpstr>
      <vt:lpstr>Run_Metadata</vt:lpstr>
      <vt:lpstr>Scenario_Hierarchy</vt:lpstr>
      <vt:lpstr>Selected_Interventions</vt:lpstr>
      <vt:lpstr>Blocked_Links</vt:lpstr>
      <vt:lpstr>Policy_Levers</vt:lpstr>
      <vt:lpstr>Exposure_Targets</vt:lpstr>
      <vt:lpstr>Effect_Parameters</vt:lpstr>
      <vt:lpstr>Risk_Response</vt:lpstr>
      <vt:lpstr>Cost_Components</vt:lpstr>
      <vt:lpstr>Annual_Mortality</vt:lpstr>
      <vt:lpstr>Annual_Cost</vt:lpstr>
      <vt:lpstr>Budget_Impact</vt:lpstr>
      <vt:lpstr>Cost_Effectiveness</vt:lpstr>
      <vt:lpstr>Child_Intervention_Summary</vt:lpstr>
      <vt:lpstr>Parent_Package_Summary</vt:lpstr>
      <vt:lpstr>Economic_Value</vt:lpstr>
      <vt:lpstr>QA_Checks</vt:lpstr>
      <vt:lpstr>Input_Diagnostic</vt:lpstr>
      <vt:lpstr>Methods_and_Sources</vt:lpstr>
      <vt:lpstr>Calculation_Assumptions</vt:lpstr>
      <vt:lpstr>Calculation_Map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wrgar</dc:creator>
  <cp:lastModifiedBy>William R Garcia</cp:lastModifiedBy>
  <dcterms:created xsi:type="dcterms:W3CDTF">2026-08-21T18:19:07Z</dcterms:created>
  <dcterms:modified xsi:type="dcterms:W3CDTF">2026-08-22T01:28:57Z</dcterms:modified>
</cp:coreProperties>
</file>