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51" documentId="11_5BD1CC8A96289BD2CF13031488BDC7A105240A93" xr6:coauthVersionLast="47" xr6:coauthVersionMax="47" xr10:uidLastSave="{CE6BBF1F-814A-403A-AD73-47AE70EE41C6}"/>
  <bookViews>
    <workbookView xWindow="28680" yWindow="-120" windowWidth="29040" windowHeight="15720" activeTab="5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Policy_Levers" sheetId="5" r:id="rId5"/>
    <sheet name="Exposure_Targets" sheetId="6" r:id="rId6"/>
    <sheet name="Effect_Parameters" sheetId="7" r:id="rId7"/>
    <sheet name="Risk_Response" sheetId="8" r:id="rId8"/>
    <sheet name="Model_Input_View" sheetId="9" r:id="rId9"/>
    <sheet name="Cost_Components" sheetId="10" r:id="rId10"/>
    <sheet name="Countdown_Methods" sheetId="11" r:id="rId11"/>
    <sheet name="Scope_and_Sources" sheetId="12" r:id="rId12"/>
    <sheet name="QA_Checks" sheetId="13" r:id="rId13"/>
    <sheet name="Scenario_Hierarch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5" l="1"/>
  <c r="D25" i="13"/>
  <c r="E25" i="13" s="1"/>
  <c r="D24" i="13"/>
  <c r="E24" i="13" s="1"/>
  <c r="D23" i="13"/>
  <c r="E23" i="13" s="1"/>
  <c r="D22" i="13"/>
  <c r="E22" i="13" s="1"/>
  <c r="D21" i="13"/>
  <c r="E21" i="13" s="1"/>
  <c r="D18" i="13"/>
  <c r="E18" i="13" s="1"/>
  <c r="D17" i="13"/>
  <c r="E17" i="13" s="1"/>
  <c r="D16" i="13"/>
  <c r="E16" i="13" s="1"/>
  <c r="D14" i="13"/>
  <c r="E14" i="13" s="1"/>
  <c r="D13" i="13"/>
  <c r="E13" i="13" s="1"/>
  <c r="D11" i="13"/>
  <c r="E11" i="13" s="1"/>
  <c r="D10" i="13"/>
  <c r="E10" i="13" s="1"/>
  <c r="D9" i="13"/>
  <c r="E9" i="13" s="1"/>
  <c r="D8" i="13"/>
  <c r="E8" i="13" s="1"/>
  <c r="D7" i="13"/>
  <c r="E7" i="13" s="1"/>
  <c r="AB15" i="10"/>
  <c r="AA15" i="10"/>
  <c r="AC15" i="10" s="1"/>
  <c r="AB14" i="10"/>
  <c r="AA14" i="10"/>
  <c r="AC14" i="10" s="1"/>
  <c r="AF13" i="10"/>
  <c r="AE13" i="10"/>
  <c r="S13" i="10" s="1"/>
  <c r="AB13" i="10"/>
  <c r="AA13" i="10"/>
  <c r="AF12" i="10"/>
  <c r="AE12" i="10"/>
  <c r="S12" i="10" s="1"/>
  <c r="AB12" i="10"/>
  <c r="AA12" i="10"/>
  <c r="AF11" i="10"/>
  <c r="AE11" i="10"/>
  <c r="S11" i="10" s="1"/>
  <c r="AB11" i="10"/>
  <c r="AA11" i="10"/>
  <c r="AF10" i="10"/>
  <c r="AE10" i="10"/>
  <c r="AB10" i="10"/>
  <c r="AA10" i="10"/>
  <c r="AC9" i="10"/>
  <c r="AB9" i="10"/>
  <c r="AA9" i="10"/>
  <c r="AB8" i="10"/>
  <c r="AA8" i="10"/>
  <c r="AC8" i="10" s="1"/>
  <c r="AF7" i="10"/>
  <c r="AE7" i="10"/>
  <c r="AB7" i="10"/>
  <c r="AA7" i="10"/>
  <c r="S7" i="10"/>
  <c r="AF6" i="10"/>
  <c r="S6" i="10" s="1"/>
  <c r="AE6" i="10"/>
  <c r="AB6" i="10"/>
  <c r="AA6" i="10"/>
  <c r="AF5" i="10"/>
  <c r="AE5" i="10"/>
  <c r="AB5" i="10"/>
  <c r="AA5" i="10"/>
  <c r="AC4" i="10"/>
  <c r="AB4" i="10"/>
  <c r="AA4" i="10"/>
  <c r="AB3" i="10"/>
  <c r="AA3" i="10"/>
  <c r="AC3" i="10" s="1"/>
  <c r="AB2" i="10"/>
  <c r="AA2" i="10"/>
  <c r="AC2" i="10" s="1"/>
  <c r="L32" i="8"/>
  <c r="I58" i="7" s="1"/>
  <c r="L58" i="9" s="1"/>
  <c r="L18" i="8"/>
  <c r="L17" i="8"/>
  <c r="L16" i="8"/>
  <c r="J15" i="8"/>
  <c r="L15" i="8" s="1"/>
  <c r="J14" i="8"/>
  <c r="L14" i="8" s="1"/>
  <c r="I44" i="7" s="1"/>
  <c r="L44" i="9" s="1"/>
  <c r="L13" i="8"/>
  <c r="I37" i="7" s="1"/>
  <c r="L37" i="9" s="1"/>
  <c r="L12" i="8"/>
  <c r="O5" i="7" s="1"/>
  <c r="L10" i="8"/>
  <c r="I10" i="7" s="1"/>
  <c r="L10" i="9" s="1"/>
  <c r="L9" i="8"/>
  <c r="L8" i="8"/>
  <c r="L7" i="8"/>
  <c r="L6" i="8"/>
  <c r="I23" i="7" s="1"/>
  <c r="L23" i="9" s="1"/>
  <c r="L5" i="8"/>
  <c r="L4" i="8"/>
  <c r="I21" i="7" s="1"/>
  <c r="L21" i="9" s="1"/>
  <c r="L3" i="8"/>
  <c r="I3" i="7" s="1"/>
  <c r="L3" i="9" s="1"/>
  <c r="L2" i="8"/>
  <c r="I2" i="7" s="1"/>
  <c r="L2" i="9" s="1"/>
  <c r="V62" i="7"/>
  <c r="W62" i="7" s="1"/>
  <c r="I62" i="7"/>
  <c r="V61" i="7"/>
  <c r="W61" i="7" s="1"/>
  <c r="O61" i="7"/>
  <c r="I61" i="7"/>
  <c r="V60" i="7"/>
  <c r="W60" i="7" s="1"/>
  <c r="O60" i="7"/>
  <c r="V59" i="7"/>
  <c r="W59" i="7" s="1"/>
  <c r="O59" i="7"/>
  <c r="I59" i="7"/>
  <c r="V58" i="7"/>
  <c r="W58" i="7" s="1"/>
  <c r="O58" i="7"/>
  <c r="V57" i="7"/>
  <c r="W57" i="7" s="1"/>
  <c r="O57" i="7"/>
  <c r="I57" i="7"/>
  <c r="L57" i="9" s="1"/>
  <c r="V56" i="7"/>
  <c r="W56" i="7" s="1"/>
  <c r="O56" i="7"/>
  <c r="V55" i="7"/>
  <c r="W55" i="7" s="1"/>
  <c r="O55" i="7"/>
  <c r="I55" i="7"/>
  <c r="L55" i="9" s="1"/>
  <c r="V54" i="7"/>
  <c r="W54" i="7" s="1"/>
  <c r="O54" i="7"/>
  <c r="V53" i="7"/>
  <c r="W53" i="7" s="1"/>
  <c r="O53" i="7"/>
  <c r="I53" i="7"/>
  <c r="L53" i="9" s="1"/>
  <c r="V52" i="7"/>
  <c r="W52" i="7" s="1"/>
  <c r="O52" i="7"/>
  <c r="V51" i="7"/>
  <c r="W51" i="7" s="1"/>
  <c r="O51" i="7"/>
  <c r="I51" i="7"/>
  <c r="V50" i="7"/>
  <c r="W50" i="7" s="1"/>
  <c r="O50" i="7"/>
  <c r="V49" i="7"/>
  <c r="W49" i="7" s="1"/>
  <c r="I49" i="7"/>
  <c r="L49" i="9" s="1"/>
  <c r="V48" i="7"/>
  <c r="W48" i="7" s="1"/>
  <c r="I48" i="7"/>
  <c r="V47" i="7"/>
  <c r="W47" i="7" s="1"/>
  <c r="I47" i="7"/>
  <c r="V46" i="7"/>
  <c r="W46" i="7" s="1"/>
  <c r="I46" i="7"/>
  <c r="L46" i="9" s="1"/>
  <c r="V45" i="7"/>
  <c r="W45" i="7" s="1"/>
  <c r="I45" i="7"/>
  <c r="V44" i="7"/>
  <c r="L44" i="7"/>
  <c r="K44" i="7"/>
  <c r="M44" i="9" s="1"/>
  <c r="J44" i="7"/>
  <c r="H44" i="7"/>
  <c r="G44" i="7"/>
  <c r="F44" i="7"/>
  <c r="V43" i="7"/>
  <c r="W43" i="7" s="1"/>
  <c r="V42" i="7"/>
  <c r="W42" i="7" s="1"/>
  <c r="V41" i="7"/>
  <c r="W41" i="7" s="1"/>
  <c r="V40" i="7"/>
  <c r="W40" i="7" s="1"/>
  <c r="I40" i="7"/>
  <c r="V39" i="7"/>
  <c r="W39" i="7" s="1"/>
  <c r="V38" i="7"/>
  <c r="W38" i="7" s="1"/>
  <c r="V37" i="7"/>
  <c r="W37" i="7" s="1"/>
  <c r="W36" i="7"/>
  <c r="V36" i="7"/>
  <c r="V35" i="7"/>
  <c r="W35" i="7" s="1"/>
  <c r="I35" i="7"/>
  <c r="V34" i="7"/>
  <c r="W34" i="7" s="1"/>
  <c r="V33" i="7"/>
  <c r="W33" i="7" s="1"/>
  <c r="V32" i="7"/>
  <c r="W32" i="7" s="1"/>
  <c r="I32" i="7"/>
  <c r="V31" i="7"/>
  <c r="W31" i="7" s="1"/>
  <c r="V30" i="7"/>
  <c r="W30" i="7" s="1"/>
  <c r="V29" i="7"/>
  <c r="W29" i="7" s="1"/>
  <c r="V28" i="7"/>
  <c r="W28" i="7" s="1"/>
  <c r="V27" i="7"/>
  <c r="W27" i="7" s="1"/>
  <c r="I27" i="7"/>
  <c r="V26" i="7"/>
  <c r="W26" i="7" s="1"/>
  <c r="I26" i="7"/>
  <c r="L26" i="9" s="1"/>
  <c r="V25" i="7"/>
  <c r="W25" i="7" s="1"/>
  <c r="I25" i="7"/>
  <c r="V24" i="7"/>
  <c r="W24" i="7" s="1"/>
  <c r="I24" i="7"/>
  <c r="V23" i="7"/>
  <c r="W23" i="7" s="1"/>
  <c r="V22" i="7"/>
  <c r="W22" i="7" s="1"/>
  <c r="I22" i="7"/>
  <c r="V21" i="7"/>
  <c r="W21" i="7" s="1"/>
  <c r="O21" i="7"/>
  <c r="V20" i="7"/>
  <c r="W20" i="7" s="1"/>
  <c r="O20" i="7"/>
  <c r="I20" i="7"/>
  <c r="V19" i="7"/>
  <c r="W19" i="7" s="1"/>
  <c r="O19" i="7"/>
  <c r="V18" i="7"/>
  <c r="W18" i="7" s="1"/>
  <c r="I18" i="7"/>
  <c r="V17" i="7"/>
  <c r="W17" i="7" s="1"/>
  <c r="O17" i="7"/>
  <c r="V16" i="7"/>
  <c r="W16" i="7" s="1"/>
  <c r="O16" i="7"/>
  <c r="I16" i="7"/>
  <c r="V15" i="7"/>
  <c r="W15" i="7" s="1"/>
  <c r="O15" i="7"/>
  <c r="V14" i="7"/>
  <c r="W14" i="7" s="1"/>
  <c r="I14" i="7"/>
  <c r="V13" i="7"/>
  <c r="W13" i="7" s="1"/>
  <c r="O13" i="7"/>
  <c r="V12" i="7"/>
  <c r="W12" i="7" s="1"/>
  <c r="O12" i="7"/>
  <c r="I12" i="7"/>
  <c r="L12" i="9" s="1"/>
  <c r="V11" i="7"/>
  <c r="W11" i="7" s="1"/>
  <c r="O11" i="7"/>
  <c r="V10" i="7"/>
  <c r="W10" i="7" s="1"/>
  <c r="V9" i="7"/>
  <c r="W9" i="7" s="1"/>
  <c r="I9" i="7"/>
  <c r="L9" i="9" s="1"/>
  <c r="V8" i="7"/>
  <c r="W8" i="7" s="1"/>
  <c r="I8" i="7"/>
  <c r="V7" i="7"/>
  <c r="W7" i="7" s="1"/>
  <c r="I7" i="7"/>
  <c r="L7" i="9" s="1"/>
  <c r="V6" i="7"/>
  <c r="W6" i="7" s="1"/>
  <c r="I6" i="7"/>
  <c r="V5" i="7"/>
  <c r="W5" i="7" s="1"/>
  <c r="I5" i="7"/>
  <c r="V4" i="7"/>
  <c r="W4" i="7" s="1"/>
  <c r="O4" i="7"/>
  <c r="I4" i="7"/>
  <c r="V3" i="7"/>
  <c r="W3" i="7" s="1"/>
  <c r="O3" i="7"/>
  <c r="V2" i="7"/>
  <c r="W2" i="7" s="1"/>
  <c r="O2" i="7"/>
  <c r="R13" i="6"/>
  <c r="Q13" i="6"/>
  <c r="P13" i="6"/>
  <c r="R12" i="6"/>
  <c r="Q12" i="6"/>
  <c r="P12" i="6"/>
  <c r="R11" i="6"/>
  <c r="Q11" i="6"/>
  <c r="P11" i="6"/>
  <c r="R10" i="6"/>
  <c r="Q10" i="6"/>
  <c r="P10" i="6"/>
  <c r="R9" i="6"/>
  <c r="Q9" i="6"/>
  <c r="P9" i="6"/>
  <c r="R8" i="6"/>
  <c r="Q8" i="6"/>
  <c r="P8" i="6"/>
  <c r="R7" i="6"/>
  <c r="Q7" i="6"/>
  <c r="P7" i="6"/>
  <c r="R6" i="6"/>
  <c r="Q6" i="6"/>
  <c r="P6" i="6"/>
  <c r="R5" i="6"/>
  <c r="Q5" i="6"/>
  <c r="P5" i="6"/>
  <c r="R4" i="6"/>
  <c r="Q4" i="6"/>
  <c r="P4" i="6"/>
  <c r="R3" i="6"/>
  <c r="Q3" i="6"/>
  <c r="P3" i="6"/>
  <c r="R2" i="6"/>
  <c r="Q2" i="6"/>
  <c r="P2" i="6"/>
  <c r="AB13" i="5"/>
  <c r="AA13" i="5"/>
  <c r="Z13" i="5"/>
  <c r="Y13" i="5"/>
  <c r="X13" i="5"/>
  <c r="T13" i="5"/>
  <c r="D15" i="13" s="1"/>
  <c r="E15" i="13" s="1"/>
  <c r="I13" i="5"/>
  <c r="K13" i="5" s="1"/>
  <c r="J13" i="6" s="1"/>
  <c r="K13" i="6" s="1"/>
  <c r="H13" i="5"/>
  <c r="G13" i="5"/>
  <c r="F13" i="5"/>
  <c r="AB12" i="5"/>
  <c r="AA12" i="5"/>
  <c r="Y12" i="5"/>
  <c r="G12" i="5" s="1"/>
  <c r="X12" i="5"/>
  <c r="Z12" i="5" s="1"/>
  <c r="K12" i="5" s="1"/>
  <c r="J12" i="6" s="1"/>
  <c r="K12" i="6" s="1"/>
  <c r="H12" i="5"/>
  <c r="AB11" i="5"/>
  <c r="AA11" i="5"/>
  <c r="Y11" i="5"/>
  <c r="X11" i="5"/>
  <c r="F11" i="5" s="1"/>
  <c r="H11" i="5"/>
  <c r="AB10" i="5"/>
  <c r="AA10" i="5"/>
  <c r="Z10" i="5"/>
  <c r="K10" i="5" s="1"/>
  <c r="Y10" i="5"/>
  <c r="X10" i="5"/>
  <c r="H10" i="5"/>
  <c r="G10" i="5"/>
  <c r="F10" i="5"/>
  <c r="AB9" i="5"/>
  <c r="AA9" i="5"/>
  <c r="Y9" i="5"/>
  <c r="X9" i="5"/>
  <c r="Z9" i="5" s="1"/>
  <c r="K9" i="5" s="1"/>
  <c r="H9" i="5"/>
  <c r="G9" i="5"/>
  <c r="F9" i="5"/>
  <c r="AB8" i="5"/>
  <c r="AA8" i="5"/>
  <c r="Y8" i="5"/>
  <c r="X8" i="5"/>
  <c r="F8" i="5" s="1"/>
  <c r="H8" i="5"/>
  <c r="G8" i="5"/>
  <c r="AB7" i="5"/>
  <c r="AA7" i="5"/>
  <c r="Z7" i="5"/>
  <c r="K7" i="5" s="1"/>
  <c r="J7" i="6" s="1"/>
  <c r="K7" i="6" s="1"/>
  <c r="Y7" i="5"/>
  <c r="G7" i="5" s="1"/>
  <c r="X7" i="5"/>
  <c r="O7" i="5" s="1"/>
  <c r="H7" i="5"/>
  <c r="AB6" i="5"/>
  <c r="AA6" i="5"/>
  <c r="Y6" i="5"/>
  <c r="Z6" i="5" s="1"/>
  <c r="K6" i="5" s="1"/>
  <c r="J6" i="6" s="1"/>
  <c r="K6" i="6" s="1"/>
  <c r="X6" i="5"/>
  <c r="H6" i="5"/>
  <c r="F6" i="5"/>
  <c r="AB5" i="5"/>
  <c r="AA5" i="5"/>
  <c r="Y5" i="5"/>
  <c r="X5" i="5"/>
  <c r="Z5" i="5" s="1"/>
  <c r="K5" i="5" s="1"/>
  <c r="J5" i="6" s="1"/>
  <c r="K5" i="6" s="1"/>
  <c r="H5" i="5"/>
  <c r="G5" i="5"/>
  <c r="F5" i="5"/>
  <c r="AB4" i="5"/>
  <c r="AA4" i="5"/>
  <c r="Y4" i="5"/>
  <c r="G4" i="5" s="1"/>
  <c r="X4" i="5"/>
  <c r="Z4" i="5" s="1"/>
  <c r="K4" i="5" s="1"/>
  <c r="J4" i="6" s="1"/>
  <c r="K4" i="6" s="1"/>
  <c r="H4" i="5"/>
  <c r="AB3" i="5"/>
  <c r="AA3" i="5"/>
  <c r="K3" i="5" s="1"/>
  <c r="Y3" i="5"/>
  <c r="X3" i="5"/>
  <c r="Z3" i="5" s="1"/>
  <c r="H3" i="5"/>
  <c r="G3" i="5"/>
  <c r="F3" i="5"/>
  <c r="AA2" i="5"/>
  <c r="K2" i="5" s="1"/>
  <c r="Z2" i="5"/>
  <c r="Y2" i="5"/>
  <c r="X2" i="5"/>
  <c r="H2" i="5"/>
  <c r="G2" i="5"/>
  <c r="F2" i="5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B34" i="2"/>
  <c r="G6" i="1"/>
  <c r="E6" i="1"/>
  <c r="C6" i="1"/>
  <c r="S62" i="9"/>
  <c r="Q62" i="9"/>
  <c r="P62" i="9"/>
  <c r="R62" i="9" s="1"/>
  <c r="N62" i="9"/>
  <c r="M62" i="9"/>
  <c r="L62" i="9"/>
  <c r="K62" i="9"/>
  <c r="G62" i="9"/>
  <c r="S61" i="9"/>
  <c r="Q61" i="9"/>
  <c r="P61" i="9"/>
  <c r="N61" i="9"/>
  <c r="M61" i="9"/>
  <c r="L61" i="9"/>
  <c r="K61" i="9"/>
  <c r="G61" i="9"/>
  <c r="S60" i="9"/>
  <c r="Q60" i="9"/>
  <c r="P60" i="9"/>
  <c r="N60" i="9"/>
  <c r="M60" i="9"/>
  <c r="K60" i="9"/>
  <c r="G60" i="9"/>
  <c r="S59" i="9"/>
  <c r="Q59" i="9"/>
  <c r="P59" i="9"/>
  <c r="N59" i="9"/>
  <c r="M59" i="9"/>
  <c r="L59" i="9"/>
  <c r="K59" i="9"/>
  <c r="G59" i="9"/>
  <c r="S58" i="9"/>
  <c r="Q58" i="9"/>
  <c r="P58" i="9"/>
  <c r="N58" i="9"/>
  <c r="M58" i="9"/>
  <c r="K58" i="9"/>
  <c r="G58" i="9"/>
  <c r="S57" i="9"/>
  <c r="Q57" i="9"/>
  <c r="P57" i="9"/>
  <c r="N57" i="9"/>
  <c r="M57" i="9"/>
  <c r="K57" i="9"/>
  <c r="G57" i="9"/>
  <c r="S56" i="9"/>
  <c r="Q56" i="9"/>
  <c r="P56" i="9"/>
  <c r="N56" i="9"/>
  <c r="M56" i="9"/>
  <c r="K56" i="9"/>
  <c r="G56" i="9"/>
  <c r="S55" i="9"/>
  <c r="Q55" i="9"/>
  <c r="P55" i="9"/>
  <c r="N55" i="9"/>
  <c r="M55" i="9"/>
  <c r="K55" i="9"/>
  <c r="G55" i="9"/>
  <c r="S54" i="9"/>
  <c r="Q54" i="9"/>
  <c r="P54" i="9"/>
  <c r="N54" i="9"/>
  <c r="M54" i="9"/>
  <c r="K54" i="9"/>
  <c r="G54" i="9"/>
  <c r="S53" i="9"/>
  <c r="Q53" i="9"/>
  <c r="P53" i="9"/>
  <c r="N53" i="9"/>
  <c r="M53" i="9"/>
  <c r="K53" i="9"/>
  <c r="G53" i="9"/>
  <c r="S52" i="9"/>
  <c r="Q52" i="9"/>
  <c r="P52" i="9"/>
  <c r="R52" i="9" s="1"/>
  <c r="N52" i="9"/>
  <c r="M52" i="9"/>
  <c r="K52" i="9"/>
  <c r="G52" i="9"/>
  <c r="S51" i="9"/>
  <c r="Q51" i="9"/>
  <c r="P51" i="9"/>
  <c r="R51" i="9" s="1"/>
  <c r="N51" i="9"/>
  <c r="M51" i="9"/>
  <c r="L51" i="9"/>
  <c r="K51" i="9"/>
  <c r="G51" i="9"/>
  <c r="S50" i="9"/>
  <c r="Q50" i="9"/>
  <c r="P50" i="9"/>
  <c r="R50" i="9" s="1"/>
  <c r="N50" i="9"/>
  <c r="M50" i="9"/>
  <c r="K50" i="9"/>
  <c r="G50" i="9"/>
  <c r="S49" i="9"/>
  <c r="Q49" i="9"/>
  <c r="P49" i="9"/>
  <c r="R49" i="9" s="1"/>
  <c r="N49" i="9"/>
  <c r="M49" i="9"/>
  <c r="K49" i="9"/>
  <c r="G49" i="9"/>
  <c r="S48" i="9"/>
  <c r="Q48" i="9"/>
  <c r="P48" i="9"/>
  <c r="R48" i="9" s="1"/>
  <c r="N48" i="9"/>
  <c r="M48" i="9"/>
  <c r="L48" i="9"/>
  <c r="K48" i="9"/>
  <c r="G48" i="9"/>
  <c r="S47" i="9"/>
  <c r="Q47" i="9"/>
  <c r="P47" i="9"/>
  <c r="R47" i="9" s="1"/>
  <c r="N47" i="9"/>
  <c r="M47" i="9"/>
  <c r="L47" i="9"/>
  <c r="K47" i="9"/>
  <c r="G47" i="9"/>
  <c r="S46" i="9"/>
  <c r="Q46" i="9"/>
  <c r="P46" i="9"/>
  <c r="R46" i="9" s="1"/>
  <c r="N46" i="9"/>
  <c r="M46" i="9"/>
  <c r="K46" i="9"/>
  <c r="G46" i="9"/>
  <c r="S45" i="9"/>
  <c r="Q45" i="9"/>
  <c r="P45" i="9"/>
  <c r="R45" i="9" s="1"/>
  <c r="N45" i="9"/>
  <c r="M45" i="9"/>
  <c r="L45" i="9"/>
  <c r="K45" i="9"/>
  <c r="G45" i="9"/>
  <c r="S44" i="9"/>
  <c r="Q44" i="9"/>
  <c r="P44" i="9"/>
  <c r="R44" i="9" s="1"/>
  <c r="N44" i="9"/>
  <c r="K44" i="9"/>
  <c r="G44" i="9"/>
  <c r="S43" i="9"/>
  <c r="Q43" i="9"/>
  <c r="P43" i="9"/>
  <c r="R43" i="9" s="1"/>
  <c r="N43" i="9"/>
  <c r="M43" i="9"/>
  <c r="K43" i="9"/>
  <c r="G43" i="9"/>
  <c r="S42" i="9"/>
  <c r="Q42" i="9"/>
  <c r="P42" i="9"/>
  <c r="N42" i="9"/>
  <c r="M42" i="9"/>
  <c r="K42" i="9"/>
  <c r="G42" i="9"/>
  <c r="S41" i="9"/>
  <c r="Q41" i="9"/>
  <c r="P41" i="9"/>
  <c r="R41" i="9" s="1"/>
  <c r="N41" i="9"/>
  <c r="M41" i="9"/>
  <c r="K41" i="9"/>
  <c r="G41" i="9"/>
  <c r="S40" i="9"/>
  <c r="Q40" i="9"/>
  <c r="P40" i="9"/>
  <c r="N40" i="9"/>
  <c r="M40" i="9"/>
  <c r="L40" i="9"/>
  <c r="K40" i="9"/>
  <c r="G40" i="9"/>
  <c r="S39" i="9"/>
  <c r="Q39" i="9"/>
  <c r="P39" i="9"/>
  <c r="N39" i="9"/>
  <c r="M39" i="9"/>
  <c r="K39" i="9"/>
  <c r="G39" i="9"/>
  <c r="S38" i="9"/>
  <c r="Q38" i="9"/>
  <c r="P38" i="9"/>
  <c r="N38" i="9"/>
  <c r="M38" i="9"/>
  <c r="K38" i="9"/>
  <c r="G38" i="9"/>
  <c r="S37" i="9"/>
  <c r="Q37" i="9"/>
  <c r="P37" i="9"/>
  <c r="N37" i="9"/>
  <c r="M37" i="9"/>
  <c r="K37" i="9"/>
  <c r="G37" i="9"/>
  <c r="S36" i="9"/>
  <c r="Q36" i="9"/>
  <c r="P36" i="9"/>
  <c r="N36" i="9"/>
  <c r="M36" i="9"/>
  <c r="K36" i="9"/>
  <c r="G36" i="9"/>
  <c r="S35" i="9"/>
  <c r="Q35" i="9"/>
  <c r="P35" i="9"/>
  <c r="N35" i="9"/>
  <c r="M35" i="9"/>
  <c r="L35" i="9"/>
  <c r="K35" i="9"/>
  <c r="G35" i="9"/>
  <c r="S34" i="9"/>
  <c r="Q34" i="9"/>
  <c r="P34" i="9"/>
  <c r="N34" i="9"/>
  <c r="M34" i="9"/>
  <c r="K34" i="9"/>
  <c r="G34" i="9"/>
  <c r="S33" i="9"/>
  <c r="Q33" i="9"/>
  <c r="P33" i="9"/>
  <c r="N33" i="9"/>
  <c r="M33" i="9"/>
  <c r="K33" i="9"/>
  <c r="G33" i="9"/>
  <c r="S32" i="9"/>
  <c r="Q32" i="9"/>
  <c r="P32" i="9"/>
  <c r="N32" i="9"/>
  <c r="M32" i="9"/>
  <c r="L32" i="9"/>
  <c r="K32" i="9"/>
  <c r="G32" i="9"/>
  <c r="S31" i="9"/>
  <c r="Q31" i="9"/>
  <c r="P31" i="9"/>
  <c r="N31" i="9"/>
  <c r="M31" i="9"/>
  <c r="K31" i="9"/>
  <c r="G31" i="9"/>
  <c r="S30" i="9"/>
  <c r="Q30" i="9"/>
  <c r="P30" i="9"/>
  <c r="N30" i="9"/>
  <c r="M30" i="9"/>
  <c r="K30" i="9"/>
  <c r="G30" i="9"/>
  <c r="S29" i="9"/>
  <c r="Q29" i="9"/>
  <c r="P29" i="9"/>
  <c r="N29" i="9"/>
  <c r="M29" i="9"/>
  <c r="K29" i="9"/>
  <c r="G29" i="9"/>
  <c r="S28" i="9"/>
  <c r="Q28" i="9"/>
  <c r="P28" i="9"/>
  <c r="N28" i="9"/>
  <c r="M28" i="9"/>
  <c r="K28" i="9"/>
  <c r="G28" i="9"/>
  <c r="S27" i="9"/>
  <c r="Q27" i="9"/>
  <c r="P27" i="9"/>
  <c r="R27" i="9" s="1"/>
  <c r="N27" i="9"/>
  <c r="M27" i="9"/>
  <c r="L27" i="9"/>
  <c r="K27" i="9"/>
  <c r="G27" i="9"/>
  <c r="S26" i="9"/>
  <c r="Q26" i="9"/>
  <c r="P26" i="9"/>
  <c r="R26" i="9" s="1"/>
  <c r="N26" i="9"/>
  <c r="M26" i="9"/>
  <c r="K26" i="9"/>
  <c r="G26" i="9"/>
  <c r="S25" i="9"/>
  <c r="Q25" i="9"/>
  <c r="P25" i="9"/>
  <c r="R25" i="9" s="1"/>
  <c r="N25" i="9"/>
  <c r="M25" i="9"/>
  <c r="L25" i="9"/>
  <c r="K25" i="9"/>
  <c r="G25" i="9"/>
  <c r="S24" i="9"/>
  <c r="Q24" i="9"/>
  <c r="P24" i="9"/>
  <c r="R24" i="9" s="1"/>
  <c r="N24" i="9"/>
  <c r="M24" i="9"/>
  <c r="L24" i="9"/>
  <c r="K24" i="9"/>
  <c r="G24" i="9"/>
  <c r="S23" i="9"/>
  <c r="Q23" i="9"/>
  <c r="P23" i="9"/>
  <c r="R23" i="9" s="1"/>
  <c r="N23" i="9"/>
  <c r="M23" i="9"/>
  <c r="K23" i="9"/>
  <c r="G23" i="9"/>
  <c r="S22" i="9"/>
  <c r="Q22" i="9"/>
  <c r="P22" i="9"/>
  <c r="N22" i="9"/>
  <c r="M22" i="9"/>
  <c r="L22" i="9"/>
  <c r="K22" i="9"/>
  <c r="G22" i="9"/>
  <c r="S21" i="9"/>
  <c r="Q21" i="9"/>
  <c r="P21" i="9"/>
  <c r="N21" i="9"/>
  <c r="M21" i="9"/>
  <c r="K21" i="9"/>
  <c r="G21" i="9"/>
  <c r="S20" i="9"/>
  <c r="Q20" i="9"/>
  <c r="P20" i="9"/>
  <c r="N20" i="9"/>
  <c r="M20" i="9"/>
  <c r="L20" i="9"/>
  <c r="K20" i="9"/>
  <c r="G20" i="9"/>
  <c r="S19" i="9"/>
  <c r="Q19" i="9"/>
  <c r="P19" i="9"/>
  <c r="N19" i="9"/>
  <c r="M19" i="9"/>
  <c r="K19" i="9"/>
  <c r="G19" i="9"/>
  <c r="S18" i="9"/>
  <c r="Q18" i="9"/>
  <c r="P18" i="9"/>
  <c r="N18" i="9"/>
  <c r="M18" i="9"/>
  <c r="L18" i="9"/>
  <c r="K18" i="9"/>
  <c r="G18" i="9"/>
  <c r="S17" i="9"/>
  <c r="Q17" i="9"/>
  <c r="P17" i="9"/>
  <c r="N17" i="9"/>
  <c r="M17" i="9"/>
  <c r="K17" i="9"/>
  <c r="G17" i="9"/>
  <c r="S16" i="9"/>
  <c r="Q16" i="9"/>
  <c r="P16" i="9"/>
  <c r="N16" i="9"/>
  <c r="M16" i="9"/>
  <c r="L16" i="9"/>
  <c r="K16" i="9"/>
  <c r="G16" i="9"/>
  <c r="S15" i="9"/>
  <c r="Q15" i="9"/>
  <c r="P15" i="9"/>
  <c r="N15" i="9"/>
  <c r="M15" i="9"/>
  <c r="K15" i="9"/>
  <c r="G15" i="9"/>
  <c r="S14" i="9"/>
  <c r="Q14" i="9"/>
  <c r="P14" i="9"/>
  <c r="N14" i="9"/>
  <c r="M14" i="9"/>
  <c r="L14" i="9"/>
  <c r="K14" i="9"/>
  <c r="G14" i="9"/>
  <c r="S13" i="9"/>
  <c r="Q13" i="9"/>
  <c r="P13" i="9"/>
  <c r="N13" i="9"/>
  <c r="M13" i="9"/>
  <c r="K13" i="9"/>
  <c r="G13" i="9"/>
  <c r="S12" i="9"/>
  <c r="Q12" i="9"/>
  <c r="P12" i="9"/>
  <c r="N12" i="9"/>
  <c r="M12" i="9"/>
  <c r="K12" i="9"/>
  <c r="G12" i="9"/>
  <c r="S11" i="9"/>
  <c r="Q11" i="9"/>
  <c r="P11" i="9"/>
  <c r="N11" i="9"/>
  <c r="M11" i="9"/>
  <c r="K11" i="9"/>
  <c r="G11" i="9"/>
  <c r="S10" i="9"/>
  <c r="Q10" i="9"/>
  <c r="P10" i="9"/>
  <c r="R10" i="9" s="1"/>
  <c r="N10" i="9"/>
  <c r="M10" i="9"/>
  <c r="K10" i="9"/>
  <c r="G10" i="9"/>
  <c r="S9" i="9"/>
  <c r="Q9" i="9"/>
  <c r="P9" i="9"/>
  <c r="R9" i="9" s="1"/>
  <c r="N9" i="9"/>
  <c r="M9" i="9"/>
  <c r="K9" i="9"/>
  <c r="G9" i="9"/>
  <c r="S8" i="9"/>
  <c r="Q8" i="9"/>
  <c r="P8" i="9"/>
  <c r="R8" i="9" s="1"/>
  <c r="N8" i="9"/>
  <c r="M8" i="9"/>
  <c r="L8" i="9"/>
  <c r="K8" i="9"/>
  <c r="G8" i="9"/>
  <c r="S7" i="9"/>
  <c r="Q7" i="9"/>
  <c r="P7" i="9"/>
  <c r="R7" i="9" s="1"/>
  <c r="N7" i="9"/>
  <c r="M7" i="9"/>
  <c r="K7" i="9"/>
  <c r="G7" i="9"/>
  <c r="S6" i="9"/>
  <c r="Q6" i="9"/>
  <c r="P6" i="9"/>
  <c r="R6" i="9" s="1"/>
  <c r="N6" i="9"/>
  <c r="M6" i="9"/>
  <c r="L6" i="9"/>
  <c r="K6" i="9"/>
  <c r="G6" i="9"/>
  <c r="S5" i="9"/>
  <c r="Q5" i="9"/>
  <c r="P5" i="9"/>
  <c r="R5" i="9" s="1"/>
  <c r="N5" i="9"/>
  <c r="M5" i="9"/>
  <c r="L5" i="9"/>
  <c r="K5" i="9"/>
  <c r="G5" i="9"/>
  <c r="S4" i="9"/>
  <c r="Q4" i="9"/>
  <c r="P4" i="9"/>
  <c r="R4" i="9" s="1"/>
  <c r="N4" i="9"/>
  <c r="M4" i="9"/>
  <c r="L4" i="9"/>
  <c r="K4" i="9"/>
  <c r="G4" i="9"/>
  <c r="S3" i="9"/>
  <c r="Q3" i="9"/>
  <c r="P3" i="9"/>
  <c r="R3" i="9" s="1"/>
  <c r="N3" i="9"/>
  <c r="M3" i="9"/>
  <c r="K3" i="9"/>
  <c r="G3" i="9"/>
  <c r="S2" i="9"/>
  <c r="Q2" i="9"/>
  <c r="P2" i="9"/>
  <c r="R2" i="9" s="1"/>
  <c r="N2" i="9"/>
  <c r="M2" i="9"/>
  <c r="K2" i="9"/>
  <c r="G2" i="9"/>
  <c r="W44" i="7" l="1"/>
  <c r="D2" i="13"/>
  <c r="E2" i="13" s="1"/>
  <c r="R21" i="9"/>
  <c r="R37" i="9"/>
  <c r="R38" i="9"/>
  <c r="R12" i="9"/>
  <c r="AC7" i="10"/>
  <c r="R55" i="9"/>
  <c r="R36" i="9"/>
  <c r="R39" i="9"/>
  <c r="R14" i="9"/>
  <c r="R11" i="9"/>
  <c r="S5" i="10"/>
  <c r="AC6" i="10"/>
  <c r="R56" i="9"/>
  <c r="R58" i="9"/>
  <c r="R15" i="9"/>
  <c r="R60" i="9"/>
  <c r="AC12" i="10"/>
  <c r="R32" i="9"/>
  <c r="R20" i="9"/>
  <c r="R16" i="9"/>
  <c r="R35" i="9"/>
  <c r="R33" i="9"/>
  <c r="R22" i="9"/>
  <c r="R57" i="9"/>
  <c r="R59" i="9"/>
  <c r="AC11" i="10"/>
  <c r="R18" i="9"/>
  <c r="R61" i="9"/>
  <c r="D20" i="13"/>
  <c r="E20" i="13" s="1"/>
  <c r="R34" i="9"/>
  <c r="R19" i="9"/>
  <c r="R17" i="9"/>
  <c r="O3" i="5"/>
  <c r="J3" i="6"/>
  <c r="K3" i="6" s="1"/>
  <c r="M6" i="6"/>
  <c r="U6" i="6" s="1"/>
  <c r="M4" i="6"/>
  <c r="U4" i="6" s="1"/>
  <c r="O9" i="5"/>
  <c r="J9" i="6"/>
  <c r="K9" i="6" s="1"/>
  <c r="M12" i="6"/>
  <c r="U12" i="6" s="1"/>
  <c r="AC5" i="10"/>
  <c r="R53" i="9"/>
  <c r="R54" i="9"/>
  <c r="R13" i="9"/>
  <c r="M7" i="6"/>
  <c r="AC13" i="10"/>
  <c r="R42" i="9"/>
  <c r="R40" i="9"/>
  <c r="J2" i="6"/>
  <c r="K2" i="6" s="1"/>
  <c r="O2" i="5"/>
  <c r="D5" i="13"/>
  <c r="E5" i="13" s="1"/>
  <c r="M5" i="6"/>
  <c r="O10" i="5"/>
  <c r="J10" i="6"/>
  <c r="K10" i="6" s="1"/>
  <c r="M13" i="6"/>
  <c r="U13" i="6" s="1"/>
  <c r="Z11" i="5"/>
  <c r="K11" i="5" s="1"/>
  <c r="J11" i="6" s="1"/>
  <c r="K11" i="6" s="1"/>
  <c r="I43" i="7"/>
  <c r="L43" i="9" s="1"/>
  <c r="O5" i="5"/>
  <c r="F7" i="5"/>
  <c r="O14" i="7"/>
  <c r="O18" i="7"/>
  <c r="O22" i="7"/>
  <c r="I38" i="7"/>
  <c r="L38" i="9" s="1"/>
  <c r="Z8" i="5"/>
  <c r="K8" i="5" s="1"/>
  <c r="O13" i="5"/>
  <c r="I33" i="7"/>
  <c r="L33" i="9" s="1"/>
  <c r="S10" i="10"/>
  <c r="R29" i="9" s="1"/>
  <c r="D19" i="13"/>
  <c r="E19" i="13" s="1"/>
  <c r="F4" i="5"/>
  <c r="F12" i="5"/>
  <c r="I28" i="7"/>
  <c r="L28" i="9" s="1"/>
  <c r="I52" i="7"/>
  <c r="L52" i="9" s="1"/>
  <c r="I56" i="7"/>
  <c r="L56" i="9" s="1"/>
  <c r="I60" i="7"/>
  <c r="L60" i="9" s="1"/>
  <c r="I11" i="7"/>
  <c r="L11" i="9" s="1"/>
  <c r="I15" i="7"/>
  <c r="L15" i="9" s="1"/>
  <c r="I19" i="7"/>
  <c r="L19" i="9" s="1"/>
  <c r="I39" i="7"/>
  <c r="L39" i="9" s="1"/>
  <c r="D12" i="13"/>
  <c r="E12" i="13" s="1"/>
  <c r="I34" i="7"/>
  <c r="L34" i="9" s="1"/>
  <c r="I29" i="7"/>
  <c r="L29" i="9" s="1"/>
  <c r="O4" i="5"/>
  <c r="O12" i="5"/>
  <c r="I30" i="7"/>
  <c r="L30" i="9" s="1"/>
  <c r="G11" i="5"/>
  <c r="I41" i="7"/>
  <c r="L41" i="9" s="1"/>
  <c r="G6" i="5"/>
  <c r="O6" i="5"/>
  <c r="I36" i="7"/>
  <c r="L36" i="9" s="1"/>
  <c r="I50" i="7"/>
  <c r="L50" i="9" s="1"/>
  <c r="I54" i="7"/>
  <c r="L54" i="9" s="1"/>
  <c r="I13" i="7"/>
  <c r="L13" i="9" s="1"/>
  <c r="I17" i="7"/>
  <c r="L17" i="9" s="1"/>
  <c r="I31" i="7"/>
  <c r="L31" i="9" s="1"/>
  <c r="I42" i="7"/>
  <c r="L42" i="9" s="1"/>
  <c r="R28" i="9" l="1"/>
  <c r="R31" i="9"/>
  <c r="H44" i="9"/>
  <c r="I44" i="9" s="1"/>
  <c r="N12" i="6"/>
  <c r="O12" i="6" s="1"/>
  <c r="O11" i="5"/>
  <c r="J8" i="6"/>
  <c r="K8" i="6" s="1"/>
  <c r="O8" i="5"/>
  <c r="D4" i="13" s="1"/>
  <c r="E4" i="13" s="1"/>
  <c r="H21" i="9"/>
  <c r="H59" i="9"/>
  <c r="H22" i="9"/>
  <c r="H60" i="9"/>
  <c r="H61" i="9"/>
  <c r="H19" i="9"/>
  <c r="N6" i="6"/>
  <c r="O6" i="6" s="1"/>
  <c r="H20" i="9"/>
  <c r="M9" i="6"/>
  <c r="U9" i="6" s="1"/>
  <c r="AC10" i="10"/>
  <c r="D6" i="13" s="1"/>
  <c r="E6" i="13" s="1"/>
  <c r="H26" i="9"/>
  <c r="I26" i="9" s="1"/>
  <c r="H27" i="9"/>
  <c r="I27" i="9" s="1"/>
  <c r="N7" i="6"/>
  <c r="O7" i="6" s="1"/>
  <c r="H23" i="9"/>
  <c r="I23" i="9" s="1"/>
  <c r="H24" i="9"/>
  <c r="I24" i="9" s="1"/>
  <c r="H25" i="9"/>
  <c r="I25" i="9" s="1"/>
  <c r="U7" i="6"/>
  <c r="M3" i="6"/>
  <c r="R30" i="9"/>
  <c r="N4" i="6"/>
  <c r="O4" i="6" s="1"/>
  <c r="H53" i="9"/>
  <c r="H11" i="9"/>
  <c r="H54" i="9"/>
  <c r="H12" i="9"/>
  <c r="H55" i="9"/>
  <c r="H13" i="9"/>
  <c r="H14" i="9"/>
  <c r="M2" i="6"/>
  <c r="H47" i="9"/>
  <c r="I47" i="9" s="1"/>
  <c r="H48" i="9"/>
  <c r="I48" i="9" s="1"/>
  <c r="H49" i="9"/>
  <c r="I49" i="9" s="1"/>
  <c r="H45" i="9"/>
  <c r="I45" i="9" s="1"/>
  <c r="N13" i="6"/>
  <c r="O13" i="6" s="1"/>
  <c r="H62" i="9"/>
  <c r="I62" i="9" s="1"/>
  <c r="H46" i="9"/>
  <c r="I46" i="9" s="1"/>
  <c r="H15" i="9"/>
  <c r="H16" i="9"/>
  <c r="H17" i="9"/>
  <c r="N5" i="6"/>
  <c r="O5" i="6" s="1"/>
  <c r="H18" i="9"/>
  <c r="H56" i="9"/>
  <c r="H57" i="9"/>
  <c r="H58" i="9"/>
  <c r="M11" i="6"/>
  <c r="U11" i="6" s="1"/>
  <c r="M10" i="6"/>
  <c r="U5" i="6"/>
  <c r="I18" i="9" l="1"/>
  <c r="J18" i="9" s="1"/>
  <c r="O18" i="9"/>
  <c r="N2" i="6"/>
  <c r="O2" i="6" s="1"/>
  <c r="H5" i="9"/>
  <c r="H2" i="9"/>
  <c r="H50" i="9"/>
  <c r="H51" i="9"/>
  <c r="H3" i="9"/>
  <c r="H52" i="9"/>
  <c r="H4" i="9"/>
  <c r="O59" i="9"/>
  <c r="I59" i="9"/>
  <c r="J59" i="9" s="1"/>
  <c r="O13" i="9"/>
  <c r="I13" i="9"/>
  <c r="J13" i="9" s="1"/>
  <c r="J24" i="9"/>
  <c r="O24" i="9"/>
  <c r="I55" i="9"/>
  <c r="J55" i="9" s="1"/>
  <c r="O55" i="9"/>
  <c r="O27" i="9"/>
  <c r="J27" i="9"/>
  <c r="M8" i="6"/>
  <c r="I15" i="9"/>
  <c r="J15" i="9" s="1"/>
  <c r="O15" i="9"/>
  <c r="O62" i="9"/>
  <c r="J62" i="9"/>
  <c r="O11" i="9"/>
  <c r="I11" i="9"/>
  <c r="J11" i="9" s="1"/>
  <c r="J26" i="9"/>
  <c r="O26" i="9"/>
  <c r="O17" i="9"/>
  <c r="I17" i="9"/>
  <c r="J17" i="9" s="1"/>
  <c r="I53" i="9"/>
  <c r="J53" i="9" s="1"/>
  <c r="O53" i="9"/>
  <c r="J45" i="9"/>
  <c r="O45" i="9"/>
  <c r="I12" i="9"/>
  <c r="J12" i="9" s="1"/>
  <c r="O12" i="9"/>
  <c r="J46" i="9"/>
  <c r="O46" i="9"/>
  <c r="J49" i="9"/>
  <c r="O49" i="9"/>
  <c r="H33" i="9"/>
  <c r="I33" i="9" s="1"/>
  <c r="N9" i="6"/>
  <c r="O9" i="6" s="1"/>
  <c r="H32" i="9"/>
  <c r="I32" i="9" s="1"/>
  <c r="H34" i="9"/>
  <c r="I34" i="9" s="1"/>
  <c r="H35" i="9"/>
  <c r="I35" i="9" s="1"/>
  <c r="O44" i="9"/>
  <c r="J44" i="9"/>
  <c r="O14" i="9"/>
  <c r="I14" i="9"/>
  <c r="J14" i="9" s="1"/>
  <c r="J48" i="9"/>
  <c r="O48" i="9"/>
  <c r="O20" i="9"/>
  <c r="I20" i="9"/>
  <c r="J20" i="9" s="1"/>
  <c r="I21" i="9"/>
  <c r="J21" i="9" s="1"/>
  <c r="O21" i="9"/>
  <c r="I54" i="9"/>
  <c r="J54" i="9" s="1"/>
  <c r="O54" i="9"/>
  <c r="H36" i="9"/>
  <c r="I36" i="9" s="1"/>
  <c r="H37" i="9"/>
  <c r="I37" i="9" s="1"/>
  <c r="H38" i="9"/>
  <c r="I38" i="9" s="1"/>
  <c r="H39" i="9"/>
  <c r="I39" i="9" s="1"/>
  <c r="N10" i="6"/>
  <c r="O10" i="6" s="1"/>
  <c r="U10" i="6"/>
  <c r="O47" i="9"/>
  <c r="J47" i="9"/>
  <c r="I16" i="9"/>
  <c r="J16" i="9" s="1"/>
  <c r="O16" i="9"/>
  <c r="H42" i="9"/>
  <c r="I42" i="9" s="1"/>
  <c r="N11" i="6"/>
  <c r="O11" i="6" s="1"/>
  <c r="H43" i="9"/>
  <c r="I43" i="9" s="1"/>
  <c r="H40" i="9"/>
  <c r="I40" i="9" s="1"/>
  <c r="H41" i="9"/>
  <c r="I41" i="9" s="1"/>
  <c r="H10" i="9"/>
  <c r="I10" i="9" s="1"/>
  <c r="H7" i="9"/>
  <c r="I7" i="9" s="1"/>
  <c r="H6" i="9"/>
  <c r="I6" i="9" s="1"/>
  <c r="H8" i="9"/>
  <c r="I8" i="9" s="1"/>
  <c r="N3" i="6"/>
  <c r="O3" i="6" s="1"/>
  <c r="H9" i="9"/>
  <c r="I9" i="9" s="1"/>
  <c r="I19" i="9"/>
  <c r="J19" i="9" s="1"/>
  <c r="O19" i="9"/>
  <c r="J25" i="9"/>
  <c r="O25" i="9"/>
  <c r="I58" i="9"/>
  <c r="J58" i="9" s="1"/>
  <c r="O58" i="9"/>
  <c r="U3" i="6"/>
  <c r="O61" i="9"/>
  <c r="I61" i="9"/>
  <c r="J61" i="9" s="1"/>
  <c r="O23" i="9"/>
  <c r="J23" i="9"/>
  <c r="O57" i="9"/>
  <c r="I57" i="9"/>
  <c r="J57" i="9" s="1"/>
  <c r="I60" i="9"/>
  <c r="J60" i="9" s="1"/>
  <c r="O60" i="9"/>
  <c r="I56" i="9"/>
  <c r="J56" i="9" s="1"/>
  <c r="O56" i="9"/>
  <c r="U2" i="6"/>
  <c r="I22" i="9"/>
  <c r="J22" i="9" s="1"/>
  <c r="O22" i="9"/>
  <c r="O9" i="9" l="1"/>
  <c r="J9" i="9"/>
  <c r="J8" i="9"/>
  <c r="O8" i="9"/>
  <c r="J38" i="9"/>
  <c r="O38" i="9"/>
  <c r="J34" i="9"/>
  <c r="O34" i="9"/>
  <c r="J36" i="9"/>
  <c r="O36" i="9"/>
  <c r="J33" i="9"/>
  <c r="O33" i="9"/>
  <c r="J6" i="9"/>
  <c r="O6" i="9"/>
  <c r="J41" i="9"/>
  <c r="O41" i="9"/>
  <c r="I4" i="9"/>
  <c r="J4" i="9" s="1"/>
  <c r="O4" i="9"/>
  <c r="J37" i="9"/>
  <c r="O37" i="9"/>
  <c r="O52" i="9"/>
  <c r="I52" i="9"/>
  <c r="J52" i="9" s="1"/>
  <c r="O35" i="9"/>
  <c r="J35" i="9"/>
  <c r="J7" i="9"/>
  <c r="O7" i="9"/>
  <c r="J43" i="9"/>
  <c r="O43" i="9"/>
  <c r="I3" i="9"/>
  <c r="J3" i="9" s="1"/>
  <c r="O3" i="9"/>
  <c r="J40" i="9"/>
  <c r="O40" i="9"/>
  <c r="I51" i="9"/>
  <c r="J51" i="9" s="1"/>
  <c r="O51" i="9"/>
  <c r="J10" i="9"/>
  <c r="O10" i="9"/>
  <c r="H31" i="9"/>
  <c r="I31" i="9" s="1"/>
  <c r="H28" i="9"/>
  <c r="I28" i="9" s="1"/>
  <c r="H29" i="9"/>
  <c r="I29" i="9" s="1"/>
  <c r="N8" i="6"/>
  <c r="O8" i="6" s="1"/>
  <c r="H30" i="9"/>
  <c r="I30" i="9" s="1"/>
  <c r="I50" i="9"/>
  <c r="J50" i="9" s="1"/>
  <c r="O50" i="9"/>
  <c r="J32" i="9"/>
  <c r="O32" i="9"/>
  <c r="U8" i="6"/>
  <c r="D3" i="13" s="1"/>
  <c r="E3" i="13" s="1"/>
  <c r="A6" i="1" s="1"/>
  <c r="I2" i="9"/>
  <c r="J2" i="9" s="1"/>
  <c r="O2" i="9"/>
  <c r="O5" i="9"/>
  <c r="I5" i="9"/>
  <c r="J5" i="9" s="1"/>
  <c r="J39" i="9"/>
  <c r="O39" i="9"/>
  <c r="J42" i="9"/>
  <c r="O42" i="9"/>
  <c r="J30" i="9" l="1"/>
  <c r="O30" i="9"/>
  <c r="J28" i="9"/>
  <c r="O28" i="9"/>
  <c r="J31" i="9"/>
  <c r="O31" i="9"/>
  <c r="J29" i="9"/>
  <c r="O2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tc={B115BCF6-C10A-4345-A98E-EF93B6200499}</author>
  </authors>
  <commentList>
    <comment ref="S2" authorId="0" shapeId="0" xr:uid="{B115BCF6-C10A-4345-A98E-EF93B620049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61.39% to match the 724K deaths of tobacco analysis</t>
      </text>
    </comment>
  </commentList>
</comments>
</file>

<file path=xl/sharedStrings.xml><?xml version="1.0" encoding="utf-8"?>
<sst xmlns="http://schemas.openxmlformats.org/spreadsheetml/2006/main" count="4548" uniqueCount="1216">
  <si>
    <t>Indonesia NCD model - public-health policy inputs</t>
  </si>
  <si>
    <t>Individual intervention inputs with nested tobacco and salt packages; TFA RR base case with optional PAF sensitivity</t>
  </si>
  <si>
    <t>Readiness</t>
  </si>
  <si>
    <t>Executable interventions</t>
  </si>
  <si>
    <t>Risk exposures</t>
  </si>
  <si>
    <t>Intervention-cause links</t>
  </si>
  <si>
    <t>How to use the workbook</t>
  </si>
  <si>
    <t>1</t>
  </si>
  <si>
    <t>Policy_Levers contains separate fiscal baseline/target tax levels and regulatory none/partial/full fields; derived gaps and reductions are formulas.</t>
  </si>
  <si>
    <t>2</t>
  </si>
  <si>
    <t>Scenario_Hierarchy preserves I_PH_TOBACCO_POLICY and I_PH_SALT_POLICY while every component has its own intervention_id.</t>
  </si>
  <si>
    <t>3</t>
  </si>
  <si>
    <t>Exposure, cause links, effects and costs trace each intervention into modeling and cost effectiveness.</t>
  </si>
  <si>
    <t>4</t>
  </si>
  <si>
    <t>Run parent bundles jointly in the integrated model; do not add standalone child cases or deaths.</t>
  </si>
  <si>
    <t>5</t>
  </si>
  <si>
    <t>TFA defaults to RR: RR per 1 percentage-point energy = sqrt(1.21). Change Assumptions.tfa_effect_method only for optional PAF sensitivity.</t>
  </si>
  <si>
    <t>6</t>
  </si>
  <si>
    <t>Tobacco and salt child costs use provisional equal allocations that preserve package totals.</t>
  </si>
  <si>
    <t>Key interpretation and review items</t>
  </si>
  <si>
    <t>Resolved</t>
  </si>
  <si>
    <t>TFA RR no longer requires a PAF</t>
  </si>
  <si>
    <t>Tobacco and salt components have independent effect and cost keys</t>
  </si>
  <si>
    <t>Taxes use baseline-to-target changes and elasticity</t>
  </si>
  <si>
    <t>Regulations use none/partial/full with formula-derived effects</t>
  </si>
  <si>
    <t>Review</t>
  </si>
  <si>
    <t>Source costs require Indonesia and price-year adjustment</t>
  </si>
  <si>
    <t>Replace equal child cost shares when component-specific costs are available</t>
  </si>
  <si>
    <t>Caution</t>
  </si>
  <si>
    <t>Parent health outcomes require joint scenario runs</t>
  </si>
  <si>
    <t>New / Caution</t>
  </si>
  <si>
    <t>Tobacco CVD now includes uniquely keyed sick-to-dead proxy rows with Jha age-sex piecewise base timing. The exploratory SSB/T2DM mortality row remains disabled, and the attached R code still requires transition and lag-model support.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</si>
  <si>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</si>
  <si>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</si>
  <si>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</si>
  <si>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</si>
  <si>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</si>
  <si>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</si>
  <si>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</si>
  <si>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</si>
  <si>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</si>
  <si>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</si>
  <si>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</si>
  <si>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Indonesia model scope</t>
  </si>
  <si>
    <t>analysis_end_year</t>
  </si>
  <si>
    <t>Last modeled year</t>
  </si>
  <si>
    <t>policy_start_year</t>
  </si>
  <si>
    <t>First implementation year</t>
  </si>
  <si>
    <t>Working scenario</t>
  </si>
  <si>
    <t>exposure_target_year</t>
  </si>
  <si>
    <t>Year full exposure reduction is reached</t>
  </si>
  <si>
    <t>policy_cost_ramp_years</t>
  </si>
  <si>
    <t>years</t>
  </si>
  <si>
    <t>Years to full policy implementation cost</t>
  </si>
  <si>
    <t>NCD Countdown supplement p 34</t>
  </si>
  <si>
    <t>cost_discount_rate</t>
  </si>
  <si>
    <t>proportion/year</t>
  </si>
  <si>
    <t>Annual discount rate for costs</t>
  </si>
  <si>
    <t>Match clinical workbook</t>
  </si>
  <si>
    <t>health_discount_rate</t>
  </si>
  <si>
    <t>Annual discount rate for health outcomes</t>
  </si>
  <si>
    <t>reporting_price_year</t>
  </si>
  <si>
    <t>USD year</t>
  </si>
  <si>
    <t>Target reporting price year</t>
  </si>
  <si>
    <t>source_cost_price_year</t>
  </si>
  <si>
    <t>Price year in source cost file</t>
  </si>
  <si>
    <t>PINandCosts0625(1).csv</t>
  </si>
  <si>
    <t>currency</t>
  </si>
  <si>
    <t>USD</t>
  </si>
  <si>
    <t>Reporting currency</t>
  </si>
  <si>
    <t>Working assumption</t>
  </si>
  <si>
    <t>scale_up_shape</t>
  </si>
  <si>
    <t>linear</t>
  </si>
  <si>
    <t>text</t>
  </si>
  <si>
    <t>Full reduction is phased in evenly</t>
  </si>
  <si>
    <t>economic_perspective</t>
  </si>
  <si>
    <t>health_system</t>
  </si>
  <si>
    <t>societal</t>
  </si>
  <si>
    <t>Economic evaluation perspective</t>
  </si>
  <si>
    <t>NCD Countdown</t>
  </si>
  <si>
    <t>tobacco_cvd_lag_rate</t>
  </si>
  <si>
    <t>annual fraction</t>
  </si>
  <si>
    <t>Sensitivity-only normalized exponential annual fraction; base case uses Jha age-sex piecewise scalars</t>
  </si>
  <si>
    <t>Cho et al. 2024; user-specified sensitivity</t>
  </si>
  <si>
    <t>sodium_exposure_floor</t>
  </si>
  <si>
    <t>g sodium/day</t>
  </si>
  <si>
    <t>No additional benefit below this exposure</t>
  </si>
  <si>
    <t>NCD Countdown p 33</t>
  </si>
  <si>
    <t>tfa_target_exposure</t>
  </si>
  <si>
    <t>% energy from industrial TFA</t>
  </si>
  <si>
    <t>Target under full industrial-TFA elimination</t>
  </si>
  <si>
    <t>WHO REPLACE; editable</t>
  </si>
  <si>
    <t>constant_marginal_policy_cost</t>
  </si>
  <si>
    <t>0/1 flag</t>
  </si>
  <si>
    <t>Policy cost proportional to implementation</t>
  </si>
  <si>
    <t>NCD Countdown limitation</t>
  </si>
  <si>
    <t>grams_pure_alcohol_per_litre</t>
  </si>
  <si>
    <t>g/L</t>
  </si>
  <si>
    <t>Alcohol dose-response conversion</t>
  </si>
  <si>
    <t>Standard conversion</t>
  </si>
  <si>
    <t>weeks_per_year</t>
  </si>
  <si>
    <t>weeks/year</t>
  </si>
  <si>
    <t>Model convention</t>
  </si>
  <si>
    <t>ssb_tax_price_increase</t>
  </si>
  <si>
    <t>relative price change</t>
  </si>
  <si>
    <t>Target SSB retail-price increase</t>
  </si>
  <si>
    <t>https://www.who.int/publications/i/item/9789240091016/</t>
  </si>
  <si>
    <t>ssb_price_elasticity_indonesia</t>
  </si>
  <si>
    <t>own-price elasticity</t>
  </si>
  <si>
    <t>20% price increase reduces mean demand 17.5%</t>
  </si>
  <si>
    <t>https://doi.org/10.1371/journal.pone.0293913</t>
  </si>
  <si>
    <t>ssb_tax_pass_through_global</t>
  </si>
  <si>
    <t>proportion</t>
  </si>
  <si>
    <t>Sensitivity parameter</t>
  </si>
  <si>
    <t>https://doi.org/10.1001/jamanetworkopen.2022.15276</t>
  </si>
  <si>
    <t>ssb_price_elasticity_global</t>
  </si>
  <si>
    <t>regulatory_none_score</t>
  </si>
  <si>
    <t>implementation score</t>
  </si>
  <si>
    <t>Numeric value for none</t>
  </si>
  <si>
    <t>User-requested convention</t>
  </si>
  <si>
    <t>regulatory_partial_score</t>
  </si>
  <si>
    <t>Partial to full applies half effect</t>
  </si>
  <si>
    <t>regulatory_full_score</t>
  </si>
  <si>
    <t>Numeric value for full</t>
  </si>
  <si>
    <t>tfa_effect_method</t>
  </si>
  <si>
    <t>RR</t>
  </si>
  <si>
    <t>RR/PAF switch</t>
  </si>
  <si>
    <t>PAF</t>
  </si>
  <si>
    <t>RR is base case; PAF is optional sensitivity</t>
  </si>
  <si>
    <t>User request</t>
  </si>
  <si>
    <t>tfa_optional_ihd_paf</t>
  </si>
  <si>
    <t>Used only when TFA method is PAF</t>
  </si>
  <si>
    <t>Optional user input</t>
  </si>
  <si>
    <t>tobacco_cvd_lag_model_base</t>
  </si>
  <si>
    <t>jha_piecewise_shared_scalar</t>
  </si>
  <si>
    <t>Base timing model for tobacco-CVD incidence and mortality</t>
  </si>
  <si>
    <t>https://doi.org/10.1056/EVIDoa2300272</t>
  </si>
  <si>
    <t>tobacco_cvd_lag_model_sensitivity</t>
  </si>
  <si>
    <t>normalized_exponential_lag</t>
  </si>
  <si>
    <t>Sensitivity timing model; normalized to full effect at year 10</t>
  </si>
  <si>
    <t>User-specified sensitivity</t>
  </si>
  <si>
    <t>tobacco_cvd_full_effect_year</t>
  </si>
  <si>
    <t>years since cessation</t>
  </si>
  <si>
    <t>Year at which the normalized exponential sensitivity reaches full effect</t>
  </si>
  <si>
    <t>tobacco_vascular_mortality_rr_male</t>
  </si>
  <si>
    <t>HR current vs never smoker</t>
  </si>
  <si>
    <t>Male vascular-mortality hazard ratio</t>
  </si>
  <si>
    <t>tobacco_vascular_mortality_rr_female</t>
  </si>
  <si>
    <t>Female vascular-mortality hazard ratio</t>
  </si>
  <si>
    <t>tobacco_vascular_mortality_rr_pooled</t>
  </si>
  <si>
    <t>Backward-compatible pooled value; R should use sex-specific values</t>
  </si>
  <si>
    <t>Average of Jha male and female HRs</t>
  </si>
  <si>
    <t>tobacco_vascular_erd_ge10_pooled</t>
  </si>
  <si>
    <t>Mean age-sex ERD at 10+ years; used only for the illustrative pooled workbook formula</t>
  </si>
  <si>
    <t>Derived from Cho et al. 2024 Figure 2</t>
  </si>
  <si>
    <t>tobacco_age80_scalar_extrapolation</t>
  </si>
  <si>
    <t>use_age_60_79</t>
  </si>
  <si>
    <t>Apply 60-79 Jha scalars to ages 80+</t>
  </si>
  <si>
    <t>Conservative extrapolation</t>
  </si>
  <si>
    <t>transition_probability_rr_method</t>
  </si>
  <si>
    <t>1-(1-p0)^RR</t>
  </si>
  <si>
    <t>Convert rate ratios to annual Markov probabilities through the continuous-rate scale</t>
  </si>
  <si>
    <t>Standard rate-to-probability conversion</t>
  </si>
  <si>
    <t>intervention_id</t>
  </si>
  <si>
    <t>intervention_name</t>
  </si>
  <si>
    <t>package_group</t>
  </si>
  <si>
    <t>definition</t>
  </si>
  <si>
    <t>risk_id</t>
  </si>
  <si>
    <t>risk_name</t>
  </si>
  <si>
    <t>exposure_measure</t>
  </si>
  <si>
    <t>exposure_unit</t>
  </si>
  <si>
    <t>cause_id</t>
  </si>
  <si>
    <t>cause_name</t>
  </si>
  <si>
    <t>model_name</t>
  </si>
  <si>
    <t>is_model_cause</t>
  </si>
  <si>
    <t>mapping_note</t>
  </si>
  <si>
    <t>I_PH_TOBACCO_TAX</t>
  </si>
  <si>
    <t>Tobacco tax</t>
  </si>
  <si>
    <t>Tobacco</t>
  </si>
  <si>
    <t>Tax share -&gt; price -&gt; smoking exposure</t>
  </si>
  <si>
    <t>R_SMOKING</t>
  </si>
  <si>
    <t>Smoking</t>
  </si>
  <si>
    <t>Smoking prevalence</t>
  </si>
  <si>
    <t>C_RHD</t>
  </si>
  <si>
    <t>Rheumatic heart disease</t>
  </si>
  <si>
    <t>No direct mapping</t>
  </si>
  <si>
    <t>I_PH_ALCOHOL_TAX</t>
  </si>
  <si>
    <t>Alcohol tax</t>
  </si>
  <si>
    <t>Alcohol</t>
  </si>
  <si>
    <t>Incremental retail-price change</t>
  </si>
  <si>
    <t>R_ALCOHOL</t>
  </si>
  <si>
    <t>Alcohol use</t>
  </si>
  <si>
    <t>Alcohol consumption per adult</t>
  </si>
  <si>
    <t>litres pure alcohol/adult/year</t>
  </si>
  <si>
    <t>C_IHD</t>
  </si>
  <si>
    <t>Ischemic heart disease</t>
  </si>
  <si>
    <t>Direct mapped effects</t>
  </si>
  <si>
    <t>I_PH_TOB_CLEAN_AIR</t>
  </si>
  <si>
    <t>Smoke-free / clean-air law</t>
  </si>
  <si>
    <t>Child of I_PH_TOBACCO_POLICY</t>
  </si>
  <si>
    <t>R_SODIUM</t>
  </si>
  <si>
    <t>High sodium intake</t>
  </si>
  <si>
    <t>Mean sodium intake</t>
  </si>
  <si>
    <t>C_IS</t>
  </si>
  <si>
    <t>Ischemic stroke</t>
  </si>
  <si>
    <t>I_PH_TOB_MEDIA</t>
  </si>
  <si>
    <t>Tobacco mass-media campaign</t>
  </si>
  <si>
    <t>R_TFA</t>
  </si>
  <si>
    <t>Trans-fat intake</t>
  </si>
  <si>
    <t>Mean industrial trans-fat intake</t>
  </si>
  <si>
    <t>% energy</t>
  </si>
  <si>
    <t>C_ICH</t>
  </si>
  <si>
    <t>Intracerebral hemorrhage</t>
  </si>
  <si>
    <t>SSB uses proxy</t>
  </si>
  <si>
    <t>I_PH_TOB_AD_BAN</t>
  </si>
  <si>
    <t>Tobacco advertising ban</t>
  </si>
  <si>
    <t>R_SSB</t>
  </si>
  <si>
    <t>Sugar-sweetened beverage intake</t>
  </si>
  <si>
    <t>Mean SSB intake</t>
  </si>
  <si>
    <t>8 oz servings/adult/day</t>
  </si>
  <si>
    <t>C_HHD</t>
  </si>
  <si>
    <t>Hypertensive heart disease</t>
  </si>
  <si>
    <t>I_PH_ALCOHOL_POLICY</t>
  </si>
  <si>
    <t>Alcohol advertising ban</t>
  </si>
  <si>
    <t>Individual regulatory intervention</t>
  </si>
  <si>
    <t>C_CMYO</t>
  </si>
  <si>
    <t>Cardiomyopathy and myocarditis</t>
  </si>
  <si>
    <t>Alcohol mapping</t>
  </si>
  <si>
    <t>I_PH_SALT_REFORM</t>
  </si>
  <si>
    <t>Mandatory sodium reformulation</t>
  </si>
  <si>
    <t>Diet</t>
  </si>
  <si>
    <t>Child of I_PH_SALT_POLICY</t>
  </si>
  <si>
    <t>C_T2DM</t>
  </si>
  <si>
    <t>Diabetes mellitus type 2</t>
  </si>
  <si>
    <t>Smoking and SSB</t>
  </si>
  <si>
    <t>I_PH_SALT_FOPL</t>
  </si>
  <si>
    <t>Sodium front-of-pack labelling</t>
  </si>
  <si>
    <t>C_IHD_HBG</t>
  </si>
  <si>
    <t>IHD attributable to high blood glucose</t>
  </si>
  <si>
    <t>Do not link separately</t>
  </si>
  <si>
    <t>I_PH_SALT_MEDIA</t>
  </si>
  <si>
    <t>Sodium mass-media campaign</t>
  </si>
  <si>
    <t>C_SHARED</t>
  </si>
  <si>
    <t>Shared policy cost</t>
  </si>
  <si>
    <t>Not a disease model</t>
  </si>
  <si>
    <t>Cost-only key</t>
  </si>
  <si>
    <t>I_PH_SALT_ENV</t>
  </si>
  <si>
    <t>Supportive public-institution environment</t>
  </si>
  <si>
    <t>I_PH_TFA_POLICY</t>
  </si>
  <si>
    <t>Industrial trans-fat elimination regulation</t>
  </si>
  <si>
    <t>RR base case; optional PAF</t>
  </si>
  <si>
    <t>I_PH_SSB_TAX</t>
  </si>
  <si>
    <t>Sugar-sweetened beverage tax</t>
  </si>
  <si>
    <t>20% retail-price target</t>
  </si>
  <si>
    <t>intervention_cause_key</t>
  </si>
  <si>
    <t>effect_key</t>
  </si>
  <si>
    <t>exposure_key</t>
  </si>
  <si>
    <t>cost_join_key</t>
  </si>
  <si>
    <t>cost_scope</t>
  </si>
  <si>
    <t>transition_from</t>
  </si>
  <si>
    <t>transition_to</t>
  </si>
  <si>
    <t>include_flag</t>
  </si>
  <si>
    <t>requires_cause_expansion</t>
  </si>
  <si>
    <t>notes</t>
  </si>
  <si>
    <t>duplicate_count</t>
  </si>
  <si>
    <t>I_PH_TOBACCO_TAX__C_IHD</t>
  </si>
  <si>
    <t>I_PH_TOBACCO_TAX__C_SHARED</t>
  </si>
  <si>
    <t>shared-count-once</t>
  </si>
  <si>
    <t>well</t>
  </si>
  <si>
    <t>sick</t>
  </si>
  <si>
    <t>Direct exposure-response incidence effect; report by intervention_id.</t>
  </si>
  <si>
    <t>I_PH_TOBACCO_TAX__C_IS</t>
  </si>
  <si>
    <t>I_PH_TOBACCO_TAX__C_ICH</t>
  </si>
  <si>
    <t>I_PH_TOBACCO_TAX__C_T2DM</t>
  </si>
  <si>
    <t>I_PH_ALCOHOL_TAX__C_IHD</t>
  </si>
  <si>
    <t>I_PH_ALCOHOL_TAX__C_SHARED</t>
  </si>
  <si>
    <t>I_PH_ALCOHOL_TAX__C_IS</t>
  </si>
  <si>
    <t>I_PH_ALCOHOL_TAX__C_ICH</t>
  </si>
  <si>
    <t>I_PH_ALCOHOL_TAX__C_HHD</t>
  </si>
  <si>
    <t>I_PH_ALCOHOL_TAX__C_CMYO</t>
  </si>
  <si>
    <t>I_PH_TOB_CLEAN_AIR__C_IHD</t>
  </si>
  <si>
    <t>I_PH_TOB_CLEAN_AIR__C_SHARED</t>
  </si>
  <si>
    <t>component-count-once</t>
  </si>
  <si>
    <t>I_PH_TOB_CLEAN_AIR__C_IS</t>
  </si>
  <si>
    <t>I_PH_TOB_CLEAN_AIR__C_ICH</t>
  </si>
  <si>
    <t>I_PH_TOB_CLEAN_AIR__C_T2DM</t>
  </si>
  <si>
    <t>I_PH_TOB_MEDIA__C_IHD</t>
  </si>
  <si>
    <t>I_PH_TOB_MEDIA__C_SHARED</t>
  </si>
  <si>
    <t>I_PH_TOB_MEDIA__C_IS</t>
  </si>
  <si>
    <t>I_PH_TOB_MEDIA__C_ICH</t>
  </si>
  <si>
    <t>I_PH_TOB_MEDIA__C_T2DM</t>
  </si>
  <si>
    <t>I_PH_TOB_AD_BAN__C_IHD</t>
  </si>
  <si>
    <t>I_PH_TOB_AD_BAN__C_SHARED</t>
  </si>
  <si>
    <t>I_PH_TOB_AD_BAN__C_IS</t>
  </si>
  <si>
    <t>I_PH_TOB_AD_BAN__C_ICH</t>
  </si>
  <si>
    <t>I_PH_TOB_AD_BAN__C_T2DM</t>
  </si>
  <si>
    <t>I_PH_ALCOHOL_POLICY__C_IHD</t>
  </si>
  <si>
    <t>I_PH_ALCOHOL_POLICY__C_SHARED</t>
  </si>
  <si>
    <t>I_PH_ALCOHOL_POLICY__C_IS</t>
  </si>
  <si>
    <t>I_PH_ALCOHOL_POLICY__C_ICH</t>
  </si>
  <si>
    <t>I_PH_ALCOHOL_POLICY__C_HHD</t>
  </si>
  <si>
    <t>I_PH_ALCOHOL_POLICY__C_CMYO</t>
  </si>
  <si>
    <t>I_PH_SALT_REFORM__C_IHD</t>
  </si>
  <si>
    <t>I_PH_SALT_REFORM__C_SHARED</t>
  </si>
  <si>
    <t>I_PH_SALT_REFORM__C_IS</t>
  </si>
  <si>
    <t>I_PH_SALT_REFORM__C_ICH</t>
  </si>
  <si>
    <t>I_PH_SALT_REFORM__C_HHD</t>
  </si>
  <si>
    <t>I_PH_SALT_FOPL__C_IHD</t>
  </si>
  <si>
    <t>I_PH_SALT_FOPL__C_SHARED</t>
  </si>
  <si>
    <t>I_PH_SALT_FOPL__C_IS</t>
  </si>
  <si>
    <t>I_PH_SALT_FOPL__C_ICH</t>
  </si>
  <si>
    <t>I_PH_SALT_FOPL__C_HHD</t>
  </si>
  <si>
    <t>I_PH_SALT_MEDIA__C_IHD</t>
  </si>
  <si>
    <t>I_PH_SALT_MEDIA__C_SHARED</t>
  </si>
  <si>
    <t>I_PH_SALT_MEDIA__C_IS</t>
  </si>
  <si>
    <t>I_PH_SALT_MEDIA__C_ICH</t>
  </si>
  <si>
    <t>I_PH_SALT_MEDIA__C_HHD</t>
  </si>
  <si>
    <t>I_PH_SALT_ENV__C_IHD</t>
  </si>
  <si>
    <t>I_PH_SALT_ENV__C_SHARED</t>
  </si>
  <si>
    <t>I_PH_SALT_ENV__C_IS</t>
  </si>
  <si>
    <t>I_PH_SALT_ENV__C_ICH</t>
  </si>
  <si>
    <t>I_PH_SALT_ENV__C_HHD</t>
  </si>
  <si>
    <t>I_PH_TFA_POLICY__C_IHD</t>
  </si>
  <si>
    <t>I_PH_TFA_POLICY__C_SHARED</t>
  </si>
  <si>
    <t>RR base case; optional PAF mode remains available.</t>
  </si>
  <si>
    <t>I_PH_SSB_TAX__C_IHD</t>
  </si>
  <si>
    <t>I_PH_SSB_TAX__C_SHARED</t>
  </si>
  <si>
    <t>I_PH_SSB_TAX__C_IS</t>
  </si>
  <si>
    <t>I_PH_SSB_TAX__C_ICH</t>
  </si>
  <si>
    <t>Total-stroke RR retained as ICH proxy.</t>
  </si>
  <si>
    <t>I_PH_SSB_TAX__C_HHD</t>
  </si>
  <si>
    <t>Hypertension RR retained as HHD proxy.</t>
  </si>
  <si>
    <t>I_PH_SSB_TAX__C_T2DM</t>
  </si>
  <si>
    <t>I_PH_TOBACCO_TAX__C_IHD__SICK_DEAD</t>
  </si>
  <si>
    <t>dead</t>
  </si>
  <si>
    <t>Jha vascular-mortality proxy; base timing is age-sex piecewise and shared with incidence; R transition support required.</t>
  </si>
  <si>
    <t>I_PH_TOBACCO_TAX__C_IS__SICK_DEAD</t>
  </si>
  <si>
    <t>I_PH_TOBACCO_TAX__C_ICH__SICK_DEAD</t>
  </si>
  <si>
    <t>I_PH_TOB_CLEAN_AIR__C_IHD__SICK_DEAD</t>
  </si>
  <si>
    <t>I_PH_TOB_CLEAN_AIR__C_IS__SICK_DEAD</t>
  </si>
  <si>
    <t>I_PH_TOB_CLEAN_AIR__C_ICH__SICK_DEAD</t>
  </si>
  <si>
    <t>I_PH_TOB_MEDIA__C_IHD__SICK_DEAD</t>
  </si>
  <si>
    <t>I_PH_TOB_MEDIA__C_IS__SICK_DEAD</t>
  </si>
  <si>
    <t>I_PH_TOB_MEDIA__C_ICH__SICK_DEAD</t>
  </si>
  <si>
    <t>I_PH_TOB_AD_BAN__C_IHD__SICK_DEAD</t>
  </si>
  <si>
    <t>I_PH_TOB_AD_BAN__C_IS__SICK_DEAD</t>
  </si>
  <si>
    <t>I_PH_TOB_AD_BAN__C_ICH__SICK_DEAD</t>
  </si>
  <si>
    <t>I_PH_SSB_TAX__C_T2DM__SICK_DEAD</t>
  </si>
  <si>
    <t>Exploratory and disabled: BMJ outcome is all-cause mortality among adults with T2DM, not diabetes-specific death.</t>
  </si>
  <si>
    <t>lever_id</t>
  </si>
  <si>
    <t>component</t>
  </si>
  <si>
    <t>lever_method</t>
  </si>
  <si>
    <t>baseline_value</t>
  </si>
  <si>
    <t>target_value</t>
  </si>
  <si>
    <t>lever_unit</t>
  </si>
  <si>
    <t>effect_parameter</t>
  </si>
  <si>
    <t>effect_parameter_unit</t>
  </si>
  <si>
    <t>estimated_risk_reduction</t>
  </si>
  <si>
    <t>review_status</t>
  </si>
  <si>
    <t>qa_status</t>
  </si>
  <si>
    <t>parent_package_id</t>
  </si>
  <si>
    <t>parent_package_name</t>
  </si>
  <si>
    <t>intervention_role</t>
  </si>
  <si>
    <t>fiscal_baseline_tax_level</t>
  </si>
  <si>
    <t>fiscal_target_tax_level</t>
  </si>
  <si>
    <t>fiscal_tax_level_unit</t>
  </si>
  <si>
    <t>regulatory_baseline_level</t>
  </si>
  <si>
    <t>regulatory_target_level</t>
  </si>
  <si>
    <t>regulatory_baseline_score</t>
  </si>
  <si>
    <t>regulatory_target_score</t>
  </si>
  <si>
    <t>implementation_gap</t>
  </si>
  <si>
    <t>implied_price_change</t>
  </si>
  <si>
    <t>fiscal_tax_delta</t>
  </si>
  <si>
    <t>PL_TOB_TAX_SHARE</t>
  </si>
  <si>
    <t>Tax share of final retail price</t>
  </si>
  <si>
    <t>tax_share_to_price_elasticity</t>
  </si>
  <si>
    <t>price elasticity</t>
  </si>
  <si>
    <t>WHO tobacco report 2025; Countdown p 32</t>
  </si>
  <si>
    <t>Ready</t>
  </si>
  <si>
    <t>WHO reports Indonesia in &gt;=75% group; baseline equals target.</t>
  </si>
  <si>
    <t>standalone</t>
  </si>
  <si>
    <t>tax share of retail price</t>
  </si>
  <si>
    <t>partial</t>
  </si>
  <si>
    <t>PL_ALC_PRICE</t>
  </si>
  <si>
    <t>Incremental retail-price increase versus current law</t>
  </si>
  <si>
    <t>price_elasticity</t>
  </si>
  <si>
    <t>Countdown p 31</t>
  </si>
  <si>
    <t>Baseline zero incremental change; target +25%.</t>
  </si>
  <si>
    <t>relative price change vs current law</t>
  </si>
  <si>
    <t>none</t>
  </si>
  <si>
    <t>PL_TOB_CLEAN_AIR</t>
  </si>
  <si>
    <t>Smoking ban / clean-air law</t>
  </si>
  <si>
    <t>regulatory_gap_multiplicative</t>
  </si>
  <si>
    <t>full-policy relative smoking reduction</t>
  </si>
  <si>
    <t>WHO NCD Progress Monitor 2025; Countdown p 32</t>
  </si>
  <si>
    <t>Baseline partial.</t>
  </si>
  <si>
    <t>I_PH_TOBACCO_POLICY</t>
  </si>
  <si>
    <t>Tobacco policy package</t>
  </si>
  <si>
    <t>child</t>
  </si>
  <si>
    <t>full</t>
  </si>
  <si>
    <t>PL_TOB_MEDIA</t>
  </si>
  <si>
    <t>Highly publicised mass-media campaign</t>
  </si>
  <si>
    <t>Baseline none.</t>
  </si>
  <si>
    <t>PL_TOB_AD_BAN</t>
  </si>
  <si>
    <t>Advertising, promotion and sponsorship ban</t>
  </si>
  <si>
    <t>PL_ALC_AD_BAN</t>
  </si>
  <si>
    <t>full-policy relative alcohol reduction</t>
  </si>
  <si>
    <t>WHO NCD Progress Monitor 2025; Countdown p 31</t>
  </si>
  <si>
    <t>Full to full gives zero additional effect.</t>
  </si>
  <si>
    <t>Alcohol advertising policy</t>
  </si>
  <si>
    <t>PL_SALT_REFORM</t>
  </si>
  <si>
    <t>Mandatory product reformulation</t>
  </si>
  <si>
    <t>full-policy relative sodium reduction</t>
  </si>
  <si>
    <t>WHO Indonesia 2026; Countdown p 33</t>
  </si>
  <si>
    <t>Law adopted; technical benchmarks pending: partial.</t>
  </si>
  <si>
    <t>I_PH_SALT_POLICY</t>
  </si>
  <si>
    <t>Salt policy package</t>
  </si>
  <si>
    <t>PL_SALT_FOPL</t>
  </si>
  <si>
    <t>Front-of-pack labelling</t>
  </si>
  <si>
    <t>Mandatory framework adopted; implementation ongoing: partial.</t>
  </si>
  <si>
    <t>PL_SALT_MEDIA</t>
  </si>
  <si>
    <t>Mass-media campaign</t>
  </si>
  <si>
    <t>WHO NCD Progress Monitor 2025; Countdown p 33</t>
  </si>
  <si>
    <t>PL_SALT_ENV</t>
  </si>
  <si>
    <t>Public food procurement and supportive institutions</t>
  </si>
  <si>
    <t>Healthy-zone implementation incomplete: partial.</t>
  </si>
  <si>
    <t>PL_TFA_REG</t>
  </si>
  <si>
    <t>Best-practice industrial TFA regulation</t>
  </si>
  <si>
    <t>full-policy relative industrial-TFA reduction</t>
  </si>
  <si>
    <t>WHO Indonesia 2024/2026; REPLACE</t>
  </si>
  <si>
    <t>Framework adopted but not fully implemented: partial.</t>
  </si>
  <si>
    <t>Industrial TFA regulation</t>
  </si>
  <si>
    <t>PL_SSB_PRICE</t>
  </si>
  <si>
    <t>Incremental retail-price increase</t>
  </si>
  <si>
    <t>https://doi.org/10.1371/journal.pone.0293913; WHO 2024</t>
  </si>
  <si>
    <t>Baseline no national excise; target +20% consumer price.</t>
  </si>
  <si>
    <t>SSB tax</t>
  </si>
  <si>
    <t>relative price change vs baseline</t>
  </si>
  <si>
    <t>exposure_input_id</t>
  </si>
  <si>
    <t>risk_exposure_measure</t>
  </si>
  <si>
    <t>baseline_exposure</t>
  </si>
  <si>
    <t>reduction_method</t>
  </si>
  <si>
    <t>desired_reduction_override</t>
  </si>
  <si>
    <t>recommended_reduction_or_target</t>
  </si>
  <si>
    <t>applied_reduction_or_target</t>
  </si>
  <si>
    <t>exposure_floor</t>
  </si>
  <si>
    <t>target_exposure</t>
  </si>
  <si>
    <t>absolute_reduction</t>
  </si>
  <si>
    <t>relative_reduction</t>
  </si>
  <si>
    <t>start_year</t>
  </si>
  <si>
    <t>target_year</t>
  </si>
  <si>
    <t>EXP_TOB_TAX</t>
  </si>
  <si>
    <t>relative</t>
  </si>
  <si>
    <t>WHO/GATS; fiscal method</t>
  </si>
  <si>
    <t>Baseline retained</t>
  </si>
  <si>
    <t>EXP_ALC_TAX</t>
  </si>
  <si>
    <t>Countdown elasticity</t>
  </si>
  <si>
    <t>EXP_TOB_CLEAN_AIR</t>
  </si>
  <si>
    <t>WHO category + Countdown effect</t>
  </si>
  <si>
    <t>EXP_TOB_MEDIA</t>
  </si>
  <si>
    <t>EXP_TOB_AD_BAN</t>
  </si>
  <si>
    <t>EXP_ALC_POLICY</t>
  </si>
  <si>
    <t>EXP_SALT_REFORM</t>
  </si>
  <si>
    <t>EXP_SALT_FOPL</t>
  </si>
  <si>
    <t>EXP_SALT_MEDIA</t>
  </si>
  <si>
    <t>EXP_SALT_ENV</t>
  </si>
  <si>
    <t>EXP_TFA_POLICY</t>
  </si>
  <si>
    <t>WHO regulatory gap + RR</t>
  </si>
  <si>
    <t>RR base case; PAF optional</t>
  </si>
  <si>
    <t>EXP_SSB_TAX</t>
  </si>
  <si>
    <t>Lara-Castor; Widarjono</t>
  </si>
  <si>
    <t>GDD 2020 mean</t>
  </si>
  <si>
    <t>effect_id</t>
  </si>
  <si>
    <t>effect_model</t>
  </si>
  <si>
    <t>response_key</t>
  </si>
  <si>
    <t>response_parameter</t>
  </si>
  <si>
    <t>response_value</t>
  </si>
  <si>
    <t>response_unit</t>
  </si>
  <si>
    <t>paf_value</t>
  </si>
  <si>
    <t>paf_required_flag</t>
  </si>
  <si>
    <t>paf_threshold</t>
  </si>
  <si>
    <t>lag_model</t>
  </si>
  <si>
    <t>lag_parameter</t>
  </si>
  <si>
    <t>source_file</t>
  </si>
  <si>
    <t>source_location</t>
  </si>
  <si>
    <t>map_match_count</t>
  </si>
  <si>
    <t>EFF_001</t>
  </si>
  <si>
    <t>direct_smoking_prevalence_shift_rr</t>
  </si>
  <si>
    <t>RR_SMOKING_IHD</t>
  </si>
  <si>
    <t>RR current smoker vs non-smoker</t>
  </si>
  <si>
    <t>relative risk</t>
  </si>
  <si>
    <t>APCSC; Cho et al. 2024</t>
  </si>
  <si>
    <t>https://doi.org/10.1093/ije/dyi104; https://doi.org/10.1056/EVIDoa2300272</t>
  </si>
  <si>
    <t>Direct well-to-sick incidence effect. Base timing: Jha age-sex piecewise shared scalar; lag_parameter is sensitivity-only.</t>
  </si>
  <si>
    <t>EFF_002</t>
  </si>
  <si>
    <t>RR_SMOKING_IS</t>
  </si>
  <si>
    <t>EFF_003</t>
  </si>
  <si>
    <t>RR_SMOKING_ICH</t>
  </si>
  <si>
    <t>EFF_004</t>
  </si>
  <si>
    <t>RR_SMOKING_T2DM</t>
  </si>
  <si>
    <t>delayed_exponential_remaining_effect</t>
  </si>
  <si>
    <t>APCSC; Pan et al.</t>
  </si>
  <si>
    <t>https://doi.org/10.1016/S2213-8587(15)00316-2</t>
  </si>
  <si>
    <t>Direct well-to-sick incidence effect.</t>
  </si>
  <si>
    <t>EFF_005</t>
  </si>
  <si>
    <t>direct_loglinear_rr_per_unit_reduction</t>
  </si>
  <si>
    <t>RR_ALCOHOL_IHD_1L</t>
  </si>
  <si>
    <t>RR per 1 L/year</t>
  </si>
  <si>
    <t>immediate_after_full_implementation</t>
  </si>
  <si>
    <t>Wood et al. 2018</t>
  </si>
  <si>
    <t>https://doi.org/10.1016/S0140-6736(18)30134-X</t>
  </si>
  <si>
    <t>EFF_006</t>
  </si>
  <si>
    <t>RR_ALCOHOL_IS_1L</t>
  </si>
  <si>
    <t>EFF_007</t>
  </si>
  <si>
    <t>RR_ALCOHOL_ICH_1L</t>
  </si>
  <si>
    <t>EFF_008</t>
  </si>
  <si>
    <t>RR_ALCOHOL_HHD_1L</t>
  </si>
  <si>
    <t>EFF_009</t>
  </si>
  <si>
    <t>RR_ALCOHOL_CMYO_1L</t>
  </si>
  <si>
    <t>EFF_010</t>
  </si>
  <si>
    <t>EFF_011</t>
  </si>
  <si>
    <t>EFF_012</t>
  </si>
  <si>
    <t>EFF_013</t>
  </si>
  <si>
    <t>EFF_014</t>
  </si>
  <si>
    <t>EFF_015</t>
  </si>
  <si>
    <t>EFF_016</t>
  </si>
  <si>
    <t>EFF_017</t>
  </si>
  <si>
    <t>EFF_018</t>
  </si>
  <si>
    <t>EFF_019</t>
  </si>
  <si>
    <t>EFF_020</t>
  </si>
  <si>
    <t>EFF_021</t>
  </si>
  <si>
    <t>EFF_022</t>
  </si>
  <si>
    <t>EFF_023</t>
  </si>
  <si>
    <t>EFF_024</t>
  </si>
  <si>
    <t>EFF_025</t>
  </si>
  <si>
    <t>EFF_026</t>
  </si>
  <si>
    <t>EFF_027</t>
  </si>
  <si>
    <t>RR_SODIUM_1G</t>
  </si>
  <si>
    <t>RR per 1 g sodium/day</t>
  </si>
  <si>
    <t>Watkins 2022</t>
  </si>
  <si>
    <t>p 33</t>
  </si>
  <si>
    <t>EFF_028</t>
  </si>
  <si>
    <t>EFF_029</t>
  </si>
  <si>
    <t>EFF_030</t>
  </si>
  <si>
    <t>EFF_031</t>
  </si>
  <si>
    <t>EFF_032</t>
  </si>
  <si>
    <t>EFF_033</t>
  </si>
  <si>
    <t>EFF_034</t>
  </si>
  <si>
    <t>EFF_035</t>
  </si>
  <si>
    <t>EFF_036</t>
  </si>
  <si>
    <t>EFF_037</t>
  </si>
  <si>
    <t>EFF_038</t>
  </si>
  <si>
    <t>EFF_039</t>
  </si>
  <si>
    <t>EFF_040</t>
  </si>
  <si>
    <t>EFF_041</t>
  </si>
  <si>
    <t>EFF_042</t>
  </si>
  <si>
    <t>EFF_043</t>
  </si>
  <si>
    <t>Kontis et al.; Wang et al.</t>
  </si>
  <si>
    <t>https://www.ahajournals.org/doi/10.1161/CIRCULATIONAHA.118.038160; https://www.ahajournals.org/doi/10.1161/JAHA.115.002891</t>
  </si>
  <si>
    <t>RR base case: sqrt(1.21) per 1% energy; PAF optional.</t>
  </si>
  <si>
    <t>EFF_044</t>
  </si>
  <si>
    <t>RR_SSB_IHD_1SERV</t>
  </si>
  <si>
    <t>RR per daily serving</t>
  </si>
  <si>
    <t>Lara-Castor et al.; proxy study where noted</t>
  </si>
  <si>
    <t>https://doi.org/10.1038/s41591-024-03345-4</t>
  </si>
  <si>
    <t>EFF_045</t>
  </si>
  <si>
    <t>RR_SSB_IS_1SERV</t>
  </si>
  <si>
    <t>EFF_046</t>
  </si>
  <si>
    <t>RR_SSB_ICH_1SERV_PROXY</t>
  </si>
  <si>
    <t>https://doi.org/10.1016/j.advnut.2022.12.002</t>
  </si>
  <si>
    <t>EFF_047</t>
  </si>
  <si>
    <t>RR_SSB_HHD_1SERV_PROXY</t>
  </si>
  <si>
    <t>https://doi.org/10.1007/s10654-020-00655-y</t>
  </si>
  <si>
    <t>EFF_048</t>
  </si>
  <si>
    <t>RR_SSB_T2DM_1SERV</t>
  </si>
  <si>
    <t>EFF_049</t>
  </si>
  <si>
    <t>tobacco_mortality_prevalence_shift_rr</t>
  </si>
  <si>
    <t>HR_SMOKING_VASC_MORT_POOLED</t>
  </si>
  <si>
    <t>HR current vs never smoker; R uses sex-specific values</t>
  </si>
  <si>
    <t>hazard ratio</t>
  </si>
  <si>
    <t>Cho et al. 2024</t>
  </si>
  <si>
    <t>Proxy</t>
  </si>
  <si>
    <t>Vascular mortality is used as a labeled proxy for post-diagnosis case fatality; apply age-sex Jha scalars to annual quitting cohorts.</t>
  </si>
  <si>
    <t>EFF_050</t>
  </si>
  <si>
    <t>EFF_051</t>
  </si>
  <si>
    <t>EFF_052</t>
  </si>
  <si>
    <t>EFF_053</t>
  </si>
  <si>
    <t>EFF_054</t>
  </si>
  <si>
    <t>EFF_055</t>
  </si>
  <si>
    <t>EFF_056</t>
  </si>
  <si>
    <t>EFF_057</t>
  </si>
  <si>
    <t>EFF_058</t>
  </si>
  <si>
    <t>EFF_059</t>
  </si>
  <si>
    <t>EFF_060</t>
  </si>
  <si>
    <t>EFF_061</t>
  </si>
  <si>
    <t>RR_SSB_T2DM_ALLCAUSE_MORT_1SERV</t>
  </si>
  <si>
    <t>HR per daily serving</t>
  </si>
  <si>
    <t>Ma et al. 2023</t>
  </si>
  <si>
    <t>https://doi.org/10.1136/bmj-2022-073406</t>
  </si>
  <si>
    <t>Exploratory</t>
  </si>
  <si>
    <t>Disabled by default. Use only if the T2DM sick-to-dead transition represents all-cause mortality; not diabetes-specific death.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</si>
  <si>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</si>
  <si>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</si>
  <si>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</si>
  <si>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</si>
  <si>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</si>
  <si>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</si>
  <si>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</si>
  <si>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</si>
  <si>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</si>
  <si>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</si>
  <si>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</si>
  <si>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</si>
  <si>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Selected</t>
  </si>
  <si>
    <t>Current smoking RR - IHD</t>
  </si>
  <si>
    <t>Both</t>
  </si>
  <si>
    <t>IHD</t>
  </si>
  <si>
    <t>RR current vs non-smoker</t>
  </si>
  <si>
    <t>model RR = source RR</t>
  </si>
  <si>
    <t>https://doi.org/10.1093/ije/dyi104</t>
  </si>
  <si>
    <t>Applied to incidence</t>
  </si>
  <si>
    <t>Current smoking RR - ischemic stroke</t>
  </si>
  <si>
    <t>Direct estimate</t>
  </si>
  <si>
    <t>Current smoking RR - ICH</t>
  </si>
  <si>
    <t>ICH</t>
  </si>
  <si>
    <t>Hemorrhagic-stroke estimate</t>
  </si>
  <si>
    <t>Current smoking RR - T2DM</t>
  </si>
  <si>
    <t>T2DM</t>
  </si>
  <si>
    <t>Timing sensitivity</t>
  </si>
  <si>
    <t>Alcohol dose response - IHD</t>
  </si>
  <si>
    <t>HR per 100 g/week</t>
  </si>
  <si>
    <t>converted using 789 g/L and 52 weeks/year</t>
  </si>
  <si>
    <t>Conservative proxy</t>
  </si>
  <si>
    <t>Alcohol dose response - ischemic stroke</t>
  </si>
  <si>
    <t>All-stroke proxy</t>
  </si>
  <si>
    <t>Alcohol dose response - ICH</t>
  </si>
  <si>
    <t>Alcohol dose response - HHD</t>
  </si>
  <si>
    <t>HHD</t>
  </si>
  <si>
    <t>Fatal hypertensive disease</t>
  </si>
  <si>
    <t>Alcohol dose response - cardiomyopathy</t>
  </si>
  <si>
    <t>Cardiomyopathy</t>
  </si>
  <si>
    <t>Heart-failure proxy</t>
  </si>
  <si>
    <t>LAG_TOB_CVD</t>
  </si>
  <si>
    <t>Sensitivity</t>
  </si>
  <si>
    <t>Normalized exponential tobacco-CVD lag</t>
  </si>
  <si>
    <t>C_IHD|C_IS|C_ICH</t>
  </si>
  <si>
    <t>CVD</t>
  </si>
  <si>
    <t>normalized to 100% at year 10</t>
  </si>
  <si>
    <t>User-specified; Cho et al. 2024 timing sensitivity</t>
  </si>
  <si>
    <t>Sensitivity only; base case is jha_piecewise_shared_scalar</t>
  </si>
  <si>
    <t>LAG_TOB_T2DM_PROXY</t>
  </si>
  <si>
    <t>Tobacco-T2DM effect realization</t>
  </si>
  <si>
    <t>proxy fraction by year 10</t>
  </si>
  <si>
    <t>annual remaining effect</t>
  </si>
  <si>
    <t>uses CVD lag</t>
  </si>
  <si>
    <t>Pan 2015; Watkins 2022</t>
  </si>
  <si>
    <t>Direct sodium-CVD response</t>
  </si>
  <si>
    <t>C_IHD|C_IS|C_ICH|C_HHD</t>
  </si>
  <si>
    <t>Watkins 2022 p 33</t>
  </si>
  <si>
    <t>Countdown pathway</t>
  </si>
  <si>
    <t>RR_TFA_IHD_1PCT</t>
  </si>
  <si>
    <t>Industrial TFA RR - total IHD</t>
  </si>
  <si>
    <t>RR per 2 percentage-points energy/day</t>
  </si>
  <si>
    <t>RR per 1 percentage-point energy/day</t>
  </si>
  <si>
    <t>sqrt(source RR) under log-linearity</t>
  </si>
  <si>
    <t>sqrt(1.21)=1.10 approximately</t>
  </si>
  <si>
    <t>PAF_TFA_IHD_OPTIONAL</t>
  </si>
  <si>
    <t>Optional</t>
  </si>
  <si>
    <t>Optional TFA-attributable IHD fraction</t>
  </si>
  <si>
    <t>links to Assumptions</t>
  </si>
  <si>
    <t>Used only in PAF mode</t>
  </si>
  <si>
    <t>TFA_SCORE_0</t>
  </si>
  <si>
    <t>Reference</t>
  </si>
  <si>
    <t>Legacy WHO score 0</t>
  </si>
  <si>
    <t>TFA-attributable IHD</t>
  </si>
  <si>
    <t>proportion reduced</t>
  </si>
  <si>
    <t>legacy only</t>
  </si>
  <si>
    <t>Watkins 2022 pp 33-34</t>
  </si>
  <si>
    <t>Not used by default</t>
  </si>
  <si>
    <t>TFA_SCORE_1</t>
  </si>
  <si>
    <t>Legacy WHO score 1</t>
  </si>
  <si>
    <t>TFA_SCORE_2</t>
  </si>
  <si>
    <t>Legacy WHO score 2</t>
  </si>
  <si>
    <t>TFA_SCORE_3</t>
  </si>
  <si>
    <t>Legacy WHO score 3</t>
  </si>
  <si>
    <t>TFA_SCORE_4</t>
  </si>
  <si>
    <t>Legacy WHO score 4</t>
  </si>
  <si>
    <t>SSB direct RR - IHD</t>
  </si>
  <si>
    <t>RR per serving/day</t>
  </si>
  <si>
    <t>direct RR</t>
  </si>
  <si>
    <t>Primary</t>
  </si>
  <si>
    <t>SSB direct RR - ischemic stroke</t>
  </si>
  <si>
    <t>SSB RR - ICH proxy</t>
  </si>
  <si>
    <t>HR per 250 mL/day</t>
  </si>
  <si>
    <t>total-stroke proxy</t>
  </si>
  <si>
    <t>SSB RR - HHD proxy</t>
  </si>
  <si>
    <t>RR per 250 mL/day</t>
  </si>
  <si>
    <t>hypertension proxy</t>
  </si>
  <si>
    <t>SSB direct RR - T2DM</t>
  </si>
  <si>
    <t>PAF_SSB_IDN_T2DM_INC_2020</t>
  </si>
  <si>
    <t>Indonesia T2DM incidence PAF</t>
  </si>
  <si>
    <t>T2DM incidence</t>
  </si>
  <si>
    <t>fraction</t>
  </si>
  <si>
    <t>CRA</t>
  </si>
  <si>
    <t>Validation</t>
  </si>
  <si>
    <t>PAF_SSB_IDN_CVD_INC_2020</t>
  </si>
  <si>
    <t>Indonesia CVD incidence PAF</t>
  </si>
  <si>
    <t>C_IHD|C_IS</t>
  </si>
  <si>
    <t>CVD incidence</t>
  </si>
  <si>
    <t>PAF_SSB_IDN_T2DM_DEATH_2020</t>
  </si>
  <si>
    <t>Indonesia T2DM death PAF</t>
  </si>
  <si>
    <t>T2DM deaths</t>
  </si>
  <si>
    <t>PAF_SSB_IDN_CVD_DEATH_2020</t>
  </si>
  <si>
    <t>Indonesia CVD death PAF</t>
  </si>
  <si>
    <t>CVD deaths</t>
  </si>
  <si>
    <t>HR_SMOKING_VASC_MORT_MALE</t>
  </si>
  <si>
    <t>Current smoking HR - vascular mortality, male</t>
  </si>
  <si>
    <t>Male</t>
  </si>
  <si>
    <t>Vascular mortality</t>
  </si>
  <si>
    <t>model HR = source HR</t>
  </si>
  <si>
    <t>Sex-specific value for sick-to-dead proxy pathway</t>
  </si>
  <si>
    <t>HR_SMOKING_VASC_MORT_FEMALE</t>
  </si>
  <si>
    <t>Current smoking HR - vascular mortality, female</t>
  </si>
  <si>
    <t>Female</t>
  </si>
  <si>
    <t>Current smoking HR - vascular mortality, pooled</t>
  </si>
  <si>
    <t>mean of male and female HRs</t>
  </si>
  <si>
    <t>Backward-compatible response_value; R should use sex-specific values</t>
  </si>
  <si>
    <t>SCALAR_JHA_M_20_39_LT3</t>
  </si>
  <si>
    <t>Jha shared tobacco-CVD scalar: Male, 20-39, &lt;3 years</t>
  </si>
  <si>
    <t>Shared timing scalar; cessation &lt;3 years</t>
  </si>
  <si>
    <t>ERD proportion</t>
  </si>
  <si>
    <t>fraction of 10+ year effect</t>
  </si>
  <si>
    <t>min(1, ERD_duration / ERD_10plus)</t>
  </si>
  <si>
    <t>Applied to annual quitting cohorts for incidence and sick-to-dead</t>
  </si>
  <si>
    <t>SCALAR_JHA_M_20_39_Y3_9</t>
  </si>
  <si>
    <t>Jha shared tobacco-CVD scalar: Male, 20-39, 3-9 years</t>
  </si>
  <si>
    <t>Shared timing scalar; cessation 3-9 years</t>
  </si>
  <si>
    <t>SCALAR_JHA_M_20_39_GE10</t>
  </si>
  <si>
    <t>Jha shared tobacco-CVD scalar: Male, 20-39, 10+ years</t>
  </si>
  <si>
    <t>Shared timing scalar; cessation 10+ years</t>
  </si>
  <si>
    <t>SCALAR_JHA_M_40_49_LT3</t>
  </si>
  <si>
    <t>Jha shared tobacco-CVD scalar: Male, 40-49, &lt;3 years</t>
  </si>
  <si>
    <t>SCALAR_JHA_M_40_49_Y3_9</t>
  </si>
  <si>
    <t>Jha shared tobacco-CVD scalar: Male, 40-49, 3-9 years</t>
  </si>
  <si>
    <t>SCALAR_JHA_M_40_49_GE10</t>
  </si>
  <si>
    <t>Jha shared tobacco-CVD scalar: Male, 40-49, 10+ years</t>
  </si>
  <si>
    <t>SCALAR_JHA_M_50_59_LT3</t>
  </si>
  <si>
    <t>Jha shared tobacco-CVD scalar: Male, 50-59, &lt;3 years</t>
  </si>
  <si>
    <t>SCALAR_JHA_M_50_59_Y3_9</t>
  </si>
  <si>
    <t>Jha shared tobacco-CVD scalar: Male, 50-59, 3-9 years</t>
  </si>
  <si>
    <t>SCALAR_JHA_M_50_59_GE10</t>
  </si>
  <si>
    <t>Jha shared tobacco-CVD scalar: Male, 50-59, 10+ years</t>
  </si>
  <si>
    <t>SCALAR_JHA_M_60_79_LT3</t>
  </si>
  <si>
    <t>Jha shared tobacco-CVD scalar: Male, 60-79, &lt;3 years</t>
  </si>
  <si>
    <t>SCALAR_JHA_M_60_79_Y3_9</t>
  </si>
  <si>
    <t>Jha shared tobacco-CVD scalar: Male, 60-79, 3-9 years</t>
  </si>
  <si>
    <t>SCALAR_JHA_M_60_79_GE10</t>
  </si>
  <si>
    <t>Jha shared tobacco-CVD scalar: Male, 60-79, 10+ years</t>
  </si>
  <si>
    <t>SCALAR_JHA_M_80_95_LT3</t>
  </si>
  <si>
    <t>Jha shared tobacco-CVD scalar: Male, 80-95, &lt;3 years</t>
  </si>
  <si>
    <t>Age 80+ conservatively uses the 60-79 scalar</t>
  </si>
  <si>
    <t>SCALAR_JHA_M_80_95_Y3_9</t>
  </si>
  <si>
    <t>Jha shared tobacco-CVD scalar: Male, 80-95, 3-9 years</t>
  </si>
  <si>
    <t>SCALAR_JHA_M_80_95_GE10</t>
  </si>
  <si>
    <t>Jha shared tobacco-CVD scalar: Male, 80-95, 10+ years</t>
  </si>
  <si>
    <t>SCALAR_JHA_F_20_39_LT3</t>
  </si>
  <si>
    <t>Jha shared tobacco-CVD scalar: Female, 20-39, &lt;3 years</t>
  </si>
  <si>
    <t>SCALAR_JHA_F_20_39_Y3_9</t>
  </si>
  <si>
    <t>Jha shared tobacco-CVD scalar: Female, 20-39, 3-9 years</t>
  </si>
  <si>
    <t>SCALAR_JHA_F_20_39_GE10</t>
  </si>
  <si>
    <t>Jha shared tobacco-CVD scalar: Female, 20-39, 10+ years</t>
  </si>
  <si>
    <t>SCALAR_JHA_F_40_49_LT3</t>
  </si>
  <si>
    <t>Jha shared tobacco-CVD scalar: Female, 40-49, &lt;3 years</t>
  </si>
  <si>
    <t>SCALAR_JHA_F_40_49_Y3_9</t>
  </si>
  <si>
    <t>Jha shared tobacco-CVD scalar: Female, 40-49, 3-9 years</t>
  </si>
  <si>
    <t>SCALAR_JHA_F_40_49_GE10</t>
  </si>
  <si>
    <t>Jha shared tobacco-CVD scalar: Female, 40-49, 10+ years</t>
  </si>
  <si>
    <t>SCALAR_JHA_F_50_59_LT3</t>
  </si>
  <si>
    <t>Jha shared tobacco-CVD scalar: Female, 50-59, &lt;3 years</t>
  </si>
  <si>
    <t>SCALAR_JHA_F_50_59_Y3_9</t>
  </si>
  <si>
    <t>Jha shared tobacco-CVD scalar: Female, 50-59, 3-9 years</t>
  </si>
  <si>
    <t>SCALAR_JHA_F_50_59_GE10</t>
  </si>
  <si>
    <t>Jha shared tobacco-CVD scalar: Female, 50-59, 10+ years</t>
  </si>
  <si>
    <t>SCALAR_JHA_F_60_79_LT3</t>
  </si>
  <si>
    <t>Jha shared tobacco-CVD scalar: Female, 60-79, &lt;3 years</t>
  </si>
  <si>
    <t>SCALAR_JHA_F_60_79_Y3_9</t>
  </si>
  <si>
    <t>Jha shared tobacco-CVD scalar: Female, 60-79, 3-9 years</t>
  </si>
  <si>
    <t>SCALAR_JHA_F_60_79_GE10</t>
  </si>
  <si>
    <t>Jha shared tobacco-CVD scalar: Female, 60-79, 10+ years</t>
  </si>
  <si>
    <t>SCALAR_JHA_F_80_95_LT3</t>
  </si>
  <si>
    <t>Jha shared tobacco-CVD scalar: Female, 80-95, &lt;3 years</t>
  </si>
  <si>
    <t>SCALAR_JHA_F_80_95_Y3_9</t>
  </si>
  <si>
    <t>Jha shared tobacco-CVD scalar: Female, 80-95, 3-9 years</t>
  </si>
  <si>
    <t>SCALAR_JHA_F_80_95_GE10</t>
  </si>
  <si>
    <t>Jha shared tobacco-CVD scalar: Female, 80-95, 10+ years</t>
  </si>
  <si>
    <t>SSB HR - all-cause mortality among adults with T2DM</t>
  </si>
  <si>
    <t>All-cause mortality among adults with T2DM</t>
  </si>
  <si>
    <t>HR per serving/day</t>
  </si>
  <si>
    <t>direct dose-response HR</t>
  </si>
  <si>
    <t>Exploratory only; not diabetes-specific death; use only if sick-to-dead is all-cause mortality</t>
  </si>
  <si>
    <t>illustrative_full_effect</t>
  </si>
  <si>
    <t>selected_policy_cost_usd_per_capita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</si>
  <si>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</si>
  <si>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</si>
  <si>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</si>
  <si>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</si>
  <si>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</si>
  <si>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</si>
  <si>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</si>
  <si>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</si>
  <si>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</si>
  <si>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</si>
  <si>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</si>
  <si>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</si>
  <si>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</si>
  <si>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source_row</t>
  </si>
  <si>
    <t>selection_count</t>
  </si>
  <si>
    <t>cost_allocation_share</t>
  </si>
  <si>
    <t>package_total_cost_usd_per_capita</t>
  </si>
  <si>
    <t>allocation_method</t>
  </si>
  <si>
    <t>scenario_role</t>
  </si>
  <si>
    <t>COST_PH_TOB_TAX</t>
  </si>
  <si>
    <t>CC_PH_TOB_TAX</t>
  </si>
  <si>
    <t>Base</t>
  </si>
  <si>
    <t>Annual intersectoral policy implementation</t>
  </si>
  <si>
    <t>population</t>
  </si>
  <si>
    <t>USD per capita-year</t>
  </si>
  <si>
    <t>Intersectoral</t>
  </si>
  <si>
    <t>China/proxy</t>
  </si>
  <si>
    <t>row 53</t>
  </si>
  <si>
    <t>Requires Indonesia/price-year adjustment</t>
  </si>
  <si>
    <t>direct source value</t>
  </si>
  <si>
    <t>COST_PH_ALC_TAX</t>
  </si>
  <si>
    <t>CC_PH_ALC_TAX</t>
  </si>
  <si>
    <t>row 54</t>
  </si>
  <si>
    <t>COST_REF_TOB_POLICY</t>
  </si>
  <si>
    <t>CC_REF_TOB_POLICY</t>
  </si>
  <si>
    <t>I_PH_TOBACCO_POLICY__C_SHARED</t>
  </si>
  <si>
    <t>Package total retained for allocation</t>
  </si>
  <si>
    <t>row 55</t>
  </si>
  <si>
    <t>Not modeled directly; allocated to children</t>
  </si>
  <si>
    <t>package reference</t>
  </si>
  <si>
    <t>parent_reference</t>
  </si>
  <si>
    <t>COST_PH_TOB_CLEAN_AIR</t>
  </si>
  <si>
    <t>CC_PH_TOB_CLEAN_AIR</t>
  </si>
  <si>
    <t>row 55 allocated</t>
  </si>
  <si>
    <t>equal within package</t>
  </si>
  <si>
    <t>COST_PH_TOB_MEDIA</t>
  </si>
  <si>
    <t>CC_PH_TOB_MEDIA</t>
  </si>
  <si>
    <t>COST_PH_TOB_AD_BAN</t>
  </si>
  <si>
    <t>CC_PH_TOB_AD_BAN</t>
  </si>
  <si>
    <t>COST_PH_ALC_POLICY</t>
  </si>
  <si>
    <t>CC_PH_ALC_POLICY</t>
  </si>
  <si>
    <t>row 56</t>
  </si>
  <si>
    <t>COST_REF_SALT_POLICY</t>
  </si>
  <si>
    <t>CC_REF_SALT_POLICY</t>
  </si>
  <si>
    <t>I_PH_SALT_POLICY__C_SHARED</t>
  </si>
  <si>
    <t>row 57</t>
  </si>
  <si>
    <t>COST_PH_SALT_REFORM</t>
  </si>
  <si>
    <t>CC_PH_SALT_REFORM</t>
  </si>
  <si>
    <t>row 57 allocated</t>
  </si>
  <si>
    <t>COST_PH_SALT_FOPL</t>
  </si>
  <si>
    <t>CC_PH_SALT_FOPL</t>
  </si>
  <si>
    <t>COST_PH_SALT_MEDIA</t>
  </si>
  <si>
    <t>CC_PH_SALT_MEDIA</t>
  </si>
  <si>
    <t>COST_PH_SALT_ENV</t>
  </si>
  <si>
    <t>CC_PH_SALT_ENV</t>
  </si>
  <si>
    <t>COST_PH_TFA</t>
  </si>
  <si>
    <t>CC_PH_TFA</t>
  </si>
  <si>
    <t>row 58</t>
  </si>
  <si>
    <t>COST_PH_SSB_TAX</t>
  </si>
  <si>
    <t>CC_PH_SSB_TAX</t>
  </si>
  <si>
    <t>tax proxy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</si>
  <si>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</si>
  <si>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</si>
  <si>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</si>
  <si>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</si>
  <si>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</si>
  <si>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</si>
  <si>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</si>
  <si>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Individual intervention unit</t>
  </si>
  <si>
    <t>Each scalable component has its own intervention_id, exposure, links, effects and cost key</t>
  </si>
  <si>
    <t>Scenario_Hierarchy</t>
  </si>
  <si>
    <t>Report cases, deaths, costs and cost effectiveness by component</t>
  </si>
  <si>
    <t>M02</t>
  </si>
  <si>
    <t>Nested package scenario</t>
  </si>
  <si>
    <t>Run all children jointly; do not sum child health outcomes</t>
  </si>
  <si>
    <t>parent_scenario_id</t>
  </si>
  <si>
    <t>Preserves I_PH_TOBACCO_POLICY and I_PH_SALT_POLICY</t>
  </si>
  <si>
    <t>M03</t>
  </si>
  <si>
    <t>Regulatory score</t>
  </si>
  <si>
    <t>none=0; partial=0.5; full=1</t>
  </si>
  <si>
    <t>Assumptions; Policy_Levers</t>
  </si>
  <si>
    <t>none-&gt;full full effect; partial-&gt;full half; full-&gt;full zero</t>
  </si>
  <si>
    <t>M04</t>
  </si>
  <si>
    <t>Regulatory effect</t>
  </si>
  <si>
    <t>reduction=full_component_effect*max(0,target_score-baseline_score)</t>
  </si>
  <si>
    <t>Policy_Levers</t>
  </si>
  <si>
    <t>Each regulation separately scalable</t>
  </si>
  <si>
    <t>M05</t>
  </si>
  <si>
    <t>Price-change tax</t>
  </si>
  <si>
    <t>price_change=max(0,target-baseline); reduction=abs(elasticity)*price_change</t>
  </si>
  <si>
    <t>Alcohol and SSB taxes</t>
  </si>
  <si>
    <t>M06</t>
  </si>
  <si>
    <t>Tax-share tax</t>
  </si>
  <si>
    <t>price_change=(1-baseline_share)/(1-target_share)-1</t>
  </si>
  <si>
    <t>M07</t>
  </si>
  <si>
    <t>Exposure target</t>
  </si>
  <si>
    <t>target=max(floor,baseline*(1-relative_reduction))</t>
  </si>
  <si>
    <t>Exposure_Targets</t>
  </si>
  <si>
    <t>One row per intervention</t>
  </si>
  <si>
    <t>M08</t>
  </si>
  <si>
    <t>Tobacco response</t>
  </si>
  <si>
    <t>1-[1+target_p*(RR-1)]/[1+baseline_p*(RR-1)]</t>
  </si>
  <si>
    <t>Model_Input_View</t>
  </si>
  <si>
    <t>No PAF</t>
  </si>
  <si>
    <t>M09</t>
  </si>
  <si>
    <t>Log-linear response</t>
  </si>
  <si>
    <t>1-1/(RR_per_unit^absolute_reduction)</t>
  </si>
  <si>
    <t>Alcohol, sodium, TFA RR and SSB</t>
  </si>
  <si>
    <t>M10</t>
  </si>
  <si>
    <t>TFA RR conversion</t>
  </si>
  <si>
    <t>RR per 1% energy=sqrt(1.21)</t>
  </si>
  <si>
    <t>Risk_Response</t>
  </si>
  <si>
    <t>Approximately 1.10</t>
  </si>
  <si>
    <t>M11</t>
  </si>
  <si>
    <t>Optional TFA PAF</t>
  </si>
  <si>
    <t>If method=PAF: effect=optional_PAF*implementation_gap</t>
  </si>
  <si>
    <t>Assumptions; Model_Input_View</t>
  </si>
  <si>
    <t>Does not block RR base case</t>
  </si>
  <si>
    <t>M12</t>
  </si>
  <si>
    <t>Tobacco lag</t>
  </si>
  <si>
    <t>Base: age-sex-duration Jha scalar applied to annual quitting cohorts; sensitivity: normalized exponential lag to full effect at year 10</t>
  </si>
  <si>
    <t>Risk_Response; Effect_Parameters</t>
  </si>
  <si>
    <t>SCALAR_JHA_*; LAG_TOB_CVD</t>
  </si>
  <si>
    <t>Base jha_piecewise_shared_scalar; sensitivity normalized_exponential_lag, r=0.0616</t>
  </si>
  <si>
    <t>M13</t>
  </si>
  <si>
    <t>Child cost</t>
  </si>
  <si>
    <t>child cost=package cost*allocation share</t>
  </si>
  <si>
    <t>Cost_Components</t>
  </si>
  <si>
    <t>Equal shares are provisional and traceable</t>
  </si>
  <si>
    <t>M14</t>
  </si>
  <si>
    <t>Parent cost</t>
  </si>
  <si>
    <t>parent scenario cost=sum child costs</t>
  </si>
  <si>
    <t>Downstream costing</t>
  </si>
  <si>
    <t>Reference parent row not counted</t>
  </si>
  <si>
    <t>M15</t>
  </si>
  <si>
    <t>Cost effectiveness</t>
  </si>
  <si>
    <t>ICER=discounted incremental cost/discounted health gain</t>
  </si>
  <si>
    <t>Economic evaluation</t>
  </si>
  <si>
    <t>Calculate children and rerun parent bundles</t>
  </si>
  <si>
    <t>Key reference values</t>
  </si>
  <si>
    <t>Value</t>
  </si>
  <si>
    <t>Unit</t>
  </si>
  <si>
    <t>Source</t>
  </si>
  <si>
    <t>Status</t>
  </si>
  <si>
    <t>Note</t>
  </si>
  <si>
    <t>TFA source RR</t>
  </si>
  <si>
    <t>RR per 2 percentage-points energy</t>
  </si>
  <si>
    <t>https://www.ahajournals.org/doi/10.1161/CIRCULATIONAHA.118.038160</t>
  </si>
  <si>
    <t>Base case source</t>
  </si>
  <si>
    <t>Square-root conversion</t>
  </si>
  <si>
    <t>TFA model RR</t>
  </si>
  <si>
    <t>approximate RR per 1 percentage-point energy</t>
  </si>
  <si>
    <t>https://www.ahajournals.org/doi/10.1161/JAHA.115.002891</t>
  </si>
  <si>
    <t>Base case</t>
  </si>
  <si>
    <t>Formula retains precision</t>
  </si>
  <si>
    <t>Indonesia tobacco tax baseline</t>
  </si>
  <si>
    <t>minimum retail-price tax share</t>
  </si>
  <si>
    <t>WHO tobacco report 2025</t>
  </si>
  <si>
    <t>WHO best-practice group</t>
  </si>
  <si>
    <t>Indonesia SSB response</t>
  </si>
  <si>
    <t>relative consumption reduction</t>
  </si>
  <si>
    <t>20% price increase</t>
  </si>
  <si>
    <t>M16</t>
  </si>
  <si>
    <t>Tobacco mortality full effect</t>
  </si>
  <si>
    <t>RRq=1+(1-ERD_10plus)*(RRc-1); RRfull=[1+pt(RRc-1)+(p0-pt)(RRq-1)]/[1+p0(RRc-1)]</t>
  </si>
  <si>
    <t>Model_Input_View; R implementation</t>
  </si>
  <si>
    <t>sick -&gt; dead</t>
  </si>
  <si>
    <t>Jha vascular mortality is a sensitivity/proxy for post-diagnosis case fatality</t>
  </si>
  <si>
    <t>M17</t>
  </si>
  <si>
    <t>Rate-ratio probability conversion</t>
  </si>
  <si>
    <t>p1=1-(1-p0)^RR_effective</t>
  </si>
  <si>
    <t>R transition update</t>
  </si>
  <si>
    <t>well -&gt; sick; sick -&gt; dead</t>
  </si>
  <si>
    <t>Do not multiply annual probabilities directly by a rate ratio</t>
  </si>
  <si>
    <t>M18</t>
  </si>
  <si>
    <t>SSB mortality sensitivity</t>
  </si>
  <si>
    <t>RR=1.08 per serving/day through the SSB intake mediation path</t>
  </si>
  <si>
    <t>Disabled by default; outcome is all-cause mortality among adults with T2DM</t>
  </si>
  <si>
    <t>item</t>
  </si>
  <si>
    <t>decision</t>
  </si>
  <si>
    <t>reason</t>
  </si>
  <si>
    <t>domain</t>
  </si>
  <si>
    <t>use</t>
  </si>
  <si>
    <t>location</t>
  </si>
  <si>
    <t>Include individually</t>
  </si>
  <si>
    <t>Fiscal baseline and target levels drive exposure</t>
  </si>
  <si>
    <t>Public health</t>
  </si>
  <si>
    <t>https://www.who.int/publications/i/item/9789240112063</t>
  </si>
  <si>
    <t>Indonesia in &gt;=75% group</t>
  </si>
  <si>
    <t>Tobacco package</t>
  </si>
  <si>
    <t>Preserve as parent</t>
  </si>
  <si>
    <t>Three children modeled separately and jointly</t>
  </si>
  <si>
    <t>Scenario design</t>
  </si>
  <si>
    <t>WHO NCD Progress Monitor 2025</t>
  </si>
  <si>
    <t>None/partial/full categories</t>
  </si>
  <si>
    <t>https://cdn.who.int/media/docs/default-source/ncds/ncd-surveillance/pm2024-profiles.pdf</t>
  </si>
  <si>
    <t>Tobacco, alcohol and healthy-diet measures</t>
  </si>
  <si>
    <t>Incremental price change through elasticity</t>
  </si>
  <si>
    <t>WHO Indonesia 2026</t>
  </si>
  <si>
    <t>Current food-policy implementation</t>
  </si>
  <si>
    <t>https://www.who.int/indonesia/news/detail/27-01-2026-indonesia-develops-new-regulations-to-tackle-unhealthy-food-consumption</t>
  </si>
  <si>
    <t>Technical implementation ongoing</t>
  </si>
  <si>
    <t>Regulatory categories drive incremental effect</t>
  </si>
  <si>
    <t>WHO Indonesia 2024</t>
  </si>
  <si>
    <t>TFA baseline</t>
  </si>
  <si>
    <t>https://www.who.int/indonesia/news/detail/17-06-2024-op-ed--eliminate-trans-fat-for-a-healthier--more-productive-indonesia</t>
  </si>
  <si>
    <t>Best-practice regulation not fully implemented</t>
  </si>
  <si>
    <t>Salt package</t>
  </si>
  <si>
    <t>Four SHAKE children modeled separately and jointly</t>
  </si>
  <si>
    <t>Kontis et al. 2019</t>
  </si>
  <si>
    <t>TFA RR context</t>
  </si>
  <si>
    <t>21% higher IHD risk per 2% energy</t>
  </si>
  <si>
    <t>RR base case</t>
  </si>
  <si>
    <t>Exposure change and RR; PAF optional</t>
  </si>
  <si>
    <t>Model integration</t>
  </si>
  <si>
    <t>Wang et al. 2016</t>
  </si>
  <si>
    <t>TFA risk per exposure</t>
  </si>
  <si>
    <t>CHD burden response</t>
  </si>
  <si>
    <t>Tax change -&gt; elasticity -&gt; exposure</t>
  </si>
  <si>
    <t>NCD Countdown supplement</t>
  </si>
  <si>
    <t>Component effects and scale-up</t>
  </si>
  <si>
    <t>Watkins 2022 pp 31-34</t>
  </si>
  <si>
    <t>Primary methods</t>
  </si>
  <si>
    <t>Package health outcomes</t>
  </si>
  <si>
    <t>Rerun jointly</t>
  </si>
  <si>
    <t>Do not sum overlapping child cases/deaths</t>
  </si>
  <si>
    <t>Package policy costs</t>
  </si>
  <si>
    <t>rows 53-58</t>
  </si>
  <si>
    <t>2017 USD China; adjust for Indonesia</t>
  </si>
  <si>
    <t>Package costs</t>
  </si>
  <si>
    <t>Sum children</t>
  </si>
  <si>
    <t>Parent reference cost allocated and excluded</t>
  </si>
  <si>
    <t>Widarjono et al. 2023</t>
  </si>
  <si>
    <t>Indonesia SSB elasticity</t>
  </si>
  <si>
    <t>2021 SUSENAS</t>
  </si>
  <si>
    <t>Tobacco sick-to-dead</t>
  </si>
  <si>
    <t>Include as labeled proxy</t>
  </si>
  <si>
    <t>Jha vascular mortality supports magnitude and timing but is not post-diagnosis case fatality</t>
  </si>
  <si>
    <t>Sensitivity analysis</t>
  </si>
  <si>
    <t>Lara-Castor et al. 2025</t>
  </si>
  <si>
    <t>SSB exposure and RRs</t>
  </si>
  <si>
    <t>Direct and validation inputs</t>
  </si>
  <si>
    <t>SSB sick-to-dead</t>
  </si>
  <si>
    <t>Include disabled by default</t>
  </si>
  <si>
    <t>All-cause mortality among adults with T2DM is not diabetes-specific death</t>
  </si>
  <si>
    <t>Exploratory sensitivity</t>
  </si>
  <si>
    <t>APCSC</t>
  </si>
  <si>
    <t>Smoking RRs</t>
  </si>
  <si>
    <t>IHD and stroke</t>
  </si>
  <si>
    <t>SSB mortality synthesis</t>
  </si>
  <si>
    <t>Context only</t>
  </si>
  <si>
    <t>Recent synthesis supports a high-versus-low mortality association but does not replace the dose-response input</t>
  </si>
  <si>
    <t>Evidence review</t>
  </si>
  <si>
    <t>Alcohol response</t>
  </si>
  <si>
    <t>Converted per litre/year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</si>
  <si>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</si>
  <si>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</si>
  <si>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</si>
  <si>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</si>
  <si>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</si>
  <si>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</si>
  <si>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</si>
  <si>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intervention-cause keys</t>
  </si>
  <si>
    <t>Each link key appears once</t>
  </si>
  <si>
    <t>QA02</t>
  </si>
  <si>
    <t>Exposure rows with missing/bad inputs</t>
  </si>
  <si>
    <t>Every intervention has exposure input</t>
  </si>
  <si>
    <t>QA03</t>
  </si>
  <si>
    <t>Policy levers with missing/bad fiscal or regulatory inputs</t>
  </si>
  <si>
    <t>Separate tax/regulation fields</t>
  </si>
  <si>
    <t>QA04</t>
  </si>
  <si>
    <t>Effect rows requiring review</t>
  </si>
  <si>
    <t>Twelve tobacco mortality proxy rows plus one exploratory SSB mortality row are intentionally marked REVIEW</t>
  </si>
  <si>
    <t>QA05</t>
  </si>
  <si>
    <t>Selected costs not localized for Indonesia</t>
  </si>
  <si>
    <t>Source costs still require adjustment</t>
  </si>
  <si>
    <t>QA06</t>
  </si>
  <si>
    <t>Interventions without exactly one exposure row</t>
  </si>
  <si>
    <t>Twelve interventions</t>
  </si>
  <si>
    <t>QA07</t>
  </si>
  <si>
    <t>Links without exactly one effect row</t>
  </si>
  <si>
    <t>Sixty-one uniquely keyed transition links</t>
  </si>
  <si>
    <t>QA08</t>
  </si>
  <si>
    <t>Links requiring cause expansion</t>
  </si>
  <si>
    <t>No unresolved cause expansion</t>
  </si>
  <si>
    <t>QA09</t>
  </si>
  <si>
    <t>Links outside allowed transition pairs</t>
  </si>
  <si>
    <t>Allowed: well -&gt; sick incidence and sick -&gt; dead case fatality</t>
  </si>
  <si>
    <t>QA10</t>
  </si>
  <si>
    <t>Effect rows missing a source</t>
  </si>
  <si>
    <t>Every effect cites a source</t>
  </si>
  <si>
    <t>QA11</t>
  </si>
  <si>
    <t>Direct-RR risks requiring a PAF in RR mode</t>
  </si>
  <si>
    <t>RR base case is PAF-independent</t>
  </si>
  <si>
    <t>QA12</t>
  </si>
  <si>
    <t>Separate IHD-high-blood-glucose links</t>
  </si>
  <si>
    <t>Avoid double counting</t>
  </si>
  <si>
    <t>QA13</t>
  </si>
  <si>
    <t>Regulatory levels outside none/partial/full</t>
  </si>
  <si>
    <t>Only requested categories</t>
  </si>
  <si>
    <t>QA14</t>
  </si>
  <si>
    <t>Tax rows missing fiscal baseline/target</t>
  </si>
  <si>
    <t>Explicit fiscal levels</t>
  </si>
  <si>
    <t>QA15</t>
  </si>
  <si>
    <t>Child interventions missing parent</t>
  </si>
  <si>
    <t>Nested children require parent</t>
  </si>
  <si>
    <t>QA16</t>
  </si>
  <si>
    <t>Tobacco child count differs from 3</t>
  </si>
  <si>
    <t>Clean air, media, ad ban</t>
  </si>
  <si>
    <t>QA17</t>
  </si>
  <si>
    <t>Salt child count differs from 4</t>
  </si>
  <si>
    <t>Reformulation, FOPL, media, institutions</t>
  </si>
  <si>
    <t>QA18</t>
  </si>
  <si>
    <t>Tobacco child cost shares do not sum to 1</t>
  </si>
  <si>
    <t>Preserve package cost</t>
  </si>
  <si>
    <t>QA19</t>
  </si>
  <si>
    <t>Salt child cost shares do not sum to 1</t>
  </si>
  <si>
    <t>QA20</t>
  </si>
  <si>
    <t>Sick -&gt; dead link count</t>
  </si>
  <si>
    <t>Twelve tobacco links plus one exploratory SSB link</t>
  </si>
  <si>
    <t>QA21</t>
  </si>
  <si>
    <t>Tobacco CVD sick -&gt; dead link count</t>
  </si>
  <si>
    <t>Four tobacco policies x three CVD causes</t>
  </si>
  <si>
    <t>QA22</t>
  </si>
  <si>
    <t>SSB mortality links enabled for base case</t>
  </si>
  <si>
    <t>Exploratory SSB mortality remains disabled by default</t>
  </si>
  <si>
    <t>QA23</t>
  </si>
  <si>
    <t>Sick -&gt; dead effects missing a source</t>
  </si>
  <si>
    <t>Every mortality effect cites its evidence</t>
  </si>
  <si>
    <t>QA24</t>
  </si>
  <si>
    <t>Tobacco CVD links not using Jha base timing</t>
  </si>
  <si>
    <t>All tobacco CVD incidence and mortality links use jha_piecewise_shared_scalar</t>
  </si>
  <si>
    <t>parent_scenario_name</t>
  </si>
  <si>
    <t>include_in_parent_scenario</t>
  </si>
  <si>
    <t>standalone_scenario_id</t>
  </si>
  <si>
    <t>parent_aggregation_rule</t>
  </si>
  <si>
    <t>outcome_reporting_rule</t>
  </si>
  <si>
    <t>cost_reporting_rule</t>
  </si>
  <si>
    <t>component_order</t>
  </si>
  <si>
    <t>source_note</t>
  </si>
  <si>
    <t>single intervention</t>
  </si>
  <si>
    <t>report intervention</t>
  </si>
  <si>
    <t>report intervention cost</t>
  </si>
  <si>
    <t>Fiscal</t>
  </si>
  <si>
    <t>run children jointly</t>
  </si>
  <si>
    <t>report child and parent</t>
  </si>
  <si>
    <t>sum child costs; rerun health jointly</t>
  </si>
  <si>
    <t>MPOWER</t>
  </si>
  <si>
    <t>Alcohol policy</t>
  </si>
  <si>
    <t>SHAKE</t>
  </si>
  <si>
    <t>REPLACE</t>
  </si>
  <si>
    <t>bca_base_year</t>
  </si>
  <si>
    <t>year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</si>
  <si>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</si>
  <si>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</si>
  <si>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</si>
  <si>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proportion/year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</si>
  <si>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</si>
  <si>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</si>
  <si>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</si>
  <si>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</si>
  <si>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</si>
  <si>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</si>
  <si>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</si>
  <si>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</si>
  <si>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</si>
  <si>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ratio (VSL/GNI per capita)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</si>
  <si>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</si>
  <si>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</si>
  <si>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</si>
  <si>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elasticity</t>
  </si>
  <si>
    <t>Income elasticity of VSL for LMIC extrapolation (preferred / reference case)</t>
  </si>
  <si>
    <t>vsl_floor_gni_multiple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</si>
  <si>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</si>
  <si>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</si>
  <si>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</si>
  <si>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</si>
  <si>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</si>
  <si>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</si>
  <si>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</si>
  <si>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</si>
  <si>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</si>
  <si>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</si>
  <si>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</si>
  <si>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</si>
  <si>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</si>
  <si>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</si>
  <si>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text</t>
  </si>
  <si>
    <t/>
  </si>
  <si>
    <t>Common monetary basis for BCA benefits and costs; VSL is transferred using GNI per capita at PPP</t>
  </si>
  <si>
    <t>bca_price_year</t>
  </si>
  <si>
    <t>Real price year for BCA benefits and costs (must match the cost price year)</t>
  </si>
  <si>
    <t>= cost_price_year / reporting_price_year</t>
  </si>
  <si>
    <t>cost_to_bca_currency_factor</t>
  </si>
  <si>
    <t>int$ per market US$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</si>
  <si>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</si>
  <si>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</si>
  <si>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</si>
  <si>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societal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</si>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</sst>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\$0.0000"/>
  </numFmts>
  <fonts count="14" x14ac:knownFonts="1">
    <font>
      <sz val="10"/>
      <name val="Arial"/>
      <family val="2"/>
      <charset val="1"/>
    </font>
    <font>
      <sz val="11"/>
      <color rgb="FF1F1F1F"/>
      <name val="Calibri"/>
    </font>
    <font>
      <b/>
      <sz val="10"/>
      <color rgb="FFFFFFFF"/>
      <name val="Calibri"/>
    </font>
    <font>
      <b/>
      <sz val="9"/>
      <color rgb="FF9C6500"/>
      <name val="Calibri"/>
    </font>
    <font>
      <b/>
      <sz val="11"/>
      <color rgb="FF7F6000"/>
      <name val="Calibri"/>
    </font>
    <font>
      <sz val="9"/>
      <color rgb="FF1F1F1F"/>
      <name val="Calibri"/>
    </font>
    <font>
      <sz val="10"/>
      <color rgb="FF1F1F1F"/>
      <name val="Calibri"/>
    </font>
    <font>
      <b/>
      <sz val="13"/>
      <color rgb="FF1F4E78"/>
      <name val="Calibri"/>
    </font>
    <font>
      <b/>
      <sz val="9"/>
      <color rgb="FFFFFFFF"/>
      <name val="Calibri"/>
    </font>
    <font>
      <i/>
      <sz val="10"/>
      <color rgb="FF44546A"/>
      <name val="Calibri"/>
    </font>
    <font>
      <b/>
      <sz val="18"/>
      <color rgb="FFFFFFFF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6F9"/>
      </patternFill>
    </fill>
    <fill>
      <patternFill patternType="solid">
        <fgColor rgb="FF0F6B6D"/>
        <bgColor rgb="FF156082"/>
      </patternFill>
    </fill>
    <fill>
      <patternFill patternType="solid">
        <fgColor rgb="FFE2F0D9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2F6F9"/>
        <bgColor rgb="FFF2F2F2"/>
      </patternFill>
    </fill>
    <fill>
      <patternFill patternType="solid">
        <fgColor rgb="FF1F4E78"/>
        <bgColor rgb="FF156082"/>
      </patternFill>
    </fill>
    <fill>
      <patternFill patternType="solid">
        <fgColor rgb="FFDDEBF7"/>
        <b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8" fillId="7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 wrapText="1"/>
    </xf>
    <xf numFmtId="164" fontId="5" fillId="5" borderId="0" xfId="0" applyNumberFormat="1" applyFont="1" applyFill="1" applyAlignment="1">
      <alignment vertical="center" wrapText="1"/>
    </xf>
    <xf numFmtId="0" fontId="11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165" fontId="11" fillId="5" borderId="0" xfId="0" applyNumberFormat="1" applyFont="1" applyFill="1" applyAlignment="1">
      <alignment wrapText="1"/>
    </xf>
    <xf numFmtId="166" fontId="5" fillId="0" borderId="0" xfId="0" applyNumberFormat="1" applyFont="1" applyAlignment="1">
      <alignment vertical="center" wrapText="1"/>
    </xf>
    <xf numFmtId="166" fontId="5" fillId="5" borderId="0" xfId="0" applyNumberFormat="1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5" fillId="5" borderId="0" xfId="0" applyNumberFormat="1" applyFont="1" applyFill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wrapText="1"/>
    </xf>
    <xf numFmtId="167" fontId="5" fillId="0" borderId="0" xfId="0" applyNumberFormat="1" applyFont="1" applyAlignment="1">
      <alignment vertical="center" wrapText="1"/>
    </xf>
    <xf numFmtId="167" fontId="5" fillId="5" borderId="0" xfId="0" applyNumberFormat="1" applyFont="1" applyFill="1" applyAlignment="1">
      <alignment vertical="center" wrapText="1"/>
    </xf>
    <xf numFmtId="0" fontId="12" fillId="9" borderId="0" xfId="0" applyFont="1" applyFill="1"/>
    <xf numFmtId="164" fontId="5" fillId="5" borderId="0" xfId="1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8"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7F6000"/>
      <rgbColor rgb="FF800080"/>
      <rgbColor rgb="FF0F6B6D"/>
      <rgbColor rgb="FFF2F2F2"/>
      <rgbColor rgb="FF9C6500"/>
      <rgbColor rgb="FF9999FF"/>
      <rgbColor rgb="FF993366"/>
      <rgbColor rgb="FFFFF2CC"/>
      <rgbColor rgb="FFDDEBF7"/>
      <rgbColor rgb="FF660066"/>
      <rgbColor rgb="FFFF8080"/>
      <rgbColor rgb="FF0066CC"/>
      <rgbColor rgb="FFD9EAD3"/>
      <rgbColor rgb="FF000080"/>
      <rgbColor rgb="FFFF00FF"/>
      <rgbColor rgb="FFFFFF00"/>
      <rgbColor rgb="FF00FFFF"/>
      <rgbColor rgb="FF800080"/>
      <rgbColor rgb="FF9C0006"/>
      <rgbColor rgb="FF156082"/>
      <rgbColor rgb="FF0000FF"/>
      <rgbColor rgb="FF00B050"/>
      <rgbColor rgb="FFF2F6F9"/>
      <rgbColor rgb="FFE2F0D9"/>
      <rgbColor rgb="FFFCE4D6"/>
      <rgbColor rgb="FF99CCFF"/>
      <rgbColor rgb="FFFF99CC"/>
      <rgbColor rgb="FFCC99FF"/>
      <rgbColor rgb="FFF4CCCC"/>
      <rgbColor rgb="FF3366FF"/>
      <rgbColor rgb="FF46B1E1"/>
      <rgbColor rgb="FF99CC00"/>
      <rgbColor rgb="FFFFCC00"/>
      <rgbColor rgb="FFFF9900"/>
      <rgbColor rgb="FFFF6600"/>
      <rgbColor rgb="FF44546A"/>
      <rgbColor rgb="FF969696"/>
      <rgbColor rgb="FF003366"/>
      <rgbColor rgb="FF2E7D32"/>
      <rgbColor rgb="FF003300"/>
      <rgbColor rgb="FF274E13"/>
      <rgbColor rgb="FF9C57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R Garcia" id="{0B877204-B2C5-4430-B652-0328A906551F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HAssumptionsTable" displayName="PHAssumptionsTable" ref="A1:H37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Dictionary" displayName="RiskDictionary" ref="F1:I6" totalsRowShown="0">
  <tableColumns count="4">
    <tableColumn id="1" xr3:uid="{00000000-0010-0000-0300-000001000000}" name="risk_id"/>
    <tableColumn id="2" xr3:uid="{00000000-0010-0000-0300-000002000000}" name="risk_name"/>
    <tableColumn id="3" xr3:uid="{00000000-0010-0000-0300-000003000000}" name="exposure_measure"/>
    <tableColumn id="4" xr3:uid="{00000000-0010-0000-0300-000004000000}" name="exposure_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HInterventionDictionary" displayName="PHInterventionDictionary" ref="A1:D13" totalsRowShown="0">
  <tableColumns count="4">
    <tableColumn id="1" xr3:uid="{00000000-0010-0000-0200-000001000000}" name="intervention_id"/>
    <tableColumn id="2" xr3:uid="{00000000-0010-0000-0200-000002000000}" name="intervention_name"/>
    <tableColumn id="3" xr3:uid="{00000000-0010-0000-0200-000003000000}" name="package_group"/>
    <tableColumn id="4" xr3:uid="{00000000-0010-0000-0200-000004000000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HCauseDictionary" displayName="PHCauseDictionary" ref="K1:O10" totalsRowShown="0">
  <tableColumns count="5">
    <tableColumn id="1" xr3:uid="{00000000-0010-0000-0100-000001000000}" name="cause_id"/>
    <tableColumn id="2" xr3:uid="{00000000-0010-0000-0100-000002000000}" name="cause_name"/>
    <tableColumn id="3" xr3:uid="{00000000-0010-0000-0100-000003000000}" name="model_name"/>
    <tableColumn id="4" xr3:uid="{00000000-0010-0000-0100-000004000000}" name="is_model_cause"/>
    <tableColumn id="5" xr3:uid="{00000000-0010-0000-0100-000005000000}" name="mapping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PHInterventionCauseMap" displayName="PHInterventionCauseMap" ref="A1:Q62" totalsRowShown="0">
  <tableColumns count="17">
    <tableColumn id="1" xr3:uid="{00000000-0010-0000-0400-000001000000}" name="intervention_cause_key"/>
    <tableColumn id="2" xr3:uid="{00000000-0010-0000-0400-000002000000}" name="intervention_id"/>
    <tableColumn id="3" xr3:uid="{00000000-0010-0000-0400-000003000000}" name="risk_id"/>
    <tableColumn id="4" xr3:uid="{00000000-0010-0000-0400-000004000000}" name="intervention_name"/>
    <tableColumn id="5" xr3:uid="{00000000-0010-0000-0400-000005000000}" name="risk_name"/>
    <tableColumn id="6" xr3:uid="{00000000-0010-0000-0400-000006000000}" name="cause_id"/>
    <tableColumn id="7" xr3:uid="{00000000-0010-0000-0400-000007000000}" name="cause_name"/>
    <tableColumn id="8" xr3:uid="{00000000-0010-0000-0400-000008000000}" name="effect_key"/>
    <tableColumn id="9" xr3:uid="{00000000-0010-0000-0400-000009000000}" name="exposure_key"/>
    <tableColumn id="10" xr3:uid="{00000000-0010-0000-0400-00000A000000}" name="cost_join_key"/>
    <tableColumn id="11" xr3:uid="{00000000-0010-0000-0400-00000B000000}" name="cost_scope"/>
    <tableColumn id="12" xr3:uid="{00000000-0010-0000-0400-00000C000000}" name="transition_from"/>
    <tableColumn id="13" xr3:uid="{00000000-0010-0000-0400-00000D000000}" name="transition_to"/>
    <tableColumn id="14" xr3:uid="{00000000-0010-0000-0400-00000E000000}" name="include_flag"/>
    <tableColumn id="15" xr3:uid="{00000000-0010-0000-0400-00000F000000}" name="requires_cause_expansion"/>
    <tableColumn id="16" xr3:uid="{00000000-0010-0000-0400-000010000000}" name="notes"/>
    <tableColumn id="17" xr3:uid="{00000000-0010-0000-0400-000011000000}" name="duplicate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PolicyLeversTable" displayName="PolicyLeversTable" ref="A1:AB13" totalsRowShown="0">
  <tableColumns count="28">
    <tableColumn id="1" xr3:uid="{00000000-0010-0000-0500-000001000000}" name="lever_id"/>
    <tableColumn id="2" xr3:uid="{00000000-0010-0000-0500-000002000000}" name="intervention_id"/>
    <tableColumn id="3" xr3:uid="{00000000-0010-0000-0500-000003000000}" name="intervention_name"/>
    <tableColumn id="4" xr3:uid="{00000000-0010-0000-0500-000004000000}" name="component"/>
    <tableColumn id="5" xr3:uid="{00000000-0010-0000-0500-000005000000}" name="lever_method"/>
    <tableColumn id="6" xr3:uid="{00000000-0010-0000-0500-000006000000}" name="baseline_value"/>
    <tableColumn id="7" xr3:uid="{00000000-0010-0000-0500-000007000000}" name="target_value"/>
    <tableColumn id="8" xr3:uid="{00000000-0010-0000-0500-000008000000}" name="lever_unit"/>
    <tableColumn id="9" xr3:uid="{00000000-0010-0000-0500-000009000000}" name="effect_parameter"/>
    <tableColumn id="10" xr3:uid="{00000000-0010-0000-0500-00000A000000}" name="effect_parameter_unit"/>
    <tableColumn id="11" xr3:uid="{00000000-0010-0000-0500-00000B000000}" name="estimated_risk_reduction"/>
    <tableColumn id="12" xr3:uid="{00000000-0010-0000-0500-00000C000000}" name="source"/>
    <tableColumn id="13" xr3:uid="{00000000-0010-0000-0500-00000D000000}" name="review_status"/>
    <tableColumn id="14" xr3:uid="{00000000-0010-0000-0500-00000E000000}" name="notes"/>
    <tableColumn id="15" xr3:uid="{00000000-0010-0000-0500-00000F000000}" name="qa_status"/>
    <tableColumn id="16" xr3:uid="{00000000-0010-0000-0500-000010000000}" name="parent_package_id"/>
    <tableColumn id="17" xr3:uid="{00000000-0010-0000-0500-000011000000}" name="parent_package_name"/>
    <tableColumn id="18" xr3:uid="{00000000-0010-0000-0500-000012000000}" name="intervention_role"/>
    <tableColumn id="19" xr3:uid="{00000000-0010-0000-0500-000013000000}" name="fiscal_baseline_tax_level"/>
    <tableColumn id="20" xr3:uid="{00000000-0010-0000-0500-000014000000}" name="fiscal_target_tax_level"/>
    <tableColumn id="21" xr3:uid="{00000000-0010-0000-0500-000015000000}" name="fiscal_tax_level_unit"/>
    <tableColumn id="22" xr3:uid="{00000000-0010-0000-0500-000016000000}" name="regulatory_baseline_level"/>
    <tableColumn id="23" xr3:uid="{00000000-0010-0000-0500-000017000000}" name="regulatory_target_level"/>
    <tableColumn id="24" xr3:uid="{00000000-0010-0000-0500-000018000000}" name="regulatory_baseline_score"/>
    <tableColumn id="25" xr3:uid="{00000000-0010-0000-0500-000019000000}" name="regulatory_target_score"/>
    <tableColumn id="26" xr3:uid="{00000000-0010-0000-0500-00001A000000}" name="implementation_gap"/>
    <tableColumn id="27" xr3:uid="{00000000-0010-0000-0500-00001B000000}" name="implied_price_change"/>
    <tableColumn id="28" xr3:uid="{00000000-0010-0000-0500-00001C000000}" name="fiscal_tax_del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ExposureTargetsTable" displayName="ExposureTargetsTable" ref="A1:U13" totalsRowShown="0">
  <tableColumns count="21">
    <tableColumn id="1" xr3:uid="{00000000-0010-0000-0600-000001000000}" name="exposure_input_id"/>
    <tableColumn id="2" xr3:uid="{00000000-0010-0000-0600-000002000000}" name="intervention_id"/>
    <tableColumn id="3" xr3:uid="{00000000-0010-0000-0600-000003000000}" name="risk_id"/>
    <tableColumn id="4" xr3:uid="{00000000-0010-0000-0600-000004000000}" name="intervention_name"/>
    <tableColumn id="5" xr3:uid="{00000000-0010-0000-0600-000005000000}" name="risk_exposure_measure"/>
    <tableColumn id="6" xr3:uid="{00000000-0010-0000-0600-000006000000}" name="exposure_unit"/>
    <tableColumn id="7" xr3:uid="{00000000-0010-0000-0600-000007000000}" name="baseline_exposure"/>
    <tableColumn id="8" xr3:uid="{00000000-0010-0000-0600-000008000000}" name="reduction_method"/>
    <tableColumn id="9" xr3:uid="{00000000-0010-0000-0600-000009000000}" name="desired_reduction_override"/>
    <tableColumn id="10" xr3:uid="{00000000-0010-0000-0600-00000A000000}" name="recommended_reduction_or_target"/>
    <tableColumn id="11" xr3:uid="{00000000-0010-0000-0600-00000B000000}" name="applied_reduction_or_target"/>
    <tableColumn id="12" xr3:uid="{00000000-0010-0000-0600-00000C000000}" name="exposure_floor"/>
    <tableColumn id="13" xr3:uid="{00000000-0010-0000-0600-00000D000000}" name="target_exposure"/>
    <tableColumn id="14" xr3:uid="{00000000-0010-0000-0600-00000E000000}" name="absolute_reduction"/>
    <tableColumn id="15" xr3:uid="{00000000-0010-0000-0600-00000F000000}" name="relative_reduction"/>
    <tableColumn id="16" xr3:uid="{00000000-0010-0000-0600-000010000000}" name="start_year"/>
    <tableColumn id="17" xr3:uid="{00000000-0010-0000-0600-000011000000}" name="target_year"/>
    <tableColumn id="18" xr3:uid="{00000000-0010-0000-0600-000012000000}" name="scale_up_shape"/>
    <tableColumn id="19" xr3:uid="{00000000-0010-0000-0600-000013000000}" name="source"/>
    <tableColumn id="20" xr3:uid="{00000000-0010-0000-0600-000014000000}" name="review_status"/>
    <tableColumn id="21" xr3:uid="{00000000-0010-0000-0600-000015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PHEffectParametersTable" displayName="PHEffectParametersTable" ref="A1:W62" totalsRowShown="0">
  <tableColumns count="23">
    <tableColumn id="1" xr3:uid="{00000000-0010-0000-0700-000001000000}" name="effect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risk_id"/>
    <tableColumn id="5" xr3:uid="{00000000-0010-0000-0700-000005000000}" name="cause_id"/>
    <tableColumn id="6" xr3:uid="{00000000-0010-0000-0700-000006000000}" name="effect_model"/>
    <tableColumn id="7" xr3:uid="{00000000-0010-0000-0700-000007000000}" name="response_key"/>
    <tableColumn id="8" xr3:uid="{00000000-0010-0000-0700-000008000000}" name="response_parameter"/>
    <tableColumn id="9" xr3:uid="{00000000-0010-0000-0700-000009000000}" name="response_value"/>
    <tableColumn id="10" xr3:uid="{00000000-0010-0000-0700-00000A000000}" name="response_unit"/>
    <tableColumn id="11" xr3:uid="{00000000-0010-0000-0700-00000B000000}" name="paf_value"/>
    <tableColumn id="12" xr3:uid="{00000000-0010-0000-0700-00000C000000}" name="paf_required_flag"/>
    <tableColumn id="13" xr3:uid="{00000000-0010-0000-0700-00000D000000}" name="paf_threshold"/>
    <tableColumn id="14" xr3:uid="{00000000-0010-0000-0700-00000E000000}" name="lag_model"/>
    <tableColumn id="15" xr3:uid="{00000000-0010-0000-0700-00000F000000}" name="lag_parameter"/>
    <tableColumn id="16" xr3:uid="{00000000-0010-0000-0700-000010000000}" name="transition_from"/>
    <tableColumn id="17" xr3:uid="{00000000-0010-0000-0700-000011000000}" name="transition_to"/>
    <tableColumn id="18" xr3:uid="{00000000-0010-0000-0700-000012000000}" name="source_file"/>
    <tableColumn id="19" xr3:uid="{00000000-0010-0000-0700-000013000000}" name="source_location"/>
    <tableColumn id="20" xr3:uid="{00000000-0010-0000-0700-000014000000}" name="review_status"/>
    <tableColumn id="21" xr3:uid="{00000000-0010-0000-0700-000015000000}" name="notes"/>
    <tableColumn id="22" xr3:uid="{00000000-0010-0000-0700-000016000000}" name="map_match_count"/>
    <tableColumn id="23" xr3:uid="{00000000-0010-0000-0700-000017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RiskResponseTable" displayName="RiskResponseTable" ref="A1:Q63" totalsRowShown="0">
  <tableColumns count="17">
    <tableColumn id="1" xr3:uid="{00000000-0010-0000-0800-000001000000}" name="response_key"/>
    <tableColumn id="2" xr3:uid="{00000000-0010-0000-0800-000002000000}" name="risk_id"/>
    <tableColumn id="3" xr3:uid="{00000000-0010-0000-0800-000003000000}" name="selection_status"/>
    <tableColumn id="4" xr3:uid="{00000000-0010-0000-0800-000004000000}" name="response_name"/>
    <tableColumn id="5" xr3:uid="{00000000-0010-0000-0800-000005000000}" name="age_start"/>
    <tableColumn id="6" xr3:uid="{00000000-0010-0000-0800-000006000000}" name="age_stop"/>
    <tableColumn id="7" xr3:uid="{00000000-0010-0000-0800-000007000000}" name="sex"/>
    <tableColumn id="8" xr3:uid="{00000000-0010-0000-0800-000008000000}" name="cause_id"/>
    <tableColumn id="9" xr3:uid="{00000000-0010-0000-0800-000009000000}" name="cause_scope"/>
    <tableColumn id="10" xr3:uid="{00000000-0010-0000-0800-00000A000000}" name="source_effect_value"/>
    <tableColumn id="11" xr3:uid="{00000000-0010-0000-0800-00000B000000}" name="source_effect_unit"/>
    <tableColumn id="12" xr3:uid="{00000000-0010-0000-0800-00000C000000}" name="model_response_value"/>
    <tableColumn id="13" xr3:uid="{00000000-0010-0000-0800-00000D000000}" name="model_response_unit"/>
    <tableColumn id="14" xr3:uid="{00000000-0010-0000-0800-00000E000000}" name="derivation"/>
    <tableColumn id="15" xr3:uid="{00000000-0010-0000-0800-00000F000000}" name="source"/>
    <tableColumn id="16" xr3:uid="{00000000-0010-0000-0800-000010000000}" name="selected_for_base_case"/>
    <tableColumn id="17" xr3:uid="{00000000-0010-0000-0800-000011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PHModelInputViewTable" displayName="PHModelInputViewTable" ref="A1:S62" totalsRowShown="0">
  <tableColumns count="19">
    <tableColumn id="1" xr3:uid="{00000000-0010-0000-0900-000001000000}" name="intervention_cause_key"/>
    <tableColumn id="2" xr3:uid="{00000000-0010-0000-0900-000002000000}" name="intervention_name"/>
    <tableColumn id="3" xr3:uid="{00000000-0010-0000-0900-000003000000}" name="risk_name"/>
    <tableColumn id="4" xr3:uid="{00000000-0010-0000-0900-000004000000}" name="cause_name"/>
    <tableColumn id="5" xr3:uid="{00000000-0010-0000-0900-000005000000}" name="transition_from"/>
    <tableColumn id="6" xr3:uid="{00000000-0010-0000-0900-000006000000}" name="transition_to"/>
    <tableColumn id="7" xr3:uid="{00000000-0010-0000-0900-000007000000}" name="baseline_exposure"/>
    <tableColumn id="8" xr3:uid="{00000000-0010-0000-0900-000008000000}" name="target_exposure"/>
    <tableColumn id="9" xr3:uid="{00000000-0010-0000-0900-000009000000}" name="absolute_reduction"/>
    <tableColumn id="10" xr3:uid="{00000000-0010-0000-0900-00000A000000}" name="relative_reduction"/>
    <tableColumn id="11" xr3:uid="{00000000-0010-0000-0900-00000B000000}" name="effect_model"/>
    <tableColumn id="12" xr3:uid="{00000000-0010-0000-0900-00000C000000}" name="response_value"/>
    <tableColumn id="13" xr3:uid="{00000000-0010-0000-0900-00000D000000}" name="paf_value"/>
    <tableColumn id="14" xr3:uid="{00000000-0010-0000-0900-00000E000000}" name="lag_model"/>
    <tableColumn id="15" xr3:uid="{00000000-0010-0000-0900-00000F000000}" name="illustrative_full_effect"/>
    <tableColumn id="16" xr3:uid="{00000000-0010-0000-0900-000010000000}" name="cost_join_key"/>
    <tableColumn id="17" xr3:uid="{00000000-0010-0000-0900-000011000000}" name="cost_scope"/>
    <tableColumn id="18" xr3:uid="{00000000-0010-0000-0900-000012000000}" name="selected_policy_cost_usd_per_capita"/>
    <tableColumn id="19" xr3:uid="{00000000-0010-0000-0900-000013000000}" name="review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PHCostComponentsTable" displayName="PHCostComponentsTable" ref="A1:AH15" totalsRowShown="0">
  <tableColumns count="34">
    <tableColumn id="1" xr3:uid="{00000000-0010-0000-0A00-000001000000}" name="cost_record_id"/>
    <tableColumn id="2" xr3:uid="{00000000-0010-0000-0A00-000002000000}" name="cost_component_key"/>
    <tableColumn id="3" xr3:uid="{00000000-0010-0000-0A00-000003000000}" name="cost_option"/>
    <tableColumn id="4" xr3:uid="{00000000-0010-0000-0A00-000004000000}" name="selected_for_base_case"/>
    <tableColumn id="5" xr3:uid="{00000000-0010-0000-0A00-000005000000}" name="intervention_id"/>
    <tableColumn id="6" xr3:uid="{00000000-0010-0000-0A00-000006000000}" name="cause_id"/>
    <tableColumn id="7" xr3:uid="{00000000-0010-0000-0A00-000007000000}" name="cost_join_key"/>
    <tableColumn id="8" xr3:uid="{00000000-0010-0000-0A00-000008000000}" name="intervention_name"/>
    <tableColumn id="9" xr3:uid="{00000000-0010-0000-0A00-000009000000}" name="cause_name"/>
    <tableColumn id="10" xr3:uid="{00000000-0010-0000-0A00-00000A000000}" name="cost_component"/>
    <tableColumn id="11" xr3:uid="{00000000-0010-0000-0A00-00000B000000}" name="population_in_need_measure"/>
    <tableColumn id="12" xr3:uid="{00000000-0010-0000-0A00-00000C000000}" name="population_in_need_fraction"/>
    <tableColumn id="13" xr3:uid="{00000000-0010-0000-0A00-00000D000000}" name="cost_unit"/>
    <tableColumn id="14" xr3:uid="{00000000-0010-0000-0A00-00000E000000}" name="frequency_per_year"/>
    <tableColumn id="15" xr3:uid="{00000000-0010-0000-0A00-00000F000000}" name="age_start"/>
    <tableColumn id="16" xr3:uid="{00000000-0010-0000-0A00-000010000000}" name="age_stop"/>
    <tableColumn id="17" xr3:uid="{00000000-0010-0000-0A00-000011000000}" name="sex"/>
    <tableColumn id="18" xr3:uid="{00000000-0010-0000-0A00-000012000000}" name="platform"/>
    <tableColumn id="19" xr3:uid="{00000000-0010-0000-0A00-000013000000}" name="unit_cost_usd"/>
    <tableColumn id="20" xr3:uid="{00000000-0010-0000-0A00-000014000000}" name="price_year"/>
    <tableColumn id="21" xr3:uid="{00000000-0010-0000-0A00-000015000000}" name="indonesia_adjusted_flag"/>
    <tableColumn id="22" xr3:uid="{00000000-0010-0000-0A00-000016000000}" name="source_country"/>
    <tableColumn id="23" xr3:uid="{00000000-0010-0000-0A00-000017000000}" name="source_file"/>
    <tableColumn id="24" xr3:uid="{00000000-0010-0000-0A00-000018000000}" name="source_row"/>
    <tableColumn id="25" xr3:uid="{00000000-0010-0000-0A00-000019000000}" name="review_status"/>
    <tableColumn id="26" xr3:uid="{00000000-0010-0000-0A00-00001A000000}" name="notes"/>
    <tableColumn id="27" xr3:uid="{00000000-0010-0000-0A00-00001B000000}" name="map_match_count"/>
    <tableColumn id="28" xr3:uid="{00000000-0010-0000-0A00-00001C000000}" name="selection_count"/>
    <tableColumn id="29" xr3:uid="{00000000-0010-0000-0A00-00001D000000}" name="qa_status"/>
    <tableColumn id="30" xr3:uid="{00000000-0010-0000-0A00-00001E000000}" name="parent_package_id"/>
    <tableColumn id="31" xr3:uid="{00000000-0010-0000-0A00-00001F000000}" name="cost_allocation_share"/>
    <tableColumn id="32" xr3:uid="{00000000-0010-0000-0A00-000020000000}" name="package_total_cost_usd_per_capita"/>
    <tableColumn id="33" xr3:uid="{00000000-0010-0000-0A00-000021000000}" name="allocation_method"/>
    <tableColumn id="34" xr3:uid="{00000000-0010-0000-0A00-000022000000}" name="scenario_ro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CountdownMethodsTable" displayName="CountdownMethodsTable" ref="A1:F24" totalsRowShown="0">
  <tableColumns count="6">
    <tableColumn id="1" xr3:uid="{00000000-0010-0000-0B00-000001000000}" name="method_id"/>
    <tableColumn id="2" xr3:uid="{00000000-0010-0000-0B00-000002000000}" name="concept"/>
    <tableColumn id="3" xr3:uid="{00000000-0010-0000-0B00-000003000000}" name="formula_or_rule"/>
    <tableColumn id="4" xr3:uid="{00000000-0010-0000-0B00-000004000000}" name="implemented_in"/>
    <tableColumn id="5" xr3:uid="{00000000-0010-0000-0B00-000005000000}" name="linkage_key"/>
    <tableColumn id="6" xr3:uid="{00000000-0010-0000-0B00-000006000000}" name="Indonesia 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PHSourceLogTable" displayName="PHSourceLogTable" ref="F1:I13" totalsRowShown="0">
  <tableColumns count="4">
    <tableColumn id="1" xr3:uid="{00000000-0010-0000-0D00-000001000000}" name="source"/>
    <tableColumn id="2" xr3:uid="{00000000-0010-0000-0D00-000002000000}" name="use"/>
    <tableColumn id="3" xr3:uid="{00000000-0010-0000-0D00-000003000000}" name="location"/>
    <tableColumn id="4" xr3:uid="{00000000-0010-0000-0D00-000004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PHScopeTable" displayName="PHScopeTable" ref="A1:D13" totalsRowShown="0">
  <tableColumns count="4">
    <tableColumn id="1" xr3:uid="{00000000-0010-0000-0C00-000001000000}" name="item"/>
    <tableColumn id="2" xr3:uid="{00000000-0010-0000-0C00-000002000000}" name="decision"/>
    <tableColumn id="3" xr3:uid="{00000000-0010-0000-0C00-000003000000}" name="reason"/>
    <tableColumn id="4" xr3:uid="{00000000-0010-0000-0C00-000004000000}" name="domai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PHQAChecksTable" displayName="PHQAChecksTable" ref="A1:F25" totalsRowShown="0">
  <tableColumns count="6">
    <tableColumn id="1" xr3:uid="{00000000-0010-0000-0E00-000001000000}" name="check_id"/>
    <tableColumn id="2" xr3:uid="{00000000-0010-0000-0E00-000002000000}" name="check"/>
    <tableColumn id="3" xr3:uid="{00000000-0010-0000-0E00-000003000000}" name="expected"/>
    <tableColumn id="4" xr3:uid="{00000000-0010-0000-0E00-000004000000}" name="actual"/>
    <tableColumn id="5" xr3:uid="{00000000-0010-0000-0E00-000005000000}" name="status"/>
    <tableColumn id="6" xr3:uid="{00000000-0010-0000-0E00-000006000000}" name="interpret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ScenarioHierarchyTable" displayName="ScenarioHierarchyTable" ref="A1:M13" totalsRowShown="0">
  <tableColumns count="13">
    <tableColumn id="1" xr3:uid="{00000000-0010-0000-0F00-000001000000}" name="parent_scenario_id"/>
    <tableColumn id="2" xr3:uid="{00000000-0010-0000-0F00-000002000000}" name="parent_scenario_name"/>
    <tableColumn id="3" xr3:uid="{00000000-0010-0000-0F00-000003000000}" name="intervention_id"/>
    <tableColumn id="4" xr3:uid="{00000000-0010-0000-0F00-000004000000}" name="intervention_name"/>
    <tableColumn id="5" xr3:uid="{00000000-0010-0000-0F00-000005000000}" name="package_group"/>
    <tableColumn id="6" xr3:uid="{00000000-0010-0000-0F00-000006000000}" name="scenario_role"/>
    <tableColumn id="7" xr3:uid="{00000000-0010-0000-0F00-000007000000}" name="include_in_parent_scenario"/>
    <tableColumn id="8" xr3:uid="{00000000-0010-0000-0F00-000008000000}" name="standalone_scenario_id"/>
    <tableColumn id="9" xr3:uid="{00000000-0010-0000-0F00-000009000000}" name="parent_aggregation_rule"/>
    <tableColumn id="10" xr3:uid="{00000000-0010-0000-0F00-00000A000000}" name="outcome_reporting_rule"/>
    <tableColumn id="11" xr3:uid="{00000000-0010-0000-0F00-00000B000000}" name="cost_reporting_rule"/>
    <tableColumn id="12" xr3:uid="{00000000-0010-0000-0F00-00000C000000}" name="component_order"/>
    <tableColumn id="13" xr3:uid="{00000000-0010-0000-0F00-00000D000000}" name="sour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6-08-29T15:08:01.16" personId="{0B877204-B2C5-4430-B652-0328A906551F}" id="{B115BCF6-C10A-4345-A98E-EF93B6200499}">
    <text>Updated to 61.39% to match the 724K deaths of tobacco analysis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18" zoomScaleNormal="100" workbookViewId="0">
      <selection activeCell="B25" sqref="B25:H25"/>
    </sheetView>
  </sheetViews>
  <sheetFormatPr defaultColWidth="11.5546875" defaultRowHeight="13.2" x14ac:dyDescent="0.25"/>
  <cols>
    <col min="1" max="1" width="14" customWidth="1"/>
    <col min="2" max="8" width="17" customWidth="1"/>
  </cols>
  <sheetData>
    <row r="1" spans="1:8" ht="30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ht="13.8" customHeight="1" x14ac:dyDescent="0.25">
      <c r="A3" s="30" t="s">
        <v>1</v>
      </c>
      <c r="B3" s="30"/>
      <c r="C3" s="30"/>
      <c r="D3" s="30"/>
      <c r="E3" s="30"/>
      <c r="F3" s="30"/>
      <c r="G3" s="30"/>
      <c r="H3" s="30"/>
    </row>
    <row r="4" spans="1:8" ht="14.4" customHeight="1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31" t="s">
        <v>2</v>
      </c>
      <c r="B5" s="31"/>
      <c r="C5" s="31" t="s">
        <v>3</v>
      </c>
      <c r="D5" s="31"/>
      <c r="E5" s="31" t="s">
        <v>4</v>
      </c>
      <c r="F5" s="31"/>
      <c r="G5" s="31" t="s">
        <v>5</v>
      </c>
      <c r="H5" s="31"/>
    </row>
    <row r="6" spans="1:8" x14ac:dyDescent="0.25">
      <c r="A6" s="28" t="str">
        <f>IF(COUNTIF(QA_Checks!$E$2:$E$25,"FAIL")=0,"READY","REVIEW REQUIRED")</f>
        <v>REVIEW REQUIRED</v>
      </c>
      <c r="B6" s="28"/>
      <c r="C6" s="28">
        <f>COUNTA(Exposure_Targets!$B$2:$B$13)</f>
        <v>12</v>
      </c>
      <c r="D6" s="28"/>
      <c r="E6" s="28">
        <f>COUNTA(Dictionaries!$F$2:$F$6)</f>
        <v>5</v>
      </c>
      <c r="F6" s="28"/>
      <c r="G6" s="28">
        <f>COUNTA(Intervention_Cause_Map!$A$2:$A$62)</f>
        <v>61</v>
      </c>
      <c r="H6" s="28"/>
    </row>
    <row r="7" spans="1:8" x14ac:dyDescent="0.25">
      <c r="A7" s="28"/>
      <c r="B7" s="28"/>
      <c r="C7" s="28"/>
      <c r="D7" s="28"/>
      <c r="E7" s="28"/>
      <c r="F7" s="28"/>
      <c r="G7" s="28"/>
      <c r="H7" s="28"/>
    </row>
    <row r="8" spans="1:8" ht="14.4" customHeight="1" x14ac:dyDescent="0.25">
      <c r="A8" s="6"/>
      <c r="B8" s="6"/>
      <c r="C8" s="6"/>
      <c r="D8" s="6"/>
      <c r="E8" s="6"/>
      <c r="F8" s="6"/>
      <c r="G8" s="6"/>
      <c r="H8" s="6"/>
    </row>
    <row r="9" spans="1:8" ht="13.8" customHeight="1" x14ac:dyDescent="0.25">
      <c r="A9" s="27" t="s">
        <v>6</v>
      </c>
      <c r="B9" s="27"/>
      <c r="C9" s="27"/>
      <c r="D9" s="27"/>
      <c r="E9" s="27"/>
      <c r="F9" s="27"/>
      <c r="G9" s="27"/>
      <c r="H9" s="27"/>
    </row>
    <row r="10" spans="1:8" ht="36" customHeight="1" x14ac:dyDescent="0.25">
      <c r="A10" s="1" t="s">
        <v>7</v>
      </c>
      <c r="B10" s="26" t="s">
        <v>8</v>
      </c>
      <c r="C10" s="26"/>
      <c r="D10" s="26"/>
      <c r="E10" s="26"/>
      <c r="F10" s="26"/>
      <c r="G10" s="26"/>
      <c r="H10" s="26"/>
    </row>
    <row r="11" spans="1:8" ht="36" customHeight="1" x14ac:dyDescent="0.25">
      <c r="A11" s="1" t="s">
        <v>9</v>
      </c>
      <c r="B11" s="26" t="s">
        <v>10</v>
      </c>
      <c r="C11" s="26"/>
      <c r="D11" s="26"/>
      <c r="E11" s="26"/>
      <c r="F11" s="26"/>
      <c r="G11" s="26"/>
      <c r="H11" s="26"/>
    </row>
    <row r="12" spans="1:8" ht="36" customHeight="1" x14ac:dyDescent="0.25">
      <c r="A12" s="1" t="s">
        <v>11</v>
      </c>
      <c r="B12" s="26" t="s">
        <v>12</v>
      </c>
      <c r="C12" s="26"/>
      <c r="D12" s="26"/>
      <c r="E12" s="26"/>
      <c r="F12" s="26"/>
      <c r="G12" s="26"/>
      <c r="H12" s="26"/>
    </row>
    <row r="13" spans="1:8" ht="36" customHeight="1" x14ac:dyDescent="0.25">
      <c r="A13" s="1" t="s">
        <v>13</v>
      </c>
      <c r="B13" s="26" t="s">
        <v>14</v>
      </c>
      <c r="C13" s="26"/>
      <c r="D13" s="26"/>
      <c r="E13" s="26"/>
      <c r="F13" s="26"/>
      <c r="G13" s="26"/>
      <c r="H13" s="26"/>
    </row>
    <row r="14" spans="1:8" ht="36" customHeight="1" x14ac:dyDescent="0.25">
      <c r="A14" s="1" t="s">
        <v>15</v>
      </c>
      <c r="B14" s="26" t="s">
        <v>16</v>
      </c>
      <c r="C14" s="26"/>
      <c r="D14" s="26"/>
      <c r="E14" s="26"/>
      <c r="F14" s="26"/>
      <c r="G14" s="26"/>
      <c r="H14" s="26"/>
    </row>
    <row r="15" spans="1:8" ht="36" customHeight="1" x14ac:dyDescent="0.25">
      <c r="A15" s="1" t="s">
        <v>17</v>
      </c>
      <c r="B15" s="26" t="s">
        <v>18</v>
      </c>
      <c r="C15" s="26"/>
      <c r="D15" s="26"/>
      <c r="E15" s="26"/>
      <c r="F15" s="26"/>
      <c r="G15" s="26"/>
      <c r="H15" s="26"/>
    </row>
    <row r="16" spans="1:8" ht="36" customHeight="1" x14ac:dyDescent="0.25">
      <c r="A16" s="6"/>
      <c r="B16" s="6"/>
      <c r="C16" s="6"/>
      <c r="D16" s="6"/>
      <c r="E16" s="6"/>
      <c r="F16" s="6"/>
      <c r="G16" s="6"/>
      <c r="H16" s="6"/>
    </row>
    <row r="17" spans="1:8" ht="36" customHeight="1" x14ac:dyDescent="0.25">
      <c r="A17" s="27" t="s">
        <v>19</v>
      </c>
      <c r="B17" s="27"/>
      <c r="C17" s="27"/>
      <c r="D17" s="27"/>
      <c r="E17" s="27"/>
      <c r="F17" s="27"/>
      <c r="G17" s="27"/>
      <c r="H17" s="27"/>
    </row>
    <row r="18" spans="1:8" ht="36" customHeight="1" x14ac:dyDescent="0.25">
      <c r="A18" s="2" t="s">
        <v>20</v>
      </c>
      <c r="B18" s="24" t="s">
        <v>21</v>
      </c>
      <c r="C18" s="24"/>
      <c r="D18" s="24"/>
      <c r="E18" s="24"/>
      <c r="F18" s="24"/>
      <c r="G18" s="24"/>
      <c r="H18" s="24"/>
    </row>
    <row r="19" spans="1:8" ht="36" customHeight="1" x14ac:dyDescent="0.25">
      <c r="A19" s="2" t="s">
        <v>20</v>
      </c>
      <c r="B19" s="24" t="s">
        <v>22</v>
      </c>
      <c r="C19" s="24"/>
      <c r="D19" s="24"/>
      <c r="E19" s="24"/>
      <c r="F19" s="24"/>
      <c r="G19" s="24"/>
      <c r="H19" s="24"/>
    </row>
    <row r="20" spans="1:8" ht="36" customHeight="1" x14ac:dyDescent="0.25">
      <c r="A20" s="2" t="s">
        <v>20</v>
      </c>
      <c r="B20" s="24" t="s">
        <v>23</v>
      </c>
      <c r="C20" s="24"/>
      <c r="D20" s="24"/>
      <c r="E20" s="24"/>
      <c r="F20" s="24"/>
      <c r="G20" s="24"/>
      <c r="H20" s="24"/>
    </row>
    <row r="21" spans="1:8" ht="36" customHeight="1" x14ac:dyDescent="0.25">
      <c r="A21" s="2" t="s">
        <v>20</v>
      </c>
      <c r="B21" s="24" t="s">
        <v>24</v>
      </c>
      <c r="C21" s="24"/>
      <c r="D21" s="24"/>
      <c r="E21" s="24"/>
      <c r="F21" s="24"/>
      <c r="G21" s="24"/>
      <c r="H21" s="24"/>
    </row>
    <row r="22" spans="1:8" ht="36" customHeight="1" x14ac:dyDescent="0.25">
      <c r="A22" s="3" t="s">
        <v>25</v>
      </c>
      <c r="B22" s="24" t="s">
        <v>26</v>
      </c>
      <c r="C22" s="24"/>
      <c r="D22" s="24"/>
      <c r="E22" s="24"/>
      <c r="F22" s="24"/>
      <c r="G22" s="24"/>
      <c r="H22" s="24"/>
    </row>
    <row r="23" spans="1:8" ht="36" customHeight="1" x14ac:dyDescent="0.25">
      <c r="A23" s="3" t="s">
        <v>25</v>
      </c>
      <c r="B23" s="24" t="s">
        <v>27</v>
      </c>
      <c r="C23" s="24"/>
      <c r="D23" s="24"/>
      <c r="E23" s="24"/>
      <c r="F23" s="24"/>
      <c r="G23" s="24"/>
      <c r="H23" s="24"/>
    </row>
    <row r="24" spans="1:8" ht="36" customHeight="1" x14ac:dyDescent="0.25">
      <c r="A24" s="3" t="s">
        <v>28</v>
      </c>
      <c r="B24" s="24" t="s">
        <v>29</v>
      </c>
      <c r="C24" s="24"/>
      <c r="D24" s="24"/>
      <c r="E24" s="24"/>
      <c r="F24" s="24"/>
      <c r="G24" s="24"/>
      <c r="H24" s="24"/>
    </row>
    <row r="25" spans="1:8" ht="60" customHeight="1" x14ac:dyDescent="0.25">
      <c r="A25" s="4" t="s">
        <v>30</v>
      </c>
      <c r="B25" s="25" t="s">
        <v>31</v>
      </c>
      <c r="C25" s="25"/>
      <c r="D25" s="25"/>
      <c r="E25" s="25"/>
      <c r="F25" s="25"/>
      <c r="G25" s="25"/>
      <c r="H25" s="25"/>
    </row>
    <row r="26" spans="1:8" ht="12" customHeight="1" x14ac:dyDescent="0.25">
      <c r="A26" s="4"/>
      <c r="B26" s="5"/>
      <c r="C26" s="5"/>
      <c r="D26" s="5"/>
      <c r="E26" s="5"/>
      <c r="F26" s="5"/>
      <c r="G26" s="5"/>
      <c r="H26" s="5"/>
    </row>
  </sheetData>
  <mergeCells count="26">
    <mergeCell ref="A1:H2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9:H9"/>
    <mergeCell ref="B10:H10"/>
    <mergeCell ref="B11:H11"/>
    <mergeCell ref="B12:H12"/>
    <mergeCell ref="B13:H13"/>
    <mergeCell ref="B14:H14"/>
    <mergeCell ref="B15:H15"/>
    <mergeCell ref="A17:H17"/>
    <mergeCell ref="B18:H18"/>
    <mergeCell ref="B19:H19"/>
    <mergeCell ref="B20:H20"/>
    <mergeCell ref="B21:H21"/>
    <mergeCell ref="B22:H22"/>
    <mergeCell ref="B23:H23"/>
    <mergeCell ref="B24:H24"/>
    <mergeCell ref="B25:H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showGridLines="0" zoomScaleNormal="100" workbookViewId="0">
      <selection activeCell="A28" sqref="A28"/>
    </sheetView>
  </sheetViews>
  <sheetFormatPr defaultColWidth="11.5546875" defaultRowHeight="13.2" x14ac:dyDescent="0.25"/>
  <cols>
    <col min="1" max="1" width="38" customWidth="1"/>
    <col min="2" max="2" width="16" customWidth="1"/>
    <col min="3" max="3" width="38" customWidth="1"/>
    <col min="4" max="6" width="16" customWidth="1"/>
    <col min="7" max="8" width="38" customWidth="1"/>
  </cols>
  <sheetData>
    <row r="1" spans="1:8" ht="34.049999999999997" customHeight="1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</row>
    <row r="2" spans="1:8" ht="30" customHeight="1" x14ac:dyDescent="0.25">
      <c r="A2" s="8" t="s">
        <v>40</v>
      </c>
      <c r="B2" s="9">
        <v>2025</v>
      </c>
      <c r="C2" s="9" t="s">
        <v>41</v>
      </c>
      <c r="D2" s="9">
        <v>2025</v>
      </c>
      <c r="E2" s="9">
        <v>2025</v>
      </c>
      <c r="F2" s="9">
        <v>2026</v>
      </c>
      <c r="G2" s="8" t="s">
        <v>42</v>
      </c>
      <c r="H2" s="8" t="s">
        <v>43</v>
      </c>
    </row>
    <row r="3" spans="1:8" ht="30" customHeight="1" x14ac:dyDescent="0.25">
      <c r="A3" s="8" t="s">
        <v>44</v>
      </c>
      <c r="B3" s="9">
        <v>2050</v>
      </c>
      <c r="C3" s="9" t="s">
        <v>41</v>
      </c>
      <c r="D3" s="9">
        <v>2050</v>
      </c>
      <c r="E3" s="9">
        <v>2030</v>
      </c>
      <c r="F3" s="9">
        <v>2050</v>
      </c>
      <c r="G3" s="8" t="s">
        <v>45</v>
      </c>
      <c r="H3" s="8" t="s">
        <v>43</v>
      </c>
    </row>
    <row r="4" spans="1:8" ht="30" customHeight="1" x14ac:dyDescent="0.25">
      <c r="A4" s="8" t="s">
        <v>46</v>
      </c>
      <c r="B4" s="9">
        <v>2026</v>
      </c>
      <c r="C4" s="9" t="s">
        <v>41</v>
      </c>
      <c r="D4" s="9">
        <v>2026</v>
      </c>
      <c r="E4" s="9">
        <v>2025</v>
      </c>
      <c r="F4" s="9">
        <v>2030</v>
      </c>
      <c r="G4" s="8" t="s">
        <v>47</v>
      </c>
      <c r="H4" s="8" t="s">
        <v>48</v>
      </c>
    </row>
    <row r="5" spans="1:8" ht="30" customHeight="1" x14ac:dyDescent="0.25">
      <c r="A5" s="8" t="s">
        <v>49</v>
      </c>
      <c r="B5" s="9">
        <v>2030</v>
      </c>
      <c r="C5" s="9" t="s">
        <v>41</v>
      </c>
      <c r="D5" s="9">
        <v>2030</v>
      </c>
      <c r="E5" s="9">
        <v>2028</v>
      </c>
      <c r="F5" s="9">
        <v>2050</v>
      </c>
      <c r="G5" s="8" t="s">
        <v>50</v>
      </c>
      <c r="H5" s="8" t="s">
        <v>48</v>
      </c>
    </row>
    <row r="6" spans="1:8" ht="30" customHeight="1" x14ac:dyDescent="0.25">
      <c r="A6" s="8" t="s">
        <v>51</v>
      </c>
      <c r="B6" s="9">
        <v>3</v>
      </c>
      <c r="C6" s="9" t="s">
        <v>52</v>
      </c>
      <c r="D6" s="9">
        <v>3</v>
      </c>
      <c r="E6" s="9">
        <v>1</v>
      </c>
      <c r="F6" s="9">
        <v>5</v>
      </c>
      <c r="G6" s="8" t="s">
        <v>53</v>
      </c>
      <c r="H6" s="8" t="s">
        <v>54</v>
      </c>
    </row>
    <row r="7" spans="1:8" ht="30" customHeight="1" x14ac:dyDescent="0.25">
      <c r="A7" s="8" t="s">
        <v>55</v>
      </c>
      <c r="B7" s="10">
        <v>0.03</v>
      </c>
      <c r="C7" s="9" t="s">
        <v>56</v>
      </c>
      <c r="D7" s="9">
        <v>0.03</v>
      </c>
      <c r="E7" s="9">
        <v>0</v>
      </c>
      <c r="F7" s="9">
        <v>0.05</v>
      </c>
      <c r="G7" s="8" t="s">
        <v>57</v>
      </c>
      <c r="H7" s="8" t="s">
        <v>58</v>
      </c>
    </row>
    <row r="8" spans="1:8" ht="30" customHeight="1" x14ac:dyDescent="0.25">
      <c r="A8" s="8" t="s">
        <v>59</v>
      </c>
      <c r="B8" s="10">
        <v>0.03</v>
      </c>
      <c r="C8" s="9" t="s">
        <v>56</v>
      </c>
      <c r="D8" s="9">
        <v>0.03</v>
      </c>
      <c r="E8" s="9">
        <v>0</v>
      </c>
      <c r="F8" s="9">
        <v>0.05</v>
      </c>
      <c r="G8" s="8" t="s">
        <v>60</v>
      </c>
      <c r="H8" s="8" t="s">
        <v>58</v>
      </c>
    </row>
    <row r="9" spans="1:8" ht="30" customHeight="1" x14ac:dyDescent="0.25">
      <c r="A9" s="8" t="s">
        <v>61</v>
      </c>
      <c r="B9" s="9">
        <v>2023</v>
      </c>
      <c r="C9" s="9" t="s">
        <v>62</v>
      </c>
      <c r="D9" s="9">
        <v>2023</v>
      </c>
      <c r="E9" s="9">
        <v>2020</v>
      </c>
      <c r="F9" s="9">
        <v>2024</v>
      </c>
      <c r="G9" s="8" t="s">
        <v>63</v>
      </c>
      <c r="H9" s="8" t="s">
        <v>58</v>
      </c>
    </row>
    <row r="10" spans="1:8" ht="30" customHeight="1" x14ac:dyDescent="0.25">
      <c r="A10" s="8" t="s">
        <v>64</v>
      </c>
      <c r="B10" s="9">
        <v>2017</v>
      </c>
      <c r="C10" s="9" t="s">
        <v>62</v>
      </c>
      <c r="D10" s="9">
        <v>2017</v>
      </c>
      <c r="E10" s="9">
        <v>2017</v>
      </c>
      <c r="F10" s="9">
        <v>2017</v>
      </c>
      <c r="G10" s="8" t="s">
        <v>65</v>
      </c>
      <c r="H10" s="8" t="s">
        <v>66</v>
      </c>
    </row>
    <row r="11" spans="1:8" ht="30" customHeight="1" x14ac:dyDescent="0.25">
      <c r="A11" s="8" t="s">
        <v>67</v>
      </c>
      <c r="B11" s="9" t="s">
        <v>68</v>
      </c>
      <c r="C11" s="9" t="s">
        <v>67</v>
      </c>
      <c r="D11" s="9" t="s">
        <v>68</v>
      </c>
      <c r="E11" s="9" t="s">
        <v>68</v>
      </c>
      <c r="F11" s="9" t="s">
        <v>68</v>
      </c>
      <c r="G11" s="8" t="s">
        <v>69</v>
      </c>
      <c r="H11" s="8" t="s">
        <v>70</v>
      </c>
    </row>
    <row r="12" spans="1:8" ht="30" customHeight="1" x14ac:dyDescent="0.25">
      <c r="A12" s="8" t="s">
        <v>71</v>
      </c>
      <c r="B12" s="9" t="s">
        <v>72</v>
      </c>
      <c r="C12" s="9" t="s">
        <v>73</v>
      </c>
      <c r="D12" s="9" t="s">
        <v>72</v>
      </c>
      <c r="E12" s="9" t="s">
        <v>72</v>
      </c>
      <c r="F12" s="9" t="s">
        <v>72</v>
      </c>
      <c r="G12" s="8" t="s">
        <v>74</v>
      </c>
      <c r="H12" s="8" t="s">
        <v>54</v>
      </c>
    </row>
    <row r="13" spans="1:8" ht="30" customHeight="1" x14ac:dyDescent="0.25">
      <c r="A13" s="8" t="s">
        <v>75</v>
      </c>
      <c r="B13" s="9" t="s">
        <v>76</v>
      </c>
      <c r="C13" s="9" t="s">
        <v>73</v>
      </c>
      <c r="D13" s="9" t="s">
        <v>76</v>
      </c>
      <c r="E13" s="9" t="s">
        <v>76</v>
      </c>
      <c r="F13" s="9" t="s">
        <v>77</v>
      </c>
      <c r="G13" s="8" t="s">
        <v>78</v>
      </c>
      <c r="H13" s="8" t="s">
        <v>79</v>
      </c>
    </row>
    <row r="14" spans="1:8" ht="30" customHeight="1" x14ac:dyDescent="0.25">
      <c r="A14" s="8" t="s">
        <v>80</v>
      </c>
      <c r="B14" s="9">
        <v>6.1600000000000002E-2</v>
      </c>
      <c r="C14" s="9" t="s">
        <v>81</v>
      </c>
      <c r="D14" s="9">
        <v>6.1600000000000002E-2</v>
      </c>
      <c r="E14" s="9">
        <v>0.04</v>
      </c>
      <c r="F14" s="9">
        <v>0.08</v>
      </c>
      <c r="G14" s="8" t="s">
        <v>82</v>
      </c>
      <c r="H14" s="8" t="s">
        <v>83</v>
      </c>
    </row>
    <row r="15" spans="1:8" ht="30" customHeight="1" x14ac:dyDescent="0.25">
      <c r="A15" s="8" t="s">
        <v>84</v>
      </c>
      <c r="B15" s="9">
        <v>3</v>
      </c>
      <c r="C15" s="9" t="s">
        <v>85</v>
      </c>
      <c r="D15" s="9">
        <v>3</v>
      </c>
      <c r="E15" s="9">
        <v>3</v>
      </c>
      <c r="F15" s="9">
        <v>3</v>
      </c>
      <c r="G15" s="8" t="s">
        <v>86</v>
      </c>
      <c r="H15" s="8" t="s">
        <v>87</v>
      </c>
    </row>
    <row r="16" spans="1:8" ht="30" customHeight="1" x14ac:dyDescent="0.25">
      <c r="A16" s="8" t="s">
        <v>88</v>
      </c>
      <c r="B16" s="23">
        <v>3.1700000000000001E-3</v>
      </c>
      <c r="C16" s="9" t="s">
        <v>89</v>
      </c>
      <c r="D16" s="9">
        <v>0</v>
      </c>
      <c r="E16" s="9">
        <v>0</v>
      </c>
      <c r="F16" s="9">
        <v>0.5</v>
      </c>
      <c r="G16" s="8" t="s">
        <v>90</v>
      </c>
      <c r="H16" s="8" t="s">
        <v>91</v>
      </c>
    </row>
    <row r="17" spans="1:8" ht="30" customHeight="1" x14ac:dyDescent="0.25">
      <c r="A17" s="8" t="s">
        <v>92</v>
      </c>
      <c r="B17" s="9">
        <v>1</v>
      </c>
      <c r="C17" s="9" t="s">
        <v>93</v>
      </c>
      <c r="D17" s="9">
        <v>1</v>
      </c>
      <c r="E17" s="9">
        <v>0</v>
      </c>
      <c r="F17" s="9">
        <v>1</v>
      </c>
      <c r="G17" s="8" t="s">
        <v>94</v>
      </c>
      <c r="H17" s="8" t="s">
        <v>95</v>
      </c>
    </row>
    <row r="18" spans="1:8" ht="30" customHeight="1" x14ac:dyDescent="0.25">
      <c r="A18" s="8" t="s">
        <v>96</v>
      </c>
      <c r="B18" s="9">
        <v>789</v>
      </c>
      <c r="C18" s="9" t="s">
        <v>97</v>
      </c>
      <c r="D18" s="9">
        <v>789</v>
      </c>
      <c r="E18" s="9">
        <v>789</v>
      </c>
      <c r="F18" s="9">
        <v>789</v>
      </c>
      <c r="G18" s="8" t="s">
        <v>98</v>
      </c>
      <c r="H18" s="8" t="s">
        <v>99</v>
      </c>
    </row>
    <row r="19" spans="1:8" ht="30" customHeight="1" x14ac:dyDescent="0.25">
      <c r="A19" s="8" t="s">
        <v>100</v>
      </c>
      <c r="B19" s="9">
        <v>52</v>
      </c>
      <c r="C19" s="9" t="s">
        <v>101</v>
      </c>
      <c r="D19" s="9">
        <v>52</v>
      </c>
      <c r="E19" s="9">
        <v>52</v>
      </c>
      <c r="F19" s="9">
        <v>52.177500000000002</v>
      </c>
      <c r="G19" s="8" t="s">
        <v>98</v>
      </c>
      <c r="H19" s="8" t="s">
        <v>102</v>
      </c>
    </row>
    <row r="20" spans="1:8" ht="30" customHeight="1" x14ac:dyDescent="0.25">
      <c r="A20" s="8" t="s">
        <v>103</v>
      </c>
      <c r="B20" s="9">
        <v>0.2</v>
      </c>
      <c r="C20" s="9" t="s">
        <v>104</v>
      </c>
      <c r="D20" s="9">
        <v>0.2</v>
      </c>
      <c r="E20" s="9">
        <v>0.1</v>
      </c>
      <c r="F20" s="9">
        <v>0.5</v>
      </c>
      <c r="G20" s="8" t="s">
        <v>105</v>
      </c>
      <c r="H20" s="8" t="s">
        <v>106</v>
      </c>
    </row>
    <row r="21" spans="1:8" ht="30" customHeight="1" x14ac:dyDescent="0.25">
      <c r="A21" s="8" t="s">
        <v>107</v>
      </c>
      <c r="B21" s="9">
        <v>-0.875</v>
      </c>
      <c r="C21" s="9" t="s">
        <v>108</v>
      </c>
      <c r="D21" s="9">
        <v>-0.875</v>
      </c>
      <c r="E21" s="9">
        <v>-0.93</v>
      </c>
      <c r="F21" s="9">
        <v>-0.71499999999999997</v>
      </c>
      <c r="G21" s="8" t="s">
        <v>109</v>
      </c>
      <c r="H21" s="8" t="s">
        <v>110</v>
      </c>
    </row>
    <row r="22" spans="1:8" ht="30" customHeight="1" x14ac:dyDescent="0.25">
      <c r="A22" s="8" t="s">
        <v>111</v>
      </c>
      <c r="B22" s="9">
        <v>0.82</v>
      </c>
      <c r="C22" s="9" t="s">
        <v>112</v>
      </c>
      <c r="D22" s="9">
        <v>0.82</v>
      </c>
      <c r="E22" s="9">
        <v>0.66</v>
      </c>
      <c r="F22" s="9">
        <v>0.98</v>
      </c>
      <c r="G22" s="8" t="s">
        <v>113</v>
      </c>
      <c r="H22" s="8" t="s">
        <v>114</v>
      </c>
    </row>
    <row r="23" spans="1:8" ht="30" customHeight="1" x14ac:dyDescent="0.25">
      <c r="A23" s="8" t="s">
        <v>115</v>
      </c>
      <c r="B23" s="9">
        <v>-1.59</v>
      </c>
      <c r="C23" s="9" t="s">
        <v>108</v>
      </c>
      <c r="D23" s="9">
        <v>-1.59</v>
      </c>
      <c r="E23" s="9">
        <v>-2.11</v>
      </c>
      <c r="F23" s="9">
        <v>-1.08</v>
      </c>
      <c r="G23" s="8" t="s">
        <v>113</v>
      </c>
      <c r="H23" s="8" t="s">
        <v>114</v>
      </c>
    </row>
    <row r="24" spans="1:8" ht="30" customHeight="1" x14ac:dyDescent="0.25">
      <c r="A24" s="8" t="s">
        <v>116</v>
      </c>
      <c r="B24" s="9">
        <v>0</v>
      </c>
      <c r="C24" s="9" t="s">
        <v>117</v>
      </c>
      <c r="D24" s="9">
        <v>0</v>
      </c>
      <c r="E24" s="9">
        <v>0</v>
      </c>
      <c r="F24" s="9">
        <v>0</v>
      </c>
      <c r="G24" s="8" t="s">
        <v>118</v>
      </c>
      <c r="H24" s="8" t="s">
        <v>119</v>
      </c>
    </row>
    <row r="25" spans="1:8" ht="30" customHeight="1" x14ac:dyDescent="0.25">
      <c r="A25" s="8" t="s">
        <v>120</v>
      </c>
      <c r="B25" s="9">
        <v>0.5</v>
      </c>
      <c r="C25" s="9" t="s">
        <v>117</v>
      </c>
      <c r="D25" s="9">
        <v>0.5</v>
      </c>
      <c r="E25" s="9">
        <v>0.5</v>
      </c>
      <c r="F25" s="9">
        <v>0.5</v>
      </c>
      <c r="G25" s="8" t="s">
        <v>121</v>
      </c>
      <c r="H25" s="8" t="s">
        <v>119</v>
      </c>
    </row>
    <row r="26" spans="1:8" ht="30" customHeight="1" x14ac:dyDescent="0.25">
      <c r="A26" s="8" t="s">
        <v>122</v>
      </c>
      <c r="B26" s="9">
        <v>1</v>
      </c>
      <c r="C26" s="9" t="s">
        <v>117</v>
      </c>
      <c r="D26" s="9">
        <v>1</v>
      </c>
      <c r="E26" s="9">
        <v>1</v>
      </c>
      <c r="F26" s="9">
        <v>1</v>
      </c>
      <c r="G26" s="8" t="s">
        <v>123</v>
      </c>
      <c r="H26" s="8" t="s">
        <v>119</v>
      </c>
    </row>
    <row r="27" spans="1:8" ht="30" customHeight="1" x14ac:dyDescent="0.25">
      <c r="A27" s="8" t="s">
        <v>124</v>
      </c>
      <c r="B27" s="9" t="s">
        <v>125</v>
      </c>
      <c r="C27" s="9" t="s">
        <v>126</v>
      </c>
      <c r="D27" s="9" t="s">
        <v>125</v>
      </c>
      <c r="E27" s="9" t="s">
        <v>125</v>
      </c>
      <c r="F27" s="9" t="s">
        <v>127</v>
      </c>
      <c r="G27" s="8" t="s">
        <v>128</v>
      </c>
      <c r="H27" s="8" t="s">
        <v>129</v>
      </c>
    </row>
    <row r="28" spans="1:8" ht="30" customHeight="1" x14ac:dyDescent="0.25">
      <c r="A28" s="8" t="s">
        <v>130</v>
      </c>
      <c r="B28" s="9"/>
      <c r="C28" s="9" t="s">
        <v>112</v>
      </c>
      <c r="D28" s="9"/>
      <c r="E28" s="9">
        <v>0</v>
      </c>
      <c r="F28" s="9">
        <v>1</v>
      </c>
      <c r="G28" s="8" t="s">
        <v>131</v>
      </c>
      <c r="H28" s="8" t="s">
        <v>132</v>
      </c>
    </row>
    <row r="29" spans="1:8" ht="28.8" customHeight="1" x14ac:dyDescent="0.3">
      <c r="A29" s="11" t="s">
        <v>133</v>
      </c>
      <c r="B29" s="12" t="s">
        <v>134</v>
      </c>
      <c r="C29" s="12" t="s">
        <v>73</v>
      </c>
      <c r="D29" s="12" t="s">
        <v>134</v>
      </c>
      <c r="E29" s="12" t="s">
        <v>134</v>
      </c>
      <c r="F29" s="12" t="s">
        <v>134</v>
      </c>
      <c r="G29" s="11" t="s">
        <v>135</v>
      </c>
      <c r="H29" s="11" t="s">
        <v>136</v>
      </c>
    </row>
    <row r="30" spans="1:8" ht="28.8" customHeight="1" x14ac:dyDescent="0.3">
      <c r="A30" s="11" t="s">
        <v>137</v>
      </c>
      <c r="B30" s="12" t="s">
        <v>138</v>
      </c>
      <c r="C30" s="12" t="s">
        <v>73</v>
      </c>
      <c r="D30" s="12" t="s">
        <v>138</v>
      </c>
      <c r="E30" s="12" t="s">
        <v>138</v>
      </c>
      <c r="F30" s="12" t="s">
        <v>138</v>
      </c>
      <c r="G30" s="11" t="s">
        <v>139</v>
      </c>
      <c r="H30" s="11" t="s">
        <v>140</v>
      </c>
    </row>
    <row r="31" spans="1:8" ht="28.8" customHeight="1" x14ac:dyDescent="0.3">
      <c r="A31" s="11" t="s">
        <v>141</v>
      </c>
      <c r="B31" s="13">
        <v>10</v>
      </c>
      <c r="C31" s="13" t="s">
        <v>142</v>
      </c>
      <c r="D31" s="13">
        <v>10</v>
      </c>
      <c r="E31" s="13">
        <v>10</v>
      </c>
      <c r="F31" s="13">
        <v>10</v>
      </c>
      <c r="G31" s="11" t="s">
        <v>143</v>
      </c>
      <c r="H31" s="11" t="s">
        <v>102</v>
      </c>
    </row>
    <row r="32" spans="1:8" ht="14.4" customHeight="1" x14ac:dyDescent="0.3">
      <c r="A32" s="11" t="s">
        <v>144</v>
      </c>
      <c r="B32" s="13">
        <v>2.9</v>
      </c>
      <c r="C32" s="13" t="s">
        <v>145</v>
      </c>
      <c r="D32" s="13">
        <v>2.9</v>
      </c>
      <c r="E32" s="13">
        <v>2.9</v>
      </c>
      <c r="F32" s="13">
        <v>2.9</v>
      </c>
      <c r="G32" s="11" t="s">
        <v>146</v>
      </c>
      <c r="H32" s="11" t="s">
        <v>136</v>
      </c>
    </row>
    <row r="33" spans="1:8" ht="14.4" customHeight="1" x14ac:dyDescent="0.3">
      <c r="A33" s="11" t="s">
        <v>147</v>
      </c>
      <c r="B33" s="13">
        <v>3.1</v>
      </c>
      <c r="C33" s="13" t="s">
        <v>145</v>
      </c>
      <c r="D33" s="13">
        <v>3.1</v>
      </c>
      <c r="E33" s="13">
        <v>3.1</v>
      </c>
      <c r="F33" s="13">
        <v>3.1</v>
      </c>
      <c r="G33" s="11" t="s">
        <v>148</v>
      </c>
      <c r="H33" s="11" t="s">
        <v>136</v>
      </c>
    </row>
    <row r="34" spans="1:8" ht="28.8" customHeight="1" x14ac:dyDescent="0.3">
      <c r="A34" s="11" t="s">
        <v>149</v>
      </c>
      <c r="B34" s="13">
        <f>AVERAGE(B32:B33)</f>
        <v>3</v>
      </c>
      <c r="C34" s="13" t="s">
        <v>145</v>
      </c>
      <c r="D34" s="13">
        <v>3</v>
      </c>
      <c r="E34" s="13">
        <v>2.9</v>
      </c>
      <c r="F34" s="13">
        <v>3.1</v>
      </c>
      <c r="G34" s="11" t="s">
        <v>150</v>
      </c>
      <c r="H34" s="11" t="s">
        <v>151</v>
      </c>
    </row>
    <row r="35" spans="1:8" ht="43.2" customHeight="1" x14ac:dyDescent="0.3">
      <c r="A35" s="11" t="s">
        <v>152</v>
      </c>
      <c r="B35" s="13">
        <v>0.90125</v>
      </c>
      <c r="C35" s="13" t="s">
        <v>112</v>
      </c>
      <c r="D35" s="13">
        <v>0.90125</v>
      </c>
      <c r="E35" s="13">
        <v>0.90125</v>
      </c>
      <c r="F35" s="13">
        <v>0.90125</v>
      </c>
      <c r="G35" s="11" t="s">
        <v>153</v>
      </c>
      <c r="H35" s="11" t="s">
        <v>154</v>
      </c>
    </row>
    <row r="36" spans="1:8" ht="14.4" customHeight="1" x14ac:dyDescent="0.3">
      <c r="A36" s="11" t="s">
        <v>155</v>
      </c>
      <c r="B36" s="12" t="s">
        <v>156</v>
      </c>
      <c r="C36" s="12" t="s">
        <v>73</v>
      </c>
      <c r="D36" s="12" t="s">
        <v>156</v>
      </c>
      <c r="E36" s="12" t="s">
        <v>156</v>
      </c>
      <c r="F36" s="12" t="s">
        <v>156</v>
      </c>
      <c r="G36" s="11" t="s">
        <v>157</v>
      </c>
      <c r="H36" s="11" t="s">
        <v>158</v>
      </c>
    </row>
    <row r="37" spans="1:8" ht="43.2" customHeight="1" x14ac:dyDescent="0.3">
      <c r="A37" s="11" t="s">
        <v>159</v>
      </c>
      <c r="B37" s="12" t="s">
        <v>160</v>
      </c>
      <c r="C37" s="12" t="s">
        <v>73</v>
      </c>
      <c r="D37" s="12" t="s">
        <v>160</v>
      </c>
      <c r="E37" s="12" t="s">
        <v>160</v>
      </c>
      <c r="F37" s="12" t="s">
        <v>160</v>
      </c>
      <c r="G37" s="11" t="s">
        <v>161</v>
      </c>
      <c r="H37" s="11" t="s">
        <v>162</v>
      </c>
    </row>
    <row r="38" spans="1:8" x14ac:dyDescent="0.25">
      <c r="A38" t="s">
        <v>1163</v>
      </c>
      <c r="B38" s="22">
        <v>2025</v>
      </c>
      <c r="C38" t="s">
        <v>1164</v>
      </c>
      <c r="D38">
        <v>2025</v>
      </c>
      <c r="E38">
        <v>2025</v>
      </c>
      <c r="F38">
        <v>2026</v>
      </c>
      <c r="G38" t="s">
        <v>1165</v>
      </c>
      <c r="H38" t="s">
        <v>1166</v>
      </c>
    </row>
    <row r="39" spans="1:8" x14ac:dyDescent="0.25">
      <c r="A39" t="s">
        <v>1167</v>
      </c>
      <c r="B39" s="22">
        <v>0.03</v>
      </c>
      <c r="C39" t="s">
        <v>1168</v>
      </c>
      <c r="D39">
        <v>0.03</v>
      </c>
      <c r="E39">
        <v>0.03</v>
      </c>
      <c r="F39">
        <v>0.05</v>
      </c>
      <c r="G39" t="s">
        <v>1169</v>
      </c>
      <c r="H39" t="s">
        <v>1170</v>
      </c>
    </row>
    <row r="40" spans="1:8" x14ac:dyDescent="0.25">
      <c r="A40" t="s">
        <v>1171</v>
      </c>
      <c r="B40" s="22">
        <v>0.03</v>
      </c>
      <c r="C40" t="s">
        <v>1168</v>
      </c>
      <c r="D40">
        <v>0.03</v>
      </c>
      <c r="E40">
        <v>0.03</v>
      </c>
      <c r="F40">
        <v>0.03</v>
      </c>
      <c r="G40" t="s">
        <v>1172</v>
      </c>
      <c r="H40" t="s">
        <v>1173</v>
      </c>
    </row>
    <row r="41" spans="1:8" x14ac:dyDescent="0.25">
      <c r="A41" t="s">
        <v>1174</v>
      </c>
      <c r="B41" s="22">
        <v>0.08</v>
      </c>
      <c r="C41" t="s">
        <v>1168</v>
      </c>
      <c r="D41">
        <v>0.08</v>
      </c>
      <c r="E41">
        <v>0.06</v>
      </c>
      <c r="F41">
        <v>0.1</v>
      </c>
      <c r="G41" t="s">
        <v>1175</v>
      </c>
      <c r="H41" t="s">
        <v>1176</v>
      </c>
    </row>
    <row r="42" spans="1:8" x14ac:dyDescent="0.25">
      <c r="A42" t="s">
        <v>1177</v>
      </c>
      <c r="B42" s="22">
        <v>160</v>
      </c>
      <c r="C42" t="s">
        <v>1178</v>
      </c>
      <c r="D42">
        <v>160</v>
      </c>
      <c r="E42">
        <v>100</v>
      </c>
      <c r="F42">
        <v>230</v>
      </c>
      <c r="G42" t="s">
        <v>1179</v>
      </c>
      <c r="H42" t="s">
        <v>1180</v>
      </c>
    </row>
    <row r="43" spans="1:8" x14ac:dyDescent="0.25">
      <c r="A43" t="s">
        <v>1181</v>
      </c>
      <c r="B43" s="22">
        <v>1.5</v>
      </c>
      <c r="C43" t="s">
        <v>1182</v>
      </c>
      <c r="D43">
        <v>1.5</v>
      </c>
      <c r="E43">
        <v>1</v>
      </c>
      <c r="F43">
        <v>1.5</v>
      </c>
      <c r="G43" t="s">
        <v>1183</v>
      </c>
      <c r="H43" t="s">
        <v>1180</v>
      </c>
    </row>
    <row r="44" spans="1:8" x14ac:dyDescent="0.25">
      <c r="A44" t="s">
        <v>1184</v>
      </c>
      <c r="B44" s="22">
        <v>20</v>
      </c>
      <c r="C44" t="s">
        <v>1178</v>
      </c>
      <c r="D44">
        <v>20</v>
      </c>
      <c r="E44">
        <v>20</v>
      </c>
      <c r="F44">
        <v>20</v>
      </c>
      <c r="G44" t="s">
        <v>1185</v>
      </c>
      <c r="H44" t="s">
        <v>1180</v>
      </c>
    </row>
    <row r="45" spans="1:8" x14ac:dyDescent="0.25">
      <c r="A45" t="s">
        <v>1186</v>
      </c>
      <c r="B45" s="22">
        <v>100</v>
      </c>
      <c r="C45" t="s">
        <v>1178</v>
      </c>
      <c r="D45">
        <v>100</v>
      </c>
      <c r="E45">
        <v>100</v>
      </c>
      <c r="F45">
        <v>100</v>
      </c>
      <c r="G45" t="s">
        <v>1187</v>
      </c>
      <c r="H45" t="s">
        <v>1180</v>
      </c>
    </row>
    <row r="46" spans="1:8" x14ac:dyDescent="0.25">
      <c r="A46" t="s">
        <v>1188</v>
      </c>
      <c r="B46" s="22">
        <v>160</v>
      </c>
      <c r="C46" t="s">
        <v>1178</v>
      </c>
      <c r="D46">
        <v>160</v>
      </c>
      <c r="E46">
        <v>160</v>
      </c>
      <c r="F46">
        <v>160</v>
      </c>
      <c r="G46" t="s">
        <v>1189</v>
      </c>
      <c r="H46" t="s">
        <v>1180</v>
      </c>
    </row>
    <row r="47" spans="1:8" x14ac:dyDescent="0.25">
      <c r="A47" t="s">
        <v>1190</v>
      </c>
      <c r="B47" s="22">
        <v>15</v>
      </c>
      <c r="C47" t="s">
        <v>1191</v>
      </c>
      <c r="D47">
        <v>15</v>
      </c>
      <c r="E47">
        <v>15</v>
      </c>
      <c r="F47">
        <v>20</v>
      </c>
      <c r="G47" t="s">
        <v>1192</v>
      </c>
      <c r="H47" t="s">
        <v>1193</v>
      </c>
    </row>
    <row r="48" spans="1:8" x14ac:dyDescent="0.25">
      <c r="A48" t="s">
        <v>1194</v>
      </c>
      <c r="B48" s="22">
        <v>64</v>
      </c>
      <c r="C48" t="s">
        <v>1191</v>
      </c>
      <c r="D48">
        <v>64</v>
      </c>
      <c r="E48">
        <v>64</v>
      </c>
      <c r="F48">
        <v>95</v>
      </c>
      <c r="G48" t="s">
        <v>1195</v>
      </c>
      <c r="H48" t="s">
        <v>1196</v>
      </c>
    </row>
    <row r="49" spans="1:8" x14ac:dyDescent="0.25">
      <c r="A49" t="s">
        <v>1197</v>
      </c>
      <c r="B49" s="22" t="s">
        <v>1198</v>
      </c>
      <c r="C49" t="s">
        <v>1199</v>
      </c>
      <c r="D49" t="s">
        <v>1198</v>
      </c>
      <c r="E49" t="s">
        <v>1200</v>
      </c>
      <c r="F49" t="s">
        <v>1200</v>
      </c>
      <c r="G49" t="s">
        <v>1201</v>
      </c>
      <c r="H49" t="s">
        <v>1180</v>
      </c>
    </row>
    <row r="50" spans="1:8" x14ac:dyDescent="0.25">
      <c r="A50" t="s">
        <v>1202</v>
      </c>
      <c r="B50" s="22">
        <v>2023</v>
      </c>
      <c r="C50" t="s">
        <v>1164</v>
      </c>
      <c r="D50">
        <v>2023</v>
      </c>
      <c r="E50">
        <v>2020</v>
      </c>
      <c r="F50">
        <v>2024</v>
      </c>
      <c r="G50" t="s">
        <v>1203</v>
      </c>
      <c r="H50" t="s">
        <v>1204</v>
      </c>
    </row>
    <row r="51" spans="1:8" x14ac:dyDescent="0.25">
      <c r="A51" t="s">
        <v>1205</v>
      </c>
      <c r="B51" s="22">
        <v>3</v>
      </c>
      <c r="C51" t="s">
        <v>1206</v>
      </c>
      <c r="D51">
        <v>3</v>
      </c>
      <c r="E51">
        <v>2.7</v>
      </c>
      <c r="F51">
        <v>3.3</v>
      </c>
      <c r="G51" t="s">
        <v>1207</v>
      </c>
      <c r="H51" t="s">
        <v>1208</v>
      </c>
    </row>
    <row r="52" spans="1:8" x14ac:dyDescent="0.25">
      <c r="A52" t="s">
        <v>1209</v>
      </c>
      <c r="B52" s="22" t="s">
        <v>1210</v>
      </c>
      <c r="C52" t="s">
        <v>1199</v>
      </c>
      <c r="D52" t="s">
        <v>1210</v>
      </c>
      <c r="E52" t="s">
        <v>1200</v>
      </c>
      <c r="F52" t="s">
        <v>1200</v>
      </c>
      <c r="G52" t="s">
        <v>1211</v>
      </c>
      <c r="H52" t="s">
        <v>1180</v>
      </c>
    </row>
    <row r="53" spans="1:8" x14ac:dyDescent="0.25">
      <c r="A53" t="s">
        <v>1212</v>
      </c>
      <c r="B53" s="22" t="s">
        <v>1213</v>
      </c>
      <c r="C53" t="s">
        <v>1199</v>
      </c>
      <c r="D53" t="s">
        <v>1213</v>
      </c>
      <c r="E53" t="s">
        <v>1200</v>
      </c>
      <c r="F53" t="s">
        <v>1200</v>
      </c>
      <c r="G53" t="s">
        <v>1214</v>
      </c>
      <c r="H53" t="s">
        <v>1215</v>
      </c>
    </row>
  </sheetData>
  <dataValidations count="1">
    <dataValidation type="list" sqref="B27" xr:uid="{00000000-0002-0000-0100-000000000000}">
      <formula1>"RR,PAF"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showGridLines="0" zoomScaleNormal="100" workbookViewId="0">
      <selection activeCell="C15" sqref="C15"/>
    </sheetView>
  </sheetViews>
  <sheetFormatPr defaultColWidth="11.5546875" defaultRowHeight="13.2" x14ac:dyDescent="0.25"/>
  <cols>
    <col min="1" max="1" width="16" customWidth="1"/>
    <col min="2" max="2" width="38" customWidth="1"/>
    <col min="3" max="3" width="16" customWidth="1"/>
    <col min="4" max="4" width="38" customWidth="1"/>
    <col min="5" max="6" width="16" customWidth="1"/>
    <col min="7" max="8" width="38" customWidth="1"/>
    <col min="9" max="11" width="16" customWidth="1"/>
    <col min="12" max="13" width="38" customWidth="1"/>
    <col min="14" max="14" width="16" customWidth="1"/>
    <col min="15" max="15" width="38" customWidth="1"/>
  </cols>
  <sheetData>
    <row r="1" spans="1:15" ht="34.049999999999997" customHeight="1" x14ac:dyDescent="0.25">
      <c r="A1" s="7" t="s">
        <v>163</v>
      </c>
      <c r="B1" s="7" t="s">
        <v>164</v>
      </c>
      <c r="C1" s="7" t="s">
        <v>165</v>
      </c>
      <c r="D1" s="7" t="s">
        <v>166</v>
      </c>
      <c r="E1" s="7"/>
      <c r="F1" s="7" t="s">
        <v>167</v>
      </c>
      <c r="G1" s="7" t="s">
        <v>168</v>
      </c>
      <c r="H1" s="7" t="s">
        <v>169</v>
      </c>
      <c r="I1" s="7" t="s">
        <v>170</v>
      </c>
      <c r="J1" s="7"/>
      <c r="K1" s="7" t="s">
        <v>171</v>
      </c>
      <c r="L1" s="7" t="s">
        <v>172</v>
      </c>
      <c r="M1" s="7" t="s">
        <v>173</v>
      </c>
      <c r="N1" s="7" t="s">
        <v>174</v>
      </c>
      <c r="O1" s="7" t="s">
        <v>175</v>
      </c>
    </row>
    <row r="2" spans="1:15" ht="30" customHeight="1" x14ac:dyDescent="0.25">
      <c r="A2" s="8" t="s">
        <v>176</v>
      </c>
      <c r="B2" s="8" t="s">
        <v>177</v>
      </c>
      <c r="C2" s="8" t="s">
        <v>178</v>
      </c>
      <c r="D2" s="8" t="s">
        <v>179</v>
      </c>
      <c r="E2" s="8"/>
      <c r="F2" s="8" t="s">
        <v>180</v>
      </c>
      <c r="G2" s="8" t="s">
        <v>181</v>
      </c>
      <c r="H2" s="8" t="s">
        <v>182</v>
      </c>
      <c r="I2" s="8" t="s">
        <v>112</v>
      </c>
      <c r="J2" s="8"/>
      <c r="K2" s="8" t="s">
        <v>183</v>
      </c>
      <c r="L2" s="8" t="s">
        <v>184</v>
      </c>
      <c r="M2" s="8" t="s">
        <v>184</v>
      </c>
      <c r="N2" s="8">
        <v>1</v>
      </c>
      <c r="O2" s="8" t="s">
        <v>185</v>
      </c>
    </row>
    <row r="3" spans="1:15" ht="30" customHeight="1" x14ac:dyDescent="0.25">
      <c r="A3" s="8" t="s">
        <v>186</v>
      </c>
      <c r="B3" s="8" t="s">
        <v>187</v>
      </c>
      <c r="C3" s="8" t="s">
        <v>188</v>
      </c>
      <c r="D3" s="8" t="s">
        <v>189</v>
      </c>
      <c r="E3" s="8"/>
      <c r="F3" s="8" t="s">
        <v>190</v>
      </c>
      <c r="G3" s="8" t="s">
        <v>191</v>
      </c>
      <c r="H3" s="8" t="s">
        <v>192</v>
      </c>
      <c r="I3" s="8" t="s">
        <v>193</v>
      </c>
      <c r="J3" s="8"/>
      <c r="K3" s="8" t="s">
        <v>194</v>
      </c>
      <c r="L3" s="8" t="s">
        <v>195</v>
      </c>
      <c r="M3" s="8" t="s">
        <v>195</v>
      </c>
      <c r="N3" s="8">
        <v>1</v>
      </c>
      <c r="O3" s="8" t="s">
        <v>196</v>
      </c>
    </row>
    <row r="4" spans="1:15" ht="30" customHeight="1" x14ac:dyDescent="0.25">
      <c r="A4" s="8" t="s">
        <v>197</v>
      </c>
      <c r="B4" s="8" t="s">
        <v>198</v>
      </c>
      <c r="C4" s="8" t="s">
        <v>178</v>
      </c>
      <c r="D4" s="8" t="s">
        <v>199</v>
      </c>
      <c r="E4" s="8"/>
      <c r="F4" s="8" t="s">
        <v>200</v>
      </c>
      <c r="G4" s="8" t="s">
        <v>201</v>
      </c>
      <c r="H4" s="8" t="s">
        <v>202</v>
      </c>
      <c r="I4" s="8" t="s">
        <v>85</v>
      </c>
      <c r="J4" s="8"/>
      <c r="K4" s="8" t="s">
        <v>203</v>
      </c>
      <c r="L4" s="8" t="s">
        <v>204</v>
      </c>
      <c r="M4" s="8" t="s">
        <v>204</v>
      </c>
      <c r="N4" s="8">
        <v>1</v>
      </c>
      <c r="O4" s="8" t="s">
        <v>196</v>
      </c>
    </row>
    <row r="5" spans="1:15" ht="30" customHeight="1" x14ac:dyDescent="0.25">
      <c r="A5" s="8" t="s">
        <v>205</v>
      </c>
      <c r="B5" s="8" t="s">
        <v>206</v>
      </c>
      <c r="C5" s="8" t="s">
        <v>178</v>
      </c>
      <c r="D5" s="8" t="s">
        <v>199</v>
      </c>
      <c r="E5" s="8"/>
      <c r="F5" s="8" t="s">
        <v>207</v>
      </c>
      <c r="G5" s="8" t="s">
        <v>208</v>
      </c>
      <c r="H5" s="8" t="s">
        <v>209</v>
      </c>
      <c r="I5" s="8" t="s">
        <v>210</v>
      </c>
      <c r="J5" s="8"/>
      <c r="K5" s="8" t="s">
        <v>211</v>
      </c>
      <c r="L5" s="8" t="s">
        <v>212</v>
      </c>
      <c r="M5" s="8" t="s">
        <v>212</v>
      </c>
      <c r="N5" s="8">
        <v>1</v>
      </c>
      <c r="O5" s="8" t="s">
        <v>213</v>
      </c>
    </row>
    <row r="6" spans="1:15" ht="30" customHeight="1" x14ac:dyDescent="0.25">
      <c r="A6" s="8" t="s">
        <v>214</v>
      </c>
      <c r="B6" s="8" t="s">
        <v>215</v>
      </c>
      <c r="C6" s="8" t="s">
        <v>178</v>
      </c>
      <c r="D6" s="8" t="s">
        <v>199</v>
      </c>
      <c r="E6" s="8"/>
      <c r="F6" s="8" t="s">
        <v>216</v>
      </c>
      <c r="G6" s="8" t="s">
        <v>217</v>
      </c>
      <c r="H6" s="8" t="s">
        <v>218</v>
      </c>
      <c r="I6" s="8" t="s">
        <v>219</v>
      </c>
      <c r="J6" s="8"/>
      <c r="K6" s="8" t="s">
        <v>220</v>
      </c>
      <c r="L6" s="8" t="s">
        <v>221</v>
      </c>
      <c r="M6" s="8" t="s">
        <v>221</v>
      </c>
      <c r="N6" s="8">
        <v>1</v>
      </c>
      <c r="O6" s="8" t="s">
        <v>213</v>
      </c>
    </row>
    <row r="7" spans="1:15" ht="30" customHeight="1" x14ac:dyDescent="0.25">
      <c r="A7" s="8" t="s">
        <v>222</v>
      </c>
      <c r="B7" s="8" t="s">
        <v>223</v>
      </c>
      <c r="C7" s="8" t="s">
        <v>188</v>
      </c>
      <c r="D7" s="8" t="s">
        <v>224</v>
      </c>
      <c r="E7" s="8"/>
      <c r="F7" s="8"/>
      <c r="G7" s="8"/>
      <c r="H7" s="8"/>
      <c r="I7" s="8"/>
      <c r="J7" s="8"/>
      <c r="K7" s="8" t="s">
        <v>225</v>
      </c>
      <c r="L7" s="8" t="s">
        <v>226</v>
      </c>
      <c r="M7" s="8" t="s">
        <v>226</v>
      </c>
      <c r="N7" s="8">
        <v>1</v>
      </c>
      <c r="O7" s="8" t="s">
        <v>227</v>
      </c>
    </row>
    <row r="8" spans="1:15" ht="30" customHeight="1" x14ac:dyDescent="0.25">
      <c r="A8" s="8" t="s">
        <v>228</v>
      </c>
      <c r="B8" s="8" t="s">
        <v>229</v>
      </c>
      <c r="C8" s="8" t="s">
        <v>230</v>
      </c>
      <c r="D8" s="8" t="s">
        <v>231</v>
      </c>
      <c r="E8" s="8"/>
      <c r="F8" s="8"/>
      <c r="G8" s="8"/>
      <c r="H8" s="8"/>
      <c r="I8" s="8"/>
      <c r="J8" s="8"/>
      <c r="K8" s="8" t="s">
        <v>232</v>
      </c>
      <c r="L8" s="8" t="s">
        <v>233</v>
      </c>
      <c r="M8" s="8" t="s">
        <v>233</v>
      </c>
      <c r="N8" s="8">
        <v>1</v>
      </c>
      <c r="O8" s="8" t="s">
        <v>234</v>
      </c>
    </row>
    <row r="9" spans="1:15" ht="30" customHeight="1" x14ac:dyDescent="0.25">
      <c r="A9" s="8" t="s">
        <v>235</v>
      </c>
      <c r="B9" s="8" t="s">
        <v>236</v>
      </c>
      <c r="C9" s="8" t="s">
        <v>230</v>
      </c>
      <c r="D9" s="8" t="s">
        <v>231</v>
      </c>
      <c r="E9" s="8"/>
      <c r="F9" s="8"/>
      <c r="G9" s="8"/>
      <c r="H9" s="8"/>
      <c r="I9" s="8"/>
      <c r="J9" s="8"/>
      <c r="K9" s="8" t="s">
        <v>237</v>
      </c>
      <c r="L9" s="8" t="s">
        <v>238</v>
      </c>
      <c r="M9" s="8" t="s">
        <v>238</v>
      </c>
      <c r="N9" s="8">
        <v>1</v>
      </c>
      <c r="O9" s="8" t="s">
        <v>239</v>
      </c>
    </row>
    <row r="10" spans="1:15" ht="30" customHeight="1" x14ac:dyDescent="0.25">
      <c r="A10" s="8" t="s">
        <v>240</v>
      </c>
      <c r="B10" s="8" t="s">
        <v>241</v>
      </c>
      <c r="C10" s="8" t="s">
        <v>230</v>
      </c>
      <c r="D10" s="8" t="s">
        <v>231</v>
      </c>
      <c r="E10" s="8"/>
      <c r="F10" s="8"/>
      <c r="G10" s="8"/>
      <c r="H10" s="8"/>
      <c r="I10" s="8"/>
      <c r="J10" s="8"/>
      <c r="K10" s="8" t="s">
        <v>242</v>
      </c>
      <c r="L10" s="8" t="s">
        <v>243</v>
      </c>
      <c r="M10" s="8" t="s">
        <v>244</v>
      </c>
      <c r="N10" s="8">
        <v>0</v>
      </c>
      <c r="O10" s="8" t="s">
        <v>245</v>
      </c>
    </row>
    <row r="11" spans="1:15" ht="30" customHeight="1" x14ac:dyDescent="0.25">
      <c r="A11" s="8" t="s">
        <v>246</v>
      </c>
      <c r="B11" s="8" t="s">
        <v>247</v>
      </c>
      <c r="C11" s="8" t="s">
        <v>230</v>
      </c>
      <c r="D11" s="8" t="s">
        <v>231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30" customHeight="1" x14ac:dyDescent="0.25">
      <c r="A12" s="8" t="s">
        <v>248</v>
      </c>
      <c r="B12" s="8" t="s">
        <v>249</v>
      </c>
      <c r="C12" s="8" t="s">
        <v>230</v>
      </c>
      <c r="D12" s="8" t="s">
        <v>250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30" customHeight="1" x14ac:dyDescent="0.25">
      <c r="A13" s="8" t="s">
        <v>251</v>
      </c>
      <c r="B13" s="8" t="s">
        <v>252</v>
      </c>
      <c r="C13" s="8" t="s">
        <v>230</v>
      </c>
      <c r="D13" s="8" t="s">
        <v>253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</sheetData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2"/>
  <sheetViews>
    <sheetView showGridLines="0" topLeftCell="I1" zoomScale="85" zoomScaleNormal="85" workbookViewId="0">
      <selection activeCell="N39" sqref="N39"/>
    </sheetView>
  </sheetViews>
  <sheetFormatPr defaultColWidth="11.5546875" defaultRowHeight="13.2" x14ac:dyDescent="0.25"/>
  <cols>
    <col min="1" max="1" width="38" customWidth="1"/>
    <col min="2" max="3" width="16" customWidth="1"/>
    <col min="4" max="5" width="38" customWidth="1"/>
    <col min="6" max="6" width="16" customWidth="1"/>
    <col min="7" max="11" width="38" customWidth="1"/>
    <col min="12" max="15" width="16" customWidth="1"/>
    <col min="16" max="16" width="38" customWidth="1"/>
    <col min="17" max="17" width="16" customWidth="1"/>
  </cols>
  <sheetData>
    <row r="1" spans="1:17" ht="34.049999999999997" customHeight="1" x14ac:dyDescent="0.25">
      <c r="A1" s="7" t="s">
        <v>254</v>
      </c>
      <c r="B1" s="7" t="s">
        <v>163</v>
      </c>
      <c r="C1" s="7" t="s">
        <v>167</v>
      </c>
      <c r="D1" s="7" t="s">
        <v>164</v>
      </c>
      <c r="E1" s="7" t="s">
        <v>168</v>
      </c>
      <c r="F1" s="7" t="s">
        <v>171</v>
      </c>
      <c r="G1" s="7" t="s">
        <v>172</v>
      </c>
      <c r="H1" s="7" t="s">
        <v>255</v>
      </c>
      <c r="I1" s="7" t="s">
        <v>256</v>
      </c>
      <c r="J1" s="7" t="s">
        <v>257</v>
      </c>
      <c r="K1" s="7" t="s">
        <v>258</v>
      </c>
      <c r="L1" s="7" t="s">
        <v>259</v>
      </c>
      <c r="M1" s="7" t="s">
        <v>260</v>
      </c>
      <c r="N1" s="7" t="s">
        <v>261</v>
      </c>
      <c r="O1" s="7" t="s">
        <v>262</v>
      </c>
      <c r="P1" s="7" t="s">
        <v>263</v>
      </c>
      <c r="Q1" s="7" t="s">
        <v>264</v>
      </c>
    </row>
    <row r="2" spans="1:17" ht="30" customHeight="1" x14ac:dyDescent="0.25">
      <c r="A2" s="8" t="s">
        <v>265</v>
      </c>
      <c r="B2" s="8" t="s">
        <v>176</v>
      </c>
      <c r="C2" s="8" t="s">
        <v>180</v>
      </c>
      <c r="D2" s="8" t="s">
        <v>177</v>
      </c>
      <c r="E2" s="8" t="s">
        <v>181</v>
      </c>
      <c r="F2" s="8" t="s">
        <v>194</v>
      </c>
      <c r="G2" s="8" t="s">
        <v>195</v>
      </c>
      <c r="H2" s="8" t="s">
        <v>265</v>
      </c>
      <c r="I2" s="8" t="s">
        <v>176</v>
      </c>
      <c r="J2" s="8" t="s">
        <v>266</v>
      </c>
      <c r="K2" s="8" t="s">
        <v>267</v>
      </c>
      <c r="L2" s="8" t="s">
        <v>268</v>
      </c>
      <c r="M2" s="8" t="s">
        <v>269</v>
      </c>
      <c r="N2" s="8">
        <v>1</v>
      </c>
      <c r="O2" s="8">
        <v>0</v>
      </c>
      <c r="P2" s="8" t="s">
        <v>270</v>
      </c>
      <c r="Q2" s="8">
        <f t="shared" ref="Q2:Q33" si="0">COUNTIF($A$2:$A$62,A2)</f>
        <v>1</v>
      </c>
    </row>
    <row r="3" spans="1:17" ht="30" customHeight="1" x14ac:dyDescent="0.25">
      <c r="A3" s="8" t="s">
        <v>271</v>
      </c>
      <c r="B3" s="8" t="s">
        <v>176</v>
      </c>
      <c r="C3" s="8" t="s">
        <v>180</v>
      </c>
      <c r="D3" s="8" t="s">
        <v>177</v>
      </c>
      <c r="E3" s="8" t="s">
        <v>181</v>
      </c>
      <c r="F3" s="8" t="s">
        <v>203</v>
      </c>
      <c r="G3" s="8" t="s">
        <v>204</v>
      </c>
      <c r="H3" s="8" t="s">
        <v>271</v>
      </c>
      <c r="I3" s="8" t="s">
        <v>176</v>
      </c>
      <c r="J3" s="8" t="s">
        <v>266</v>
      </c>
      <c r="K3" s="8" t="s">
        <v>267</v>
      </c>
      <c r="L3" s="8" t="s">
        <v>268</v>
      </c>
      <c r="M3" s="8" t="s">
        <v>269</v>
      </c>
      <c r="N3" s="8">
        <v>1</v>
      </c>
      <c r="O3" s="8">
        <v>0</v>
      </c>
      <c r="P3" s="8" t="s">
        <v>270</v>
      </c>
      <c r="Q3" s="8">
        <f t="shared" si="0"/>
        <v>1</v>
      </c>
    </row>
    <row r="4" spans="1:17" ht="30" customHeight="1" x14ac:dyDescent="0.25">
      <c r="A4" s="8" t="s">
        <v>272</v>
      </c>
      <c r="B4" s="8" t="s">
        <v>176</v>
      </c>
      <c r="C4" s="8" t="s">
        <v>180</v>
      </c>
      <c r="D4" s="8" t="s">
        <v>177</v>
      </c>
      <c r="E4" s="8" t="s">
        <v>181</v>
      </c>
      <c r="F4" s="8" t="s">
        <v>211</v>
      </c>
      <c r="G4" s="8" t="s">
        <v>212</v>
      </c>
      <c r="H4" s="8" t="s">
        <v>272</v>
      </c>
      <c r="I4" s="8" t="s">
        <v>176</v>
      </c>
      <c r="J4" s="8" t="s">
        <v>266</v>
      </c>
      <c r="K4" s="8" t="s">
        <v>267</v>
      </c>
      <c r="L4" s="8" t="s">
        <v>268</v>
      </c>
      <c r="M4" s="8" t="s">
        <v>269</v>
      </c>
      <c r="N4" s="8">
        <v>1</v>
      </c>
      <c r="O4" s="8">
        <v>0</v>
      </c>
      <c r="P4" s="8" t="s">
        <v>270</v>
      </c>
      <c r="Q4" s="8">
        <f t="shared" si="0"/>
        <v>1</v>
      </c>
    </row>
    <row r="5" spans="1:17" ht="30" customHeight="1" x14ac:dyDescent="0.25">
      <c r="A5" s="8" t="s">
        <v>273</v>
      </c>
      <c r="B5" s="8" t="s">
        <v>176</v>
      </c>
      <c r="C5" s="8" t="s">
        <v>180</v>
      </c>
      <c r="D5" s="8" t="s">
        <v>177</v>
      </c>
      <c r="E5" s="8" t="s">
        <v>181</v>
      </c>
      <c r="F5" s="8" t="s">
        <v>232</v>
      </c>
      <c r="G5" s="8" t="s">
        <v>233</v>
      </c>
      <c r="H5" s="8" t="s">
        <v>273</v>
      </c>
      <c r="I5" s="8" t="s">
        <v>176</v>
      </c>
      <c r="J5" s="8" t="s">
        <v>266</v>
      </c>
      <c r="K5" s="8" t="s">
        <v>267</v>
      </c>
      <c r="L5" s="8" t="s">
        <v>268</v>
      </c>
      <c r="M5" s="8" t="s">
        <v>269</v>
      </c>
      <c r="N5" s="8">
        <v>1</v>
      </c>
      <c r="O5" s="8">
        <v>0</v>
      </c>
      <c r="P5" s="8" t="s">
        <v>270</v>
      </c>
      <c r="Q5" s="8">
        <f t="shared" si="0"/>
        <v>1</v>
      </c>
    </row>
    <row r="6" spans="1:17" ht="30" customHeight="1" x14ac:dyDescent="0.25">
      <c r="A6" s="8" t="s">
        <v>274</v>
      </c>
      <c r="B6" s="8" t="s">
        <v>186</v>
      </c>
      <c r="C6" s="8" t="s">
        <v>190</v>
      </c>
      <c r="D6" s="8" t="s">
        <v>187</v>
      </c>
      <c r="E6" s="8" t="s">
        <v>191</v>
      </c>
      <c r="F6" s="8" t="s">
        <v>194</v>
      </c>
      <c r="G6" s="8" t="s">
        <v>195</v>
      </c>
      <c r="H6" s="8" t="s">
        <v>274</v>
      </c>
      <c r="I6" s="8" t="s">
        <v>186</v>
      </c>
      <c r="J6" s="8" t="s">
        <v>275</v>
      </c>
      <c r="K6" s="8" t="s">
        <v>267</v>
      </c>
      <c r="L6" s="8" t="s">
        <v>268</v>
      </c>
      <c r="M6" s="8" t="s">
        <v>269</v>
      </c>
      <c r="N6" s="8">
        <v>0</v>
      </c>
      <c r="O6" s="8">
        <v>0</v>
      </c>
      <c r="P6" s="8" t="s">
        <v>270</v>
      </c>
      <c r="Q6" s="8">
        <f t="shared" si="0"/>
        <v>1</v>
      </c>
    </row>
    <row r="7" spans="1:17" ht="30" customHeight="1" x14ac:dyDescent="0.25">
      <c r="A7" s="8" t="s">
        <v>276</v>
      </c>
      <c r="B7" s="8" t="s">
        <v>186</v>
      </c>
      <c r="C7" s="8" t="s">
        <v>190</v>
      </c>
      <c r="D7" s="8" t="s">
        <v>187</v>
      </c>
      <c r="E7" s="8" t="s">
        <v>191</v>
      </c>
      <c r="F7" s="8" t="s">
        <v>203</v>
      </c>
      <c r="G7" s="8" t="s">
        <v>204</v>
      </c>
      <c r="H7" s="8" t="s">
        <v>276</v>
      </c>
      <c r="I7" s="8" t="s">
        <v>186</v>
      </c>
      <c r="J7" s="8" t="s">
        <v>275</v>
      </c>
      <c r="K7" s="8" t="s">
        <v>267</v>
      </c>
      <c r="L7" s="8" t="s">
        <v>268</v>
      </c>
      <c r="M7" s="8" t="s">
        <v>269</v>
      </c>
      <c r="N7" s="8">
        <v>0</v>
      </c>
      <c r="O7" s="8">
        <v>0</v>
      </c>
      <c r="P7" s="8" t="s">
        <v>270</v>
      </c>
      <c r="Q7" s="8">
        <f t="shared" si="0"/>
        <v>1</v>
      </c>
    </row>
    <row r="8" spans="1:17" ht="30" customHeight="1" x14ac:dyDescent="0.25">
      <c r="A8" s="8" t="s">
        <v>277</v>
      </c>
      <c r="B8" s="8" t="s">
        <v>186</v>
      </c>
      <c r="C8" s="8" t="s">
        <v>190</v>
      </c>
      <c r="D8" s="8" t="s">
        <v>187</v>
      </c>
      <c r="E8" s="8" t="s">
        <v>191</v>
      </c>
      <c r="F8" s="8" t="s">
        <v>211</v>
      </c>
      <c r="G8" s="8" t="s">
        <v>212</v>
      </c>
      <c r="H8" s="8" t="s">
        <v>277</v>
      </c>
      <c r="I8" s="8" t="s">
        <v>186</v>
      </c>
      <c r="J8" s="8" t="s">
        <v>275</v>
      </c>
      <c r="K8" s="8" t="s">
        <v>267</v>
      </c>
      <c r="L8" s="8" t="s">
        <v>268</v>
      </c>
      <c r="M8" s="8" t="s">
        <v>269</v>
      </c>
      <c r="N8" s="8">
        <v>0</v>
      </c>
      <c r="O8" s="8">
        <v>0</v>
      </c>
      <c r="P8" s="8" t="s">
        <v>270</v>
      </c>
      <c r="Q8" s="8">
        <f t="shared" si="0"/>
        <v>1</v>
      </c>
    </row>
    <row r="9" spans="1:17" ht="30" customHeight="1" x14ac:dyDescent="0.25">
      <c r="A9" s="8" t="s">
        <v>278</v>
      </c>
      <c r="B9" s="8" t="s">
        <v>186</v>
      </c>
      <c r="C9" s="8" t="s">
        <v>190</v>
      </c>
      <c r="D9" s="8" t="s">
        <v>187</v>
      </c>
      <c r="E9" s="8" t="s">
        <v>191</v>
      </c>
      <c r="F9" s="8" t="s">
        <v>220</v>
      </c>
      <c r="G9" s="8" t="s">
        <v>221</v>
      </c>
      <c r="H9" s="8" t="s">
        <v>278</v>
      </c>
      <c r="I9" s="8" t="s">
        <v>186</v>
      </c>
      <c r="J9" s="8" t="s">
        <v>275</v>
      </c>
      <c r="K9" s="8" t="s">
        <v>267</v>
      </c>
      <c r="L9" s="8" t="s">
        <v>268</v>
      </c>
      <c r="M9" s="8" t="s">
        <v>269</v>
      </c>
      <c r="N9" s="8">
        <v>0</v>
      </c>
      <c r="O9" s="8">
        <v>0</v>
      </c>
      <c r="P9" s="8" t="s">
        <v>270</v>
      </c>
      <c r="Q9" s="8">
        <f t="shared" si="0"/>
        <v>1</v>
      </c>
    </row>
    <row r="10" spans="1:17" ht="30" customHeight="1" x14ac:dyDescent="0.25">
      <c r="A10" s="8" t="s">
        <v>279</v>
      </c>
      <c r="B10" s="8" t="s">
        <v>186</v>
      </c>
      <c r="C10" s="8" t="s">
        <v>190</v>
      </c>
      <c r="D10" s="8" t="s">
        <v>187</v>
      </c>
      <c r="E10" s="8" t="s">
        <v>191</v>
      </c>
      <c r="F10" s="8" t="s">
        <v>225</v>
      </c>
      <c r="G10" s="8" t="s">
        <v>226</v>
      </c>
      <c r="H10" s="8" t="s">
        <v>279</v>
      </c>
      <c r="I10" s="8" t="s">
        <v>186</v>
      </c>
      <c r="J10" s="8" t="s">
        <v>275</v>
      </c>
      <c r="K10" s="8" t="s">
        <v>267</v>
      </c>
      <c r="L10" s="8" t="s">
        <v>268</v>
      </c>
      <c r="M10" s="8" t="s">
        <v>269</v>
      </c>
      <c r="N10" s="8">
        <v>0</v>
      </c>
      <c r="O10" s="8">
        <v>0</v>
      </c>
      <c r="P10" s="8" t="s">
        <v>270</v>
      </c>
      <c r="Q10" s="8">
        <f t="shared" si="0"/>
        <v>1</v>
      </c>
    </row>
    <row r="11" spans="1:17" ht="30" customHeight="1" x14ac:dyDescent="0.25">
      <c r="A11" s="8" t="s">
        <v>280</v>
      </c>
      <c r="B11" s="8" t="s">
        <v>197</v>
      </c>
      <c r="C11" s="8" t="s">
        <v>180</v>
      </c>
      <c r="D11" s="8" t="s">
        <v>198</v>
      </c>
      <c r="E11" s="8" t="s">
        <v>181</v>
      </c>
      <c r="F11" s="8" t="s">
        <v>194</v>
      </c>
      <c r="G11" s="8" t="s">
        <v>195</v>
      </c>
      <c r="H11" s="8" t="s">
        <v>280</v>
      </c>
      <c r="I11" s="8" t="s">
        <v>197</v>
      </c>
      <c r="J11" s="8" t="s">
        <v>281</v>
      </c>
      <c r="K11" s="8" t="s">
        <v>282</v>
      </c>
      <c r="L11" s="8" t="s">
        <v>268</v>
      </c>
      <c r="M11" s="8" t="s">
        <v>269</v>
      </c>
      <c r="N11" s="8">
        <v>1</v>
      </c>
      <c r="O11" s="8">
        <v>0</v>
      </c>
      <c r="P11" s="8" t="s">
        <v>270</v>
      </c>
      <c r="Q11" s="8">
        <f t="shared" si="0"/>
        <v>1</v>
      </c>
    </row>
    <row r="12" spans="1:17" ht="30" customHeight="1" x14ac:dyDescent="0.25">
      <c r="A12" s="8" t="s">
        <v>283</v>
      </c>
      <c r="B12" s="8" t="s">
        <v>197</v>
      </c>
      <c r="C12" s="8" t="s">
        <v>180</v>
      </c>
      <c r="D12" s="8" t="s">
        <v>198</v>
      </c>
      <c r="E12" s="8" t="s">
        <v>181</v>
      </c>
      <c r="F12" s="8" t="s">
        <v>203</v>
      </c>
      <c r="G12" s="8" t="s">
        <v>204</v>
      </c>
      <c r="H12" s="8" t="s">
        <v>283</v>
      </c>
      <c r="I12" s="8" t="s">
        <v>197</v>
      </c>
      <c r="J12" s="8" t="s">
        <v>281</v>
      </c>
      <c r="K12" s="8" t="s">
        <v>282</v>
      </c>
      <c r="L12" s="8" t="s">
        <v>268</v>
      </c>
      <c r="M12" s="8" t="s">
        <v>269</v>
      </c>
      <c r="N12" s="8">
        <v>1</v>
      </c>
      <c r="O12" s="8">
        <v>0</v>
      </c>
      <c r="P12" s="8" t="s">
        <v>270</v>
      </c>
      <c r="Q12" s="8">
        <f t="shared" si="0"/>
        <v>1</v>
      </c>
    </row>
    <row r="13" spans="1:17" ht="30" customHeight="1" x14ac:dyDescent="0.25">
      <c r="A13" s="8" t="s">
        <v>284</v>
      </c>
      <c r="B13" s="8" t="s">
        <v>197</v>
      </c>
      <c r="C13" s="8" t="s">
        <v>180</v>
      </c>
      <c r="D13" s="8" t="s">
        <v>198</v>
      </c>
      <c r="E13" s="8" t="s">
        <v>181</v>
      </c>
      <c r="F13" s="8" t="s">
        <v>211</v>
      </c>
      <c r="G13" s="8" t="s">
        <v>212</v>
      </c>
      <c r="H13" s="8" t="s">
        <v>284</v>
      </c>
      <c r="I13" s="8" t="s">
        <v>197</v>
      </c>
      <c r="J13" s="8" t="s">
        <v>281</v>
      </c>
      <c r="K13" s="8" t="s">
        <v>282</v>
      </c>
      <c r="L13" s="8" t="s">
        <v>268</v>
      </c>
      <c r="M13" s="8" t="s">
        <v>269</v>
      </c>
      <c r="N13" s="8">
        <v>1</v>
      </c>
      <c r="O13" s="8">
        <v>0</v>
      </c>
      <c r="P13" s="8" t="s">
        <v>270</v>
      </c>
      <c r="Q13" s="8">
        <f t="shared" si="0"/>
        <v>1</v>
      </c>
    </row>
    <row r="14" spans="1:17" ht="30" customHeight="1" x14ac:dyDescent="0.25">
      <c r="A14" s="8" t="s">
        <v>285</v>
      </c>
      <c r="B14" s="8" t="s">
        <v>197</v>
      </c>
      <c r="C14" s="8" t="s">
        <v>180</v>
      </c>
      <c r="D14" s="8" t="s">
        <v>198</v>
      </c>
      <c r="E14" s="8" t="s">
        <v>181</v>
      </c>
      <c r="F14" s="8" t="s">
        <v>232</v>
      </c>
      <c r="G14" s="8" t="s">
        <v>233</v>
      </c>
      <c r="H14" s="8" t="s">
        <v>285</v>
      </c>
      <c r="I14" s="8" t="s">
        <v>197</v>
      </c>
      <c r="J14" s="8" t="s">
        <v>281</v>
      </c>
      <c r="K14" s="8" t="s">
        <v>282</v>
      </c>
      <c r="L14" s="8" t="s">
        <v>268</v>
      </c>
      <c r="M14" s="8" t="s">
        <v>269</v>
      </c>
      <c r="N14" s="8">
        <v>1</v>
      </c>
      <c r="O14" s="8">
        <v>0</v>
      </c>
      <c r="P14" s="8" t="s">
        <v>270</v>
      </c>
      <c r="Q14" s="8">
        <f t="shared" si="0"/>
        <v>1</v>
      </c>
    </row>
    <row r="15" spans="1:17" ht="30" customHeight="1" x14ac:dyDescent="0.25">
      <c r="A15" s="8" t="s">
        <v>286</v>
      </c>
      <c r="B15" s="8" t="s">
        <v>205</v>
      </c>
      <c r="C15" s="8" t="s">
        <v>180</v>
      </c>
      <c r="D15" s="8" t="s">
        <v>206</v>
      </c>
      <c r="E15" s="8" t="s">
        <v>181</v>
      </c>
      <c r="F15" s="8" t="s">
        <v>194</v>
      </c>
      <c r="G15" s="8" t="s">
        <v>195</v>
      </c>
      <c r="H15" s="8" t="s">
        <v>286</v>
      </c>
      <c r="I15" s="8" t="s">
        <v>205</v>
      </c>
      <c r="J15" s="8" t="s">
        <v>287</v>
      </c>
      <c r="K15" s="8" t="s">
        <v>282</v>
      </c>
      <c r="L15" s="8" t="s">
        <v>268</v>
      </c>
      <c r="M15" s="8" t="s">
        <v>269</v>
      </c>
      <c r="N15" s="8">
        <v>1</v>
      </c>
      <c r="O15" s="8">
        <v>0</v>
      </c>
      <c r="P15" s="8" t="s">
        <v>270</v>
      </c>
      <c r="Q15" s="8">
        <f t="shared" si="0"/>
        <v>1</v>
      </c>
    </row>
    <row r="16" spans="1:17" ht="30" customHeight="1" x14ac:dyDescent="0.25">
      <c r="A16" s="8" t="s">
        <v>288</v>
      </c>
      <c r="B16" s="8" t="s">
        <v>205</v>
      </c>
      <c r="C16" s="8" t="s">
        <v>180</v>
      </c>
      <c r="D16" s="8" t="s">
        <v>206</v>
      </c>
      <c r="E16" s="8" t="s">
        <v>181</v>
      </c>
      <c r="F16" s="8" t="s">
        <v>203</v>
      </c>
      <c r="G16" s="8" t="s">
        <v>204</v>
      </c>
      <c r="H16" s="8" t="s">
        <v>288</v>
      </c>
      <c r="I16" s="8" t="s">
        <v>205</v>
      </c>
      <c r="J16" s="8" t="s">
        <v>287</v>
      </c>
      <c r="K16" s="8" t="s">
        <v>282</v>
      </c>
      <c r="L16" s="8" t="s">
        <v>268</v>
      </c>
      <c r="M16" s="8" t="s">
        <v>269</v>
      </c>
      <c r="N16" s="8">
        <v>1</v>
      </c>
      <c r="O16" s="8">
        <v>0</v>
      </c>
      <c r="P16" s="8" t="s">
        <v>270</v>
      </c>
      <c r="Q16" s="8">
        <f t="shared" si="0"/>
        <v>1</v>
      </c>
    </row>
    <row r="17" spans="1:17" ht="30" customHeight="1" x14ac:dyDescent="0.25">
      <c r="A17" s="8" t="s">
        <v>289</v>
      </c>
      <c r="B17" s="8" t="s">
        <v>205</v>
      </c>
      <c r="C17" s="8" t="s">
        <v>180</v>
      </c>
      <c r="D17" s="8" t="s">
        <v>206</v>
      </c>
      <c r="E17" s="8" t="s">
        <v>181</v>
      </c>
      <c r="F17" s="8" t="s">
        <v>211</v>
      </c>
      <c r="G17" s="8" t="s">
        <v>212</v>
      </c>
      <c r="H17" s="8" t="s">
        <v>289</v>
      </c>
      <c r="I17" s="8" t="s">
        <v>205</v>
      </c>
      <c r="J17" s="8" t="s">
        <v>287</v>
      </c>
      <c r="K17" s="8" t="s">
        <v>282</v>
      </c>
      <c r="L17" s="8" t="s">
        <v>268</v>
      </c>
      <c r="M17" s="8" t="s">
        <v>269</v>
      </c>
      <c r="N17" s="8">
        <v>1</v>
      </c>
      <c r="O17" s="8">
        <v>0</v>
      </c>
      <c r="P17" s="8" t="s">
        <v>270</v>
      </c>
      <c r="Q17" s="8">
        <f t="shared" si="0"/>
        <v>1</v>
      </c>
    </row>
    <row r="18" spans="1:17" ht="30" customHeight="1" x14ac:dyDescent="0.25">
      <c r="A18" s="8" t="s">
        <v>290</v>
      </c>
      <c r="B18" s="8" t="s">
        <v>205</v>
      </c>
      <c r="C18" s="8" t="s">
        <v>180</v>
      </c>
      <c r="D18" s="8" t="s">
        <v>206</v>
      </c>
      <c r="E18" s="8" t="s">
        <v>181</v>
      </c>
      <c r="F18" s="8" t="s">
        <v>232</v>
      </c>
      <c r="G18" s="8" t="s">
        <v>233</v>
      </c>
      <c r="H18" s="8" t="s">
        <v>290</v>
      </c>
      <c r="I18" s="8" t="s">
        <v>205</v>
      </c>
      <c r="J18" s="8" t="s">
        <v>287</v>
      </c>
      <c r="K18" s="8" t="s">
        <v>282</v>
      </c>
      <c r="L18" s="8" t="s">
        <v>268</v>
      </c>
      <c r="M18" s="8" t="s">
        <v>269</v>
      </c>
      <c r="N18" s="8">
        <v>1</v>
      </c>
      <c r="O18" s="8">
        <v>0</v>
      </c>
      <c r="P18" s="8" t="s">
        <v>270</v>
      </c>
      <c r="Q18" s="8">
        <f t="shared" si="0"/>
        <v>1</v>
      </c>
    </row>
    <row r="19" spans="1:17" ht="30" customHeight="1" x14ac:dyDescent="0.25">
      <c r="A19" s="8" t="s">
        <v>291</v>
      </c>
      <c r="B19" s="8" t="s">
        <v>214</v>
      </c>
      <c r="C19" s="8" t="s">
        <v>180</v>
      </c>
      <c r="D19" s="8" t="s">
        <v>215</v>
      </c>
      <c r="E19" s="8" t="s">
        <v>181</v>
      </c>
      <c r="F19" s="8" t="s">
        <v>194</v>
      </c>
      <c r="G19" s="8" t="s">
        <v>195</v>
      </c>
      <c r="H19" s="8" t="s">
        <v>291</v>
      </c>
      <c r="I19" s="8" t="s">
        <v>214</v>
      </c>
      <c r="J19" s="8" t="s">
        <v>292</v>
      </c>
      <c r="K19" s="8" t="s">
        <v>282</v>
      </c>
      <c r="L19" s="8" t="s">
        <v>268</v>
      </c>
      <c r="M19" s="8" t="s">
        <v>269</v>
      </c>
      <c r="N19" s="8">
        <v>1</v>
      </c>
      <c r="O19" s="8">
        <v>0</v>
      </c>
      <c r="P19" s="8" t="s">
        <v>270</v>
      </c>
      <c r="Q19" s="8">
        <f t="shared" si="0"/>
        <v>1</v>
      </c>
    </row>
    <row r="20" spans="1:17" ht="30" customHeight="1" x14ac:dyDescent="0.25">
      <c r="A20" s="8" t="s">
        <v>293</v>
      </c>
      <c r="B20" s="8" t="s">
        <v>214</v>
      </c>
      <c r="C20" s="8" t="s">
        <v>180</v>
      </c>
      <c r="D20" s="8" t="s">
        <v>215</v>
      </c>
      <c r="E20" s="8" t="s">
        <v>181</v>
      </c>
      <c r="F20" s="8" t="s">
        <v>203</v>
      </c>
      <c r="G20" s="8" t="s">
        <v>204</v>
      </c>
      <c r="H20" s="8" t="s">
        <v>293</v>
      </c>
      <c r="I20" s="8" t="s">
        <v>214</v>
      </c>
      <c r="J20" s="8" t="s">
        <v>292</v>
      </c>
      <c r="K20" s="8" t="s">
        <v>282</v>
      </c>
      <c r="L20" s="8" t="s">
        <v>268</v>
      </c>
      <c r="M20" s="8" t="s">
        <v>269</v>
      </c>
      <c r="N20" s="8">
        <v>1</v>
      </c>
      <c r="O20" s="8">
        <v>0</v>
      </c>
      <c r="P20" s="8" t="s">
        <v>270</v>
      </c>
      <c r="Q20" s="8">
        <f t="shared" si="0"/>
        <v>1</v>
      </c>
    </row>
    <row r="21" spans="1:17" ht="30" customHeight="1" x14ac:dyDescent="0.25">
      <c r="A21" s="8" t="s">
        <v>294</v>
      </c>
      <c r="B21" s="8" t="s">
        <v>214</v>
      </c>
      <c r="C21" s="8" t="s">
        <v>180</v>
      </c>
      <c r="D21" s="8" t="s">
        <v>215</v>
      </c>
      <c r="E21" s="8" t="s">
        <v>181</v>
      </c>
      <c r="F21" s="8" t="s">
        <v>211</v>
      </c>
      <c r="G21" s="8" t="s">
        <v>212</v>
      </c>
      <c r="H21" s="8" t="s">
        <v>294</v>
      </c>
      <c r="I21" s="8" t="s">
        <v>214</v>
      </c>
      <c r="J21" s="8" t="s">
        <v>292</v>
      </c>
      <c r="K21" s="8" t="s">
        <v>282</v>
      </c>
      <c r="L21" s="8" t="s">
        <v>268</v>
      </c>
      <c r="M21" s="8" t="s">
        <v>269</v>
      </c>
      <c r="N21" s="8">
        <v>1</v>
      </c>
      <c r="O21" s="8">
        <v>0</v>
      </c>
      <c r="P21" s="8" t="s">
        <v>270</v>
      </c>
      <c r="Q21" s="8">
        <f t="shared" si="0"/>
        <v>1</v>
      </c>
    </row>
    <row r="22" spans="1:17" ht="30" customHeight="1" x14ac:dyDescent="0.25">
      <c r="A22" s="8" t="s">
        <v>295</v>
      </c>
      <c r="B22" s="8" t="s">
        <v>214</v>
      </c>
      <c r="C22" s="8" t="s">
        <v>180</v>
      </c>
      <c r="D22" s="8" t="s">
        <v>215</v>
      </c>
      <c r="E22" s="8" t="s">
        <v>181</v>
      </c>
      <c r="F22" s="8" t="s">
        <v>232</v>
      </c>
      <c r="G22" s="8" t="s">
        <v>233</v>
      </c>
      <c r="H22" s="8" t="s">
        <v>295</v>
      </c>
      <c r="I22" s="8" t="s">
        <v>214</v>
      </c>
      <c r="J22" s="8" t="s">
        <v>292</v>
      </c>
      <c r="K22" s="8" t="s">
        <v>282</v>
      </c>
      <c r="L22" s="8" t="s">
        <v>268</v>
      </c>
      <c r="M22" s="8" t="s">
        <v>269</v>
      </c>
      <c r="N22" s="8">
        <v>1</v>
      </c>
      <c r="O22" s="8">
        <v>0</v>
      </c>
      <c r="P22" s="8" t="s">
        <v>270</v>
      </c>
      <c r="Q22" s="8">
        <f t="shared" si="0"/>
        <v>1</v>
      </c>
    </row>
    <row r="23" spans="1:17" ht="30" customHeight="1" x14ac:dyDescent="0.25">
      <c r="A23" s="8" t="s">
        <v>296</v>
      </c>
      <c r="B23" s="8" t="s">
        <v>222</v>
      </c>
      <c r="C23" s="8" t="s">
        <v>190</v>
      </c>
      <c r="D23" s="8" t="s">
        <v>223</v>
      </c>
      <c r="E23" s="8" t="s">
        <v>191</v>
      </c>
      <c r="F23" s="8" t="s">
        <v>194</v>
      </c>
      <c r="G23" s="8" t="s">
        <v>195</v>
      </c>
      <c r="H23" s="8" t="s">
        <v>296</v>
      </c>
      <c r="I23" s="8" t="s">
        <v>222</v>
      </c>
      <c r="J23" s="8" t="s">
        <v>297</v>
      </c>
      <c r="K23" s="8" t="s">
        <v>267</v>
      </c>
      <c r="L23" s="8" t="s">
        <v>268</v>
      </c>
      <c r="M23" s="8" t="s">
        <v>269</v>
      </c>
      <c r="N23" s="8">
        <v>0</v>
      </c>
      <c r="O23" s="8">
        <v>0</v>
      </c>
      <c r="P23" s="8" t="s">
        <v>270</v>
      </c>
      <c r="Q23" s="8">
        <f t="shared" si="0"/>
        <v>1</v>
      </c>
    </row>
    <row r="24" spans="1:17" ht="30" customHeight="1" x14ac:dyDescent="0.25">
      <c r="A24" s="8" t="s">
        <v>298</v>
      </c>
      <c r="B24" s="8" t="s">
        <v>222</v>
      </c>
      <c r="C24" s="8" t="s">
        <v>190</v>
      </c>
      <c r="D24" s="8" t="s">
        <v>223</v>
      </c>
      <c r="E24" s="8" t="s">
        <v>191</v>
      </c>
      <c r="F24" s="8" t="s">
        <v>203</v>
      </c>
      <c r="G24" s="8" t="s">
        <v>204</v>
      </c>
      <c r="H24" s="8" t="s">
        <v>298</v>
      </c>
      <c r="I24" s="8" t="s">
        <v>222</v>
      </c>
      <c r="J24" s="8" t="s">
        <v>297</v>
      </c>
      <c r="K24" s="8" t="s">
        <v>267</v>
      </c>
      <c r="L24" s="8" t="s">
        <v>268</v>
      </c>
      <c r="M24" s="8" t="s">
        <v>269</v>
      </c>
      <c r="N24" s="8">
        <v>0</v>
      </c>
      <c r="O24" s="8">
        <v>0</v>
      </c>
      <c r="P24" s="8" t="s">
        <v>270</v>
      </c>
      <c r="Q24" s="8">
        <f t="shared" si="0"/>
        <v>1</v>
      </c>
    </row>
    <row r="25" spans="1:17" ht="30" customHeight="1" x14ac:dyDescent="0.25">
      <c r="A25" s="8" t="s">
        <v>299</v>
      </c>
      <c r="B25" s="8" t="s">
        <v>222</v>
      </c>
      <c r="C25" s="8" t="s">
        <v>190</v>
      </c>
      <c r="D25" s="8" t="s">
        <v>223</v>
      </c>
      <c r="E25" s="8" t="s">
        <v>191</v>
      </c>
      <c r="F25" s="8" t="s">
        <v>211</v>
      </c>
      <c r="G25" s="8" t="s">
        <v>212</v>
      </c>
      <c r="H25" s="8" t="s">
        <v>299</v>
      </c>
      <c r="I25" s="8" t="s">
        <v>222</v>
      </c>
      <c r="J25" s="8" t="s">
        <v>297</v>
      </c>
      <c r="K25" s="8" t="s">
        <v>267</v>
      </c>
      <c r="L25" s="8" t="s">
        <v>268</v>
      </c>
      <c r="M25" s="8" t="s">
        <v>269</v>
      </c>
      <c r="N25" s="8">
        <v>0</v>
      </c>
      <c r="O25" s="8">
        <v>0</v>
      </c>
      <c r="P25" s="8" t="s">
        <v>270</v>
      </c>
      <c r="Q25" s="8">
        <f t="shared" si="0"/>
        <v>1</v>
      </c>
    </row>
    <row r="26" spans="1:17" ht="30" customHeight="1" x14ac:dyDescent="0.25">
      <c r="A26" s="8" t="s">
        <v>300</v>
      </c>
      <c r="B26" s="8" t="s">
        <v>222</v>
      </c>
      <c r="C26" s="8" t="s">
        <v>190</v>
      </c>
      <c r="D26" s="8" t="s">
        <v>223</v>
      </c>
      <c r="E26" s="8" t="s">
        <v>191</v>
      </c>
      <c r="F26" s="8" t="s">
        <v>220</v>
      </c>
      <c r="G26" s="8" t="s">
        <v>221</v>
      </c>
      <c r="H26" s="8" t="s">
        <v>300</v>
      </c>
      <c r="I26" s="8" t="s">
        <v>222</v>
      </c>
      <c r="J26" s="8" t="s">
        <v>297</v>
      </c>
      <c r="K26" s="8" t="s">
        <v>267</v>
      </c>
      <c r="L26" s="8" t="s">
        <v>268</v>
      </c>
      <c r="M26" s="8" t="s">
        <v>269</v>
      </c>
      <c r="N26" s="8">
        <v>0</v>
      </c>
      <c r="O26" s="8">
        <v>0</v>
      </c>
      <c r="P26" s="8" t="s">
        <v>270</v>
      </c>
      <c r="Q26" s="8">
        <f t="shared" si="0"/>
        <v>1</v>
      </c>
    </row>
    <row r="27" spans="1:17" ht="30" customHeight="1" x14ac:dyDescent="0.25">
      <c r="A27" s="8" t="s">
        <v>301</v>
      </c>
      <c r="B27" s="8" t="s">
        <v>222</v>
      </c>
      <c r="C27" s="8" t="s">
        <v>190</v>
      </c>
      <c r="D27" s="8" t="s">
        <v>223</v>
      </c>
      <c r="E27" s="8" t="s">
        <v>191</v>
      </c>
      <c r="F27" s="8" t="s">
        <v>225</v>
      </c>
      <c r="G27" s="8" t="s">
        <v>226</v>
      </c>
      <c r="H27" s="8" t="s">
        <v>301</v>
      </c>
      <c r="I27" s="8" t="s">
        <v>222</v>
      </c>
      <c r="J27" s="8" t="s">
        <v>297</v>
      </c>
      <c r="K27" s="8" t="s">
        <v>267</v>
      </c>
      <c r="L27" s="8" t="s">
        <v>268</v>
      </c>
      <c r="M27" s="8" t="s">
        <v>269</v>
      </c>
      <c r="N27" s="8">
        <v>0</v>
      </c>
      <c r="O27" s="8">
        <v>0</v>
      </c>
      <c r="P27" s="8" t="s">
        <v>270</v>
      </c>
      <c r="Q27" s="8">
        <f t="shared" si="0"/>
        <v>1</v>
      </c>
    </row>
    <row r="28" spans="1:17" ht="30" customHeight="1" x14ac:dyDescent="0.25">
      <c r="A28" s="8" t="s">
        <v>302</v>
      </c>
      <c r="B28" s="8" t="s">
        <v>228</v>
      </c>
      <c r="C28" s="8" t="s">
        <v>200</v>
      </c>
      <c r="D28" s="8" t="s">
        <v>229</v>
      </c>
      <c r="E28" s="8" t="s">
        <v>201</v>
      </c>
      <c r="F28" s="8" t="s">
        <v>194</v>
      </c>
      <c r="G28" s="8" t="s">
        <v>195</v>
      </c>
      <c r="H28" s="8" t="s">
        <v>302</v>
      </c>
      <c r="I28" s="8" t="s">
        <v>228</v>
      </c>
      <c r="J28" s="8" t="s">
        <v>303</v>
      </c>
      <c r="K28" s="8" t="s">
        <v>282</v>
      </c>
      <c r="L28" s="8" t="s">
        <v>268</v>
      </c>
      <c r="M28" s="8" t="s">
        <v>269</v>
      </c>
      <c r="N28" s="8">
        <v>0</v>
      </c>
      <c r="O28" s="8">
        <v>0</v>
      </c>
      <c r="P28" s="8" t="s">
        <v>270</v>
      </c>
      <c r="Q28" s="8">
        <f t="shared" si="0"/>
        <v>1</v>
      </c>
    </row>
    <row r="29" spans="1:17" ht="30" customHeight="1" x14ac:dyDescent="0.25">
      <c r="A29" s="8" t="s">
        <v>304</v>
      </c>
      <c r="B29" s="8" t="s">
        <v>228</v>
      </c>
      <c r="C29" s="8" t="s">
        <v>200</v>
      </c>
      <c r="D29" s="8" t="s">
        <v>229</v>
      </c>
      <c r="E29" s="8" t="s">
        <v>201</v>
      </c>
      <c r="F29" s="8" t="s">
        <v>203</v>
      </c>
      <c r="G29" s="8" t="s">
        <v>204</v>
      </c>
      <c r="H29" s="8" t="s">
        <v>304</v>
      </c>
      <c r="I29" s="8" t="s">
        <v>228</v>
      </c>
      <c r="J29" s="8" t="s">
        <v>303</v>
      </c>
      <c r="K29" s="8" t="s">
        <v>282</v>
      </c>
      <c r="L29" s="8" t="s">
        <v>268</v>
      </c>
      <c r="M29" s="8" t="s">
        <v>269</v>
      </c>
      <c r="N29" s="8">
        <v>0</v>
      </c>
      <c r="O29" s="8">
        <v>0</v>
      </c>
      <c r="P29" s="8" t="s">
        <v>270</v>
      </c>
      <c r="Q29" s="8">
        <f t="shared" si="0"/>
        <v>1</v>
      </c>
    </row>
    <row r="30" spans="1:17" ht="30" customHeight="1" x14ac:dyDescent="0.25">
      <c r="A30" s="8" t="s">
        <v>305</v>
      </c>
      <c r="B30" s="8" t="s">
        <v>228</v>
      </c>
      <c r="C30" s="8" t="s">
        <v>200</v>
      </c>
      <c r="D30" s="8" t="s">
        <v>229</v>
      </c>
      <c r="E30" s="8" t="s">
        <v>201</v>
      </c>
      <c r="F30" s="8" t="s">
        <v>211</v>
      </c>
      <c r="G30" s="8" t="s">
        <v>212</v>
      </c>
      <c r="H30" s="8" t="s">
        <v>305</v>
      </c>
      <c r="I30" s="8" t="s">
        <v>228</v>
      </c>
      <c r="J30" s="8" t="s">
        <v>303</v>
      </c>
      <c r="K30" s="8" t="s">
        <v>282</v>
      </c>
      <c r="L30" s="8" t="s">
        <v>268</v>
      </c>
      <c r="M30" s="8" t="s">
        <v>269</v>
      </c>
      <c r="N30" s="8">
        <v>0</v>
      </c>
      <c r="O30" s="8">
        <v>0</v>
      </c>
      <c r="P30" s="8" t="s">
        <v>270</v>
      </c>
      <c r="Q30" s="8">
        <f t="shared" si="0"/>
        <v>1</v>
      </c>
    </row>
    <row r="31" spans="1:17" ht="30" customHeight="1" x14ac:dyDescent="0.25">
      <c r="A31" s="8" t="s">
        <v>306</v>
      </c>
      <c r="B31" s="8" t="s">
        <v>228</v>
      </c>
      <c r="C31" s="8" t="s">
        <v>200</v>
      </c>
      <c r="D31" s="8" t="s">
        <v>229</v>
      </c>
      <c r="E31" s="8" t="s">
        <v>201</v>
      </c>
      <c r="F31" s="8" t="s">
        <v>220</v>
      </c>
      <c r="G31" s="8" t="s">
        <v>221</v>
      </c>
      <c r="H31" s="8" t="s">
        <v>306</v>
      </c>
      <c r="I31" s="8" t="s">
        <v>228</v>
      </c>
      <c r="J31" s="8" t="s">
        <v>303</v>
      </c>
      <c r="K31" s="8" t="s">
        <v>282</v>
      </c>
      <c r="L31" s="8" t="s">
        <v>268</v>
      </c>
      <c r="M31" s="8" t="s">
        <v>269</v>
      </c>
      <c r="N31" s="8">
        <v>0</v>
      </c>
      <c r="O31" s="8">
        <v>0</v>
      </c>
      <c r="P31" s="8" t="s">
        <v>270</v>
      </c>
      <c r="Q31" s="8">
        <f t="shared" si="0"/>
        <v>1</v>
      </c>
    </row>
    <row r="32" spans="1:17" ht="30" customHeight="1" x14ac:dyDescent="0.25">
      <c r="A32" s="8" t="s">
        <v>307</v>
      </c>
      <c r="B32" s="8" t="s">
        <v>235</v>
      </c>
      <c r="C32" s="8" t="s">
        <v>200</v>
      </c>
      <c r="D32" s="8" t="s">
        <v>236</v>
      </c>
      <c r="E32" s="8" t="s">
        <v>201</v>
      </c>
      <c r="F32" s="8" t="s">
        <v>194</v>
      </c>
      <c r="G32" s="8" t="s">
        <v>195</v>
      </c>
      <c r="H32" s="8" t="s">
        <v>307</v>
      </c>
      <c r="I32" s="8" t="s">
        <v>235</v>
      </c>
      <c r="J32" s="8" t="s">
        <v>308</v>
      </c>
      <c r="K32" s="8" t="s">
        <v>282</v>
      </c>
      <c r="L32" s="8" t="s">
        <v>268</v>
      </c>
      <c r="M32" s="8" t="s">
        <v>269</v>
      </c>
      <c r="N32" s="8">
        <v>0</v>
      </c>
      <c r="O32" s="8">
        <v>0</v>
      </c>
      <c r="P32" s="8" t="s">
        <v>270</v>
      </c>
      <c r="Q32" s="8">
        <f t="shared" si="0"/>
        <v>1</v>
      </c>
    </row>
    <row r="33" spans="1:17" ht="30" customHeight="1" x14ac:dyDescent="0.25">
      <c r="A33" s="8" t="s">
        <v>309</v>
      </c>
      <c r="B33" s="8" t="s">
        <v>235</v>
      </c>
      <c r="C33" s="8" t="s">
        <v>200</v>
      </c>
      <c r="D33" s="8" t="s">
        <v>236</v>
      </c>
      <c r="E33" s="8" t="s">
        <v>201</v>
      </c>
      <c r="F33" s="8" t="s">
        <v>203</v>
      </c>
      <c r="G33" s="8" t="s">
        <v>204</v>
      </c>
      <c r="H33" s="8" t="s">
        <v>309</v>
      </c>
      <c r="I33" s="8" t="s">
        <v>235</v>
      </c>
      <c r="J33" s="8" t="s">
        <v>308</v>
      </c>
      <c r="K33" s="8" t="s">
        <v>282</v>
      </c>
      <c r="L33" s="8" t="s">
        <v>268</v>
      </c>
      <c r="M33" s="8" t="s">
        <v>269</v>
      </c>
      <c r="N33" s="8">
        <v>0</v>
      </c>
      <c r="O33" s="8">
        <v>0</v>
      </c>
      <c r="P33" s="8" t="s">
        <v>270</v>
      </c>
      <c r="Q33" s="8">
        <f t="shared" si="0"/>
        <v>1</v>
      </c>
    </row>
    <row r="34" spans="1:17" ht="30" customHeight="1" x14ac:dyDescent="0.25">
      <c r="A34" s="8" t="s">
        <v>310</v>
      </c>
      <c r="B34" s="8" t="s">
        <v>235</v>
      </c>
      <c r="C34" s="8" t="s">
        <v>200</v>
      </c>
      <c r="D34" s="8" t="s">
        <v>236</v>
      </c>
      <c r="E34" s="8" t="s">
        <v>201</v>
      </c>
      <c r="F34" s="8" t="s">
        <v>211</v>
      </c>
      <c r="G34" s="8" t="s">
        <v>212</v>
      </c>
      <c r="H34" s="8" t="s">
        <v>310</v>
      </c>
      <c r="I34" s="8" t="s">
        <v>235</v>
      </c>
      <c r="J34" s="8" t="s">
        <v>308</v>
      </c>
      <c r="K34" s="8" t="s">
        <v>282</v>
      </c>
      <c r="L34" s="8" t="s">
        <v>268</v>
      </c>
      <c r="M34" s="8" t="s">
        <v>269</v>
      </c>
      <c r="N34" s="8">
        <v>0</v>
      </c>
      <c r="O34" s="8">
        <v>0</v>
      </c>
      <c r="P34" s="8" t="s">
        <v>270</v>
      </c>
      <c r="Q34" s="8">
        <f t="shared" ref="Q34:Q62" si="1">COUNTIF($A$2:$A$62,A34)</f>
        <v>1</v>
      </c>
    </row>
    <row r="35" spans="1:17" ht="30" customHeight="1" x14ac:dyDescent="0.25">
      <c r="A35" s="8" t="s">
        <v>311</v>
      </c>
      <c r="B35" s="8" t="s">
        <v>235</v>
      </c>
      <c r="C35" s="8" t="s">
        <v>200</v>
      </c>
      <c r="D35" s="8" t="s">
        <v>236</v>
      </c>
      <c r="E35" s="8" t="s">
        <v>201</v>
      </c>
      <c r="F35" s="8" t="s">
        <v>220</v>
      </c>
      <c r="G35" s="8" t="s">
        <v>221</v>
      </c>
      <c r="H35" s="8" t="s">
        <v>311</v>
      </c>
      <c r="I35" s="8" t="s">
        <v>235</v>
      </c>
      <c r="J35" s="8" t="s">
        <v>308</v>
      </c>
      <c r="K35" s="8" t="s">
        <v>282</v>
      </c>
      <c r="L35" s="8" t="s">
        <v>268</v>
      </c>
      <c r="M35" s="8" t="s">
        <v>269</v>
      </c>
      <c r="N35" s="8">
        <v>0</v>
      </c>
      <c r="O35" s="8">
        <v>0</v>
      </c>
      <c r="P35" s="8" t="s">
        <v>270</v>
      </c>
      <c r="Q35" s="8">
        <f t="shared" si="1"/>
        <v>1</v>
      </c>
    </row>
    <row r="36" spans="1:17" ht="30" customHeight="1" x14ac:dyDescent="0.25">
      <c r="A36" s="8" t="s">
        <v>312</v>
      </c>
      <c r="B36" s="8" t="s">
        <v>240</v>
      </c>
      <c r="C36" s="8" t="s">
        <v>200</v>
      </c>
      <c r="D36" s="8" t="s">
        <v>241</v>
      </c>
      <c r="E36" s="8" t="s">
        <v>201</v>
      </c>
      <c r="F36" s="8" t="s">
        <v>194</v>
      </c>
      <c r="G36" s="8" t="s">
        <v>195</v>
      </c>
      <c r="H36" s="8" t="s">
        <v>312</v>
      </c>
      <c r="I36" s="8" t="s">
        <v>240</v>
      </c>
      <c r="J36" s="8" t="s">
        <v>313</v>
      </c>
      <c r="K36" s="8" t="s">
        <v>282</v>
      </c>
      <c r="L36" s="8" t="s">
        <v>268</v>
      </c>
      <c r="M36" s="8" t="s">
        <v>269</v>
      </c>
      <c r="N36" s="8">
        <v>0</v>
      </c>
      <c r="O36" s="8">
        <v>0</v>
      </c>
      <c r="P36" s="8" t="s">
        <v>270</v>
      </c>
      <c r="Q36" s="8">
        <f t="shared" si="1"/>
        <v>1</v>
      </c>
    </row>
    <row r="37" spans="1:17" ht="30" customHeight="1" x14ac:dyDescent="0.25">
      <c r="A37" s="8" t="s">
        <v>314</v>
      </c>
      <c r="B37" s="8" t="s">
        <v>240</v>
      </c>
      <c r="C37" s="8" t="s">
        <v>200</v>
      </c>
      <c r="D37" s="8" t="s">
        <v>241</v>
      </c>
      <c r="E37" s="8" t="s">
        <v>201</v>
      </c>
      <c r="F37" s="8" t="s">
        <v>203</v>
      </c>
      <c r="G37" s="8" t="s">
        <v>204</v>
      </c>
      <c r="H37" s="8" t="s">
        <v>314</v>
      </c>
      <c r="I37" s="8" t="s">
        <v>240</v>
      </c>
      <c r="J37" s="8" t="s">
        <v>313</v>
      </c>
      <c r="K37" s="8" t="s">
        <v>282</v>
      </c>
      <c r="L37" s="8" t="s">
        <v>268</v>
      </c>
      <c r="M37" s="8" t="s">
        <v>269</v>
      </c>
      <c r="N37" s="8">
        <v>0</v>
      </c>
      <c r="O37" s="8">
        <v>0</v>
      </c>
      <c r="P37" s="8" t="s">
        <v>270</v>
      </c>
      <c r="Q37" s="8">
        <f t="shared" si="1"/>
        <v>1</v>
      </c>
    </row>
    <row r="38" spans="1:17" ht="30" customHeight="1" x14ac:dyDescent="0.25">
      <c r="A38" s="8" t="s">
        <v>315</v>
      </c>
      <c r="B38" s="8" t="s">
        <v>240</v>
      </c>
      <c r="C38" s="8" t="s">
        <v>200</v>
      </c>
      <c r="D38" s="8" t="s">
        <v>241</v>
      </c>
      <c r="E38" s="8" t="s">
        <v>201</v>
      </c>
      <c r="F38" s="8" t="s">
        <v>211</v>
      </c>
      <c r="G38" s="8" t="s">
        <v>212</v>
      </c>
      <c r="H38" s="8" t="s">
        <v>315</v>
      </c>
      <c r="I38" s="8" t="s">
        <v>240</v>
      </c>
      <c r="J38" s="8" t="s">
        <v>313</v>
      </c>
      <c r="K38" s="8" t="s">
        <v>282</v>
      </c>
      <c r="L38" s="8" t="s">
        <v>268</v>
      </c>
      <c r="M38" s="8" t="s">
        <v>269</v>
      </c>
      <c r="N38" s="8">
        <v>0</v>
      </c>
      <c r="O38" s="8">
        <v>0</v>
      </c>
      <c r="P38" s="8" t="s">
        <v>270</v>
      </c>
      <c r="Q38" s="8">
        <f t="shared" si="1"/>
        <v>1</v>
      </c>
    </row>
    <row r="39" spans="1:17" ht="30" customHeight="1" x14ac:dyDescent="0.25">
      <c r="A39" s="8" t="s">
        <v>316</v>
      </c>
      <c r="B39" s="8" t="s">
        <v>240</v>
      </c>
      <c r="C39" s="8" t="s">
        <v>200</v>
      </c>
      <c r="D39" s="8" t="s">
        <v>241</v>
      </c>
      <c r="E39" s="8" t="s">
        <v>201</v>
      </c>
      <c r="F39" s="8" t="s">
        <v>220</v>
      </c>
      <c r="G39" s="8" t="s">
        <v>221</v>
      </c>
      <c r="H39" s="8" t="s">
        <v>316</v>
      </c>
      <c r="I39" s="8" t="s">
        <v>240</v>
      </c>
      <c r="J39" s="8" t="s">
        <v>313</v>
      </c>
      <c r="K39" s="8" t="s">
        <v>282</v>
      </c>
      <c r="L39" s="8" t="s">
        <v>268</v>
      </c>
      <c r="M39" s="8" t="s">
        <v>269</v>
      </c>
      <c r="N39" s="8">
        <v>0</v>
      </c>
      <c r="O39" s="8">
        <v>0</v>
      </c>
      <c r="P39" s="8" t="s">
        <v>270</v>
      </c>
      <c r="Q39" s="8">
        <f t="shared" si="1"/>
        <v>1</v>
      </c>
    </row>
    <row r="40" spans="1:17" ht="30" customHeight="1" x14ac:dyDescent="0.25">
      <c r="A40" s="8" t="s">
        <v>317</v>
      </c>
      <c r="B40" s="8" t="s">
        <v>246</v>
      </c>
      <c r="C40" s="8" t="s">
        <v>200</v>
      </c>
      <c r="D40" s="8" t="s">
        <v>247</v>
      </c>
      <c r="E40" s="8" t="s">
        <v>201</v>
      </c>
      <c r="F40" s="8" t="s">
        <v>194</v>
      </c>
      <c r="G40" s="8" t="s">
        <v>195</v>
      </c>
      <c r="H40" s="8" t="s">
        <v>317</v>
      </c>
      <c r="I40" s="8" t="s">
        <v>246</v>
      </c>
      <c r="J40" s="8" t="s">
        <v>318</v>
      </c>
      <c r="K40" s="8" t="s">
        <v>282</v>
      </c>
      <c r="L40" s="8" t="s">
        <v>268</v>
      </c>
      <c r="M40" s="8" t="s">
        <v>269</v>
      </c>
      <c r="N40" s="8">
        <v>0</v>
      </c>
      <c r="O40" s="8">
        <v>0</v>
      </c>
      <c r="P40" s="8" t="s">
        <v>270</v>
      </c>
      <c r="Q40" s="8">
        <f t="shared" si="1"/>
        <v>1</v>
      </c>
    </row>
    <row r="41" spans="1:17" ht="30" customHeight="1" x14ac:dyDescent="0.25">
      <c r="A41" s="8" t="s">
        <v>319</v>
      </c>
      <c r="B41" s="8" t="s">
        <v>246</v>
      </c>
      <c r="C41" s="8" t="s">
        <v>200</v>
      </c>
      <c r="D41" s="8" t="s">
        <v>247</v>
      </c>
      <c r="E41" s="8" t="s">
        <v>201</v>
      </c>
      <c r="F41" s="8" t="s">
        <v>203</v>
      </c>
      <c r="G41" s="8" t="s">
        <v>204</v>
      </c>
      <c r="H41" s="8" t="s">
        <v>319</v>
      </c>
      <c r="I41" s="8" t="s">
        <v>246</v>
      </c>
      <c r="J41" s="8" t="s">
        <v>318</v>
      </c>
      <c r="K41" s="8" t="s">
        <v>282</v>
      </c>
      <c r="L41" s="8" t="s">
        <v>268</v>
      </c>
      <c r="M41" s="8" t="s">
        <v>269</v>
      </c>
      <c r="N41" s="8">
        <v>0</v>
      </c>
      <c r="O41" s="8">
        <v>0</v>
      </c>
      <c r="P41" s="8" t="s">
        <v>270</v>
      </c>
      <c r="Q41" s="8">
        <f t="shared" si="1"/>
        <v>1</v>
      </c>
    </row>
    <row r="42" spans="1:17" ht="30" customHeight="1" x14ac:dyDescent="0.25">
      <c r="A42" s="8" t="s">
        <v>320</v>
      </c>
      <c r="B42" s="8" t="s">
        <v>246</v>
      </c>
      <c r="C42" s="8" t="s">
        <v>200</v>
      </c>
      <c r="D42" s="8" t="s">
        <v>247</v>
      </c>
      <c r="E42" s="8" t="s">
        <v>201</v>
      </c>
      <c r="F42" s="8" t="s">
        <v>211</v>
      </c>
      <c r="G42" s="8" t="s">
        <v>212</v>
      </c>
      <c r="H42" s="8" t="s">
        <v>320</v>
      </c>
      <c r="I42" s="8" t="s">
        <v>246</v>
      </c>
      <c r="J42" s="8" t="s">
        <v>318</v>
      </c>
      <c r="K42" s="8" t="s">
        <v>282</v>
      </c>
      <c r="L42" s="8" t="s">
        <v>268</v>
      </c>
      <c r="M42" s="8" t="s">
        <v>269</v>
      </c>
      <c r="N42" s="8">
        <v>0</v>
      </c>
      <c r="O42" s="8">
        <v>0</v>
      </c>
      <c r="P42" s="8" t="s">
        <v>270</v>
      </c>
      <c r="Q42" s="8">
        <f t="shared" si="1"/>
        <v>1</v>
      </c>
    </row>
    <row r="43" spans="1:17" ht="30" customHeight="1" x14ac:dyDescent="0.25">
      <c r="A43" s="8" t="s">
        <v>321</v>
      </c>
      <c r="B43" s="8" t="s">
        <v>246</v>
      </c>
      <c r="C43" s="8" t="s">
        <v>200</v>
      </c>
      <c r="D43" s="8" t="s">
        <v>247</v>
      </c>
      <c r="E43" s="8" t="s">
        <v>201</v>
      </c>
      <c r="F43" s="8" t="s">
        <v>220</v>
      </c>
      <c r="G43" s="8" t="s">
        <v>221</v>
      </c>
      <c r="H43" s="8" t="s">
        <v>321</v>
      </c>
      <c r="I43" s="8" t="s">
        <v>246</v>
      </c>
      <c r="J43" s="8" t="s">
        <v>318</v>
      </c>
      <c r="K43" s="8" t="s">
        <v>282</v>
      </c>
      <c r="L43" s="8" t="s">
        <v>268</v>
      </c>
      <c r="M43" s="8" t="s">
        <v>269</v>
      </c>
      <c r="N43" s="8">
        <v>0</v>
      </c>
      <c r="O43" s="8">
        <v>0</v>
      </c>
      <c r="P43" s="8" t="s">
        <v>270</v>
      </c>
      <c r="Q43" s="8">
        <f t="shared" si="1"/>
        <v>1</v>
      </c>
    </row>
    <row r="44" spans="1:17" ht="30" customHeight="1" x14ac:dyDescent="0.25">
      <c r="A44" s="8" t="s">
        <v>322</v>
      </c>
      <c r="B44" s="8" t="s">
        <v>248</v>
      </c>
      <c r="C44" s="8" t="s">
        <v>207</v>
      </c>
      <c r="D44" s="8" t="s">
        <v>249</v>
      </c>
      <c r="E44" s="8" t="s">
        <v>208</v>
      </c>
      <c r="F44" s="8" t="s">
        <v>194</v>
      </c>
      <c r="G44" s="8" t="s">
        <v>195</v>
      </c>
      <c r="H44" s="8" t="s">
        <v>322</v>
      </c>
      <c r="I44" s="8" t="s">
        <v>248</v>
      </c>
      <c r="J44" s="8" t="s">
        <v>323</v>
      </c>
      <c r="K44" s="8" t="s">
        <v>267</v>
      </c>
      <c r="L44" s="8" t="s">
        <v>268</v>
      </c>
      <c r="M44" s="8" t="s">
        <v>269</v>
      </c>
      <c r="N44" s="8">
        <v>0</v>
      </c>
      <c r="O44" s="8">
        <v>0</v>
      </c>
      <c r="P44" s="8" t="s">
        <v>324</v>
      </c>
      <c r="Q44" s="8">
        <f t="shared" si="1"/>
        <v>1</v>
      </c>
    </row>
    <row r="45" spans="1:17" ht="30" customHeight="1" x14ac:dyDescent="0.25">
      <c r="A45" s="8" t="s">
        <v>325</v>
      </c>
      <c r="B45" s="8" t="s">
        <v>251</v>
      </c>
      <c r="C45" s="8" t="s">
        <v>216</v>
      </c>
      <c r="D45" s="8" t="s">
        <v>252</v>
      </c>
      <c r="E45" s="8" t="s">
        <v>217</v>
      </c>
      <c r="F45" s="8" t="s">
        <v>194</v>
      </c>
      <c r="G45" s="8" t="s">
        <v>195</v>
      </c>
      <c r="H45" s="8" t="s">
        <v>325</v>
      </c>
      <c r="I45" s="8" t="s">
        <v>251</v>
      </c>
      <c r="J45" s="8" t="s">
        <v>326</v>
      </c>
      <c r="K45" s="8" t="s">
        <v>267</v>
      </c>
      <c r="L45" s="8" t="s">
        <v>268</v>
      </c>
      <c r="M45" s="8" t="s">
        <v>269</v>
      </c>
      <c r="N45" s="8">
        <v>0</v>
      </c>
      <c r="O45" s="8">
        <v>0</v>
      </c>
      <c r="P45" s="8" t="s">
        <v>270</v>
      </c>
      <c r="Q45" s="8">
        <f t="shared" si="1"/>
        <v>1</v>
      </c>
    </row>
    <row r="46" spans="1:17" ht="30" customHeight="1" x14ac:dyDescent="0.25">
      <c r="A46" s="8" t="s">
        <v>327</v>
      </c>
      <c r="B46" s="8" t="s">
        <v>251</v>
      </c>
      <c r="C46" s="8" t="s">
        <v>216</v>
      </c>
      <c r="D46" s="8" t="s">
        <v>252</v>
      </c>
      <c r="E46" s="8" t="s">
        <v>217</v>
      </c>
      <c r="F46" s="8" t="s">
        <v>203</v>
      </c>
      <c r="G46" s="8" t="s">
        <v>204</v>
      </c>
      <c r="H46" s="8" t="s">
        <v>327</v>
      </c>
      <c r="I46" s="8" t="s">
        <v>251</v>
      </c>
      <c r="J46" s="8" t="s">
        <v>326</v>
      </c>
      <c r="K46" s="8" t="s">
        <v>267</v>
      </c>
      <c r="L46" s="8" t="s">
        <v>268</v>
      </c>
      <c r="M46" s="8" t="s">
        <v>269</v>
      </c>
      <c r="N46" s="8">
        <v>0</v>
      </c>
      <c r="O46" s="8">
        <v>0</v>
      </c>
      <c r="P46" s="8" t="s">
        <v>270</v>
      </c>
      <c r="Q46" s="8">
        <f t="shared" si="1"/>
        <v>1</v>
      </c>
    </row>
    <row r="47" spans="1:17" ht="30" customHeight="1" x14ac:dyDescent="0.25">
      <c r="A47" s="8" t="s">
        <v>328</v>
      </c>
      <c r="B47" s="8" t="s">
        <v>251</v>
      </c>
      <c r="C47" s="8" t="s">
        <v>216</v>
      </c>
      <c r="D47" s="8" t="s">
        <v>252</v>
      </c>
      <c r="E47" s="8" t="s">
        <v>217</v>
      </c>
      <c r="F47" s="8" t="s">
        <v>211</v>
      </c>
      <c r="G47" s="8" t="s">
        <v>212</v>
      </c>
      <c r="H47" s="8" t="s">
        <v>328</v>
      </c>
      <c r="I47" s="8" t="s">
        <v>251</v>
      </c>
      <c r="J47" s="8" t="s">
        <v>326</v>
      </c>
      <c r="K47" s="8" t="s">
        <v>267</v>
      </c>
      <c r="L47" s="8" t="s">
        <v>268</v>
      </c>
      <c r="M47" s="8" t="s">
        <v>269</v>
      </c>
      <c r="N47" s="8">
        <v>0</v>
      </c>
      <c r="O47" s="8">
        <v>0</v>
      </c>
      <c r="P47" s="8" t="s">
        <v>329</v>
      </c>
      <c r="Q47" s="8">
        <f t="shared" si="1"/>
        <v>1</v>
      </c>
    </row>
    <row r="48" spans="1:17" ht="30" customHeight="1" x14ac:dyDescent="0.25">
      <c r="A48" s="8" t="s">
        <v>330</v>
      </c>
      <c r="B48" s="8" t="s">
        <v>251</v>
      </c>
      <c r="C48" s="8" t="s">
        <v>216</v>
      </c>
      <c r="D48" s="8" t="s">
        <v>252</v>
      </c>
      <c r="E48" s="8" t="s">
        <v>217</v>
      </c>
      <c r="F48" s="8" t="s">
        <v>220</v>
      </c>
      <c r="G48" s="8" t="s">
        <v>221</v>
      </c>
      <c r="H48" s="8" t="s">
        <v>330</v>
      </c>
      <c r="I48" s="8" t="s">
        <v>251</v>
      </c>
      <c r="J48" s="8" t="s">
        <v>326</v>
      </c>
      <c r="K48" s="8" t="s">
        <v>267</v>
      </c>
      <c r="L48" s="8" t="s">
        <v>268</v>
      </c>
      <c r="M48" s="8" t="s">
        <v>269</v>
      </c>
      <c r="N48" s="8">
        <v>0</v>
      </c>
      <c r="O48" s="8">
        <v>0</v>
      </c>
      <c r="P48" s="8" t="s">
        <v>331</v>
      </c>
      <c r="Q48" s="8">
        <f t="shared" si="1"/>
        <v>1</v>
      </c>
    </row>
    <row r="49" spans="1:17" ht="30" customHeight="1" x14ac:dyDescent="0.25">
      <c r="A49" s="8" t="s">
        <v>332</v>
      </c>
      <c r="B49" s="8" t="s">
        <v>251</v>
      </c>
      <c r="C49" s="8" t="s">
        <v>216</v>
      </c>
      <c r="D49" s="8" t="s">
        <v>252</v>
      </c>
      <c r="E49" s="8" t="s">
        <v>217</v>
      </c>
      <c r="F49" s="8" t="s">
        <v>232</v>
      </c>
      <c r="G49" s="8" t="s">
        <v>233</v>
      </c>
      <c r="H49" s="8" t="s">
        <v>332</v>
      </c>
      <c r="I49" s="8" t="s">
        <v>251</v>
      </c>
      <c r="J49" s="8" t="s">
        <v>326</v>
      </c>
      <c r="K49" s="8" t="s">
        <v>267</v>
      </c>
      <c r="L49" s="8" t="s">
        <v>268</v>
      </c>
      <c r="M49" s="8" t="s">
        <v>269</v>
      </c>
      <c r="N49" s="8">
        <v>0</v>
      </c>
      <c r="O49" s="8">
        <v>0</v>
      </c>
      <c r="P49" s="8" t="s">
        <v>270</v>
      </c>
      <c r="Q49" s="8">
        <f t="shared" si="1"/>
        <v>1</v>
      </c>
    </row>
    <row r="50" spans="1:17" ht="43.2" customHeight="1" x14ac:dyDescent="0.3">
      <c r="A50" s="11" t="s">
        <v>333</v>
      </c>
      <c r="B50" s="11" t="s">
        <v>176</v>
      </c>
      <c r="C50" s="11" t="s">
        <v>180</v>
      </c>
      <c r="D50" s="11" t="s">
        <v>177</v>
      </c>
      <c r="E50" s="11" t="s">
        <v>181</v>
      </c>
      <c r="F50" s="11" t="s">
        <v>194</v>
      </c>
      <c r="G50" s="11" t="s">
        <v>195</v>
      </c>
      <c r="H50" s="11" t="s">
        <v>333</v>
      </c>
      <c r="I50" s="11" t="s">
        <v>176</v>
      </c>
      <c r="J50" s="11" t="s">
        <v>266</v>
      </c>
      <c r="K50" s="11" t="s">
        <v>267</v>
      </c>
      <c r="L50" s="11" t="s">
        <v>269</v>
      </c>
      <c r="M50" s="11" t="s">
        <v>334</v>
      </c>
      <c r="N50" s="11">
        <v>1</v>
      </c>
      <c r="O50" s="11">
        <v>0</v>
      </c>
      <c r="P50" s="11" t="s">
        <v>335</v>
      </c>
      <c r="Q50" s="11">
        <f t="shared" si="1"/>
        <v>1</v>
      </c>
    </row>
    <row r="51" spans="1:17" ht="43.2" customHeight="1" x14ac:dyDescent="0.3">
      <c r="A51" s="11" t="s">
        <v>336</v>
      </c>
      <c r="B51" s="11" t="s">
        <v>176</v>
      </c>
      <c r="C51" s="11" t="s">
        <v>180</v>
      </c>
      <c r="D51" s="11" t="s">
        <v>177</v>
      </c>
      <c r="E51" s="11" t="s">
        <v>181</v>
      </c>
      <c r="F51" s="11" t="s">
        <v>203</v>
      </c>
      <c r="G51" s="11" t="s">
        <v>204</v>
      </c>
      <c r="H51" s="11" t="s">
        <v>336</v>
      </c>
      <c r="I51" s="11" t="s">
        <v>176</v>
      </c>
      <c r="J51" s="11" t="s">
        <v>266</v>
      </c>
      <c r="K51" s="11" t="s">
        <v>267</v>
      </c>
      <c r="L51" s="11" t="s">
        <v>269</v>
      </c>
      <c r="M51" s="11" t="s">
        <v>334</v>
      </c>
      <c r="N51" s="11">
        <v>1</v>
      </c>
      <c r="O51" s="11">
        <v>0</v>
      </c>
      <c r="P51" s="11" t="s">
        <v>335</v>
      </c>
      <c r="Q51" s="11">
        <f t="shared" si="1"/>
        <v>1</v>
      </c>
    </row>
    <row r="52" spans="1:17" ht="43.2" customHeight="1" x14ac:dyDescent="0.3">
      <c r="A52" s="11" t="s">
        <v>337</v>
      </c>
      <c r="B52" s="11" t="s">
        <v>176</v>
      </c>
      <c r="C52" s="11" t="s">
        <v>180</v>
      </c>
      <c r="D52" s="11" t="s">
        <v>177</v>
      </c>
      <c r="E52" s="11" t="s">
        <v>181</v>
      </c>
      <c r="F52" s="11" t="s">
        <v>211</v>
      </c>
      <c r="G52" s="11" t="s">
        <v>212</v>
      </c>
      <c r="H52" s="11" t="s">
        <v>337</v>
      </c>
      <c r="I52" s="11" t="s">
        <v>176</v>
      </c>
      <c r="J52" s="11" t="s">
        <v>266</v>
      </c>
      <c r="K52" s="11" t="s">
        <v>267</v>
      </c>
      <c r="L52" s="11" t="s">
        <v>269</v>
      </c>
      <c r="M52" s="11" t="s">
        <v>334</v>
      </c>
      <c r="N52" s="11">
        <v>1</v>
      </c>
      <c r="O52" s="11">
        <v>0</v>
      </c>
      <c r="P52" s="11" t="s">
        <v>335</v>
      </c>
      <c r="Q52" s="11">
        <f t="shared" si="1"/>
        <v>1</v>
      </c>
    </row>
    <row r="53" spans="1:17" ht="43.2" customHeight="1" x14ac:dyDescent="0.3">
      <c r="A53" s="11" t="s">
        <v>338</v>
      </c>
      <c r="B53" s="11" t="s">
        <v>197</v>
      </c>
      <c r="C53" s="11" t="s">
        <v>180</v>
      </c>
      <c r="D53" s="11" t="s">
        <v>198</v>
      </c>
      <c r="E53" s="11" t="s">
        <v>181</v>
      </c>
      <c r="F53" s="11" t="s">
        <v>194</v>
      </c>
      <c r="G53" s="11" t="s">
        <v>195</v>
      </c>
      <c r="H53" s="11" t="s">
        <v>338</v>
      </c>
      <c r="I53" s="11" t="s">
        <v>197</v>
      </c>
      <c r="J53" s="11" t="s">
        <v>281</v>
      </c>
      <c r="K53" s="11" t="s">
        <v>282</v>
      </c>
      <c r="L53" s="11" t="s">
        <v>269</v>
      </c>
      <c r="M53" s="11" t="s">
        <v>334</v>
      </c>
      <c r="N53" s="11">
        <v>1</v>
      </c>
      <c r="O53" s="11">
        <v>0</v>
      </c>
      <c r="P53" s="11" t="s">
        <v>335</v>
      </c>
      <c r="Q53" s="11">
        <f t="shared" si="1"/>
        <v>1</v>
      </c>
    </row>
    <row r="54" spans="1:17" ht="43.2" customHeight="1" x14ac:dyDescent="0.3">
      <c r="A54" s="11" t="s">
        <v>339</v>
      </c>
      <c r="B54" s="11" t="s">
        <v>197</v>
      </c>
      <c r="C54" s="11" t="s">
        <v>180</v>
      </c>
      <c r="D54" s="11" t="s">
        <v>198</v>
      </c>
      <c r="E54" s="11" t="s">
        <v>181</v>
      </c>
      <c r="F54" s="11" t="s">
        <v>203</v>
      </c>
      <c r="G54" s="11" t="s">
        <v>204</v>
      </c>
      <c r="H54" s="11" t="s">
        <v>339</v>
      </c>
      <c r="I54" s="11" t="s">
        <v>197</v>
      </c>
      <c r="J54" s="11" t="s">
        <v>281</v>
      </c>
      <c r="K54" s="11" t="s">
        <v>282</v>
      </c>
      <c r="L54" s="11" t="s">
        <v>269</v>
      </c>
      <c r="M54" s="11" t="s">
        <v>334</v>
      </c>
      <c r="N54" s="11">
        <v>1</v>
      </c>
      <c r="O54" s="11">
        <v>0</v>
      </c>
      <c r="P54" s="11" t="s">
        <v>335</v>
      </c>
      <c r="Q54" s="11">
        <f t="shared" si="1"/>
        <v>1</v>
      </c>
    </row>
    <row r="55" spans="1:17" ht="43.2" customHeight="1" x14ac:dyDescent="0.3">
      <c r="A55" s="11" t="s">
        <v>340</v>
      </c>
      <c r="B55" s="11" t="s">
        <v>197</v>
      </c>
      <c r="C55" s="11" t="s">
        <v>180</v>
      </c>
      <c r="D55" s="11" t="s">
        <v>198</v>
      </c>
      <c r="E55" s="11" t="s">
        <v>181</v>
      </c>
      <c r="F55" s="11" t="s">
        <v>211</v>
      </c>
      <c r="G55" s="11" t="s">
        <v>212</v>
      </c>
      <c r="H55" s="11" t="s">
        <v>340</v>
      </c>
      <c r="I55" s="11" t="s">
        <v>197</v>
      </c>
      <c r="J55" s="11" t="s">
        <v>281</v>
      </c>
      <c r="K55" s="11" t="s">
        <v>282</v>
      </c>
      <c r="L55" s="11" t="s">
        <v>269</v>
      </c>
      <c r="M55" s="11" t="s">
        <v>334</v>
      </c>
      <c r="N55" s="11">
        <v>1</v>
      </c>
      <c r="O55" s="11">
        <v>0</v>
      </c>
      <c r="P55" s="11" t="s">
        <v>335</v>
      </c>
      <c r="Q55" s="11">
        <f t="shared" si="1"/>
        <v>1</v>
      </c>
    </row>
    <row r="56" spans="1:17" ht="43.2" customHeight="1" x14ac:dyDescent="0.3">
      <c r="A56" s="11" t="s">
        <v>341</v>
      </c>
      <c r="B56" s="11" t="s">
        <v>205</v>
      </c>
      <c r="C56" s="11" t="s">
        <v>180</v>
      </c>
      <c r="D56" s="11" t="s">
        <v>206</v>
      </c>
      <c r="E56" s="11" t="s">
        <v>181</v>
      </c>
      <c r="F56" s="11" t="s">
        <v>194</v>
      </c>
      <c r="G56" s="11" t="s">
        <v>195</v>
      </c>
      <c r="H56" s="11" t="s">
        <v>341</v>
      </c>
      <c r="I56" s="11" t="s">
        <v>205</v>
      </c>
      <c r="J56" s="11" t="s">
        <v>287</v>
      </c>
      <c r="K56" s="11" t="s">
        <v>282</v>
      </c>
      <c r="L56" s="11" t="s">
        <v>269</v>
      </c>
      <c r="M56" s="11" t="s">
        <v>334</v>
      </c>
      <c r="N56" s="11">
        <v>1</v>
      </c>
      <c r="O56" s="11">
        <v>0</v>
      </c>
      <c r="P56" s="11" t="s">
        <v>335</v>
      </c>
      <c r="Q56" s="11">
        <f t="shared" si="1"/>
        <v>1</v>
      </c>
    </row>
    <row r="57" spans="1:17" ht="43.2" customHeight="1" x14ac:dyDescent="0.3">
      <c r="A57" s="11" t="s">
        <v>342</v>
      </c>
      <c r="B57" s="11" t="s">
        <v>205</v>
      </c>
      <c r="C57" s="11" t="s">
        <v>180</v>
      </c>
      <c r="D57" s="11" t="s">
        <v>206</v>
      </c>
      <c r="E57" s="11" t="s">
        <v>181</v>
      </c>
      <c r="F57" s="11" t="s">
        <v>203</v>
      </c>
      <c r="G57" s="11" t="s">
        <v>204</v>
      </c>
      <c r="H57" s="11" t="s">
        <v>342</v>
      </c>
      <c r="I57" s="11" t="s">
        <v>205</v>
      </c>
      <c r="J57" s="11" t="s">
        <v>287</v>
      </c>
      <c r="K57" s="11" t="s">
        <v>282</v>
      </c>
      <c r="L57" s="11" t="s">
        <v>269</v>
      </c>
      <c r="M57" s="11" t="s">
        <v>334</v>
      </c>
      <c r="N57" s="11">
        <v>1</v>
      </c>
      <c r="O57" s="11">
        <v>0</v>
      </c>
      <c r="P57" s="11" t="s">
        <v>335</v>
      </c>
      <c r="Q57" s="11">
        <f t="shared" si="1"/>
        <v>1</v>
      </c>
    </row>
    <row r="58" spans="1:17" ht="43.2" customHeight="1" x14ac:dyDescent="0.3">
      <c r="A58" s="11" t="s">
        <v>343</v>
      </c>
      <c r="B58" s="11" t="s">
        <v>205</v>
      </c>
      <c r="C58" s="11" t="s">
        <v>180</v>
      </c>
      <c r="D58" s="11" t="s">
        <v>206</v>
      </c>
      <c r="E58" s="11" t="s">
        <v>181</v>
      </c>
      <c r="F58" s="11" t="s">
        <v>211</v>
      </c>
      <c r="G58" s="11" t="s">
        <v>212</v>
      </c>
      <c r="H58" s="11" t="s">
        <v>343</v>
      </c>
      <c r="I58" s="11" t="s">
        <v>205</v>
      </c>
      <c r="J58" s="11" t="s">
        <v>287</v>
      </c>
      <c r="K58" s="11" t="s">
        <v>282</v>
      </c>
      <c r="L58" s="11" t="s">
        <v>269</v>
      </c>
      <c r="M58" s="11" t="s">
        <v>334</v>
      </c>
      <c r="N58" s="11">
        <v>1</v>
      </c>
      <c r="O58" s="11">
        <v>0</v>
      </c>
      <c r="P58" s="11" t="s">
        <v>335</v>
      </c>
      <c r="Q58" s="11">
        <f t="shared" si="1"/>
        <v>1</v>
      </c>
    </row>
    <row r="59" spans="1:17" ht="43.2" customHeight="1" x14ac:dyDescent="0.3">
      <c r="A59" s="11" t="s">
        <v>344</v>
      </c>
      <c r="B59" s="11" t="s">
        <v>214</v>
      </c>
      <c r="C59" s="11" t="s">
        <v>180</v>
      </c>
      <c r="D59" s="11" t="s">
        <v>215</v>
      </c>
      <c r="E59" s="11" t="s">
        <v>181</v>
      </c>
      <c r="F59" s="11" t="s">
        <v>194</v>
      </c>
      <c r="G59" s="11" t="s">
        <v>195</v>
      </c>
      <c r="H59" s="11" t="s">
        <v>344</v>
      </c>
      <c r="I59" s="11" t="s">
        <v>214</v>
      </c>
      <c r="J59" s="11" t="s">
        <v>292</v>
      </c>
      <c r="K59" s="11" t="s">
        <v>282</v>
      </c>
      <c r="L59" s="11" t="s">
        <v>269</v>
      </c>
      <c r="M59" s="11" t="s">
        <v>334</v>
      </c>
      <c r="N59" s="11">
        <v>1</v>
      </c>
      <c r="O59" s="11">
        <v>0</v>
      </c>
      <c r="P59" s="11" t="s">
        <v>335</v>
      </c>
      <c r="Q59" s="11">
        <f t="shared" si="1"/>
        <v>1</v>
      </c>
    </row>
    <row r="60" spans="1:17" ht="43.2" customHeight="1" x14ac:dyDescent="0.3">
      <c r="A60" s="11" t="s">
        <v>345</v>
      </c>
      <c r="B60" s="11" t="s">
        <v>214</v>
      </c>
      <c r="C60" s="11" t="s">
        <v>180</v>
      </c>
      <c r="D60" s="11" t="s">
        <v>215</v>
      </c>
      <c r="E60" s="11" t="s">
        <v>181</v>
      </c>
      <c r="F60" s="11" t="s">
        <v>203</v>
      </c>
      <c r="G60" s="11" t="s">
        <v>204</v>
      </c>
      <c r="H60" s="11" t="s">
        <v>345</v>
      </c>
      <c r="I60" s="11" t="s">
        <v>214</v>
      </c>
      <c r="J60" s="11" t="s">
        <v>292</v>
      </c>
      <c r="K60" s="11" t="s">
        <v>282</v>
      </c>
      <c r="L60" s="11" t="s">
        <v>269</v>
      </c>
      <c r="M60" s="11" t="s">
        <v>334</v>
      </c>
      <c r="N60" s="11">
        <v>1</v>
      </c>
      <c r="O60" s="11">
        <v>0</v>
      </c>
      <c r="P60" s="11" t="s">
        <v>335</v>
      </c>
      <c r="Q60" s="11">
        <f t="shared" si="1"/>
        <v>1</v>
      </c>
    </row>
    <row r="61" spans="1:17" ht="43.2" customHeight="1" x14ac:dyDescent="0.3">
      <c r="A61" s="11" t="s">
        <v>346</v>
      </c>
      <c r="B61" s="11" t="s">
        <v>214</v>
      </c>
      <c r="C61" s="11" t="s">
        <v>180</v>
      </c>
      <c r="D61" s="11" t="s">
        <v>215</v>
      </c>
      <c r="E61" s="11" t="s">
        <v>181</v>
      </c>
      <c r="F61" s="11" t="s">
        <v>211</v>
      </c>
      <c r="G61" s="11" t="s">
        <v>212</v>
      </c>
      <c r="H61" s="11" t="s">
        <v>346</v>
      </c>
      <c r="I61" s="11" t="s">
        <v>214</v>
      </c>
      <c r="J61" s="11" t="s">
        <v>292</v>
      </c>
      <c r="K61" s="11" t="s">
        <v>282</v>
      </c>
      <c r="L61" s="11" t="s">
        <v>269</v>
      </c>
      <c r="M61" s="11" t="s">
        <v>334</v>
      </c>
      <c r="N61" s="11">
        <v>1</v>
      </c>
      <c r="O61" s="11">
        <v>0</v>
      </c>
      <c r="P61" s="11" t="s">
        <v>335</v>
      </c>
      <c r="Q61" s="11">
        <f t="shared" si="1"/>
        <v>1</v>
      </c>
    </row>
    <row r="62" spans="1:17" ht="43.2" customHeight="1" x14ac:dyDescent="0.3">
      <c r="A62" s="11" t="s">
        <v>347</v>
      </c>
      <c r="B62" s="11" t="s">
        <v>251</v>
      </c>
      <c r="C62" s="11" t="s">
        <v>216</v>
      </c>
      <c r="D62" s="11" t="s">
        <v>252</v>
      </c>
      <c r="E62" s="11" t="s">
        <v>217</v>
      </c>
      <c r="F62" s="11" t="s">
        <v>232</v>
      </c>
      <c r="G62" s="11" t="s">
        <v>233</v>
      </c>
      <c r="H62" s="11" t="s">
        <v>347</v>
      </c>
      <c r="I62" s="11" t="s">
        <v>251</v>
      </c>
      <c r="J62" s="11" t="s">
        <v>326</v>
      </c>
      <c r="K62" s="11" t="s">
        <v>267</v>
      </c>
      <c r="L62" s="11" t="s">
        <v>269</v>
      </c>
      <c r="M62" s="11" t="s">
        <v>334</v>
      </c>
      <c r="N62" s="11">
        <v>0</v>
      </c>
      <c r="O62" s="11">
        <v>0</v>
      </c>
      <c r="P62" s="11" t="s">
        <v>348</v>
      </c>
      <c r="Q62" s="11">
        <f t="shared" si="1"/>
        <v>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3"/>
  <sheetViews>
    <sheetView showGridLines="0" topLeftCell="Q1" zoomScaleNormal="100" workbookViewId="0">
      <selection activeCell="AB2" sqref="AB2"/>
    </sheetView>
  </sheetViews>
  <sheetFormatPr defaultColWidth="11.5546875" defaultRowHeight="13.2" x14ac:dyDescent="0.25"/>
  <cols>
    <col min="1" max="1" width="16" customWidth="1"/>
    <col min="2" max="2" width="18.6640625" customWidth="1"/>
    <col min="3" max="4" width="38" customWidth="1"/>
    <col min="5" max="9" width="16" customWidth="1"/>
    <col min="10" max="10" width="38" customWidth="1"/>
    <col min="11" max="11" width="16" customWidth="1"/>
    <col min="12" max="12" width="38" customWidth="1"/>
    <col min="13" max="13" width="16" customWidth="1"/>
    <col min="14" max="14" width="38" customWidth="1"/>
    <col min="15" max="15" width="16" customWidth="1"/>
    <col min="16" max="17" width="38" customWidth="1"/>
    <col min="18" max="20" width="16" customWidth="1"/>
    <col min="21" max="21" width="38" customWidth="1"/>
    <col min="22" max="28" width="16" customWidth="1"/>
  </cols>
  <sheetData>
    <row r="1" spans="1:28" ht="34.049999999999997" customHeight="1" x14ac:dyDescent="0.25">
      <c r="A1" s="7" t="s">
        <v>349</v>
      </c>
      <c r="B1" s="7" t="s">
        <v>163</v>
      </c>
      <c r="C1" s="7" t="s">
        <v>164</v>
      </c>
      <c r="D1" s="7" t="s">
        <v>350</v>
      </c>
      <c r="E1" s="7" t="s">
        <v>351</v>
      </c>
      <c r="F1" s="7" t="s">
        <v>352</v>
      </c>
      <c r="G1" s="7" t="s">
        <v>353</v>
      </c>
      <c r="H1" s="7" t="s">
        <v>354</v>
      </c>
      <c r="I1" s="7" t="s">
        <v>355</v>
      </c>
      <c r="J1" s="7" t="s">
        <v>356</v>
      </c>
      <c r="K1" s="7" t="s">
        <v>357</v>
      </c>
      <c r="L1" s="7" t="s">
        <v>39</v>
      </c>
      <c r="M1" s="7" t="s">
        <v>358</v>
      </c>
      <c r="N1" s="7" t="s">
        <v>263</v>
      </c>
      <c r="O1" s="7" t="s">
        <v>359</v>
      </c>
      <c r="P1" s="7" t="s">
        <v>360</v>
      </c>
      <c r="Q1" s="7" t="s">
        <v>361</v>
      </c>
      <c r="R1" s="7" t="s">
        <v>362</v>
      </c>
      <c r="S1" s="7" t="s">
        <v>363</v>
      </c>
      <c r="T1" s="7" t="s">
        <v>364</v>
      </c>
      <c r="U1" s="7" t="s">
        <v>365</v>
      </c>
      <c r="V1" s="7" t="s">
        <v>366</v>
      </c>
      <c r="W1" s="7" t="s">
        <v>367</v>
      </c>
      <c r="X1" s="7" t="s">
        <v>368</v>
      </c>
      <c r="Y1" s="7" t="s">
        <v>369</v>
      </c>
      <c r="Z1" s="7" t="s">
        <v>370</v>
      </c>
      <c r="AA1" s="7" t="s">
        <v>371</v>
      </c>
      <c r="AB1" s="7" t="s">
        <v>372</v>
      </c>
    </row>
    <row r="2" spans="1:28" ht="30" customHeight="1" x14ac:dyDescent="0.25">
      <c r="A2" s="8" t="s">
        <v>373</v>
      </c>
      <c r="B2" s="8" t="s">
        <v>176</v>
      </c>
      <c r="C2" s="8" t="s">
        <v>177</v>
      </c>
      <c r="D2" s="8" t="s">
        <v>374</v>
      </c>
      <c r="E2" s="8" t="s">
        <v>375</v>
      </c>
      <c r="F2" s="14">
        <f t="shared" ref="F2:F13" si="0">IF(OR(E2="tax_share_to_price_elasticity",E2="price_elasticity"),S2,X2)</f>
        <v>0.65920999999999996</v>
      </c>
      <c r="G2" s="14">
        <f t="shared" ref="G2:G13" si="1">IF(OR(E2="tax_share_to_price_elasticity",E2="price_elasticity"),T2,Y2)</f>
        <v>0.75</v>
      </c>
      <c r="H2" s="8" t="str">
        <f t="shared" ref="H2:H13" si="2">IF(OR(E2="tax_share_to_price_elasticity",E2="price_elasticity"),U2,"implementation score 0-1")</f>
        <v>tax share of retail price</v>
      </c>
      <c r="I2" s="15">
        <v>-0.48</v>
      </c>
      <c r="J2" s="8" t="s">
        <v>376</v>
      </c>
      <c r="K2" s="16">
        <f t="shared" ref="K2:K13" si="3">IF(E2="tax_share_to_price_elasticity",MIN(1,ABS(I2)*AA2),IF(E2="price_elasticity",MIN(1,ABS(I2)*AA2),IF(E2="regulatory_gap_multiplicative",MIN(1,Z2*I2),"")))</f>
        <v>0.17431680000000008</v>
      </c>
      <c r="L2" s="8" t="s">
        <v>377</v>
      </c>
      <c r="M2" s="8" t="s">
        <v>378</v>
      </c>
      <c r="N2" s="8" t="s">
        <v>379</v>
      </c>
      <c r="O2" s="8" t="str">
        <f t="shared" ref="O2:O13" si="4">IF(OR(E2="tax_share_to_price_elasticity",E2="price_elasticity"),IF(COUNT(S2,T2)&lt;2,"MISSING FISCAL INPUT",IF(OR(K2&lt;0,K2&gt;1),"BAD REDUCTION","OK")),IF(OR(V2="",W2="",COUNT(X2,Y2)&lt;2),"MISSING REGULATORY INPUT",IF(OR(K2&lt;0,K2&gt;1),"BAD REDUCTION","OK")))</f>
        <v>OK</v>
      </c>
      <c r="P2" s="8" t="s">
        <v>176</v>
      </c>
      <c r="Q2" s="8" t="s">
        <v>177</v>
      </c>
      <c r="R2" s="8" t="s">
        <v>380</v>
      </c>
      <c r="S2" s="10">
        <v>0.65920999999999996</v>
      </c>
      <c r="T2" s="10">
        <v>0.75</v>
      </c>
      <c r="U2" s="8" t="s">
        <v>381</v>
      </c>
      <c r="V2" s="9" t="s">
        <v>382</v>
      </c>
      <c r="W2" s="9" t="s">
        <v>382</v>
      </c>
      <c r="X2" s="14">
        <f>IF(V2="none",Assumptions!$B$24,IF(V2="partial",Assumptions!$B$25,IF(V2="full",Assumptions!$B$26,"")))</f>
        <v>0.5</v>
      </c>
      <c r="Y2" s="14">
        <f>IF(W2="none",Assumptions!$B$24,IF(W2="partial",Assumptions!$B$25,IF(W2="full",Assumptions!$B$26,"")))</f>
        <v>0.5</v>
      </c>
      <c r="Z2" s="14">
        <f t="shared" ref="Z2:Z13" si="5">IF(COUNT(X2,Y2)&lt;2,"",MAX(0,Y2-X2))</f>
        <v>0</v>
      </c>
      <c r="AA2" s="14">
        <f t="shared" ref="AA2:AA13" si="6">IF(E2="tax_share_to_price_elasticity",IF(OR(COUNT(S2,T2)&lt;2,T2&gt;=1),"",MAX(0,(1-S2)/(1-T2)-1)),IF(E2="price_elasticity",IF(COUNT(S2,T2)&lt;2,"",MAX(0,T2-S2)),0))</f>
        <v>0.36316000000000015</v>
      </c>
      <c r="AB2" s="14">
        <f t="shared" ref="AB2:AB13" si="7">IF(OR(E2="tax_share_to_price_elasticity",E2="price_elasticity"),IF(COUNT(S2,T2)&lt;2,"",T2-S2),0)</f>
        <v>9.0790000000000037E-2</v>
      </c>
    </row>
    <row r="3" spans="1:28" ht="30" customHeight="1" x14ac:dyDescent="0.25">
      <c r="A3" s="8" t="s">
        <v>383</v>
      </c>
      <c r="B3" s="8" t="s">
        <v>186</v>
      </c>
      <c r="C3" s="8" t="s">
        <v>187</v>
      </c>
      <c r="D3" s="8" t="s">
        <v>384</v>
      </c>
      <c r="E3" s="8" t="s">
        <v>385</v>
      </c>
      <c r="F3" s="14">
        <f t="shared" si="0"/>
        <v>0</v>
      </c>
      <c r="G3" s="14">
        <f t="shared" si="1"/>
        <v>0.25</v>
      </c>
      <c r="H3" s="8" t="str">
        <f t="shared" si="2"/>
        <v>relative price change vs current law</v>
      </c>
      <c r="I3" s="15">
        <v>-0.49</v>
      </c>
      <c r="J3" s="8" t="s">
        <v>376</v>
      </c>
      <c r="K3" s="16">
        <f t="shared" si="3"/>
        <v>0.1225</v>
      </c>
      <c r="L3" s="8" t="s">
        <v>386</v>
      </c>
      <c r="M3" s="8" t="s">
        <v>378</v>
      </c>
      <c r="N3" s="8" t="s">
        <v>387</v>
      </c>
      <c r="O3" s="8" t="str">
        <f t="shared" si="4"/>
        <v>OK</v>
      </c>
      <c r="P3" s="8" t="s">
        <v>186</v>
      </c>
      <c r="Q3" s="8" t="s">
        <v>187</v>
      </c>
      <c r="R3" s="8" t="s">
        <v>380</v>
      </c>
      <c r="S3" s="10">
        <v>0</v>
      </c>
      <c r="T3" s="10">
        <v>0.25</v>
      </c>
      <c r="U3" s="8" t="s">
        <v>388</v>
      </c>
      <c r="V3" s="9" t="s">
        <v>389</v>
      </c>
      <c r="W3" s="9" t="s">
        <v>389</v>
      </c>
      <c r="X3" s="14">
        <f>IF(V3="none",Assumptions!$B$24,IF(V3="partial",Assumptions!$B$25,IF(V3="full",Assumptions!$B$26,"")))</f>
        <v>0</v>
      </c>
      <c r="Y3" s="14">
        <f>IF(W3="none",Assumptions!$B$24,IF(W3="partial",Assumptions!$B$25,IF(W3="full",Assumptions!$B$26,"")))</f>
        <v>0</v>
      </c>
      <c r="Z3" s="14">
        <f t="shared" si="5"/>
        <v>0</v>
      </c>
      <c r="AA3" s="14">
        <f t="shared" si="6"/>
        <v>0.25</v>
      </c>
      <c r="AB3" s="14">
        <f t="shared" si="7"/>
        <v>0.25</v>
      </c>
    </row>
    <row r="4" spans="1:28" ht="30" customHeight="1" x14ac:dyDescent="0.25">
      <c r="A4" s="8" t="s">
        <v>390</v>
      </c>
      <c r="B4" s="8" t="s">
        <v>197</v>
      </c>
      <c r="C4" s="8" t="s">
        <v>198</v>
      </c>
      <c r="D4" s="8" t="s">
        <v>391</v>
      </c>
      <c r="E4" s="8" t="s">
        <v>392</v>
      </c>
      <c r="F4" s="14">
        <f t="shared" si="0"/>
        <v>0.5</v>
      </c>
      <c r="G4" s="14">
        <f t="shared" si="1"/>
        <v>1</v>
      </c>
      <c r="H4" s="8" t="str">
        <f t="shared" si="2"/>
        <v>implementation score 0-1</v>
      </c>
      <c r="I4" s="15">
        <v>0.11</v>
      </c>
      <c r="J4" s="8" t="s">
        <v>393</v>
      </c>
      <c r="K4" s="16">
        <f t="shared" si="3"/>
        <v>5.5E-2</v>
      </c>
      <c r="L4" s="8" t="s">
        <v>394</v>
      </c>
      <c r="M4" s="8" t="s">
        <v>378</v>
      </c>
      <c r="N4" s="8" t="s">
        <v>395</v>
      </c>
      <c r="O4" s="8" t="str">
        <f t="shared" si="4"/>
        <v>OK</v>
      </c>
      <c r="P4" s="8" t="s">
        <v>396</v>
      </c>
      <c r="Q4" s="8" t="s">
        <v>397</v>
      </c>
      <c r="R4" s="8" t="s">
        <v>398</v>
      </c>
      <c r="S4" s="10"/>
      <c r="T4" s="10"/>
      <c r="U4" s="8"/>
      <c r="V4" s="9" t="s">
        <v>382</v>
      </c>
      <c r="W4" s="9" t="s">
        <v>399</v>
      </c>
      <c r="X4" s="14">
        <f>IF(V4="none",Assumptions!$B$24,IF(V4="partial",Assumptions!$B$25,IF(V4="full",Assumptions!$B$26,"")))</f>
        <v>0.5</v>
      </c>
      <c r="Y4" s="14">
        <f>IF(W4="none",Assumptions!$B$24,IF(W4="partial",Assumptions!$B$25,IF(W4="full",Assumptions!$B$26,"")))</f>
        <v>1</v>
      </c>
      <c r="Z4" s="14">
        <f t="shared" si="5"/>
        <v>0.5</v>
      </c>
      <c r="AA4" s="14">
        <f t="shared" si="6"/>
        <v>0</v>
      </c>
      <c r="AB4" s="14">
        <f t="shared" si="7"/>
        <v>0</v>
      </c>
    </row>
    <row r="5" spans="1:28" ht="30" customHeight="1" x14ac:dyDescent="0.25">
      <c r="A5" s="8" t="s">
        <v>400</v>
      </c>
      <c r="B5" s="8" t="s">
        <v>205</v>
      </c>
      <c r="C5" s="8" t="s">
        <v>206</v>
      </c>
      <c r="D5" s="8" t="s">
        <v>401</v>
      </c>
      <c r="E5" s="8" t="s">
        <v>392</v>
      </c>
      <c r="F5" s="14">
        <f t="shared" si="0"/>
        <v>0</v>
      </c>
      <c r="G5" s="14">
        <f t="shared" si="1"/>
        <v>1</v>
      </c>
      <c r="H5" s="8" t="str">
        <f t="shared" si="2"/>
        <v>implementation score 0-1</v>
      </c>
      <c r="I5" s="15">
        <v>6.5000000000000002E-2</v>
      </c>
      <c r="J5" s="8" t="s">
        <v>393</v>
      </c>
      <c r="K5" s="16">
        <f t="shared" si="3"/>
        <v>6.5000000000000002E-2</v>
      </c>
      <c r="L5" s="8" t="s">
        <v>394</v>
      </c>
      <c r="M5" s="8" t="s">
        <v>378</v>
      </c>
      <c r="N5" s="8" t="s">
        <v>402</v>
      </c>
      <c r="O5" s="8" t="str">
        <f t="shared" si="4"/>
        <v>OK</v>
      </c>
      <c r="P5" s="8" t="s">
        <v>396</v>
      </c>
      <c r="Q5" s="8" t="s">
        <v>397</v>
      </c>
      <c r="R5" s="8" t="s">
        <v>398</v>
      </c>
      <c r="S5" s="10"/>
      <c r="T5" s="10"/>
      <c r="U5" s="8"/>
      <c r="V5" s="9" t="s">
        <v>389</v>
      </c>
      <c r="W5" s="9" t="s">
        <v>399</v>
      </c>
      <c r="X5" s="14">
        <f>IF(V5="none",Assumptions!$B$24,IF(V5="partial",Assumptions!$B$25,IF(V5="full",Assumptions!$B$26,"")))</f>
        <v>0</v>
      </c>
      <c r="Y5" s="14">
        <f>IF(W5="none",Assumptions!$B$24,IF(W5="partial",Assumptions!$B$25,IF(W5="full",Assumptions!$B$26,"")))</f>
        <v>1</v>
      </c>
      <c r="Z5" s="14">
        <f t="shared" si="5"/>
        <v>1</v>
      </c>
      <c r="AA5" s="14">
        <f t="shared" si="6"/>
        <v>0</v>
      </c>
      <c r="AB5" s="14">
        <f t="shared" si="7"/>
        <v>0</v>
      </c>
    </row>
    <row r="6" spans="1:28" ht="30" customHeight="1" x14ac:dyDescent="0.25">
      <c r="A6" s="8" t="s">
        <v>403</v>
      </c>
      <c r="B6" s="8" t="s">
        <v>214</v>
      </c>
      <c r="C6" s="8" t="s">
        <v>215</v>
      </c>
      <c r="D6" s="8" t="s">
        <v>404</v>
      </c>
      <c r="E6" s="8" t="s">
        <v>392</v>
      </c>
      <c r="F6" s="14">
        <f t="shared" si="0"/>
        <v>0</v>
      </c>
      <c r="G6" s="14">
        <f t="shared" si="1"/>
        <v>1</v>
      </c>
      <c r="H6" s="8" t="str">
        <f t="shared" si="2"/>
        <v>implementation score 0-1</v>
      </c>
      <c r="I6" s="15">
        <v>0.04</v>
      </c>
      <c r="J6" s="8" t="s">
        <v>393</v>
      </c>
      <c r="K6" s="16">
        <f t="shared" si="3"/>
        <v>0.04</v>
      </c>
      <c r="L6" s="8" t="s">
        <v>394</v>
      </c>
      <c r="M6" s="8" t="s">
        <v>378</v>
      </c>
      <c r="N6" s="8" t="s">
        <v>402</v>
      </c>
      <c r="O6" s="8" t="str">
        <f t="shared" si="4"/>
        <v>OK</v>
      </c>
      <c r="P6" s="8" t="s">
        <v>396</v>
      </c>
      <c r="Q6" s="8" t="s">
        <v>397</v>
      </c>
      <c r="R6" s="8" t="s">
        <v>398</v>
      </c>
      <c r="S6" s="10"/>
      <c r="T6" s="10"/>
      <c r="U6" s="8"/>
      <c r="V6" s="9" t="s">
        <v>389</v>
      </c>
      <c r="W6" s="9" t="s">
        <v>399</v>
      </c>
      <c r="X6" s="14">
        <f>IF(V6="none",Assumptions!$B$24,IF(V6="partial",Assumptions!$B$25,IF(V6="full",Assumptions!$B$26,"")))</f>
        <v>0</v>
      </c>
      <c r="Y6" s="14">
        <f>IF(W6="none",Assumptions!$B$24,IF(W6="partial",Assumptions!$B$25,IF(W6="full",Assumptions!$B$26,"")))</f>
        <v>1</v>
      </c>
      <c r="Z6" s="14">
        <f t="shared" si="5"/>
        <v>1</v>
      </c>
      <c r="AA6" s="14">
        <f t="shared" si="6"/>
        <v>0</v>
      </c>
      <c r="AB6" s="14">
        <f t="shared" si="7"/>
        <v>0</v>
      </c>
    </row>
    <row r="7" spans="1:28" ht="30" customHeight="1" x14ac:dyDescent="0.25">
      <c r="A7" s="8" t="s">
        <v>405</v>
      </c>
      <c r="B7" s="8" t="s">
        <v>222</v>
      </c>
      <c r="C7" s="8" t="s">
        <v>223</v>
      </c>
      <c r="D7" s="8" t="s">
        <v>223</v>
      </c>
      <c r="E7" s="8" t="s">
        <v>392</v>
      </c>
      <c r="F7" s="14">
        <f t="shared" si="0"/>
        <v>0.5</v>
      </c>
      <c r="G7" s="14">
        <f t="shared" si="1"/>
        <v>1</v>
      </c>
      <c r="H7" s="8" t="str">
        <f t="shared" si="2"/>
        <v>implementation score 0-1</v>
      </c>
      <c r="I7" s="15">
        <v>0.26900000000000002</v>
      </c>
      <c r="J7" s="8" t="s">
        <v>406</v>
      </c>
      <c r="K7" s="16">
        <f t="shared" si="3"/>
        <v>0.13450000000000001</v>
      </c>
      <c r="L7" s="8" t="s">
        <v>407</v>
      </c>
      <c r="M7" s="8" t="s">
        <v>378</v>
      </c>
      <c r="N7" s="8" t="s">
        <v>408</v>
      </c>
      <c r="O7" s="8" t="str">
        <f t="shared" si="4"/>
        <v>OK</v>
      </c>
      <c r="P7" s="8" t="s">
        <v>222</v>
      </c>
      <c r="Q7" s="8" t="s">
        <v>409</v>
      </c>
      <c r="R7" s="8" t="s">
        <v>380</v>
      </c>
      <c r="S7" s="10"/>
      <c r="T7" s="10"/>
      <c r="U7" s="8"/>
      <c r="V7" s="9" t="s">
        <v>382</v>
      </c>
      <c r="W7" s="9" t="s">
        <v>399</v>
      </c>
      <c r="X7" s="14">
        <f>IF(V7="none",Assumptions!$B$24,IF(V7="partial",Assumptions!$B$25,IF(V7="full",Assumptions!$B$26,"")))</f>
        <v>0.5</v>
      </c>
      <c r="Y7" s="14">
        <f>IF(W7="none",Assumptions!$B$24,IF(W7="partial",Assumptions!$B$25,IF(W7="full",Assumptions!$B$26,"")))</f>
        <v>1</v>
      </c>
      <c r="Z7" s="14">
        <f t="shared" si="5"/>
        <v>0.5</v>
      </c>
      <c r="AA7" s="14">
        <f t="shared" si="6"/>
        <v>0</v>
      </c>
      <c r="AB7" s="14">
        <f t="shared" si="7"/>
        <v>0</v>
      </c>
    </row>
    <row r="8" spans="1:28" ht="30" customHeight="1" x14ac:dyDescent="0.25">
      <c r="A8" s="8" t="s">
        <v>410</v>
      </c>
      <c r="B8" s="8" t="s">
        <v>228</v>
      </c>
      <c r="C8" s="8" t="s">
        <v>229</v>
      </c>
      <c r="D8" s="8" t="s">
        <v>411</v>
      </c>
      <c r="E8" s="8" t="s">
        <v>392</v>
      </c>
      <c r="F8" s="14">
        <f t="shared" si="0"/>
        <v>0.5</v>
      </c>
      <c r="G8" s="14">
        <f t="shared" si="1"/>
        <v>1</v>
      </c>
      <c r="H8" s="8" t="str">
        <f t="shared" si="2"/>
        <v>implementation score 0-1</v>
      </c>
      <c r="I8" s="15">
        <v>0.2</v>
      </c>
      <c r="J8" s="8" t="s">
        <v>412</v>
      </c>
      <c r="K8" s="16">
        <f t="shared" si="3"/>
        <v>0.1</v>
      </c>
      <c r="L8" s="8" t="s">
        <v>413</v>
      </c>
      <c r="M8" s="8" t="s">
        <v>378</v>
      </c>
      <c r="N8" s="8" t="s">
        <v>414</v>
      </c>
      <c r="O8" s="8" t="str">
        <f t="shared" si="4"/>
        <v>OK</v>
      </c>
      <c r="P8" s="8" t="s">
        <v>415</v>
      </c>
      <c r="Q8" s="8" t="s">
        <v>416</v>
      </c>
      <c r="R8" s="8" t="s">
        <v>398</v>
      </c>
      <c r="S8" s="10"/>
      <c r="T8" s="10"/>
      <c r="U8" s="8"/>
      <c r="V8" s="9" t="s">
        <v>382</v>
      </c>
      <c r="W8" s="9" t="s">
        <v>399</v>
      </c>
      <c r="X8" s="14">
        <f>IF(V8="none",Assumptions!$B$24,IF(V8="partial",Assumptions!$B$25,IF(V8="full",Assumptions!$B$26,"")))</f>
        <v>0.5</v>
      </c>
      <c r="Y8" s="14">
        <f>IF(W8="none",Assumptions!$B$24,IF(W8="partial",Assumptions!$B$25,IF(W8="full",Assumptions!$B$26,"")))</f>
        <v>1</v>
      </c>
      <c r="Z8" s="14">
        <f t="shared" si="5"/>
        <v>0.5</v>
      </c>
      <c r="AA8" s="14">
        <f t="shared" si="6"/>
        <v>0</v>
      </c>
      <c r="AB8" s="14">
        <f t="shared" si="7"/>
        <v>0</v>
      </c>
    </row>
    <row r="9" spans="1:28" ht="30" customHeight="1" x14ac:dyDescent="0.25">
      <c r="A9" s="8" t="s">
        <v>417</v>
      </c>
      <c r="B9" s="8" t="s">
        <v>235</v>
      </c>
      <c r="C9" s="8" t="s">
        <v>236</v>
      </c>
      <c r="D9" s="8" t="s">
        <v>418</v>
      </c>
      <c r="E9" s="8" t="s">
        <v>392</v>
      </c>
      <c r="F9" s="14">
        <f t="shared" si="0"/>
        <v>0.5</v>
      </c>
      <c r="G9" s="14">
        <f t="shared" si="1"/>
        <v>1</v>
      </c>
      <c r="H9" s="8" t="str">
        <f t="shared" si="2"/>
        <v>implementation score 0-1</v>
      </c>
      <c r="I9" s="15">
        <v>0.1</v>
      </c>
      <c r="J9" s="8" t="s">
        <v>412</v>
      </c>
      <c r="K9" s="16">
        <f t="shared" si="3"/>
        <v>0.05</v>
      </c>
      <c r="L9" s="8" t="s">
        <v>413</v>
      </c>
      <c r="M9" s="8" t="s">
        <v>378</v>
      </c>
      <c r="N9" s="8" t="s">
        <v>419</v>
      </c>
      <c r="O9" s="8" t="str">
        <f t="shared" si="4"/>
        <v>OK</v>
      </c>
      <c r="P9" s="8" t="s">
        <v>415</v>
      </c>
      <c r="Q9" s="8" t="s">
        <v>416</v>
      </c>
      <c r="R9" s="8" t="s">
        <v>398</v>
      </c>
      <c r="S9" s="10"/>
      <c r="T9" s="10"/>
      <c r="U9" s="8"/>
      <c r="V9" s="9" t="s">
        <v>382</v>
      </c>
      <c r="W9" s="9" t="s">
        <v>399</v>
      </c>
      <c r="X9" s="14">
        <f>IF(V9="none",Assumptions!$B$24,IF(V9="partial",Assumptions!$B$25,IF(V9="full",Assumptions!$B$26,"")))</f>
        <v>0.5</v>
      </c>
      <c r="Y9" s="14">
        <f>IF(W9="none",Assumptions!$B$24,IF(W9="partial",Assumptions!$B$25,IF(W9="full",Assumptions!$B$26,"")))</f>
        <v>1</v>
      </c>
      <c r="Z9" s="14">
        <f t="shared" si="5"/>
        <v>0.5</v>
      </c>
      <c r="AA9" s="14">
        <f t="shared" si="6"/>
        <v>0</v>
      </c>
      <c r="AB9" s="14">
        <f t="shared" si="7"/>
        <v>0</v>
      </c>
    </row>
    <row r="10" spans="1:28" ht="30" customHeight="1" x14ac:dyDescent="0.25">
      <c r="A10" s="8" t="s">
        <v>420</v>
      </c>
      <c r="B10" s="8" t="s">
        <v>240</v>
      </c>
      <c r="C10" s="8" t="s">
        <v>241</v>
      </c>
      <c r="D10" s="8" t="s">
        <v>421</v>
      </c>
      <c r="E10" s="8" t="s">
        <v>392</v>
      </c>
      <c r="F10" s="14">
        <f t="shared" si="0"/>
        <v>0.5</v>
      </c>
      <c r="G10" s="14">
        <f t="shared" si="1"/>
        <v>0.5</v>
      </c>
      <c r="H10" s="8" t="str">
        <f t="shared" si="2"/>
        <v>implementation score 0-1</v>
      </c>
      <c r="I10" s="15">
        <v>0.05</v>
      </c>
      <c r="J10" s="8" t="s">
        <v>412</v>
      </c>
      <c r="K10" s="16">
        <f t="shared" si="3"/>
        <v>0</v>
      </c>
      <c r="L10" s="8" t="s">
        <v>422</v>
      </c>
      <c r="M10" s="8" t="s">
        <v>378</v>
      </c>
      <c r="N10" s="8" t="s">
        <v>408</v>
      </c>
      <c r="O10" s="8" t="str">
        <f t="shared" si="4"/>
        <v>OK</v>
      </c>
      <c r="P10" s="8" t="s">
        <v>415</v>
      </c>
      <c r="Q10" s="8" t="s">
        <v>416</v>
      </c>
      <c r="R10" s="8" t="s">
        <v>398</v>
      </c>
      <c r="S10" s="10"/>
      <c r="T10" s="10"/>
      <c r="U10" s="8"/>
      <c r="V10" s="9" t="s">
        <v>382</v>
      </c>
      <c r="W10" s="9" t="s">
        <v>382</v>
      </c>
      <c r="X10" s="14">
        <f>IF(V10="none",Assumptions!$B$24,IF(V10="partial",Assumptions!$B$25,IF(V10="full",Assumptions!$B$26,"")))</f>
        <v>0.5</v>
      </c>
      <c r="Y10" s="14">
        <f>IF(W10="none",Assumptions!$B$24,IF(W10="partial",Assumptions!$B$25,IF(W10="full",Assumptions!$B$26,"")))</f>
        <v>0.5</v>
      </c>
      <c r="Z10" s="14">
        <f t="shared" si="5"/>
        <v>0</v>
      </c>
      <c r="AA10" s="14">
        <f t="shared" si="6"/>
        <v>0</v>
      </c>
      <c r="AB10" s="14">
        <f t="shared" si="7"/>
        <v>0</v>
      </c>
    </row>
    <row r="11" spans="1:28" ht="30" customHeight="1" x14ac:dyDescent="0.25">
      <c r="A11" s="8" t="s">
        <v>423</v>
      </c>
      <c r="B11" s="8" t="s">
        <v>246</v>
      </c>
      <c r="C11" s="8" t="s">
        <v>247</v>
      </c>
      <c r="D11" s="8" t="s">
        <v>424</v>
      </c>
      <c r="E11" s="8" t="s">
        <v>392</v>
      </c>
      <c r="F11" s="14">
        <f t="shared" si="0"/>
        <v>0.5</v>
      </c>
      <c r="G11" s="14">
        <f t="shared" si="1"/>
        <v>1</v>
      </c>
      <c r="H11" s="8" t="str">
        <f t="shared" si="2"/>
        <v>implementation score 0-1</v>
      </c>
      <c r="I11" s="15">
        <v>7.0000000000000007E-2</v>
      </c>
      <c r="J11" s="8" t="s">
        <v>412</v>
      </c>
      <c r="K11" s="16">
        <f t="shared" si="3"/>
        <v>3.5000000000000003E-2</v>
      </c>
      <c r="L11" s="8" t="s">
        <v>413</v>
      </c>
      <c r="M11" s="8" t="s">
        <v>378</v>
      </c>
      <c r="N11" s="8" t="s">
        <v>425</v>
      </c>
      <c r="O11" s="8" t="str">
        <f t="shared" si="4"/>
        <v>OK</v>
      </c>
      <c r="P11" s="8" t="s">
        <v>415</v>
      </c>
      <c r="Q11" s="8" t="s">
        <v>416</v>
      </c>
      <c r="R11" s="8" t="s">
        <v>398</v>
      </c>
      <c r="S11" s="10"/>
      <c r="T11" s="10"/>
      <c r="U11" s="8"/>
      <c r="V11" s="9" t="s">
        <v>382</v>
      </c>
      <c r="W11" s="9" t="s">
        <v>399</v>
      </c>
      <c r="X11" s="14">
        <f>IF(V11="none",Assumptions!$B$24,IF(V11="partial",Assumptions!$B$25,IF(V11="full",Assumptions!$B$26,"")))</f>
        <v>0.5</v>
      </c>
      <c r="Y11" s="14">
        <f>IF(W11="none",Assumptions!$B$24,IF(W11="partial",Assumptions!$B$25,IF(W11="full",Assumptions!$B$26,"")))</f>
        <v>1</v>
      </c>
      <c r="Z11" s="14">
        <f t="shared" si="5"/>
        <v>0.5</v>
      </c>
      <c r="AA11" s="14">
        <f t="shared" si="6"/>
        <v>0</v>
      </c>
      <c r="AB11" s="14">
        <f t="shared" si="7"/>
        <v>0</v>
      </c>
    </row>
    <row r="12" spans="1:28" ht="30" customHeight="1" x14ac:dyDescent="0.25">
      <c r="A12" s="8" t="s">
        <v>426</v>
      </c>
      <c r="B12" s="8" t="s">
        <v>248</v>
      </c>
      <c r="C12" s="8" t="s">
        <v>249</v>
      </c>
      <c r="D12" s="8" t="s">
        <v>427</v>
      </c>
      <c r="E12" s="8" t="s">
        <v>392</v>
      </c>
      <c r="F12" s="14">
        <f t="shared" si="0"/>
        <v>0.5</v>
      </c>
      <c r="G12" s="14">
        <f t="shared" si="1"/>
        <v>1</v>
      </c>
      <c r="H12" s="8" t="str">
        <f t="shared" si="2"/>
        <v>implementation score 0-1</v>
      </c>
      <c r="I12" s="15">
        <v>1</v>
      </c>
      <c r="J12" s="8" t="s">
        <v>428</v>
      </c>
      <c r="K12" s="16">
        <f t="shared" si="3"/>
        <v>0.5</v>
      </c>
      <c r="L12" s="8" t="s">
        <v>429</v>
      </c>
      <c r="M12" s="8" t="s">
        <v>378</v>
      </c>
      <c r="N12" s="8" t="s">
        <v>430</v>
      </c>
      <c r="O12" s="8" t="str">
        <f t="shared" si="4"/>
        <v>OK</v>
      </c>
      <c r="P12" s="8" t="s">
        <v>248</v>
      </c>
      <c r="Q12" s="8" t="s">
        <v>431</v>
      </c>
      <c r="R12" s="8" t="s">
        <v>380</v>
      </c>
      <c r="S12" s="10"/>
      <c r="T12" s="10"/>
      <c r="U12" s="8"/>
      <c r="V12" s="9" t="s">
        <v>382</v>
      </c>
      <c r="W12" s="9" t="s">
        <v>399</v>
      </c>
      <c r="X12" s="14">
        <f>IF(V12="none",Assumptions!$B$24,IF(V12="partial",Assumptions!$B$25,IF(V12="full",Assumptions!$B$26,"")))</f>
        <v>0.5</v>
      </c>
      <c r="Y12" s="14">
        <f>IF(W12="none",Assumptions!$B$24,IF(W12="partial",Assumptions!$B$25,IF(W12="full",Assumptions!$B$26,"")))</f>
        <v>1</v>
      </c>
      <c r="Z12" s="14">
        <f t="shared" si="5"/>
        <v>0.5</v>
      </c>
      <c r="AA12" s="14">
        <f t="shared" si="6"/>
        <v>0</v>
      </c>
      <c r="AB12" s="14">
        <f t="shared" si="7"/>
        <v>0</v>
      </c>
    </row>
    <row r="13" spans="1:28" ht="30" customHeight="1" x14ac:dyDescent="0.25">
      <c r="A13" s="8" t="s">
        <v>432</v>
      </c>
      <c r="B13" s="8" t="s">
        <v>251</v>
      </c>
      <c r="C13" s="8" t="s">
        <v>252</v>
      </c>
      <c r="D13" s="8" t="s">
        <v>433</v>
      </c>
      <c r="E13" s="8" t="s">
        <v>385</v>
      </c>
      <c r="F13" s="14">
        <f t="shared" si="0"/>
        <v>0</v>
      </c>
      <c r="G13" s="14">
        <f t="shared" si="1"/>
        <v>0.2</v>
      </c>
      <c r="H13" s="8" t="str">
        <f t="shared" si="2"/>
        <v>relative price change vs baseline</v>
      </c>
      <c r="I13" s="15">
        <f>Assumptions!$B$21</f>
        <v>-0.875</v>
      </c>
      <c r="J13" s="8" t="s">
        <v>108</v>
      </c>
      <c r="K13" s="16">
        <f t="shared" si="3"/>
        <v>0.17500000000000002</v>
      </c>
      <c r="L13" s="8" t="s">
        <v>434</v>
      </c>
      <c r="M13" s="8" t="s">
        <v>378</v>
      </c>
      <c r="N13" s="8" t="s">
        <v>435</v>
      </c>
      <c r="O13" s="8" t="str">
        <f t="shared" si="4"/>
        <v>OK</v>
      </c>
      <c r="P13" s="8" t="s">
        <v>251</v>
      </c>
      <c r="Q13" s="8" t="s">
        <v>436</v>
      </c>
      <c r="R13" s="8" t="s">
        <v>380</v>
      </c>
      <c r="S13" s="10">
        <v>0</v>
      </c>
      <c r="T13" s="10">
        <f>Assumptions!$B$20</f>
        <v>0.2</v>
      </c>
      <c r="U13" s="8" t="s">
        <v>437</v>
      </c>
      <c r="V13" s="9" t="s">
        <v>389</v>
      </c>
      <c r="W13" s="9" t="s">
        <v>399</v>
      </c>
      <c r="X13" s="14">
        <f>IF(V13="none",Assumptions!$B$24,IF(V13="partial",Assumptions!$B$25,IF(V13="full",Assumptions!$B$26,"")))</f>
        <v>0</v>
      </c>
      <c r="Y13" s="14">
        <f>IF(W13="none",Assumptions!$B$24,IF(W13="partial",Assumptions!$B$25,IF(W13="full",Assumptions!$B$26,"")))</f>
        <v>1</v>
      </c>
      <c r="Z13" s="14">
        <f t="shared" si="5"/>
        <v>1</v>
      </c>
      <c r="AA13" s="14">
        <f t="shared" si="6"/>
        <v>0.2</v>
      </c>
      <c r="AB13" s="14">
        <f t="shared" si="7"/>
        <v>0.2</v>
      </c>
    </row>
  </sheetData>
  <conditionalFormatting sqref="M2:M13">
    <cfRule type="containsText" dxfId="37" priority="2" operator="containsText" text="OK">
      <formula>NOT(ISERROR(SEARCH("OK",M2)))</formula>
    </cfRule>
    <cfRule type="containsText" dxfId="36" priority="3" operator="containsText" text="FAIL">
      <formula>NOT(ISERROR(SEARCH("FAIL",M2)))</formula>
    </cfRule>
    <cfRule type="containsText" dxfId="35" priority="4" operator="containsText" text="REVIEW">
      <formula>NOT(ISERROR(SEARCH("REVIEW",M2)))</formula>
    </cfRule>
  </conditionalFormatting>
  <conditionalFormatting sqref="O2:O13">
    <cfRule type="containsText" dxfId="34" priority="5" operator="containsText" text="OK">
      <formula>NOT(ISERROR(SEARCH("OK",O2)))</formula>
    </cfRule>
    <cfRule type="containsText" dxfId="33" priority="6" operator="containsText" text="FAIL">
      <formula>NOT(ISERROR(SEARCH("FAIL",O2)))</formula>
    </cfRule>
    <cfRule type="containsText" dxfId="32" priority="7" operator="containsText" text="REVIEW">
      <formula>NOT(ISERROR(SEARCH("REVIEW",O2)))</formula>
    </cfRule>
  </conditionalFormatting>
  <dataValidations count="1">
    <dataValidation type="list" sqref="V2:W13" xr:uid="{00000000-0002-0000-0400-000000000000}">
      <formula1>"none,partial,full"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showGridLines="0" tabSelected="1" topLeftCell="F1" zoomScaleNormal="100" workbookViewId="0">
      <selection activeCell="I2" sqref="I2"/>
    </sheetView>
  </sheetViews>
  <sheetFormatPr defaultColWidth="11.5546875" defaultRowHeight="13.2" x14ac:dyDescent="0.25"/>
  <cols>
    <col min="1" max="3" width="16" customWidth="1"/>
    <col min="4" max="6" width="38" customWidth="1"/>
    <col min="7" max="18" width="16" customWidth="1"/>
    <col min="19" max="20" width="38" customWidth="1"/>
    <col min="21" max="21" width="16" customWidth="1"/>
  </cols>
  <sheetData>
    <row r="1" spans="1:21" ht="34.049999999999997" customHeight="1" x14ac:dyDescent="0.25">
      <c r="A1" s="7" t="s">
        <v>438</v>
      </c>
      <c r="B1" s="7" t="s">
        <v>163</v>
      </c>
      <c r="C1" s="7" t="s">
        <v>167</v>
      </c>
      <c r="D1" s="7" t="s">
        <v>164</v>
      </c>
      <c r="E1" s="7" t="s">
        <v>439</v>
      </c>
      <c r="F1" s="7" t="s">
        <v>170</v>
      </c>
      <c r="G1" s="7" t="s">
        <v>440</v>
      </c>
      <c r="H1" s="7" t="s">
        <v>441</v>
      </c>
      <c r="I1" s="7" t="s">
        <v>442</v>
      </c>
      <c r="J1" s="7" t="s">
        <v>443</v>
      </c>
      <c r="K1" s="7" t="s">
        <v>444</v>
      </c>
      <c r="L1" s="7" t="s">
        <v>445</v>
      </c>
      <c r="M1" s="7" t="s">
        <v>446</v>
      </c>
      <c r="N1" s="7" t="s">
        <v>447</v>
      </c>
      <c r="O1" s="7" t="s">
        <v>448</v>
      </c>
      <c r="P1" s="7" t="s">
        <v>449</v>
      </c>
      <c r="Q1" s="7" t="s">
        <v>450</v>
      </c>
      <c r="R1" s="7" t="s">
        <v>71</v>
      </c>
      <c r="S1" s="7" t="s">
        <v>39</v>
      </c>
      <c r="T1" s="7" t="s">
        <v>358</v>
      </c>
      <c r="U1" s="7" t="s">
        <v>359</v>
      </c>
    </row>
    <row r="2" spans="1:21" ht="30" customHeight="1" x14ac:dyDescent="0.25">
      <c r="A2" s="8" t="s">
        <v>451</v>
      </c>
      <c r="B2" s="8" t="s">
        <v>176</v>
      </c>
      <c r="C2" s="8" t="s">
        <v>180</v>
      </c>
      <c r="D2" s="8" t="s">
        <v>177</v>
      </c>
      <c r="E2" s="8" t="s">
        <v>182</v>
      </c>
      <c r="F2" s="8" t="s">
        <v>112</v>
      </c>
      <c r="G2" s="17">
        <v>0.30299999999999999</v>
      </c>
      <c r="H2" s="18" t="s">
        <v>452</v>
      </c>
      <c r="I2" s="17"/>
      <c r="J2" s="16">
        <f>SUMIF(Policy_Levers!$B$2:$B$13,B2,Policy_Levers!$K$2:$K$13)</f>
        <v>0.17431680000000008</v>
      </c>
      <c r="K2" s="16">
        <f t="shared" ref="K2:K13" si="0">IF(ISBLANK(I2),J2,I2)</f>
        <v>0.17431680000000008</v>
      </c>
      <c r="L2" s="18">
        <v>0</v>
      </c>
      <c r="M2" s="18">
        <f t="shared" ref="M2:M13" si="1">IF(OR(ISBLANK(G2),ISBLANK(K2)),"",IF(H2="relative",MAX(L2,G2*(1-K2)),IF(H2="absolute",MAX(L2,G2-K2),IF(H2="target",MAX(L2,K2),""))))</f>
        <v>0.25018200959999998</v>
      </c>
      <c r="N2" s="18">
        <f t="shared" ref="N2:N13" si="2">IF(ISBLANK(M2),"",G2-M2)</f>
        <v>5.2817990400000014E-2</v>
      </c>
      <c r="O2" s="16">
        <f t="shared" ref="O2:O13" si="3">IF(OR(ISBLANK(G2),G2=0,ISBLANK(N2)),"",N2/G2)</f>
        <v>0.17431680000000005</v>
      </c>
      <c r="P2" s="8">
        <f>Assumptions!$B$4</f>
        <v>2026</v>
      </c>
      <c r="Q2" s="8">
        <f>Assumptions!$B$5</f>
        <v>2030</v>
      </c>
      <c r="R2" s="8" t="str">
        <f>Assumptions!$B$12</f>
        <v>linear</v>
      </c>
      <c r="S2" s="8" t="s">
        <v>453</v>
      </c>
      <c r="T2" s="8" t="s">
        <v>454</v>
      </c>
      <c r="U2" s="8" t="str">
        <f t="shared" ref="U2:U13" si="4">IF(ISBLANK(G2),"MISSING EXPOSURE",IF(ISBLANK(K2),"MISSING REDUCTION",IF(OR(M2&lt;L2,M2&gt;G2,Q2&lt;P2),"BAD INPUT","OK")))</f>
        <v>OK</v>
      </c>
    </row>
    <row r="3" spans="1:21" ht="30" customHeight="1" x14ac:dyDescent="0.25">
      <c r="A3" s="8" t="s">
        <v>455</v>
      </c>
      <c r="B3" s="8" t="s">
        <v>186</v>
      </c>
      <c r="C3" s="8" t="s">
        <v>190</v>
      </c>
      <c r="D3" s="8" t="s">
        <v>187</v>
      </c>
      <c r="E3" s="8" t="s">
        <v>192</v>
      </c>
      <c r="F3" s="8" t="s">
        <v>193</v>
      </c>
      <c r="G3" s="17">
        <v>0.1</v>
      </c>
      <c r="H3" s="18" t="s">
        <v>452</v>
      </c>
      <c r="I3" s="17"/>
      <c r="J3" s="16">
        <f>SUMIF(Policy_Levers!$B$2:$B$13,B3,Policy_Levers!$K$2:$K$13)</f>
        <v>0.1225</v>
      </c>
      <c r="K3" s="16">
        <f t="shared" si="0"/>
        <v>0.1225</v>
      </c>
      <c r="L3" s="18">
        <v>0</v>
      </c>
      <c r="M3" s="18">
        <f t="shared" si="1"/>
        <v>8.7749999999999995E-2</v>
      </c>
      <c r="N3" s="18">
        <f t="shared" si="2"/>
        <v>1.2250000000000011E-2</v>
      </c>
      <c r="O3" s="16">
        <f t="shared" si="3"/>
        <v>0.12250000000000011</v>
      </c>
      <c r="P3" s="8">
        <f>Assumptions!$B$4</f>
        <v>2026</v>
      </c>
      <c r="Q3" s="8">
        <f>Assumptions!$B$5</f>
        <v>2030</v>
      </c>
      <c r="R3" s="8" t="str">
        <f>Assumptions!$B$12</f>
        <v>linear</v>
      </c>
      <c r="S3" s="8" t="s">
        <v>456</v>
      </c>
      <c r="T3" s="8" t="s">
        <v>454</v>
      </c>
      <c r="U3" s="8" t="str">
        <f t="shared" si="4"/>
        <v>OK</v>
      </c>
    </row>
    <row r="4" spans="1:21" ht="30" customHeight="1" x14ac:dyDescent="0.25">
      <c r="A4" s="8" t="s">
        <v>457</v>
      </c>
      <c r="B4" s="8" t="s">
        <v>197</v>
      </c>
      <c r="C4" s="8" t="s">
        <v>180</v>
      </c>
      <c r="D4" s="8" t="s">
        <v>198</v>
      </c>
      <c r="E4" s="8" t="s">
        <v>182</v>
      </c>
      <c r="F4" s="8" t="s">
        <v>112</v>
      </c>
      <c r="G4" s="17">
        <v>0.30299999999999999</v>
      </c>
      <c r="H4" s="18" t="s">
        <v>452</v>
      </c>
      <c r="I4" s="17"/>
      <c r="J4" s="16">
        <f>SUMIF(Policy_Levers!$B$2:$B$13,B4,Policy_Levers!$K$2:$K$13)</f>
        <v>5.5E-2</v>
      </c>
      <c r="K4" s="16">
        <f t="shared" si="0"/>
        <v>5.5E-2</v>
      </c>
      <c r="L4" s="18">
        <v>0</v>
      </c>
      <c r="M4" s="18">
        <f t="shared" si="1"/>
        <v>0.28633499999999995</v>
      </c>
      <c r="N4" s="18">
        <f t="shared" si="2"/>
        <v>1.6665000000000041E-2</v>
      </c>
      <c r="O4" s="16">
        <f t="shared" si="3"/>
        <v>5.5000000000000139E-2</v>
      </c>
      <c r="P4" s="8">
        <f>Assumptions!$B$4</f>
        <v>2026</v>
      </c>
      <c r="Q4" s="8">
        <f>Assumptions!$B$5</f>
        <v>2030</v>
      </c>
      <c r="R4" s="8" t="str">
        <f>Assumptions!$B$12</f>
        <v>linear</v>
      </c>
      <c r="S4" s="8" t="s">
        <v>458</v>
      </c>
      <c r="T4" s="8" t="s">
        <v>378</v>
      </c>
      <c r="U4" s="8" t="str">
        <f t="shared" si="4"/>
        <v>OK</v>
      </c>
    </row>
    <row r="5" spans="1:21" ht="30" customHeight="1" x14ac:dyDescent="0.25">
      <c r="A5" s="8" t="s">
        <v>459</v>
      </c>
      <c r="B5" s="8" t="s">
        <v>205</v>
      </c>
      <c r="C5" s="8" t="s">
        <v>180</v>
      </c>
      <c r="D5" s="8" t="s">
        <v>206</v>
      </c>
      <c r="E5" s="8" t="s">
        <v>182</v>
      </c>
      <c r="F5" s="8" t="s">
        <v>112</v>
      </c>
      <c r="G5" s="17">
        <v>0.30299999999999999</v>
      </c>
      <c r="H5" s="18" t="s">
        <v>452</v>
      </c>
      <c r="I5" s="17"/>
      <c r="J5" s="16">
        <f>SUMIF(Policy_Levers!$B$2:$B$13,B5,Policy_Levers!$K$2:$K$13)</f>
        <v>6.5000000000000002E-2</v>
      </c>
      <c r="K5" s="16">
        <f t="shared" si="0"/>
        <v>6.5000000000000002E-2</v>
      </c>
      <c r="L5" s="18">
        <v>0</v>
      </c>
      <c r="M5" s="18">
        <f t="shared" si="1"/>
        <v>0.28330500000000003</v>
      </c>
      <c r="N5" s="18">
        <f t="shared" si="2"/>
        <v>1.9694999999999963E-2</v>
      </c>
      <c r="O5" s="16">
        <f t="shared" si="3"/>
        <v>6.4999999999999877E-2</v>
      </c>
      <c r="P5" s="8">
        <f>Assumptions!$B$4</f>
        <v>2026</v>
      </c>
      <c r="Q5" s="8">
        <f>Assumptions!$B$5</f>
        <v>2030</v>
      </c>
      <c r="R5" s="8" t="str">
        <f>Assumptions!$B$12</f>
        <v>linear</v>
      </c>
      <c r="S5" s="8" t="s">
        <v>458</v>
      </c>
      <c r="T5" s="8" t="s">
        <v>378</v>
      </c>
      <c r="U5" s="8" t="str">
        <f t="shared" si="4"/>
        <v>OK</v>
      </c>
    </row>
    <row r="6" spans="1:21" ht="30" customHeight="1" x14ac:dyDescent="0.25">
      <c r="A6" s="8" t="s">
        <v>460</v>
      </c>
      <c r="B6" s="8" t="s">
        <v>214</v>
      </c>
      <c r="C6" s="8" t="s">
        <v>180</v>
      </c>
      <c r="D6" s="8" t="s">
        <v>215</v>
      </c>
      <c r="E6" s="8" t="s">
        <v>182</v>
      </c>
      <c r="F6" s="8" t="s">
        <v>112</v>
      </c>
      <c r="G6" s="17">
        <v>0.30299999999999999</v>
      </c>
      <c r="H6" s="18" t="s">
        <v>452</v>
      </c>
      <c r="I6" s="17"/>
      <c r="J6" s="16">
        <f>SUMIF(Policy_Levers!$B$2:$B$13,B6,Policy_Levers!$K$2:$K$13)</f>
        <v>0.04</v>
      </c>
      <c r="K6" s="16">
        <f t="shared" si="0"/>
        <v>0.04</v>
      </c>
      <c r="L6" s="18">
        <v>0</v>
      </c>
      <c r="M6" s="18">
        <f t="shared" si="1"/>
        <v>0.29087999999999997</v>
      </c>
      <c r="N6" s="18">
        <f t="shared" si="2"/>
        <v>1.212000000000002E-2</v>
      </c>
      <c r="O6" s="16">
        <f t="shared" si="3"/>
        <v>4.0000000000000063E-2</v>
      </c>
      <c r="P6" s="8">
        <f>Assumptions!$B$4</f>
        <v>2026</v>
      </c>
      <c r="Q6" s="8">
        <f>Assumptions!$B$5</f>
        <v>2030</v>
      </c>
      <c r="R6" s="8" t="str">
        <f>Assumptions!$B$12</f>
        <v>linear</v>
      </c>
      <c r="S6" s="8" t="s">
        <v>458</v>
      </c>
      <c r="T6" s="8" t="s">
        <v>378</v>
      </c>
      <c r="U6" s="8" t="str">
        <f t="shared" si="4"/>
        <v>OK</v>
      </c>
    </row>
    <row r="7" spans="1:21" ht="30" customHeight="1" x14ac:dyDescent="0.25">
      <c r="A7" s="8" t="s">
        <v>461</v>
      </c>
      <c r="B7" s="8" t="s">
        <v>222</v>
      </c>
      <c r="C7" s="8" t="s">
        <v>190</v>
      </c>
      <c r="D7" s="8" t="s">
        <v>223</v>
      </c>
      <c r="E7" s="8" t="s">
        <v>192</v>
      </c>
      <c r="F7" s="8" t="s">
        <v>193</v>
      </c>
      <c r="G7" s="17">
        <v>0.1</v>
      </c>
      <c r="H7" s="18" t="s">
        <v>452</v>
      </c>
      <c r="I7" s="17"/>
      <c r="J7" s="16">
        <f>SUMIF(Policy_Levers!$B$2:$B$13,B7,Policy_Levers!$K$2:$K$13)</f>
        <v>0.13450000000000001</v>
      </c>
      <c r="K7" s="16">
        <f t="shared" si="0"/>
        <v>0.13450000000000001</v>
      </c>
      <c r="L7" s="18">
        <v>0</v>
      </c>
      <c r="M7" s="18">
        <f t="shared" si="1"/>
        <v>8.6550000000000002E-2</v>
      </c>
      <c r="N7" s="18">
        <f t="shared" si="2"/>
        <v>1.3450000000000004E-2</v>
      </c>
      <c r="O7" s="16">
        <f t="shared" si="3"/>
        <v>0.13450000000000004</v>
      </c>
      <c r="P7" s="8">
        <f>Assumptions!$B$4</f>
        <v>2026</v>
      </c>
      <c r="Q7" s="8">
        <f>Assumptions!$B$5</f>
        <v>2030</v>
      </c>
      <c r="R7" s="8" t="str">
        <f>Assumptions!$B$12</f>
        <v>linear</v>
      </c>
      <c r="S7" s="8" t="s">
        <v>458</v>
      </c>
      <c r="T7" s="8" t="s">
        <v>378</v>
      </c>
      <c r="U7" s="8" t="str">
        <f t="shared" si="4"/>
        <v>OK</v>
      </c>
    </row>
    <row r="8" spans="1:21" ht="30" customHeight="1" x14ac:dyDescent="0.25">
      <c r="A8" s="8" t="s">
        <v>462</v>
      </c>
      <c r="B8" s="8" t="s">
        <v>228</v>
      </c>
      <c r="C8" s="8" t="s">
        <v>200</v>
      </c>
      <c r="D8" s="8" t="s">
        <v>229</v>
      </c>
      <c r="E8" s="8" t="s">
        <v>202</v>
      </c>
      <c r="F8" s="8" t="s">
        <v>85</v>
      </c>
      <c r="G8" s="17">
        <v>4.4000000000000004</v>
      </c>
      <c r="H8" s="18" t="s">
        <v>452</v>
      </c>
      <c r="I8" s="17"/>
      <c r="J8" s="16">
        <f>SUMIF(Policy_Levers!$B$2:$B$13,B8,Policy_Levers!$K$2:$K$13)</f>
        <v>0.1</v>
      </c>
      <c r="K8" s="16">
        <f t="shared" si="0"/>
        <v>0.1</v>
      </c>
      <c r="L8" s="18">
        <v>3</v>
      </c>
      <c r="M8" s="18">
        <f t="shared" si="1"/>
        <v>3.9600000000000004</v>
      </c>
      <c r="N8" s="18">
        <f t="shared" si="2"/>
        <v>0.43999999999999995</v>
      </c>
      <c r="O8" s="16">
        <f t="shared" si="3"/>
        <v>9.9999999999999978E-2</v>
      </c>
      <c r="P8" s="8">
        <f>Assumptions!$B$4</f>
        <v>2026</v>
      </c>
      <c r="Q8" s="8">
        <f>Assumptions!$B$5</f>
        <v>2030</v>
      </c>
      <c r="R8" s="8" t="str">
        <f>Assumptions!$B$12</f>
        <v>linear</v>
      </c>
      <c r="S8" s="8" t="s">
        <v>458</v>
      </c>
      <c r="T8" s="8" t="s">
        <v>378</v>
      </c>
      <c r="U8" s="8" t="str">
        <f t="shared" si="4"/>
        <v>OK</v>
      </c>
    </row>
    <row r="9" spans="1:21" ht="30" customHeight="1" x14ac:dyDescent="0.25">
      <c r="A9" s="8" t="s">
        <v>463</v>
      </c>
      <c r="B9" s="8" t="s">
        <v>235</v>
      </c>
      <c r="C9" s="8" t="s">
        <v>200</v>
      </c>
      <c r="D9" s="8" t="s">
        <v>236</v>
      </c>
      <c r="E9" s="8" t="s">
        <v>202</v>
      </c>
      <c r="F9" s="8" t="s">
        <v>85</v>
      </c>
      <c r="G9" s="17">
        <v>4.4000000000000004</v>
      </c>
      <c r="H9" s="18" t="s">
        <v>452</v>
      </c>
      <c r="I9" s="17"/>
      <c r="J9" s="16">
        <f>SUMIF(Policy_Levers!$B$2:$B$13,B9,Policy_Levers!$K$2:$K$13)</f>
        <v>0.05</v>
      </c>
      <c r="K9" s="16">
        <f t="shared" si="0"/>
        <v>0.05</v>
      </c>
      <c r="L9" s="18">
        <v>3</v>
      </c>
      <c r="M9" s="18">
        <f t="shared" si="1"/>
        <v>4.18</v>
      </c>
      <c r="N9" s="18">
        <f t="shared" si="2"/>
        <v>0.22000000000000064</v>
      </c>
      <c r="O9" s="16">
        <f t="shared" si="3"/>
        <v>5.0000000000000142E-2</v>
      </c>
      <c r="P9" s="8">
        <f>Assumptions!$B$4</f>
        <v>2026</v>
      </c>
      <c r="Q9" s="8">
        <f>Assumptions!$B$5</f>
        <v>2030</v>
      </c>
      <c r="R9" s="8" t="str">
        <f>Assumptions!$B$12</f>
        <v>linear</v>
      </c>
      <c r="S9" s="8" t="s">
        <v>458</v>
      </c>
      <c r="T9" s="8" t="s">
        <v>378</v>
      </c>
      <c r="U9" s="8" t="str">
        <f t="shared" si="4"/>
        <v>OK</v>
      </c>
    </row>
    <row r="10" spans="1:21" ht="30" customHeight="1" x14ac:dyDescent="0.25">
      <c r="A10" s="8" t="s">
        <v>464</v>
      </c>
      <c r="B10" s="8" t="s">
        <v>240</v>
      </c>
      <c r="C10" s="8" t="s">
        <v>200</v>
      </c>
      <c r="D10" s="8" t="s">
        <v>241</v>
      </c>
      <c r="E10" s="8" t="s">
        <v>202</v>
      </c>
      <c r="F10" s="8" t="s">
        <v>85</v>
      </c>
      <c r="G10" s="17">
        <v>4.4000000000000004</v>
      </c>
      <c r="H10" s="18" t="s">
        <v>452</v>
      </c>
      <c r="I10" s="17"/>
      <c r="J10" s="16">
        <f>SUMIF(Policy_Levers!$B$2:$B$13,B10,Policy_Levers!$K$2:$K$13)</f>
        <v>0</v>
      </c>
      <c r="K10" s="16">
        <f t="shared" si="0"/>
        <v>0</v>
      </c>
      <c r="L10" s="18">
        <v>3</v>
      </c>
      <c r="M10" s="18">
        <f t="shared" si="1"/>
        <v>4.4000000000000004</v>
      </c>
      <c r="N10" s="18">
        <f t="shared" si="2"/>
        <v>0</v>
      </c>
      <c r="O10" s="16">
        <f t="shared" si="3"/>
        <v>0</v>
      </c>
      <c r="P10" s="8">
        <f>Assumptions!$B$4</f>
        <v>2026</v>
      </c>
      <c r="Q10" s="8">
        <f>Assumptions!$B$5</f>
        <v>2030</v>
      </c>
      <c r="R10" s="8" t="str">
        <f>Assumptions!$B$12</f>
        <v>linear</v>
      </c>
      <c r="S10" s="8" t="s">
        <v>458</v>
      </c>
      <c r="T10" s="8" t="s">
        <v>378</v>
      </c>
      <c r="U10" s="8" t="str">
        <f t="shared" si="4"/>
        <v>OK</v>
      </c>
    </row>
    <row r="11" spans="1:21" ht="30" customHeight="1" x14ac:dyDescent="0.25">
      <c r="A11" s="8" t="s">
        <v>465</v>
      </c>
      <c r="B11" s="8" t="s">
        <v>246</v>
      </c>
      <c r="C11" s="8" t="s">
        <v>200</v>
      </c>
      <c r="D11" s="8" t="s">
        <v>247</v>
      </c>
      <c r="E11" s="8" t="s">
        <v>202</v>
      </c>
      <c r="F11" s="8" t="s">
        <v>85</v>
      </c>
      <c r="G11" s="17">
        <v>4.4000000000000004</v>
      </c>
      <c r="H11" s="18" t="s">
        <v>452</v>
      </c>
      <c r="I11" s="17"/>
      <c r="J11" s="16">
        <f>SUMIF(Policy_Levers!$B$2:$B$13,B11,Policy_Levers!$K$2:$K$13)</f>
        <v>3.5000000000000003E-2</v>
      </c>
      <c r="K11" s="16">
        <f t="shared" si="0"/>
        <v>3.5000000000000003E-2</v>
      </c>
      <c r="L11" s="18">
        <v>3</v>
      </c>
      <c r="M11" s="18">
        <f t="shared" si="1"/>
        <v>4.2460000000000004</v>
      </c>
      <c r="N11" s="18">
        <f t="shared" si="2"/>
        <v>0.15399999999999991</v>
      </c>
      <c r="O11" s="16">
        <f t="shared" si="3"/>
        <v>3.4999999999999976E-2</v>
      </c>
      <c r="P11" s="8">
        <f>Assumptions!$B$4</f>
        <v>2026</v>
      </c>
      <c r="Q11" s="8">
        <f>Assumptions!$B$5</f>
        <v>2030</v>
      </c>
      <c r="R11" s="8" t="str">
        <f>Assumptions!$B$12</f>
        <v>linear</v>
      </c>
      <c r="S11" s="8" t="s">
        <v>458</v>
      </c>
      <c r="T11" s="8" t="s">
        <v>378</v>
      </c>
      <c r="U11" s="8" t="str">
        <f t="shared" si="4"/>
        <v>OK</v>
      </c>
    </row>
    <row r="12" spans="1:21" ht="30" customHeight="1" x14ac:dyDescent="0.25">
      <c r="A12" s="8" t="s">
        <v>466</v>
      </c>
      <c r="B12" s="8" t="s">
        <v>248</v>
      </c>
      <c r="C12" s="8" t="s">
        <v>207</v>
      </c>
      <c r="D12" s="8" t="s">
        <v>249</v>
      </c>
      <c r="E12" s="8" t="s">
        <v>209</v>
      </c>
      <c r="F12" s="8" t="s">
        <v>210</v>
      </c>
      <c r="G12" s="17">
        <v>3.1699999999999999E-2</v>
      </c>
      <c r="H12" s="18" t="s">
        <v>452</v>
      </c>
      <c r="I12" s="17"/>
      <c r="J12" s="16">
        <f>SUMIF(Policy_Levers!$B$2:$B$13,B12,Policy_Levers!$K$2:$K$13)</f>
        <v>0.5</v>
      </c>
      <c r="K12" s="16">
        <f t="shared" si="0"/>
        <v>0.5</v>
      </c>
      <c r="L12" s="18">
        <v>0</v>
      </c>
      <c r="M12" s="18">
        <f t="shared" si="1"/>
        <v>1.585E-2</v>
      </c>
      <c r="N12" s="18">
        <f t="shared" si="2"/>
        <v>1.585E-2</v>
      </c>
      <c r="O12" s="16">
        <f t="shared" si="3"/>
        <v>0.5</v>
      </c>
      <c r="P12" s="8">
        <f>Assumptions!$B$4</f>
        <v>2026</v>
      </c>
      <c r="Q12" s="8">
        <f>Assumptions!$B$5</f>
        <v>2030</v>
      </c>
      <c r="R12" s="8" t="str">
        <f>Assumptions!$B$12</f>
        <v>linear</v>
      </c>
      <c r="S12" s="8" t="s">
        <v>467</v>
      </c>
      <c r="T12" s="8" t="s">
        <v>468</v>
      </c>
      <c r="U12" s="8" t="str">
        <f t="shared" si="4"/>
        <v>OK</v>
      </c>
    </row>
    <row r="13" spans="1:21" ht="30" customHeight="1" x14ac:dyDescent="0.25">
      <c r="A13" s="8" t="s">
        <v>469</v>
      </c>
      <c r="B13" s="8" t="s">
        <v>251</v>
      </c>
      <c r="C13" s="8" t="s">
        <v>216</v>
      </c>
      <c r="D13" s="8" t="s">
        <v>252</v>
      </c>
      <c r="E13" s="8" t="s">
        <v>218</v>
      </c>
      <c r="F13" s="8" t="s">
        <v>219</v>
      </c>
      <c r="G13" s="17">
        <v>0.114285714285714</v>
      </c>
      <c r="H13" s="18" t="s">
        <v>452</v>
      </c>
      <c r="I13" s="17"/>
      <c r="J13" s="16">
        <f>SUMIF(Policy_Levers!$B$2:$B$13,B13,Policy_Levers!$K$2:$K$13)</f>
        <v>0.17500000000000002</v>
      </c>
      <c r="K13" s="16">
        <f t="shared" si="0"/>
        <v>0.17500000000000002</v>
      </c>
      <c r="L13" s="18">
        <v>0</v>
      </c>
      <c r="M13" s="18">
        <f t="shared" si="1"/>
        <v>9.4285714285714042E-2</v>
      </c>
      <c r="N13" s="18">
        <f t="shared" si="2"/>
        <v>1.9999999999999962E-2</v>
      </c>
      <c r="O13" s="16">
        <f t="shared" si="3"/>
        <v>0.1750000000000001</v>
      </c>
      <c r="P13" s="8">
        <f>Assumptions!$B$4</f>
        <v>2026</v>
      </c>
      <c r="Q13" s="8">
        <f>Assumptions!$B$5</f>
        <v>2030</v>
      </c>
      <c r="R13" s="8" t="str">
        <f>Assumptions!$B$12</f>
        <v>linear</v>
      </c>
      <c r="S13" s="8" t="s">
        <v>470</v>
      </c>
      <c r="T13" s="8" t="s">
        <v>471</v>
      </c>
      <c r="U13" s="8" t="str">
        <f t="shared" si="4"/>
        <v>OK</v>
      </c>
    </row>
  </sheetData>
  <conditionalFormatting sqref="T2:U8">
    <cfRule type="containsText" dxfId="31" priority="2" operator="containsText" text="OK">
      <formula>NOT(ISERROR(SEARCH("OK",T2)))</formula>
    </cfRule>
    <cfRule type="containsText" dxfId="30" priority="3" operator="containsText" text="FAIL">
      <formula>NOT(ISERROR(SEARCH("FAIL",T2)))</formula>
    </cfRule>
    <cfRule type="containsText" dxfId="29" priority="4" operator="containsText" text="REVIEW">
      <formula>NOT(ISERROR(SEARCH("REVIEW",T2)))</formula>
    </cfRule>
  </conditionalFormatting>
  <dataValidations count="1">
    <dataValidation type="list" sqref="H2:H7" xr:uid="{00000000-0002-0000-0500-000000000000}">
      <formula1>"relative,absolute,target"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2"/>
  <sheetViews>
    <sheetView showGridLines="0" topLeftCell="A37" zoomScale="70" zoomScaleNormal="70" workbookViewId="0">
      <selection activeCell="S56" sqref="S56"/>
    </sheetView>
  </sheetViews>
  <sheetFormatPr defaultColWidth="11.5546875" defaultRowHeight="13.2" x14ac:dyDescent="0.25"/>
  <cols>
    <col min="1" max="1" width="16" customWidth="1"/>
    <col min="2" max="2" width="38" customWidth="1"/>
    <col min="3" max="5" width="16" customWidth="1"/>
    <col min="6" max="6" width="38" customWidth="1"/>
    <col min="7" max="7" width="16" customWidth="1"/>
    <col min="8" max="8" width="38" customWidth="1"/>
    <col min="9" max="9" width="16" customWidth="1"/>
    <col min="10" max="10" width="38" customWidth="1"/>
    <col min="11" max="13" width="16" customWidth="1"/>
    <col min="14" max="14" width="38" customWidth="1"/>
    <col min="15" max="17" width="16" customWidth="1"/>
    <col min="18" max="21" width="38" customWidth="1"/>
    <col min="22" max="23" width="16" customWidth="1"/>
  </cols>
  <sheetData>
    <row r="1" spans="1:23" ht="34.049999999999997" customHeight="1" x14ac:dyDescent="0.25">
      <c r="A1" s="7" t="s">
        <v>472</v>
      </c>
      <c r="B1" s="7" t="s">
        <v>254</v>
      </c>
      <c r="C1" s="7" t="s">
        <v>163</v>
      </c>
      <c r="D1" s="7" t="s">
        <v>167</v>
      </c>
      <c r="E1" s="7" t="s">
        <v>171</v>
      </c>
      <c r="F1" s="7" t="s">
        <v>473</v>
      </c>
      <c r="G1" s="7" t="s">
        <v>474</v>
      </c>
      <c r="H1" s="7" t="s">
        <v>475</v>
      </c>
      <c r="I1" s="7" t="s">
        <v>476</v>
      </c>
      <c r="J1" s="7" t="s">
        <v>477</v>
      </c>
      <c r="K1" s="7" t="s">
        <v>478</v>
      </c>
      <c r="L1" s="7" t="s">
        <v>479</v>
      </c>
      <c r="M1" s="7" t="s">
        <v>480</v>
      </c>
      <c r="N1" s="7" t="s">
        <v>481</v>
      </c>
      <c r="O1" s="7" t="s">
        <v>482</v>
      </c>
      <c r="P1" s="7" t="s">
        <v>259</v>
      </c>
      <c r="Q1" s="7" t="s">
        <v>260</v>
      </c>
      <c r="R1" s="7" t="s">
        <v>483</v>
      </c>
      <c r="S1" s="7" t="s">
        <v>484</v>
      </c>
      <c r="T1" s="7" t="s">
        <v>358</v>
      </c>
      <c r="U1" s="7" t="s">
        <v>263</v>
      </c>
      <c r="V1" s="7" t="s">
        <v>485</v>
      </c>
      <c r="W1" s="7" t="s">
        <v>359</v>
      </c>
    </row>
    <row r="2" spans="1:23" ht="30" customHeight="1" x14ac:dyDescent="0.25">
      <c r="A2" s="8" t="s">
        <v>486</v>
      </c>
      <c r="B2" s="8" t="s">
        <v>265</v>
      </c>
      <c r="C2" s="8" t="s">
        <v>176</v>
      </c>
      <c r="D2" s="8" t="s">
        <v>180</v>
      </c>
      <c r="E2" s="8" t="s">
        <v>194</v>
      </c>
      <c r="F2" s="8" t="s">
        <v>487</v>
      </c>
      <c r="G2" s="8" t="s">
        <v>488</v>
      </c>
      <c r="H2" s="8" t="s">
        <v>489</v>
      </c>
      <c r="I2" s="18">
        <f>INDEX(Risk_Response!$L$2:$L$63,MATCH(G2,Risk_Response!$A$2:$A$63,0))</f>
        <v>1.6</v>
      </c>
      <c r="J2" s="18" t="s">
        <v>490</v>
      </c>
      <c r="K2" s="18"/>
      <c r="L2" s="18">
        <v>0</v>
      </c>
      <c r="M2" s="18"/>
      <c r="N2" s="18" t="s">
        <v>134</v>
      </c>
      <c r="O2" s="18">
        <f>SUMIF(Assumptions!$A$2:$A$37,"tobacco_cvd_lag_rate",Assumptions!$B$2:$B$37)</f>
        <v>6.1600000000000002E-2</v>
      </c>
      <c r="P2" s="8" t="s">
        <v>268</v>
      </c>
      <c r="Q2" s="8" t="s">
        <v>269</v>
      </c>
      <c r="R2" s="8" t="s">
        <v>491</v>
      </c>
      <c r="S2" s="8" t="s">
        <v>492</v>
      </c>
      <c r="T2" s="8" t="s">
        <v>378</v>
      </c>
      <c r="U2" s="8" t="s">
        <v>493</v>
      </c>
      <c r="V2" s="8">
        <f>COUNTIF(Intervention_Cause_Map!$A$2:$A$62,B2)</f>
        <v>1</v>
      </c>
      <c r="W2" s="8" t="str">
        <f t="shared" ref="W2:W33" si="0">IF(V2&lt;&gt;1,"MAP ERROR",IF(NOT(OR(AND(P2="well",Q2="sick"),AND(P2="sick",Q2="dead"))),"REVIEW TRANSITION",IF(AND(L2=1,OR(ISBLANK(K2),K2&lt;0,K2&gt;1)),"MISSING PAF",IF(R2="","MISSING SOURCE",IF(OR(T2="Ready",T2=""),"OK","REVIEW")))))</f>
        <v>OK</v>
      </c>
    </row>
    <row r="3" spans="1:23" ht="30" customHeight="1" x14ac:dyDescent="0.25">
      <c r="A3" s="8" t="s">
        <v>494</v>
      </c>
      <c r="B3" s="8" t="s">
        <v>271</v>
      </c>
      <c r="C3" s="8" t="s">
        <v>176</v>
      </c>
      <c r="D3" s="8" t="s">
        <v>180</v>
      </c>
      <c r="E3" s="8" t="s">
        <v>203</v>
      </c>
      <c r="F3" s="8" t="s">
        <v>487</v>
      </c>
      <c r="G3" s="8" t="s">
        <v>495</v>
      </c>
      <c r="H3" s="8" t="s">
        <v>489</v>
      </c>
      <c r="I3" s="18">
        <f>INDEX(Risk_Response!$L$2:$L$63,MATCH(G3,Risk_Response!$A$2:$A$63,0))</f>
        <v>1.38</v>
      </c>
      <c r="J3" s="18" t="s">
        <v>490</v>
      </c>
      <c r="K3" s="18"/>
      <c r="L3" s="18">
        <v>0</v>
      </c>
      <c r="M3" s="18"/>
      <c r="N3" s="18" t="s">
        <v>134</v>
      </c>
      <c r="O3" s="18">
        <f>SUMIF(Assumptions!$A$2:$A$37,"tobacco_cvd_lag_rate",Assumptions!$B$2:$B$37)</f>
        <v>6.1600000000000002E-2</v>
      </c>
      <c r="P3" s="8" t="s">
        <v>268</v>
      </c>
      <c r="Q3" s="8" t="s">
        <v>269</v>
      </c>
      <c r="R3" s="8" t="s">
        <v>491</v>
      </c>
      <c r="S3" s="8" t="s">
        <v>492</v>
      </c>
      <c r="T3" s="8" t="s">
        <v>378</v>
      </c>
      <c r="U3" s="8" t="s">
        <v>493</v>
      </c>
      <c r="V3" s="8">
        <f>COUNTIF(Intervention_Cause_Map!$A$2:$A$62,B3)</f>
        <v>1</v>
      </c>
      <c r="W3" s="8" t="str">
        <f t="shared" si="0"/>
        <v>OK</v>
      </c>
    </row>
    <row r="4" spans="1:23" ht="30" customHeight="1" x14ac:dyDescent="0.25">
      <c r="A4" s="8" t="s">
        <v>496</v>
      </c>
      <c r="B4" s="8" t="s">
        <v>272</v>
      </c>
      <c r="C4" s="8" t="s">
        <v>176</v>
      </c>
      <c r="D4" s="8" t="s">
        <v>180</v>
      </c>
      <c r="E4" s="8" t="s">
        <v>211</v>
      </c>
      <c r="F4" s="8" t="s">
        <v>487</v>
      </c>
      <c r="G4" s="8" t="s">
        <v>497</v>
      </c>
      <c r="H4" s="8" t="s">
        <v>489</v>
      </c>
      <c r="I4" s="18">
        <f>INDEX(Risk_Response!$L$2:$L$63,MATCH(G4,Risk_Response!$A$2:$A$63,0))</f>
        <v>1.19</v>
      </c>
      <c r="J4" s="18" t="s">
        <v>490</v>
      </c>
      <c r="K4" s="18"/>
      <c r="L4" s="18">
        <v>0</v>
      </c>
      <c r="M4" s="18"/>
      <c r="N4" s="18" t="s">
        <v>134</v>
      </c>
      <c r="O4" s="18">
        <f>SUMIF(Assumptions!$A$2:$A$37,"tobacco_cvd_lag_rate",Assumptions!$B$2:$B$37)</f>
        <v>6.1600000000000002E-2</v>
      </c>
      <c r="P4" s="8" t="s">
        <v>268</v>
      </c>
      <c r="Q4" s="8" t="s">
        <v>269</v>
      </c>
      <c r="R4" s="8" t="s">
        <v>491</v>
      </c>
      <c r="S4" s="8" t="s">
        <v>492</v>
      </c>
      <c r="T4" s="8" t="s">
        <v>378</v>
      </c>
      <c r="U4" s="8" t="s">
        <v>493</v>
      </c>
      <c r="V4" s="8">
        <f>COUNTIF(Intervention_Cause_Map!$A$2:$A$62,B4)</f>
        <v>1</v>
      </c>
      <c r="W4" s="8" t="str">
        <f t="shared" si="0"/>
        <v>OK</v>
      </c>
    </row>
    <row r="5" spans="1:23" ht="30" customHeight="1" x14ac:dyDescent="0.25">
      <c r="A5" s="8" t="s">
        <v>498</v>
      </c>
      <c r="B5" s="8" t="s">
        <v>273</v>
      </c>
      <c r="C5" s="8" t="s">
        <v>176</v>
      </c>
      <c r="D5" s="8" t="s">
        <v>180</v>
      </c>
      <c r="E5" s="8" t="s">
        <v>232</v>
      </c>
      <c r="F5" s="8" t="s">
        <v>487</v>
      </c>
      <c r="G5" s="8" t="s">
        <v>499</v>
      </c>
      <c r="H5" s="8" t="s">
        <v>489</v>
      </c>
      <c r="I5" s="18">
        <f>INDEX(Risk_Response!$L$2:$L$63,MATCH(G5,Risk_Response!$A$2:$A$63,0))</f>
        <v>1.37</v>
      </c>
      <c r="J5" s="18" t="s">
        <v>490</v>
      </c>
      <c r="K5" s="18"/>
      <c r="L5" s="18">
        <v>0</v>
      </c>
      <c r="M5" s="18"/>
      <c r="N5" s="18" t="s">
        <v>500</v>
      </c>
      <c r="O5" s="18">
        <f>Risk_Response!$L$12</f>
        <v>6.1514456812961193E-2</v>
      </c>
      <c r="P5" s="8" t="s">
        <v>268</v>
      </c>
      <c r="Q5" s="8" t="s">
        <v>269</v>
      </c>
      <c r="R5" s="8" t="s">
        <v>501</v>
      </c>
      <c r="S5" s="8" t="s">
        <v>502</v>
      </c>
      <c r="T5" s="8" t="s">
        <v>378</v>
      </c>
      <c r="U5" s="8" t="s">
        <v>503</v>
      </c>
      <c r="V5" s="8">
        <f>COUNTIF(Intervention_Cause_Map!$A$2:$A$62,B5)</f>
        <v>1</v>
      </c>
      <c r="W5" s="8" t="str">
        <f t="shared" si="0"/>
        <v>OK</v>
      </c>
    </row>
    <row r="6" spans="1:23" ht="30" customHeight="1" x14ac:dyDescent="0.25">
      <c r="A6" s="8" t="s">
        <v>504</v>
      </c>
      <c r="B6" s="8" t="s">
        <v>274</v>
      </c>
      <c r="C6" s="8" t="s">
        <v>186</v>
      </c>
      <c r="D6" s="8" t="s">
        <v>190</v>
      </c>
      <c r="E6" s="8" t="s">
        <v>194</v>
      </c>
      <c r="F6" s="8" t="s">
        <v>505</v>
      </c>
      <c r="G6" s="8" t="s">
        <v>506</v>
      </c>
      <c r="H6" s="8" t="s">
        <v>507</v>
      </c>
      <c r="I6" s="18">
        <f>INDEX(Risk_Response!$L$2:$L$63,MATCH(G6,Risk_Response!$A$2:$A$63,0))</f>
        <v>1.0088803849749666</v>
      </c>
      <c r="J6" s="18" t="s">
        <v>490</v>
      </c>
      <c r="K6" s="18"/>
      <c r="L6" s="18">
        <v>0</v>
      </c>
      <c r="M6" s="18"/>
      <c r="N6" s="18" t="s">
        <v>508</v>
      </c>
      <c r="O6" s="18">
        <v>1</v>
      </c>
      <c r="P6" s="8" t="s">
        <v>268</v>
      </c>
      <c r="Q6" s="8" t="s">
        <v>269</v>
      </c>
      <c r="R6" s="8" t="s">
        <v>509</v>
      </c>
      <c r="S6" s="8" t="s">
        <v>510</v>
      </c>
      <c r="T6" s="8" t="s">
        <v>378</v>
      </c>
      <c r="U6" s="8" t="s">
        <v>503</v>
      </c>
      <c r="V6" s="8">
        <f>COUNTIF(Intervention_Cause_Map!$A$2:$A$62,B6)</f>
        <v>1</v>
      </c>
      <c r="W6" s="8" t="str">
        <f t="shared" si="0"/>
        <v>OK</v>
      </c>
    </row>
    <row r="7" spans="1:23" ht="30" customHeight="1" x14ac:dyDescent="0.25">
      <c r="A7" s="8" t="s">
        <v>511</v>
      </c>
      <c r="B7" s="8" t="s">
        <v>276</v>
      </c>
      <c r="C7" s="8" t="s">
        <v>186</v>
      </c>
      <c r="D7" s="8" t="s">
        <v>190</v>
      </c>
      <c r="E7" s="8" t="s">
        <v>203</v>
      </c>
      <c r="F7" s="8" t="s">
        <v>505</v>
      </c>
      <c r="G7" s="8" t="s">
        <v>512</v>
      </c>
      <c r="H7" s="8" t="s">
        <v>507</v>
      </c>
      <c r="I7" s="18">
        <f>INDEX(Risk_Response!$L$2:$L$63,MATCH(G7,Risk_Response!$A$2:$A$63,0))</f>
        <v>1.020079962718877</v>
      </c>
      <c r="J7" s="18" t="s">
        <v>490</v>
      </c>
      <c r="K7" s="18"/>
      <c r="L7" s="18">
        <v>0</v>
      </c>
      <c r="M7" s="18"/>
      <c r="N7" s="18" t="s">
        <v>508</v>
      </c>
      <c r="O7" s="18">
        <v>1</v>
      </c>
      <c r="P7" s="8" t="s">
        <v>268</v>
      </c>
      <c r="Q7" s="8" t="s">
        <v>269</v>
      </c>
      <c r="R7" s="8" t="s">
        <v>509</v>
      </c>
      <c r="S7" s="8" t="s">
        <v>510</v>
      </c>
      <c r="T7" s="8" t="s">
        <v>378</v>
      </c>
      <c r="U7" s="8" t="s">
        <v>503</v>
      </c>
      <c r="V7" s="8">
        <f>COUNTIF(Intervention_Cause_Map!$A$2:$A$62,B7)</f>
        <v>1</v>
      </c>
      <c r="W7" s="8" t="str">
        <f t="shared" si="0"/>
        <v>OK</v>
      </c>
    </row>
    <row r="8" spans="1:23" ht="30" customHeight="1" x14ac:dyDescent="0.25">
      <c r="A8" s="8" t="s">
        <v>513</v>
      </c>
      <c r="B8" s="8" t="s">
        <v>277</v>
      </c>
      <c r="C8" s="8" t="s">
        <v>186</v>
      </c>
      <c r="D8" s="8" t="s">
        <v>190</v>
      </c>
      <c r="E8" s="8" t="s">
        <v>211</v>
      </c>
      <c r="F8" s="8" t="s">
        <v>505</v>
      </c>
      <c r="G8" s="8" t="s">
        <v>514</v>
      </c>
      <c r="H8" s="8" t="s">
        <v>507</v>
      </c>
      <c r="I8" s="18">
        <f>INDEX(Risk_Response!$L$2:$L$63,MATCH(G8,Risk_Response!$A$2:$A$63,0))</f>
        <v>1.020079962718877</v>
      </c>
      <c r="J8" s="18" t="s">
        <v>490</v>
      </c>
      <c r="K8" s="18"/>
      <c r="L8" s="18">
        <v>0</v>
      </c>
      <c r="M8" s="18"/>
      <c r="N8" s="18" t="s">
        <v>508</v>
      </c>
      <c r="O8" s="18">
        <v>1</v>
      </c>
      <c r="P8" s="8" t="s">
        <v>268</v>
      </c>
      <c r="Q8" s="8" t="s">
        <v>269</v>
      </c>
      <c r="R8" s="8" t="s">
        <v>509</v>
      </c>
      <c r="S8" s="8" t="s">
        <v>510</v>
      </c>
      <c r="T8" s="8" t="s">
        <v>378</v>
      </c>
      <c r="U8" s="8" t="s">
        <v>503</v>
      </c>
      <c r="V8" s="8">
        <f>COUNTIF(Intervention_Cause_Map!$A$2:$A$62,B8)</f>
        <v>1</v>
      </c>
      <c r="W8" s="8" t="str">
        <f t="shared" si="0"/>
        <v>OK</v>
      </c>
    </row>
    <row r="9" spans="1:23" ht="30" customHeight="1" x14ac:dyDescent="0.25">
      <c r="A9" s="8" t="s">
        <v>515</v>
      </c>
      <c r="B9" s="8" t="s">
        <v>278</v>
      </c>
      <c r="C9" s="8" t="s">
        <v>186</v>
      </c>
      <c r="D9" s="8" t="s">
        <v>190</v>
      </c>
      <c r="E9" s="8" t="s">
        <v>220</v>
      </c>
      <c r="F9" s="8" t="s">
        <v>505</v>
      </c>
      <c r="G9" s="8" t="s">
        <v>516</v>
      </c>
      <c r="H9" s="8" t="s">
        <v>507</v>
      </c>
      <c r="I9" s="18">
        <f>INDEX(Risk_Response!$L$2:$L$63,MATCH(G9,Risk_Response!$A$2:$A$63,0))</f>
        <v>1.0331775104357432</v>
      </c>
      <c r="J9" s="18" t="s">
        <v>490</v>
      </c>
      <c r="K9" s="18"/>
      <c r="L9" s="18">
        <v>0</v>
      </c>
      <c r="M9" s="18"/>
      <c r="N9" s="18" t="s">
        <v>508</v>
      </c>
      <c r="O9" s="18">
        <v>1</v>
      </c>
      <c r="P9" s="8" t="s">
        <v>268</v>
      </c>
      <c r="Q9" s="8" t="s">
        <v>269</v>
      </c>
      <c r="R9" s="8" t="s">
        <v>509</v>
      </c>
      <c r="S9" s="8" t="s">
        <v>510</v>
      </c>
      <c r="T9" s="8" t="s">
        <v>378</v>
      </c>
      <c r="U9" s="8" t="s">
        <v>503</v>
      </c>
      <c r="V9" s="8">
        <f>COUNTIF(Intervention_Cause_Map!$A$2:$A$62,B9)</f>
        <v>1</v>
      </c>
      <c r="W9" s="8" t="str">
        <f t="shared" si="0"/>
        <v>OK</v>
      </c>
    </row>
    <row r="10" spans="1:23" ht="30" customHeight="1" x14ac:dyDescent="0.25">
      <c r="A10" s="8" t="s">
        <v>517</v>
      </c>
      <c r="B10" s="8" t="s">
        <v>279</v>
      </c>
      <c r="C10" s="8" t="s">
        <v>186</v>
      </c>
      <c r="D10" s="8" t="s">
        <v>190</v>
      </c>
      <c r="E10" s="8" t="s">
        <v>225</v>
      </c>
      <c r="F10" s="8" t="s">
        <v>505</v>
      </c>
      <c r="G10" s="8" t="s">
        <v>518</v>
      </c>
      <c r="H10" s="8" t="s">
        <v>507</v>
      </c>
      <c r="I10" s="18">
        <f>INDEX(Risk_Response!$L$2:$L$63,MATCH(G10,Risk_Response!$A$2:$A$63,0))</f>
        <v>1.0131616703515811</v>
      </c>
      <c r="J10" s="18" t="s">
        <v>490</v>
      </c>
      <c r="K10" s="18"/>
      <c r="L10" s="18">
        <v>0</v>
      </c>
      <c r="M10" s="18"/>
      <c r="N10" s="18" t="s">
        <v>508</v>
      </c>
      <c r="O10" s="18">
        <v>1</v>
      </c>
      <c r="P10" s="8" t="s">
        <v>268</v>
      </c>
      <c r="Q10" s="8" t="s">
        <v>269</v>
      </c>
      <c r="R10" s="8" t="s">
        <v>509</v>
      </c>
      <c r="S10" s="8" t="s">
        <v>510</v>
      </c>
      <c r="T10" s="8" t="s">
        <v>378</v>
      </c>
      <c r="U10" s="8" t="s">
        <v>503</v>
      </c>
      <c r="V10" s="8">
        <f>COUNTIF(Intervention_Cause_Map!$A$2:$A$62,B10)</f>
        <v>1</v>
      </c>
      <c r="W10" s="8" t="str">
        <f t="shared" si="0"/>
        <v>OK</v>
      </c>
    </row>
    <row r="11" spans="1:23" ht="30" customHeight="1" x14ac:dyDescent="0.25">
      <c r="A11" s="8" t="s">
        <v>519</v>
      </c>
      <c r="B11" s="8" t="s">
        <v>280</v>
      </c>
      <c r="C11" s="8" t="s">
        <v>197</v>
      </c>
      <c r="D11" s="8" t="s">
        <v>180</v>
      </c>
      <c r="E11" s="8" t="s">
        <v>194</v>
      </c>
      <c r="F11" s="8" t="s">
        <v>487</v>
      </c>
      <c r="G11" s="8" t="s">
        <v>488</v>
      </c>
      <c r="H11" s="8" t="s">
        <v>489</v>
      </c>
      <c r="I11" s="18">
        <f>INDEX(Risk_Response!$L$2:$L$63,MATCH(G11,Risk_Response!$A$2:$A$63,0))</f>
        <v>1.6</v>
      </c>
      <c r="J11" s="18" t="s">
        <v>490</v>
      </c>
      <c r="K11" s="18"/>
      <c r="L11" s="18">
        <v>0</v>
      </c>
      <c r="M11" s="18"/>
      <c r="N11" s="18" t="s">
        <v>134</v>
      </c>
      <c r="O11" s="18">
        <f>SUMIF(Assumptions!$A$2:$A$37,"tobacco_cvd_lag_rate",Assumptions!$B$2:$B$37)</f>
        <v>6.1600000000000002E-2</v>
      </c>
      <c r="P11" s="8" t="s">
        <v>268</v>
      </c>
      <c r="Q11" s="8" t="s">
        <v>269</v>
      </c>
      <c r="R11" s="8" t="s">
        <v>491</v>
      </c>
      <c r="S11" s="8" t="s">
        <v>492</v>
      </c>
      <c r="T11" s="8" t="s">
        <v>378</v>
      </c>
      <c r="U11" s="8" t="s">
        <v>493</v>
      </c>
      <c r="V11" s="8">
        <f>COUNTIF(Intervention_Cause_Map!$A$2:$A$62,B11)</f>
        <v>1</v>
      </c>
      <c r="W11" s="8" t="str">
        <f t="shared" si="0"/>
        <v>OK</v>
      </c>
    </row>
    <row r="12" spans="1:23" ht="30" customHeight="1" x14ac:dyDescent="0.25">
      <c r="A12" s="8" t="s">
        <v>520</v>
      </c>
      <c r="B12" s="8" t="s">
        <v>283</v>
      </c>
      <c r="C12" s="8" t="s">
        <v>197</v>
      </c>
      <c r="D12" s="8" t="s">
        <v>180</v>
      </c>
      <c r="E12" s="8" t="s">
        <v>203</v>
      </c>
      <c r="F12" s="8" t="s">
        <v>487</v>
      </c>
      <c r="G12" s="8" t="s">
        <v>495</v>
      </c>
      <c r="H12" s="8" t="s">
        <v>489</v>
      </c>
      <c r="I12" s="18">
        <f>INDEX(Risk_Response!$L$2:$L$63,MATCH(G12,Risk_Response!$A$2:$A$63,0))</f>
        <v>1.38</v>
      </c>
      <c r="J12" s="18" t="s">
        <v>490</v>
      </c>
      <c r="K12" s="18"/>
      <c r="L12" s="18">
        <v>0</v>
      </c>
      <c r="M12" s="18"/>
      <c r="N12" s="18" t="s">
        <v>134</v>
      </c>
      <c r="O12" s="18">
        <f>SUMIF(Assumptions!$A$2:$A$37,"tobacco_cvd_lag_rate",Assumptions!$B$2:$B$37)</f>
        <v>6.1600000000000002E-2</v>
      </c>
      <c r="P12" s="8" t="s">
        <v>268</v>
      </c>
      <c r="Q12" s="8" t="s">
        <v>269</v>
      </c>
      <c r="R12" s="8" t="s">
        <v>491</v>
      </c>
      <c r="S12" s="8" t="s">
        <v>492</v>
      </c>
      <c r="T12" s="8" t="s">
        <v>378</v>
      </c>
      <c r="U12" s="8" t="s">
        <v>493</v>
      </c>
      <c r="V12" s="8">
        <f>COUNTIF(Intervention_Cause_Map!$A$2:$A$62,B12)</f>
        <v>1</v>
      </c>
      <c r="W12" s="8" t="str">
        <f t="shared" si="0"/>
        <v>OK</v>
      </c>
    </row>
    <row r="13" spans="1:23" ht="30" customHeight="1" x14ac:dyDescent="0.25">
      <c r="A13" s="8" t="s">
        <v>521</v>
      </c>
      <c r="B13" s="8" t="s">
        <v>284</v>
      </c>
      <c r="C13" s="8" t="s">
        <v>197</v>
      </c>
      <c r="D13" s="8" t="s">
        <v>180</v>
      </c>
      <c r="E13" s="8" t="s">
        <v>211</v>
      </c>
      <c r="F13" s="8" t="s">
        <v>487</v>
      </c>
      <c r="G13" s="8" t="s">
        <v>497</v>
      </c>
      <c r="H13" s="8" t="s">
        <v>489</v>
      </c>
      <c r="I13" s="18">
        <f>INDEX(Risk_Response!$L$2:$L$63,MATCH(G13,Risk_Response!$A$2:$A$63,0))</f>
        <v>1.19</v>
      </c>
      <c r="J13" s="18" t="s">
        <v>490</v>
      </c>
      <c r="K13" s="18"/>
      <c r="L13" s="18">
        <v>0</v>
      </c>
      <c r="M13" s="18"/>
      <c r="N13" s="18" t="s">
        <v>134</v>
      </c>
      <c r="O13" s="18">
        <f>SUMIF(Assumptions!$A$2:$A$37,"tobacco_cvd_lag_rate",Assumptions!$B$2:$B$37)</f>
        <v>6.1600000000000002E-2</v>
      </c>
      <c r="P13" s="8" t="s">
        <v>268</v>
      </c>
      <c r="Q13" s="8" t="s">
        <v>269</v>
      </c>
      <c r="R13" s="8" t="s">
        <v>491</v>
      </c>
      <c r="S13" s="8" t="s">
        <v>492</v>
      </c>
      <c r="T13" s="8" t="s">
        <v>378</v>
      </c>
      <c r="U13" s="8" t="s">
        <v>493</v>
      </c>
      <c r="V13" s="8">
        <f>COUNTIF(Intervention_Cause_Map!$A$2:$A$62,B13)</f>
        <v>1</v>
      </c>
      <c r="W13" s="8" t="str">
        <f t="shared" si="0"/>
        <v>OK</v>
      </c>
    </row>
    <row r="14" spans="1:23" ht="30" customHeight="1" x14ac:dyDescent="0.25">
      <c r="A14" s="8" t="s">
        <v>522</v>
      </c>
      <c r="B14" s="8" t="s">
        <v>285</v>
      </c>
      <c r="C14" s="8" t="s">
        <v>197</v>
      </c>
      <c r="D14" s="8" t="s">
        <v>180</v>
      </c>
      <c r="E14" s="8" t="s">
        <v>232</v>
      </c>
      <c r="F14" s="8" t="s">
        <v>487</v>
      </c>
      <c r="G14" s="8" t="s">
        <v>499</v>
      </c>
      <c r="H14" s="8" t="s">
        <v>489</v>
      </c>
      <c r="I14" s="18">
        <f>INDEX(Risk_Response!$L$2:$L$63,MATCH(G14,Risk_Response!$A$2:$A$63,0))</f>
        <v>1.37</v>
      </c>
      <c r="J14" s="18" t="s">
        <v>490</v>
      </c>
      <c r="K14" s="18"/>
      <c r="L14" s="18">
        <v>0</v>
      </c>
      <c r="M14" s="18"/>
      <c r="N14" s="18" t="s">
        <v>500</v>
      </c>
      <c r="O14" s="18">
        <f>Risk_Response!$L$12</f>
        <v>6.1514456812961193E-2</v>
      </c>
      <c r="P14" s="8" t="s">
        <v>268</v>
      </c>
      <c r="Q14" s="8" t="s">
        <v>269</v>
      </c>
      <c r="R14" s="8" t="s">
        <v>501</v>
      </c>
      <c r="S14" s="8" t="s">
        <v>502</v>
      </c>
      <c r="T14" s="8" t="s">
        <v>378</v>
      </c>
      <c r="U14" s="8" t="s">
        <v>503</v>
      </c>
      <c r="V14" s="8">
        <f>COUNTIF(Intervention_Cause_Map!$A$2:$A$62,B14)</f>
        <v>1</v>
      </c>
      <c r="W14" s="8" t="str">
        <f t="shared" si="0"/>
        <v>OK</v>
      </c>
    </row>
    <row r="15" spans="1:23" ht="30" customHeight="1" x14ac:dyDescent="0.25">
      <c r="A15" s="8" t="s">
        <v>523</v>
      </c>
      <c r="B15" s="8" t="s">
        <v>286</v>
      </c>
      <c r="C15" s="8" t="s">
        <v>205</v>
      </c>
      <c r="D15" s="8" t="s">
        <v>180</v>
      </c>
      <c r="E15" s="8" t="s">
        <v>194</v>
      </c>
      <c r="F15" s="8" t="s">
        <v>487</v>
      </c>
      <c r="G15" s="8" t="s">
        <v>488</v>
      </c>
      <c r="H15" s="8" t="s">
        <v>489</v>
      </c>
      <c r="I15" s="18">
        <f>INDEX(Risk_Response!$L$2:$L$63,MATCH(G15,Risk_Response!$A$2:$A$63,0))</f>
        <v>1.6</v>
      </c>
      <c r="J15" s="18" t="s">
        <v>490</v>
      </c>
      <c r="K15" s="18"/>
      <c r="L15" s="18">
        <v>0</v>
      </c>
      <c r="M15" s="18"/>
      <c r="N15" s="18" t="s">
        <v>134</v>
      </c>
      <c r="O15" s="18">
        <f>SUMIF(Assumptions!$A$2:$A$37,"tobacco_cvd_lag_rate",Assumptions!$B$2:$B$37)</f>
        <v>6.1600000000000002E-2</v>
      </c>
      <c r="P15" s="8" t="s">
        <v>268</v>
      </c>
      <c r="Q15" s="8" t="s">
        <v>269</v>
      </c>
      <c r="R15" s="8" t="s">
        <v>491</v>
      </c>
      <c r="S15" s="8" t="s">
        <v>492</v>
      </c>
      <c r="T15" s="8" t="s">
        <v>378</v>
      </c>
      <c r="U15" s="8" t="s">
        <v>493</v>
      </c>
      <c r="V15" s="8">
        <f>COUNTIF(Intervention_Cause_Map!$A$2:$A$62,B15)</f>
        <v>1</v>
      </c>
      <c r="W15" s="8" t="str">
        <f t="shared" si="0"/>
        <v>OK</v>
      </c>
    </row>
    <row r="16" spans="1:23" ht="30" customHeight="1" x14ac:dyDescent="0.25">
      <c r="A16" s="8" t="s">
        <v>524</v>
      </c>
      <c r="B16" s="8" t="s">
        <v>288</v>
      </c>
      <c r="C16" s="8" t="s">
        <v>205</v>
      </c>
      <c r="D16" s="8" t="s">
        <v>180</v>
      </c>
      <c r="E16" s="8" t="s">
        <v>203</v>
      </c>
      <c r="F16" s="8" t="s">
        <v>487</v>
      </c>
      <c r="G16" s="8" t="s">
        <v>495</v>
      </c>
      <c r="H16" s="8" t="s">
        <v>489</v>
      </c>
      <c r="I16" s="18">
        <f>INDEX(Risk_Response!$L$2:$L$63,MATCH(G16,Risk_Response!$A$2:$A$63,0))</f>
        <v>1.38</v>
      </c>
      <c r="J16" s="18" t="s">
        <v>490</v>
      </c>
      <c r="K16" s="18"/>
      <c r="L16" s="18">
        <v>0</v>
      </c>
      <c r="M16" s="18"/>
      <c r="N16" s="18" t="s">
        <v>134</v>
      </c>
      <c r="O16" s="18">
        <f>SUMIF(Assumptions!$A$2:$A$37,"tobacco_cvd_lag_rate",Assumptions!$B$2:$B$37)</f>
        <v>6.1600000000000002E-2</v>
      </c>
      <c r="P16" s="8" t="s">
        <v>268</v>
      </c>
      <c r="Q16" s="8" t="s">
        <v>269</v>
      </c>
      <c r="R16" s="8" t="s">
        <v>491</v>
      </c>
      <c r="S16" s="8" t="s">
        <v>492</v>
      </c>
      <c r="T16" s="8" t="s">
        <v>378</v>
      </c>
      <c r="U16" s="8" t="s">
        <v>493</v>
      </c>
      <c r="V16" s="8">
        <f>COUNTIF(Intervention_Cause_Map!$A$2:$A$62,B16)</f>
        <v>1</v>
      </c>
      <c r="W16" s="8" t="str">
        <f t="shared" si="0"/>
        <v>OK</v>
      </c>
    </row>
    <row r="17" spans="1:23" ht="30" customHeight="1" x14ac:dyDescent="0.25">
      <c r="A17" s="8" t="s">
        <v>525</v>
      </c>
      <c r="B17" s="8" t="s">
        <v>289</v>
      </c>
      <c r="C17" s="8" t="s">
        <v>205</v>
      </c>
      <c r="D17" s="8" t="s">
        <v>180</v>
      </c>
      <c r="E17" s="8" t="s">
        <v>211</v>
      </c>
      <c r="F17" s="8" t="s">
        <v>487</v>
      </c>
      <c r="G17" s="8" t="s">
        <v>497</v>
      </c>
      <c r="H17" s="8" t="s">
        <v>489</v>
      </c>
      <c r="I17" s="18">
        <f>INDEX(Risk_Response!$L$2:$L$63,MATCH(G17,Risk_Response!$A$2:$A$63,0))</f>
        <v>1.19</v>
      </c>
      <c r="J17" s="18" t="s">
        <v>490</v>
      </c>
      <c r="K17" s="18"/>
      <c r="L17" s="18">
        <v>0</v>
      </c>
      <c r="M17" s="18"/>
      <c r="N17" s="18" t="s">
        <v>134</v>
      </c>
      <c r="O17" s="18">
        <f>SUMIF(Assumptions!$A$2:$A$37,"tobacco_cvd_lag_rate",Assumptions!$B$2:$B$37)</f>
        <v>6.1600000000000002E-2</v>
      </c>
      <c r="P17" s="8" t="s">
        <v>268</v>
      </c>
      <c r="Q17" s="8" t="s">
        <v>269</v>
      </c>
      <c r="R17" s="8" t="s">
        <v>491</v>
      </c>
      <c r="S17" s="8" t="s">
        <v>492</v>
      </c>
      <c r="T17" s="8" t="s">
        <v>378</v>
      </c>
      <c r="U17" s="8" t="s">
        <v>493</v>
      </c>
      <c r="V17" s="8">
        <f>COUNTIF(Intervention_Cause_Map!$A$2:$A$62,B17)</f>
        <v>1</v>
      </c>
      <c r="W17" s="8" t="str">
        <f t="shared" si="0"/>
        <v>OK</v>
      </c>
    </row>
    <row r="18" spans="1:23" ht="30" customHeight="1" x14ac:dyDescent="0.25">
      <c r="A18" s="8" t="s">
        <v>526</v>
      </c>
      <c r="B18" s="8" t="s">
        <v>290</v>
      </c>
      <c r="C18" s="8" t="s">
        <v>205</v>
      </c>
      <c r="D18" s="8" t="s">
        <v>180</v>
      </c>
      <c r="E18" s="8" t="s">
        <v>232</v>
      </c>
      <c r="F18" s="8" t="s">
        <v>487</v>
      </c>
      <c r="G18" s="8" t="s">
        <v>499</v>
      </c>
      <c r="H18" s="8" t="s">
        <v>489</v>
      </c>
      <c r="I18" s="18">
        <f>INDEX(Risk_Response!$L$2:$L$63,MATCH(G18,Risk_Response!$A$2:$A$63,0))</f>
        <v>1.37</v>
      </c>
      <c r="J18" s="18" t="s">
        <v>490</v>
      </c>
      <c r="K18" s="18"/>
      <c r="L18" s="18">
        <v>0</v>
      </c>
      <c r="M18" s="18"/>
      <c r="N18" s="18" t="s">
        <v>500</v>
      </c>
      <c r="O18" s="18">
        <f>Risk_Response!$L$12</f>
        <v>6.1514456812961193E-2</v>
      </c>
      <c r="P18" s="8" t="s">
        <v>268</v>
      </c>
      <c r="Q18" s="8" t="s">
        <v>269</v>
      </c>
      <c r="R18" s="8" t="s">
        <v>501</v>
      </c>
      <c r="S18" s="8" t="s">
        <v>502</v>
      </c>
      <c r="T18" s="8" t="s">
        <v>378</v>
      </c>
      <c r="U18" s="8" t="s">
        <v>503</v>
      </c>
      <c r="V18" s="8">
        <f>COUNTIF(Intervention_Cause_Map!$A$2:$A$62,B18)</f>
        <v>1</v>
      </c>
      <c r="W18" s="8" t="str">
        <f t="shared" si="0"/>
        <v>OK</v>
      </c>
    </row>
    <row r="19" spans="1:23" ht="30" customHeight="1" x14ac:dyDescent="0.25">
      <c r="A19" s="8" t="s">
        <v>527</v>
      </c>
      <c r="B19" s="8" t="s">
        <v>291</v>
      </c>
      <c r="C19" s="8" t="s">
        <v>214</v>
      </c>
      <c r="D19" s="8" t="s">
        <v>180</v>
      </c>
      <c r="E19" s="8" t="s">
        <v>194</v>
      </c>
      <c r="F19" s="8" t="s">
        <v>487</v>
      </c>
      <c r="G19" s="8" t="s">
        <v>488</v>
      </c>
      <c r="H19" s="8" t="s">
        <v>489</v>
      </c>
      <c r="I19" s="18">
        <f>INDEX(Risk_Response!$L$2:$L$63,MATCH(G19,Risk_Response!$A$2:$A$63,0))</f>
        <v>1.6</v>
      </c>
      <c r="J19" s="18" t="s">
        <v>490</v>
      </c>
      <c r="K19" s="18"/>
      <c r="L19" s="18">
        <v>0</v>
      </c>
      <c r="M19" s="18"/>
      <c r="N19" s="18" t="s">
        <v>134</v>
      </c>
      <c r="O19" s="18">
        <f>SUMIF(Assumptions!$A$2:$A$37,"tobacco_cvd_lag_rate",Assumptions!$B$2:$B$37)</f>
        <v>6.1600000000000002E-2</v>
      </c>
      <c r="P19" s="8" t="s">
        <v>268</v>
      </c>
      <c r="Q19" s="8" t="s">
        <v>269</v>
      </c>
      <c r="R19" s="8" t="s">
        <v>491</v>
      </c>
      <c r="S19" s="8" t="s">
        <v>492</v>
      </c>
      <c r="T19" s="8" t="s">
        <v>378</v>
      </c>
      <c r="U19" s="8" t="s">
        <v>493</v>
      </c>
      <c r="V19" s="8">
        <f>COUNTIF(Intervention_Cause_Map!$A$2:$A$62,B19)</f>
        <v>1</v>
      </c>
      <c r="W19" s="8" t="str">
        <f t="shared" si="0"/>
        <v>OK</v>
      </c>
    </row>
    <row r="20" spans="1:23" ht="30" customHeight="1" x14ac:dyDescent="0.25">
      <c r="A20" s="8" t="s">
        <v>528</v>
      </c>
      <c r="B20" s="8" t="s">
        <v>293</v>
      </c>
      <c r="C20" s="8" t="s">
        <v>214</v>
      </c>
      <c r="D20" s="8" t="s">
        <v>180</v>
      </c>
      <c r="E20" s="8" t="s">
        <v>203</v>
      </c>
      <c r="F20" s="8" t="s">
        <v>487</v>
      </c>
      <c r="G20" s="8" t="s">
        <v>495</v>
      </c>
      <c r="H20" s="8" t="s">
        <v>489</v>
      </c>
      <c r="I20" s="18">
        <f>INDEX(Risk_Response!$L$2:$L$63,MATCH(G20,Risk_Response!$A$2:$A$63,0))</f>
        <v>1.38</v>
      </c>
      <c r="J20" s="18" t="s">
        <v>490</v>
      </c>
      <c r="K20" s="18"/>
      <c r="L20" s="18">
        <v>0</v>
      </c>
      <c r="M20" s="18"/>
      <c r="N20" s="18" t="s">
        <v>134</v>
      </c>
      <c r="O20" s="18">
        <f>SUMIF(Assumptions!$A$2:$A$37,"tobacco_cvd_lag_rate",Assumptions!$B$2:$B$37)</f>
        <v>6.1600000000000002E-2</v>
      </c>
      <c r="P20" s="8" t="s">
        <v>268</v>
      </c>
      <c r="Q20" s="8" t="s">
        <v>269</v>
      </c>
      <c r="R20" s="8" t="s">
        <v>491</v>
      </c>
      <c r="S20" s="8" t="s">
        <v>492</v>
      </c>
      <c r="T20" s="8" t="s">
        <v>378</v>
      </c>
      <c r="U20" s="8" t="s">
        <v>493</v>
      </c>
      <c r="V20" s="8">
        <f>COUNTIF(Intervention_Cause_Map!$A$2:$A$62,B20)</f>
        <v>1</v>
      </c>
      <c r="W20" s="8" t="str">
        <f t="shared" si="0"/>
        <v>OK</v>
      </c>
    </row>
    <row r="21" spans="1:23" ht="30" customHeight="1" x14ac:dyDescent="0.25">
      <c r="A21" s="8" t="s">
        <v>529</v>
      </c>
      <c r="B21" s="8" t="s">
        <v>294</v>
      </c>
      <c r="C21" s="8" t="s">
        <v>214</v>
      </c>
      <c r="D21" s="8" t="s">
        <v>180</v>
      </c>
      <c r="E21" s="8" t="s">
        <v>211</v>
      </c>
      <c r="F21" s="8" t="s">
        <v>487</v>
      </c>
      <c r="G21" s="8" t="s">
        <v>497</v>
      </c>
      <c r="H21" s="8" t="s">
        <v>489</v>
      </c>
      <c r="I21" s="18">
        <f>INDEX(Risk_Response!$L$2:$L$63,MATCH(G21,Risk_Response!$A$2:$A$63,0))</f>
        <v>1.19</v>
      </c>
      <c r="J21" s="18" t="s">
        <v>490</v>
      </c>
      <c r="K21" s="18"/>
      <c r="L21" s="18">
        <v>0</v>
      </c>
      <c r="M21" s="18"/>
      <c r="N21" s="18" t="s">
        <v>134</v>
      </c>
      <c r="O21" s="18">
        <f>SUMIF(Assumptions!$A$2:$A$37,"tobacco_cvd_lag_rate",Assumptions!$B$2:$B$37)</f>
        <v>6.1600000000000002E-2</v>
      </c>
      <c r="P21" s="8" t="s">
        <v>268</v>
      </c>
      <c r="Q21" s="8" t="s">
        <v>269</v>
      </c>
      <c r="R21" s="8" t="s">
        <v>491</v>
      </c>
      <c r="S21" s="8" t="s">
        <v>492</v>
      </c>
      <c r="T21" s="8" t="s">
        <v>378</v>
      </c>
      <c r="U21" s="8" t="s">
        <v>493</v>
      </c>
      <c r="V21" s="8">
        <f>COUNTIF(Intervention_Cause_Map!$A$2:$A$62,B21)</f>
        <v>1</v>
      </c>
      <c r="W21" s="8" t="str">
        <f t="shared" si="0"/>
        <v>OK</v>
      </c>
    </row>
    <row r="22" spans="1:23" ht="30" customHeight="1" x14ac:dyDescent="0.25">
      <c r="A22" s="8" t="s">
        <v>530</v>
      </c>
      <c r="B22" s="8" t="s">
        <v>295</v>
      </c>
      <c r="C22" s="8" t="s">
        <v>214</v>
      </c>
      <c r="D22" s="8" t="s">
        <v>180</v>
      </c>
      <c r="E22" s="8" t="s">
        <v>232</v>
      </c>
      <c r="F22" s="8" t="s">
        <v>487</v>
      </c>
      <c r="G22" s="8" t="s">
        <v>499</v>
      </c>
      <c r="H22" s="8" t="s">
        <v>489</v>
      </c>
      <c r="I22" s="18">
        <f>INDEX(Risk_Response!$L$2:$L$63,MATCH(G22,Risk_Response!$A$2:$A$63,0))</f>
        <v>1.37</v>
      </c>
      <c r="J22" s="18" t="s">
        <v>490</v>
      </c>
      <c r="K22" s="18"/>
      <c r="L22" s="18">
        <v>0</v>
      </c>
      <c r="M22" s="18"/>
      <c r="N22" s="18" t="s">
        <v>500</v>
      </c>
      <c r="O22" s="18">
        <f>Risk_Response!$L$12</f>
        <v>6.1514456812961193E-2</v>
      </c>
      <c r="P22" s="8" t="s">
        <v>268</v>
      </c>
      <c r="Q22" s="8" t="s">
        <v>269</v>
      </c>
      <c r="R22" s="8" t="s">
        <v>501</v>
      </c>
      <c r="S22" s="8" t="s">
        <v>502</v>
      </c>
      <c r="T22" s="8" t="s">
        <v>378</v>
      </c>
      <c r="U22" s="8" t="s">
        <v>503</v>
      </c>
      <c r="V22" s="8">
        <f>COUNTIF(Intervention_Cause_Map!$A$2:$A$62,B22)</f>
        <v>1</v>
      </c>
      <c r="W22" s="8" t="str">
        <f t="shared" si="0"/>
        <v>OK</v>
      </c>
    </row>
    <row r="23" spans="1:23" ht="30" customHeight="1" x14ac:dyDescent="0.25">
      <c r="A23" s="8" t="s">
        <v>531</v>
      </c>
      <c r="B23" s="8" t="s">
        <v>296</v>
      </c>
      <c r="C23" s="8" t="s">
        <v>222</v>
      </c>
      <c r="D23" s="8" t="s">
        <v>190</v>
      </c>
      <c r="E23" s="8" t="s">
        <v>194</v>
      </c>
      <c r="F23" s="8" t="s">
        <v>505</v>
      </c>
      <c r="G23" s="8" t="s">
        <v>506</v>
      </c>
      <c r="H23" s="8" t="s">
        <v>507</v>
      </c>
      <c r="I23" s="18">
        <f>INDEX(Risk_Response!$L$2:$L$63,MATCH(G23,Risk_Response!$A$2:$A$63,0))</f>
        <v>1.0088803849749666</v>
      </c>
      <c r="J23" s="18" t="s">
        <v>490</v>
      </c>
      <c r="K23" s="18"/>
      <c r="L23" s="18">
        <v>0</v>
      </c>
      <c r="M23" s="18"/>
      <c r="N23" s="18" t="s">
        <v>508</v>
      </c>
      <c r="O23" s="18">
        <v>1</v>
      </c>
      <c r="P23" s="8" t="s">
        <v>268</v>
      </c>
      <c r="Q23" s="8" t="s">
        <v>269</v>
      </c>
      <c r="R23" s="8" t="s">
        <v>509</v>
      </c>
      <c r="S23" s="8" t="s">
        <v>510</v>
      </c>
      <c r="T23" s="8" t="s">
        <v>378</v>
      </c>
      <c r="U23" s="8" t="s">
        <v>503</v>
      </c>
      <c r="V23" s="8">
        <f>COUNTIF(Intervention_Cause_Map!$A$2:$A$62,B23)</f>
        <v>1</v>
      </c>
      <c r="W23" s="8" t="str">
        <f t="shared" si="0"/>
        <v>OK</v>
      </c>
    </row>
    <row r="24" spans="1:23" ht="30" customHeight="1" x14ac:dyDescent="0.25">
      <c r="A24" s="8" t="s">
        <v>532</v>
      </c>
      <c r="B24" s="8" t="s">
        <v>298</v>
      </c>
      <c r="C24" s="8" t="s">
        <v>222</v>
      </c>
      <c r="D24" s="8" t="s">
        <v>190</v>
      </c>
      <c r="E24" s="8" t="s">
        <v>203</v>
      </c>
      <c r="F24" s="8" t="s">
        <v>505</v>
      </c>
      <c r="G24" s="8" t="s">
        <v>512</v>
      </c>
      <c r="H24" s="8" t="s">
        <v>507</v>
      </c>
      <c r="I24" s="18">
        <f>INDEX(Risk_Response!$L$2:$L$63,MATCH(G24,Risk_Response!$A$2:$A$63,0))</f>
        <v>1.020079962718877</v>
      </c>
      <c r="J24" s="18" t="s">
        <v>490</v>
      </c>
      <c r="K24" s="18"/>
      <c r="L24" s="18">
        <v>0</v>
      </c>
      <c r="M24" s="18"/>
      <c r="N24" s="18" t="s">
        <v>508</v>
      </c>
      <c r="O24" s="18">
        <v>1</v>
      </c>
      <c r="P24" s="8" t="s">
        <v>268</v>
      </c>
      <c r="Q24" s="8" t="s">
        <v>269</v>
      </c>
      <c r="R24" s="8" t="s">
        <v>509</v>
      </c>
      <c r="S24" s="8" t="s">
        <v>510</v>
      </c>
      <c r="T24" s="8" t="s">
        <v>378</v>
      </c>
      <c r="U24" s="8" t="s">
        <v>503</v>
      </c>
      <c r="V24" s="8">
        <f>COUNTIF(Intervention_Cause_Map!$A$2:$A$62,B24)</f>
        <v>1</v>
      </c>
      <c r="W24" s="8" t="str">
        <f t="shared" si="0"/>
        <v>OK</v>
      </c>
    </row>
    <row r="25" spans="1:23" ht="30" customHeight="1" x14ac:dyDescent="0.25">
      <c r="A25" s="8" t="s">
        <v>533</v>
      </c>
      <c r="B25" s="8" t="s">
        <v>299</v>
      </c>
      <c r="C25" s="8" t="s">
        <v>222</v>
      </c>
      <c r="D25" s="8" t="s">
        <v>190</v>
      </c>
      <c r="E25" s="8" t="s">
        <v>211</v>
      </c>
      <c r="F25" s="8" t="s">
        <v>505</v>
      </c>
      <c r="G25" s="8" t="s">
        <v>514</v>
      </c>
      <c r="H25" s="8" t="s">
        <v>507</v>
      </c>
      <c r="I25" s="18">
        <f>INDEX(Risk_Response!$L$2:$L$63,MATCH(G25,Risk_Response!$A$2:$A$63,0))</f>
        <v>1.020079962718877</v>
      </c>
      <c r="J25" s="18" t="s">
        <v>490</v>
      </c>
      <c r="K25" s="18"/>
      <c r="L25" s="18">
        <v>0</v>
      </c>
      <c r="M25" s="18"/>
      <c r="N25" s="18" t="s">
        <v>508</v>
      </c>
      <c r="O25" s="18">
        <v>1</v>
      </c>
      <c r="P25" s="8" t="s">
        <v>268</v>
      </c>
      <c r="Q25" s="8" t="s">
        <v>269</v>
      </c>
      <c r="R25" s="8" t="s">
        <v>509</v>
      </c>
      <c r="S25" s="8" t="s">
        <v>510</v>
      </c>
      <c r="T25" s="8" t="s">
        <v>378</v>
      </c>
      <c r="U25" s="8" t="s">
        <v>503</v>
      </c>
      <c r="V25" s="8">
        <f>COUNTIF(Intervention_Cause_Map!$A$2:$A$62,B25)</f>
        <v>1</v>
      </c>
      <c r="W25" s="8" t="str">
        <f t="shared" si="0"/>
        <v>OK</v>
      </c>
    </row>
    <row r="26" spans="1:23" ht="30" customHeight="1" x14ac:dyDescent="0.25">
      <c r="A26" s="8" t="s">
        <v>534</v>
      </c>
      <c r="B26" s="8" t="s">
        <v>300</v>
      </c>
      <c r="C26" s="8" t="s">
        <v>222</v>
      </c>
      <c r="D26" s="8" t="s">
        <v>190</v>
      </c>
      <c r="E26" s="8" t="s">
        <v>220</v>
      </c>
      <c r="F26" s="8" t="s">
        <v>505</v>
      </c>
      <c r="G26" s="8" t="s">
        <v>516</v>
      </c>
      <c r="H26" s="8" t="s">
        <v>507</v>
      </c>
      <c r="I26" s="18">
        <f>INDEX(Risk_Response!$L$2:$L$63,MATCH(G26,Risk_Response!$A$2:$A$63,0))</f>
        <v>1.0331775104357432</v>
      </c>
      <c r="J26" s="18" t="s">
        <v>490</v>
      </c>
      <c r="K26" s="18"/>
      <c r="L26" s="18">
        <v>0</v>
      </c>
      <c r="M26" s="18"/>
      <c r="N26" s="18" t="s">
        <v>508</v>
      </c>
      <c r="O26" s="18">
        <v>1</v>
      </c>
      <c r="P26" s="8" t="s">
        <v>268</v>
      </c>
      <c r="Q26" s="8" t="s">
        <v>269</v>
      </c>
      <c r="R26" s="8" t="s">
        <v>509</v>
      </c>
      <c r="S26" s="8" t="s">
        <v>510</v>
      </c>
      <c r="T26" s="8" t="s">
        <v>378</v>
      </c>
      <c r="U26" s="8" t="s">
        <v>503</v>
      </c>
      <c r="V26" s="8">
        <f>COUNTIF(Intervention_Cause_Map!$A$2:$A$62,B26)</f>
        <v>1</v>
      </c>
      <c r="W26" s="8" t="str">
        <f t="shared" si="0"/>
        <v>OK</v>
      </c>
    </row>
    <row r="27" spans="1:23" ht="30" customHeight="1" x14ac:dyDescent="0.25">
      <c r="A27" s="8" t="s">
        <v>535</v>
      </c>
      <c r="B27" s="8" t="s">
        <v>301</v>
      </c>
      <c r="C27" s="8" t="s">
        <v>222</v>
      </c>
      <c r="D27" s="8" t="s">
        <v>190</v>
      </c>
      <c r="E27" s="8" t="s">
        <v>225</v>
      </c>
      <c r="F27" s="8" t="s">
        <v>505</v>
      </c>
      <c r="G27" s="8" t="s">
        <v>518</v>
      </c>
      <c r="H27" s="8" t="s">
        <v>507</v>
      </c>
      <c r="I27" s="18">
        <f>INDEX(Risk_Response!$L$2:$L$63,MATCH(G27,Risk_Response!$A$2:$A$63,0))</f>
        <v>1.0131616703515811</v>
      </c>
      <c r="J27" s="18" t="s">
        <v>490</v>
      </c>
      <c r="K27" s="18"/>
      <c r="L27" s="18">
        <v>0</v>
      </c>
      <c r="M27" s="18"/>
      <c r="N27" s="18" t="s">
        <v>508</v>
      </c>
      <c r="O27" s="18">
        <v>1</v>
      </c>
      <c r="P27" s="8" t="s">
        <v>268</v>
      </c>
      <c r="Q27" s="8" t="s">
        <v>269</v>
      </c>
      <c r="R27" s="8" t="s">
        <v>509</v>
      </c>
      <c r="S27" s="8" t="s">
        <v>510</v>
      </c>
      <c r="T27" s="8" t="s">
        <v>378</v>
      </c>
      <c r="U27" s="8" t="s">
        <v>503</v>
      </c>
      <c r="V27" s="8">
        <f>COUNTIF(Intervention_Cause_Map!$A$2:$A$62,B27)</f>
        <v>1</v>
      </c>
      <c r="W27" s="8" t="str">
        <f t="shared" si="0"/>
        <v>OK</v>
      </c>
    </row>
    <row r="28" spans="1:23" ht="30" customHeight="1" x14ac:dyDescent="0.25">
      <c r="A28" s="8" t="s">
        <v>536</v>
      </c>
      <c r="B28" s="8" t="s">
        <v>302</v>
      </c>
      <c r="C28" s="8" t="s">
        <v>228</v>
      </c>
      <c r="D28" s="8" t="s">
        <v>200</v>
      </c>
      <c r="E28" s="8" t="s">
        <v>194</v>
      </c>
      <c r="F28" s="8" t="s">
        <v>505</v>
      </c>
      <c r="G28" s="8" t="s">
        <v>537</v>
      </c>
      <c r="H28" s="8" t="s">
        <v>538</v>
      </c>
      <c r="I28" s="18">
        <f>INDEX(Risk_Response!$L$2:$L$63,MATCH(G28,Risk_Response!$A$2:$A$63,0))</f>
        <v>1.06</v>
      </c>
      <c r="J28" s="18" t="s">
        <v>490</v>
      </c>
      <c r="K28" s="18"/>
      <c r="L28" s="18">
        <v>0</v>
      </c>
      <c r="M28" s="18"/>
      <c r="N28" s="18" t="s">
        <v>508</v>
      </c>
      <c r="O28" s="18">
        <v>1</v>
      </c>
      <c r="P28" s="8" t="s">
        <v>268</v>
      </c>
      <c r="Q28" s="8" t="s">
        <v>269</v>
      </c>
      <c r="R28" s="8" t="s">
        <v>539</v>
      </c>
      <c r="S28" s="8" t="s">
        <v>540</v>
      </c>
      <c r="T28" s="8" t="s">
        <v>378</v>
      </c>
      <c r="U28" s="8" t="s">
        <v>503</v>
      </c>
      <c r="V28" s="8">
        <f>COUNTIF(Intervention_Cause_Map!$A$2:$A$62,B28)</f>
        <v>1</v>
      </c>
      <c r="W28" s="8" t="str">
        <f t="shared" si="0"/>
        <v>OK</v>
      </c>
    </row>
    <row r="29" spans="1:23" ht="30" customHeight="1" x14ac:dyDescent="0.25">
      <c r="A29" s="8" t="s">
        <v>541</v>
      </c>
      <c r="B29" s="8" t="s">
        <v>304</v>
      </c>
      <c r="C29" s="8" t="s">
        <v>228</v>
      </c>
      <c r="D29" s="8" t="s">
        <v>200</v>
      </c>
      <c r="E29" s="8" t="s">
        <v>203</v>
      </c>
      <c r="F29" s="8" t="s">
        <v>505</v>
      </c>
      <c r="G29" s="8" t="s">
        <v>537</v>
      </c>
      <c r="H29" s="8" t="s">
        <v>538</v>
      </c>
      <c r="I29" s="18">
        <f>INDEX(Risk_Response!$L$2:$L$63,MATCH(G29,Risk_Response!$A$2:$A$63,0))</f>
        <v>1.06</v>
      </c>
      <c r="J29" s="18" t="s">
        <v>490</v>
      </c>
      <c r="K29" s="18"/>
      <c r="L29" s="18">
        <v>0</v>
      </c>
      <c r="M29" s="18"/>
      <c r="N29" s="18" t="s">
        <v>508</v>
      </c>
      <c r="O29" s="18">
        <v>1</v>
      </c>
      <c r="P29" s="8" t="s">
        <v>268</v>
      </c>
      <c r="Q29" s="8" t="s">
        <v>269</v>
      </c>
      <c r="R29" s="8" t="s">
        <v>539</v>
      </c>
      <c r="S29" s="8" t="s">
        <v>540</v>
      </c>
      <c r="T29" s="8" t="s">
        <v>378</v>
      </c>
      <c r="U29" s="8" t="s">
        <v>503</v>
      </c>
      <c r="V29" s="8">
        <f>COUNTIF(Intervention_Cause_Map!$A$2:$A$62,B29)</f>
        <v>1</v>
      </c>
      <c r="W29" s="8" t="str">
        <f t="shared" si="0"/>
        <v>OK</v>
      </c>
    </row>
    <row r="30" spans="1:23" ht="30" customHeight="1" x14ac:dyDescent="0.25">
      <c r="A30" s="8" t="s">
        <v>542</v>
      </c>
      <c r="B30" s="8" t="s">
        <v>305</v>
      </c>
      <c r="C30" s="8" t="s">
        <v>228</v>
      </c>
      <c r="D30" s="8" t="s">
        <v>200</v>
      </c>
      <c r="E30" s="8" t="s">
        <v>211</v>
      </c>
      <c r="F30" s="8" t="s">
        <v>505</v>
      </c>
      <c r="G30" s="8" t="s">
        <v>537</v>
      </c>
      <c r="H30" s="8" t="s">
        <v>538</v>
      </c>
      <c r="I30" s="18">
        <f>INDEX(Risk_Response!$L$2:$L$63,MATCH(G30,Risk_Response!$A$2:$A$63,0))</f>
        <v>1.06</v>
      </c>
      <c r="J30" s="18" t="s">
        <v>490</v>
      </c>
      <c r="K30" s="18"/>
      <c r="L30" s="18">
        <v>0</v>
      </c>
      <c r="M30" s="18"/>
      <c r="N30" s="18" t="s">
        <v>508</v>
      </c>
      <c r="O30" s="18">
        <v>1</v>
      </c>
      <c r="P30" s="8" t="s">
        <v>268</v>
      </c>
      <c r="Q30" s="8" t="s">
        <v>269</v>
      </c>
      <c r="R30" s="8" t="s">
        <v>539</v>
      </c>
      <c r="S30" s="8" t="s">
        <v>540</v>
      </c>
      <c r="T30" s="8" t="s">
        <v>378</v>
      </c>
      <c r="U30" s="8" t="s">
        <v>503</v>
      </c>
      <c r="V30" s="8">
        <f>COUNTIF(Intervention_Cause_Map!$A$2:$A$62,B30)</f>
        <v>1</v>
      </c>
      <c r="W30" s="8" t="str">
        <f t="shared" si="0"/>
        <v>OK</v>
      </c>
    </row>
    <row r="31" spans="1:23" ht="30" customHeight="1" x14ac:dyDescent="0.25">
      <c r="A31" s="8" t="s">
        <v>543</v>
      </c>
      <c r="B31" s="8" t="s">
        <v>306</v>
      </c>
      <c r="C31" s="8" t="s">
        <v>228</v>
      </c>
      <c r="D31" s="8" t="s">
        <v>200</v>
      </c>
      <c r="E31" s="8" t="s">
        <v>220</v>
      </c>
      <c r="F31" s="8" t="s">
        <v>505</v>
      </c>
      <c r="G31" s="8" t="s">
        <v>537</v>
      </c>
      <c r="H31" s="8" t="s">
        <v>538</v>
      </c>
      <c r="I31" s="18">
        <f>INDEX(Risk_Response!$L$2:$L$63,MATCH(G31,Risk_Response!$A$2:$A$63,0))</f>
        <v>1.06</v>
      </c>
      <c r="J31" s="18" t="s">
        <v>490</v>
      </c>
      <c r="K31" s="18"/>
      <c r="L31" s="18">
        <v>0</v>
      </c>
      <c r="M31" s="18"/>
      <c r="N31" s="18" t="s">
        <v>508</v>
      </c>
      <c r="O31" s="18">
        <v>1</v>
      </c>
      <c r="P31" s="8" t="s">
        <v>268</v>
      </c>
      <c r="Q31" s="8" t="s">
        <v>269</v>
      </c>
      <c r="R31" s="8" t="s">
        <v>539</v>
      </c>
      <c r="S31" s="8" t="s">
        <v>540</v>
      </c>
      <c r="T31" s="8" t="s">
        <v>378</v>
      </c>
      <c r="U31" s="8" t="s">
        <v>503</v>
      </c>
      <c r="V31" s="8">
        <f>COUNTIF(Intervention_Cause_Map!$A$2:$A$62,B31)</f>
        <v>1</v>
      </c>
      <c r="W31" s="8" t="str">
        <f t="shared" si="0"/>
        <v>OK</v>
      </c>
    </row>
    <row r="32" spans="1:23" ht="30" customHeight="1" x14ac:dyDescent="0.25">
      <c r="A32" s="8" t="s">
        <v>544</v>
      </c>
      <c r="B32" s="8" t="s">
        <v>307</v>
      </c>
      <c r="C32" s="8" t="s">
        <v>235</v>
      </c>
      <c r="D32" s="8" t="s">
        <v>200</v>
      </c>
      <c r="E32" s="8" t="s">
        <v>194</v>
      </c>
      <c r="F32" s="8" t="s">
        <v>505</v>
      </c>
      <c r="G32" s="8" t="s">
        <v>537</v>
      </c>
      <c r="H32" s="8" t="s">
        <v>538</v>
      </c>
      <c r="I32" s="18">
        <f>INDEX(Risk_Response!$L$2:$L$63,MATCH(G32,Risk_Response!$A$2:$A$63,0))</f>
        <v>1.06</v>
      </c>
      <c r="J32" s="18" t="s">
        <v>490</v>
      </c>
      <c r="K32" s="18"/>
      <c r="L32" s="18">
        <v>0</v>
      </c>
      <c r="M32" s="18"/>
      <c r="N32" s="18" t="s">
        <v>508</v>
      </c>
      <c r="O32" s="18">
        <v>1</v>
      </c>
      <c r="P32" s="8" t="s">
        <v>268</v>
      </c>
      <c r="Q32" s="8" t="s">
        <v>269</v>
      </c>
      <c r="R32" s="8" t="s">
        <v>539</v>
      </c>
      <c r="S32" s="8" t="s">
        <v>540</v>
      </c>
      <c r="T32" s="8" t="s">
        <v>378</v>
      </c>
      <c r="U32" s="8" t="s">
        <v>503</v>
      </c>
      <c r="V32" s="8">
        <f>COUNTIF(Intervention_Cause_Map!$A$2:$A$62,B32)</f>
        <v>1</v>
      </c>
      <c r="W32" s="8" t="str">
        <f t="shared" si="0"/>
        <v>OK</v>
      </c>
    </row>
    <row r="33" spans="1:23" ht="30" customHeight="1" x14ac:dyDescent="0.25">
      <c r="A33" s="8" t="s">
        <v>545</v>
      </c>
      <c r="B33" s="8" t="s">
        <v>309</v>
      </c>
      <c r="C33" s="8" t="s">
        <v>235</v>
      </c>
      <c r="D33" s="8" t="s">
        <v>200</v>
      </c>
      <c r="E33" s="8" t="s">
        <v>203</v>
      </c>
      <c r="F33" s="8" t="s">
        <v>505</v>
      </c>
      <c r="G33" s="8" t="s">
        <v>537</v>
      </c>
      <c r="H33" s="8" t="s">
        <v>538</v>
      </c>
      <c r="I33" s="18">
        <f>INDEX(Risk_Response!$L$2:$L$63,MATCH(G33,Risk_Response!$A$2:$A$63,0))</f>
        <v>1.06</v>
      </c>
      <c r="J33" s="18" t="s">
        <v>490</v>
      </c>
      <c r="K33" s="18"/>
      <c r="L33" s="18">
        <v>0</v>
      </c>
      <c r="M33" s="18"/>
      <c r="N33" s="18" t="s">
        <v>508</v>
      </c>
      <c r="O33" s="18">
        <v>1</v>
      </c>
      <c r="P33" s="8" t="s">
        <v>268</v>
      </c>
      <c r="Q33" s="8" t="s">
        <v>269</v>
      </c>
      <c r="R33" s="8" t="s">
        <v>539</v>
      </c>
      <c r="S33" s="8" t="s">
        <v>540</v>
      </c>
      <c r="T33" s="8" t="s">
        <v>378</v>
      </c>
      <c r="U33" s="8" t="s">
        <v>503</v>
      </c>
      <c r="V33" s="8">
        <f>COUNTIF(Intervention_Cause_Map!$A$2:$A$62,B33)</f>
        <v>1</v>
      </c>
      <c r="W33" s="8" t="str">
        <f t="shared" si="0"/>
        <v>OK</v>
      </c>
    </row>
    <row r="34" spans="1:23" ht="30" customHeight="1" x14ac:dyDescent="0.25">
      <c r="A34" s="8" t="s">
        <v>546</v>
      </c>
      <c r="B34" s="8" t="s">
        <v>310</v>
      </c>
      <c r="C34" s="8" t="s">
        <v>235</v>
      </c>
      <c r="D34" s="8" t="s">
        <v>200</v>
      </c>
      <c r="E34" s="8" t="s">
        <v>211</v>
      </c>
      <c r="F34" s="8" t="s">
        <v>505</v>
      </c>
      <c r="G34" s="8" t="s">
        <v>537</v>
      </c>
      <c r="H34" s="8" t="s">
        <v>538</v>
      </c>
      <c r="I34" s="18">
        <f>INDEX(Risk_Response!$L$2:$L$63,MATCH(G34,Risk_Response!$A$2:$A$63,0))</f>
        <v>1.06</v>
      </c>
      <c r="J34" s="18" t="s">
        <v>490</v>
      </c>
      <c r="K34" s="18"/>
      <c r="L34" s="18">
        <v>0</v>
      </c>
      <c r="M34" s="18"/>
      <c r="N34" s="18" t="s">
        <v>508</v>
      </c>
      <c r="O34" s="18">
        <v>1</v>
      </c>
      <c r="P34" s="8" t="s">
        <v>268</v>
      </c>
      <c r="Q34" s="8" t="s">
        <v>269</v>
      </c>
      <c r="R34" s="8" t="s">
        <v>539</v>
      </c>
      <c r="S34" s="8" t="s">
        <v>540</v>
      </c>
      <c r="T34" s="8" t="s">
        <v>378</v>
      </c>
      <c r="U34" s="8" t="s">
        <v>503</v>
      </c>
      <c r="V34" s="8">
        <f>COUNTIF(Intervention_Cause_Map!$A$2:$A$62,B34)</f>
        <v>1</v>
      </c>
      <c r="W34" s="8" t="str">
        <f t="shared" ref="W34:W62" si="1">IF(V34&lt;&gt;1,"MAP ERROR",IF(NOT(OR(AND(P34="well",Q34="sick"),AND(P34="sick",Q34="dead"))),"REVIEW TRANSITION",IF(AND(L34=1,OR(ISBLANK(K34),K34&lt;0,K34&gt;1)),"MISSING PAF",IF(R34="","MISSING SOURCE",IF(OR(T34="Ready",T34=""),"OK","REVIEW")))))</f>
        <v>OK</v>
      </c>
    </row>
    <row r="35" spans="1:23" ht="30" customHeight="1" x14ac:dyDescent="0.25">
      <c r="A35" s="8" t="s">
        <v>547</v>
      </c>
      <c r="B35" s="8" t="s">
        <v>311</v>
      </c>
      <c r="C35" s="8" t="s">
        <v>235</v>
      </c>
      <c r="D35" s="8" t="s">
        <v>200</v>
      </c>
      <c r="E35" s="8" t="s">
        <v>220</v>
      </c>
      <c r="F35" s="8" t="s">
        <v>505</v>
      </c>
      <c r="G35" s="8" t="s">
        <v>537</v>
      </c>
      <c r="H35" s="8" t="s">
        <v>538</v>
      </c>
      <c r="I35" s="18">
        <f>INDEX(Risk_Response!$L$2:$L$63,MATCH(G35,Risk_Response!$A$2:$A$63,0))</f>
        <v>1.06</v>
      </c>
      <c r="J35" s="18" t="s">
        <v>490</v>
      </c>
      <c r="K35" s="18"/>
      <c r="L35" s="18">
        <v>0</v>
      </c>
      <c r="M35" s="18"/>
      <c r="N35" s="18" t="s">
        <v>508</v>
      </c>
      <c r="O35" s="18">
        <v>1</v>
      </c>
      <c r="P35" s="8" t="s">
        <v>268</v>
      </c>
      <c r="Q35" s="8" t="s">
        <v>269</v>
      </c>
      <c r="R35" s="8" t="s">
        <v>539</v>
      </c>
      <c r="S35" s="8" t="s">
        <v>540</v>
      </c>
      <c r="T35" s="8" t="s">
        <v>378</v>
      </c>
      <c r="U35" s="8" t="s">
        <v>503</v>
      </c>
      <c r="V35" s="8">
        <f>COUNTIF(Intervention_Cause_Map!$A$2:$A$62,B35)</f>
        <v>1</v>
      </c>
      <c r="W35" s="8" t="str">
        <f t="shared" si="1"/>
        <v>OK</v>
      </c>
    </row>
    <row r="36" spans="1:23" ht="30" customHeight="1" x14ac:dyDescent="0.25">
      <c r="A36" s="8" t="s">
        <v>548</v>
      </c>
      <c r="B36" s="8" t="s">
        <v>312</v>
      </c>
      <c r="C36" s="8" t="s">
        <v>240</v>
      </c>
      <c r="D36" s="8" t="s">
        <v>200</v>
      </c>
      <c r="E36" s="8" t="s">
        <v>194</v>
      </c>
      <c r="F36" s="8" t="s">
        <v>505</v>
      </c>
      <c r="G36" s="8" t="s">
        <v>537</v>
      </c>
      <c r="H36" s="8" t="s">
        <v>538</v>
      </c>
      <c r="I36" s="18">
        <f>INDEX(Risk_Response!$L$2:$L$63,MATCH(G36,Risk_Response!$A$2:$A$63,0))</f>
        <v>1.06</v>
      </c>
      <c r="J36" s="18" t="s">
        <v>490</v>
      </c>
      <c r="K36" s="18"/>
      <c r="L36" s="18">
        <v>0</v>
      </c>
      <c r="M36" s="18"/>
      <c r="N36" s="18" t="s">
        <v>508</v>
      </c>
      <c r="O36" s="18">
        <v>1</v>
      </c>
      <c r="P36" s="8" t="s">
        <v>268</v>
      </c>
      <c r="Q36" s="8" t="s">
        <v>269</v>
      </c>
      <c r="R36" s="8" t="s">
        <v>539</v>
      </c>
      <c r="S36" s="8" t="s">
        <v>540</v>
      </c>
      <c r="T36" s="8" t="s">
        <v>378</v>
      </c>
      <c r="U36" s="8" t="s">
        <v>503</v>
      </c>
      <c r="V36" s="8">
        <f>COUNTIF(Intervention_Cause_Map!$A$2:$A$62,B36)</f>
        <v>1</v>
      </c>
      <c r="W36" s="8" t="str">
        <f t="shared" si="1"/>
        <v>OK</v>
      </c>
    </row>
    <row r="37" spans="1:23" ht="30" customHeight="1" x14ac:dyDescent="0.25">
      <c r="A37" s="8" t="s">
        <v>549</v>
      </c>
      <c r="B37" s="8" t="s">
        <v>314</v>
      </c>
      <c r="C37" s="8" t="s">
        <v>240</v>
      </c>
      <c r="D37" s="8" t="s">
        <v>200</v>
      </c>
      <c r="E37" s="8" t="s">
        <v>203</v>
      </c>
      <c r="F37" s="8" t="s">
        <v>505</v>
      </c>
      <c r="G37" s="8" t="s">
        <v>537</v>
      </c>
      <c r="H37" s="8" t="s">
        <v>538</v>
      </c>
      <c r="I37" s="18">
        <f>INDEX(Risk_Response!$L$2:$L$63,MATCH(G37,Risk_Response!$A$2:$A$63,0))</f>
        <v>1.06</v>
      </c>
      <c r="J37" s="18" t="s">
        <v>490</v>
      </c>
      <c r="K37" s="18"/>
      <c r="L37" s="18">
        <v>0</v>
      </c>
      <c r="M37" s="18"/>
      <c r="N37" s="18" t="s">
        <v>508</v>
      </c>
      <c r="O37" s="18">
        <v>1</v>
      </c>
      <c r="P37" s="8" t="s">
        <v>268</v>
      </c>
      <c r="Q37" s="8" t="s">
        <v>269</v>
      </c>
      <c r="R37" s="8" t="s">
        <v>539</v>
      </c>
      <c r="S37" s="8" t="s">
        <v>540</v>
      </c>
      <c r="T37" s="8" t="s">
        <v>378</v>
      </c>
      <c r="U37" s="8" t="s">
        <v>503</v>
      </c>
      <c r="V37" s="8">
        <f>COUNTIF(Intervention_Cause_Map!$A$2:$A$62,B37)</f>
        <v>1</v>
      </c>
      <c r="W37" s="8" t="str">
        <f t="shared" si="1"/>
        <v>OK</v>
      </c>
    </row>
    <row r="38" spans="1:23" ht="30" customHeight="1" x14ac:dyDescent="0.25">
      <c r="A38" s="8" t="s">
        <v>550</v>
      </c>
      <c r="B38" s="8" t="s">
        <v>315</v>
      </c>
      <c r="C38" s="8" t="s">
        <v>240</v>
      </c>
      <c r="D38" s="8" t="s">
        <v>200</v>
      </c>
      <c r="E38" s="8" t="s">
        <v>211</v>
      </c>
      <c r="F38" s="8" t="s">
        <v>505</v>
      </c>
      <c r="G38" s="8" t="s">
        <v>537</v>
      </c>
      <c r="H38" s="8" t="s">
        <v>538</v>
      </c>
      <c r="I38" s="18">
        <f>INDEX(Risk_Response!$L$2:$L$63,MATCH(G38,Risk_Response!$A$2:$A$63,0))</f>
        <v>1.06</v>
      </c>
      <c r="J38" s="18" t="s">
        <v>490</v>
      </c>
      <c r="K38" s="18"/>
      <c r="L38" s="18">
        <v>0</v>
      </c>
      <c r="M38" s="18"/>
      <c r="N38" s="18" t="s">
        <v>508</v>
      </c>
      <c r="O38" s="18">
        <v>1</v>
      </c>
      <c r="P38" s="8" t="s">
        <v>268</v>
      </c>
      <c r="Q38" s="8" t="s">
        <v>269</v>
      </c>
      <c r="R38" s="8" t="s">
        <v>539</v>
      </c>
      <c r="S38" s="8" t="s">
        <v>540</v>
      </c>
      <c r="T38" s="8" t="s">
        <v>378</v>
      </c>
      <c r="U38" s="8" t="s">
        <v>503</v>
      </c>
      <c r="V38" s="8">
        <f>COUNTIF(Intervention_Cause_Map!$A$2:$A$62,B38)</f>
        <v>1</v>
      </c>
      <c r="W38" s="8" t="str">
        <f t="shared" si="1"/>
        <v>OK</v>
      </c>
    </row>
    <row r="39" spans="1:23" ht="30" customHeight="1" x14ac:dyDescent="0.25">
      <c r="A39" s="8" t="s">
        <v>551</v>
      </c>
      <c r="B39" s="8" t="s">
        <v>316</v>
      </c>
      <c r="C39" s="8" t="s">
        <v>240</v>
      </c>
      <c r="D39" s="8" t="s">
        <v>200</v>
      </c>
      <c r="E39" s="8" t="s">
        <v>220</v>
      </c>
      <c r="F39" s="8" t="s">
        <v>505</v>
      </c>
      <c r="G39" s="8" t="s">
        <v>537</v>
      </c>
      <c r="H39" s="8" t="s">
        <v>538</v>
      </c>
      <c r="I39" s="18">
        <f>INDEX(Risk_Response!$L$2:$L$63,MATCH(G39,Risk_Response!$A$2:$A$63,0))</f>
        <v>1.06</v>
      </c>
      <c r="J39" s="18" t="s">
        <v>490</v>
      </c>
      <c r="K39" s="18"/>
      <c r="L39" s="18">
        <v>0</v>
      </c>
      <c r="M39" s="18"/>
      <c r="N39" s="18" t="s">
        <v>508</v>
      </c>
      <c r="O39" s="18">
        <v>1</v>
      </c>
      <c r="P39" s="8" t="s">
        <v>268</v>
      </c>
      <c r="Q39" s="8" t="s">
        <v>269</v>
      </c>
      <c r="R39" s="8" t="s">
        <v>539</v>
      </c>
      <c r="S39" s="8" t="s">
        <v>540</v>
      </c>
      <c r="T39" s="8" t="s">
        <v>378</v>
      </c>
      <c r="U39" s="8" t="s">
        <v>503</v>
      </c>
      <c r="V39" s="8">
        <f>COUNTIF(Intervention_Cause_Map!$A$2:$A$62,B39)</f>
        <v>1</v>
      </c>
      <c r="W39" s="8" t="str">
        <f t="shared" si="1"/>
        <v>OK</v>
      </c>
    </row>
    <row r="40" spans="1:23" ht="30" customHeight="1" x14ac:dyDescent="0.25">
      <c r="A40" s="8" t="s">
        <v>552</v>
      </c>
      <c r="B40" s="8" t="s">
        <v>317</v>
      </c>
      <c r="C40" s="8" t="s">
        <v>246</v>
      </c>
      <c r="D40" s="8" t="s">
        <v>200</v>
      </c>
      <c r="E40" s="8" t="s">
        <v>194</v>
      </c>
      <c r="F40" s="8" t="s">
        <v>505</v>
      </c>
      <c r="G40" s="8" t="s">
        <v>537</v>
      </c>
      <c r="H40" s="8" t="s">
        <v>538</v>
      </c>
      <c r="I40" s="18">
        <f>INDEX(Risk_Response!$L$2:$L$63,MATCH(G40,Risk_Response!$A$2:$A$63,0))</f>
        <v>1.06</v>
      </c>
      <c r="J40" s="18" t="s">
        <v>490</v>
      </c>
      <c r="K40" s="18"/>
      <c r="L40" s="18">
        <v>0</v>
      </c>
      <c r="M40" s="18"/>
      <c r="N40" s="18" t="s">
        <v>508</v>
      </c>
      <c r="O40" s="18">
        <v>1</v>
      </c>
      <c r="P40" s="8" t="s">
        <v>268</v>
      </c>
      <c r="Q40" s="8" t="s">
        <v>269</v>
      </c>
      <c r="R40" s="8" t="s">
        <v>539</v>
      </c>
      <c r="S40" s="8" t="s">
        <v>540</v>
      </c>
      <c r="T40" s="8" t="s">
        <v>378</v>
      </c>
      <c r="U40" s="8" t="s">
        <v>503</v>
      </c>
      <c r="V40" s="8">
        <f>COUNTIF(Intervention_Cause_Map!$A$2:$A$62,B40)</f>
        <v>1</v>
      </c>
      <c r="W40" s="8" t="str">
        <f t="shared" si="1"/>
        <v>OK</v>
      </c>
    </row>
    <row r="41" spans="1:23" ht="30" customHeight="1" x14ac:dyDescent="0.25">
      <c r="A41" s="8" t="s">
        <v>553</v>
      </c>
      <c r="B41" s="8" t="s">
        <v>319</v>
      </c>
      <c r="C41" s="8" t="s">
        <v>246</v>
      </c>
      <c r="D41" s="8" t="s">
        <v>200</v>
      </c>
      <c r="E41" s="8" t="s">
        <v>203</v>
      </c>
      <c r="F41" s="8" t="s">
        <v>505</v>
      </c>
      <c r="G41" s="8" t="s">
        <v>537</v>
      </c>
      <c r="H41" s="8" t="s">
        <v>538</v>
      </c>
      <c r="I41" s="18">
        <f>INDEX(Risk_Response!$L$2:$L$63,MATCH(G41,Risk_Response!$A$2:$A$63,0))</f>
        <v>1.06</v>
      </c>
      <c r="J41" s="18" t="s">
        <v>490</v>
      </c>
      <c r="K41" s="18"/>
      <c r="L41" s="18">
        <v>0</v>
      </c>
      <c r="M41" s="18"/>
      <c r="N41" s="18" t="s">
        <v>508</v>
      </c>
      <c r="O41" s="18">
        <v>1</v>
      </c>
      <c r="P41" s="8" t="s">
        <v>268</v>
      </c>
      <c r="Q41" s="8" t="s">
        <v>269</v>
      </c>
      <c r="R41" s="8" t="s">
        <v>539</v>
      </c>
      <c r="S41" s="8" t="s">
        <v>540</v>
      </c>
      <c r="T41" s="8" t="s">
        <v>378</v>
      </c>
      <c r="U41" s="8" t="s">
        <v>503</v>
      </c>
      <c r="V41" s="8">
        <f>COUNTIF(Intervention_Cause_Map!$A$2:$A$62,B41)</f>
        <v>1</v>
      </c>
      <c r="W41" s="8" t="str">
        <f t="shared" si="1"/>
        <v>OK</v>
      </c>
    </row>
    <row r="42" spans="1:23" ht="30" customHeight="1" x14ac:dyDescent="0.25">
      <c r="A42" s="8" t="s">
        <v>554</v>
      </c>
      <c r="B42" s="8" t="s">
        <v>320</v>
      </c>
      <c r="C42" s="8" t="s">
        <v>246</v>
      </c>
      <c r="D42" s="8" t="s">
        <v>200</v>
      </c>
      <c r="E42" s="8" t="s">
        <v>211</v>
      </c>
      <c r="F42" s="8" t="s">
        <v>505</v>
      </c>
      <c r="G42" s="8" t="s">
        <v>537</v>
      </c>
      <c r="H42" s="8" t="s">
        <v>538</v>
      </c>
      <c r="I42" s="18">
        <f>INDEX(Risk_Response!$L$2:$L$63,MATCH(G42,Risk_Response!$A$2:$A$63,0))</f>
        <v>1.06</v>
      </c>
      <c r="J42" s="18" t="s">
        <v>490</v>
      </c>
      <c r="K42" s="18"/>
      <c r="L42" s="18">
        <v>0</v>
      </c>
      <c r="M42" s="18"/>
      <c r="N42" s="18" t="s">
        <v>508</v>
      </c>
      <c r="O42" s="18">
        <v>1</v>
      </c>
      <c r="P42" s="8" t="s">
        <v>268</v>
      </c>
      <c r="Q42" s="8" t="s">
        <v>269</v>
      </c>
      <c r="R42" s="8" t="s">
        <v>539</v>
      </c>
      <c r="S42" s="8" t="s">
        <v>540</v>
      </c>
      <c r="T42" s="8" t="s">
        <v>378</v>
      </c>
      <c r="U42" s="8" t="s">
        <v>503</v>
      </c>
      <c r="V42" s="8">
        <f>COUNTIF(Intervention_Cause_Map!$A$2:$A$62,B42)</f>
        <v>1</v>
      </c>
      <c r="W42" s="8" t="str">
        <f t="shared" si="1"/>
        <v>OK</v>
      </c>
    </row>
    <row r="43" spans="1:23" ht="30" customHeight="1" x14ac:dyDescent="0.25">
      <c r="A43" s="8" t="s">
        <v>555</v>
      </c>
      <c r="B43" s="8" t="s">
        <v>321</v>
      </c>
      <c r="C43" s="8" t="s">
        <v>246</v>
      </c>
      <c r="D43" s="8" t="s">
        <v>200</v>
      </c>
      <c r="E43" s="8" t="s">
        <v>220</v>
      </c>
      <c r="F43" s="8" t="s">
        <v>505</v>
      </c>
      <c r="G43" s="8" t="s">
        <v>537</v>
      </c>
      <c r="H43" s="8" t="s">
        <v>538</v>
      </c>
      <c r="I43" s="18">
        <f>INDEX(Risk_Response!$L$2:$L$63,MATCH(G43,Risk_Response!$A$2:$A$63,0))</f>
        <v>1.06</v>
      </c>
      <c r="J43" s="18" t="s">
        <v>490</v>
      </c>
      <c r="K43" s="18"/>
      <c r="L43" s="18">
        <v>0</v>
      </c>
      <c r="M43" s="18"/>
      <c r="N43" s="18" t="s">
        <v>508</v>
      </c>
      <c r="O43" s="18">
        <v>1</v>
      </c>
      <c r="P43" s="8" t="s">
        <v>268</v>
      </c>
      <c r="Q43" s="8" t="s">
        <v>269</v>
      </c>
      <c r="R43" s="8" t="s">
        <v>539</v>
      </c>
      <c r="S43" s="8" t="s">
        <v>540</v>
      </c>
      <c r="T43" s="8" t="s">
        <v>378</v>
      </c>
      <c r="U43" s="8" t="s">
        <v>503</v>
      </c>
      <c r="V43" s="8">
        <f>COUNTIF(Intervention_Cause_Map!$A$2:$A$62,B43)</f>
        <v>1</v>
      </c>
      <c r="W43" s="8" t="str">
        <f t="shared" si="1"/>
        <v>OK</v>
      </c>
    </row>
    <row r="44" spans="1:23" ht="30" customHeight="1" x14ac:dyDescent="0.25">
      <c r="A44" s="8" t="s">
        <v>556</v>
      </c>
      <c r="B44" s="8" t="s">
        <v>322</v>
      </c>
      <c r="C44" s="8" t="s">
        <v>248</v>
      </c>
      <c r="D44" s="8" t="s">
        <v>207</v>
      </c>
      <c r="E44" s="8" t="s">
        <v>194</v>
      </c>
      <c r="F44" s="8" t="str">
        <f>IF(Assumptions!$B$27="PAF","tfa_attributable_ihd_PAF_x_regulatory_gap","direct_loglinear_rr_per_unit_reduction")</f>
        <v>direct_loglinear_rr_per_unit_reduction</v>
      </c>
      <c r="G44" s="8" t="str">
        <f>IF(Assumptions!$B$27="PAF","PAF_TFA_IHD_OPTIONAL","RR_TFA_IHD_1PCT")</f>
        <v>RR_TFA_IHD_1PCT</v>
      </c>
      <c r="H44" s="8" t="str">
        <f>IF(Assumptions!$B$27="PAF","Optional IHD PAF","RR per 1 percentage-point energy/day")</f>
        <v>RR per 1 percentage-point energy/day</v>
      </c>
      <c r="I44" s="18">
        <f>INDEX(Risk_Response!$L$2:$L$63,MATCH(G44,Risk_Response!$A$2:$A$63,0))</f>
        <v>1.1000000000000001</v>
      </c>
      <c r="J44" s="18" t="str">
        <f>IF(Assumptions!$B$27="PAF","proportion","relative risk")</f>
        <v>relative risk</v>
      </c>
      <c r="K44" s="18" t="str">
        <f>IF(Assumptions!$B$27="PAF",Assumptions!$B$28,"")</f>
        <v/>
      </c>
      <c r="L44" s="18">
        <f>IF(Assumptions!$B$27="PAF",1,0)</f>
        <v>0</v>
      </c>
      <c r="M44" s="18"/>
      <c r="N44" s="18" t="s">
        <v>508</v>
      </c>
      <c r="O44" s="18">
        <v>1</v>
      </c>
      <c r="P44" s="8" t="s">
        <v>268</v>
      </c>
      <c r="Q44" s="8" t="s">
        <v>269</v>
      </c>
      <c r="R44" s="8" t="s">
        <v>557</v>
      </c>
      <c r="S44" s="8" t="s">
        <v>558</v>
      </c>
      <c r="T44" s="8" t="s">
        <v>378</v>
      </c>
      <c r="U44" s="8" t="s">
        <v>559</v>
      </c>
      <c r="V44" s="8">
        <f>COUNTIF(Intervention_Cause_Map!$A$2:$A$62,B44)</f>
        <v>1</v>
      </c>
      <c r="W44" s="8" t="str">
        <f t="shared" si="1"/>
        <v>OK</v>
      </c>
    </row>
    <row r="45" spans="1:23" ht="30" customHeight="1" x14ac:dyDescent="0.25">
      <c r="A45" s="8" t="s">
        <v>560</v>
      </c>
      <c r="B45" s="8" t="s">
        <v>325</v>
      </c>
      <c r="C45" s="8" t="s">
        <v>251</v>
      </c>
      <c r="D45" s="8" t="s">
        <v>216</v>
      </c>
      <c r="E45" s="8" t="s">
        <v>194</v>
      </c>
      <c r="F45" s="8" t="s">
        <v>505</v>
      </c>
      <c r="G45" s="8" t="s">
        <v>561</v>
      </c>
      <c r="H45" s="8" t="s">
        <v>562</v>
      </c>
      <c r="I45" s="18">
        <f>INDEX(Risk_Response!$L$2:$L$63,MATCH(G45,Risk_Response!$A$2:$A$63,0))</f>
        <v>1.1399999999999999</v>
      </c>
      <c r="J45" s="18" t="s">
        <v>490</v>
      </c>
      <c r="K45" s="18"/>
      <c r="L45" s="18">
        <v>0</v>
      </c>
      <c r="M45" s="18"/>
      <c r="N45" s="18" t="s">
        <v>508</v>
      </c>
      <c r="O45" s="18">
        <v>1</v>
      </c>
      <c r="P45" s="8" t="s">
        <v>268</v>
      </c>
      <c r="Q45" s="8" t="s">
        <v>269</v>
      </c>
      <c r="R45" s="8" t="s">
        <v>563</v>
      </c>
      <c r="S45" s="8" t="s">
        <v>564</v>
      </c>
      <c r="T45" s="8" t="s">
        <v>378</v>
      </c>
      <c r="U45" s="8" t="s">
        <v>503</v>
      </c>
      <c r="V45" s="8">
        <f>COUNTIF(Intervention_Cause_Map!$A$2:$A$62,B45)</f>
        <v>1</v>
      </c>
      <c r="W45" s="8" t="str">
        <f t="shared" si="1"/>
        <v>OK</v>
      </c>
    </row>
    <row r="46" spans="1:23" ht="30" customHeight="1" x14ac:dyDescent="0.25">
      <c r="A46" s="8" t="s">
        <v>565</v>
      </c>
      <c r="B46" s="8" t="s">
        <v>327</v>
      </c>
      <c r="C46" s="8" t="s">
        <v>251</v>
      </c>
      <c r="D46" s="8" t="s">
        <v>216</v>
      </c>
      <c r="E46" s="8" t="s">
        <v>203</v>
      </c>
      <c r="F46" s="8" t="s">
        <v>505</v>
      </c>
      <c r="G46" s="8" t="s">
        <v>566</v>
      </c>
      <c r="H46" s="8" t="s">
        <v>562</v>
      </c>
      <c r="I46" s="18">
        <f>INDEX(Risk_Response!$L$2:$L$63,MATCH(G46,Risk_Response!$A$2:$A$63,0))</f>
        <v>1.07</v>
      </c>
      <c r="J46" s="18" t="s">
        <v>490</v>
      </c>
      <c r="K46" s="18"/>
      <c r="L46" s="18">
        <v>0</v>
      </c>
      <c r="M46" s="18"/>
      <c r="N46" s="18" t="s">
        <v>508</v>
      </c>
      <c r="O46" s="18">
        <v>1</v>
      </c>
      <c r="P46" s="8" t="s">
        <v>268</v>
      </c>
      <c r="Q46" s="8" t="s">
        <v>269</v>
      </c>
      <c r="R46" s="8" t="s">
        <v>563</v>
      </c>
      <c r="S46" s="8" t="s">
        <v>564</v>
      </c>
      <c r="T46" s="8" t="s">
        <v>378</v>
      </c>
      <c r="U46" s="8" t="s">
        <v>503</v>
      </c>
      <c r="V46" s="8">
        <f>COUNTIF(Intervention_Cause_Map!$A$2:$A$62,B46)</f>
        <v>1</v>
      </c>
      <c r="W46" s="8" t="str">
        <f t="shared" si="1"/>
        <v>OK</v>
      </c>
    </row>
    <row r="47" spans="1:23" ht="30" customHeight="1" x14ac:dyDescent="0.25">
      <c r="A47" s="8" t="s">
        <v>567</v>
      </c>
      <c r="B47" s="8" t="s">
        <v>328</v>
      </c>
      <c r="C47" s="8" t="s">
        <v>251</v>
      </c>
      <c r="D47" s="8" t="s">
        <v>216</v>
      </c>
      <c r="E47" s="8" t="s">
        <v>211</v>
      </c>
      <c r="F47" s="8" t="s">
        <v>505</v>
      </c>
      <c r="G47" s="8" t="s">
        <v>568</v>
      </c>
      <c r="H47" s="8" t="s">
        <v>562</v>
      </c>
      <c r="I47" s="18">
        <f>INDEX(Risk_Response!$L$2:$L$63,MATCH(G47,Risk_Response!$A$2:$A$63,0))</f>
        <v>1.08</v>
      </c>
      <c r="J47" s="18" t="s">
        <v>490</v>
      </c>
      <c r="K47" s="18"/>
      <c r="L47" s="18">
        <v>0</v>
      </c>
      <c r="M47" s="18"/>
      <c r="N47" s="18" t="s">
        <v>508</v>
      </c>
      <c r="O47" s="18">
        <v>1</v>
      </c>
      <c r="P47" s="8" t="s">
        <v>268</v>
      </c>
      <c r="Q47" s="8" t="s">
        <v>269</v>
      </c>
      <c r="R47" s="8" t="s">
        <v>563</v>
      </c>
      <c r="S47" s="8" t="s">
        <v>569</v>
      </c>
      <c r="T47" s="8" t="s">
        <v>378</v>
      </c>
      <c r="U47" s="8" t="s">
        <v>503</v>
      </c>
      <c r="V47" s="8">
        <f>COUNTIF(Intervention_Cause_Map!$A$2:$A$62,B47)</f>
        <v>1</v>
      </c>
      <c r="W47" s="8" t="str">
        <f t="shared" si="1"/>
        <v>OK</v>
      </c>
    </row>
    <row r="48" spans="1:23" ht="30" customHeight="1" x14ac:dyDescent="0.25">
      <c r="A48" s="8" t="s">
        <v>570</v>
      </c>
      <c r="B48" s="8" t="s">
        <v>330</v>
      </c>
      <c r="C48" s="8" t="s">
        <v>251</v>
      </c>
      <c r="D48" s="8" t="s">
        <v>216</v>
      </c>
      <c r="E48" s="8" t="s">
        <v>220</v>
      </c>
      <c r="F48" s="8" t="s">
        <v>505</v>
      </c>
      <c r="G48" s="8" t="s">
        <v>571</v>
      </c>
      <c r="H48" s="8" t="s">
        <v>562</v>
      </c>
      <c r="I48" s="18">
        <f>INDEX(Risk_Response!$L$2:$L$63,MATCH(G48,Risk_Response!$A$2:$A$63,0))</f>
        <v>1.1000000000000001</v>
      </c>
      <c r="J48" s="18" t="s">
        <v>490</v>
      </c>
      <c r="K48" s="18"/>
      <c r="L48" s="18">
        <v>0</v>
      </c>
      <c r="M48" s="18"/>
      <c r="N48" s="18" t="s">
        <v>508</v>
      </c>
      <c r="O48" s="18">
        <v>1</v>
      </c>
      <c r="P48" s="8" t="s">
        <v>268</v>
      </c>
      <c r="Q48" s="8" t="s">
        <v>269</v>
      </c>
      <c r="R48" s="8" t="s">
        <v>563</v>
      </c>
      <c r="S48" s="8" t="s">
        <v>572</v>
      </c>
      <c r="T48" s="8" t="s">
        <v>378</v>
      </c>
      <c r="U48" s="8" t="s">
        <v>503</v>
      </c>
      <c r="V48" s="8">
        <f>COUNTIF(Intervention_Cause_Map!$A$2:$A$62,B48)</f>
        <v>1</v>
      </c>
      <c r="W48" s="8" t="str">
        <f t="shared" si="1"/>
        <v>OK</v>
      </c>
    </row>
    <row r="49" spans="1:23" ht="30" customHeight="1" x14ac:dyDescent="0.25">
      <c r="A49" s="8" t="s">
        <v>573</v>
      </c>
      <c r="B49" s="8" t="s">
        <v>332</v>
      </c>
      <c r="C49" s="8" t="s">
        <v>251</v>
      </c>
      <c r="D49" s="8" t="s">
        <v>216</v>
      </c>
      <c r="E49" s="8" t="s">
        <v>232</v>
      </c>
      <c r="F49" s="8" t="s">
        <v>505</v>
      </c>
      <c r="G49" s="8" t="s">
        <v>574</v>
      </c>
      <c r="H49" s="8" t="s">
        <v>562</v>
      </c>
      <c r="I49" s="18">
        <f>INDEX(Risk_Response!$L$2:$L$63,MATCH(G49,Risk_Response!$A$2:$A$63,0))</f>
        <v>1.18</v>
      </c>
      <c r="J49" s="18" t="s">
        <v>490</v>
      </c>
      <c r="K49" s="18"/>
      <c r="L49" s="18">
        <v>0</v>
      </c>
      <c r="M49" s="18"/>
      <c r="N49" s="18" t="s">
        <v>508</v>
      </c>
      <c r="O49" s="18">
        <v>1</v>
      </c>
      <c r="P49" s="8" t="s">
        <v>268</v>
      </c>
      <c r="Q49" s="8" t="s">
        <v>269</v>
      </c>
      <c r="R49" s="8" t="s">
        <v>563</v>
      </c>
      <c r="S49" s="8" t="s">
        <v>564</v>
      </c>
      <c r="T49" s="8" t="s">
        <v>378</v>
      </c>
      <c r="U49" s="8" t="s">
        <v>503</v>
      </c>
      <c r="V49" s="8">
        <f>COUNTIF(Intervention_Cause_Map!$A$2:$A$62,B49)</f>
        <v>1</v>
      </c>
      <c r="W49" s="8" t="str">
        <f t="shared" si="1"/>
        <v>OK</v>
      </c>
    </row>
    <row r="50" spans="1:23" ht="43.2" customHeight="1" x14ac:dyDescent="0.3">
      <c r="A50" s="11" t="s">
        <v>575</v>
      </c>
      <c r="B50" s="11" t="s">
        <v>333</v>
      </c>
      <c r="C50" s="11" t="s">
        <v>176</v>
      </c>
      <c r="D50" s="11" t="s">
        <v>180</v>
      </c>
      <c r="E50" s="11" t="s">
        <v>194</v>
      </c>
      <c r="F50" s="11" t="s">
        <v>576</v>
      </c>
      <c r="G50" s="11" t="s">
        <v>577</v>
      </c>
      <c r="H50" s="11" t="s">
        <v>578</v>
      </c>
      <c r="I50" s="19">
        <f>INDEX(Risk_Response!$L$2:$L$63,MATCH(G50,Risk_Response!$A$2:$A$63,0))</f>
        <v>3</v>
      </c>
      <c r="J50" s="19" t="s">
        <v>579</v>
      </c>
      <c r="K50" s="19"/>
      <c r="L50" s="19">
        <v>0</v>
      </c>
      <c r="M50" s="19"/>
      <c r="N50" s="19" t="s">
        <v>134</v>
      </c>
      <c r="O50" s="19">
        <f>SUMIF(Assumptions!$A$2:$A$37,"tobacco_cvd_lag_rate",Assumptions!$B$2:$B$37)</f>
        <v>6.1600000000000002E-2</v>
      </c>
      <c r="P50" s="11" t="s">
        <v>269</v>
      </c>
      <c r="Q50" s="11" t="s">
        <v>334</v>
      </c>
      <c r="R50" s="11" t="s">
        <v>580</v>
      </c>
      <c r="S50" s="11" t="s">
        <v>136</v>
      </c>
      <c r="T50" s="11" t="s">
        <v>581</v>
      </c>
      <c r="U50" s="11" t="s">
        <v>582</v>
      </c>
      <c r="V50" s="11">
        <f>COUNTIF(Intervention_Cause_Map!$A$2:$A$62,B50)</f>
        <v>1</v>
      </c>
      <c r="W50" s="11" t="str">
        <f t="shared" si="1"/>
        <v>REVIEW</v>
      </c>
    </row>
    <row r="51" spans="1:23" ht="43.2" customHeight="1" x14ac:dyDescent="0.3">
      <c r="A51" s="11" t="s">
        <v>583</v>
      </c>
      <c r="B51" s="11" t="s">
        <v>336</v>
      </c>
      <c r="C51" s="11" t="s">
        <v>176</v>
      </c>
      <c r="D51" s="11" t="s">
        <v>180</v>
      </c>
      <c r="E51" s="11" t="s">
        <v>203</v>
      </c>
      <c r="F51" s="11" t="s">
        <v>576</v>
      </c>
      <c r="G51" s="11" t="s">
        <v>577</v>
      </c>
      <c r="H51" s="11" t="s">
        <v>578</v>
      </c>
      <c r="I51" s="19">
        <f>INDEX(Risk_Response!$L$2:$L$63,MATCH(G51,Risk_Response!$A$2:$A$63,0))</f>
        <v>3</v>
      </c>
      <c r="J51" s="19" t="s">
        <v>579</v>
      </c>
      <c r="K51" s="19"/>
      <c r="L51" s="19">
        <v>0</v>
      </c>
      <c r="M51" s="19"/>
      <c r="N51" s="19" t="s">
        <v>134</v>
      </c>
      <c r="O51" s="19">
        <f>SUMIF(Assumptions!$A$2:$A$37,"tobacco_cvd_lag_rate",Assumptions!$B$2:$B$37)</f>
        <v>6.1600000000000002E-2</v>
      </c>
      <c r="P51" s="11" t="s">
        <v>269</v>
      </c>
      <c r="Q51" s="11" t="s">
        <v>334</v>
      </c>
      <c r="R51" s="11" t="s">
        <v>580</v>
      </c>
      <c r="S51" s="11" t="s">
        <v>136</v>
      </c>
      <c r="T51" s="11" t="s">
        <v>581</v>
      </c>
      <c r="U51" s="11" t="s">
        <v>582</v>
      </c>
      <c r="V51" s="11">
        <f>COUNTIF(Intervention_Cause_Map!$A$2:$A$62,B51)</f>
        <v>1</v>
      </c>
      <c r="W51" s="11" t="str">
        <f t="shared" si="1"/>
        <v>REVIEW</v>
      </c>
    </row>
    <row r="52" spans="1:23" ht="43.2" customHeight="1" x14ac:dyDescent="0.3">
      <c r="A52" s="11" t="s">
        <v>584</v>
      </c>
      <c r="B52" s="11" t="s">
        <v>337</v>
      </c>
      <c r="C52" s="11" t="s">
        <v>176</v>
      </c>
      <c r="D52" s="11" t="s">
        <v>180</v>
      </c>
      <c r="E52" s="11" t="s">
        <v>211</v>
      </c>
      <c r="F52" s="11" t="s">
        <v>576</v>
      </c>
      <c r="G52" s="11" t="s">
        <v>577</v>
      </c>
      <c r="H52" s="11" t="s">
        <v>578</v>
      </c>
      <c r="I52" s="19">
        <f>INDEX(Risk_Response!$L$2:$L$63,MATCH(G52,Risk_Response!$A$2:$A$63,0))</f>
        <v>3</v>
      </c>
      <c r="J52" s="19" t="s">
        <v>579</v>
      </c>
      <c r="K52" s="19"/>
      <c r="L52" s="19">
        <v>0</v>
      </c>
      <c r="M52" s="19"/>
      <c r="N52" s="19" t="s">
        <v>134</v>
      </c>
      <c r="O52" s="19">
        <f>SUMIF(Assumptions!$A$2:$A$37,"tobacco_cvd_lag_rate",Assumptions!$B$2:$B$37)</f>
        <v>6.1600000000000002E-2</v>
      </c>
      <c r="P52" s="11" t="s">
        <v>269</v>
      </c>
      <c r="Q52" s="11" t="s">
        <v>334</v>
      </c>
      <c r="R52" s="11" t="s">
        <v>580</v>
      </c>
      <c r="S52" s="11" t="s">
        <v>136</v>
      </c>
      <c r="T52" s="11" t="s">
        <v>581</v>
      </c>
      <c r="U52" s="11" t="s">
        <v>582</v>
      </c>
      <c r="V52" s="11">
        <f>COUNTIF(Intervention_Cause_Map!$A$2:$A$62,B52)</f>
        <v>1</v>
      </c>
      <c r="W52" s="11" t="str">
        <f t="shared" si="1"/>
        <v>REVIEW</v>
      </c>
    </row>
    <row r="53" spans="1:23" ht="43.2" customHeight="1" x14ac:dyDescent="0.3">
      <c r="A53" s="11" t="s">
        <v>585</v>
      </c>
      <c r="B53" s="11" t="s">
        <v>338</v>
      </c>
      <c r="C53" s="11" t="s">
        <v>197</v>
      </c>
      <c r="D53" s="11" t="s">
        <v>180</v>
      </c>
      <c r="E53" s="11" t="s">
        <v>194</v>
      </c>
      <c r="F53" s="11" t="s">
        <v>576</v>
      </c>
      <c r="G53" s="11" t="s">
        <v>577</v>
      </c>
      <c r="H53" s="11" t="s">
        <v>578</v>
      </c>
      <c r="I53" s="19">
        <f>INDEX(Risk_Response!$L$2:$L$63,MATCH(G53,Risk_Response!$A$2:$A$63,0))</f>
        <v>3</v>
      </c>
      <c r="J53" s="19" t="s">
        <v>579</v>
      </c>
      <c r="K53" s="19"/>
      <c r="L53" s="19">
        <v>0</v>
      </c>
      <c r="M53" s="19"/>
      <c r="N53" s="19" t="s">
        <v>134</v>
      </c>
      <c r="O53" s="19">
        <f>SUMIF(Assumptions!$A$2:$A$37,"tobacco_cvd_lag_rate",Assumptions!$B$2:$B$37)</f>
        <v>6.1600000000000002E-2</v>
      </c>
      <c r="P53" s="11" t="s">
        <v>269</v>
      </c>
      <c r="Q53" s="11" t="s">
        <v>334</v>
      </c>
      <c r="R53" s="11" t="s">
        <v>580</v>
      </c>
      <c r="S53" s="11" t="s">
        <v>136</v>
      </c>
      <c r="T53" s="11" t="s">
        <v>581</v>
      </c>
      <c r="U53" s="11" t="s">
        <v>582</v>
      </c>
      <c r="V53" s="11">
        <f>COUNTIF(Intervention_Cause_Map!$A$2:$A$62,B53)</f>
        <v>1</v>
      </c>
      <c r="W53" s="11" t="str">
        <f t="shared" si="1"/>
        <v>REVIEW</v>
      </c>
    </row>
    <row r="54" spans="1:23" ht="43.2" customHeight="1" x14ac:dyDescent="0.3">
      <c r="A54" s="11" t="s">
        <v>586</v>
      </c>
      <c r="B54" s="11" t="s">
        <v>339</v>
      </c>
      <c r="C54" s="11" t="s">
        <v>197</v>
      </c>
      <c r="D54" s="11" t="s">
        <v>180</v>
      </c>
      <c r="E54" s="11" t="s">
        <v>203</v>
      </c>
      <c r="F54" s="11" t="s">
        <v>576</v>
      </c>
      <c r="G54" s="11" t="s">
        <v>577</v>
      </c>
      <c r="H54" s="11" t="s">
        <v>578</v>
      </c>
      <c r="I54" s="19">
        <f>INDEX(Risk_Response!$L$2:$L$63,MATCH(G54,Risk_Response!$A$2:$A$63,0))</f>
        <v>3</v>
      </c>
      <c r="J54" s="19" t="s">
        <v>579</v>
      </c>
      <c r="K54" s="19"/>
      <c r="L54" s="19">
        <v>0</v>
      </c>
      <c r="M54" s="19"/>
      <c r="N54" s="19" t="s">
        <v>134</v>
      </c>
      <c r="O54" s="19">
        <f>SUMIF(Assumptions!$A$2:$A$37,"tobacco_cvd_lag_rate",Assumptions!$B$2:$B$37)</f>
        <v>6.1600000000000002E-2</v>
      </c>
      <c r="P54" s="11" t="s">
        <v>269</v>
      </c>
      <c r="Q54" s="11" t="s">
        <v>334</v>
      </c>
      <c r="R54" s="11" t="s">
        <v>580</v>
      </c>
      <c r="S54" s="11" t="s">
        <v>136</v>
      </c>
      <c r="T54" s="11" t="s">
        <v>581</v>
      </c>
      <c r="U54" s="11" t="s">
        <v>582</v>
      </c>
      <c r="V54" s="11">
        <f>COUNTIF(Intervention_Cause_Map!$A$2:$A$62,B54)</f>
        <v>1</v>
      </c>
      <c r="W54" s="11" t="str">
        <f t="shared" si="1"/>
        <v>REVIEW</v>
      </c>
    </row>
    <row r="55" spans="1:23" ht="43.2" customHeight="1" x14ac:dyDescent="0.3">
      <c r="A55" s="11" t="s">
        <v>587</v>
      </c>
      <c r="B55" s="11" t="s">
        <v>340</v>
      </c>
      <c r="C55" s="11" t="s">
        <v>197</v>
      </c>
      <c r="D55" s="11" t="s">
        <v>180</v>
      </c>
      <c r="E55" s="11" t="s">
        <v>211</v>
      </c>
      <c r="F55" s="11" t="s">
        <v>576</v>
      </c>
      <c r="G55" s="11" t="s">
        <v>577</v>
      </c>
      <c r="H55" s="11" t="s">
        <v>578</v>
      </c>
      <c r="I55" s="19">
        <f>INDEX(Risk_Response!$L$2:$L$63,MATCH(G55,Risk_Response!$A$2:$A$63,0))</f>
        <v>3</v>
      </c>
      <c r="J55" s="19" t="s">
        <v>579</v>
      </c>
      <c r="K55" s="19"/>
      <c r="L55" s="19">
        <v>0</v>
      </c>
      <c r="M55" s="19"/>
      <c r="N55" s="19" t="s">
        <v>134</v>
      </c>
      <c r="O55" s="19">
        <f>SUMIF(Assumptions!$A$2:$A$37,"tobacco_cvd_lag_rate",Assumptions!$B$2:$B$37)</f>
        <v>6.1600000000000002E-2</v>
      </c>
      <c r="P55" s="11" t="s">
        <v>269</v>
      </c>
      <c r="Q55" s="11" t="s">
        <v>334</v>
      </c>
      <c r="R55" s="11" t="s">
        <v>580</v>
      </c>
      <c r="S55" s="11" t="s">
        <v>136</v>
      </c>
      <c r="T55" s="11" t="s">
        <v>581</v>
      </c>
      <c r="U55" s="11" t="s">
        <v>582</v>
      </c>
      <c r="V55" s="11">
        <f>COUNTIF(Intervention_Cause_Map!$A$2:$A$62,B55)</f>
        <v>1</v>
      </c>
      <c r="W55" s="11" t="str">
        <f t="shared" si="1"/>
        <v>REVIEW</v>
      </c>
    </row>
    <row r="56" spans="1:23" ht="43.2" customHeight="1" x14ac:dyDescent="0.3">
      <c r="A56" s="11" t="s">
        <v>588</v>
      </c>
      <c r="B56" s="11" t="s">
        <v>341</v>
      </c>
      <c r="C56" s="11" t="s">
        <v>205</v>
      </c>
      <c r="D56" s="11" t="s">
        <v>180</v>
      </c>
      <c r="E56" s="11" t="s">
        <v>194</v>
      </c>
      <c r="F56" s="11" t="s">
        <v>576</v>
      </c>
      <c r="G56" s="11" t="s">
        <v>577</v>
      </c>
      <c r="H56" s="11" t="s">
        <v>578</v>
      </c>
      <c r="I56" s="19">
        <f>INDEX(Risk_Response!$L$2:$L$63,MATCH(G56,Risk_Response!$A$2:$A$63,0))</f>
        <v>3</v>
      </c>
      <c r="J56" s="19" t="s">
        <v>579</v>
      </c>
      <c r="K56" s="19"/>
      <c r="L56" s="19">
        <v>0</v>
      </c>
      <c r="M56" s="19"/>
      <c r="N56" s="19" t="s">
        <v>134</v>
      </c>
      <c r="O56" s="19">
        <f>SUMIF(Assumptions!$A$2:$A$37,"tobacco_cvd_lag_rate",Assumptions!$B$2:$B$37)</f>
        <v>6.1600000000000002E-2</v>
      </c>
      <c r="P56" s="11" t="s">
        <v>269</v>
      </c>
      <c r="Q56" s="11" t="s">
        <v>334</v>
      </c>
      <c r="R56" s="11" t="s">
        <v>580</v>
      </c>
      <c r="S56" s="11" t="s">
        <v>136</v>
      </c>
      <c r="T56" s="11" t="s">
        <v>581</v>
      </c>
      <c r="U56" s="11" t="s">
        <v>582</v>
      </c>
      <c r="V56" s="11">
        <f>COUNTIF(Intervention_Cause_Map!$A$2:$A$62,B56)</f>
        <v>1</v>
      </c>
      <c r="W56" s="11" t="str">
        <f t="shared" si="1"/>
        <v>REVIEW</v>
      </c>
    </row>
    <row r="57" spans="1:23" ht="43.2" customHeight="1" x14ac:dyDescent="0.3">
      <c r="A57" s="11" t="s">
        <v>589</v>
      </c>
      <c r="B57" s="11" t="s">
        <v>342</v>
      </c>
      <c r="C57" s="11" t="s">
        <v>205</v>
      </c>
      <c r="D57" s="11" t="s">
        <v>180</v>
      </c>
      <c r="E57" s="11" t="s">
        <v>203</v>
      </c>
      <c r="F57" s="11" t="s">
        <v>576</v>
      </c>
      <c r="G57" s="11" t="s">
        <v>577</v>
      </c>
      <c r="H57" s="11" t="s">
        <v>578</v>
      </c>
      <c r="I57" s="19">
        <f>INDEX(Risk_Response!$L$2:$L$63,MATCH(G57,Risk_Response!$A$2:$A$63,0))</f>
        <v>3</v>
      </c>
      <c r="J57" s="19" t="s">
        <v>579</v>
      </c>
      <c r="K57" s="19"/>
      <c r="L57" s="19">
        <v>0</v>
      </c>
      <c r="M57" s="19"/>
      <c r="N57" s="19" t="s">
        <v>134</v>
      </c>
      <c r="O57" s="19">
        <f>SUMIF(Assumptions!$A$2:$A$37,"tobacco_cvd_lag_rate",Assumptions!$B$2:$B$37)</f>
        <v>6.1600000000000002E-2</v>
      </c>
      <c r="P57" s="11" t="s">
        <v>269</v>
      </c>
      <c r="Q57" s="11" t="s">
        <v>334</v>
      </c>
      <c r="R57" s="11" t="s">
        <v>580</v>
      </c>
      <c r="S57" s="11" t="s">
        <v>136</v>
      </c>
      <c r="T57" s="11" t="s">
        <v>581</v>
      </c>
      <c r="U57" s="11" t="s">
        <v>582</v>
      </c>
      <c r="V57" s="11">
        <f>COUNTIF(Intervention_Cause_Map!$A$2:$A$62,B57)</f>
        <v>1</v>
      </c>
      <c r="W57" s="11" t="str">
        <f t="shared" si="1"/>
        <v>REVIEW</v>
      </c>
    </row>
    <row r="58" spans="1:23" ht="43.2" customHeight="1" x14ac:dyDescent="0.3">
      <c r="A58" s="11" t="s">
        <v>590</v>
      </c>
      <c r="B58" s="11" t="s">
        <v>343</v>
      </c>
      <c r="C58" s="11" t="s">
        <v>205</v>
      </c>
      <c r="D58" s="11" t="s">
        <v>180</v>
      </c>
      <c r="E58" s="11" t="s">
        <v>211</v>
      </c>
      <c r="F58" s="11" t="s">
        <v>576</v>
      </c>
      <c r="G58" s="11" t="s">
        <v>577</v>
      </c>
      <c r="H58" s="11" t="s">
        <v>578</v>
      </c>
      <c r="I58" s="19">
        <f>INDEX(Risk_Response!$L$2:$L$63,MATCH(G58,Risk_Response!$A$2:$A$63,0))</f>
        <v>3</v>
      </c>
      <c r="J58" s="19" t="s">
        <v>579</v>
      </c>
      <c r="K58" s="19"/>
      <c r="L58" s="19">
        <v>0</v>
      </c>
      <c r="M58" s="19"/>
      <c r="N58" s="19" t="s">
        <v>134</v>
      </c>
      <c r="O58" s="19">
        <f>SUMIF(Assumptions!$A$2:$A$37,"tobacco_cvd_lag_rate",Assumptions!$B$2:$B$37)</f>
        <v>6.1600000000000002E-2</v>
      </c>
      <c r="P58" s="11" t="s">
        <v>269</v>
      </c>
      <c r="Q58" s="11" t="s">
        <v>334</v>
      </c>
      <c r="R58" s="11" t="s">
        <v>580</v>
      </c>
      <c r="S58" s="11" t="s">
        <v>136</v>
      </c>
      <c r="T58" s="11" t="s">
        <v>581</v>
      </c>
      <c r="U58" s="11" t="s">
        <v>582</v>
      </c>
      <c r="V58" s="11">
        <f>COUNTIF(Intervention_Cause_Map!$A$2:$A$62,B58)</f>
        <v>1</v>
      </c>
      <c r="W58" s="11" t="str">
        <f t="shared" si="1"/>
        <v>REVIEW</v>
      </c>
    </row>
    <row r="59" spans="1:23" ht="43.2" customHeight="1" x14ac:dyDescent="0.3">
      <c r="A59" s="11" t="s">
        <v>591</v>
      </c>
      <c r="B59" s="11" t="s">
        <v>344</v>
      </c>
      <c r="C59" s="11" t="s">
        <v>214</v>
      </c>
      <c r="D59" s="11" t="s">
        <v>180</v>
      </c>
      <c r="E59" s="11" t="s">
        <v>194</v>
      </c>
      <c r="F59" s="11" t="s">
        <v>576</v>
      </c>
      <c r="G59" s="11" t="s">
        <v>577</v>
      </c>
      <c r="H59" s="11" t="s">
        <v>578</v>
      </c>
      <c r="I59" s="19">
        <f>INDEX(Risk_Response!$L$2:$L$63,MATCH(G59,Risk_Response!$A$2:$A$63,0))</f>
        <v>3</v>
      </c>
      <c r="J59" s="19" t="s">
        <v>579</v>
      </c>
      <c r="K59" s="19"/>
      <c r="L59" s="19">
        <v>0</v>
      </c>
      <c r="M59" s="19"/>
      <c r="N59" s="19" t="s">
        <v>134</v>
      </c>
      <c r="O59" s="19">
        <f>SUMIF(Assumptions!$A$2:$A$37,"tobacco_cvd_lag_rate",Assumptions!$B$2:$B$37)</f>
        <v>6.1600000000000002E-2</v>
      </c>
      <c r="P59" s="11" t="s">
        <v>269</v>
      </c>
      <c r="Q59" s="11" t="s">
        <v>334</v>
      </c>
      <c r="R59" s="11" t="s">
        <v>580</v>
      </c>
      <c r="S59" s="11" t="s">
        <v>136</v>
      </c>
      <c r="T59" s="11" t="s">
        <v>581</v>
      </c>
      <c r="U59" s="11" t="s">
        <v>582</v>
      </c>
      <c r="V59" s="11">
        <f>COUNTIF(Intervention_Cause_Map!$A$2:$A$62,B59)</f>
        <v>1</v>
      </c>
      <c r="W59" s="11" t="str">
        <f t="shared" si="1"/>
        <v>REVIEW</v>
      </c>
    </row>
    <row r="60" spans="1:23" ht="43.2" customHeight="1" x14ac:dyDescent="0.3">
      <c r="A60" s="11" t="s">
        <v>592</v>
      </c>
      <c r="B60" s="11" t="s">
        <v>345</v>
      </c>
      <c r="C60" s="11" t="s">
        <v>214</v>
      </c>
      <c r="D60" s="11" t="s">
        <v>180</v>
      </c>
      <c r="E60" s="11" t="s">
        <v>203</v>
      </c>
      <c r="F60" s="11" t="s">
        <v>576</v>
      </c>
      <c r="G60" s="11" t="s">
        <v>577</v>
      </c>
      <c r="H60" s="11" t="s">
        <v>578</v>
      </c>
      <c r="I60" s="19">
        <f>INDEX(Risk_Response!$L$2:$L$63,MATCH(G60,Risk_Response!$A$2:$A$63,0))</f>
        <v>3</v>
      </c>
      <c r="J60" s="19" t="s">
        <v>579</v>
      </c>
      <c r="K60" s="19"/>
      <c r="L60" s="19">
        <v>0</v>
      </c>
      <c r="M60" s="19"/>
      <c r="N60" s="19" t="s">
        <v>134</v>
      </c>
      <c r="O60" s="19">
        <f>SUMIF(Assumptions!$A$2:$A$37,"tobacco_cvd_lag_rate",Assumptions!$B$2:$B$37)</f>
        <v>6.1600000000000002E-2</v>
      </c>
      <c r="P60" s="11" t="s">
        <v>269</v>
      </c>
      <c r="Q60" s="11" t="s">
        <v>334</v>
      </c>
      <c r="R60" s="11" t="s">
        <v>580</v>
      </c>
      <c r="S60" s="11" t="s">
        <v>136</v>
      </c>
      <c r="T60" s="11" t="s">
        <v>581</v>
      </c>
      <c r="U60" s="11" t="s">
        <v>582</v>
      </c>
      <c r="V60" s="11">
        <f>COUNTIF(Intervention_Cause_Map!$A$2:$A$62,B60)</f>
        <v>1</v>
      </c>
      <c r="W60" s="11" t="str">
        <f t="shared" si="1"/>
        <v>REVIEW</v>
      </c>
    </row>
    <row r="61" spans="1:23" ht="43.2" customHeight="1" x14ac:dyDescent="0.3">
      <c r="A61" s="11" t="s">
        <v>593</v>
      </c>
      <c r="B61" s="11" t="s">
        <v>346</v>
      </c>
      <c r="C61" s="11" t="s">
        <v>214</v>
      </c>
      <c r="D61" s="11" t="s">
        <v>180</v>
      </c>
      <c r="E61" s="11" t="s">
        <v>211</v>
      </c>
      <c r="F61" s="11" t="s">
        <v>576</v>
      </c>
      <c r="G61" s="11" t="s">
        <v>577</v>
      </c>
      <c r="H61" s="11" t="s">
        <v>578</v>
      </c>
      <c r="I61" s="19">
        <f>INDEX(Risk_Response!$L$2:$L$63,MATCH(G61,Risk_Response!$A$2:$A$63,0))</f>
        <v>3</v>
      </c>
      <c r="J61" s="19" t="s">
        <v>579</v>
      </c>
      <c r="K61" s="19"/>
      <c r="L61" s="19">
        <v>0</v>
      </c>
      <c r="M61" s="19"/>
      <c r="N61" s="19" t="s">
        <v>134</v>
      </c>
      <c r="O61" s="19">
        <f>SUMIF(Assumptions!$A$2:$A$37,"tobacco_cvd_lag_rate",Assumptions!$B$2:$B$37)</f>
        <v>6.1600000000000002E-2</v>
      </c>
      <c r="P61" s="11" t="s">
        <v>269</v>
      </c>
      <c r="Q61" s="11" t="s">
        <v>334</v>
      </c>
      <c r="R61" s="11" t="s">
        <v>580</v>
      </c>
      <c r="S61" s="11" t="s">
        <v>136</v>
      </c>
      <c r="T61" s="11" t="s">
        <v>581</v>
      </c>
      <c r="U61" s="11" t="s">
        <v>582</v>
      </c>
      <c r="V61" s="11">
        <f>COUNTIF(Intervention_Cause_Map!$A$2:$A$62,B61)</f>
        <v>1</v>
      </c>
      <c r="W61" s="11" t="str">
        <f t="shared" si="1"/>
        <v>REVIEW</v>
      </c>
    </row>
    <row r="62" spans="1:23" ht="43.2" customHeight="1" x14ac:dyDescent="0.3">
      <c r="A62" s="11" t="s">
        <v>594</v>
      </c>
      <c r="B62" s="11" t="s">
        <v>347</v>
      </c>
      <c r="C62" s="11" t="s">
        <v>251</v>
      </c>
      <c r="D62" s="11" t="s">
        <v>216</v>
      </c>
      <c r="E62" s="11" t="s">
        <v>232</v>
      </c>
      <c r="F62" s="11" t="s">
        <v>505</v>
      </c>
      <c r="G62" s="11" t="s">
        <v>595</v>
      </c>
      <c r="H62" s="11" t="s">
        <v>596</v>
      </c>
      <c r="I62" s="19">
        <f>INDEX(Risk_Response!$L$2:$L$63,MATCH(G62,Risk_Response!$A$2:$A$63,0))</f>
        <v>1.08</v>
      </c>
      <c r="J62" s="19" t="s">
        <v>579</v>
      </c>
      <c r="K62" s="19"/>
      <c r="L62" s="19">
        <v>0</v>
      </c>
      <c r="M62" s="19"/>
      <c r="N62" s="19" t="s">
        <v>508</v>
      </c>
      <c r="O62" s="19">
        <v>1</v>
      </c>
      <c r="P62" s="11" t="s">
        <v>269</v>
      </c>
      <c r="Q62" s="11" t="s">
        <v>334</v>
      </c>
      <c r="R62" s="11" t="s">
        <v>597</v>
      </c>
      <c r="S62" s="11" t="s">
        <v>598</v>
      </c>
      <c r="T62" s="11" t="s">
        <v>599</v>
      </c>
      <c r="U62" s="11" t="s">
        <v>600</v>
      </c>
      <c r="V62" s="11">
        <f>COUNTIF(Intervention_Cause_Map!$A$2:$A$62,B62)</f>
        <v>1</v>
      </c>
      <c r="W62" s="11" t="str">
        <f t="shared" si="1"/>
        <v>REVIEW</v>
      </c>
    </row>
  </sheetData>
  <conditionalFormatting sqref="T2:T10">
    <cfRule type="containsText" dxfId="28" priority="2" operator="containsText" text="OK">
      <formula>NOT(ISERROR(SEARCH("OK",T2)))</formula>
    </cfRule>
    <cfRule type="containsText" dxfId="27" priority="3" operator="containsText" text="FAIL">
      <formula>NOT(ISERROR(SEARCH("FAIL",T2)))</formula>
    </cfRule>
    <cfRule type="containsText" dxfId="26" priority="4" operator="containsText" text="REVIEW">
      <formula>NOT(ISERROR(SEARCH("REVIEW",T2)))</formula>
    </cfRule>
  </conditionalFormatting>
  <conditionalFormatting sqref="W2:W10">
    <cfRule type="containsText" dxfId="25" priority="5" operator="containsText" text="OK">
      <formula>NOT(ISERROR(SEARCH("OK",W2)))</formula>
    </cfRule>
    <cfRule type="containsText" dxfId="24" priority="6" operator="containsText" text="FAIL">
      <formula>NOT(ISERROR(SEARCH("FAIL",W2)))</formula>
    </cfRule>
    <cfRule type="containsText" dxfId="23" priority="7" operator="containsText" text="REVIEW">
      <formula>NOT(ISERROR(SEARCH("REVIEW",W2)))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3"/>
  <sheetViews>
    <sheetView showGridLines="0" topLeftCell="A43" zoomScale="85" zoomScaleNormal="85" workbookViewId="0">
      <selection activeCell="D8" sqref="D8"/>
    </sheetView>
  </sheetViews>
  <sheetFormatPr defaultColWidth="11.5546875" defaultRowHeight="13.2" x14ac:dyDescent="0.25"/>
  <cols>
    <col min="1" max="3" width="16" customWidth="1"/>
    <col min="4" max="4" width="38" customWidth="1"/>
    <col min="5" max="8" width="16" customWidth="1"/>
    <col min="9" max="9" width="38" customWidth="1"/>
    <col min="10" max="10" width="16" customWidth="1"/>
    <col min="11" max="11" width="38" customWidth="1"/>
    <col min="12" max="12" width="16" customWidth="1"/>
    <col min="13" max="15" width="38" customWidth="1"/>
    <col min="16" max="16" width="16" customWidth="1"/>
    <col min="17" max="17" width="38" customWidth="1"/>
  </cols>
  <sheetData>
    <row r="1" spans="1:17" ht="34.049999999999997" customHeight="1" x14ac:dyDescent="0.25">
      <c r="A1" s="7" t="s">
        <v>474</v>
      </c>
      <c r="B1" s="7" t="s">
        <v>167</v>
      </c>
      <c r="C1" s="7" t="s">
        <v>601</v>
      </c>
      <c r="D1" s="7" t="s">
        <v>602</v>
      </c>
      <c r="E1" s="7" t="s">
        <v>603</v>
      </c>
      <c r="F1" s="7" t="s">
        <v>604</v>
      </c>
      <c r="G1" s="7" t="s">
        <v>605</v>
      </c>
      <c r="H1" s="7" t="s">
        <v>171</v>
      </c>
      <c r="I1" s="7" t="s">
        <v>606</v>
      </c>
      <c r="J1" s="7" t="s">
        <v>607</v>
      </c>
      <c r="K1" s="7" t="s">
        <v>608</v>
      </c>
      <c r="L1" s="7" t="s">
        <v>609</v>
      </c>
      <c r="M1" s="7" t="s">
        <v>610</v>
      </c>
      <c r="N1" s="7" t="s">
        <v>611</v>
      </c>
      <c r="O1" s="7" t="s">
        <v>39</v>
      </c>
      <c r="P1" s="7" t="s">
        <v>612</v>
      </c>
      <c r="Q1" s="7" t="s">
        <v>263</v>
      </c>
    </row>
    <row r="2" spans="1:17" ht="30" customHeight="1" x14ac:dyDescent="0.25">
      <c r="A2" s="8" t="s">
        <v>488</v>
      </c>
      <c r="B2" s="8" t="s">
        <v>180</v>
      </c>
      <c r="C2" s="8" t="s">
        <v>613</v>
      </c>
      <c r="D2" s="8" t="s">
        <v>614</v>
      </c>
      <c r="E2" s="8">
        <v>20</v>
      </c>
      <c r="F2" s="8">
        <v>95</v>
      </c>
      <c r="G2" s="8" t="s">
        <v>615</v>
      </c>
      <c r="H2" s="8" t="s">
        <v>194</v>
      </c>
      <c r="I2" s="8" t="s">
        <v>616</v>
      </c>
      <c r="J2" s="17">
        <v>1.6</v>
      </c>
      <c r="K2" s="18" t="s">
        <v>617</v>
      </c>
      <c r="L2" s="18">
        <f>J2</f>
        <v>1.6</v>
      </c>
      <c r="M2" s="8" t="s">
        <v>617</v>
      </c>
      <c r="N2" s="8" t="s">
        <v>618</v>
      </c>
      <c r="O2" s="8" t="s">
        <v>619</v>
      </c>
      <c r="P2" s="8">
        <v>1</v>
      </c>
      <c r="Q2" s="8" t="s">
        <v>620</v>
      </c>
    </row>
    <row r="3" spans="1:17" ht="30" customHeight="1" x14ac:dyDescent="0.25">
      <c r="A3" s="8" t="s">
        <v>495</v>
      </c>
      <c r="B3" s="8" t="s">
        <v>180</v>
      </c>
      <c r="C3" s="8" t="s">
        <v>613</v>
      </c>
      <c r="D3" s="8" t="s">
        <v>621</v>
      </c>
      <c r="E3" s="8">
        <v>20</v>
      </c>
      <c r="F3" s="8">
        <v>95</v>
      </c>
      <c r="G3" s="8" t="s">
        <v>615</v>
      </c>
      <c r="H3" s="8" t="s">
        <v>203</v>
      </c>
      <c r="I3" s="8" t="s">
        <v>204</v>
      </c>
      <c r="J3" s="17">
        <v>1.38</v>
      </c>
      <c r="K3" s="18" t="s">
        <v>617</v>
      </c>
      <c r="L3" s="18">
        <f>J3</f>
        <v>1.38</v>
      </c>
      <c r="M3" s="8" t="s">
        <v>617</v>
      </c>
      <c r="N3" s="8" t="s">
        <v>618</v>
      </c>
      <c r="O3" s="8" t="s">
        <v>619</v>
      </c>
      <c r="P3" s="8">
        <v>1</v>
      </c>
      <c r="Q3" s="8" t="s">
        <v>622</v>
      </c>
    </row>
    <row r="4" spans="1:17" ht="30" customHeight="1" x14ac:dyDescent="0.25">
      <c r="A4" s="8" t="s">
        <v>497</v>
      </c>
      <c r="B4" s="8" t="s">
        <v>180</v>
      </c>
      <c r="C4" s="8" t="s">
        <v>613</v>
      </c>
      <c r="D4" s="8" t="s">
        <v>623</v>
      </c>
      <c r="E4" s="8">
        <v>20</v>
      </c>
      <c r="F4" s="8">
        <v>95</v>
      </c>
      <c r="G4" s="8" t="s">
        <v>615</v>
      </c>
      <c r="H4" s="8" t="s">
        <v>211</v>
      </c>
      <c r="I4" s="8" t="s">
        <v>624</v>
      </c>
      <c r="J4" s="17">
        <v>1.19</v>
      </c>
      <c r="K4" s="18" t="s">
        <v>617</v>
      </c>
      <c r="L4" s="18">
        <f>J4</f>
        <v>1.19</v>
      </c>
      <c r="M4" s="8" t="s">
        <v>617</v>
      </c>
      <c r="N4" s="8" t="s">
        <v>618</v>
      </c>
      <c r="O4" s="8" t="s">
        <v>619</v>
      </c>
      <c r="P4" s="8">
        <v>1</v>
      </c>
      <c r="Q4" s="8" t="s">
        <v>625</v>
      </c>
    </row>
    <row r="5" spans="1:17" ht="30" customHeight="1" x14ac:dyDescent="0.25">
      <c r="A5" s="8" t="s">
        <v>499</v>
      </c>
      <c r="B5" s="8" t="s">
        <v>180</v>
      </c>
      <c r="C5" s="8" t="s">
        <v>613</v>
      </c>
      <c r="D5" s="8" t="s">
        <v>626</v>
      </c>
      <c r="E5" s="8">
        <v>20</v>
      </c>
      <c r="F5" s="8">
        <v>95</v>
      </c>
      <c r="G5" s="8" t="s">
        <v>615</v>
      </c>
      <c r="H5" s="8" t="s">
        <v>232</v>
      </c>
      <c r="I5" s="8" t="s">
        <v>627</v>
      </c>
      <c r="J5" s="17">
        <v>1.37</v>
      </c>
      <c r="K5" s="18" t="s">
        <v>617</v>
      </c>
      <c r="L5" s="18">
        <f>J5</f>
        <v>1.37</v>
      </c>
      <c r="M5" s="8" t="s">
        <v>617</v>
      </c>
      <c r="N5" s="8" t="s">
        <v>618</v>
      </c>
      <c r="O5" s="8" t="s">
        <v>502</v>
      </c>
      <c r="P5" s="8">
        <v>1</v>
      </c>
      <c r="Q5" s="8" t="s">
        <v>628</v>
      </c>
    </row>
    <row r="6" spans="1:17" ht="30" customHeight="1" x14ac:dyDescent="0.25">
      <c r="A6" s="8" t="s">
        <v>506</v>
      </c>
      <c r="B6" s="8" t="s">
        <v>190</v>
      </c>
      <c r="C6" s="8" t="s">
        <v>613</v>
      </c>
      <c r="D6" s="8" t="s">
        <v>629</v>
      </c>
      <c r="E6" s="8">
        <v>20</v>
      </c>
      <c r="F6" s="8">
        <v>95</v>
      </c>
      <c r="G6" s="8" t="s">
        <v>615</v>
      </c>
      <c r="H6" s="8" t="s">
        <v>194</v>
      </c>
      <c r="I6" s="8" t="s">
        <v>616</v>
      </c>
      <c r="J6" s="17">
        <v>1.06</v>
      </c>
      <c r="K6" s="18" t="s">
        <v>630</v>
      </c>
      <c r="L6" s="18">
        <f>J6^(1/(100*Assumptions!$B$19/Assumptions!$B$18))</f>
        <v>1.0088803849749666</v>
      </c>
      <c r="M6" s="8" t="s">
        <v>507</v>
      </c>
      <c r="N6" s="8" t="s">
        <v>631</v>
      </c>
      <c r="O6" s="8" t="s">
        <v>510</v>
      </c>
      <c r="P6" s="8">
        <v>1</v>
      </c>
      <c r="Q6" s="8" t="s">
        <v>632</v>
      </c>
    </row>
    <row r="7" spans="1:17" ht="30" customHeight="1" x14ac:dyDescent="0.25">
      <c r="A7" s="8" t="s">
        <v>512</v>
      </c>
      <c r="B7" s="8" t="s">
        <v>190</v>
      </c>
      <c r="C7" s="8" t="s">
        <v>613</v>
      </c>
      <c r="D7" s="8" t="s">
        <v>633</v>
      </c>
      <c r="E7" s="8">
        <v>20</v>
      </c>
      <c r="F7" s="8">
        <v>95</v>
      </c>
      <c r="G7" s="8" t="s">
        <v>615</v>
      </c>
      <c r="H7" s="8" t="s">
        <v>203</v>
      </c>
      <c r="I7" s="8" t="s">
        <v>204</v>
      </c>
      <c r="J7" s="17">
        <v>1.1399999999999999</v>
      </c>
      <c r="K7" s="18" t="s">
        <v>630</v>
      </c>
      <c r="L7" s="18">
        <f>J7^(1/(100*Assumptions!$B$19/Assumptions!$B$18))</f>
        <v>1.020079962718877</v>
      </c>
      <c r="M7" s="8" t="s">
        <v>507</v>
      </c>
      <c r="N7" s="8" t="s">
        <v>631</v>
      </c>
      <c r="O7" s="8" t="s">
        <v>510</v>
      </c>
      <c r="P7" s="8">
        <v>1</v>
      </c>
      <c r="Q7" s="8" t="s">
        <v>634</v>
      </c>
    </row>
    <row r="8" spans="1:17" ht="30" customHeight="1" x14ac:dyDescent="0.25">
      <c r="A8" s="8" t="s">
        <v>514</v>
      </c>
      <c r="B8" s="8" t="s">
        <v>190</v>
      </c>
      <c r="C8" s="8" t="s">
        <v>613</v>
      </c>
      <c r="D8" s="8" t="s">
        <v>635</v>
      </c>
      <c r="E8" s="8">
        <v>20</v>
      </c>
      <c r="F8" s="8">
        <v>95</v>
      </c>
      <c r="G8" s="8" t="s">
        <v>615</v>
      </c>
      <c r="H8" s="8" t="s">
        <v>211</v>
      </c>
      <c r="I8" s="8" t="s">
        <v>624</v>
      </c>
      <c r="J8" s="17">
        <v>1.1399999999999999</v>
      </c>
      <c r="K8" s="18" t="s">
        <v>630</v>
      </c>
      <c r="L8" s="18">
        <f>J8^(1/(100*Assumptions!$B$19/Assumptions!$B$18))</f>
        <v>1.020079962718877</v>
      </c>
      <c r="M8" s="8" t="s">
        <v>507</v>
      </c>
      <c r="N8" s="8" t="s">
        <v>631</v>
      </c>
      <c r="O8" s="8" t="s">
        <v>510</v>
      </c>
      <c r="P8" s="8">
        <v>1</v>
      </c>
      <c r="Q8" s="8" t="s">
        <v>634</v>
      </c>
    </row>
    <row r="9" spans="1:17" ht="30" customHeight="1" x14ac:dyDescent="0.25">
      <c r="A9" s="8" t="s">
        <v>516</v>
      </c>
      <c r="B9" s="8" t="s">
        <v>190</v>
      </c>
      <c r="C9" s="8" t="s">
        <v>613</v>
      </c>
      <c r="D9" s="8" t="s">
        <v>636</v>
      </c>
      <c r="E9" s="8">
        <v>20</v>
      </c>
      <c r="F9" s="8">
        <v>95</v>
      </c>
      <c r="G9" s="8" t="s">
        <v>615</v>
      </c>
      <c r="H9" s="8" t="s">
        <v>220</v>
      </c>
      <c r="I9" s="8" t="s">
        <v>637</v>
      </c>
      <c r="J9" s="17">
        <v>1.24</v>
      </c>
      <c r="K9" s="18" t="s">
        <v>630</v>
      </c>
      <c r="L9" s="18">
        <f>J9^(1/(100*Assumptions!$B$19/Assumptions!$B$18))</f>
        <v>1.0331775104357432</v>
      </c>
      <c r="M9" s="8" t="s">
        <v>507</v>
      </c>
      <c r="N9" s="8" t="s">
        <v>631</v>
      </c>
      <c r="O9" s="8" t="s">
        <v>510</v>
      </c>
      <c r="P9" s="8">
        <v>1</v>
      </c>
      <c r="Q9" s="8" t="s">
        <v>638</v>
      </c>
    </row>
    <row r="10" spans="1:17" ht="30" customHeight="1" x14ac:dyDescent="0.25">
      <c r="A10" s="8" t="s">
        <v>518</v>
      </c>
      <c r="B10" s="8" t="s">
        <v>190</v>
      </c>
      <c r="C10" s="8" t="s">
        <v>613</v>
      </c>
      <c r="D10" s="8" t="s">
        <v>639</v>
      </c>
      <c r="E10" s="8">
        <v>20</v>
      </c>
      <c r="F10" s="8">
        <v>95</v>
      </c>
      <c r="G10" s="8" t="s">
        <v>615</v>
      </c>
      <c r="H10" s="8" t="s">
        <v>225</v>
      </c>
      <c r="I10" s="8" t="s">
        <v>640</v>
      </c>
      <c r="J10" s="17">
        <v>1.0900000000000001</v>
      </c>
      <c r="K10" s="18" t="s">
        <v>630</v>
      </c>
      <c r="L10" s="18">
        <f>J10^(1/(100*Assumptions!$B$19/Assumptions!$B$18))</f>
        <v>1.0131616703515811</v>
      </c>
      <c r="M10" s="8" t="s">
        <v>507</v>
      </c>
      <c r="N10" s="8" t="s">
        <v>631</v>
      </c>
      <c r="O10" s="8" t="s">
        <v>510</v>
      </c>
      <c r="P10" s="8">
        <v>1</v>
      </c>
      <c r="Q10" s="8" t="s">
        <v>641</v>
      </c>
    </row>
    <row r="11" spans="1:17" ht="30" customHeight="1" x14ac:dyDescent="0.25">
      <c r="A11" s="8" t="s">
        <v>642</v>
      </c>
      <c r="B11" s="8" t="s">
        <v>180</v>
      </c>
      <c r="C11" s="8" t="s">
        <v>643</v>
      </c>
      <c r="D11" s="8" t="s">
        <v>644</v>
      </c>
      <c r="E11" s="8">
        <v>20</v>
      </c>
      <c r="F11" s="8">
        <v>95</v>
      </c>
      <c r="G11" s="8" t="s">
        <v>615</v>
      </c>
      <c r="H11" s="8" t="s">
        <v>645</v>
      </c>
      <c r="I11" s="8" t="s">
        <v>646</v>
      </c>
      <c r="J11" s="17">
        <v>6.1600000000000002E-2</v>
      </c>
      <c r="K11" s="18" t="s">
        <v>81</v>
      </c>
      <c r="L11" s="18">
        <v>6.1600000000000002E-2</v>
      </c>
      <c r="M11" s="8" t="s">
        <v>81</v>
      </c>
      <c r="N11" s="8" t="s">
        <v>647</v>
      </c>
      <c r="O11" s="8" t="s">
        <v>648</v>
      </c>
      <c r="P11" s="8">
        <v>0</v>
      </c>
      <c r="Q11" s="8" t="s">
        <v>649</v>
      </c>
    </row>
    <row r="12" spans="1:17" ht="30" customHeight="1" x14ac:dyDescent="0.25">
      <c r="A12" s="8" t="s">
        <v>650</v>
      </c>
      <c r="B12" s="8" t="s">
        <v>180</v>
      </c>
      <c r="C12" s="8" t="s">
        <v>613</v>
      </c>
      <c r="D12" s="8" t="s">
        <v>651</v>
      </c>
      <c r="E12" s="8">
        <v>20</v>
      </c>
      <c r="F12" s="8">
        <v>95</v>
      </c>
      <c r="G12" s="8" t="s">
        <v>615</v>
      </c>
      <c r="H12" s="8" t="s">
        <v>232</v>
      </c>
      <c r="I12" s="8" t="s">
        <v>627</v>
      </c>
      <c r="J12" s="17">
        <v>0.47</v>
      </c>
      <c r="K12" s="18" t="s">
        <v>652</v>
      </c>
      <c r="L12" s="18">
        <f>1-(1-J12)^(1/10)</f>
        <v>6.1514456812961193E-2</v>
      </c>
      <c r="M12" s="8" t="s">
        <v>653</v>
      </c>
      <c r="N12" s="8" t="s">
        <v>654</v>
      </c>
      <c r="O12" s="8" t="s">
        <v>655</v>
      </c>
      <c r="P12" s="8">
        <v>1</v>
      </c>
      <c r="Q12" s="8" t="s">
        <v>581</v>
      </c>
    </row>
    <row r="13" spans="1:17" ht="30" customHeight="1" x14ac:dyDescent="0.25">
      <c r="A13" s="8" t="s">
        <v>537</v>
      </c>
      <c r="B13" s="8" t="s">
        <v>200</v>
      </c>
      <c r="C13" s="8" t="s">
        <v>613</v>
      </c>
      <c r="D13" s="8" t="s">
        <v>656</v>
      </c>
      <c r="E13" s="8">
        <v>0</v>
      </c>
      <c r="F13" s="8">
        <v>95</v>
      </c>
      <c r="G13" s="8" t="s">
        <v>615</v>
      </c>
      <c r="H13" s="8" t="s">
        <v>657</v>
      </c>
      <c r="I13" s="8" t="s">
        <v>646</v>
      </c>
      <c r="J13" s="17">
        <v>1.06</v>
      </c>
      <c r="K13" s="18" t="s">
        <v>538</v>
      </c>
      <c r="L13" s="18">
        <f t="shared" ref="L13:L18" si="0">J13</f>
        <v>1.06</v>
      </c>
      <c r="M13" s="8" t="s">
        <v>538</v>
      </c>
      <c r="N13" s="8" t="s">
        <v>618</v>
      </c>
      <c r="O13" s="8" t="s">
        <v>658</v>
      </c>
      <c r="P13" s="8">
        <v>1</v>
      </c>
      <c r="Q13" s="8" t="s">
        <v>659</v>
      </c>
    </row>
    <row r="14" spans="1:17" ht="30" customHeight="1" x14ac:dyDescent="0.25">
      <c r="A14" s="8" t="s">
        <v>660</v>
      </c>
      <c r="B14" s="8" t="s">
        <v>207</v>
      </c>
      <c r="C14" s="8" t="s">
        <v>613</v>
      </c>
      <c r="D14" s="8" t="s">
        <v>661</v>
      </c>
      <c r="E14" s="8">
        <v>0</v>
      </c>
      <c r="F14" s="8">
        <v>95</v>
      </c>
      <c r="G14" s="8" t="s">
        <v>615</v>
      </c>
      <c r="H14" s="8" t="s">
        <v>194</v>
      </c>
      <c r="I14" s="8" t="s">
        <v>616</v>
      </c>
      <c r="J14" s="17">
        <f>+SQRT(1.21)</f>
        <v>1.1000000000000001</v>
      </c>
      <c r="K14" s="18" t="s">
        <v>662</v>
      </c>
      <c r="L14" s="18">
        <f t="shared" si="0"/>
        <v>1.1000000000000001</v>
      </c>
      <c r="M14" s="8" t="s">
        <v>663</v>
      </c>
      <c r="N14" s="8" t="s">
        <v>664</v>
      </c>
      <c r="O14" s="8" t="s">
        <v>558</v>
      </c>
      <c r="P14" s="8">
        <v>1</v>
      </c>
      <c r="Q14" s="8" t="s">
        <v>665</v>
      </c>
    </row>
    <row r="15" spans="1:17" ht="30" customHeight="1" x14ac:dyDescent="0.25">
      <c r="A15" s="8" t="s">
        <v>666</v>
      </c>
      <c r="B15" s="8" t="s">
        <v>207</v>
      </c>
      <c r="C15" s="8" t="s">
        <v>667</v>
      </c>
      <c r="D15" s="8" t="s">
        <v>668</v>
      </c>
      <c r="E15" s="8">
        <v>0</v>
      </c>
      <c r="F15" s="8">
        <v>95</v>
      </c>
      <c r="G15" s="8" t="s">
        <v>615</v>
      </c>
      <c r="H15" s="8" t="s">
        <v>194</v>
      </c>
      <c r="I15" s="8" t="s">
        <v>616</v>
      </c>
      <c r="J15" s="17">
        <f>Assumptions!$B$28</f>
        <v>0</v>
      </c>
      <c r="K15" s="18" t="s">
        <v>112</v>
      </c>
      <c r="L15" s="18">
        <f t="shared" si="0"/>
        <v>0</v>
      </c>
      <c r="M15" s="8" t="s">
        <v>112</v>
      </c>
      <c r="N15" s="8" t="s">
        <v>669</v>
      </c>
      <c r="O15" s="8" t="s">
        <v>132</v>
      </c>
      <c r="P15" s="8">
        <v>0</v>
      </c>
      <c r="Q15" s="8" t="s">
        <v>670</v>
      </c>
    </row>
    <row r="16" spans="1:17" ht="30" customHeight="1" x14ac:dyDescent="0.25">
      <c r="A16" s="8" t="s">
        <v>671</v>
      </c>
      <c r="B16" s="8" t="s">
        <v>207</v>
      </c>
      <c r="C16" s="8" t="s">
        <v>672</v>
      </c>
      <c r="D16" s="8" t="s">
        <v>673</v>
      </c>
      <c r="E16" s="8">
        <v>0</v>
      </c>
      <c r="F16" s="8">
        <v>95</v>
      </c>
      <c r="G16" s="8" t="s">
        <v>615</v>
      </c>
      <c r="H16" s="8" t="s">
        <v>194</v>
      </c>
      <c r="I16" s="8" t="s">
        <v>674</v>
      </c>
      <c r="J16" s="17">
        <v>1</v>
      </c>
      <c r="K16" s="18" t="s">
        <v>675</v>
      </c>
      <c r="L16" s="18">
        <f t="shared" si="0"/>
        <v>1</v>
      </c>
      <c r="M16" s="8" t="s">
        <v>675</v>
      </c>
      <c r="N16" s="8" t="s">
        <v>676</v>
      </c>
      <c r="O16" s="8" t="s">
        <v>677</v>
      </c>
      <c r="P16" s="8">
        <v>0</v>
      </c>
      <c r="Q16" s="8" t="s">
        <v>678</v>
      </c>
    </row>
    <row r="17" spans="1:17" ht="30" customHeight="1" x14ac:dyDescent="0.25">
      <c r="A17" s="8" t="s">
        <v>679</v>
      </c>
      <c r="B17" s="8" t="s">
        <v>207</v>
      </c>
      <c r="C17" s="8" t="s">
        <v>672</v>
      </c>
      <c r="D17" s="8" t="s">
        <v>680</v>
      </c>
      <c r="E17" s="8">
        <v>0</v>
      </c>
      <c r="F17" s="8">
        <v>95</v>
      </c>
      <c r="G17" s="8" t="s">
        <v>615</v>
      </c>
      <c r="H17" s="8" t="s">
        <v>194</v>
      </c>
      <c r="I17" s="8" t="s">
        <v>674</v>
      </c>
      <c r="J17" s="17">
        <v>1</v>
      </c>
      <c r="K17" s="18" t="s">
        <v>675</v>
      </c>
      <c r="L17" s="18">
        <f t="shared" si="0"/>
        <v>1</v>
      </c>
      <c r="M17" s="8" t="s">
        <v>675</v>
      </c>
      <c r="N17" s="8" t="s">
        <v>676</v>
      </c>
      <c r="O17" s="8" t="s">
        <v>677</v>
      </c>
      <c r="P17" s="8">
        <v>0</v>
      </c>
      <c r="Q17" s="8" t="s">
        <v>678</v>
      </c>
    </row>
    <row r="18" spans="1:17" ht="30" customHeight="1" x14ac:dyDescent="0.25">
      <c r="A18" s="8" t="s">
        <v>681</v>
      </c>
      <c r="B18" s="8" t="s">
        <v>207</v>
      </c>
      <c r="C18" s="8" t="s">
        <v>672</v>
      </c>
      <c r="D18" s="8" t="s">
        <v>682</v>
      </c>
      <c r="E18" s="8">
        <v>0</v>
      </c>
      <c r="F18" s="8">
        <v>95</v>
      </c>
      <c r="G18" s="8" t="s">
        <v>615</v>
      </c>
      <c r="H18" s="8" t="s">
        <v>194</v>
      </c>
      <c r="I18" s="8" t="s">
        <v>674</v>
      </c>
      <c r="J18" s="17">
        <v>1</v>
      </c>
      <c r="K18" s="18" t="s">
        <v>675</v>
      </c>
      <c r="L18" s="18">
        <f t="shared" si="0"/>
        <v>1</v>
      </c>
      <c r="M18" s="8" t="s">
        <v>675</v>
      </c>
      <c r="N18" s="8" t="s">
        <v>676</v>
      </c>
      <c r="O18" s="8" t="s">
        <v>677</v>
      </c>
      <c r="P18" s="8">
        <v>0</v>
      </c>
      <c r="Q18" s="8" t="s">
        <v>678</v>
      </c>
    </row>
    <row r="19" spans="1:17" ht="30" customHeight="1" x14ac:dyDescent="0.25">
      <c r="A19" s="8" t="s">
        <v>683</v>
      </c>
      <c r="B19" s="8" t="s">
        <v>207</v>
      </c>
      <c r="C19" s="8" t="s">
        <v>672</v>
      </c>
      <c r="D19" s="8" t="s">
        <v>684</v>
      </c>
      <c r="E19" s="8">
        <v>0</v>
      </c>
      <c r="F19" s="8">
        <v>95</v>
      </c>
      <c r="G19" s="8" t="s">
        <v>615</v>
      </c>
      <c r="H19" s="8" t="s">
        <v>194</v>
      </c>
      <c r="I19" s="8" t="s">
        <v>674</v>
      </c>
      <c r="J19" s="17">
        <v>0.29699999999999999</v>
      </c>
      <c r="K19" s="18" t="s">
        <v>675</v>
      </c>
      <c r="L19" s="18">
        <v>0.29699999999999999</v>
      </c>
      <c r="M19" s="8" t="s">
        <v>675</v>
      </c>
      <c r="N19" s="8" t="s">
        <v>676</v>
      </c>
      <c r="O19" s="8" t="s">
        <v>677</v>
      </c>
      <c r="P19" s="8">
        <v>0</v>
      </c>
      <c r="Q19" s="8" t="s">
        <v>678</v>
      </c>
    </row>
    <row r="20" spans="1:17" ht="30" customHeight="1" x14ac:dyDescent="0.25">
      <c r="A20" s="8" t="s">
        <v>685</v>
      </c>
      <c r="B20" s="8" t="s">
        <v>207</v>
      </c>
      <c r="C20" s="8" t="s">
        <v>672</v>
      </c>
      <c r="D20" s="8" t="s">
        <v>686</v>
      </c>
      <c r="E20" s="8">
        <v>0</v>
      </c>
      <c r="F20" s="8">
        <v>95</v>
      </c>
      <c r="G20" s="8" t="s">
        <v>615</v>
      </c>
      <c r="H20" s="8" t="s">
        <v>194</v>
      </c>
      <c r="I20" s="8" t="s">
        <v>674</v>
      </c>
      <c r="J20" s="17">
        <v>0</v>
      </c>
      <c r="K20" s="18" t="s">
        <v>675</v>
      </c>
      <c r="L20" s="18">
        <v>0</v>
      </c>
      <c r="M20" s="8" t="s">
        <v>675</v>
      </c>
      <c r="N20" s="8" t="s">
        <v>676</v>
      </c>
      <c r="O20" s="8" t="s">
        <v>677</v>
      </c>
      <c r="P20" s="8">
        <v>0</v>
      </c>
      <c r="Q20" s="8" t="s">
        <v>678</v>
      </c>
    </row>
    <row r="21" spans="1:17" ht="30" customHeight="1" x14ac:dyDescent="0.25">
      <c r="A21" s="8" t="s">
        <v>561</v>
      </c>
      <c r="B21" s="8" t="s">
        <v>216</v>
      </c>
      <c r="C21" s="8" t="s">
        <v>613</v>
      </c>
      <c r="D21" s="8" t="s">
        <v>687</v>
      </c>
      <c r="E21" s="8">
        <v>20</v>
      </c>
      <c r="F21" s="8">
        <v>95</v>
      </c>
      <c r="G21" s="8" t="s">
        <v>615</v>
      </c>
      <c r="H21" s="8" t="s">
        <v>194</v>
      </c>
      <c r="I21" s="8" t="s">
        <v>616</v>
      </c>
      <c r="J21" s="17">
        <v>1.1399999999999999</v>
      </c>
      <c r="K21" s="18" t="s">
        <v>688</v>
      </c>
      <c r="L21" s="18">
        <v>1.1399999999999999</v>
      </c>
      <c r="M21" s="8" t="s">
        <v>688</v>
      </c>
      <c r="N21" s="8" t="s">
        <v>689</v>
      </c>
      <c r="O21" s="8" t="s">
        <v>564</v>
      </c>
      <c r="P21" s="8">
        <v>1</v>
      </c>
      <c r="Q21" s="8" t="s">
        <v>690</v>
      </c>
    </row>
    <row r="22" spans="1:17" ht="30" customHeight="1" x14ac:dyDescent="0.25">
      <c r="A22" s="8" t="s">
        <v>566</v>
      </c>
      <c r="B22" s="8" t="s">
        <v>216</v>
      </c>
      <c r="C22" s="8" t="s">
        <v>613</v>
      </c>
      <c r="D22" s="8" t="s">
        <v>691</v>
      </c>
      <c r="E22" s="8">
        <v>20</v>
      </c>
      <c r="F22" s="8">
        <v>95</v>
      </c>
      <c r="G22" s="8" t="s">
        <v>615</v>
      </c>
      <c r="H22" s="8" t="s">
        <v>203</v>
      </c>
      <c r="I22" s="8" t="s">
        <v>204</v>
      </c>
      <c r="J22" s="17">
        <v>1.07</v>
      </c>
      <c r="K22" s="18" t="s">
        <v>688</v>
      </c>
      <c r="L22" s="18">
        <v>1.07</v>
      </c>
      <c r="M22" s="8" t="s">
        <v>688</v>
      </c>
      <c r="N22" s="8" t="s">
        <v>689</v>
      </c>
      <c r="O22" s="8" t="s">
        <v>564</v>
      </c>
      <c r="P22" s="8">
        <v>1</v>
      </c>
      <c r="Q22" s="8" t="s">
        <v>690</v>
      </c>
    </row>
    <row r="23" spans="1:17" ht="30" customHeight="1" x14ac:dyDescent="0.25">
      <c r="A23" s="8" t="s">
        <v>568</v>
      </c>
      <c r="B23" s="8" t="s">
        <v>216</v>
      </c>
      <c r="C23" s="8" t="s">
        <v>613</v>
      </c>
      <c r="D23" s="8" t="s">
        <v>692</v>
      </c>
      <c r="E23" s="8">
        <v>20</v>
      </c>
      <c r="F23" s="8">
        <v>95</v>
      </c>
      <c r="G23" s="8" t="s">
        <v>615</v>
      </c>
      <c r="H23" s="8" t="s">
        <v>211</v>
      </c>
      <c r="I23" s="8" t="s">
        <v>624</v>
      </c>
      <c r="J23" s="17">
        <v>1.08</v>
      </c>
      <c r="K23" s="18" t="s">
        <v>693</v>
      </c>
      <c r="L23" s="18">
        <v>1.08</v>
      </c>
      <c r="M23" s="8" t="s">
        <v>688</v>
      </c>
      <c r="N23" s="8" t="s">
        <v>694</v>
      </c>
      <c r="O23" s="8" t="s">
        <v>569</v>
      </c>
      <c r="P23" s="8">
        <v>1</v>
      </c>
      <c r="Q23" s="8" t="s">
        <v>581</v>
      </c>
    </row>
    <row r="24" spans="1:17" ht="30" customHeight="1" x14ac:dyDescent="0.25">
      <c r="A24" s="8" t="s">
        <v>571</v>
      </c>
      <c r="B24" s="8" t="s">
        <v>216</v>
      </c>
      <c r="C24" s="8" t="s">
        <v>613</v>
      </c>
      <c r="D24" s="8" t="s">
        <v>695</v>
      </c>
      <c r="E24" s="8">
        <v>20</v>
      </c>
      <c r="F24" s="8">
        <v>95</v>
      </c>
      <c r="G24" s="8" t="s">
        <v>615</v>
      </c>
      <c r="H24" s="8" t="s">
        <v>220</v>
      </c>
      <c r="I24" s="8" t="s">
        <v>637</v>
      </c>
      <c r="J24" s="17">
        <v>1.1000000000000001</v>
      </c>
      <c r="K24" s="18" t="s">
        <v>696</v>
      </c>
      <c r="L24" s="18">
        <v>1.1000000000000001</v>
      </c>
      <c r="M24" s="8" t="s">
        <v>688</v>
      </c>
      <c r="N24" s="8" t="s">
        <v>697</v>
      </c>
      <c r="O24" s="8" t="s">
        <v>572</v>
      </c>
      <c r="P24" s="8">
        <v>1</v>
      </c>
      <c r="Q24" s="8" t="s">
        <v>581</v>
      </c>
    </row>
    <row r="25" spans="1:17" ht="30" customHeight="1" x14ac:dyDescent="0.25">
      <c r="A25" s="8" t="s">
        <v>574</v>
      </c>
      <c r="B25" s="8" t="s">
        <v>216</v>
      </c>
      <c r="C25" s="8" t="s">
        <v>613</v>
      </c>
      <c r="D25" s="8" t="s">
        <v>698</v>
      </c>
      <c r="E25" s="8">
        <v>20</v>
      </c>
      <c r="F25" s="8">
        <v>95</v>
      </c>
      <c r="G25" s="8" t="s">
        <v>615</v>
      </c>
      <c r="H25" s="8" t="s">
        <v>232</v>
      </c>
      <c r="I25" s="8" t="s">
        <v>627</v>
      </c>
      <c r="J25" s="17">
        <v>1.18</v>
      </c>
      <c r="K25" s="18" t="s">
        <v>688</v>
      </c>
      <c r="L25" s="18">
        <v>1.18</v>
      </c>
      <c r="M25" s="8" t="s">
        <v>688</v>
      </c>
      <c r="N25" s="8" t="s">
        <v>689</v>
      </c>
      <c r="O25" s="8" t="s">
        <v>564</v>
      </c>
      <c r="P25" s="8">
        <v>1</v>
      </c>
      <c r="Q25" s="8" t="s">
        <v>690</v>
      </c>
    </row>
    <row r="26" spans="1:17" ht="30" customHeight="1" x14ac:dyDescent="0.25">
      <c r="A26" s="8" t="s">
        <v>699</v>
      </c>
      <c r="B26" s="8" t="s">
        <v>216</v>
      </c>
      <c r="C26" s="8" t="s">
        <v>672</v>
      </c>
      <c r="D26" s="8" t="s">
        <v>700</v>
      </c>
      <c r="E26" s="8">
        <v>20</v>
      </c>
      <c r="F26" s="8">
        <v>95</v>
      </c>
      <c r="G26" s="8" t="s">
        <v>615</v>
      </c>
      <c r="H26" s="8" t="s">
        <v>232</v>
      </c>
      <c r="I26" s="8" t="s">
        <v>701</v>
      </c>
      <c r="J26" s="17">
        <v>2.4E-2</v>
      </c>
      <c r="K26" s="18" t="s">
        <v>702</v>
      </c>
      <c r="L26" s="18">
        <v>2.4E-2</v>
      </c>
      <c r="M26" s="8" t="s">
        <v>112</v>
      </c>
      <c r="N26" s="8" t="s">
        <v>703</v>
      </c>
      <c r="O26" s="8" t="s">
        <v>564</v>
      </c>
      <c r="P26" s="8">
        <v>0</v>
      </c>
      <c r="Q26" s="8" t="s">
        <v>704</v>
      </c>
    </row>
    <row r="27" spans="1:17" ht="30" customHeight="1" x14ac:dyDescent="0.25">
      <c r="A27" s="8" t="s">
        <v>705</v>
      </c>
      <c r="B27" s="8" t="s">
        <v>216</v>
      </c>
      <c r="C27" s="8" t="s">
        <v>672</v>
      </c>
      <c r="D27" s="8" t="s">
        <v>706</v>
      </c>
      <c r="E27" s="8">
        <v>20</v>
      </c>
      <c r="F27" s="8">
        <v>95</v>
      </c>
      <c r="G27" s="8" t="s">
        <v>615</v>
      </c>
      <c r="H27" s="8" t="s">
        <v>707</v>
      </c>
      <c r="I27" s="8" t="s">
        <v>708</v>
      </c>
      <c r="J27" s="17">
        <v>8.9999999999999993E-3</v>
      </c>
      <c r="K27" s="18" t="s">
        <v>702</v>
      </c>
      <c r="L27" s="18">
        <v>8.9999999999999993E-3</v>
      </c>
      <c r="M27" s="8" t="s">
        <v>112</v>
      </c>
      <c r="N27" s="8" t="s">
        <v>703</v>
      </c>
      <c r="O27" s="8" t="s">
        <v>564</v>
      </c>
      <c r="P27" s="8">
        <v>0</v>
      </c>
      <c r="Q27" s="8" t="s">
        <v>704</v>
      </c>
    </row>
    <row r="28" spans="1:17" ht="30" customHeight="1" x14ac:dyDescent="0.25">
      <c r="A28" s="8" t="s">
        <v>709</v>
      </c>
      <c r="B28" s="8" t="s">
        <v>216</v>
      </c>
      <c r="C28" s="8" t="s">
        <v>672</v>
      </c>
      <c r="D28" s="8" t="s">
        <v>710</v>
      </c>
      <c r="E28" s="8">
        <v>20</v>
      </c>
      <c r="F28" s="8">
        <v>95</v>
      </c>
      <c r="G28" s="8" t="s">
        <v>615</v>
      </c>
      <c r="H28" s="8" t="s">
        <v>232</v>
      </c>
      <c r="I28" s="8" t="s">
        <v>711</v>
      </c>
      <c r="J28" s="17">
        <v>1.2E-2</v>
      </c>
      <c r="K28" s="18" t="s">
        <v>702</v>
      </c>
      <c r="L28" s="18">
        <v>1.2E-2</v>
      </c>
      <c r="M28" s="8" t="s">
        <v>112</v>
      </c>
      <c r="N28" s="8" t="s">
        <v>703</v>
      </c>
      <c r="O28" s="8" t="s">
        <v>564</v>
      </c>
      <c r="P28" s="8">
        <v>0</v>
      </c>
      <c r="Q28" s="8" t="s">
        <v>704</v>
      </c>
    </row>
    <row r="29" spans="1:17" ht="30" customHeight="1" x14ac:dyDescent="0.25">
      <c r="A29" s="8" t="s">
        <v>712</v>
      </c>
      <c r="B29" s="8" t="s">
        <v>216</v>
      </c>
      <c r="C29" s="8" t="s">
        <v>672</v>
      </c>
      <c r="D29" s="8" t="s">
        <v>713</v>
      </c>
      <c r="E29" s="8">
        <v>20</v>
      </c>
      <c r="F29" s="8">
        <v>95</v>
      </c>
      <c r="G29" s="8" t="s">
        <v>615</v>
      </c>
      <c r="H29" s="8" t="s">
        <v>707</v>
      </c>
      <c r="I29" s="8" t="s">
        <v>714</v>
      </c>
      <c r="J29" s="17">
        <v>8.0000000000000002E-3</v>
      </c>
      <c r="K29" s="18" t="s">
        <v>702</v>
      </c>
      <c r="L29" s="18">
        <v>8.0000000000000002E-3</v>
      </c>
      <c r="M29" s="8" t="s">
        <v>112</v>
      </c>
      <c r="N29" s="8" t="s">
        <v>703</v>
      </c>
      <c r="O29" s="8" t="s">
        <v>564</v>
      </c>
      <c r="P29" s="8">
        <v>0</v>
      </c>
      <c r="Q29" s="8" t="s">
        <v>704</v>
      </c>
    </row>
    <row r="30" spans="1:17" ht="28.8" customHeight="1" x14ac:dyDescent="0.3">
      <c r="A30" s="11" t="s">
        <v>715</v>
      </c>
      <c r="B30" s="11" t="s">
        <v>180</v>
      </c>
      <c r="C30" s="11" t="s">
        <v>613</v>
      </c>
      <c r="D30" s="11" t="s">
        <v>716</v>
      </c>
      <c r="E30" s="11">
        <v>20</v>
      </c>
      <c r="F30" s="11">
        <v>95</v>
      </c>
      <c r="G30" s="11" t="s">
        <v>717</v>
      </c>
      <c r="H30" s="11" t="s">
        <v>645</v>
      </c>
      <c r="I30" s="11" t="s">
        <v>718</v>
      </c>
      <c r="J30" s="13">
        <v>2.9</v>
      </c>
      <c r="K30" s="19" t="s">
        <v>145</v>
      </c>
      <c r="L30" s="19">
        <v>2.9</v>
      </c>
      <c r="M30" s="11" t="s">
        <v>145</v>
      </c>
      <c r="N30" s="11" t="s">
        <v>719</v>
      </c>
      <c r="O30" s="11" t="s">
        <v>136</v>
      </c>
      <c r="P30" s="11">
        <v>1</v>
      </c>
      <c r="Q30" s="11" t="s">
        <v>720</v>
      </c>
    </row>
    <row r="31" spans="1:17" ht="43.2" customHeight="1" x14ac:dyDescent="0.3">
      <c r="A31" s="11" t="s">
        <v>721</v>
      </c>
      <c r="B31" s="11" t="s">
        <v>180</v>
      </c>
      <c r="C31" s="11" t="s">
        <v>613</v>
      </c>
      <c r="D31" s="11" t="s">
        <v>722</v>
      </c>
      <c r="E31" s="11">
        <v>20</v>
      </c>
      <c r="F31" s="11">
        <v>95</v>
      </c>
      <c r="G31" s="11" t="s">
        <v>723</v>
      </c>
      <c r="H31" s="11" t="s">
        <v>645</v>
      </c>
      <c r="I31" s="11" t="s">
        <v>718</v>
      </c>
      <c r="J31" s="13">
        <v>3.1</v>
      </c>
      <c r="K31" s="19" t="s">
        <v>145</v>
      </c>
      <c r="L31" s="19">
        <v>3.1</v>
      </c>
      <c r="M31" s="11" t="s">
        <v>145</v>
      </c>
      <c r="N31" s="11" t="s">
        <v>719</v>
      </c>
      <c r="O31" s="11" t="s">
        <v>136</v>
      </c>
      <c r="P31" s="11">
        <v>1</v>
      </c>
      <c r="Q31" s="11" t="s">
        <v>720</v>
      </c>
    </row>
    <row r="32" spans="1:17" ht="43.2" customHeight="1" x14ac:dyDescent="0.3">
      <c r="A32" s="11" t="s">
        <v>577</v>
      </c>
      <c r="B32" s="11" t="s">
        <v>180</v>
      </c>
      <c r="C32" s="11" t="s">
        <v>613</v>
      </c>
      <c r="D32" s="11" t="s">
        <v>724</v>
      </c>
      <c r="E32" s="11">
        <v>20</v>
      </c>
      <c r="F32" s="11">
        <v>95</v>
      </c>
      <c r="G32" s="11" t="s">
        <v>615</v>
      </c>
      <c r="H32" s="11" t="s">
        <v>645</v>
      </c>
      <c r="I32" s="11" t="s">
        <v>718</v>
      </c>
      <c r="J32" s="13">
        <v>3</v>
      </c>
      <c r="K32" s="19" t="s">
        <v>145</v>
      </c>
      <c r="L32" s="19">
        <f>AVERAGE(L30:L31)</f>
        <v>3</v>
      </c>
      <c r="M32" s="11" t="s">
        <v>145</v>
      </c>
      <c r="N32" s="11" t="s">
        <v>725</v>
      </c>
      <c r="O32" s="11" t="s">
        <v>136</v>
      </c>
      <c r="P32" s="11">
        <v>1</v>
      </c>
      <c r="Q32" s="11" t="s">
        <v>726</v>
      </c>
    </row>
    <row r="33" spans="1:17" ht="28.8" customHeight="1" x14ac:dyDescent="0.3">
      <c r="A33" s="11" t="s">
        <v>727</v>
      </c>
      <c r="B33" s="11" t="s">
        <v>180</v>
      </c>
      <c r="C33" s="11" t="s">
        <v>613</v>
      </c>
      <c r="D33" s="11" t="s">
        <v>728</v>
      </c>
      <c r="E33" s="11">
        <v>20</v>
      </c>
      <c r="F33" s="11">
        <v>39</v>
      </c>
      <c r="G33" s="11" t="s">
        <v>717</v>
      </c>
      <c r="H33" s="11" t="s">
        <v>645</v>
      </c>
      <c r="I33" s="11" t="s">
        <v>729</v>
      </c>
      <c r="J33" s="13">
        <v>0.9</v>
      </c>
      <c r="K33" s="19" t="s">
        <v>730</v>
      </c>
      <c r="L33" s="19">
        <v>1</v>
      </c>
      <c r="M33" s="11" t="s">
        <v>731</v>
      </c>
      <c r="N33" s="11" t="s">
        <v>732</v>
      </c>
      <c r="O33" s="11" t="s">
        <v>136</v>
      </c>
      <c r="P33" s="11">
        <v>1</v>
      </c>
      <c r="Q33" s="11" t="s">
        <v>733</v>
      </c>
    </row>
    <row r="34" spans="1:17" ht="28.8" customHeight="1" x14ac:dyDescent="0.3">
      <c r="A34" s="11" t="s">
        <v>734</v>
      </c>
      <c r="B34" s="11" t="s">
        <v>180</v>
      </c>
      <c r="C34" s="11" t="s">
        <v>613</v>
      </c>
      <c r="D34" s="11" t="s">
        <v>735</v>
      </c>
      <c r="E34" s="11">
        <v>20</v>
      </c>
      <c r="F34" s="11">
        <v>39</v>
      </c>
      <c r="G34" s="11" t="s">
        <v>717</v>
      </c>
      <c r="H34" s="11" t="s">
        <v>645</v>
      </c>
      <c r="I34" s="11" t="s">
        <v>736</v>
      </c>
      <c r="J34" s="13">
        <v>0.92</v>
      </c>
      <c r="K34" s="19" t="s">
        <v>730</v>
      </c>
      <c r="L34" s="19">
        <v>1</v>
      </c>
      <c r="M34" s="11" t="s">
        <v>731</v>
      </c>
      <c r="N34" s="11" t="s">
        <v>732</v>
      </c>
      <c r="O34" s="11" t="s">
        <v>136</v>
      </c>
      <c r="P34" s="11">
        <v>1</v>
      </c>
      <c r="Q34" s="11" t="s">
        <v>733</v>
      </c>
    </row>
    <row r="35" spans="1:17" ht="28.8" customHeight="1" x14ac:dyDescent="0.3">
      <c r="A35" s="11" t="s">
        <v>737</v>
      </c>
      <c r="B35" s="11" t="s">
        <v>180</v>
      </c>
      <c r="C35" s="11" t="s">
        <v>613</v>
      </c>
      <c r="D35" s="11" t="s">
        <v>738</v>
      </c>
      <c r="E35" s="11">
        <v>20</v>
      </c>
      <c r="F35" s="11">
        <v>39</v>
      </c>
      <c r="G35" s="11" t="s">
        <v>717</v>
      </c>
      <c r="H35" s="11" t="s">
        <v>645</v>
      </c>
      <c r="I35" s="11" t="s">
        <v>739</v>
      </c>
      <c r="J35" s="13">
        <v>0.84</v>
      </c>
      <c r="K35" s="19" t="s">
        <v>730</v>
      </c>
      <c r="L35" s="19">
        <v>1</v>
      </c>
      <c r="M35" s="11" t="s">
        <v>731</v>
      </c>
      <c r="N35" s="11" t="s">
        <v>732</v>
      </c>
      <c r="O35" s="11" t="s">
        <v>136</v>
      </c>
      <c r="P35" s="11">
        <v>1</v>
      </c>
      <c r="Q35" s="11" t="s">
        <v>733</v>
      </c>
    </row>
    <row r="36" spans="1:17" ht="28.8" customHeight="1" x14ac:dyDescent="0.3">
      <c r="A36" s="11" t="s">
        <v>740</v>
      </c>
      <c r="B36" s="11" t="s">
        <v>180</v>
      </c>
      <c r="C36" s="11" t="s">
        <v>613</v>
      </c>
      <c r="D36" s="11" t="s">
        <v>741</v>
      </c>
      <c r="E36" s="11">
        <v>40</v>
      </c>
      <c r="F36" s="11">
        <v>49</v>
      </c>
      <c r="G36" s="11" t="s">
        <v>717</v>
      </c>
      <c r="H36" s="11" t="s">
        <v>645</v>
      </c>
      <c r="I36" s="11" t="s">
        <v>729</v>
      </c>
      <c r="J36" s="13">
        <v>0.61</v>
      </c>
      <c r="K36" s="19" t="s">
        <v>730</v>
      </c>
      <c r="L36" s="19">
        <v>0.63541666666666696</v>
      </c>
      <c r="M36" s="11" t="s">
        <v>731</v>
      </c>
      <c r="N36" s="11" t="s">
        <v>732</v>
      </c>
      <c r="O36" s="11" t="s">
        <v>136</v>
      </c>
      <c r="P36" s="11">
        <v>1</v>
      </c>
      <c r="Q36" s="11" t="s">
        <v>733</v>
      </c>
    </row>
    <row r="37" spans="1:17" ht="28.8" customHeight="1" x14ac:dyDescent="0.3">
      <c r="A37" s="11" t="s">
        <v>742</v>
      </c>
      <c r="B37" s="11" t="s">
        <v>180</v>
      </c>
      <c r="C37" s="11" t="s">
        <v>613</v>
      </c>
      <c r="D37" s="11" t="s">
        <v>743</v>
      </c>
      <c r="E37" s="11">
        <v>40</v>
      </c>
      <c r="F37" s="11">
        <v>49</v>
      </c>
      <c r="G37" s="11" t="s">
        <v>717</v>
      </c>
      <c r="H37" s="11" t="s">
        <v>645</v>
      </c>
      <c r="I37" s="11" t="s">
        <v>736</v>
      </c>
      <c r="J37" s="13">
        <v>0.8</v>
      </c>
      <c r="K37" s="19" t="s">
        <v>730</v>
      </c>
      <c r="L37" s="19">
        <v>0.83333333333333304</v>
      </c>
      <c r="M37" s="11" t="s">
        <v>731</v>
      </c>
      <c r="N37" s="11" t="s">
        <v>732</v>
      </c>
      <c r="O37" s="11" t="s">
        <v>136</v>
      </c>
      <c r="P37" s="11">
        <v>1</v>
      </c>
      <c r="Q37" s="11" t="s">
        <v>733</v>
      </c>
    </row>
    <row r="38" spans="1:17" ht="28.8" customHeight="1" x14ac:dyDescent="0.3">
      <c r="A38" s="11" t="s">
        <v>744</v>
      </c>
      <c r="B38" s="11" t="s">
        <v>180</v>
      </c>
      <c r="C38" s="11" t="s">
        <v>613</v>
      </c>
      <c r="D38" s="11" t="s">
        <v>745</v>
      </c>
      <c r="E38" s="11">
        <v>40</v>
      </c>
      <c r="F38" s="11">
        <v>49</v>
      </c>
      <c r="G38" s="11" t="s">
        <v>717</v>
      </c>
      <c r="H38" s="11" t="s">
        <v>645</v>
      </c>
      <c r="I38" s="11" t="s">
        <v>739</v>
      </c>
      <c r="J38" s="13">
        <v>0.96</v>
      </c>
      <c r="K38" s="19" t="s">
        <v>730</v>
      </c>
      <c r="L38" s="19">
        <v>1</v>
      </c>
      <c r="M38" s="11" t="s">
        <v>731</v>
      </c>
      <c r="N38" s="11" t="s">
        <v>732</v>
      </c>
      <c r="O38" s="11" t="s">
        <v>136</v>
      </c>
      <c r="P38" s="11">
        <v>1</v>
      </c>
      <c r="Q38" s="11" t="s">
        <v>733</v>
      </c>
    </row>
    <row r="39" spans="1:17" ht="28.8" customHeight="1" x14ac:dyDescent="0.3">
      <c r="A39" s="11" t="s">
        <v>746</v>
      </c>
      <c r="B39" s="11" t="s">
        <v>180</v>
      </c>
      <c r="C39" s="11" t="s">
        <v>613</v>
      </c>
      <c r="D39" s="11" t="s">
        <v>747</v>
      </c>
      <c r="E39" s="11">
        <v>50</v>
      </c>
      <c r="F39" s="11">
        <v>59</v>
      </c>
      <c r="G39" s="11" t="s">
        <v>717</v>
      </c>
      <c r="H39" s="11" t="s">
        <v>645</v>
      </c>
      <c r="I39" s="11" t="s">
        <v>729</v>
      </c>
      <c r="J39" s="13">
        <v>0.54</v>
      </c>
      <c r="K39" s="19" t="s">
        <v>730</v>
      </c>
      <c r="L39" s="19">
        <v>0.58695652173913104</v>
      </c>
      <c r="M39" s="11" t="s">
        <v>731</v>
      </c>
      <c r="N39" s="11" t="s">
        <v>732</v>
      </c>
      <c r="O39" s="11" t="s">
        <v>136</v>
      </c>
      <c r="P39" s="11">
        <v>1</v>
      </c>
      <c r="Q39" s="11" t="s">
        <v>733</v>
      </c>
    </row>
    <row r="40" spans="1:17" ht="28.8" customHeight="1" x14ac:dyDescent="0.3">
      <c r="A40" s="11" t="s">
        <v>748</v>
      </c>
      <c r="B40" s="11" t="s">
        <v>180</v>
      </c>
      <c r="C40" s="11" t="s">
        <v>613</v>
      </c>
      <c r="D40" s="11" t="s">
        <v>749</v>
      </c>
      <c r="E40" s="11">
        <v>50</v>
      </c>
      <c r="F40" s="11">
        <v>59</v>
      </c>
      <c r="G40" s="11" t="s">
        <v>717</v>
      </c>
      <c r="H40" s="11" t="s">
        <v>645</v>
      </c>
      <c r="I40" s="11" t="s">
        <v>736</v>
      </c>
      <c r="J40" s="13">
        <v>0.64</v>
      </c>
      <c r="K40" s="19" t="s">
        <v>730</v>
      </c>
      <c r="L40" s="19">
        <v>0.69565217391304401</v>
      </c>
      <c r="M40" s="11" t="s">
        <v>731</v>
      </c>
      <c r="N40" s="11" t="s">
        <v>732</v>
      </c>
      <c r="O40" s="11" t="s">
        <v>136</v>
      </c>
      <c r="P40" s="11">
        <v>1</v>
      </c>
      <c r="Q40" s="11" t="s">
        <v>733</v>
      </c>
    </row>
    <row r="41" spans="1:17" ht="28.8" customHeight="1" x14ac:dyDescent="0.3">
      <c r="A41" s="11" t="s">
        <v>750</v>
      </c>
      <c r="B41" s="11" t="s">
        <v>180</v>
      </c>
      <c r="C41" s="11" t="s">
        <v>613</v>
      </c>
      <c r="D41" s="11" t="s">
        <v>751</v>
      </c>
      <c r="E41" s="11">
        <v>50</v>
      </c>
      <c r="F41" s="11">
        <v>59</v>
      </c>
      <c r="G41" s="11" t="s">
        <v>717</v>
      </c>
      <c r="H41" s="11" t="s">
        <v>645</v>
      </c>
      <c r="I41" s="11" t="s">
        <v>739</v>
      </c>
      <c r="J41" s="13">
        <v>0.92</v>
      </c>
      <c r="K41" s="19" t="s">
        <v>730</v>
      </c>
      <c r="L41" s="19">
        <v>1</v>
      </c>
      <c r="M41" s="11" t="s">
        <v>731</v>
      </c>
      <c r="N41" s="11" t="s">
        <v>732</v>
      </c>
      <c r="O41" s="11" t="s">
        <v>136</v>
      </c>
      <c r="P41" s="11">
        <v>1</v>
      </c>
      <c r="Q41" s="11" t="s">
        <v>733</v>
      </c>
    </row>
    <row r="42" spans="1:17" ht="28.8" customHeight="1" x14ac:dyDescent="0.3">
      <c r="A42" s="11" t="s">
        <v>752</v>
      </c>
      <c r="B42" s="11" t="s">
        <v>180</v>
      </c>
      <c r="C42" s="11" t="s">
        <v>613</v>
      </c>
      <c r="D42" s="11" t="s">
        <v>753</v>
      </c>
      <c r="E42" s="11">
        <v>60</v>
      </c>
      <c r="F42" s="11">
        <v>79</v>
      </c>
      <c r="G42" s="11" t="s">
        <v>717</v>
      </c>
      <c r="H42" s="11" t="s">
        <v>645</v>
      </c>
      <c r="I42" s="11" t="s">
        <v>729</v>
      </c>
      <c r="J42" s="13">
        <v>0.33</v>
      </c>
      <c r="K42" s="19" t="s">
        <v>730</v>
      </c>
      <c r="L42" s="19">
        <v>0.39759036144578302</v>
      </c>
      <c r="M42" s="11" t="s">
        <v>731</v>
      </c>
      <c r="N42" s="11" t="s">
        <v>732</v>
      </c>
      <c r="O42" s="11" t="s">
        <v>136</v>
      </c>
      <c r="P42" s="11">
        <v>1</v>
      </c>
      <c r="Q42" s="11" t="s">
        <v>733</v>
      </c>
    </row>
    <row r="43" spans="1:17" ht="28.8" customHeight="1" x14ac:dyDescent="0.3">
      <c r="A43" s="11" t="s">
        <v>754</v>
      </c>
      <c r="B43" s="11" t="s">
        <v>180</v>
      </c>
      <c r="C43" s="11" t="s">
        <v>613</v>
      </c>
      <c r="D43" s="11" t="s">
        <v>755</v>
      </c>
      <c r="E43" s="11">
        <v>60</v>
      </c>
      <c r="F43" s="11">
        <v>79</v>
      </c>
      <c r="G43" s="11" t="s">
        <v>717</v>
      </c>
      <c r="H43" s="11" t="s">
        <v>645</v>
      </c>
      <c r="I43" s="11" t="s">
        <v>736</v>
      </c>
      <c r="J43" s="13">
        <v>0.46</v>
      </c>
      <c r="K43" s="19" t="s">
        <v>730</v>
      </c>
      <c r="L43" s="19">
        <v>0.55421686746987997</v>
      </c>
      <c r="M43" s="11" t="s">
        <v>731</v>
      </c>
      <c r="N43" s="11" t="s">
        <v>732</v>
      </c>
      <c r="O43" s="11" t="s">
        <v>136</v>
      </c>
      <c r="P43" s="11">
        <v>1</v>
      </c>
      <c r="Q43" s="11" t="s">
        <v>733</v>
      </c>
    </row>
    <row r="44" spans="1:17" ht="28.8" customHeight="1" x14ac:dyDescent="0.3">
      <c r="A44" s="11" t="s">
        <v>756</v>
      </c>
      <c r="B44" s="11" t="s">
        <v>180</v>
      </c>
      <c r="C44" s="11" t="s">
        <v>613</v>
      </c>
      <c r="D44" s="11" t="s">
        <v>757</v>
      </c>
      <c r="E44" s="11">
        <v>60</v>
      </c>
      <c r="F44" s="11">
        <v>79</v>
      </c>
      <c r="G44" s="11" t="s">
        <v>717</v>
      </c>
      <c r="H44" s="11" t="s">
        <v>645</v>
      </c>
      <c r="I44" s="11" t="s">
        <v>739</v>
      </c>
      <c r="J44" s="13">
        <v>0.83</v>
      </c>
      <c r="K44" s="19" t="s">
        <v>730</v>
      </c>
      <c r="L44" s="19">
        <v>1</v>
      </c>
      <c r="M44" s="11" t="s">
        <v>731</v>
      </c>
      <c r="N44" s="11" t="s">
        <v>732</v>
      </c>
      <c r="O44" s="11" t="s">
        <v>136</v>
      </c>
      <c r="P44" s="11">
        <v>1</v>
      </c>
      <c r="Q44" s="11" t="s">
        <v>733</v>
      </c>
    </row>
    <row r="45" spans="1:17" ht="28.8" customHeight="1" x14ac:dyDescent="0.3">
      <c r="A45" s="11" t="s">
        <v>758</v>
      </c>
      <c r="B45" s="11" t="s">
        <v>180</v>
      </c>
      <c r="C45" s="11" t="s">
        <v>613</v>
      </c>
      <c r="D45" s="11" t="s">
        <v>759</v>
      </c>
      <c r="E45" s="11">
        <v>80</v>
      </c>
      <c r="F45" s="11">
        <v>95</v>
      </c>
      <c r="G45" s="11" t="s">
        <v>717</v>
      </c>
      <c r="H45" s="11" t="s">
        <v>645</v>
      </c>
      <c r="I45" s="11" t="s">
        <v>729</v>
      </c>
      <c r="J45" s="13">
        <v>0.33</v>
      </c>
      <c r="K45" s="19" t="s">
        <v>730</v>
      </c>
      <c r="L45" s="19">
        <v>0.39759036144578302</v>
      </c>
      <c r="M45" s="11" t="s">
        <v>731</v>
      </c>
      <c r="N45" s="11" t="s">
        <v>732</v>
      </c>
      <c r="O45" s="11" t="s">
        <v>136</v>
      </c>
      <c r="P45" s="11">
        <v>1</v>
      </c>
      <c r="Q45" s="11" t="s">
        <v>760</v>
      </c>
    </row>
    <row r="46" spans="1:17" ht="28.8" customHeight="1" x14ac:dyDescent="0.3">
      <c r="A46" s="11" t="s">
        <v>761</v>
      </c>
      <c r="B46" s="11" t="s">
        <v>180</v>
      </c>
      <c r="C46" s="11" t="s">
        <v>613</v>
      </c>
      <c r="D46" s="11" t="s">
        <v>762</v>
      </c>
      <c r="E46" s="11">
        <v>80</v>
      </c>
      <c r="F46" s="11">
        <v>95</v>
      </c>
      <c r="G46" s="11" t="s">
        <v>717</v>
      </c>
      <c r="H46" s="11" t="s">
        <v>645</v>
      </c>
      <c r="I46" s="11" t="s">
        <v>736</v>
      </c>
      <c r="J46" s="13">
        <v>0.46</v>
      </c>
      <c r="K46" s="19" t="s">
        <v>730</v>
      </c>
      <c r="L46" s="19">
        <v>0.55421686746987997</v>
      </c>
      <c r="M46" s="11" t="s">
        <v>731</v>
      </c>
      <c r="N46" s="11" t="s">
        <v>732</v>
      </c>
      <c r="O46" s="11" t="s">
        <v>136</v>
      </c>
      <c r="P46" s="11">
        <v>1</v>
      </c>
      <c r="Q46" s="11" t="s">
        <v>760</v>
      </c>
    </row>
    <row r="47" spans="1:17" ht="28.8" customHeight="1" x14ac:dyDescent="0.3">
      <c r="A47" s="11" t="s">
        <v>763</v>
      </c>
      <c r="B47" s="11" t="s">
        <v>180</v>
      </c>
      <c r="C47" s="11" t="s">
        <v>613</v>
      </c>
      <c r="D47" s="11" t="s">
        <v>764</v>
      </c>
      <c r="E47" s="11">
        <v>80</v>
      </c>
      <c r="F47" s="11">
        <v>95</v>
      </c>
      <c r="G47" s="11" t="s">
        <v>717</v>
      </c>
      <c r="H47" s="11" t="s">
        <v>645</v>
      </c>
      <c r="I47" s="11" t="s">
        <v>739</v>
      </c>
      <c r="J47" s="13">
        <v>0.83</v>
      </c>
      <c r="K47" s="19" t="s">
        <v>730</v>
      </c>
      <c r="L47" s="19">
        <v>1</v>
      </c>
      <c r="M47" s="11" t="s">
        <v>731</v>
      </c>
      <c r="N47" s="11" t="s">
        <v>732</v>
      </c>
      <c r="O47" s="11" t="s">
        <v>136</v>
      </c>
      <c r="P47" s="11">
        <v>1</v>
      </c>
      <c r="Q47" s="11" t="s">
        <v>760</v>
      </c>
    </row>
    <row r="48" spans="1:17" ht="28.8" customHeight="1" x14ac:dyDescent="0.3">
      <c r="A48" s="11" t="s">
        <v>765</v>
      </c>
      <c r="B48" s="11" t="s">
        <v>180</v>
      </c>
      <c r="C48" s="11" t="s">
        <v>613</v>
      </c>
      <c r="D48" s="11" t="s">
        <v>766</v>
      </c>
      <c r="E48" s="11">
        <v>20</v>
      </c>
      <c r="F48" s="11">
        <v>39</v>
      </c>
      <c r="G48" s="11" t="s">
        <v>723</v>
      </c>
      <c r="H48" s="11" t="s">
        <v>645</v>
      </c>
      <c r="I48" s="11" t="s">
        <v>729</v>
      </c>
      <c r="J48" s="13">
        <v>0.95</v>
      </c>
      <c r="K48" s="19" t="s">
        <v>730</v>
      </c>
      <c r="L48" s="19">
        <v>1</v>
      </c>
      <c r="M48" s="11" t="s">
        <v>731</v>
      </c>
      <c r="N48" s="11" t="s">
        <v>732</v>
      </c>
      <c r="O48" s="11" t="s">
        <v>136</v>
      </c>
      <c r="P48" s="11">
        <v>1</v>
      </c>
      <c r="Q48" s="11" t="s">
        <v>733</v>
      </c>
    </row>
    <row r="49" spans="1:17" ht="28.8" customHeight="1" x14ac:dyDescent="0.3">
      <c r="A49" s="11" t="s">
        <v>767</v>
      </c>
      <c r="B49" s="11" t="s">
        <v>180</v>
      </c>
      <c r="C49" s="11" t="s">
        <v>613</v>
      </c>
      <c r="D49" s="11" t="s">
        <v>768</v>
      </c>
      <c r="E49" s="11">
        <v>20</v>
      </c>
      <c r="F49" s="11">
        <v>39</v>
      </c>
      <c r="G49" s="11" t="s">
        <v>723</v>
      </c>
      <c r="H49" s="11" t="s">
        <v>645</v>
      </c>
      <c r="I49" s="11" t="s">
        <v>736</v>
      </c>
      <c r="J49" s="13">
        <v>0.86</v>
      </c>
      <c r="K49" s="19" t="s">
        <v>730</v>
      </c>
      <c r="L49" s="19">
        <v>1</v>
      </c>
      <c r="M49" s="11" t="s">
        <v>731</v>
      </c>
      <c r="N49" s="11" t="s">
        <v>732</v>
      </c>
      <c r="O49" s="11" t="s">
        <v>136</v>
      </c>
      <c r="P49" s="11">
        <v>1</v>
      </c>
      <c r="Q49" s="11" t="s">
        <v>733</v>
      </c>
    </row>
    <row r="50" spans="1:17" ht="28.8" customHeight="1" x14ac:dyDescent="0.3">
      <c r="A50" s="11" t="s">
        <v>769</v>
      </c>
      <c r="B50" s="11" t="s">
        <v>180</v>
      </c>
      <c r="C50" s="11" t="s">
        <v>613</v>
      </c>
      <c r="D50" s="11" t="s">
        <v>770</v>
      </c>
      <c r="E50" s="11">
        <v>20</v>
      </c>
      <c r="F50" s="11">
        <v>39</v>
      </c>
      <c r="G50" s="11" t="s">
        <v>723</v>
      </c>
      <c r="H50" s="11" t="s">
        <v>645</v>
      </c>
      <c r="I50" s="11" t="s">
        <v>739</v>
      </c>
      <c r="J50" s="13">
        <v>0.83</v>
      </c>
      <c r="K50" s="19" t="s">
        <v>730</v>
      </c>
      <c r="L50" s="19">
        <v>1</v>
      </c>
      <c r="M50" s="11" t="s">
        <v>731</v>
      </c>
      <c r="N50" s="11" t="s">
        <v>732</v>
      </c>
      <c r="O50" s="11" t="s">
        <v>136</v>
      </c>
      <c r="P50" s="11">
        <v>1</v>
      </c>
      <c r="Q50" s="11" t="s">
        <v>733</v>
      </c>
    </row>
    <row r="51" spans="1:17" ht="28.8" customHeight="1" x14ac:dyDescent="0.3">
      <c r="A51" s="11" t="s">
        <v>771</v>
      </c>
      <c r="B51" s="11" t="s">
        <v>180</v>
      </c>
      <c r="C51" s="11" t="s">
        <v>613</v>
      </c>
      <c r="D51" s="11" t="s">
        <v>772</v>
      </c>
      <c r="E51" s="11">
        <v>40</v>
      </c>
      <c r="F51" s="11">
        <v>49</v>
      </c>
      <c r="G51" s="11" t="s">
        <v>723</v>
      </c>
      <c r="H51" s="11" t="s">
        <v>645</v>
      </c>
      <c r="I51" s="11" t="s">
        <v>729</v>
      </c>
      <c r="J51" s="13">
        <v>0.81</v>
      </c>
      <c r="K51" s="19" t="s">
        <v>730</v>
      </c>
      <c r="L51" s="19">
        <v>0.81818181818181801</v>
      </c>
      <c r="M51" s="11" t="s">
        <v>731</v>
      </c>
      <c r="N51" s="11" t="s">
        <v>732</v>
      </c>
      <c r="O51" s="11" t="s">
        <v>136</v>
      </c>
      <c r="P51" s="11">
        <v>1</v>
      </c>
      <c r="Q51" s="11" t="s">
        <v>733</v>
      </c>
    </row>
    <row r="52" spans="1:17" ht="28.8" customHeight="1" x14ac:dyDescent="0.3">
      <c r="A52" s="11" t="s">
        <v>773</v>
      </c>
      <c r="B52" s="11" t="s">
        <v>180</v>
      </c>
      <c r="C52" s="11" t="s">
        <v>613</v>
      </c>
      <c r="D52" s="11" t="s">
        <v>774</v>
      </c>
      <c r="E52" s="11">
        <v>40</v>
      </c>
      <c r="F52" s="11">
        <v>49</v>
      </c>
      <c r="G52" s="11" t="s">
        <v>723</v>
      </c>
      <c r="H52" s="11" t="s">
        <v>645</v>
      </c>
      <c r="I52" s="11" t="s">
        <v>736</v>
      </c>
      <c r="J52" s="13">
        <v>0.85</v>
      </c>
      <c r="K52" s="19" t="s">
        <v>730</v>
      </c>
      <c r="L52" s="19">
        <v>0.85858585858585901</v>
      </c>
      <c r="M52" s="11" t="s">
        <v>731</v>
      </c>
      <c r="N52" s="11" t="s">
        <v>732</v>
      </c>
      <c r="O52" s="11" t="s">
        <v>136</v>
      </c>
      <c r="P52" s="11">
        <v>1</v>
      </c>
      <c r="Q52" s="11" t="s">
        <v>733</v>
      </c>
    </row>
    <row r="53" spans="1:17" ht="28.8" customHeight="1" x14ac:dyDescent="0.3">
      <c r="A53" s="11" t="s">
        <v>775</v>
      </c>
      <c r="B53" s="11" t="s">
        <v>180</v>
      </c>
      <c r="C53" s="11" t="s">
        <v>613</v>
      </c>
      <c r="D53" s="11" t="s">
        <v>776</v>
      </c>
      <c r="E53" s="11">
        <v>40</v>
      </c>
      <c r="F53" s="11">
        <v>49</v>
      </c>
      <c r="G53" s="11" t="s">
        <v>723</v>
      </c>
      <c r="H53" s="11" t="s">
        <v>645</v>
      </c>
      <c r="I53" s="11" t="s">
        <v>739</v>
      </c>
      <c r="J53" s="13">
        <v>0.99</v>
      </c>
      <c r="K53" s="19" t="s">
        <v>730</v>
      </c>
      <c r="L53" s="19">
        <v>1</v>
      </c>
      <c r="M53" s="11" t="s">
        <v>731</v>
      </c>
      <c r="N53" s="11" t="s">
        <v>732</v>
      </c>
      <c r="O53" s="11" t="s">
        <v>136</v>
      </c>
      <c r="P53" s="11">
        <v>1</v>
      </c>
      <c r="Q53" s="11" t="s">
        <v>733</v>
      </c>
    </row>
    <row r="54" spans="1:17" ht="28.8" customHeight="1" x14ac:dyDescent="0.3">
      <c r="A54" s="11" t="s">
        <v>777</v>
      </c>
      <c r="B54" s="11" t="s">
        <v>180</v>
      </c>
      <c r="C54" s="11" t="s">
        <v>613</v>
      </c>
      <c r="D54" s="11" t="s">
        <v>778</v>
      </c>
      <c r="E54" s="11">
        <v>50</v>
      </c>
      <c r="F54" s="11">
        <v>59</v>
      </c>
      <c r="G54" s="11" t="s">
        <v>723</v>
      </c>
      <c r="H54" s="11" t="s">
        <v>645</v>
      </c>
      <c r="I54" s="11" t="s">
        <v>729</v>
      </c>
      <c r="J54" s="13">
        <v>0.63</v>
      </c>
      <c r="K54" s="19" t="s">
        <v>730</v>
      </c>
      <c r="L54" s="19">
        <v>0.66315789473684195</v>
      </c>
      <c r="M54" s="11" t="s">
        <v>731</v>
      </c>
      <c r="N54" s="11" t="s">
        <v>732</v>
      </c>
      <c r="O54" s="11" t="s">
        <v>136</v>
      </c>
      <c r="P54" s="11">
        <v>1</v>
      </c>
      <c r="Q54" s="11" t="s">
        <v>733</v>
      </c>
    </row>
    <row r="55" spans="1:17" ht="28.8" customHeight="1" x14ac:dyDescent="0.3">
      <c r="A55" s="11" t="s">
        <v>779</v>
      </c>
      <c r="B55" s="11" t="s">
        <v>180</v>
      </c>
      <c r="C55" s="11" t="s">
        <v>613</v>
      </c>
      <c r="D55" s="11" t="s">
        <v>780</v>
      </c>
      <c r="E55" s="11">
        <v>50</v>
      </c>
      <c r="F55" s="11">
        <v>59</v>
      </c>
      <c r="G55" s="11" t="s">
        <v>723</v>
      </c>
      <c r="H55" s="11" t="s">
        <v>645</v>
      </c>
      <c r="I55" s="11" t="s">
        <v>736</v>
      </c>
      <c r="J55" s="13">
        <v>0.72</v>
      </c>
      <c r="K55" s="19" t="s">
        <v>730</v>
      </c>
      <c r="L55" s="19">
        <v>0.75789473684210495</v>
      </c>
      <c r="M55" s="11" t="s">
        <v>731</v>
      </c>
      <c r="N55" s="11" t="s">
        <v>732</v>
      </c>
      <c r="O55" s="11" t="s">
        <v>136</v>
      </c>
      <c r="P55" s="11">
        <v>1</v>
      </c>
      <c r="Q55" s="11" t="s">
        <v>733</v>
      </c>
    </row>
    <row r="56" spans="1:17" ht="28.8" customHeight="1" x14ac:dyDescent="0.3">
      <c r="A56" s="11" t="s">
        <v>781</v>
      </c>
      <c r="B56" s="11" t="s">
        <v>180</v>
      </c>
      <c r="C56" s="11" t="s">
        <v>613</v>
      </c>
      <c r="D56" s="11" t="s">
        <v>782</v>
      </c>
      <c r="E56" s="11">
        <v>50</v>
      </c>
      <c r="F56" s="11">
        <v>59</v>
      </c>
      <c r="G56" s="11" t="s">
        <v>723</v>
      </c>
      <c r="H56" s="11" t="s">
        <v>645</v>
      </c>
      <c r="I56" s="11" t="s">
        <v>739</v>
      </c>
      <c r="J56" s="13">
        <v>0.95</v>
      </c>
      <c r="K56" s="19" t="s">
        <v>730</v>
      </c>
      <c r="L56" s="19">
        <v>1</v>
      </c>
      <c r="M56" s="11" t="s">
        <v>731</v>
      </c>
      <c r="N56" s="11" t="s">
        <v>732</v>
      </c>
      <c r="O56" s="11" t="s">
        <v>136</v>
      </c>
      <c r="P56" s="11">
        <v>1</v>
      </c>
      <c r="Q56" s="11" t="s">
        <v>733</v>
      </c>
    </row>
    <row r="57" spans="1:17" ht="28.8" customHeight="1" x14ac:dyDescent="0.3">
      <c r="A57" s="11" t="s">
        <v>783</v>
      </c>
      <c r="B57" s="11" t="s">
        <v>180</v>
      </c>
      <c r="C57" s="11" t="s">
        <v>613</v>
      </c>
      <c r="D57" s="11" t="s">
        <v>784</v>
      </c>
      <c r="E57" s="11">
        <v>60</v>
      </c>
      <c r="F57" s="11">
        <v>79</v>
      </c>
      <c r="G57" s="11" t="s">
        <v>723</v>
      </c>
      <c r="H57" s="11" t="s">
        <v>645</v>
      </c>
      <c r="I57" s="11" t="s">
        <v>729</v>
      </c>
      <c r="J57" s="13">
        <v>0.4</v>
      </c>
      <c r="K57" s="19" t="s">
        <v>730</v>
      </c>
      <c r="L57" s="19">
        <v>0.449438202247191</v>
      </c>
      <c r="M57" s="11" t="s">
        <v>731</v>
      </c>
      <c r="N57" s="11" t="s">
        <v>732</v>
      </c>
      <c r="O57" s="11" t="s">
        <v>136</v>
      </c>
      <c r="P57" s="11">
        <v>1</v>
      </c>
      <c r="Q57" s="11" t="s">
        <v>733</v>
      </c>
    </row>
    <row r="58" spans="1:17" ht="28.8" customHeight="1" x14ac:dyDescent="0.3">
      <c r="A58" s="11" t="s">
        <v>785</v>
      </c>
      <c r="B58" s="11" t="s">
        <v>180</v>
      </c>
      <c r="C58" s="11" t="s">
        <v>613</v>
      </c>
      <c r="D58" s="11" t="s">
        <v>786</v>
      </c>
      <c r="E58" s="11">
        <v>60</v>
      </c>
      <c r="F58" s="11">
        <v>79</v>
      </c>
      <c r="G58" s="11" t="s">
        <v>723</v>
      </c>
      <c r="H58" s="11" t="s">
        <v>645</v>
      </c>
      <c r="I58" s="11" t="s">
        <v>736</v>
      </c>
      <c r="J58" s="13">
        <v>0.48</v>
      </c>
      <c r="K58" s="19" t="s">
        <v>730</v>
      </c>
      <c r="L58" s="19">
        <v>0.53932584269662898</v>
      </c>
      <c r="M58" s="11" t="s">
        <v>731</v>
      </c>
      <c r="N58" s="11" t="s">
        <v>732</v>
      </c>
      <c r="O58" s="11" t="s">
        <v>136</v>
      </c>
      <c r="P58" s="11">
        <v>1</v>
      </c>
      <c r="Q58" s="11" t="s">
        <v>733</v>
      </c>
    </row>
    <row r="59" spans="1:17" ht="28.8" customHeight="1" x14ac:dyDescent="0.3">
      <c r="A59" s="11" t="s">
        <v>787</v>
      </c>
      <c r="B59" s="11" t="s">
        <v>180</v>
      </c>
      <c r="C59" s="11" t="s">
        <v>613</v>
      </c>
      <c r="D59" s="11" t="s">
        <v>788</v>
      </c>
      <c r="E59" s="11">
        <v>60</v>
      </c>
      <c r="F59" s="11">
        <v>79</v>
      </c>
      <c r="G59" s="11" t="s">
        <v>723</v>
      </c>
      <c r="H59" s="11" t="s">
        <v>645</v>
      </c>
      <c r="I59" s="11" t="s">
        <v>739</v>
      </c>
      <c r="J59" s="13">
        <v>0.89</v>
      </c>
      <c r="K59" s="19" t="s">
        <v>730</v>
      </c>
      <c r="L59" s="19">
        <v>1</v>
      </c>
      <c r="M59" s="11" t="s">
        <v>731</v>
      </c>
      <c r="N59" s="11" t="s">
        <v>732</v>
      </c>
      <c r="O59" s="11" t="s">
        <v>136</v>
      </c>
      <c r="P59" s="11">
        <v>1</v>
      </c>
      <c r="Q59" s="11" t="s">
        <v>733</v>
      </c>
    </row>
    <row r="60" spans="1:17" ht="28.8" customHeight="1" x14ac:dyDescent="0.3">
      <c r="A60" s="11" t="s">
        <v>789</v>
      </c>
      <c r="B60" s="11" t="s">
        <v>180</v>
      </c>
      <c r="C60" s="11" t="s">
        <v>613</v>
      </c>
      <c r="D60" s="11" t="s">
        <v>790</v>
      </c>
      <c r="E60" s="11">
        <v>80</v>
      </c>
      <c r="F60" s="11">
        <v>95</v>
      </c>
      <c r="G60" s="11" t="s">
        <v>723</v>
      </c>
      <c r="H60" s="11" t="s">
        <v>645</v>
      </c>
      <c r="I60" s="11" t="s">
        <v>729</v>
      </c>
      <c r="J60" s="13">
        <v>0.4</v>
      </c>
      <c r="K60" s="19" t="s">
        <v>730</v>
      </c>
      <c r="L60" s="19">
        <v>0.449438202247191</v>
      </c>
      <c r="M60" s="11" t="s">
        <v>731</v>
      </c>
      <c r="N60" s="11" t="s">
        <v>732</v>
      </c>
      <c r="O60" s="11" t="s">
        <v>136</v>
      </c>
      <c r="P60" s="11">
        <v>1</v>
      </c>
      <c r="Q60" s="11" t="s">
        <v>760</v>
      </c>
    </row>
    <row r="61" spans="1:17" ht="28.8" customHeight="1" x14ac:dyDescent="0.3">
      <c r="A61" s="11" t="s">
        <v>791</v>
      </c>
      <c r="B61" s="11" t="s">
        <v>180</v>
      </c>
      <c r="C61" s="11" t="s">
        <v>613</v>
      </c>
      <c r="D61" s="11" t="s">
        <v>792</v>
      </c>
      <c r="E61" s="11">
        <v>80</v>
      </c>
      <c r="F61" s="11">
        <v>95</v>
      </c>
      <c r="G61" s="11" t="s">
        <v>723</v>
      </c>
      <c r="H61" s="11" t="s">
        <v>645</v>
      </c>
      <c r="I61" s="11" t="s">
        <v>736</v>
      </c>
      <c r="J61" s="13">
        <v>0.48</v>
      </c>
      <c r="K61" s="19" t="s">
        <v>730</v>
      </c>
      <c r="L61" s="19">
        <v>0.53932584269662898</v>
      </c>
      <c r="M61" s="11" t="s">
        <v>731</v>
      </c>
      <c r="N61" s="11" t="s">
        <v>732</v>
      </c>
      <c r="O61" s="11" t="s">
        <v>136</v>
      </c>
      <c r="P61" s="11">
        <v>1</v>
      </c>
      <c r="Q61" s="11" t="s">
        <v>760</v>
      </c>
    </row>
    <row r="62" spans="1:17" ht="28.8" customHeight="1" x14ac:dyDescent="0.3">
      <c r="A62" s="11" t="s">
        <v>793</v>
      </c>
      <c r="B62" s="11" t="s">
        <v>180</v>
      </c>
      <c r="C62" s="11" t="s">
        <v>613</v>
      </c>
      <c r="D62" s="11" t="s">
        <v>794</v>
      </c>
      <c r="E62" s="11">
        <v>80</v>
      </c>
      <c r="F62" s="11">
        <v>95</v>
      </c>
      <c r="G62" s="11" t="s">
        <v>723</v>
      </c>
      <c r="H62" s="11" t="s">
        <v>645</v>
      </c>
      <c r="I62" s="11" t="s">
        <v>739</v>
      </c>
      <c r="J62" s="13">
        <v>0.89</v>
      </c>
      <c r="K62" s="19" t="s">
        <v>730</v>
      </c>
      <c r="L62" s="19">
        <v>1</v>
      </c>
      <c r="M62" s="11" t="s">
        <v>731</v>
      </c>
      <c r="N62" s="11" t="s">
        <v>732</v>
      </c>
      <c r="O62" s="11" t="s">
        <v>136</v>
      </c>
      <c r="P62" s="11">
        <v>1</v>
      </c>
      <c r="Q62" s="11" t="s">
        <v>760</v>
      </c>
    </row>
    <row r="63" spans="1:17" ht="43.2" customHeight="1" x14ac:dyDescent="0.3">
      <c r="A63" s="11" t="s">
        <v>595</v>
      </c>
      <c r="B63" s="11" t="s">
        <v>216</v>
      </c>
      <c r="C63" s="11" t="s">
        <v>643</v>
      </c>
      <c r="D63" s="11" t="s">
        <v>795</v>
      </c>
      <c r="E63" s="11">
        <v>20</v>
      </c>
      <c r="F63" s="11">
        <v>95</v>
      </c>
      <c r="G63" s="11" t="s">
        <v>615</v>
      </c>
      <c r="H63" s="11" t="s">
        <v>232</v>
      </c>
      <c r="I63" s="11" t="s">
        <v>796</v>
      </c>
      <c r="J63" s="13">
        <v>1.08</v>
      </c>
      <c r="K63" s="19" t="s">
        <v>797</v>
      </c>
      <c r="L63" s="19">
        <v>1.08</v>
      </c>
      <c r="M63" s="11" t="s">
        <v>797</v>
      </c>
      <c r="N63" s="11" t="s">
        <v>798</v>
      </c>
      <c r="O63" s="11" t="s">
        <v>598</v>
      </c>
      <c r="P63" s="11">
        <v>0</v>
      </c>
      <c r="Q63" s="11" t="s">
        <v>799</v>
      </c>
    </row>
  </sheetData>
  <dataValidations count="1">
    <dataValidation type="list" sqref="L2:L7" xr:uid="{00000000-0002-0000-0700-000000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S62"/>
  <sheetViews>
    <sheetView showGridLines="0" topLeftCell="D1" zoomScaleNormal="100" workbookViewId="0">
      <selection activeCell="M2" sqref="M2"/>
    </sheetView>
  </sheetViews>
  <sheetFormatPr defaultColWidth="11.5546875" defaultRowHeight="13.2" x14ac:dyDescent="0.25"/>
  <cols>
    <col min="1" max="4" width="38" customWidth="1"/>
    <col min="5" max="10" width="16" customWidth="1"/>
    <col min="11" max="11" width="38" customWidth="1"/>
    <col min="12" max="13" width="16" customWidth="1"/>
    <col min="14" max="14" width="38" customWidth="1"/>
    <col min="15" max="15" width="16" customWidth="1"/>
    <col min="16" max="17" width="38" customWidth="1"/>
    <col min="18" max="18" width="16" customWidth="1"/>
    <col min="19" max="19" width="38" customWidth="1"/>
  </cols>
  <sheetData>
    <row r="1" spans="1:19" ht="34.049999999999997" customHeight="1" x14ac:dyDescent="0.25">
      <c r="A1" s="7" t="s">
        <v>254</v>
      </c>
      <c r="B1" s="7" t="s">
        <v>164</v>
      </c>
      <c r="C1" s="7" t="s">
        <v>168</v>
      </c>
      <c r="D1" s="7" t="s">
        <v>172</v>
      </c>
      <c r="E1" s="7" t="s">
        <v>259</v>
      </c>
      <c r="F1" s="7" t="s">
        <v>260</v>
      </c>
      <c r="G1" s="7" t="s">
        <v>440</v>
      </c>
      <c r="H1" s="7" t="s">
        <v>446</v>
      </c>
      <c r="I1" s="7" t="s">
        <v>447</v>
      </c>
      <c r="J1" s="7" t="s">
        <v>448</v>
      </c>
      <c r="K1" s="7" t="s">
        <v>473</v>
      </c>
      <c r="L1" s="7" t="s">
        <v>476</v>
      </c>
      <c r="M1" s="7" t="s">
        <v>478</v>
      </c>
      <c r="N1" s="7" t="s">
        <v>481</v>
      </c>
      <c r="O1" s="7" t="s">
        <v>800</v>
      </c>
      <c r="P1" s="7" t="s">
        <v>257</v>
      </c>
      <c r="Q1" s="7" t="s">
        <v>258</v>
      </c>
      <c r="R1" s="7" t="s">
        <v>801</v>
      </c>
      <c r="S1" s="7" t="s">
        <v>358</v>
      </c>
    </row>
    <row r="2" spans="1:19" ht="30" customHeight="1" x14ac:dyDescent="0.25">
      <c r="A2" s="8" t="s">
        <v>265</v>
      </c>
      <c r="B2" s="8" t="s">
        <v>177</v>
      </c>
      <c r="C2" s="8" t="s">
        <v>181</v>
      </c>
      <c r="D2" s="8" t="s">
        <v>195</v>
      </c>
      <c r="E2" s="8" t="s">
        <v>268</v>
      </c>
      <c r="F2" s="8" t="s">
        <v>269</v>
      </c>
      <c r="G2" s="18">
        <f>SUMIF(Exposure_Targets!$B$2:$B$13,INDEX(Intervention_Cause_Map!$B$2:$B$62,MATCH(A2,Intervention_Cause_Map!$A$2:$A$62,0)),Exposure_Targets!$G$2:$G$13)</f>
        <v>0.30299999999999999</v>
      </c>
      <c r="H2" s="18">
        <f>SUMIF(Exposure_Targets!$B$2:$B$13,INDEX(Intervention_Cause_Map!$B$2:$B$62,MATCH(A2,Intervention_Cause_Map!$A$2:$A$62,0)),Exposure_Targets!$M$2:$M$13)</f>
        <v>0.25018200959999998</v>
      </c>
      <c r="I2" s="18">
        <f t="shared" ref="I2:I33" si="0">G2-H2</f>
        <v>5.2817990400000014E-2</v>
      </c>
      <c r="J2" s="18">
        <f t="shared" ref="J2:J33" si="1">IF(G2=0,0,I2/G2)</f>
        <v>0.17431680000000005</v>
      </c>
      <c r="K2" s="18" t="str">
        <f>INDEX(Effect_Parameters!$F$2:$F$62,MATCH(A2,Effect_Parameters!$B$2:$B$62,0))</f>
        <v>direct_smoking_prevalence_shift_rr</v>
      </c>
      <c r="L2" s="18">
        <f>INDEX(Effect_Parameters!$I$2:$I$62,MATCH(A2,Effect_Parameters!$B$2:$B$62,0))</f>
        <v>1.6</v>
      </c>
      <c r="M2" s="18">
        <f>INDEX(Effect_Parameters!$K$2:$K$62,MATCH(A2,Effect_Parameters!$B$2:$B$62,0))</f>
        <v>0</v>
      </c>
      <c r="N2" s="18" t="str">
        <f>INDEX(Effect_Parameters!$N$2:$N$62,MATCH(A2,Effect_Parameters!$B$2:$B$62,0))</f>
        <v>jha_piecewise_shared_scalar</v>
      </c>
      <c r="O2" s="18">
        <f>IF(K2="direct_smoking_prevalence_shift_rr",IF(OR(ISBLANK(G2),ISBLANK(H2),ISBLANK(L2)),"",1-(1+H2*(L2-1))/(1+G2*(L2-1))),IF(K2="tobacco_mortality_prevalence_shift_rr",IF(OR(ISBLANK(G2),ISBLANK(H2),ISBLANK(L2)),"",1-(1+H2*(L2-1)+(G2-H2)*(1-SUMIF(Assumptions!$A$2:$A$37,"tobacco_vascular_erd_ge10_pooled",Assumptions!$B$2:$B$37))*(L2-1))/(1+G2*(L2-1))),IF(K2="direct_loglinear_rr_per_unit_reduction",IF(OR(ISBLANK(L2),ISBLANK(I2)),"",1-1/(L2^I2)),IF(K2="tfa_attributable_ihd_PAF_x_regulatory_gap",IF(ISBLANK(M2),"",M2*SUMIF(Policy_Levers!$B$2:$B$13,INDEX(Intervention_Cause_Map!$B$2:$B$62,MATCH(A2,Intervention_Cause_Map!$A$2:$A$62,0)),Policy_Levers!$Z$2:$Z$13)),""))))</f>
        <v>2.6815699983076646E-2</v>
      </c>
      <c r="P2" s="8" t="str">
        <f>INDEX(Intervention_Cause_Map!$J$2:$J$62,MATCH(A2,Intervention_Cause_Map!$A$2:$A$62,0))</f>
        <v>I_PH_TOBACCO_TAX__C_SHARED</v>
      </c>
      <c r="Q2" s="8" t="str">
        <f>INDEX(Intervention_Cause_Map!$K$2:$K$62,MATCH(A2,Intervention_Cause_Map!$A$2:$A$62,0))</f>
        <v>shared-count-once</v>
      </c>
      <c r="R2" s="20">
        <f>SUMIFS(Cost_Components!$S$2:$S$15,Cost_Components!$G$2:$G$15,P2,Cost_Components!$D$2:$D$15,1)</f>
        <v>0.04</v>
      </c>
      <c r="S2" s="8" t="str">
        <f>IF(COUNTIF(Effect_Parameters!$B$2:$B$62,A2)&lt;&gt;1,"LINK ERROR",IF(INDEX(Intervention_Cause_Map!$N$2:$N$62,MATCH(A2,Intervention_Cause_Map!$A$2:$A$62,0))=0,"EXPLORATORY - DISABLED",IF(AND(E2="sick",F2="dead"),"R UPDATE REQUIRED","READY FOR MODEL")))</f>
        <v>READY FOR MODEL</v>
      </c>
    </row>
    <row r="3" spans="1:19" ht="30" customHeight="1" x14ac:dyDescent="0.25">
      <c r="A3" s="8" t="s">
        <v>271</v>
      </c>
      <c r="B3" s="8" t="s">
        <v>177</v>
      </c>
      <c r="C3" s="8" t="s">
        <v>181</v>
      </c>
      <c r="D3" s="8" t="s">
        <v>204</v>
      </c>
      <c r="E3" s="8" t="s">
        <v>268</v>
      </c>
      <c r="F3" s="8" t="s">
        <v>269</v>
      </c>
      <c r="G3" s="18">
        <f>SUMIF(Exposure_Targets!$B$2:$B$13,INDEX(Intervention_Cause_Map!$B$2:$B$62,MATCH(A3,Intervention_Cause_Map!$A$2:$A$62,0)),Exposure_Targets!$G$2:$G$13)</f>
        <v>0.30299999999999999</v>
      </c>
      <c r="H3" s="18">
        <f>SUMIF(Exposure_Targets!$B$2:$B$13,INDEX(Intervention_Cause_Map!$B$2:$B$62,MATCH(A3,Intervention_Cause_Map!$A$2:$A$62,0)),Exposure_Targets!$M$2:$M$13)</f>
        <v>0.25018200959999998</v>
      </c>
      <c r="I3" s="18">
        <f t="shared" si="0"/>
        <v>5.2817990400000014E-2</v>
      </c>
      <c r="J3" s="18">
        <f t="shared" si="1"/>
        <v>0.17431680000000005</v>
      </c>
      <c r="K3" s="18" t="str">
        <f>INDEX(Effect_Parameters!$F$2:$F$62,MATCH(A3,Effect_Parameters!$B$2:$B$62,0))</f>
        <v>direct_smoking_prevalence_shift_rr</v>
      </c>
      <c r="L3" s="18">
        <f>INDEX(Effect_Parameters!$I$2:$I$62,MATCH(A3,Effect_Parameters!$B$2:$B$62,0))</f>
        <v>1.38</v>
      </c>
      <c r="M3" s="18">
        <f>INDEX(Effect_Parameters!$K$2:$K$62,MATCH(A3,Effect_Parameters!$B$2:$B$62,0))</f>
        <v>0</v>
      </c>
      <c r="N3" s="18" t="str">
        <f>INDEX(Effect_Parameters!$N$2:$N$62,MATCH(A3,Effect_Parameters!$B$2:$B$62,0))</f>
        <v>jha_piecewise_shared_scalar</v>
      </c>
      <c r="O3" s="18">
        <f>IF(K3="direct_smoking_prevalence_shift_rr",IF(OR(ISBLANK(G3),ISBLANK(H3),ISBLANK(L3)),"",1-(1+H3*(L3-1))/(1+G3*(L3-1))),IF(K3="tobacco_mortality_prevalence_shift_rr",IF(OR(ISBLANK(G3),ISBLANK(H3),ISBLANK(L3)),"",1-(1+H3*(L3-1)+(G3-H3)*(1-SUMIF(Assumptions!$A$2:$A$37,"tobacco_vascular_erd_ge10_pooled",Assumptions!$B$2:$B$37))*(L3-1))/(1+G3*(L3-1))),IF(K3="direct_loglinear_rr_per_unit_reduction",IF(OR(ISBLANK(L3),ISBLANK(I3)),"",1-1/(L3^I3)),IF(K3="tfa_attributable_ihd_PAF_x_regulatory_gap",IF(ISBLANK(M3),"",M3*SUMIF(Policy_Levers!$B$2:$B$13,INDEX(Intervention_Cause_Map!$B$2:$B$62,MATCH(A3,Intervention_Cause_Map!$A$2:$A$62,0)),Policy_Levers!$Z$2:$Z$13)),""))))</f>
        <v>1.7998490191366234E-2</v>
      </c>
      <c r="P3" s="8" t="str">
        <f>INDEX(Intervention_Cause_Map!$J$2:$J$62,MATCH(A3,Intervention_Cause_Map!$A$2:$A$62,0))</f>
        <v>I_PH_TOBACCO_TAX__C_SHARED</v>
      </c>
      <c r="Q3" s="8" t="str">
        <f>INDEX(Intervention_Cause_Map!$K$2:$K$62,MATCH(A3,Intervention_Cause_Map!$A$2:$A$62,0))</f>
        <v>shared-count-once</v>
      </c>
      <c r="R3" s="20">
        <f>SUMIFS(Cost_Components!$S$2:$S$15,Cost_Components!$G$2:$G$15,P3,Cost_Components!$D$2:$D$15,1)</f>
        <v>0.04</v>
      </c>
      <c r="S3" s="8" t="str">
        <f>IF(COUNTIF(Effect_Parameters!$B$2:$B$62,A3)&lt;&gt;1,"LINK ERROR",IF(INDEX(Intervention_Cause_Map!$N$2:$N$62,MATCH(A3,Intervention_Cause_Map!$A$2:$A$62,0))=0,"EXPLORATORY - DISABLED",IF(AND(E3="sick",F3="dead"),"R UPDATE REQUIRED","READY FOR MODEL")))</f>
        <v>READY FOR MODEL</v>
      </c>
    </row>
    <row r="4" spans="1:19" ht="30" customHeight="1" x14ac:dyDescent="0.25">
      <c r="A4" s="8" t="s">
        <v>272</v>
      </c>
      <c r="B4" s="8" t="s">
        <v>177</v>
      </c>
      <c r="C4" s="8" t="s">
        <v>181</v>
      </c>
      <c r="D4" s="8" t="s">
        <v>212</v>
      </c>
      <c r="E4" s="8" t="s">
        <v>268</v>
      </c>
      <c r="F4" s="8" t="s">
        <v>269</v>
      </c>
      <c r="G4" s="18">
        <f>SUMIF(Exposure_Targets!$B$2:$B$13,INDEX(Intervention_Cause_Map!$B$2:$B$62,MATCH(A4,Intervention_Cause_Map!$A$2:$A$62,0)),Exposure_Targets!$G$2:$G$13)</f>
        <v>0.30299999999999999</v>
      </c>
      <c r="H4" s="18">
        <f>SUMIF(Exposure_Targets!$B$2:$B$13,INDEX(Intervention_Cause_Map!$B$2:$B$62,MATCH(A4,Intervention_Cause_Map!$A$2:$A$62,0)),Exposure_Targets!$M$2:$M$13)</f>
        <v>0.25018200959999998</v>
      </c>
      <c r="I4" s="18">
        <f t="shared" si="0"/>
        <v>5.2817990400000014E-2</v>
      </c>
      <c r="J4" s="18">
        <f t="shared" si="1"/>
        <v>0.17431680000000005</v>
      </c>
      <c r="K4" s="18" t="str">
        <f>INDEX(Effect_Parameters!$F$2:$F$62,MATCH(A4,Effect_Parameters!$B$2:$B$62,0))</f>
        <v>direct_smoking_prevalence_shift_rr</v>
      </c>
      <c r="L4" s="18">
        <f>INDEX(Effect_Parameters!$I$2:$I$62,MATCH(A4,Effect_Parameters!$B$2:$B$62,0))</f>
        <v>1.19</v>
      </c>
      <c r="M4" s="18">
        <f>INDEX(Effect_Parameters!$K$2:$K$62,MATCH(A4,Effect_Parameters!$B$2:$B$62,0))</f>
        <v>0</v>
      </c>
      <c r="N4" s="18" t="str">
        <f>INDEX(Effect_Parameters!$N$2:$N$62,MATCH(A4,Effect_Parameters!$B$2:$B$62,0))</f>
        <v>jha_piecewise_shared_scalar</v>
      </c>
      <c r="O4" s="18">
        <f>IF(K4="direct_smoking_prevalence_shift_rr",IF(OR(ISBLANK(G4),ISBLANK(H4),ISBLANK(L4)),"",1-(1+H4*(L4-1))/(1+G4*(L4-1))),IF(K4="tobacco_mortality_prevalence_shift_rr",IF(OR(ISBLANK(G4),ISBLANK(H4),ISBLANK(L4)),"",1-(1+H4*(L4-1)+(G4-H4)*(1-SUMIF(Assumptions!$A$2:$A$37,"tobacco_vascular_erd_ge10_pooled",Assumptions!$B$2:$B$37))*(L4-1))/(1+G4*(L4-1))),IF(K4="direct_loglinear_rr_per_unit_reduction",IF(OR(ISBLANK(L4),ISBLANK(I4)),"",1-1/(L4^I4)),IF(K4="tfa_attributable_ihd_PAF_x_regulatory_gap",IF(ISBLANK(M4),"",M4*SUMIF(Policy_Levers!$B$2:$B$13,INDEX(Intervention_Cause_Map!$B$2:$B$62,MATCH(A4,Intervention_Cause_Map!$A$2:$A$62,0)),Policy_Levers!$Z$2:$Z$13)),""))))</f>
        <v>9.4891290184100363E-3</v>
      </c>
      <c r="P4" s="8" t="str">
        <f>INDEX(Intervention_Cause_Map!$J$2:$J$62,MATCH(A4,Intervention_Cause_Map!$A$2:$A$62,0))</f>
        <v>I_PH_TOBACCO_TAX__C_SHARED</v>
      </c>
      <c r="Q4" s="8" t="str">
        <f>INDEX(Intervention_Cause_Map!$K$2:$K$62,MATCH(A4,Intervention_Cause_Map!$A$2:$A$62,0))</f>
        <v>shared-count-once</v>
      </c>
      <c r="R4" s="20">
        <f>SUMIFS(Cost_Components!$S$2:$S$15,Cost_Components!$G$2:$G$15,P4,Cost_Components!$D$2:$D$15,1)</f>
        <v>0.04</v>
      </c>
      <c r="S4" s="8" t="str">
        <f>IF(COUNTIF(Effect_Parameters!$B$2:$B$62,A4)&lt;&gt;1,"LINK ERROR",IF(INDEX(Intervention_Cause_Map!$N$2:$N$62,MATCH(A4,Intervention_Cause_Map!$A$2:$A$62,0))=0,"EXPLORATORY - DISABLED",IF(AND(E4="sick",F4="dead"),"R UPDATE REQUIRED","READY FOR MODEL")))</f>
        <v>READY FOR MODEL</v>
      </c>
    </row>
    <row r="5" spans="1:19" ht="30" customHeight="1" x14ac:dyDescent="0.25">
      <c r="A5" s="8" t="s">
        <v>273</v>
      </c>
      <c r="B5" s="8" t="s">
        <v>177</v>
      </c>
      <c r="C5" s="8" t="s">
        <v>181</v>
      </c>
      <c r="D5" s="8" t="s">
        <v>233</v>
      </c>
      <c r="E5" s="8" t="s">
        <v>268</v>
      </c>
      <c r="F5" s="8" t="s">
        <v>269</v>
      </c>
      <c r="G5" s="18">
        <f>SUMIF(Exposure_Targets!$B$2:$B$13,INDEX(Intervention_Cause_Map!$B$2:$B$62,MATCH(A5,Intervention_Cause_Map!$A$2:$A$62,0)),Exposure_Targets!$G$2:$G$13)</f>
        <v>0.30299999999999999</v>
      </c>
      <c r="H5" s="18">
        <f>SUMIF(Exposure_Targets!$B$2:$B$13,INDEX(Intervention_Cause_Map!$B$2:$B$62,MATCH(A5,Intervention_Cause_Map!$A$2:$A$62,0)),Exposure_Targets!$M$2:$M$13)</f>
        <v>0.25018200959999998</v>
      </c>
      <c r="I5" s="18">
        <f t="shared" si="0"/>
        <v>5.2817990400000014E-2</v>
      </c>
      <c r="J5" s="18">
        <f t="shared" si="1"/>
        <v>0.17431680000000005</v>
      </c>
      <c r="K5" s="18" t="str">
        <f>INDEX(Effect_Parameters!$F$2:$F$62,MATCH(A5,Effect_Parameters!$B$2:$B$62,0))</f>
        <v>direct_smoking_prevalence_shift_rr</v>
      </c>
      <c r="L5" s="18">
        <f>INDEX(Effect_Parameters!$I$2:$I$62,MATCH(A5,Effect_Parameters!$B$2:$B$62,0))</f>
        <v>1.37</v>
      </c>
      <c r="M5" s="18">
        <f>INDEX(Effect_Parameters!$K$2:$K$62,MATCH(A5,Effect_Parameters!$B$2:$B$62,0))</f>
        <v>0</v>
      </c>
      <c r="N5" s="18" t="str">
        <f>INDEX(Effect_Parameters!$N$2:$N$62,MATCH(A5,Effect_Parameters!$B$2:$B$62,0))</f>
        <v>delayed_exponential_remaining_effect</v>
      </c>
      <c r="O5" s="18">
        <f>IF(K5="direct_smoking_prevalence_shift_rr",IF(OR(ISBLANK(G5),ISBLANK(H5),ISBLANK(L5)),"",1-(1+H5*(L5-1))/(1+G5*(L5-1))),IF(K5="tobacco_mortality_prevalence_shift_rr",IF(OR(ISBLANK(G5),ISBLANK(H5),ISBLANK(L5)),"",1-(1+H5*(L5-1)+(G5-H5)*(1-SUMIF(Assumptions!$A$2:$A$37,"tobacco_vascular_erd_ge10_pooled",Assumptions!$B$2:$B$37))*(L5-1))/(1+G5*(L5-1))),IF(K5="direct_loglinear_rr_per_unit_reduction",IF(OR(ISBLANK(L5),ISBLANK(I5)),"",1-1/(L5^I5)),IF(K5="tfa_attributable_ihd_PAF_x_regulatory_gap",IF(ISBLANK(M5),"",M5*SUMIF(Policy_Levers!$B$2:$B$13,INDEX(Intervention_Cause_Map!$B$2:$B$62,MATCH(A5,Intervention_Cause_Map!$A$2:$A$62,0)),Policy_Levers!$Z$2:$Z$13)),""))))</f>
        <v>1.7572593042055162E-2</v>
      </c>
      <c r="P5" s="8" t="str">
        <f>INDEX(Intervention_Cause_Map!$J$2:$J$62,MATCH(A5,Intervention_Cause_Map!$A$2:$A$62,0))</f>
        <v>I_PH_TOBACCO_TAX__C_SHARED</v>
      </c>
      <c r="Q5" s="8" t="str">
        <f>INDEX(Intervention_Cause_Map!$K$2:$K$62,MATCH(A5,Intervention_Cause_Map!$A$2:$A$62,0))</f>
        <v>shared-count-once</v>
      </c>
      <c r="R5" s="20">
        <f>SUMIFS(Cost_Components!$S$2:$S$15,Cost_Components!$G$2:$G$15,P5,Cost_Components!$D$2:$D$15,1)</f>
        <v>0.04</v>
      </c>
      <c r="S5" s="8" t="str">
        <f>IF(COUNTIF(Effect_Parameters!$B$2:$B$62,A5)&lt;&gt;1,"LINK ERROR",IF(INDEX(Intervention_Cause_Map!$N$2:$N$62,MATCH(A5,Intervention_Cause_Map!$A$2:$A$62,0))=0,"EXPLORATORY - DISABLED",IF(AND(E5="sick",F5="dead"),"R UPDATE REQUIRED","READY FOR MODEL")))</f>
        <v>READY FOR MODEL</v>
      </c>
    </row>
    <row r="6" spans="1:19" ht="30" customHeight="1" x14ac:dyDescent="0.25">
      <c r="A6" s="8" t="s">
        <v>274</v>
      </c>
      <c r="B6" s="8" t="s">
        <v>187</v>
      </c>
      <c r="C6" s="8" t="s">
        <v>191</v>
      </c>
      <c r="D6" s="8" t="s">
        <v>195</v>
      </c>
      <c r="E6" s="8" t="s">
        <v>268</v>
      </c>
      <c r="F6" s="8" t="s">
        <v>269</v>
      </c>
      <c r="G6" s="18">
        <f>SUMIF(Exposure_Targets!$B$2:$B$13,INDEX(Intervention_Cause_Map!$B$2:$B$62,MATCH(A6,Intervention_Cause_Map!$A$2:$A$62,0)),Exposure_Targets!$G$2:$G$13)</f>
        <v>0.1</v>
      </c>
      <c r="H6" s="18">
        <f>SUMIF(Exposure_Targets!$B$2:$B$13,INDEX(Intervention_Cause_Map!$B$2:$B$62,MATCH(A6,Intervention_Cause_Map!$A$2:$A$62,0)),Exposure_Targets!$M$2:$M$13)</f>
        <v>8.7749999999999995E-2</v>
      </c>
      <c r="I6" s="18">
        <f t="shared" si="0"/>
        <v>1.2250000000000011E-2</v>
      </c>
      <c r="J6" s="18">
        <f t="shared" si="1"/>
        <v>0.12250000000000011</v>
      </c>
      <c r="K6" s="18" t="str">
        <f>INDEX(Effect_Parameters!$F$2:$F$62,MATCH(A6,Effect_Parameters!$B$2:$B$62,0))</f>
        <v>direct_loglinear_rr_per_unit_reduction</v>
      </c>
      <c r="L6" s="18">
        <f>INDEX(Effect_Parameters!$I$2:$I$62,MATCH(A6,Effect_Parameters!$B$2:$B$62,0))</f>
        <v>1.0088803849749666</v>
      </c>
      <c r="M6" s="18">
        <f>INDEX(Effect_Parameters!$K$2:$K$62,MATCH(A6,Effect_Parameters!$B$2:$B$62,0))</f>
        <v>0</v>
      </c>
      <c r="N6" s="18" t="str">
        <f>INDEX(Effect_Parameters!$N$2:$N$62,MATCH(A6,Effect_Parameters!$B$2:$B$62,0))</f>
        <v>immediate_after_full_implementation</v>
      </c>
      <c r="O6" s="18">
        <f>IF(K6="direct_smoking_prevalence_shift_rr",IF(OR(ISBLANK(G6),ISBLANK(H6),ISBLANK(L6)),"",1-(1+H6*(L6-1))/(1+G6*(L6-1))),IF(K6="tobacco_mortality_prevalence_shift_rr",IF(OR(ISBLANK(G6),ISBLANK(H6),ISBLANK(L6)),"",1-(1+H6*(L6-1)+(G6-H6)*(1-SUMIF(Assumptions!$A$2:$A$37,"tobacco_vascular_erd_ge10_pooled",Assumptions!$B$2:$B$37))*(L6-1))/(1+G6*(L6-1))),IF(K6="direct_loglinear_rr_per_unit_reduction",IF(OR(ISBLANK(L6),ISBLANK(I6)),"",1-1/(L6^I6)),IF(K6="tfa_attributable_ihd_PAF_x_regulatory_gap",IF(ISBLANK(M6),"",M6*SUMIF(Policy_Levers!$B$2:$B$13,INDEX(Intervention_Cause_Map!$B$2:$B$62,MATCH(A6,Intervention_Cause_Map!$A$2:$A$62,0)),Policy_Levers!$Z$2:$Z$13)),""))))</f>
        <v>1.0829866686168366E-4</v>
      </c>
      <c r="P6" s="8" t="str">
        <f>INDEX(Intervention_Cause_Map!$J$2:$J$62,MATCH(A6,Intervention_Cause_Map!$A$2:$A$62,0))</f>
        <v>I_PH_ALCOHOL_TAX__C_SHARED</v>
      </c>
      <c r="Q6" s="8" t="str">
        <f>INDEX(Intervention_Cause_Map!$K$2:$K$62,MATCH(A6,Intervention_Cause_Map!$A$2:$A$62,0))</f>
        <v>shared-count-once</v>
      </c>
      <c r="R6" s="20">
        <f>SUMIFS(Cost_Components!$S$2:$S$15,Cost_Components!$G$2:$G$15,P6,Cost_Components!$D$2:$D$15,1)</f>
        <v>0.04</v>
      </c>
      <c r="S6" s="8" t="str">
        <f>IF(COUNTIF(Effect_Parameters!$B$2:$B$62,A6)&lt;&gt;1,"LINK ERROR",IF(INDEX(Intervention_Cause_Map!$N$2:$N$62,MATCH(A6,Intervention_Cause_Map!$A$2:$A$62,0))=0,"EXPLORATORY - DISABLED",IF(AND(E6="sick",F6="dead"),"R UPDATE REQUIRED","READY FOR MODEL")))</f>
        <v>EXPLORATORY - DISABLED</v>
      </c>
    </row>
    <row r="7" spans="1:19" ht="30" customHeight="1" x14ac:dyDescent="0.25">
      <c r="A7" s="8" t="s">
        <v>276</v>
      </c>
      <c r="B7" s="8" t="s">
        <v>187</v>
      </c>
      <c r="C7" s="8" t="s">
        <v>191</v>
      </c>
      <c r="D7" s="8" t="s">
        <v>204</v>
      </c>
      <c r="E7" s="8" t="s">
        <v>268</v>
      </c>
      <c r="F7" s="8" t="s">
        <v>269</v>
      </c>
      <c r="G7" s="18">
        <f>SUMIF(Exposure_Targets!$B$2:$B$13,INDEX(Intervention_Cause_Map!$B$2:$B$62,MATCH(A7,Intervention_Cause_Map!$A$2:$A$62,0)),Exposure_Targets!$G$2:$G$13)</f>
        <v>0.1</v>
      </c>
      <c r="H7" s="18">
        <f>SUMIF(Exposure_Targets!$B$2:$B$13,INDEX(Intervention_Cause_Map!$B$2:$B$62,MATCH(A7,Intervention_Cause_Map!$A$2:$A$62,0)),Exposure_Targets!$M$2:$M$13)</f>
        <v>8.7749999999999995E-2</v>
      </c>
      <c r="I7" s="18">
        <f t="shared" si="0"/>
        <v>1.2250000000000011E-2</v>
      </c>
      <c r="J7" s="18">
        <f t="shared" si="1"/>
        <v>0.12250000000000011</v>
      </c>
      <c r="K7" s="18" t="str">
        <f>INDEX(Effect_Parameters!$F$2:$F$62,MATCH(A7,Effect_Parameters!$B$2:$B$62,0))</f>
        <v>direct_loglinear_rr_per_unit_reduction</v>
      </c>
      <c r="L7" s="18">
        <f>INDEX(Effect_Parameters!$I$2:$I$62,MATCH(A7,Effect_Parameters!$B$2:$B$62,0))</f>
        <v>1.020079962718877</v>
      </c>
      <c r="M7" s="18">
        <f>INDEX(Effect_Parameters!$K$2:$K$62,MATCH(A7,Effect_Parameters!$B$2:$B$62,0))</f>
        <v>0</v>
      </c>
      <c r="N7" s="18" t="str">
        <f>INDEX(Effect_Parameters!$N$2:$N$62,MATCH(A7,Effect_Parameters!$B$2:$B$62,0))</f>
        <v>immediate_after_full_implementation</v>
      </c>
      <c r="O7" s="18">
        <f>IF(K7="direct_smoking_prevalence_shift_rr",IF(OR(ISBLANK(G7),ISBLANK(H7),ISBLANK(L7)),"",1-(1+H7*(L7-1))/(1+G7*(L7-1))),IF(K7="tobacco_mortality_prevalence_shift_rr",IF(OR(ISBLANK(G7),ISBLANK(H7),ISBLANK(L7)),"",1-(1+H7*(L7-1)+(G7-H7)*(1-SUMIF(Assumptions!$A$2:$A$37,"tobacco_vascular_erd_ge10_pooled",Assumptions!$B$2:$B$37))*(L7-1))/(1+G7*(L7-1))),IF(K7="direct_loglinear_rr_per_unit_reduction",IF(OR(ISBLANK(L7),ISBLANK(I7)),"",1-1/(L7^I7)),IF(K7="tfa_attributable_ihd_PAF_x_regulatory_gap",IF(ISBLANK(M7),"",M7*SUMIF(Policy_Levers!$B$2:$B$13,INDEX(Intervention_Cause_Map!$B$2:$B$62,MATCH(A7,Intervention_Cause_Map!$A$2:$A$62,0)),Policy_Levers!$Z$2:$Z$13)),""))))</f>
        <v>2.4351282924905959E-4</v>
      </c>
      <c r="P7" s="8" t="str">
        <f>INDEX(Intervention_Cause_Map!$J$2:$J$62,MATCH(A7,Intervention_Cause_Map!$A$2:$A$62,0))</f>
        <v>I_PH_ALCOHOL_TAX__C_SHARED</v>
      </c>
      <c r="Q7" s="8" t="str">
        <f>INDEX(Intervention_Cause_Map!$K$2:$K$62,MATCH(A7,Intervention_Cause_Map!$A$2:$A$62,0))</f>
        <v>shared-count-once</v>
      </c>
      <c r="R7" s="20">
        <f>SUMIFS(Cost_Components!$S$2:$S$15,Cost_Components!$G$2:$G$15,P7,Cost_Components!$D$2:$D$15,1)</f>
        <v>0.04</v>
      </c>
      <c r="S7" s="8" t="str">
        <f>IF(COUNTIF(Effect_Parameters!$B$2:$B$62,A7)&lt;&gt;1,"LINK ERROR",IF(INDEX(Intervention_Cause_Map!$N$2:$N$62,MATCH(A7,Intervention_Cause_Map!$A$2:$A$62,0))=0,"EXPLORATORY - DISABLED",IF(AND(E7="sick",F7="dead"),"R UPDATE REQUIRED","READY FOR MODEL")))</f>
        <v>EXPLORATORY - DISABLED</v>
      </c>
    </row>
    <row r="8" spans="1:19" ht="30" customHeight="1" x14ac:dyDescent="0.25">
      <c r="A8" s="8" t="s">
        <v>277</v>
      </c>
      <c r="B8" s="8" t="s">
        <v>187</v>
      </c>
      <c r="C8" s="8" t="s">
        <v>191</v>
      </c>
      <c r="D8" s="8" t="s">
        <v>212</v>
      </c>
      <c r="E8" s="8" t="s">
        <v>268</v>
      </c>
      <c r="F8" s="8" t="s">
        <v>269</v>
      </c>
      <c r="G8" s="18">
        <f>SUMIF(Exposure_Targets!$B$2:$B$13,INDEX(Intervention_Cause_Map!$B$2:$B$62,MATCH(A8,Intervention_Cause_Map!$A$2:$A$62,0)),Exposure_Targets!$G$2:$G$13)</f>
        <v>0.1</v>
      </c>
      <c r="H8" s="18">
        <f>SUMIF(Exposure_Targets!$B$2:$B$13,INDEX(Intervention_Cause_Map!$B$2:$B$62,MATCH(A8,Intervention_Cause_Map!$A$2:$A$62,0)),Exposure_Targets!$M$2:$M$13)</f>
        <v>8.7749999999999995E-2</v>
      </c>
      <c r="I8" s="18">
        <f t="shared" si="0"/>
        <v>1.2250000000000011E-2</v>
      </c>
      <c r="J8" s="18">
        <f t="shared" si="1"/>
        <v>0.12250000000000011</v>
      </c>
      <c r="K8" s="18" t="str">
        <f>INDEX(Effect_Parameters!$F$2:$F$62,MATCH(A8,Effect_Parameters!$B$2:$B$62,0))</f>
        <v>direct_loglinear_rr_per_unit_reduction</v>
      </c>
      <c r="L8" s="18">
        <f>INDEX(Effect_Parameters!$I$2:$I$62,MATCH(A8,Effect_Parameters!$B$2:$B$62,0))</f>
        <v>1.020079962718877</v>
      </c>
      <c r="M8" s="18">
        <f>INDEX(Effect_Parameters!$K$2:$K$62,MATCH(A8,Effect_Parameters!$B$2:$B$62,0))</f>
        <v>0</v>
      </c>
      <c r="N8" s="18" t="str">
        <f>INDEX(Effect_Parameters!$N$2:$N$62,MATCH(A8,Effect_Parameters!$B$2:$B$62,0))</f>
        <v>immediate_after_full_implementation</v>
      </c>
      <c r="O8" s="18">
        <f>IF(K8="direct_smoking_prevalence_shift_rr",IF(OR(ISBLANK(G8),ISBLANK(H8),ISBLANK(L8)),"",1-(1+H8*(L8-1))/(1+G8*(L8-1))),IF(K8="tobacco_mortality_prevalence_shift_rr",IF(OR(ISBLANK(G8),ISBLANK(H8),ISBLANK(L8)),"",1-(1+H8*(L8-1)+(G8-H8)*(1-SUMIF(Assumptions!$A$2:$A$37,"tobacco_vascular_erd_ge10_pooled",Assumptions!$B$2:$B$37))*(L8-1))/(1+G8*(L8-1))),IF(K8="direct_loglinear_rr_per_unit_reduction",IF(OR(ISBLANK(L8),ISBLANK(I8)),"",1-1/(L8^I8)),IF(K8="tfa_attributable_ihd_PAF_x_regulatory_gap",IF(ISBLANK(M8),"",M8*SUMIF(Policy_Levers!$B$2:$B$13,INDEX(Intervention_Cause_Map!$B$2:$B$62,MATCH(A8,Intervention_Cause_Map!$A$2:$A$62,0)),Policy_Levers!$Z$2:$Z$13)),""))))</f>
        <v>2.4351282924905959E-4</v>
      </c>
      <c r="P8" s="8" t="str">
        <f>INDEX(Intervention_Cause_Map!$J$2:$J$62,MATCH(A8,Intervention_Cause_Map!$A$2:$A$62,0))</f>
        <v>I_PH_ALCOHOL_TAX__C_SHARED</v>
      </c>
      <c r="Q8" s="8" t="str">
        <f>INDEX(Intervention_Cause_Map!$K$2:$K$62,MATCH(A8,Intervention_Cause_Map!$A$2:$A$62,0))</f>
        <v>shared-count-once</v>
      </c>
      <c r="R8" s="20">
        <f>SUMIFS(Cost_Components!$S$2:$S$15,Cost_Components!$G$2:$G$15,P8,Cost_Components!$D$2:$D$15,1)</f>
        <v>0.04</v>
      </c>
      <c r="S8" s="8" t="str">
        <f>IF(COUNTIF(Effect_Parameters!$B$2:$B$62,A8)&lt;&gt;1,"LINK ERROR",IF(INDEX(Intervention_Cause_Map!$N$2:$N$62,MATCH(A8,Intervention_Cause_Map!$A$2:$A$62,0))=0,"EXPLORATORY - DISABLED",IF(AND(E8="sick",F8="dead"),"R UPDATE REQUIRED","READY FOR MODEL")))</f>
        <v>EXPLORATORY - DISABLED</v>
      </c>
    </row>
    <row r="9" spans="1:19" ht="30" customHeight="1" x14ac:dyDescent="0.25">
      <c r="A9" s="8" t="s">
        <v>278</v>
      </c>
      <c r="B9" s="8" t="s">
        <v>187</v>
      </c>
      <c r="C9" s="8" t="s">
        <v>191</v>
      </c>
      <c r="D9" s="8" t="s">
        <v>221</v>
      </c>
      <c r="E9" s="8" t="s">
        <v>268</v>
      </c>
      <c r="F9" s="8" t="s">
        <v>269</v>
      </c>
      <c r="G9" s="18">
        <f>SUMIF(Exposure_Targets!$B$2:$B$13,INDEX(Intervention_Cause_Map!$B$2:$B$62,MATCH(A9,Intervention_Cause_Map!$A$2:$A$62,0)),Exposure_Targets!$G$2:$G$13)</f>
        <v>0.1</v>
      </c>
      <c r="H9" s="18">
        <f>SUMIF(Exposure_Targets!$B$2:$B$13,INDEX(Intervention_Cause_Map!$B$2:$B$62,MATCH(A9,Intervention_Cause_Map!$A$2:$A$62,0)),Exposure_Targets!$M$2:$M$13)</f>
        <v>8.7749999999999995E-2</v>
      </c>
      <c r="I9" s="18">
        <f t="shared" si="0"/>
        <v>1.2250000000000011E-2</v>
      </c>
      <c r="J9" s="18">
        <f t="shared" si="1"/>
        <v>0.12250000000000011</v>
      </c>
      <c r="K9" s="18" t="str">
        <f>INDEX(Effect_Parameters!$F$2:$F$62,MATCH(A9,Effect_Parameters!$B$2:$B$62,0))</f>
        <v>direct_loglinear_rr_per_unit_reduction</v>
      </c>
      <c r="L9" s="18">
        <f>INDEX(Effect_Parameters!$I$2:$I$62,MATCH(A9,Effect_Parameters!$B$2:$B$62,0))</f>
        <v>1.0331775104357432</v>
      </c>
      <c r="M9" s="18">
        <f>INDEX(Effect_Parameters!$K$2:$K$62,MATCH(A9,Effect_Parameters!$B$2:$B$62,0))</f>
        <v>0</v>
      </c>
      <c r="N9" s="18" t="str">
        <f>INDEX(Effect_Parameters!$N$2:$N$62,MATCH(A9,Effect_Parameters!$B$2:$B$62,0))</f>
        <v>immediate_after_full_implementation</v>
      </c>
      <c r="O9" s="18">
        <f>IF(K9="direct_smoking_prevalence_shift_rr",IF(OR(ISBLANK(G9),ISBLANK(H9),ISBLANK(L9)),"",1-(1+H9*(L9-1))/(1+G9*(L9-1))),IF(K9="tobacco_mortality_prevalence_shift_rr",IF(OR(ISBLANK(G9),ISBLANK(H9),ISBLANK(L9)),"",1-(1+H9*(L9-1)+(G9-H9)*(1-SUMIF(Assumptions!$A$2:$A$37,"tobacco_vascular_erd_ge10_pooled",Assumptions!$B$2:$B$37))*(L9-1))/(1+G9*(L9-1))),IF(K9="direct_loglinear_rr_per_unit_reduction",IF(OR(ISBLANK(L9),ISBLANK(I9)),"",1-1/(L9^I9)),IF(K9="tfa_attributable_ihd_PAF_x_regulatory_gap",IF(ISBLANK(M9),"",M9*SUMIF(Policy_Levers!$B$2:$B$13,INDEX(Intervention_Cause_Map!$B$2:$B$62,MATCH(A9,Intervention_Cause_Map!$A$2:$A$62,0)),Policy_Levers!$Z$2:$Z$13)),""))))</f>
        <v>3.9974801443276586E-4</v>
      </c>
      <c r="P9" s="8" t="str">
        <f>INDEX(Intervention_Cause_Map!$J$2:$J$62,MATCH(A9,Intervention_Cause_Map!$A$2:$A$62,0))</f>
        <v>I_PH_ALCOHOL_TAX__C_SHARED</v>
      </c>
      <c r="Q9" s="8" t="str">
        <f>INDEX(Intervention_Cause_Map!$K$2:$K$62,MATCH(A9,Intervention_Cause_Map!$A$2:$A$62,0))</f>
        <v>shared-count-once</v>
      </c>
      <c r="R9" s="20">
        <f>SUMIFS(Cost_Components!$S$2:$S$15,Cost_Components!$G$2:$G$15,P9,Cost_Components!$D$2:$D$15,1)</f>
        <v>0.04</v>
      </c>
      <c r="S9" s="8" t="str">
        <f>IF(COUNTIF(Effect_Parameters!$B$2:$B$62,A9)&lt;&gt;1,"LINK ERROR",IF(INDEX(Intervention_Cause_Map!$N$2:$N$62,MATCH(A9,Intervention_Cause_Map!$A$2:$A$62,0))=0,"EXPLORATORY - DISABLED",IF(AND(E9="sick",F9="dead"),"R UPDATE REQUIRED","READY FOR MODEL")))</f>
        <v>EXPLORATORY - DISABLED</v>
      </c>
    </row>
    <row r="10" spans="1:19" ht="30" customHeight="1" x14ac:dyDescent="0.25">
      <c r="A10" s="8" t="s">
        <v>279</v>
      </c>
      <c r="B10" s="8" t="s">
        <v>187</v>
      </c>
      <c r="C10" s="8" t="s">
        <v>191</v>
      </c>
      <c r="D10" s="8" t="s">
        <v>226</v>
      </c>
      <c r="E10" s="8" t="s">
        <v>268</v>
      </c>
      <c r="F10" s="8" t="s">
        <v>269</v>
      </c>
      <c r="G10" s="18">
        <f>SUMIF(Exposure_Targets!$B$2:$B$13,INDEX(Intervention_Cause_Map!$B$2:$B$62,MATCH(A10,Intervention_Cause_Map!$A$2:$A$62,0)),Exposure_Targets!$G$2:$G$13)</f>
        <v>0.1</v>
      </c>
      <c r="H10" s="18">
        <f>SUMIF(Exposure_Targets!$B$2:$B$13,INDEX(Intervention_Cause_Map!$B$2:$B$62,MATCH(A10,Intervention_Cause_Map!$A$2:$A$62,0)),Exposure_Targets!$M$2:$M$13)</f>
        <v>8.7749999999999995E-2</v>
      </c>
      <c r="I10" s="18">
        <f t="shared" si="0"/>
        <v>1.2250000000000011E-2</v>
      </c>
      <c r="J10" s="18">
        <f t="shared" si="1"/>
        <v>0.12250000000000011</v>
      </c>
      <c r="K10" s="18" t="str">
        <f>INDEX(Effect_Parameters!$F$2:$F$62,MATCH(A10,Effect_Parameters!$B$2:$B$62,0))</f>
        <v>direct_loglinear_rr_per_unit_reduction</v>
      </c>
      <c r="L10" s="18">
        <f>INDEX(Effect_Parameters!$I$2:$I$62,MATCH(A10,Effect_Parameters!$B$2:$B$62,0))</f>
        <v>1.0131616703515811</v>
      </c>
      <c r="M10" s="18">
        <f>INDEX(Effect_Parameters!$K$2:$K$62,MATCH(A10,Effect_Parameters!$B$2:$B$62,0))</f>
        <v>0</v>
      </c>
      <c r="N10" s="18" t="str">
        <f>INDEX(Effect_Parameters!$N$2:$N$62,MATCH(A10,Effect_Parameters!$B$2:$B$62,0))</f>
        <v>immediate_after_full_implementation</v>
      </c>
      <c r="O10" s="18">
        <f>IF(K10="direct_smoking_prevalence_shift_rr",IF(OR(ISBLANK(G10),ISBLANK(H10),ISBLANK(L10)),"",1-(1+H10*(L10-1))/(1+G10*(L10-1))),IF(K10="tobacco_mortality_prevalence_shift_rr",IF(OR(ISBLANK(G10),ISBLANK(H10),ISBLANK(L10)),"",1-(1+H10*(L10-1)+(G10-H10)*(1-SUMIF(Assumptions!$A$2:$A$37,"tobacco_vascular_erd_ge10_pooled",Assumptions!$B$2:$B$37))*(L10-1))/(1+G10*(L10-1))),IF(K10="direct_loglinear_rr_per_unit_reduction",IF(OR(ISBLANK(L10),ISBLANK(I10)),"",1-1/(L10^I10)),IF(K10="tfa_attributable_ihd_PAF_x_regulatory_gap",IF(ISBLANK(M10),"",M10*SUMIF(Policy_Levers!$B$2:$B$13,INDEX(Intervention_Cause_Map!$B$2:$B$62,MATCH(A10,Intervention_Cause_Map!$A$2:$A$62,0)),Policy_Levers!$Z$2:$Z$13)),""))))</f>
        <v>1.6016582181466177E-4</v>
      </c>
      <c r="P10" s="8" t="str">
        <f>INDEX(Intervention_Cause_Map!$J$2:$J$62,MATCH(A10,Intervention_Cause_Map!$A$2:$A$62,0))</f>
        <v>I_PH_ALCOHOL_TAX__C_SHARED</v>
      </c>
      <c r="Q10" s="8" t="str">
        <f>INDEX(Intervention_Cause_Map!$K$2:$K$62,MATCH(A10,Intervention_Cause_Map!$A$2:$A$62,0))</f>
        <v>shared-count-once</v>
      </c>
      <c r="R10" s="20">
        <f>SUMIFS(Cost_Components!$S$2:$S$15,Cost_Components!$G$2:$G$15,P10,Cost_Components!$D$2:$D$15,1)</f>
        <v>0.04</v>
      </c>
      <c r="S10" s="8" t="str">
        <f>IF(COUNTIF(Effect_Parameters!$B$2:$B$62,A10)&lt;&gt;1,"LINK ERROR",IF(INDEX(Intervention_Cause_Map!$N$2:$N$62,MATCH(A10,Intervention_Cause_Map!$A$2:$A$62,0))=0,"EXPLORATORY - DISABLED",IF(AND(E10="sick",F10="dead"),"R UPDATE REQUIRED","READY FOR MODEL")))</f>
        <v>EXPLORATORY - DISABLED</v>
      </c>
    </row>
    <row r="11" spans="1:19" ht="30" customHeight="1" x14ac:dyDescent="0.25">
      <c r="A11" s="8" t="s">
        <v>280</v>
      </c>
      <c r="B11" s="8" t="s">
        <v>198</v>
      </c>
      <c r="C11" s="8" t="s">
        <v>181</v>
      </c>
      <c r="D11" s="8" t="s">
        <v>195</v>
      </c>
      <c r="E11" s="8" t="s">
        <v>268</v>
      </c>
      <c r="F11" s="8" t="s">
        <v>269</v>
      </c>
      <c r="G11" s="18">
        <f>SUMIF(Exposure_Targets!$B$2:$B$13,INDEX(Intervention_Cause_Map!$B$2:$B$62,MATCH(A11,Intervention_Cause_Map!$A$2:$A$62,0)),Exposure_Targets!$G$2:$G$13)</f>
        <v>0.30299999999999999</v>
      </c>
      <c r="H11" s="18">
        <f>SUMIF(Exposure_Targets!$B$2:$B$13,INDEX(Intervention_Cause_Map!$B$2:$B$62,MATCH(A11,Intervention_Cause_Map!$A$2:$A$62,0)),Exposure_Targets!$M$2:$M$13)</f>
        <v>0.28633499999999995</v>
      </c>
      <c r="I11" s="18">
        <f t="shared" si="0"/>
        <v>1.6665000000000041E-2</v>
      </c>
      <c r="J11" s="18">
        <f t="shared" si="1"/>
        <v>5.5000000000000139E-2</v>
      </c>
      <c r="K11" s="18" t="str">
        <f>INDEX(Effect_Parameters!$F$2:$F$62,MATCH(A11,Effect_Parameters!$B$2:$B$62,0))</f>
        <v>direct_smoking_prevalence_shift_rr</v>
      </c>
      <c r="L11" s="18">
        <f>INDEX(Effect_Parameters!$I$2:$I$62,MATCH(A11,Effect_Parameters!$B$2:$B$62,0))</f>
        <v>1.6</v>
      </c>
      <c r="M11" s="18">
        <f>INDEX(Effect_Parameters!$K$2:$K$62,MATCH(A11,Effect_Parameters!$B$2:$B$62,0))</f>
        <v>0</v>
      </c>
      <c r="N11" s="18" t="str">
        <f>INDEX(Effect_Parameters!$N$2:$N$62,MATCH(A11,Effect_Parameters!$B$2:$B$62,0))</f>
        <v>jha_piecewise_shared_scalar</v>
      </c>
      <c r="O11" s="18">
        <f>IF(K11="direct_smoking_prevalence_shift_rr",IF(OR(ISBLANK(G11),ISBLANK(H11),ISBLANK(L11)),"",1-(1+H11*(L11-1))/(1+G11*(L11-1))),IF(K11="tobacco_mortality_prevalence_shift_rr",IF(OR(ISBLANK(G11),ISBLANK(H11),ISBLANK(L11)),"",1-(1+H11*(L11-1)+(G11-H11)*(1-SUMIF(Assumptions!$A$2:$A$37,"tobacco_vascular_erd_ge10_pooled",Assumptions!$B$2:$B$37))*(L11-1))/(1+G11*(L11-1))),IF(K11="direct_loglinear_rr_per_unit_reduction",IF(OR(ISBLANK(L11),ISBLANK(I11)),"",1-1/(L11^I11)),IF(K11="tfa_attributable_ihd_PAF_x_regulatory_gap",IF(ISBLANK(M11),"",M11*SUMIF(Policy_Levers!$B$2:$B$13,INDEX(Intervention_Cause_Map!$B$2:$B$62,MATCH(A11,Intervention_Cause_Map!$A$2:$A$62,0)),Policy_Levers!$Z$2:$Z$13)),""))))</f>
        <v>8.4608224741917759E-3</v>
      </c>
      <c r="P11" s="8" t="str">
        <f>INDEX(Intervention_Cause_Map!$J$2:$J$62,MATCH(A11,Intervention_Cause_Map!$A$2:$A$62,0))</f>
        <v>I_PH_TOB_CLEAN_AIR__C_SHARED</v>
      </c>
      <c r="Q11" s="8" t="str">
        <f>INDEX(Intervention_Cause_Map!$K$2:$K$62,MATCH(A11,Intervention_Cause_Map!$A$2:$A$62,0))</f>
        <v>component-count-once</v>
      </c>
      <c r="R11" s="20">
        <f>SUMIFS(Cost_Components!$S$2:$S$15,Cost_Components!$G$2:$G$15,P11,Cost_Components!$D$2:$D$15,1)</f>
        <v>7.6999999999999994E-3</v>
      </c>
      <c r="S11" s="8" t="str">
        <f>IF(COUNTIF(Effect_Parameters!$B$2:$B$62,A11)&lt;&gt;1,"LINK ERROR",IF(INDEX(Intervention_Cause_Map!$N$2:$N$62,MATCH(A11,Intervention_Cause_Map!$A$2:$A$62,0))=0,"EXPLORATORY - DISABLED",IF(AND(E11="sick",F11="dead"),"R UPDATE REQUIRED","READY FOR MODEL")))</f>
        <v>READY FOR MODEL</v>
      </c>
    </row>
    <row r="12" spans="1:19" ht="30" customHeight="1" x14ac:dyDescent="0.25">
      <c r="A12" s="8" t="s">
        <v>283</v>
      </c>
      <c r="B12" s="8" t="s">
        <v>198</v>
      </c>
      <c r="C12" s="8" t="s">
        <v>181</v>
      </c>
      <c r="D12" s="8" t="s">
        <v>204</v>
      </c>
      <c r="E12" s="8" t="s">
        <v>268</v>
      </c>
      <c r="F12" s="8" t="s">
        <v>269</v>
      </c>
      <c r="G12" s="18">
        <f>SUMIF(Exposure_Targets!$B$2:$B$13,INDEX(Intervention_Cause_Map!$B$2:$B$62,MATCH(A12,Intervention_Cause_Map!$A$2:$A$62,0)),Exposure_Targets!$G$2:$G$13)</f>
        <v>0.30299999999999999</v>
      </c>
      <c r="H12" s="18">
        <f>SUMIF(Exposure_Targets!$B$2:$B$13,INDEX(Intervention_Cause_Map!$B$2:$B$62,MATCH(A12,Intervention_Cause_Map!$A$2:$A$62,0)),Exposure_Targets!$M$2:$M$13)</f>
        <v>0.28633499999999995</v>
      </c>
      <c r="I12" s="18">
        <f t="shared" si="0"/>
        <v>1.6665000000000041E-2</v>
      </c>
      <c r="J12" s="18">
        <f t="shared" si="1"/>
        <v>5.5000000000000139E-2</v>
      </c>
      <c r="K12" s="18" t="str">
        <f>INDEX(Effect_Parameters!$F$2:$F$62,MATCH(A12,Effect_Parameters!$B$2:$B$62,0))</f>
        <v>direct_smoking_prevalence_shift_rr</v>
      </c>
      <c r="L12" s="18">
        <f>INDEX(Effect_Parameters!$I$2:$I$62,MATCH(A12,Effect_Parameters!$B$2:$B$62,0))</f>
        <v>1.38</v>
      </c>
      <c r="M12" s="18">
        <f>INDEX(Effect_Parameters!$K$2:$K$62,MATCH(A12,Effect_Parameters!$B$2:$B$62,0))</f>
        <v>0</v>
      </c>
      <c r="N12" s="18" t="str">
        <f>INDEX(Effect_Parameters!$N$2:$N$62,MATCH(A12,Effect_Parameters!$B$2:$B$62,0))</f>
        <v>jha_piecewise_shared_scalar</v>
      </c>
      <c r="O12" s="18">
        <f>IF(K12="direct_smoking_prevalence_shift_rr",IF(OR(ISBLANK(G12),ISBLANK(H12),ISBLANK(L12)),"",1-(1+H12*(L12-1))/(1+G12*(L12-1))),IF(K12="tobacco_mortality_prevalence_shift_rr",IF(OR(ISBLANK(G12),ISBLANK(H12),ISBLANK(L12)),"",1-(1+H12*(L12-1)+(G12-H12)*(1-SUMIF(Assumptions!$A$2:$A$37,"tobacco_vascular_erd_ge10_pooled",Assumptions!$B$2:$B$37))*(L12-1))/(1+G12*(L12-1))),IF(K12="direct_loglinear_rr_per_unit_reduction",IF(OR(ISBLANK(L12),ISBLANK(I12)),"",1-1/(L12^I12)),IF(K12="tfa_attributable_ihd_PAF_x_regulatory_gap",IF(ISBLANK(M12),"",M12*SUMIF(Policy_Levers!$B$2:$B$13,INDEX(Intervention_Cause_Map!$B$2:$B$62,MATCH(A12,Intervention_Cause_Map!$A$2:$A$62,0)),Policy_Levers!$Z$2:$Z$13)),""))))</f>
        <v>5.6788385314847645E-3</v>
      </c>
      <c r="P12" s="8" t="str">
        <f>INDEX(Intervention_Cause_Map!$J$2:$J$62,MATCH(A12,Intervention_Cause_Map!$A$2:$A$62,0))</f>
        <v>I_PH_TOB_CLEAN_AIR__C_SHARED</v>
      </c>
      <c r="Q12" s="8" t="str">
        <f>INDEX(Intervention_Cause_Map!$K$2:$K$62,MATCH(A12,Intervention_Cause_Map!$A$2:$A$62,0))</f>
        <v>component-count-once</v>
      </c>
      <c r="R12" s="20">
        <f>SUMIFS(Cost_Components!$S$2:$S$15,Cost_Components!$G$2:$G$15,P12,Cost_Components!$D$2:$D$15,1)</f>
        <v>7.6999999999999994E-3</v>
      </c>
      <c r="S12" s="8" t="str">
        <f>IF(COUNTIF(Effect_Parameters!$B$2:$B$62,A12)&lt;&gt;1,"LINK ERROR",IF(INDEX(Intervention_Cause_Map!$N$2:$N$62,MATCH(A12,Intervention_Cause_Map!$A$2:$A$62,0))=0,"EXPLORATORY - DISABLED",IF(AND(E12="sick",F12="dead"),"R UPDATE REQUIRED","READY FOR MODEL")))</f>
        <v>READY FOR MODEL</v>
      </c>
    </row>
    <row r="13" spans="1:19" ht="30" customHeight="1" x14ac:dyDescent="0.25">
      <c r="A13" s="8" t="s">
        <v>284</v>
      </c>
      <c r="B13" s="8" t="s">
        <v>198</v>
      </c>
      <c r="C13" s="8" t="s">
        <v>181</v>
      </c>
      <c r="D13" s="8" t="s">
        <v>212</v>
      </c>
      <c r="E13" s="8" t="s">
        <v>268</v>
      </c>
      <c r="F13" s="8" t="s">
        <v>269</v>
      </c>
      <c r="G13" s="18">
        <f>SUMIF(Exposure_Targets!$B$2:$B$13,INDEX(Intervention_Cause_Map!$B$2:$B$62,MATCH(A13,Intervention_Cause_Map!$A$2:$A$62,0)),Exposure_Targets!$G$2:$G$13)</f>
        <v>0.30299999999999999</v>
      </c>
      <c r="H13" s="18">
        <f>SUMIF(Exposure_Targets!$B$2:$B$13,INDEX(Intervention_Cause_Map!$B$2:$B$62,MATCH(A13,Intervention_Cause_Map!$A$2:$A$62,0)),Exposure_Targets!$M$2:$M$13)</f>
        <v>0.28633499999999995</v>
      </c>
      <c r="I13" s="18">
        <f t="shared" si="0"/>
        <v>1.6665000000000041E-2</v>
      </c>
      <c r="J13" s="18">
        <f t="shared" si="1"/>
        <v>5.5000000000000139E-2</v>
      </c>
      <c r="K13" s="18" t="str">
        <f>INDEX(Effect_Parameters!$F$2:$F$62,MATCH(A13,Effect_Parameters!$B$2:$B$62,0))</f>
        <v>direct_smoking_prevalence_shift_rr</v>
      </c>
      <c r="L13" s="18">
        <f>INDEX(Effect_Parameters!$I$2:$I$62,MATCH(A13,Effect_Parameters!$B$2:$B$62,0))</f>
        <v>1.19</v>
      </c>
      <c r="M13" s="18">
        <f>INDEX(Effect_Parameters!$K$2:$K$62,MATCH(A13,Effect_Parameters!$B$2:$B$62,0))</f>
        <v>0</v>
      </c>
      <c r="N13" s="18" t="str">
        <f>INDEX(Effect_Parameters!$N$2:$N$62,MATCH(A13,Effect_Parameters!$B$2:$B$62,0))</f>
        <v>jha_piecewise_shared_scalar</v>
      </c>
      <c r="O13" s="18">
        <f>IF(K13="direct_smoking_prevalence_shift_rr",IF(OR(ISBLANK(G13),ISBLANK(H13),ISBLANK(L13)),"",1-(1+H13*(L13-1))/(1+G13*(L13-1))),IF(K13="tobacco_mortality_prevalence_shift_rr",IF(OR(ISBLANK(G13),ISBLANK(H13),ISBLANK(L13)),"",1-(1+H13*(L13-1)+(G13-H13)*(1-SUMIF(Assumptions!$A$2:$A$37,"tobacco_vascular_erd_ge10_pooled",Assumptions!$B$2:$B$37))*(L13-1))/(1+G13*(L13-1))),IF(K13="direct_loglinear_rr_per_unit_reduction",IF(OR(ISBLANK(L13),ISBLANK(I13)),"",1-1/(L13^I13)),IF(K13="tfa_attributable_ihd_PAF_x_regulatory_gap",IF(ISBLANK(M13),"",M13*SUMIF(Policy_Levers!$B$2:$B$13,INDEX(Intervention_Cause_Map!$B$2:$B$62,MATCH(A13,Intervention_Cause_Map!$A$2:$A$62,0)),Policy_Levers!$Z$2:$Z$13)),""))))</f>
        <v>2.9939862136784123E-3</v>
      </c>
      <c r="P13" s="8" t="str">
        <f>INDEX(Intervention_Cause_Map!$J$2:$J$62,MATCH(A13,Intervention_Cause_Map!$A$2:$A$62,0))</f>
        <v>I_PH_TOB_CLEAN_AIR__C_SHARED</v>
      </c>
      <c r="Q13" s="8" t="str">
        <f>INDEX(Intervention_Cause_Map!$K$2:$K$62,MATCH(A13,Intervention_Cause_Map!$A$2:$A$62,0))</f>
        <v>component-count-once</v>
      </c>
      <c r="R13" s="20">
        <f>SUMIFS(Cost_Components!$S$2:$S$15,Cost_Components!$G$2:$G$15,P13,Cost_Components!$D$2:$D$15,1)</f>
        <v>7.6999999999999994E-3</v>
      </c>
      <c r="S13" s="8" t="str">
        <f>IF(COUNTIF(Effect_Parameters!$B$2:$B$62,A13)&lt;&gt;1,"LINK ERROR",IF(INDEX(Intervention_Cause_Map!$N$2:$N$62,MATCH(A13,Intervention_Cause_Map!$A$2:$A$62,0))=0,"EXPLORATORY - DISABLED",IF(AND(E13="sick",F13="dead"),"R UPDATE REQUIRED","READY FOR MODEL")))</f>
        <v>READY FOR MODEL</v>
      </c>
    </row>
    <row r="14" spans="1:19" ht="30" customHeight="1" x14ac:dyDescent="0.25">
      <c r="A14" s="8" t="s">
        <v>285</v>
      </c>
      <c r="B14" s="8" t="s">
        <v>198</v>
      </c>
      <c r="C14" s="8" t="s">
        <v>181</v>
      </c>
      <c r="D14" s="8" t="s">
        <v>233</v>
      </c>
      <c r="E14" s="8" t="s">
        <v>268</v>
      </c>
      <c r="F14" s="8" t="s">
        <v>269</v>
      </c>
      <c r="G14" s="18">
        <f>SUMIF(Exposure_Targets!$B$2:$B$13,INDEX(Intervention_Cause_Map!$B$2:$B$62,MATCH(A14,Intervention_Cause_Map!$A$2:$A$62,0)),Exposure_Targets!$G$2:$G$13)</f>
        <v>0.30299999999999999</v>
      </c>
      <c r="H14" s="18">
        <f>SUMIF(Exposure_Targets!$B$2:$B$13,INDEX(Intervention_Cause_Map!$B$2:$B$62,MATCH(A14,Intervention_Cause_Map!$A$2:$A$62,0)),Exposure_Targets!$M$2:$M$13)</f>
        <v>0.28633499999999995</v>
      </c>
      <c r="I14" s="18">
        <f t="shared" si="0"/>
        <v>1.6665000000000041E-2</v>
      </c>
      <c r="J14" s="18">
        <f t="shared" si="1"/>
        <v>5.5000000000000139E-2</v>
      </c>
      <c r="K14" s="18" t="str">
        <f>INDEX(Effect_Parameters!$F$2:$F$62,MATCH(A14,Effect_Parameters!$B$2:$B$62,0))</f>
        <v>direct_smoking_prevalence_shift_rr</v>
      </c>
      <c r="L14" s="18">
        <f>INDEX(Effect_Parameters!$I$2:$I$62,MATCH(A14,Effect_Parameters!$B$2:$B$62,0))</f>
        <v>1.37</v>
      </c>
      <c r="M14" s="18">
        <f>INDEX(Effect_Parameters!$K$2:$K$62,MATCH(A14,Effect_Parameters!$B$2:$B$62,0))</f>
        <v>0</v>
      </c>
      <c r="N14" s="18" t="str">
        <f>INDEX(Effect_Parameters!$N$2:$N$62,MATCH(A14,Effect_Parameters!$B$2:$B$62,0))</f>
        <v>delayed_exponential_remaining_effect</v>
      </c>
      <c r="O14" s="18">
        <f>IF(K14="direct_smoking_prevalence_shift_rr",IF(OR(ISBLANK(G14),ISBLANK(H14),ISBLANK(L14)),"",1-(1+H14*(L14-1))/(1+G14*(L14-1))),IF(K14="tobacco_mortality_prevalence_shift_rr",IF(OR(ISBLANK(G14),ISBLANK(H14),ISBLANK(L14)),"",1-(1+H14*(L14-1)+(G14-H14)*(1-SUMIF(Assumptions!$A$2:$A$37,"tobacco_vascular_erd_ge10_pooled",Assumptions!$B$2:$B$37))*(L14-1))/(1+G14*(L14-1))),IF(K14="direct_loglinear_rr_per_unit_reduction",IF(OR(ISBLANK(L14),ISBLANK(I14)),"",1-1/(L14^I14)),IF(K14="tfa_attributable_ihd_PAF_x_regulatory_gap",IF(ISBLANK(M14),"",M14*SUMIF(Policy_Levers!$B$2:$B$13,INDEX(Intervention_Cause_Map!$B$2:$B$62,MATCH(A14,Intervention_Cause_Map!$A$2:$A$62,0)),Policy_Levers!$Z$2:$Z$13)),""))))</f>
        <v>5.5444605299835859E-3</v>
      </c>
      <c r="P14" s="8" t="str">
        <f>INDEX(Intervention_Cause_Map!$J$2:$J$62,MATCH(A14,Intervention_Cause_Map!$A$2:$A$62,0))</f>
        <v>I_PH_TOB_CLEAN_AIR__C_SHARED</v>
      </c>
      <c r="Q14" s="8" t="str">
        <f>INDEX(Intervention_Cause_Map!$K$2:$K$62,MATCH(A14,Intervention_Cause_Map!$A$2:$A$62,0))</f>
        <v>component-count-once</v>
      </c>
      <c r="R14" s="20">
        <f>SUMIFS(Cost_Components!$S$2:$S$15,Cost_Components!$G$2:$G$15,P14,Cost_Components!$D$2:$D$15,1)</f>
        <v>7.6999999999999994E-3</v>
      </c>
      <c r="S14" s="8" t="str">
        <f>IF(COUNTIF(Effect_Parameters!$B$2:$B$62,A14)&lt;&gt;1,"LINK ERROR",IF(INDEX(Intervention_Cause_Map!$N$2:$N$62,MATCH(A14,Intervention_Cause_Map!$A$2:$A$62,0))=0,"EXPLORATORY - DISABLED",IF(AND(E14="sick",F14="dead"),"R UPDATE REQUIRED","READY FOR MODEL")))</f>
        <v>READY FOR MODEL</v>
      </c>
    </row>
    <row r="15" spans="1:19" ht="30" customHeight="1" x14ac:dyDescent="0.25">
      <c r="A15" s="8" t="s">
        <v>286</v>
      </c>
      <c r="B15" s="8" t="s">
        <v>206</v>
      </c>
      <c r="C15" s="8" t="s">
        <v>181</v>
      </c>
      <c r="D15" s="8" t="s">
        <v>195</v>
      </c>
      <c r="E15" s="8" t="s">
        <v>268</v>
      </c>
      <c r="F15" s="8" t="s">
        <v>269</v>
      </c>
      <c r="G15" s="18">
        <f>SUMIF(Exposure_Targets!$B$2:$B$13,INDEX(Intervention_Cause_Map!$B$2:$B$62,MATCH(A15,Intervention_Cause_Map!$A$2:$A$62,0)),Exposure_Targets!$G$2:$G$13)</f>
        <v>0.30299999999999999</v>
      </c>
      <c r="H15" s="18">
        <f>SUMIF(Exposure_Targets!$B$2:$B$13,INDEX(Intervention_Cause_Map!$B$2:$B$62,MATCH(A15,Intervention_Cause_Map!$A$2:$A$62,0)),Exposure_Targets!$M$2:$M$13)</f>
        <v>0.28330500000000003</v>
      </c>
      <c r="I15" s="18">
        <f t="shared" si="0"/>
        <v>1.9694999999999963E-2</v>
      </c>
      <c r="J15" s="18">
        <f t="shared" si="1"/>
        <v>6.4999999999999877E-2</v>
      </c>
      <c r="K15" s="18" t="str">
        <f>INDEX(Effect_Parameters!$F$2:$F$62,MATCH(A15,Effect_Parameters!$B$2:$B$62,0))</f>
        <v>direct_smoking_prevalence_shift_rr</v>
      </c>
      <c r="L15" s="18">
        <f>INDEX(Effect_Parameters!$I$2:$I$62,MATCH(A15,Effect_Parameters!$B$2:$B$62,0))</f>
        <v>1.6</v>
      </c>
      <c r="M15" s="18">
        <f>INDEX(Effect_Parameters!$K$2:$K$62,MATCH(A15,Effect_Parameters!$B$2:$B$62,0))</f>
        <v>0</v>
      </c>
      <c r="N15" s="18" t="str">
        <f>INDEX(Effect_Parameters!$N$2:$N$62,MATCH(A15,Effect_Parameters!$B$2:$B$62,0))</f>
        <v>jha_piecewise_shared_scalar</v>
      </c>
      <c r="O15" s="18">
        <f>IF(K15="direct_smoking_prevalence_shift_rr",IF(OR(ISBLANK(G15),ISBLANK(H15),ISBLANK(L15)),"",1-(1+H15*(L15-1))/(1+G15*(L15-1))),IF(K15="tobacco_mortality_prevalence_shift_rr",IF(OR(ISBLANK(G15),ISBLANK(H15),ISBLANK(L15)),"",1-(1+H15*(L15-1)+(G15-H15)*(1-SUMIF(Assumptions!$A$2:$A$37,"tobacco_vascular_erd_ge10_pooled",Assumptions!$B$2:$B$37))*(L15-1))/(1+G15*(L15-1))),IF(K15="direct_loglinear_rr_per_unit_reduction",IF(OR(ISBLANK(L15),ISBLANK(I15)),"",1-1/(L15^I15)),IF(K15="tfa_attributable_ihd_PAF_x_regulatory_gap",IF(ISBLANK(M15),"",M15*SUMIF(Policy_Levers!$B$2:$B$13,INDEX(Intervention_Cause_Map!$B$2:$B$62,MATCH(A15,Intervention_Cause_Map!$A$2:$A$62,0)),Policy_Levers!$Z$2:$Z$13)),""))))</f>
        <v>9.9991538331358765E-3</v>
      </c>
      <c r="P15" s="8" t="str">
        <f>INDEX(Intervention_Cause_Map!$J$2:$J$62,MATCH(A15,Intervention_Cause_Map!$A$2:$A$62,0))</f>
        <v>I_PH_TOB_MEDIA__C_SHARED</v>
      </c>
      <c r="Q15" s="8" t="str">
        <f>INDEX(Intervention_Cause_Map!$K$2:$K$62,MATCH(A15,Intervention_Cause_Map!$A$2:$A$62,0))</f>
        <v>component-count-once</v>
      </c>
      <c r="R15" s="20">
        <f>SUMIFS(Cost_Components!$S$2:$S$15,Cost_Components!$G$2:$G$15,P15,Cost_Components!$D$2:$D$15,1)</f>
        <v>7.6999999999999994E-3</v>
      </c>
      <c r="S15" s="8" t="str">
        <f>IF(COUNTIF(Effect_Parameters!$B$2:$B$62,A15)&lt;&gt;1,"LINK ERROR",IF(INDEX(Intervention_Cause_Map!$N$2:$N$62,MATCH(A15,Intervention_Cause_Map!$A$2:$A$62,0))=0,"EXPLORATORY - DISABLED",IF(AND(E15="sick",F15="dead"),"R UPDATE REQUIRED","READY FOR MODEL")))</f>
        <v>READY FOR MODEL</v>
      </c>
    </row>
    <row r="16" spans="1:19" ht="30" customHeight="1" x14ac:dyDescent="0.25">
      <c r="A16" s="8" t="s">
        <v>288</v>
      </c>
      <c r="B16" s="8" t="s">
        <v>206</v>
      </c>
      <c r="C16" s="8" t="s">
        <v>181</v>
      </c>
      <c r="D16" s="8" t="s">
        <v>204</v>
      </c>
      <c r="E16" s="8" t="s">
        <v>268</v>
      </c>
      <c r="F16" s="8" t="s">
        <v>269</v>
      </c>
      <c r="G16" s="18">
        <f>SUMIF(Exposure_Targets!$B$2:$B$13,INDEX(Intervention_Cause_Map!$B$2:$B$62,MATCH(A16,Intervention_Cause_Map!$A$2:$A$62,0)),Exposure_Targets!$G$2:$G$13)</f>
        <v>0.30299999999999999</v>
      </c>
      <c r="H16" s="18">
        <f>SUMIF(Exposure_Targets!$B$2:$B$13,INDEX(Intervention_Cause_Map!$B$2:$B$62,MATCH(A16,Intervention_Cause_Map!$A$2:$A$62,0)),Exposure_Targets!$M$2:$M$13)</f>
        <v>0.28330500000000003</v>
      </c>
      <c r="I16" s="18">
        <f t="shared" si="0"/>
        <v>1.9694999999999963E-2</v>
      </c>
      <c r="J16" s="18">
        <f t="shared" si="1"/>
        <v>6.4999999999999877E-2</v>
      </c>
      <c r="K16" s="18" t="str">
        <f>INDEX(Effect_Parameters!$F$2:$F$62,MATCH(A16,Effect_Parameters!$B$2:$B$62,0))</f>
        <v>direct_smoking_prevalence_shift_rr</v>
      </c>
      <c r="L16" s="18">
        <f>INDEX(Effect_Parameters!$I$2:$I$62,MATCH(A16,Effect_Parameters!$B$2:$B$62,0))</f>
        <v>1.38</v>
      </c>
      <c r="M16" s="18">
        <f>INDEX(Effect_Parameters!$K$2:$K$62,MATCH(A16,Effect_Parameters!$B$2:$B$62,0))</f>
        <v>0</v>
      </c>
      <c r="N16" s="18" t="str">
        <f>INDEX(Effect_Parameters!$N$2:$N$62,MATCH(A16,Effect_Parameters!$B$2:$B$62,0))</f>
        <v>jha_piecewise_shared_scalar</v>
      </c>
      <c r="O16" s="18">
        <f>IF(K16="direct_smoking_prevalence_shift_rr",IF(OR(ISBLANK(G16),ISBLANK(H16),ISBLANK(L16)),"",1-(1+H16*(L16-1))/(1+G16*(L16-1))),IF(K16="tobacco_mortality_prevalence_shift_rr",IF(OR(ISBLANK(G16),ISBLANK(H16),ISBLANK(L16)),"",1-(1+H16*(L16-1)+(G16-H16)*(1-SUMIF(Assumptions!$A$2:$A$37,"tobacco_vascular_erd_ge10_pooled",Assumptions!$B$2:$B$37))*(L16-1))/(1+G16*(L16-1))),IF(K16="direct_loglinear_rr_per_unit_reduction",IF(OR(ISBLANK(L16),ISBLANK(I16)),"",1-1/(L16^I16)),IF(K16="tfa_attributable_ihd_PAF_x_regulatory_gap",IF(ISBLANK(M16),"",M16*SUMIF(Policy_Levers!$B$2:$B$13,INDEX(Intervention_Cause_Map!$B$2:$B$62,MATCH(A16,Intervention_Cause_Map!$A$2:$A$62,0)),Policy_Levers!$Z$2:$Z$13)),""))))</f>
        <v>6.7113546281185599E-3</v>
      </c>
      <c r="P16" s="8" t="str">
        <f>INDEX(Intervention_Cause_Map!$J$2:$J$62,MATCH(A16,Intervention_Cause_Map!$A$2:$A$62,0))</f>
        <v>I_PH_TOB_MEDIA__C_SHARED</v>
      </c>
      <c r="Q16" s="8" t="str">
        <f>INDEX(Intervention_Cause_Map!$K$2:$K$62,MATCH(A16,Intervention_Cause_Map!$A$2:$A$62,0))</f>
        <v>component-count-once</v>
      </c>
      <c r="R16" s="20">
        <f>SUMIFS(Cost_Components!$S$2:$S$15,Cost_Components!$G$2:$G$15,P16,Cost_Components!$D$2:$D$15,1)</f>
        <v>7.6999999999999994E-3</v>
      </c>
      <c r="S16" s="8" t="str">
        <f>IF(COUNTIF(Effect_Parameters!$B$2:$B$62,A16)&lt;&gt;1,"LINK ERROR",IF(INDEX(Intervention_Cause_Map!$N$2:$N$62,MATCH(A16,Intervention_Cause_Map!$A$2:$A$62,0))=0,"EXPLORATORY - DISABLED",IF(AND(E16="sick",F16="dead"),"R UPDATE REQUIRED","READY FOR MODEL")))</f>
        <v>READY FOR MODEL</v>
      </c>
    </row>
    <row r="17" spans="1:19" ht="30" customHeight="1" x14ac:dyDescent="0.25">
      <c r="A17" s="8" t="s">
        <v>289</v>
      </c>
      <c r="B17" s="8" t="s">
        <v>206</v>
      </c>
      <c r="C17" s="8" t="s">
        <v>181</v>
      </c>
      <c r="D17" s="8" t="s">
        <v>212</v>
      </c>
      <c r="E17" s="8" t="s">
        <v>268</v>
      </c>
      <c r="F17" s="8" t="s">
        <v>269</v>
      </c>
      <c r="G17" s="18">
        <f>SUMIF(Exposure_Targets!$B$2:$B$13,INDEX(Intervention_Cause_Map!$B$2:$B$62,MATCH(A17,Intervention_Cause_Map!$A$2:$A$62,0)),Exposure_Targets!$G$2:$G$13)</f>
        <v>0.30299999999999999</v>
      </c>
      <c r="H17" s="18">
        <f>SUMIF(Exposure_Targets!$B$2:$B$13,INDEX(Intervention_Cause_Map!$B$2:$B$62,MATCH(A17,Intervention_Cause_Map!$A$2:$A$62,0)),Exposure_Targets!$M$2:$M$13)</f>
        <v>0.28330500000000003</v>
      </c>
      <c r="I17" s="18">
        <f t="shared" si="0"/>
        <v>1.9694999999999963E-2</v>
      </c>
      <c r="J17" s="18">
        <f t="shared" si="1"/>
        <v>6.4999999999999877E-2</v>
      </c>
      <c r="K17" s="18" t="str">
        <f>INDEX(Effect_Parameters!$F$2:$F$62,MATCH(A17,Effect_Parameters!$B$2:$B$62,0))</f>
        <v>direct_smoking_prevalence_shift_rr</v>
      </c>
      <c r="L17" s="18">
        <f>INDEX(Effect_Parameters!$I$2:$I$62,MATCH(A17,Effect_Parameters!$B$2:$B$62,0))</f>
        <v>1.19</v>
      </c>
      <c r="M17" s="18">
        <f>INDEX(Effect_Parameters!$K$2:$K$62,MATCH(A17,Effect_Parameters!$B$2:$B$62,0))</f>
        <v>0</v>
      </c>
      <c r="N17" s="18" t="str">
        <f>INDEX(Effect_Parameters!$N$2:$N$62,MATCH(A17,Effect_Parameters!$B$2:$B$62,0))</f>
        <v>jha_piecewise_shared_scalar</v>
      </c>
      <c r="O17" s="18">
        <f>IF(K17="direct_smoking_prevalence_shift_rr",IF(OR(ISBLANK(G17),ISBLANK(H17),ISBLANK(L17)),"",1-(1+H17*(L17-1))/(1+G17*(L17-1))),IF(K17="tobacco_mortality_prevalence_shift_rr",IF(OR(ISBLANK(G17),ISBLANK(H17),ISBLANK(L17)),"",1-(1+H17*(L17-1)+(G17-H17)*(1-SUMIF(Assumptions!$A$2:$A$37,"tobacco_vascular_erd_ge10_pooled",Assumptions!$B$2:$B$37))*(L17-1))/(1+G17*(L17-1))),IF(K17="direct_loglinear_rr_per_unit_reduction",IF(OR(ISBLANK(L17),ISBLANK(I17)),"",1-1/(L17^I17)),IF(K17="tfa_attributable_ihd_PAF_x_regulatory_gap",IF(ISBLANK(M17),"",M17*SUMIF(Policy_Levers!$B$2:$B$13,INDEX(Intervention_Cause_Map!$B$2:$B$62,MATCH(A17,Intervention_Cause_Map!$A$2:$A$62,0)),Policy_Levers!$Z$2:$Z$13)),""))))</f>
        <v>3.538347343438053E-3</v>
      </c>
      <c r="P17" s="8" t="str">
        <f>INDEX(Intervention_Cause_Map!$J$2:$J$62,MATCH(A17,Intervention_Cause_Map!$A$2:$A$62,0))</f>
        <v>I_PH_TOB_MEDIA__C_SHARED</v>
      </c>
      <c r="Q17" s="8" t="str">
        <f>INDEX(Intervention_Cause_Map!$K$2:$K$62,MATCH(A17,Intervention_Cause_Map!$A$2:$A$62,0))</f>
        <v>component-count-once</v>
      </c>
      <c r="R17" s="20">
        <f>SUMIFS(Cost_Components!$S$2:$S$15,Cost_Components!$G$2:$G$15,P17,Cost_Components!$D$2:$D$15,1)</f>
        <v>7.6999999999999994E-3</v>
      </c>
      <c r="S17" s="8" t="str">
        <f>IF(COUNTIF(Effect_Parameters!$B$2:$B$62,A17)&lt;&gt;1,"LINK ERROR",IF(INDEX(Intervention_Cause_Map!$N$2:$N$62,MATCH(A17,Intervention_Cause_Map!$A$2:$A$62,0))=0,"EXPLORATORY - DISABLED",IF(AND(E17="sick",F17="dead"),"R UPDATE REQUIRED","READY FOR MODEL")))</f>
        <v>READY FOR MODEL</v>
      </c>
    </row>
    <row r="18" spans="1:19" ht="30" customHeight="1" x14ac:dyDescent="0.25">
      <c r="A18" s="8" t="s">
        <v>290</v>
      </c>
      <c r="B18" s="8" t="s">
        <v>206</v>
      </c>
      <c r="C18" s="8" t="s">
        <v>181</v>
      </c>
      <c r="D18" s="8" t="s">
        <v>233</v>
      </c>
      <c r="E18" s="8" t="s">
        <v>268</v>
      </c>
      <c r="F18" s="8" t="s">
        <v>269</v>
      </c>
      <c r="G18" s="18">
        <f>SUMIF(Exposure_Targets!$B$2:$B$13,INDEX(Intervention_Cause_Map!$B$2:$B$62,MATCH(A18,Intervention_Cause_Map!$A$2:$A$62,0)),Exposure_Targets!$G$2:$G$13)</f>
        <v>0.30299999999999999</v>
      </c>
      <c r="H18" s="18">
        <f>SUMIF(Exposure_Targets!$B$2:$B$13,INDEX(Intervention_Cause_Map!$B$2:$B$62,MATCH(A18,Intervention_Cause_Map!$A$2:$A$62,0)),Exposure_Targets!$M$2:$M$13)</f>
        <v>0.28330500000000003</v>
      </c>
      <c r="I18" s="18">
        <f t="shared" si="0"/>
        <v>1.9694999999999963E-2</v>
      </c>
      <c r="J18" s="18">
        <f t="shared" si="1"/>
        <v>6.4999999999999877E-2</v>
      </c>
      <c r="K18" s="18" t="str">
        <f>INDEX(Effect_Parameters!$F$2:$F$62,MATCH(A18,Effect_Parameters!$B$2:$B$62,0))</f>
        <v>direct_smoking_prevalence_shift_rr</v>
      </c>
      <c r="L18" s="18">
        <f>INDEX(Effect_Parameters!$I$2:$I$62,MATCH(A18,Effect_Parameters!$B$2:$B$62,0))</f>
        <v>1.37</v>
      </c>
      <c r="M18" s="18">
        <f>INDEX(Effect_Parameters!$K$2:$K$62,MATCH(A18,Effect_Parameters!$B$2:$B$62,0))</f>
        <v>0</v>
      </c>
      <c r="N18" s="18" t="str">
        <f>INDEX(Effect_Parameters!$N$2:$N$62,MATCH(A18,Effect_Parameters!$B$2:$B$62,0))</f>
        <v>delayed_exponential_remaining_effect</v>
      </c>
      <c r="O18" s="18">
        <f>IF(K18="direct_smoking_prevalence_shift_rr",IF(OR(ISBLANK(G18),ISBLANK(H18),ISBLANK(L18)),"",1-(1+H18*(L18-1))/(1+G18*(L18-1))),IF(K18="tobacco_mortality_prevalence_shift_rr",IF(OR(ISBLANK(G18),ISBLANK(H18),ISBLANK(L18)),"",1-(1+H18*(L18-1)+(G18-H18)*(1-SUMIF(Assumptions!$A$2:$A$37,"tobacco_vascular_erd_ge10_pooled",Assumptions!$B$2:$B$37))*(L18-1))/(1+G18*(L18-1))),IF(K18="direct_loglinear_rr_per_unit_reduction",IF(OR(ISBLANK(L18),ISBLANK(I18)),"",1-1/(L18^I18)),IF(K18="tfa_attributable_ihd_PAF_x_regulatory_gap",IF(ISBLANK(M18),"",M18*SUMIF(Policy_Levers!$B$2:$B$13,INDEX(Intervention_Cause_Map!$B$2:$B$62,MATCH(A18,Intervention_Cause_Map!$A$2:$A$62,0)),Policy_Levers!$Z$2:$Z$13)),""))))</f>
        <v>6.5525442627076824E-3</v>
      </c>
      <c r="P18" s="8" t="str">
        <f>INDEX(Intervention_Cause_Map!$J$2:$J$62,MATCH(A18,Intervention_Cause_Map!$A$2:$A$62,0))</f>
        <v>I_PH_TOB_MEDIA__C_SHARED</v>
      </c>
      <c r="Q18" s="8" t="str">
        <f>INDEX(Intervention_Cause_Map!$K$2:$K$62,MATCH(A18,Intervention_Cause_Map!$A$2:$A$62,0))</f>
        <v>component-count-once</v>
      </c>
      <c r="R18" s="20">
        <f>SUMIFS(Cost_Components!$S$2:$S$15,Cost_Components!$G$2:$G$15,P18,Cost_Components!$D$2:$D$15,1)</f>
        <v>7.6999999999999994E-3</v>
      </c>
      <c r="S18" s="8" t="str">
        <f>IF(COUNTIF(Effect_Parameters!$B$2:$B$62,A18)&lt;&gt;1,"LINK ERROR",IF(INDEX(Intervention_Cause_Map!$N$2:$N$62,MATCH(A18,Intervention_Cause_Map!$A$2:$A$62,0))=0,"EXPLORATORY - DISABLED",IF(AND(E18="sick",F18="dead"),"R UPDATE REQUIRED","READY FOR MODEL")))</f>
        <v>READY FOR MODEL</v>
      </c>
    </row>
    <row r="19" spans="1:19" ht="30" customHeight="1" x14ac:dyDescent="0.25">
      <c r="A19" s="8" t="s">
        <v>291</v>
      </c>
      <c r="B19" s="8" t="s">
        <v>215</v>
      </c>
      <c r="C19" s="8" t="s">
        <v>181</v>
      </c>
      <c r="D19" s="8" t="s">
        <v>195</v>
      </c>
      <c r="E19" s="8" t="s">
        <v>268</v>
      </c>
      <c r="F19" s="8" t="s">
        <v>269</v>
      </c>
      <c r="G19" s="18">
        <f>SUMIF(Exposure_Targets!$B$2:$B$13,INDEX(Intervention_Cause_Map!$B$2:$B$62,MATCH(A19,Intervention_Cause_Map!$A$2:$A$62,0)),Exposure_Targets!$G$2:$G$13)</f>
        <v>0.30299999999999999</v>
      </c>
      <c r="H19" s="18">
        <f>SUMIF(Exposure_Targets!$B$2:$B$13,INDEX(Intervention_Cause_Map!$B$2:$B$62,MATCH(A19,Intervention_Cause_Map!$A$2:$A$62,0)),Exposure_Targets!$M$2:$M$13)</f>
        <v>0.29087999999999997</v>
      </c>
      <c r="I19" s="18">
        <f t="shared" si="0"/>
        <v>1.212000000000002E-2</v>
      </c>
      <c r="J19" s="18">
        <f t="shared" si="1"/>
        <v>4.0000000000000063E-2</v>
      </c>
      <c r="K19" s="18" t="str">
        <f>INDEX(Effect_Parameters!$F$2:$F$62,MATCH(A19,Effect_Parameters!$B$2:$B$62,0))</f>
        <v>direct_smoking_prevalence_shift_rr</v>
      </c>
      <c r="L19" s="18">
        <f>INDEX(Effect_Parameters!$I$2:$I$62,MATCH(A19,Effect_Parameters!$B$2:$B$62,0))</f>
        <v>1.6</v>
      </c>
      <c r="M19" s="18">
        <f>INDEX(Effect_Parameters!$K$2:$K$62,MATCH(A19,Effect_Parameters!$B$2:$B$62,0))</f>
        <v>0</v>
      </c>
      <c r="N19" s="18" t="str">
        <f>INDEX(Effect_Parameters!$N$2:$N$62,MATCH(A19,Effect_Parameters!$B$2:$B$62,0))</f>
        <v>jha_piecewise_shared_scalar</v>
      </c>
      <c r="O19" s="18">
        <f>IF(K19="direct_smoking_prevalence_shift_rr",IF(OR(ISBLANK(G19),ISBLANK(H19),ISBLANK(L19)),"",1-(1+H19*(L19-1))/(1+G19*(L19-1))),IF(K19="tobacco_mortality_prevalence_shift_rr",IF(OR(ISBLANK(G19),ISBLANK(H19),ISBLANK(L19)),"",1-(1+H19*(L19-1)+(G19-H19)*(1-SUMIF(Assumptions!$A$2:$A$37,"tobacco_vascular_erd_ge10_pooled",Assumptions!$B$2:$B$37))*(L19-1))/(1+G19*(L19-1))),IF(K19="direct_loglinear_rr_per_unit_reduction",IF(OR(ISBLANK(L19),ISBLANK(I19)),"",1-1/(L19^I19)),IF(K19="tfa_attributable_ihd_PAF_x_regulatory_gap",IF(ISBLANK(M19),"",M19*SUMIF(Policy_Levers!$B$2:$B$13,INDEX(Intervention_Cause_Map!$B$2:$B$62,MATCH(A19,Intervention_Cause_Map!$A$2:$A$62,0)),Policy_Levers!$Z$2:$Z$13)),""))))</f>
        <v>6.1533254357758471E-3</v>
      </c>
      <c r="P19" s="8" t="str">
        <f>INDEX(Intervention_Cause_Map!$J$2:$J$62,MATCH(A19,Intervention_Cause_Map!$A$2:$A$62,0))</f>
        <v>I_PH_TOB_AD_BAN__C_SHARED</v>
      </c>
      <c r="Q19" s="8" t="str">
        <f>INDEX(Intervention_Cause_Map!$K$2:$K$62,MATCH(A19,Intervention_Cause_Map!$A$2:$A$62,0))</f>
        <v>component-count-once</v>
      </c>
      <c r="R19" s="20">
        <f>SUMIFS(Cost_Components!$S$2:$S$15,Cost_Components!$G$2:$G$15,P19,Cost_Components!$D$2:$D$15,1)</f>
        <v>7.6999999999999994E-3</v>
      </c>
      <c r="S19" s="8" t="str">
        <f>IF(COUNTIF(Effect_Parameters!$B$2:$B$62,A19)&lt;&gt;1,"LINK ERROR",IF(INDEX(Intervention_Cause_Map!$N$2:$N$62,MATCH(A19,Intervention_Cause_Map!$A$2:$A$62,0))=0,"EXPLORATORY - DISABLED",IF(AND(E19="sick",F19="dead"),"R UPDATE REQUIRED","READY FOR MODEL")))</f>
        <v>READY FOR MODEL</v>
      </c>
    </row>
    <row r="20" spans="1:19" ht="30" customHeight="1" x14ac:dyDescent="0.25">
      <c r="A20" s="8" t="s">
        <v>293</v>
      </c>
      <c r="B20" s="8" t="s">
        <v>215</v>
      </c>
      <c r="C20" s="8" t="s">
        <v>181</v>
      </c>
      <c r="D20" s="8" t="s">
        <v>204</v>
      </c>
      <c r="E20" s="8" t="s">
        <v>268</v>
      </c>
      <c r="F20" s="8" t="s">
        <v>269</v>
      </c>
      <c r="G20" s="18">
        <f>SUMIF(Exposure_Targets!$B$2:$B$13,INDEX(Intervention_Cause_Map!$B$2:$B$62,MATCH(A20,Intervention_Cause_Map!$A$2:$A$62,0)),Exposure_Targets!$G$2:$G$13)</f>
        <v>0.30299999999999999</v>
      </c>
      <c r="H20" s="18">
        <f>SUMIF(Exposure_Targets!$B$2:$B$13,INDEX(Intervention_Cause_Map!$B$2:$B$62,MATCH(A20,Intervention_Cause_Map!$A$2:$A$62,0)),Exposure_Targets!$M$2:$M$13)</f>
        <v>0.29087999999999997</v>
      </c>
      <c r="I20" s="18">
        <f t="shared" si="0"/>
        <v>1.212000000000002E-2</v>
      </c>
      <c r="J20" s="18">
        <f t="shared" si="1"/>
        <v>4.0000000000000063E-2</v>
      </c>
      <c r="K20" s="18" t="str">
        <f>INDEX(Effect_Parameters!$F$2:$F$62,MATCH(A20,Effect_Parameters!$B$2:$B$62,0))</f>
        <v>direct_smoking_prevalence_shift_rr</v>
      </c>
      <c r="L20" s="18">
        <f>INDEX(Effect_Parameters!$I$2:$I$62,MATCH(A20,Effect_Parameters!$B$2:$B$62,0))</f>
        <v>1.38</v>
      </c>
      <c r="M20" s="18">
        <f>INDEX(Effect_Parameters!$K$2:$K$62,MATCH(A20,Effect_Parameters!$B$2:$B$62,0))</f>
        <v>0</v>
      </c>
      <c r="N20" s="18" t="str">
        <f>INDEX(Effect_Parameters!$N$2:$N$62,MATCH(A20,Effect_Parameters!$B$2:$B$62,0))</f>
        <v>jha_piecewise_shared_scalar</v>
      </c>
      <c r="O20" s="18">
        <f>IF(K20="direct_smoking_prevalence_shift_rr",IF(OR(ISBLANK(G20),ISBLANK(H20),ISBLANK(L20)),"",1-(1+H20*(L20-1))/(1+G20*(L20-1))),IF(K20="tobacco_mortality_prevalence_shift_rr",IF(OR(ISBLANK(G20),ISBLANK(H20),ISBLANK(L20)),"",1-(1+H20*(L20-1)+(G20-H20)*(1-SUMIF(Assumptions!$A$2:$A$37,"tobacco_vascular_erd_ge10_pooled",Assumptions!$B$2:$B$37))*(L20-1))/(1+G20*(L20-1))),IF(K20="direct_loglinear_rr_per_unit_reduction",IF(OR(ISBLANK(L20),ISBLANK(I20)),"",1-1/(L20^I20)),IF(K20="tfa_attributable_ihd_PAF_x_regulatory_gap",IF(ISBLANK(M20),"",M20*SUMIF(Policy_Levers!$B$2:$B$13,INDEX(Intervention_Cause_Map!$B$2:$B$62,MATCH(A20,Intervention_Cause_Map!$A$2:$A$62,0)),Policy_Levers!$Z$2:$Z$13)),""))))</f>
        <v>4.1300643865345155E-3</v>
      </c>
      <c r="P20" s="8" t="str">
        <f>INDEX(Intervention_Cause_Map!$J$2:$J$62,MATCH(A20,Intervention_Cause_Map!$A$2:$A$62,0))</f>
        <v>I_PH_TOB_AD_BAN__C_SHARED</v>
      </c>
      <c r="Q20" s="8" t="str">
        <f>INDEX(Intervention_Cause_Map!$K$2:$K$62,MATCH(A20,Intervention_Cause_Map!$A$2:$A$62,0))</f>
        <v>component-count-once</v>
      </c>
      <c r="R20" s="20">
        <f>SUMIFS(Cost_Components!$S$2:$S$15,Cost_Components!$G$2:$G$15,P20,Cost_Components!$D$2:$D$15,1)</f>
        <v>7.6999999999999994E-3</v>
      </c>
      <c r="S20" s="8" t="str">
        <f>IF(COUNTIF(Effect_Parameters!$B$2:$B$62,A20)&lt;&gt;1,"LINK ERROR",IF(INDEX(Intervention_Cause_Map!$N$2:$N$62,MATCH(A20,Intervention_Cause_Map!$A$2:$A$62,0))=0,"EXPLORATORY - DISABLED",IF(AND(E20="sick",F20="dead"),"R UPDATE REQUIRED","READY FOR MODEL")))</f>
        <v>READY FOR MODEL</v>
      </c>
    </row>
    <row r="21" spans="1:19" ht="30" customHeight="1" x14ac:dyDescent="0.25">
      <c r="A21" s="8" t="s">
        <v>294</v>
      </c>
      <c r="B21" s="8" t="s">
        <v>215</v>
      </c>
      <c r="C21" s="8" t="s">
        <v>181</v>
      </c>
      <c r="D21" s="8" t="s">
        <v>212</v>
      </c>
      <c r="E21" s="8" t="s">
        <v>268</v>
      </c>
      <c r="F21" s="8" t="s">
        <v>269</v>
      </c>
      <c r="G21" s="18">
        <f>SUMIF(Exposure_Targets!$B$2:$B$13,INDEX(Intervention_Cause_Map!$B$2:$B$62,MATCH(A21,Intervention_Cause_Map!$A$2:$A$62,0)),Exposure_Targets!$G$2:$G$13)</f>
        <v>0.30299999999999999</v>
      </c>
      <c r="H21" s="18">
        <f>SUMIF(Exposure_Targets!$B$2:$B$13,INDEX(Intervention_Cause_Map!$B$2:$B$62,MATCH(A21,Intervention_Cause_Map!$A$2:$A$62,0)),Exposure_Targets!$M$2:$M$13)</f>
        <v>0.29087999999999997</v>
      </c>
      <c r="I21" s="18">
        <f t="shared" si="0"/>
        <v>1.212000000000002E-2</v>
      </c>
      <c r="J21" s="18">
        <f t="shared" si="1"/>
        <v>4.0000000000000063E-2</v>
      </c>
      <c r="K21" s="18" t="str">
        <f>INDEX(Effect_Parameters!$F$2:$F$62,MATCH(A21,Effect_Parameters!$B$2:$B$62,0))</f>
        <v>direct_smoking_prevalence_shift_rr</v>
      </c>
      <c r="L21" s="18">
        <f>INDEX(Effect_Parameters!$I$2:$I$62,MATCH(A21,Effect_Parameters!$B$2:$B$62,0))</f>
        <v>1.19</v>
      </c>
      <c r="M21" s="18">
        <f>INDEX(Effect_Parameters!$K$2:$K$62,MATCH(A21,Effect_Parameters!$B$2:$B$62,0))</f>
        <v>0</v>
      </c>
      <c r="N21" s="18" t="str">
        <f>INDEX(Effect_Parameters!$N$2:$N$62,MATCH(A21,Effect_Parameters!$B$2:$B$62,0))</f>
        <v>jha_piecewise_shared_scalar</v>
      </c>
      <c r="O21" s="18">
        <f>IF(K21="direct_smoking_prevalence_shift_rr",IF(OR(ISBLANK(G21),ISBLANK(H21),ISBLANK(L21)),"",1-(1+H21*(L21-1))/(1+G21*(L21-1))),IF(K21="tobacco_mortality_prevalence_shift_rr",IF(OR(ISBLANK(G21),ISBLANK(H21),ISBLANK(L21)),"",1-(1+H21*(L21-1)+(G21-H21)*(1-SUMIF(Assumptions!$A$2:$A$37,"tobacco_vascular_erd_ge10_pooled",Assumptions!$B$2:$B$37))*(L21-1))/(1+G21*(L21-1))),IF(K21="direct_loglinear_rr_per_unit_reduction",IF(OR(ISBLANK(L21),ISBLANK(I21)),"",1-1/(L21^I21)),IF(K21="tfa_attributable_ihd_PAF_x_regulatory_gap",IF(ISBLANK(M21),"",M21*SUMIF(Policy_Levers!$B$2:$B$13,INDEX(Intervention_Cause_Map!$B$2:$B$62,MATCH(A21,Intervention_Cause_Map!$A$2:$A$62,0)),Policy_Levers!$Z$2:$Z$13)),""))))</f>
        <v>2.1774445190387848E-3</v>
      </c>
      <c r="P21" s="8" t="str">
        <f>INDEX(Intervention_Cause_Map!$J$2:$J$62,MATCH(A21,Intervention_Cause_Map!$A$2:$A$62,0))</f>
        <v>I_PH_TOB_AD_BAN__C_SHARED</v>
      </c>
      <c r="Q21" s="8" t="str">
        <f>INDEX(Intervention_Cause_Map!$K$2:$K$62,MATCH(A21,Intervention_Cause_Map!$A$2:$A$62,0))</f>
        <v>component-count-once</v>
      </c>
      <c r="R21" s="20">
        <f>SUMIFS(Cost_Components!$S$2:$S$15,Cost_Components!$G$2:$G$15,P21,Cost_Components!$D$2:$D$15,1)</f>
        <v>7.6999999999999994E-3</v>
      </c>
      <c r="S21" s="8" t="str">
        <f>IF(COUNTIF(Effect_Parameters!$B$2:$B$62,A21)&lt;&gt;1,"LINK ERROR",IF(INDEX(Intervention_Cause_Map!$N$2:$N$62,MATCH(A21,Intervention_Cause_Map!$A$2:$A$62,0))=0,"EXPLORATORY - DISABLED",IF(AND(E21="sick",F21="dead"),"R UPDATE REQUIRED","READY FOR MODEL")))</f>
        <v>READY FOR MODEL</v>
      </c>
    </row>
    <row r="22" spans="1:19" ht="30" customHeight="1" x14ac:dyDescent="0.25">
      <c r="A22" s="8" t="s">
        <v>295</v>
      </c>
      <c r="B22" s="8" t="s">
        <v>215</v>
      </c>
      <c r="C22" s="8" t="s">
        <v>181</v>
      </c>
      <c r="D22" s="8" t="s">
        <v>233</v>
      </c>
      <c r="E22" s="8" t="s">
        <v>268</v>
      </c>
      <c r="F22" s="8" t="s">
        <v>269</v>
      </c>
      <c r="G22" s="18">
        <f>SUMIF(Exposure_Targets!$B$2:$B$13,INDEX(Intervention_Cause_Map!$B$2:$B$62,MATCH(A22,Intervention_Cause_Map!$A$2:$A$62,0)),Exposure_Targets!$G$2:$G$13)</f>
        <v>0.30299999999999999</v>
      </c>
      <c r="H22" s="18">
        <f>SUMIF(Exposure_Targets!$B$2:$B$13,INDEX(Intervention_Cause_Map!$B$2:$B$62,MATCH(A22,Intervention_Cause_Map!$A$2:$A$62,0)),Exposure_Targets!$M$2:$M$13)</f>
        <v>0.29087999999999997</v>
      </c>
      <c r="I22" s="18">
        <f t="shared" si="0"/>
        <v>1.212000000000002E-2</v>
      </c>
      <c r="J22" s="18">
        <f t="shared" si="1"/>
        <v>4.0000000000000063E-2</v>
      </c>
      <c r="K22" s="18" t="str">
        <f>INDEX(Effect_Parameters!$F$2:$F$62,MATCH(A22,Effect_Parameters!$B$2:$B$62,0))</f>
        <v>direct_smoking_prevalence_shift_rr</v>
      </c>
      <c r="L22" s="18">
        <f>INDEX(Effect_Parameters!$I$2:$I$62,MATCH(A22,Effect_Parameters!$B$2:$B$62,0))</f>
        <v>1.37</v>
      </c>
      <c r="M22" s="18">
        <f>INDEX(Effect_Parameters!$K$2:$K$62,MATCH(A22,Effect_Parameters!$B$2:$B$62,0))</f>
        <v>0</v>
      </c>
      <c r="N22" s="18" t="str">
        <f>INDEX(Effect_Parameters!$N$2:$N$62,MATCH(A22,Effect_Parameters!$B$2:$B$62,0))</f>
        <v>delayed_exponential_remaining_effect</v>
      </c>
      <c r="O22" s="18">
        <f>IF(K22="direct_smoking_prevalence_shift_rr",IF(OR(ISBLANK(G22),ISBLANK(H22),ISBLANK(L22)),"",1-(1+H22*(L22-1))/(1+G22*(L22-1))),IF(K22="tobacco_mortality_prevalence_shift_rr",IF(OR(ISBLANK(G22),ISBLANK(H22),ISBLANK(L22)),"",1-(1+H22*(L22-1)+(G22-H22)*(1-SUMIF(Assumptions!$A$2:$A$37,"tobacco_vascular_erd_ge10_pooled",Assumptions!$B$2:$B$37))*(L22-1))/(1+G22*(L22-1))),IF(K22="direct_loglinear_rr_per_unit_reduction",IF(OR(ISBLANK(L22),ISBLANK(I22)),"",1-1/(L22^I22)),IF(K22="tfa_attributable_ihd_PAF_x_regulatory_gap",IF(ISBLANK(M22),"",M22*SUMIF(Policy_Levers!$B$2:$B$13,INDEX(Intervention_Cause_Map!$B$2:$B$62,MATCH(A22,Intervention_Cause_Map!$A$2:$A$62,0)),Policy_Levers!$Z$2:$Z$13)),""))))</f>
        <v>4.0323349308970524E-3</v>
      </c>
      <c r="P22" s="8" t="str">
        <f>INDEX(Intervention_Cause_Map!$J$2:$J$62,MATCH(A22,Intervention_Cause_Map!$A$2:$A$62,0))</f>
        <v>I_PH_TOB_AD_BAN__C_SHARED</v>
      </c>
      <c r="Q22" s="8" t="str">
        <f>INDEX(Intervention_Cause_Map!$K$2:$K$62,MATCH(A22,Intervention_Cause_Map!$A$2:$A$62,0))</f>
        <v>component-count-once</v>
      </c>
      <c r="R22" s="20">
        <f>SUMIFS(Cost_Components!$S$2:$S$15,Cost_Components!$G$2:$G$15,P22,Cost_Components!$D$2:$D$15,1)</f>
        <v>7.6999999999999994E-3</v>
      </c>
      <c r="S22" s="8" t="str">
        <f>IF(COUNTIF(Effect_Parameters!$B$2:$B$62,A22)&lt;&gt;1,"LINK ERROR",IF(INDEX(Intervention_Cause_Map!$N$2:$N$62,MATCH(A22,Intervention_Cause_Map!$A$2:$A$62,0))=0,"EXPLORATORY - DISABLED",IF(AND(E22="sick",F22="dead"),"R UPDATE REQUIRED","READY FOR MODEL")))</f>
        <v>READY FOR MODEL</v>
      </c>
    </row>
    <row r="23" spans="1:19" ht="30" customHeight="1" x14ac:dyDescent="0.25">
      <c r="A23" s="8" t="s">
        <v>296</v>
      </c>
      <c r="B23" s="8" t="s">
        <v>223</v>
      </c>
      <c r="C23" s="8" t="s">
        <v>191</v>
      </c>
      <c r="D23" s="8" t="s">
        <v>195</v>
      </c>
      <c r="E23" s="8" t="s">
        <v>268</v>
      </c>
      <c r="F23" s="8" t="s">
        <v>269</v>
      </c>
      <c r="G23" s="18">
        <f>SUMIF(Exposure_Targets!$B$2:$B$13,INDEX(Intervention_Cause_Map!$B$2:$B$62,MATCH(A23,Intervention_Cause_Map!$A$2:$A$62,0)),Exposure_Targets!$G$2:$G$13)</f>
        <v>0.1</v>
      </c>
      <c r="H23" s="18">
        <f>SUMIF(Exposure_Targets!$B$2:$B$13,INDEX(Intervention_Cause_Map!$B$2:$B$62,MATCH(A23,Intervention_Cause_Map!$A$2:$A$62,0)),Exposure_Targets!$M$2:$M$13)</f>
        <v>8.6550000000000002E-2</v>
      </c>
      <c r="I23" s="18">
        <f t="shared" si="0"/>
        <v>1.3450000000000004E-2</v>
      </c>
      <c r="J23" s="18">
        <f t="shared" si="1"/>
        <v>0.13450000000000004</v>
      </c>
      <c r="K23" s="18" t="str">
        <f>INDEX(Effect_Parameters!$F$2:$F$62,MATCH(A23,Effect_Parameters!$B$2:$B$62,0))</f>
        <v>direct_loglinear_rr_per_unit_reduction</v>
      </c>
      <c r="L23" s="18">
        <f>INDEX(Effect_Parameters!$I$2:$I$62,MATCH(A23,Effect_Parameters!$B$2:$B$62,0))</f>
        <v>1.0088803849749666</v>
      </c>
      <c r="M23" s="18">
        <f>INDEX(Effect_Parameters!$K$2:$K$62,MATCH(A23,Effect_Parameters!$B$2:$B$62,0))</f>
        <v>0</v>
      </c>
      <c r="N23" s="18" t="str">
        <f>INDEX(Effect_Parameters!$N$2:$N$62,MATCH(A23,Effect_Parameters!$B$2:$B$62,0))</f>
        <v>immediate_after_full_implementation</v>
      </c>
      <c r="O23" s="18">
        <f>IF(K23="direct_smoking_prevalence_shift_rr",IF(OR(ISBLANK(G23),ISBLANK(H23),ISBLANK(L23)),"",1-(1+H23*(L23-1))/(1+G23*(L23-1))),IF(K23="tobacco_mortality_prevalence_shift_rr",IF(OR(ISBLANK(G23),ISBLANK(H23),ISBLANK(L23)),"",1-(1+H23*(L23-1)+(G23-H23)*(1-SUMIF(Assumptions!$A$2:$A$37,"tobacco_vascular_erd_ge10_pooled",Assumptions!$B$2:$B$37))*(L23-1))/(1+G23*(L23-1))),IF(K23="direct_loglinear_rr_per_unit_reduction",IF(OR(ISBLANK(L23),ISBLANK(I23)),"",1-1/(L23^I23)),IF(K23="tfa_attributable_ihd_PAF_x_regulatory_gap",IF(ISBLANK(M23),"",M23*SUMIF(Policy_Levers!$B$2:$B$13,INDEX(Intervention_Cause_Map!$B$2:$B$62,MATCH(A23,Intervention_Cause_Map!$A$2:$A$62,0)),Policy_Levers!$Z$2:$Z$13)),""))))</f>
        <v>1.1890688510374225E-4</v>
      </c>
      <c r="P23" s="8" t="str">
        <f>INDEX(Intervention_Cause_Map!$J$2:$J$62,MATCH(A23,Intervention_Cause_Map!$A$2:$A$62,0))</f>
        <v>I_PH_ALCOHOL_POLICY__C_SHARED</v>
      </c>
      <c r="Q23" s="8" t="str">
        <f>INDEX(Intervention_Cause_Map!$K$2:$K$62,MATCH(A23,Intervention_Cause_Map!$A$2:$A$62,0))</f>
        <v>shared-count-once</v>
      </c>
      <c r="R23" s="20">
        <f>SUMIFS(Cost_Components!$S$2:$S$15,Cost_Components!$G$2:$G$15,P23,Cost_Components!$D$2:$D$15,1)</f>
        <v>5.5999999999999999E-3</v>
      </c>
      <c r="S23" s="8" t="str">
        <f>IF(COUNTIF(Effect_Parameters!$B$2:$B$62,A23)&lt;&gt;1,"LINK ERROR",IF(INDEX(Intervention_Cause_Map!$N$2:$N$62,MATCH(A23,Intervention_Cause_Map!$A$2:$A$62,0))=0,"EXPLORATORY - DISABLED",IF(AND(E23="sick",F23="dead"),"R UPDATE REQUIRED","READY FOR MODEL")))</f>
        <v>EXPLORATORY - DISABLED</v>
      </c>
    </row>
    <row r="24" spans="1:19" ht="30" customHeight="1" x14ac:dyDescent="0.25">
      <c r="A24" s="8" t="s">
        <v>298</v>
      </c>
      <c r="B24" s="8" t="s">
        <v>223</v>
      </c>
      <c r="C24" s="8" t="s">
        <v>191</v>
      </c>
      <c r="D24" s="8" t="s">
        <v>204</v>
      </c>
      <c r="E24" s="8" t="s">
        <v>268</v>
      </c>
      <c r="F24" s="8" t="s">
        <v>269</v>
      </c>
      <c r="G24" s="18">
        <f>SUMIF(Exposure_Targets!$B$2:$B$13,INDEX(Intervention_Cause_Map!$B$2:$B$62,MATCH(A24,Intervention_Cause_Map!$A$2:$A$62,0)),Exposure_Targets!$G$2:$G$13)</f>
        <v>0.1</v>
      </c>
      <c r="H24" s="18">
        <f>SUMIF(Exposure_Targets!$B$2:$B$13,INDEX(Intervention_Cause_Map!$B$2:$B$62,MATCH(A24,Intervention_Cause_Map!$A$2:$A$62,0)),Exposure_Targets!$M$2:$M$13)</f>
        <v>8.6550000000000002E-2</v>
      </c>
      <c r="I24" s="18">
        <f t="shared" si="0"/>
        <v>1.3450000000000004E-2</v>
      </c>
      <c r="J24" s="18">
        <f t="shared" si="1"/>
        <v>0.13450000000000004</v>
      </c>
      <c r="K24" s="18" t="str">
        <f>INDEX(Effect_Parameters!$F$2:$F$62,MATCH(A24,Effect_Parameters!$B$2:$B$62,0))</f>
        <v>direct_loglinear_rr_per_unit_reduction</v>
      </c>
      <c r="L24" s="18">
        <f>INDEX(Effect_Parameters!$I$2:$I$62,MATCH(A24,Effect_Parameters!$B$2:$B$62,0))</f>
        <v>1.020079962718877</v>
      </c>
      <c r="M24" s="18">
        <f>INDEX(Effect_Parameters!$K$2:$K$62,MATCH(A24,Effect_Parameters!$B$2:$B$62,0))</f>
        <v>0</v>
      </c>
      <c r="N24" s="18" t="str">
        <f>INDEX(Effect_Parameters!$N$2:$N$62,MATCH(A24,Effect_Parameters!$B$2:$B$62,0))</f>
        <v>immediate_after_full_implementation</v>
      </c>
      <c r="O24" s="18">
        <f>IF(K24="direct_smoking_prevalence_shift_rr",IF(OR(ISBLANK(G24),ISBLANK(H24),ISBLANK(L24)),"",1-(1+H24*(L24-1))/(1+G24*(L24-1))),IF(K24="tobacco_mortality_prevalence_shift_rr",IF(OR(ISBLANK(G24),ISBLANK(H24),ISBLANK(L24)),"",1-(1+H24*(L24-1)+(G24-H24)*(1-SUMIF(Assumptions!$A$2:$A$37,"tobacco_vascular_erd_ge10_pooled",Assumptions!$B$2:$B$37))*(L24-1))/(1+G24*(L24-1))),IF(K24="direct_loglinear_rr_per_unit_reduction",IF(OR(ISBLANK(L24),ISBLANK(I24)),"",1-1/(L24^I24)),IF(K24="tfa_attributable_ihd_PAF_x_regulatory_gap",IF(ISBLANK(M24),"",M24*SUMIF(Policy_Levers!$B$2:$B$13,INDEX(Intervention_Cause_Map!$B$2:$B$62,MATCH(A24,Intervention_Cause_Map!$A$2:$A$62,0)),Policy_Levers!$Z$2:$Z$13)),""))))</f>
        <v>2.6736395805226909E-4</v>
      </c>
      <c r="P24" s="8" t="str">
        <f>INDEX(Intervention_Cause_Map!$J$2:$J$62,MATCH(A24,Intervention_Cause_Map!$A$2:$A$62,0))</f>
        <v>I_PH_ALCOHOL_POLICY__C_SHARED</v>
      </c>
      <c r="Q24" s="8" t="str">
        <f>INDEX(Intervention_Cause_Map!$K$2:$K$62,MATCH(A24,Intervention_Cause_Map!$A$2:$A$62,0))</f>
        <v>shared-count-once</v>
      </c>
      <c r="R24" s="20">
        <f>SUMIFS(Cost_Components!$S$2:$S$15,Cost_Components!$G$2:$G$15,P24,Cost_Components!$D$2:$D$15,1)</f>
        <v>5.5999999999999999E-3</v>
      </c>
      <c r="S24" s="8" t="str">
        <f>IF(COUNTIF(Effect_Parameters!$B$2:$B$62,A24)&lt;&gt;1,"LINK ERROR",IF(INDEX(Intervention_Cause_Map!$N$2:$N$62,MATCH(A24,Intervention_Cause_Map!$A$2:$A$62,0))=0,"EXPLORATORY - DISABLED",IF(AND(E24="sick",F24="dead"),"R UPDATE REQUIRED","READY FOR MODEL")))</f>
        <v>EXPLORATORY - DISABLED</v>
      </c>
    </row>
    <row r="25" spans="1:19" ht="30" customHeight="1" x14ac:dyDescent="0.25">
      <c r="A25" s="8" t="s">
        <v>299</v>
      </c>
      <c r="B25" s="8" t="s">
        <v>223</v>
      </c>
      <c r="C25" s="8" t="s">
        <v>191</v>
      </c>
      <c r="D25" s="8" t="s">
        <v>212</v>
      </c>
      <c r="E25" s="8" t="s">
        <v>268</v>
      </c>
      <c r="F25" s="8" t="s">
        <v>269</v>
      </c>
      <c r="G25" s="18">
        <f>SUMIF(Exposure_Targets!$B$2:$B$13,INDEX(Intervention_Cause_Map!$B$2:$B$62,MATCH(A25,Intervention_Cause_Map!$A$2:$A$62,0)),Exposure_Targets!$G$2:$G$13)</f>
        <v>0.1</v>
      </c>
      <c r="H25" s="18">
        <f>SUMIF(Exposure_Targets!$B$2:$B$13,INDEX(Intervention_Cause_Map!$B$2:$B$62,MATCH(A25,Intervention_Cause_Map!$A$2:$A$62,0)),Exposure_Targets!$M$2:$M$13)</f>
        <v>8.6550000000000002E-2</v>
      </c>
      <c r="I25" s="18">
        <f t="shared" si="0"/>
        <v>1.3450000000000004E-2</v>
      </c>
      <c r="J25" s="18">
        <f t="shared" si="1"/>
        <v>0.13450000000000004</v>
      </c>
      <c r="K25" s="18" t="str">
        <f>INDEX(Effect_Parameters!$F$2:$F$62,MATCH(A25,Effect_Parameters!$B$2:$B$62,0))</f>
        <v>direct_loglinear_rr_per_unit_reduction</v>
      </c>
      <c r="L25" s="18">
        <f>INDEX(Effect_Parameters!$I$2:$I$62,MATCH(A25,Effect_Parameters!$B$2:$B$62,0))</f>
        <v>1.020079962718877</v>
      </c>
      <c r="M25" s="18">
        <f>INDEX(Effect_Parameters!$K$2:$K$62,MATCH(A25,Effect_Parameters!$B$2:$B$62,0))</f>
        <v>0</v>
      </c>
      <c r="N25" s="18" t="str">
        <f>INDEX(Effect_Parameters!$N$2:$N$62,MATCH(A25,Effect_Parameters!$B$2:$B$62,0))</f>
        <v>immediate_after_full_implementation</v>
      </c>
      <c r="O25" s="18">
        <f>IF(K25="direct_smoking_prevalence_shift_rr",IF(OR(ISBLANK(G25),ISBLANK(H25),ISBLANK(L25)),"",1-(1+H25*(L25-1))/(1+G25*(L25-1))),IF(K25="tobacco_mortality_prevalence_shift_rr",IF(OR(ISBLANK(G25),ISBLANK(H25),ISBLANK(L25)),"",1-(1+H25*(L25-1)+(G25-H25)*(1-SUMIF(Assumptions!$A$2:$A$37,"tobacco_vascular_erd_ge10_pooled",Assumptions!$B$2:$B$37))*(L25-1))/(1+G25*(L25-1))),IF(K25="direct_loglinear_rr_per_unit_reduction",IF(OR(ISBLANK(L25),ISBLANK(I25)),"",1-1/(L25^I25)),IF(K25="tfa_attributable_ihd_PAF_x_regulatory_gap",IF(ISBLANK(M25),"",M25*SUMIF(Policy_Levers!$B$2:$B$13,INDEX(Intervention_Cause_Map!$B$2:$B$62,MATCH(A25,Intervention_Cause_Map!$A$2:$A$62,0)),Policy_Levers!$Z$2:$Z$13)),""))))</f>
        <v>2.6736395805226909E-4</v>
      </c>
      <c r="P25" s="8" t="str">
        <f>INDEX(Intervention_Cause_Map!$J$2:$J$62,MATCH(A25,Intervention_Cause_Map!$A$2:$A$62,0))</f>
        <v>I_PH_ALCOHOL_POLICY__C_SHARED</v>
      </c>
      <c r="Q25" s="8" t="str">
        <f>INDEX(Intervention_Cause_Map!$K$2:$K$62,MATCH(A25,Intervention_Cause_Map!$A$2:$A$62,0))</f>
        <v>shared-count-once</v>
      </c>
      <c r="R25" s="20">
        <f>SUMIFS(Cost_Components!$S$2:$S$15,Cost_Components!$G$2:$G$15,P25,Cost_Components!$D$2:$D$15,1)</f>
        <v>5.5999999999999999E-3</v>
      </c>
      <c r="S25" s="8" t="str">
        <f>IF(COUNTIF(Effect_Parameters!$B$2:$B$62,A25)&lt;&gt;1,"LINK ERROR",IF(INDEX(Intervention_Cause_Map!$N$2:$N$62,MATCH(A25,Intervention_Cause_Map!$A$2:$A$62,0))=0,"EXPLORATORY - DISABLED",IF(AND(E25="sick",F25="dead"),"R UPDATE REQUIRED","READY FOR MODEL")))</f>
        <v>EXPLORATORY - DISABLED</v>
      </c>
    </row>
    <row r="26" spans="1:19" ht="30" customHeight="1" x14ac:dyDescent="0.25">
      <c r="A26" s="8" t="s">
        <v>300</v>
      </c>
      <c r="B26" s="8" t="s">
        <v>223</v>
      </c>
      <c r="C26" s="8" t="s">
        <v>191</v>
      </c>
      <c r="D26" s="8" t="s">
        <v>221</v>
      </c>
      <c r="E26" s="8" t="s">
        <v>268</v>
      </c>
      <c r="F26" s="8" t="s">
        <v>269</v>
      </c>
      <c r="G26" s="18">
        <f>SUMIF(Exposure_Targets!$B$2:$B$13,INDEX(Intervention_Cause_Map!$B$2:$B$62,MATCH(A26,Intervention_Cause_Map!$A$2:$A$62,0)),Exposure_Targets!$G$2:$G$13)</f>
        <v>0.1</v>
      </c>
      <c r="H26" s="18">
        <f>SUMIF(Exposure_Targets!$B$2:$B$13,INDEX(Intervention_Cause_Map!$B$2:$B$62,MATCH(A26,Intervention_Cause_Map!$A$2:$A$62,0)),Exposure_Targets!$M$2:$M$13)</f>
        <v>8.6550000000000002E-2</v>
      </c>
      <c r="I26" s="18">
        <f t="shared" si="0"/>
        <v>1.3450000000000004E-2</v>
      </c>
      <c r="J26" s="18">
        <f t="shared" si="1"/>
        <v>0.13450000000000004</v>
      </c>
      <c r="K26" s="18" t="str">
        <f>INDEX(Effect_Parameters!$F$2:$F$62,MATCH(A26,Effect_Parameters!$B$2:$B$62,0))</f>
        <v>direct_loglinear_rr_per_unit_reduction</v>
      </c>
      <c r="L26" s="18">
        <f>INDEX(Effect_Parameters!$I$2:$I$62,MATCH(A26,Effect_Parameters!$B$2:$B$62,0))</f>
        <v>1.0331775104357432</v>
      </c>
      <c r="M26" s="18">
        <f>INDEX(Effect_Parameters!$K$2:$K$62,MATCH(A26,Effect_Parameters!$B$2:$B$62,0))</f>
        <v>0</v>
      </c>
      <c r="N26" s="18" t="str">
        <f>INDEX(Effect_Parameters!$N$2:$N$62,MATCH(A26,Effect_Parameters!$B$2:$B$62,0))</f>
        <v>immediate_after_full_implementation</v>
      </c>
      <c r="O26" s="18">
        <f>IF(K26="direct_smoking_prevalence_shift_rr",IF(OR(ISBLANK(G26),ISBLANK(H26),ISBLANK(L26)),"",1-(1+H26*(L26-1))/(1+G26*(L26-1))),IF(K26="tobacco_mortality_prevalence_shift_rr",IF(OR(ISBLANK(G26),ISBLANK(H26),ISBLANK(L26)),"",1-(1+H26*(L26-1)+(G26-H26)*(1-SUMIF(Assumptions!$A$2:$A$37,"tobacco_vascular_erd_ge10_pooled",Assumptions!$B$2:$B$37))*(L26-1))/(1+G26*(L26-1))),IF(K26="direct_loglinear_rr_per_unit_reduction",IF(OR(ISBLANK(L26),ISBLANK(I26)),"",1-1/(L26^I26)),IF(K26="tfa_attributable_ihd_PAF_x_regulatory_gap",IF(ISBLANK(M26),"",M26*SUMIF(Policy_Levers!$B$2:$B$13,INDEX(Intervention_Cause_Map!$B$2:$B$62,MATCH(A26,Intervention_Cause_Map!$A$2:$A$62,0)),Policy_Levers!$Z$2:$Z$13)),""))))</f>
        <v>4.388984089914727E-4</v>
      </c>
      <c r="P26" s="8" t="str">
        <f>INDEX(Intervention_Cause_Map!$J$2:$J$62,MATCH(A26,Intervention_Cause_Map!$A$2:$A$62,0))</f>
        <v>I_PH_ALCOHOL_POLICY__C_SHARED</v>
      </c>
      <c r="Q26" s="8" t="str">
        <f>INDEX(Intervention_Cause_Map!$K$2:$K$62,MATCH(A26,Intervention_Cause_Map!$A$2:$A$62,0))</f>
        <v>shared-count-once</v>
      </c>
      <c r="R26" s="20">
        <f>SUMIFS(Cost_Components!$S$2:$S$15,Cost_Components!$G$2:$G$15,P26,Cost_Components!$D$2:$D$15,1)</f>
        <v>5.5999999999999999E-3</v>
      </c>
      <c r="S26" s="8" t="str">
        <f>IF(COUNTIF(Effect_Parameters!$B$2:$B$62,A26)&lt;&gt;1,"LINK ERROR",IF(INDEX(Intervention_Cause_Map!$N$2:$N$62,MATCH(A26,Intervention_Cause_Map!$A$2:$A$62,0))=0,"EXPLORATORY - DISABLED",IF(AND(E26="sick",F26="dead"),"R UPDATE REQUIRED","READY FOR MODEL")))</f>
        <v>EXPLORATORY - DISABLED</v>
      </c>
    </row>
    <row r="27" spans="1:19" ht="30" customHeight="1" x14ac:dyDescent="0.25">
      <c r="A27" s="8" t="s">
        <v>301</v>
      </c>
      <c r="B27" s="8" t="s">
        <v>223</v>
      </c>
      <c r="C27" s="8" t="s">
        <v>191</v>
      </c>
      <c r="D27" s="8" t="s">
        <v>226</v>
      </c>
      <c r="E27" s="8" t="s">
        <v>268</v>
      </c>
      <c r="F27" s="8" t="s">
        <v>269</v>
      </c>
      <c r="G27" s="18">
        <f>SUMIF(Exposure_Targets!$B$2:$B$13,INDEX(Intervention_Cause_Map!$B$2:$B$62,MATCH(A27,Intervention_Cause_Map!$A$2:$A$62,0)),Exposure_Targets!$G$2:$G$13)</f>
        <v>0.1</v>
      </c>
      <c r="H27" s="18">
        <f>SUMIF(Exposure_Targets!$B$2:$B$13,INDEX(Intervention_Cause_Map!$B$2:$B$62,MATCH(A27,Intervention_Cause_Map!$A$2:$A$62,0)),Exposure_Targets!$M$2:$M$13)</f>
        <v>8.6550000000000002E-2</v>
      </c>
      <c r="I27" s="18">
        <f t="shared" si="0"/>
        <v>1.3450000000000004E-2</v>
      </c>
      <c r="J27" s="18">
        <f t="shared" si="1"/>
        <v>0.13450000000000004</v>
      </c>
      <c r="K27" s="18" t="str">
        <f>INDEX(Effect_Parameters!$F$2:$F$62,MATCH(A27,Effect_Parameters!$B$2:$B$62,0))</f>
        <v>direct_loglinear_rr_per_unit_reduction</v>
      </c>
      <c r="L27" s="18">
        <f>INDEX(Effect_Parameters!$I$2:$I$62,MATCH(A27,Effect_Parameters!$B$2:$B$62,0))</f>
        <v>1.0131616703515811</v>
      </c>
      <c r="M27" s="18">
        <f>INDEX(Effect_Parameters!$K$2:$K$62,MATCH(A27,Effect_Parameters!$B$2:$B$62,0))</f>
        <v>0</v>
      </c>
      <c r="N27" s="18" t="str">
        <f>INDEX(Effect_Parameters!$N$2:$N$62,MATCH(A27,Effect_Parameters!$B$2:$B$62,0))</f>
        <v>immediate_after_full_implementation</v>
      </c>
      <c r="O27" s="18">
        <f>IF(K27="direct_smoking_prevalence_shift_rr",IF(OR(ISBLANK(G27),ISBLANK(H27),ISBLANK(L27)),"",1-(1+H27*(L27-1))/(1+G27*(L27-1))),IF(K27="tobacco_mortality_prevalence_shift_rr",IF(OR(ISBLANK(G27),ISBLANK(H27),ISBLANK(L27)),"",1-(1+H27*(L27-1)+(G27-H27)*(1-SUMIF(Assumptions!$A$2:$A$37,"tobacco_vascular_erd_ge10_pooled",Assumptions!$B$2:$B$37))*(L27-1))/(1+G27*(L27-1))),IF(K27="direct_loglinear_rr_per_unit_reduction",IF(OR(ISBLANK(L27),ISBLANK(I27)),"",1-1/(L27^I27)),IF(K27="tfa_attributable_ihd_PAF_x_regulatory_gap",IF(ISBLANK(M27),"",M27*SUMIF(Policy_Levers!$B$2:$B$13,INDEX(Intervention_Cause_Map!$B$2:$B$62,MATCH(A27,Intervention_Cause_Map!$A$2:$A$62,0)),Policy_Levers!$Z$2:$Z$13)),""))))</f>
        <v>1.7585415534404625E-4</v>
      </c>
      <c r="P27" s="8" t="str">
        <f>INDEX(Intervention_Cause_Map!$J$2:$J$62,MATCH(A27,Intervention_Cause_Map!$A$2:$A$62,0))</f>
        <v>I_PH_ALCOHOL_POLICY__C_SHARED</v>
      </c>
      <c r="Q27" s="8" t="str">
        <f>INDEX(Intervention_Cause_Map!$K$2:$K$62,MATCH(A27,Intervention_Cause_Map!$A$2:$A$62,0))</f>
        <v>shared-count-once</v>
      </c>
      <c r="R27" s="20">
        <f>SUMIFS(Cost_Components!$S$2:$S$15,Cost_Components!$G$2:$G$15,P27,Cost_Components!$D$2:$D$15,1)</f>
        <v>5.5999999999999999E-3</v>
      </c>
      <c r="S27" s="8" t="str">
        <f>IF(COUNTIF(Effect_Parameters!$B$2:$B$62,A27)&lt;&gt;1,"LINK ERROR",IF(INDEX(Intervention_Cause_Map!$N$2:$N$62,MATCH(A27,Intervention_Cause_Map!$A$2:$A$62,0))=0,"EXPLORATORY - DISABLED",IF(AND(E27="sick",F27="dead"),"R UPDATE REQUIRED","READY FOR MODEL")))</f>
        <v>EXPLORATORY - DISABLED</v>
      </c>
    </row>
    <row r="28" spans="1:19" ht="30" customHeight="1" x14ac:dyDescent="0.25">
      <c r="A28" s="8" t="s">
        <v>302</v>
      </c>
      <c r="B28" s="8" t="s">
        <v>229</v>
      </c>
      <c r="C28" s="8" t="s">
        <v>201</v>
      </c>
      <c r="D28" s="8" t="s">
        <v>195</v>
      </c>
      <c r="E28" s="8" t="s">
        <v>268</v>
      </c>
      <c r="F28" s="8" t="s">
        <v>269</v>
      </c>
      <c r="G28" s="18">
        <f>SUMIF(Exposure_Targets!$B$2:$B$13,INDEX(Intervention_Cause_Map!$B$2:$B$62,MATCH(A28,Intervention_Cause_Map!$A$2:$A$62,0)),Exposure_Targets!$G$2:$G$13)</f>
        <v>4.4000000000000004</v>
      </c>
      <c r="H28" s="18">
        <f>SUMIF(Exposure_Targets!$B$2:$B$13,INDEX(Intervention_Cause_Map!$B$2:$B$62,MATCH(A28,Intervention_Cause_Map!$A$2:$A$62,0)),Exposure_Targets!$M$2:$M$13)</f>
        <v>3.9600000000000004</v>
      </c>
      <c r="I28" s="18">
        <f t="shared" si="0"/>
        <v>0.43999999999999995</v>
      </c>
      <c r="J28" s="18">
        <f t="shared" si="1"/>
        <v>9.9999999999999978E-2</v>
      </c>
      <c r="K28" s="18" t="str">
        <f>INDEX(Effect_Parameters!$F$2:$F$62,MATCH(A28,Effect_Parameters!$B$2:$B$62,0))</f>
        <v>direct_loglinear_rr_per_unit_reduction</v>
      </c>
      <c r="L28" s="18">
        <f>INDEX(Effect_Parameters!$I$2:$I$62,MATCH(A28,Effect_Parameters!$B$2:$B$62,0))</f>
        <v>1.06</v>
      </c>
      <c r="M28" s="18">
        <f>INDEX(Effect_Parameters!$K$2:$K$62,MATCH(A28,Effect_Parameters!$B$2:$B$62,0))</f>
        <v>0</v>
      </c>
      <c r="N28" s="18" t="str">
        <f>INDEX(Effect_Parameters!$N$2:$N$62,MATCH(A28,Effect_Parameters!$B$2:$B$62,0))</f>
        <v>immediate_after_full_implementation</v>
      </c>
      <c r="O28" s="18">
        <f>IF(K28="direct_smoking_prevalence_shift_rr",IF(OR(ISBLANK(G28),ISBLANK(H28),ISBLANK(L28)),"",1-(1+H28*(L28-1))/(1+G28*(L28-1))),IF(K28="tobacco_mortality_prevalence_shift_rr",IF(OR(ISBLANK(G28),ISBLANK(H28),ISBLANK(L28)),"",1-(1+H28*(L28-1)+(G28-H28)*(1-SUMIF(Assumptions!$A$2:$A$37,"tobacco_vascular_erd_ge10_pooled",Assumptions!$B$2:$B$37))*(L28-1))/(1+G28*(L28-1))),IF(K28="direct_loglinear_rr_per_unit_reduction",IF(OR(ISBLANK(L28),ISBLANK(I28)),"",1-1/(L28^I28)),IF(K28="tfa_attributable_ihd_PAF_x_regulatory_gap",IF(ISBLANK(M28),"",M28*SUMIF(Policy_Levers!$B$2:$B$13,INDEX(Intervention_Cause_Map!$B$2:$B$62,MATCH(A28,Intervention_Cause_Map!$A$2:$A$62,0)),Policy_Levers!$Z$2:$Z$13)),""))))</f>
        <v>2.531244872610916E-2</v>
      </c>
      <c r="P28" s="8" t="str">
        <f>INDEX(Intervention_Cause_Map!$J$2:$J$62,MATCH(A28,Intervention_Cause_Map!$A$2:$A$62,0))</f>
        <v>I_PH_SALT_REFORM__C_SHARED</v>
      </c>
      <c r="Q28" s="8" t="str">
        <f>INDEX(Intervention_Cause_Map!$K$2:$K$62,MATCH(A28,Intervention_Cause_Map!$A$2:$A$62,0))</f>
        <v>component-count-once</v>
      </c>
      <c r="R28" s="20">
        <f>SUMIFS(Cost_Components!$S$2:$S$15,Cost_Components!$G$2:$G$15,P28,Cost_Components!$D$2:$D$15,1)</f>
        <v>8.7749999999999998E-3</v>
      </c>
      <c r="S28" s="8" t="str">
        <f>IF(COUNTIF(Effect_Parameters!$B$2:$B$62,A28)&lt;&gt;1,"LINK ERROR",IF(INDEX(Intervention_Cause_Map!$N$2:$N$62,MATCH(A28,Intervention_Cause_Map!$A$2:$A$62,0))=0,"EXPLORATORY - DISABLED",IF(AND(E28="sick",F28="dead"),"R UPDATE REQUIRED","READY FOR MODEL")))</f>
        <v>EXPLORATORY - DISABLED</v>
      </c>
    </row>
    <row r="29" spans="1:19" ht="30" customHeight="1" x14ac:dyDescent="0.25">
      <c r="A29" s="8" t="s">
        <v>304</v>
      </c>
      <c r="B29" s="8" t="s">
        <v>229</v>
      </c>
      <c r="C29" s="8" t="s">
        <v>201</v>
      </c>
      <c r="D29" s="8" t="s">
        <v>204</v>
      </c>
      <c r="E29" s="8" t="s">
        <v>268</v>
      </c>
      <c r="F29" s="8" t="s">
        <v>269</v>
      </c>
      <c r="G29" s="18">
        <f>SUMIF(Exposure_Targets!$B$2:$B$13,INDEX(Intervention_Cause_Map!$B$2:$B$62,MATCH(A29,Intervention_Cause_Map!$A$2:$A$62,0)),Exposure_Targets!$G$2:$G$13)</f>
        <v>4.4000000000000004</v>
      </c>
      <c r="H29" s="18">
        <f>SUMIF(Exposure_Targets!$B$2:$B$13,INDEX(Intervention_Cause_Map!$B$2:$B$62,MATCH(A29,Intervention_Cause_Map!$A$2:$A$62,0)),Exposure_Targets!$M$2:$M$13)</f>
        <v>3.9600000000000004</v>
      </c>
      <c r="I29" s="18">
        <f t="shared" si="0"/>
        <v>0.43999999999999995</v>
      </c>
      <c r="J29" s="18">
        <f t="shared" si="1"/>
        <v>9.9999999999999978E-2</v>
      </c>
      <c r="K29" s="18" t="str">
        <f>INDEX(Effect_Parameters!$F$2:$F$62,MATCH(A29,Effect_Parameters!$B$2:$B$62,0))</f>
        <v>direct_loglinear_rr_per_unit_reduction</v>
      </c>
      <c r="L29" s="18">
        <f>INDEX(Effect_Parameters!$I$2:$I$62,MATCH(A29,Effect_Parameters!$B$2:$B$62,0))</f>
        <v>1.06</v>
      </c>
      <c r="M29" s="18">
        <f>INDEX(Effect_Parameters!$K$2:$K$62,MATCH(A29,Effect_Parameters!$B$2:$B$62,0))</f>
        <v>0</v>
      </c>
      <c r="N29" s="18" t="str">
        <f>INDEX(Effect_Parameters!$N$2:$N$62,MATCH(A29,Effect_Parameters!$B$2:$B$62,0))</f>
        <v>immediate_after_full_implementation</v>
      </c>
      <c r="O29" s="18">
        <f>IF(K29="direct_smoking_prevalence_shift_rr",IF(OR(ISBLANK(G29),ISBLANK(H29),ISBLANK(L29)),"",1-(1+H29*(L29-1))/(1+G29*(L29-1))),IF(K29="tobacco_mortality_prevalence_shift_rr",IF(OR(ISBLANK(G29),ISBLANK(H29),ISBLANK(L29)),"",1-(1+H29*(L29-1)+(G29-H29)*(1-SUMIF(Assumptions!$A$2:$A$37,"tobacco_vascular_erd_ge10_pooled",Assumptions!$B$2:$B$37))*(L29-1))/(1+G29*(L29-1))),IF(K29="direct_loglinear_rr_per_unit_reduction",IF(OR(ISBLANK(L29),ISBLANK(I29)),"",1-1/(L29^I29)),IF(K29="tfa_attributable_ihd_PAF_x_regulatory_gap",IF(ISBLANK(M29),"",M29*SUMIF(Policy_Levers!$B$2:$B$13,INDEX(Intervention_Cause_Map!$B$2:$B$62,MATCH(A29,Intervention_Cause_Map!$A$2:$A$62,0)),Policy_Levers!$Z$2:$Z$13)),""))))</f>
        <v>2.531244872610916E-2</v>
      </c>
      <c r="P29" s="8" t="str">
        <f>INDEX(Intervention_Cause_Map!$J$2:$J$62,MATCH(A29,Intervention_Cause_Map!$A$2:$A$62,0))</f>
        <v>I_PH_SALT_REFORM__C_SHARED</v>
      </c>
      <c r="Q29" s="8" t="str">
        <f>INDEX(Intervention_Cause_Map!$K$2:$K$62,MATCH(A29,Intervention_Cause_Map!$A$2:$A$62,0))</f>
        <v>component-count-once</v>
      </c>
      <c r="R29" s="20">
        <f>SUMIFS(Cost_Components!$S$2:$S$15,Cost_Components!$G$2:$G$15,P29,Cost_Components!$D$2:$D$15,1)</f>
        <v>8.7749999999999998E-3</v>
      </c>
      <c r="S29" s="8" t="str">
        <f>IF(COUNTIF(Effect_Parameters!$B$2:$B$62,A29)&lt;&gt;1,"LINK ERROR",IF(INDEX(Intervention_Cause_Map!$N$2:$N$62,MATCH(A29,Intervention_Cause_Map!$A$2:$A$62,0))=0,"EXPLORATORY - DISABLED",IF(AND(E29="sick",F29="dead"),"R UPDATE REQUIRED","READY FOR MODEL")))</f>
        <v>EXPLORATORY - DISABLED</v>
      </c>
    </row>
    <row r="30" spans="1:19" ht="30" customHeight="1" x14ac:dyDescent="0.25">
      <c r="A30" s="8" t="s">
        <v>305</v>
      </c>
      <c r="B30" s="8" t="s">
        <v>229</v>
      </c>
      <c r="C30" s="8" t="s">
        <v>201</v>
      </c>
      <c r="D30" s="8" t="s">
        <v>212</v>
      </c>
      <c r="E30" s="8" t="s">
        <v>268</v>
      </c>
      <c r="F30" s="8" t="s">
        <v>269</v>
      </c>
      <c r="G30" s="18">
        <f>SUMIF(Exposure_Targets!$B$2:$B$13,INDEX(Intervention_Cause_Map!$B$2:$B$62,MATCH(A30,Intervention_Cause_Map!$A$2:$A$62,0)),Exposure_Targets!$G$2:$G$13)</f>
        <v>4.4000000000000004</v>
      </c>
      <c r="H30" s="18">
        <f>SUMIF(Exposure_Targets!$B$2:$B$13,INDEX(Intervention_Cause_Map!$B$2:$B$62,MATCH(A30,Intervention_Cause_Map!$A$2:$A$62,0)),Exposure_Targets!$M$2:$M$13)</f>
        <v>3.9600000000000004</v>
      </c>
      <c r="I30" s="18">
        <f t="shared" si="0"/>
        <v>0.43999999999999995</v>
      </c>
      <c r="J30" s="18">
        <f t="shared" si="1"/>
        <v>9.9999999999999978E-2</v>
      </c>
      <c r="K30" s="18" t="str">
        <f>INDEX(Effect_Parameters!$F$2:$F$62,MATCH(A30,Effect_Parameters!$B$2:$B$62,0))</f>
        <v>direct_loglinear_rr_per_unit_reduction</v>
      </c>
      <c r="L30" s="18">
        <f>INDEX(Effect_Parameters!$I$2:$I$62,MATCH(A30,Effect_Parameters!$B$2:$B$62,0))</f>
        <v>1.06</v>
      </c>
      <c r="M30" s="18">
        <f>INDEX(Effect_Parameters!$K$2:$K$62,MATCH(A30,Effect_Parameters!$B$2:$B$62,0))</f>
        <v>0</v>
      </c>
      <c r="N30" s="18" t="str">
        <f>INDEX(Effect_Parameters!$N$2:$N$62,MATCH(A30,Effect_Parameters!$B$2:$B$62,0))</f>
        <v>immediate_after_full_implementation</v>
      </c>
      <c r="O30" s="18">
        <f>IF(K30="direct_smoking_prevalence_shift_rr",IF(OR(ISBLANK(G30),ISBLANK(H30),ISBLANK(L30)),"",1-(1+H30*(L30-1))/(1+G30*(L30-1))),IF(K30="tobacco_mortality_prevalence_shift_rr",IF(OR(ISBLANK(G30),ISBLANK(H30),ISBLANK(L30)),"",1-(1+H30*(L30-1)+(G30-H30)*(1-SUMIF(Assumptions!$A$2:$A$37,"tobacco_vascular_erd_ge10_pooled",Assumptions!$B$2:$B$37))*(L30-1))/(1+G30*(L30-1))),IF(K30="direct_loglinear_rr_per_unit_reduction",IF(OR(ISBLANK(L30),ISBLANK(I30)),"",1-1/(L30^I30)),IF(K30="tfa_attributable_ihd_PAF_x_regulatory_gap",IF(ISBLANK(M30),"",M30*SUMIF(Policy_Levers!$B$2:$B$13,INDEX(Intervention_Cause_Map!$B$2:$B$62,MATCH(A30,Intervention_Cause_Map!$A$2:$A$62,0)),Policy_Levers!$Z$2:$Z$13)),""))))</f>
        <v>2.531244872610916E-2</v>
      </c>
      <c r="P30" s="8" t="str">
        <f>INDEX(Intervention_Cause_Map!$J$2:$J$62,MATCH(A30,Intervention_Cause_Map!$A$2:$A$62,0))</f>
        <v>I_PH_SALT_REFORM__C_SHARED</v>
      </c>
      <c r="Q30" s="8" t="str">
        <f>INDEX(Intervention_Cause_Map!$K$2:$K$62,MATCH(A30,Intervention_Cause_Map!$A$2:$A$62,0))</f>
        <v>component-count-once</v>
      </c>
      <c r="R30" s="20">
        <f>SUMIFS(Cost_Components!$S$2:$S$15,Cost_Components!$G$2:$G$15,P30,Cost_Components!$D$2:$D$15,1)</f>
        <v>8.7749999999999998E-3</v>
      </c>
      <c r="S30" s="8" t="str">
        <f>IF(COUNTIF(Effect_Parameters!$B$2:$B$62,A30)&lt;&gt;1,"LINK ERROR",IF(INDEX(Intervention_Cause_Map!$N$2:$N$62,MATCH(A30,Intervention_Cause_Map!$A$2:$A$62,0))=0,"EXPLORATORY - DISABLED",IF(AND(E30="sick",F30="dead"),"R UPDATE REQUIRED","READY FOR MODEL")))</f>
        <v>EXPLORATORY - DISABLED</v>
      </c>
    </row>
    <row r="31" spans="1:19" ht="30" customHeight="1" x14ac:dyDescent="0.25">
      <c r="A31" s="8" t="s">
        <v>306</v>
      </c>
      <c r="B31" s="8" t="s">
        <v>229</v>
      </c>
      <c r="C31" s="8" t="s">
        <v>201</v>
      </c>
      <c r="D31" s="8" t="s">
        <v>221</v>
      </c>
      <c r="E31" s="8" t="s">
        <v>268</v>
      </c>
      <c r="F31" s="8" t="s">
        <v>269</v>
      </c>
      <c r="G31" s="18">
        <f>SUMIF(Exposure_Targets!$B$2:$B$13,INDEX(Intervention_Cause_Map!$B$2:$B$62,MATCH(A31,Intervention_Cause_Map!$A$2:$A$62,0)),Exposure_Targets!$G$2:$G$13)</f>
        <v>4.4000000000000004</v>
      </c>
      <c r="H31" s="18">
        <f>SUMIF(Exposure_Targets!$B$2:$B$13,INDEX(Intervention_Cause_Map!$B$2:$B$62,MATCH(A31,Intervention_Cause_Map!$A$2:$A$62,0)),Exposure_Targets!$M$2:$M$13)</f>
        <v>3.9600000000000004</v>
      </c>
      <c r="I31" s="18">
        <f t="shared" si="0"/>
        <v>0.43999999999999995</v>
      </c>
      <c r="J31" s="18">
        <f t="shared" si="1"/>
        <v>9.9999999999999978E-2</v>
      </c>
      <c r="K31" s="18" t="str">
        <f>INDEX(Effect_Parameters!$F$2:$F$62,MATCH(A31,Effect_Parameters!$B$2:$B$62,0))</f>
        <v>direct_loglinear_rr_per_unit_reduction</v>
      </c>
      <c r="L31" s="18">
        <f>INDEX(Effect_Parameters!$I$2:$I$62,MATCH(A31,Effect_Parameters!$B$2:$B$62,0))</f>
        <v>1.06</v>
      </c>
      <c r="M31" s="18">
        <f>INDEX(Effect_Parameters!$K$2:$K$62,MATCH(A31,Effect_Parameters!$B$2:$B$62,0))</f>
        <v>0</v>
      </c>
      <c r="N31" s="18" t="str">
        <f>INDEX(Effect_Parameters!$N$2:$N$62,MATCH(A31,Effect_Parameters!$B$2:$B$62,0))</f>
        <v>immediate_after_full_implementation</v>
      </c>
      <c r="O31" s="18">
        <f>IF(K31="direct_smoking_prevalence_shift_rr",IF(OR(ISBLANK(G31),ISBLANK(H31),ISBLANK(L31)),"",1-(1+H31*(L31-1))/(1+G31*(L31-1))),IF(K31="tobacco_mortality_prevalence_shift_rr",IF(OR(ISBLANK(G31),ISBLANK(H31),ISBLANK(L31)),"",1-(1+H31*(L31-1)+(G31-H31)*(1-SUMIF(Assumptions!$A$2:$A$37,"tobacco_vascular_erd_ge10_pooled",Assumptions!$B$2:$B$37))*(L31-1))/(1+G31*(L31-1))),IF(K31="direct_loglinear_rr_per_unit_reduction",IF(OR(ISBLANK(L31),ISBLANK(I31)),"",1-1/(L31^I31)),IF(K31="tfa_attributable_ihd_PAF_x_regulatory_gap",IF(ISBLANK(M31),"",M31*SUMIF(Policy_Levers!$B$2:$B$13,INDEX(Intervention_Cause_Map!$B$2:$B$62,MATCH(A31,Intervention_Cause_Map!$A$2:$A$62,0)),Policy_Levers!$Z$2:$Z$13)),""))))</f>
        <v>2.531244872610916E-2</v>
      </c>
      <c r="P31" s="8" t="str">
        <f>INDEX(Intervention_Cause_Map!$J$2:$J$62,MATCH(A31,Intervention_Cause_Map!$A$2:$A$62,0))</f>
        <v>I_PH_SALT_REFORM__C_SHARED</v>
      </c>
      <c r="Q31" s="8" t="str">
        <f>INDEX(Intervention_Cause_Map!$K$2:$K$62,MATCH(A31,Intervention_Cause_Map!$A$2:$A$62,0))</f>
        <v>component-count-once</v>
      </c>
      <c r="R31" s="20">
        <f>SUMIFS(Cost_Components!$S$2:$S$15,Cost_Components!$G$2:$G$15,P31,Cost_Components!$D$2:$D$15,1)</f>
        <v>8.7749999999999998E-3</v>
      </c>
      <c r="S31" s="8" t="str">
        <f>IF(COUNTIF(Effect_Parameters!$B$2:$B$62,A31)&lt;&gt;1,"LINK ERROR",IF(INDEX(Intervention_Cause_Map!$N$2:$N$62,MATCH(A31,Intervention_Cause_Map!$A$2:$A$62,0))=0,"EXPLORATORY - DISABLED",IF(AND(E31="sick",F31="dead"),"R UPDATE REQUIRED","READY FOR MODEL")))</f>
        <v>EXPLORATORY - DISABLED</v>
      </c>
    </row>
    <row r="32" spans="1:19" ht="30" customHeight="1" x14ac:dyDescent="0.25">
      <c r="A32" s="8" t="s">
        <v>307</v>
      </c>
      <c r="B32" s="8" t="s">
        <v>236</v>
      </c>
      <c r="C32" s="8" t="s">
        <v>201</v>
      </c>
      <c r="D32" s="8" t="s">
        <v>195</v>
      </c>
      <c r="E32" s="8" t="s">
        <v>268</v>
      </c>
      <c r="F32" s="8" t="s">
        <v>269</v>
      </c>
      <c r="G32" s="18">
        <f>SUMIF(Exposure_Targets!$B$2:$B$13,INDEX(Intervention_Cause_Map!$B$2:$B$62,MATCH(A32,Intervention_Cause_Map!$A$2:$A$62,0)),Exposure_Targets!$G$2:$G$13)</f>
        <v>4.4000000000000004</v>
      </c>
      <c r="H32" s="18">
        <f>SUMIF(Exposure_Targets!$B$2:$B$13,INDEX(Intervention_Cause_Map!$B$2:$B$62,MATCH(A32,Intervention_Cause_Map!$A$2:$A$62,0)),Exposure_Targets!$M$2:$M$13)</f>
        <v>4.18</v>
      </c>
      <c r="I32" s="18">
        <f t="shared" si="0"/>
        <v>0.22000000000000064</v>
      </c>
      <c r="J32" s="18">
        <f t="shared" si="1"/>
        <v>5.0000000000000142E-2</v>
      </c>
      <c r="K32" s="18" t="str">
        <f>INDEX(Effect_Parameters!$F$2:$F$62,MATCH(A32,Effect_Parameters!$B$2:$B$62,0))</f>
        <v>direct_loglinear_rr_per_unit_reduction</v>
      </c>
      <c r="L32" s="18">
        <f>INDEX(Effect_Parameters!$I$2:$I$62,MATCH(A32,Effect_Parameters!$B$2:$B$62,0))</f>
        <v>1.06</v>
      </c>
      <c r="M32" s="18">
        <f>INDEX(Effect_Parameters!$K$2:$K$62,MATCH(A32,Effect_Parameters!$B$2:$B$62,0))</f>
        <v>0</v>
      </c>
      <c r="N32" s="18" t="str">
        <f>INDEX(Effect_Parameters!$N$2:$N$62,MATCH(A32,Effect_Parameters!$B$2:$B$62,0))</f>
        <v>immediate_after_full_implementation</v>
      </c>
      <c r="O32" s="18">
        <f>IF(K32="direct_smoking_prevalence_shift_rr",IF(OR(ISBLANK(G32),ISBLANK(H32),ISBLANK(L32)),"",1-(1+H32*(L32-1))/(1+G32*(L32-1))),IF(K32="tobacco_mortality_prevalence_shift_rr",IF(OR(ISBLANK(G32),ISBLANK(H32),ISBLANK(L32)),"",1-(1+H32*(L32-1)+(G32-H32)*(1-SUMIF(Assumptions!$A$2:$A$37,"tobacco_vascular_erd_ge10_pooled",Assumptions!$B$2:$B$37))*(L32-1))/(1+G32*(L32-1))),IF(K32="direct_loglinear_rr_per_unit_reduction",IF(OR(ISBLANK(L32),ISBLANK(I32)),"",1-1/(L32^I32)),IF(K32="tfa_attributable_ihd_PAF_x_regulatory_gap",IF(ISBLANK(M32),"",M32*SUMIF(Policy_Levers!$B$2:$B$13,INDEX(Intervention_Cause_Map!$B$2:$B$62,MATCH(A32,Intervention_Cause_Map!$A$2:$A$62,0)),Policy_Levers!$Z$2:$Z$13)),""))))</f>
        <v>1.2737344333388245E-2</v>
      </c>
      <c r="P32" s="8" t="str">
        <f>INDEX(Intervention_Cause_Map!$J$2:$J$62,MATCH(A32,Intervention_Cause_Map!$A$2:$A$62,0))</f>
        <v>I_PH_SALT_FOPL__C_SHARED</v>
      </c>
      <c r="Q32" s="8" t="str">
        <f>INDEX(Intervention_Cause_Map!$K$2:$K$62,MATCH(A32,Intervention_Cause_Map!$A$2:$A$62,0))</f>
        <v>component-count-once</v>
      </c>
      <c r="R32" s="20">
        <f>SUMIFS(Cost_Components!$S$2:$S$15,Cost_Components!$G$2:$G$15,P32,Cost_Components!$D$2:$D$15,1)</f>
        <v>8.7749999999999998E-3</v>
      </c>
      <c r="S32" s="8" t="str">
        <f>IF(COUNTIF(Effect_Parameters!$B$2:$B$62,A32)&lt;&gt;1,"LINK ERROR",IF(INDEX(Intervention_Cause_Map!$N$2:$N$62,MATCH(A32,Intervention_Cause_Map!$A$2:$A$62,0))=0,"EXPLORATORY - DISABLED",IF(AND(E32="sick",F32="dead"),"R UPDATE REQUIRED","READY FOR MODEL")))</f>
        <v>EXPLORATORY - DISABLED</v>
      </c>
    </row>
    <row r="33" spans="1:19" ht="30" customHeight="1" x14ac:dyDescent="0.25">
      <c r="A33" s="8" t="s">
        <v>309</v>
      </c>
      <c r="B33" s="8" t="s">
        <v>236</v>
      </c>
      <c r="C33" s="8" t="s">
        <v>201</v>
      </c>
      <c r="D33" s="8" t="s">
        <v>204</v>
      </c>
      <c r="E33" s="8" t="s">
        <v>268</v>
      </c>
      <c r="F33" s="8" t="s">
        <v>269</v>
      </c>
      <c r="G33" s="18">
        <f>SUMIF(Exposure_Targets!$B$2:$B$13,INDEX(Intervention_Cause_Map!$B$2:$B$62,MATCH(A33,Intervention_Cause_Map!$A$2:$A$62,0)),Exposure_Targets!$G$2:$G$13)</f>
        <v>4.4000000000000004</v>
      </c>
      <c r="H33" s="18">
        <f>SUMIF(Exposure_Targets!$B$2:$B$13,INDEX(Intervention_Cause_Map!$B$2:$B$62,MATCH(A33,Intervention_Cause_Map!$A$2:$A$62,0)),Exposure_Targets!$M$2:$M$13)</f>
        <v>4.18</v>
      </c>
      <c r="I33" s="18">
        <f t="shared" si="0"/>
        <v>0.22000000000000064</v>
      </c>
      <c r="J33" s="18">
        <f t="shared" si="1"/>
        <v>5.0000000000000142E-2</v>
      </c>
      <c r="K33" s="18" t="str">
        <f>INDEX(Effect_Parameters!$F$2:$F$62,MATCH(A33,Effect_Parameters!$B$2:$B$62,0))</f>
        <v>direct_loglinear_rr_per_unit_reduction</v>
      </c>
      <c r="L33" s="18">
        <f>INDEX(Effect_Parameters!$I$2:$I$62,MATCH(A33,Effect_Parameters!$B$2:$B$62,0))</f>
        <v>1.06</v>
      </c>
      <c r="M33" s="18">
        <f>INDEX(Effect_Parameters!$K$2:$K$62,MATCH(A33,Effect_Parameters!$B$2:$B$62,0))</f>
        <v>0</v>
      </c>
      <c r="N33" s="18" t="str">
        <f>INDEX(Effect_Parameters!$N$2:$N$62,MATCH(A33,Effect_Parameters!$B$2:$B$62,0))</f>
        <v>immediate_after_full_implementation</v>
      </c>
      <c r="O33" s="18">
        <f>IF(K33="direct_smoking_prevalence_shift_rr",IF(OR(ISBLANK(G33),ISBLANK(H33),ISBLANK(L33)),"",1-(1+H33*(L33-1))/(1+G33*(L33-1))),IF(K33="tobacco_mortality_prevalence_shift_rr",IF(OR(ISBLANK(G33),ISBLANK(H33),ISBLANK(L33)),"",1-(1+H33*(L33-1)+(G33-H33)*(1-SUMIF(Assumptions!$A$2:$A$37,"tobacco_vascular_erd_ge10_pooled",Assumptions!$B$2:$B$37))*(L33-1))/(1+G33*(L33-1))),IF(K33="direct_loglinear_rr_per_unit_reduction",IF(OR(ISBLANK(L33),ISBLANK(I33)),"",1-1/(L33^I33)),IF(K33="tfa_attributable_ihd_PAF_x_regulatory_gap",IF(ISBLANK(M33),"",M33*SUMIF(Policy_Levers!$B$2:$B$13,INDEX(Intervention_Cause_Map!$B$2:$B$62,MATCH(A33,Intervention_Cause_Map!$A$2:$A$62,0)),Policy_Levers!$Z$2:$Z$13)),""))))</f>
        <v>1.2737344333388245E-2</v>
      </c>
      <c r="P33" s="8" t="str">
        <f>INDEX(Intervention_Cause_Map!$J$2:$J$62,MATCH(A33,Intervention_Cause_Map!$A$2:$A$62,0))</f>
        <v>I_PH_SALT_FOPL__C_SHARED</v>
      </c>
      <c r="Q33" s="8" t="str">
        <f>INDEX(Intervention_Cause_Map!$K$2:$K$62,MATCH(A33,Intervention_Cause_Map!$A$2:$A$62,0))</f>
        <v>component-count-once</v>
      </c>
      <c r="R33" s="20">
        <f>SUMIFS(Cost_Components!$S$2:$S$15,Cost_Components!$G$2:$G$15,P33,Cost_Components!$D$2:$D$15,1)</f>
        <v>8.7749999999999998E-3</v>
      </c>
      <c r="S33" s="8" t="str">
        <f>IF(COUNTIF(Effect_Parameters!$B$2:$B$62,A33)&lt;&gt;1,"LINK ERROR",IF(INDEX(Intervention_Cause_Map!$N$2:$N$62,MATCH(A33,Intervention_Cause_Map!$A$2:$A$62,0))=0,"EXPLORATORY - DISABLED",IF(AND(E33="sick",F33="dead"),"R UPDATE REQUIRED","READY FOR MODEL")))</f>
        <v>EXPLORATORY - DISABLED</v>
      </c>
    </row>
    <row r="34" spans="1:19" ht="30" customHeight="1" x14ac:dyDescent="0.25">
      <c r="A34" s="8" t="s">
        <v>310</v>
      </c>
      <c r="B34" s="8" t="s">
        <v>236</v>
      </c>
      <c r="C34" s="8" t="s">
        <v>201</v>
      </c>
      <c r="D34" s="8" t="s">
        <v>212</v>
      </c>
      <c r="E34" s="8" t="s">
        <v>268</v>
      </c>
      <c r="F34" s="8" t="s">
        <v>269</v>
      </c>
      <c r="G34" s="18">
        <f>SUMIF(Exposure_Targets!$B$2:$B$13,INDEX(Intervention_Cause_Map!$B$2:$B$62,MATCH(A34,Intervention_Cause_Map!$A$2:$A$62,0)),Exposure_Targets!$G$2:$G$13)</f>
        <v>4.4000000000000004</v>
      </c>
      <c r="H34" s="18">
        <f>SUMIF(Exposure_Targets!$B$2:$B$13,INDEX(Intervention_Cause_Map!$B$2:$B$62,MATCH(A34,Intervention_Cause_Map!$A$2:$A$62,0)),Exposure_Targets!$M$2:$M$13)</f>
        <v>4.18</v>
      </c>
      <c r="I34" s="18">
        <f t="shared" ref="I34:I62" si="2">G34-H34</f>
        <v>0.22000000000000064</v>
      </c>
      <c r="J34" s="18">
        <f t="shared" ref="J34:J62" si="3">IF(G34=0,0,I34/G34)</f>
        <v>5.0000000000000142E-2</v>
      </c>
      <c r="K34" s="18" t="str">
        <f>INDEX(Effect_Parameters!$F$2:$F$62,MATCH(A34,Effect_Parameters!$B$2:$B$62,0))</f>
        <v>direct_loglinear_rr_per_unit_reduction</v>
      </c>
      <c r="L34" s="18">
        <f>INDEX(Effect_Parameters!$I$2:$I$62,MATCH(A34,Effect_Parameters!$B$2:$B$62,0))</f>
        <v>1.06</v>
      </c>
      <c r="M34" s="18">
        <f>INDEX(Effect_Parameters!$K$2:$K$62,MATCH(A34,Effect_Parameters!$B$2:$B$62,0))</f>
        <v>0</v>
      </c>
      <c r="N34" s="18" t="str">
        <f>INDEX(Effect_Parameters!$N$2:$N$62,MATCH(A34,Effect_Parameters!$B$2:$B$62,0))</f>
        <v>immediate_after_full_implementation</v>
      </c>
      <c r="O34" s="18">
        <f>IF(K34="direct_smoking_prevalence_shift_rr",IF(OR(ISBLANK(G34),ISBLANK(H34),ISBLANK(L34)),"",1-(1+H34*(L34-1))/(1+G34*(L34-1))),IF(K34="tobacco_mortality_prevalence_shift_rr",IF(OR(ISBLANK(G34),ISBLANK(H34),ISBLANK(L34)),"",1-(1+H34*(L34-1)+(G34-H34)*(1-SUMIF(Assumptions!$A$2:$A$37,"tobacco_vascular_erd_ge10_pooled",Assumptions!$B$2:$B$37))*(L34-1))/(1+G34*(L34-1))),IF(K34="direct_loglinear_rr_per_unit_reduction",IF(OR(ISBLANK(L34),ISBLANK(I34)),"",1-1/(L34^I34)),IF(K34="tfa_attributable_ihd_PAF_x_regulatory_gap",IF(ISBLANK(M34),"",M34*SUMIF(Policy_Levers!$B$2:$B$13,INDEX(Intervention_Cause_Map!$B$2:$B$62,MATCH(A34,Intervention_Cause_Map!$A$2:$A$62,0)),Policy_Levers!$Z$2:$Z$13)),""))))</f>
        <v>1.2737344333388245E-2</v>
      </c>
      <c r="P34" s="8" t="str">
        <f>INDEX(Intervention_Cause_Map!$J$2:$J$62,MATCH(A34,Intervention_Cause_Map!$A$2:$A$62,0))</f>
        <v>I_PH_SALT_FOPL__C_SHARED</v>
      </c>
      <c r="Q34" s="8" t="str">
        <f>INDEX(Intervention_Cause_Map!$K$2:$K$62,MATCH(A34,Intervention_Cause_Map!$A$2:$A$62,0))</f>
        <v>component-count-once</v>
      </c>
      <c r="R34" s="20">
        <f>SUMIFS(Cost_Components!$S$2:$S$15,Cost_Components!$G$2:$G$15,P34,Cost_Components!$D$2:$D$15,1)</f>
        <v>8.7749999999999998E-3</v>
      </c>
      <c r="S34" s="8" t="str">
        <f>IF(COUNTIF(Effect_Parameters!$B$2:$B$62,A34)&lt;&gt;1,"LINK ERROR",IF(INDEX(Intervention_Cause_Map!$N$2:$N$62,MATCH(A34,Intervention_Cause_Map!$A$2:$A$62,0))=0,"EXPLORATORY - DISABLED",IF(AND(E34="sick",F34="dead"),"R UPDATE REQUIRED","READY FOR MODEL")))</f>
        <v>EXPLORATORY - DISABLED</v>
      </c>
    </row>
    <row r="35" spans="1:19" ht="30" customHeight="1" x14ac:dyDescent="0.25">
      <c r="A35" s="8" t="s">
        <v>311</v>
      </c>
      <c r="B35" s="8" t="s">
        <v>236</v>
      </c>
      <c r="C35" s="8" t="s">
        <v>201</v>
      </c>
      <c r="D35" s="8" t="s">
        <v>221</v>
      </c>
      <c r="E35" s="8" t="s">
        <v>268</v>
      </c>
      <c r="F35" s="8" t="s">
        <v>269</v>
      </c>
      <c r="G35" s="18">
        <f>SUMIF(Exposure_Targets!$B$2:$B$13,INDEX(Intervention_Cause_Map!$B$2:$B$62,MATCH(A35,Intervention_Cause_Map!$A$2:$A$62,0)),Exposure_Targets!$G$2:$G$13)</f>
        <v>4.4000000000000004</v>
      </c>
      <c r="H35" s="18">
        <f>SUMIF(Exposure_Targets!$B$2:$B$13,INDEX(Intervention_Cause_Map!$B$2:$B$62,MATCH(A35,Intervention_Cause_Map!$A$2:$A$62,0)),Exposure_Targets!$M$2:$M$13)</f>
        <v>4.18</v>
      </c>
      <c r="I35" s="18">
        <f t="shared" si="2"/>
        <v>0.22000000000000064</v>
      </c>
      <c r="J35" s="18">
        <f t="shared" si="3"/>
        <v>5.0000000000000142E-2</v>
      </c>
      <c r="K35" s="18" t="str">
        <f>INDEX(Effect_Parameters!$F$2:$F$62,MATCH(A35,Effect_Parameters!$B$2:$B$62,0))</f>
        <v>direct_loglinear_rr_per_unit_reduction</v>
      </c>
      <c r="L35" s="18">
        <f>INDEX(Effect_Parameters!$I$2:$I$62,MATCH(A35,Effect_Parameters!$B$2:$B$62,0))</f>
        <v>1.06</v>
      </c>
      <c r="M35" s="18">
        <f>INDEX(Effect_Parameters!$K$2:$K$62,MATCH(A35,Effect_Parameters!$B$2:$B$62,0))</f>
        <v>0</v>
      </c>
      <c r="N35" s="18" t="str">
        <f>INDEX(Effect_Parameters!$N$2:$N$62,MATCH(A35,Effect_Parameters!$B$2:$B$62,0))</f>
        <v>immediate_after_full_implementation</v>
      </c>
      <c r="O35" s="18">
        <f>IF(K35="direct_smoking_prevalence_shift_rr",IF(OR(ISBLANK(G35),ISBLANK(H35),ISBLANK(L35)),"",1-(1+H35*(L35-1))/(1+G35*(L35-1))),IF(K35="tobacco_mortality_prevalence_shift_rr",IF(OR(ISBLANK(G35),ISBLANK(H35),ISBLANK(L35)),"",1-(1+H35*(L35-1)+(G35-H35)*(1-SUMIF(Assumptions!$A$2:$A$37,"tobacco_vascular_erd_ge10_pooled",Assumptions!$B$2:$B$37))*(L35-1))/(1+G35*(L35-1))),IF(K35="direct_loglinear_rr_per_unit_reduction",IF(OR(ISBLANK(L35),ISBLANK(I35)),"",1-1/(L35^I35)),IF(K35="tfa_attributable_ihd_PAF_x_regulatory_gap",IF(ISBLANK(M35),"",M35*SUMIF(Policy_Levers!$B$2:$B$13,INDEX(Intervention_Cause_Map!$B$2:$B$62,MATCH(A35,Intervention_Cause_Map!$A$2:$A$62,0)),Policy_Levers!$Z$2:$Z$13)),""))))</f>
        <v>1.2737344333388245E-2</v>
      </c>
      <c r="P35" s="8" t="str">
        <f>INDEX(Intervention_Cause_Map!$J$2:$J$62,MATCH(A35,Intervention_Cause_Map!$A$2:$A$62,0))</f>
        <v>I_PH_SALT_FOPL__C_SHARED</v>
      </c>
      <c r="Q35" s="8" t="str">
        <f>INDEX(Intervention_Cause_Map!$K$2:$K$62,MATCH(A35,Intervention_Cause_Map!$A$2:$A$62,0))</f>
        <v>component-count-once</v>
      </c>
      <c r="R35" s="20">
        <f>SUMIFS(Cost_Components!$S$2:$S$15,Cost_Components!$G$2:$G$15,P35,Cost_Components!$D$2:$D$15,1)</f>
        <v>8.7749999999999998E-3</v>
      </c>
      <c r="S35" s="8" t="str">
        <f>IF(COUNTIF(Effect_Parameters!$B$2:$B$62,A35)&lt;&gt;1,"LINK ERROR",IF(INDEX(Intervention_Cause_Map!$N$2:$N$62,MATCH(A35,Intervention_Cause_Map!$A$2:$A$62,0))=0,"EXPLORATORY - DISABLED",IF(AND(E35="sick",F35="dead"),"R UPDATE REQUIRED","READY FOR MODEL")))</f>
        <v>EXPLORATORY - DISABLED</v>
      </c>
    </row>
    <row r="36" spans="1:19" ht="30" customHeight="1" x14ac:dyDescent="0.25">
      <c r="A36" s="8" t="s">
        <v>312</v>
      </c>
      <c r="B36" s="8" t="s">
        <v>241</v>
      </c>
      <c r="C36" s="8" t="s">
        <v>201</v>
      </c>
      <c r="D36" s="8" t="s">
        <v>195</v>
      </c>
      <c r="E36" s="8" t="s">
        <v>268</v>
      </c>
      <c r="F36" s="8" t="s">
        <v>269</v>
      </c>
      <c r="G36" s="18">
        <f>SUMIF(Exposure_Targets!$B$2:$B$13,INDEX(Intervention_Cause_Map!$B$2:$B$62,MATCH(A36,Intervention_Cause_Map!$A$2:$A$62,0)),Exposure_Targets!$G$2:$G$13)</f>
        <v>4.4000000000000004</v>
      </c>
      <c r="H36" s="18">
        <f>SUMIF(Exposure_Targets!$B$2:$B$13,INDEX(Intervention_Cause_Map!$B$2:$B$62,MATCH(A36,Intervention_Cause_Map!$A$2:$A$62,0)),Exposure_Targets!$M$2:$M$13)</f>
        <v>4.4000000000000004</v>
      </c>
      <c r="I36" s="18">
        <f t="shared" si="2"/>
        <v>0</v>
      </c>
      <c r="J36" s="18">
        <f t="shared" si="3"/>
        <v>0</v>
      </c>
      <c r="K36" s="18" t="str">
        <f>INDEX(Effect_Parameters!$F$2:$F$62,MATCH(A36,Effect_Parameters!$B$2:$B$62,0))</f>
        <v>direct_loglinear_rr_per_unit_reduction</v>
      </c>
      <c r="L36" s="18">
        <f>INDEX(Effect_Parameters!$I$2:$I$62,MATCH(A36,Effect_Parameters!$B$2:$B$62,0))</f>
        <v>1.06</v>
      </c>
      <c r="M36" s="18">
        <f>INDEX(Effect_Parameters!$K$2:$K$62,MATCH(A36,Effect_Parameters!$B$2:$B$62,0))</f>
        <v>0</v>
      </c>
      <c r="N36" s="18" t="str">
        <f>INDEX(Effect_Parameters!$N$2:$N$62,MATCH(A36,Effect_Parameters!$B$2:$B$62,0))</f>
        <v>immediate_after_full_implementation</v>
      </c>
      <c r="O36" s="18">
        <f>IF(K36="direct_smoking_prevalence_shift_rr",IF(OR(ISBLANK(G36),ISBLANK(H36),ISBLANK(L36)),"",1-(1+H36*(L36-1))/(1+G36*(L36-1))),IF(K36="tobacco_mortality_prevalence_shift_rr",IF(OR(ISBLANK(G36),ISBLANK(H36),ISBLANK(L36)),"",1-(1+H36*(L36-1)+(G36-H36)*(1-SUMIF(Assumptions!$A$2:$A$37,"tobacco_vascular_erd_ge10_pooled",Assumptions!$B$2:$B$37))*(L36-1))/(1+G36*(L36-1))),IF(K36="direct_loglinear_rr_per_unit_reduction",IF(OR(ISBLANK(L36),ISBLANK(I36)),"",1-1/(L36^I36)),IF(K36="tfa_attributable_ihd_PAF_x_regulatory_gap",IF(ISBLANK(M36),"",M36*SUMIF(Policy_Levers!$B$2:$B$13,INDEX(Intervention_Cause_Map!$B$2:$B$62,MATCH(A36,Intervention_Cause_Map!$A$2:$A$62,0)),Policy_Levers!$Z$2:$Z$13)),""))))</f>
        <v>0</v>
      </c>
      <c r="P36" s="8" t="str">
        <f>INDEX(Intervention_Cause_Map!$J$2:$J$62,MATCH(A36,Intervention_Cause_Map!$A$2:$A$62,0))</f>
        <v>I_PH_SALT_MEDIA__C_SHARED</v>
      </c>
      <c r="Q36" s="8" t="str">
        <f>INDEX(Intervention_Cause_Map!$K$2:$K$62,MATCH(A36,Intervention_Cause_Map!$A$2:$A$62,0))</f>
        <v>component-count-once</v>
      </c>
      <c r="R36" s="20">
        <f>SUMIFS(Cost_Components!$S$2:$S$15,Cost_Components!$G$2:$G$15,P36,Cost_Components!$D$2:$D$15,1)</f>
        <v>8.7749999999999998E-3</v>
      </c>
      <c r="S36" s="8" t="str">
        <f>IF(COUNTIF(Effect_Parameters!$B$2:$B$62,A36)&lt;&gt;1,"LINK ERROR",IF(INDEX(Intervention_Cause_Map!$N$2:$N$62,MATCH(A36,Intervention_Cause_Map!$A$2:$A$62,0))=0,"EXPLORATORY - DISABLED",IF(AND(E36="sick",F36="dead"),"R UPDATE REQUIRED","READY FOR MODEL")))</f>
        <v>EXPLORATORY - DISABLED</v>
      </c>
    </row>
    <row r="37" spans="1:19" ht="30" customHeight="1" x14ac:dyDescent="0.25">
      <c r="A37" s="8" t="s">
        <v>314</v>
      </c>
      <c r="B37" s="8" t="s">
        <v>241</v>
      </c>
      <c r="C37" s="8" t="s">
        <v>201</v>
      </c>
      <c r="D37" s="8" t="s">
        <v>204</v>
      </c>
      <c r="E37" s="8" t="s">
        <v>268</v>
      </c>
      <c r="F37" s="8" t="s">
        <v>269</v>
      </c>
      <c r="G37" s="18">
        <f>SUMIF(Exposure_Targets!$B$2:$B$13,INDEX(Intervention_Cause_Map!$B$2:$B$62,MATCH(A37,Intervention_Cause_Map!$A$2:$A$62,0)),Exposure_Targets!$G$2:$G$13)</f>
        <v>4.4000000000000004</v>
      </c>
      <c r="H37" s="18">
        <f>SUMIF(Exposure_Targets!$B$2:$B$13,INDEX(Intervention_Cause_Map!$B$2:$B$62,MATCH(A37,Intervention_Cause_Map!$A$2:$A$62,0)),Exposure_Targets!$M$2:$M$13)</f>
        <v>4.4000000000000004</v>
      </c>
      <c r="I37" s="18">
        <f t="shared" si="2"/>
        <v>0</v>
      </c>
      <c r="J37" s="18">
        <f t="shared" si="3"/>
        <v>0</v>
      </c>
      <c r="K37" s="18" t="str">
        <f>INDEX(Effect_Parameters!$F$2:$F$62,MATCH(A37,Effect_Parameters!$B$2:$B$62,0))</f>
        <v>direct_loglinear_rr_per_unit_reduction</v>
      </c>
      <c r="L37" s="18">
        <f>INDEX(Effect_Parameters!$I$2:$I$62,MATCH(A37,Effect_Parameters!$B$2:$B$62,0))</f>
        <v>1.06</v>
      </c>
      <c r="M37" s="18">
        <f>INDEX(Effect_Parameters!$K$2:$K$62,MATCH(A37,Effect_Parameters!$B$2:$B$62,0))</f>
        <v>0</v>
      </c>
      <c r="N37" s="18" t="str">
        <f>INDEX(Effect_Parameters!$N$2:$N$62,MATCH(A37,Effect_Parameters!$B$2:$B$62,0))</f>
        <v>immediate_after_full_implementation</v>
      </c>
      <c r="O37" s="18">
        <f>IF(K37="direct_smoking_prevalence_shift_rr",IF(OR(ISBLANK(G37),ISBLANK(H37),ISBLANK(L37)),"",1-(1+H37*(L37-1))/(1+G37*(L37-1))),IF(K37="tobacco_mortality_prevalence_shift_rr",IF(OR(ISBLANK(G37),ISBLANK(H37),ISBLANK(L37)),"",1-(1+H37*(L37-1)+(G37-H37)*(1-SUMIF(Assumptions!$A$2:$A$37,"tobacco_vascular_erd_ge10_pooled",Assumptions!$B$2:$B$37))*(L37-1))/(1+G37*(L37-1))),IF(K37="direct_loglinear_rr_per_unit_reduction",IF(OR(ISBLANK(L37),ISBLANK(I37)),"",1-1/(L37^I37)),IF(K37="tfa_attributable_ihd_PAF_x_regulatory_gap",IF(ISBLANK(M37),"",M37*SUMIF(Policy_Levers!$B$2:$B$13,INDEX(Intervention_Cause_Map!$B$2:$B$62,MATCH(A37,Intervention_Cause_Map!$A$2:$A$62,0)),Policy_Levers!$Z$2:$Z$13)),""))))</f>
        <v>0</v>
      </c>
      <c r="P37" s="8" t="str">
        <f>INDEX(Intervention_Cause_Map!$J$2:$J$62,MATCH(A37,Intervention_Cause_Map!$A$2:$A$62,0))</f>
        <v>I_PH_SALT_MEDIA__C_SHARED</v>
      </c>
      <c r="Q37" s="8" t="str">
        <f>INDEX(Intervention_Cause_Map!$K$2:$K$62,MATCH(A37,Intervention_Cause_Map!$A$2:$A$62,0))</f>
        <v>component-count-once</v>
      </c>
      <c r="R37" s="20">
        <f>SUMIFS(Cost_Components!$S$2:$S$15,Cost_Components!$G$2:$G$15,P37,Cost_Components!$D$2:$D$15,1)</f>
        <v>8.7749999999999998E-3</v>
      </c>
      <c r="S37" s="8" t="str">
        <f>IF(COUNTIF(Effect_Parameters!$B$2:$B$62,A37)&lt;&gt;1,"LINK ERROR",IF(INDEX(Intervention_Cause_Map!$N$2:$N$62,MATCH(A37,Intervention_Cause_Map!$A$2:$A$62,0))=0,"EXPLORATORY - DISABLED",IF(AND(E37="sick",F37="dead"),"R UPDATE REQUIRED","READY FOR MODEL")))</f>
        <v>EXPLORATORY - DISABLED</v>
      </c>
    </row>
    <row r="38" spans="1:19" ht="30" customHeight="1" x14ac:dyDescent="0.25">
      <c r="A38" s="8" t="s">
        <v>315</v>
      </c>
      <c r="B38" s="8" t="s">
        <v>241</v>
      </c>
      <c r="C38" s="8" t="s">
        <v>201</v>
      </c>
      <c r="D38" s="8" t="s">
        <v>212</v>
      </c>
      <c r="E38" s="8" t="s">
        <v>268</v>
      </c>
      <c r="F38" s="8" t="s">
        <v>269</v>
      </c>
      <c r="G38" s="18">
        <f>SUMIF(Exposure_Targets!$B$2:$B$13,INDEX(Intervention_Cause_Map!$B$2:$B$62,MATCH(A38,Intervention_Cause_Map!$A$2:$A$62,0)),Exposure_Targets!$G$2:$G$13)</f>
        <v>4.4000000000000004</v>
      </c>
      <c r="H38" s="18">
        <f>SUMIF(Exposure_Targets!$B$2:$B$13,INDEX(Intervention_Cause_Map!$B$2:$B$62,MATCH(A38,Intervention_Cause_Map!$A$2:$A$62,0)),Exposure_Targets!$M$2:$M$13)</f>
        <v>4.4000000000000004</v>
      </c>
      <c r="I38" s="18">
        <f t="shared" si="2"/>
        <v>0</v>
      </c>
      <c r="J38" s="18">
        <f t="shared" si="3"/>
        <v>0</v>
      </c>
      <c r="K38" s="18" t="str">
        <f>INDEX(Effect_Parameters!$F$2:$F$62,MATCH(A38,Effect_Parameters!$B$2:$B$62,0))</f>
        <v>direct_loglinear_rr_per_unit_reduction</v>
      </c>
      <c r="L38" s="18">
        <f>INDEX(Effect_Parameters!$I$2:$I$62,MATCH(A38,Effect_Parameters!$B$2:$B$62,0))</f>
        <v>1.06</v>
      </c>
      <c r="M38" s="18">
        <f>INDEX(Effect_Parameters!$K$2:$K$62,MATCH(A38,Effect_Parameters!$B$2:$B$62,0))</f>
        <v>0</v>
      </c>
      <c r="N38" s="18" t="str">
        <f>INDEX(Effect_Parameters!$N$2:$N$62,MATCH(A38,Effect_Parameters!$B$2:$B$62,0))</f>
        <v>immediate_after_full_implementation</v>
      </c>
      <c r="O38" s="18">
        <f>IF(K38="direct_smoking_prevalence_shift_rr",IF(OR(ISBLANK(G38),ISBLANK(H38),ISBLANK(L38)),"",1-(1+H38*(L38-1))/(1+G38*(L38-1))),IF(K38="tobacco_mortality_prevalence_shift_rr",IF(OR(ISBLANK(G38),ISBLANK(H38),ISBLANK(L38)),"",1-(1+H38*(L38-1)+(G38-H38)*(1-SUMIF(Assumptions!$A$2:$A$37,"tobacco_vascular_erd_ge10_pooled",Assumptions!$B$2:$B$37))*(L38-1))/(1+G38*(L38-1))),IF(K38="direct_loglinear_rr_per_unit_reduction",IF(OR(ISBLANK(L38),ISBLANK(I38)),"",1-1/(L38^I38)),IF(K38="tfa_attributable_ihd_PAF_x_regulatory_gap",IF(ISBLANK(M38),"",M38*SUMIF(Policy_Levers!$B$2:$B$13,INDEX(Intervention_Cause_Map!$B$2:$B$62,MATCH(A38,Intervention_Cause_Map!$A$2:$A$62,0)),Policy_Levers!$Z$2:$Z$13)),""))))</f>
        <v>0</v>
      </c>
      <c r="P38" s="8" t="str">
        <f>INDEX(Intervention_Cause_Map!$J$2:$J$62,MATCH(A38,Intervention_Cause_Map!$A$2:$A$62,0))</f>
        <v>I_PH_SALT_MEDIA__C_SHARED</v>
      </c>
      <c r="Q38" s="8" t="str">
        <f>INDEX(Intervention_Cause_Map!$K$2:$K$62,MATCH(A38,Intervention_Cause_Map!$A$2:$A$62,0))</f>
        <v>component-count-once</v>
      </c>
      <c r="R38" s="20">
        <f>SUMIFS(Cost_Components!$S$2:$S$15,Cost_Components!$G$2:$G$15,P38,Cost_Components!$D$2:$D$15,1)</f>
        <v>8.7749999999999998E-3</v>
      </c>
      <c r="S38" s="8" t="str">
        <f>IF(COUNTIF(Effect_Parameters!$B$2:$B$62,A38)&lt;&gt;1,"LINK ERROR",IF(INDEX(Intervention_Cause_Map!$N$2:$N$62,MATCH(A38,Intervention_Cause_Map!$A$2:$A$62,0))=0,"EXPLORATORY - DISABLED",IF(AND(E38="sick",F38="dead"),"R UPDATE REQUIRED","READY FOR MODEL")))</f>
        <v>EXPLORATORY - DISABLED</v>
      </c>
    </row>
    <row r="39" spans="1:19" ht="30" customHeight="1" x14ac:dyDescent="0.25">
      <c r="A39" s="8" t="s">
        <v>316</v>
      </c>
      <c r="B39" s="8" t="s">
        <v>241</v>
      </c>
      <c r="C39" s="8" t="s">
        <v>201</v>
      </c>
      <c r="D39" s="8" t="s">
        <v>221</v>
      </c>
      <c r="E39" s="8" t="s">
        <v>268</v>
      </c>
      <c r="F39" s="8" t="s">
        <v>269</v>
      </c>
      <c r="G39" s="18">
        <f>SUMIF(Exposure_Targets!$B$2:$B$13,INDEX(Intervention_Cause_Map!$B$2:$B$62,MATCH(A39,Intervention_Cause_Map!$A$2:$A$62,0)),Exposure_Targets!$G$2:$G$13)</f>
        <v>4.4000000000000004</v>
      </c>
      <c r="H39" s="18">
        <f>SUMIF(Exposure_Targets!$B$2:$B$13,INDEX(Intervention_Cause_Map!$B$2:$B$62,MATCH(A39,Intervention_Cause_Map!$A$2:$A$62,0)),Exposure_Targets!$M$2:$M$13)</f>
        <v>4.4000000000000004</v>
      </c>
      <c r="I39" s="18">
        <f t="shared" si="2"/>
        <v>0</v>
      </c>
      <c r="J39" s="18">
        <f t="shared" si="3"/>
        <v>0</v>
      </c>
      <c r="K39" s="18" t="str">
        <f>INDEX(Effect_Parameters!$F$2:$F$62,MATCH(A39,Effect_Parameters!$B$2:$B$62,0))</f>
        <v>direct_loglinear_rr_per_unit_reduction</v>
      </c>
      <c r="L39" s="18">
        <f>INDEX(Effect_Parameters!$I$2:$I$62,MATCH(A39,Effect_Parameters!$B$2:$B$62,0))</f>
        <v>1.06</v>
      </c>
      <c r="M39" s="18">
        <f>INDEX(Effect_Parameters!$K$2:$K$62,MATCH(A39,Effect_Parameters!$B$2:$B$62,0))</f>
        <v>0</v>
      </c>
      <c r="N39" s="18" t="str">
        <f>INDEX(Effect_Parameters!$N$2:$N$62,MATCH(A39,Effect_Parameters!$B$2:$B$62,0))</f>
        <v>immediate_after_full_implementation</v>
      </c>
      <c r="O39" s="18">
        <f>IF(K39="direct_smoking_prevalence_shift_rr",IF(OR(ISBLANK(G39),ISBLANK(H39),ISBLANK(L39)),"",1-(1+H39*(L39-1))/(1+G39*(L39-1))),IF(K39="tobacco_mortality_prevalence_shift_rr",IF(OR(ISBLANK(G39),ISBLANK(H39),ISBLANK(L39)),"",1-(1+H39*(L39-1)+(G39-H39)*(1-SUMIF(Assumptions!$A$2:$A$37,"tobacco_vascular_erd_ge10_pooled",Assumptions!$B$2:$B$37))*(L39-1))/(1+G39*(L39-1))),IF(K39="direct_loglinear_rr_per_unit_reduction",IF(OR(ISBLANK(L39),ISBLANK(I39)),"",1-1/(L39^I39)),IF(K39="tfa_attributable_ihd_PAF_x_regulatory_gap",IF(ISBLANK(M39),"",M39*SUMIF(Policy_Levers!$B$2:$B$13,INDEX(Intervention_Cause_Map!$B$2:$B$62,MATCH(A39,Intervention_Cause_Map!$A$2:$A$62,0)),Policy_Levers!$Z$2:$Z$13)),""))))</f>
        <v>0</v>
      </c>
      <c r="P39" s="8" t="str">
        <f>INDEX(Intervention_Cause_Map!$J$2:$J$62,MATCH(A39,Intervention_Cause_Map!$A$2:$A$62,0))</f>
        <v>I_PH_SALT_MEDIA__C_SHARED</v>
      </c>
      <c r="Q39" s="8" t="str">
        <f>INDEX(Intervention_Cause_Map!$K$2:$K$62,MATCH(A39,Intervention_Cause_Map!$A$2:$A$62,0))</f>
        <v>component-count-once</v>
      </c>
      <c r="R39" s="20">
        <f>SUMIFS(Cost_Components!$S$2:$S$15,Cost_Components!$G$2:$G$15,P39,Cost_Components!$D$2:$D$15,1)</f>
        <v>8.7749999999999998E-3</v>
      </c>
      <c r="S39" s="8" t="str">
        <f>IF(COUNTIF(Effect_Parameters!$B$2:$B$62,A39)&lt;&gt;1,"LINK ERROR",IF(INDEX(Intervention_Cause_Map!$N$2:$N$62,MATCH(A39,Intervention_Cause_Map!$A$2:$A$62,0))=0,"EXPLORATORY - DISABLED",IF(AND(E39="sick",F39="dead"),"R UPDATE REQUIRED","READY FOR MODEL")))</f>
        <v>EXPLORATORY - DISABLED</v>
      </c>
    </row>
    <row r="40" spans="1:19" ht="30" customHeight="1" x14ac:dyDescent="0.25">
      <c r="A40" s="8" t="s">
        <v>317</v>
      </c>
      <c r="B40" s="8" t="s">
        <v>247</v>
      </c>
      <c r="C40" s="8" t="s">
        <v>201</v>
      </c>
      <c r="D40" s="8" t="s">
        <v>195</v>
      </c>
      <c r="E40" s="8" t="s">
        <v>268</v>
      </c>
      <c r="F40" s="8" t="s">
        <v>269</v>
      </c>
      <c r="G40" s="18">
        <f>SUMIF(Exposure_Targets!$B$2:$B$13,INDEX(Intervention_Cause_Map!$B$2:$B$62,MATCH(A40,Intervention_Cause_Map!$A$2:$A$62,0)),Exposure_Targets!$G$2:$G$13)</f>
        <v>4.4000000000000004</v>
      </c>
      <c r="H40" s="18">
        <f>SUMIF(Exposure_Targets!$B$2:$B$13,INDEX(Intervention_Cause_Map!$B$2:$B$62,MATCH(A40,Intervention_Cause_Map!$A$2:$A$62,0)),Exposure_Targets!$M$2:$M$13)</f>
        <v>4.2460000000000004</v>
      </c>
      <c r="I40" s="18">
        <f t="shared" si="2"/>
        <v>0.15399999999999991</v>
      </c>
      <c r="J40" s="18">
        <f t="shared" si="3"/>
        <v>3.4999999999999976E-2</v>
      </c>
      <c r="K40" s="18" t="str">
        <f>INDEX(Effect_Parameters!$F$2:$F$62,MATCH(A40,Effect_Parameters!$B$2:$B$62,0))</f>
        <v>direct_loglinear_rr_per_unit_reduction</v>
      </c>
      <c r="L40" s="18">
        <f>INDEX(Effect_Parameters!$I$2:$I$62,MATCH(A40,Effect_Parameters!$B$2:$B$62,0))</f>
        <v>1.06</v>
      </c>
      <c r="M40" s="18">
        <f>INDEX(Effect_Parameters!$K$2:$K$62,MATCH(A40,Effect_Parameters!$B$2:$B$62,0))</f>
        <v>0</v>
      </c>
      <c r="N40" s="18" t="str">
        <f>INDEX(Effect_Parameters!$N$2:$N$62,MATCH(A40,Effect_Parameters!$B$2:$B$62,0))</f>
        <v>immediate_after_full_implementation</v>
      </c>
      <c r="O40" s="18">
        <f>IF(K40="direct_smoking_prevalence_shift_rr",IF(OR(ISBLANK(G40),ISBLANK(H40),ISBLANK(L40)),"",1-(1+H40*(L40-1))/(1+G40*(L40-1))),IF(K40="tobacco_mortality_prevalence_shift_rr",IF(OR(ISBLANK(G40),ISBLANK(H40),ISBLANK(L40)),"",1-(1+H40*(L40-1)+(G40-H40)*(1-SUMIF(Assumptions!$A$2:$A$37,"tobacco_vascular_erd_ge10_pooled",Assumptions!$B$2:$B$37))*(L40-1))/(1+G40*(L40-1))),IF(K40="direct_loglinear_rr_per_unit_reduction",IF(OR(ISBLANK(L40),ISBLANK(I40)),"",1-1/(L40^I40)),IF(K40="tfa_attributable_ihd_PAF_x_regulatory_gap",IF(ISBLANK(M40),"",M40*SUMIF(Policy_Levers!$B$2:$B$13,INDEX(Intervention_Cause_Map!$B$2:$B$62,MATCH(A40,Intervention_Cause_Map!$A$2:$A$62,0)),Policy_Levers!$Z$2:$Z$13)),""))))</f>
        <v>8.9332709476508398E-3</v>
      </c>
      <c r="P40" s="8" t="str">
        <f>INDEX(Intervention_Cause_Map!$J$2:$J$62,MATCH(A40,Intervention_Cause_Map!$A$2:$A$62,0))</f>
        <v>I_PH_SALT_ENV__C_SHARED</v>
      </c>
      <c r="Q40" s="8" t="str">
        <f>INDEX(Intervention_Cause_Map!$K$2:$K$62,MATCH(A40,Intervention_Cause_Map!$A$2:$A$62,0))</f>
        <v>component-count-once</v>
      </c>
      <c r="R40" s="20">
        <f>SUMIFS(Cost_Components!$S$2:$S$15,Cost_Components!$G$2:$G$15,P40,Cost_Components!$D$2:$D$15,1)</f>
        <v>8.7749999999999998E-3</v>
      </c>
      <c r="S40" s="8" t="str">
        <f>IF(COUNTIF(Effect_Parameters!$B$2:$B$62,A40)&lt;&gt;1,"LINK ERROR",IF(INDEX(Intervention_Cause_Map!$N$2:$N$62,MATCH(A40,Intervention_Cause_Map!$A$2:$A$62,0))=0,"EXPLORATORY - DISABLED",IF(AND(E40="sick",F40="dead"),"R UPDATE REQUIRED","READY FOR MODEL")))</f>
        <v>EXPLORATORY - DISABLED</v>
      </c>
    </row>
    <row r="41" spans="1:19" ht="30" customHeight="1" x14ac:dyDescent="0.25">
      <c r="A41" s="8" t="s">
        <v>319</v>
      </c>
      <c r="B41" s="8" t="s">
        <v>247</v>
      </c>
      <c r="C41" s="8" t="s">
        <v>201</v>
      </c>
      <c r="D41" s="8" t="s">
        <v>204</v>
      </c>
      <c r="E41" s="8" t="s">
        <v>268</v>
      </c>
      <c r="F41" s="8" t="s">
        <v>269</v>
      </c>
      <c r="G41" s="18">
        <f>SUMIF(Exposure_Targets!$B$2:$B$13,INDEX(Intervention_Cause_Map!$B$2:$B$62,MATCH(A41,Intervention_Cause_Map!$A$2:$A$62,0)),Exposure_Targets!$G$2:$G$13)</f>
        <v>4.4000000000000004</v>
      </c>
      <c r="H41" s="18">
        <f>SUMIF(Exposure_Targets!$B$2:$B$13,INDEX(Intervention_Cause_Map!$B$2:$B$62,MATCH(A41,Intervention_Cause_Map!$A$2:$A$62,0)),Exposure_Targets!$M$2:$M$13)</f>
        <v>4.2460000000000004</v>
      </c>
      <c r="I41" s="18">
        <f t="shared" si="2"/>
        <v>0.15399999999999991</v>
      </c>
      <c r="J41" s="18">
        <f t="shared" si="3"/>
        <v>3.4999999999999976E-2</v>
      </c>
      <c r="K41" s="18" t="str">
        <f>INDEX(Effect_Parameters!$F$2:$F$62,MATCH(A41,Effect_Parameters!$B$2:$B$62,0))</f>
        <v>direct_loglinear_rr_per_unit_reduction</v>
      </c>
      <c r="L41" s="18">
        <f>INDEX(Effect_Parameters!$I$2:$I$62,MATCH(A41,Effect_Parameters!$B$2:$B$62,0))</f>
        <v>1.06</v>
      </c>
      <c r="M41" s="18">
        <f>INDEX(Effect_Parameters!$K$2:$K$62,MATCH(A41,Effect_Parameters!$B$2:$B$62,0))</f>
        <v>0</v>
      </c>
      <c r="N41" s="18" t="str">
        <f>INDEX(Effect_Parameters!$N$2:$N$62,MATCH(A41,Effect_Parameters!$B$2:$B$62,0))</f>
        <v>immediate_after_full_implementation</v>
      </c>
      <c r="O41" s="18">
        <f>IF(K41="direct_smoking_prevalence_shift_rr",IF(OR(ISBLANK(G41),ISBLANK(H41),ISBLANK(L41)),"",1-(1+H41*(L41-1))/(1+G41*(L41-1))),IF(K41="tobacco_mortality_prevalence_shift_rr",IF(OR(ISBLANK(G41),ISBLANK(H41),ISBLANK(L41)),"",1-(1+H41*(L41-1)+(G41-H41)*(1-SUMIF(Assumptions!$A$2:$A$37,"tobacco_vascular_erd_ge10_pooled",Assumptions!$B$2:$B$37))*(L41-1))/(1+G41*(L41-1))),IF(K41="direct_loglinear_rr_per_unit_reduction",IF(OR(ISBLANK(L41),ISBLANK(I41)),"",1-1/(L41^I41)),IF(K41="tfa_attributable_ihd_PAF_x_regulatory_gap",IF(ISBLANK(M41),"",M41*SUMIF(Policy_Levers!$B$2:$B$13,INDEX(Intervention_Cause_Map!$B$2:$B$62,MATCH(A41,Intervention_Cause_Map!$A$2:$A$62,0)),Policy_Levers!$Z$2:$Z$13)),""))))</f>
        <v>8.9332709476508398E-3</v>
      </c>
      <c r="P41" s="8" t="str">
        <f>INDEX(Intervention_Cause_Map!$J$2:$J$62,MATCH(A41,Intervention_Cause_Map!$A$2:$A$62,0))</f>
        <v>I_PH_SALT_ENV__C_SHARED</v>
      </c>
      <c r="Q41" s="8" t="str">
        <f>INDEX(Intervention_Cause_Map!$K$2:$K$62,MATCH(A41,Intervention_Cause_Map!$A$2:$A$62,0))</f>
        <v>component-count-once</v>
      </c>
      <c r="R41" s="20">
        <f>SUMIFS(Cost_Components!$S$2:$S$15,Cost_Components!$G$2:$G$15,P41,Cost_Components!$D$2:$D$15,1)</f>
        <v>8.7749999999999998E-3</v>
      </c>
      <c r="S41" s="8" t="str">
        <f>IF(COUNTIF(Effect_Parameters!$B$2:$B$62,A41)&lt;&gt;1,"LINK ERROR",IF(INDEX(Intervention_Cause_Map!$N$2:$N$62,MATCH(A41,Intervention_Cause_Map!$A$2:$A$62,0))=0,"EXPLORATORY - DISABLED",IF(AND(E41="sick",F41="dead"),"R UPDATE REQUIRED","READY FOR MODEL")))</f>
        <v>EXPLORATORY - DISABLED</v>
      </c>
    </row>
    <row r="42" spans="1:19" ht="30" customHeight="1" x14ac:dyDescent="0.25">
      <c r="A42" s="8" t="s">
        <v>320</v>
      </c>
      <c r="B42" s="8" t="s">
        <v>247</v>
      </c>
      <c r="C42" s="8" t="s">
        <v>201</v>
      </c>
      <c r="D42" s="8" t="s">
        <v>212</v>
      </c>
      <c r="E42" s="8" t="s">
        <v>268</v>
      </c>
      <c r="F42" s="8" t="s">
        <v>269</v>
      </c>
      <c r="G42" s="18">
        <f>SUMIF(Exposure_Targets!$B$2:$B$13,INDEX(Intervention_Cause_Map!$B$2:$B$62,MATCH(A42,Intervention_Cause_Map!$A$2:$A$62,0)),Exposure_Targets!$G$2:$G$13)</f>
        <v>4.4000000000000004</v>
      </c>
      <c r="H42" s="18">
        <f>SUMIF(Exposure_Targets!$B$2:$B$13,INDEX(Intervention_Cause_Map!$B$2:$B$62,MATCH(A42,Intervention_Cause_Map!$A$2:$A$62,0)),Exposure_Targets!$M$2:$M$13)</f>
        <v>4.2460000000000004</v>
      </c>
      <c r="I42" s="18">
        <f t="shared" si="2"/>
        <v>0.15399999999999991</v>
      </c>
      <c r="J42" s="18">
        <f t="shared" si="3"/>
        <v>3.4999999999999976E-2</v>
      </c>
      <c r="K42" s="18" t="str">
        <f>INDEX(Effect_Parameters!$F$2:$F$62,MATCH(A42,Effect_Parameters!$B$2:$B$62,0))</f>
        <v>direct_loglinear_rr_per_unit_reduction</v>
      </c>
      <c r="L42" s="18">
        <f>INDEX(Effect_Parameters!$I$2:$I$62,MATCH(A42,Effect_Parameters!$B$2:$B$62,0))</f>
        <v>1.06</v>
      </c>
      <c r="M42" s="18">
        <f>INDEX(Effect_Parameters!$K$2:$K$62,MATCH(A42,Effect_Parameters!$B$2:$B$62,0))</f>
        <v>0</v>
      </c>
      <c r="N42" s="18" t="str">
        <f>INDEX(Effect_Parameters!$N$2:$N$62,MATCH(A42,Effect_Parameters!$B$2:$B$62,0))</f>
        <v>immediate_after_full_implementation</v>
      </c>
      <c r="O42" s="18">
        <f>IF(K42="direct_smoking_prevalence_shift_rr",IF(OR(ISBLANK(G42),ISBLANK(H42),ISBLANK(L42)),"",1-(1+H42*(L42-1))/(1+G42*(L42-1))),IF(K42="tobacco_mortality_prevalence_shift_rr",IF(OR(ISBLANK(G42),ISBLANK(H42),ISBLANK(L42)),"",1-(1+H42*(L42-1)+(G42-H42)*(1-SUMIF(Assumptions!$A$2:$A$37,"tobacco_vascular_erd_ge10_pooled",Assumptions!$B$2:$B$37))*(L42-1))/(1+G42*(L42-1))),IF(K42="direct_loglinear_rr_per_unit_reduction",IF(OR(ISBLANK(L42),ISBLANK(I42)),"",1-1/(L42^I42)),IF(K42="tfa_attributable_ihd_PAF_x_regulatory_gap",IF(ISBLANK(M42),"",M42*SUMIF(Policy_Levers!$B$2:$B$13,INDEX(Intervention_Cause_Map!$B$2:$B$62,MATCH(A42,Intervention_Cause_Map!$A$2:$A$62,0)),Policy_Levers!$Z$2:$Z$13)),""))))</f>
        <v>8.9332709476508398E-3</v>
      </c>
      <c r="P42" s="8" t="str">
        <f>INDEX(Intervention_Cause_Map!$J$2:$J$62,MATCH(A42,Intervention_Cause_Map!$A$2:$A$62,0))</f>
        <v>I_PH_SALT_ENV__C_SHARED</v>
      </c>
      <c r="Q42" s="8" t="str">
        <f>INDEX(Intervention_Cause_Map!$K$2:$K$62,MATCH(A42,Intervention_Cause_Map!$A$2:$A$62,0))</f>
        <v>component-count-once</v>
      </c>
      <c r="R42" s="20">
        <f>SUMIFS(Cost_Components!$S$2:$S$15,Cost_Components!$G$2:$G$15,P42,Cost_Components!$D$2:$D$15,1)</f>
        <v>8.7749999999999998E-3</v>
      </c>
      <c r="S42" s="8" t="str">
        <f>IF(COUNTIF(Effect_Parameters!$B$2:$B$62,A42)&lt;&gt;1,"LINK ERROR",IF(INDEX(Intervention_Cause_Map!$N$2:$N$62,MATCH(A42,Intervention_Cause_Map!$A$2:$A$62,0))=0,"EXPLORATORY - DISABLED",IF(AND(E42="sick",F42="dead"),"R UPDATE REQUIRED","READY FOR MODEL")))</f>
        <v>EXPLORATORY - DISABLED</v>
      </c>
    </row>
    <row r="43" spans="1:19" ht="30" customHeight="1" x14ac:dyDescent="0.25">
      <c r="A43" s="8" t="s">
        <v>321</v>
      </c>
      <c r="B43" s="8" t="s">
        <v>247</v>
      </c>
      <c r="C43" s="8" t="s">
        <v>201</v>
      </c>
      <c r="D43" s="8" t="s">
        <v>221</v>
      </c>
      <c r="E43" s="8" t="s">
        <v>268</v>
      </c>
      <c r="F43" s="8" t="s">
        <v>269</v>
      </c>
      <c r="G43" s="18">
        <f>SUMIF(Exposure_Targets!$B$2:$B$13,INDEX(Intervention_Cause_Map!$B$2:$B$62,MATCH(A43,Intervention_Cause_Map!$A$2:$A$62,0)),Exposure_Targets!$G$2:$G$13)</f>
        <v>4.4000000000000004</v>
      </c>
      <c r="H43" s="18">
        <f>SUMIF(Exposure_Targets!$B$2:$B$13,INDEX(Intervention_Cause_Map!$B$2:$B$62,MATCH(A43,Intervention_Cause_Map!$A$2:$A$62,0)),Exposure_Targets!$M$2:$M$13)</f>
        <v>4.2460000000000004</v>
      </c>
      <c r="I43" s="18">
        <f t="shared" si="2"/>
        <v>0.15399999999999991</v>
      </c>
      <c r="J43" s="18">
        <f t="shared" si="3"/>
        <v>3.4999999999999976E-2</v>
      </c>
      <c r="K43" s="18" t="str">
        <f>INDEX(Effect_Parameters!$F$2:$F$62,MATCH(A43,Effect_Parameters!$B$2:$B$62,0))</f>
        <v>direct_loglinear_rr_per_unit_reduction</v>
      </c>
      <c r="L43" s="18">
        <f>INDEX(Effect_Parameters!$I$2:$I$62,MATCH(A43,Effect_Parameters!$B$2:$B$62,0))</f>
        <v>1.06</v>
      </c>
      <c r="M43" s="18">
        <f>INDEX(Effect_Parameters!$K$2:$K$62,MATCH(A43,Effect_Parameters!$B$2:$B$62,0))</f>
        <v>0</v>
      </c>
      <c r="N43" s="18" t="str">
        <f>INDEX(Effect_Parameters!$N$2:$N$62,MATCH(A43,Effect_Parameters!$B$2:$B$62,0))</f>
        <v>immediate_after_full_implementation</v>
      </c>
      <c r="O43" s="18">
        <f>IF(K43="direct_smoking_prevalence_shift_rr",IF(OR(ISBLANK(G43),ISBLANK(H43),ISBLANK(L43)),"",1-(1+H43*(L43-1))/(1+G43*(L43-1))),IF(K43="tobacco_mortality_prevalence_shift_rr",IF(OR(ISBLANK(G43),ISBLANK(H43),ISBLANK(L43)),"",1-(1+H43*(L43-1)+(G43-H43)*(1-SUMIF(Assumptions!$A$2:$A$37,"tobacco_vascular_erd_ge10_pooled",Assumptions!$B$2:$B$37))*(L43-1))/(1+G43*(L43-1))),IF(K43="direct_loglinear_rr_per_unit_reduction",IF(OR(ISBLANK(L43),ISBLANK(I43)),"",1-1/(L43^I43)),IF(K43="tfa_attributable_ihd_PAF_x_regulatory_gap",IF(ISBLANK(M43),"",M43*SUMIF(Policy_Levers!$B$2:$B$13,INDEX(Intervention_Cause_Map!$B$2:$B$62,MATCH(A43,Intervention_Cause_Map!$A$2:$A$62,0)),Policy_Levers!$Z$2:$Z$13)),""))))</f>
        <v>8.9332709476508398E-3</v>
      </c>
      <c r="P43" s="8" t="str">
        <f>INDEX(Intervention_Cause_Map!$J$2:$J$62,MATCH(A43,Intervention_Cause_Map!$A$2:$A$62,0))</f>
        <v>I_PH_SALT_ENV__C_SHARED</v>
      </c>
      <c r="Q43" s="8" t="str">
        <f>INDEX(Intervention_Cause_Map!$K$2:$K$62,MATCH(A43,Intervention_Cause_Map!$A$2:$A$62,0))</f>
        <v>component-count-once</v>
      </c>
      <c r="R43" s="20">
        <f>SUMIFS(Cost_Components!$S$2:$S$15,Cost_Components!$G$2:$G$15,P43,Cost_Components!$D$2:$D$15,1)</f>
        <v>8.7749999999999998E-3</v>
      </c>
      <c r="S43" s="8" t="str">
        <f>IF(COUNTIF(Effect_Parameters!$B$2:$B$62,A43)&lt;&gt;1,"LINK ERROR",IF(INDEX(Intervention_Cause_Map!$N$2:$N$62,MATCH(A43,Intervention_Cause_Map!$A$2:$A$62,0))=0,"EXPLORATORY - DISABLED",IF(AND(E43="sick",F43="dead"),"R UPDATE REQUIRED","READY FOR MODEL")))</f>
        <v>EXPLORATORY - DISABLED</v>
      </c>
    </row>
    <row r="44" spans="1:19" ht="30" customHeight="1" x14ac:dyDescent="0.25">
      <c r="A44" s="8" t="s">
        <v>322</v>
      </c>
      <c r="B44" s="8" t="s">
        <v>249</v>
      </c>
      <c r="C44" s="8" t="s">
        <v>208</v>
      </c>
      <c r="D44" s="8" t="s">
        <v>195</v>
      </c>
      <c r="E44" s="8" t="s">
        <v>268</v>
      </c>
      <c r="F44" s="8" t="s">
        <v>269</v>
      </c>
      <c r="G44" s="18">
        <f>SUMIF(Exposure_Targets!$B$2:$B$13,INDEX(Intervention_Cause_Map!$B$2:$B$62,MATCH(A44,Intervention_Cause_Map!$A$2:$A$62,0)),Exposure_Targets!$G$2:$G$13)</f>
        <v>3.1699999999999999E-2</v>
      </c>
      <c r="H44" s="18">
        <f>SUMIF(Exposure_Targets!$B$2:$B$13,INDEX(Intervention_Cause_Map!$B$2:$B$62,MATCH(A44,Intervention_Cause_Map!$A$2:$A$62,0)),Exposure_Targets!$M$2:$M$13)</f>
        <v>1.585E-2</v>
      </c>
      <c r="I44" s="18">
        <f t="shared" si="2"/>
        <v>1.585E-2</v>
      </c>
      <c r="J44" s="18">
        <f t="shared" si="3"/>
        <v>0.5</v>
      </c>
      <c r="K44" s="18" t="str">
        <f>INDEX(Effect_Parameters!$F$2:$F$62,MATCH(A44,Effect_Parameters!$B$2:$B$62,0))</f>
        <v>direct_loglinear_rr_per_unit_reduction</v>
      </c>
      <c r="L44" s="18">
        <f>INDEX(Effect_Parameters!$I$2:$I$62,MATCH(A44,Effect_Parameters!$B$2:$B$62,0))</f>
        <v>1.1000000000000001</v>
      </c>
      <c r="M44" s="18" t="str">
        <f>INDEX(Effect_Parameters!$K$2:$K$62,MATCH(A44,Effect_Parameters!$B$2:$B$62,0))</f>
        <v/>
      </c>
      <c r="N44" s="18" t="str">
        <f>INDEX(Effect_Parameters!$N$2:$N$62,MATCH(A44,Effect_Parameters!$B$2:$B$62,0))</f>
        <v>immediate_after_full_implementation</v>
      </c>
      <c r="O44" s="18">
        <f>IF(K44="direct_smoking_prevalence_shift_rr",IF(OR(ISBLANK(G44),ISBLANK(H44),ISBLANK(L44)),"",1-(1+H44*(L44-1))/(1+G44*(L44-1))),IF(K44="tobacco_mortality_prevalence_shift_rr",IF(OR(ISBLANK(G44),ISBLANK(H44),ISBLANK(L44)),"",1-(1+H44*(L44-1)+(G44-H44)*(1-SUMIF(Assumptions!$A$2:$A$37,"tobacco_vascular_erd_ge10_pooled",Assumptions!$B$2:$B$37))*(L44-1))/(1+G44*(L44-1))),IF(K44="direct_loglinear_rr_per_unit_reduction",IF(OR(ISBLANK(L44),ISBLANK(I44)),"",1-1/(L44^I44)),IF(K44="tfa_attributable_ihd_PAF_x_regulatory_gap",IF(ISBLANK(M44),"",M44*SUMIF(Policy_Levers!$B$2:$B$13,INDEX(Intervention_Cause_Map!$B$2:$B$62,MATCH(A44,Intervention_Cause_Map!$A$2:$A$62,0)),Policy_Levers!$Z$2:$Z$13)),""))))</f>
        <v>1.5095258678564649E-3</v>
      </c>
      <c r="P44" s="8" t="str">
        <f>INDEX(Intervention_Cause_Map!$J$2:$J$62,MATCH(A44,Intervention_Cause_Map!$A$2:$A$62,0))</f>
        <v>I_PH_TFA_POLICY__C_SHARED</v>
      </c>
      <c r="Q44" s="8" t="str">
        <f>INDEX(Intervention_Cause_Map!$K$2:$K$62,MATCH(A44,Intervention_Cause_Map!$A$2:$A$62,0))</f>
        <v>shared-count-once</v>
      </c>
      <c r="R44" s="20">
        <f>SUMIFS(Cost_Components!$S$2:$S$15,Cost_Components!$G$2:$G$15,P44,Cost_Components!$D$2:$D$15,1)</f>
        <v>8.6999999999999994E-3</v>
      </c>
      <c r="S44" s="8" t="str">
        <f>IF(COUNTIF(Effect_Parameters!$B$2:$B$62,A44)&lt;&gt;1,"LINK ERROR",IF(INDEX(Intervention_Cause_Map!$N$2:$N$62,MATCH(A44,Intervention_Cause_Map!$A$2:$A$62,0))=0,"EXPLORATORY - DISABLED",IF(AND(E44="sick",F44="dead"),"R UPDATE REQUIRED","READY FOR MODEL")))</f>
        <v>EXPLORATORY - DISABLED</v>
      </c>
    </row>
    <row r="45" spans="1:19" ht="30" customHeight="1" x14ac:dyDescent="0.25">
      <c r="A45" s="8" t="s">
        <v>325</v>
      </c>
      <c r="B45" s="8" t="s">
        <v>252</v>
      </c>
      <c r="C45" s="8" t="s">
        <v>217</v>
      </c>
      <c r="D45" s="8" t="s">
        <v>195</v>
      </c>
      <c r="E45" s="8" t="s">
        <v>268</v>
      </c>
      <c r="F45" s="8" t="s">
        <v>269</v>
      </c>
      <c r="G45" s="18">
        <f>SUMIF(Exposure_Targets!$B$2:$B$13,INDEX(Intervention_Cause_Map!$B$2:$B$62,MATCH(A45,Intervention_Cause_Map!$A$2:$A$62,0)),Exposure_Targets!$G$2:$G$13)</f>
        <v>0.114285714285714</v>
      </c>
      <c r="H45" s="18">
        <f>SUMIF(Exposure_Targets!$B$2:$B$13,INDEX(Intervention_Cause_Map!$B$2:$B$62,MATCH(A45,Intervention_Cause_Map!$A$2:$A$62,0)),Exposure_Targets!$M$2:$M$13)</f>
        <v>9.4285714285714042E-2</v>
      </c>
      <c r="I45" s="18">
        <f t="shared" si="2"/>
        <v>1.9999999999999962E-2</v>
      </c>
      <c r="J45" s="18">
        <f t="shared" si="3"/>
        <v>0.1750000000000001</v>
      </c>
      <c r="K45" s="18" t="str">
        <f>INDEX(Effect_Parameters!$F$2:$F$62,MATCH(A45,Effect_Parameters!$B$2:$B$62,0))</f>
        <v>direct_loglinear_rr_per_unit_reduction</v>
      </c>
      <c r="L45" s="18">
        <f>INDEX(Effect_Parameters!$I$2:$I$62,MATCH(A45,Effect_Parameters!$B$2:$B$62,0))</f>
        <v>1.1399999999999999</v>
      </c>
      <c r="M45" s="18">
        <f>INDEX(Effect_Parameters!$K$2:$K$62,MATCH(A45,Effect_Parameters!$B$2:$B$62,0))</f>
        <v>0</v>
      </c>
      <c r="N45" s="18" t="str">
        <f>INDEX(Effect_Parameters!$N$2:$N$62,MATCH(A45,Effect_Parameters!$B$2:$B$62,0))</f>
        <v>immediate_after_full_implementation</v>
      </c>
      <c r="O45" s="18">
        <f>IF(K45="direct_smoking_prevalence_shift_rr",IF(OR(ISBLANK(G45),ISBLANK(H45),ISBLANK(L45)),"",1-(1+H45*(L45-1))/(1+G45*(L45-1))),IF(K45="tobacco_mortality_prevalence_shift_rr",IF(OR(ISBLANK(G45),ISBLANK(H45),ISBLANK(L45)),"",1-(1+H45*(L45-1)+(G45-H45)*(1-SUMIF(Assumptions!$A$2:$A$37,"tobacco_vascular_erd_ge10_pooled",Assumptions!$B$2:$B$37))*(L45-1))/(1+G45*(L45-1))),IF(K45="direct_loglinear_rr_per_unit_reduction",IF(OR(ISBLANK(L45),ISBLANK(I45)),"",1-1/(L45^I45)),IF(K45="tfa_attributable_ihd_PAF_x_regulatory_gap",IF(ISBLANK(M45),"",M45*SUMIF(Policy_Levers!$B$2:$B$13,INDEX(Intervention_Cause_Map!$B$2:$B$62,MATCH(A45,Intervention_Cause_Map!$A$2:$A$62,0)),Policy_Levers!$Z$2:$Z$13)),""))))</f>
        <v>2.6171345644494526E-3</v>
      </c>
      <c r="P45" s="8" t="str">
        <f>INDEX(Intervention_Cause_Map!$J$2:$J$62,MATCH(A45,Intervention_Cause_Map!$A$2:$A$62,0))</f>
        <v>I_PH_SSB_TAX__C_SHARED</v>
      </c>
      <c r="Q45" s="8" t="str">
        <f>INDEX(Intervention_Cause_Map!$K$2:$K$62,MATCH(A45,Intervention_Cause_Map!$A$2:$A$62,0))</f>
        <v>shared-count-once</v>
      </c>
      <c r="R45" s="20">
        <f>SUMIFS(Cost_Components!$S$2:$S$15,Cost_Components!$G$2:$G$15,P45,Cost_Components!$D$2:$D$15,1)</f>
        <v>0.04</v>
      </c>
      <c r="S45" s="8" t="str">
        <f>IF(COUNTIF(Effect_Parameters!$B$2:$B$62,A45)&lt;&gt;1,"LINK ERROR",IF(INDEX(Intervention_Cause_Map!$N$2:$N$62,MATCH(A45,Intervention_Cause_Map!$A$2:$A$62,0))=0,"EXPLORATORY - DISABLED",IF(AND(E45="sick",F45="dead"),"R UPDATE REQUIRED","READY FOR MODEL")))</f>
        <v>EXPLORATORY - DISABLED</v>
      </c>
    </row>
    <row r="46" spans="1:19" ht="30" customHeight="1" x14ac:dyDescent="0.25">
      <c r="A46" s="8" t="s">
        <v>327</v>
      </c>
      <c r="B46" s="8" t="s">
        <v>252</v>
      </c>
      <c r="C46" s="8" t="s">
        <v>217</v>
      </c>
      <c r="D46" s="8" t="s">
        <v>204</v>
      </c>
      <c r="E46" s="8" t="s">
        <v>268</v>
      </c>
      <c r="F46" s="8" t="s">
        <v>269</v>
      </c>
      <c r="G46" s="18">
        <f>SUMIF(Exposure_Targets!$B$2:$B$13,INDEX(Intervention_Cause_Map!$B$2:$B$62,MATCH(A46,Intervention_Cause_Map!$A$2:$A$62,0)),Exposure_Targets!$G$2:$G$13)</f>
        <v>0.114285714285714</v>
      </c>
      <c r="H46" s="18">
        <f>SUMIF(Exposure_Targets!$B$2:$B$13,INDEX(Intervention_Cause_Map!$B$2:$B$62,MATCH(A46,Intervention_Cause_Map!$A$2:$A$62,0)),Exposure_Targets!$M$2:$M$13)</f>
        <v>9.4285714285714042E-2</v>
      </c>
      <c r="I46" s="18">
        <f t="shared" si="2"/>
        <v>1.9999999999999962E-2</v>
      </c>
      <c r="J46" s="18">
        <f t="shared" si="3"/>
        <v>0.1750000000000001</v>
      </c>
      <c r="K46" s="18" t="str">
        <f>INDEX(Effect_Parameters!$F$2:$F$62,MATCH(A46,Effect_Parameters!$B$2:$B$62,0))</f>
        <v>direct_loglinear_rr_per_unit_reduction</v>
      </c>
      <c r="L46" s="18">
        <f>INDEX(Effect_Parameters!$I$2:$I$62,MATCH(A46,Effect_Parameters!$B$2:$B$62,0))</f>
        <v>1.07</v>
      </c>
      <c r="M46" s="18">
        <f>INDEX(Effect_Parameters!$K$2:$K$62,MATCH(A46,Effect_Parameters!$B$2:$B$62,0))</f>
        <v>0</v>
      </c>
      <c r="N46" s="18" t="str">
        <f>INDEX(Effect_Parameters!$N$2:$N$62,MATCH(A46,Effect_Parameters!$B$2:$B$62,0))</f>
        <v>immediate_after_full_implementation</v>
      </c>
      <c r="O46" s="18">
        <f>IF(K46="direct_smoking_prevalence_shift_rr",IF(OR(ISBLANK(G46),ISBLANK(H46),ISBLANK(L46)),"",1-(1+H46*(L46-1))/(1+G46*(L46-1))),IF(K46="tobacco_mortality_prevalence_shift_rr",IF(OR(ISBLANK(G46),ISBLANK(H46),ISBLANK(L46)),"",1-(1+H46*(L46-1)+(G46-H46)*(1-SUMIF(Assumptions!$A$2:$A$37,"tobacco_vascular_erd_ge10_pooled",Assumptions!$B$2:$B$37))*(L46-1))/(1+G46*(L46-1))),IF(K46="direct_loglinear_rr_per_unit_reduction",IF(OR(ISBLANK(L46),ISBLANK(I46)),"",1-1/(L46^I46)),IF(K46="tfa_attributable_ihd_PAF_x_regulatory_gap",IF(ISBLANK(M46),"",M46*SUMIF(Policy_Levers!$B$2:$B$13,INDEX(Intervention_Cause_Map!$B$2:$B$62,MATCH(A46,Intervention_Cause_Map!$A$2:$A$62,0)),Policy_Levers!$Z$2:$Z$13)),""))))</f>
        <v>1.3522578437547006E-3</v>
      </c>
      <c r="P46" s="8" t="str">
        <f>INDEX(Intervention_Cause_Map!$J$2:$J$62,MATCH(A46,Intervention_Cause_Map!$A$2:$A$62,0))</f>
        <v>I_PH_SSB_TAX__C_SHARED</v>
      </c>
      <c r="Q46" s="8" t="str">
        <f>INDEX(Intervention_Cause_Map!$K$2:$K$62,MATCH(A46,Intervention_Cause_Map!$A$2:$A$62,0))</f>
        <v>shared-count-once</v>
      </c>
      <c r="R46" s="20">
        <f>SUMIFS(Cost_Components!$S$2:$S$15,Cost_Components!$G$2:$G$15,P46,Cost_Components!$D$2:$D$15,1)</f>
        <v>0.04</v>
      </c>
      <c r="S46" s="8" t="str">
        <f>IF(COUNTIF(Effect_Parameters!$B$2:$B$62,A46)&lt;&gt;1,"LINK ERROR",IF(INDEX(Intervention_Cause_Map!$N$2:$N$62,MATCH(A46,Intervention_Cause_Map!$A$2:$A$62,0))=0,"EXPLORATORY - DISABLED",IF(AND(E46="sick",F46="dead"),"R UPDATE REQUIRED","READY FOR MODEL")))</f>
        <v>EXPLORATORY - DISABLED</v>
      </c>
    </row>
    <row r="47" spans="1:19" ht="30" customHeight="1" x14ac:dyDescent="0.25">
      <c r="A47" s="8" t="s">
        <v>328</v>
      </c>
      <c r="B47" s="8" t="s">
        <v>252</v>
      </c>
      <c r="C47" s="8" t="s">
        <v>217</v>
      </c>
      <c r="D47" s="8" t="s">
        <v>212</v>
      </c>
      <c r="E47" s="8" t="s">
        <v>268</v>
      </c>
      <c r="F47" s="8" t="s">
        <v>269</v>
      </c>
      <c r="G47" s="18">
        <f>SUMIF(Exposure_Targets!$B$2:$B$13,INDEX(Intervention_Cause_Map!$B$2:$B$62,MATCH(A47,Intervention_Cause_Map!$A$2:$A$62,0)),Exposure_Targets!$G$2:$G$13)</f>
        <v>0.114285714285714</v>
      </c>
      <c r="H47" s="18">
        <f>SUMIF(Exposure_Targets!$B$2:$B$13,INDEX(Intervention_Cause_Map!$B$2:$B$62,MATCH(A47,Intervention_Cause_Map!$A$2:$A$62,0)),Exposure_Targets!$M$2:$M$13)</f>
        <v>9.4285714285714042E-2</v>
      </c>
      <c r="I47" s="18">
        <f t="shared" si="2"/>
        <v>1.9999999999999962E-2</v>
      </c>
      <c r="J47" s="18">
        <f t="shared" si="3"/>
        <v>0.1750000000000001</v>
      </c>
      <c r="K47" s="18" t="str">
        <f>INDEX(Effect_Parameters!$F$2:$F$62,MATCH(A47,Effect_Parameters!$B$2:$B$62,0))</f>
        <v>direct_loglinear_rr_per_unit_reduction</v>
      </c>
      <c r="L47" s="18">
        <f>INDEX(Effect_Parameters!$I$2:$I$62,MATCH(A47,Effect_Parameters!$B$2:$B$62,0))</f>
        <v>1.08</v>
      </c>
      <c r="M47" s="18">
        <f>INDEX(Effect_Parameters!$K$2:$K$62,MATCH(A47,Effect_Parameters!$B$2:$B$62,0))</f>
        <v>0</v>
      </c>
      <c r="N47" s="18" t="str">
        <f>INDEX(Effect_Parameters!$N$2:$N$62,MATCH(A47,Effect_Parameters!$B$2:$B$62,0))</f>
        <v>immediate_after_full_implementation</v>
      </c>
      <c r="O47" s="18">
        <f>IF(K47="direct_smoking_prevalence_shift_rr",IF(OR(ISBLANK(G47),ISBLANK(H47),ISBLANK(L47)),"",1-(1+H47*(L47-1))/(1+G47*(L47-1))),IF(K47="tobacco_mortality_prevalence_shift_rr",IF(OR(ISBLANK(G47),ISBLANK(H47),ISBLANK(L47)),"",1-(1+H47*(L47-1)+(G47-H47)*(1-SUMIF(Assumptions!$A$2:$A$37,"tobacco_vascular_erd_ge10_pooled",Assumptions!$B$2:$B$37))*(L47-1))/(1+G47*(L47-1))),IF(K47="direct_loglinear_rr_per_unit_reduction",IF(OR(ISBLANK(L47),ISBLANK(I47)),"",1-1/(L47^I47)),IF(K47="tfa_attributable_ihd_PAF_x_regulatory_gap",IF(ISBLANK(M47),"",M47*SUMIF(Policy_Levers!$B$2:$B$13,INDEX(Intervention_Cause_Map!$B$2:$B$62,MATCH(A47,Intervention_Cause_Map!$A$2:$A$62,0)),Policy_Levers!$Z$2:$Z$13)),""))))</f>
        <v>1.538036829905276E-3</v>
      </c>
      <c r="P47" s="8" t="str">
        <f>INDEX(Intervention_Cause_Map!$J$2:$J$62,MATCH(A47,Intervention_Cause_Map!$A$2:$A$62,0))</f>
        <v>I_PH_SSB_TAX__C_SHARED</v>
      </c>
      <c r="Q47" s="8" t="str">
        <f>INDEX(Intervention_Cause_Map!$K$2:$K$62,MATCH(A47,Intervention_Cause_Map!$A$2:$A$62,0))</f>
        <v>shared-count-once</v>
      </c>
      <c r="R47" s="20">
        <f>SUMIFS(Cost_Components!$S$2:$S$15,Cost_Components!$G$2:$G$15,P47,Cost_Components!$D$2:$D$15,1)</f>
        <v>0.04</v>
      </c>
      <c r="S47" s="8" t="str">
        <f>IF(COUNTIF(Effect_Parameters!$B$2:$B$62,A47)&lt;&gt;1,"LINK ERROR",IF(INDEX(Intervention_Cause_Map!$N$2:$N$62,MATCH(A47,Intervention_Cause_Map!$A$2:$A$62,0))=0,"EXPLORATORY - DISABLED",IF(AND(E47="sick",F47="dead"),"R UPDATE REQUIRED","READY FOR MODEL")))</f>
        <v>EXPLORATORY - DISABLED</v>
      </c>
    </row>
    <row r="48" spans="1:19" ht="30" customHeight="1" x14ac:dyDescent="0.25">
      <c r="A48" s="8" t="s">
        <v>330</v>
      </c>
      <c r="B48" s="8" t="s">
        <v>252</v>
      </c>
      <c r="C48" s="8" t="s">
        <v>217</v>
      </c>
      <c r="D48" s="8" t="s">
        <v>221</v>
      </c>
      <c r="E48" s="8" t="s">
        <v>268</v>
      </c>
      <c r="F48" s="8" t="s">
        <v>269</v>
      </c>
      <c r="G48" s="18">
        <f>SUMIF(Exposure_Targets!$B$2:$B$13,INDEX(Intervention_Cause_Map!$B$2:$B$62,MATCH(A48,Intervention_Cause_Map!$A$2:$A$62,0)),Exposure_Targets!$G$2:$G$13)</f>
        <v>0.114285714285714</v>
      </c>
      <c r="H48" s="18">
        <f>SUMIF(Exposure_Targets!$B$2:$B$13,INDEX(Intervention_Cause_Map!$B$2:$B$62,MATCH(A48,Intervention_Cause_Map!$A$2:$A$62,0)),Exposure_Targets!$M$2:$M$13)</f>
        <v>9.4285714285714042E-2</v>
      </c>
      <c r="I48" s="18">
        <f t="shared" si="2"/>
        <v>1.9999999999999962E-2</v>
      </c>
      <c r="J48" s="18">
        <f t="shared" si="3"/>
        <v>0.1750000000000001</v>
      </c>
      <c r="K48" s="18" t="str">
        <f>INDEX(Effect_Parameters!$F$2:$F$62,MATCH(A48,Effect_Parameters!$B$2:$B$62,0))</f>
        <v>direct_loglinear_rr_per_unit_reduction</v>
      </c>
      <c r="L48" s="18">
        <f>INDEX(Effect_Parameters!$I$2:$I$62,MATCH(A48,Effect_Parameters!$B$2:$B$62,0))</f>
        <v>1.1000000000000001</v>
      </c>
      <c r="M48" s="18">
        <f>INDEX(Effect_Parameters!$K$2:$K$62,MATCH(A48,Effect_Parameters!$B$2:$B$62,0))</f>
        <v>0</v>
      </c>
      <c r="N48" s="18" t="str">
        <f>INDEX(Effect_Parameters!$N$2:$N$62,MATCH(A48,Effect_Parameters!$B$2:$B$62,0))</f>
        <v>immediate_after_full_implementation</v>
      </c>
      <c r="O48" s="18">
        <f>IF(K48="direct_smoking_prevalence_shift_rr",IF(OR(ISBLANK(G48),ISBLANK(H48),ISBLANK(L48)),"",1-(1+H48*(L48-1))/(1+G48*(L48-1))),IF(K48="tobacco_mortality_prevalence_shift_rr",IF(OR(ISBLANK(G48),ISBLANK(H48),ISBLANK(L48)),"",1-(1+H48*(L48-1)+(G48-H48)*(1-SUMIF(Assumptions!$A$2:$A$37,"tobacco_vascular_erd_ge10_pooled",Assumptions!$B$2:$B$37))*(L48-1))/(1+G48*(L48-1))),IF(K48="direct_loglinear_rr_per_unit_reduction",IF(OR(ISBLANK(L48),ISBLANK(I48)),"",1-1/(L48^I48)),IF(K48="tfa_attributable_ihd_PAF_x_regulatory_gap",IF(ISBLANK(M48),"",M48*SUMIF(Policy_Levers!$B$2:$B$13,INDEX(Intervention_Cause_Map!$B$2:$B$62,MATCH(A48,Intervention_Cause_Map!$A$2:$A$62,0)),Policy_Levers!$Z$2:$Z$13)),""))))</f>
        <v>1.9043879438626066E-3</v>
      </c>
      <c r="P48" s="8" t="str">
        <f>INDEX(Intervention_Cause_Map!$J$2:$J$62,MATCH(A48,Intervention_Cause_Map!$A$2:$A$62,0))</f>
        <v>I_PH_SSB_TAX__C_SHARED</v>
      </c>
      <c r="Q48" s="8" t="str">
        <f>INDEX(Intervention_Cause_Map!$K$2:$K$62,MATCH(A48,Intervention_Cause_Map!$A$2:$A$62,0))</f>
        <v>shared-count-once</v>
      </c>
      <c r="R48" s="20">
        <f>SUMIFS(Cost_Components!$S$2:$S$15,Cost_Components!$G$2:$G$15,P48,Cost_Components!$D$2:$D$15,1)</f>
        <v>0.04</v>
      </c>
      <c r="S48" s="8" t="str">
        <f>IF(COUNTIF(Effect_Parameters!$B$2:$B$62,A48)&lt;&gt;1,"LINK ERROR",IF(INDEX(Intervention_Cause_Map!$N$2:$N$62,MATCH(A48,Intervention_Cause_Map!$A$2:$A$62,0))=0,"EXPLORATORY - DISABLED",IF(AND(E48="sick",F48="dead"),"R UPDATE REQUIRED","READY FOR MODEL")))</f>
        <v>EXPLORATORY - DISABLED</v>
      </c>
    </row>
    <row r="49" spans="1:19" ht="30" customHeight="1" x14ac:dyDescent="0.25">
      <c r="A49" s="8" t="s">
        <v>332</v>
      </c>
      <c r="B49" s="8" t="s">
        <v>252</v>
      </c>
      <c r="C49" s="8" t="s">
        <v>217</v>
      </c>
      <c r="D49" s="8" t="s">
        <v>233</v>
      </c>
      <c r="E49" s="8" t="s">
        <v>268</v>
      </c>
      <c r="F49" s="8" t="s">
        <v>269</v>
      </c>
      <c r="G49" s="18">
        <f>SUMIF(Exposure_Targets!$B$2:$B$13,INDEX(Intervention_Cause_Map!$B$2:$B$62,MATCH(A49,Intervention_Cause_Map!$A$2:$A$62,0)),Exposure_Targets!$G$2:$G$13)</f>
        <v>0.114285714285714</v>
      </c>
      <c r="H49" s="18">
        <f>SUMIF(Exposure_Targets!$B$2:$B$13,INDEX(Intervention_Cause_Map!$B$2:$B$62,MATCH(A49,Intervention_Cause_Map!$A$2:$A$62,0)),Exposure_Targets!$M$2:$M$13)</f>
        <v>9.4285714285714042E-2</v>
      </c>
      <c r="I49" s="18">
        <f t="shared" si="2"/>
        <v>1.9999999999999962E-2</v>
      </c>
      <c r="J49" s="18">
        <f t="shared" si="3"/>
        <v>0.1750000000000001</v>
      </c>
      <c r="K49" s="18" t="str">
        <f>INDEX(Effect_Parameters!$F$2:$F$62,MATCH(A49,Effect_Parameters!$B$2:$B$62,0))</f>
        <v>direct_loglinear_rr_per_unit_reduction</v>
      </c>
      <c r="L49" s="18">
        <f>INDEX(Effect_Parameters!$I$2:$I$62,MATCH(A49,Effect_Parameters!$B$2:$B$62,0))</f>
        <v>1.18</v>
      </c>
      <c r="M49" s="18">
        <f>INDEX(Effect_Parameters!$K$2:$K$62,MATCH(A49,Effect_Parameters!$B$2:$B$62,0))</f>
        <v>0</v>
      </c>
      <c r="N49" s="18" t="str">
        <f>INDEX(Effect_Parameters!$N$2:$N$62,MATCH(A49,Effect_Parameters!$B$2:$B$62,0))</f>
        <v>immediate_after_full_implementation</v>
      </c>
      <c r="O49" s="18">
        <f>IF(K49="direct_smoking_prevalence_shift_rr",IF(OR(ISBLANK(G49),ISBLANK(H49),ISBLANK(L49)),"",1-(1+H49*(L49-1))/(1+G49*(L49-1))),IF(K49="tobacco_mortality_prevalence_shift_rr",IF(OR(ISBLANK(G49),ISBLANK(H49),ISBLANK(L49)),"",1-(1+H49*(L49-1)+(G49-H49)*(1-SUMIF(Assumptions!$A$2:$A$37,"tobacco_vascular_erd_ge10_pooled",Assumptions!$B$2:$B$37))*(L49-1))/(1+G49*(L49-1))),IF(K49="direct_loglinear_rr_per_unit_reduction",IF(OR(ISBLANK(L49),ISBLANK(I49)),"",1-1/(L49^I49)),IF(K49="tfa_attributable_ihd_PAF_x_regulatory_gap",IF(ISBLANK(M49),"",M49*SUMIF(Policy_Levers!$B$2:$B$13,INDEX(Intervention_Cause_Map!$B$2:$B$62,MATCH(A49,Intervention_Cause_Map!$A$2:$A$62,0)),Policy_Levers!$Z$2:$Z$13)),""))))</f>
        <v>3.3048158043796905E-3</v>
      </c>
      <c r="P49" s="8" t="str">
        <f>INDEX(Intervention_Cause_Map!$J$2:$J$62,MATCH(A49,Intervention_Cause_Map!$A$2:$A$62,0))</f>
        <v>I_PH_SSB_TAX__C_SHARED</v>
      </c>
      <c r="Q49" s="8" t="str">
        <f>INDEX(Intervention_Cause_Map!$K$2:$K$62,MATCH(A49,Intervention_Cause_Map!$A$2:$A$62,0))</f>
        <v>shared-count-once</v>
      </c>
      <c r="R49" s="20">
        <f>SUMIFS(Cost_Components!$S$2:$S$15,Cost_Components!$G$2:$G$15,P49,Cost_Components!$D$2:$D$15,1)</f>
        <v>0.04</v>
      </c>
      <c r="S49" s="8" t="str">
        <f>IF(COUNTIF(Effect_Parameters!$B$2:$B$62,A49)&lt;&gt;1,"LINK ERROR",IF(INDEX(Intervention_Cause_Map!$N$2:$N$62,MATCH(A49,Intervention_Cause_Map!$A$2:$A$62,0))=0,"EXPLORATORY - DISABLED",IF(AND(E49="sick",F49="dead"),"R UPDATE REQUIRED","READY FOR MODEL")))</f>
        <v>EXPLORATORY - DISABLED</v>
      </c>
    </row>
    <row r="50" spans="1:19" ht="14.4" customHeight="1" x14ac:dyDescent="0.3">
      <c r="A50" s="11" t="s">
        <v>333</v>
      </c>
      <c r="B50" s="11" t="s">
        <v>177</v>
      </c>
      <c r="C50" s="11" t="s">
        <v>181</v>
      </c>
      <c r="D50" s="11" t="s">
        <v>195</v>
      </c>
      <c r="E50" s="11" t="s">
        <v>269</v>
      </c>
      <c r="F50" s="11" t="s">
        <v>334</v>
      </c>
      <c r="G50" s="19">
        <f>SUMIF(Exposure_Targets!$B$2:$B$13,INDEX(Intervention_Cause_Map!$B$2:$B$62,MATCH(A50,Intervention_Cause_Map!$A$2:$A$62,0)),Exposure_Targets!$G$2:$G$13)</f>
        <v>0.30299999999999999</v>
      </c>
      <c r="H50" s="19">
        <f>SUMIF(Exposure_Targets!$B$2:$B$13,INDEX(Intervention_Cause_Map!$B$2:$B$62,MATCH(A50,Intervention_Cause_Map!$A$2:$A$62,0)),Exposure_Targets!$M$2:$M$13)</f>
        <v>0.25018200959999998</v>
      </c>
      <c r="I50" s="19">
        <f t="shared" si="2"/>
        <v>5.2817990400000014E-2</v>
      </c>
      <c r="J50" s="19">
        <f>IF(G50=0,0,I50/G50)</f>
        <v>0.17431680000000005</v>
      </c>
      <c r="K50" s="19" t="str">
        <f>INDEX(Effect_Parameters!$F$2:$F$62,MATCH(A50,Effect_Parameters!$B$2:$B$62,0))</f>
        <v>tobacco_mortality_prevalence_shift_rr</v>
      </c>
      <c r="L50" s="19">
        <f>INDEX(Effect_Parameters!$I$2:$I$62,MATCH(A50,Effect_Parameters!$B$2:$B$62,0))</f>
        <v>3</v>
      </c>
      <c r="M50" s="19">
        <f>INDEX(Effect_Parameters!$K$2:$K$62,MATCH(A50,Effect_Parameters!$B$2:$B$62,0))</f>
        <v>0</v>
      </c>
      <c r="N50" s="19" t="str">
        <f>INDEX(Effect_Parameters!$N$2:$N$62,MATCH(A50,Effect_Parameters!$B$2:$B$62,0))</f>
        <v>jha_piecewise_shared_scalar</v>
      </c>
      <c r="O50" s="19">
        <f>IF(K50="direct_smoking_prevalence_shift_rr",IF(OR(ISBLANK(G50),ISBLANK(H50),ISBLANK(L50)),"",1-(1+H50*(L50-1))/(1+G50*(L50-1))),IF(K50="tobacco_mortality_prevalence_shift_rr",IF(OR(ISBLANK(G50),ISBLANK(H50),ISBLANK(L50)),"",1-(1+H50*(L50-1)+(G50-H50)*(1-SUMIF(Assumptions!$A$2:$A$37,"tobacco_vascular_erd_ge10_pooled",Assumptions!$B$2:$B$37))*(L50-1))/(1+G50*(L50-1))),IF(K50="direct_loglinear_rr_per_unit_reduction",IF(OR(ISBLANK(L50),ISBLANK(I50)),"",1-1/(L50^I50)),IF(K50="tfa_attributable_ihd_PAF_x_regulatory_gap",IF(ISBLANK(M50),"",M50*SUMIF(Policy_Levers!$B$2:$B$13,INDEX(Intervention_Cause_Map!$B$2:$B$62,MATCH(A50,Intervention_Cause_Map!$A$2:$A$62,0)),Policy_Levers!$Z$2:$Z$13)),""))))</f>
        <v>5.9280465564134355E-2</v>
      </c>
      <c r="P50" s="11" t="str">
        <f>INDEX(Intervention_Cause_Map!$J$2:$J$62,MATCH(A50,Intervention_Cause_Map!$A$2:$A$62,0))</f>
        <v>I_PH_TOBACCO_TAX__C_SHARED</v>
      </c>
      <c r="Q50" s="11" t="str">
        <f>INDEX(Intervention_Cause_Map!$K$2:$K$62,MATCH(A50,Intervention_Cause_Map!$A$2:$A$62,0))</f>
        <v>shared-count-once</v>
      </c>
      <c r="R50" s="11">
        <f>SUMIFS(Cost_Components!$S$2:$S$15,Cost_Components!$G$2:$G$15,P50,Cost_Components!$D$2:$D$15,1)</f>
        <v>0.04</v>
      </c>
      <c r="S50" s="11" t="str">
        <f>IF(COUNTIF(Effect_Parameters!$B$2:$B$62,A50)&lt;&gt;1,"LINK ERROR",IF(INDEX(Intervention_Cause_Map!$N$2:$N$62,MATCH(A50,Intervention_Cause_Map!$A$2:$A$62,0))=0,"EXPLORATORY - DISABLED",IF(AND(E50="sick",F50="dead"),"R UPDATE REQUIRED","READY FOR MODEL")))</f>
        <v>R UPDATE REQUIRED</v>
      </c>
    </row>
    <row r="51" spans="1:19" ht="14.4" customHeight="1" x14ac:dyDescent="0.3">
      <c r="A51" s="11" t="s">
        <v>336</v>
      </c>
      <c r="B51" s="11" t="s">
        <v>177</v>
      </c>
      <c r="C51" s="11" t="s">
        <v>181</v>
      </c>
      <c r="D51" s="11" t="s">
        <v>204</v>
      </c>
      <c r="E51" s="11" t="s">
        <v>269</v>
      </c>
      <c r="F51" s="11" t="s">
        <v>334</v>
      </c>
      <c r="G51" s="19">
        <f>SUMIF(Exposure_Targets!$B$2:$B$13,INDEX(Intervention_Cause_Map!$B$2:$B$62,MATCH(A51,Intervention_Cause_Map!$A$2:$A$62,0)),Exposure_Targets!$G$2:$G$13)</f>
        <v>0.30299999999999999</v>
      </c>
      <c r="H51" s="19">
        <f>SUMIF(Exposure_Targets!$B$2:$B$13,INDEX(Intervention_Cause_Map!$B$2:$B$62,MATCH(A51,Intervention_Cause_Map!$A$2:$A$62,0)),Exposure_Targets!$M$2:$M$13)</f>
        <v>0.25018200959999998</v>
      </c>
      <c r="I51" s="19">
        <f t="shared" si="2"/>
        <v>5.2817990400000014E-2</v>
      </c>
      <c r="J51" s="19">
        <f t="shared" si="3"/>
        <v>0.17431680000000005</v>
      </c>
      <c r="K51" s="19" t="str">
        <f>INDEX(Effect_Parameters!$F$2:$F$62,MATCH(A51,Effect_Parameters!$B$2:$B$62,0))</f>
        <v>tobacco_mortality_prevalence_shift_rr</v>
      </c>
      <c r="L51" s="19">
        <f>INDEX(Effect_Parameters!$I$2:$I$62,MATCH(A51,Effect_Parameters!$B$2:$B$62,0))</f>
        <v>3</v>
      </c>
      <c r="M51" s="19">
        <f>INDEX(Effect_Parameters!$K$2:$K$62,MATCH(A51,Effect_Parameters!$B$2:$B$62,0))</f>
        <v>0</v>
      </c>
      <c r="N51" s="19" t="str">
        <f>INDEX(Effect_Parameters!$N$2:$N$62,MATCH(A51,Effect_Parameters!$B$2:$B$62,0))</f>
        <v>jha_piecewise_shared_scalar</v>
      </c>
      <c r="O51" s="19">
        <f>IF(K51="direct_smoking_prevalence_shift_rr",IF(OR(ISBLANK(G51),ISBLANK(H51),ISBLANK(L51)),"",1-(1+H51*(L51-1))/(1+G51*(L51-1))),IF(K51="tobacco_mortality_prevalence_shift_rr",IF(OR(ISBLANK(G51),ISBLANK(H51),ISBLANK(L51)),"",1-(1+H51*(L51-1)+(G51-H51)*(1-SUMIF(Assumptions!$A$2:$A$37,"tobacco_vascular_erd_ge10_pooled",Assumptions!$B$2:$B$37))*(L51-1))/(1+G51*(L51-1))),IF(K51="direct_loglinear_rr_per_unit_reduction",IF(OR(ISBLANK(L51),ISBLANK(I51)),"",1-1/(L51^I51)),IF(K51="tfa_attributable_ihd_PAF_x_regulatory_gap",IF(ISBLANK(M51),"",M51*SUMIF(Policy_Levers!$B$2:$B$13,INDEX(Intervention_Cause_Map!$B$2:$B$62,MATCH(A51,Intervention_Cause_Map!$A$2:$A$62,0)),Policy_Levers!$Z$2:$Z$13)),""))))</f>
        <v>5.9280465564134355E-2</v>
      </c>
      <c r="P51" s="11" t="str">
        <f>INDEX(Intervention_Cause_Map!$J$2:$J$62,MATCH(A51,Intervention_Cause_Map!$A$2:$A$62,0))</f>
        <v>I_PH_TOBACCO_TAX__C_SHARED</v>
      </c>
      <c r="Q51" s="11" t="str">
        <f>INDEX(Intervention_Cause_Map!$K$2:$K$62,MATCH(A51,Intervention_Cause_Map!$A$2:$A$62,0))</f>
        <v>shared-count-once</v>
      </c>
      <c r="R51" s="11">
        <f>SUMIFS(Cost_Components!$S$2:$S$15,Cost_Components!$G$2:$G$15,P51,Cost_Components!$D$2:$D$15,1)</f>
        <v>0.04</v>
      </c>
      <c r="S51" s="11" t="str">
        <f>IF(COUNTIF(Effect_Parameters!$B$2:$B$62,A51)&lt;&gt;1,"LINK ERROR",IF(INDEX(Intervention_Cause_Map!$N$2:$N$62,MATCH(A51,Intervention_Cause_Map!$A$2:$A$62,0))=0,"EXPLORATORY - DISABLED",IF(AND(E51="sick",F51="dead"),"R UPDATE REQUIRED","READY FOR MODEL")))</f>
        <v>R UPDATE REQUIRED</v>
      </c>
    </row>
    <row r="52" spans="1:19" ht="14.4" customHeight="1" x14ac:dyDescent="0.3">
      <c r="A52" s="11" t="s">
        <v>337</v>
      </c>
      <c r="B52" s="11" t="s">
        <v>177</v>
      </c>
      <c r="C52" s="11" t="s">
        <v>181</v>
      </c>
      <c r="D52" s="11" t="s">
        <v>212</v>
      </c>
      <c r="E52" s="11" t="s">
        <v>269</v>
      </c>
      <c r="F52" s="11" t="s">
        <v>334</v>
      </c>
      <c r="G52" s="19">
        <f>SUMIF(Exposure_Targets!$B$2:$B$13,INDEX(Intervention_Cause_Map!$B$2:$B$62,MATCH(A52,Intervention_Cause_Map!$A$2:$A$62,0)),Exposure_Targets!$G$2:$G$13)</f>
        <v>0.30299999999999999</v>
      </c>
      <c r="H52" s="19">
        <f>SUMIF(Exposure_Targets!$B$2:$B$13,INDEX(Intervention_Cause_Map!$B$2:$B$62,MATCH(A52,Intervention_Cause_Map!$A$2:$A$62,0)),Exposure_Targets!$M$2:$M$13)</f>
        <v>0.25018200959999998</v>
      </c>
      <c r="I52" s="19">
        <f t="shared" si="2"/>
        <v>5.2817990400000014E-2</v>
      </c>
      <c r="J52" s="19">
        <f t="shared" si="3"/>
        <v>0.17431680000000005</v>
      </c>
      <c r="K52" s="19" t="str">
        <f>INDEX(Effect_Parameters!$F$2:$F$62,MATCH(A52,Effect_Parameters!$B$2:$B$62,0))</f>
        <v>tobacco_mortality_prevalence_shift_rr</v>
      </c>
      <c r="L52" s="19">
        <f>INDEX(Effect_Parameters!$I$2:$I$62,MATCH(A52,Effect_Parameters!$B$2:$B$62,0))</f>
        <v>3</v>
      </c>
      <c r="M52" s="19">
        <f>INDEX(Effect_Parameters!$K$2:$K$62,MATCH(A52,Effect_Parameters!$B$2:$B$62,0))</f>
        <v>0</v>
      </c>
      <c r="N52" s="19" t="str">
        <f>INDEX(Effect_Parameters!$N$2:$N$62,MATCH(A52,Effect_Parameters!$B$2:$B$62,0))</f>
        <v>jha_piecewise_shared_scalar</v>
      </c>
      <c r="O52" s="19">
        <f>IF(K52="direct_smoking_prevalence_shift_rr",IF(OR(ISBLANK(G52),ISBLANK(H52),ISBLANK(L52)),"",1-(1+H52*(L52-1))/(1+G52*(L52-1))),IF(K52="tobacco_mortality_prevalence_shift_rr",IF(OR(ISBLANK(G52),ISBLANK(H52),ISBLANK(L52)),"",1-(1+H52*(L52-1)+(G52-H52)*(1-SUMIF(Assumptions!$A$2:$A$37,"tobacco_vascular_erd_ge10_pooled",Assumptions!$B$2:$B$37))*(L52-1))/(1+G52*(L52-1))),IF(K52="direct_loglinear_rr_per_unit_reduction",IF(OR(ISBLANK(L52),ISBLANK(I52)),"",1-1/(L52^I52)),IF(K52="tfa_attributable_ihd_PAF_x_regulatory_gap",IF(ISBLANK(M52),"",M52*SUMIF(Policy_Levers!$B$2:$B$13,INDEX(Intervention_Cause_Map!$B$2:$B$62,MATCH(A52,Intervention_Cause_Map!$A$2:$A$62,0)),Policy_Levers!$Z$2:$Z$13)),""))))</f>
        <v>5.9280465564134355E-2</v>
      </c>
      <c r="P52" s="11" t="str">
        <f>INDEX(Intervention_Cause_Map!$J$2:$J$62,MATCH(A52,Intervention_Cause_Map!$A$2:$A$62,0))</f>
        <v>I_PH_TOBACCO_TAX__C_SHARED</v>
      </c>
      <c r="Q52" s="11" t="str">
        <f>INDEX(Intervention_Cause_Map!$K$2:$K$62,MATCH(A52,Intervention_Cause_Map!$A$2:$A$62,0))</f>
        <v>shared-count-once</v>
      </c>
      <c r="R52" s="11">
        <f>SUMIFS(Cost_Components!$S$2:$S$15,Cost_Components!$G$2:$G$15,P52,Cost_Components!$D$2:$D$15,1)</f>
        <v>0.04</v>
      </c>
      <c r="S52" s="11" t="str">
        <f>IF(COUNTIF(Effect_Parameters!$B$2:$B$62,A52)&lt;&gt;1,"LINK ERROR",IF(INDEX(Intervention_Cause_Map!$N$2:$N$62,MATCH(A52,Intervention_Cause_Map!$A$2:$A$62,0))=0,"EXPLORATORY - DISABLED",IF(AND(E52="sick",F52="dead"),"R UPDATE REQUIRED","READY FOR MODEL")))</f>
        <v>R UPDATE REQUIRED</v>
      </c>
    </row>
    <row r="53" spans="1:19" ht="28.8" customHeight="1" x14ac:dyDescent="0.3">
      <c r="A53" s="11" t="s">
        <v>338</v>
      </c>
      <c r="B53" s="11" t="s">
        <v>198</v>
      </c>
      <c r="C53" s="11" t="s">
        <v>181</v>
      </c>
      <c r="D53" s="11" t="s">
        <v>195</v>
      </c>
      <c r="E53" s="11" t="s">
        <v>269</v>
      </c>
      <c r="F53" s="11" t="s">
        <v>334</v>
      </c>
      <c r="G53" s="19">
        <f>SUMIF(Exposure_Targets!$B$2:$B$13,INDEX(Intervention_Cause_Map!$B$2:$B$62,MATCH(A53,Intervention_Cause_Map!$A$2:$A$62,0)),Exposure_Targets!$G$2:$G$13)</f>
        <v>0.30299999999999999</v>
      </c>
      <c r="H53" s="19">
        <f>SUMIF(Exposure_Targets!$B$2:$B$13,INDEX(Intervention_Cause_Map!$B$2:$B$62,MATCH(A53,Intervention_Cause_Map!$A$2:$A$62,0)),Exposure_Targets!$M$2:$M$13)</f>
        <v>0.28633499999999995</v>
      </c>
      <c r="I53" s="19">
        <f t="shared" si="2"/>
        <v>1.6665000000000041E-2</v>
      </c>
      <c r="J53" s="19">
        <f t="shared" si="3"/>
        <v>5.5000000000000139E-2</v>
      </c>
      <c r="K53" s="19" t="str">
        <f>INDEX(Effect_Parameters!$F$2:$F$62,MATCH(A53,Effect_Parameters!$B$2:$B$62,0))</f>
        <v>tobacco_mortality_prevalence_shift_rr</v>
      </c>
      <c r="L53" s="19">
        <f>INDEX(Effect_Parameters!$I$2:$I$62,MATCH(A53,Effect_Parameters!$B$2:$B$62,0))</f>
        <v>3</v>
      </c>
      <c r="M53" s="19">
        <f>INDEX(Effect_Parameters!$K$2:$K$62,MATCH(A53,Effect_Parameters!$B$2:$B$62,0))</f>
        <v>0</v>
      </c>
      <c r="N53" s="19" t="str">
        <f>INDEX(Effect_Parameters!$N$2:$N$62,MATCH(A53,Effect_Parameters!$B$2:$B$62,0))</f>
        <v>jha_piecewise_shared_scalar</v>
      </c>
      <c r="O53" s="19">
        <f>IF(K53="direct_smoking_prevalence_shift_rr",IF(OR(ISBLANK(G53),ISBLANK(H53),ISBLANK(L53)),"",1-(1+H53*(L53-1))/(1+G53*(L53-1))),IF(K53="tobacco_mortality_prevalence_shift_rr",IF(OR(ISBLANK(G53),ISBLANK(H53),ISBLANK(L53)),"",1-(1+H53*(L53-1)+(G53-H53)*(1-SUMIF(Assumptions!$A$2:$A$37,"tobacco_vascular_erd_ge10_pooled",Assumptions!$B$2:$B$37))*(L53-1))/(1+G53*(L53-1))),IF(K53="direct_loglinear_rr_per_unit_reduction",IF(OR(ISBLANK(L53),ISBLANK(I53)),"",1-1/(L53^I53)),IF(K53="tfa_attributable_ihd_PAF_x_regulatory_gap",IF(ISBLANK(M53),"",M53*SUMIF(Policy_Levers!$B$2:$B$13,INDEX(Intervention_Cause_Map!$B$2:$B$62,MATCH(A53,Intervention_Cause_Map!$A$2:$A$62,0)),Policy_Levers!$Z$2:$Z$13)),""))))</f>
        <v>1.8704023972602624E-2</v>
      </c>
      <c r="P53" s="11" t="str">
        <f>INDEX(Intervention_Cause_Map!$J$2:$J$62,MATCH(A53,Intervention_Cause_Map!$A$2:$A$62,0))</f>
        <v>I_PH_TOB_CLEAN_AIR__C_SHARED</v>
      </c>
      <c r="Q53" s="11" t="str">
        <f>INDEX(Intervention_Cause_Map!$K$2:$K$62,MATCH(A53,Intervention_Cause_Map!$A$2:$A$62,0))</f>
        <v>component-count-once</v>
      </c>
      <c r="R53" s="11">
        <f>SUMIFS(Cost_Components!$S$2:$S$15,Cost_Components!$G$2:$G$15,P53,Cost_Components!$D$2:$D$15,1)</f>
        <v>7.6999999999999994E-3</v>
      </c>
      <c r="S53" s="11" t="str">
        <f>IF(COUNTIF(Effect_Parameters!$B$2:$B$62,A53)&lt;&gt;1,"LINK ERROR",IF(INDEX(Intervention_Cause_Map!$N$2:$N$62,MATCH(A53,Intervention_Cause_Map!$A$2:$A$62,0))=0,"EXPLORATORY - DISABLED",IF(AND(E53="sick",F53="dead"),"R UPDATE REQUIRED","READY FOR MODEL")))</f>
        <v>R UPDATE REQUIRED</v>
      </c>
    </row>
    <row r="54" spans="1:19" ht="14.4" customHeight="1" x14ac:dyDescent="0.3">
      <c r="A54" s="11" t="s">
        <v>339</v>
      </c>
      <c r="B54" s="11" t="s">
        <v>198</v>
      </c>
      <c r="C54" s="11" t="s">
        <v>181</v>
      </c>
      <c r="D54" s="11" t="s">
        <v>204</v>
      </c>
      <c r="E54" s="11" t="s">
        <v>269</v>
      </c>
      <c r="F54" s="11" t="s">
        <v>334</v>
      </c>
      <c r="G54" s="19">
        <f>SUMIF(Exposure_Targets!$B$2:$B$13,INDEX(Intervention_Cause_Map!$B$2:$B$62,MATCH(A54,Intervention_Cause_Map!$A$2:$A$62,0)),Exposure_Targets!$G$2:$G$13)</f>
        <v>0.30299999999999999</v>
      </c>
      <c r="H54" s="19">
        <f>SUMIF(Exposure_Targets!$B$2:$B$13,INDEX(Intervention_Cause_Map!$B$2:$B$62,MATCH(A54,Intervention_Cause_Map!$A$2:$A$62,0)),Exposure_Targets!$M$2:$M$13)</f>
        <v>0.28633499999999995</v>
      </c>
      <c r="I54" s="19">
        <f t="shared" si="2"/>
        <v>1.6665000000000041E-2</v>
      </c>
      <c r="J54" s="19">
        <f t="shared" si="3"/>
        <v>5.5000000000000139E-2</v>
      </c>
      <c r="K54" s="19" t="str">
        <f>INDEX(Effect_Parameters!$F$2:$F$62,MATCH(A54,Effect_Parameters!$B$2:$B$62,0))</f>
        <v>tobacco_mortality_prevalence_shift_rr</v>
      </c>
      <c r="L54" s="19">
        <f>INDEX(Effect_Parameters!$I$2:$I$62,MATCH(A54,Effect_Parameters!$B$2:$B$62,0))</f>
        <v>3</v>
      </c>
      <c r="M54" s="19">
        <f>INDEX(Effect_Parameters!$K$2:$K$62,MATCH(A54,Effect_Parameters!$B$2:$B$62,0))</f>
        <v>0</v>
      </c>
      <c r="N54" s="19" t="str">
        <f>INDEX(Effect_Parameters!$N$2:$N$62,MATCH(A54,Effect_Parameters!$B$2:$B$62,0))</f>
        <v>jha_piecewise_shared_scalar</v>
      </c>
      <c r="O54" s="19">
        <f>IF(K54="direct_smoking_prevalence_shift_rr",IF(OR(ISBLANK(G54),ISBLANK(H54),ISBLANK(L54)),"",1-(1+H54*(L54-1))/(1+G54*(L54-1))),IF(K54="tobacco_mortality_prevalence_shift_rr",IF(OR(ISBLANK(G54),ISBLANK(H54),ISBLANK(L54)),"",1-(1+H54*(L54-1)+(G54-H54)*(1-SUMIF(Assumptions!$A$2:$A$37,"tobacco_vascular_erd_ge10_pooled",Assumptions!$B$2:$B$37))*(L54-1))/(1+G54*(L54-1))),IF(K54="direct_loglinear_rr_per_unit_reduction",IF(OR(ISBLANK(L54),ISBLANK(I54)),"",1-1/(L54^I54)),IF(K54="tfa_attributable_ihd_PAF_x_regulatory_gap",IF(ISBLANK(M54),"",M54*SUMIF(Policy_Levers!$B$2:$B$13,INDEX(Intervention_Cause_Map!$B$2:$B$62,MATCH(A54,Intervention_Cause_Map!$A$2:$A$62,0)),Policy_Levers!$Z$2:$Z$13)),""))))</f>
        <v>1.8704023972602624E-2</v>
      </c>
      <c r="P54" s="11" t="str">
        <f>INDEX(Intervention_Cause_Map!$J$2:$J$62,MATCH(A54,Intervention_Cause_Map!$A$2:$A$62,0))</f>
        <v>I_PH_TOB_CLEAN_AIR__C_SHARED</v>
      </c>
      <c r="Q54" s="11" t="str">
        <f>INDEX(Intervention_Cause_Map!$K$2:$K$62,MATCH(A54,Intervention_Cause_Map!$A$2:$A$62,0))</f>
        <v>component-count-once</v>
      </c>
      <c r="R54" s="11">
        <f>SUMIFS(Cost_Components!$S$2:$S$15,Cost_Components!$G$2:$G$15,P54,Cost_Components!$D$2:$D$15,1)</f>
        <v>7.6999999999999994E-3</v>
      </c>
      <c r="S54" s="11" t="str">
        <f>IF(COUNTIF(Effect_Parameters!$B$2:$B$62,A54)&lt;&gt;1,"LINK ERROR",IF(INDEX(Intervention_Cause_Map!$N$2:$N$62,MATCH(A54,Intervention_Cause_Map!$A$2:$A$62,0))=0,"EXPLORATORY - DISABLED",IF(AND(E54="sick",F54="dead"),"R UPDATE REQUIRED","READY FOR MODEL")))</f>
        <v>R UPDATE REQUIRED</v>
      </c>
    </row>
    <row r="55" spans="1:19" ht="28.8" customHeight="1" x14ac:dyDescent="0.3">
      <c r="A55" s="11" t="s">
        <v>340</v>
      </c>
      <c r="B55" s="11" t="s">
        <v>198</v>
      </c>
      <c r="C55" s="11" t="s">
        <v>181</v>
      </c>
      <c r="D55" s="11" t="s">
        <v>212</v>
      </c>
      <c r="E55" s="11" t="s">
        <v>269</v>
      </c>
      <c r="F55" s="11" t="s">
        <v>334</v>
      </c>
      <c r="G55" s="19">
        <f>SUMIF(Exposure_Targets!$B$2:$B$13,INDEX(Intervention_Cause_Map!$B$2:$B$62,MATCH(A55,Intervention_Cause_Map!$A$2:$A$62,0)),Exposure_Targets!$G$2:$G$13)</f>
        <v>0.30299999999999999</v>
      </c>
      <c r="H55" s="19">
        <f>SUMIF(Exposure_Targets!$B$2:$B$13,INDEX(Intervention_Cause_Map!$B$2:$B$62,MATCH(A55,Intervention_Cause_Map!$A$2:$A$62,0)),Exposure_Targets!$M$2:$M$13)</f>
        <v>0.28633499999999995</v>
      </c>
      <c r="I55" s="19">
        <f t="shared" si="2"/>
        <v>1.6665000000000041E-2</v>
      </c>
      <c r="J55" s="19">
        <f t="shared" si="3"/>
        <v>5.5000000000000139E-2</v>
      </c>
      <c r="K55" s="19" t="str">
        <f>INDEX(Effect_Parameters!$F$2:$F$62,MATCH(A55,Effect_Parameters!$B$2:$B$62,0))</f>
        <v>tobacco_mortality_prevalence_shift_rr</v>
      </c>
      <c r="L55" s="19">
        <f>INDEX(Effect_Parameters!$I$2:$I$62,MATCH(A55,Effect_Parameters!$B$2:$B$62,0))</f>
        <v>3</v>
      </c>
      <c r="M55" s="19">
        <f>INDEX(Effect_Parameters!$K$2:$K$62,MATCH(A55,Effect_Parameters!$B$2:$B$62,0))</f>
        <v>0</v>
      </c>
      <c r="N55" s="19" t="str">
        <f>INDEX(Effect_Parameters!$N$2:$N$62,MATCH(A55,Effect_Parameters!$B$2:$B$62,0))</f>
        <v>jha_piecewise_shared_scalar</v>
      </c>
      <c r="O55" s="19">
        <f>IF(K55="direct_smoking_prevalence_shift_rr",IF(OR(ISBLANK(G55),ISBLANK(H55),ISBLANK(L55)),"",1-(1+H55*(L55-1))/(1+G55*(L55-1))),IF(K55="tobacco_mortality_prevalence_shift_rr",IF(OR(ISBLANK(G55),ISBLANK(H55),ISBLANK(L55)),"",1-(1+H55*(L55-1)+(G55-H55)*(1-SUMIF(Assumptions!$A$2:$A$37,"tobacco_vascular_erd_ge10_pooled",Assumptions!$B$2:$B$37))*(L55-1))/(1+G55*(L55-1))),IF(K55="direct_loglinear_rr_per_unit_reduction",IF(OR(ISBLANK(L55),ISBLANK(I55)),"",1-1/(L55^I55)),IF(K55="tfa_attributable_ihd_PAF_x_regulatory_gap",IF(ISBLANK(M55),"",M55*SUMIF(Policy_Levers!$B$2:$B$13,INDEX(Intervention_Cause_Map!$B$2:$B$62,MATCH(A55,Intervention_Cause_Map!$A$2:$A$62,0)),Policy_Levers!$Z$2:$Z$13)),""))))</f>
        <v>1.8704023972602624E-2</v>
      </c>
      <c r="P55" s="11" t="str">
        <f>INDEX(Intervention_Cause_Map!$J$2:$J$62,MATCH(A55,Intervention_Cause_Map!$A$2:$A$62,0))</f>
        <v>I_PH_TOB_CLEAN_AIR__C_SHARED</v>
      </c>
      <c r="Q55" s="11" t="str">
        <f>INDEX(Intervention_Cause_Map!$K$2:$K$62,MATCH(A55,Intervention_Cause_Map!$A$2:$A$62,0))</f>
        <v>component-count-once</v>
      </c>
      <c r="R55" s="11">
        <f>SUMIFS(Cost_Components!$S$2:$S$15,Cost_Components!$G$2:$G$15,P55,Cost_Components!$D$2:$D$15,1)</f>
        <v>7.6999999999999994E-3</v>
      </c>
      <c r="S55" s="11" t="str">
        <f>IF(COUNTIF(Effect_Parameters!$B$2:$B$62,A55)&lt;&gt;1,"LINK ERROR",IF(INDEX(Intervention_Cause_Map!$N$2:$N$62,MATCH(A55,Intervention_Cause_Map!$A$2:$A$62,0))=0,"EXPLORATORY - DISABLED",IF(AND(E55="sick",F55="dead"),"R UPDATE REQUIRED","READY FOR MODEL")))</f>
        <v>R UPDATE REQUIRED</v>
      </c>
    </row>
    <row r="56" spans="1:19" ht="14.4" customHeight="1" x14ac:dyDescent="0.3">
      <c r="A56" s="11" t="s">
        <v>341</v>
      </c>
      <c r="B56" s="11" t="s">
        <v>206</v>
      </c>
      <c r="C56" s="11" t="s">
        <v>181</v>
      </c>
      <c r="D56" s="11" t="s">
        <v>195</v>
      </c>
      <c r="E56" s="11" t="s">
        <v>269</v>
      </c>
      <c r="F56" s="11" t="s">
        <v>334</v>
      </c>
      <c r="G56" s="19">
        <f>SUMIF(Exposure_Targets!$B$2:$B$13,INDEX(Intervention_Cause_Map!$B$2:$B$62,MATCH(A56,Intervention_Cause_Map!$A$2:$A$62,0)),Exposure_Targets!$G$2:$G$13)</f>
        <v>0.30299999999999999</v>
      </c>
      <c r="H56" s="19">
        <f>SUMIF(Exposure_Targets!$B$2:$B$13,INDEX(Intervention_Cause_Map!$B$2:$B$62,MATCH(A56,Intervention_Cause_Map!$A$2:$A$62,0)),Exposure_Targets!$M$2:$M$13)</f>
        <v>0.28330500000000003</v>
      </c>
      <c r="I56" s="19">
        <f t="shared" si="2"/>
        <v>1.9694999999999963E-2</v>
      </c>
      <c r="J56" s="19">
        <f t="shared" si="3"/>
        <v>6.4999999999999877E-2</v>
      </c>
      <c r="K56" s="19" t="str">
        <f>INDEX(Effect_Parameters!$F$2:$F$62,MATCH(A56,Effect_Parameters!$B$2:$B$62,0))</f>
        <v>tobacco_mortality_prevalence_shift_rr</v>
      </c>
      <c r="L56" s="19">
        <f>INDEX(Effect_Parameters!$I$2:$I$62,MATCH(A56,Effect_Parameters!$B$2:$B$62,0))</f>
        <v>3</v>
      </c>
      <c r="M56" s="19">
        <f>INDEX(Effect_Parameters!$K$2:$K$62,MATCH(A56,Effect_Parameters!$B$2:$B$62,0))</f>
        <v>0</v>
      </c>
      <c r="N56" s="19" t="str">
        <f>INDEX(Effect_Parameters!$N$2:$N$62,MATCH(A56,Effect_Parameters!$B$2:$B$62,0))</f>
        <v>jha_piecewise_shared_scalar</v>
      </c>
      <c r="O56" s="19">
        <f>IF(K56="direct_smoking_prevalence_shift_rr",IF(OR(ISBLANK(G56),ISBLANK(H56),ISBLANK(L56)),"",1-(1+H56*(L56-1))/(1+G56*(L56-1))),IF(K56="tobacco_mortality_prevalence_shift_rr",IF(OR(ISBLANK(G56),ISBLANK(H56),ISBLANK(L56)),"",1-(1+H56*(L56-1)+(G56-H56)*(1-SUMIF(Assumptions!$A$2:$A$37,"tobacco_vascular_erd_ge10_pooled",Assumptions!$B$2:$B$37))*(L56-1))/(1+G56*(L56-1))),IF(K56="direct_loglinear_rr_per_unit_reduction",IF(OR(ISBLANK(L56),ISBLANK(I56)),"",1-1/(L56^I56)),IF(K56="tfa_attributable_ihd_PAF_x_regulatory_gap",IF(ISBLANK(M56),"",M56*SUMIF(Policy_Levers!$B$2:$B$13,INDEX(Intervention_Cause_Map!$B$2:$B$62,MATCH(A56,Intervention_Cause_Map!$A$2:$A$62,0)),Policy_Levers!$Z$2:$Z$13)),""))))</f>
        <v>2.2104755603984949E-2</v>
      </c>
      <c r="P56" s="11" t="str">
        <f>INDEX(Intervention_Cause_Map!$J$2:$J$62,MATCH(A56,Intervention_Cause_Map!$A$2:$A$62,0))</f>
        <v>I_PH_TOB_MEDIA__C_SHARED</v>
      </c>
      <c r="Q56" s="11" t="str">
        <f>INDEX(Intervention_Cause_Map!$K$2:$K$62,MATCH(A56,Intervention_Cause_Map!$A$2:$A$62,0))</f>
        <v>component-count-once</v>
      </c>
      <c r="R56" s="11">
        <f>SUMIFS(Cost_Components!$S$2:$S$15,Cost_Components!$G$2:$G$15,P56,Cost_Components!$D$2:$D$15,1)</f>
        <v>7.6999999999999994E-3</v>
      </c>
      <c r="S56" s="11" t="str">
        <f>IF(COUNTIF(Effect_Parameters!$B$2:$B$62,A56)&lt;&gt;1,"LINK ERROR",IF(INDEX(Intervention_Cause_Map!$N$2:$N$62,MATCH(A56,Intervention_Cause_Map!$A$2:$A$62,0))=0,"EXPLORATORY - DISABLED",IF(AND(E56="sick",F56="dead"),"R UPDATE REQUIRED","READY FOR MODEL")))</f>
        <v>R UPDATE REQUIRED</v>
      </c>
    </row>
    <row r="57" spans="1:19" ht="14.4" customHeight="1" x14ac:dyDescent="0.3">
      <c r="A57" s="11" t="s">
        <v>342</v>
      </c>
      <c r="B57" s="11" t="s">
        <v>206</v>
      </c>
      <c r="C57" s="11" t="s">
        <v>181</v>
      </c>
      <c r="D57" s="11" t="s">
        <v>204</v>
      </c>
      <c r="E57" s="11" t="s">
        <v>269</v>
      </c>
      <c r="F57" s="11" t="s">
        <v>334</v>
      </c>
      <c r="G57" s="19">
        <f>SUMIF(Exposure_Targets!$B$2:$B$13,INDEX(Intervention_Cause_Map!$B$2:$B$62,MATCH(A57,Intervention_Cause_Map!$A$2:$A$62,0)),Exposure_Targets!$G$2:$G$13)</f>
        <v>0.30299999999999999</v>
      </c>
      <c r="H57" s="19">
        <f>SUMIF(Exposure_Targets!$B$2:$B$13,INDEX(Intervention_Cause_Map!$B$2:$B$62,MATCH(A57,Intervention_Cause_Map!$A$2:$A$62,0)),Exposure_Targets!$M$2:$M$13)</f>
        <v>0.28330500000000003</v>
      </c>
      <c r="I57" s="19">
        <f t="shared" si="2"/>
        <v>1.9694999999999963E-2</v>
      </c>
      <c r="J57" s="19">
        <f t="shared" si="3"/>
        <v>6.4999999999999877E-2</v>
      </c>
      <c r="K57" s="19" t="str">
        <f>INDEX(Effect_Parameters!$F$2:$F$62,MATCH(A57,Effect_Parameters!$B$2:$B$62,0))</f>
        <v>tobacco_mortality_prevalence_shift_rr</v>
      </c>
      <c r="L57" s="19">
        <f>INDEX(Effect_Parameters!$I$2:$I$62,MATCH(A57,Effect_Parameters!$B$2:$B$62,0))</f>
        <v>3</v>
      </c>
      <c r="M57" s="19">
        <f>INDEX(Effect_Parameters!$K$2:$K$62,MATCH(A57,Effect_Parameters!$B$2:$B$62,0))</f>
        <v>0</v>
      </c>
      <c r="N57" s="19" t="str">
        <f>INDEX(Effect_Parameters!$N$2:$N$62,MATCH(A57,Effect_Parameters!$B$2:$B$62,0))</f>
        <v>jha_piecewise_shared_scalar</v>
      </c>
      <c r="O57" s="19">
        <f>IF(K57="direct_smoking_prevalence_shift_rr",IF(OR(ISBLANK(G57),ISBLANK(H57),ISBLANK(L57)),"",1-(1+H57*(L57-1))/(1+G57*(L57-1))),IF(K57="tobacco_mortality_prevalence_shift_rr",IF(OR(ISBLANK(G57),ISBLANK(H57),ISBLANK(L57)),"",1-(1+H57*(L57-1)+(G57-H57)*(1-SUMIF(Assumptions!$A$2:$A$37,"tobacco_vascular_erd_ge10_pooled",Assumptions!$B$2:$B$37))*(L57-1))/(1+G57*(L57-1))),IF(K57="direct_loglinear_rr_per_unit_reduction",IF(OR(ISBLANK(L57),ISBLANK(I57)),"",1-1/(L57^I57)),IF(K57="tfa_attributable_ihd_PAF_x_regulatory_gap",IF(ISBLANK(M57),"",M57*SUMIF(Policy_Levers!$B$2:$B$13,INDEX(Intervention_Cause_Map!$B$2:$B$62,MATCH(A57,Intervention_Cause_Map!$A$2:$A$62,0)),Policy_Levers!$Z$2:$Z$13)),""))))</f>
        <v>2.2104755603984949E-2</v>
      </c>
      <c r="P57" s="11" t="str">
        <f>INDEX(Intervention_Cause_Map!$J$2:$J$62,MATCH(A57,Intervention_Cause_Map!$A$2:$A$62,0))</f>
        <v>I_PH_TOB_MEDIA__C_SHARED</v>
      </c>
      <c r="Q57" s="11" t="str">
        <f>INDEX(Intervention_Cause_Map!$K$2:$K$62,MATCH(A57,Intervention_Cause_Map!$A$2:$A$62,0))</f>
        <v>component-count-once</v>
      </c>
      <c r="R57" s="11">
        <f>SUMIFS(Cost_Components!$S$2:$S$15,Cost_Components!$G$2:$G$15,P57,Cost_Components!$D$2:$D$15,1)</f>
        <v>7.6999999999999994E-3</v>
      </c>
      <c r="S57" s="11" t="str">
        <f>IF(COUNTIF(Effect_Parameters!$B$2:$B$62,A57)&lt;&gt;1,"LINK ERROR",IF(INDEX(Intervention_Cause_Map!$N$2:$N$62,MATCH(A57,Intervention_Cause_Map!$A$2:$A$62,0))=0,"EXPLORATORY - DISABLED",IF(AND(E57="sick",F57="dead"),"R UPDATE REQUIRED","READY FOR MODEL")))</f>
        <v>R UPDATE REQUIRED</v>
      </c>
    </row>
    <row r="58" spans="1:19" ht="14.4" customHeight="1" x14ac:dyDescent="0.3">
      <c r="A58" s="11" t="s">
        <v>343</v>
      </c>
      <c r="B58" s="11" t="s">
        <v>206</v>
      </c>
      <c r="C58" s="11" t="s">
        <v>181</v>
      </c>
      <c r="D58" s="11" t="s">
        <v>212</v>
      </c>
      <c r="E58" s="11" t="s">
        <v>269</v>
      </c>
      <c r="F58" s="11" t="s">
        <v>334</v>
      </c>
      <c r="G58" s="19">
        <f>SUMIF(Exposure_Targets!$B$2:$B$13,INDEX(Intervention_Cause_Map!$B$2:$B$62,MATCH(A58,Intervention_Cause_Map!$A$2:$A$62,0)),Exposure_Targets!$G$2:$G$13)</f>
        <v>0.30299999999999999</v>
      </c>
      <c r="H58" s="19">
        <f>SUMIF(Exposure_Targets!$B$2:$B$13,INDEX(Intervention_Cause_Map!$B$2:$B$62,MATCH(A58,Intervention_Cause_Map!$A$2:$A$62,0)),Exposure_Targets!$M$2:$M$13)</f>
        <v>0.28330500000000003</v>
      </c>
      <c r="I58" s="19">
        <f t="shared" si="2"/>
        <v>1.9694999999999963E-2</v>
      </c>
      <c r="J58" s="19">
        <f t="shared" si="3"/>
        <v>6.4999999999999877E-2</v>
      </c>
      <c r="K58" s="19" t="str">
        <f>INDEX(Effect_Parameters!$F$2:$F$62,MATCH(A58,Effect_Parameters!$B$2:$B$62,0))</f>
        <v>tobacco_mortality_prevalence_shift_rr</v>
      </c>
      <c r="L58" s="19">
        <f>INDEX(Effect_Parameters!$I$2:$I$62,MATCH(A58,Effect_Parameters!$B$2:$B$62,0))</f>
        <v>3</v>
      </c>
      <c r="M58" s="19">
        <f>INDEX(Effect_Parameters!$K$2:$K$62,MATCH(A58,Effect_Parameters!$B$2:$B$62,0))</f>
        <v>0</v>
      </c>
      <c r="N58" s="19" t="str">
        <f>INDEX(Effect_Parameters!$N$2:$N$62,MATCH(A58,Effect_Parameters!$B$2:$B$62,0))</f>
        <v>jha_piecewise_shared_scalar</v>
      </c>
      <c r="O58" s="19">
        <f>IF(K58="direct_smoking_prevalence_shift_rr",IF(OR(ISBLANK(G58),ISBLANK(H58),ISBLANK(L58)),"",1-(1+H58*(L58-1))/(1+G58*(L58-1))),IF(K58="tobacco_mortality_prevalence_shift_rr",IF(OR(ISBLANK(G58),ISBLANK(H58),ISBLANK(L58)),"",1-(1+H58*(L58-1)+(G58-H58)*(1-SUMIF(Assumptions!$A$2:$A$37,"tobacco_vascular_erd_ge10_pooled",Assumptions!$B$2:$B$37))*(L58-1))/(1+G58*(L58-1))),IF(K58="direct_loglinear_rr_per_unit_reduction",IF(OR(ISBLANK(L58),ISBLANK(I58)),"",1-1/(L58^I58)),IF(K58="tfa_attributable_ihd_PAF_x_regulatory_gap",IF(ISBLANK(M58),"",M58*SUMIF(Policy_Levers!$B$2:$B$13,INDEX(Intervention_Cause_Map!$B$2:$B$62,MATCH(A58,Intervention_Cause_Map!$A$2:$A$62,0)),Policy_Levers!$Z$2:$Z$13)),""))))</f>
        <v>2.2104755603984949E-2</v>
      </c>
      <c r="P58" s="11" t="str">
        <f>INDEX(Intervention_Cause_Map!$J$2:$J$62,MATCH(A58,Intervention_Cause_Map!$A$2:$A$62,0))</f>
        <v>I_PH_TOB_MEDIA__C_SHARED</v>
      </c>
      <c r="Q58" s="11" t="str">
        <f>INDEX(Intervention_Cause_Map!$K$2:$K$62,MATCH(A58,Intervention_Cause_Map!$A$2:$A$62,0))</f>
        <v>component-count-once</v>
      </c>
      <c r="R58" s="11">
        <f>SUMIFS(Cost_Components!$S$2:$S$15,Cost_Components!$G$2:$G$15,P58,Cost_Components!$D$2:$D$15,1)</f>
        <v>7.6999999999999994E-3</v>
      </c>
      <c r="S58" s="11" t="str">
        <f>IF(COUNTIF(Effect_Parameters!$B$2:$B$62,A58)&lt;&gt;1,"LINK ERROR",IF(INDEX(Intervention_Cause_Map!$N$2:$N$62,MATCH(A58,Intervention_Cause_Map!$A$2:$A$62,0))=0,"EXPLORATORY - DISABLED",IF(AND(E58="sick",F58="dead"),"R UPDATE REQUIRED","READY FOR MODEL")))</f>
        <v>R UPDATE REQUIRED</v>
      </c>
    </row>
    <row r="59" spans="1:19" ht="14.4" customHeight="1" x14ac:dyDescent="0.3">
      <c r="A59" s="11" t="s">
        <v>344</v>
      </c>
      <c r="B59" s="11" t="s">
        <v>215</v>
      </c>
      <c r="C59" s="11" t="s">
        <v>181</v>
      </c>
      <c r="D59" s="11" t="s">
        <v>195</v>
      </c>
      <c r="E59" s="11" t="s">
        <v>269</v>
      </c>
      <c r="F59" s="11" t="s">
        <v>334</v>
      </c>
      <c r="G59" s="19">
        <f>SUMIF(Exposure_Targets!$B$2:$B$13,INDEX(Intervention_Cause_Map!$B$2:$B$62,MATCH(A59,Intervention_Cause_Map!$A$2:$A$62,0)),Exposure_Targets!$G$2:$G$13)</f>
        <v>0.30299999999999999</v>
      </c>
      <c r="H59" s="19">
        <f>SUMIF(Exposure_Targets!$B$2:$B$13,INDEX(Intervention_Cause_Map!$B$2:$B$62,MATCH(A59,Intervention_Cause_Map!$A$2:$A$62,0)),Exposure_Targets!$M$2:$M$13)</f>
        <v>0.29087999999999997</v>
      </c>
      <c r="I59" s="19">
        <f t="shared" si="2"/>
        <v>1.212000000000002E-2</v>
      </c>
      <c r="J59" s="19">
        <f t="shared" si="3"/>
        <v>4.0000000000000063E-2</v>
      </c>
      <c r="K59" s="19" t="str">
        <f>INDEX(Effect_Parameters!$F$2:$F$62,MATCH(A59,Effect_Parameters!$B$2:$B$62,0))</f>
        <v>tobacco_mortality_prevalence_shift_rr</v>
      </c>
      <c r="L59" s="19">
        <f>INDEX(Effect_Parameters!$I$2:$I$62,MATCH(A59,Effect_Parameters!$B$2:$B$62,0))</f>
        <v>3</v>
      </c>
      <c r="M59" s="19">
        <f>INDEX(Effect_Parameters!$K$2:$K$62,MATCH(A59,Effect_Parameters!$B$2:$B$62,0))</f>
        <v>0</v>
      </c>
      <c r="N59" s="19" t="str">
        <f>INDEX(Effect_Parameters!$N$2:$N$62,MATCH(A59,Effect_Parameters!$B$2:$B$62,0))</f>
        <v>jha_piecewise_shared_scalar</v>
      </c>
      <c r="O59" s="19">
        <f>IF(K59="direct_smoking_prevalence_shift_rr",IF(OR(ISBLANK(G59),ISBLANK(H59),ISBLANK(L59)),"",1-(1+H59*(L59-1))/(1+G59*(L59-1))),IF(K59="tobacco_mortality_prevalence_shift_rr",IF(OR(ISBLANK(G59),ISBLANK(H59),ISBLANK(L59)),"",1-(1+H59*(L59-1)+(G59-H59)*(1-SUMIF(Assumptions!$A$2:$A$37,"tobacco_vascular_erd_ge10_pooled",Assumptions!$B$2:$B$37))*(L59-1))/(1+G59*(L59-1))),IF(K59="direct_loglinear_rr_per_unit_reduction",IF(OR(ISBLANK(L59),ISBLANK(I59)),"",1-1/(L59^I59)),IF(K59="tfa_attributable_ihd_PAF_x_regulatory_gap",IF(ISBLANK(M59),"",M59*SUMIF(Policy_Levers!$B$2:$B$13,INDEX(Intervention_Cause_Map!$B$2:$B$62,MATCH(A59,Intervention_Cause_Map!$A$2:$A$62,0)),Policy_Levers!$Z$2:$Z$13)),""))))</f>
        <v>1.360292652552908E-2</v>
      </c>
      <c r="P59" s="11" t="str">
        <f>INDEX(Intervention_Cause_Map!$J$2:$J$62,MATCH(A59,Intervention_Cause_Map!$A$2:$A$62,0))</f>
        <v>I_PH_TOB_AD_BAN__C_SHARED</v>
      </c>
      <c r="Q59" s="11" t="str">
        <f>INDEX(Intervention_Cause_Map!$K$2:$K$62,MATCH(A59,Intervention_Cause_Map!$A$2:$A$62,0))</f>
        <v>component-count-once</v>
      </c>
      <c r="R59" s="11">
        <f>SUMIFS(Cost_Components!$S$2:$S$15,Cost_Components!$G$2:$G$15,P59,Cost_Components!$D$2:$D$15,1)</f>
        <v>7.6999999999999994E-3</v>
      </c>
      <c r="S59" s="11" t="str">
        <f>IF(COUNTIF(Effect_Parameters!$B$2:$B$62,A59)&lt;&gt;1,"LINK ERROR",IF(INDEX(Intervention_Cause_Map!$N$2:$N$62,MATCH(A59,Intervention_Cause_Map!$A$2:$A$62,0))=0,"EXPLORATORY - DISABLED",IF(AND(E59="sick",F59="dead"),"R UPDATE REQUIRED","READY FOR MODEL")))</f>
        <v>R UPDATE REQUIRED</v>
      </c>
    </row>
    <row r="60" spans="1:19" ht="14.4" customHeight="1" x14ac:dyDescent="0.3">
      <c r="A60" s="11" t="s">
        <v>345</v>
      </c>
      <c r="B60" s="11" t="s">
        <v>215</v>
      </c>
      <c r="C60" s="11" t="s">
        <v>181</v>
      </c>
      <c r="D60" s="11" t="s">
        <v>204</v>
      </c>
      <c r="E60" s="11" t="s">
        <v>269</v>
      </c>
      <c r="F60" s="11" t="s">
        <v>334</v>
      </c>
      <c r="G60" s="19">
        <f>SUMIF(Exposure_Targets!$B$2:$B$13,INDEX(Intervention_Cause_Map!$B$2:$B$62,MATCH(A60,Intervention_Cause_Map!$A$2:$A$62,0)),Exposure_Targets!$G$2:$G$13)</f>
        <v>0.30299999999999999</v>
      </c>
      <c r="H60" s="19">
        <f>SUMIF(Exposure_Targets!$B$2:$B$13,INDEX(Intervention_Cause_Map!$B$2:$B$62,MATCH(A60,Intervention_Cause_Map!$A$2:$A$62,0)),Exposure_Targets!$M$2:$M$13)</f>
        <v>0.29087999999999997</v>
      </c>
      <c r="I60" s="19">
        <f t="shared" si="2"/>
        <v>1.212000000000002E-2</v>
      </c>
      <c r="J60" s="19">
        <f t="shared" si="3"/>
        <v>4.0000000000000063E-2</v>
      </c>
      <c r="K60" s="19" t="str">
        <f>INDEX(Effect_Parameters!$F$2:$F$62,MATCH(A60,Effect_Parameters!$B$2:$B$62,0))</f>
        <v>tobacco_mortality_prevalence_shift_rr</v>
      </c>
      <c r="L60" s="19">
        <f>INDEX(Effect_Parameters!$I$2:$I$62,MATCH(A60,Effect_Parameters!$B$2:$B$62,0))</f>
        <v>3</v>
      </c>
      <c r="M60" s="19">
        <f>INDEX(Effect_Parameters!$K$2:$K$62,MATCH(A60,Effect_Parameters!$B$2:$B$62,0))</f>
        <v>0</v>
      </c>
      <c r="N60" s="19" t="str">
        <f>INDEX(Effect_Parameters!$N$2:$N$62,MATCH(A60,Effect_Parameters!$B$2:$B$62,0))</f>
        <v>jha_piecewise_shared_scalar</v>
      </c>
      <c r="O60" s="19">
        <f>IF(K60="direct_smoking_prevalence_shift_rr",IF(OR(ISBLANK(G60),ISBLANK(H60),ISBLANK(L60)),"",1-(1+H60*(L60-1))/(1+G60*(L60-1))),IF(K60="tobacco_mortality_prevalence_shift_rr",IF(OR(ISBLANK(G60),ISBLANK(H60),ISBLANK(L60)),"",1-(1+H60*(L60-1)+(G60-H60)*(1-SUMIF(Assumptions!$A$2:$A$37,"tobacco_vascular_erd_ge10_pooled",Assumptions!$B$2:$B$37))*(L60-1))/(1+G60*(L60-1))),IF(K60="direct_loglinear_rr_per_unit_reduction",IF(OR(ISBLANK(L60),ISBLANK(I60)),"",1-1/(L60^I60)),IF(K60="tfa_attributable_ihd_PAF_x_regulatory_gap",IF(ISBLANK(M60),"",M60*SUMIF(Policy_Levers!$B$2:$B$13,INDEX(Intervention_Cause_Map!$B$2:$B$62,MATCH(A60,Intervention_Cause_Map!$A$2:$A$62,0)),Policy_Levers!$Z$2:$Z$13)),""))))</f>
        <v>1.360292652552908E-2</v>
      </c>
      <c r="P60" s="11" t="str">
        <f>INDEX(Intervention_Cause_Map!$J$2:$J$62,MATCH(A60,Intervention_Cause_Map!$A$2:$A$62,0))</f>
        <v>I_PH_TOB_AD_BAN__C_SHARED</v>
      </c>
      <c r="Q60" s="11" t="str">
        <f>INDEX(Intervention_Cause_Map!$K$2:$K$62,MATCH(A60,Intervention_Cause_Map!$A$2:$A$62,0))</f>
        <v>component-count-once</v>
      </c>
      <c r="R60" s="11">
        <f>SUMIFS(Cost_Components!$S$2:$S$15,Cost_Components!$G$2:$G$15,P60,Cost_Components!$D$2:$D$15,1)</f>
        <v>7.6999999999999994E-3</v>
      </c>
      <c r="S60" s="11" t="str">
        <f>IF(COUNTIF(Effect_Parameters!$B$2:$B$62,A60)&lt;&gt;1,"LINK ERROR",IF(INDEX(Intervention_Cause_Map!$N$2:$N$62,MATCH(A60,Intervention_Cause_Map!$A$2:$A$62,0))=0,"EXPLORATORY - DISABLED",IF(AND(E60="sick",F60="dead"),"R UPDATE REQUIRED","READY FOR MODEL")))</f>
        <v>R UPDATE REQUIRED</v>
      </c>
    </row>
    <row r="61" spans="1:19" ht="14.4" customHeight="1" x14ac:dyDescent="0.3">
      <c r="A61" s="11" t="s">
        <v>346</v>
      </c>
      <c r="B61" s="11" t="s">
        <v>215</v>
      </c>
      <c r="C61" s="11" t="s">
        <v>181</v>
      </c>
      <c r="D61" s="11" t="s">
        <v>212</v>
      </c>
      <c r="E61" s="11" t="s">
        <v>269</v>
      </c>
      <c r="F61" s="11" t="s">
        <v>334</v>
      </c>
      <c r="G61" s="19">
        <f>SUMIF(Exposure_Targets!$B$2:$B$13,INDEX(Intervention_Cause_Map!$B$2:$B$62,MATCH(A61,Intervention_Cause_Map!$A$2:$A$62,0)),Exposure_Targets!$G$2:$G$13)</f>
        <v>0.30299999999999999</v>
      </c>
      <c r="H61" s="19">
        <f>SUMIF(Exposure_Targets!$B$2:$B$13,INDEX(Intervention_Cause_Map!$B$2:$B$62,MATCH(A61,Intervention_Cause_Map!$A$2:$A$62,0)),Exposure_Targets!$M$2:$M$13)</f>
        <v>0.29087999999999997</v>
      </c>
      <c r="I61" s="19">
        <f t="shared" si="2"/>
        <v>1.212000000000002E-2</v>
      </c>
      <c r="J61" s="19">
        <f t="shared" si="3"/>
        <v>4.0000000000000063E-2</v>
      </c>
      <c r="K61" s="19" t="str">
        <f>INDEX(Effect_Parameters!$F$2:$F$62,MATCH(A61,Effect_Parameters!$B$2:$B$62,0))</f>
        <v>tobacco_mortality_prevalence_shift_rr</v>
      </c>
      <c r="L61" s="19">
        <f>INDEX(Effect_Parameters!$I$2:$I$62,MATCH(A61,Effect_Parameters!$B$2:$B$62,0))</f>
        <v>3</v>
      </c>
      <c r="M61" s="19">
        <f>INDEX(Effect_Parameters!$K$2:$K$62,MATCH(A61,Effect_Parameters!$B$2:$B$62,0))</f>
        <v>0</v>
      </c>
      <c r="N61" s="19" t="str">
        <f>INDEX(Effect_Parameters!$N$2:$N$62,MATCH(A61,Effect_Parameters!$B$2:$B$62,0))</f>
        <v>jha_piecewise_shared_scalar</v>
      </c>
      <c r="O61" s="19">
        <f>IF(K61="direct_smoking_prevalence_shift_rr",IF(OR(ISBLANK(G61),ISBLANK(H61),ISBLANK(L61)),"",1-(1+H61*(L61-1))/(1+G61*(L61-1))),IF(K61="tobacco_mortality_prevalence_shift_rr",IF(OR(ISBLANK(G61),ISBLANK(H61),ISBLANK(L61)),"",1-(1+H61*(L61-1)+(G61-H61)*(1-SUMIF(Assumptions!$A$2:$A$37,"tobacco_vascular_erd_ge10_pooled",Assumptions!$B$2:$B$37))*(L61-1))/(1+G61*(L61-1))),IF(K61="direct_loglinear_rr_per_unit_reduction",IF(OR(ISBLANK(L61),ISBLANK(I61)),"",1-1/(L61^I61)),IF(K61="tfa_attributable_ihd_PAF_x_regulatory_gap",IF(ISBLANK(M61),"",M61*SUMIF(Policy_Levers!$B$2:$B$13,INDEX(Intervention_Cause_Map!$B$2:$B$62,MATCH(A61,Intervention_Cause_Map!$A$2:$A$62,0)),Policy_Levers!$Z$2:$Z$13)),""))))</f>
        <v>1.360292652552908E-2</v>
      </c>
      <c r="P61" s="11" t="str">
        <f>INDEX(Intervention_Cause_Map!$J$2:$J$62,MATCH(A61,Intervention_Cause_Map!$A$2:$A$62,0))</f>
        <v>I_PH_TOB_AD_BAN__C_SHARED</v>
      </c>
      <c r="Q61" s="11" t="str">
        <f>INDEX(Intervention_Cause_Map!$K$2:$K$62,MATCH(A61,Intervention_Cause_Map!$A$2:$A$62,0))</f>
        <v>component-count-once</v>
      </c>
      <c r="R61" s="11">
        <f>SUMIFS(Cost_Components!$S$2:$S$15,Cost_Components!$G$2:$G$15,P61,Cost_Components!$D$2:$D$15,1)</f>
        <v>7.6999999999999994E-3</v>
      </c>
      <c r="S61" s="11" t="str">
        <f>IF(COUNTIF(Effect_Parameters!$B$2:$B$62,A61)&lt;&gt;1,"LINK ERROR",IF(INDEX(Intervention_Cause_Map!$N$2:$N$62,MATCH(A61,Intervention_Cause_Map!$A$2:$A$62,0))=0,"EXPLORATORY - DISABLED",IF(AND(E61="sick",F61="dead"),"R UPDATE REQUIRED","READY FOR MODEL")))</f>
        <v>R UPDATE REQUIRED</v>
      </c>
    </row>
    <row r="62" spans="1:19" ht="14.4" customHeight="1" x14ac:dyDescent="0.3">
      <c r="A62" s="11" t="s">
        <v>347</v>
      </c>
      <c r="B62" s="11" t="s">
        <v>252</v>
      </c>
      <c r="C62" s="11" t="s">
        <v>217</v>
      </c>
      <c r="D62" s="11" t="s">
        <v>233</v>
      </c>
      <c r="E62" s="11" t="s">
        <v>269</v>
      </c>
      <c r="F62" s="11" t="s">
        <v>334</v>
      </c>
      <c r="G62" s="19">
        <f>SUMIF(Exposure_Targets!$B$2:$B$13,INDEX(Intervention_Cause_Map!$B$2:$B$62,MATCH(A62,Intervention_Cause_Map!$A$2:$A$62,0)),Exposure_Targets!$G$2:$G$13)</f>
        <v>0.114285714285714</v>
      </c>
      <c r="H62" s="19">
        <f>SUMIF(Exposure_Targets!$B$2:$B$13,INDEX(Intervention_Cause_Map!$B$2:$B$62,MATCH(A62,Intervention_Cause_Map!$A$2:$A$62,0)),Exposure_Targets!$M$2:$M$13)</f>
        <v>9.4285714285714042E-2</v>
      </c>
      <c r="I62" s="19">
        <f t="shared" si="2"/>
        <v>1.9999999999999962E-2</v>
      </c>
      <c r="J62" s="19">
        <f t="shared" si="3"/>
        <v>0.1750000000000001</v>
      </c>
      <c r="K62" s="19" t="str">
        <f>INDEX(Effect_Parameters!$F$2:$F$62,MATCH(A62,Effect_Parameters!$B$2:$B$62,0))</f>
        <v>direct_loglinear_rr_per_unit_reduction</v>
      </c>
      <c r="L62" s="19">
        <f>INDEX(Effect_Parameters!$I$2:$I$62,MATCH(A62,Effect_Parameters!$B$2:$B$62,0))</f>
        <v>1.08</v>
      </c>
      <c r="M62" s="19">
        <f>INDEX(Effect_Parameters!$K$2:$K$62,MATCH(A62,Effect_Parameters!$B$2:$B$62,0))</f>
        <v>0</v>
      </c>
      <c r="N62" s="19" t="str">
        <f>INDEX(Effect_Parameters!$N$2:$N$62,MATCH(A62,Effect_Parameters!$B$2:$B$62,0))</f>
        <v>immediate_after_full_implementation</v>
      </c>
      <c r="O62" s="19">
        <f>IF(K62="direct_smoking_prevalence_shift_rr",IF(OR(ISBLANK(G62),ISBLANK(H62),ISBLANK(L62)),"",1-(1+H62*(L62-1))/(1+G62*(L62-1))),IF(K62="tobacco_mortality_prevalence_shift_rr",IF(OR(ISBLANK(G62),ISBLANK(H62),ISBLANK(L62)),"",1-(1+H62*(L62-1)+(G62-H62)*(1-SUMIF(Assumptions!$A$2:$A$37,"tobacco_vascular_erd_ge10_pooled",Assumptions!$B$2:$B$37))*(L62-1))/(1+G62*(L62-1))),IF(K62="direct_loglinear_rr_per_unit_reduction",IF(OR(ISBLANK(L62),ISBLANK(I62)),"",1-1/(L62^I62)),IF(K62="tfa_attributable_ihd_PAF_x_regulatory_gap",IF(ISBLANK(M62),"",M62*SUMIF(Policy_Levers!$B$2:$B$13,INDEX(Intervention_Cause_Map!$B$2:$B$62,MATCH(A62,Intervention_Cause_Map!$A$2:$A$62,0)),Policy_Levers!$Z$2:$Z$13)),""))))</f>
        <v>1.538036829905276E-3</v>
      </c>
      <c r="P62" s="11" t="str">
        <f>INDEX(Intervention_Cause_Map!$J$2:$J$62,MATCH(A62,Intervention_Cause_Map!$A$2:$A$62,0))</f>
        <v>I_PH_SSB_TAX__C_SHARED</v>
      </c>
      <c r="Q62" s="11" t="str">
        <f>INDEX(Intervention_Cause_Map!$K$2:$K$62,MATCH(A62,Intervention_Cause_Map!$A$2:$A$62,0))</f>
        <v>shared-count-once</v>
      </c>
      <c r="R62" s="11">
        <f>SUMIFS(Cost_Components!$S$2:$S$15,Cost_Components!$G$2:$G$15,P62,Cost_Components!$D$2:$D$15,1)</f>
        <v>0.04</v>
      </c>
      <c r="S62" s="11" t="str">
        <f>IF(COUNTIF(Effect_Parameters!$B$2:$B$62,A62)&lt;&gt;1,"LINK ERROR",IF(INDEX(Intervention_Cause_Map!$N$2:$N$62,MATCH(A62,Intervention_Cause_Map!$A$2:$A$62,0))=0,"EXPLORATORY - DISABLED",IF(AND(E62="sick",F62="dead"),"R UPDATE REQUIRED","READY FOR MODEL")))</f>
        <v>EXPLORATORY - DISABLED</v>
      </c>
    </row>
  </sheetData>
  <conditionalFormatting sqref="S2:S10">
    <cfRule type="containsText" dxfId="22" priority="2" operator="containsText" text="OK">
      <formula>NOT(ISERROR(SEARCH("OK",S2)))</formula>
    </cfRule>
    <cfRule type="containsText" dxfId="21" priority="3" operator="containsText" text="FAIL">
      <formula>NOT(ISERROR(SEARCH("FAIL",S2)))</formula>
    </cfRule>
    <cfRule type="containsText" dxfId="20" priority="4" operator="containsText" text="REVIEW">
      <formula>NOT(ISERROR(SEARCH("REVIEW",S2)))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5"/>
  <sheetViews>
    <sheetView showGridLines="0" zoomScaleNormal="100" workbookViewId="0">
      <selection activeCell="D4" sqref="D4"/>
    </sheetView>
  </sheetViews>
  <sheetFormatPr defaultColWidth="11.5546875" defaultRowHeight="13.2" x14ac:dyDescent="0.25"/>
  <cols>
    <col min="1" max="7" width="16" customWidth="1"/>
    <col min="8" max="8" width="38" customWidth="1"/>
    <col min="9" max="9" width="16" customWidth="1"/>
    <col min="10" max="11" width="38" customWidth="1"/>
    <col min="12" max="12" width="16" customWidth="1"/>
    <col min="13" max="13" width="38" customWidth="1"/>
    <col min="14" max="17" width="16" customWidth="1"/>
    <col min="18" max="18" width="38" customWidth="1"/>
    <col min="19" max="22" width="16" customWidth="1"/>
    <col min="23" max="23" width="38" customWidth="1"/>
    <col min="24" max="24" width="16" customWidth="1"/>
    <col min="25" max="26" width="38" customWidth="1"/>
    <col min="27" max="29" width="16" customWidth="1"/>
    <col min="30" max="30" width="38" customWidth="1"/>
    <col min="31" max="32" width="16" customWidth="1"/>
    <col min="33" max="33" width="38" customWidth="1"/>
    <col min="34" max="34" width="16" customWidth="1"/>
  </cols>
  <sheetData>
    <row r="1" spans="1:34" ht="34.049999999999997" customHeight="1" x14ac:dyDescent="0.25">
      <c r="A1" s="7" t="s">
        <v>802</v>
      </c>
      <c r="B1" s="7" t="s">
        <v>803</v>
      </c>
      <c r="C1" s="7" t="s">
        <v>804</v>
      </c>
      <c r="D1" s="7" t="s">
        <v>612</v>
      </c>
      <c r="E1" s="7" t="s">
        <v>163</v>
      </c>
      <c r="F1" s="7" t="s">
        <v>171</v>
      </c>
      <c r="G1" s="7" t="s">
        <v>257</v>
      </c>
      <c r="H1" s="7" t="s">
        <v>164</v>
      </c>
      <c r="I1" s="7" t="s">
        <v>172</v>
      </c>
      <c r="J1" s="7" t="s">
        <v>805</v>
      </c>
      <c r="K1" s="7" t="s">
        <v>806</v>
      </c>
      <c r="L1" s="7" t="s">
        <v>807</v>
      </c>
      <c r="M1" s="7" t="s">
        <v>808</v>
      </c>
      <c r="N1" s="7" t="s">
        <v>809</v>
      </c>
      <c r="O1" s="7" t="s">
        <v>603</v>
      </c>
      <c r="P1" s="7" t="s">
        <v>604</v>
      </c>
      <c r="Q1" s="7" t="s">
        <v>605</v>
      </c>
      <c r="R1" s="7" t="s">
        <v>810</v>
      </c>
      <c r="S1" s="7" t="s">
        <v>811</v>
      </c>
      <c r="T1" s="7" t="s">
        <v>812</v>
      </c>
      <c r="U1" s="7" t="s">
        <v>813</v>
      </c>
      <c r="V1" s="7" t="s">
        <v>814</v>
      </c>
      <c r="W1" s="7" t="s">
        <v>483</v>
      </c>
      <c r="X1" s="7" t="s">
        <v>815</v>
      </c>
      <c r="Y1" s="7" t="s">
        <v>358</v>
      </c>
      <c r="Z1" s="7" t="s">
        <v>263</v>
      </c>
      <c r="AA1" s="7" t="s">
        <v>485</v>
      </c>
      <c r="AB1" s="7" t="s">
        <v>816</v>
      </c>
      <c r="AC1" s="7" t="s">
        <v>359</v>
      </c>
      <c r="AD1" s="7" t="s">
        <v>360</v>
      </c>
      <c r="AE1" s="7" t="s">
        <v>817</v>
      </c>
      <c r="AF1" s="7" t="s">
        <v>818</v>
      </c>
      <c r="AG1" s="7" t="s">
        <v>819</v>
      </c>
      <c r="AH1" s="7" t="s">
        <v>820</v>
      </c>
    </row>
    <row r="2" spans="1:34" ht="30" customHeight="1" x14ac:dyDescent="0.25">
      <c r="A2" s="8" t="s">
        <v>821</v>
      </c>
      <c r="B2" s="8" t="s">
        <v>822</v>
      </c>
      <c r="C2" s="8" t="s">
        <v>823</v>
      </c>
      <c r="D2" s="8">
        <v>1</v>
      </c>
      <c r="E2" s="8" t="s">
        <v>176</v>
      </c>
      <c r="F2" s="8" t="s">
        <v>242</v>
      </c>
      <c r="G2" s="8" t="s">
        <v>266</v>
      </c>
      <c r="H2" s="8" t="s">
        <v>177</v>
      </c>
      <c r="I2" s="8" t="s">
        <v>243</v>
      </c>
      <c r="J2" s="8" t="s">
        <v>824</v>
      </c>
      <c r="K2" s="8" t="s">
        <v>825</v>
      </c>
      <c r="L2" s="8">
        <v>1</v>
      </c>
      <c r="M2" s="8" t="s">
        <v>826</v>
      </c>
      <c r="N2" s="8">
        <v>1</v>
      </c>
      <c r="O2" s="8">
        <v>0</v>
      </c>
      <c r="P2" s="8">
        <v>95</v>
      </c>
      <c r="Q2" s="8" t="s">
        <v>615</v>
      </c>
      <c r="R2" s="8" t="s">
        <v>827</v>
      </c>
      <c r="S2" s="21">
        <v>0.04</v>
      </c>
      <c r="T2" s="8">
        <v>2017</v>
      </c>
      <c r="U2" s="8">
        <v>0</v>
      </c>
      <c r="V2" s="8" t="s">
        <v>828</v>
      </c>
      <c r="W2" s="8" t="s">
        <v>66</v>
      </c>
      <c r="X2" s="8" t="s">
        <v>829</v>
      </c>
      <c r="Y2" s="8" t="s">
        <v>25</v>
      </c>
      <c r="Z2" s="8" t="s">
        <v>830</v>
      </c>
      <c r="AA2" s="8">
        <f>COUNTIF(Intervention_Cause_Map!$J$2:$J$49,G2)</f>
        <v>4</v>
      </c>
      <c r="AB2" s="8">
        <f t="shared" ref="AB2:AB15" si="0">COUNTIFS($G$2:$G$15,G2,$D$2:$D$15,1)</f>
        <v>1</v>
      </c>
      <c r="AC2" s="8" t="str">
        <f t="shared" ref="AC2:AC15" si="1">IF(AH2="parent_reference","REFERENCE ONLY",IF(AA2&lt;1,"BAD KEY",IF(S2="","MISSING COST",IF(U2=0,"REVIEW ADJUSTMENT",IF(AB2&lt;&gt;1,"CHECK SELECTION","OK")))))</f>
        <v>REVIEW ADJUSTMENT</v>
      </c>
      <c r="AD2" s="8" t="s">
        <v>176</v>
      </c>
      <c r="AE2" s="18">
        <v>1</v>
      </c>
      <c r="AF2" s="18">
        <v>4.0000000000000001E-3</v>
      </c>
      <c r="AG2" s="8" t="s">
        <v>831</v>
      </c>
      <c r="AH2" s="8" t="s">
        <v>380</v>
      </c>
    </row>
    <row r="3" spans="1:34" ht="30" customHeight="1" x14ac:dyDescent="0.25">
      <c r="A3" s="8" t="s">
        <v>832</v>
      </c>
      <c r="B3" s="8" t="s">
        <v>833</v>
      </c>
      <c r="C3" s="8" t="s">
        <v>823</v>
      </c>
      <c r="D3" s="8">
        <v>1</v>
      </c>
      <c r="E3" s="8" t="s">
        <v>186</v>
      </c>
      <c r="F3" s="8" t="s">
        <v>242</v>
      </c>
      <c r="G3" s="8" t="s">
        <v>275</v>
      </c>
      <c r="H3" s="8" t="s">
        <v>187</v>
      </c>
      <c r="I3" s="8" t="s">
        <v>243</v>
      </c>
      <c r="J3" s="8" t="s">
        <v>824</v>
      </c>
      <c r="K3" s="8" t="s">
        <v>825</v>
      </c>
      <c r="L3" s="8">
        <v>1</v>
      </c>
      <c r="M3" s="8" t="s">
        <v>826</v>
      </c>
      <c r="N3" s="8">
        <v>1</v>
      </c>
      <c r="O3" s="8">
        <v>0</v>
      </c>
      <c r="P3" s="8">
        <v>95</v>
      </c>
      <c r="Q3" s="8" t="s">
        <v>615</v>
      </c>
      <c r="R3" s="8" t="s">
        <v>827</v>
      </c>
      <c r="S3" s="21">
        <v>0.04</v>
      </c>
      <c r="T3" s="8">
        <v>2017</v>
      </c>
      <c r="U3" s="8">
        <v>0</v>
      </c>
      <c r="V3" s="8" t="s">
        <v>828</v>
      </c>
      <c r="W3" s="8" t="s">
        <v>66</v>
      </c>
      <c r="X3" s="8" t="s">
        <v>834</v>
      </c>
      <c r="Y3" s="8" t="s">
        <v>25</v>
      </c>
      <c r="Z3" s="8" t="s">
        <v>830</v>
      </c>
      <c r="AA3" s="8">
        <f>COUNTIF(Intervention_Cause_Map!$J$2:$J$49,G3)</f>
        <v>5</v>
      </c>
      <c r="AB3" s="8">
        <f t="shared" si="0"/>
        <v>1</v>
      </c>
      <c r="AC3" s="8" t="str">
        <f t="shared" si="1"/>
        <v>REVIEW ADJUSTMENT</v>
      </c>
      <c r="AD3" s="8" t="s">
        <v>186</v>
      </c>
      <c r="AE3" s="18">
        <v>1</v>
      </c>
      <c r="AF3" s="18">
        <v>4.0000000000000001E-3</v>
      </c>
      <c r="AG3" s="8" t="s">
        <v>831</v>
      </c>
      <c r="AH3" s="8" t="s">
        <v>380</v>
      </c>
    </row>
    <row r="4" spans="1:34" ht="30" customHeight="1" x14ac:dyDescent="0.25">
      <c r="A4" s="8" t="s">
        <v>835</v>
      </c>
      <c r="B4" s="8" t="s">
        <v>836</v>
      </c>
      <c r="C4" s="8" t="s">
        <v>672</v>
      </c>
      <c r="D4" s="8">
        <v>0</v>
      </c>
      <c r="E4" s="8" t="s">
        <v>396</v>
      </c>
      <c r="F4" s="8" t="s">
        <v>242</v>
      </c>
      <c r="G4" s="8" t="s">
        <v>837</v>
      </c>
      <c r="H4" s="8" t="s">
        <v>397</v>
      </c>
      <c r="I4" s="8" t="s">
        <v>243</v>
      </c>
      <c r="J4" s="8" t="s">
        <v>838</v>
      </c>
      <c r="K4" s="8" t="s">
        <v>825</v>
      </c>
      <c r="L4" s="8">
        <v>1</v>
      </c>
      <c r="M4" s="8" t="s">
        <v>826</v>
      </c>
      <c r="N4" s="8">
        <v>1</v>
      </c>
      <c r="O4" s="8">
        <v>0</v>
      </c>
      <c r="P4" s="8">
        <v>95</v>
      </c>
      <c r="Q4" s="8" t="s">
        <v>615</v>
      </c>
      <c r="R4" s="8" t="s">
        <v>827</v>
      </c>
      <c r="S4" s="21">
        <v>2.3099999999999999E-2</v>
      </c>
      <c r="T4" s="8">
        <v>2017</v>
      </c>
      <c r="U4" s="8">
        <v>0</v>
      </c>
      <c r="V4" s="8" t="s">
        <v>828</v>
      </c>
      <c r="W4" s="8" t="s">
        <v>66</v>
      </c>
      <c r="X4" s="8" t="s">
        <v>839</v>
      </c>
      <c r="Y4" s="8" t="s">
        <v>672</v>
      </c>
      <c r="Z4" s="8" t="s">
        <v>840</v>
      </c>
      <c r="AA4" s="8">
        <f>COUNTIF(Intervention_Cause_Map!$J$2:$J$49,G4)</f>
        <v>0</v>
      </c>
      <c r="AB4" s="8">
        <f t="shared" si="0"/>
        <v>0</v>
      </c>
      <c r="AC4" s="8" t="str">
        <f t="shared" si="1"/>
        <v>REFERENCE ONLY</v>
      </c>
      <c r="AD4" s="8" t="s">
        <v>396</v>
      </c>
      <c r="AE4" s="18">
        <v>1</v>
      </c>
      <c r="AF4" s="18">
        <v>2.3099999999999999E-2</v>
      </c>
      <c r="AG4" s="8" t="s">
        <v>841</v>
      </c>
      <c r="AH4" s="8" t="s">
        <v>842</v>
      </c>
    </row>
    <row r="5" spans="1:34" ht="30" customHeight="1" x14ac:dyDescent="0.25">
      <c r="A5" s="8" t="s">
        <v>843</v>
      </c>
      <c r="B5" s="8" t="s">
        <v>844</v>
      </c>
      <c r="C5" s="8" t="s">
        <v>823</v>
      </c>
      <c r="D5" s="8">
        <v>1</v>
      </c>
      <c r="E5" s="8" t="s">
        <v>197</v>
      </c>
      <c r="F5" s="8" t="s">
        <v>242</v>
      </c>
      <c r="G5" s="8" t="s">
        <v>281</v>
      </c>
      <c r="H5" s="8" t="s">
        <v>198</v>
      </c>
      <c r="I5" s="8" t="s">
        <v>243</v>
      </c>
      <c r="J5" s="8" t="s">
        <v>824</v>
      </c>
      <c r="K5" s="8" t="s">
        <v>825</v>
      </c>
      <c r="L5" s="8">
        <v>1</v>
      </c>
      <c r="M5" s="8" t="s">
        <v>826</v>
      </c>
      <c r="N5" s="8">
        <v>1</v>
      </c>
      <c r="O5" s="8">
        <v>0</v>
      </c>
      <c r="P5" s="8">
        <v>95</v>
      </c>
      <c r="Q5" s="8" t="s">
        <v>615</v>
      </c>
      <c r="R5" s="8" t="s">
        <v>827</v>
      </c>
      <c r="S5" s="20">
        <f>AE5*AF5</f>
        <v>7.6999999999999994E-3</v>
      </c>
      <c r="T5" s="8">
        <v>2017</v>
      </c>
      <c r="U5" s="8">
        <v>0</v>
      </c>
      <c r="V5" s="8" t="s">
        <v>828</v>
      </c>
      <c r="W5" s="8" t="s">
        <v>66</v>
      </c>
      <c r="X5" s="8" t="s">
        <v>845</v>
      </c>
      <c r="Y5" s="8" t="s">
        <v>25</v>
      </c>
      <c r="Z5" s="8" t="s">
        <v>830</v>
      </c>
      <c r="AA5" s="8">
        <f>COUNTIF(Intervention_Cause_Map!$J$2:$J$49,G5)</f>
        <v>4</v>
      </c>
      <c r="AB5" s="8">
        <f t="shared" si="0"/>
        <v>1</v>
      </c>
      <c r="AC5" s="8" t="str">
        <f t="shared" si="1"/>
        <v>REVIEW ADJUSTMENT</v>
      </c>
      <c r="AD5" s="8" t="s">
        <v>396</v>
      </c>
      <c r="AE5" s="18">
        <f>1/COUNTIFS(Scenario_Hierarchy!$A$2:$A$13,AD5,Scenario_Hierarchy!$F$2:$F$13,"child")</f>
        <v>0.33333333333333331</v>
      </c>
      <c r="AF5" s="18">
        <f>$S$4</f>
        <v>2.3099999999999999E-2</v>
      </c>
      <c r="AG5" s="8" t="s">
        <v>846</v>
      </c>
      <c r="AH5" s="8" t="s">
        <v>398</v>
      </c>
    </row>
    <row r="6" spans="1:34" ht="30" customHeight="1" x14ac:dyDescent="0.25">
      <c r="A6" s="8" t="s">
        <v>847</v>
      </c>
      <c r="B6" s="8" t="s">
        <v>848</v>
      </c>
      <c r="C6" s="8" t="s">
        <v>823</v>
      </c>
      <c r="D6" s="8">
        <v>1</v>
      </c>
      <c r="E6" s="8" t="s">
        <v>205</v>
      </c>
      <c r="F6" s="8" t="s">
        <v>242</v>
      </c>
      <c r="G6" s="8" t="s">
        <v>287</v>
      </c>
      <c r="H6" s="8" t="s">
        <v>206</v>
      </c>
      <c r="I6" s="8" t="s">
        <v>243</v>
      </c>
      <c r="J6" s="8" t="s">
        <v>824</v>
      </c>
      <c r="K6" s="8" t="s">
        <v>825</v>
      </c>
      <c r="L6" s="8">
        <v>1</v>
      </c>
      <c r="M6" s="8" t="s">
        <v>826</v>
      </c>
      <c r="N6" s="8">
        <v>1</v>
      </c>
      <c r="O6" s="8">
        <v>0</v>
      </c>
      <c r="P6" s="8">
        <v>95</v>
      </c>
      <c r="Q6" s="8" t="s">
        <v>615</v>
      </c>
      <c r="R6" s="8" t="s">
        <v>827</v>
      </c>
      <c r="S6" s="20">
        <f>AE6*AF6</f>
        <v>7.6999999999999994E-3</v>
      </c>
      <c r="T6" s="8">
        <v>2017</v>
      </c>
      <c r="U6" s="8">
        <v>0</v>
      </c>
      <c r="V6" s="8" t="s">
        <v>828</v>
      </c>
      <c r="W6" s="8" t="s">
        <v>66</v>
      </c>
      <c r="X6" s="8" t="s">
        <v>845</v>
      </c>
      <c r="Y6" s="8" t="s">
        <v>25</v>
      </c>
      <c r="Z6" s="8" t="s">
        <v>830</v>
      </c>
      <c r="AA6" s="8">
        <f>COUNTIF(Intervention_Cause_Map!$J$2:$J$49,G6)</f>
        <v>4</v>
      </c>
      <c r="AB6" s="8">
        <f t="shared" si="0"/>
        <v>1</v>
      </c>
      <c r="AC6" s="8" t="str">
        <f t="shared" si="1"/>
        <v>REVIEW ADJUSTMENT</v>
      </c>
      <c r="AD6" s="8" t="s">
        <v>396</v>
      </c>
      <c r="AE6" s="18">
        <f>1/COUNTIFS(Scenario_Hierarchy!$A$2:$A$13,AD6,Scenario_Hierarchy!$F$2:$F$13,"child")</f>
        <v>0.33333333333333331</v>
      </c>
      <c r="AF6" s="18">
        <f>$S$4</f>
        <v>2.3099999999999999E-2</v>
      </c>
      <c r="AG6" s="8" t="s">
        <v>846</v>
      </c>
      <c r="AH6" s="8" t="s">
        <v>398</v>
      </c>
    </row>
    <row r="7" spans="1:34" ht="30" customHeight="1" x14ac:dyDescent="0.25">
      <c r="A7" s="8" t="s">
        <v>849</v>
      </c>
      <c r="B7" s="8" t="s">
        <v>850</v>
      </c>
      <c r="C7" s="8" t="s">
        <v>823</v>
      </c>
      <c r="D7" s="8">
        <v>1</v>
      </c>
      <c r="E7" s="8" t="s">
        <v>214</v>
      </c>
      <c r="F7" s="8" t="s">
        <v>242</v>
      </c>
      <c r="G7" s="8" t="s">
        <v>292</v>
      </c>
      <c r="H7" s="8" t="s">
        <v>215</v>
      </c>
      <c r="I7" s="8" t="s">
        <v>243</v>
      </c>
      <c r="J7" s="8" t="s">
        <v>824</v>
      </c>
      <c r="K7" s="8" t="s">
        <v>825</v>
      </c>
      <c r="L7" s="8">
        <v>1</v>
      </c>
      <c r="M7" s="8" t="s">
        <v>826</v>
      </c>
      <c r="N7" s="8">
        <v>1</v>
      </c>
      <c r="O7" s="8">
        <v>0</v>
      </c>
      <c r="P7" s="8">
        <v>95</v>
      </c>
      <c r="Q7" s="8" t="s">
        <v>615</v>
      </c>
      <c r="R7" s="8" t="s">
        <v>827</v>
      </c>
      <c r="S7" s="20">
        <f>AE7*AF7</f>
        <v>7.6999999999999994E-3</v>
      </c>
      <c r="T7" s="8">
        <v>2017</v>
      </c>
      <c r="U7" s="8">
        <v>0</v>
      </c>
      <c r="V7" s="8" t="s">
        <v>828</v>
      </c>
      <c r="W7" s="8" t="s">
        <v>66</v>
      </c>
      <c r="X7" s="8" t="s">
        <v>845</v>
      </c>
      <c r="Y7" s="8" t="s">
        <v>25</v>
      </c>
      <c r="Z7" s="8" t="s">
        <v>830</v>
      </c>
      <c r="AA7" s="8">
        <f>COUNTIF(Intervention_Cause_Map!$J$2:$J$49,G7)</f>
        <v>4</v>
      </c>
      <c r="AB7" s="8">
        <f t="shared" si="0"/>
        <v>1</v>
      </c>
      <c r="AC7" s="8" t="str">
        <f t="shared" si="1"/>
        <v>REVIEW ADJUSTMENT</v>
      </c>
      <c r="AD7" s="8" t="s">
        <v>396</v>
      </c>
      <c r="AE7" s="18">
        <f>1/COUNTIFS(Scenario_Hierarchy!$A$2:$A$13,AD7,Scenario_Hierarchy!$F$2:$F$13,"child")</f>
        <v>0.33333333333333331</v>
      </c>
      <c r="AF7" s="18">
        <f>$S$4</f>
        <v>2.3099999999999999E-2</v>
      </c>
      <c r="AG7" s="8" t="s">
        <v>846</v>
      </c>
      <c r="AH7" s="8" t="s">
        <v>398</v>
      </c>
    </row>
    <row r="8" spans="1:34" ht="30" customHeight="1" x14ac:dyDescent="0.25">
      <c r="A8" s="8" t="s">
        <v>851</v>
      </c>
      <c r="B8" s="8" t="s">
        <v>852</v>
      </c>
      <c r="C8" s="8" t="s">
        <v>823</v>
      </c>
      <c r="D8" s="8">
        <v>1</v>
      </c>
      <c r="E8" s="8" t="s">
        <v>222</v>
      </c>
      <c r="F8" s="8" t="s">
        <v>242</v>
      </c>
      <c r="G8" s="8" t="s">
        <v>297</v>
      </c>
      <c r="H8" s="8" t="s">
        <v>223</v>
      </c>
      <c r="I8" s="8" t="s">
        <v>243</v>
      </c>
      <c r="J8" s="8" t="s">
        <v>824</v>
      </c>
      <c r="K8" s="8" t="s">
        <v>825</v>
      </c>
      <c r="L8" s="8">
        <v>1</v>
      </c>
      <c r="M8" s="8" t="s">
        <v>826</v>
      </c>
      <c r="N8" s="8">
        <v>1</v>
      </c>
      <c r="O8" s="8">
        <v>0</v>
      </c>
      <c r="P8" s="8">
        <v>95</v>
      </c>
      <c r="Q8" s="8" t="s">
        <v>615</v>
      </c>
      <c r="R8" s="8" t="s">
        <v>827</v>
      </c>
      <c r="S8" s="21">
        <v>5.5999999999999999E-3</v>
      </c>
      <c r="T8" s="8">
        <v>2017</v>
      </c>
      <c r="U8" s="8">
        <v>0</v>
      </c>
      <c r="V8" s="8" t="s">
        <v>828</v>
      </c>
      <c r="W8" s="8" t="s">
        <v>66</v>
      </c>
      <c r="X8" s="8" t="s">
        <v>853</v>
      </c>
      <c r="Y8" s="8" t="s">
        <v>25</v>
      </c>
      <c r="Z8" s="8" t="s">
        <v>830</v>
      </c>
      <c r="AA8" s="8">
        <f>COUNTIF(Intervention_Cause_Map!$J$2:$J$49,G8)</f>
        <v>5</v>
      </c>
      <c r="AB8" s="8">
        <f t="shared" si="0"/>
        <v>1</v>
      </c>
      <c r="AC8" s="8" t="str">
        <f t="shared" si="1"/>
        <v>REVIEW ADJUSTMENT</v>
      </c>
      <c r="AD8" s="8" t="s">
        <v>222</v>
      </c>
      <c r="AE8" s="18">
        <v>1</v>
      </c>
      <c r="AF8" s="18">
        <v>5.5999999999999999E-3</v>
      </c>
      <c r="AG8" s="8" t="s">
        <v>831</v>
      </c>
      <c r="AH8" s="8" t="s">
        <v>380</v>
      </c>
    </row>
    <row r="9" spans="1:34" ht="30" customHeight="1" x14ac:dyDescent="0.25">
      <c r="A9" s="8" t="s">
        <v>854</v>
      </c>
      <c r="B9" s="8" t="s">
        <v>855</v>
      </c>
      <c r="C9" s="8" t="s">
        <v>672</v>
      </c>
      <c r="D9" s="8">
        <v>0</v>
      </c>
      <c r="E9" s="8" t="s">
        <v>415</v>
      </c>
      <c r="F9" s="8" t="s">
        <v>242</v>
      </c>
      <c r="G9" s="8" t="s">
        <v>856</v>
      </c>
      <c r="H9" s="8" t="s">
        <v>416</v>
      </c>
      <c r="I9" s="8" t="s">
        <v>243</v>
      </c>
      <c r="J9" s="8" t="s">
        <v>838</v>
      </c>
      <c r="K9" s="8" t="s">
        <v>825</v>
      </c>
      <c r="L9" s="8">
        <v>1</v>
      </c>
      <c r="M9" s="8" t="s">
        <v>826</v>
      </c>
      <c r="N9" s="8">
        <v>1</v>
      </c>
      <c r="O9" s="8">
        <v>0</v>
      </c>
      <c r="P9" s="8">
        <v>95</v>
      </c>
      <c r="Q9" s="8" t="s">
        <v>615</v>
      </c>
      <c r="R9" s="8" t="s">
        <v>827</v>
      </c>
      <c r="S9" s="20">
        <v>3.5099999999999999E-2</v>
      </c>
      <c r="T9" s="8">
        <v>2017</v>
      </c>
      <c r="U9" s="8">
        <v>0</v>
      </c>
      <c r="V9" s="8" t="s">
        <v>828</v>
      </c>
      <c r="W9" s="8" t="s">
        <v>66</v>
      </c>
      <c r="X9" s="8" t="s">
        <v>857</v>
      </c>
      <c r="Y9" s="8" t="s">
        <v>672</v>
      </c>
      <c r="Z9" s="8" t="s">
        <v>840</v>
      </c>
      <c r="AA9" s="8">
        <f>COUNTIF(Intervention_Cause_Map!$J$2:$J$49,G9)</f>
        <v>0</v>
      </c>
      <c r="AB9" s="8">
        <f t="shared" si="0"/>
        <v>0</v>
      </c>
      <c r="AC9" s="8" t="str">
        <f t="shared" si="1"/>
        <v>REFERENCE ONLY</v>
      </c>
      <c r="AD9" s="8" t="s">
        <v>415</v>
      </c>
      <c r="AE9" s="18">
        <v>1</v>
      </c>
      <c r="AF9" s="18">
        <v>3.5099999999999999E-2</v>
      </c>
      <c r="AG9" s="8" t="s">
        <v>841</v>
      </c>
      <c r="AH9" s="8" t="s">
        <v>842</v>
      </c>
    </row>
    <row r="10" spans="1:34" ht="30" customHeight="1" x14ac:dyDescent="0.25">
      <c r="A10" s="8" t="s">
        <v>858</v>
      </c>
      <c r="B10" s="8" t="s">
        <v>859</v>
      </c>
      <c r="C10" s="8" t="s">
        <v>823</v>
      </c>
      <c r="D10" s="8">
        <v>1</v>
      </c>
      <c r="E10" s="8" t="s">
        <v>228</v>
      </c>
      <c r="F10" s="8" t="s">
        <v>242</v>
      </c>
      <c r="G10" s="8" t="s">
        <v>303</v>
      </c>
      <c r="H10" s="8" t="s">
        <v>229</v>
      </c>
      <c r="I10" s="8" t="s">
        <v>243</v>
      </c>
      <c r="J10" s="8" t="s">
        <v>824</v>
      </c>
      <c r="K10" s="8" t="s">
        <v>825</v>
      </c>
      <c r="L10" s="8">
        <v>1</v>
      </c>
      <c r="M10" s="8" t="s">
        <v>826</v>
      </c>
      <c r="N10" s="8">
        <v>1</v>
      </c>
      <c r="O10" s="8">
        <v>0</v>
      </c>
      <c r="P10" s="8">
        <v>95</v>
      </c>
      <c r="Q10" s="8" t="s">
        <v>615</v>
      </c>
      <c r="R10" s="8" t="s">
        <v>827</v>
      </c>
      <c r="S10" s="20">
        <f>AE10*AF10</f>
        <v>8.7749999999999998E-3</v>
      </c>
      <c r="T10" s="8">
        <v>2017</v>
      </c>
      <c r="U10" s="8">
        <v>0</v>
      </c>
      <c r="V10" s="8" t="s">
        <v>828</v>
      </c>
      <c r="W10" s="8" t="s">
        <v>66</v>
      </c>
      <c r="X10" s="8" t="s">
        <v>860</v>
      </c>
      <c r="Y10" s="8" t="s">
        <v>25</v>
      </c>
      <c r="Z10" s="8" t="s">
        <v>830</v>
      </c>
      <c r="AA10" s="8">
        <f>COUNTIF(Intervention_Cause_Map!$J$2:$J$49,G10)</f>
        <v>4</v>
      </c>
      <c r="AB10" s="8">
        <f t="shared" si="0"/>
        <v>1</v>
      </c>
      <c r="AC10" s="8" t="str">
        <f t="shared" si="1"/>
        <v>REVIEW ADJUSTMENT</v>
      </c>
      <c r="AD10" s="8" t="s">
        <v>415</v>
      </c>
      <c r="AE10" s="18">
        <f>1/COUNTIFS(Scenario_Hierarchy!$A$2:$A$13,AD10,Scenario_Hierarchy!$F$2:$F$13,"child")</f>
        <v>0.25</v>
      </c>
      <c r="AF10" s="18">
        <f>$S$9</f>
        <v>3.5099999999999999E-2</v>
      </c>
      <c r="AG10" s="8" t="s">
        <v>846</v>
      </c>
      <c r="AH10" s="8" t="s">
        <v>398</v>
      </c>
    </row>
    <row r="11" spans="1:34" ht="30" customHeight="1" x14ac:dyDescent="0.25">
      <c r="A11" s="8" t="s">
        <v>861</v>
      </c>
      <c r="B11" s="8" t="s">
        <v>862</v>
      </c>
      <c r="C11" s="8" t="s">
        <v>823</v>
      </c>
      <c r="D11" s="8">
        <v>1</v>
      </c>
      <c r="E11" s="8" t="s">
        <v>235</v>
      </c>
      <c r="F11" s="8" t="s">
        <v>242</v>
      </c>
      <c r="G11" s="8" t="s">
        <v>308</v>
      </c>
      <c r="H11" s="8" t="s">
        <v>236</v>
      </c>
      <c r="I11" s="8" t="s">
        <v>243</v>
      </c>
      <c r="J11" s="8" t="s">
        <v>824</v>
      </c>
      <c r="K11" s="8" t="s">
        <v>825</v>
      </c>
      <c r="L11" s="8">
        <v>1</v>
      </c>
      <c r="M11" s="8" t="s">
        <v>826</v>
      </c>
      <c r="N11" s="8">
        <v>1</v>
      </c>
      <c r="O11" s="8">
        <v>0</v>
      </c>
      <c r="P11" s="8">
        <v>95</v>
      </c>
      <c r="Q11" s="8" t="s">
        <v>615</v>
      </c>
      <c r="R11" s="8" t="s">
        <v>827</v>
      </c>
      <c r="S11" s="20">
        <f>AE11*AF11</f>
        <v>8.7749999999999998E-3</v>
      </c>
      <c r="T11" s="8">
        <v>2017</v>
      </c>
      <c r="U11" s="8">
        <v>0</v>
      </c>
      <c r="V11" s="8" t="s">
        <v>828</v>
      </c>
      <c r="W11" s="8" t="s">
        <v>66</v>
      </c>
      <c r="X11" s="8" t="s">
        <v>860</v>
      </c>
      <c r="Y11" s="8" t="s">
        <v>25</v>
      </c>
      <c r="Z11" s="8" t="s">
        <v>830</v>
      </c>
      <c r="AA11" s="8">
        <f>COUNTIF(Intervention_Cause_Map!$J$2:$J$49,G11)</f>
        <v>4</v>
      </c>
      <c r="AB11" s="8">
        <f t="shared" si="0"/>
        <v>1</v>
      </c>
      <c r="AC11" s="8" t="str">
        <f t="shared" si="1"/>
        <v>REVIEW ADJUSTMENT</v>
      </c>
      <c r="AD11" s="8" t="s">
        <v>415</v>
      </c>
      <c r="AE11" s="18">
        <f>1/COUNTIFS(Scenario_Hierarchy!$A$2:$A$13,AD11,Scenario_Hierarchy!$F$2:$F$13,"child")</f>
        <v>0.25</v>
      </c>
      <c r="AF11" s="18">
        <f>$S$9</f>
        <v>3.5099999999999999E-2</v>
      </c>
      <c r="AG11" s="8" t="s">
        <v>846</v>
      </c>
      <c r="AH11" s="8" t="s">
        <v>398</v>
      </c>
    </row>
    <row r="12" spans="1:34" ht="30" customHeight="1" x14ac:dyDescent="0.25">
      <c r="A12" s="8" t="s">
        <v>863</v>
      </c>
      <c r="B12" s="8" t="s">
        <v>864</v>
      </c>
      <c r="C12" s="8" t="s">
        <v>823</v>
      </c>
      <c r="D12" s="8">
        <v>1</v>
      </c>
      <c r="E12" s="8" t="s">
        <v>240</v>
      </c>
      <c r="F12" s="8" t="s">
        <v>242</v>
      </c>
      <c r="G12" s="8" t="s">
        <v>313</v>
      </c>
      <c r="H12" s="8" t="s">
        <v>241</v>
      </c>
      <c r="I12" s="8" t="s">
        <v>243</v>
      </c>
      <c r="J12" s="8" t="s">
        <v>824</v>
      </c>
      <c r="K12" s="8" t="s">
        <v>825</v>
      </c>
      <c r="L12" s="8">
        <v>1</v>
      </c>
      <c r="M12" s="8" t="s">
        <v>826</v>
      </c>
      <c r="N12" s="8">
        <v>1</v>
      </c>
      <c r="O12" s="8">
        <v>0</v>
      </c>
      <c r="P12" s="8">
        <v>95</v>
      </c>
      <c r="Q12" s="8" t="s">
        <v>615</v>
      </c>
      <c r="R12" s="8" t="s">
        <v>827</v>
      </c>
      <c r="S12" s="20">
        <f>AE12*AF12</f>
        <v>8.7749999999999998E-3</v>
      </c>
      <c r="T12" s="8">
        <v>2017</v>
      </c>
      <c r="U12" s="8">
        <v>0</v>
      </c>
      <c r="V12" s="8" t="s">
        <v>828</v>
      </c>
      <c r="W12" s="8" t="s">
        <v>66</v>
      </c>
      <c r="X12" s="8" t="s">
        <v>860</v>
      </c>
      <c r="Y12" s="8" t="s">
        <v>25</v>
      </c>
      <c r="Z12" s="8" t="s">
        <v>830</v>
      </c>
      <c r="AA12" s="8">
        <f>COUNTIF(Intervention_Cause_Map!$J$2:$J$49,G12)</f>
        <v>4</v>
      </c>
      <c r="AB12" s="8">
        <f t="shared" si="0"/>
        <v>1</v>
      </c>
      <c r="AC12" s="8" t="str">
        <f t="shared" si="1"/>
        <v>REVIEW ADJUSTMENT</v>
      </c>
      <c r="AD12" s="8" t="s">
        <v>415</v>
      </c>
      <c r="AE12" s="18">
        <f>1/COUNTIFS(Scenario_Hierarchy!$A$2:$A$13,AD12,Scenario_Hierarchy!$F$2:$F$13,"child")</f>
        <v>0.25</v>
      </c>
      <c r="AF12" s="18">
        <f>$S$9</f>
        <v>3.5099999999999999E-2</v>
      </c>
      <c r="AG12" s="8" t="s">
        <v>846</v>
      </c>
      <c r="AH12" s="8" t="s">
        <v>398</v>
      </c>
    </row>
    <row r="13" spans="1:34" ht="30" customHeight="1" x14ac:dyDescent="0.25">
      <c r="A13" s="8" t="s">
        <v>865</v>
      </c>
      <c r="B13" s="8" t="s">
        <v>866</v>
      </c>
      <c r="C13" s="8" t="s">
        <v>823</v>
      </c>
      <c r="D13" s="8">
        <v>1</v>
      </c>
      <c r="E13" s="8" t="s">
        <v>246</v>
      </c>
      <c r="F13" s="8" t="s">
        <v>242</v>
      </c>
      <c r="G13" s="8" t="s">
        <v>318</v>
      </c>
      <c r="H13" s="8" t="s">
        <v>247</v>
      </c>
      <c r="I13" s="8" t="s">
        <v>243</v>
      </c>
      <c r="J13" s="8" t="s">
        <v>824</v>
      </c>
      <c r="K13" s="8" t="s">
        <v>825</v>
      </c>
      <c r="L13" s="8">
        <v>1</v>
      </c>
      <c r="M13" s="8" t="s">
        <v>826</v>
      </c>
      <c r="N13" s="8">
        <v>1</v>
      </c>
      <c r="O13" s="8">
        <v>0</v>
      </c>
      <c r="P13" s="8">
        <v>95</v>
      </c>
      <c r="Q13" s="8" t="s">
        <v>615</v>
      </c>
      <c r="R13" s="8" t="s">
        <v>827</v>
      </c>
      <c r="S13" s="21">
        <f>AE13*AF13</f>
        <v>8.7749999999999998E-3</v>
      </c>
      <c r="T13" s="8">
        <v>2017</v>
      </c>
      <c r="U13" s="8">
        <v>0</v>
      </c>
      <c r="V13" s="8" t="s">
        <v>828</v>
      </c>
      <c r="W13" s="8" t="s">
        <v>66</v>
      </c>
      <c r="X13" s="8" t="s">
        <v>860</v>
      </c>
      <c r="Y13" s="8" t="s">
        <v>25</v>
      </c>
      <c r="Z13" s="8" t="s">
        <v>830</v>
      </c>
      <c r="AA13" s="8">
        <f>COUNTIF(Intervention_Cause_Map!$J$2:$J$49,G13)</f>
        <v>4</v>
      </c>
      <c r="AB13" s="8">
        <f t="shared" si="0"/>
        <v>1</v>
      </c>
      <c r="AC13" s="8" t="str">
        <f t="shared" si="1"/>
        <v>REVIEW ADJUSTMENT</v>
      </c>
      <c r="AD13" s="8" t="s">
        <v>415</v>
      </c>
      <c r="AE13" s="18">
        <f>1/COUNTIFS(Scenario_Hierarchy!$A$2:$A$13,AD13,Scenario_Hierarchy!$F$2:$F$13,"child")</f>
        <v>0.25</v>
      </c>
      <c r="AF13" s="18">
        <f>$S$9</f>
        <v>3.5099999999999999E-2</v>
      </c>
      <c r="AG13" s="8" t="s">
        <v>846</v>
      </c>
      <c r="AH13" s="8" t="s">
        <v>398</v>
      </c>
    </row>
    <row r="14" spans="1:34" ht="30" customHeight="1" x14ac:dyDescent="0.25">
      <c r="A14" s="8" t="s">
        <v>867</v>
      </c>
      <c r="B14" s="8" t="s">
        <v>868</v>
      </c>
      <c r="C14" s="8" t="s">
        <v>823</v>
      </c>
      <c r="D14" s="8">
        <v>1</v>
      </c>
      <c r="E14" s="8" t="s">
        <v>248</v>
      </c>
      <c r="F14" s="8" t="s">
        <v>242</v>
      </c>
      <c r="G14" s="8" t="s">
        <v>323</v>
      </c>
      <c r="H14" s="8" t="s">
        <v>249</v>
      </c>
      <c r="I14" s="8" t="s">
        <v>243</v>
      </c>
      <c r="J14" s="8" t="s">
        <v>824</v>
      </c>
      <c r="K14" s="8" t="s">
        <v>825</v>
      </c>
      <c r="L14" s="8">
        <v>1</v>
      </c>
      <c r="M14" s="8" t="s">
        <v>826</v>
      </c>
      <c r="N14" s="8">
        <v>1</v>
      </c>
      <c r="O14" s="8">
        <v>0</v>
      </c>
      <c r="P14" s="8">
        <v>95</v>
      </c>
      <c r="Q14" s="8" t="s">
        <v>615</v>
      </c>
      <c r="R14" s="8" t="s">
        <v>827</v>
      </c>
      <c r="S14" s="21">
        <v>8.6999999999999994E-3</v>
      </c>
      <c r="T14" s="8">
        <v>2017</v>
      </c>
      <c r="U14" s="8">
        <v>0</v>
      </c>
      <c r="V14" s="8" t="s">
        <v>828</v>
      </c>
      <c r="W14" s="8" t="s">
        <v>66</v>
      </c>
      <c r="X14" s="8" t="s">
        <v>869</v>
      </c>
      <c r="Y14" s="8" t="s">
        <v>25</v>
      </c>
      <c r="Z14" s="8" t="s">
        <v>830</v>
      </c>
      <c r="AA14" s="8">
        <f>COUNTIF(Intervention_Cause_Map!$J$2:$J$49,G14)</f>
        <v>1</v>
      </c>
      <c r="AB14" s="8">
        <f t="shared" si="0"/>
        <v>1</v>
      </c>
      <c r="AC14" s="8" t="str">
        <f t="shared" si="1"/>
        <v>REVIEW ADJUSTMENT</v>
      </c>
      <c r="AD14" s="8" t="s">
        <v>248</v>
      </c>
      <c r="AE14" s="18">
        <v>1</v>
      </c>
      <c r="AF14" s="18">
        <v>8.6999999999999994E-3</v>
      </c>
      <c r="AG14" s="8" t="s">
        <v>831</v>
      </c>
      <c r="AH14" s="8" t="s">
        <v>380</v>
      </c>
    </row>
    <row r="15" spans="1:34" ht="30" customHeight="1" x14ac:dyDescent="0.25">
      <c r="A15" s="8" t="s">
        <v>870</v>
      </c>
      <c r="B15" s="8" t="s">
        <v>871</v>
      </c>
      <c r="C15" s="8" t="s">
        <v>823</v>
      </c>
      <c r="D15" s="8">
        <v>1</v>
      </c>
      <c r="E15" s="8" t="s">
        <v>251</v>
      </c>
      <c r="F15" s="8" t="s">
        <v>242</v>
      </c>
      <c r="G15" s="8" t="s">
        <v>326</v>
      </c>
      <c r="H15" s="8" t="s">
        <v>252</v>
      </c>
      <c r="I15" s="8" t="s">
        <v>243</v>
      </c>
      <c r="J15" s="8" t="s">
        <v>824</v>
      </c>
      <c r="K15" s="8" t="s">
        <v>825</v>
      </c>
      <c r="L15" s="8">
        <v>1</v>
      </c>
      <c r="M15" s="8" t="s">
        <v>826</v>
      </c>
      <c r="N15" s="8">
        <v>1</v>
      </c>
      <c r="O15" s="8">
        <v>0</v>
      </c>
      <c r="P15" s="8">
        <v>95</v>
      </c>
      <c r="Q15" s="8" t="s">
        <v>615</v>
      </c>
      <c r="R15" s="8" t="s">
        <v>827</v>
      </c>
      <c r="S15" s="21">
        <v>0.04</v>
      </c>
      <c r="T15" s="8">
        <v>2017</v>
      </c>
      <c r="U15" s="8">
        <v>0</v>
      </c>
      <c r="V15" s="8" t="s">
        <v>828</v>
      </c>
      <c r="W15" s="8" t="s">
        <v>66</v>
      </c>
      <c r="X15" s="8" t="s">
        <v>872</v>
      </c>
      <c r="Y15" s="8" t="s">
        <v>25</v>
      </c>
      <c r="Z15" s="8" t="s">
        <v>830</v>
      </c>
      <c r="AA15" s="8">
        <f>COUNTIF(Intervention_Cause_Map!$J$2:$J$49,G15)</f>
        <v>5</v>
      </c>
      <c r="AB15" s="8">
        <f t="shared" si="0"/>
        <v>1</v>
      </c>
      <c r="AC15" s="8" t="str">
        <f t="shared" si="1"/>
        <v>REVIEW ADJUSTMENT</v>
      </c>
      <c r="AD15" s="8" t="s">
        <v>251</v>
      </c>
      <c r="AE15" s="18">
        <v>1</v>
      </c>
      <c r="AF15" s="18">
        <v>4.0000000000000001E-3</v>
      </c>
      <c r="AG15" s="8" t="s">
        <v>831</v>
      </c>
      <c r="AH15" s="8" t="s">
        <v>380</v>
      </c>
    </row>
  </sheetData>
  <conditionalFormatting sqref="Y2:Y8">
    <cfRule type="containsText" dxfId="19" priority="2" operator="containsText" text="OK">
      <formula>NOT(ISERROR(SEARCH("OK",Y2)))</formula>
    </cfRule>
    <cfRule type="containsText" dxfId="18" priority="3" operator="containsText" text="FAIL">
      <formula>NOT(ISERROR(SEARCH("FAIL",Y2)))</formula>
    </cfRule>
    <cfRule type="containsText" dxfId="17" priority="4" operator="containsText" text="REVIEW">
      <formula>NOT(ISERROR(SEARCH("REVIEW",Y2)))</formula>
    </cfRule>
  </conditionalFormatting>
  <conditionalFormatting sqref="AC2:AC8">
    <cfRule type="containsText" dxfId="16" priority="5" operator="containsText" text="OK">
      <formula>NOT(ISERROR(SEARCH("OK",AC2)))</formula>
    </cfRule>
    <cfRule type="containsText" dxfId="15" priority="6" operator="containsText" text="FAIL">
      <formula>NOT(ISERROR(SEARCH("FAIL",AC2)))</formula>
    </cfRule>
    <cfRule type="containsText" dxfId="14" priority="7" operator="containsText" text="REVIEW">
      <formula>NOT(ISERROR(SEARCH("REVIEW",AC2)))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showGridLines="0" topLeftCell="A14" zoomScaleNormal="100" workbookViewId="0">
      <selection activeCell="F22" sqref="F22"/>
    </sheetView>
  </sheetViews>
  <sheetFormatPr defaultColWidth="11.5546875" defaultRowHeight="13.2" x14ac:dyDescent="0.25"/>
  <cols>
    <col min="1" max="1" width="16" customWidth="1"/>
    <col min="2" max="6" width="38" customWidth="1"/>
  </cols>
  <sheetData>
    <row r="1" spans="1:6" ht="34.049999999999997" customHeight="1" x14ac:dyDescent="0.25">
      <c r="A1" s="7" t="s">
        <v>873</v>
      </c>
      <c r="B1" s="7" t="s">
        <v>874</v>
      </c>
      <c r="C1" s="7" t="s">
        <v>875</v>
      </c>
      <c r="D1" s="7" t="s">
        <v>876</v>
      </c>
      <c r="E1" s="7" t="s">
        <v>877</v>
      </c>
      <c r="F1" s="7" t="s">
        <v>878</v>
      </c>
    </row>
    <row r="2" spans="1:6" ht="30" customHeight="1" x14ac:dyDescent="0.25">
      <c r="A2" s="8" t="s">
        <v>879</v>
      </c>
      <c r="B2" s="8" t="s">
        <v>880</v>
      </c>
      <c r="C2" s="8" t="s">
        <v>881</v>
      </c>
      <c r="D2" s="8" t="s">
        <v>882</v>
      </c>
      <c r="E2" s="8" t="s">
        <v>163</v>
      </c>
      <c r="F2" s="8" t="s">
        <v>883</v>
      </c>
    </row>
    <row r="3" spans="1:6" ht="30" customHeight="1" x14ac:dyDescent="0.25">
      <c r="A3" s="8" t="s">
        <v>884</v>
      </c>
      <c r="B3" s="8" t="s">
        <v>885</v>
      </c>
      <c r="C3" s="8" t="s">
        <v>886</v>
      </c>
      <c r="D3" s="8" t="s">
        <v>882</v>
      </c>
      <c r="E3" s="8" t="s">
        <v>887</v>
      </c>
      <c r="F3" s="8" t="s">
        <v>888</v>
      </c>
    </row>
    <row r="4" spans="1:6" ht="30" customHeight="1" x14ac:dyDescent="0.25">
      <c r="A4" s="8" t="s">
        <v>889</v>
      </c>
      <c r="B4" s="8" t="s">
        <v>890</v>
      </c>
      <c r="C4" s="8" t="s">
        <v>891</v>
      </c>
      <c r="D4" s="8" t="s">
        <v>892</v>
      </c>
      <c r="E4" s="8" t="s">
        <v>163</v>
      </c>
      <c r="F4" s="8" t="s">
        <v>893</v>
      </c>
    </row>
    <row r="5" spans="1:6" ht="30" customHeight="1" x14ac:dyDescent="0.25">
      <c r="A5" s="8" t="s">
        <v>894</v>
      </c>
      <c r="B5" s="8" t="s">
        <v>895</v>
      </c>
      <c r="C5" s="8" t="s">
        <v>896</v>
      </c>
      <c r="D5" s="8" t="s">
        <v>897</v>
      </c>
      <c r="E5" s="8" t="s">
        <v>163</v>
      </c>
      <c r="F5" s="8" t="s">
        <v>898</v>
      </c>
    </row>
    <row r="6" spans="1:6" ht="30" customHeight="1" x14ac:dyDescent="0.25">
      <c r="A6" s="8" t="s">
        <v>899</v>
      </c>
      <c r="B6" s="8" t="s">
        <v>900</v>
      </c>
      <c r="C6" s="8" t="s">
        <v>901</v>
      </c>
      <c r="D6" s="8" t="s">
        <v>897</v>
      </c>
      <c r="E6" s="8" t="s">
        <v>163</v>
      </c>
      <c r="F6" s="8" t="s">
        <v>902</v>
      </c>
    </row>
    <row r="7" spans="1:6" ht="30" customHeight="1" x14ac:dyDescent="0.25">
      <c r="A7" s="8" t="s">
        <v>903</v>
      </c>
      <c r="B7" s="8" t="s">
        <v>904</v>
      </c>
      <c r="C7" s="8" t="s">
        <v>905</v>
      </c>
      <c r="D7" s="8" t="s">
        <v>897</v>
      </c>
      <c r="E7" s="8" t="s">
        <v>163</v>
      </c>
      <c r="F7" s="8" t="s">
        <v>177</v>
      </c>
    </row>
    <row r="8" spans="1:6" ht="30" customHeight="1" x14ac:dyDescent="0.25">
      <c r="A8" s="8" t="s">
        <v>906</v>
      </c>
      <c r="B8" s="8" t="s">
        <v>907</v>
      </c>
      <c r="C8" s="8" t="s">
        <v>908</v>
      </c>
      <c r="D8" s="8" t="s">
        <v>909</v>
      </c>
      <c r="E8" s="8" t="s">
        <v>163</v>
      </c>
      <c r="F8" s="8" t="s">
        <v>910</v>
      </c>
    </row>
    <row r="9" spans="1:6" ht="30" customHeight="1" x14ac:dyDescent="0.25">
      <c r="A9" s="8" t="s">
        <v>911</v>
      </c>
      <c r="B9" s="8" t="s">
        <v>912</v>
      </c>
      <c r="C9" s="8" t="s">
        <v>913</v>
      </c>
      <c r="D9" s="8" t="s">
        <v>914</v>
      </c>
      <c r="E9" s="8" t="s">
        <v>254</v>
      </c>
      <c r="F9" s="8" t="s">
        <v>915</v>
      </c>
    </row>
    <row r="10" spans="1:6" ht="30" customHeight="1" x14ac:dyDescent="0.25">
      <c r="A10" s="8" t="s">
        <v>916</v>
      </c>
      <c r="B10" s="8" t="s">
        <v>917</v>
      </c>
      <c r="C10" s="8" t="s">
        <v>918</v>
      </c>
      <c r="D10" s="8" t="s">
        <v>914</v>
      </c>
      <c r="E10" s="8" t="s">
        <v>254</v>
      </c>
      <c r="F10" s="8" t="s">
        <v>919</v>
      </c>
    </row>
    <row r="11" spans="1:6" ht="30" customHeight="1" x14ac:dyDescent="0.25">
      <c r="A11" s="8" t="s">
        <v>920</v>
      </c>
      <c r="B11" s="8" t="s">
        <v>921</v>
      </c>
      <c r="C11" s="8" t="s">
        <v>922</v>
      </c>
      <c r="D11" s="8" t="s">
        <v>923</v>
      </c>
      <c r="E11" s="8" t="s">
        <v>660</v>
      </c>
      <c r="F11" s="8" t="s">
        <v>924</v>
      </c>
    </row>
    <row r="12" spans="1:6" ht="30" customHeight="1" x14ac:dyDescent="0.25">
      <c r="A12" s="8" t="s">
        <v>925</v>
      </c>
      <c r="B12" s="8" t="s">
        <v>926</v>
      </c>
      <c r="C12" s="8" t="s">
        <v>927</v>
      </c>
      <c r="D12" s="8" t="s">
        <v>928</v>
      </c>
      <c r="E12" s="8" t="s">
        <v>248</v>
      </c>
      <c r="F12" s="8" t="s">
        <v>929</v>
      </c>
    </row>
    <row r="13" spans="1:6" ht="30" customHeight="1" x14ac:dyDescent="0.25">
      <c r="A13" s="8" t="s">
        <v>930</v>
      </c>
      <c r="B13" s="8" t="s">
        <v>931</v>
      </c>
      <c r="C13" s="8" t="s">
        <v>932</v>
      </c>
      <c r="D13" s="8" t="s">
        <v>933</v>
      </c>
      <c r="E13" s="8" t="s">
        <v>934</v>
      </c>
      <c r="F13" s="8" t="s">
        <v>935</v>
      </c>
    </row>
    <row r="14" spans="1:6" ht="30" customHeight="1" x14ac:dyDescent="0.25">
      <c r="A14" s="8" t="s">
        <v>936</v>
      </c>
      <c r="B14" s="8" t="s">
        <v>937</v>
      </c>
      <c r="C14" s="8" t="s">
        <v>938</v>
      </c>
      <c r="D14" s="8" t="s">
        <v>939</v>
      </c>
      <c r="E14" s="8" t="s">
        <v>257</v>
      </c>
      <c r="F14" s="8" t="s">
        <v>940</v>
      </c>
    </row>
    <row r="15" spans="1:6" ht="30" customHeight="1" x14ac:dyDescent="0.25">
      <c r="A15" s="8" t="s">
        <v>941</v>
      </c>
      <c r="B15" s="8" t="s">
        <v>942</v>
      </c>
      <c r="C15" s="8" t="s">
        <v>943</v>
      </c>
      <c r="D15" s="8" t="s">
        <v>944</v>
      </c>
      <c r="E15" s="8" t="s">
        <v>887</v>
      </c>
      <c r="F15" s="8" t="s">
        <v>945</v>
      </c>
    </row>
    <row r="16" spans="1:6" ht="30" customHeight="1" x14ac:dyDescent="0.25">
      <c r="A16" s="8" t="s">
        <v>946</v>
      </c>
      <c r="B16" s="8" t="s">
        <v>947</v>
      </c>
      <c r="C16" s="8" t="s">
        <v>948</v>
      </c>
      <c r="D16" s="8" t="s">
        <v>949</v>
      </c>
      <c r="E16" s="8" t="s">
        <v>163</v>
      </c>
      <c r="F16" s="8" t="s">
        <v>950</v>
      </c>
    </row>
    <row r="17" spans="1:6" ht="30" customHeight="1" x14ac:dyDescent="0.25">
      <c r="A17" s="8" t="s">
        <v>951</v>
      </c>
      <c r="B17" s="8" t="s">
        <v>952</v>
      </c>
      <c r="C17" s="8" t="s">
        <v>953</v>
      </c>
      <c r="D17" s="8" t="s">
        <v>954</v>
      </c>
      <c r="E17" s="8" t="s">
        <v>955</v>
      </c>
      <c r="F17" s="8" t="s">
        <v>956</v>
      </c>
    </row>
    <row r="18" spans="1:6" ht="30" customHeight="1" x14ac:dyDescent="0.25">
      <c r="A18" s="8" t="s">
        <v>957</v>
      </c>
      <c r="B18" s="8">
        <v>1.21</v>
      </c>
      <c r="C18" s="8" t="s">
        <v>958</v>
      </c>
      <c r="D18" s="8" t="s">
        <v>959</v>
      </c>
      <c r="E18" s="8" t="s">
        <v>960</v>
      </c>
      <c r="F18" s="8" t="s">
        <v>961</v>
      </c>
    </row>
    <row r="19" spans="1:6" ht="30" customHeight="1" x14ac:dyDescent="0.25">
      <c r="A19" s="8" t="s">
        <v>962</v>
      </c>
      <c r="B19" s="8">
        <v>1.1000000000000001</v>
      </c>
      <c r="C19" s="8" t="s">
        <v>963</v>
      </c>
      <c r="D19" s="8" t="s">
        <v>964</v>
      </c>
      <c r="E19" s="8" t="s">
        <v>965</v>
      </c>
      <c r="F19" s="8" t="s">
        <v>966</v>
      </c>
    </row>
    <row r="20" spans="1:6" ht="30" customHeight="1" x14ac:dyDescent="0.25">
      <c r="A20" s="8" t="s">
        <v>967</v>
      </c>
      <c r="B20" s="8">
        <v>0.75</v>
      </c>
      <c r="C20" s="8" t="s">
        <v>968</v>
      </c>
      <c r="D20" s="8" t="s">
        <v>969</v>
      </c>
      <c r="E20" s="8" t="s">
        <v>965</v>
      </c>
      <c r="F20" s="8" t="s">
        <v>970</v>
      </c>
    </row>
    <row r="21" spans="1:6" ht="30" customHeight="1" x14ac:dyDescent="0.25">
      <c r="A21" s="8" t="s">
        <v>971</v>
      </c>
      <c r="B21" s="8">
        <v>0.17499999999999999</v>
      </c>
      <c r="C21" s="8" t="s">
        <v>972</v>
      </c>
      <c r="D21" s="8" t="s">
        <v>110</v>
      </c>
      <c r="E21" s="8" t="s">
        <v>965</v>
      </c>
      <c r="F21" s="8" t="s">
        <v>973</v>
      </c>
    </row>
    <row r="22" spans="1:6" ht="51" customHeight="1" x14ac:dyDescent="0.3">
      <c r="A22" s="11" t="s">
        <v>974</v>
      </c>
      <c r="B22" s="11" t="s">
        <v>975</v>
      </c>
      <c r="C22" s="11" t="s">
        <v>976</v>
      </c>
      <c r="D22" s="11" t="s">
        <v>977</v>
      </c>
      <c r="E22" s="11" t="s">
        <v>978</v>
      </c>
      <c r="F22" s="11" t="s">
        <v>979</v>
      </c>
    </row>
    <row r="23" spans="1:6" ht="39.6" customHeight="1" x14ac:dyDescent="0.3">
      <c r="A23" s="11" t="s">
        <v>980</v>
      </c>
      <c r="B23" s="11" t="s">
        <v>981</v>
      </c>
      <c r="C23" s="11" t="s">
        <v>982</v>
      </c>
      <c r="D23" s="11" t="s">
        <v>983</v>
      </c>
      <c r="E23" s="11" t="s">
        <v>984</v>
      </c>
      <c r="F23" s="11" t="s">
        <v>985</v>
      </c>
    </row>
    <row r="24" spans="1:6" ht="39.6" customHeight="1" x14ac:dyDescent="0.3">
      <c r="A24" s="11" t="s">
        <v>986</v>
      </c>
      <c r="B24" s="11" t="s">
        <v>987</v>
      </c>
      <c r="C24" s="11" t="s">
        <v>988</v>
      </c>
      <c r="D24" s="11" t="s">
        <v>933</v>
      </c>
      <c r="E24" s="11" t="s">
        <v>347</v>
      </c>
      <c r="F24" s="11" t="s">
        <v>989</v>
      </c>
    </row>
    <row r="25" spans="1:6" ht="39.6" customHeight="1" x14ac:dyDescent="0.25"/>
    <row r="26" spans="1:6" ht="39.6" customHeight="1" x14ac:dyDescent="0.25"/>
    <row r="27" spans="1:6" ht="26.4" customHeight="1" x14ac:dyDescent="0.25"/>
    <row r="28" spans="1:6" ht="48" customHeight="1" x14ac:dyDescent="0.25"/>
    <row r="29" spans="1:6" ht="48" customHeight="1" x14ac:dyDescent="0.25"/>
    <row r="30" spans="1:6" ht="48" customHeight="1" x14ac:dyDescent="0.25"/>
    <row r="31" spans="1:6" ht="48" customHeight="1" x14ac:dyDescent="0.25"/>
    <row r="32" spans="1:6" ht="48" customHeight="1" x14ac:dyDescent="0.25"/>
    <row r="33" ht="48" customHeight="1" x14ac:dyDescent="0.25"/>
    <row r="34" ht="48" customHeight="1" x14ac:dyDescent="0.25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showGridLines="0" zoomScaleNormal="100" workbookViewId="0"/>
  </sheetViews>
  <sheetFormatPr defaultColWidth="11.5546875" defaultRowHeight="13.2" x14ac:dyDescent="0.25"/>
  <cols>
    <col min="1" max="3" width="38" customWidth="1"/>
    <col min="4" max="5" width="16" customWidth="1"/>
    <col min="6" max="9" width="38" customWidth="1"/>
  </cols>
  <sheetData>
    <row r="1" spans="1:9" ht="34.049999999999997" customHeight="1" x14ac:dyDescent="0.25">
      <c r="A1" s="7" t="s">
        <v>990</v>
      </c>
      <c r="B1" s="7" t="s">
        <v>991</v>
      </c>
      <c r="C1" s="7" t="s">
        <v>992</v>
      </c>
      <c r="D1" s="7" t="s">
        <v>993</v>
      </c>
      <c r="E1" s="7"/>
      <c r="F1" s="7" t="s">
        <v>39</v>
      </c>
      <c r="G1" s="7" t="s">
        <v>994</v>
      </c>
      <c r="H1" s="7" t="s">
        <v>995</v>
      </c>
      <c r="I1" s="7" t="s">
        <v>263</v>
      </c>
    </row>
    <row r="2" spans="1:9" ht="30" customHeight="1" x14ac:dyDescent="0.25">
      <c r="A2" s="8" t="s">
        <v>177</v>
      </c>
      <c r="B2" s="8" t="s">
        <v>996</v>
      </c>
      <c r="C2" s="8" t="s">
        <v>997</v>
      </c>
      <c r="D2" s="8" t="s">
        <v>998</v>
      </c>
      <c r="E2" s="8"/>
      <c r="F2" s="8" t="s">
        <v>969</v>
      </c>
      <c r="G2" s="8" t="s">
        <v>967</v>
      </c>
      <c r="H2" s="8" t="s">
        <v>999</v>
      </c>
      <c r="I2" s="8" t="s">
        <v>1000</v>
      </c>
    </row>
    <row r="3" spans="1:9" ht="30" customHeight="1" x14ac:dyDescent="0.25">
      <c r="A3" s="8" t="s">
        <v>1001</v>
      </c>
      <c r="B3" s="8" t="s">
        <v>1002</v>
      </c>
      <c r="C3" s="8" t="s">
        <v>1003</v>
      </c>
      <c r="D3" s="8" t="s">
        <v>1004</v>
      </c>
      <c r="E3" s="8"/>
      <c r="F3" s="8" t="s">
        <v>1005</v>
      </c>
      <c r="G3" s="8" t="s">
        <v>1006</v>
      </c>
      <c r="H3" s="8" t="s">
        <v>1007</v>
      </c>
      <c r="I3" s="8" t="s">
        <v>1008</v>
      </c>
    </row>
    <row r="4" spans="1:9" ht="30" customHeight="1" x14ac:dyDescent="0.25">
      <c r="A4" s="8" t="s">
        <v>187</v>
      </c>
      <c r="B4" s="8" t="s">
        <v>996</v>
      </c>
      <c r="C4" s="8" t="s">
        <v>1009</v>
      </c>
      <c r="D4" s="8" t="s">
        <v>998</v>
      </c>
      <c r="E4" s="8"/>
      <c r="F4" s="8" t="s">
        <v>1010</v>
      </c>
      <c r="G4" s="8" t="s">
        <v>1011</v>
      </c>
      <c r="H4" s="8" t="s">
        <v>1012</v>
      </c>
      <c r="I4" s="8" t="s">
        <v>1013</v>
      </c>
    </row>
    <row r="5" spans="1:9" ht="30" customHeight="1" x14ac:dyDescent="0.25">
      <c r="A5" s="8" t="s">
        <v>223</v>
      </c>
      <c r="B5" s="8" t="s">
        <v>996</v>
      </c>
      <c r="C5" s="8" t="s">
        <v>1014</v>
      </c>
      <c r="D5" s="8" t="s">
        <v>998</v>
      </c>
      <c r="E5" s="8"/>
      <c r="F5" s="8" t="s">
        <v>1015</v>
      </c>
      <c r="G5" s="8" t="s">
        <v>1016</v>
      </c>
      <c r="H5" s="8" t="s">
        <v>1017</v>
      </c>
      <c r="I5" s="8" t="s">
        <v>1018</v>
      </c>
    </row>
    <row r="6" spans="1:9" ht="30" customHeight="1" x14ac:dyDescent="0.25">
      <c r="A6" s="8" t="s">
        <v>1019</v>
      </c>
      <c r="B6" s="8" t="s">
        <v>1002</v>
      </c>
      <c r="C6" s="8" t="s">
        <v>1020</v>
      </c>
      <c r="D6" s="8" t="s">
        <v>1004</v>
      </c>
      <c r="E6" s="8"/>
      <c r="F6" s="8" t="s">
        <v>1021</v>
      </c>
      <c r="G6" s="8" t="s">
        <v>1022</v>
      </c>
      <c r="H6" s="8" t="s">
        <v>959</v>
      </c>
      <c r="I6" s="8" t="s">
        <v>1023</v>
      </c>
    </row>
    <row r="7" spans="1:9" ht="30" customHeight="1" x14ac:dyDescent="0.25">
      <c r="A7" s="8" t="s">
        <v>431</v>
      </c>
      <c r="B7" s="8" t="s">
        <v>1024</v>
      </c>
      <c r="C7" s="8" t="s">
        <v>1025</v>
      </c>
      <c r="D7" s="8" t="s">
        <v>1026</v>
      </c>
      <c r="E7" s="8"/>
      <c r="F7" s="8" t="s">
        <v>1027</v>
      </c>
      <c r="G7" s="8" t="s">
        <v>1028</v>
      </c>
      <c r="H7" s="8" t="s">
        <v>964</v>
      </c>
      <c r="I7" s="8" t="s">
        <v>1029</v>
      </c>
    </row>
    <row r="8" spans="1:9" ht="30" customHeight="1" x14ac:dyDescent="0.25">
      <c r="A8" s="8" t="s">
        <v>436</v>
      </c>
      <c r="B8" s="8" t="s">
        <v>996</v>
      </c>
      <c r="C8" s="8" t="s">
        <v>1030</v>
      </c>
      <c r="D8" s="8" t="s">
        <v>998</v>
      </c>
      <c r="E8" s="8"/>
      <c r="F8" s="8" t="s">
        <v>1031</v>
      </c>
      <c r="G8" s="8" t="s">
        <v>1032</v>
      </c>
      <c r="H8" s="8" t="s">
        <v>1033</v>
      </c>
      <c r="I8" s="8" t="s">
        <v>1034</v>
      </c>
    </row>
    <row r="9" spans="1:9" ht="30" customHeight="1" x14ac:dyDescent="0.25">
      <c r="A9" s="8" t="s">
        <v>1035</v>
      </c>
      <c r="B9" s="8" t="s">
        <v>1036</v>
      </c>
      <c r="C9" s="8" t="s">
        <v>1037</v>
      </c>
      <c r="D9" s="8" t="s">
        <v>1026</v>
      </c>
      <c r="E9" s="8"/>
      <c r="F9" s="8" t="s">
        <v>66</v>
      </c>
      <c r="G9" s="8" t="s">
        <v>1038</v>
      </c>
      <c r="H9" s="8" t="s">
        <v>1039</v>
      </c>
      <c r="I9" s="8" t="s">
        <v>1040</v>
      </c>
    </row>
    <row r="10" spans="1:9" ht="30" customHeight="1" x14ac:dyDescent="0.25">
      <c r="A10" s="8" t="s">
        <v>1041</v>
      </c>
      <c r="B10" s="8" t="s">
        <v>1042</v>
      </c>
      <c r="C10" s="8" t="s">
        <v>1043</v>
      </c>
      <c r="D10" s="8" t="s">
        <v>949</v>
      </c>
      <c r="E10" s="8"/>
      <c r="F10" s="8" t="s">
        <v>1044</v>
      </c>
      <c r="G10" s="8" t="s">
        <v>1045</v>
      </c>
      <c r="H10" s="8" t="s">
        <v>110</v>
      </c>
      <c r="I10" s="8" t="s">
        <v>1046</v>
      </c>
    </row>
    <row r="11" spans="1:9" ht="30" customHeight="1" x14ac:dyDescent="0.25">
      <c r="A11" s="8" t="s">
        <v>1047</v>
      </c>
      <c r="B11" s="8" t="s">
        <v>1048</v>
      </c>
      <c r="C11" s="8" t="s">
        <v>1049</v>
      </c>
      <c r="D11" s="8" t="s">
        <v>1050</v>
      </c>
      <c r="E11" s="8"/>
      <c r="F11" s="8" t="s">
        <v>1051</v>
      </c>
      <c r="G11" s="8" t="s">
        <v>1052</v>
      </c>
      <c r="H11" s="8" t="s">
        <v>564</v>
      </c>
      <c r="I11" s="8" t="s">
        <v>1053</v>
      </c>
    </row>
    <row r="12" spans="1:9" ht="30" customHeight="1" x14ac:dyDescent="0.25">
      <c r="A12" s="8" t="s">
        <v>1054</v>
      </c>
      <c r="B12" s="8" t="s">
        <v>1055</v>
      </c>
      <c r="C12" s="8" t="s">
        <v>1056</v>
      </c>
      <c r="D12" s="8" t="s">
        <v>1057</v>
      </c>
      <c r="E12" s="8"/>
      <c r="F12" s="8" t="s">
        <v>1058</v>
      </c>
      <c r="G12" s="8" t="s">
        <v>1059</v>
      </c>
      <c r="H12" s="8" t="s">
        <v>619</v>
      </c>
      <c r="I12" s="8" t="s">
        <v>1060</v>
      </c>
    </row>
    <row r="13" spans="1:9" ht="30" customHeight="1" x14ac:dyDescent="0.25">
      <c r="A13" s="8" t="s">
        <v>1061</v>
      </c>
      <c r="B13" s="8" t="s">
        <v>1062</v>
      </c>
      <c r="C13" s="8" t="s">
        <v>1063</v>
      </c>
      <c r="D13" s="8" t="s">
        <v>1064</v>
      </c>
      <c r="E13" s="8"/>
      <c r="F13" s="8" t="s">
        <v>509</v>
      </c>
      <c r="G13" s="8" t="s">
        <v>1065</v>
      </c>
      <c r="H13" s="8" t="s">
        <v>510</v>
      </c>
      <c r="I13" s="8" t="s">
        <v>1066</v>
      </c>
    </row>
    <row r="14" spans="1:9" ht="54" customHeight="1" x14ac:dyDescent="0.25"/>
    <row r="15" spans="1:9" ht="54" customHeight="1" x14ac:dyDescent="0.25"/>
    <row r="16" spans="1:9" ht="54" customHeight="1" x14ac:dyDescent="0.25"/>
    <row r="17" ht="54" customHeight="1" x14ac:dyDescent="0.25"/>
    <row r="18" ht="54" customHeight="1" x14ac:dyDescent="0.25"/>
    <row r="19" ht="54" customHeight="1" x14ac:dyDescent="0.25"/>
  </sheetData>
  <conditionalFormatting sqref="B2:B9">
    <cfRule type="containsText" dxfId="13" priority="2" operator="containsText" text="OK">
      <formula>NOT(ISERROR(SEARCH("OK",B2)))</formula>
    </cfRule>
    <cfRule type="containsText" dxfId="12" priority="3" operator="containsText" text="FAIL">
      <formula>NOT(ISERROR(SEARCH("FAIL",B2)))</formula>
    </cfRule>
    <cfRule type="containsText" dxfId="11" priority="4" operator="containsText" text="REVIEW">
      <formula>NOT(ISERROR(SEARCH("REVIEW",B2)))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"/>
  <sheetViews>
    <sheetView showGridLines="0" topLeftCell="A10" zoomScaleNormal="100" workbookViewId="0">
      <selection activeCell="B22" sqref="B22"/>
    </sheetView>
  </sheetViews>
  <sheetFormatPr defaultColWidth="11.5546875" defaultRowHeight="13.2" x14ac:dyDescent="0.25"/>
  <cols>
    <col min="1" max="1" width="16" customWidth="1"/>
    <col min="2" max="2" width="38" customWidth="1"/>
    <col min="3" max="5" width="16" customWidth="1"/>
    <col min="6" max="6" width="38" customWidth="1"/>
  </cols>
  <sheetData>
    <row r="1" spans="1:6" ht="34.049999999999997" customHeight="1" x14ac:dyDescent="0.25">
      <c r="A1" s="7" t="s">
        <v>1067</v>
      </c>
      <c r="B1" s="7" t="s">
        <v>1068</v>
      </c>
      <c r="C1" s="7" t="s">
        <v>1069</v>
      </c>
      <c r="D1" s="7" t="s">
        <v>1070</v>
      </c>
      <c r="E1" s="7" t="s">
        <v>1071</v>
      </c>
      <c r="F1" s="7" t="s">
        <v>1072</v>
      </c>
    </row>
    <row r="2" spans="1:6" ht="30" customHeight="1" x14ac:dyDescent="0.25">
      <c r="A2" s="8" t="s">
        <v>1073</v>
      </c>
      <c r="B2" s="8" t="s">
        <v>1074</v>
      </c>
      <c r="C2" s="8">
        <v>0</v>
      </c>
      <c r="D2" s="8">
        <f>COUNTIF(Intervention_Cause_Map!$Q$2:$Q$62,"&gt;1")</f>
        <v>0</v>
      </c>
      <c r="E2" s="8" t="str">
        <f t="shared" ref="E2:E25" si="0">IF(D2=C2,"PASS","FAIL")</f>
        <v>PASS</v>
      </c>
      <c r="F2" s="8" t="s">
        <v>1075</v>
      </c>
    </row>
    <row r="3" spans="1:6" ht="30" customHeight="1" x14ac:dyDescent="0.25">
      <c r="A3" s="8" t="s">
        <v>1076</v>
      </c>
      <c r="B3" s="8" t="s">
        <v>1077</v>
      </c>
      <c r="C3" s="8">
        <v>0</v>
      </c>
      <c r="D3" s="8">
        <f>COUNTIF(Exposure_Targets!$U$2:$U$13,"&lt;&gt;OK")</f>
        <v>0</v>
      </c>
      <c r="E3" s="8" t="str">
        <f t="shared" si="0"/>
        <v>PASS</v>
      </c>
      <c r="F3" s="8" t="s">
        <v>1078</v>
      </c>
    </row>
    <row r="4" spans="1:6" ht="30" customHeight="1" x14ac:dyDescent="0.25">
      <c r="A4" s="8" t="s">
        <v>1079</v>
      </c>
      <c r="B4" s="8" t="s">
        <v>1080</v>
      </c>
      <c r="C4" s="8">
        <v>0</v>
      </c>
      <c r="D4" s="8">
        <f>COUNTIF(Policy_Levers!$O$2:$O$13,"&lt;&gt;OK")</f>
        <v>0</v>
      </c>
      <c r="E4" s="8" t="str">
        <f t="shared" si="0"/>
        <v>PASS</v>
      </c>
      <c r="F4" s="8" t="s">
        <v>1081</v>
      </c>
    </row>
    <row r="5" spans="1:6" ht="30" customHeight="1" x14ac:dyDescent="0.25">
      <c r="A5" s="8" t="s">
        <v>1082</v>
      </c>
      <c r="B5" s="8" t="s">
        <v>1083</v>
      </c>
      <c r="C5" s="8">
        <v>13</v>
      </c>
      <c r="D5" s="8">
        <f>COUNTIF(Effect_Parameters!$W$2:$W$62,"&lt;&gt;OK")</f>
        <v>13</v>
      </c>
      <c r="E5" s="8" t="str">
        <f t="shared" si="0"/>
        <v>PASS</v>
      </c>
      <c r="F5" s="8" t="s">
        <v>1084</v>
      </c>
    </row>
    <row r="6" spans="1:6" ht="30" customHeight="1" x14ac:dyDescent="0.25">
      <c r="A6" s="8" t="s">
        <v>1085</v>
      </c>
      <c r="B6" s="8" t="s">
        <v>1086</v>
      </c>
      <c r="C6" s="8">
        <v>0</v>
      </c>
      <c r="D6" s="8">
        <f>COUNTIFS(Cost_Components!$D$2:$D$15,1,Cost_Components!$AC$2:$AC$15,"&lt;&gt;OK")</f>
        <v>12</v>
      </c>
      <c r="E6" s="8" t="str">
        <f t="shared" si="0"/>
        <v>FAIL</v>
      </c>
      <c r="F6" s="8" t="s">
        <v>1087</v>
      </c>
    </row>
    <row r="7" spans="1:6" ht="30" customHeight="1" x14ac:dyDescent="0.25">
      <c r="A7" s="8" t="s">
        <v>1088</v>
      </c>
      <c r="B7" s="8" t="s">
        <v>1089</v>
      </c>
      <c r="C7" s="8">
        <v>0</v>
      </c>
      <c r="D7" s="8">
        <f>ABS(COUNTA(Scenario_Hierarchy!$C$2:$C$13)-COUNTA(Exposure_Targets!$B$2:$B$13))</f>
        <v>0</v>
      </c>
      <c r="E7" s="8" t="str">
        <f t="shared" si="0"/>
        <v>PASS</v>
      </c>
      <c r="F7" s="8" t="s">
        <v>1090</v>
      </c>
    </row>
    <row r="8" spans="1:6" ht="30" customHeight="1" x14ac:dyDescent="0.25">
      <c r="A8" s="8" t="s">
        <v>1091</v>
      </c>
      <c r="B8" s="8" t="s">
        <v>1092</v>
      </c>
      <c r="C8" s="8">
        <v>0</v>
      </c>
      <c r="D8" s="8">
        <f>ABS(COUNTA(Intervention_Cause_Map!$A$2:$A$62)-COUNTA(Effect_Parameters!$B$2:$B$62))</f>
        <v>0</v>
      </c>
      <c r="E8" s="8" t="str">
        <f t="shared" si="0"/>
        <v>PASS</v>
      </c>
      <c r="F8" s="8" t="s">
        <v>1093</v>
      </c>
    </row>
    <row r="9" spans="1:6" ht="30" customHeight="1" x14ac:dyDescent="0.25">
      <c r="A9" s="8" t="s">
        <v>1094</v>
      </c>
      <c r="B9" s="8" t="s">
        <v>1095</v>
      </c>
      <c r="C9" s="8">
        <v>0</v>
      </c>
      <c r="D9" s="8">
        <f>SUM(Intervention_Cause_Map!$O$2:$O$62)</f>
        <v>0</v>
      </c>
      <c r="E9" s="8" t="str">
        <f t="shared" si="0"/>
        <v>PASS</v>
      </c>
      <c r="F9" s="8" t="s">
        <v>1096</v>
      </c>
    </row>
    <row r="10" spans="1:6" ht="30" customHeight="1" x14ac:dyDescent="0.25">
      <c r="A10" s="8" t="s">
        <v>1097</v>
      </c>
      <c r="B10" s="8" t="s">
        <v>1098</v>
      </c>
      <c r="C10" s="8">
        <v>0</v>
      </c>
      <c r="D10" s="8">
        <f>COUNTA(Intervention_Cause_Map!$A$2:$A$62)-COUNTIFS(Intervention_Cause_Map!$L$2:$L$62,"well",Intervention_Cause_Map!$M$2:$M$62,"sick")-COUNTIFS(Intervention_Cause_Map!$L$2:$L$62,"sick",Intervention_Cause_Map!$M$2:$M$62,"dead")</f>
        <v>0</v>
      </c>
      <c r="E10" s="8" t="str">
        <f t="shared" si="0"/>
        <v>PASS</v>
      </c>
      <c r="F10" s="8" t="s">
        <v>1099</v>
      </c>
    </row>
    <row r="11" spans="1:6" ht="30" customHeight="1" x14ac:dyDescent="0.25">
      <c r="A11" s="8" t="s">
        <v>1100</v>
      </c>
      <c r="B11" s="8" t="s">
        <v>1101</v>
      </c>
      <c r="C11" s="8">
        <v>0</v>
      </c>
      <c r="D11" s="8">
        <f>COUNTBLANK(Effect_Parameters!$R$2:$R$62)</f>
        <v>0</v>
      </c>
      <c r="E11" s="8" t="str">
        <f t="shared" si="0"/>
        <v>PASS</v>
      </c>
      <c r="F11" s="8" t="s">
        <v>1102</v>
      </c>
    </row>
    <row r="12" spans="1:6" ht="30" customHeight="1" x14ac:dyDescent="0.25">
      <c r="A12" s="8" t="s">
        <v>1103</v>
      </c>
      <c r="B12" s="8" t="s">
        <v>1104</v>
      </c>
      <c r="C12" s="8">
        <v>0</v>
      </c>
      <c r="D12" s="8">
        <f>IF(Assumptions!$B$27="RR",COUNTIFS(Effect_Parameters!$D$2:$D$62,"R_TFA",Effect_Parameters!$L$2:$L$62,1),0)+COUNTIFS(Effect_Parameters!$D$2:$D$62,"R_SMOKING",Effect_Parameters!$L$2:$L$62,1)+COUNTIFS(Effect_Parameters!$D$2:$D$62,"R_ALCOHOL",Effect_Parameters!$L$2:$L$62,1)+COUNTIFS(Effect_Parameters!$D$2:$D$62,"R_SODIUM",Effect_Parameters!$L$2:$L$62,1)+COUNTIFS(Effect_Parameters!$D$2:$D$62,"R_SSB",Effect_Parameters!$L$2:$L$62,1)</f>
        <v>0</v>
      </c>
      <c r="E12" s="8" t="str">
        <f t="shared" si="0"/>
        <v>PASS</v>
      </c>
      <c r="F12" s="8" t="s">
        <v>1105</v>
      </c>
    </row>
    <row r="13" spans="1:6" ht="30" customHeight="1" x14ac:dyDescent="0.25">
      <c r="A13" s="8" t="s">
        <v>1106</v>
      </c>
      <c r="B13" s="8" t="s">
        <v>1107</v>
      </c>
      <c r="C13" s="8">
        <v>0</v>
      </c>
      <c r="D13" s="8">
        <f>COUNTIF(Intervention_Cause_Map!$F$2:$F$62,"C_IHD_HBG")</f>
        <v>0</v>
      </c>
      <c r="E13" s="8" t="str">
        <f t="shared" si="0"/>
        <v>PASS</v>
      </c>
      <c r="F13" s="8" t="s">
        <v>1108</v>
      </c>
    </row>
    <row r="14" spans="1:6" ht="30" customHeight="1" x14ac:dyDescent="0.25">
      <c r="A14" s="8" t="s">
        <v>1109</v>
      </c>
      <c r="B14" s="8" t="s">
        <v>1110</v>
      </c>
      <c r="C14" s="8">
        <v>0</v>
      </c>
      <c r="D14" s="8">
        <f>COUNTIFS(Policy_Levers!$E$2:$E$13,"regulatory_gap_multiplicative",Policy_Levers!$V$2:$V$13,"&lt;&gt;none",Policy_Levers!$V$2:$V$13,"&lt;&gt;partial",Policy_Levers!$V$2:$V$13,"&lt;&gt;full")+COUNTIFS(Policy_Levers!$E$2:$E$13,"regulatory_gap_multiplicative",Policy_Levers!$W$2:$W$13,"&lt;&gt;none",Policy_Levers!$W$2:$W$13,"&lt;&gt;partial",Policy_Levers!$W$2:$W$13,"&lt;&gt;full")</f>
        <v>0</v>
      </c>
      <c r="E14" s="8" t="str">
        <f t="shared" si="0"/>
        <v>PASS</v>
      </c>
      <c r="F14" s="8" t="s">
        <v>1111</v>
      </c>
    </row>
    <row r="15" spans="1:6" ht="30" customHeight="1" x14ac:dyDescent="0.25">
      <c r="A15" s="8" t="s">
        <v>1112</v>
      </c>
      <c r="B15" s="8" t="s">
        <v>1113</v>
      </c>
      <c r="C15" s="8">
        <v>0</v>
      </c>
      <c r="D15" s="8">
        <f>COUNTIFS(Policy_Levers!$E$2:$E$13,"tax_share_to_price_elasticity",Policy_Levers!$S$2:$S$13,"")+COUNTIFS(Policy_Levers!$E$2:$E$13,"tax_share_to_price_elasticity",Policy_Levers!$T$2:$T$13,"")+COUNTIFS(Policy_Levers!$E$2:$E$13,"price_elasticity",Policy_Levers!$S$2:$S$13,"")+COUNTIFS(Policy_Levers!$E$2:$E$13,"price_elasticity",Policy_Levers!$T$2:$T$13,"")</f>
        <v>0</v>
      </c>
      <c r="E15" s="8" t="str">
        <f t="shared" si="0"/>
        <v>PASS</v>
      </c>
      <c r="F15" s="8" t="s">
        <v>1114</v>
      </c>
    </row>
    <row r="16" spans="1:6" ht="30" customHeight="1" x14ac:dyDescent="0.25">
      <c r="A16" s="8" t="s">
        <v>1115</v>
      </c>
      <c r="B16" s="8" t="s">
        <v>1116</v>
      </c>
      <c r="C16" s="8">
        <v>0</v>
      </c>
      <c r="D16" s="8">
        <f>COUNTIFS(Scenario_Hierarchy!$F$2:$F$13,"child",Scenario_Hierarchy!$A$2:$A$13,"")</f>
        <v>0</v>
      </c>
      <c r="E16" s="8" t="str">
        <f t="shared" si="0"/>
        <v>PASS</v>
      </c>
      <c r="F16" s="8" t="s">
        <v>1117</v>
      </c>
    </row>
    <row r="17" spans="1:6" ht="30" customHeight="1" x14ac:dyDescent="0.25">
      <c r="A17" s="8" t="s">
        <v>1118</v>
      </c>
      <c r="B17" s="8" t="s">
        <v>1119</v>
      </c>
      <c r="C17" s="8">
        <v>0</v>
      </c>
      <c r="D17" s="8">
        <f>ABS(COUNTIF(Scenario_Hierarchy!$A$2:$A$13,"I_PH_TOBACCO_POLICY")-3)</f>
        <v>0</v>
      </c>
      <c r="E17" s="8" t="str">
        <f t="shared" si="0"/>
        <v>PASS</v>
      </c>
      <c r="F17" s="8" t="s">
        <v>1120</v>
      </c>
    </row>
    <row r="18" spans="1:6" ht="30" customHeight="1" x14ac:dyDescent="0.25">
      <c r="A18" s="8" t="s">
        <v>1121</v>
      </c>
      <c r="B18" s="8" t="s">
        <v>1122</v>
      </c>
      <c r="C18" s="8">
        <v>0</v>
      </c>
      <c r="D18" s="8">
        <f>ABS(COUNTIF(Scenario_Hierarchy!$A$2:$A$13,"I_PH_SALT_POLICY")-4)</f>
        <v>0</v>
      </c>
      <c r="E18" s="8" t="str">
        <f t="shared" si="0"/>
        <v>PASS</v>
      </c>
      <c r="F18" s="8" t="s">
        <v>1123</v>
      </c>
    </row>
    <row r="19" spans="1:6" ht="30" customHeight="1" x14ac:dyDescent="0.25">
      <c r="A19" s="8" t="s">
        <v>1124</v>
      </c>
      <c r="B19" s="8" t="s">
        <v>1125</v>
      </c>
      <c r="C19" s="8">
        <v>0</v>
      </c>
      <c r="D19" s="8">
        <f>IF(ABS(SUMIFS(Cost_Components!$AE$2:$AE$15,Cost_Components!$AD$2:$AD$15,"I_PH_TOBACCO_POLICY",Cost_Components!$AH$2:$AH$15,"child")-1)&lt;0.000001,0,1)</f>
        <v>0</v>
      </c>
      <c r="E19" s="8" t="str">
        <f t="shared" si="0"/>
        <v>PASS</v>
      </c>
      <c r="F19" s="8" t="s">
        <v>1126</v>
      </c>
    </row>
    <row r="20" spans="1:6" ht="30" customHeight="1" x14ac:dyDescent="0.25">
      <c r="A20" s="8" t="s">
        <v>1127</v>
      </c>
      <c r="B20" s="8" t="s">
        <v>1128</v>
      </c>
      <c r="C20" s="8">
        <v>0</v>
      </c>
      <c r="D20" s="8">
        <f>IF(ABS(SUMIFS(Cost_Components!$AE$2:$AE$15,Cost_Components!$AD$2:$AD$15,"I_PH_SALT_POLICY",Cost_Components!$AH$2:$AH$15,"child")-1)&lt;0.000001,0,1)</f>
        <v>0</v>
      </c>
      <c r="E20" s="8" t="str">
        <f t="shared" si="0"/>
        <v>PASS</v>
      </c>
      <c r="F20" s="8" t="s">
        <v>1126</v>
      </c>
    </row>
    <row r="21" spans="1:6" ht="28.8" customHeight="1" x14ac:dyDescent="0.3">
      <c r="A21" s="11" t="s">
        <v>1129</v>
      </c>
      <c r="B21" s="11" t="s">
        <v>1130</v>
      </c>
      <c r="C21" s="11">
        <v>13</v>
      </c>
      <c r="D21" s="11">
        <f>COUNTIFS(Intervention_Cause_Map!$L$2:$L$62,"sick",Intervention_Cause_Map!$M$2:$M$62,"dead")</f>
        <v>13</v>
      </c>
      <c r="E21" s="11" t="str">
        <f t="shared" si="0"/>
        <v>PASS</v>
      </c>
      <c r="F21" s="11" t="s">
        <v>1131</v>
      </c>
    </row>
    <row r="22" spans="1:6" ht="14.4" customHeight="1" x14ac:dyDescent="0.3">
      <c r="A22" s="11" t="s">
        <v>1132</v>
      </c>
      <c r="B22" s="11" t="s">
        <v>1133</v>
      </c>
      <c r="C22" s="11">
        <v>12</v>
      </c>
      <c r="D22" s="11">
        <f>COUNTIFS(Intervention_Cause_Map!$C$2:$C$62,"R_SMOKING",Intervention_Cause_Map!$L$2:$L$62,"sick",Intervention_Cause_Map!$M$2:$M$62,"dead")</f>
        <v>12</v>
      </c>
      <c r="E22" s="11" t="str">
        <f t="shared" si="0"/>
        <v>PASS</v>
      </c>
      <c r="F22" s="11" t="s">
        <v>1134</v>
      </c>
    </row>
    <row r="23" spans="1:6" ht="28.8" customHeight="1" x14ac:dyDescent="0.3">
      <c r="A23" s="11" t="s">
        <v>1135</v>
      </c>
      <c r="B23" s="11" t="s">
        <v>1136</v>
      </c>
      <c r="C23" s="11">
        <v>0</v>
      </c>
      <c r="D23" s="11">
        <f>SUMIFS(Intervention_Cause_Map!$N$2:$N$62,Intervention_Cause_Map!$A$2:$A$62,"I_PH_SSB_TAX__C_T2DM__SICK_DEAD")</f>
        <v>0</v>
      </c>
      <c r="E23" s="11" t="str">
        <f t="shared" si="0"/>
        <v>PASS</v>
      </c>
      <c r="F23" s="11" t="s">
        <v>1137</v>
      </c>
    </row>
    <row r="24" spans="1:6" ht="14.4" customHeight="1" x14ac:dyDescent="0.3">
      <c r="A24" s="11" t="s">
        <v>1138</v>
      </c>
      <c r="B24" s="11" t="s">
        <v>1139</v>
      </c>
      <c r="C24" s="11">
        <v>0</v>
      </c>
      <c r="D24" s="11">
        <f>COUNTIFS(Effect_Parameters!$P$2:$P$62,"sick",Effect_Parameters!$Q$2:$Q$62,"dead",Effect_Parameters!$R$2:$R$62,"")</f>
        <v>0</v>
      </c>
      <c r="E24" s="11" t="str">
        <f t="shared" si="0"/>
        <v>PASS</v>
      </c>
      <c r="F24" s="11" t="s">
        <v>1140</v>
      </c>
    </row>
    <row r="25" spans="1:6" ht="28.8" customHeight="1" x14ac:dyDescent="0.3">
      <c r="A25" s="11" t="s">
        <v>1141</v>
      </c>
      <c r="B25" s="11" t="s">
        <v>1142</v>
      </c>
      <c r="C25" s="11">
        <v>0</v>
      </c>
      <c r="D25" s="11">
        <f>COUNTIFS(Effect_Parameters!$D$2:$D$62,"R_SMOKING",Effect_Parameters!$E$2:$E$62,"C_IHD",Effect_Parameters!$N$2:$N$62,"&lt;&gt;jha_piecewise_shared_scalar")+COUNTIFS(Effect_Parameters!$D$2:$D$62,"R_SMOKING",Effect_Parameters!$E$2:$E$62,"C_IS",Effect_Parameters!$N$2:$N$62,"&lt;&gt;jha_piecewise_shared_scalar")+COUNTIFS(Effect_Parameters!$D$2:$D$62,"R_SMOKING",Effect_Parameters!$E$2:$E$62,"C_ICH",Effect_Parameters!$N$2:$N$62,"&lt;&gt;jha_piecewise_shared_scalar")</f>
        <v>0</v>
      </c>
      <c r="E25" s="11" t="str">
        <f t="shared" si="0"/>
        <v>PASS</v>
      </c>
      <c r="F25" s="11" t="s">
        <v>1143</v>
      </c>
    </row>
  </sheetData>
  <conditionalFormatting sqref="E2:E11">
    <cfRule type="containsText" dxfId="10" priority="2" operator="containsText" text="OK">
      <formula>NOT(ISERROR(SEARCH("OK",E2)))</formula>
    </cfRule>
    <cfRule type="containsText" dxfId="9" priority="3" operator="containsText" text="FAIL">
      <formula>NOT(ISERROR(SEARCH("FAIL",E2)))</formula>
    </cfRule>
    <cfRule type="containsText" dxfId="8" priority="4" operator="containsText" text="REVIEW">
      <formula>NOT(ISERROR(SEARCH("REVIEW",E2)))</formula>
    </cfRule>
  </conditionalFormatting>
  <conditionalFormatting sqref="E2:E20">
    <cfRule type="containsText" dxfId="7" priority="9" operator="containsText" text="FAIL">
      <formula>NOT(ISERROR(SEARCH("FAIL",E2)))</formula>
    </cfRule>
    <cfRule type="containsText" dxfId="6" priority="10" operator="containsText" text="PASS">
      <formula>NOT(ISERROR(SEARCH("PASS",E2)))</formula>
    </cfRule>
  </conditionalFormatting>
  <conditionalFormatting sqref="E2:E25">
    <cfRule type="containsText" dxfId="5" priority="11" operator="containsText" text="PASS">
      <formula>NOT(ISERROR(SEARCH("PASS",E2)))</formula>
    </cfRule>
    <cfRule type="containsText" dxfId="4" priority="12" operator="containsText" text="FAIL">
      <formula>NOT(ISERROR(SEARCH("FAIL",E2)))</formula>
    </cfRule>
  </conditionalFormatting>
  <conditionalFormatting sqref="E14:E16">
    <cfRule type="containsText" dxfId="3" priority="5" operator="containsText" text="PASS">
      <formula>NOT(ISERROR(SEARCH("PASS",E14)))</formula>
    </cfRule>
    <cfRule type="containsText" dxfId="2" priority="6" operator="containsText" text="FAIL">
      <formula>NOT(ISERROR(SEARCH("FAIL",E14)))</formula>
    </cfRule>
    <cfRule type="containsText" dxfId="1" priority="7" operator="containsText" text="PASS">
      <formula>NOT(ISERROR(SEARCH("PASS",E14)))</formula>
    </cfRule>
    <cfRule type="containsText" dxfId="0" priority="8" operator="containsText" text="FAIL">
      <formula>NOT(ISERROR(SEARCH("FAIL",E14)))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3"/>
  <sheetViews>
    <sheetView showGridLines="0" zoomScaleNormal="100" workbookViewId="0"/>
  </sheetViews>
  <sheetFormatPr defaultColWidth="11.5546875" defaultRowHeight="13.2" x14ac:dyDescent="0.25"/>
  <cols>
    <col min="1" max="2" width="38" customWidth="1"/>
    <col min="3" max="3" width="16" customWidth="1"/>
    <col min="4" max="4" width="38" customWidth="1"/>
    <col min="5" max="8" width="16" customWidth="1"/>
    <col min="9" max="11" width="38" customWidth="1"/>
    <col min="12" max="12" width="16" customWidth="1"/>
    <col min="13" max="13" width="38" customWidth="1"/>
  </cols>
  <sheetData>
    <row r="1" spans="1:13" ht="34.049999999999997" customHeight="1" x14ac:dyDescent="0.25">
      <c r="A1" s="7" t="s">
        <v>887</v>
      </c>
      <c r="B1" s="7" t="s">
        <v>1144</v>
      </c>
      <c r="C1" s="7" t="s">
        <v>163</v>
      </c>
      <c r="D1" s="7" t="s">
        <v>164</v>
      </c>
      <c r="E1" s="7" t="s">
        <v>165</v>
      </c>
      <c r="F1" s="7" t="s">
        <v>820</v>
      </c>
      <c r="G1" s="7" t="s">
        <v>1145</v>
      </c>
      <c r="H1" s="7" t="s">
        <v>1146</v>
      </c>
      <c r="I1" s="7" t="s">
        <v>1147</v>
      </c>
      <c r="J1" s="7" t="s">
        <v>1148</v>
      </c>
      <c r="K1" s="7" t="s">
        <v>1149</v>
      </c>
      <c r="L1" s="7" t="s">
        <v>1150</v>
      </c>
      <c r="M1" s="7" t="s">
        <v>1151</v>
      </c>
    </row>
    <row r="2" spans="1:13" ht="30" customHeight="1" x14ac:dyDescent="0.25">
      <c r="A2" s="8" t="s">
        <v>176</v>
      </c>
      <c r="B2" s="8" t="s">
        <v>177</v>
      </c>
      <c r="C2" s="8" t="s">
        <v>176</v>
      </c>
      <c r="D2" s="8" t="s">
        <v>177</v>
      </c>
      <c r="E2" s="8" t="s">
        <v>178</v>
      </c>
      <c r="F2" s="8" t="s">
        <v>380</v>
      </c>
      <c r="G2" s="8">
        <v>1</v>
      </c>
      <c r="H2" s="8" t="s">
        <v>176</v>
      </c>
      <c r="I2" s="8" t="s">
        <v>1152</v>
      </c>
      <c r="J2" s="8" t="s">
        <v>1153</v>
      </c>
      <c r="K2" s="8" t="s">
        <v>1154</v>
      </c>
      <c r="L2" s="8">
        <v>1</v>
      </c>
      <c r="M2" s="8" t="s">
        <v>1155</v>
      </c>
    </row>
    <row r="3" spans="1:13" ht="30" customHeight="1" x14ac:dyDescent="0.25">
      <c r="A3" s="8" t="s">
        <v>186</v>
      </c>
      <c r="B3" s="8" t="s">
        <v>187</v>
      </c>
      <c r="C3" s="8" t="s">
        <v>186</v>
      </c>
      <c r="D3" s="8" t="s">
        <v>187</v>
      </c>
      <c r="E3" s="8" t="s">
        <v>188</v>
      </c>
      <c r="F3" s="8" t="s">
        <v>380</v>
      </c>
      <c r="G3" s="8">
        <v>1</v>
      </c>
      <c r="H3" s="8" t="s">
        <v>186</v>
      </c>
      <c r="I3" s="8" t="s">
        <v>1152</v>
      </c>
      <c r="J3" s="8" t="s">
        <v>1153</v>
      </c>
      <c r="K3" s="8" t="s">
        <v>1154</v>
      </c>
      <c r="L3" s="8">
        <v>1</v>
      </c>
      <c r="M3" s="8" t="s">
        <v>1155</v>
      </c>
    </row>
    <row r="4" spans="1:13" ht="30" customHeight="1" x14ac:dyDescent="0.25">
      <c r="A4" s="8" t="s">
        <v>396</v>
      </c>
      <c r="B4" s="8" t="s">
        <v>397</v>
      </c>
      <c r="C4" s="8" t="s">
        <v>197</v>
      </c>
      <c r="D4" s="8" t="s">
        <v>198</v>
      </c>
      <c r="E4" s="8" t="s">
        <v>178</v>
      </c>
      <c r="F4" s="8" t="s">
        <v>398</v>
      </c>
      <c r="G4" s="8">
        <v>1</v>
      </c>
      <c r="H4" s="8" t="s">
        <v>197</v>
      </c>
      <c r="I4" s="8" t="s">
        <v>1156</v>
      </c>
      <c r="J4" s="8" t="s">
        <v>1157</v>
      </c>
      <c r="K4" s="8" t="s">
        <v>1158</v>
      </c>
      <c r="L4" s="8">
        <v>1</v>
      </c>
      <c r="M4" s="8" t="s">
        <v>1159</v>
      </c>
    </row>
    <row r="5" spans="1:13" ht="30" customHeight="1" x14ac:dyDescent="0.25">
      <c r="A5" s="8" t="s">
        <v>396</v>
      </c>
      <c r="B5" s="8" t="s">
        <v>397</v>
      </c>
      <c r="C5" s="8" t="s">
        <v>205</v>
      </c>
      <c r="D5" s="8" t="s">
        <v>206</v>
      </c>
      <c r="E5" s="8" t="s">
        <v>178</v>
      </c>
      <c r="F5" s="8" t="s">
        <v>398</v>
      </c>
      <c r="G5" s="8">
        <v>1</v>
      </c>
      <c r="H5" s="8" t="s">
        <v>205</v>
      </c>
      <c r="I5" s="8" t="s">
        <v>1156</v>
      </c>
      <c r="J5" s="8" t="s">
        <v>1157</v>
      </c>
      <c r="K5" s="8" t="s">
        <v>1158</v>
      </c>
      <c r="L5" s="8">
        <v>2</v>
      </c>
      <c r="M5" s="8" t="s">
        <v>1159</v>
      </c>
    </row>
    <row r="6" spans="1:13" ht="30" customHeight="1" x14ac:dyDescent="0.25">
      <c r="A6" s="8" t="s">
        <v>396</v>
      </c>
      <c r="B6" s="8" t="s">
        <v>397</v>
      </c>
      <c r="C6" s="8" t="s">
        <v>214</v>
      </c>
      <c r="D6" s="8" t="s">
        <v>215</v>
      </c>
      <c r="E6" s="8" t="s">
        <v>178</v>
      </c>
      <c r="F6" s="8" t="s">
        <v>398</v>
      </c>
      <c r="G6" s="8">
        <v>1</v>
      </c>
      <c r="H6" s="8" t="s">
        <v>214</v>
      </c>
      <c r="I6" s="8" t="s">
        <v>1156</v>
      </c>
      <c r="J6" s="8" t="s">
        <v>1157</v>
      </c>
      <c r="K6" s="8" t="s">
        <v>1158</v>
      </c>
      <c r="L6" s="8">
        <v>3</v>
      </c>
      <c r="M6" s="8" t="s">
        <v>1159</v>
      </c>
    </row>
    <row r="7" spans="1:13" ht="30" customHeight="1" x14ac:dyDescent="0.25">
      <c r="A7" s="8" t="s">
        <v>222</v>
      </c>
      <c r="B7" s="8" t="s">
        <v>409</v>
      </c>
      <c r="C7" s="8" t="s">
        <v>222</v>
      </c>
      <c r="D7" s="8" t="s">
        <v>223</v>
      </c>
      <c r="E7" s="8" t="s">
        <v>188</v>
      </c>
      <c r="F7" s="8" t="s">
        <v>380</v>
      </c>
      <c r="G7" s="8">
        <v>1</v>
      </c>
      <c r="H7" s="8" t="s">
        <v>222</v>
      </c>
      <c r="I7" s="8" t="s">
        <v>1152</v>
      </c>
      <c r="J7" s="8" t="s">
        <v>1153</v>
      </c>
      <c r="K7" s="8" t="s">
        <v>1154</v>
      </c>
      <c r="L7" s="8">
        <v>1</v>
      </c>
      <c r="M7" s="8" t="s">
        <v>1160</v>
      </c>
    </row>
    <row r="8" spans="1:13" ht="30" customHeight="1" x14ac:dyDescent="0.25">
      <c r="A8" s="8" t="s">
        <v>415</v>
      </c>
      <c r="B8" s="8" t="s">
        <v>416</v>
      </c>
      <c r="C8" s="8" t="s">
        <v>228</v>
      </c>
      <c r="D8" s="8" t="s">
        <v>229</v>
      </c>
      <c r="E8" s="8" t="s">
        <v>230</v>
      </c>
      <c r="F8" s="8" t="s">
        <v>398</v>
      </c>
      <c r="G8" s="8">
        <v>1</v>
      </c>
      <c r="H8" s="8" t="s">
        <v>228</v>
      </c>
      <c r="I8" s="8" t="s">
        <v>1156</v>
      </c>
      <c r="J8" s="8" t="s">
        <v>1157</v>
      </c>
      <c r="K8" s="8" t="s">
        <v>1158</v>
      </c>
      <c r="L8" s="8">
        <v>1</v>
      </c>
      <c r="M8" s="8" t="s">
        <v>1161</v>
      </c>
    </row>
    <row r="9" spans="1:13" ht="30" customHeight="1" x14ac:dyDescent="0.25">
      <c r="A9" s="8" t="s">
        <v>415</v>
      </c>
      <c r="B9" s="8" t="s">
        <v>416</v>
      </c>
      <c r="C9" s="8" t="s">
        <v>235</v>
      </c>
      <c r="D9" s="8" t="s">
        <v>236</v>
      </c>
      <c r="E9" s="8" t="s">
        <v>230</v>
      </c>
      <c r="F9" s="8" t="s">
        <v>398</v>
      </c>
      <c r="G9" s="8">
        <v>1</v>
      </c>
      <c r="H9" s="8" t="s">
        <v>235</v>
      </c>
      <c r="I9" s="8" t="s">
        <v>1156</v>
      </c>
      <c r="J9" s="8" t="s">
        <v>1157</v>
      </c>
      <c r="K9" s="8" t="s">
        <v>1158</v>
      </c>
      <c r="L9" s="8">
        <v>2</v>
      </c>
      <c r="M9" s="8" t="s">
        <v>1161</v>
      </c>
    </row>
    <row r="10" spans="1:13" ht="30" customHeight="1" x14ac:dyDescent="0.25">
      <c r="A10" s="8" t="s">
        <v>415</v>
      </c>
      <c r="B10" s="8" t="s">
        <v>416</v>
      </c>
      <c r="C10" s="8" t="s">
        <v>240</v>
      </c>
      <c r="D10" s="8" t="s">
        <v>241</v>
      </c>
      <c r="E10" s="8" t="s">
        <v>230</v>
      </c>
      <c r="F10" s="8" t="s">
        <v>398</v>
      </c>
      <c r="G10" s="8">
        <v>1</v>
      </c>
      <c r="H10" s="8" t="s">
        <v>240</v>
      </c>
      <c r="I10" s="8" t="s">
        <v>1156</v>
      </c>
      <c r="J10" s="8" t="s">
        <v>1157</v>
      </c>
      <c r="K10" s="8" t="s">
        <v>1158</v>
      </c>
      <c r="L10" s="8">
        <v>3</v>
      </c>
      <c r="M10" s="8" t="s">
        <v>1161</v>
      </c>
    </row>
    <row r="11" spans="1:13" ht="30" customHeight="1" x14ac:dyDescent="0.25">
      <c r="A11" s="8" t="s">
        <v>415</v>
      </c>
      <c r="B11" s="8" t="s">
        <v>416</v>
      </c>
      <c r="C11" s="8" t="s">
        <v>246</v>
      </c>
      <c r="D11" s="8" t="s">
        <v>247</v>
      </c>
      <c r="E11" s="8" t="s">
        <v>230</v>
      </c>
      <c r="F11" s="8" t="s">
        <v>398</v>
      </c>
      <c r="G11" s="8">
        <v>1</v>
      </c>
      <c r="H11" s="8" t="s">
        <v>246</v>
      </c>
      <c r="I11" s="8" t="s">
        <v>1156</v>
      </c>
      <c r="J11" s="8" t="s">
        <v>1157</v>
      </c>
      <c r="K11" s="8" t="s">
        <v>1158</v>
      </c>
      <c r="L11" s="8">
        <v>4</v>
      </c>
      <c r="M11" s="8" t="s">
        <v>1161</v>
      </c>
    </row>
    <row r="12" spans="1:13" ht="30" customHeight="1" x14ac:dyDescent="0.25">
      <c r="A12" s="8" t="s">
        <v>248</v>
      </c>
      <c r="B12" s="8" t="s">
        <v>431</v>
      </c>
      <c r="C12" s="8" t="s">
        <v>248</v>
      </c>
      <c r="D12" s="8" t="s">
        <v>249</v>
      </c>
      <c r="E12" s="8" t="s">
        <v>230</v>
      </c>
      <c r="F12" s="8" t="s">
        <v>380</v>
      </c>
      <c r="G12" s="8">
        <v>1</v>
      </c>
      <c r="H12" s="8" t="s">
        <v>248</v>
      </c>
      <c r="I12" s="8" t="s">
        <v>1152</v>
      </c>
      <c r="J12" s="8" t="s">
        <v>1153</v>
      </c>
      <c r="K12" s="8" t="s">
        <v>1154</v>
      </c>
      <c r="L12" s="8">
        <v>1</v>
      </c>
      <c r="M12" s="8" t="s">
        <v>1162</v>
      </c>
    </row>
    <row r="13" spans="1:13" ht="30" customHeight="1" x14ac:dyDescent="0.25">
      <c r="A13" s="8" t="s">
        <v>251</v>
      </c>
      <c r="B13" s="8" t="s">
        <v>436</v>
      </c>
      <c r="C13" s="8" t="s">
        <v>251</v>
      </c>
      <c r="D13" s="8" t="s">
        <v>252</v>
      </c>
      <c r="E13" s="8" t="s">
        <v>230</v>
      </c>
      <c r="F13" s="8" t="s">
        <v>380</v>
      </c>
      <c r="G13" s="8">
        <v>1</v>
      </c>
      <c r="H13" s="8" t="s">
        <v>251</v>
      </c>
      <c r="I13" s="8" t="s">
        <v>1152</v>
      </c>
      <c r="J13" s="8" t="s">
        <v>1153</v>
      </c>
      <c r="K13" s="8" t="s">
        <v>1154</v>
      </c>
      <c r="L13" s="8">
        <v>1</v>
      </c>
      <c r="M13" s="8" t="s">
        <v>1155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Assumptions</vt:lpstr>
      <vt:lpstr>Dictionaries</vt:lpstr>
      <vt:lpstr>Intervention_Cause_Map</vt:lpstr>
      <vt:lpstr>Policy_Levers</vt:lpstr>
      <vt:lpstr>Exposure_Targets</vt:lpstr>
      <vt:lpstr>Effect_Parameters</vt:lpstr>
      <vt:lpstr>Risk_Response</vt:lpstr>
      <vt:lpstr>Model_Input_View</vt:lpstr>
      <vt:lpstr>Cost_Components</vt:lpstr>
      <vt:lpstr>Countdown_Methods</vt:lpstr>
      <vt:lpstr>Scope_and_Sources</vt:lpstr>
      <vt:lpstr>QA_Checks</vt:lpstr>
      <vt:lpstr>Scenario_Hierarchy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William R Garcia</cp:lastModifiedBy>
  <cp:revision>0</cp:revision>
  <dcterms:modified xsi:type="dcterms:W3CDTF">2026-08-30T17:22:55Z</dcterms:modified>
  <dc:language>en-US</dc:language>
</cp:coreProperties>
</file>