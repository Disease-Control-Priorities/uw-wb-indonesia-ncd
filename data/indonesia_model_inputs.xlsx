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1.xml" ContentType="application/vnd.openxmlformats-officedocument.drawing+xml"/>
  <Override PartName="/xl/tables/table5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6.xml" ContentType="application/vnd.openxmlformats-officedocument.spreadsheetml.table+xml"/>
  <Override PartName="/xl/drawings/drawing2.xml" ContentType="application/vnd.openxmlformats-officedocument.drawing+xml"/>
  <Override PartName="/xl/tables/table7.xml" ContentType="application/vnd.openxmlformats-officedocument.spreadsheetml.tab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uwnetid-my.sharepoint.com/personal/wrgg_uw_edu/Documents/02Work/WorldBank-Indonesia/uw-wb-indonesia-ncd/data/"/>
    </mc:Choice>
  </mc:AlternateContent>
  <xr:revisionPtr revIDLastSave="89" documentId="13_ncr:1_{920901DE-702B-41BC-B411-40E8A243328F}" xr6:coauthVersionLast="47" xr6:coauthVersionMax="47" xr10:uidLastSave="{1F2BE78B-F204-4CB0-974F-A8435D4333AC}"/>
  <bookViews>
    <workbookView xWindow="28680" yWindow="-120" windowWidth="29040" windowHeight="15720" firstSheet="4" activeTab="7" xr2:uid="{00000000-000D-0000-FFFF-FFFF00000000}"/>
  </bookViews>
  <sheets>
    <sheet name="README" sheetId="1" r:id="rId1"/>
    <sheet name="Assumptions" sheetId="2" r:id="rId2"/>
    <sheet name="Dictionaries" sheetId="3" r:id="rId3"/>
    <sheet name="Intervention_Cause_Map" sheetId="4" r:id="rId4"/>
    <sheet name="Effect_Sizes" sheetId="5" r:id="rId5"/>
    <sheet name="Coverage" sheetId="6" r:id="rId6"/>
    <sheet name="Cost_Components" sheetId="7" r:id="rId7"/>
    <sheet name="Model_Input_View" sheetId="8" r:id="rId8"/>
    <sheet name="FairChoices_Methods" sheetId="9" r:id="rId9"/>
    <sheet name="Scope_and_Sources" sheetId="10" r:id="rId10"/>
    <sheet name="QA_Checks" sheetId="11" r:id="rId11"/>
    <sheet name="ChangesLog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" i="8" l="1"/>
  <c r="P8" i="8"/>
  <c r="P11" i="8"/>
  <c r="P12" i="8"/>
  <c r="P13" i="8"/>
  <c r="P16" i="8"/>
  <c r="P2" i="8"/>
  <c r="P18" i="8"/>
  <c r="D8" i="11"/>
  <c r="E8" i="11" s="1"/>
  <c r="D7" i="11"/>
  <c r="E7" i="11" s="1"/>
  <c r="D6" i="11"/>
  <c r="E6" i="11" s="1"/>
  <c r="P19" i="8"/>
  <c r="O19" i="8"/>
  <c r="H19" i="8"/>
  <c r="G19" i="8"/>
  <c r="F19" i="8"/>
  <c r="E19" i="8"/>
  <c r="D19" i="8"/>
  <c r="O18" i="8"/>
  <c r="I18" i="8"/>
  <c r="H18" i="8"/>
  <c r="G18" i="8"/>
  <c r="F18" i="8"/>
  <c r="E18" i="8"/>
  <c r="D18" i="8"/>
  <c r="P17" i="8"/>
  <c r="O17" i="8"/>
  <c r="H17" i="8"/>
  <c r="G17" i="8"/>
  <c r="F17" i="8"/>
  <c r="E17" i="8"/>
  <c r="D17" i="8"/>
  <c r="O16" i="8"/>
  <c r="I16" i="8"/>
  <c r="H16" i="8"/>
  <c r="G16" i="8"/>
  <c r="F16" i="8"/>
  <c r="E16" i="8"/>
  <c r="D16" i="8"/>
  <c r="O15" i="8"/>
  <c r="H15" i="8"/>
  <c r="G15" i="8"/>
  <c r="F15" i="8"/>
  <c r="E15" i="8"/>
  <c r="D15" i="8"/>
  <c r="O14" i="8"/>
  <c r="H14" i="8"/>
  <c r="G14" i="8"/>
  <c r="F14" i="8"/>
  <c r="E14" i="8"/>
  <c r="D14" i="8"/>
  <c r="O13" i="8"/>
  <c r="H13" i="8"/>
  <c r="G13" i="8"/>
  <c r="F13" i="8"/>
  <c r="E13" i="8"/>
  <c r="D13" i="8"/>
  <c r="O12" i="8"/>
  <c r="I12" i="8"/>
  <c r="H12" i="8"/>
  <c r="G12" i="8"/>
  <c r="F12" i="8"/>
  <c r="E12" i="8"/>
  <c r="D12" i="8"/>
  <c r="O11" i="8"/>
  <c r="I11" i="8"/>
  <c r="H11" i="8"/>
  <c r="G11" i="8"/>
  <c r="F11" i="8"/>
  <c r="E11" i="8"/>
  <c r="D11" i="8"/>
  <c r="O10" i="8"/>
  <c r="I10" i="8"/>
  <c r="H10" i="8"/>
  <c r="G10" i="8"/>
  <c r="F10" i="8"/>
  <c r="E10" i="8"/>
  <c r="D10" i="8"/>
  <c r="O9" i="8"/>
  <c r="H9" i="8"/>
  <c r="G9" i="8"/>
  <c r="F9" i="8"/>
  <c r="E9" i="8"/>
  <c r="D9" i="8"/>
  <c r="O8" i="8"/>
  <c r="I8" i="8"/>
  <c r="H8" i="8"/>
  <c r="G8" i="8"/>
  <c r="F8" i="8"/>
  <c r="E8" i="8"/>
  <c r="D8" i="8"/>
  <c r="O7" i="8"/>
  <c r="H7" i="8"/>
  <c r="G7" i="8"/>
  <c r="F7" i="8"/>
  <c r="E7" i="8"/>
  <c r="D7" i="8"/>
  <c r="O6" i="8"/>
  <c r="H6" i="8"/>
  <c r="G6" i="8"/>
  <c r="F6" i="8"/>
  <c r="E6" i="8"/>
  <c r="D6" i="8"/>
  <c r="O5" i="8"/>
  <c r="H5" i="8"/>
  <c r="G5" i="8"/>
  <c r="F5" i="8"/>
  <c r="E5" i="8"/>
  <c r="D5" i="8"/>
  <c r="O4" i="8"/>
  <c r="I4" i="8"/>
  <c r="H4" i="8"/>
  <c r="G4" i="8"/>
  <c r="F4" i="8"/>
  <c r="E4" i="8"/>
  <c r="D4" i="8"/>
  <c r="O3" i="8"/>
  <c r="I3" i="8"/>
  <c r="H3" i="8"/>
  <c r="G3" i="8"/>
  <c r="F3" i="8"/>
  <c r="E3" i="8"/>
  <c r="D3" i="8"/>
  <c r="O2" i="8"/>
  <c r="I2" i="8"/>
  <c r="H2" i="8"/>
  <c r="G2" i="8"/>
  <c r="F2" i="8"/>
  <c r="E2" i="8"/>
  <c r="D2" i="8"/>
  <c r="AB38" i="7"/>
  <c r="AA38" i="7"/>
  <c r="AB37" i="7"/>
  <c r="AA37" i="7"/>
  <c r="AB36" i="7"/>
  <c r="AA36" i="7"/>
  <c r="AB35" i="7"/>
  <c r="AA35" i="7"/>
  <c r="AB34" i="7"/>
  <c r="AA34" i="7"/>
  <c r="AB33" i="7"/>
  <c r="AA33" i="7"/>
  <c r="AB32" i="7"/>
  <c r="AA32" i="7"/>
  <c r="AB31" i="7"/>
  <c r="AA31" i="7"/>
  <c r="AB30" i="7"/>
  <c r="AA30" i="7"/>
  <c r="AB29" i="7"/>
  <c r="AA29" i="7"/>
  <c r="AB28" i="7"/>
  <c r="AA28" i="7"/>
  <c r="AB27" i="7"/>
  <c r="AA27" i="7"/>
  <c r="AB26" i="7"/>
  <c r="AA26" i="7"/>
  <c r="AB25" i="7"/>
  <c r="AA25" i="7"/>
  <c r="AB24" i="7"/>
  <c r="AA24" i="7"/>
  <c r="AB23" i="7"/>
  <c r="AA23" i="7"/>
  <c r="AB22" i="7"/>
  <c r="AA22" i="7"/>
  <c r="AB21" i="7"/>
  <c r="AA21" i="7"/>
  <c r="AB20" i="7"/>
  <c r="AA20" i="7"/>
  <c r="AB19" i="7"/>
  <c r="AA19" i="7"/>
  <c r="AB18" i="7"/>
  <c r="AA18" i="7"/>
  <c r="AB17" i="7"/>
  <c r="AA17" i="7"/>
  <c r="AB16" i="7"/>
  <c r="AA16" i="7"/>
  <c r="AB15" i="7"/>
  <c r="AA15" i="7"/>
  <c r="AB14" i="7"/>
  <c r="AA14" i="7"/>
  <c r="AB13" i="7"/>
  <c r="AA13" i="7"/>
  <c r="AB12" i="7"/>
  <c r="AA12" i="7"/>
  <c r="AB11" i="7"/>
  <c r="AA11" i="7"/>
  <c r="AB10" i="7"/>
  <c r="AA10" i="7"/>
  <c r="AB9" i="7"/>
  <c r="AA9" i="7"/>
  <c r="AB8" i="7"/>
  <c r="AA8" i="7"/>
  <c r="AB7" i="7"/>
  <c r="AA7" i="7"/>
  <c r="AB6" i="7"/>
  <c r="AA6" i="7"/>
  <c r="AB5" i="7"/>
  <c r="AA5" i="7"/>
  <c r="AB4" i="7"/>
  <c r="AA4" i="7"/>
  <c r="AB3" i="7"/>
  <c r="AA3" i="7"/>
  <c r="N3" i="7"/>
  <c r="L3" i="7"/>
  <c r="AB2" i="7"/>
  <c r="AA2" i="7"/>
  <c r="R19" i="6"/>
  <c r="S19" i="6" s="1"/>
  <c r="Q19" i="6"/>
  <c r="K19" i="6"/>
  <c r="J19" i="6"/>
  <c r="I19" i="6"/>
  <c r="I19" i="8" s="1"/>
  <c r="R18" i="6"/>
  <c r="S18" i="6" s="1"/>
  <c r="Q18" i="6"/>
  <c r="K18" i="6"/>
  <c r="J18" i="6"/>
  <c r="I18" i="6"/>
  <c r="R17" i="6"/>
  <c r="S17" i="6" s="1"/>
  <c r="Q17" i="6"/>
  <c r="K17" i="6"/>
  <c r="J17" i="6"/>
  <c r="I17" i="6"/>
  <c r="I17" i="8" s="1"/>
  <c r="R16" i="6"/>
  <c r="S16" i="6" s="1"/>
  <c r="Q16" i="6"/>
  <c r="K16" i="6"/>
  <c r="J16" i="6"/>
  <c r="I16" i="6"/>
  <c r="R15" i="6"/>
  <c r="S15" i="6" s="1"/>
  <c r="K15" i="6"/>
  <c r="J15" i="6"/>
  <c r="I15" i="6"/>
  <c r="Q15" i="6" s="1"/>
  <c r="R14" i="6"/>
  <c r="K14" i="6"/>
  <c r="J14" i="6"/>
  <c r="I14" i="6"/>
  <c r="S14" i="6" s="1"/>
  <c r="R13" i="6"/>
  <c r="S13" i="6" s="1"/>
  <c r="K13" i="6"/>
  <c r="J13" i="6"/>
  <c r="I13" i="6"/>
  <c r="I13" i="8" s="1"/>
  <c r="S12" i="6"/>
  <c r="R12" i="6"/>
  <c r="Q12" i="6"/>
  <c r="K12" i="6"/>
  <c r="J12" i="6"/>
  <c r="I12" i="6"/>
  <c r="R11" i="6"/>
  <c r="S11" i="6" s="1"/>
  <c r="Q11" i="6"/>
  <c r="K11" i="6"/>
  <c r="J11" i="6"/>
  <c r="I11" i="6"/>
  <c r="R10" i="6"/>
  <c r="S10" i="6" s="1"/>
  <c r="Q10" i="6"/>
  <c r="K10" i="6"/>
  <c r="J10" i="6"/>
  <c r="I10" i="6"/>
  <c r="R9" i="6"/>
  <c r="S9" i="6" s="1"/>
  <c r="Q9" i="6"/>
  <c r="K9" i="6"/>
  <c r="J9" i="6"/>
  <c r="I9" i="6"/>
  <c r="I9" i="8" s="1"/>
  <c r="R8" i="6"/>
  <c r="S8" i="6" s="1"/>
  <c r="Q8" i="6"/>
  <c r="K8" i="6"/>
  <c r="J8" i="6"/>
  <c r="I8" i="6"/>
  <c r="R7" i="6"/>
  <c r="S7" i="6" s="1"/>
  <c r="K7" i="6"/>
  <c r="J7" i="6"/>
  <c r="I7" i="6"/>
  <c r="Q7" i="6" s="1"/>
  <c r="R6" i="6"/>
  <c r="K6" i="6"/>
  <c r="J6" i="6"/>
  <c r="I6" i="6"/>
  <c r="I6" i="8" s="1"/>
  <c r="R5" i="6"/>
  <c r="S5" i="6" s="1"/>
  <c r="K5" i="6"/>
  <c r="J5" i="6"/>
  <c r="I5" i="6"/>
  <c r="I5" i="8" s="1"/>
  <c r="S4" i="6"/>
  <c r="R4" i="6"/>
  <c r="Q4" i="6"/>
  <c r="K4" i="6"/>
  <c r="J4" i="6"/>
  <c r="I4" i="6"/>
  <c r="R3" i="6"/>
  <c r="S3" i="6" s="1"/>
  <c r="Q3" i="6"/>
  <c r="K3" i="6"/>
  <c r="J3" i="6"/>
  <c r="I3" i="6"/>
  <c r="R2" i="6"/>
  <c r="S2" i="6" s="1"/>
  <c r="Q2" i="6"/>
  <c r="K2" i="6"/>
  <c r="J2" i="6"/>
  <c r="I2" i="6"/>
  <c r="U19" i="5"/>
  <c r="V19" i="5" s="1"/>
  <c r="U18" i="5"/>
  <c r="V18" i="5" s="1"/>
  <c r="U17" i="5"/>
  <c r="V17" i="5" s="1"/>
  <c r="U16" i="5"/>
  <c r="V16" i="5" s="1"/>
  <c r="V15" i="5"/>
  <c r="U15" i="5"/>
  <c r="V14" i="5"/>
  <c r="U14" i="5"/>
  <c r="U13" i="5"/>
  <c r="V13" i="5" s="1"/>
  <c r="U12" i="5"/>
  <c r="V12" i="5" s="1"/>
  <c r="U11" i="5"/>
  <c r="V11" i="5" s="1"/>
  <c r="V10" i="5"/>
  <c r="U10" i="5"/>
  <c r="U9" i="5"/>
  <c r="V9" i="5" s="1"/>
  <c r="U8" i="5"/>
  <c r="V8" i="5" s="1"/>
  <c r="U7" i="5"/>
  <c r="V7" i="5" s="1"/>
  <c r="U6" i="5"/>
  <c r="V6" i="5" s="1"/>
  <c r="U5" i="5"/>
  <c r="V5" i="5" s="1"/>
  <c r="U4" i="5"/>
  <c r="V4" i="5" s="1"/>
  <c r="U3" i="5"/>
  <c r="V3" i="5" s="1"/>
  <c r="U2" i="5"/>
  <c r="V2" i="5" s="1"/>
  <c r="M19" i="4"/>
  <c r="M18" i="4"/>
  <c r="M17" i="4"/>
  <c r="M16" i="4"/>
  <c r="M15" i="4"/>
  <c r="M14" i="4"/>
  <c r="M13" i="4"/>
  <c r="M12" i="4"/>
  <c r="M11" i="4"/>
  <c r="M10" i="4"/>
  <c r="M9" i="4"/>
  <c r="M8" i="4"/>
  <c r="M7" i="4"/>
  <c r="M6" i="4"/>
  <c r="M5" i="4"/>
  <c r="M4" i="4"/>
  <c r="M3" i="4"/>
  <c r="M2" i="4"/>
  <c r="G6" i="1"/>
  <c r="E6" i="1"/>
  <c r="C6" i="1"/>
  <c r="D9" i="11" l="1"/>
  <c r="E9" i="11" s="1"/>
  <c r="P9" i="8"/>
  <c r="P15" i="8"/>
  <c r="P14" i="8"/>
  <c r="P10" i="8"/>
  <c r="P7" i="8"/>
  <c r="P6" i="8"/>
  <c r="P4" i="8"/>
  <c r="P5" i="8"/>
  <c r="AC14" i="7"/>
  <c r="AC22" i="7"/>
  <c r="AC3" i="7"/>
  <c r="AC19" i="7"/>
  <c r="Q6" i="8"/>
  <c r="AC8" i="7"/>
  <c r="Q14" i="8"/>
  <c r="AC7" i="7"/>
  <c r="AC23" i="7"/>
  <c r="AC31" i="7"/>
  <c r="Q10" i="8"/>
  <c r="Q12" i="8"/>
  <c r="AC30" i="7"/>
  <c r="AC38" i="7"/>
  <c r="AC26" i="7"/>
  <c r="Q16" i="8"/>
  <c r="AC15" i="7"/>
  <c r="AC11" i="7"/>
  <c r="Q11" i="8"/>
  <c r="AC4" i="7"/>
  <c r="AC20" i="7"/>
  <c r="AC36" i="7"/>
  <c r="AC12" i="7"/>
  <c r="AC13" i="7"/>
  <c r="AC9" i="7"/>
  <c r="Q13" i="8"/>
  <c r="AC6" i="7"/>
  <c r="AC21" i="7"/>
  <c r="AC29" i="7"/>
  <c r="AC37" i="7"/>
  <c r="Q3" i="8"/>
  <c r="Q5" i="8"/>
  <c r="Q8" i="8"/>
  <c r="AC16" i="7"/>
  <c r="AC24" i="7"/>
  <c r="AC32" i="7"/>
  <c r="AC17" i="7"/>
  <c r="AC25" i="7"/>
  <c r="AC33" i="7"/>
  <c r="Q2" i="8"/>
  <c r="Q4" i="8"/>
  <c r="Q19" i="8"/>
  <c r="AC18" i="7"/>
  <c r="AC34" i="7"/>
  <c r="Q15" i="8"/>
  <c r="AC27" i="7"/>
  <c r="Q9" i="8"/>
  <c r="AC5" i="7"/>
  <c r="Q7" i="8"/>
  <c r="AC2" i="7"/>
  <c r="AC10" i="7"/>
  <c r="D2" i="11"/>
  <c r="E2" i="11" s="1"/>
  <c r="AC28" i="7"/>
  <c r="AC35" i="7"/>
  <c r="J5" i="8"/>
  <c r="K5" i="8" s="1"/>
  <c r="L5" i="8" s="1"/>
  <c r="Q17" i="8"/>
  <c r="J6" i="8"/>
  <c r="K6" i="8" s="1"/>
  <c r="L6" i="8" s="1"/>
  <c r="J18" i="8"/>
  <c r="K18" i="8" s="1"/>
  <c r="L18" i="8" s="1"/>
  <c r="J9" i="8"/>
  <c r="K9" i="8" s="1"/>
  <c r="J10" i="8"/>
  <c r="J2" i="8"/>
  <c r="J13" i="8"/>
  <c r="K13" i="8" s="1"/>
  <c r="L13" i="8" s="1"/>
  <c r="J17" i="8"/>
  <c r="K17" i="8" s="1"/>
  <c r="L17" i="8" s="1"/>
  <c r="L9" i="8"/>
  <c r="D3" i="11"/>
  <c r="E3" i="11" s="1"/>
  <c r="K10" i="8"/>
  <c r="L10" i="8" s="1"/>
  <c r="K2" i="8"/>
  <c r="L2" i="8" s="1"/>
  <c r="I14" i="8"/>
  <c r="J14" i="8" s="1"/>
  <c r="K14" i="8" s="1"/>
  <c r="L14" i="8" s="1"/>
  <c r="Q5" i="6"/>
  <c r="Q13" i="6"/>
  <c r="Q18" i="8"/>
  <c r="Q6" i="6"/>
  <c r="Q14" i="6"/>
  <c r="J4" i="8"/>
  <c r="K4" i="8" s="1"/>
  <c r="L4" i="8" s="1"/>
  <c r="J8" i="8"/>
  <c r="K8" i="8" s="1"/>
  <c r="L8" i="8" s="1"/>
  <c r="J12" i="8"/>
  <c r="J16" i="8"/>
  <c r="K16" i="8" s="1"/>
  <c r="L16" i="8" s="1"/>
  <c r="K12" i="8"/>
  <c r="L12" i="8" s="1"/>
  <c r="J19" i="8"/>
  <c r="K19" i="8" s="1"/>
  <c r="L19" i="8" s="1"/>
  <c r="S6" i="6"/>
  <c r="D4" i="11" s="1"/>
  <c r="E4" i="11" s="1"/>
  <c r="J3" i="8"/>
  <c r="K3" i="8" s="1"/>
  <c r="L3" i="8" s="1"/>
  <c r="J11" i="8"/>
  <c r="K11" i="8" s="1"/>
  <c r="L11" i="8" s="1"/>
  <c r="I7" i="8"/>
  <c r="J7" i="8" s="1"/>
  <c r="K7" i="8" s="1"/>
  <c r="L7" i="8" s="1"/>
  <c r="I15" i="8"/>
  <c r="J15" i="8" s="1"/>
  <c r="K15" i="8" s="1"/>
  <c r="L15" i="8" s="1"/>
  <c r="D5" i="11" l="1"/>
  <c r="E5" i="11" s="1"/>
  <c r="A6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tc={58D3A661-43EB-45BF-B75A-E86546D05FAA}</author>
    <author>tc={C168FF32-00CB-49EB-B84F-73F3BA8EC130}</author>
  </authors>
  <commentList>
    <comment ref="K3" authorId="0" shapeId="0" xr:uid="{00000000-0006-0000-0400-00000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Pin is 9%, but this is only to severe RHD assumed 41%https://pmc.ncbi.nlm.nih.gov/articles/PMC12631635/</t>
      </text>
    </comment>
    <comment ref="K19" authorId="1" shapeId="0" xr:uid="{C168FF32-00CB-49EB-B84F-73F3BA8EC130}">
      <text>
        <t>[Threaded comment]
Your version of Excel allows you to read this threaded comment; however, any edits to it will get removed if the file is opened in a newer version of Excel. Learn more: https://go.microsoft.com/fwlink/?linkid=870924
Comment:
    37% in taxonomy but assumed 50%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tc={B1FEFC56-CF80-485C-B87E-A5E63818491E}</author>
    <author>tc={5282C296-63F9-415C-B2F2-3B273B7413D7}</author>
    <author>tc={D51D381D-3B39-435F-B5B2-6143D8D91563}</author>
    <author>tc={5AFDF6FE-756A-4F42-83A7-1275DBFFD219}</author>
    <author>tc={65F284AB-064D-4B9D-A390-F156B89E3B37}</author>
    <author>tc={8DE0ED5B-C37D-4E7B-B75F-DADA3DBFFB3B}</author>
    <author>tc={84013A11-0436-47E2-A381-9E00FBF4B5A9}</author>
    <author>tc={C9810AFF-EA89-4031-BE73-C0FE3158C388}</author>
  </authors>
  <commentList>
    <comment ref="L3" authorId="0" shapeId="0" xr:uid="{00000000-0006-0000-0600-00000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PIN 10%, but *.41 because those are the severe cases</t>
      </text>
    </comment>
    <comment ref="L6" authorId="1" shapeId="0" xr:uid="{00000000-0006-0000-0600-000002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Raised from 6% to 30%</t>
      </text>
    </comment>
    <comment ref="O8" authorId="2" shapeId="0" xr:uid="{00000000-0006-0000-0600-000003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Updated from 0</t>
      </text>
    </comment>
    <comment ref="S8" authorId="3" shapeId="0" xr:uid="{5AFDF6FE-756A-4F42-83A7-1275DBFFD219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is set to 0 because it is included in acute MI</t>
      </text>
    </comment>
    <comment ref="S33" authorId="4" shapeId="0" xr:uid="{00000000-0006-0000-0600-000004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update with Sali Info</t>
      </text>
    </comment>
    <comment ref="L35" authorId="5" shapeId="0" xr:uid="{00000000-0006-0000-0600-000005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Included in CVD primary
Reply:
    No exactly 0 to avoid numerica isues</t>
      </text>
    </comment>
    <comment ref="S37" authorId="6" shapeId="0" xr:uid="{84013A11-0436-47E2-A381-9E00FBF4B5A9}">
      <text>
        <t>[Threaded comment]
Your version of Excel allows you to read this threaded comment; however, any edits to it will get removed if the file is opened in a newer version of Excel. Learn more: https://go.microsoft.com/fwlink/?linkid=870924
Comment:
    In expected value, insulin + non-insulin correspond to 82 dollars provided by Farizal</t>
      </text>
    </comment>
    <comment ref="S38" authorId="7" shapeId="0" xr:uid="{C9810AFF-EA89-4031-BE73-C0FE3158C388}">
      <text>
        <t>[Threaded comment]
Your version of Excel allows you to read this threaded comment; however, any edits to it will get removed if the file is opened in a newer version of Excel. Learn more: https://go.microsoft.com/fwlink/?linkid=870924
Comment:
    It was $643, assuming $1500 as per Farizal’s paper
Reply:
    $ $3000 quick internet search
Reply:
    This new value comes from Farizal’s paper</t>
      </text>
    </comment>
  </commentList>
</comments>
</file>

<file path=xl/sharedStrings.xml><?xml version="1.0" encoding="utf-8"?>
<sst xmlns="http://schemas.openxmlformats.org/spreadsheetml/2006/main" count="1955" uniqueCount="688">
  <si>
    <t>Indonesia NCD model — user input workbook</t>
  </si>
  <si>
    <t>Draft for review • August 14, 2026 meeting decisions + supplied Fair Choices, coverage/PIN, and cost files</t>
  </si>
  <si>
    <t>Readiness</t>
  </si>
  <si>
    <t>Interventions</t>
  </si>
  <si>
    <t>Model causes</t>
  </si>
  <si>
    <t>Intervention–cause links</t>
  </si>
  <si>
    <t>How to use the workbook</t>
  </si>
  <si>
    <t>1</t>
  </si>
  <si>
    <t>Edit yellow cells only.</t>
  </si>
  <si>
    <t>2</t>
  </si>
  <si>
    <t>Use Model_Input_View to audit the joined transition, effect, coverage, and cost key for each intervention–cause pair.</t>
  </si>
  <si>
    <t>3</t>
  </si>
  <si>
    <t>Costs join through cost_join_key. C_SHARED means count the cost once at intervention level, not once per affected cause.</t>
  </si>
  <si>
    <t>4</t>
  </si>
  <si>
    <t>For costing, keep exactly one selected_for_base_case = 1 within each cost_component_key.</t>
  </si>
  <si>
    <t>5</t>
  </si>
  <si>
    <t>Resolve QA failures and red review items before running the full economic evaluation.</t>
  </si>
  <si>
    <t>Known review items retained explicitly</t>
  </si>
  <si>
    <t>Resolved</t>
  </si>
  <si>
    <t>Type 2 diabetes baseline coverage updated to 16% from the revised PIN file</t>
  </si>
  <si>
    <t>Type 2 diabetes unit costs updated with Indonesia-adjusted 2023 USD values</t>
  </si>
  <si>
    <t>Missing</t>
  </si>
  <si>
    <t>IHD-specific chronic heart-failure lab/follow-up unit cost</t>
  </si>
  <si>
    <t>Review</t>
  </si>
  <si>
    <t>Lower cost option is provisionally selected when the adjusted cost file contains two salary options</t>
  </si>
  <si>
    <t>Confirm RHD surgery transition if the final model has explicit severe-RHD or surgery states</t>
  </si>
  <si>
    <t>Color legend: yellow = user input • light blue = formula/derived • green = valid • red/orange = missing or review</t>
  </si>
  <si>
    <t>parameter_id</t>
  </si>
  <si>
    <t>value</t>
  </si>
  <si>
    <t>unit</t>
  </si>
  <si>
    <t>base_case</t>
  </si>
  <si>
    <t>lower_bound</t>
  </si>
  <si>
    <t>upper_bound</t>
  </si>
  <si>
    <t>description</t>
  </si>
  <si>
    <t>source</t>
  </si>
  <si>
    <t>analysis_start_year</t>
  </si>
  <si>
    <t>year</t>
  </si>
  <si>
    <t>First modeled year</t>
  </si>
  <si>
    <t>input_file.xlsx and meeting scope</t>
  </si>
  <si>
    <t>analysis_end_year</t>
  </si>
  <si>
    <t>Last year for the Jakarta-oriented analysis</t>
  </si>
  <si>
    <t>Meeting target year</t>
  </si>
  <si>
    <t>intervention_start_year</t>
  </si>
  <si>
    <t>First year of intervention scale-up</t>
  </si>
  <si>
    <t>input_file.xlsx</t>
  </si>
  <si>
    <t>target_coverage_default</t>
  </si>
  <si>
    <t>proportion</t>
  </si>
  <si>
    <t>Default intervention coverage target; row-level override is available</t>
  </si>
  <si>
    <t>August 14 meeting</t>
  </si>
  <si>
    <t>coverage_target_year</t>
  </si>
  <si>
    <t>Year in which target coverage is reached</t>
  </si>
  <si>
    <t>cost_discount_rate</t>
  </si>
  <si>
    <t>proportion/year</t>
  </si>
  <si>
    <t>Annual discount rate for costs</t>
  </si>
  <si>
    <t>health_discount_rate</t>
  </si>
  <si>
    <t>Annual discount rate for health outcomes</t>
  </si>
  <si>
    <t>cost_price_year</t>
  </si>
  <si>
    <t>USD year</t>
  </si>
  <si>
    <t>Price year for Indonesia-adjusted CVD unit costs</t>
  </si>
  <si>
    <t>cvd_unit_cost_indonesia_1_dm(2).xlsx</t>
  </si>
  <si>
    <t>currency</t>
  </si>
  <si>
    <t>USD</t>
  </si>
  <si>
    <t>Reporting currency</t>
  </si>
  <si>
    <t>scale_up_shape</t>
  </si>
  <si>
    <t>linear</t>
  </si>
  <si>
    <t>text</t>
  </si>
  <si>
    <t>Coverage increases linearly from start year to target year</t>
  </si>
  <si>
    <t>downstream_cost_offsets</t>
  </si>
  <si>
    <t>0/1 flag</t>
  </si>
  <si>
    <t>Include downstream disease-cost offsets</t>
  </si>
  <si>
    <t>rhd_surgery_frequency</t>
  </si>
  <si>
    <t>procedure/patient-year</t>
  </si>
  <si>
    <t>Provisional surgery frequency used for costing</t>
  </si>
  <si>
    <t>economic_perspective</t>
  </si>
  <si>
    <t>health_system</t>
  </si>
  <si>
    <t>societal</t>
  </si>
  <si>
    <t>Economic evaluation perspective</t>
  </si>
  <si>
    <t>Working assumption</t>
  </si>
  <si>
    <t>bca_base_year</t>
  </si>
  <si>
    <t>Base year to which BCA benefits and costs are both discounted (single shared base year)</t>
  </si>
  <si>
    <t>Robinson et al. 2019 Reference Case Guidelines for BCA in Global Health &amp; Development (CHDS/Harvard); = analysis_start_year</t>
  </si>
  <si>
    <t>bca_discount_rate_primary</t>
  </si>
  <si>
    <t>Primary real discount rate applied to BOTH benefits and costs in the BCA</t>
  </si>
  <si>
    <t>Robinson et al. 2019 Reference Case Guidelines for BCA in Global Health &amp; Development (CHDS/Harvard); context-specific primary rate</t>
  </si>
  <si>
    <t>bca_discount_rate_sensitivity_3pct</t>
  </si>
  <si>
    <t>Standardized sensitivity discount rate (3%)</t>
  </si>
  <si>
    <t>Robinson et al. 2019 Reference Case Guidelines for BCA in Global Health &amp; Development (CHDS/Harvard); standardized sensitivity</t>
  </si>
  <si>
    <t>bca_discount_rate_sensitivity_2x_gdp_pc_growth</t>
  </si>
  <si>
    <t>Standardized sensitivity = 2x projected near-term real GDP per-capita growth; Model 08 recomputes from SSP2</t>
  </si>
  <si>
    <t>Robinson et al. 2019 Reference Case Guidelines for BCA in Global Health &amp; Development (CHDS/Harvard); IIASA SSP 3.1 (SSP2)</t>
  </si>
  <si>
    <t>vsl_us_gni_ratio</t>
  </si>
  <si>
    <t>ratio (VSL/GNI per capita)</t>
  </si>
  <si>
    <t>U.S. reference VSL-to-GNI-per-capita ratio used for the income transfer</t>
  </si>
  <si>
    <t>Robinson et al. 2019 Reference Case Guidelines for BCA in Global Health &amp; Development (CHDS/Harvard)</t>
  </si>
  <si>
    <t>vsl_income_elasticity_preferred</t>
  </si>
  <si>
    <t>elasticity</t>
  </si>
  <si>
    <t>Income elasticity of VSL for LMIC extrapolation (preferred / reference case)</t>
  </si>
  <si>
    <t>vsl_floor_gni_multiple</t>
  </si>
  <si>
    <t>Lower bound: transferred VSL not below this multiple of target-country GNI per capita</t>
  </si>
  <si>
    <t>vsl_sensitivity_gni_multiple_100</t>
  </si>
  <si>
    <t>Standardized sensitivity 1: VSL = 100 x target GNI per capita</t>
  </si>
  <si>
    <t>vsl_sensitivity_gni_multiple_160</t>
  </si>
  <si>
    <t>Standardized sensitivity 2: VSL = 160 x target GNI per capita</t>
  </si>
  <si>
    <t>vsly_adult_min_age</t>
  </si>
  <si>
    <t>age (years)</t>
  </si>
  <si>
    <t>Lower bound of adult (working-age) population for the VSLY average-adult-age denominator</t>
  </si>
  <si>
    <t>Robinson et al. 2019 Reference Case Guidelines for BCA in Global Health &amp; Development (CHDS/Harvard); ILO/World Bank working age 15-64</t>
  </si>
  <si>
    <t>vsly_adult_max_age</t>
  </si>
  <si>
    <t>Upper bound of adult (working-age) population for the VSLY average-adult-age denominator</t>
  </si>
  <si>
    <t>ILO / World Bank working-age population 15-64</t>
  </si>
  <si>
    <t>bca_currency_basis</t>
  </si>
  <si>
    <t>PPP_international_dollars</t>
  </si>
  <si>
    <t>631</t>
  </si>
  <si>
    <t>Common monetary basis for BCA benefits and costs; VSL is transferred using GNI per capita at PPP</t>
  </si>
  <si>
    <t>bca_price_year</t>
  </si>
  <si>
    <t>Real price year for BCA benefits and costs (must match the cost price year)</t>
  </si>
  <si>
    <t>= cost_price_year / reporting_price_year</t>
  </si>
  <si>
    <t>cost_to_bca_currency_factor</t>
  </si>
  <si>
    <t>int$ per market US$</t>
  </si>
  <si>
    <t>Multiplier converting market-exchange-rate USD costs to PPP international dollars (benefit basis); = 1 / WB ICP price-level ratio</t>
  </si>
  <si>
    <t>World Bank ICP PA.NUS.PPPC.RF (Indonesia price-level ratio ~0.33)</t>
  </si>
  <si>
    <t>bca_standing</t>
  </si>
  <si>
    <t>Standing/perspective for the BCA (whose benefits and costs count)</t>
  </si>
  <si>
    <t>bca_scope</t>
  </si>
  <si>
    <t>partial_mortality_benefit</t>
  </si>
  <si>
    <t>Scope: benefits limited to averted mortality (VSL/VSLY); costs limited to implementation/health-system. NOT a full societal BCA</t>
  </si>
  <si>
    <t>Model scope limitation</t>
  </si>
  <si>
    <t>intervention_id</t>
  </si>
  <si>
    <t>intervention_name</t>
  </si>
  <si>
    <t>package_group</t>
  </si>
  <si>
    <t>definition</t>
  </si>
  <si>
    <t>cause_id</t>
  </si>
  <si>
    <t>cause_name</t>
  </si>
  <si>
    <t>model_name</t>
  </si>
  <si>
    <t>is_model_cause</t>
  </si>
  <si>
    <t>I_RHD_SECONDARY</t>
  </si>
  <si>
    <t>RHD secondary prevention</t>
  </si>
  <si>
    <t>Rheumatic heart disease</t>
  </si>
  <si>
    <t>Secondary prophylaxis for rheumatic fever or established RHD</t>
  </si>
  <si>
    <t>C_RHD</t>
  </si>
  <si>
    <t>I_RHD_SURGERY</t>
  </si>
  <si>
    <t>RHD cardiac surgery</t>
  </si>
  <si>
    <t>Cardiac surgery for severe rheumatic heart disease</t>
  </si>
  <si>
    <t>C_IHD</t>
  </si>
  <si>
    <t>Ischemic heart disease</t>
  </si>
  <si>
    <t>I_CVD_PRIMARY</t>
  </si>
  <si>
    <t>Primary prevention of CVD</t>
  </si>
  <si>
    <t>Primary CVD prevention</t>
  </si>
  <si>
    <t>Combined hypertension-treatment/statin intervention using average Fair Choices effects</t>
  </si>
  <si>
    <t>C_IS</t>
  </si>
  <si>
    <t>Ischemic stroke</t>
  </si>
  <si>
    <t>I_IHD_SECONDARY</t>
  </si>
  <si>
    <t>Secondary prevention of ischemic heart disease</t>
  </si>
  <si>
    <t>Secondary CVD prevention</t>
  </si>
  <si>
    <t>Longitudinal secondary prevention after ischemic heart disease</t>
  </si>
  <si>
    <t>C_ICH</t>
  </si>
  <si>
    <t>Intracerebral hemorrhage</t>
  </si>
  <si>
    <t>I_STROKE_SECONDARY</t>
  </si>
  <si>
    <t>Secondary prevention of stroke</t>
  </si>
  <si>
    <t>Longitudinal secondary prevention after ischemic or intracerebral hemorrhagic stroke</t>
  </si>
  <si>
    <t>C_HHD</t>
  </si>
  <si>
    <t>Hypertensive heart disease</t>
  </si>
  <si>
    <t>I_HF_ACUTE</t>
  </si>
  <si>
    <t>Acute heart-failure management</t>
  </si>
  <si>
    <t>Heart-failure treatment</t>
  </si>
  <si>
    <t>Acute management of heart failure arising from IHD, HHD, or cardiomyopathy/myocarditis</t>
  </si>
  <si>
    <t>C_CMP</t>
  </si>
  <si>
    <t>Cardiomyopathy and myocarditis</t>
  </si>
  <si>
    <t>I_HF_CHRONIC</t>
  </si>
  <si>
    <t>Chronic heart-failure management</t>
  </si>
  <si>
    <t>Longitudinal management of chronic heart failure arising from IHD, HHD, or cardiomyopathy/myocarditis</t>
  </si>
  <si>
    <t>C_T2D</t>
  </si>
  <si>
    <t>Diabetes mellitus type 2</t>
  </si>
  <si>
    <t>Type 2 diabetes</t>
  </si>
  <si>
    <t>I_T2D_TREATMENT</t>
  </si>
  <si>
    <t>Longitudinal treatment of type 2 diabetes</t>
  </si>
  <si>
    <t>Diabetes treatment</t>
  </si>
  <si>
    <t>Treatment affecting direct diabetes deaths and IHD deaths attributable to high blood glucose</t>
  </si>
  <si>
    <t>C_SHARED</t>
  </si>
  <si>
    <t>Shared intervention cost</t>
  </si>
  <si>
    <t>Not a disease model; count cost once</t>
  </si>
  <si>
    <t>intervention_cause_key</t>
  </si>
  <si>
    <t>effect_key</t>
  </si>
  <si>
    <t>coverage_key</t>
  </si>
  <si>
    <t>cost_join_key</t>
  </si>
  <si>
    <t>cost_scope</t>
  </si>
  <si>
    <t>include_flag</t>
  </si>
  <si>
    <t>notes</t>
  </si>
  <si>
    <t>duplicate_count</t>
  </si>
  <si>
    <t>I_RHD_SECONDARY__C_RHD</t>
  </si>
  <si>
    <t>cause-specific</t>
  </si>
  <si>
    <t>Apply to the RHD model</t>
  </si>
  <si>
    <t>I_RHD_SURGERY__C_RHD</t>
  </si>
  <si>
    <t>SRHD has been replaced with RHD</t>
  </si>
  <si>
    <t>I_CVD_PRIMARY__C_IHD</t>
  </si>
  <si>
    <t>I_CVD_PRIMARY__C_SHARED</t>
  </si>
  <si>
    <t>shared-count-once</t>
  </si>
  <si>
    <t>Shared screening/treatment costs must be counted once</t>
  </si>
  <si>
    <t>I_CVD_PRIMARY__C_IS</t>
  </si>
  <si>
    <t>I_CVD_PRIMARY__C_ICH</t>
  </si>
  <si>
    <t>I_CVD_PRIMARY__C_HHD</t>
  </si>
  <si>
    <t>I_IHD_SECONDARY__C_IHD</t>
  </si>
  <si>
    <t>Apply to sick-to-dead transition</t>
  </si>
  <si>
    <t>I_STROKE_SECONDARY__C_IS</t>
  </si>
  <si>
    <t>Cause-specific effect and cost components</t>
  </si>
  <si>
    <t>I_STROKE_SECONDARY__C_ICH</t>
  </si>
  <si>
    <t>I_HF_ACUTE__C_IHD</t>
  </si>
  <si>
    <t>Heart failure arising from IHD</t>
  </si>
  <si>
    <t>I_HF_ACUTE__C_HHD</t>
  </si>
  <si>
    <t>Heart failure arising from HHD</t>
  </si>
  <si>
    <t>I_HF_ACUTE__C_CMP</t>
  </si>
  <si>
    <t>Heart failure arising from cardiomyopathy/myocarditis</t>
  </si>
  <si>
    <t>I_HF_CHRONIC__C_IHD</t>
  </si>
  <si>
    <t>I_HF_CHRONIC__C_HHD</t>
  </si>
  <si>
    <t>I_HF_CHRONIC__C_CMP</t>
  </si>
  <si>
    <t>I_T2D_TREATMENT__C_T2D</t>
  </si>
  <si>
    <t>Direct diabetes mortality effect</t>
  </si>
  <si>
    <t>I_T2D_TREATMENT__C_IHD</t>
  </si>
  <si>
    <t>Ischemic heart disease attributable to high blood glucose</t>
  </si>
  <si>
    <t>Count diabetes treatment cost once on the T2D population</t>
  </si>
  <si>
    <t>effect_id</t>
  </si>
  <si>
    <t>transition_from</t>
  </si>
  <si>
    <t>transition_to</t>
  </si>
  <si>
    <t>effect_measure</t>
  </si>
  <si>
    <t>effect_value</t>
  </si>
  <si>
    <t>affected_fraction</t>
  </si>
  <si>
    <t>age_start</t>
  </si>
  <si>
    <t>age_stop</t>
  </si>
  <si>
    <t>sex</t>
  </si>
  <si>
    <t>duration_years</t>
  </si>
  <si>
    <t>source_variable</t>
  </si>
  <si>
    <t>source_file</t>
  </si>
  <si>
    <t>source_row</t>
  </si>
  <si>
    <t>review_status</t>
  </si>
  <si>
    <t>map_match_count</t>
  </si>
  <si>
    <t>qa_status</t>
  </si>
  <si>
    <t>E_RHD_SECONDARY</t>
  </si>
  <si>
    <t>sick</t>
  </si>
  <si>
    <t>dead_rhd</t>
  </si>
  <si>
    <t>relative_risk_reduction</t>
  </si>
  <si>
    <t>Both</t>
  </si>
  <si>
    <t>Prevalence (reclassified to mortality transition)</t>
  </si>
  <si>
    <t>taxonomy_effect_size.xlsx</t>
  </si>
  <si>
    <t>Sheet 1, row 146</t>
  </si>
  <si>
    <t>Provisional</t>
  </si>
  <si>
    <t>Meeting decision maps secondary prevention to sick → dead</t>
  </si>
  <si>
    <t>E_RHD_SURGERY</t>
  </si>
  <si>
    <t>sick_severe</t>
  </si>
  <si>
    <t>Mortality</t>
  </si>
  <si>
    <t>Sheet 1, row 148</t>
  </si>
  <si>
    <t>Confirm model state if surgery is represented explicitly</t>
  </si>
  <si>
    <t>E_PRIMARY_IHD</t>
  </si>
  <si>
    <t>well</t>
  </si>
  <si>
    <t>Mortality (reclassified to incidence transition)</t>
  </si>
  <si>
    <t>Sheet 1, row 136</t>
  </si>
  <si>
    <t>Average Fair Choices hypertension/statin effect applied to incidence</t>
  </si>
  <si>
    <t>E_PRIMARY_IS</t>
  </si>
  <si>
    <t>Sheet 1, row 133</t>
  </si>
  <si>
    <t>E_PRIMARY_ICH</t>
  </si>
  <si>
    <t>Sheet 1, row 134</t>
  </si>
  <si>
    <t>E_PRIMARY_HHD</t>
  </si>
  <si>
    <t>Sheet 1, row 135</t>
  </si>
  <si>
    <t>E_IHD_SECONDARY</t>
  </si>
  <si>
    <t>dead_ihd</t>
  </si>
  <si>
    <t>Sheet 1, row 139</t>
  </si>
  <si>
    <t>Cause-specific disease-management effect</t>
  </si>
  <si>
    <t>E_STROKE_SECONDARY_IS</t>
  </si>
  <si>
    <t>dead_is</t>
  </si>
  <si>
    <t>Sheet 1, row 152</t>
  </si>
  <si>
    <t>E_STROKE_SECONDARY_ICH</t>
  </si>
  <si>
    <t>dead_ich</t>
  </si>
  <si>
    <t>Sheet 1, row 153</t>
  </si>
  <si>
    <t>E_HF_ACUTE_IHD</t>
  </si>
  <si>
    <t>sick_hf</t>
  </si>
  <si>
    <t>Sheet 1, row 143</t>
  </si>
  <si>
    <t>Apply only to heart failure arising from IHD</t>
  </si>
  <si>
    <t>E_HF_ACUTE_HHD</t>
  </si>
  <si>
    <t>dead_hhd</t>
  </si>
  <si>
    <t>Sheet 1, row 144</t>
  </si>
  <si>
    <t>Apply only to heart failure arising from HHD</t>
  </si>
  <si>
    <t>E_HF_ACUTE_CMP</t>
  </si>
  <si>
    <t>dead_cmp</t>
  </si>
  <si>
    <t>Sheet 1, row 145</t>
  </si>
  <si>
    <t>Apply only to heart failure arising from cardiomyopathy/myocarditis</t>
  </si>
  <si>
    <t>E_HF_CHRONIC_IHD</t>
  </si>
  <si>
    <t>Sheet 1, row 140</t>
  </si>
  <si>
    <t>E_HF_CHRONIC_HHD</t>
  </si>
  <si>
    <t>Sheet 1, row 141</t>
  </si>
  <si>
    <t>E_HF_CHRONIC_CMP</t>
  </si>
  <si>
    <t>Sheet 1, row 142</t>
  </si>
  <si>
    <t>E_T2D_DIRECT</t>
  </si>
  <si>
    <t>dead_t2d</t>
  </si>
  <si>
    <t>Sheet 1, row 173</t>
  </si>
  <si>
    <t>E_T2D_IHD_HBG</t>
  </si>
  <si>
    <t>Sheet 1, row 174</t>
  </si>
  <si>
    <t>Confirm NCD Countdown attributable-fraction implementation</t>
  </si>
  <si>
    <t>coverage_id</t>
  </si>
  <si>
    <t>baseline_coverage</t>
  </si>
  <si>
    <t>target_override</t>
  </si>
  <si>
    <t>target_coverage</t>
  </si>
  <si>
    <t>start_year</t>
  </si>
  <si>
    <t>target_year</t>
  </si>
  <si>
    <t>baseline_source_file</t>
  </si>
  <si>
    <t>baseline_source_row</t>
  </si>
  <si>
    <t>proxy_note</t>
  </si>
  <si>
    <t>absolute_increase</t>
  </si>
  <si>
    <t>CVG_01</t>
  </si>
  <si>
    <t>cvd_input_file_PIN_dm(2).csv</t>
  </si>
  <si>
    <t>row 29</t>
  </si>
  <si>
    <t>Regional/platform proxy; validate with Indonesian collaborators</t>
  </si>
  <si>
    <t>CVG_02</t>
  </si>
  <si>
    <t>row 31</t>
  </si>
  <si>
    <t>Regional/platform proxy; SRHD relabeled as RHD</t>
  </si>
  <si>
    <t>CVG_03</t>
  </si>
  <si>
    <t>rows 2–3</t>
  </si>
  <si>
    <t>Country-context value supplied with the PIN file</t>
  </si>
  <si>
    <t>CVG_04</t>
  </si>
  <si>
    <t>CVG_05</t>
  </si>
  <si>
    <t>CVG_06</t>
  </si>
  <si>
    <t>CVG_07</t>
  </si>
  <si>
    <t>rows 5–7</t>
  </si>
  <si>
    <t>Higher-capacity/platform proxy</t>
  </si>
  <si>
    <t>CVG_08</t>
  </si>
  <si>
    <t>rows 9–14</t>
  </si>
  <si>
    <t>CVG_09</t>
  </si>
  <si>
    <t>CVG_10</t>
  </si>
  <si>
    <t>rows 26–28</t>
  </si>
  <si>
    <t>Hospital/platform proxy</t>
  </si>
  <si>
    <t>CVG_11</t>
  </si>
  <si>
    <t>CVG_12</t>
  </si>
  <si>
    <t>CVG_13</t>
  </si>
  <si>
    <t>rows 18–25</t>
  </si>
  <si>
    <t>CVG_14</t>
  </si>
  <si>
    <t>CVG_15</t>
  </si>
  <si>
    <t>CVG_16</t>
  </si>
  <si>
    <t>rows 37–39</t>
  </si>
  <si>
    <t>Country-context value supplied in the updated PIN file</t>
  </si>
  <si>
    <t>CVG_17</t>
  </si>
  <si>
    <t>Country-context value supplied in the updated PIN file; shared treatment baseline</t>
  </si>
  <si>
    <t>cost_record_id</t>
  </si>
  <si>
    <t>cost_component_key</t>
  </si>
  <si>
    <t>cost_option</t>
  </si>
  <si>
    <t>selected_for_base_case</t>
  </si>
  <si>
    <t>cost_component</t>
  </si>
  <si>
    <t>population_in_need_measure</t>
  </si>
  <si>
    <t>population_in_need_fraction</t>
  </si>
  <si>
    <t>cost_unit</t>
  </si>
  <si>
    <t>frequency_per_year</t>
  </si>
  <si>
    <t>platform</t>
  </si>
  <si>
    <t>unit_cost_usd</t>
  </si>
  <si>
    <t>price_year</t>
  </si>
  <si>
    <t>indonesia_adjusted_flag</t>
  </si>
  <si>
    <t>source_country</t>
  </si>
  <si>
    <t>selection_count</t>
  </si>
  <si>
    <t>COST_RHD_SEC_01</t>
  </si>
  <si>
    <t>CC_RHD_SECONDARY_PENICILLIN</t>
  </si>
  <si>
    <t>Base</t>
  </si>
  <si>
    <t>Secondary prophylaxis with penicillin</t>
  </si>
  <si>
    <t>prevalence</t>
  </si>
  <si>
    <t>USD per patient-year</t>
  </si>
  <si>
    <t>Health center</t>
  </si>
  <si>
    <t>Kenya</t>
  </si>
  <si>
    <t>row 13</t>
  </si>
  <si>
    <t>Indonesia-adjusted Fair Choices unit cost</t>
  </si>
  <si>
    <t>COST_RHD_SURG_01</t>
  </si>
  <si>
    <t>CC_RHD_SURGERY</t>
  </si>
  <si>
    <t>Rheumatic heart disease cardiac surgery</t>
  </si>
  <si>
    <t>USD per procedure</t>
  </si>
  <si>
    <t>Hospital</t>
  </si>
  <si>
    <t>row 14</t>
  </si>
  <si>
    <t>SRHD corrected to RHD; frequency linked to assumption</t>
  </si>
  <si>
    <t>COST_PRIMARY_SCREEN_A</t>
  </si>
  <si>
    <t>CC_PRIMARY_SCREENING</t>
  </si>
  <si>
    <t>Option A (selected)</t>
  </si>
  <si>
    <t>Shared primary CVD cost</t>
  </si>
  <si>
    <t>CVD targeted screening</t>
  </si>
  <si>
    <t>all</t>
  </si>
  <si>
    <t>USD per eligible person-year</t>
  </si>
  <si>
    <t>Tanzania</t>
  </si>
  <si>
    <t>row 15</t>
  </si>
  <si>
    <t>Lower of two salary-adjustment options; confirm selection</t>
  </si>
  <si>
    <t>COST_PRIMARY_SCREEN_B</t>
  </si>
  <si>
    <t>Option B</t>
  </si>
  <si>
    <t>row 16</t>
  </si>
  <si>
    <t>Alternative</t>
  </si>
  <si>
    <t>Alternative salary-adjustment option</t>
  </si>
  <si>
    <t>COST_PRIMARY_TX_A</t>
  </si>
  <si>
    <t>CC_PRIMARY_HTN_STATIN</t>
  </si>
  <si>
    <t>Antihypertensives and statins for absolute CVD risk &gt;20%</t>
  </si>
  <si>
    <t>row 17</t>
  </si>
  <si>
    <t>COST_PRIMARY_TX_B</t>
  </si>
  <si>
    <t>row 18</t>
  </si>
  <si>
    <t>COST_IHD_SEC_CF_A</t>
  </si>
  <si>
    <t>CC_IHD_SECONDARY_CASE_FINDING</t>
  </si>
  <si>
    <t>Case finding and diagnosis</t>
  </si>
  <si>
    <t>incidence</t>
  </si>
  <si>
    <t>USD per incident case</t>
  </si>
  <si>
    <t>row 43</t>
  </si>
  <si>
    <t>Lower of two salary-adjustment options</t>
  </si>
  <si>
    <t>COST_IHD_SEC_CF_B</t>
  </si>
  <si>
    <t>row 44</t>
  </si>
  <si>
    <t>COST_IHD_SEC_FU</t>
  </si>
  <si>
    <t>CC_IHD_SECONDARY_FOLLOWUP</t>
  </si>
  <si>
    <t>Lab tests and follow-up visits for IHD patients</t>
  </si>
  <si>
    <t>rows 45–46</t>
  </si>
  <si>
    <t>Source label referred to stroke; corrected to IHD for this mapping</t>
  </si>
  <si>
    <t>COST_IHD_SEC_TX</t>
  </si>
  <si>
    <t>CC_IHD_SECONDARY_TREATMENT</t>
  </si>
  <si>
    <t>Treatment cost for IHD patients</t>
  </si>
  <si>
    <t>Brazil</t>
  </si>
  <si>
    <t>row 47</t>
  </si>
  <si>
    <t>COST_STROKE_IS_CF</t>
  </si>
  <si>
    <t>CC_STROKE_IS_CASE_FINDING</t>
  </si>
  <si>
    <t>row 32</t>
  </si>
  <si>
    <t>COST_STROKE_IS_LAB_A</t>
  </si>
  <si>
    <t>CC_STROKE_IS_FOLLOWUP</t>
  </si>
  <si>
    <t>Lab tests and follow-up visits</t>
  </si>
  <si>
    <t>row 37</t>
  </si>
  <si>
    <t>COST_STROKE_IS_LAB_B</t>
  </si>
  <si>
    <t>row 38</t>
  </si>
  <si>
    <t>COST_STROKE_IS_TX</t>
  </si>
  <si>
    <t>CC_STROKE_IS_TREATMENT</t>
  </si>
  <si>
    <t>Treatment cost for stroke patients</t>
  </si>
  <si>
    <t>rows 41–42</t>
  </si>
  <si>
    <t>COST_STROKE_ICH_CF_A</t>
  </si>
  <si>
    <t>CC_STROKE_ICH_CASE_FINDING</t>
  </si>
  <si>
    <t>row 33</t>
  </si>
  <si>
    <t>COST_STROKE_ICH_CF_B</t>
  </si>
  <si>
    <t>row 34</t>
  </si>
  <si>
    <t>COST_STROKE_ICH_LAB_A</t>
  </si>
  <si>
    <t>CC_STROKE_ICH_FOLLOWUP</t>
  </si>
  <si>
    <t>row 35</t>
  </si>
  <si>
    <t>COST_STROKE_ICH_LAB_B</t>
  </si>
  <si>
    <t>row 36</t>
  </si>
  <si>
    <t>COST_STROKE_ICH_TX</t>
  </si>
  <si>
    <t>CC_STROKE_ICH_TREATMENT</t>
  </si>
  <si>
    <t>rows 39–40</t>
  </si>
  <si>
    <t>COST_HF_ACUTE_C_IHD</t>
  </si>
  <si>
    <t>CC_HF_ACUTE_C_IHD</t>
  </si>
  <si>
    <t>Acute heart-failure management package</t>
  </si>
  <si>
    <t>USD per acute episode</t>
  </si>
  <si>
    <t>Ghana</t>
  </si>
  <si>
    <t>row 4</t>
  </si>
  <si>
    <t>COST_HF_ACUTE_C_HHD</t>
  </si>
  <si>
    <t>CC_HF_ACUTE_C_HHD</t>
  </si>
  <si>
    <t>row 3</t>
  </si>
  <si>
    <t>COST_HF_ACUTE_C_CMP</t>
  </si>
  <si>
    <t>CC_HF_ACUTE_C_CMP</t>
  </si>
  <si>
    <t>row 2</t>
  </si>
  <si>
    <t>COST_HF_CHRONIC_CMP_ECHO</t>
  </si>
  <si>
    <t>CC_HF_CHRONIC_CMP_ECHO</t>
  </si>
  <si>
    <t>One cardiac echo per year</t>
  </si>
  <si>
    <t>row 19</t>
  </si>
  <si>
    <t>COST_HF_CHRONIC_CMP_LAB_A</t>
  </si>
  <si>
    <t>CC_HF_CHRONIC_CMP_FOLLOWUP</t>
  </si>
  <si>
    <t>row 22</t>
  </si>
  <si>
    <t>COST_HF_CHRONIC_CMP_LAB_B</t>
  </si>
  <si>
    <t>row 23</t>
  </si>
  <si>
    <t>COST_HF_CHRONIC_CMP_TX</t>
  </si>
  <si>
    <t>CC_HF_CHRONIC_CMP_TREATMENT</t>
  </si>
  <si>
    <t>Treatment of heart failure</t>
  </si>
  <si>
    <t>rows 26–27</t>
  </si>
  <si>
    <t>COST_HF_CHRONIC_HHD_ECHO</t>
  </si>
  <si>
    <t>CC_HF_CHRONIC_HHD_ECHO</t>
  </si>
  <si>
    <t>row 20</t>
  </si>
  <si>
    <t>COST_HF_CHRONIC_HHD_LAB_A</t>
  </si>
  <si>
    <t>CC_HF_CHRONIC_HHD_FOLLOWUP</t>
  </si>
  <si>
    <t>row 24</t>
  </si>
  <si>
    <t>COST_HF_CHRONIC_HHD_LAB_B</t>
  </si>
  <si>
    <t>row 25</t>
  </si>
  <si>
    <t>COST_HF_CHRONIC_HHD_TX</t>
  </si>
  <si>
    <t>CC_HF_CHRONIC_HHD_TREATMENT</t>
  </si>
  <si>
    <t>rows 28–29</t>
  </si>
  <si>
    <t>Source age starts at 0; verify against model eligibility</t>
  </si>
  <si>
    <t>COST_HF_CHRONIC_IHD_ECHO</t>
  </si>
  <si>
    <t>CC_HF_CHRONIC_IHD_ECHO</t>
  </si>
  <si>
    <t>row 21</t>
  </si>
  <si>
    <t>COST_HF_CHRONIC_IHD_LAB</t>
  </si>
  <si>
    <t>CC_HF_CHRONIC_IHD_FOLLOWUP</t>
  </si>
  <si>
    <t>not found</t>
  </si>
  <si>
    <t>Missing input</t>
  </si>
  <si>
    <t>No IHD-specific chronic HF follow-up cost identified in supplied adjusted cost file</t>
  </si>
  <si>
    <t>COST_HF_CHRONIC_IHD_TX</t>
  </si>
  <si>
    <t>CC_HF_CHRONIC_IHD_TREATMENT</t>
  </si>
  <si>
    <t>rows 30–31</t>
  </si>
  <si>
    <t>COST_T2D_SCREENING</t>
  </si>
  <si>
    <t>CC_T2D_SCREENING</t>
  </si>
  <si>
    <t>Diabetes opportunistic screening</t>
  </si>
  <si>
    <t>India</t>
  </si>
  <si>
    <t>row 50</t>
  </si>
  <si>
    <t>Indonesia-adjusted Fair Choices unit cost; mapped to the updated PIN screening component</t>
  </si>
  <si>
    <t>COST_T2D_NON_INSULIN</t>
  </si>
  <si>
    <t>CC_T2D_NON_INSULIN</t>
  </si>
  <si>
    <t>Diabetes management, non-insulin dependent</t>
  </si>
  <si>
    <t>Bangladesh</t>
  </si>
  <si>
    <t>row 51</t>
  </si>
  <si>
    <t>Indonesia-adjusted Fair Choices unit cost; mapped to the updated PIN non-insulin component</t>
  </si>
  <si>
    <t>COST_T2D_INSULIN</t>
  </si>
  <si>
    <t>CC_T2D_INSULIN</t>
  </si>
  <si>
    <t>Diabetes management, insulin dependent</t>
  </si>
  <si>
    <t>row 52</t>
  </si>
  <si>
    <t>Indonesia-adjusted Fair Choices unit cost; mapped to the updated PIN insulin component</t>
  </si>
  <si>
    <t>coverage_increase</t>
  </si>
  <si>
    <t>fairchoices_adjusted_effect</t>
  </si>
  <si>
    <t>adjusted_effect_on_transition</t>
  </si>
  <si>
    <t>selected_cost_components</t>
  </si>
  <si>
    <t>selected_unit_cost_sum_usd</t>
  </si>
  <si>
    <t>method_id</t>
  </si>
  <si>
    <t>concept</t>
  </si>
  <si>
    <t>formula_or_rule</t>
  </si>
  <si>
    <t>implemented_in</t>
  </si>
  <si>
    <t>linkage_key</t>
  </si>
  <si>
    <t>Indonesia interpretation</t>
  </si>
  <si>
    <t>M01</t>
  </si>
  <si>
    <t>Incremental coverage</t>
  </si>
  <si>
    <t>delta_cov = cov_target - cov_baseline</t>
  </si>
  <si>
    <t>Coverage</t>
  </si>
  <si>
    <t>Coverage changes in percentage points; do not use target coverage alone.</t>
  </si>
  <si>
    <t>M02</t>
  </si>
  <si>
    <t>FairChoices adjusted effect</t>
  </si>
  <si>
    <t>e_adj = e_crude * delta_cov / (1 - e_crude * cov_baseline)</t>
  </si>
  <si>
    <t>Model_Input_View</t>
  </si>
  <si>
    <t>Uses effect_value as e_crude and the row-specific baseline and target coverage.</t>
  </si>
  <si>
    <t>M03</t>
  </si>
  <si>
    <t>Affected fraction</t>
  </si>
  <si>
    <t>transition_effect = e_adj * affected_fraction</t>
  </si>
  <si>
    <t>Indonesia Markov adaptation: limits the effect to the eligible/affected share supplied by FairChoices.</t>
  </si>
  <si>
    <t>M04</t>
  </si>
  <si>
    <t>Adjusted transition</t>
  </si>
  <si>
    <t>p_target = p_baseline * (1 - transition_effect)</t>
  </si>
  <si>
    <t>Model pipeline</t>
  </si>
  <si>
    <t>transition_from + transition_to</t>
  </si>
  <si>
    <t>Apply prevention to well -&gt; sick and disease management to sick -&gt; cause-specific death.</t>
  </si>
  <si>
    <t>M05</t>
  </si>
  <si>
    <t>Annual component cost</t>
  </si>
  <si>
    <t>cost = unit_cost * frequency * population_in_need * coverage</t>
  </si>
  <si>
    <t>Cost_Components</t>
  </si>
  <si>
    <t>cost_join_key + cost_component_key</t>
  </si>
  <si>
    <t>Calculate each selected component separately because PIN measures and fractions differ.</t>
  </si>
  <si>
    <t>M06</t>
  </si>
  <si>
    <t>Total intervention cost</t>
  </si>
  <si>
    <t>C_i,t = SUM_k(cost_i,k,t)</t>
  </si>
  <si>
    <t>Economic evaluation</t>
  </si>
  <si>
    <t>C_SHARED links are counted once at intervention level, not once for every affected cause.</t>
  </si>
  <si>
    <t>M07</t>
  </si>
  <si>
    <t>Discounting</t>
  </si>
  <si>
    <t>PV_t = value_t / (1 + r)^(t - start_year)</t>
  </si>
  <si>
    <t>Assumptions.parameter_id</t>
  </si>
  <si>
    <t>Use the editable Indonesia cost and health discount rates.</t>
  </si>
  <si>
    <t>M08</t>
  </si>
  <si>
    <t>FairChoices unit-cost markups</t>
  </si>
  <si>
    <t>c_i = (1 + alpha) * c_literature * (1 + beta)</t>
  </si>
  <si>
    <t>Do not reapply markups where indonesia_adjusted_flag = 1; supplied adjusted costs already include them.</t>
  </si>
  <si>
    <t>M09</t>
  </si>
  <si>
    <t>Country cost transfer</t>
  </si>
  <si>
    <t>c_i,y = delta*c_i,x*(S_y/S_x) + (1-delta)*c_i,x</t>
  </si>
  <si>
    <t>Cost source preparation</t>
  </si>
  <si>
    <t>Upstream preparation method; workbook retains the adjusted output and provenance.</t>
  </si>
  <si>
    <t>Assumption comparison</t>
  </si>
  <si>
    <t>Indonesia base case</t>
  </si>
  <si>
    <t>FairChoices documentation</t>
  </si>
  <si>
    <t>Decision</t>
  </si>
  <si>
    <t>Source</t>
  </si>
  <si>
    <t>Cost discount rate</t>
  </si>
  <si>
    <t>Keep editable Indonesia base case</t>
  </si>
  <si>
    <t>https://fairchoices.w.uib.no/documentation/fairchoices-methods/#mathematical-details</t>
  </si>
  <si>
    <t>Health-outcome discount rate</t>
  </si>
  <si>
    <t>Time horizon</t>
  </si>
  <si>
    <t>2025-2050</t>
  </si>
  <si>
    <t>5-year costing reference; lifetime health perspective</t>
  </si>
  <si>
    <t>Use Jakarta-oriented 2025-2050 horizon</t>
  </si>
  <si>
    <t>Source: FairChoices Methods, University of Bergen. The adjusted-transition and affected-fraction rows are an explicit Indonesia Markov-model adaptation of the documented FairChoices coverage-adjusted effect equation.</t>
  </si>
  <si>
    <t>item</t>
  </si>
  <si>
    <t>decision</t>
  </si>
  <si>
    <t>reason</t>
  </si>
  <si>
    <t>domain</t>
  </si>
  <si>
    <t>use</t>
  </si>
  <si>
    <t>location</t>
  </si>
  <si>
    <t>Treatment of acute pharyngitis in children</t>
  </si>
  <si>
    <t>Exclude</t>
  </si>
  <si>
    <t>Explicitly excluded in the August 14 meeting</t>
  </si>
  <si>
    <t>Meeting summary — August 14, 2026</t>
  </si>
  <si>
    <t>Scope, target coverage, intervention structure, transition corrections</t>
  </si>
  <si>
    <t>User-provided meeting summary</t>
  </si>
  <si>
    <t>Primary decision source</t>
  </si>
  <si>
    <t>Peripheral vascular disease interventions</t>
  </si>
  <si>
    <t>No disease model in the initial pipeline</t>
  </si>
  <si>
    <t>Peripheral vascular disease</t>
  </si>
  <si>
    <t>Sample organization and economic assumptions</t>
  </si>
  <si>
    <t>Economic_Assumptions; Effect_sizes; Cost; Coverage</t>
  </si>
  <si>
    <t>Used as a structural reference; originals preserved</t>
  </si>
  <si>
    <t>Detailed BP/statin risk-factor distributions</t>
  </si>
  <si>
    <t>Defer</t>
  </si>
  <si>
    <t>Use average Fair Choices effects for Jakarta results</t>
  </si>
  <si>
    <t>Fair Choices effect values and affected proportions</t>
  </si>
  <si>
    <t>Sheet 1</t>
  </si>
  <si>
    <t>CVD and type 2 diabetes rows used</t>
  </si>
  <si>
    <t>Chronic kidney disease</t>
  </si>
  <si>
    <t>Add only if core models are complete</t>
  </si>
  <si>
    <t>CKD</t>
  </si>
  <si>
    <t>Baseline coverage and population-in-need fractions, including type 2 diabetes</t>
  </si>
  <si>
    <t>All rows</t>
  </si>
  <si>
    <t>Contains regional/platform proxies; type 2 diabetes baseline coverage is 16%</t>
  </si>
  <si>
    <t>Exercise-based cardiac rehabilitation</t>
  </si>
  <si>
    <t>Not in the agreed initial package</t>
  </si>
  <si>
    <t>Indonesia-adjusted CVD and type 2 diabetes unit costs</t>
  </si>
  <si>
    <t>cvd_unit_cost_indonesia</t>
  </si>
  <si>
    <t>Alternative salary-adjustment options retained; type 2 diabetes rows added</t>
  </si>
  <si>
    <t>Stroke rehabilitation</t>
  </si>
  <si>
    <t>Stroke</t>
  </si>
  <si>
    <t>PINandCosts0625(1).csv</t>
  </si>
  <si>
    <t>Legacy raw PIN/cost reference for deferred interventions</t>
  </si>
  <si>
    <t>As previously documented</t>
  </si>
  <si>
    <t>No longer used for type 2 diabetes costing</t>
  </si>
  <si>
    <t>Treatment of acute coronary syndromes</t>
  </si>
  <si>
    <t>Shiny/web tool</t>
  </si>
  <si>
    <t>Resume later September or October</t>
  </si>
  <si>
    <t>Infrastructure</t>
  </si>
  <si>
    <t>check_id</t>
  </si>
  <si>
    <t>check</t>
  </si>
  <si>
    <t>expected</t>
  </si>
  <si>
    <t>actual</t>
  </si>
  <si>
    <t>status</t>
  </si>
  <si>
    <t>interpretation</t>
  </si>
  <si>
    <t>QA01</t>
  </si>
  <si>
    <t>Duplicate intervention–cause keys</t>
  </si>
  <si>
    <t>Each link key must appear once</t>
  </si>
  <si>
    <t>QA02</t>
  </si>
  <si>
    <t>Effect rows with bad keys or invalid values</t>
  </si>
  <si>
    <t>Effects must link once and remain within 0–100%</t>
  </si>
  <si>
    <t>QA03</t>
  </si>
  <si>
    <t>Coverage rows with missing/bad inputs</t>
  </si>
  <si>
    <t>Coverage inputs are linked and valid; T2D baseline is updated to 16%</t>
  </si>
  <si>
    <t>QA04</t>
  </si>
  <si>
    <t>Cost rows with bad keys, missing values, or selection problems</t>
  </si>
  <si>
    <t>T2D cost adjustment is resolved; the provisional IHD chronic-HF follow-up input remains documented for review</t>
  </si>
  <si>
    <t>QA05</t>
  </si>
  <si>
    <t>Effect row count minus mapping row count</t>
  </si>
  <si>
    <t>Should be one effect row for every included link</t>
  </si>
  <si>
    <t>QA06</t>
  </si>
  <si>
    <t>Coverage row count minus mapping row count</t>
  </si>
  <si>
    <t>Should be one coverage row for every included link</t>
  </si>
  <si>
    <t>QA07</t>
  </si>
  <si>
    <t>Effect rows missing a source file</t>
  </si>
  <si>
    <t>All effect values require a traceable source</t>
  </si>
  <si>
    <t>QA08</t>
  </si>
  <si>
    <t>Selected costs with missing unit cost</t>
  </si>
  <si>
    <t>Only selected base-case cost rows are model-ready</t>
  </si>
  <si>
    <t>Cause</t>
  </si>
  <si>
    <t>Intervention</t>
  </si>
  <si>
    <t>Date</t>
  </si>
  <si>
    <t>Description</t>
  </si>
  <si>
    <t>RHD</t>
  </si>
  <si>
    <t>Since we do not have svere state, the PIN is updated to 9 % based on the RHD detailed model from The Uganda/Indonesia modelling</t>
  </si>
  <si>
    <t>PIN and unit costs</t>
  </si>
  <si>
    <t>Updated baseline coverage to 16% and added screening, non-insulin, and insulin cost components using Indonesia-adjusted 2023 USD values</t>
  </si>
  <si>
    <t>PIN</t>
  </si>
  <si>
    <t>Updated PIN from 6% to 30% in cost components</t>
  </si>
  <si>
    <t>age</t>
  </si>
  <si>
    <t>update age start from 0 to 30</t>
  </si>
  <si>
    <t>PIN original 20 assumed 0 because covered in cvd primary screnning</t>
  </si>
  <si>
    <t>I_IHD_ACUTE</t>
  </si>
  <si>
    <t>Acute ischemic heart disease treatment</t>
  </si>
  <si>
    <t>Acute hospital management of ischemic heart disease with aspirin, unfractionated heparin, and generic thrombolytics when indicated</t>
  </si>
  <si>
    <t>I_IHD_ACUTE__C_IHD</t>
  </si>
  <si>
    <t>Apply to the acute IHD case-fatality (sick-to-dead) transition</t>
  </si>
  <si>
    <t>E_IHD_ACUTE</t>
  </si>
  <si>
    <t>taxonomy_effect_size(1).xlsx</t>
  </si>
  <si>
    <t>Sheet 1, row 138</t>
  </si>
  <si>
    <t>Fair Choices acute coronary syndrome mortality effect; apply to acute IHD case fatality</t>
  </si>
  <si>
    <t>CVG_18</t>
  </si>
  <si>
    <t>cvd_input_file_PIN_dm(4).csv</t>
  </si>
  <si>
    <t>Hospital/platform baseline coverage supplied in the PIN file</t>
  </si>
  <si>
    <t>COST_IHD_ACUTE</t>
  </si>
  <si>
    <t>CC_IHD_ACUTE_TREATMENT</t>
  </si>
  <si>
    <t>IHD second best: Management of acute coronary syndromes (aspirin, unfractionated heparin, and generic thrombolytics when indicated)</t>
  </si>
  <si>
    <t>cvd_unit_cost_indonesia_1_dm(3).xlsx</t>
  </si>
  <si>
    <t>row 7</t>
  </si>
  <si>
    <t>Indonesia-adjusted Fair Choices unit cost, including ancillary costs</t>
  </si>
  <si>
    <t>Include</t>
  </si>
  <si>
    <t>Included using the supplied effect-size, coverage/PIN, and Indonesia-adjusted unit-cost inputs</t>
  </si>
  <si>
    <t>taxonomy_effect_size(1).xlsx; cvd_input_file_PIN_dm(4).csv; cvd_unit_cost_indonesia_1_dm(3).xlsx</t>
  </si>
  <si>
    <t>Effect, baseline coverage, population in need, and unit cost</t>
  </si>
  <si>
    <t>Taxonomy row 138; PIN row 4; cost row 7</t>
  </si>
  <si>
    <t>Added as an acute IHD intervention; assumptions remain editable</t>
  </si>
  <si>
    <t>Added acute coronary syndrome intervention using taxonomy effect row 138, PIN row 4, and Indonesia-adjusted cost row 7</t>
  </si>
  <si>
    <t>•	Replace the echocardiography cost of $5.13 with a placeholder of $20</t>
  </si>
  <si>
    <t>•	Replace the acute HF cost with $475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</si>
</sst>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&quot;$&quot;#,##0.00"/>
  </numFmts>
  <fonts count="15">
    <font>
      <sz val="11"/>
      <name val="Carlito"/>
    </font>
    <font>
      <sz val="11"/>
      <color rgb="FF000000"/>
      <name val="Carlito"/>
    </font>
    <font>
      <b/>
      <sz val="11"/>
      <color rgb="FFFFFFFF"/>
      <name val="Carlito"/>
    </font>
    <font>
      <b/>
      <sz val="11"/>
      <color rgb="FF9C5700"/>
      <name val="Carlito"/>
    </font>
    <font>
      <i/>
      <sz val="9"/>
      <color rgb="FF1F1F1F"/>
      <name val="Carlito"/>
    </font>
    <font>
      <sz val="10"/>
      <color rgb="FF000000"/>
      <name val="Carlito"/>
    </font>
    <font>
      <b/>
      <sz val="20"/>
      <color rgb="FFFFFFFF"/>
      <name val="Carlito"/>
    </font>
    <font>
      <i/>
      <sz val="10"/>
      <color rgb="FF1F1F1F"/>
      <name val="Carlito"/>
    </font>
    <font>
      <b/>
      <sz val="10"/>
      <color rgb="FFFFFFFF"/>
      <name val="Carlito"/>
    </font>
    <font>
      <b/>
      <sz val="16"/>
      <color rgb="FF1F4E78"/>
      <name val="Carlito"/>
    </font>
    <font>
      <sz val="9"/>
      <color rgb="FF1F1F1F"/>
      <name val="Carlito"/>
    </font>
    <font>
      <sz val="9"/>
      <color rgb="FF000000"/>
      <name val="Carlito"/>
    </font>
    <font>
      <sz val="9"/>
      <color rgb="FFFF0000"/>
      <name val="Carlito"/>
    </font>
    <font>
      <i/>
      <sz val="9"/>
      <color rgb="FF000000"/>
      <name val="Carlito"/>
    </font>
    <font>
      <sz val="9"/>
      <color indexed="81"/>
      <name val="Tahoma"/>
      <charset val="1"/>
    </font>
  </fonts>
  <fills count="11">
    <fill>
      <patternFill patternType="none"/>
    </fill>
    <fill>
      <patternFill patternType="gray125"/>
    </fill>
    <fill>
      <patternFill patternType="solid">
        <fgColor rgb="FF0F6B78"/>
      </patternFill>
    </fill>
    <fill>
      <patternFill patternType="solid">
        <fgColor rgb="FFFFF2CC"/>
      </patternFill>
    </fill>
    <fill>
      <patternFill patternType="solid">
        <fgColor rgb="FFF3F6F8"/>
      </patternFill>
    </fill>
    <fill>
      <patternFill patternType="solid">
        <fgColor rgb="FFD9EAF7"/>
      </patternFill>
    </fill>
    <fill>
      <patternFill patternType="solid">
        <fgColor rgb="FFFFFFFF"/>
      </patternFill>
    </fill>
    <fill>
      <patternFill patternType="solid">
        <fgColor rgb="FF1F4E78"/>
      </patternFill>
    </fill>
    <fill>
      <patternFill patternType="solid">
        <fgColor rgb="FFDDEBF7"/>
      </patternFill>
    </fill>
    <fill>
      <patternFill patternType="solid">
        <fgColor rgb="FFEAF3F8"/>
      </patternFill>
    </fill>
    <fill>
      <patternFill patternType="solid">
        <fgColor rgb="FFFFF2CC"/>
      </patternFill>
    </fill>
  </fills>
  <borders count="17">
    <border>
      <left/>
      <right/>
      <top/>
      <bottom/>
      <diagonal/>
    </border>
    <border>
      <left style="thin">
        <color rgb="FFD9E2F3"/>
      </left>
      <right/>
      <top/>
      <bottom style="thin">
        <color rgb="FFD9E2F3"/>
      </bottom>
      <diagonal/>
    </border>
    <border>
      <left/>
      <right/>
      <top/>
      <bottom style="thin">
        <color rgb="FFD9E2F3"/>
      </bottom>
      <diagonal/>
    </border>
    <border>
      <left/>
      <right style="thin">
        <color rgb="FFD9E2F3"/>
      </right>
      <top/>
      <bottom style="thin">
        <color rgb="FFD9E2F3"/>
      </bottom>
      <diagonal/>
    </border>
    <border>
      <left style="thin">
        <color rgb="FFD9E2F3"/>
      </left>
      <right/>
      <top style="thin">
        <color rgb="FFD9E2F3"/>
      </top>
      <bottom/>
      <diagonal/>
    </border>
    <border>
      <left/>
      <right/>
      <top style="thin">
        <color rgb="FFD9E2F3"/>
      </top>
      <bottom/>
      <diagonal/>
    </border>
    <border>
      <left/>
      <right style="thin">
        <color rgb="FFD9E2F3"/>
      </right>
      <top style="thin">
        <color rgb="FFD9E2F3"/>
      </top>
      <bottom/>
      <diagonal/>
    </border>
    <border>
      <left style="thin">
        <color rgb="FFD9E2F3"/>
      </left>
      <right/>
      <top/>
      <bottom/>
      <diagonal/>
    </border>
    <border>
      <left/>
      <right style="thin">
        <color rgb="FFD9E2F3"/>
      </right>
      <top/>
      <bottom/>
      <diagonal/>
    </border>
    <border>
      <left style="thin">
        <color rgb="FFB4C6E7"/>
      </left>
      <right/>
      <top style="thin">
        <color rgb="FFB4C6E7"/>
      </top>
      <bottom/>
      <diagonal/>
    </border>
    <border>
      <left/>
      <right style="thin">
        <color rgb="FFB4C6E7"/>
      </right>
      <top style="thin">
        <color rgb="FFB4C6E7"/>
      </top>
      <bottom/>
      <diagonal/>
    </border>
    <border>
      <left style="thin">
        <color rgb="FFB4C6E7"/>
      </left>
      <right/>
      <top/>
      <bottom style="thin">
        <color rgb="FFB4C6E7"/>
      </bottom>
      <diagonal/>
    </border>
    <border>
      <left/>
      <right style="thin">
        <color rgb="FFB4C6E7"/>
      </right>
      <top/>
      <bottom style="thin">
        <color rgb="FFB4C6E7"/>
      </bottom>
      <diagonal/>
    </border>
    <border>
      <left/>
      <right/>
      <top style="thin">
        <color rgb="FFD9E2F3"/>
      </top>
      <bottom style="thin">
        <color rgb="FFD9E2F3"/>
      </bottom>
      <diagonal/>
    </border>
    <border>
      <left style="thin">
        <color rgb="FF1F4E78"/>
      </left>
      <right/>
      <top style="thin">
        <color rgb="FF1F4E78"/>
      </top>
      <bottom style="thin">
        <color rgb="FF1F4E78"/>
      </bottom>
      <diagonal/>
    </border>
    <border>
      <left/>
      <right/>
      <top style="thin">
        <color rgb="FF1F4E78"/>
      </top>
      <bottom style="thin">
        <color rgb="FF1F4E78"/>
      </bottom>
      <diagonal/>
    </border>
    <border>
      <left/>
      <right style="thin">
        <color rgb="FF1F4E78"/>
      </right>
      <top style="thin">
        <color rgb="FF1F4E78"/>
      </top>
      <bottom style="thin">
        <color rgb="FF1F4E78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1" fillId="0" borderId="0" xfId="0" applyFont="1" applyAlignment="1">
      <alignment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wrapText="1"/>
    </xf>
    <xf numFmtId="0" fontId="2" fillId="7" borderId="0" xfId="0" applyFont="1" applyFill="1" applyAlignment="1">
      <alignment wrapText="1"/>
    </xf>
    <xf numFmtId="0" fontId="10" fillId="0" borderId="5" xfId="0" applyFont="1" applyBorder="1" applyAlignment="1">
      <alignment vertical="top" wrapText="1"/>
    </xf>
    <xf numFmtId="0" fontId="10" fillId="3" borderId="2" xfId="0" applyFont="1" applyFill="1" applyBorder="1" applyAlignment="1">
      <alignment horizontal="right" vertical="top" wrapText="1"/>
    </xf>
    <xf numFmtId="0" fontId="10" fillId="0" borderId="2" xfId="0" applyFont="1" applyBorder="1" applyAlignment="1">
      <alignment horizontal="right" vertical="top" wrapText="1"/>
    </xf>
    <xf numFmtId="0" fontId="10" fillId="3" borderId="13" xfId="0" applyFont="1" applyFill="1" applyBorder="1" applyAlignment="1">
      <alignment horizontal="right" vertical="top" wrapText="1"/>
    </xf>
    <xf numFmtId="0" fontId="10" fillId="0" borderId="13" xfId="0" applyFont="1" applyBorder="1" applyAlignment="1">
      <alignment horizontal="right" vertical="top" wrapText="1"/>
    </xf>
    <xf numFmtId="164" fontId="10" fillId="3" borderId="13" xfId="0" applyNumberFormat="1" applyFont="1" applyFill="1" applyBorder="1" applyAlignment="1">
      <alignment horizontal="right" vertical="top" wrapText="1"/>
    </xf>
    <xf numFmtId="164" fontId="10" fillId="0" borderId="13" xfId="0" applyNumberFormat="1" applyFont="1" applyBorder="1" applyAlignment="1">
      <alignment horizontal="right" vertical="top" wrapText="1"/>
    </xf>
    <xf numFmtId="0" fontId="10" fillId="3" borderId="5" xfId="0" applyFont="1" applyFill="1" applyBorder="1" applyAlignment="1">
      <alignment horizontal="right" vertical="top" wrapText="1"/>
    </xf>
    <xf numFmtId="0" fontId="10" fillId="0" borderId="5" xfId="0" applyFont="1" applyBorder="1" applyAlignment="1">
      <alignment horizontal="right" vertical="top" wrapText="1"/>
    </xf>
    <xf numFmtId="0" fontId="8" fillId="7" borderId="14" xfId="0" applyFont="1" applyFill="1" applyBorder="1" applyAlignment="1">
      <alignment vertical="center" wrapText="1"/>
    </xf>
    <xf numFmtId="0" fontId="8" fillId="7" borderId="15" xfId="0" applyFont="1" applyFill="1" applyBorder="1" applyAlignment="1">
      <alignment vertical="center" wrapText="1"/>
    </xf>
    <xf numFmtId="0" fontId="8" fillId="7" borderId="16" xfId="0" applyFont="1" applyFill="1" applyBorder="1" applyAlignment="1">
      <alignment vertical="center" wrapText="1"/>
    </xf>
    <xf numFmtId="0" fontId="10" fillId="0" borderId="2" xfId="0" applyFont="1" applyBorder="1" applyAlignment="1">
      <alignment vertical="top" wrapText="1"/>
    </xf>
    <xf numFmtId="0" fontId="10" fillId="0" borderId="13" xfId="0" applyFont="1" applyBorder="1" applyAlignment="1">
      <alignment vertical="top" wrapText="1"/>
    </xf>
    <xf numFmtId="0" fontId="11" fillId="0" borderId="0" xfId="0" applyFont="1" applyAlignment="1">
      <alignment vertical="top" wrapText="1"/>
    </xf>
    <xf numFmtId="0" fontId="10" fillId="9" borderId="2" xfId="0" applyFont="1" applyFill="1" applyBorder="1" applyAlignment="1">
      <alignment vertical="top" wrapText="1"/>
    </xf>
    <xf numFmtId="0" fontId="10" fillId="9" borderId="13" xfId="0" applyFont="1" applyFill="1" applyBorder="1" applyAlignment="1">
      <alignment vertical="top" wrapText="1"/>
    </xf>
    <xf numFmtId="0" fontId="10" fillId="9" borderId="5" xfId="0" applyFont="1" applyFill="1" applyBorder="1" applyAlignment="1">
      <alignment vertical="top" wrapText="1"/>
    </xf>
    <xf numFmtId="1" fontId="10" fillId="0" borderId="2" xfId="0" applyNumberFormat="1" applyFont="1" applyBorder="1" applyAlignment="1">
      <alignment vertical="top" wrapText="1"/>
    </xf>
    <xf numFmtId="1" fontId="10" fillId="0" borderId="13" xfId="0" applyNumberFormat="1" applyFont="1" applyBorder="1" applyAlignment="1">
      <alignment vertical="top" wrapText="1"/>
    </xf>
    <xf numFmtId="1" fontId="10" fillId="0" borderId="5" xfId="0" applyNumberFormat="1" applyFont="1" applyBorder="1" applyAlignment="1">
      <alignment vertical="top" wrapText="1"/>
    </xf>
    <xf numFmtId="164" fontId="10" fillId="3" borderId="13" xfId="0" applyNumberFormat="1" applyFont="1" applyFill="1" applyBorder="1" applyAlignment="1">
      <alignment vertical="top" wrapText="1"/>
    </xf>
    <xf numFmtId="164" fontId="10" fillId="3" borderId="2" xfId="0" applyNumberFormat="1" applyFont="1" applyFill="1" applyBorder="1" applyAlignment="1">
      <alignment vertical="top" wrapText="1"/>
    </xf>
    <xf numFmtId="164" fontId="10" fillId="3" borderId="5" xfId="0" applyNumberFormat="1" applyFont="1" applyFill="1" applyBorder="1" applyAlignment="1">
      <alignment vertical="top" wrapText="1"/>
    </xf>
    <xf numFmtId="1" fontId="10" fillId="3" borderId="2" xfId="0" applyNumberFormat="1" applyFont="1" applyFill="1" applyBorder="1" applyAlignment="1">
      <alignment vertical="top" wrapText="1"/>
    </xf>
    <xf numFmtId="1" fontId="10" fillId="3" borderId="13" xfId="0" applyNumberFormat="1" applyFont="1" applyFill="1" applyBorder="1" applyAlignment="1">
      <alignment vertical="top" wrapText="1"/>
    </xf>
    <xf numFmtId="1" fontId="10" fillId="3" borderId="5" xfId="0" applyNumberFormat="1" applyFont="1" applyFill="1" applyBorder="1" applyAlignment="1">
      <alignment vertical="top" wrapText="1"/>
    </xf>
    <xf numFmtId="164" fontId="10" fillId="9" borderId="2" xfId="0" applyNumberFormat="1" applyFont="1" applyFill="1" applyBorder="1" applyAlignment="1">
      <alignment vertical="top" wrapText="1"/>
    </xf>
    <xf numFmtId="164" fontId="10" fillId="9" borderId="13" xfId="0" applyNumberFormat="1" applyFont="1" applyFill="1" applyBorder="1" applyAlignment="1">
      <alignment vertical="top" wrapText="1"/>
    </xf>
    <xf numFmtId="164" fontId="10" fillId="9" borderId="5" xfId="0" applyNumberFormat="1" applyFont="1" applyFill="1" applyBorder="1" applyAlignment="1">
      <alignment vertical="top" wrapText="1"/>
    </xf>
    <xf numFmtId="1" fontId="10" fillId="9" borderId="2" xfId="0" applyNumberFormat="1" applyFont="1" applyFill="1" applyBorder="1" applyAlignment="1">
      <alignment vertical="top" wrapText="1"/>
    </xf>
    <xf numFmtId="1" fontId="10" fillId="9" borderId="13" xfId="0" applyNumberFormat="1" applyFont="1" applyFill="1" applyBorder="1" applyAlignment="1">
      <alignment vertical="top" wrapText="1"/>
    </xf>
    <xf numFmtId="1" fontId="10" fillId="9" borderId="5" xfId="0" applyNumberFormat="1" applyFont="1" applyFill="1" applyBorder="1" applyAlignment="1">
      <alignment vertical="top" wrapText="1"/>
    </xf>
    <xf numFmtId="164" fontId="12" fillId="3" borderId="13" xfId="0" applyNumberFormat="1" applyFont="1" applyFill="1" applyBorder="1" applyAlignment="1">
      <alignment vertical="top" wrapText="1"/>
    </xf>
    <xf numFmtId="0" fontId="10" fillId="3" borderId="2" xfId="0" applyFont="1" applyFill="1" applyBorder="1" applyAlignment="1">
      <alignment vertical="top" wrapText="1"/>
    </xf>
    <xf numFmtId="0" fontId="10" fillId="3" borderId="13" xfId="0" applyFont="1" applyFill="1" applyBorder="1" applyAlignment="1">
      <alignment vertical="top" wrapText="1"/>
    </xf>
    <xf numFmtId="0" fontId="10" fillId="3" borderId="5" xfId="0" applyFont="1" applyFill="1" applyBorder="1" applyAlignment="1">
      <alignment vertical="top" wrapText="1"/>
    </xf>
    <xf numFmtId="165" fontId="10" fillId="3" borderId="2" xfId="0" applyNumberFormat="1" applyFont="1" applyFill="1" applyBorder="1" applyAlignment="1">
      <alignment vertical="top" wrapText="1"/>
    </xf>
    <xf numFmtId="165" fontId="10" fillId="3" borderId="13" xfId="0" applyNumberFormat="1" applyFont="1" applyFill="1" applyBorder="1" applyAlignment="1">
      <alignment vertical="top" wrapText="1"/>
    </xf>
    <xf numFmtId="165" fontId="10" fillId="3" borderId="5" xfId="0" applyNumberFormat="1" applyFont="1" applyFill="1" applyBorder="1" applyAlignment="1">
      <alignment vertical="top" wrapText="1"/>
    </xf>
    <xf numFmtId="165" fontId="12" fillId="3" borderId="13" xfId="0" applyNumberFormat="1" applyFont="1" applyFill="1" applyBorder="1" applyAlignment="1">
      <alignment vertical="top" wrapText="1"/>
    </xf>
    <xf numFmtId="1" fontId="12" fillId="3" borderId="13" xfId="0" applyNumberFormat="1" applyFont="1" applyFill="1" applyBorder="1" applyAlignment="1">
      <alignment vertical="top" wrapText="1"/>
    </xf>
    <xf numFmtId="1" fontId="12" fillId="3" borderId="5" xfId="0" applyNumberFormat="1" applyFont="1" applyFill="1" applyBorder="1" applyAlignment="1">
      <alignment vertical="top" wrapText="1"/>
    </xf>
    <xf numFmtId="165" fontId="10" fillId="9" borderId="2" xfId="0" applyNumberFormat="1" applyFont="1" applyFill="1" applyBorder="1" applyAlignment="1">
      <alignment vertical="top" wrapText="1"/>
    </xf>
    <xf numFmtId="165" fontId="10" fillId="9" borderId="13" xfId="0" applyNumberFormat="1" applyFont="1" applyFill="1" applyBorder="1" applyAlignment="1">
      <alignment vertical="top" wrapText="1"/>
    </xf>
    <xf numFmtId="165" fontId="10" fillId="9" borderId="5" xfId="0" applyNumberFormat="1" applyFont="1" applyFill="1" applyBorder="1" applyAlignment="1">
      <alignment vertical="top" wrapText="1"/>
    </xf>
    <xf numFmtId="0" fontId="5" fillId="0" borderId="2" xfId="0" applyFont="1" applyBorder="1" applyAlignment="1">
      <alignment vertical="top" wrapText="1"/>
    </xf>
    <xf numFmtId="0" fontId="5" fillId="0" borderId="13" xfId="0" applyFont="1" applyBorder="1" applyAlignment="1">
      <alignment vertical="top" wrapText="1"/>
    </xf>
    <xf numFmtId="0" fontId="5" fillId="0" borderId="5" xfId="0" applyFont="1" applyBorder="1" applyAlignment="1">
      <alignment vertical="top" wrapText="1"/>
    </xf>
    <xf numFmtId="0" fontId="2" fillId="2" borderId="0" xfId="0" applyFont="1" applyFill="1" applyAlignment="1">
      <alignment wrapText="1"/>
    </xf>
    <xf numFmtId="164" fontId="5" fillId="0" borderId="2" xfId="0" applyNumberFormat="1" applyFont="1" applyBorder="1" applyAlignment="1">
      <alignment vertical="top" wrapText="1"/>
    </xf>
    <xf numFmtId="164" fontId="5" fillId="0" borderId="13" xfId="0" applyNumberFormat="1" applyFont="1" applyBorder="1" applyAlignment="1">
      <alignment vertical="top" wrapText="1"/>
    </xf>
    <xf numFmtId="0" fontId="5" fillId="0" borderId="0" xfId="0" applyFont="1" applyAlignment="1">
      <alignment vertical="center" wrapText="1"/>
    </xf>
    <xf numFmtId="0" fontId="5" fillId="9" borderId="0" xfId="0" applyFont="1" applyFill="1" applyAlignment="1">
      <alignment vertical="center" wrapText="1"/>
    </xf>
    <xf numFmtId="14" fontId="1" fillId="0" borderId="0" xfId="0" applyNumberFormat="1" applyFont="1"/>
    <xf numFmtId="0" fontId="1" fillId="10" borderId="0" xfId="0" applyFont="1" applyFill="1"/>
    <xf numFmtId="14" fontId="0" fillId="0" borderId="0" xfId="0" applyNumberFormat="1"/>
    <xf numFmtId="1" fontId="12" fillId="0" borderId="13" xfId="0" applyNumberFormat="1" applyFont="1" applyBorder="1" applyAlignment="1">
      <alignment vertical="top" wrapText="1"/>
    </xf>
    <xf numFmtId="164" fontId="12" fillId="3" borderId="5" xfId="0" applyNumberFormat="1" applyFont="1" applyFill="1" applyBorder="1" applyAlignment="1">
      <alignment vertical="top" wrapText="1"/>
    </xf>
    <xf numFmtId="165" fontId="0" fillId="0" borderId="0" xfId="0" applyNumberFormat="1"/>
    <xf numFmtId="0" fontId="6" fillId="7" borderId="0" xfId="0" applyFont="1" applyFill="1" applyAlignment="1">
      <alignment horizontal="left" vertical="center" wrapText="1"/>
    </xf>
    <xf numFmtId="0" fontId="7" fillId="8" borderId="0" xfId="0" applyFont="1" applyFill="1" applyAlignment="1">
      <alignment vertical="center" wrapText="1"/>
    </xf>
    <xf numFmtId="0" fontId="8" fillId="2" borderId="0" xfId="0" applyFont="1" applyFill="1" applyAlignment="1">
      <alignment horizontal="center" wrapText="1"/>
    </xf>
    <xf numFmtId="0" fontId="9" fillId="4" borderId="9" xfId="0" applyFont="1" applyFill="1" applyBorder="1" applyAlignment="1">
      <alignment horizontal="center" vertical="center" wrapText="1"/>
    </xf>
    <xf numFmtId="0" fontId="9" fillId="4" borderId="10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2" fillId="7" borderId="0" xfId="0" applyFont="1" applyFill="1" applyAlignment="1">
      <alignment wrapText="1"/>
    </xf>
    <xf numFmtId="0" fontId="5" fillId="6" borderId="4" xfId="0" applyFont="1" applyFill="1" applyBorder="1" applyAlignment="1">
      <alignment vertical="center" wrapText="1"/>
    </xf>
    <xf numFmtId="0" fontId="5" fillId="6" borderId="5" xfId="0" applyFont="1" applyFill="1" applyBorder="1" applyAlignment="1">
      <alignment vertical="center" wrapText="1"/>
    </xf>
    <xf numFmtId="0" fontId="5" fillId="6" borderId="6" xfId="0" applyFont="1" applyFill="1" applyBorder="1" applyAlignment="1">
      <alignment vertical="center" wrapText="1"/>
    </xf>
    <xf numFmtId="0" fontId="5" fillId="6" borderId="7" xfId="0" applyFont="1" applyFill="1" applyBorder="1" applyAlignment="1">
      <alignment vertical="center" wrapText="1"/>
    </xf>
    <xf numFmtId="0" fontId="5" fillId="6" borderId="0" xfId="0" applyFont="1" applyFill="1" applyAlignment="1">
      <alignment vertical="center" wrapText="1"/>
    </xf>
    <xf numFmtId="0" fontId="5" fillId="6" borderId="8" xfId="0" applyFont="1" applyFill="1" applyBorder="1" applyAlignment="1">
      <alignment vertical="center" wrapText="1"/>
    </xf>
    <xf numFmtId="0" fontId="1" fillId="4" borderId="0" xfId="0" applyFont="1" applyFill="1" applyAlignment="1">
      <alignment vertical="center" wrapText="1"/>
    </xf>
    <xf numFmtId="0" fontId="4" fillId="5" borderId="0" xfId="0" applyFont="1" applyFill="1" applyAlignment="1">
      <alignment horizontal="center" wrapText="1"/>
    </xf>
    <xf numFmtId="0" fontId="5" fillId="6" borderId="1" xfId="0" applyFont="1" applyFill="1" applyBorder="1" applyAlignment="1">
      <alignment vertical="center" wrapText="1"/>
    </xf>
    <xf numFmtId="0" fontId="5" fillId="6" borderId="2" xfId="0" applyFont="1" applyFill="1" applyBorder="1" applyAlignment="1">
      <alignment vertical="center" wrapText="1"/>
    </xf>
    <xf numFmtId="0" fontId="5" fillId="6" borderId="3" xfId="0" applyFont="1" applyFill="1" applyBorder="1" applyAlignment="1">
      <alignment vertical="center" wrapText="1"/>
    </xf>
    <xf numFmtId="0" fontId="13" fillId="5" borderId="0" xfId="0" applyFont="1" applyFill="1" applyAlignment="1">
      <alignment wrapText="1"/>
    </xf>
  </cellXfs>
  <cellStyles count="1">
    <cellStyle name="Normal" xfId="0" builtinId="0"/>
  </cellStyles>
  <dxfs count="32">
    <dxf>
      <font>
        <b/>
        <color rgb="FF9C0006"/>
      </font>
      <fill>
        <patternFill>
          <bgColor rgb="FFFCE4D6"/>
        </patternFill>
      </fill>
    </dxf>
    <dxf>
      <font>
        <b/>
        <color rgb="FF9C57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b/>
        <color rgb="FF006100"/>
      </font>
      <fill>
        <patternFill>
          <bgColor rgb="FFE2F0D9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b/>
        <color rgb="FF9C57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b/>
        <color rgb="FF006100"/>
      </font>
      <fill>
        <patternFill>
          <bgColor rgb="FFE2F0D9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b/>
        <color rgb="FF9C57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b/>
        <color rgb="FF006100"/>
      </font>
      <fill>
        <patternFill>
          <bgColor rgb="FFE2F0D9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b/>
        <color rgb="FF9C57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b/>
        <color rgb="FF006100"/>
      </font>
      <fill>
        <patternFill>
          <bgColor rgb="FFE2F0D9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b/>
        <color rgb="FF9C57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b/>
        <color rgb="FF006100"/>
      </font>
      <fill>
        <patternFill>
          <bgColor rgb="FFE2F0D9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b/>
        <color rgb="FF9C57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b/>
        <color rgb="FF006100"/>
      </font>
      <fill>
        <patternFill>
          <bgColor rgb="FFE2F0D9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b/>
        <color rgb="FF9C57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b/>
        <color rgb="FF006100"/>
      </font>
      <fill>
        <patternFill>
          <bgColor rgb="FFE2F0D9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b/>
        <color rgb="FF9C57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b/>
        <color rgb="FF006100"/>
      </font>
      <fill>
        <patternFill>
          <bgColor rgb="FFE2F0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4</xdr:col>
      <xdr:colOff>762000</xdr:colOff>
      <xdr:row>41</xdr:row>
      <xdr:rowOff>68580</xdr:rowOff>
    </xdr:to>
    <xdr:sp macro="" textlink="">
      <xdr:nvSpPr>
        <xdr:cNvPr id="1026" name="Text Box 2" hidden="1">
          <a:extLst>
            <a:ext uri="{FF2B5EF4-FFF2-40B4-BE49-F238E27FC236}">
              <a16:creationId xmlns:a16="http://schemas.microsoft.com/office/drawing/2014/main" id="{3881390E-D6D1-F547-E8EE-DFED5F2BA3F9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762000</xdr:colOff>
      <xdr:row>41</xdr:row>
      <xdr:rowOff>68580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C8F5E70E-7834-273B-0343-38B6C774634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7343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762000</xdr:colOff>
      <xdr:row>41</xdr:row>
      <xdr:rowOff>68580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B5D92B17-3A88-2211-3928-1779F0DB400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7343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762000</xdr:colOff>
      <xdr:row>41</xdr:row>
      <xdr:rowOff>68580</xdr:rowOff>
    </xdr:to>
    <xdr:sp macro="" textlink="">
      <xdr:nvSpPr>
        <xdr:cNvPr id="4" name="AutoShape 2">
          <a:extLst>
            <a:ext uri="{FF2B5EF4-FFF2-40B4-BE49-F238E27FC236}">
              <a16:creationId xmlns:a16="http://schemas.microsoft.com/office/drawing/2014/main" id="{90AD8EEB-AA26-8A28-AFEC-6B7134152D2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7343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762000</xdr:colOff>
      <xdr:row>41</xdr:row>
      <xdr:rowOff>68580</xdr:rowOff>
    </xdr:to>
    <xdr:sp macro="" textlink="">
      <xdr:nvSpPr>
        <xdr:cNvPr id="5" name="AutoShape 2">
          <a:extLst>
            <a:ext uri="{FF2B5EF4-FFF2-40B4-BE49-F238E27FC236}">
              <a16:creationId xmlns:a16="http://schemas.microsoft.com/office/drawing/2014/main" id="{585BD83D-BA91-531F-98E7-657A00A4B84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7343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762000</xdr:colOff>
      <xdr:row>41</xdr:row>
      <xdr:rowOff>68580</xdr:rowOff>
    </xdr:to>
    <xdr:sp macro="" textlink="">
      <xdr:nvSpPr>
        <xdr:cNvPr id="6" name="AutoShape 2">
          <a:extLst>
            <a:ext uri="{FF2B5EF4-FFF2-40B4-BE49-F238E27FC236}">
              <a16:creationId xmlns:a16="http://schemas.microsoft.com/office/drawing/2014/main" id="{89772EA1-2814-B07A-980D-2DC5A160363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7343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762000</xdr:colOff>
      <xdr:row>41</xdr:row>
      <xdr:rowOff>68580</xdr:rowOff>
    </xdr:to>
    <xdr:sp macro="" textlink="">
      <xdr:nvSpPr>
        <xdr:cNvPr id="7" name="AutoShape 2">
          <a:extLst>
            <a:ext uri="{FF2B5EF4-FFF2-40B4-BE49-F238E27FC236}">
              <a16:creationId xmlns:a16="http://schemas.microsoft.com/office/drawing/2014/main" id="{3E8C964B-FAAB-C602-31F7-16A83C28A28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7343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762000</xdr:colOff>
      <xdr:row>41</xdr:row>
      <xdr:rowOff>68580</xdr:rowOff>
    </xdr:to>
    <xdr:sp macro="" textlink="">
      <xdr:nvSpPr>
        <xdr:cNvPr id="8" name="AutoShape 2">
          <a:extLst>
            <a:ext uri="{FF2B5EF4-FFF2-40B4-BE49-F238E27FC236}">
              <a16:creationId xmlns:a16="http://schemas.microsoft.com/office/drawing/2014/main" id="{A463DF7D-F401-16FD-7FF2-E2ED1DB5F78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7343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762000</xdr:colOff>
      <xdr:row>41</xdr:row>
      <xdr:rowOff>68580</xdr:rowOff>
    </xdr:to>
    <xdr:sp macro="" textlink="">
      <xdr:nvSpPr>
        <xdr:cNvPr id="9" name="AutoShape 2">
          <a:extLst>
            <a:ext uri="{FF2B5EF4-FFF2-40B4-BE49-F238E27FC236}">
              <a16:creationId xmlns:a16="http://schemas.microsoft.com/office/drawing/2014/main" id="{366F6C11-7AE6-81F5-EFCA-CD415A24611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7343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762000</xdr:colOff>
      <xdr:row>41</xdr:row>
      <xdr:rowOff>68580</xdr:rowOff>
    </xdr:to>
    <xdr:sp macro="" textlink="">
      <xdr:nvSpPr>
        <xdr:cNvPr id="10" name="AutoShape 2">
          <a:extLst>
            <a:ext uri="{FF2B5EF4-FFF2-40B4-BE49-F238E27FC236}">
              <a16:creationId xmlns:a16="http://schemas.microsoft.com/office/drawing/2014/main" id="{3084563A-C1B2-664B-EF0C-382CADB6785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7343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762000</xdr:colOff>
      <xdr:row>41</xdr:row>
      <xdr:rowOff>68580</xdr:rowOff>
    </xdr:to>
    <xdr:sp macro="" textlink="">
      <xdr:nvSpPr>
        <xdr:cNvPr id="11" name="AutoShape 2">
          <a:extLst>
            <a:ext uri="{FF2B5EF4-FFF2-40B4-BE49-F238E27FC236}">
              <a16:creationId xmlns:a16="http://schemas.microsoft.com/office/drawing/2014/main" id="{EA9B2F9D-1893-554D-46C3-2C5BCEFF972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7343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762000</xdr:colOff>
      <xdr:row>41</xdr:row>
      <xdr:rowOff>68580</xdr:rowOff>
    </xdr:to>
    <xdr:sp macro="" textlink="">
      <xdr:nvSpPr>
        <xdr:cNvPr id="12" name="AutoShape 2">
          <a:extLst>
            <a:ext uri="{FF2B5EF4-FFF2-40B4-BE49-F238E27FC236}">
              <a16:creationId xmlns:a16="http://schemas.microsoft.com/office/drawing/2014/main" id="{3CADB666-86FC-7893-77A6-D1569F0F6F3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7343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4</xdr:col>
      <xdr:colOff>0</xdr:colOff>
      <xdr:row>37</xdr:row>
      <xdr:rowOff>83820</xdr:rowOff>
    </xdr:to>
    <xdr:sp macro="" textlink="">
      <xdr:nvSpPr>
        <xdr:cNvPr id="2054" name="Text Box 6" hidden="1">
          <a:extLst>
            <a:ext uri="{FF2B5EF4-FFF2-40B4-BE49-F238E27FC236}">
              <a16:creationId xmlns:a16="http://schemas.microsoft.com/office/drawing/2014/main" id="{BCDD4DBD-FB75-849D-DE80-38DAA976539C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0</xdr:colOff>
      <xdr:row>37</xdr:row>
      <xdr:rowOff>83820</xdr:rowOff>
    </xdr:to>
    <xdr:sp macro="" textlink="">
      <xdr:nvSpPr>
        <xdr:cNvPr id="2" name="AutoShape 6">
          <a:extLst>
            <a:ext uri="{FF2B5EF4-FFF2-40B4-BE49-F238E27FC236}">
              <a16:creationId xmlns:a16="http://schemas.microsoft.com/office/drawing/2014/main" id="{1B9E157C-CD84-F9FE-AC6C-C3E2965B669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8486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0</xdr:colOff>
      <xdr:row>37</xdr:row>
      <xdr:rowOff>83820</xdr:rowOff>
    </xdr:to>
    <xdr:sp macro="" textlink="">
      <xdr:nvSpPr>
        <xdr:cNvPr id="3" name="AutoShape 6">
          <a:extLst>
            <a:ext uri="{FF2B5EF4-FFF2-40B4-BE49-F238E27FC236}">
              <a16:creationId xmlns:a16="http://schemas.microsoft.com/office/drawing/2014/main" id="{81376880-D81C-8A94-8513-C8C1C4977C6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8486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0</xdr:colOff>
      <xdr:row>37</xdr:row>
      <xdr:rowOff>83820</xdr:rowOff>
    </xdr:to>
    <xdr:sp macro="" textlink="">
      <xdr:nvSpPr>
        <xdr:cNvPr id="4" name="AutoShape 6">
          <a:extLst>
            <a:ext uri="{FF2B5EF4-FFF2-40B4-BE49-F238E27FC236}">
              <a16:creationId xmlns:a16="http://schemas.microsoft.com/office/drawing/2014/main" id="{7DFA1D7C-F8C8-A410-A08B-FF0A11C86CA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8486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0</xdr:colOff>
      <xdr:row>37</xdr:row>
      <xdr:rowOff>83820</xdr:rowOff>
    </xdr:to>
    <xdr:sp macro="" textlink="">
      <xdr:nvSpPr>
        <xdr:cNvPr id="5" name="AutoShape 6">
          <a:extLst>
            <a:ext uri="{FF2B5EF4-FFF2-40B4-BE49-F238E27FC236}">
              <a16:creationId xmlns:a16="http://schemas.microsoft.com/office/drawing/2014/main" id="{2314256F-0B28-A9F9-01F2-A0B58806E3D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8486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0</xdr:colOff>
      <xdr:row>37</xdr:row>
      <xdr:rowOff>83820</xdr:rowOff>
    </xdr:to>
    <xdr:sp macro="" textlink="">
      <xdr:nvSpPr>
        <xdr:cNvPr id="6" name="AutoShape 6">
          <a:extLst>
            <a:ext uri="{FF2B5EF4-FFF2-40B4-BE49-F238E27FC236}">
              <a16:creationId xmlns:a16="http://schemas.microsoft.com/office/drawing/2014/main" id="{CF5B1B65-9B3C-853C-585E-2CA64D3AA92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8486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0</xdr:colOff>
      <xdr:row>37</xdr:row>
      <xdr:rowOff>83820</xdr:rowOff>
    </xdr:to>
    <xdr:sp macro="" textlink="">
      <xdr:nvSpPr>
        <xdr:cNvPr id="7" name="AutoShape 6">
          <a:extLst>
            <a:ext uri="{FF2B5EF4-FFF2-40B4-BE49-F238E27FC236}">
              <a16:creationId xmlns:a16="http://schemas.microsoft.com/office/drawing/2014/main" id="{E2E846C5-681C-4B24-C9C1-F274C8DD802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8486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0</xdr:colOff>
      <xdr:row>37</xdr:row>
      <xdr:rowOff>83820</xdr:rowOff>
    </xdr:to>
    <xdr:sp macro="" textlink="">
      <xdr:nvSpPr>
        <xdr:cNvPr id="8" name="AutoShape 6">
          <a:extLst>
            <a:ext uri="{FF2B5EF4-FFF2-40B4-BE49-F238E27FC236}">
              <a16:creationId xmlns:a16="http://schemas.microsoft.com/office/drawing/2014/main" id="{12272AB4-EF38-25E2-99AC-C9893BFB052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8486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0</xdr:colOff>
      <xdr:row>36</xdr:row>
      <xdr:rowOff>259080</xdr:rowOff>
    </xdr:to>
    <xdr:sp macro="" textlink="">
      <xdr:nvSpPr>
        <xdr:cNvPr id="9" name="AutoShape 6">
          <a:extLst>
            <a:ext uri="{FF2B5EF4-FFF2-40B4-BE49-F238E27FC236}">
              <a16:creationId xmlns:a16="http://schemas.microsoft.com/office/drawing/2014/main" id="{8246A83D-5BB9-9D06-F73D-AD572EBC45A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8486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0</xdr:colOff>
      <xdr:row>36</xdr:row>
      <xdr:rowOff>259080</xdr:rowOff>
    </xdr:to>
    <xdr:sp macro="" textlink="">
      <xdr:nvSpPr>
        <xdr:cNvPr id="10" name="AutoShape 6">
          <a:extLst>
            <a:ext uri="{FF2B5EF4-FFF2-40B4-BE49-F238E27FC236}">
              <a16:creationId xmlns:a16="http://schemas.microsoft.com/office/drawing/2014/main" id="{A32552CC-3D98-E182-9DD0-B344C389DB5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8486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0</xdr:colOff>
      <xdr:row>36</xdr:row>
      <xdr:rowOff>259080</xdr:rowOff>
    </xdr:to>
    <xdr:sp macro="" textlink="">
      <xdr:nvSpPr>
        <xdr:cNvPr id="11" name="AutoShape 6">
          <a:extLst>
            <a:ext uri="{FF2B5EF4-FFF2-40B4-BE49-F238E27FC236}">
              <a16:creationId xmlns:a16="http://schemas.microsoft.com/office/drawing/2014/main" id="{3BB11A03-79A0-8BD2-0C10-1A8498AB416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8486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0</xdr:colOff>
      <xdr:row>36</xdr:row>
      <xdr:rowOff>259080</xdr:rowOff>
    </xdr:to>
    <xdr:sp macro="" textlink="">
      <xdr:nvSpPr>
        <xdr:cNvPr id="12" name="AutoShape 6">
          <a:extLst>
            <a:ext uri="{FF2B5EF4-FFF2-40B4-BE49-F238E27FC236}">
              <a16:creationId xmlns:a16="http://schemas.microsoft.com/office/drawing/2014/main" id="{61BBA270-2EF0-CE24-CE58-96A864EAE5C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8486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William R Garcia" id="{08755B68-3142-46D3-BD70-CECE36D4D0BB}" userId="" providerId=""/>
  <person displayName="William R Garcia" id="{AE4CD8BF-B03D-4C3B-B05E-44787D7972AD}" userId="" providerId=""/>
  <person displayName="William R Garcia" id="{EB2EF45A-97F9-4D8B-9B2F-13CF753F0281}" userId="S::wrgg@uw.edu::52698913-8803-44d0-b81a-d207944fdb38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AssumptionsTable" displayName="AssumptionsTable" ref="A1:H14" totalsRowShown="0">
  <tableColumns count="8">
    <tableColumn id="1" xr3:uid="{00000000-0010-0000-0000-000001000000}" name="parameter_id"/>
    <tableColumn id="2" xr3:uid="{00000000-0010-0000-0000-000002000000}" name="value"/>
    <tableColumn id="3" xr3:uid="{00000000-0010-0000-0000-000003000000}" name="unit"/>
    <tableColumn id="4" xr3:uid="{00000000-0010-0000-0000-000004000000}" name="base_case"/>
    <tableColumn id="5" xr3:uid="{00000000-0010-0000-0000-000005000000}" name="lower_bound"/>
    <tableColumn id="6" xr3:uid="{00000000-0010-0000-0000-000006000000}" name="upper_bound"/>
    <tableColumn id="7" xr3:uid="{00000000-0010-0000-0000-000007000000}" name="description"/>
    <tableColumn id="8" xr3:uid="{00000000-0010-0000-0000-000008000000}" name="sourc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CauseDictionary" displayName="CauseDictionary" ref="F1:I9" totalsRowShown="0">
  <tableColumns count="4">
    <tableColumn id="1" xr3:uid="{00000000-0010-0000-0100-000001000000}" name="cause_id"/>
    <tableColumn id="2" xr3:uid="{00000000-0010-0000-0100-000002000000}" name="cause_name"/>
    <tableColumn id="3" xr3:uid="{00000000-0010-0000-0100-000003000000}" name="model_name"/>
    <tableColumn id="4" xr3:uid="{00000000-0010-0000-0100-000004000000}" name="is_model_caus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2000000}" name="InterventionDictionary" displayName="InterventionDictionary" ref="A1:D10" totalsRowShown="0">
  <tableColumns count="4">
    <tableColumn id="1" xr3:uid="{00000000-0010-0000-0200-000001000000}" name="intervention_id"/>
    <tableColumn id="2" xr3:uid="{00000000-0010-0000-0200-000002000000}" name="intervention_name"/>
    <tableColumn id="3" xr3:uid="{00000000-0010-0000-0200-000003000000}" name="package_group"/>
    <tableColumn id="4" xr3:uid="{00000000-0010-0000-0200-000004000000}" name="definitio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3000000}" name="InterventionCauseMap" displayName="InterventionCauseMap" ref="A1:M19" totalsRowShown="0">
  <tableColumns count="13">
    <tableColumn id="1" xr3:uid="{00000000-0010-0000-0300-000001000000}" name="intervention_cause_key"/>
    <tableColumn id="2" xr3:uid="{00000000-0010-0000-0300-000002000000}" name="intervention_id"/>
    <tableColumn id="3" xr3:uid="{00000000-0010-0000-0300-000003000000}" name="intervention_name"/>
    <tableColumn id="4" xr3:uid="{00000000-0010-0000-0300-000004000000}" name="cause_id"/>
    <tableColumn id="5" xr3:uid="{00000000-0010-0000-0300-000005000000}" name="cause_name"/>
    <tableColumn id="6" xr3:uid="{00000000-0010-0000-0300-000006000000}" name="model_name"/>
    <tableColumn id="7" xr3:uid="{00000000-0010-0000-0300-000007000000}" name="effect_key"/>
    <tableColumn id="8" xr3:uid="{00000000-0010-0000-0300-000008000000}" name="coverage_key"/>
    <tableColumn id="9" xr3:uid="{00000000-0010-0000-0300-000009000000}" name="cost_join_key"/>
    <tableColumn id="10" xr3:uid="{00000000-0010-0000-0300-00000A000000}" name="cost_scope"/>
    <tableColumn id="11" xr3:uid="{00000000-0010-0000-0300-00000B000000}" name="include_flag"/>
    <tableColumn id="12" xr3:uid="{00000000-0010-0000-0300-00000C000000}" name="notes"/>
    <tableColumn id="13" xr3:uid="{00000000-0010-0000-0300-00000D000000}" name="duplicate_count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4000000}" name="EffectSizesTable" displayName="EffectSizesTable" ref="A1:V19" totalsRowShown="0">
  <tableColumns count="22">
    <tableColumn id="1" xr3:uid="{00000000-0010-0000-0400-000001000000}" name="effect_id"/>
    <tableColumn id="2" xr3:uid="{00000000-0010-0000-0400-000002000000}" name="intervention_cause_key"/>
    <tableColumn id="3" xr3:uid="{00000000-0010-0000-0400-000003000000}" name="intervention_id"/>
    <tableColumn id="4" xr3:uid="{00000000-0010-0000-0400-000004000000}" name="cause_id"/>
    <tableColumn id="5" xr3:uid="{00000000-0010-0000-0400-000005000000}" name="intervention_name"/>
    <tableColumn id="6" xr3:uid="{00000000-0010-0000-0400-000006000000}" name="cause_name"/>
    <tableColumn id="7" xr3:uid="{00000000-0010-0000-0400-000007000000}" name="transition_from"/>
    <tableColumn id="8" xr3:uid="{00000000-0010-0000-0400-000008000000}" name="transition_to"/>
    <tableColumn id="9" xr3:uid="{00000000-0010-0000-0400-000009000000}" name="effect_measure"/>
    <tableColumn id="10" xr3:uid="{00000000-0010-0000-0400-00000A000000}" name="effect_value"/>
    <tableColumn id="11" xr3:uid="{00000000-0010-0000-0400-00000B000000}" name="affected_fraction"/>
    <tableColumn id="12" xr3:uid="{00000000-0010-0000-0400-00000C000000}" name="age_start"/>
    <tableColumn id="13" xr3:uid="{00000000-0010-0000-0400-00000D000000}" name="age_stop"/>
    <tableColumn id="14" xr3:uid="{00000000-0010-0000-0400-00000E000000}" name="sex"/>
    <tableColumn id="15" xr3:uid="{00000000-0010-0000-0400-00000F000000}" name="duration_years"/>
    <tableColumn id="16" xr3:uid="{00000000-0010-0000-0400-000010000000}" name="source_variable"/>
    <tableColumn id="17" xr3:uid="{00000000-0010-0000-0400-000011000000}" name="source_file"/>
    <tableColumn id="18" xr3:uid="{00000000-0010-0000-0400-000012000000}" name="source_row"/>
    <tableColumn id="19" xr3:uid="{00000000-0010-0000-0400-000013000000}" name="review_status"/>
    <tableColumn id="20" xr3:uid="{00000000-0010-0000-0400-000014000000}" name="notes"/>
    <tableColumn id="21" xr3:uid="{00000000-0010-0000-0400-000015000000}" name="map_match_count"/>
    <tableColumn id="22" xr3:uid="{00000000-0010-0000-0400-000016000000}" name="qa_statu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5000000}" name="CoverageTable" displayName="CoverageTable" ref="A1:S19" totalsRowShown="0">
  <tableColumns count="19">
    <tableColumn id="1" xr3:uid="{00000000-0010-0000-0500-000001000000}" name="coverage_id"/>
    <tableColumn id="2" xr3:uid="{00000000-0010-0000-0500-000002000000}" name="intervention_cause_key"/>
    <tableColumn id="3" xr3:uid="{00000000-0010-0000-0500-000003000000}" name="intervention_id"/>
    <tableColumn id="4" xr3:uid="{00000000-0010-0000-0500-000004000000}" name="cause_id"/>
    <tableColumn id="5" xr3:uid="{00000000-0010-0000-0500-000005000000}" name="intervention_name"/>
    <tableColumn id="6" xr3:uid="{00000000-0010-0000-0500-000006000000}" name="cause_name"/>
    <tableColumn id="7" xr3:uid="{00000000-0010-0000-0500-000007000000}" name="baseline_coverage"/>
    <tableColumn id="8" xr3:uid="{00000000-0010-0000-0500-000008000000}" name="target_override"/>
    <tableColumn id="9" xr3:uid="{00000000-0010-0000-0500-000009000000}" name="target_coverage"/>
    <tableColumn id="10" xr3:uid="{00000000-0010-0000-0500-00000A000000}" name="start_year"/>
    <tableColumn id="11" xr3:uid="{00000000-0010-0000-0500-00000B000000}" name="target_year"/>
    <tableColumn id="12" xr3:uid="{00000000-0010-0000-0500-00000C000000}" name="scale_up_shape"/>
    <tableColumn id="13" xr3:uid="{00000000-0010-0000-0500-00000D000000}" name="baseline_source_file"/>
    <tableColumn id="14" xr3:uid="{00000000-0010-0000-0500-00000E000000}" name="baseline_source_row"/>
    <tableColumn id="15" xr3:uid="{00000000-0010-0000-0500-00000F000000}" name="proxy_note"/>
    <tableColumn id="16" xr3:uid="{00000000-0010-0000-0500-000010000000}" name="review_status"/>
    <tableColumn id="17" xr3:uid="{00000000-0010-0000-0500-000011000000}" name="absolute_increase"/>
    <tableColumn id="18" xr3:uid="{00000000-0010-0000-0500-000012000000}" name="map_match_count"/>
    <tableColumn id="19" xr3:uid="{00000000-0010-0000-0500-000013000000}" name="qa_statu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6000000}" name="CostComponentsTable" displayName="CostComponentsTable" ref="A1:AC35" totalsRowShown="0">
  <tableColumns count="29">
    <tableColumn id="1" xr3:uid="{00000000-0010-0000-0600-000001000000}" name="cost_record_id"/>
    <tableColumn id="2" xr3:uid="{00000000-0010-0000-0600-000002000000}" name="cost_component_key"/>
    <tableColumn id="3" xr3:uid="{00000000-0010-0000-0600-000003000000}" name="cost_option"/>
    <tableColumn id="4" xr3:uid="{00000000-0010-0000-0600-000004000000}" name="selected_for_base_case"/>
    <tableColumn id="5" xr3:uid="{00000000-0010-0000-0600-000005000000}" name="intervention_id"/>
    <tableColumn id="6" xr3:uid="{00000000-0010-0000-0600-000006000000}" name="cause_id"/>
    <tableColumn id="7" xr3:uid="{00000000-0010-0000-0600-000007000000}" name="cost_join_key"/>
    <tableColumn id="8" xr3:uid="{00000000-0010-0000-0600-000008000000}" name="intervention_name"/>
    <tableColumn id="9" xr3:uid="{00000000-0010-0000-0600-000009000000}" name="cause_name"/>
    <tableColumn id="10" xr3:uid="{00000000-0010-0000-0600-00000A000000}" name="cost_component"/>
    <tableColumn id="11" xr3:uid="{00000000-0010-0000-0600-00000B000000}" name="population_in_need_measure"/>
    <tableColumn id="12" xr3:uid="{00000000-0010-0000-0600-00000C000000}" name="population_in_need_fraction"/>
    <tableColumn id="13" xr3:uid="{00000000-0010-0000-0600-00000D000000}" name="cost_unit"/>
    <tableColumn id="14" xr3:uid="{00000000-0010-0000-0600-00000E000000}" name="frequency_per_year"/>
    <tableColumn id="15" xr3:uid="{00000000-0010-0000-0600-00000F000000}" name="age_start"/>
    <tableColumn id="16" xr3:uid="{00000000-0010-0000-0600-000010000000}" name="age_stop"/>
    <tableColumn id="17" xr3:uid="{00000000-0010-0000-0600-000011000000}" name="sex"/>
    <tableColumn id="18" xr3:uid="{00000000-0010-0000-0600-000012000000}" name="platform"/>
    <tableColumn id="19" xr3:uid="{00000000-0010-0000-0600-000013000000}" name="unit_cost_usd"/>
    <tableColumn id="20" xr3:uid="{00000000-0010-0000-0600-000014000000}" name="price_year"/>
    <tableColumn id="21" xr3:uid="{00000000-0010-0000-0600-000015000000}" name="indonesia_adjusted_flag"/>
    <tableColumn id="22" xr3:uid="{00000000-0010-0000-0600-000016000000}" name="source_country"/>
    <tableColumn id="23" xr3:uid="{00000000-0010-0000-0600-000017000000}" name="source_file"/>
    <tableColumn id="24" xr3:uid="{00000000-0010-0000-0600-000018000000}" name="source_row"/>
    <tableColumn id="25" xr3:uid="{00000000-0010-0000-0600-000019000000}" name="review_status"/>
    <tableColumn id="26" xr3:uid="{00000000-0010-0000-0600-00001A000000}" name="notes"/>
    <tableColumn id="27" xr3:uid="{00000000-0010-0000-0600-00001B000000}" name="map_match_count"/>
    <tableColumn id="28" xr3:uid="{00000000-0010-0000-0600-00001C000000}" name="selection_count"/>
    <tableColumn id="29" xr3:uid="{00000000-0010-0000-0600-00001D000000}" name="qa_statu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7000000}" name="ModelInputViewTable" displayName="ModelInputViewTable" ref="A1:Q19" totalsRowShown="0">
  <tableColumns count="17">
    <tableColumn id="1" xr3:uid="{00000000-0010-0000-0700-000001000000}" name="intervention_cause_key"/>
    <tableColumn id="2" xr3:uid="{00000000-0010-0000-0700-000002000000}" name="intervention_name"/>
    <tableColumn id="3" xr3:uid="{00000000-0010-0000-0700-000003000000}" name="cause_name"/>
    <tableColumn id="4" xr3:uid="{00000000-0010-0000-0700-000004000000}" name="transition_from"/>
    <tableColumn id="5" xr3:uid="{00000000-0010-0000-0700-000005000000}" name="transition_to"/>
    <tableColumn id="6" xr3:uid="{00000000-0010-0000-0700-000006000000}" name="effect_value"/>
    <tableColumn id="7" xr3:uid="{00000000-0010-0000-0700-000007000000}" name="affected_fraction"/>
    <tableColumn id="8" xr3:uid="{00000000-0010-0000-0700-000008000000}" name="baseline_coverage"/>
    <tableColumn id="9" xr3:uid="{00000000-0010-0000-0700-000009000000}" name="target_coverage"/>
    <tableColumn id="10" xr3:uid="{00000000-0010-0000-0700-00000A000000}" name="coverage_increase"/>
    <tableColumn id="11" xr3:uid="{00000000-0010-0000-0700-00000B000000}" name="fairchoices_adjusted_effect"/>
    <tableColumn id="12" xr3:uid="{00000000-0010-0000-0700-00000C000000}" name="adjusted_effect_on_transition"/>
    <tableColumn id="13" xr3:uid="{00000000-0010-0000-0700-00000D000000}" name="cost_join_key"/>
    <tableColumn id="14" xr3:uid="{00000000-0010-0000-0700-00000E000000}" name="cost_scope"/>
    <tableColumn id="15" xr3:uid="{00000000-0010-0000-0700-00000F000000}" name="selected_cost_components"/>
    <tableColumn id="16" xr3:uid="{00000000-0010-0000-0700-000010000000}" name="selected_unit_cost_sum_usd"/>
    <tableColumn id="17" xr3:uid="{00000000-0010-0000-0700-000011000000}" name="review_statu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8000000}" name="FairChoicesMethodsTable" displayName="FairChoicesMethodsTable" ref="A1:F10" totalsRowShown="0">
  <tableColumns count="6">
    <tableColumn id="1" xr3:uid="{00000000-0010-0000-0800-000001000000}" name="method_id"/>
    <tableColumn id="2" xr3:uid="{00000000-0010-0000-0800-000002000000}" name="concept"/>
    <tableColumn id="3" xr3:uid="{00000000-0010-0000-0800-000003000000}" name="formula_or_rule"/>
    <tableColumn id="4" xr3:uid="{00000000-0010-0000-0800-000004000000}" name="implemented_in"/>
    <tableColumn id="5" xr3:uid="{00000000-0010-0000-0800-000005000000}" name="linkage_key"/>
    <tableColumn id="6" xr3:uid="{00000000-0010-0000-0800-000006000000}" name="Indonesia interpretation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9000000}" name="SourceLogTable" displayName="SourceLogTable" ref="F1:I8" totalsRowShown="0">
  <tableColumns count="4">
    <tableColumn id="1" xr3:uid="{00000000-0010-0000-0900-000001000000}" name="source"/>
    <tableColumn id="2" xr3:uid="{00000000-0010-0000-0900-000002000000}" name="use"/>
    <tableColumn id="3" xr3:uid="{00000000-0010-0000-0900-000003000000}" name="location"/>
    <tableColumn id="4" xr3:uid="{00000000-0010-0000-0900-000004000000}" name="note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A000000}" name="ScopeTable" displayName="ScopeTable" ref="A1:D9" totalsRowShown="0">
  <tableColumns count="4">
    <tableColumn id="1" xr3:uid="{00000000-0010-0000-0A00-000001000000}" name="item"/>
    <tableColumn id="2" xr3:uid="{00000000-0010-0000-0A00-000002000000}" name="decision"/>
    <tableColumn id="3" xr3:uid="{00000000-0010-0000-0A00-000003000000}" name="reason"/>
    <tableColumn id="4" xr3:uid="{00000000-0010-0000-0A00-000004000000}" name="domain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B000000}" name="QAChecksTable" displayName="QAChecksTable" ref="A1:F9" totalsRowShown="0">
  <tableColumns count="6">
    <tableColumn id="1" xr3:uid="{00000000-0010-0000-0B00-000001000000}" name="check_id"/>
    <tableColumn id="2" xr3:uid="{00000000-0010-0000-0B00-000002000000}" name="check"/>
    <tableColumn id="3" xr3:uid="{00000000-0010-0000-0B00-000003000000}" name="expected"/>
    <tableColumn id="4" xr3:uid="{00000000-0010-0000-0B00-000004000000}" name="actual"/>
    <tableColumn id="5" xr3:uid="{00000000-0010-0000-0B00-000005000000}" name="status"/>
    <tableColumn id="6" xr3:uid="{00000000-0010-0000-0B00-000006000000}" name="interpreta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K3" dT="2026-08-28T16:36:50.57" personId="{AE4CD8BF-B03D-4C3B-B05E-44787D7972AD}" id="{58D3A661-43EB-45BF-B75A-E86546D05FAA}">
    <text>Pin is 9%, but this is only to severe RHD assumed 41%https://pmc.ncbi.nlm.nih.gov/articles/PMC12631635/</text>
  </threadedComment>
  <threadedComment ref="K19" dT="2026-08-30T15:10:23.04" personId="{EB2EF45A-97F9-4D8B-9B2F-13CF753F0281}" id="{C168FF32-00CB-49EB-B84F-73F3BA8EC130}">
    <text>37% in taxonomy but assumed 50%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L3" dT="2026-08-28T21:04:09.07" personId="{AE4CD8BF-B03D-4C3B-B05E-44787D7972AD}" id="{B1FEFC56-CF80-485C-B87E-A5E63818491E}">
    <text>PIN 10%, but *.41 because those are the severe cases</text>
  </threadedComment>
  <threadedComment ref="L6" dT="2026-08-28T18:06:24.02" personId="{AE4CD8BF-B03D-4C3B-B05E-44787D7972AD}" id="{5282C296-63F9-415C-B2F2-3B273B7413D7}">
    <text>Raised from 6% to 30%</text>
  </threadedComment>
  <threadedComment ref="O8" dT="2026-08-28T18:06:37.08" personId="{AE4CD8BF-B03D-4C3B-B05E-44787D7972AD}" id="{D51D381D-3B39-435F-B5B2-6143D8D91563}">
    <text>Updated from 0</text>
  </threadedComment>
  <threadedComment ref="S8" dT="2026-09-01T01:30:26.75" personId="{EB2EF45A-97F9-4D8B-9B2F-13CF753F0281}" id="{5AFDF6FE-756A-4F42-83A7-1275DBFFD219}">
    <text>This is set to 0 because it is included in acute MI</text>
  </threadedComment>
  <threadedComment ref="S33" dT="2026-08-20T17:22:41.38" personId="{08755B68-3142-46D3-BD70-CECE36D4D0BB}" id="{65F284AB-064D-4B9D-A390-F156B89E3B37}">
    <text>Pending update with Sali Info</text>
  </threadedComment>
  <threadedComment ref="L35" dT="2026-08-28T18:07:23.93" personId="{AE4CD8BF-B03D-4C3B-B05E-44787D7972AD}" id="{8DE0ED5B-C37D-4E7B-B75F-DADA3DBFFB3B}">
    <text>Included in CVD primary</text>
  </threadedComment>
  <threadedComment ref="L35" dT="2026-08-28T18:08:10.08" personId="{AE4CD8BF-B03D-4C3B-B05E-44787D7972AD}" id="{E36F068F-91B3-47AE-9701-B3419D14CB4E}" parentId="{8DE0ED5B-C37D-4E7B-B75F-DADA3DBFFB3B}">
    <text>No exactly 0 to avoid numerica isues</text>
  </threadedComment>
  <threadedComment ref="S37" dT="2026-09-01T00:09:18.44" personId="{EB2EF45A-97F9-4D8B-9B2F-13CF753F0281}" id="{84013A11-0436-47E2-A381-9E00FBF4B5A9}">
    <text>In expected value, insulin + non-insulin correspond to 82 dollars provided by Farizal</text>
  </threadedComment>
  <threadedComment ref="S38" dT="2026-08-30T15:15:16.34" personId="{EB2EF45A-97F9-4D8B-9B2F-13CF753F0281}" id="{C9810AFF-EA89-4031-BE73-C0FE3158C388}">
    <text>It was $643, assuming $1500 as per Farizal’s paper</text>
  </threadedComment>
  <threadedComment ref="S38" dT="2026-08-30T17:38:18.32" personId="{EB2EF45A-97F9-4D8B-9B2F-13CF753F0281}" id="{BE177651-E3AC-4A8A-BC40-578A8E99D79A}" parentId="{C9810AFF-EA89-4031-BE73-C0FE3158C388}">
    <text>$ $3000 quick internet search</text>
  </threadedComment>
  <threadedComment ref="S38" dT="2026-09-01T00:06:29.60" personId="{EB2EF45A-97F9-4D8B-9B2F-13CF753F0281}" id="{43E2D802-E62E-4A3D-B269-7B636D47AD5A}" parentId="{C9810AFF-EA89-4031-BE73-C0FE3158C388}">
    <text>This new value comes from Farizal’s paper</text>
  </threadedComment>
</ThreadedComment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"/>
  <sheetViews>
    <sheetView showGridLines="0" topLeftCell="A7" workbookViewId="0">
      <selection sqref="A1:H2"/>
    </sheetView>
  </sheetViews>
  <sheetFormatPr defaultColWidth="11.19921875" defaultRowHeight="13.8"/>
  <cols>
    <col min="1" max="1" width="10" customWidth="1"/>
    <col min="2" max="2" width="22" customWidth="1"/>
    <col min="3" max="4" width="16" customWidth="1"/>
    <col min="5" max="5" width="18" customWidth="1"/>
    <col min="6" max="6" width="16" customWidth="1"/>
    <col min="7" max="8" width="18" customWidth="1"/>
  </cols>
  <sheetData>
    <row r="1" spans="1:8">
      <c r="A1" s="65" t="s">
        <v>0</v>
      </c>
      <c r="B1" s="65"/>
      <c r="C1" s="65"/>
      <c r="D1" s="65"/>
      <c r="E1" s="65"/>
      <c r="F1" s="65"/>
      <c r="G1" s="65"/>
      <c r="H1" s="65"/>
    </row>
    <row r="2" spans="1:8">
      <c r="A2" s="65"/>
      <c r="B2" s="65"/>
      <c r="C2" s="65"/>
      <c r="D2" s="65"/>
      <c r="E2" s="65"/>
      <c r="F2" s="65"/>
      <c r="G2" s="65"/>
      <c r="H2" s="65"/>
    </row>
    <row r="3" spans="1:8">
      <c r="A3" s="66" t="s">
        <v>1</v>
      </c>
      <c r="B3" s="66"/>
      <c r="C3" s="66"/>
      <c r="D3" s="66"/>
      <c r="E3" s="66"/>
      <c r="F3" s="66"/>
      <c r="G3" s="66"/>
      <c r="H3" s="66"/>
    </row>
    <row r="4" spans="1:8">
      <c r="A4" s="1"/>
      <c r="B4" s="1"/>
      <c r="C4" s="1"/>
      <c r="D4" s="1"/>
      <c r="E4" s="1"/>
      <c r="F4" s="1"/>
      <c r="G4" s="1"/>
      <c r="H4" s="1"/>
    </row>
    <row r="5" spans="1:8">
      <c r="A5" s="67" t="s">
        <v>2</v>
      </c>
      <c r="B5" s="67"/>
      <c r="C5" s="67" t="s">
        <v>3</v>
      </c>
      <c r="D5" s="67"/>
      <c r="E5" s="67" t="s">
        <v>4</v>
      </c>
      <c r="F5" s="67"/>
      <c r="G5" s="67" t="s">
        <v>5</v>
      </c>
      <c r="H5" s="67"/>
    </row>
    <row r="6" spans="1:8">
      <c r="A6" s="68" t="str">
        <f>IF(COUNTIF(QA_Checks!$E$2:$E$9,"FAIL")=0,"READY TO RUN","REVIEW REQUIRED")</f>
        <v>READY TO RUN</v>
      </c>
      <c r="B6" s="69"/>
      <c r="C6" s="68">
        <f>COUNTA(Dictionaries!$A$2:$A$10)</f>
        <v>9</v>
      </c>
      <c r="D6" s="69"/>
      <c r="E6" s="68">
        <f>COUNTIF(Dictionaries!$I$2:$I$9,1)</f>
        <v>7</v>
      </c>
      <c r="F6" s="69"/>
      <c r="G6" s="68">
        <f>COUNTA(Intervention_Cause_Map!$A$2:$A$19)</f>
        <v>18</v>
      </c>
      <c r="H6" s="69"/>
    </row>
    <row r="7" spans="1:8">
      <c r="A7" s="70"/>
      <c r="B7" s="71"/>
      <c r="C7" s="70"/>
      <c r="D7" s="71"/>
      <c r="E7" s="70"/>
      <c r="F7" s="71"/>
      <c r="G7" s="70"/>
      <c r="H7" s="71"/>
    </row>
    <row r="8" spans="1:8">
      <c r="A8" s="1"/>
      <c r="B8" s="1"/>
      <c r="C8" s="1"/>
      <c r="D8" s="1"/>
      <c r="E8" s="1"/>
      <c r="F8" s="1"/>
      <c r="G8" s="1"/>
      <c r="H8" s="1"/>
    </row>
    <row r="9" spans="1:8">
      <c r="A9" s="72" t="s">
        <v>6</v>
      </c>
      <c r="B9" s="72"/>
      <c r="C9" s="72"/>
      <c r="D9" s="72"/>
      <c r="E9" s="72"/>
      <c r="F9" s="72"/>
      <c r="G9" s="72"/>
      <c r="H9" s="72"/>
    </row>
    <row r="10" spans="1:8" ht="28.05" customHeight="1">
      <c r="A10" s="2" t="s">
        <v>7</v>
      </c>
      <c r="B10" s="73" t="s">
        <v>8</v>
      </c>
      <c r="C10" s="74"/>
      <c r="D10" s="74"/>
      <c r="E10" s="74"/>
      <c r="F10" s="74"/>
      <c r="G10" s="74"/>
      <c r="H10" s="75"/>
    </row>
    <row r="11" spans="1:8" ht="28.05" customHeight="1">
      <c r="A11" s="2" t="s">
        <v>9</v>
      </c>
      <c r="B11" s="76" t="s">
        <v>10</v>
      </c>
      <c r="C11" s="77"/>
      <c r="D11" s="77"/>
      <c r="E11" s="77"/>
      <c r="F11" s="77"/>
      <c r="G11" s="77"/>
      <c r="H11" s="78"/>
    </row>
    <row r="12" spans="1:8" ht="28.05" customHeight="1">
      <c r="A12" s="2" t="s">
        <v>11</v>
      </c>
      <c r="B12" s="76" t="s">
        <v>12</v>
      </c>
      <c r="C12" s="77"/>
      <c r="D12" s="77"/>
      <c r="E12" s="77"/>
      <c r="F12" s="77"/>
      <c r="G12" s="77"/>
      <c r="H12" s="78"/>
    </row>
    <row r="13" spans="1:8" ht="28.05" customHeight="1">
      <c r="A13" s="2" t="s">
        <v>13</v>
      </c>
      <c r="B13" s="76" t="s">
        <v>14</v>
      </c>
      <c r="C13" s="77"/>
      <c r="D13" s="77"/>
      <c r="E13" s="77"/>
      <c r="F13" s="77"/>
      <c r="G13" s="77"/>
      <c r="H13" s="78"/>
    </row>
    <row r="14" spans="1:8" ht="28.05" customHeight="1">
      <c r="A14" s="2" t="s">
        <v>15</v>
      </c>
      <c r="B14" s="81" t="s">
        <v>16</v>
      </c>
      <c r="C14" s="82"/>
      <c r="D14" s="82"/>
      <c r="E14" s="82"/>
      <c r="F14" s="82"/>
      <c r="G14" s="82"/>
      <c r="H14" s="83"/>
    </row>
    <row r="15" spans="1:8">
      <c r="A15" s="1"/>
      <c r="B15" s="1"/>
      <c r="C15" s="1"/>
      <c r="D15" s="1"/>
      <c r="E15" s="1"/>
      <c r="F15" s="1"/>
      <c r="G15" s="1"/>
      <c r="H15" s="1"/>
    </row>
    <row r="16" spans="1:8">
      <c r="A16" s="72" t="s">
        <v>17</v>
      </c>
      <c r="B16" s="72"/>
      <c r="C16" s="72"/>
      <c r="D16" s="72"/>
      <c r="E16" s="72"/>
      <c r="F16" s="72"/>
      <c r="G16" s="72"/>
      <c r="H16" s="72"/>
    </row>
    <row r="17" spans="1:8" ht="28.05" customHeight="1">
      <c r="A17" s="3" t="s">
        <v>18</v>
      </c>
      <c r="B17" s="79" t="s">
        <v>19</v>
      </c>
      <c r="C17" s="79"/>
      <c r="D17" s="79"/>
      <c r="E17" s="79"/>
      <c r="F17" s="79"/>
      <c r="G17" s="79"/>
      <c r="H17" s="79"/>
    </row>
    <row r="18" spans="1:8" ht="28.05" customHeight="1">
      <c r="A18" s="3" t="s">
        <v>18</v>
      </c>
      <c r="B18" s="79" t="s">
        <v>20</v>
      </c>
      <c r="C18" s="79"/>
      <c r="D18" s="79"/>
      <c r="E18" s="79"/>
      <c r="F18" s="79"/>
      <c r="G18" s="79"/>
      <c r="H18" s="79"/>
    </row>
    <row r="19" spans="1:8" ht="28.05" customHeight="1">
      <c r="A19" s="3" t="s">
        <v>21</v>
      </c>
      <c r="B19" s="79" t="s">
        <v>22</v>
      </c>
      <c r="C19" s="79"/>
      <c r="D19" s="79"/>
      <c r="E19" s="79"/>
      <c r="F19" s="79"/>
      <c r="G19" s="79"/>
      <c r="H19" s="79"/>
    </row>
    <row r="20" spans="1:8" ht="28.05" customHeight="1">
      <c r="A20" s="3" t="s">
        <v>23</v>
      </c>
      <c r="B20" s="79" t="s">
        <v>24</v>
      </c>
      <c r="C20" s="79"/>
      <c r="D20" s="79"/>
      <c r="E20" s="79"/>
      <c r="F20" s="79"/>
      <c r="G20" s="79"/>
      <c r="H20" s="79"/>
    </row>
    <row r="21" spans="1:8" ht="28.05" customHeight="1">
      <c r="A21" s="3" t="s">
        <v>23</v>
      </c>
      <c r="B21" s="79" t="s">
        <v>25</v>
      </c>
      <c r="C21" s="79"/>
      <c r="D21" s="79"/>
      <c r="E21" s="79"/>
      <c r="F21" s="79"/>
      <c r="G21" s="79"/>
      <c r="H21" s="79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80" t="s">
        <v>26</v>
      </c>
      <c r="B23" s="80"/>
      <c r="C23" s="80"/>
      <c r="D23" s="80"/>
      <c r="E23" s="80"/>
      <c r="F23" s="80"/>
      <c r="G23" s="80"/>
      <c r="H23" s="80"/>
    </row>
  </sheetData>
  <mergeCells count="23">
    <mergeCell ref="B20:H20"/>
    <mergeCell ref="B21:H21"/>
    <mergeCell ref="A23:H23"/>
    <mergeCell ref="B14:H14"/>
    <mergeCell ref="A16:H16"/>
    <mergeCell ref="B17:H17"/>
    <mergeCell ref="B18:H18"/>
    <mergeCell ref="B19:H19"/>
    <mergeCell ref="A9:H9"/>
    <mergeCell ref="B10:H10"/>
    <mergeCell ref="B11:H11"/>
    <mergeCell ref="B12:H12"/>
    <mergeCell ref="B13:H13"/>
    <mergeCell ref="A1:H2"/>
    <mergeCell ref="A3:H3"/>
    <mergeCell ref="A5:B5"/>
    <mergeCell ref="A6:B7"/>
    <mergeCell ref="C5:D5"/>
    <mergeCell ref="C6:D7"/>
    <mergeCell ref="E5:F5"/>
    <mergeCell ref="E6:F7"/>
    <mergeCell ref="G5:H5"/>
    <mergeCell ref="G6:H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0"/>
  <sheetViews>
    <sheetView showGridLines="0" topLeftCell="A5" workbookViewId="0"/>
  </sheetViews>
  <sheetFormatPr defaultColWidth="11.19921875" defaultRowHeight="13.8"/>
  <cols>
    <col min="1" max="1" width="25" customWidth="1"/>
    <col min="2" max="2" width="18" customWidth="1"/>
    <col min="3" max="3" width="20" customWidth="1"/>
    <col min="4" max="6" width="16" customWidth="1"/>
    <col min="7" max="7" width="44" customWidth="1"/>
    <col min="8" max="8" width="36" customWidth="1"/>
  </cols>
  <sheetData>
    <row r="1" spans="1:8" ht="34.049999999999997" customHeight="1">
      <c r="A1" s="14" t="s">
        <v>27</v>
      </c>
      <c r="B1" s="15" t="s">
        <v>28</v>
      </c>
      <c r="C1" s="15" t="s">
        <v>29</v>
      </c>
      <c r="D1" s="15" t="s">
        <v>30</v>
      </c>
      <c r="E1" s="15" t="s">
        <v>31</v>
      </c>
      <c r="F1" s="15" t="s">
        <v>32</v>
      </c>
      <c r="G1" s="15" t="s">
        <v>33</v>
      </c>
      <c r="H1" s="16" t="s">
        <v>34</v>
      </c>
    </row>
    <row r="2" spans="1:8">
      <c r="A2" s="17" t="s">
        <v>35</v>
      </c>
      <c r="B2" s="6">
        <v>2025</v>
      </c>
      <c r="C2" s="7" t="s">
        <v>36</v>
      </c>
      <c r="D2" s="7">
        <v>2025</v>
      </c>
      <c r="E2" s="7">
        <v>2025</v>
      </c>
      <c r="F2" s="7">
        <v>2025</v>
      </c>
      <c r="G2" s="17" t="s">
        <v>37</v>
      </c>
      <c r="H2" s="17" t="s">
        <v>38</v>
      </c>
    </row>
    <row r="3" spans="1:8">
      <c r="A3" s="18" t="s">
        <v>39</v>
      </c>
      <c r="B3" s="8">
        <v>2050</v>
      </c>
      <c r="C3" s="9" t="s">
        <v>36</v>
      </c>
      <c r="D3" s="9">
        <v>2050</v>
      </c>
      <c r="E3" s="9">
        <v>2050</v>
      </c>
      <c r="F3" s="9">
        <v>2100</v>
      </c>
      <c r="G3" s="18" t="s">
        <v>40</v>
      </c>
      <c r="H3" s="18" t="s">
        <v>41</v>
      </c>
    </row>
    <row r="4" spans="1:8">
      <c r="A4" s="18" t="s">
        <v>42</v>
      </c>
      <c r="B4" s="8">
        <v>2025</v>
      </c>
      <c r="C4" s="9" t="s">
        <v>36</v>
      </c>
      <c r="D4" s="9">
        <v>2025</v>
      </c>
      <c r="E4" s="9">
        <v>2025</v>
      </c>
      <c r="F4" s="9">
        <v>2030</v>
      </c>
      <c r="G4" s="18" t="s">
        <v>43</v>
      </c>
      <c r="H4" s="18" t="s">
        <v>44</v>
      </c>
    </row>
    <row r="5" spans="1:8" ht="22.8" customHeight="1">
      <c r="A5" s="18" t="s">
        <v>45</v>
      </c>
      <c r="B5" s="10">
        <v>0.8</v>
      </c>
      <c r="C5" s="11" t="s">
        <v>46</v>
      </c>
      <c r="D5" s="11">
        <v>0.8</v>
      </c>
      <c r="E5" s="11">
        <v>0.7</v>
      </c>
      <c r="F5" s="11">
        <v>0.9</v>
      </c>
      <c r="G5" s="18" t="s">
        <v>47</v>
      </c>
      <c r="H5" s="18" t="s">
        <v>48</v>
      </c>
    </row>
    <row r="6" spans="1:8">
      <c r="A6" s="18" t="s">
        <v>49</v>
      </c>
      <c r="B6" s="8">
        <v>2050</v>
      </c>
      <c r="C6" s="9" t="s">
        <v>36</v>
      </c>
      <c r="D6" s="9">
        <v>2050</v>
      </c>
      <c r="E6" s="9">
        <v>2030</v>
      </c>
      <c r="F6" s="9">
        <v>2050</v>
      </c>
      <c r="G6" s="18" t="s">
        <v>50</v>
      </c>
      <c r="H6" s="18" t="s">
        <v>48</v>
      </c>
    </row>
    <row r="7" spans="1:8">
      <c r="A7" s="18" t="s">
        <v>51</v>
      </c>
      <c r="B7" s="10">
        <v>0.03</v>
      </c>
      <c r="C7" s="11" t="s">
        <v>52</v>
      </c>
      <c r="D7" s="11">
        <v>0.03</v>
      </c>
      <c r="E7" s="11">
        <v>0</v>
      </c>
      <c r="F7" s="11">
        <v>0.05</v>
      </c>
      <c r="G7" s="18" t="s">
        <v>53</v>
      </c>
      <c r="H7" s="18" t="s">
        <v>44</v>
      </c>
    </row>
    <row r="8" spans="1:8">
      <c r="A8" s="18" t="s">
        <v>54</v>
      </c>
      <c r="B8" s="10">
        <v>0.03</v>
      </c>
      <c r="C8" s="11" t="s">
        <v>52</v>
      </c>
      <c r="D8" s="11">
        <v>0.03</v>
      </c>
      <c r="E8" s="11">
        <v>0</v>
      </c>
      <c r="F8" s="11">
        <v>0.05</v>
      </c>
      <c r="G8" s="18" t="s">
        <v>55</v>
      </c>
      <c r="H8" s="18" t="s">
        <v>44</v>
      </c>
    </row>
    <row r="9" spans="1:8">
      <c r="A9" s="18" t="s">
        <v>56</v>
      </c>
      <c r="B9" s="8">
        <v>2023</v>
      </c>
      <c r="C9" s="9" t="s">
        <v>57</v>
      </c>
      <c r="D9" s="9">
        <v>2023</v>
      </c>
      <c r="E9" s="9">
        <v>2023</v>
      </c>
      <c r="F9" s="9">
        <v>2024</v>
      </c>
      <c r="G9" s="18" t="s">
        <v>58</v>
      </c>
      <c r="H9" s="18" t="s">
        <v>59</v>
      </c>
    </row>
    <row r="10" spans="1:8">
      <c r="A10" s="18" t="s">
        <v>60</v>
      </c>
      <c r="B10" s="8" t="s">
        <v>61</v>
      </c>
      <c r="C10" s="9" t="s">
        <v>60</v>
      </c>
      <c r="D10" s="9" t="s">
        <v>61</v>
      </c>
      <c r="E10" s="9" t="s">
        <v>61</v>
      </c>
      <c r="F10" s="9" t="s">
        <v>61</v>
      </c>
      <c r="G10" s="18" t="s">
        <v>62</v>
      </c>
      <c r="H10" s="18" t="s">
        <v>44</v>
      </c>
    </row>
    <row r="11" spans="1:8">
      <c r="A11" s="18" t="s">
        <v>63</v>
      </c>
      <c r="B11" s="8" t="s">
        <v>64</v>
      </c>
      <c r="C11" s="9" t="s">
        <v>65</v>
      </c>
      <c r="D11" s="9" t="s">
        <v>64</v>
      </c>
      <c r="E11" s="9" t="s">
        <v>64</v>
      </c>
      <c r="F11" s="9" t="s">
        <v>64</v>
      </c>
      <c r="G11" s="18" t="s">
        <v>66</v>
      </c>
      <c r="H11" s="18" t="s">
        <v>48</v>
      </c>
    </row>
    <row r="12" spans="1:8">
      <c r="A12" s="18" t="s">
        <v>67</v>
      </c>
      <c r="B12" s="8">
        <v>0</v>
      </c>
      <c r="C12" s="9" t="s">
        <v>68</v>
      </c>
      <c r="D12" s="9">
        <v>0</v>
      </c>
      <c r="E12" s="9">
        <v>0</v>
      </c>
      <c r="F12" s="9">
        <v>1</v>
      </c>
      <c r="G12" s="18" t="s">
        <v>69</v>
      </c>
      <c r="H12" s="18" t="s">
        <v>44</v>
      </c>
    </row>
    <row r="13" spans="1:8">
      <c r="A13" s="18" t="s">
        <v>70</v>
      </c>
      <c r="B13" s="8">
        <v>1</v>
      </c>
      <c r="C13" s="9" t="s">
        <v>71</v>
      </c>
      <c r="D13" s="9">
        <v>1</v>
      </c>
      <c r="E13" s="9">
        <v>0</v>
      </c>
      <c r="F13" s="9">
        <v>1</v>
      </c>
      <c r="G13" s="18" t="s">
        <v>72</v>
      </c>
      <c r="H13" s="18" t="s">
        <v>44</v>
      </c>
    </row>
    <row r="14" spans="1:8">
      <c r="A14" s="5" t="s">
        <v>73</v>
      </c>
      <c r="B14" s="12" t="s">
        <v>74</v>
      </c>
      <c r="C14" s="13" t="s">
        <v>65</v>
      </c>
      <c r="D14" s="13" t="s">
        <v>74</v>
      </c>
      <c r="E14" s="13" t="s">
        <v>74</v>
      </c>
      <c r="F14" s="13" t="s">
        <v>75</v>
      </c>
      <c r="G14" s="5" t="s">
        <v>76</v>
      </c>
      <c r="H14" s="5" t="s">
        <v>77</v>
      </c>
    </row>
    <row r="15" spans="1:8">
      <c r="A15" t="s">
        <v>78</v>
      </c>
      <c r="B15" s="60">
        <v>2025</v>
      </c>
      <c r="C15" t="s">
        <v>36</v>
      </c>
      <c r="D15">
        <v>2025</v>
      </c>
      <c r="E15">
        <v>2025</v>
      </c>
      <c r="F15">
        <v>2026</v>
      </c>
      <c r="G15" t="s">
        <v>79</v>
      </c>
      <c r="H15" t="s">
        <v>80</v>
      </c>
    </row>
    <row r="16" spans="1:8">
      <c r="A16" t="s">
        <v>81</v>
      </c>
      <c r="B16" s="60">
        <v>0.03</v>
      </c>
      <c r="C16" t="s">
        <v>52</v>
      </c>
      <c r="D16">
        <v>0.03</v>
      </c>
      <c r="E16">
        <v>0.03</v>
      </c>
      <c r="F16">
        <v>0.05</v>
      </c>
      <c r="G16" t="s">
        <v>82</v>
      </c>
      <c r="H16" t="s">
        <v>83</v>
      </c>
    </row>
    <row r="17" spans="1:8">
      <c r="A17" t="s">
        <v>84</v>
      </c>
      <c r="B17" s="60">
        <v>0.03</v>
      </c>
      <c r="C17" t="s">
        <v>52</v>
      </c>
      <c r="D17">
        <v>0.03</v>
      </c>
      <c r="E17">
        <v>0.03</v>
      </c>
      <c r="F17">
        <v>0.03</v>
      </c>
      <c r="G17" t="s">
        <v>85</v>
      </c>
      <c r="H17" t="s">
        <v>86</v>
      </c>
    </row>
    <row r="18" spans="1:8">
      <c r="A18" t="s">
        <v>87</v>
      </c>
      <c r="B18" s="60">
        <v>0.08</v>
      </c>
      <c r="C18" t="s">
        <v>52</v>
      </c>
      <c r="D18">
        <v>0.08</v>
      </c>
      <c r="E18">
        <v>0.06</v>
      </c>
      <c r="F18">
        <v>0.1</v>
      </c>
      <c r="G18" t="s">
        <v>88</v>
      </c>
      <c r="H18" t="s">
        <v>89</v>
      </c>
    </row>
    <row r="19" spans="1:8">
      <c r="A19" t="s">
        <v>90</v>
      </c>
      <c r="B19" s="60">
        <v>160</v>
      </c>
      <c r="C19" t="s">
        <v>91</v>
      </c>
      <c r="D19">
        <v>160</v>
      </c>
      <c r="E19">
        <v>100</v>
      </c>
      <c r="F19">
        <v>230</v>
      </c>
      <c r="G19" t="s">
        <v>92</v>
      </c>
      <c r="H19" t="s">
        <v>93</v>
      </c>
    </row>
    <row r="20" spans="1:8">
      <c r="A20" t="s">
        <v>94</v>
      </c>
      <c r="B20" s="60">
        <v>1.5</v>
      </c>
      <c r="C20" t="s">
        <v>95</v>
      </c>
      <c r="D20">
        <v>1.5</v>
      </c>
      <c r="E20">
        <v>1</v>
      </c>
      <c r="F20">
        <v>1.5</v>
      </c>
      <c r="G20" t="s">
        <v>96</v>
      </c>
      <c r="H20" t="s">
        <v>93</v>
      </c>
    </row>
    <row r="21" spans="1:8">
      <c r="A21" t="s">
        <v>97</v>
      </c>
      <c r="B21" s="60">
        <v>20</v>
      </c>
      <c r="C21" t="s">
        <v>91</v>
      </c>
      <c r="D21">
        <v>20</v>
      </c>
      <c r="E21">
        <v>20</v>
      </c>
      <c r="F21">
        <v>20</v>
      </c>
      <c r="G21" t="s">
        <v>98</v>
      </c>
      <c r="H21" t="s">
        <v>93</v>
      </c>
    </row>
    <row r="22" spans="1:8">
      <c r="A22" t="s">
        <v>99</v>
      </c>
      <c r="B22" s="60">
        <v>100</v>
      </c>
      <c r="C22" t="s">
        <v>91</v>
      </c>
      <c r="D22">
        <v>100</v>
      </c>
      <c r="E22">
        <v>100</v>
      </c>
      <c r="F22">
        <v>100</v>
      </c>
      <c r="G22" t="s">
        <v>100</v>
      </c>
      <c r="H22" t="s">
        <v>93</v>
      </c>
    </row>
    <row r="23" spans="1:8">
      <c r="A23" t="s">
        <v>101</v>
      </c>
      <c r="B23" s="60">
        <v>160</v>
      </c>
      <c r="C23" t="s">
        <v>91</v>
      </c>
      <c r="D23">
        <v>160</v>
      </c>
      <c r="E23">
        <v>160</v>
      </c>
      <c r="F23">
        <v>160</v>
      </c>
      <c r="G23" t="s">
        <v>102</v>
      </c>
      <c r="H23" t="s">
        <v>93</v>
      </c>
    </row>
    <row r="24" spans="1:8">
      <c r="A24" t="s">
        <v>103</v>
      </c>
      <c r="B24" s="60">
        <v>15</v>
      </c>
      <c r="C24" t="s">
        <v>104</v>
      </c>
      <c r="D24">
        <v>15</v>
      </c>
      <c r="E24">
        <v>15</v>
      </c>
      <c r="F24">
        <v>20</v>
      </c>
      <c r="G24" t="s">
        <v>105</v>
      </c>
      <c r="H24" t="s">
        <v>106</v>
      </c>
    </row>
    <row r="25" spans="1:8">
      <c r="A25" t="s">
        <v>107</v>
      </c>
      <c r="B25" s="60">
        <v>64</v>
      </c>
      <c r="C25" t="s">
        <v>104</v>
      </c>
      <c r="D25">
        <v>64</v>
      </c>
      <c r="E25">
        <v>64</v>
      </c>
      <c r="F25">
        <v>95</v>
      </c>
      <c r="G25" t="s">
        <v>108</v>
      </c>
      <c r="H25" t="s">
        <v>109</v>
      </c>
    </row>
    <row r="26" spans="1:8">
      <c r="A26" t="s">
        <v>110</v>
      </c>
      <c r="B26" s="60" t="s">
        <v>111</v>
      </c>
      <c r="C26" t="s">
        <v>65</v>
      </c>
      <c r="D26" t="s">
        <v>111</v>
      </c>
      <c r="E26" t="s">
        <v>112</v>
      </c>
      <c r="F26" t="s">
        <v>112</v>
      </c>
      <c r="G26" t="s">
        <v>113</v>
      </c>
      <c r="H26" t="s">
        <v>93</v>
      </c>
    </row>
    <row r="27" spans="1:8">
      <c r="A27" t="s">
        <v>114</v>
      </c>
      <c r="B27" s="60">
        <v>2023</v>
      </c>
      <c r="C27" t="s">
        <v>36</v>
      </c>
      <c r="D27">
        <v>2023</v>
      </c>
      <c r="E27">
        <v>2020</v>
      </c>
      <c r="F27">
        <v>2024</v>
      </c>
      <c r="G27" t="s">
        <v>115</v>
      </c>
      <c r="H27" t="s">
        <v>116</v>
      </c>
    </row>
    <row r="28" spans="1:8">
      <c r="A28" t="s">
        <v>117</v>
      </c>
      <c r="B28" s="60">
        <v>3</v>
      </c>
      <c r="C28" t="s">
        <v>118</v>
      </c>
      <c r="D28">
        <v>3</v>
      </c>
      <c r="E28">
        <v>2.7</v>
      </c>
      <c r="F28">
        <v>3.3</v>
      </c>
      <c r="G28" t="s">
        <v>119</v>
      </c>
      <c r="H28" t="s">
        <v>120</v>
      </c>
    </row>
    <row r="29" spans="1:8">
      <c r="A29" t="s">
        <v>121</v>
      </c>
      <c r="B29" s="60" t="s">
        <v>75</v>
      </c>
      <c r="C29" t="s">
        <v>65</v>
      </c>
      <c r="D29" t="s">
        <v>75</v>
      </c>
      <c r="E29" t="s">
        <v>112</v>
      </c>
      <c r="F29" t="s">
        <v>112</v>
      </c>
      <c r="G29" t="s">
        <v>122</v>
      </c>
      <c r="H29" t="s">
        <v>93</v>
      </c>
    </row>
    <row r="30" spans="1:8">
      <c r="A30" t="s">
        <v>123</v>
      </c>
      <c r="B30" s="60" t="s">
        <v>124</v>
      </c>
      <c r="C30" t="s">
        <v>65</v>
      </c>
      <c r="D30" t="s">
        <v>124</v>
      </c>
      <c r="E30" t="s">
        <v>112</v>
      </c>
      <c r="F30" t="s">
        <v>112</v>
      </c>
      <c r="G30" t="s">
        <v>125</v>
      </c>
      <c r="H30" t="s">
        <v>126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0"/>
  <sheetViews>
    <sheetView showGridLines="0" topLeftCell="D1" workbookViewId="0">
      <selection activeCell="A8" sqref="A8:I8"/>
    </sheetView>
  </sheetViews>
  <sheetFormatPr defaultColWidth="11.19921875" defaultRowHeight="13.8"/>
  <cols>
    <col min="1" max="1" width="22" customWidth="1"/>
    <col min="2" max="2" width="36" customWidth="1"/>
    <col min="3" max="3" width="26" customWidth="1"/>
    <col min="4" max="4" width="58" customWidth="1"/>
    <col min="5" max="5" width="3" customWidth="1"/>
    <col min="6" max="6" width="18" customWidth="1"/>
    <col min="7" max="8" width="38" customWidth="1"/>
    <col min="9" max="9" width="16" customWidth="1"/>
  </cols>
  <sheetData>
    <row r="1" spans="1:9">
      <c r="A1" s="4" t="s">
        <v>127</v>
      </c>
      <c r="B1" s="4" t="s">
        <v>128</v>
      </c>
      <c r="C1" s="4" t="s">
        <v>129</v>
      </c>
      <c r="D1" s="4" t="s">
        <v>130</v>
      </c>
      <c r="F1" s="4" t="s">
        <v>131</v>
      </c>
      <c r="G1" s="4" t="s">
        <v>132</v>
      </c>
      <c r="H1" s="4" t="s">
        <v>133</v>
      </c>
      <c r="I1" s="4" t="s">
        <v>134</v>
      </c>
    </row>
    <row r="2" spans="1:9">
      <c r="A2" s="19" t="s">
        <v>135</v>
      </c>
      <c r="B2" s="19" t="s">
        <v>136</v>
      </c>
      <c r="C2" s="19" t="s">
        <v>137</v>
      </c>
      <c r="D2" s="19" t="s">
        <v>138</v>
      </c>
      <c r="E2" s="19"/>
      <c r="F2" s="19" t="s">
        <v>139</v>
      </c>
      <c r="G2" s="19" t="s">
        <v>137</v>
      </c>
      <c r="H2" s="19" t="s">
        <v>137</v>
      </c>
      <c r="I2" s="19">
        <v>1</v>
      </c>
    </row>
    <row r="3" spans="1:9">
      <c r="A3" s="19" t="s">
        <v>140</v>
      </c>
      <c r="B3" s="19" t="s">
        <v>141</v>
      </c>
      <c r="C3" s="19" t="s">
        <v>137</v>
      </c>
      <c r="D3" s="19" t="s">
        <v>142</v>
      </c>
      <c r="E3" s="19"/>
      <c r="F3" s="19" t="s">
        <v>143</v>
      </c>
      <c r="G3" s="19" t="s">
        <v>144</v>
      </c>
      <c r="H3" s="19" t="s">
        <v>144</v>
      </c>
      <c r="I3" s="19">
        <v>1</v>
      </c>
    </row>
    <row r="4" spans="1:9" ht="22.8" customHeight="1">
      <c r="A4" s="19" t="s">
        <v>145</v>
      </c>
      <c r="B4" s="19" t="s">
        <v>146</v>
      </c>
      <c r="C4" s="19" t="s">
        <v>147</v>
      </c>
      <c r="D4" s="19" t="s">
        <v>148</v>
      </c>
      <c r="E4" s="19"/>
      <c r="F4" s="19" t="s">
        <v>149</v>
      </c>
      <c r="G4" s="19" t="s">
        <v>150</v>
      </c>
      <c r="H4" s="19" t="s">
        <v>150</v>
      </c>
      <c r="I4" s="19">
        <v>1</v>
      </c>
    </row>
    <row r="5" spans="1:9">
      <c r="A5" s="19" t="s">
        <v>151</v>
      </c>
      <c r="B5" s="19" t="s">
        <v>152</v>
      </c>
      <c r="C5" s="19" t="s">
        <v>153</v>
      </c>
      <c r="D5" s="19" t="s">
        <v>154</v>
      </c>
      <c r="E5" s="19"/>
      <c r="F5" s="19" t="s">
        <v>155</v>
      </c>
      <c r="G5" s="19" t="s">
        <v>156</v>
      </c>
      <c r="H5" s="19" t="s">
        <v>156</v>
      </c>
      <c r="I5" s="19">
        <v>1</v>
      </c>
    </row>
    <row r="6" spans="1:9">
      <c r="A6" s="19" t="s">
        <v>157</v>
      </c>
      <c r="B6" s="19" t="s">
        <v>158</v>
      </c>
      <c r="C6" s="19" t="s">
        <v>153</v>
      </c>
      <c r="D6" s="19" t="s">
        <v>159</v>
      </c>
      <c r="E6" s="19"/>
      <c r="F6" s="19" t="s">
        <v>160</v>
      </c>
      <c r="G6" s="19" t="s">
        <v>161</v>
      </c>
      <c r="H6" s="19" t="s">
        <v>161</v>
      </c>
      <c r="I6" s="19">
        <v>1</v>
      </c>
    </row>
    <row r="7" spans="1:9" ht="22.8" customHeight="1">
      <c r="A7" s="19" t="s">
        <v>162</v>
      </c>
      <c r="B7" s="19" t="s">
        <v>163</v>
      </c>
      <c r="C7" s="19" t="s">
        <v>164</v>
      </c>
      <c r="D7" s="19" t="s">
        <v>165</v>
      </c>
      <c r="E7" s="19"/>
      <c r="F7" s="19" t="s">
        <v>166</v>
      </c>
      <c r="G7" s="19" t="s">
        <v>167</v>
      </c>
      <c r="H7" s="19" t="s">
        <v>167</v>
      </c>
      <c r="I7" s="19">
        <v>1</v>
      </c>
    </row>
    <row r="8" spans="1:9" ht="22.8" customHeight="1">
      <c r="A8" s="19" t="s">
        <v>168</v>
      </c>
      <c r="B8" s="19" t="s">
        <v>169</v>
      </c>
      <c r="C8" s="19" t="s">
        <v>164</v>
      </c>
      <c r="D8" s="19" t="s">
        <v>170</v>
      </c>
      <c r="E8" s="19"/>
      <c r="F8" s="19" t="s">
        <v>171</v>
      </c>
      <c r="G8" s="19" t="s">
        <v>172</v>
      </c>
      <c r="H8" s="19" t="s">
        <v>173</v>
      </c>
      <c r="I8" s="19">
        <v>1</v>
      </c>
    </row>
    <row r="9" spans="1:9" ht="22.8" customHeight="1">
      <c r="A9" s="19" t="s">
        <v>174</v>
      </c>
      <c r="B9" s="19" t="s">
        <v>175</v>
      </c>
      <c r="C9" s="19" t="s">
        <v>176</v>
      </c>
      <c r="D9" s="19" t="s">
        <v>177</v>
      </c>
      <c r="E9" s="19"/>
      <c r="F9" s="19" t="s">
        <v>178</v>
      </c>
      <c r="G9" s="19" t="s">
        <v>179</v>
      </c>
      <c r="H9" s="19" t="s">
        <v>180</v>
      </c>
      <c r="I9" s="19">
        <v>0</v>
      </c>
    </row>
    <row r="10" spans="1:9">
      <c r="A10" t="s">
        <v>661</v>
      </c>
      <c r="B10" t="s">
        <v>614</v>
      </c>
      <c r="C10" t="s">
        <v>662</v>
      </c>
      <c r="D10" t="s">
        <v>663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9"/>
  <sheetViews>
    <sheetView showGridLines="0" topLeftCell="H1" workbookViewId="0">
      <selection activeCell="K10" sqref="K10"/>
    </sheetView>
  </sheetViews>
  <sheetFormatPr defaultColWidth="11.19921875" defaultRowHeight="13.8"/>
  <cols>
    <col min="1" max="1" width="30" customWidth="1"/>
    <col min="2" max="2" width="22" customWidth="1"/>
    <col min="3" max="3" width="38" customWidth="1"/>
    <col min="4" max="4" width="14" customWidth="1"/>
    <col min="5" max="5" width="38" customWidth="1"/>
    <col min="6" max="6" width="32" customWidth="1"/>
    <col min="7" max="9" width="30" customWidth="1"/>
    <col min="10" max="10" width="20" customWidth="1"/>
    <col min="11" max="11" width="12" customWidth="1"/>
    <col min="12" max="12" width="50" customWidth="1"/>
    <col min="13" max="13" width="14" customWidth="1"/>
  </cols>
  <sheetData>
    <row r="1" spans="1:13" ht="34.049999999999997" customHeight="1">
      <c r="A1" s="14" t="s">
        <v>181</v>
      </c>
      <c r="B1" s="15" t="s">
        <v>127</v>
      </c>
      <c r="C1" s="15" t="s">
        <v>128</v>
      </c>
      <c r="D1" s="15" t="s">
        <v>131</v>
      </c>
      <c r="E1" s="15" t="s">
        <v>132</v>
      </c>
      <c r="F1" s="15" t="s">
        <v>133</v>
      </c>
      <c r="G1" s="15" t="s">
        <v>182</v>
      </c>
      <c r="H1" s="15" t="s">
        <v>183</v>
      </c>
      <c r="I1" s="15" t="s">
        <v>184</v>
      </c>
      <c r="J1" s="15" t="s">
        <v>185</v>
      </c>
      <c r="K1" s="15" t="s">
        <v>186</v>
      </c>
      <c r="L1" s="15" t="s">
        <v>187</v>
      </c>
      <c r="M1" s="16" t="s">
        <v>188</v>
      </c>
    </row>
    <row r="2" spans="1:13">
      <c r="A2" s="17" t="s">
        <v>189</v>
      </c>
      <c r="B2" s="17" t="s">
        <v>135</v>
      </c>
      <c r="C2" s="17" t="s">
        <v>136</v>
      </c>
      <c r="D2" s="17" t="s">
        <v>139</v>
      </c>
      <c r="E2" s="17" t="s">
        <v>137</v>
      </c>
      <c r="F2" s="17" t="s">
        <v>137</v>
      </c>
      <c r="G2" s="17" t="s">
        <v>189</v>
      </c>
      <c r="H2" s="17" t="s">
        <v>189</v>
      </c>
      <c r="I2" s="17" t="s">
        <v>189</v>
      </c>
      <c r="J2" s="17" t="s">
        <v>190</v>
      </c>
      <c r="K2" s="29">
        <v>0</v>
      </c>
      <c r="L2" s="17" t="s">
        <v>191</v>
      </c>
      <c r="M2" s="20">
        <f t="shared" ref="M2:M18" si="0">COUNTIF($A$2:$A$19,A2)</f>
        <v>1</v>
      </c>
    </row>
    <row r="3" spans="1:13">
      <c r="A3" s="18" t="s">
        <v>192</v>
      </c>
      <c r="B3" s="18" t="s">
        <v>140</v>
      </c>
      <c r="C3" s="18" t="s">
        <v>141</v>
      </c>
      <c r="D3" s="18" t="s">
        <v>139</v>
      </c>
      <c r="E3" s="18" t="s">
        <v>137</v>
      </c>
      <c r="F3" s="18" t="s">
        <v>137</v>
      </c>
      <c r="G3" s="18" t="s">
        <v>192</v>
      </c>
      <c r="H3" s="18" t="s">
        <v>192</v>
      </c>
      <c r="I3" s="18" t="s">
        <v>192</v>
      </c>
      <c r="J3" s="18" t="s">
        <v>190</v>
      </c>
      <c r="K3" s="46">
        <v>0</v>
      </c>
      <c r="L3" s="18" t="s">
        <v>193</v>
      </c>
      <c r="M3" s="21">
        <f t="shared" si="0"/>
        <v>1</v>
      </c>
    </row>
    <row r="4" spans="1:13">
      <c r="A4" s="18" t="s">
        <v>194</v>
      </c>
      <c r="B4" s="18" t="s">
        <v>145</v>
      </c>
      <c r="C4" s="18" t="s">
        <v>146</v>
      </c>
      <c r="D4" s="18" t="s">
        <v>143</v>
      </c>
      <c r="E4" s="18" t="s">
        <v>144</v>
      </c>
      <c r="F4" s="18" t="s">
        <v>144</v>
      </c>
      <c r="G4" s="18" t="s">
        <v>194</v>
      </c>
      <c r="H4" s="18" t="s">
        <v>194</v>
      </c>
      <c r="I4" s="18" t="s">
        <v>195</v>
      </c>
      <c r="J4" s="18" t="s">
        <v>196</v>
      </c>
      <c r="K4" s="30">
        <v>1</v>
      </c>
      <c r="L4" s="18" t="s">
        <v>197</v>
      </c>
      <c r="M4" s="21">
        <f t="shared" si="0"/>
        <v>1</v>
      </c>
    </row>
    <row r="5" spans="1:13">
      <c r="A5" s="18" t="s">
        <v>198</v>
      </c>
      <c r="B5" s="18" t="s">
        <v>145</v>
      </c>
      <c r="C5" s="18" t="s">
        <v>146</v>
      </c>
      <c r="D5" s="18" t="s">
        <v>149</v>
      </c>
      <c r="E5" s="18" t="s">
        <v>150</v>
      </c>
      <c r="F5" s="18" t="s">
        <v>150</v>
      </c>
      <c r="G5" s="18" t="s">
        <v>198</v>
      </c>
      <c r="H5" s="18" t="s">
        <v>198</v>
      </c>
      <c r="I5" s="18" t="s">
        <v>195</v>
      </c>
      <c r="J5" s="18" t="s">
        <v>196</v>
      </c>
      <c r="K5" s="30">
        <v>1</v>
      </c>
      <c r="L5" s="18" t="s">
        <v>197</v>
      </c>
      <c r="M5" s="21">
        <f t="shared" si="0"/>
        <v>1</v>
      </c>
    </row>
    <row r="6" spans="1:13">
      <c r="A6" s="18" t="s">
        <v>199</v>
      </c>
      <c r="B6" s="18" t="s">
        <v>145</v>
      </c>
      <c r="C6" s="18" t="s">
        <v>146</v>
      </c>
      <c r="D6" s="18" t="s">
        <v>155</v>
      </c>
      <c r="E6" s="18" t="s">
        <v>156</v>
      </c>
      <c r="F6" s="18" t="s">
        <v>156</v>
      </c>
      <c r="G6" s="18" t="s">
        <v>199</v>
      </c>
      <c r="H6" s="18" t="s">
        <v>199</v>
      </c>
      <c r="I6" s="18" t="s">
        <v>195</v>
      </c>
      <c r="J6" s="18" t="s">
        <v>196</v>
      </c>
      <c r="K6" s="30">
        <v>1</v>
      </c>
      <c r="L6" s="18" t="s">
        <v>197</v>
      </c>
      <c r="M6" s="21">
        <f t="shared" si="0"/>
        <v>1</v>
      </c>
    </row>
    <row r="7" spans="1:13">
      <c r="A7" s="18" t="s">
        <v>200</v>
      </c>
      <c r="B7" s="18" t="s">
        <v>145</v>
      </c>
      <c r="C7" s="18" t="s">
        <v>146</v>
      </c>
      <c r="D7" s="18" t="s">
        <v>160</v>
      </c>
      <c r="E7" s="18" t="s">
        <v>161</v>
      </c>
      <c r="F7" s="18" t="s">
        <v>161</v>
      </c>
      <c r="G7" s="18" t="s">
        <v>200</v>
      </c>
      <c r="H7" s="18" t="s">
        <v>200</v>
      </c>
      <c r="I7" s="18" t="s">
        <v>195</v>
      </c>
      <c r="J7" s="18" t="s">
        <v>196</v>
      </c>
      <c r="K7" s="30">
        <v>1</v>
      </c>
      <c r="L7" s="18" t="s">
        <v>197</v>
      </c>
      <c r="M7" s="21">
        <f t="shared" si="0"/>
        <v>1</v>
      </c>
    </row>
    <row r="8" spans="1:13">
      <c r="A8" s="18" t="s">
        <v>201</v>
      </c>
      <c r="B8" s="18" t="s">
        <v>151</v>
      </c>
      <c r="C8" s="18" t="s">
        <v>152</v>
      </c>
      <c r="D8" s="18" t="s">
        <v>143</v>
      </c>
      <c r="E8" s="18" t="s">
        <v>144</v>
      </c>
      <c r="F8" s="18" t="s">
        <v>144</v>
      </c>
      <c r="G8" s="18" t="s">
        <v>201</v>
      </c>
      <c r="H8" s="18" t="s">
        <v>201</v>
      </c>
      <c r="I8" s="18" t="s">
        <v>201</v>
      </c>
      <c r="J8" s="18" t="s">
        <v>190</v>
      </c>
      <c r="K8" s="30">
        <v>1</v>
      </c>
      <c r="L8" s="18" t="s">
        <v>202</v>
      </c>
      <c r="M8" s="21">
        <f t="shared" si="0"/>
        <v>1</v>
      </c>
    </row>
    <row r="9" spans="1:13">
      <c r="A9" s="18" t="s">
        <v>203</v>
      </c>
      <c r="B9" s="18" t="s">
        <v>157</v>
      </c>
      <c r="C9" s="18" t="s">
        <v>158</v>
      </c>
      <c r="D9" s="18" t="s">
        <v>149</v>
      </c>
      <c r="E9" s="18" t="s">
        <v>150</v>
      </c>
      <c r="F9" s="18" t="s">
        <v>150</v>
      </c>
      <c r="G9" s="18" t="s">
        <v>203</v>
      </c>
      <c r="H9" s="18" t="s">
        <v>203</v>
      </c>
      <c r="I9" s="18" t="s">
        <v>203</v>
      </c>
      <c r="J9" s="18" t="s">
        <v>190</v>
      </c>
      <c r="K9" s="30">
        <v>1</v>
      </c>
      <c r="L9" s="18" t="s">
        <v>204</v>
      </c>
      <c r="M9" s="21">
        <f t="shared" si="0"/>
        <v>1</v>
      </c>
    </row>
    <row r="10" spans="1:13">
      <c r="A10" s="18" t="s">
        <v>205</v>
      </c>
      <c r="B10" s="18" t="s">
        <v>157</v>
      </c>
      <c r="C10" s="18" t="s">
        <v>158</v>
      </c>
      <c r="D10" s="18" t="s">
        <v>155</v>
      </c>
      <c r="E10" s="18" t="s">
        <v>156</v>
      </c>
      <c r="F10" s="18" t="s">
        <v>156</v>
      </c>
      <c r="G10" s="18" t="s">
        <v>205</v>
      </c>
      <c r="H10" s="18" t="s">
        <v>205</v>
      </c>
      <c r="I10" s="18" t="s">
        <v>205</v>
      </c>
      <c r="J10" s="18" t="s">
        <v>190</v>
      </c>
      <c r="K10" s="30">
        <v>1</v>
      </c>
      <c r="L10" s="18" t="s">
        <v>204</v>
      </c>
      <c r="M10" s="21">
        <f t="shared" si="0"/>
        <v>1</v>
      </c>
    </row>
    <row r="11" spans="1:13">
      <c r="A11" s="18" t="s">
        <v>206</v>
      </c>
      <c r="B11" s="18" t="s">
        <v>162</v>
      </c>
      <c r="C11" s="18" t="s">
        <v>163</v>
      </c>
      <c r="D11" s="18" t="s">
        <v>143</v>
      </c>
      <c r="E11" s="18" t="s">
        <v>144</v>
      </c>
      <c r="F11" s="18" t="s">
        <v>144</v>
      </c>
      <c r="G11" s="18" t="s">
        <v>206</v>
      </c>
      <c r="H11" s="18" t="s">
        <v>206</v>
      </c>
      <c r="I11" s="18" t="s">
        <v>206</v>
      </c>
      <c r="J11" s="18" t="s">
        <v>190</v>
      </c>
      <c r="K11" s="30">
        <v>1</v>
      </c>
      <c r="L11" s="18" t="s">
        <v>207</v>
      </c>
      <c r="M11" s="21">
        <f t="shared" si="0"/>
        <v>1</v>
      </c>
    </row>
    <row r="12" spans="1:13">
      <c r="A12" s="18" t="s">
        <v>208</v>
      </c>
      <c r="B12" s="18" t="s">
        <v>162</v>
      </c>
      <c r="C12" s="18" t="s">
        <v>163</v>
      </c>
      <c r="D12" s="18" t="s">
        <v>160</v>
      </c>
      <c r="E12" s="18" t="s">
        <v>161</v>
      </c>
      <c r="F12" s="18" t="s">
        <v>161</v>
      </c>
      <c r="G12" s="18" t="s">
        <v>208</v>
      </c>
      <c r="H12" s="18" t="s">
        <v>208</v>
      </c>
      <c r="I12" s="18" t="s">
        <v>208</v>
      </c>
      <c r="J12" s="18" t="s">
        <v>190</v>
      </c>
      <c r="K12" s="30">
        <v>1</v>
      </c>
      <c r="L12" s="18" t="s">
        <v>209</v>
      </c>
      <c r="M12" s="21">
        <f t="shared" si="0"/>
        <v>1</v>
      </c>
    </row>
    <row r="13" spans="1:13">
      <c r="A13" s="18" t="s">
        <v>210</v>
      </c>
      <c r="B13" s="18" t="s">
        <v>162</v>
      </c>
      <c r="C13" s="18" t="s">
        <v>163</v>
      </c>
      <c r="D13" s="18" t="s">
        <v>166</v>
      </c>
      <c r="E13" s="18" t="s">
        <v>167</v>
      </c>
      <c r="F13" s="18" t="s">
        <v>167</v>
      </c>
      <c r="G13" s="18" t="s">
        <v>210</v>
      </c>
      <c r="H13" s="18" t="s">
        <v>210</v>
      </c>
      <c r="I13" s="18" t="s">
        <v>210</v>
      </c>
      <c r="J13" s="18" t="s">
        <v>190</v>
      </c>
      <c r="K13" s="30">
        <v>1</v>
      </c>
      <c r="L13" s="18" t="s">
        <v>211</v>
      </c>
      <c r="M13" s="21">
        <f t="shared" si="0"/>
        <v>1</v>
      </c>
    </row>
    <row r="14" spans="1:13">
      <c r="A14" s="18" t="s">
        <v>212</v>
      </c>
      <c r="B14" s="18" t="s">
        <v>168</v>
      </c>
      <c r="C14" s="18" t="s">
        <v>169</v>
      </c>
      <c r="D14" s="18" t="s">
        <v>143</v>
      </c>
      <c r="E14" s="18" t="s">
        <v>144</v>
      </c>
      <c r="F14" s="18" t="s">
        <v>144</v>
      </c>
      <c r="G14" s="18" t="s">
        <v>212</v>
      </c>
      <c r="H14" s="18" t="s">
        <v>212</v>
      </c>
      <c r="I14" s="18" t="s">
        <v>212</v>
      </c>
      <c r="J14" s="18" t="s">
        <v>190</v>
      </c>
      <c r="K14" s="30">
        <v>1</v>
      </c>
      <c r="L14" s="18" t="s">
        <v>207</v>
      </c>
      <c r="M14" s="21">
        <f t="shared" si="0"/>
        <v>1</v>
      </c>
    </row>
    <row r="15" spans="1:13">
      <c r="A15" s="18" t="s">
        <v>213</v>
      </c>
      <c r="B15" s="18" t="s">
        <v>168</v>
      </c>
      <c r="C15" s="18" t="s">
        <v>169</v>
      </c>
      <c r="D15" s="18" t="s">
        <v>160</v>
      </c>
      <c r="E15" s="18" t="s">
        <v>161</v>
      </c>
      <c r="F15" s="18" t="s">
        <v>161</v>
      </c>
      <c r="G15" s="18" t="s">
        <v>213</v>
      </c>
      <c r="H15" s="18" t="s">
        <v>213</v>
      </c>
      <c r="I15" s="18" t="s">
        <v>213</v>
      </c>
      <c r="J15" s="18" t="s">
        <v>190</v>
      </c>
      <c r="K15" s="30">
        <v>1</v>
      </c>
      <c r="L15" s="18" t="s">
        <v>209</v>
      </c>
      <c r="M15" s="21">
        <f t="shared" si="0"/>
        <v>1</v>
      </c>
    </row>
    <row r="16" spans="1:13">
      <c r="A16" s="18" t="s">
        <v>214</v>
      </c>
      <c r="B16" s="18" t="s">
        <v>168</v>
      </c>
      <c r="C16" s="18" t="s">
        <v>169</v>
      </c>
      <c r="D16" s="18" t="s">
        <v>166</v>
      </c>
      <c r="E16" s="18" t="s">
        <v>167</v>
      </c>
      <c r="F16" s="18" t="s">
        <v>167</v>
      </c>
      <c r="G16" s="18" t="s">
        <v>214</v>
      </c>
      <c r="H16" s="18" t="s">
        <v>214</v>
      </c>
      <c r="I16" s="18" t="s">
        <v>214</v>
      </c>
      <c r="J16" s="18" t="s">
        <v>190</v>
      </c>
      <c r="K16" s="30">
        <v>1</v>
      </c>
      <c r="L16" s="18" t="s">
        <v>211</v>
      </c>
      <c r="M16" s="21">
        <f t="shared" si="0"/>
        <v>1</v>
      </c>
    </row>
    <row r="17" spans="1:13">
      <c r="A17" s="18" t="s">
        <v>215</v>
      </c>
      <c r="B17" s="18" t="s">
        <v>174</v>
      </c>
      <c r="C17" s="18" t="s">
        <v>175</v>
      </c>
      <c r="D17" s="18" t="s">
        <v>171</v>
      </c>
      <c r="E17" s="18" t="s">
        <v>172</v>
      </c>
      <c r="F17" s="18" t="s">
        <v>173</v>
      </c>
      <c r="G17" s="18" t="s">
        <v>215</v>
      </c>
      <c r="H17" s="18" t="s">
        <v>215</v>
      </c>
      <c r="I17" s="18" t="s">
        <v>215</v>
      </c>
      <c r="J17" s="18" t="s">
        <v>190</v>
      </c>
      <c r="K17" s="30">
        <v>1</v>
      </c>
      <c r="L17" s="18" t="s">
        <v>216</v>
      </c>
      <c r="M17" s="21">
        <f t="shared" si="0"/>
        <v>1</v>
      </c>
    </row>
    <row r="18" spans="1:13" ht="22.8" customHeight="1">
      <c r="A18" s="5" t="s">
        <v>217</v>
      </c>
      <c r="B18" s="5" t="s">
        <v>174</v>
      </c>
      <c r="C18" s="5" t="s">
        <v>175</v>
      </c>
      <c r="D18" s="5" t="s">
        <v>143</v>
      </c>
      <c r="E18" s="5" t="s">
        <v>218</v>
      </c>
      <c r="F18" s="5" t="s">
        <v>144</v>
      </c>
      <c r="G18" s="5" t="s">
        <v>217</v>
      </c>
      <c r="H18" s="5" t="s">
        <v>217</v>
      </c>
      <c r="I18" s="5" t="s">
        <v>215</v>
      </c>
      <c r="J18" s="5" t="s">
        <v>196</v>
      </c>
      <c r="K18" s="31">
        <v>1</v>
      </c>
      <c r="L18" s="5" t="s">
        <v>219</v>
      </c>
      <c r="M18" s="22">
        <f t="shared" si="0"/>
        <v>1</v>
      </c>
    </row>
    <row r="19" spans="1:13">
      <c r="A19" s="18" t="s">
        <v>664</v>
      </c>
      <c r="B19" s="18" t="s">
        <v>661</v>
      </c>
      <c r="C19" s="18" t="s">
        <v>614</v>
      </c>
      <c r="D19" s="18" t="s">
        <v>143</v>
      </c>
      <c r="E19" s="18" t="s">
        <v>144</v>
      </c>
      <c r="F19" s="18" t="s">
        <v>144</v>
      </c>
      <c r="G19" s="18" t="s">
        <v>664</v>
      </c>
      <c r="H19" s="18" t="s">
        <v>664</v>
      </c>
      <c r="I19" s="18" t="s">
        <v>664</v>
      </c>
      <c r="J19" s="18" t="s">
        <v>190</v>
      </c>
      <c r="K19" s="30">
        <v>1</v>
      </c>
      <c r="L19" s="18" t="s">
        <v>665</v>
      </c>
      <c r="M19" s="21">
        <f>COUNTIF($A$2:$A$19,A19)</f>
        <v>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19"/>
  <sheetViews>
    <sheetView showGridLines="0" topLeftCell="G1" workbookViewId="0">
      <selection activeCell="K3" sqref="K3"/>
    </sheetView>
  </sheetViews>
  <sheetFormatPr defaultColWidth="11.19921875" defaultRowHeight="13.8"/>
  <cols>
    <col min="1" max="1" width="24" customWidth="1"/>
    <col min="2" max="2" width="30" customWidth="1"/>
    <col min="3" max="3" width="22" customWidth="1"/>
    <col min="4" max="4" width="14" customWidth="1"/>
    <col min="5" max="6" width="38" customWidth="1"/>
    <col min="7" max="8" width="18" customWidth="1"/>
    <col min="9" max="9" width="24" customWidth="1"/>
    <col min="10" max="10" width="15" customWidth="1"/>
    <col min="11" max="11" width="17" customWidth="1"/>
    <col min="12" max="13" width="12" customWidth="1"/>
    <col min="14" max="14" width="10" customWidth="1"/>
    <col min="15" max="15" width="15" customWidth="1"/>
    <col min="16" max="16" width="34" customWidth="1"/>
    <col min="17" max="17" width="28" customWidth="1"/>
    <col min="18" max="18" width="18" customWidth="1"/>
    <col min="19" max="19" width="16" customWidth="1"/>
    <col min="20" max="20" width="54" customWidth="1"/>
    <col min="21" max="22" width="16" customWidth="1"/>
  </cols>
  <sheetData>
    <row r="1" spans="1:22" ht="34.049999999999997" customHeight="1">
      <c r="A1" s="14" t="s">
        <v>220</v>
      </c>
      <c r="B1" s="15" t="s">
        <v>181</v>
      </c>
      <c r="C1" s="15" t="s">
        <v>127</v>
      </c>
      <c r="D1" s="15" t="s">
        <v>131</v>
      </c>
      <c r="E1" s="15" t="s">
        <v>128</v>
      </c>
      <c r="F1" s="15" t="s">
        <v>132</v>
      </c>
      <c r="G1" s="15" t="s">
        <v>221</v>
      </c>
      <c r="H1" s="15" t="s">
        <v>222</v>
      </c>
      <c r="I1" s="15" t="s">
        <v>223</v>
      </c>
      <c r="J1" s="15" t="s">
        <v>224</v>
      </c>
      <c r="K1" s="15" t="s">
        <v>225</v>
      </c>
      <c r="L1" s="15" t="s">
        <v>226</v>
      </c>
      <c r="M1" s="15" t="s">
        <v>227</v>
      </c>
      <c r="N1" s="15" t="s">
        <v>228</v>
      </c>
      <c r="O1" s="15" t="s">
        <v>229</v>
      </c>
      <c r="P1" s="15" t="s">
        <v>230</v>
      </c>
      <c r="Q1" s="15" t="s">
        <v>231</v>
      </c>
      <c r="R1" s="15" t="s">
        <v>232</v>
      </c>
      <c r="S1" s="15" t="s">
        <v>233</v>
      </c>
      <c r="T1" s="15" t="s">
        <v>187</v>
      </c>
      <c r="U1" s="15" t="s">
        <v>234</v>
      </c>
      <c r="V1" s="16" t="s">
        <v>235</v>
      </c>
    </row>
    <row r="2" spans="1:22">
      <c r="A2" s="17" t="s">
        <v>236</v>
      </c>
      <c r="B2" s="17" t="s">
        <v>189</v>
      </c>
      <c r="C2" s="17" t="s">
        <v>135</v>
      </c>
      <c r="D2" s="17" t="s">
        <v>139</v>
      </c>
      <c r="E2" s="17" t="s">
        <v>136</v>
      </c>
      <c r="F2" s="17" t="s">
        <v>137</v>
      </c>
      <c r="G2" s="17" t="s">
        <v>237</v>
      </c>
      <c r="H2" s="17" t="s">
        <v>238</v>
      </c>
      <c r="I2" s="17" t="s">
        <v>239</v>
      </c>
      <c r="J2" s="27">
        <v>0.55000000000000004</v>
      </c>
      <c r="K2" s="27">
        <v>1</v>
      </c>
      <c r="L2" s="29">
        <v>5</v>
      </c>
      <c r="M2" s="29">
        <v>39</v>
      </c>
      <c r="N2" s="29" t="s">
        <v>240</v>
      </c>
      <c r="O2" s="29">
        <v>1</v>
      </c>
      <c r="P2" s="17" t="s">
        <v>241</v>
      </c>
      <c r="Q2" s="17" t="s">
        <v>242</v>
      </c>
      <c r="R2" s="17" t="s">
        <v>243</v>
      </c>
      <c r="S2" s="17" t="s">
        <v>244</v>
      </c>
      <c r="T2" s="17" t="s">
        <v>245</v>
      </c>
      <c r="U2" s="20">
        <f>COUNTIF(Intervention_Cause_Map!$A$2:$A$19,B2)</f>
        <v>1</v>
      </c>
      <c r="V2" s="20" t="str">
        <f t="shared" ref="V2:V18" si="0">IF(U2&lt;&gt;1,"BAD KEY",IF(OR(J2&lt;0,J2&gt;1,K2&lt;0,K2&gt;1),"BAD VALUE","OK"))</f>
        <v>OK</v>
      </c>
    </row>
    <row r="3" spans="1:22">
      <c r="A3" s="18" t="s">
        <v>246</v>
      </c>
      <c r="B3" s="18" t="s">
        <v>192</v>
      </c>
      <c r="C3" s="18" t="s">
        <v>140</v>
      </c>
      <c r="D3" s="18" t="s">
        <v>139</v>
      </c>
      <c r="E3" s="18" t="s">
        <v>141</v>
      </c>
      <c r="F3" s="18" t="s">
        <v>137</v>
      </c>
      <c r="G3" s="18" t="s">
        <v>247</v>
      </c>
      <c r="H3" s="18" t="s">
        <v>238</v>
      </c>
      <c r="I3" s="18" t="s">
        <v>239</v>
      </c>
      <c r="J3" s="26">
        <v>0.75</v>
      </c>
      <c r="K3" s="38">
        <v>0.1</v>
      </c>
      <c r="L3" s="30">
        <v>5</v>
      </c>
      <c r="M3" s="30">
        <v>40</v>
      </c>
      <c r="N3" s="30" t="s">
        <v>240</v>
      </c>
      <c r="O3" s="46">
        <v>15</v>
      </c>
      <c r="P3" s="18" t="s">
        <v>248</v>
      </c>
      <c r="Q3" s="18" t="s">
        <v>242</v>
      </c>
      <c r="R3" s="18" t="s">
        <v>249</v>
      </c>
      <c r="S3" s="18" t="s">
        <v>23</v>
      </c>
      <c r="T3" s="18" t="s">
        <v>250</v>
      </c>
      <c r="U3" s="21">
        <f>COUNTIF(Intervention_Cause_Map!$A$2:$A$19,B3)</f>
        <v>1</v>
      </c>
      <c r="V3" s="21" t="str">
        <f t="shared" si="0"/>
        <v>OK</v>
      </c>
    </row>
    <row r="4" spans="1:22">
      <c r="A4" s="18" t="s">
        <v>251</v>
      </c>
      <c r="B4" s="18" t="s">
        <v>194</v>
      </c>
      <c r="C4" s="18" t="s">
        <v>145</v>
      </c>
      <c r="D4" s="18" t="s">
        <v>143</v>
      </c>
      <c r="E4" s="18" t="s">
        <v>146</v>
      </c>
      <c r="F4" s="18" t="s">
        <v>144</v>
      </c>
      <c r="G4" s="18" t="s">
        <v>252</v>
      </c>
      <c r="H4" s="18" t="s">
        <v>237</v>
      </c>
      <c r="I4" s="18" t="s">
        <v>239</v>
      </c>
      <c r="J4" s="26">
        <v>0.57999999999999996</v>
      </c>
      <c r="K4" s="26">
        <v>0.8</v>
      </c>
      <c r="L4" s="30">
        <v>30</v>
      </c>
      <c r="M4" s="30">
        <v>80</v>
      </c>
      <c r="N4" s="30" t="s">
        <v>240</v>
      </c>
      <c r="O4" s="30">
        <v>1</v>
      </c>
      <c r="P4" s="18" t="s">
        <v>253</v>
      </c>
      <c r="Q4" s="18" t="s">
        <v>242</v>
      </c>
      <c r="R4" s="18" t="s">
        <v>254</v>
      </c>
      <c r="S4" s="18" t="s">
        <v>244</v>
      </c>
      <c r="T4" s="18" t="s">
        <v>255</v>
      </c>
      <c r="U4" s="21">
        <f>COUNTIF(Intervention_Cause_Map!$A$2:$A$19,B4)</f>
        <v>1</v>
      </c>
      <c r="V4" s="21" t="str">
        <f t="shared" si="0"/>
        <v>OK</v>
      </c>
    </row>
    <row r="5" spans="1:22">
      <c r="A5" s="18" t="s">
        <v>256</v>
      </c>
      <c r="B5" s="18" t="s">
        <v>198</v>
      </c>
      <c r="C5" s="18" t="s">
        <v>145</v>
      </c>
      <c r="D5" s="18" t="s">
        <v>149</v>
      </c>
      <c r="E5" s="18" t="s">
        <v>146</v>
      </c>
      <c r="F5" s="18" t="s">
        <v>150</v>
      </c>
      <c r="G5" s="18" t="s">
        <v>252</v>
      </c>
      <c r="H5" s="18" t="s">
        <v>237</v>
      </c>
      <c r="I5" s="18" t="s">
        <v>239</v>
      </c>
      <c r="J5" s="26">
        <v>0.54</v>
      </c>
      <c r="K5" s="26">
        <v>0.8</v>
      </c>
      <c r="L5" s="30">
        <v>30</v>
      </c>
      <c r="M5" s="30">
        <v>80</v>
      </c>
      <c r="N5" s="30" t="s">
        <v>240</v>
      </c>
      <c r="O5" s="30">
        <v>1</v>
      </c>
      <c r="P5" s="18" t="s">
        <v>253</v>
      </c>
      <c r="Q5" s="18" t="s">
        <v>242</v>
      </c>
      <c r="R5" s="18" t="s">
        <v>257</v>
      </c>
      <c r="S5" s="18" t="s">
        <v>244</v>
      </c>
      <c r="T5" s="18" t="s">
        <v>255</v>
      </c>
      <c r="U5" s="21">
        <f>COUNTIF(Intervention_Cause_Map!$A$2:$A$19,B5)</f>
        <v>1</v>
      </c>
      <c r="V5" s="21" t="str">
        <f t="shared" si="0"/>
        <v>OK</v>
      </c>
    </row>
    <row r="6" spans="1:22">
      <c r="A6" s="18" t="s">
        <v>258</v>
      </c>
      <c r="B6" s="18" t="s">
        <v>199</v>
      </c>
      <c r="C6" s="18" t="s">
        <v>145</v>
      </c>
      <c r="D6" s="18" t="s">
        <v>155</v>
      </c>
      <c r="E6" s="18" t="s">
        <v>146</v>
      </c>
      <c r="F6" s="18" t="s">
        <v>156</v>
      </c>
      <c r="G6" s="18" t="s">
        <v>252</v>
      </c>
      <c r="H6" s="18" t="s">
        <v>237</v>
      </c>
      <c r="I6" s="18" t="s">
        <v>239</v>
      </c>
      <c r="J6" s="26">
        <v>0.49</v>
      </c>
      <c r="K6" s="26">
        <v>0.8</v>
      </c>
      <c r="L6" s="30">
        <v>30</v>
      </c>
      <c r="M6" s="30">
        <v>80</v>
      </c>
      <c r="N6" s="30" t="s">
        <v>240</v>
      </c>
      <c r="O6" s="30">
        <v>1</v>
      </c>
      <c r="P6" s="18" t="s">
        <v>253</v>
      </c>
      <c r="Q6" s="18" t="s">
        <v>242</v>
      </c>
      <c r="R6" s="18" t="s">
        <v>259</v>
      </c>
      <c r="S6" s="18" t="s">
        <v>244</v>
      </c>
      <c r="T6" s="18" t="s">
        <v>255</v>
      </c>
      <c r="U6" s="21">
        <f>COUNTIF(Intervention_Cause_Map!$A$2:$A$19,B6)</f>
        <v>1</v>
      </c>
      <c r="V6" s="21" t="str">
        <f t="shared" si="0"/>
        <v>OK</v>
      </c>
    </row>
    <row r="7" spans="1:22">
      <c r="A7" s="18" t="s">
        <v>260</v>
      </c>
      <c r="B7" s="18" t="s">
        <v>200</v>
      </c>
      <c r="C7" s="18" t="s">
        <v>145</v>
      </c>
      <c r="D7" s="18" t="s">
        <v>160</v>
      </c>
      <c r="E7" s="18" t="s">
        <v>146</v>
      </c>
      <c r="F7" s="18" t="s">
        <v>161</v>
      </c>
      <c r="G7" s="18" t="s">
        <v>252</v>
      </c>
      <c r="H7" s="18" t="s">
        <v>237</v>
      </c>
      <c r="I7" s="18" t="s">
        <v>239</v>
      </c>
      <c r="J7" s="26">
        <v>0.47</v>
      </c>
      <c r="K7" s="26">
        <v>1</v>
      </c>
      <c r="L7" s="30">
        <v>30</v>
      </c>
      <c r="M7" s="30">
        <v>80</v>
      </c>
      <c r="N7" s="30" t="s">
        <v>240</v>
      </c>
      <c r="O7" s="30">
        <v>1</v>
      </c>
      <c r="P7" s="18" t="s">
        <v>253</v>
      </c>
      <c r="Q7" s="18" t="s">
        <v>242</v>
      </c>
      <c r="R7" s="18" t="s">
        <v>261</v>
      </c>
      <c r="S7" s="18" t="s">
        <v>244</v>
      </c>
      <c r="T7" s="18" t="s">
        <v>255</v>
      </c>
      <c r="U7" s="21">
        <f>COUNTIF(Intervention_Cause_Map!$A$2:$A$19,B7)</f>
        <v>1</v>
      </c>
      <c r="V7" s="21" t="str">
        <f t="shared" si="0"/>
        <v>OK</v>
      </c>
    </row>
    <row r="8" spans="1:22">
      <c r="A8" s="18" t="s">
        <v>262</v>
      </c>
      <c r="B8" s="18" t="s">
        <v>201</v>
      </c>
      <c r="C8" s="18" t="s">
        <v>151</v>
      </c>
      <c r="D8" s="18" t="s">
        <v>143</v>
      </c>
      <c r="E8" s="18" t="s">
        <v>152</v>
      </c>
      <c r="F8" s="18" t="s">
        <v>144</v>
      </c>
      <c r="G8" s="18" t="s">
        <v>237</v>
      </c>
      <c r="H8" s="18" t="s">
        <v>263</v>
      </c>
      <c r="I8" s="18" t="s">
        <v>239</v>
      </c>
      <c r="J8" s="26">
        <v>0.58220000000000005</v>
      </c>
      <c r="K8" s="26">
        <v>0.2</v>
      </c>
      <c r="L8" s="30">
        <v>30</v>
      </c>
      <c r="M8" s="30">
        <v>80</v>
      </c>
      <c r="N8" s="30" t="s">
        <v>240</v>
      </c>
      <c r="O8" s="30">
        <v>1</v>
      </c>
      <c r="P8" s="18" t="s">
        <v>248</v>
      </c>
      <c r="Q8" s="18" t="s">
        <v>242</v>
      </c>
      <c r="R8" s="18" t="s">
        <v>264</v>
      </c>
      <c r="S8" s="18" t="s">
        <v>244</v>
      </c>
      <c r="T8" s="18" t="s">
        <v>265</v>
      </c>
      <c r="U8" s="21">
        <f>COUNTIF(Intervention_Cause_Map!$A$2:$A$19,B8)</f>
        <v>1</v>
      </c>
      <c r="V8" s="21" t="str">
        <f t="shared" si="0"/>
        <v>OK</v>
      </c>
    </row>
    <row r="9" spans="1:22">
      <c r="A9" s="18" t="s">
        <v>266</v>
      </c>
      <c r="B9" s="18" t="s">
        <v>203</v>
      </c>
      <c r="C9" s="18" t="s">
        <v>157</v>
      </c>
      <c r="D9" s="18" t="s">
        <v>149</v>
      </c>
      <c r="E9" s="18" t="s">
        <v>158</v>
      </c>
      <c r="F9" s="18" t="s">
        <v>150</v>
      </c>
      <c r="G9" s="18" t="s">
        <v>237</v>
      </c>
      <c r="H9" s="18" t="s">
        <v>267</v>
      </c>
      <c r="I9" s="18" t="s">
        <v>239</v>
      </c>
      <c r="J9" s="26">
        <v>0.23</v>
      </c>
      <c r="K9" s="26">
        <v>0.2</v>
      </c>
      <c r="L9" s="30">
        <v>30</v>
      </c>
      <c r="M9" s="30">
        <v>80</v>
      </c>
      <c r="N9" s="30" t="s">
        <v>240</v>
      </c>
      <c r="O9" s="30">
        <v>1</v>
      </c>
      <c r="P9" s="18" t="s">
        <v>248</v>
      </c>
      <c r="Q9" s="18" t="s">
        <v>242</v>
      </c>
      <c r="R9" s="18" t="s">
        <v>268</v>
      </c>
      <c r="S9" s="18" t="s">
        <v>244</v>
      </c>
      <c r="T9" s="18" t="s">
        <v>265</v>
      </c>
      <c r="U9" s="21">
        <f>COUNTIF(Intervention_Cause_Map!$A$2:$A$19,B9)</f>
        <v>1</v>
      </c>
      <c r="V9" s="21" t="str">
        <f t="shared" si="0"/>
        <v>OK</v>
      </c>
    </row>
    <row r="10" spans="1:22">
      <c r="A10" s="18" t="s">
        <v>269</v>
      </c>
      <c r="B10" s="18" t="s">
        <v>205</v>
      </c>
      <c r="C10" s="18" t="s">
        <v>157</v>
      </c>
      <c r="D10" s="18" t="s">
        <v>155</v>
      </c>
      <c r="E10" s="18" t="s">
        <v>158</v>
      </c>
      <c r="F10" s="18" t="s">
        <v>156</v>
      </c>
      <c r="G10" s="18" t="s">
        <v>237</v>
      </c>
      <c r="H10" s="18" t="s">
        <v>270</v>
      </c>
      <c r="I10" s="18" t="s">
        <v>239</v>
      </c>
      <c r="J10" s="26">
        <v>0.08</v>
      </c>
      <c r="K10" s="26">
        <v>0.2</v>
      </c>
      <c r="L10" s="30">
        <v>30</v>
      </c>
      <c r="M10" s="30">
        <v>80</v>
      </c>
      <c r="N10" s="30" t="s">
        <v>240</v>
      </c>
      <c r="O10" s="30">
        <v>1</v>
      </c>
      <c r="P10" s="18" t="s">
        <v>248</v>
      </c>
      <c r="Q10" s="18" t="s">
        <v>242</v>
      </c>
      <c r="R10" s="18" t="s">
        <v>271</v>
      </c>
      <c r="S10" s="18" t="s">
        <v>244</v>
      </c>
      <c r="T10" s="18" t="s">
        <v>265</v>
      </c>
      <c r="U10" s="21">
        <f>COUNTIF(Intervention_Cause_Map!$A$2:$A$19,B10)</f>
        <v>1</v>
      </c>
      <c r="V10" s="21" t="str">
        <f t="shared" si="0"/>
        <v>OK</v>
      </c>
    </row>
    <row r="11" spans="1:22">
      <c r="A11" s="18" t="s">
        <v>272</v>
      </c>
      <c r="B11" s="18" t="s">
        <v>206</v>
      </c>
      <c r="C11" s="18" t="s">
        <v>162</v>
      </c>
      <c r="D11" s="18" t="s">
        <v>143</v>
      </c>
      <c r="E11" s="18" t="s">
        <v>163</v>
      </c>
      <c r="F11" s="18" t="s">
        <v>144</v>
      </c>
      <c r="G11" s="18" t="s">
        <v>273</v>
      </c>
      <c r="H11" s="18" t="s">
        <v>263</v>
      </c>
      <c r="I11" s="18" t="s">
        <v>239</v>
      </c>
      <c r="J11" s="26">
        <v>0.18</v>
      </c>
      <c r="K11" s="26">
        <v>0.05</v>
      </c>
      <c r="L11" s="30">
        <v>30</v>
      </c>
      <c r="M11" s="30">
        <v>99</v>
      </c>
      <c r="N11" s="30" t="s">
        <v>240</v>
      </c>
      <c r="O11" s="30">
        <v>1</v>
      </c>
      <c r="P11" s="18" t="s">
        <v>248</v>
      </c>
      <c r="Q11" s="18" t="s">
        <v>242</v>
      </c>
      <c r="R11" s="18" t="s">
        <v>274</v>
      </c>
      <c r="S11" s="18" t="s">
        <v>244</v>
      </c>
      <c r="T11" s="18" t="s">
        <v>275</v>
      </c>
      <c r="U11" s="21">
        <f>COUNTIF(Intervention_Cause_Map!$A$2:$A$19,B11)</f>
        <v>1</v>
      </c>
      <c r="V11" s="21" t="str">
        <f t="shared" si="0"/>
        <v>OK</v>
      </c>
    </row>
    <row r="12" spans="1:22">
      <c r="A12" s="18" t="s">
        <v>276</v>
      </c>
      <c r="B12" s="18" t="s">
        <v>208</v>
      </c>
      <c r="C12" s="18" t="s">
        <v>162</v>
      </c>
      <c r="D12" s="18" t="s">
        <v>160</v>
      </c>
      <c r="E12" s="18" t="s">
        <v>163</v>
      </c>
      <c r="F12" s="18" t="s">
        <v>161</v>
      </c>
      <c r="G12" s="18" t="s">
        <v>273</v>
      </c>
      <c r="H12" s="18" t="s">
        <v>277</v>
      </c>
      <c r="I12" s="18" t="s">
        <v>239</v>
      </c>
      <c r="J12" s="26">
        <v>0.74</v>
      </c>
      <c r="K12" s="26">
        <v>0.2</v>
      </c>
      <c r="L12" s="30">
        <v>30</v>
      </c>
      <c r="M12" s="30">
        <v>99</v>
      </c>
      <c r="N12" s="30" t="s">
        <v>240</v>
      </c>
      <c r="O12" s="30">
        <v>1</v>
      </c>
      <c r="P12" s="18" t="s">
        <v>248</v>
      </c>
      <c r="Q12" s="18" t="s">
        <v>242</v>
      </c>
      <c r="R12" s="18" t="s">
        <v>278</v>
      </c>
      <c r="S12" s="18" t="s">
        <v>244</v>
      </c>
      <c r="T12" s="18" t="s">
        <v>279</v>
      </c>
      <c r="U12" s="21">
        <f>COUNTIF(Intervention_Cause_Map!$A$2:$A$19,B12)</f>
        <v>1</v>
      </c>
      <c r="V12" s="21" t="str">
        <f t="shared" si="0"/>
        <v>OK</v>
      </c>
    </row>
    <row r="13" spans="1:22">
      <c r="A13" s="18" t="s">
        <v>280</v>
      </c>
      <c r="B13" s="18" t="s">
        <v>210</v>
      </c>
      <c r="C13" s="18" t="s">
        <v>162</v>
      </c>
      <c r="D13" s="18" t="s">
        <v>166</v>
      </c>
      <c r="E13" s="18" t="s">
        <v>163</v>
      </c>
      <c r="F13" s="18" t="s">
        <v>167</v>
      </c>
      <c r="G13" s="18" t="s">
        <v>273</v>
      </c>
      <c r="H13" s="18" t="s">
        <v>281</v>
      </c>
      <c r="I13" s="18" t="s">
        <v>239</v>
      </c>
      <c r="J13" s="26">
        <v>0.74</v>
      </c>
      <c r="K13" s="26">
        <v>0.2</v>
      </c>
      <c r="L13" s="30">
        <v>30</v>
      </c>
      <c r="M13" s="30">
        <v>99</v>
      </c>
      <c r="N13" s="30" t="s">
        <v>240</v>
      </c>
      <c r="O13" s="30">
        <v>1</v>
      </c>
      <c r="P13" s="18" t="s">
        <v>248</v>
      </c>
      <c r="Q13" s="18" t="s">
        <v>242</v>
      </c>
      <c r="R13" s="18" t="s">
        <v>282</v>
      </c>
      <c r="S13" s="18" t="s">
        <v>244</v>
      </c>
      <c r="T13" s="18" t="s">
        <v>283</v>
      </c>
      <c r="U13" s="21">
        <f>COUNTIF(Intervention_Cause_Map!$A$2:$A$19,B13)</f>
        <v>1</v>
      </c>
      <c r="V13" s="21" t="str">
        <f t="shared" si="0"/>
        <v>OK</v>
      </c>
    </row>
    <row r="14" spans="1:22">
      <c r="A14" s="18" t="s">
        <v>284</v>
      </c>
      <c r="B14" s="18" t="s">
        <v>212</v>
      </c>
      <c r="C14" s="18" t="s">
        <v>168</v>
      </c>
      <c r="D14" s="18" t="s">
        <v>143</v>
      </c>
      <c r="E14" s="18" t="s">
        <v>169</v>
      </c>
      <c r="F14" s="18" t="s">
        <v>144</v>
      </c>
      <c r="G14" s="18" t="s">
        <v>273</v>
      </c>
      <c r="H14" s="18" t="s">
        <v>263</v>
      </c>
      <c r="I14" s="18" t="s">
        <v>239</v>
      </c>
      <c r="J14" s="26">
        <v>9.2999999999999999E-2</v>
      </c>
      <c r="K14" s="26">
        <v>0.2</v>
      </c>
      <c r="L14" s="30">
        <v>30</v>
      </c>
      <c r="M14" s="30">
        <v>80</v>
      </c>
      <c r="N14" s="30" t="s">
        <v>240</v>
      </c>
      <c r="O14" s="30">
        <v>1</v>
      </c>
      <c r="P14" s="18" t="s">
        <v>248</v>
      </c>
      <c r="Q14" s="18" t="s">
        <v>242</v>
      </c>
      <c r="R14" s="18" t="s">
        <v>285</v>
      </c>
      <c r="S14" s="18" t="s">
        <v>244</v>
      </c>
      <c r="T14" s="18" t="s">
        <v>275</v>
      </c>
      <c r="U14" s="21">
        <f>COUNTIF(Intervention_Cause_Map!$A$2:$A$19,B14)</f>
        <v>1</v>
      </c>
      <c r="V14" s="21" t="str">
        <f t="shared" si="0"/>
        <v>OK</v>
      </c>
    </row>
    <row r="15" spans="1:22">
      <c r="A15" s="18" t="s">
        <v>286</v>
      </c>
      <c r="B15" s="18" t="s">
        <v>213</v>
      </c>
      <c r="C15" s="18" t="s">
        <v>168</v>
      </c>
      <c r="D15" s="18" t="s">
        <v>160</v>
      </c>
      <c r="E15" s="18" t="s">
        <v>169</v>
      </c>
      <c r="F15" s="18" t="s">
        <v>161</v>
      </c>
      <c r="G15" s="18" t="s">
        <v>273</v>
      </c>
      <c r="H15" s="18" t="s">
        <v>277</v>
      </c>
      <c r="I15" s="18" t="s">
        <v>239</v>
      </c>
      <c r="J15" s="26">
        <v>0.27500000000000002</v>
      </c>
      <c r="K15" s="26">
        <v>0.8</v>
      </c>
      <c r="L15" s="30">
        <v>30</v>
      </c>
      <c r="M15" s="30">
        <v>80</v>
      </c>
      <c r="N15" s="30" t="s">
        <v>240</v>
      </c>
      <c r="O15" s="30">
        <v>1</v>
      </c>
      <c r="P15" s="18" t="s">
        <v>248</v>
      </c>
      <c r="Q15" s="18" t="s">
        <v>242</v>
      </c>
      <c r="R15" s="18" t="s">
        <v>287</v>
      </c>
      <c r="S15" s="18" t="s">
        <v>244</v>
      </c>
      <c r="T15" s="18" t="s">
        <v>279</v>
      </c>
      <c r="U15" s="21">
        <f>COUNTIF(Intervention_Cause_Map!$A$2:$A$19,B15)</f>
        <v>1</v>
      </c>
      <c r="V15" s="21" t="str">
        <f t="shared" si="0"/>
        <v>OK</v>
      </c>
    </row>
    <row r="16" spans="1:22">
      <c r="A16" s="18" t="s">
        <v>288</v>
      </c>
      <c r="B16" s="18" t="s">
        <v>214</v>
      </c>
      <c r="C16" s="18" t="s">
        <v>168</v>
      </c>
      <c r="D16" s="18" t="s">
        <v>166</v>
      </c>
      <c r="E16" s="18" t="s">
        <v>169</v>
      </c>
      <c r="F16" s="18" t="s">
        <v>167</v>
      </c>
      <c r="G16" s="18" t="s">
        <v>273</v>
      </c>
      <c r="H16" s="18" t="s">
        <v>281</v>
      </c>
      <c r="I16" s="18" t="s">
        <v>239</v>
      </c>
      <c r="J16" s="26">
        <v>0.53600000000000003</v>
      </c>
      <c r="K16" s="26">
        <v>0.8</v>
      </c>
      <c r="L16" s="30">
        <v>30</v>
      </c>
      <c r="M16" s="30">
        <v>80</v>
      </c>
      <c r="N16" s="30" t="s">
        <v>240</v>
      </c>
      <c r="O16" s="30">
        <v>1</v>
      </c>
      <c r="P16" s="18" t="s">
        <v>248</v>
      </c>
      <c r="Q16" s="18" t="s">
        <v>242</v>
      </c>
      <c r="R16" s="18" t="s">
        <v>289</v>
      </c>
      <c r="S16" s="18" t="s">
        <v>244</v>
      </c>
      <c r="T16" s="18" t="s">
        <v>283</v>
      </c>
      <c r="U16" s="21">
        <f>COUNTIF(Intervention_Cause_Map!$A$2:$A$19,B16)</f>
        <v>1</v>
      </c>
      <c r="V16" s="21" t="str">
        <f t="shared" si="0"/>
        <v>OK</v>
      </c>
    </row>
    <row r="17" spans="1:22">
      <c r="A17" s="18" t="s">
        <v>290</v>
      </c>
      <c r="B17" s="18" t="s">
        <v>215</v>
      </c>
      <c r="C17" s="18" t="s">
        <v>174</v>
      </c>
      <c r="D17" s="18" t="s">
        <v>171</v>
      </c>
      <c r="E17" s="18" t="s">
        <v>175</v>
      </c>
      <c r="F17" s="18" t="s">
        <v>172</v>
      </c>
      <c r="G17" s="18" t="s">
        <v>237</v>
      </c>
      <c r="H17" s="18" t="s">
        <v>291</v>
      </c>
      <c r="I17" s="18" t="s">
        <v>239</v>
      </c>
      <c r="J17" s="26">
        <v>0.28000000000000003</v>
      </c>
      <c r="K17" s="26">
        <v>1</v>
      </c>
      <c r="L17" s="30">
        <v>0</v>
      </c>
      <c r="M17" s="30">
        <v>95</v>
      </c>
      <c r="N17" s="30" t="s">
        <v>240</v>
      </c>
      <c r="O17" s="30">
        <v>1</v>
      </c>
      <c r="P17" s="18" t="s">
        <v>248</v>
      </c>
      <c r="Q17" s="18" t="s">
        <v>242</v>
      </c>
      <c r="R17" s="18" t="s">
        <v>292</v>
      </c>
      <c r="S17" s="18" t="s">
        <v>244</v>
      </c>
      <c r="T17" s="18" t="s">
        <v>216</v>
      </c>
      <c r="U17" s="21">
        <f>COUNTIF(Intervention_Cause_Map!$A$2:$A$19,B17)</f>
        <v>1</v>
      </c>
      <c r="V17" s="21" t="str">
        <f t="shared" si="0"/>
        <v>OK</v>
      </c>
    </row>
    <row r="18" spans="1:22" ht="22.8" customHeight="1">
      <c r="A18" s="5" t="s">
        <v>293</v>
      </c>
      <c r="B18" s="5" t="s">
        <v>217</v>
      </c>
      <c r="C18" s="5" t="s">
        <v>174</v>
      </c>
      <c r="D18" s="5" t="s">
        <v>143</v>
      </c>
      <c r="E18" s="5" t="s">
        <v>175</v>
      </c>
      <c r="F18" s="5" t="s">
        <v>218</v>
      </c>
      <c r="G18" s="5" t="s">
        <v>237</v>
      </c>
      <c r="H18" s="5" t="s">
        <v>263</v>
      </c>
      <c r="I18" s="5" t="s">
        <v>239</v>
      </c>
      <c r="J18" s="28">
        <v>0.15</v>
      </c>
      <c r="K18" s="28">
        <v>0.15</v>
      </c>
      <c r="L18" s="31">
        <v>0</v>
      </c>
      <c r="M18" s="31">
        <v>95</v>
      </c>
      <c r="N18" s="31" t="s">
        <v>240</v>
      </c>
      <c r="O18" s="31">
        <v>1</v>
      </c>
      <c r="P18" s="5" t="s">
        <v>248</v>
      </c>
      <c r="Q18" s="5" t="s">
        <v>242</v>
      </c>
      <c r="R18" s="5" t="s">
        <v>294</v>
      </c>
      <c r="S18" s="5" t="s">
        <v>23</v>
      </c>
      <c r="T18" s="5" t="s">
        <v>295</v>
      </c>
      <c r="U18" s="22">
        <f>COUNTIF(Intervention_Cause_Map!$A$2:$A$19,B18)</f>
        <v>1</v>
      </c>
      <c r="V18" s="22" t="str">
        <f t="shared" si="0"/>
        <v>OK</v>
      </c>
    </row>
    <row r="19" spans="1:22" ht="22.8">
      <c r="A19" s="18" t="s">
        <v>666</v>
      </c>
      <c r="B19" s="18" t="s">
        <v>664</v>
      </c>
      <c r="C19" s="18" t="s">
        <v>661</v>
      </c>
      <c r="D19" s="18" t="s">
        <v>143</v>
      </c>
      <c r="E19" s="18" t="s">
        <v>614</v>
      </c>
      <c r="F19" s="18" t="s">
        <v>144</v>
      </c>
      <c r="G19" s="18" t="s">
        <v>237</v>
      </c>
      <c r="H19" s="18" t="s">
        <v>263</v>
      </c>
      <c r="I19" s="18" t="s">
        <v>239</v>
      </c>
      <c r="J19" s="26">
        <v>0.28120000000000001</v>
      </c>
      <c r="K19" s="26">
        <v>0.5</v>
      </c>
      <c r="L19" s="30">
        <v>30</v>
      </c>
      <c r="M19" s="30">
        <v>80</v>
      </c>
      <c r="N19" s="30" t="s">
        <v>240</v>
      </c>
      <c r="O19" s="30">
        <v>1</v>
      </c>
      <c r="P19" s="18" t="s">
        <v>248</v>
      </c>
      <c r="Q19" s="18" t="s">
        <v>667</v>
      </c>
      <c r="R19" s="18" t="s">
        <v>668</v>
      </c>
      <c r="S19" s="18" t="s">
        <v>244</v>
      </c>
      <c r="T19" s="18" t="s">
        <v>669</v>
      </c>
      <c r="U19" s="21">
        <f>COUNTIF(Intervention_Cause_Map!$A$2:$A$19,B19)</f>
        <v>1</v>
      </c>
      <c r="V19" s="21" t="str">
        <f>IF(U19&lt;&gt;1,"BAD KEY",IF(OR(J19&lt;0,J19&gt;1,K19&lt;0,K19&gt;1),"BAD VALUE","OK"))</f>
        <v>OK</v>
      </c>
    </row>
  </sheetData>
  <conditionalFormatting sqref="S2:S19">
    <cfRule type="containsText" dxfId="31" priority="1" operator="containsText" text="OK"/>
    <cfRule type="containsText" dxfId="30" priority="3" operator="containsText" text="FAIL"/>
    <cfRule type="containsText" dxfId="29" priority="5" operator="containsText" text="REVIEW"/>
    <cfRule type="containsText" dxfId="28" priority="6" operator="containsText" text="BAD"/>
  </conditionalFormatting>
  <conditionalFormatting sqref="V2:V19">
    <cfRule type="containsText" dxfId="27" priority="7" operator="containsText" text="OK"/>
    <cfRule type="containsText" dxfId="26" priority="9" operator="containsText" text="FAIL"/>
    <cfRule type="containsText" dxfId="25" priority="11" operator="containsText" text="REVIEW"/>
    <cfRule type="containsText" dxfId="24" priority="12" operator="containsText" text="BAD"/>
  </conditionalFormatting>
  <pageMargins left="0.7" right="0.7" top="0.75" bottom="0.75" header="0.3" footer="0.3"/>
  <drawing r:id="rId1"/>
  <legacyDrawing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9"/>
  <sheetViews>
    <sheetView showGridLines="0" topLeftCell="L5" workbookViewId="0">
      <selection activeCell="Q19" sqref="Q19"/>
    </sheetView>
  </sheetViews>
  <sheetFormatPr defaultColWidth="11.19921875" defaultRowHeight="13.8"/>
  <cols>
    <col min="1" max="1" width="16" customWidth="1"/>
    <col min="2" max="2" width="30" customWidth="1"/>
    <col min="3" max="3" width="22" customWidth="1"/>
    <col min="4" max="4" width="14" customWidth="1"/>
    <col min="5" max="6" width="38" customWidth="1"/>
    <col min="7" max="9" width="18" customWidth="1"/>
    <col min="10" max="11" width="14" customWidth="1"/>
    <col min="12" max="12" width="18" customWidth="1"/>
    <col min="13" max="13" width="28" customWidth="1"/>
    <col min="14" max="14" width="18" customWidth="1"/>
    <col min="15" max="15" width="48" customWidth="1"/>
    <col min="16" max="17" width="18" customWidth="1"/>
    <col min="18" max="18" width="16" customWidth="1"/>
    <col min="19" max="19" width="20" customWidth="1"/>
  </cols>
  <sheetData>
    <row r="1" spans="1:19" ht="34.049999999999997" customHeight="1">
      <c r="A1" s="14" t="s">
        <v>296</v>
      </c>
      <c r="B1" s="15" t="s">
        <v>181</v>
      </c>
      <c r="C1" s="15" t="s">
        <v>127</v>
      </c>
      <c r="D1" s="15" t="s">
        <v>131</v>
      </c>
      <c r="E1" s="15" t="s">
        <v>128</v>
      </c>
      <c r="F1" s="15" t="s">
        <v>132</v>
      </c>
      <c r="G1" s="15" t="s">
        <v>297</v>
      </c>
      <c r="H1" s="15" t="s">
        <v>298</v>
      </c>
      <c r="I1" s="15" t="s">
        <v>299</v>
      </c>
      <c r="J1" s="15" t="s">
        <v>300</v>
      </c>
      <c r="K1" s="15" t="s">
        <v>301</v>
      </c>
      <c r="L1" s="15" t="s">
        <v>63</v>
      </c>
      <c r="M1" s="15" t="s">
        <v>302</v>
      </c>
      <c r="N1" s="15" t="s">
        <v>303</v>
      </c>
      <c r="O1" s="15" t="s">
        <v>304</v>
      </c>
      <c r="P1" s="15" t="s">
        <v>233</v>
      </c>
      <c r="Q1" s="15" t="s">
        <v>305</v>
      </c>
      <c r="R1" s="15" t="s">
        <v>234</v>
      </c>
      <c r="S1" s="16" t="s">
        <v>235</v>
      </c>
    </row>
    <row r="2" spans="1:19">
      <c r="A2" s="17" t="s">
        <v>306</v>
      </c>
      <c r="B2" s="17" t="s">
        <v>189</v>
      </c>
      <c r="C2" s="17" t="s">
        <v>135</v>
      </c>
      <c r="D2" s="17" t="s">
        <v>139</v>
      </c>
      <c r="E2" s="17" t="s">
        <v>136</v>
      </c>
      <c r="F2" s="17" t="s">
        <v>137</v>
      </c>
      <c r="G2" s="27">
        <v>0.40110000000000001</v>
      </c>
      <c r="H2" s="27"/>
      <c r="I2" s="32">
        <f>IF(H2="",Assumptions!$B$5,H2)</f>
        <v>0.8</v>
      </c>
      <c r="J2" s="35">
        <f>Assumptions!$B$4</f>
        <v>2025</v>
      </c>
      <c r="K2" s="35">
        <f>Assumptions!$B$6</f>
        <v>2050</v>
      </c>
      <c r="L2" s="17" t="s">
        <v>64</v>
      </c>
      <c r="M2" s="17" t="s">
        <v>307</v>
      </c>
      <c r="N2" s="17" t="s">
        <v>308</v>
      </c>
      <c r="O2" s="17" t="s">
        <v>309</v>
      </c>
      <c r="P2" s="17" t="s">
        <v>244</v>
      </c>
      <c r="Q2" s="32">
        <f t="shared" ref="Q2:Q18" si="0">IF(G2="","",I2-G2)</f>
        <v>0.39890000000000003</v>
      </c>
      <c r="R2" s="20">
        <f>COUNTIF(Intervention_Cause_Map!$A$2:$A$19,B2)</f>
        <v>1</v>
      </c>
      <c r="S2" s="20" t="str">
        <f t="shared" ref="S2:S18" si="1">IF(R2&lt;&gt;1,"BAD KEY",IF(G2="","MISSING BASELINE",IF(OR(G2&lt;0,G2&gt;1,I2&lt;0,I2&gt;1,I2&lt;G2),"BAD COVERAGE","OK")))</f>
        <v>OK</v>
      </c>
    </row>
    <row r="3" spans="1:19">
      <c r="A3" s="18" t="s">
        <v>310</v>
      </c>
      <c r="B3" s="18" t="s">
        <v>192</v>
      </c>
      <c r="C3" s="18" t="s">
        <v>140</v>
      </c>
      <c r="D3" s="18" t="s">
        <v>139</v>
      </c>
      <c r="E3" s="18" t="s">
        <v>141</v>
      </c>
      <c r="F3" s="18" t="s">
        <v>137</v>
      </c>
      <c r="G3" s="26">
        <v>6.6400000000000001E-2</v>
      </c>
      <c r="H3" s="27"/>
      <c r="I3" s="33">
        <f>IF(H3="",Assumptions!$B$5,H3)</f>
        <v>0.8</v>
      </c>
      <c r="J3" s="36">
        <f>Assumptions!$B$4</f>
        <v>2025</v>
      </c>
      <c r="K3" s="36">
        <f>Assumptions!$B$6</f>
        <v>2050</v>
      </c>
      <c r="L3" s="18" t="s">
        <v>64</v>
      </c>
      <c r="M3" s="18" t="s">
        <v>307</v>
      </c>
      <c r="N3" s="18" t="s">
        <v>311</v>
      </c>
      <c r="O3" s="18" t="s">
        <v>312</v>
      </c>
      <c r="P3" s="18" t="s">
        <v>244</v>
      </c>
      <c r="Q3" s="33">
        <f t="shared" si="0"/>
        <v>0.73360000000000003</v>
      </c>
      <c r="R3" s="21">
        <f>COUNTIF(Intervention_Cause_Map!$A$2:$A$19,B3)</f>
        <v>1</v>
      </c>
      <c r="S3" s="21" t="str">
        <f t="shared" si="1"/>
        <v>OK</v>
      </c>
    </row>
    <row r="4" spans="1:19">
      <c r="A4" s="18" t="s">
        <v>313</v>
      </c>
      <c r="B4" s="18" t="s">
        <v>194</v>
      </c>
      <c r="C4" s="18" t="s">
        <v>145</v>
      </c>
      <c r="D4" s="18" t="s">
        <v>143</v>
      </c>
      <c r="E4" s="18" t="s">
        <v>146</v>
      </c>
      <c r="F4" s="18" t="s">
        <v>144</v>
      </c>
      <c r="G4" s="26">
        <v>0.24660000000000001</v>
      </c>
      <c r="H4" s="27"/>
      <c r="I4" s="33">
        <f>IF(H4="",Assumptions!$B$5,H4)</f>
        <v>0.8</v>
      </c>
      <c r="J4" s="36">
        <f>Assumptions!$B$4</f>
        <v>2025</v>
      </c>
      <c r="K4" s="36">
        <f>Assumptions!$B$6</f>
        <v>2050</v>
      </c>
      <c r="L4" s="18" t="s">
        <v>64</v>
      </c>
      <c r="M4" s="18" t="s">
        <v>307</v>
      </c>
      <c r="N4" s="18" t="s">
        <v>314</v>
      </c>
      <c r="O4" s="18" t="s">
        <v>315</v>
      </c>
      <c r="P4" s="18" t="s">
        <v>244</v>
      </c>
      <c r="Q4" s="33">
        <f t="shared" si="0"/>
        <v>0.5534</v>
      </c>
      <c r="R4" s="21">
        <f>COUNTIF(Intervention_Cause_Map!$A$2:$A$19,B4)</f>
        <v>1</v>
      </c>
      <c r="S4" s="21" t="str">
        <f t="shared" si="1"/>
        <v>OK</v>
      </c>
    </row>
    <row r="5" spans="1:19">
      <c r="A5" s="18" t="s">
        <v>316</v>
      </c>
      <c r="B5" s="18" t="s">
        <v>198</v>
      </c>
      <c r="C5" s="18" t="s">
        <v>145</v>
      </c>
      <c r="D5" s="18" t="s">
        <v>149</v>
      </c>
      <c r="E5" s="18" t="s">
        <v>146</v>
      </c>
      <c r="F5" s="18" t="s">
        <v>150</v>
      </c>
      <c r="G5" s="26">
        <v>0.24660000000000001</v>
      </c>
      <c r="H5" s="27"/>
      <c r="I5" s="33">
        <f>IF(H5="",Assumptions!$B$5,H5)</f>
        <v>0.8</v>
      </c>
      <c r="J5" s="36">
        <f>Assumptions!$B$4</f>
        <v>2025</v>
      </c>
      <c r="K5" s="36">
        <f>Assumptions!$B$6</f>
        <v>2050</v>
      </c>
      <c r="L5" s="18" t="s">
        <v>64</v>
      </c>
      <c r="M5" s="18" t="s">
        <v>307</v>
      </c>
      <c r="N5" s="18" t="s">
        <v>314</v>
      </c>
      <c r="O5" s="18" t="s">
        <v>315</v>
      </c>
      <c r="P5" s="18" t="s">
        <v>244</v>
      </c>
      <c r="Q5" s="33">
        <f t="shared" si="0"/>
        <v>0.5534</v>
      </c>
      <c r="R5" s="21">
        <f>COUNTIF(Intervention_Cause_Map!$A$2:$A$19,B5)</f>
        <v>1</v>
      </c>
      <c r="S5" s="21" t="str">
        <f t="shared" si="1"/>
        <v>OK</v>
      </c>
    </row>
    <row r="6" spans="1:19">
      <c r="A6" s="18" t="s">
        <v>317</v>
      </c>
      <c r="B6" s="18" t="s">
        <v>199</v>
      </c>
      <c r="C6" s="18" t="s">
        <v>145</v>
      </c>
      <c r="D6" s="18" t="s">
        <v>155</v>
      </c>
      <c r="E6" s="18" t="s">
        <v>146</v>
      </c>
      <c r="F6" s="18" t="s">
        <v>156</v>
      </c>
      <c r="G6" s="26">
        <v>0.24660000000000001</v>
      </c>
      <c r="H6" s="27"/>
      <c r="I6" s="33">
        <f>IF(H6="",Assumptions!$B$5,H6)</f>
        <v>0.8</v>
      </c>
      <c r="J6" s="36">
        <f>Assumptions!$B$4</f>
        <v>2025</v>
      </c>
      <c r="K6" s="36">
        <f>Assumptions!$B$6</f>
        <v>2050</v>
      </c>
      <c r="L6" s="18" t="s">
        <v>64</v>
      </c>
      <c r="M6" s="18" t="s">
        <v>307</v>
      </c>
      <c r="N6" s="18" t="s">
        <v>314</v>
      </c>
      <c r="O6" s="18" t="s">
        <v>315</v>
      </c>
      <c r="P6" s="18" t="s">
        <v>244</v>
      </c>
      <c r="Q6" s="33">
        <f t="shared" si="0"/>
        <v>0.5534</v>
      </c>
      <c r="R6" s="21">
        <f>COUNTIF(Intervention_Cause_Map!$A$2:$A$19,B6)</f>
        <v>1</v>
      </c>
      <c r="S6" s="21" t="str">
        <f t="shared" si="1"/>
        <v>OK</v>
      </c>
    </row>
    <row r="7" spans="1:19">
      <c r="A7" s="18" t="s">
        <v>318</v>
      </c>
      <c r="B7" s="18" t="s">
        <v>200</v>
      </c>
      <c r="C7" s="18" t="s">
        <v>145</v>
      </c>
      <c r="D7" s="18" t="s">
        <v>160</v>
      </c>
      <c r="E7" s="18" t="s">
        <v>146</v>
      </c>
      <c r="F7" s="18" t="s">
        <v>161</v>
      </c>
      <c r="G7" s="26">
        <v>0.24660000000000001</v>
      </c>
      <c r="H7" s="27"/>
      <c r="I7" s="33">
        <f>IF(H7="",Assumptions!$B$5,H7)</f>
        <v>0.8</v>
      </c>
      <c r="J7" s="36">
        <f>Assumptions!$B$4</f>
        <v>2025</v>
      </c>
      <c r="K7" s="36">
        <f>Assumptions!$B$6</f>
        <v>2050</v>
      </c>
      <c r="L7" s="18" t="s">
        <v>64</v>
      </c>
      <c r="M7" s="18" t="s">
        <v>307</v>
      </c>
      <c r="N7" s="18" t="s">
        <v>314</v>
      </c>
      <c r="O7" s="18" t="s">
        <v>315</v>
      </c>
      <c r="P7" s="18" t="s">
        <v>244</v>
      </c>
      <c r="Q7" s="33">
        <f t="shared" si="0"/>
        <v>0.5534</v>
      </c>
      <c r="R7" s="21">
        <f>COUNTIF(Intervention_Cause_Map!$A$2:$A$19,B7)</f>
        <v>1</v>
      </c>
      <c r="S7" s="21" t="str">
        <f t="shared" si="1"/>
        <v>OK</v>
      </c>
    </row>
    <row r="8" spans="1:19">
      <c r="A8" s="18" t="s">
        <v>319</v>
      </c>
      <c r="B8" s="18" t="s">
        <v>201</v>
      </c>
      <c r="C8" s="18" t="s">
        <v>151</v>
      </c>
      <c r="D8" s="18" t="s">
        <v>143</v>
      </c>
      <c r="E8" s="18" t="s">
        <v>152</v>
      </c>
      <c r="F8" s="18" t="s">
        <v>144</v>
      </c>
      <c r="G8" s="26">
        <v>0.53010000000000002</v>
      </c>
      <c r="H8" s="27"/>
      <c r="I8" s="33">
        <f>IF(H8="",Assumptions!$B$5,H8)</f>
        <v>0.8</v>
      </c>
      <c r="J8" s="36">
        <f>Assumptions!$B$4</f>
        <v>2025</v>
      </c>
      <c r="K8" s="36">
        <f>Assumptions!$B$6</f>
        <v>2050</v>
      </c>
      <c r="L8" s="18" t="s">
        <v>64</v>
      </c>
      <c r="M8" s="18" t="s">
        <v>307</v>
      </c>
      <c r="N8" s="18" t="s">
        <v>320</v>
      </c>
      <c r="O8" s="18" t="s">
        <v>321</v>
      </c>
      <c r="P8" s="18" t="s">
        <v>244</v>
      </c>
      <c r="Q8" s="33">
        <f t="shared" si="0"/>
        <v>0.26990000000000003</v>
      </c>
      <c r="R8" s="21">
        <f>COUNTIF(Intervention_Cause_Map!$A$2:$A$19,B8)</f>
        <v>1</v>
      </c>
      <c r="S8" s="21" t="str">
        <f t="shared" si="1"/>
        <v>OK</v>
      </c>
    </row>
    <row r="9" spans="1:19">
      <c r="A9" s="18" t="s">
        <v>322</v>
      </c>
      <c r="B9" s="18" t="s">
        <v>203</v>
      </c>
      <c r="C9" s="18" t="s">
        <v>157</v>
      </c>
      <c r="D9" s="18" t="s">
        <v>149</v>
      </c>
      <c r="E9" s="18" t="s">
        <v>158</v>
      </c>
      <c r="F9" s="18" t="s">
        <v>150</v>
      </c>
      <c r="G9" s="26">
        <v>0.38219999999999998</v>
      </c>
      <c r="H9" s="27"/>
      <c r="I9" s="33">
        <f>IF(H9="",Assumptions!$B$5,H9)</f>
        <v>0.8</v>
      </c>
      <c r="J9" s="36">
        <f>Assumptions!$B$4</f>
        <v>2025</v>
      </c>
      <c r="K9" s="36">
        <f>Assumptions!$B$6</f>
        <v>2050</v>
      </c>
      <c r="L9" s="18" t="s">
        <v>64</v>
      </c>
      <c r="M9" s="18" t="s">
        <v>307</v>
      </c>
      <c r="N9" s="18" t="s">
        <v>323</v>
      </c>
      <c r="O9" s="18" t="s">
        <v>321</v>
      </c>
      <c r="P9" s="18" t="s">
        <v>244</v>
      </c>
      <c r="Q9" s="33">
        <f t="shared" si="0"/>
        <v>0.41780000000000006</v>
      </c>
      <c r="R9" s="21">
        <f>COUNTIF(Intervention_Cause_Map!$A$2:$A$19,B9)</f>
        <v>1</v>
      </c>
      <c r="S9" s="21" t="str">
        <f t="shared" si="1"/>
        <v>OK</v>
      </c>
    </row>
    <row r="10" spans="1:19">
      <c r="A10" s="18" t="s">
        <v>324</v>
      </c>
      <c r="B10" s="18" t="s">
        <v>205</v>
      </c>
      <c r="C10" s="18" t="s">
        <v>157</v>
      </c>
      <c r="D10" s="18" t="s">
        <v>155</v>
      </c>
      <c r="E10" s="18" t="s">
        <v>158</v>
      </c>
      <c r="F10" s="18" t="s">
        <v>156</v>
      </c>
      <c r="G10" s="26">
        <v>0.21240000000000001</v>
      </c>
      <c r="H10" s="27"/>
      <c r="I10" s="33">
        <f>IF(H10="",Assumptions!$B$5,H10)</f>
        <v>0.8</v>
      </c>
      <c r="J10" s="36">
        <f>Assumptions!$B$4</f>
        <v>2025</v>
      </c>
      <c r="K10" s="36">
        <f>Assumptions!$B$6</f>
        <v>2050</v>
      </c>
      <c r="L10" s="18" t="s">
        <v>64</v>
      </c>
      <c r="M10" s="18" t="s">
        <v>307</v>
      </c>
      <c r="N10" s="18" t="s">
        <v>323</v>
      </c>
      <c r="O10" s="18" t="s">
        <v>321</v>
      </c>
      <c r="P10" s="18" t="s">
        <v>244</v>
      </c>
      <c r="Q10" s="33">
        <f t="shared" si="0"/>
        <v>0.58760000000000001</v>
      </c>
      <c r="R10" s="21">
        <f>COUNTIF(Intervention_Cause_Map!$A$2:$A$19,B10)</f>
        <v>1</v>
      </c>
      <c r="S10" s="21" t="str">
        <f t="shared" si="1"/>
        <v>OK</v>
      </c>
    </row>
    <row r="11" spans="1:19">
      <c r="A11" s="18" t="s">
        <v>325</v>
      </c>
      <c r="B11" s="18" t="s">
        <v>206</v>
      </c>
      <c r="C11" s="18" t="s">
        <v>162</v>
      </c>
      <c r="D11" s="18" t="s">
        <v>143</v>
      </c>
      <c r="E11" s="18" t="s">
        <v>163</v>
      </c>
      <c r="F11" s="18" t="s">
        <v>144</v>
      </c>
      <c r="G11" s="26">
        <v>0.26840000000000003</v>
      </c>
      <c r="H11" s="27"/>
      <c r="I11" s="33">
        <f>IF(H11="",Assumptions!$B$5,H11)</f>
        <v>0.8</v>
      </c>
      <c r="J11" s="36">
        <f>Assumptions!$B$4</f>
        <v>2025</v>
      </c>
      <c r="K11" s="36">
        <f>Assumptions!$B$6</f>
        <v>2050</v>
      </c>
      <c r="L11" s="18" t="s">
        <v>64</v>
      </c>
      <c r="M11" s="18" t="s">
        <v>307</v>
      </c>
      <c r="N11" s="18" t="s">
        <v>326</v>
      </c>
      <c r="O11" s="18" t="s">
        <v>327</v>
      </c>
      <c r="P11" s="18" t="s">
        <v>244</v>
      </c>
      <c r="Q11" s="33">
        <f t="shared" si="0"/>
        <v>0.53160000000000007</v>
      </c>
      <c r="R11" s="21">
        <f>COUNTIF(Intervention_Cause_Map!$A$2:$A$19,B11)</f>
        <v>1</v>
      </c>
      <c r="S11" s="21" t="str">
        <f t="shared" si="1"/>
        <v>OK</v>
      </c>
    </row>
    <row r="12" spans="1:19">
      <c r="A12" s="18" t="s">
        <v>328</v>
      </c>
      <c r="B12" s="18" t="s">
        <v>208</v>
      </c>
      <c r="C12" s="18" t="s">
        <v>162</v>
      </c>
      <c r="D12" s="18" t="s">
        <v>160</v>
      </c>
      <c r="E12" s="18" t="s">
        <v>163</v>
      </c>
      <c r="F12" s="18" t="s">
        <v>161</v>
      </c>
      <c r="G12" s="26">
        <v>0.26840000000000003</v>
      </c>
      <c r="H12" s="27"/>
      <c r="I12" s="33">
        <f>IF(H12="",Assumptions!$B$5,H12)</f>
        <v>0.8</v>
      </c>
      <c r="J12" s="36">
        <f>Assumptions!$B$4</f>
        <v>2025</v>
      </c>
      <c r="K12" s="36">
        <f>Assumptions!$B$6</f>
        <v>2050</v>
      </c>
      <c r="L12" s="18" t="s">
        <v>64</v>
      </c>
      <c r="M12" s="18" t="s">
        <v>307</v>
      </c>
      <c r="N12" s="18" t="s">
        <v>326</v>
      </c>
      <c r="O12" s="18" t="s">
        <v>327</v>
      </c>
      <c r="P12" s="18" t="s">
        <v>244</v>
      </c>
      <c r="Q12" s="33">
        <f t="shared" si="0"/>
        <v>0.53160000000000007</v>
      </c>
      <c r="R12" s="21">
        <f>COUNTIF(Intervention_Cause_Map!$A$2:$A$19,B12)</f>
        <v>1</v>
      </c>
      <c r="S12" s="21" t="str">
        <f t="shared" si="1"/>
        <v>OK</v>
      </c>
    </row>
    <row r="13" spans="1:19">
      <c r="A13" s="18" t="s">
        <v>329</v>
      </c>
      <c r="B13" s="18" t="s">
        <v>210</v>
      </c>
      <c r="C13" s="18" t="s">
        <v>162</v>
      </c>
      <c r="D13" s="18" t="s">
        <v>166</v>
      </c>
      <c r="E13" s="18" t="s">
        <v>163</v>
      </c>
      <c r="F13" s="18" t="s">
        <v>167</v>
      </c>
      <c r="G13" s="26">
        <v>0.26840000000000003</v>
      </c>
      <c r="H13" s="27"/>
      <c r="I13" s="33">
        <f>IF(H13="",Assumptions!$B$5,H13)</f>
        <v>0.8</v>
      </c>
      <c r="J13" s="36">
        <f>Assumptions!$B$4</f>
        <v>2025</v>
      </c>
      <c r="K13" s="36">
        <f>Assumptions!$B$6</f>
        <v>2050</v>
      </c>
      <c r="L13" s="18" t="s">
        <v>64</v>
      </c>
      <c r="M13" s="18" t="s">
        <v>307</v>
      </c>
      <c r="N13" s="18" t="s">
        <v>326</v>
      </c>
      <c r="O13" s="18" t="s">
        <v>327</v>
      </c>
      <c r="P13" s="18" t="s">
        <v>244</v>
      </c>
      <c r="Q13" s="33">
        <f t="shared" si="0"/>
        <v>0.53160000000000007</v>
      </c>
      <c r="R13" s="21">
        <f>COUNTIF(Intervention_Cause_Map!$A$2:$A$19,B13)</f>
        <v>1</v>
      </c>
      <c r="S13" s="21" t="str">
        <f t="shared" si="1"/>
        <v>OK</v>
      </c>
    </row>
    <row r="14" spans="1:19">
      <c r="A14" s="18" t="s">
        <v>330</v>
      </c>
      <c r="B14" s="18" t="s">
        <v>212</v>
      </c>
      <c r="C14" s="18" t="s">
        <v>168</v>
      </c>
      <c r="D14" s="18" t="s">
        <v>143</v>
      </c>
      <c r="E14" s="18" t="s">
        <v>169</v>
      </c>
      <c r="F14" s="18" t="s">
        <v>144</v>
      </c>
      <c r="G14" s="26">
        <v>0.50249999999999995</v>
      </c>
      <c r="H14" s="27"/>
      <c r="I14" s="33">
        <f>IF(H14="",Assumptions!$B$5,H14)</f>
        <v>0.8</v>
      </c>
      <c r="J14" s="36">
        <f>Assumptions!$B$4</f>
        <v>2025</v>
      </c>
      <c r="K14" s="36">
        <f>Assumptions!$B$6</f>
        <v>2050</v>
      </c>
      <c r="L14" s="18" t="s">
        <v>64</v>
      </c>
      <c r="M14" s="18" t="s">
        <v>307</v>
      </c>
      <c r="N14" s="18" t="s">
        <v>331</v>
      </c>
      <c r="O14" s="18" t="s">
        <v>321</v>
      </c>
      <c r="P14" s="18" t="s">
        <v>244</v>
      </c>
      <c r="Q14" s="33">
        <f t="shared" si="0"/>
        <v>0.2975000000000001</v>
      </c>
      <c r="R14" s="21">
        <f>COUNTIF(Intervention_Cause_Map!$A$2:$A$19,B14)</f>
        <v>1</v>
      </c>
      <c r="S14" s="21" t="str">
        <f t="shared" si="1"/>
        <v>OK</v>
      </c>
    </row>
    <row r="15" spans="1:19">
      <c r="A15" s="18" t="s">
        <v>332</v>
      </c>
      <c r="B15" s="18" t="s">
        <v>213</v>
      </c>
      <c r="C15" s="18" t="s">
        <v>168</v>
      </c>
      <c r="D15" s="18" t="s">
        <v>160</v>
      </c>
      <c r="E15" s="18" t="s">
        <v>169</v>
      </c>
      <c r="F15" s="18" t="s">
        <v>161</v>
      </c>
      <c r="G15" s="26">
        <v>0.50249999999999995</v>
      </c>
      <c r="H15" s="27"/>
      <c r="I15" s="33">
        <f>IF(H15="",Assumptions!$B$5,H15)</f>
        <v>0.8</v>
      </c>
      <c r="J15" s="36">
        <f>Assumptions!$B$4</f>
        <v>2025</v>
      </c>
      <c r="K15" s="36">
        <f>Assumptions!$B$6</f>
        <v>2050</v>
      </c>
      <c r="L15" s="18" t="s">
        <v>64</v>
      </c>
      <c r="M15" s="18" t="s">
        <v>307</v>
      </c>
      <c r="N15" s="18" t="s">
        <v>331</v>
      </c>
      <c r="O15" s="18" t="s">
        <v>321</v>
      </c>
      <c r="P15" s="18" t="s">
        <v>244</v>
      </c>
      <c r="Q15" s="33">
        <f t="shared" si="0"/>
        <v>0.2975000000000001</v>
      </c>
      <c r="R15" s="21">
        <f>COUNTIF(Intervention_Cause_Map!$A$2:$A$19,B15)</f>
        <v>1</v>
      </c>
      <c r="S15" s="21" t="str">
        <f t="shared" si="1"/>
        <v>OK</v>
      </c>
    </row>
    <row r="16" spans="1:19">
      <c r="A16" s="18" t="s">
        <v>333</v>
      </c>
      <c r="B16" s="18" t="s">
        <v>214</v>
      </c>
      <c r="C16" s="18" t="s">
        <v>168</v>
      </c>
      <c r="D16" s="18" t="s">
        <v>166</v>
      </c>
      <c r="E16" s="18" t="s">
        <v>169</v>
      </c>
      <c r="F16" s="18" t="s">
        <v>167</v>
      </c>
      <c r="G16" s="26">
        <v>0.50249999999999995</v>
      </c>
      <c r="H16" s="27"/>
      <c r="I16" s="33">
        <f>IF(H16="",Assumptions!$B$5,H16)</f>
        <v>0.8</v>
      </c>
      <c r="J16" s="36">
        <f>Assumptions!$B$4</f>
        <v>2025</v>
      </c>
      <c r="K16" s="36">
        <f>Assumptions!$B$6</f>
        <v>2050</v>
      </c>
      <c r="L16" s="18" t="s">
        <v>64</v>
      </c>
      <c r="M16" s="18" t="s">
        <v>307</v>
      </c>
      <c r="N16" s="18" t="s">
        <v>331</v>
      </c>
      <c r="O16" s="18" t="s">
        <v>321</v>
      </c>
      <c r="P16" s="18" t="s">
        <v>244</v>
      </c>
      <c r="Q16" s="33">
        <f t="shared" si="0"/>
        <v>0.2975000000000001</v>
      </c>
      <c r="R16" s="21">
        <f>COUNTIF(Intervention_Cause_Map!$A$2:$A$19,B16)</f>
        <v>1</v>
      </c>
      <c r="S16" s="21" t="str">
        <f t="shared" si="1"/>
        <v>OK</v>
      </c>
    </row>
    <row r="17" spans="1:19">
      <c r="A17" s="18" t="s">
        <v>334</v>
      </c>
      <c r="B17" s="18" t="s">
        <v>215</v>
      </c>
      <c r="C17" s="18" t="s">
        <v>174</v>
      </c>
      <c r="D17" s="18" t="s">
        <v>171</v>
      </c>
      <c r="E17" s="18" t="s">
        <v>175</v>
      </c>
      <c r="F17" s="18" t="s">
        <v>172</v>
      </c>
      <c r="G17" s="38">
        <v>0.21299999999999999</v>
      </c>
      <c r="H17" s="27"/>
      <c r="I17" s="33">
        <f>IF(H17="",Assumptions!$B$5,H17)</f>
        <v>0.8</v>
      </c>
      <c r="J17" s="36">
        <f>Assumptions!$B$4</f>
        <v>2025</v>
      </c>
      <c r="K17" s="36">
        <f>Assumptions!$B$6</f>
        <v>2050</v>
      </c>
      <c r="L17" s="18" t="s">
        <v>64</v>
      </c>
      <c r="M17" s="18" t="s">
        <v>307</v>
      </c>
      <c r="N17" s="18" t="s">
        <v>335</v>
      </c>
      <c r="O17" s="18" t="s">
        <v>336</v>
      </c>
      <c r="P17" s="18" t="s">
        <v>244</v>
      </c>
      <c r="Q17" s="33">
        <f t="shared" si="0"/>
        <v>0.58700000000000008</v>
      </c>
      <c r="R17" s="21">
        <f>COUNTIF(Intervention_Cause_Map!$A$2:$A$19,B17)</f>
        <v>1</v>
      </c>
      <c r="S17" s="21" t="str">
        <f t="shared" si="1"/>
        <v>OK</v>
      </c>
    </row>
    <row r="18" spans="1:19" ht="22.8" customHeight="1">
      <c r="A18" s="5" t="s">
        <v>337</v>
      </c>
      <c r="B18" s="5" t="s">
        <v>217</v>
      </c>
      <c r="C18" s="5" t="s">
        <v>174</v>
      </c>
      <c r="D18" s="5" t="s">
        <v>143</v>
      </c>
      <c r="E18" s="5" t="s">
        <v>175</v>
      </c>
      <c r="F18" s="5" t="s">
        <v>218</v>
      </c>
      <c r="G18" s="38">
        <v>0.21299999999999999</v>
      </c>
      <c r="H18" s="27"/>
      <c r="I18" s="34">
        <f>IF(H18="",Assumptions!$B$5,H18)</f>
        <v>0.8</v>
      </c>
      <c r="J18" s="37">
        <f>Assumptions!$B$4</f>
        <v>2025</v>
      </c>
      <c r="K18" s="37">
        <f>Assumptions!$B$6</f>
        <v>2050</v>
      </c>
      <c r="L18" s="5" t="s">
        <v>64</v>
      </c>
      <c r="M18" s="5" t="s">
        <v>307</v>
      </c>
      <c r="N18" s="5" t="s">
        <v>335</v>
      </c>
      <c r="O18" s="5" t="s">
        <v>338</v>
      </c>
      <c r="P18" s="5" t="s">
        <v>244</v>
      </c>
      <c r="Q18" s="34">
        <f t="shared" si="0"/>
        <v>0.58700000000000008</v>
      </c>
      <c r="R18" s="22">
        <f>COUNTIF(Intervention_Cause_Map!$A$2:$A$19,B18)</f>
        <v>1</v>
      </c>
      <c r="S18" s="22" t="str">
        <f t="shared" si="1"/>
        <v>OK</v>
      </c>
    </row>
    <row r="19" spans="1:19">
      <c r="A19" s="18" t="s">
        <v>670</v>
      </c>
      <c r="B19" s="18" t="s">
        <v>664</v>
      </c>
      <c r="C19" s="18" t="s">
        <v>661</v>
      </c>
      <c r="D19" s="18" t="s">
        <v>143</v>
      </c>
      <c r="E19" s="18" t="s">
        <v>614</v>
      </c>
      <c r="F19" s="18" t="s">
        <v>144</v>
      </c>
      <c r="G19" s="38">
        <v>0.2</v>
      </c>
      <c r="H19" s="27"/>
      <c r="I19" s="33">
        <f>IF(H19="",Assumptions!$B$5,H19)</f>
        <v>0.8</v>
      </c>
      <c r="J19" s="36">
        <f>Assumptions!$B$4</f>
        <v>2025</v>
      </c>
      <c r="K19" s="36">
        <f>Assumptions!$B$6</f>
        <v>2050</v>
      </c>
      <c r="L19" s="18" t="s">
        <v>64</v>
      </c>
      <c r="M19" s="18" t="s">
        <v>671</v>
      </c>
      <c r="N19" s="18" t="s">
        <v>442</v>
      </c>
      <c r="O19" s="18" t="s">
        <v>672</v>
      </c>
      <c r="P19" s="18" t="s">
        <v>244</v>
      </c>
      <c r="Q19" s="33">
        <f>IF(G19="","",I19-G19)</f>
        <v>0.60000000000000009</v>
      </c>
      <c r="R19" s="21">
        <f>COUNTIF(Intervention_Cause_Map!$A$2:$A$19,B19)</f>
        <v>1</v>
      </c>
      <c r="S19" s="21" t="str">
        <f>IF(R19&lt;&gt;1,"BAD KEY",IF(G19="","MISSING BASELINE",IF(OR(G19&lt;0,G19&gt;1,I19&lt;0,I19&gt;1,I19&lt;G19),"BAD COVERAGE","OK")))</f>
        <v>OK</v>
      </c>
    </row>
  </sheetData>
  <conditionalFormatting sqref="P2:P19">
    <cfRule type="containsText" dxfId="23" priority="1" operator="containsText" text="OK"/>
    <cfRule type="containsText" dxfId="22" priority="3" operator="containsText" text="FAIL"/>
    <cfRule type="containsText" dxfId="21" priority="5" operator="containsText" text="REVIEW"/>
    <cfRule type="containsText" dxfId="20" priority="6" operator="containsText" text="BAD"/>
  </conditionalFormatting>
  <conditionalFormatting sqref="S2:S19">
    <cfRule type="containsText" dxfId="19" priority="7" operator="containsText" text="OK"/>
    <cfRule type="containsText" dxfId="18" priority="9" operator="containsText" text="FAIL"/>
    <cfRule type="containsText" dxfId="17" priority="11" operator="containsText" text="REVIEW"/>
    <cfRule type="containsText" dxfId="16" priority="12" operator="containsText" text="BAD"/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C43"/>
  <sheetViews>
    <sheetView showGridLines="0" topLeftCell="L1" zoomScaleNormal="100" workbookViewId="0">
      <selection activeCell="S15" sqref="S15"/>
    </sheetView>
  </sheetViews>
  <sheetFormatPr defaultColWidth="11.19921875" defaultRowHeight="13.8"/>
  <cols>
    <col min="1" max="1" width="24" customWidth="1"/>
    <col min="2" max="2" width="34" customWidth="1"/>
    <col min="3" max="3" width="20" customWidth="1"/>
    <col min="4" max="5" width="22" customWidth="1"/>
    <col min="6" max="6" width="14" customWidth="1"/>
    <col min="7" max="7" width="30" customWidth="1"/>
    <col min="8" max="8" width="38" customWidth="1"/>
    <col min="9" max="9" width="34" customWidth="1"/>
    <col min="10" max="10" width="52" customWidth="1"/>
    <col min="11" max="11" width="25" customWidth="1"/>
    <col min="12" max="13" width="24" customWidth="1"/>
    <col min="14" max="14" width="18" customWidth="1"/>
    <col min="15" max="16" width="12" customWidth="1"/>
    <col min="17" max="17" width="10" customWidth="1"/>
    <col min="18" max="19" width="18" customWidth="1"/>
    <col min="20" max="20" width="14" customWidth="1"/>
    <col min="21" max="21" width="22" customWidth="1"/>
    <col min="22" max="22" width="18" customWidth="1"/>
    <col min="23" max="23" width="30" customWidth="1"/>
    <col min="24" max="25" width="18" customWidth="1"/>
    <col min="26" max="26" width="58" customWidth="1"/>
    <col min="27" max="28" width="16" customWidth="1"/>
    <col min="29" max="29" width="22" customWidth="1"/>
  </cols>
  <sheetData>
    <row r="1" spans="1:29" ht="34.049999999999997" customHeight="1">
      <c r="A1" s="14" t="s">
        <v>339</v>
      </c>
      <c r="B1" s="15" t="s">
        <v>340</v>
      </c>
      <c r="C1" s="15" t="s">
        <v>341</v>
      </c>
      <c r="D1" s="15" t="s">
        <v>342</v>
      </c>
      <c r="E1" s="15" t="s">
        <v>127</v>
      </c>
      <c r="F1" s="15" t="s">
        <v>131</v>
      </c>
      <c r="G1" s="15" t="s">
        <v>184</v>
      </c>
      <c r="H1" s="15" t="s">
        <v>128</v>
      </c>
      <c r="I1" s="15" t="s">
        <v>132</v>
      </c>
      <c r="J1" s="15" t="s">
        <v>343</v>
      </c>
      <c r="K1" s="15" t="s">
        <v>344</v>
      </c>
      <c r="L1" s="15" t="s">
        <v>345</v>
      </c>
      <c r="M1" s="15" t="s">
        <v>346</v>
      </c>
      <c r="N1" s="15" t="s">
        <v>347</v>
      </c>
      <c r="O1" s="15" t="s">
        <v>226</v>
      </c>
      <c r="P1" s="15" t="s">
        <v>227</v>
      </c>
      <c r="Q1" s="15" t="s">
        <v>228</v>
      </c>
      <c r="R1" s="15" t="s">
        <v>348</v>
      </c>
      <c r="S1" s="15" t="s">
        <v>349</v>
      </c>
      <c r="T1" s="15" t="s">
        <v>350</v>
      </c>
      <c r="U1" s="15" t="s">
        <v>351</v>
      </c>
      <c r="V1" s="15" t="s">
        <v>352</v>
      </c>
      <c r="W1" s="15" t="s">
        <v>231</v>
      </c>
      <c r="X1" s="15" t="s">
        <v>232</v>
      </c>
      <c r="Y1" s="15" t="s">
        <v>233</v>
      </c>
      <c r="Z1" s="15" t="s">
        <v>187</v>
      </c>
      <c r="AA1" s="15" t="s">
        <v>234</v>
      </c>
      <c r="AB1" s="15" t="s">
        <v>353</v>
      </c>
      <c r="AC1" s="16" t="s">
        <v>235</v>
      </c>
    </row>
    <row r="2" spans="1:29">
      <c r="A2" s="17" t="s">
        <v>354</v>
      </c>
      <c r="B2" s="17" t="s">
        <v>355</v>
      </c>
      <c r="C2" s="17" t="s">
        <v>356</v>
      </c>
      <c r="D2" s="29">
        <v>1</v>
      </c>
      <c r="E2" s="17" t="s">
        <v>135</v>
      </c>
      <c r="F2" s="17" t="s">
        <v>139</v>
      </c>
      <c r="G2" s="17" t="s">
        <v>189</v>
      </c>
      <c r="H2" s="17" t="s">
        <v>136</v>
      </c>
      <c r="I2" s="17" t="s">
        <v>137</v>
      </c>
      <c r="J2" s="17" t="s">
        <v>357</v>
      </c>
      <c r="K2" s="17" t="s">
        <v>358</v>
      </c>
      <c r="L2" s="27">
        <v>1</v>
      </c>
      <c r="M2" s="17" t="s">
        <v>359</v>
      </c>
      <c r="N2" s="29">
        <v>1</v>
      </c>
      <c r="O2" s="23">
        <v>5</v>
      </c>
      <c r="P2" s="23">
        <v>39</v>
      </c>
      <c r="Q2" s="17" t="s">
        <v>240</v>
      </c>
      <c r="R2" s="17" t="s">
        <v>360</v>
      </c>
      <c r="S2" s="42">
        <v>68.174792999999994</v>
      </c>
      <c r="T2" s="39">
        <v>2023</v>
      </c>
      <c r="U2" s="17">
        <v>1</v>
      </c>
      <c r="V2" s="17" t="s">
        <v>361</v>
      </c>
      <c r="W2" s="17" t="s">
        <v>59</v>
      </c>
      <c r="X2" s="17" t="s">
        <v>362</v>
      </c>
      <c r="Y2" s="17" t="s">
        <v>244</v>
      </c>
      <c r="Z2" s="17" t="s">
        <v>363</v>
      </c>
      <c r="AA2" s="20">
        <f>COUNTIF(Intervention_Cause_Map!$I$2:$I$19,G2)</f>
        <v>1</v>
      </c>
      <c r="AB2" s="20">
        <f t="shared" ref="AB2:AB38" si="0">SUMIF($B$2:$B$38,B2,$D$2:$D$38)</f>
        <v>1</v>
      </c>
      <c r="AC2" s="20" t="str">
        <f t="shared" ref="AC2:AC38" si="1">IF(AA2&lt;1,"BAD KEY",IF(S2="","MISSING COST",IF(U2=0,"REVIEW ADJUSTMENT",IF(AB2&lt;&gt;1,"CHECK SELECTION","OK"))))</f>
        <v>OK</v>
      </c>
    </row>
    <row r="3" spans="1:29">
      <c r="A3" s="18" t="s">
        <v>364</v>
      </c>
      <c r="B3" s="18" t="s">
        <v>365</v>
      </c>
      <c r="C3" s="18" t="s">
        <v>356</v>
      </c>
      <c r="D3" s="30">
        <v>1</v>
      </c>
      <c r="E3" s="18" t="s">
        <v>140</v>
      </c>
      <c r="F3" s="18" t="s">
        <v>139</v>
      </c>
      <c r="G3" s="18" t="s">
        <v>192</v>
      </c>
      <c r="H3" s="18" t="s">
        <v>141</v>
      </c>
      <c r="I3" s="18" t="s">
        <v>137</v>
      </c>
      <c r="J3" s="18" t="s">
        <v>366</v>
      </c>
      <c r="K3" s="18" t="s">
        <v>358</v>
      </c>
      <c r="L3" s="26">
        <f>10%*0.41</f>
        <v>4.1000000000000002E-2</v>
      </c>
      <c r="M3" s="18" t="s">
        <v>367</v>
      </c>
      <c r="N3" s="30">
        <f>Assumptions!$B$13</f>
        <v>1</v>
      </c>
      <c r="O3" s="24">
        <v>5</v>
      </c>
      <c r="P3" s="24">
        <v>40</v>
      </c>
      <c r="Q3" s="18" t="s">
        <v>240</v>
      </c>
      <c r="R3" s="18" t="s">
        <v>368</v>
      </c>
      <c r="S3" s="42">
        <v>3766.310954</v>
      </c>
      <c r="T3" s="40">
        <v>2023</v>
      </c>
      <c r="U3" s="18">
        <v>1</v>
      </c>
      <c r="V3" s="18" t="s">
        <v>361</v>
      </c>
      <c r="W3" s="18" t="s">
        <v>59</v>
      </c>
      <c r="X3" s="18" t="s">
        <v>369</v>
      </c>
      <c r="Y3" s="18" t="s">
        <v>23</v>
      </c>
      <c r="Z3" s="18" t="s">
        <v>370</v>
      </c>
      <c r="AA3" s="21">
        <f>COUNTIF(Intervention_Cause_Map!$I$2:$I$19,G3)</f>
        <v>1</v>
      </c>
      <c r="AB3" s="21">
        <f t="shared" si="0"/>
        <v>1</v>
      </c>
      <c r="AC3" s="21" t="str">
        <f t="shared" si="1"/>
        <v>OK</v>
      </c>
    </row>
    <row r="4" spans="1:29">
      <c r="A4" s="18" t="s">
        <v>371</v>
      </c>
      <c r="B4" s="18" t="s">
        <v>372</v>
      </c>
      <c r="C4" s="18" t="s">
        <v>373</v>
      </c>
      <c r="D4" s="30">
        <v>1</v>
      </c>
      <c r="E4" s="18" t="s">
        <v>145</v>
      </c>
      <c r="F4" s="18" t="s">
        <v>178</v>
      </c>
      <c r="G4" s="18" t="s">
        <v>195</v>
      </c>
      <c r="H4" s="18" t="s">
        <v>146</v>
      </c>
      <c r="I4" s="18" t="s">
        <v>374</v>
      </c>
      <c r="J4" s="18" t="s">
        <v>375</v>
      </c>
      <c r="K4" s="18" t="s">
        <v>376</v>
      </c>
      <c r="L4" s="26">
        <v>0.2</v>
      </c>
      <c r="M4" s="18" t="s">
        <v>377</v>
      </c>
      <c r="N4" s="30">
        <v>1</v>
      </c>
      <c r="O4" s="24">
        <v>30</v>
      </c>
      <c r="P4" s="24">
        <v>95</v>
      </c>
      <c r="Q4" s="18" t="s">
        <v>240</v>
      </c>
      <c r="R4" s="18" t="s">
        <v>360</v>
      </c>
      <c r="S4" s="42">
        <v>1.2915840000000001</v>
      </c>
      <c r="T4" s="40">
        <v>2023</v>
      </c>
      <c r="U4" s="18">
        <v>1</v>
      </c>
      <c r="V4" s="18" t="s">
        <v>378</v>
      </c>
      <c r="W4" s="18" t="s">
        <v>59</v>
      </c>
      <c r="X4" s="18" t="s">
        <v>379</v>
      </c>
      <c r="Y4" s="18" t="s">
        <v>23</v>
      </c>
      <c r="Z4" s="18" t="s">
        <v>380</v>
      </c>
      <c r="AA4" s="21">
        <f>COUNTIF(Intervention_Cause_Map!$I$2:$I$19,G4)</f>
        <v>4</v>
      </c>
      <c r="AB4" s="21">
        <f t="shared" si="0"/>
        <v>1</v>
      </c>
      <c r="AC4" s="21" t="str">
        <f t="shared" si="1"/>
        <v>OK</v>
      </c>
    </row>
    <row r="5" spans="1:29">
      <c r="A5" s="18" t="s">
        <v>381</v>
      </c>
      <c r="B5" s="18" t="s">
        <v>372</v>
      </c>
      <c r="C5" s="18" t="s">
        <v>382</v>
      </c>
      <c r="D5" s="30">
        <v>0</v>
      </c>
      <c r="E5" s="18" t="s">
        <v>145</v>
      </c>
      <c r="F5" s="18" t="s">
        <v>178</v>
      </c>
      <c r="G5" s="18" t="s">
        <v>195</v>
      </c>
      <c r="H5" s="18" t="s">
        <v>146</v>
      </c>
      <c r="I5" s="18" t="s">
        <v>374</v>
      </c>
      <c r="J5" s="18" t="s">
        <v>375</v>
      </c>
      <c r="K5" s="18" t="s">
        <v>376</v>
      </c>
      <c r="L5" s="26">
        <v>0.2</v>
      </c>
      <c r="M5" s="18" t="s">
        <v>377</v>
      </c>
      <c r="N5" s="30">
        <v>1</v>
      </c>
      <c r="O5" s="24">
        <v>30</v>
      </c>
      <c r="P5" s="24">
        <v>95</v>
      </c>
      <c r="Q5" s="18" t="s">
        <v>240</v>
      </c>
      <c r="R5" s="18" t="s">
        <v>360</v>
      </c>
      <c r="S5" s="42">
        <v>2.7665220000000001</v>
      </c>
      <c r="T5" s="40">
        <v>2023</v>
      </c>
      <c r="U5" s="18">
        <v>1</v>
      </c>
      <c r="V5" s="18" t="s">
        <v>378</v>
      </c>
      <c r="W5" s="18" t="s">
        <v>59</v>
      </c>
      <c r="X5" s="18" t="s">
        <v>383</v>
      </c>
      <c r="Y5" s="18" t="s">
        <v>384</v>
      </c>
      <c r="Z5" s="18" t="s">
        <v>385</v>
      </c>
      <c r="AA5" s="21">
        <f>COUNTIF(Intervention_Cause_Map!$I$2:$I$19,G5)</f>
        <v>4</v>
      </c>
      <c r="AB5" s="21">
        <f t="shared" si="0"/>
        <v>1</v>
      </c>
      <c r="AC5" s="21" t="str">
        <f t="shared" si="1"/>
        <v>OK</v>
      </c>
    </row>
    <row r="6" spans="1:29">
      <c r="A6" s="18" t="s">
        <v>386</v>
      </c>
      <c r="B6" s="18" t="s">
        <v>387</v>
      </c>
      <c r="C6" s="18" t="s">
        <v>373</v>
      </c>
      <c r="D6" s="30">
        <v>1</v>
      </c>
      <c r="E6" s="18" t="s">
        <v>145</v>
      </c>
      <c r="F6" s="18" t="s">
        <v>178</v>
      </c>
      <c r="G6" s="18" t="s">
        <v>195</v>
      </c>
      <c r="H6" s="18" t="s">
        <v>146</v>
      </c>
      <c r="I6" s="18" t="s">
        <v>374</v>
      </c>
      <c r="J6" s="18" t="s">
        <v>388</v>
      </c>
      <c r="K6" s="18" t="s">
        <v>376</v>
      </c>
      <c r="L6" s="38">
        <v>0.3</v>
      </c>
      <c r="M6" s="18" t="s">
        <v>377</v>
      </c>
      <c r="N6" s="30">
        <v>1</v>
      </c>
      <c r="O6" s="24">
        <v>30</v>
      </c>
      <c r="P6" s="24">
        <v>95</v>
      </c>
      <c r="Q6" s="18" t="s">
        <v>240</v>
      </c>
      <c r="R6" s="18" t="s">
        <v>360</v>
      </c>
      <c r="S6" s="42">
        <v>69.304995000000005</v>
      </c>
      <c r="T6" s="40">
        <v>2023</v>
      </c>
      <c r="U6" s="18">
        <v>1</v>
      </c>
      <c r="V6" s="18" t="s">
        <v>378</v>
      </c>
      <c r="W6" s="18" t="s">
        <v>59</v>
      </c>
      <c r="X6" s="18" t="s">
        <v>389</v>
      </c>
      <c r="Y6" s="18" t="s">
        <v>23</v>
      </c>
      <c r="Z6" s="18" t="s">
        <v>380</v>
      </c>
      <c r="AA6" s="21">
        <f>COUNTIF(Intervention_Cause_Map!$I$2:$I$19,G6)</f>
        <v>4</v>
      </c>
      <c r="AB6" s="21">
        <f t="shared" si="0"/>
        <v>1</v>
      </c>
      <c r="AC6" s="21" t="str">
        <f t="shared" si="1"/>
        <v>OK</v>
      </c>
    </row>
    <row r="7" spans="1:29">
      <c r="A7" s="18" t="s">
        <v>390</v>
      </c>
      <c r="B7" s="18" t="s">
        <v>387</v>
      </c>
      <c r="C7" s="18" t="s">
        <v>382</v>
      </c>
      <c r="D7" s="30">
        <v>0</v>
      </c>
      <c r="E7" s="18" t="s">
        <v>145</v>
      </c>
      <c r="F7" s="18" t="s">
        <v>178</v>
      </c>
      <c r="G7" s="18" t="s">
        <v>195</v>
      </c>
      <c r="H7" s="18" t="s">
        <v>146</v>
      </c>
      <c r="I7" s="18" t="s">
        <v>374</v>
      </c>
      <c r="J7" s="18" t="s">
        <v>388</v>
      </c>
      <c r="K7" s="18" t="s">
        <v>376</v>
      </c>
      <c r="L7" s="38">
        <v>0.3</v>
      </c>
      <c r="M7" s="18" t="s">
        <v>377</v>
      </c>
      <c r="N7" s="30">
        <v>1</v>
      </c>
      <c r="O7" s="24">
        <v>30</v>
      </c>
      <c r="P7" s="24">
        <v>95</v>
      </c>
      <c r="Q7" s="18" t="s">
        <v>240</v>
      </c>
      <c r="R7" s="18" t="s">
        <v>360</v>
      </c>
      <c r="S7" s="42">
        <v>40.487718999999998</v>
      </c>
      <c r="T7" s="40">
        <v>2023</v>
      </c>
      <c r="U7" s="18">
        <v>1</v>
      </c>
      <c r="V7" s="18" t="s">
        <v>378</v>
      </c>
      <c r="W7" s="18" t="s">
        <v>59</v>
      </c>
      <c r="X7" s="18" t="s">
        <v>391</v>
      </c>
      <c r="Y7" s="18" t="s">
        <v>384</v>
      </c>
      <c r="Z7" s="18" t="s">
        <v>385</v>
      </c>
      <c r="AA7" s="21">
        <f>COUNTIF(Intervention_Cause_Map!$I$2:$I$19,G7)</f>
        <v>4</v>
      </c>
      <c r="AB7" s="21">
        <f t="shared" si="0"/>
        <v>1</v>
      </c>
      <c r="AC7" s="21" t="str">
        <f t="shared" si="1"/>
        <v>OK</v>
      </c>
    </row>
    <row r="8" spans="1:29">
      <c r="A8" s="18" t="s">
        <v>392</v>
      </c>
      <c r="B8" s="18" t="s">
        <v>393</v>
      </c>
      <c r="C8" s="18" t="s">
        <v>373</v>
      </c>
      <c r="D8" s="30">
        <v>1</v>
      </c>
      <c r="E8" s="18" t="s">
        <v>151</v>
      </c>
      <c r="F8" s="18" t="s">
        <v>143</v>
      </c>
      <c r="G8" s="18" t="s">
        <v>201</v>
      </c>
      <c r="H8" s="18" t="s">
        <v>152</v>
      </c>
      <c r="I8" s="18" t="s">
        <v>144</v>
      </c>
      <c r="J8" s="18" t="s">
        <v>394</v>
      </c>
      <c r="K8" s="18" t="s">
        <v>395</v>
      </c>
      <c r="L8" s="26">
        <v>0.52</v>
      </c>
      <c r="M8" s="18" t="s">
        <v>396</v>
      </c>
      <c r="N8" s="30">
        <v>1</v>
      </c>
      <c r="O8" s="62">
        <v>30</v>
      </c>
      <c r="P8" s="24">
        <v>95</v>
      </c>
      <c r="Q8" s="18" t="s">
        <v>240</v>
      </c>
      <c r="R8" s="18" t="s">
        <v>368</v>
      </c>
      <c r="S8" s="42">
        <v>9.9999999999999995E-8</v>
      </c>
      <c r="T8" s="40">
        <v>2023</v>
      </c>
      <c r="U8" s="18">
        <v>1</v>
      </c>
      <c r="V8" s="18" t="s">
        <v>378</v>
      </c>
      <c r="W8" s="18" t="s">
        <v>59</v>
      </c>
      <c r="X8" s="18" t="s">
        <v>397</v>
      </c>
      <c r="Y8" s="18" t="s">
        <v>23</v>
      </c>
      <c r="Z8" s="18" t="s">
        <v>398</v>
      </c>
      <c r="AA8" s="21">
        <f>COUNTIF(Intervention_Cause_Map!$I$2:$I$19,G8)</f>
        <v>1</v>
      </c>
      <c r="AB8" s="21">
        <f t="shared" si="0"/>
        <v>1</v>
      </c>
      <c r="AC8" s="21" t="str">
        <f t="shared" si="1"/>
        <v>OK</v>
      </c>
    </row>
    <row r="9" spans="1:29">
      <c r="A9" s="18" t="s">
        <v>399</v>
      </c>
      <c r="B9" s="18" t="s">
        <v>393</v>
      </c>
      <c r="C9" s="18" t="s">
        <v>382</v>
      </c>
      <c r="D9" s="30">
        <v>0</v>
      </c>
      <c r="E9" s="18" t="s">
        <v>151</v>
      </c>
      <c r="F9" s="18" t="s">
        <v>143</v>
      </c>
      <c r="G9" s="18" t="s">
        <v>201</v>
      </c>
      <c r="H9" s="18" t="s">
        <v>152</v>
      </c>
      <c r="I9" s="18" t="s">
        <v>144</v>
      </c>
      <c r="J9" s="18" t="s">
        <v>394</v>
      </c>
      <c r="K9" s="18" t="s">
        <v>395</v>
      </c>
      <c r="L9" s="26">
        <v>0.52</v>
      </c>
      <c r="M9" s="18" t="s">
        <v>396</v>
      </c>
      <c r="N9" s="30">
        <v>1</v>
      </c>
      <c r="O9" s="62">
        <v>30</v>
      </c>
      <c r="P9" s="24">
        <v>95</v>
      </c>
      <c r="Q9" s="18" t="s">
        <v>240</v>
      </c>
      <c r="R9" s="18" t="s">
        <v>368</v>
      </c>
      <c r="S9" s="42">
        <v>9.9999999999999995E-8</v>
      </c>
      <c r="T9" s="40">
        <v>2023</v>
      </c>
      <c r="U9" s="18">
        <v>1</v>
      </c>
      <c r="V9" s="18" t="s">
        <v>378</v>
      </c>
      <c r="W9" s="18" t="s">
        <v>59</v>
      </c>
      <c r="X9" s="18" t="s">
        <v>400</v>
      </c>
      <c r="Y9" s="18" t="s">
        <v>384</v>
      </c>
      <c r="Z9" s="18" t="s">
        <v>385</v>
      </c>
      <c r="AA9" s="21">
        <f>COUNTIF(Intervention_Cause_Map!$I$2:$I$19,G9)</f>
        <v>1</v>
      </c>
      <c r="AB9" s="21">
        <f t="shared" si="0"/>
        <v>1</v>
      </c>
      <c r="AC9" s="21" t="str">
        <f t="shared" si="1"/>
        <v>OK</v>
      </c>
    </row>
    <row r="10" spans="1:29">
      <c r="A10" s="18" t="s">
        <v>401</v>
      </c>
      <c r="B10" s="18" t="s">
        <v>402</v>
      </c>
      <c r="C10" s="18" t="s">
        <v>356</v>
      </c>
      <c r="D10" s="30">
        <v>1</v>
      </c>
      <c r="E10" s="18" t="s">
        <v>151</v>
      </c>
      <c r="F10" s="18" t="s">
        <v>143</v>
      </c>
      <c r="G10" s="18" t="s">
        <v>201</v>
      </c>
      <c r="H10" s="18" t="s">
        <v>152</v>
      </c>
      <c r="I10" s="18" t="s">
        <v>144</v>
      </c>
      <c r="J10" s="18" t="s">
        <v>403</v>
      </c>
      <c r="K10" s="18" t="s">
        <v>358</v>
      </c>
      <c r="L10" s="26">
        <v>1</v>
      </c>
      <c r="M10" s="18" t="s">
        <v>359</v>
      </c>
      <c r="N10" s="30">
        <v>1</v>
      </c>
      <c r="O10" s="62">
        <v>30</v>
      </c>
      <c r="P10" s="24">
        <v>95</v>
      </c>
      <c r="Q10" s="18" t="s">
        <v>240</v>
      </c>
      <c r="R10" s="18" t="s">
        <v>368</v>
      </c>
      <c r="S10" s="42">
        <v>77.628668000000005</v>
      </c>
      <c r="T10" s="40">
        <v>2023</v>
      </c>
      <c r="U10" s="18">
        <v>1</v>
      </c>
      <c r="V10" s="18" t="s">
        <v>378</v>
      </c>
      <c r="W10" s="18" t="s">
        <v>59</v>
      </c>
      <c r="X10" s="18" t="s">
        <v>404</v>
      </c>
      <c r="Y10" s="18" t="s">
        <v>244</v>
      </c>
      <c r="Z10" s="18" t="s">
        <v>405</v>
      </c>
      <c r="AA10" s="21">
        <f>COUNTIF(Intervention_Cause_Map!$I$2:$I$19,G10)</f>
        <v>1</v>
      </c>
      <c r="AB10" s="21">
        <f t="shared" si="0"/>
        <v>1</v>
      </c>
      <c r="AC10" s="21" t="str">
        <f t="shared" si="1"/>
        <v>OK</v>
      </c>
    </row>
    <row r="11" spans="1:29">
      <c r="A11" s="18" t="s">
        <v>406</v>
      </c>
      <c r="B11" s="18" t="s">
        <v>407</v>
      </c>
      <c r="C11" s="18" t="s">
        <v>356</v>
      </c>
      <c r="D11" s="30">
        <v>1</v>
      </c>
      <c r="E11" s="18" t="s">
        <v>151</v>
      </c>
      <c r="F11" s="18" t="s">
        <v>143</v>
      </c>
      <c r="G11" s="18" t="s">
        <v>201</v>
      </c>
      <c r="H11" s="18" t="s">
        <v>152</v>
      </c>
      <c r="I11" s="18" t="s">
        <v>144</v>
      </c>
      <c r="J11" s="18" t="s">
        <v>408</v>
      </c>
      <c r="K11" s="18" t="s">
        <v>358</v>
      </c>
      <c r="L11" s="26">
        <v>1</v>
      </c>
      <c r="M11" s="18" t="s">
        <v>359</v>
      </c>
      <c r="N11" s="30">
        <v>1</v>
      </c>
      <c r="O11" s="62">
        <v>30</v>
      </c>
      <c r="P11" s="24">
        <v>95</v>
      </c>
      <c r="Q11" s="18" t="s">
        <v>240</v>
      </c>
      <c r="R11" s="18" t="s">
        <v>368</v>
      </c>
      <c r="S11" s="42">
        <v>213.29056800000001</v>
      </c>
      <c r="T11" s="40">
        <v>2023</v>
      </c>
      <c r="U11" s="18">
        <v>1</v>
      </c>
      <c r="V11" s="18" t="s">
        <v>409</v>
      </c>
      <c r="W11" s="18" t="s">
        <v>59</v>
      </c>
      <c r="X11" s="18" t="s">
        <v>410</v>
      </c>
      <c r="Y11" s="18" t="s">
        <v>244</v>
      </c>
      <c r="Z11" s="18"/>
      <c r="AA11" s="21">
        <f>COUNTIF(Intervention_Cause_Map!$I$2:$I$19,G11)</f>
        <v>1</v>
      </c>
      <c r="AB11" s="21">
        <f t="shared" si="0"/>
        <v>1</v>
      </c>
      <c r="AC11" s="21" t="str">
        <f t="shared" si="1"/>
        <v>OK</v>
      </c>
    </row>
    <row r="12" spans="1:29">
      <c r="A12" s="18" t="s">
        <v>411</v>
      </c>
      <c r="B12" s="18" t="s">
        <v>412</v>
      </c>
      <c r="C12" s="18" t="s">
        <v>356</v>
      </c>
      <c r="D12" s="30">
        <v>1</v>
      </c>
      <c r="E12" s="18" t="s">
        <v>157</v>
      </c>
      <c r="F12" s="18" t="s">
        <v>149</v>
      </c>
      <c r="G12" s="18" t="s">
        <v>203</v>
      </c>
      <c r="H12" s="18" t="s">
        <v>158</v>
      </c>
      <c r="I12" s="18" t="s">
        <v>150</v>
      </c>
      <c r="J12" s="18" t="s">
        <v>394</v>
      </c>
      <c r="K12" s="18" t="s">
        <v>395</v>
      </c>
      <c r="L12" s="26">
        <v>0.52</v>
      </c>
      <c r="M12" s="18" t="s">
        <v>396</v>
      </c>
      <c r="N12" s="30">
        <v>1</v>
      </c>
      <c r="O12" s="24">
        <v>30</v>
      </c>
      <c r="P12" s="24">
        <v>95</v>
      </c>
      <c r="Q12" s="18" t="s">
        <v>240</v>
      </c>
      <c r="R12" s="18" t="s">
        <v>368</v>
      </c>
      <c r="S12" s="42">
        <v>574.50203999999997</v>
      </c>
      <c r="T12" s="40">
        <v>2023</v>
      </c>
      <c r="U12" s="18">
        <v>1</v>
      </c>
      <c r="V12" s="18" t="s">
        <v>409</v>
      </c>
      <c r="W12" s="18" t="s">
        <v>59</v>
      </c>
      <c r="X12" s="18" t="s">
        <v>413</v>
      </c>
      <c r="Y12" s="18" t="s">
        <v>244</v>
      </c>
      <c r="Z12" s="18"/>
      <c r="AA12" s="21">
        <f>COUNTIF(Intervention_Cause_Map!$I$2:$I$19,G12)</f>
        <v>1</v>
      </c>
      <c r="AB12" s="21">
        <f t="shared" si="0"/>
        <v>1</v>
      </c>
      <c r="AC12" s="21" t="str">
        <f t="shared" si="1"/>
        <v>OK</v>
      </c>
    </row>
    <row r="13" spans="1:29">
      <c r="A13" s="18" t="s">
        <v>414</v>
      </c>
      <c r="B13" s="18" t="s">
        <v>415</v>
      </c>
      <c r="C13" s="18" t="s">
        <v>373</v>
      </c>
      <c r="D13" s="30">
        <v>1</v>
      </c>
      <c r="E13" s="18" t="s">
        <v>157</v>
      </c>
      <c r="F13" s="18" t="s">
        <v>149</v>
      </c>
      <c r="G13" s="18" t="s">
        <v>203</v>
      </c>
      <c r="H13" s="18" t="s">
        <v>158</v>
      </c>
      <c r="I13" s="18" t="s">
        <v>150</v>
      </c>
      <c r="J13" s="18" t="s">
        <v>416</v>
      </c>
      <c r="K13" s="18" t="s">
        <v>358</v>
      </c>
      <c r="L13" s="26">
        <v>0.5</v>
      </c>
      <c r="M13" s="18" t="s">
        <v>359</v>
      </c>
      <c r="N13" s="30">
        <v>1</v>
      </c>
      <c r="O13" s="24">
        <v>30</v>
      </c>
      <c r="P13" s="24">
        <v>95</v>
      </c>
      <c r="Q13" s="18" t="s">
        <v>240</v>
      </c>
      <c r="R13" s="18" t="s">
        <v>368</v>
      </c>
      <c r="S13" s="42">
        <v>71.302158000000006</v>
      </c>
      <c r="T13" s="40">
        <v>2023</v>
      </c>
      <c r="U13" s="18">
        <v>1</v>
      </c>
      <c r="V13" s="18" t="s">
        <v>378</v>
      </c>
      <c r="W13" s="18" t="s">
        <v>59</v>
      </c>
      <c r="X13" s="18" t="s">
        <v>417</v>
      </c>
      <c r="Y13" s="18" t="s">
        <v>23</v>
      </c>
      <c r="Z13" s="18" t="s">
        <v>398</v>
      </c>
      <c r="AA13" s="21">
        <f>COUNTIF(Intervention_Cause_Map!$I$2:$I$19,G13)</f>
        <v>1</v>
      </c>
      <c r="AB13" s="21">
        <f t="shared" si="0"/>
        <v>1</v>
      </c>
      <c r="AC13" s="21" t="str">
        <f t="shared" si="1"/>
        <v>OK</v>
      </c>
    </row>
    <row r="14" spans="1:29">
      <c r="A14" s="18" t="s">
        <v>418</v>
      </c>
      <c r="B14" s="18" t="s">
        <v>415</v>
      </c>
      <c r="C14" s="18" t="s">
        <v>382</v>
      </c>
      <c r="D14" s="30">
        <v>0</v>
      </c>
      <c r="E14" s="18" t="s">
        <v>157</v>
      </c>
      <c r="F14" s="18" t="s">
        <v>149</v>
      </c>
      <c r="G14" s="18" t="s">
        <v>203</v>
      </c>
      <c r="H14" s="18" t="s">
        <v>158</v>
      </c>
      <c r="I14" s="18" t="s">
        <v>150</v>
      </c>
      <c r="J14" s="18" t="s">
        <v>416</v>
      </c>
      <c r="K14" s="18" t="s">
        <v>358</v>
      </c>
      <c r="L14" s="26">
        <v>0.5</v>
      </c>
      <c r="M14" s="18" t="s">
        <v>359</v>
      </c>
      <c r="N14" s="30">
        <v>1</v>
      </c>
      <c r="O14" s="24">
        <v>30</v>
      </c>
      <c r="P14" s="24">
        <v>95</v>
      </c>
      <c r="Q14" s="18" t="s">
        <v>240</v>
      </c>
      <c r="R14" s="18" t="s">
        <v>368</v>
      </c>
      <c r="S14" s="42">
        <v>64.943441000000007</v>
      </c>
      <c r="T14" s="40">
        <v>2023</v>
      </c>
      <c r="U14" s="18">
        <v>1</v>
      </c>
      <c r="V14" s="18" t="s">
        <v>378</v>
      </c>
      <c r="W14" s="18" t="s">
        <v>59</v>
      </c>
      <c r="X14" s="18" t="s">
        <v>419</v>
      </c>
      <c r="Y14" s="18" t="s">
        <v>384</v>
      </c>
      <c r="Z14" s="18" t="s">
        <v>385</v>
      </c>
      <c r="AA14" s="21">
        <f>COUNTIF(Intervention_Cause_Map!$I$2:$I$19,G14)</f>
        <v>1</v>
      </c>
      <c r="AB14" s="21">
        <f t="shared" si="0"/>
        <v>1</v>
      </c>
      <c r="AC14" s="21" t="str">
        <f t="shared" si="1"/>
        <v>OK</v>
      </c>
    </row>
    <row r="15" spans="1:29">
      <c r="A15" s="18" t="s">
        <v>420</v>
      </c>
      <c r="B15" s="18" t="s">
        <v>421</v>
      </c>
      <c r="C15" s="18" t="s">
        <v>356</v>
      </c>
      <c r="D15" s="30">
        <v>1</v>
      </c>
      <c r="E15" s="18" t="s">
        <v>157</v>
      </c>
      <c r="F15" s="18" t="s">
        <v>149</v>
      </c>
      <c r="G15" s="18" t="s">
        <v>203</v>
      </c>
      <c r="H15" s="18" t="s">
        <v>158</v>
      </c>
      <c r="I15" s="18" t="s">
        <v>150</v>
      </c>
      <c r="J15" s="18" t="s">
        <v>422</v>
      </c>
      <c r="K15" s="18" t="s">
        <v>358</v>
      </c>
      <c r="L15" s="26">
        <v>0.5</v>
      </c>
      <c r="M15" s="18" t="s">
        <v>359</v>
      </c>
      <c r="N15" s="30">
        <v>1</v>
      </c>
      <c r="O15" s="24">
        <v>30</v>
      </c>
      <c r="P15" s="24">
        <v>95</v>
      </c>
      <c r="Q15" s="18" t="s">
        <v>240</v>
      </c>
      <c r="R15" s="18" t="s">
        <v>368</v>
      </c>
      <c r="S15" s="42">
        <v>172.27746099999999</v>
      </c>
      <c r="T15" s="40">
        <v>2023</v>
      </c>
      <c r="U15" s="18">
        <v>1</v>
      </c>
      <c r="V15" s="18" t="s">
        <v>378</v>
      </c>
      <c r="W15" s="18" t="s">
        <v>59</v>
      </c>
      <c r="X15" s="18" t="s">
        <v>423</v>
      </c>
      <c r="Y15" s="18" t="s">
        <v>244</v>
      </c>
      <c r="Z15" s="18"/>
      <c r="AA15" s="21">
        <f>COUNTIF(Intervention_Cause_Map!$I$2:$I$19,G15)</f>
        <v>1</v>
      </c>
      <c r="AB15" s="21">
        <f t="shared" si="0"/>
        <v>1</v>
      </c>
      <c r="AC15" s="21" t="str">
        <f t="shared" si="1"/>
        <v>OK</v>
      </c>
    </row>
    <row r="16" spans="1:29">
      <c r="A16" s="18" t="s">
        <v>424</v>
      </c>
      <c r="B16" s="18" t="s">
        <v>425</v>
      </c>
      <c r="C16" s="18" t="s">
        <v>373</v>
      </c>
      <c r="D16" s="30">
        <v>1</v>
      </c>
      <c r="E16" s="18" t="s">
        <v>157</v>
      </c>
      <c r="F16" s="18" t="s">
        <v>155</v>
      </c>
      <c r="G16" s="18" t="s">
        <v>205</v>
      </c>
      <c r="H16" s="18" t="s">
        <v>158</v>
      </c>
      <c r="I16" s="18" t="s">
        <v>156</v>
      </c>
      <c r="J16" s="18" t="s">
        <v>394</v>
      </c>
      <c r="K16" s="18" t="s">
        <v>395</v>
      </c>
      <c r="L16" s="26">
        <v>0.52</v>
      </c>
      <c r="M16" s="18" t="s">
        <v>396</v>
      </c>
      <c r="N16" s="30">
        <v>1</v>
      </c>
      <c r="O16" s="24">
        <v>30</v>
      </c>
      <c r="P16" s="24">
        <v>95</v>
      </c>
      <c r="Q16" s="18" t="s">
        <v>240</v>
      </c>
      <c r="R16" s="18" t="s">
        <v>368</v>
      </c>
      <c r="S16" s="42">
        <v>1035.004856</v>
      </c>
      <c r="T16" s="40">
        <v>2023</v>
      </c>
      <c r="U16" s="18">
        <v>1</v>
      </c>
      <c r="V16" s="18" t="s">
        <v>378</v>
      </c>
      <c r="W16" s="18" t="s">
        <v>59</v>
      </c>
      <c r="X16" s="18" t="s">
        <v>426</v>
      </c>
      <c r="Y16" s="18" t="s">
        <v>23</v>
      </c>
      <c r="Z16" s="18" t="s">
        <v>398</v>
      </c>
      <c r="AA16" s="21">
        <f>COUNTIF(Intervention_Cause_Map!$I$2:$I$19,G16)</f>
        <v>1</v>
      </c>
      <c r="AB16" s="21">
        <f t="shared" si="0"/>
        <v>1</v>
      </c>
      <c r="AC16" s="21" t="str">
        <f t="shared" si="1"/>
        <v>OK</v>
      </c>
    </row>
    <row r="17" spans="1:29">
      <c r="A17" s="18" t="s">
        <v>427</v>
      </c>
      <c r="B17" s="18" t="s">
        <v>425</v>
      </c>
      <c r="C17" s="18" t="s">
        <v>382</v>
      </c>
      <c r="D17" s="30">
        <v>0</v>
      </c>
      <c r="E17" s="18" t="s">
        <v>157</v>
      </c>
      <c r="F17" s="18" t="s">
        <v>155</v>
      </c>
      <c r="G17" s="18" t="s">
        <v>205</v>
      </c>
      <c r="H17" s="18" t="s">
        <v>158</v>
      </c>
      <c r="I17" s="18" t="s">
        <v>156</v>
      </c>
      <c r="J17" s="18" t="s">
        <v>394</v>
      </c>
      <c r="K17" s="18" t="s">
        <v>395</v>
      </c>
      <c r="L17" s="26">
        <v>0.52</v>
      </c>
      <c r="M17" s="18" t="s">
        <v>396</v>
      </c>
      <c r="N17" s="30">
        <v>1</v>
      </c>
      <c r="O17" s="24">
        <v>30</v>
      </c>
      <c r="P17" s="24">
        <v>95</v>
      </c>
      <c r="Q17" s="18" t="s">
        <v>240</v>
      </c>
      <c r="R17" s="18" t="s">
        <v>368</v>
      </c>
      <c r="S17" s="42">
        <v>900.25859000000003</v>
      </c>
      <c r="T17" s="40">
        <v>2023</v>
      </c>
      <c r="U17" s="18">
        <v>1</v>
      </c>
      <c r="V17" s="18" t="s">
        <v>378</v>
      </c>
      <c r="W17" s="18" t="s">
        <v>59</v>
      </c>
      <c r="X17" s="18" t="s">
        <v>428</v>
      </c>
      <c r="Y17" s="18" t="s">
        <v>384</v>
      </c>
      <c r="Z17" s="18" t="s">
        <v>385</v>
      </c>
      <c r="AA17" s="21">
        <f>COUNTIF(Intervention_Cause_Map!$I$2:$I$19,G17)</f>
        <v>1</v>
      </c>
      <c r="AB17" s="21">
        <f t="shared" si="0"/>
        <v>1</v>
      </c>
      <c r="AC17" s="21" t="str">
        <f t="shared" si="1"/>
        <v>OK</v>
      </c>
    </row>
    <row r="18" spans="1:29">
      <c r="A18" s="18" t="s">
        <v>429</v>
      </c>
      <c r="B18" s="18" t="s">
        <v>430</v>
      </c>
      <c r="C18" s="18" t="s">
        <v>373</v>
      </c>
      <c r="D18" s="30">
        <v>1</v>
      </c>
      <c r="E18" s="18" t="s">
        <v>157</v>
      </c>
      <c r="F18" s="18" t="s">
        <v>155</v>
      </c>
      <c r="G18" s="18" t="s">
        <v>205</v>
      </c>
      <c r="H18" s="18" t="s">
        <v>158</v>
      </c>
      <c r="I18" s="18" t="s">
        <v>156</v>
      </c>
      <c r="J18" s="18" t="s">
        <v>416</v>
      </c>
      <c r="K18" s="18" t="s">
        <v>358</v>
      </c>
      <c r="L18" s="26">
        <v>0.5</v>
      </c>
      <c r="M18" s="18" t="s">
        <v>359</v>
      </c>
      <c r="N18" s="30">
        <v>1</v>
      </c>
      <c r="O18" s="24">
        <v>30</v>
      </c>
      <c r="P18" s="24">
        <v>95</v>
      </c>
      <c r="Q18" s="18" t="s">
        <v>240</v>
      </c>
      <c r="R18" s="18" t="s">
        <v>368</v>
      </c>
      <c r="S18" s="42">
        <v>56.227229000000001</v>
      </c>
      <c r="T18" s="40">
        <v>2023</v>
      </c>
      <c r="U18" s="18">
        <v>1</v>
      </c>
      <c r="V18" s="18" t="s">
        <v>378</v>
      </c>
      <c r="W18" s="18" t="s">
        <v>59</v>
      </c>
      <c r="X18" s="18" t="s">
        <v>431</v>
      </c>
      <c r="Y18" s="18" t="s">
        <v>23</v>
      </c>
      <c r="Z18" s="18" t="s">
        <v>398</v>
      </c>
      <c r="AA18" s="21">
        <f>COUNTIF(Intervention_Cause_Map!$I$2:$I$19,G18)</f>
        <v>1</v>
      </c>
      <c r="AB18" s="21">
        <f t="shared" si="0"/>
        <v>1</v>
      </c>
      <c r="AC18" s="21" t="str">
        <f t="shared" si="1"/>
        <v>OK</v>
      </c>
    </row>
    <row r="19" spans="1:29">
      <c r="A19" s="18" t="s">
        <v>432</v>
      </c>
      <c r="B19" s="18" t="s">
        <v>430</v>
      </c>
      <c r="C19" s="18" t="s">
        <v>382</v>
      </c>
      <c r="D19" s="30">
        <v>0</v>
      </c>
      <c r="E19" s="18" t="s">
        <v>157</v>
      </c>
      <c r="F19" s="18" t="s">
        <v>155</v>
      </c>
      <c r="G19" s="18" t="s">
        <v>205</v>
      </c>
      <c r="H19" s="18" t="s">
        <v>158</v>
      </c>
      <c r="I19" s="18" t="s">
        <v>156</v>
      </c>
      <c r="J19" s="18" t="s">
        <v>416</v>
      </c>
      <c r="K19" s="18" t="s">
        <v>358</v>
      </c>
      <c r="L19" s="26">
        <v>0.5</v>
      </c>
      <c r="M19" s="18" t="s">
        <v>359</v>
      </c>
      <c r="N19" s="30">
        <v>1</v>
      </c>
      <c r="O19" s="24">
        <v>30</v>
      </c>
      <c r="P19" s="24">
        <v>95</v>
      </c>
      <c r="Q19" s="18" t="s">
        <v>240</v>
      </c>
      <c r="R19" s="18" t="s">
        <v>368</v>
      </c>
      <c r="S19" s="42">
        <v>64.943441000000007</v>
      </c>
      <c r="T19" s="40">
        <v>2023</v>
      </c>
      <c r="U19" s="18">
        <v>1</v>
      </c>
      <c r="V19" s="18" t="s">
        <v>378</v>
      </c>
      <c r="W19" s="18" t="s">
        <v>59</v>
      </c>
      <c r="X19" s="18" t="s">
        <v>433</v>
      </c>
      <c r="Y19" s="18" t="s">
        <v>384</v>
      </c>
      <c r="Z19" s="18" t="s">
        <v>385</v>
      </c>
      <c r="AA19" s="21">
        <f>COUNTIF(Intervention_Cause_Map!$I$2:$I$19,G19)</f>
        <v>1</v>
      </c>
      <c r="AB19" s="21">
        <f t="shared" si="0"/>
        <v>1</v>
      </c>
      <c r="AC19" s="21" t="str">
        <f t="shared" si="1"/>
        <v>OK</v>
      </c>
    </row>
    <row r="20" spans="1:29">
      <c r="A20" s="18" t="s">
        <v>434</v>
      </c>
      <c r="B20" s="18" t="s">
        <v>435</v>
      </c>
      <c r="C20" s="18" t="s">
        <v>356</v>
      </c>
      <c r="D20" s="30">
        <v>1</v>
      </c>
      <c r="E20" s="18" t="s">
        <v>157</v>
      </c>
      <c r="F20" s="18" t="s">
        <v>155</v>
      </c>
      <c r="G20" s="18" t="s">
        <v>205</v>
      </c>
      <c r="H20" s="18" t="s">
        <v>158</v>
      </c>
      <c r="I20" s="18" t="s">
        <v>156</v>
      </c>
      <c r="J20" s="18" t="s">
        <v>422</v>
      </c>
      <c r="K20" s="18" t="s">
        <v>358</v>
      </c>
      <c r="L20" s="26">
        <v>0.5</v>
      </c>
      <c r="M20" s="18" t="s">
        <v>359</v>
      </c>
      <c r="N20" s="30">
        <v>1</v>
      </c>
      <c r="O20" s="24">
        <v>30</v>
      </c>
      <c r="P20" s="24">
        <v>95</v>
      </c>
      <c r="Q20" s="18" t="s">
        <v>240</v>
      </c>
      <c r="R20" s="18" t="s">
        <v>368</v>
      </c>
      <c r="S20" s="42">
        <v>272.78860100000003</v>
      </c>
      <c r="T20" s="40">
        <v>2023</v>
      </c>
      <c r="U20" s="18">
        <v>1</v>
      </c>
      <c r="V20" s="18" t="s">
        <v>378</v>
      </c>
      <c r="W20" s="18" t="s">
        <v>59</v>
      </c>
      <c r="X20" s="18" t="s">
        <v>436</v>
      </c>
      <c r="Y20" s="18" t="s">
        <v>244</v>
      </c>
      <c r="Z20" s="18"/>
      <c r="AA20" s="21">
        <f>COUNTIF(Intervention_Cause_Map!$I$2:$I$19,G20)</f>
        <v>1</v>
      </c>
      <c r="AB20" s="21">
        <f t="shared" si="0"/>
        <v>1</v>
      </c>
      <c r="AC20" s="21" t="str">
        <f t="shared" si="1"/>
        <v>OK</v>
      </c>
    </row>
    <row r="21" spans="1:29">
      <c r="A21" s="18" t="s">
        <v>437</v>
      </c>
      <c r="B21" s="18" t="s">
        <v>438</v>
      </c>
      <c r="C21" s="18" t="s">
        <v>356</v>
      </c>
      <c r="D21" s="30">
        <v>1</v>
      </c>
      <c r="E21" s="18" t="s">
        <v>162</v>
      </c>
      <c r="F21" s="18" t="s">
        <v>143</v>
      </c>
      <c r="G21" s="18" t="s">
        <v>206</v>
      </c>
      <c r="H21" s="18" t="s">
        <v>163</v>
      </c>
      <c r="I21" s="18" t="s">
        <v>144</v>
      </c>
      <c r="J21" s="18" t="s">
        <v>439</v>
      </c>
      <c r="K21" s="18" t="s">
        <v>358</v>
      </c>
      <c r="L21" s="26">
        <v>0.1</v>
      </c>
      <c r="M21" s="18" t="s">
        <v>440</v>
      </c>
      <c r="N21" s="30">
        <v>1</v>
      </c>
      <c r="O21" s="24">
        <v>30</v>
      </c>
      <c r="P21" s="24">
        <v>95</v>
      </c>
      <c r="Q21" s="18" t="s">
        <v>240</v>
      </c>
      <c r="R21" s="18" t="s">
        <v>368</v>
      </c>
      <c r="S21" s="42">
        <v>575.48694599999999</v>
      </c>
      <c r="T21" s="40">
        <v>2023</v>
      </c>
      <c r="U21" s="18">
        <v>1</v>
      </c>
      <c r="V21" s="18" t="s">
        <v>441</v>
      </c>
      <c r="W21" s="18" t="s">
        <v>59</v>
      </c>
      <c r="X21" s="18" t="s">
        <v>442</v>
      </c>
      <c r="Y21" s="18" t="s">
        <v>244</v>
      </c>
      <c r="Z21" s="18"/>
      <c r="AA21" s="21">
        <f>COUNTIF(Intervention_Cause_Map!$I$2:$I$19,G21)</f>
        <v>1</v>
      </c>
      <c r="AB21" s="21">
        <f t="shared" si="0"/>
        <v>1</v>
      </c>
      <c r="AC21" s="21" t="str">
        <f t="shared" si="1"/>
        <v>OK</v>
      </c>
    </row>
    <row r="22" spans="1:29">
      <c r="A22" s="18" t="s">
        <v>443</v>
      </c>
      <c r="B22" s="18" t="s">
        <v>444</v>
      </c>
      <c r="C22" s="18" t="s">
        <v>356</v>
      </c>
      <c r="D22" s="30">
        <v>1</v>
      </c>
      <c r="E22" s="18" t="s">
        <v>162</v>
      </c>
      <c r="F22" s="18" t="s">
        <v>160</v>
      </c>
      <c r="G22" s="18" t="s">
        <v>208</v>
      </c>
      <c r="H22" s="18" t="s">
        <v>163</v>
      </c>
      <c r="I22" s="18" t="s">
        <v>161</v>
      </c>
      <c r="J22" s="18" t="s">
        <v>439</v>
      </c>
      <c r="K22" s="18" t="s">
        <v>358</v>
      </c>
      <c r="L22" s="26">
        <v>0.5</v>
      </c>
      <c r="M22" s="18" t="s">
        <v>440</v>
      </c>
      <c r="N22" s="30">
        <v>1</v>
      </c>
      <c r="O22" s="24">
        <v>30</v>
      </c>
      <c r="P22" s="24">
        <v>95</v>
      </c>
      <c r="Q22" s="18" t="s">
        <v>240</v>
      </c>
      <c r="R22" s="18" t="s">
        <v>368</v>
      </c>
      <c r="S22" s="42">
        <v>575.48694599999999</v>
      </c>
      <c r="T22" s="40">
        <v>2023</v>
      </c>
      <c r="U22" s="18">
        <v>1</v>
      </c>
      <c r="V22" s="18" t="s">
        <v>441</v>
      </c>
      <c r="W22" s="18" t="s">
        <v>59</v>
      </c>
      <c r="X22" s="18" t="s">
        <v>445</v>
      </c>
      <c r="Y22" s="18" t="s">
        <v>244</v>
      </c>
      <c r="Z22" s="18"/>
      <c r="AA22" s="21">
        <f>COUNTIF(Intervention_Cause_Map!$I$2:$I$19,G22)</f>
        <v>1</v>
      </c>
      <c r="AB22" s="21">
        <f t="shared" si="0"/>
        <v>1</v>
      </c>
      <c r="AC22" s="21" t="str">
        <f t="shared" si="1"/>
        <v>OK</v>
      </c>
    </row>
    <row r="23" spans="1:29">
      <c r="A23" s="18" t="s">
        <v>446</v>
      </c>
      <c r="B23" s="18" t="s">
        <v>447</v>
      </c>
      <c r="C23" s="18" t="s">
        <v>356</v>
      </c>
      <c r="D23" s="30">
        <v>1</v>
      </c>
      <c r="E23" s="18" t="s">
        <v>162</v>
      </c>
      <c r="F23" s="18" t="s">
        <v>166</v>
      </c>
      <c r="G23" s="18" t="s">
        <v>210</v>
      </c>
      <c r="H23" s="18" t="s">
        <v>163</v>
      </c>
      <c r="I23" s="18" t="s">
        <v>167</v>
      </c>
      <c r="J23" s="18" t="s">
        <v>439</v>
      </c>
      <c r="K23" s="18" t="s">
        <v>358</v>
      </c>
      <c r="L23" s="26">
        <v>0.5</v>
      </c>
      <c r="M23" s="18" t="s">
        <v>440</v>
      </c>
      <c r="N23" s="30">
        <v>1</v>
      </c>
      <c r="O23" s="24">
        <v>30</v>
      </c>
      <c r="P23" s="24">
        <v>95</v>
      </c>
      <c r="Q23" s="18" t="s">
        <v>240</v>
      </c>
      <c r="R23" s="18" t="s">
        <v>368</v>
      </c>
      <c r="S23" s="42">
        <v>575.48694599999999</v>
      </c>
      <c r="T23" s="40">
        <v>2023</v>
      </c>
      <c r="U23" s="18">
        <v>1</v>
      </c>
      <c r="V23" s="18" t="s">
        <v>441</v>
      </c>
      <c r="W23" s="18" t="s">
        <v>59</v>
      </c>
      <c r="X23" s="18" t="s">
        <v>448</v>
      </c>
      <c r="Y23" s="18" t="s">
        <v>244</v>
      </c>
      <c r="Z23" s="18"/>
      <c r="AA23" s="21">
        <f>COUNTIF(Intervention_Cause_Map!$I$2:$I$19,G23)</f>
        <v>1</v>
      </c>
      <c r="AB23" s="21">
        <f t="shared" si="0"/>
        <v>1</v>
      </c>
      <c r="AC23" s="21" t="str">
        <f t="shared" si="1"/>
        <v>OK</v>
      </c>
    </row>
    <row r="24" spans="1:29" ht="22.8" customHeight="1">
      <c r="A24" s="18" t="s">
        <v>449</v>
      </c>
      <c r="B24" s="18" t="s">
        <v>450</v>
      </c>
      <c r="C24" s="18" t="s">
        <v>356</v>
      </c>
      <c r="D24" s="30">
        <v>1</v>
      </c>
      <c r="E24" s="18" t="s">
        <v>168</v>
      </c>
      <c r="F24" s="18" t="s">
        <v>166</v>
      </c>
      <c r="G24" s="18" t="s">
        <v>214</v>
      </c>
      <c r="H24" s="18" t="s">
        <v>169</v>
      </c>
      <c r="I24" s="18" t="s">
        <v>167</v>
      </c>
      <c r="J24" s="18" t="s">
        <v>451</v>
      </c>
      <c r="K24" s="18" t="s">
        <v>358</v>
      </c>
      <c r="L24" s="26">
        <v>1</v>
      </c>
      <c r="M24" s="18" t="s">
        <v>359</v>
      </c>
      <c r="N24" s="30">
        <v>1</v>
      </c>
      <c r="O24" s="24">
        <v>0</v>
      </c>
      <c r="P24" s="24">
        <v>95</v>
      </c>
      <c r="Q24" s="18" t="s">
        <v>240</v>
      </c>
      <c r="R24" s="18" t="s">
        <v>368</v>
      </c>
      <c r="S24" s="42">
        <v>5.133311</v>
      </c>
      <c r="T24" s="40">
        <v>2023</v>
      </c>
      <c r="U24" s="18">
        <v>1</v>
      </c>
      <c r="V24" s="18" t="s">
        <v>409</v>
      </c>
      <c r="W24" s="18" t="s">
        <v>59</v>
      </c>
      <c r="X24" s="18" t="s">
        <v>452</v>
      </c>
      <c r="Y24" s="18" t="s">
        <v>244</v>
      </c>
      <c r="Z24" s="18"/>
      <c r="AA24" s="21">
        <f>COUNTIF(Intervention_Cause_Map!$I$2:$I$19,G24)</f>
        <v>1</v>
      </c>
      <c r="AB24" s="21">
        <f t="shared" si="0"/>
        <v>1</v>
      </c>
      <c r="AC24" s="21" t="str">
        <f t="shared" si="1"/>
        <v>OK</v>
      </c>
    </row>
    <row r="25" spans="1:29" ht="22.8" customHeight="1">
      <c r="A25" s="18" t="s">
        <v>453</v>
      </c>
      <c r="B25" s="18" t="s">
        <v>454</v>
      </c>
      <c r="C25" s="18" t="s">
        <v>373</v>
      </c>
      <c r="D25" s="30">
        <v>1</v>
      </c>
      <c r="E25" s="18" t="s">
        <v>168</v>
      </c>
      <c r="F25" s="18" t="s">
        <v>166</v>
      </c>
      <c r="G25" s="18" t="s">
        <v>214</v>
      </c>
      <c r="H25" s="18" t="s">
        <v>169</v>
      </c>
      <c r="I25" s="18" t="s">
        <v>167</v>
      </c>
      <c r="J25" s="18" t="s">
        <v>416</v>
      </c>
      <c r="K25" s="18" t="s">
        <v>358</v>
      </c>
      <c r="L25" s="26">
        <v>1</v>
      </c>
      <c r="M25" s="18" t="s">
        <v>359</v>
      </c>
      <c r="N25" s="30">
        <v>1</v>
      </c>
      <c r="O25" s="24">
        <v>0</v>
      </c>
      <c r="P25" s="24">
        <v>95</v>
      </c>
      <c r="Q25" s="18" t="s">
        <v>240</v>
      </c>
      <c r="R25" s="18" t="s">
        <v>368</v>
      </c>
      <c r="S25" s="42">
        <v>69.384409000000005</v>
      </c>
      <c r="T25" s="40">
        <v>2023</v>
      </c>
      <c r="U25" s="18">
        <v>1</v>
      </c>
      <c r="V25" s="18" t="s">
        <v>378</v>
      </c>
      <c r="W25" s="18" t="s">
        <v>59</v>
      </c>
      <c r="X25" s="18" t="s">
        <v>455</v>
      </c>
      <c r="Y25" s="18" t="s">
        <v>23</v>
      </c>
      <c r="Z25" s="18" t="s">
        <v>398</v>
      </c>
      <c r="AA25" s="21">
        <f>COUNTIF(Intervention_Cause_Map!$I$2:$I$19,G25)</f>
        <v>1</v>
      </c>
      <c r="AB25" s="21">
        <f t="shared" si="0"/>
        <v>1</v>
      </c>
      <c r="AC25" s="21" t="str">
        <f t="shared" si="1"/>
        <v>OK</v>
      </c>
    </row>
    <row r="26" spans="1:29" ht="22.8" customHeight="1">
      <c r="A26" s="18" t="s">
        <v>456</v>
      </c>
      <c r="B26" s="18" t="s">
        <v>454</v>
      </c>
      <c r="C26" s="18" t="s">
        <v>382</v>
      </c>
      <c r="D26" s="30">
        <v>0</v>
      </c>
      <c r="E26" s="18" t="s">
        <v>168</v>
      </c>
      <c r="F26" s="18" t="s">
        <v>166</v>
      </c>
      <c r="G26" s="18" t="s">
        <v>214</v>
      </c>
      <c r="H26" s="18" t="s">
        <v>169</v>
      </c>
      <c r="I26" s="18" t="s">
        <v>167</v>
      </c>
      <c r="J26" s="18" t="s">
        <v>416</v>
      </c>
      <c r="K26" s="18" t="s">
        <v>358</v>
      </c>
      <c r="L26" s="26">
        <v>1</v>
      </c>
      <c r="M26" s="18" t="s">
        <v>359</v>
      </c>
      <c r="N26" s="30">
        <v>1</v>
      </c>
      <c r="O26" s="24">
        <v>0</v>
      </c>
      <c r="P26" s="24">
        <v>95</v>
      </c>
      <c r="Q26" s="18" t="s">
        <v>240</v>
      </c>
      <c r="R26" s="18" t="s">
        <v>368</v>
      </c>
      <c r="S26" s="42">
        <v>64.943441000000007</v>
      </c>
      <c r="T26" s="40">
        <v>2023</v>
      </c>
      <c r="U26" s="18">
        <v>1</v>
      </c>
      <c r="V26" s="18" t="s">
        <v>378</v>
      </c>
      <c r="W26" s="18" t="s">
        <v>59</v>
      </c>
      <c r="X26" s="18" t="s">
        <v>457</v>
      </c>
      <c r="Y26" s="18" t="s">
        <v>384</v>
      </c>
      <c r="Z26" s="18" t="s">
        <v>385</v>
      </c>
      <c r="AA26" s="21">
        <f>COUNTIF(Intervention_Cause_Map!$I$2:$I$19,G26)</f>
        <v>1</v>
      </c>
      <c r="AB26" s="21">
        <f t="shared" si="0"/>
        <v>1</v>
      </c>
      <c r="AC26" s="21" t="str">
        <f t="shared" si="1"/>
        <v>OK</v>
      </c>
    </row>
    <row r="27" spans="1:29">
      <c r="A27" s="18" t="s">
        <v>458</v>
      </c>
      <c r="B27" s="18" t="s">
        <v>459</v>
      </c>
      <c r="C27" s="18" t="s">
        <v>356</v>
      </c>
      <c r="D27" s="30">
        <v>1</v>
      </c>
      <c r="E27" s="18" t="s">
        <v>168</v>
      </c>
      <c r="F27" s="18" t="s">
        <v>166</v>
      </c>
      <c r="G27" s="18" t="s">
        <v>214</v>
      </c>
      <c r="H27" s="18" t="s">
        <v>169</v>
      </c>
      <c r="I27" s="18" t="s">
        <v>167</v>
      </c>
      <c r="J27" s="18" t="s">
        <v>460</v>
      </c>
      <c r="K27" s="18" t="s">
        <v>358</v>
      </c>
      <c r="L27" s="26">
        <v>1</v>
      </c>
      <c r="M27" s="18" t="s">
        <v>359</v>
      </c>
      <c r="N27" s="30">
        <v>1</v>
      </c>
      <c r="O27" s="24">
        <v>0</v>
      </c>
      <c r="P27" s="24">
        <v>95</v>
      </c>
      <c r="Q27" s="18" t="s">
        <v>240</v>
      </c>
      <c r="R27" s="18" t="s">
        <v>368</v>
      </c>
      <c r="S27" s="42">
        <v>152.889884</v>
      </c>
      <c r="T27" s="40">
        <v>2023</v>
      </c>
      <c r="U27" s="18">
        <v>1</v>
      </c>
      <c r="V27" s="18" t="s">
        <v>378</v>
      </c>
      <c r="W27" s="18" t="s">
        <v>59</v>
      </c>
      <c r="X27" s="18" t="s">
        <v>461</v>
      </c>
      <c r="Y27" s="18" t="s">
        <v>244</v>
      </c>
      <c r="Z27" s="18"/>
      <c r="AA27" s="21">
        <f>COUNTIF(Intervention_Cause_Map!$I$2:$I$19,G27)</f>
        <v>1</v>
      </c>
      <c r="AB27" s="21">
        <f t="shared" si="0"/>
        <v>1</v>
      </c>
      <c r="AC27" s="21" t="str">
        <f t="shared" si="1"/>
        <v>OK</v>
      </c>
    </row>
    <row r="28" spans="1:29" ht="22.8" customHeight="1">
      <c r="A28" s="18" t="s">
        <v>462</v>
      </c>
      <c r="B28" s="18" t="s">
        <v>463</v>
      </c>
      <c r="C28" s="18" t="s">
        <v>356</v>
      </c>
      <c r="D28" s="30">
        <v>1</v>
      </c>
      <c r="E28" s="18" t="s">
        <v>168</v>
      </c>
      <c r="F28" s="18" t="s">
        <v>160</v>
      </c>
      <c r="G28" s="18" t="s">
        <v>213</v>
      </c>
      <c r="H28" s="18" t="s">
        <v>169</v>
      </c>
      <c r="I28" s="18" t="s">
        <v>161</v>
      </c>
      <c r="J28" s="18" t="s">
        <v>451</v>
      </c>
      <c r="K28" s="18" t="s">
        <v>358</v>
      </c>
      <c r="L28" s="26">
        <v>1</v>
      </c>
      <c r="M28" s="18" t="s">
        <v>359</v>
      </c>
      <c r="N28" s="30">
        <v>1</v>
      </c>
      <c r="O28" s="24">
        <v>30</v>
      </c>
      <c r="P28" s="24">
        <v>95</v>
      </c>
      <c r="Q28" s="18" t="s">
        <v>240</v>
      </c>
      <c r="R28" s="18" t="s">
        <v>368</v>
      </c>
      <c r="S28" s="42">
        <v>5.133311</v>
      </c>
      <c r="T28" s="40">
        <v>2023</v>
      </c>
      <c r="U28" s="18">
        <v>1</v>
      </c>
      <c r="V28" s="18" t="s">
        <v>409</v>
      </c>
      <c r="W28" s="18" t="s">
        <v>59</v>
      </c>
      <c r="X28" s="18" t="s">
        <v>464</v>
      </c>
      <c r="Y28" s="18" t="s">
        <v>244</v>
      </c>
      <c r="Z28" s="18"/>
      <c r="AA28" s="21">
        <f>COUNTIF(Intervention_Cause_Map!$I$2:$I$19,G28)</f>
        <v>1</v>
      </c>
      <c r="AB28" s="21">
        <f t="shared" si="0"/>
        <v>1</v>
      </c>
      <c r="AC28" s="21" t="str">
        <f t="shared" si="1"/>
        <v>OK</v>
      </c>
    </row>
    <row r="29" spans="1:29" ht="22.8" customHeight="1">
      <c r="A29" s="18" t="s">
        <v>465</v>
      </c>
      <c r="B29" s="18" t="s">
        <v>466</v>
      </c>
      <c r="C29" s="18" t="s">
        <v>373</v>
      </c>
      <c r="D29" s="30">
        <v>1</v>
      </c>
      <c r="E29" s="18" t="s">
        <v>168</v>
      </c>
      <c r="F29" s="18" t="s">
        <v>160</v>
      </c>
      <c r="G29" s="18" t="s">
        <v>213</v>
      </c>
      <c r="H29" s="18" t="s">
        <v>169</v>
      </c>
      <c r="I29" s="18" t="s">
        <v>161</v>
      </c>
      <c r="J29" s="18" t="s">
        <v>416</v>
      </c>
      <c r="K29" s="18" t="s">
        <v>358</v>
      </c>
      <c r="L29" s="26">
        <v>1</v>
      </c>
      <c r="M29" s="18" t="s">
        <v>359</v>
      </c>
      <c r="N29" s="30">
        <v>1</v>
      </c>
      <c r="O29" s="24">
        <v>30</v>
      </c>
      <c r="P29" s="24">
        <v>95</v>
      </c>
      <c r="Q29" s="18" t="s">
        <v>240</v>
      </c>
      <c r="R29" s="18" t="s">
        <v>368</v>
      </c>
      <c r="S29" s="42">
        <v>69.384409000000005</v>
      </c>
      <c r="T29" s="40">
        <v>2023</v>
      </c>
      <c r="U29" s="18">
        <v>1</v>
      </c>
      <c r="V29" s="18" t="s">
        <v>378</v>
      </c>
      <c r="W29" s="18" t="s">
        <v>59</v>
      </c>
      <c r="X29" s="18" t="s">
        <v>467</v>
      </c>
      <c r="Y29" s="18" t="s">
        <v>23</v>
      </c>
      <c r="Z29" s="18" t="s">
        <v>398</v>
      </c>
      <c r="AA29" s="21">
        <f>COUNTIF(Intervention_Cause_Map!$I$2:$I$19,G29)</f>
        <v>1</v>
      </c>
      <c r="AB29" s="21">
        <f t="shared" si="0"/>
        <v>1</v>
      </c>
      <c r="AC29" s="21" t="str">
        <f t="shared" si="1"/>
        <v>OK</v>
      </c>
    </row>
    <row r="30" spans="1:29" ht="22.8" customHeight="1">
      <c r="A30" s="18" t="s">
        <v>468</v>
      </c>
      <c r="B30" s="18" t="s">
        <v>466</v>
      </c>
      <c r="C30" s="18" t="s">
        <v>382</v>
      </c>
      <c r="D30" s="30">
        <v>0</v>
      </c>
      <c r="E30" s="18" t="s">
        <v>168</v>
      </c>
      <c r="F30" s="18" t="s">
        <v>160</v>
      </c>
      <c r="G30" s="18" t="s">
        <v>213</v>
      </c>
      <c r="H30" s="18" t="s">
        <v>169</v>
      </c>
      <c r="I30" s="18" t="s">
        <v>161</v>
      </c>
      <c r="J30" s="18" t="s">
        <v>416</v>
      </c>
      <c r="K30" s="18" t="s">
        <v>358</v>
      </c>
      <c r="L30" s="26">
        <v>1</v>
      </c>
      <c r="M30" s="18" t="s">
        <v>359</v>
      </c>
      <c r="N30" s="30">
        <v>1</v>
      </c>
      <c r="O30" s="24">
        <v>30</v>
      </c>
      <c r="P30" s="24">
        <v>95</v>
      </c>
      <c r="Q30" s="18" t="s">
        <v>240</v>
      </c>
      <c r="R30" s="18" t="s">
        <v>368</v>
      </c>
      <c r="S30" s="42">
        <v>64.943441000000007</v>
      </c>
      <c r="T30" s="40">
        <v>2023</v>
      </c>
      <c r="U30" s="18">
        <v>1</v>
      </c>
      <c r="V30" s="18" t="s">
        <v>378</v>
      </c>
      <c r="W30" s="18" t="s">
        <v>59</v>
      </c>
      <c r="X30" s="18" t="s">
        <v>469</v>
      </c>
      <c r="Y30" s="18" t="s">
        <v>384</v>
      </c>
      <c r="Z30" s="18" t="s">
        <v>385</v>
      </c>
      <c r="AA30" s="21">
        <f>COUNTIF(Intervention_Cause_Map!$I$2:$I$19,G30)</f>
        <v>1</v>
      </c>
      <c r="AB30" s="21">
        <f t="shared" si="0"/>
        <v>1</v>
      </c>
      <c r="AC30" s="21" t="str">
        <f t="shared" si="1"/>
        <v>OK</v>
      </c>
    </row>
    <row r="31" spans="1:29">
      <c r="A31" s="18" t="s">
        <v>470</v>
      </c>
      <c r="B31" s="18" t="s">
        <v>471</v>
      </c>
      <c r="C31" s="18" t="s">
        <v>356</v>
      </c>
      <c r="D31" s="30">
        <v>1</v>
      </c>
      <c r="E31" s="18" t="s">
        <v>168</v>
      </c>
      <c r="F31" s="18" t="s">
        <v>160</v>
      </c>
      <c r="G31" s="18" t="s">
        <v>213</v>
      </c>
      <c r="H31" s="18" t="s">
        <v>169</v>
      </c>
      <c r="I31" s="18" t="s">
        <v>161</v>
      </c>
      <c r="J31" s="18" t="s">
        <v>460</v>
      </c>
      <c r="K31" s="18" t="s">
        <v>358</v>
      </c>
      <c r="L31" s="26">
        <v>1</v>
      </c>
      <c r="M31" s="18" t="s">
        <v>359</v>
      </c>
      <c r="N31" s="30">
        <v>1</v>
      </c>
      <c r="O31" s="24">
        <v>0</v>
      </c>
      <c r="P31" s="24">
        <v>95</v>
      </c>
      <c r="Q31" s="18" t="s">
        <v>240</v>
      </c>
      <c r="R31" s="18" t="s">
        <v>368</v>
      </c>
      <c r="S31" s="42">
        <v>152.889884</v>
      </c>
      <c r="T31" s="40">
        <v>2023</v>
      </c>
      <c r="U31" s="18">
        <v>1</v>
      </c>
      <c r="V31" s="18" t="s">
        <v>378</v>
      </c>
      <c r="W31" s="18" t="s">
        <v>59</v>
      </c>
      <c r="X31" s="18" t="s">
        <v>472</v>
      </c>
      <c r="Y31" s="18" t="s">
        <v>244</v>
      </c>
      <c r="Z31" s="18" t="s">
        <v>473</v>
      </c>
      <c r="AA31" s="21">
        <f>COUNTIF(Intervention_Cause_Map!$I$2:$I$19,G31)</f>
        <v>1</v>
      </c>
      <c r="AB31" s="21">
        <f t="shared" si="0"/>
        <v>1</v>
      </c>
      <c r="AC31" s="21" t="str">
        <f t="shared" si="1"/>
        <v>OK</v>
      </c>
    </row>
    <row r="32" spans="1:29">
      <c r="A32" s="18" t="s">
        <v>474</v>
      </c>
      <c r="B32" s="18" t="s">
        <v>475</v>
      </c>
      <c r="C32" s="18" t="s">
        <v>356</v>
      </c>
      <c r="D32" s="30">
        <v>1</v>
      </c>
      <c r="E32" s="18" t="s">
        <v>168</v>
      </c>
      <c r="F32" s="18" t="s">
        <v>143</v>
      </c>
      <c r="G32" s="18" t="s">
        <v>212</v>
      </c>
      <c r="H32" s="18" t="s">
        <v>169</v>
      </c>
      <c r="I32" s="18" t="s">
        <v>144</v>
      </c>
      <c r="J32" s="18" t="s">
        <v>451</v>
      </c>
      <c r="K32" s="18" t="s">
        <v>358</v>
      </c>
      <c r="L32" s="26">
        <v>0.2</v>
      </c>
      <c r="M32" s="18" t="s">
        <v>359</v>
      </c>
      <c r="N32" s="30">
        <v>1</v>
      </c>
      <c r="O32" s="24">
        <v>30</v>
      </c>
      <c r="P32" s="24">
        <v>95</v>
      </c>
      <c r="Q32" s="18" t="s">
        <v>240</v>
      </c>
      <c r="R32" s="18" t="s">
        <v>368</v>
      </c>
      <c r="S32" s="42">
        <v>5.133311</v>
      </c>
      <c r="T32" s="40">
        <v>2023</v>
      </c>
      <c r="U32" s="18">
        <v>1</v>
      </c>
      <c r="V32" s="18" t="s">
        <v>409</v>
      </c>
      <c r="W32" s="18" t="s">
        <v>59</v>
      </c>
      <c r="X32" s="18" t="s">
        <v>476</v>
      </c>
      <c r="Y32" s="18" t="s">
        <v>244</v>
      </c>
      <c r="Z32" s="18"/>
      <c r="AA32" s="21">
        <f>COUNTIF(Intervention_Cause_Map!$I$2:$I$19,G32)</f>
        <v>1</v>
      </c>
      <c r="AB32" s="21">
        <f t="shared" si="0"/>
        <v>1</v>
      </c>
      <c r="AC32" s="21" t="str">
        <f t="shared" si="1"/>
        <v>OK</v>
      </c>
    </row>
    <row r="33" spans="1:29">
      <c r="A33" s="18" t="s">
        <v>477</v>
      </c>
      <c r="B33" s="18" t="s">
        <v>478</v>
      </c>
      <c r="C33" s="18" t="s">
        <v>21</v>
      </c>
      <c r="D33" s="46">
        <v>1</v>
      </c>
      <c r="E33" s="18" t="s">
        <v>168</v>
      </c>
      <c r="F33" s="18" t="s">
        <v>143</v>
      </c>
      <c r="G33" s="18" t="s">
        <v>212</v>
      </c>
      <c r="H33" s="18" t="s">
        <v>169</v>
      </c>
      <c r="I33" s="18" t="s">
        <v>144</v>
      </c>
      <c r="J33" s="18" t="s">
        <v>416</v>
      </c>
      <c r="K33" s="18" t="s">
        <v>358</v>
      </c>
      <c r="L33" s="26">
        <v>0.2</v>
      </c>
      <c r="M33" s="18" t="s">
        <v>359</v>
      </c>
      <c r="N33" s="30">
        <v>1</v>
      </c>
      <c r="O33" s="24">
        <v>30</v>
      </c>
      <c r="P33" s="24">
        <v>95</v>
      </c>
      <c r="Q33" s="18" t="s">
        <v>240</v>
      </c>
      <c r="R33" s="18" t="s">
        <v>368</v>
      </c>
      <c r="S33" s="42">
        <v>69.384409000000005</v>
      </c>
      <c r="T33" s="40">
        <v>2023</v>
      </c>
      <c r="U33" s="18">
        <v>1</v>
      </c>
      <c r="V33" s="18"/>
      <c r="W33" s="18" t="s">
        <v>59</v>
      </c>
      <c r="X33" s="18" t="s">
        <v>479</v>
      </c>
      <c r="Y33" s="18" t="s">
        <v>480</v>
      </c>
      <c r="Z33" s="18" t="s">
        <v>481</v>
      </c>
      <c r="AA33" s="21">
        <f>COUNTIF(Intervention_Cause_Map!$I$2:$I$19,G33)</f>
        <v>1</v>
      </c>
      <c r="AB33" s="21">
        <f t="shared" si="0"/>
        <v>1</v>
      </c>
      <c r="AC33" s="21" t="str">
        <f t="shared" si="1"/>
        <v>OK</v>
      </c>
    </row>
    <row r="34" spans="1:29">
      <c r="A34" s="18" t="s">
        <v>482</v>
      </c>
      <c r="B34" s="18" t="s">
        <v>483</v>
      </c>
      <c r="C34" s="18" t="s">
        <v>356</v>
      </c>
      <c r="D34" s="30">
        <v>1</v>
      </c>
      <c r="E34" s="18" t="s">
        <v>168</v>
      </c>
      <c r="F34" s="18" t="s">
        <v>143</v>
      </c>
      <c r="G34" s="18" t="s">
        <v>212</v>
      </c>
      <c r="H34" s="18" t="s">
        <v>169</v>
      </c>
      <c r="I34" s="18" t="s">
        <v>144</v>
      </c>
      <c r="J34" s="18" t="s">
        <v>460</v>
      </c>
      <c r="K34" s="18" t="s">
        <v>358</v>
      </c>
      <c r="L34" s="26">
        <v>0.2</v>
      </c>
      <c r="M34" s="18" t="s">
        <v>359</v>
      </c>
      <c r="N34" s="30">
        <v>1</v>
      </c>
      <c r="O34" s="24">
        <v>30</v>
      </c>
      <c r="P34" s="24">
        <v>95</v>
      </c>
      <c r="Q34" s="18" t="s">
        <v>240</v>
      </c>
      <c r="R34" s="18" t="s">
        <v>368</v>
      </c>
      <c r="S34" s="42">
        <v>152.889884</v>
      </c>
      <c r="T34" s="40">
        <v>2023</v>
      </c>
      <c r="U34" s="18">
        <v>1</v>
      </c>
      <c r="V34" s="18" t="s">
        <v>378</v>
      </c>
      <c r="W34" s="18" t="s">
        <v>59</v>
      </c>
      <c r="X34" s="18" t="s">
        <v>484</v>
      </c>
      <c r="Y34" s="18" t="s">
        <v>244</v>
      </c>
      <c r="Z34" s="18"/>
      <c r="AA34" s="21">
        <f>COUNTIF(Intervention_Cause_Map!$I$2:$I$19,G34)</f>
        <v>1</v>
      </c>
      <c r="AB34" s="21">
        <f t="shared" si="0"/>
        <v>1</v>
      </c>
      <c r="AC34" s="21" t="str">
        <f t="shared" si="1"/>
        <v>OK</v>
      </c>
    </row>
    <row r="35" spans="1:29" ht="22.8">
      <c r="A35" s="5" t="s">
        <v>485</v>
      </c>
      <c r="B35" s="5" t="s">
        <v>486</v>
      </c>
      <c r="C35" s="5" t="s">
        <v>356</v>
      </c>
      <c r="D35" s="47">
        <v>1</v>
      </c>
      <c r="E35" s="5" t="s">
        <v>174</v>
      </c>
      <c r="F35" s="5" t="s">
        <v>171</v>
      </c>
      <c r="G35" s="5" t="s">
        <v>215</v>
      </c>
      <c r="H35" s="5" t="s">
        <v>175</v>
      </c>
      <c r="I35" s="5" t="s">
        <v>172</v>
      </c>
      <c r="J35" s="5" t="s">
        <v>487</v>
      </c>
      <c r="K35" s="5" t="s">
        <v>376</v>
      </c>
      <c r="L35" s="63">
        <v>1.0000000000000001E-5</v>
      </c>
      <c r="M35" s="5" t="s">
        <v>377</v>
      </c>
      <c r="N35" s="31">
        <v>1</v>
      </c>
      <c r="O35" s="25">
        <v>30</v>
      </c>
      <c r="P35" s="25">
        <v>95</v>
      </c>
      <c r="Q35" s="5" t="s">
        <v>240</v>
      </c>
      <c r="R35" s="5" t="s">
        <v>360</v>
      </c>
      <c r="S35" s="44">
        <v>0.70495847821973801</v>
      </c>
      <c r="T35" s="41">
        <v>2023</v>
      </c>
      <c r="U35" s="5">
        <v>1</v>
      </c>
      <c r="V35" s="5" t="s">
        <v>488</v>
      </c>
      <c r="W35" s="5" t="s">
        <v>59</v>
      </c>
      <c r="X35" s="5" t="s">
        <v>489</v>
      </c>
      <c r="Y35" s="5" t="s">
        <v>244</v>
      </c>
      <c r="Z35" s="5" t="s">
        <v>490</v>
      </c>
      <c r="AA35" s="22">
        <f>COUNTIF(Intervention_Cause_Map!$I$2:$I$19,G35)</f>
        <v>2</v>
      </c>
      <c r="AB35" s="22">
        <f t="shared" si="0"/>
        <v>1</v>
      </c>
      <c r="AC35" s="22" t="str">
        <f t="shared" si="1"/>
        <v>OK</v>
      </c>
    </row>
    <row r="36" spans="1:29" ht="22.8">
      <c r="A36" s="18" t="s">
        <v>491</v>
      </c>
      <c r="B36" s="18" t="s">
        <v>492</v>
      </c>
      <c r="C36" s="18" t="s">
        <v>356</v>
      </c>
      <c r="D36" s="30">
        <v>1</v>
      </c>
      <c r="E36" s="18" t="s">
        <v>174</v>
      </c>
      <c r="F36" s="18" t="s">
        <v>171</v>
      </c>
      <c r="G36" s="18" t="s">
        <v>215</v>
      </c>
      <c r="H36" s="18" t="s">
        <v>175</v>
      </c>
      <c r="I36" s="18" t="s">
        <v>172</v>
      </c>
      <c r="J36" s="18" t="s">
        <v>493</v>
      </c>
      <c r="K36" s="18" t="s">
        <v>358</v>
      </c>
      <c r="L36" s="26">
        <v>0.6</v>
      </c>
      <c r="M36" s="18" t="s">
        <v>359</v>
      </c>
      <c r="N36" s="30">
        <v>1</v>
      </c>
      <c r="O36" s="24">
        <v>30</v>
      </c>
      <c r="P36" s="24">
        <v>95</v>
      </c>
      <c r="Q36" s="18" t="s">
        <v>240</v>
      </c>
      <c r="R36" s="18" t="s">
        <v>360</v>
      </c>
      <c r="S36" s="43">
        <v>82.68</v>
      </c>
      <c r="T36" s="40">
        <v>2023</v>
      </c>
      <c r="U36" s="18">
        <v>1</v>
      </c>
      <c r="V36" s="18" t="s">
        <v>494</v>
      </c>
      <c r="W36" s="18" t="s">
        <v>59</v>
      </c>
      <c r="X36" s="18" t="s">
        <v>495</v>
      </c>
      <c r="Y36" s="18" t="s">
        <v>244</v>
      </c>
      <c r="Z36" s="18" t="s">
        <v>496</v>
      </c>
      <c r="AA36" s="21">
        <f>COUNTIF(Intervention_Cause_Map!$I$2:$I$19,G36)</f>
        <v>2</v>
      </c>
      <c r="AB36" s="21">
        <f t="shared" si="0"/>
        <v>1</v>
      </c>
      <c r="AC36" s="21" t="str">
        <f t="shared" si="1"/>
        <v>OK</v>
      </c>
    </row>
    <row r="37" spans="1:29" ht="22.8">
      <c r="A37" s="18" t="s">
        <v>497</v>
      </c>
      <c r="B37" s="18" t="s">
        <v>498</v>
      </c>
      <c r="C37" s="18" t="s">
        <v>356</v>
      </c>
      <c r="D37" s="30">
        <v>1</v>
      </c>
      <c r="E37" s="18" t="s">
        <v>174</v>
      </c>
      <c r="F37" s="18" t="s">
        <v>171</v>
      </c>
      <c r="G37" s="18" t="s">
        <v>215</v>
      </c>
      <c r="H37" s="18" t="s">
        <v>175</v>
      </c>
      <c r="I37" s="18" t="s">
        <v>172</v>
      </c>
      <c r="J37" s="18" t="s">
        <v>499</v>
      </c>
      <c r="K37" s="18" t="s">
        <v>358</v>
      </c>
      <c r="L37" s="26">
        <v>0.2</v>
      </c>
      <c r="M37" s="18" t="s">
        <v>359</v>
      </c>
      <c r="N37" s="30">
        <v>1</v>
      </c>
      <c r="O37" s="24">
        <v>30</v>
      </c>
      <c r="P37" s="24">
        <v>95</v>
      </c>
      <c r="Q37" s="18" t="s">
        <v>240</v>
      </c>
      <c r="R37" s="18" t="s">
        <v>360</v>
      </c>
      <c r="S37" s="43">
        <v>82.68</v>
      </c>
      <c r="T37" s="40">
        <v>2023</v>
      </c>
      <c r="U37" s="18">
        <v>1</v>
      </c>
      <c r="V37" s="18" t="s">
        <v>494</v>
      </c>
      <c r="W37" s="18" t="s">
        <v>59</v>
      </c>
      <c r="X37" s="18" t="s">
        <v>500</v>
      </c>
      <c r="Y37" s="18" t="s">
        <v>244</v>
      </c>
      <c r="Z37" s="18" t="s">
        <v>501</v>
      </c>
      <c r="AA37" s="21">
        <f>COUNTIF(Intervention_Cause_Map!$I$2:$I$19,G37)</f>
        <v>2</v>
      </c>
      <c r="AB37" s="21">
        <f t="shared" si="0"/>
        <v>1</v>
      </c>
      <c r="AC37" s="21" t="str">
        <f t="shared" si="1"/>
        <v>OK</v>
      </c>
    </row>
    <row r="38" spans="1:29" ht="22.8">
      <c r="A38" s="18" t="s">
        <v>673</v>
      </c>
      <c r="B38" s="18" t="s">
        <v>674</v>
      </c>
      <c r="C38" s="18" t="s">
        <v>356</v>
      </c>
      <c r="D38" s="30">
        <v>1</v>
      </c>
      <c r="E38" s="18" t="s">
        <v>661</v>
      </c>
      <c r="F38" s="18" t="s">
        <v>143</v>
      </c>
      <c r="G38" s="18" t="s">
        <v>664</v>
      </c>
      <c r="H38" s="18" t="s">
        <v>614</v>
      </c>
      <c r="I38" s="18" t="s">
        <v>144</v>
      </c>
      <c r="J38" s="18" t="s">
        <v>675</v>
      </c>
      <c r="K38" s="18" t="s">
        <v>395</v>
      </c>
      <c r="L38" s="26">
        <v>1</v>
      </c>
      <c r="M38" s="18" t="s">
        <v>396</v>
      </c>
      <c r="N38" s="30">
        <v>1</v>
      </c>
      <c r="O38" s="24">
        <v>30</v>
      </c>
      <c r="P38" s="24">
        <v>95</v>
      </c>
      <c r="Q38" s="18" t="s">
        <v>240</v>
      </c>
      <c r="R38" s="18" t="s">
        <v>368</v>
      </c>
      <c r="S38" s="45">
        <v>1718.8</v>
      </c>
      <c r="T38" s="40">
        <v>2023</v>
      </c>
      <c r="U38" s="18">
        <v>1</v>
      </c>
      <c r="V38" s="18" t="s">
        <v>409</v>
      </c>
      <c r="W38" s="18" t="s">
        <v>676</v>
      </c>
      <c r="X38" s="18" t="s">
        <v>677</v>
      </c>
      <c r="Y38" s="18" t="s">
        <v>244</v>
      </c>
      <c r="Z38" s="18" t="s">
        <v>678</v>
      </c>
      <c r="AA38" s="21">
        <f>COUNTIF(Intervention_Cause_Map!$I$2:$I$19,G38)</f>
        <v>1</v>
      </c>
      <c r="AB38" s="21">
        <f t="shared" si="0"/>
        <v>1</v>
      </c>
      <c r="AC38" s="21" t="str">
        <f t="shared" si="1"/>
        <v>OK</v>
      </c>
    </row>
    <row r="41" spans="1:29">
      <c r="S41" s="64"/>
    </row>
    <row r="43" spans="1:29">
      <c r="S43" s="64"/>
    </row>
  </sheetData>
  <conditionalFormatting sqref="Y2:Y38 AC2:AC38">
    <cfRule type="containsText" dxfId="15" priority="1" operator="containsText" text="OK"/>
    <cfRule type="containsText" dxfId="14" priority="3" operator="containsText" text="FAIL"/>
    <cfRule type="containsText" dxfId="13" priority="5" operator="containsText" text="REVIEW"/>
    <cfRule type="containsText" dxfId="12" priority="6" operator="containsText" text="BAD"/>
  </conditionalFormatting>
  <dataValidations count="1">
    <dataValidation type="list" sqref="D2:D35" xr:uid="{00000000-0002-0000-0600-000000000000}">
      <formula1>"0,1"</formula1>
    </dataValidation>
  </dataValidations>
  <pageMargins left="0.7" right="0.7" top="0.75" bottom="0.75" header="0.3" footer="0.3"/>
  <drawing r:id="rId1"/>
  <legacyDrawing r:id="rId2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6" tint="0.39997558519241921"/>
  </sheetPr>
  <dimension ref="A1:Q19"/>
  <sheetViews>
    <sheetView showGridLines="0" tabSelected="1" topLeftCell="J1" workbookViewId="0">
      <selection activeCell="P18" sqref="P18"/>
    </sheetView>
  </sheetViews>
  <sheetFormatPr defaultColWidth="11.19921875" defaultRowHeight="13.8"/>
  <cols>
    <col min="1" max="1" width="30" customWidth="1"/>
    <col min="2" max="3" width="38" customWidth="1"/>
    <col min="4" max="5" width="18" customWidth="1"/>
    <col min="6" max="6" width="15" customWidth="1"/>
    <col min="7" max="7" width="17" customWidth="1"/>
    <col min="8" max="10" width="18" customWidth="1"/>
    <col min="11" max="11" width="22" customWidth="1"/>
    <col min="12" max="12" width="26" customWidth="1"/>
    <col min="13" max="13" width="30" customWidth="1"/>
    <col min="14" max="14" width="20" customWidth="1"/>
    <col min="15" max="15" width="22" customWidth="1"/>
    <col min="16" max="16" width="24" customWidth="1"/>
    <col min="17" max="17" width="20" customWidth="1"/>
  </cols>
  <sheetData>
    <row r="1" spans="1:17" ht="34.049999999999997" customHeight="1">
      <c r="A1" s="14" t="s">
        <v>181</v>
      </c>
      <c r="B1" s="15" t="s">
        <v>128</v>
      </c>
      <c r="C1" s="15" t="s">
        <v>132</v>
      </c>
      <c r="D1" s="15" t="s">
        <v>221</v>
      </c>
      <c r="E1" s="15" t="s">
        <v>222</v>
      </c>
      <c r="F1" s="15" t="s">
        <v>224</v>
      </c>
      <c r="G1" s="15" t="s">
        <v>225</v>
      </c>
      <c r="H1" s="15" t="s">
        <v>297</v>
      </c>
      <c r="I1" s="15" t="s">
        <v>299</v>
      </c>
      <c r="J1" s="15" t="s">
        <v>502</v>
      </c>
      <c r="K1" s="15" t="s">
        <v>503</v>
      </c>
      <c r="L1" s="15" t="s">
        <v>504</v>
      </c>
      <c r="M1" s="15" t="s">
        <v>184</v>
      </c>
      <c r="N1" s="15" t="s">
        <v>185</v>
      </c>
      <c r="O1" s="15" t="s">
        <v>505</v>
      </c>
      <c r="P1" s="15" t="s">
        <v>506</v>
      </c>
      <c r="Q1" s="16" t="s">
        <v>233</v>
      </c>
    </row>
    <row r="2" spans="1:17">
      <c r="A2" s="17" t="s">
        <v>189</v>
      </c>
      <c r="B2" s="17" t="s">
        <v>136</v>
      </c>
      <c r="C2" s="17" t="s">
        <v>137</v>
      </c>
      <c r="D2" s="20" t="str">
        <f>INDEX(Effect_Sizes!$G$2:$G$19,MATCH(A2,Effect_Sizes!$B$2:$B$19,0))</f>
        <v>sick</v>
      </c>
      <c r="E2" s="20" t="str">
        <f>INDEX(Effect_Sizes!$H$2:$H$19,MATCH(A2,Effect_Sizes!$B$2:$B$19,0))</f>
        <v>dead_rhd</v>
      </c>
      <c r="F2" s="32">
        <f>SUMIF(Effect_Sizes!$B$2:$B$19,A2,Effect_Sizes!$J$2:$J$19)</f>
        <v>0.55000000000000004</v>
      </c>
      <c r="G2" s="32">
        <f>SUMIF(Effect_Sizes!$B$2:$B$19,A2,Effect_Sizes!$K$2:$K$19)</f>
        <v>1</v>
      </c>
      <c r="H2" s="32">
        <f>SUMIF(Coverage!$B$2:$B$19,A2,Coverage!$G$2:$G$19)</f>
        <v>0.40110000000000001</v>
      </c>
      <c r="I2" s="32">
        <f>SUMIF(Coverage!$B$2:$B$19,A2,Coverage!$I$2:$I$19)</f>
        <v>0.8</v>
      </c>
      <c r="J2" s="32">
        <f t="shared" ref="J2:J18" si="0">IF(H2="","",I2-H2)</f>
        <v>0.39890000000000003</v>
      </c>
      <c r="K2" s="32">
        <f>IF(OR(H2="",F2=""),"",F2*J2/(1-F2*H2))</f>
        <v>0.28149397930446057</v>
      </c>
      <c r="L2" s="32">
        <f t="shared" ref="L2:L18" si="1">IF(K2="","",K2*G2)</f>
        <v>0.28149397930446057</v>
      </c>
      <c r="M2" s="20" t="s">
        <v>189</v>
      </c>
      <c r="N2" s="20" t="s">
        <v>190</v>
      </c>
      <c r="O2" s="35">
        <f>COUNTIFS(Cost_Components!$G$2:$G$38,M2,Cost_Components!$D$2:$D$38,1)</f>
        <v>1</v>
      </c>
      <c r="P2" s="48">
        <f>SUMIFS(Cost_Components!$S$2:$S$38,Cost_Components!$G$2:$G$38,M2,Cost_Components!$D$2:$D$38,1)</f>
        <v>68.174792999999994</v>
      </c>
      <c r="Q2" s="20" t="str">
        <f>IF(H2=0,"MISSING COVERAGE",IF(O2=0,"REVIEW COST",IF(COUNTIF(Effect_Sizes!$B$2:$B$19,A2)&lt;&gt;1,"BAD EFFECT KEY","REVIEWED LINK")))</f>
        <v>REVIEWED LINK</v>
      </c>
    </row>
    <row r="3" spans="1:17">
      <c r="A3" s="18" t="s">
        <v>192</v>
      </c>
      <c r="B3" s="18" t="s">
        <v>141</v>
      </c>
      <c r="C3" s="18" t="s">
        <v>137</v>
      </c>
      <c r="D3" s="21" t="str">
        <f>INDEX(Effect_Sizes!$G$2:$G$19,MATCH(A3,Effect_Sizes!$B$2:$B$19,0))</f>
        <v>sick_severe</v>
      </c>
      <c r="E3" s="21" t="str">
        <f>INDEX(Effect_Sizes!$H$2:$H$19,MATCH(A3,Effect_Sizes!$B$2:$B$19,0))</f>
        <v>dead_rhd</v>
      </c>
      <c r="F3" s="33">
        <f>SUMIF(Effect_Sizes!$B$2:$B$19,A3,Effect_Sizes!$J$2:$J$19)</f>
        <v>0.75</v>
      </c>
      <c r="G3" s="33">
        <f>SUMIF(Effect_Sizes!$B$2:$B$19,A3,Effect_Sizes!$K$2:$K$19)</f>
        <v>0.1</v>
      </c>
      <c r="H3" s="33">
        <f>SUMIF(Coverage!$B$2:$B$19,A3,Coverage!$G$2:$G$19)</f>
        <v>6.6400000000000001E-2</v>
      </c>
      <c r="I3" s="33">
        <f>SUMIF(Coverage!$B$2:$B$19,A3,Coverage!$I$2:$I$19)</f>
        <v>0.8</v>
      </c>
      <c r="J3" s="33">
        <f t="shared" si="0"/>
        <v>0.73360000000000003</v>
      </c>
      <c r="K3" s="33">
        <f t="shared" ref="K3:K18" si="2">IF(OR(H3="",F3=""),"",F3*J3/(1-F3*H3))</f>
        <v>0.57903599242264781</v>
      </c>
      <c r="L3" s="33">
        <f>IF(K3="","",K3*G3)</f>
        <v>5.7903599242264785E-2</v>
      </c>
      <c r="M3" s="21" t="s">
        <v>192</v>
      </c>
      <c r="N3" s="21" t="s">
        <v>190</v>
      </c>
      <c r="O3" s="36">
        <f>COUNTIFS(Cost_Components!$G$2:$G$38,M3,Cost_Components!$D$2:$D$38,1)</f>
        <v>1</v>
      </c>
      <c r="P3" s="49">
        <f>SUMIFS(Cost_Components!$S$2:$S$38,Cost_Components!$G$2:$G$38,M3,Cost_Components!$D$2:$D$38,1)</f>
        <v>3766.310954</v>
      </c>
      <c r="Q3" s="21" t="str">
        <f>IF(H3=0,"MISSING COVERAGE",IF(O3=0,"REVIEW COST",IF(COUNTIF(Effect_Sizes!$B$2:$B$19,A3)&lt;&gt;1,"BAD EFFECT KEY","REVIEWED LINK")))</f>
        <v>REVIEWED LINK</v>
      </c>
    </row>
    <row r="4" spans="1:17">
      <c r="A4" s="18" t="s">
        <v>194</v>
      </c>
      <c r="B4" s="18" t="s">
        <v>146</v>
      </c>
      <c r="C4" s="18" t="s">
        <v>144</v>
      </c>
      <c r="D4" s="21" t="str">
        <f>INDEX(Effect_Sizes!$G$2:$G$19,MATCH(A4,Effect_Sizes!$B$2:$B$19,0))</f>
        <v>well</v>
      </c>
      <c r="E4" s="21" t="str">
        <f>INDEX(Effect_Sizes!$H$2:$H$19,MATCH(A4,Effect_Sizes!$B$2:$B$19,0))</f>
        <v>sick</v>
      </c>
      <c r="F4" s="33">
        <f>SUMIF(Effect_Sizes!$B$2:$B$19,A4,Effect_Sizes!$J$2:$J$19)</f>
        <v>0.57999999999999996</v>
      </c>
      <c r="G4" s="33">
        <f>SUMIF(Effect_Sizes!$B$2:$B$19,A4,Effect_Sizes!$K$2:$K$19)</f>
        <v>0.8</v>
      </c>
      <c r="H4" s="33">
        <f>SUMIF(Coverage!$B$2:$B$19,A4,Coverage!$G$2:$G$19)</f>
        <v>0.24660000000000001</v>
      </c>
      <c r="I4" s="33">
        <f>SUMIF(Coverage!$B$2:$B$19,A4,Coverage!$I$2:$I$19)</f>
        <v>0.8</v>
      </c>
      <c r="J4" s="33">
        <f t="shared" si="0"/>
        <v>0.5534</v>
      </c>
      <c r="K4" s="33">
        <f t="shared" si="2"/>
        <v>0.37454199203707933</v>
      </c>
      <c r="L4" s="33">
        <f>IF(K4="","",K4*G4)</f>
        <v>0.29963359362966346</v>
      </c>
      <c r="M4" s="21" t="s">
        <v>195</v>
      </c>
      <c r="N4" s="21" t="s">
        <v>196</v>
      </c>
      <c r="O4" s="36">
        <f>COUNTIFS(Cost_Components!$G$2:$G$38,M4,Cost_Components!$D$2:$D$38,1)</f>
        <v>2</v>
      </c>
      <c r="P4" s="49">
        <f>SUMIFS(Cost_Components!$S$2:$S$38,Cost_Components!$G$2:$G$38,M4,Cost_Components!$D$2:$D$38,1)</f>
        <v>70.596579000000006</v>
      </c>
      <c r="Q4" s="21" t="str">
        <f>IF(H4=0,"MISSING COVERAGE",IF(O4=0,"REVIEW COST",IF(COUNTIF(Effect_Sizes!$B$2:$B$19,A4)&lt;&gt;1,"BAD EFFECT KEY","REVIEWED LINK")))</f>
        <v>REVIEWED LINK</v>
      </c>
    </row>
    <row r="5" spans="1:17">
      <c r="A5" s="18" t="s">
        <v>198</v>
      </c>
      <c r="B5" s="18" t="s">
        <v>146</v>
      </c>
      <c r="C5" s="18" t="s">
        <v>150</v>
      </c>
      <c r="D5" s="21" t="str">
        <f>INDEX(Effect_Sizes!$G$2:$G$19,MATCH(A5,Effect_Sizes!$B$2:$B$19,0))</f>
        <v>well</v>
      </c>
      <c r="E5" s="21" t="str">
        <f>INDEX(Effect_Sizes!$H$2:$H$19,MATCH(A5,Effect_Sizes!$B$2:$B$19,0))</f>
        <v>sick</v>
      </c>
      <c r="F5" s="33">
        <f>SUMIF(Effect_Sizes!$B$2:$B$19,A5,Effect_Sizes!$J$2:$J$19)</f>
        <v>0.54</v>
      </c>
      <c r="G5" s="33">
        <f>SUMIF(Effect_Sizes!$B$2:$B$19,A5,Effect_Sizes!$K$2:$K$19)</f>
        <v>0.8</v>
      </c>
      <c r="H5" s="33">
        <f>SUMIF(Coverage!$B$2:$B$19,A5,Coverage!$G$2:$G$19)</f>
        <v>0.24660000000000001</v>
      </c>
      <c r="I5" s="33">
        <f>SUMIF(Coverage!$B$2:$B$19,A5,Coverage!$I$2:$I$19)</f>
        <v>0.8</v>
      </c>
      <c r="J5" s="33">
        <f t="shared" si="0"/>
        <v>0.5534</v>
      </c>
      <c r="K5" s="33">
        <f>IF(OR(H5="",F5=""),"",F5*J5/(1-F5*H5))</f>
        <v>0.34474341167187345</v>
      </c>
      <c r="L5" s="33">
        <f t="shared" si="1"/>
        <v>0.27579472933749877</v>
      </c>
      <c r="M5" s="21" t="s">
        <v>195</v>
      </c>
      <c r="N5" s="21" t="s">
        <v>196</v>
      </c>
      <c r="O5" s="36">
        <f>COUNTIFS(Cost_Components!$G$2:$G$38,M5,Cost_Components!$D$2:$D$38,1)</f>
        <v>2</v>
      </c>
      <c r="P5" s="49">
        <f>SUMIFS(Cost_Components!$S$2:$S$38,Cost_Components!$G$2:$G$38,M5,Cost_Components!$D$2:$D$38,1)</f>
        <v>70.596579000000006</v>
      </c>
      <c r="Q5" s="21" t="str">
        <f>IF(H5=0,"MISSING COVERAGE",IF(O5=0,"REVIEW COST",IF(COUNTIF(Effect_Sizes!$B$2:$B$19,A5)&lt;&gt;1,"BAD EFFECT KEY","REVIEWED LINK")))</f>
        <v>REVIEWED LINK</v>
      </c>
    </row>
    <row r="6" spans="1:17">
      <c r="A6" s="18" t="s">
        <v>199</v>
      </c>
      <c r="B6" s="18" t="s">
        <v>146</v>
      </c>
      <c r="C6" s="18" t="s">
        <v>156</v>
      </c>
      <c r="D6" s="21" t="str">
        <f>INDEX(Effect_Sizes!$G$2:$G$19,MATCH(A6,Effect_Sizes!$B$2:$B$19,0))</f>
        <v>well</v>
      </c>
      <c r="E6" s="21" t="str">
        <f>INDEX(Effect_Sizes!$H$2:$H$19,MATCH(A6,Effect_Sizes!$B$2:$B$19,0))</f>
        <v>sick</v>
      </c>
      <c r="F6" s="33">
        <f>SUMIF(Effect_Sizes!$B$2:$B$19,A6,Effect_Sizes!$J$2:$J$19)</f>
        <v>0.49</v>
      </c>
      <c r="G6" s="33">
        <f>SUMIF(Effect_Sizes!$B$2:$B$19,A6,Effect_Sizes!$K$2:$K$19)</f>
        <v>0.8</v>
      </c>
      <c r="H6" s="33">
        <f>SUMIF(Coverage!$B$2:$B$19,A6,Coverage!$G$2:$G$19)</f>
        <v>0.24660000000000001</v>
      </c>
      <c r="I6" s="33">
        <f>SUMIF(Coverage!$B$2:$B$19,A6,Coverage!$I$2:$I$19)</f>
        <v>0.8</v>
      </c>
      <c r="J6" s="33">
        <f t="shared" si="0"/>
        <v>0.5534</v>
      </c>
      <c r="K6" s="33">
        <f t="shared" si="2"/>
        <v>0.30843549454824232</v>
      </c>
      <c r="L6" s="33">
        <f t="shared" si="1"/>
        <v>0.24674839563859385</v>
      </c>
      <c r="M6" s="21" t="s">
        <v>195</v>
      </c>
      <c r="N6" s="21" t="s">
        <v>196</v>
      </c>
      <c r="O6" s="36">
        <f>COUNTIFS(Cost_Components!$G$2:$G$38,M6,Cost_Components!$D$2:$D$38,1)</f>
        <v>2</v>
      </c>
      <c r="P6" s="49">
        <f>SUMIFS(Cost_Components!$S$2:$S$38,Cost_Components!$G$2:$G$38,M6,Cost_Components!$D$2:$D$38,1)</f>
        <v>70.596579000000006</v>
      </c>
      <c r="Q6" s="21" t="str">
        <f>IF(H6=0,"MISSING COVERAGE",IF(O6=0,"REVIEW COST",IF(COUNTIF(Effect_Sizes!$B$2:$B$19,A6)&lt;&gt;1,"BAD EFFECT KEY","REVIEWED LINK")))</f>
        <v>REVIEWED LINK</v>
      </c>
    </row>
    <row r="7" spans="1:17">
      <c r="A7" s="18" t="s">
        <v>200</v>
      </c>
      <c r="B7" s="18" t="s">
        <v>146</v>
      </c>
      <c r="C7" s="18" t="s">
        <v>161</v>
      </c>
      <c r="D7" s="21" t="str">
        <f>INDEX(Effect_Sizes!$G$2:$G$19,MATCH(A7,Effect_Sizes!$B$2:$B$19,0))</f>
        <v>well</v>
      </c>
      <c r="E7" s="21" t="str">
        <f>INDEX(Effect_Sizes!$H$2:$H$19,MATCH(A7,Effect_Sizes!$B$2:$B$19,0))</f>
        <v>sick</v>
      </c>
      <c r="F7" s="33">
        <f>SUMIF(Effect_Sizes!$B$2:$B$19,A7,Effect_Sizes!$J$2:$J$19)</f>
        <v>0.47</v>
      </c>
      <c r="G7" s="33">
        <f>SUMIF(Effect_Sizes!$B$2:$B$19,A7,Effect_Sizes!$K$2:$K$19)</f>
        <v>1</v>
      </c>
      <c r="H7" s="33">
        <f>SUMIF(Coverage!$B$2:$B$19,A7,Coverage!$G$2:$G$19)</f>
        <v>0.24660000000000001</v>
      </c>
      <c r="I7" s="33">
        <f>SUMIF(Coverage!$B$2:$B$19,A7,Coverage!$I$2:$I$19)</f>
        <v>0.8</v>
      </c>
      <c r="J7" s="33">
        <f t="shared" si="0"/>
        <v>0.5534</v>
      </c>
      <c r="K7" s="33">
        <f t="shared" si="2"/>
        <v>0.29419589231058091</v>
      </c>
      <c r="L7" s="33">
        <f t="shared" si="1"/>
        <v>0.29419589231058091</v>
      </c>
      <c r="M7" s="21" t="s">
        <v>195</v>
      </c>
      <c r="N7" s="21" t="s">
        <v>196</v>
      </c>
      <c r="O7" s="36">
        <f>COUNTIFS(Cost_Components!$G$2:$G$38,M7,Cost_Components!$D$2:$D$38,1)</f>
        <v>2</v>
      </c>
      <c r="P7" s="49">
        <f>SUMIFS(Cost_Components!$S$2:$S$38,Cost_Components!$G$2:$G$38,M7,Cost_Components!$D$2:$D$38,1)</f>
        <v>70.596579000000006</v>
      </c>
      <c r="Q7" s="21" t="str">
        <f>IF(H7=0,"MISSING COVERAGE",IF(O7=0,"REVIEW COST",IF(COUNTIF(Effect_Sizes!$B$2:$B$19,A7)&lt;&gt;1,"BAD EFFECT KEY","REVIEWED LINK")))</f>
        <v>REVIEWED LINK</v>
      </c>
    </row>
    <row r="8" spans="1:17">
      <c r="A8" s="18" t="s">
        <v>201</v>
      </c>
      <c r="B8" s="18" t="s">
        <v>152</v>
      </c>
      <c r="C8" s="18" t="s">
        <v>144</v>
      </c>
      <c r="D8" s="21" t="str">
        <f>INDEX(Effect_Sizes!$G$2:$G$19,MATCH(A8,Effect_Sizes!$B$2:$B$19,0))</f>
        <v>sick</v>
      </c>
      <c r="E8" s="21" t="str">
        <f>INDEX(Effect_Sizes!$H$2:$H$19,MATCH(A8,Effect_Sizes!$B$2:$B$19,0))</f>
        <v>dead_ihd</v>
      </c>
      <c r="F8" s="33">
        <f>SUMIF(Effect_Sizes!$B$2:$B$19,A8,Effect_Sizes!$J$2:$J$19)</f>
        <v>0.58220000000000005</v>
      </c>
      <c r="G8" s="33">
        <f>SUMIF(Effect_Sizes!$B$2:$B$19,A8,Effect_Sizes!$K$2:$K$19)</f>
        <v>0.2</v>
      </c>
      <c r="H8" s="33">
        <f>SUMIF(Coverage!$B$2:$B$19,A8,Coverage!$G$2:$G$19)</f>
        <v>0.53010000000000002</v>
      </c>
      <c r="I8" s="33">
        <f>SUMIF(Coverage!$B$2:$B$19,A8,Coverage!$I$2:$I$19)</f>
        <v>0.8</v>
      </c>
      <c r="J8" s="33">
        <f t="shared" si="0"/>
        <v>0.26990000000000003</v>
      </c>
      <c r="K8" s="33">
        <f t="shared" si="2"/>
        <v>0.22727984483344213</v>
      </c>
      <c r="L8" s="33">
        <f t="shared" si="1"/>
        <v>4.545596896668843E-2</v>
      </c>
      <c r="M8" s="21" t="s">
        <v>201</v>
      </c>
      <c r="N8" s="21" t="s">
        <v>190</v>
      </c>
      <c r="O8" s="36">
        <f>COUNTIFS(Cost_Components!$G$2:$G$38,M8,Cost_Components!$D$2:$D$38,1)</f>
        <v>3</v>
      </c>
      <c r="P8" s="49">
        <f>SUMIFS(Cost_Components!$S$2:$S$38,Cost_Components!$G$2:$G$38,M8,Cost_Components!$D$2:$D$38,1)</f>
        <v>290.91923610000003</v>
      </c>
      <c r="Q8" s="21" t="str">
        <f>IF(H8=0,"MISSING COVERAGE",IF(O8=0,"REVIEW COST",IF(COUNTIF(Effect_Sizes!$B$2:$B$19,A8)&lt;&gt;1,"BAD EFFECT KEY","REVIEWED LINK")))</f>
        <v>REVIEWED LINK</v>
      </c>
    </row>
    <row r="9" spans="1:17">
      <c r="A9" s="18" t="s">
        <v>203</v>
      </c>
      <c r="B9" s="18" t="s">
        <v>158</v>
      </c>
      <c r="C9" s="18" t="s">
        <v>150</v>
      </c>
      <c r="D9" s="21" t="str">
        <f>INDEX(Effect_Sizes!$G$2:$G$19,MATCH(A9,Effect_Sizes!$B$2:$B$19,0))</f>
        <v>sick</v>
      </c>
      <c r="E9" s="21" t="str">
        <f>INDEX(Effect_Sizes!$H$2:$H$19,MATCH(A9,Effect_Sizes!$B$2:$B$19,0))</f>
        <v>dead_is</v>
      </c>
      <c r="F9" s="33">
        <f>SUMIF(Effect_Sizes!$B$2:$B$19,A9,Effect_Sizes!$J$2:$J$19)</f>
        <v>0.23</v>
      </c>
      <c r="G9" s="33">
        <f>SUMIF(Effect_Sizes!$B$2:$B$19,A9,Effect_Sizes!$K$2:$K$19)</f>
        <v>0.2</v>
      </c>
      <c r="H9" s="33">
        <f>SUMIF(Coverage!$B$2:$B$19,A9,Coverage!$G$2:$G$19)</f>
        <v>0.38219999999999998</v>
      </c>
      <c r="I9" s="33">
        <f>SUMIF(Coverage!$B$2:$B$19,A9,Coverage!$I$2:$I$19)</f>
        <v>0.8</v>
      </c>
      <c r="J9" s="33">
        <f t="shared" si="0"/>
        <v>0.41780000000000006</v>
      </c>
      <c r="K9" s="33">
        <f t="shared" si="2"/>
        <v>0.10535536907380162</v>
      </c>
      <c r="L9" s="33">
        <f t="shared" si="1"/>
        <v>2.1071073814760324E-2</v>
      </c>
      <c r="M9" s="21" t="s">
        <v>203</v>
      </c>
      <c r="N9" s="21" t="s">
        <v>190</v>
      </c>
      <c r="O9" s="36">
        <f>COUNTIFS(Cost_Components!$G$2:$G$38,M9,Cost_Components!$D$2:$D$38,1)</f>
        <v>3</v>
      </c>
      <c r="P9" s="49">
        <f>SUMIFS(Cost_Components!$S$2:$S$38,Cost_Components!$G$2:$G$38,M9,Cost_Components!$D$2:$D$38,1)</f>
        <v>818.08165899999995</v>
      </c>
      <c r="Q9" s="21" t="str">
        <f>IF(H9=0,"MISSING COVERAGE",IF(O9=0,"REVIEW COST",IF(COUNTIF(Effect_Sizes!$B$2:$B$19,A9)&lt;&gt;1,"BAD EFFECT KEY","REVIEWED LINK")))</f>
        <v>REVIEWED LINK</v>
      </c>
    </row>
    <row r="10" spans="1:17">
      <c r="A10" s="18" t="s">
        <v>205</v>
      </c>
      <c r="B10" s="18" t="s">
        <v>158</v>
      </c>
      <c r="C10" s="18" t="s">
        <v>156</v>
      </c>
      <c r="D10" s="21" t="str">
        <f>INDEX(Effect_Sizes!$G$2:$G$19,MATCH(A10,Effect_Sizes!$B$2:$B$19,0))</f>
        <v>sick</v>
      </c>
      <c r="E10" s="21" t="str">
        <f>INDEX(Effect_Sizes!$H$2:$H$19,MATCH(A10,Effect_Sizes!$B$2:$B$19,0))</f>
        <v>dead_ich</v>
      </c>
      <c r="F10" s="33">
        <f>SUMIF(Effect_Sizes!$B$2:$B$19,A10,Effect_Sizes!$J$2:$J$19)</f>
        <v>0.08</v>
      </c>
      <c r="G10" s="33">
        <f>SUMIF(Effect_Sizes!$B$2:$B$19,A10,Effect_Sizes!$K$2:$K$19)</f>
        <v>0.2</v>
      </c>
      <c r="H10" s="33">
        <f>SUMIF(Coverage!$B$2:$B$19,A10,Coverage!$G$2:$G$19)</f>
        <v>0.21240000000000001</v>
      </c>
      <c r="I10" s="33">
        <f>SUMIF(Coverage!$B$2:$B$19,A10,Coverage!$I$2:$I$19)</f>
        <v>0.8</v>
      </c>
      <c r="J10" s="33">
        <f t="shared" si="0"/>
        <v>0.58760000000000001</v>
      </c>
      <c r="K10" s="33">
        <f t="shared" si="2"/>
        <v>4.7820567075751164E-2</v>
      </c>
      <c r="L10" s="33">
        <f t="shared" si="1"/>
        <v>9.5641134151502327E-3</v>
      </c>
      <c r="M10" s="21" t="s">
        <v>205</v>
      </c>
      <c r="N10" s="21" t="s">
        <v>190</v>
      </c>
      <c r="O10" s="36">
        <f>COUNTIFS(Cost_Components!$G$2:$G$38,M10,Cost_Components!$D$2:$D$38,1)</f>
        <v>3</v>
      </c>
      <c r="P10" s="49">
        <f>SUMIFS(Cost_Components!$S$2:$S$38,Cost_Components!$G$2:$G$38,M10,Cost_Components!$D$2:$D$38,1)</f>
        <v>1364.0206860000001</v>
      </c>
      <c r="Q10" s="21" t="str">
        <f>IF(H10=0,"MISSING COVERAGE",IF(O10=0,"REVIEW COST",IF(COUNTIF(Effect_Sizes!$B$2:$B$19,A10)&lt;&gt;1,"BAD EFFECT KEY","REVIEWED LINK")))</f>
        <v>REVIEWED LINK</v>
      </c>
    </row>
    <row r="11" spans="1:17">
      <c r="A11" s="18" t="s">
        <v>206</v>
      </c>
      <c r="B11" s="18" t="s">
        <v>163</v>
      </c>
      <c r="C11" s="18" t="s">
        <v>144</v>
      </c>
      <c r="D11" s="21" t="str">
        <f>INDEX(Effect_Sizes!$G$2:$G$19,MATCH(A11,Effect_Sizes!$B$2:$B$19,0))</f>
        <v>sick_hf</v>
      </c>
      <c r="E11" s="21" t="str">
        <f>INDEX(Effect_Sizes!$H$2:$H$19,MATCH(A11,Effect_Sizes!$B$2:$B$19,0))</f>
        <v>dead_ihd</v>
      </c>
      <c r="F11" s="33">
        <f>SUMIF(Effect_Sizes!$B$2:$B$19,A11,Effect_Sizes!$J$2:$J$19)</f>
        <v>0.18</v>
      </c>
      <c r="G11" s="33">
        <f>SUMIF(Effect_Sizes!$B$2:$B$19,A11,Effect_Sizes!$K$2:$K$19)</f>
        <v>0.05</v>
      </c>
      <c r="H11" s="33">
        <f>SUMIF(Coverage!$B$2:$B$19,A11,Coverage!$G$2:$G$19)</f>
        <v>0.26840000000000003</v>
      </c>
      <c r="I11" s="33">
        <f>SUMIF(Coverage!$B$2:$B$19,A11,Coverage!$I$2:$I$19)</f>
        <v>0.8</v>
      </c>
      <c r="J11" s="33">
        <f t="shared" si="0"/>
        <v>0.53160000000000007</v>
      </c>
      <c r="K11" s="33">
        <f t="shared" si="2"/>
        <v>0.10054555694723483</v>
      </c>
      <c r="L11" s="33">
        <f t="shared" si="1"/>
        <v>5.0272778473617417E-3</v>
      </c>
      <c r="M11" s="21" t="s">
        <v>206</v>
      </c>
      <c r="N11" s="21" t="s">
        <v>190</v>
      </c>
      <c r="O11" s="36">
        <f>COUNTIFS(Cost_Components!$G$2:$G$38,M11,Cost_Components!$D$2:$D$38,1)</f>
        <v>1</v>
      </c>
      <c r="P11" s="49">
        <f>SUMIFS(Cost_Components!$S$2:$S$38,Cost_Components!$G$2:$G$38,M11,Cost_Components!$D$2:$D$38,1)</f>
        <v>575.48694599999999</v>
      </c>
      <c r="Q11" s="21" t="str">
        <f>IF(H11=0,"MISSING COVERAGE",IF(O11=0,"REVIEW COST",IF(COUNTIF(Effect_Sizes!$B$2:$B$19,A11)&lt;&gt;1,"BAD EFFECT KEY","REVIEWED LINK")))</f>
        <v>REVIEWED LINK</v>
      </c>
    </row>
    <row r="12" spans="1:17">
      <c r="A12" s="18" t="s">
        <v>208</v>
      </c>
      <c r="B12" s="18" t="s">
        <v>163</v>
      </c>
      <c r="C12" s="18" t="s">
        <v>161</v>
      </c>
      <c r="D12" s="21" t="str">
        <f>INDEX(Effect_Sizes!$G$2:$G$19,MATCH(A12,Effect_Sizes!$B$2:$B$19,0))</f>
        <v>sick_hf</v>
      </c>
      <c r="E12" s="21" t="str">
        <f>INDEX(Effect_Sizes!$H$2:$H$19,MATCH(A12,Effect_Sizes!$B$2:$B$19,0))</f>
        <v>dead_hhd</v>
      </c>
      <c r="F12" s="33">
        <f>SUMIF(Effect_Sizes!$B$2:$B$19,A12,Effect_Sizes!$J$2:$J$19)</f>
        <v>0.74</v>
      </c>
      <c r="G12" s="33">
        <f>SUMIF(Effect_Sizes!$B$2:$B$19,A12,Effect_Sizes!$K$2:$K$19)</f>
        <v>0.2</v>
      </c>
      <c r="H12" s="33">
        <f>SUMIF(Coverage!$B$2:$B$19,A12,Coverage!$G$2:$G$19)</f>
        <v>0.26840000000000003</v>
      </c>
      <c r="I12" s="33">
        <f>SUMIF(Coverage!$B$2:$B$19,A12,Coverage!$I$2:$I$19)</f>
        <v>0.8</v>
      </c>
      <c r="J12" s="33">
        <f t="shared" si="0"/>
        <v>0.53160000000000007</v>
      </c>
      <c r="K12" s="33">
        <f t="shared" si="2"/>
        <v>0.49088077625707538</v>
      </c>
      <c r="L12" s="33">
        <f t="shared" si="1"/>
        <v>9.8176155251415084E-2</v>
      </c>
      <c r="M12" s="21" t="s">
        <v>208</v>
      </c>
      <c r="N12" s="21" t="s">
        <v>190</v>
      </c>
      <c r="O12" s="36">
        <f>COUNTIFS(Cost_Components!$G$2:$G$38,M12,Cost_Components!$D$2:$D$38,1)</f>
        <v>1</v>
      </c>
      <c r="P12" s="49">
        <f>SUMIFS(Cost_Components!$S$2:$S$38,Cost_Components!$G$2:$G$38,M12,Cost_Components!$D$2:$D$38,1)</f>
        <v>575.48694599999999</v>
      </c>
      <c r="Q12" s="21" t="str">
        <f>IF(H12=0,"MISSING COVERAGE",IF(O12=0,"REVIEW COST",IF(COUNTIF(Effect_Sizes!$B$2:$B$19,A12)&lt;&gt;1,"BAD EFFECT KEY","REVIEWED LINK")))</f>
        <v>REVIEWED LINK</v>
      </c>
    </row>
    <row r="13" spans="1:17">
      <c r="A13" s="18" t="s">
        <v>210</v>
      </c>
      <c r="B13" s="18" t="s">
        <v>163</v>
      </c>
      <c r="C13" s="18" t="s">
        <v>167</v>
      </c>
      <c r="D13" s="21" t="str">
        <f>INDEX(Effect_Sizes!$G$2:$G$19,MATCH(A13,Effect_Sizes!$B$2:$B$19,0))</f>
        <v>sick_hf</v>
      </c>
      <c r="E13" s="21" t="str">
        <f>INDEX(Effect_Sizes!$H$2:$H$19,MATCH(A13,Effect_Sizes!$B$2:$B$19,0))</f>
        <v>dead_cmp</v>
      </c>
      <c r="F13" s="33">
        <f>SUMIF(Effect_Sizes!$B$2:$B$19,A13,Effect_Sizes!$J$2:$J$19)</f>
        <v>0.74</v>
      </c>
      <c r="G13" s="33">
        <f>SUMIF(Effect_Sizes!$B$2:$B$19,A13,Effect_Sizes!$K$2:$K$19)</f>
        <v>0.2</v>
      </c>
      <c r="H13" s="33">
        <f>SUMIF(Coverage!$B$2:$B$19,A13,Coverage!$G$2:$G$19)</f>
        <v>0.26840000000000003</v>
      </c>
      <c r="I13" s="33">
        <f>SUMIF(Coverage!$B$2:$B$19,A13,Coverage!$I$2:$I$19)</f>
        <v>0.8</v>
      </c>
      <c r="J13" s="33">
        <f t="shared" si="0"/>
        <v>0.53160000000000007</v>
      </c>
      <c r="K13" s="33">
        <f t="shared" si="2"/>
        <v>0.49088077625707538</v>
      </c>
      <c r="L13" s="33">
        <f t="shared" si="1"/>
        <v>9.8176155251415084E-2</v>
      </c>
      <c r="M13" s="21" t="s">
        <v>210</v>
      </c>
      <c r="N13" s="21" t="s">
        <v>190</v>
      </c>
      <c r="O13" s="36">
        <f>COUNTIFS(Cost_Components!$G$2:$G$38,M13,Cost_Components!$D$2:$D$38,1)</f>
        <v>1</v>
      </c>
      <c r="P13" s="49">
        <f>SUMIFS(Cost_Components!$S$2:$S$38,Cost_Components!$G$2:$G$38,M13,Cost_Components!$D$2:$D$38,1)</f>
        <v>575.48694599999999</v>
      </c>
      <c r="Q13" s="21" t="str">
        <f>IF(H13=0,"MISSING COVERAGE",IF(O13=0,"REVIEW COST",IF(COUNTIF(Effect_Sizes!$B$2:$B$19,A13)&lt;&gt;1,"BAD EFFECT KEY","REVIEWED LINK")))</f>
        <v>REVIEWED LINK</v>
      </c>
    </row>
    <row r="14" spans="1:17">
      <c r="A14" s="18" t="s">
        <v>212</v>
      </c>
      <c r="B14" s="18" t="s">
        <v>169</v>
      </c>
      <c r="C14" s="18" t="s">
        <v>144</v>
      </c>
      <c r="D14" s="21" t="str">
        <f>INDEX(Effect_Sizes!$G$2:$G$19,MATCH(A14,Effect_Sizes!$B$2:$B$19,0))</f>
        <v>sick_hf</v>
      </c>
      <c r="E14" s="21" t="str">
        <f>INDEX(Effect_Sizes!$H$2:$H$19,MATCH(A14,Effect_Sizes!$B$2:$B$19,0))</f>
        <v>dead_ihd</v>
      </c>
      <c r="F14" s="33">
        <f>SUMIF(Effect_Sizes!$B$2:$B$19,A14,Effect_Sizes!$J$2:$J$19)</f>
        <v>9.2999999999999999E-2</v>
      </c>
      <c r="G14" s="33">
        <f>SUMIF(Effect_Sizes!$B$2:$B$19,A14,Effect_Sizes!$K$2:$K$19)</f>
        <v>0.2</v>
      </c>
      <c r="H14" s="33">
        <f>SUMIF(Coverage!$B$2:$B$19,A14,Coverage!$G$2:$G$19)</f>
        <v>0.50249999999999995</v>
      </c>
      <c r="I14" s="33">
        <f>SUMIF(Coverage!$B$2:$B$19,A14,Coverage!$I$2:$I$19)</f>
        <v>0.8</v>
      </c>
      <c r="J14" s="33">
        <f t="shared" si="0"/>
        <v>0.2975000000000001</v>
      </c>
      <c r="K14" s="33">
        <f t="shared" si="2"/>
        <v>2.9023857416727212E-2</v>
      </c>
      <c r="L14" s="33">
        <f t="shared" si="1"/>
        <v>5.8047714833454429E-3</v>
      </c>
      <c r="M14" s="21" t="s">
        <v>212</v>
      </c>
      <c r="N14" s="21" t="s">
        <v>190</v>
      </c>
      <c r="O14" s="36">
        <f>COUNTIFS(Cost_Components!$G$2:$G$38,M14,Cost_Components!$D$2:$D$38,1)</f>
        <v>3</v>
      </c>
      <c r="P14" s="49">
        <f>SUMIFS(Cost_Components!$S$2:$S$38,Cost_Components!$G$2:$G$38,M14,Cost_Components!$D$2:$D$38,1)</f>
        <v>227.40760399999999</v>
      </c>
      <c r="Q14" s="21" t="str">
        <f>IF(H14=0,"MISSING COVERAGE",IF(O14=0,"REVIEW COST",IF(COUNTIF(Effect_Sizes!$B$2:$B$19,A14)&lt;&gt;1,"BAD EFFECT KEY","REVIEWED LINK")))</f>
        <v>REVIEWED LINK</v>
      </c>
    </row>
    <row r="15" spans="1:17">
      <c r="A15" s="18" t="s">
        <v>213</v>
      </c>
      <c r="B15" s="18" t="s">
        <v>169</v>
      </c>
      <c r="C15" s="18" t="s">
        <v>161</v>
      </c>
      <c r="D15" s="21" t="str">
        <f>INDEX(Effect_Sizes!$G$2:$G$19,MATCH(A15,Effect_Sizes!$B$2:$B$19,0))</f>
        <v>sick_hf</v>
      </c>
      <c r="E15" s="21" t="str">
        <f>INDEX(Effect_Sizes!$H$2:$H$19,MATCH(A15,Effect_Sizes!$B$2:$B$19,0))</f>
        <v>dead_hhd</v>
      </c>
      <c r="F15" s="33">
        <f>SUMIF(Effect_Sizes!$B$2:$B$19,A15,Effect_Sizes!$J$2:$J$19)</f>
        <v>0.27500000000000002</v>
      </c>
      <c r="G15" s="33">
        <f>SUMIF(Effect_Sizes!$B$2:$B$19,A15,Effect_Sizes!$K$2:$K$19)</f>
        <v>0.8</v>
      </c>
      <c r="H15" s="33">
        <f>SUMIF(Coverage!$B$2:$B$19,A15,Coverage!$G$2:$G$19)</f>
        <v>0.50249999999999995</v>
      </c>
      <c r="I15" s="33">
        <f>SUMIF(Coverage!$B$2:$B$19,A15,Coverage!$I$2:$I$19)</f>
        <v>0.8</v>
      </c>
      <c r="J15" s="33">
        <f t="shared" si="0"/>
        <v>0.2975000000000001</v>
      </c>
      <c r="K15" s="33">
        <f t="shared" si="2"/>
        <v>9.4930741895714016E-2</v>
      </c>
      <c r="L15" s="33">
        <f t="shared" si="1"/>
        <v>7.5944593516571221E-2</v>
      </c>
      <c r="M15" s="21" t="s">
        <v>213</v>
      </c>
      <c r="N15" s="21" t="s">
        <v>190</v>
      </c>
      <c r="O15" s="36">
        <f>COUNTIFS(Cost_Components!$G$2:$G$38,M15,Cost_Components!$D$2:$D$38,1)</f>
        <v>3</v>
      </c>
      <c r="P15" s="49">
        <f>SUMIFS(Cost_Components!$S$2:$S$38,Cost_Components!$G$2:$G$38,M15,Cost_Components!$D$2:$D$38,1)</f>
        <v>227.40760399999999</v>
      </c>
      <c r="Q15" s="21" t="str">
        <f>IF(H15=0,"MISSING COVERAGE",IF(O15=0,"REVIEW COST",IF(COUNTIF(Effect_Sizes!$B$2:$B$19,A15)&lt;&gt;1,"BAD EFFECT KEY","REVIEWED LINK")))</f>
        <v>REVIEWED LINK</v>
      </c>
    </row>
    <row r="16" spans="1:17">
      <c r="A16" s="18" t="s">
        <v>214</v>
      </c>
      <c r="B16" s="18" t="s">
        <v>169</v>
      </c>
      <c r="C16" s="18" t="s">
        <v>167</v>
      </c>
      <c r="D16" s="21" t="str">
        <f>INDEX(Effect_Sizes!$G$2:$G$19,MATCH(A16,Effect_Sizes!$B$2:$B$19,0))</f>
        <v>sick_hf</v>
      </c>
      <c r="E16" s="21" t="str">
        <f>INDEX(Effect_Sizes!$H$2:$H$19,MATCH(A16,Effect_Sizes!$B$2:$B$19,0))</f>
        <v>dead_cmp</v>
      </c>
      <c r="F16" s="33">
        <f>SUMIF(Effect_Sizes!$B$2:$B$19,A16,Effect_Sizes!$J$2:$J$19)</f>
        <v>0.53600000000000003</v>
      </c>
      <c r="G16" s="33">
        <f>SUMIF(Effect_Sizes!$B$2:$B$19,A16,Effect_Sizes!$K$2:$K$19)</f>
        <v>0.8</v>
      </c>
      <c r="H16" s="33">
        <f>SUMIF(Coverage!$B$2:$B$19,A16,Coverage!$G$2:$G$19)</f>
        <v>0.50249999999999995</v>
      </c>
      <c r="I16" s="33">
        <f>SUMIF(Coverage!$B$2:$B$19,A16,Coverage!$I$2:$I$19)</f>
        <v>0.8</v>
      </c>
      <c r="J16" s="33">
        <f t="shared" si="0"/>
        <v>0.2975000000000001</v>
      </c>
      <c r="K16" s="33">
        <f t="shared" si="2"/>
        <v>0.21824104234527694</v>
      </c>
      <c r="L16" s="33">
        <f t="shared" si="1"/>
        <v>0.17459283387622157</v>
      </c>
      <c r="M16" s="21" t="s">
        <v>214</v>
      </c>
      <c r="N16" s="21" t="s">
        <v>190</v>
      </c>
      <c r="O16" s="36">
        <f>COUNTIFS(Cost_Components!$G$2:$G$38,M16,Cost_Components!$D$2:$D$38,1)</f>
        <v>3</v>
      </c>
      <c r="P16" s="49">
        <f>SUMIFS(Cost_Components!$S$2:$S$38,Cost_Components!$G$2:$G$38,M16,Cost_Components!$D$2:$D$38,1)</f>
        <v>227.40760399999999</v>
      </c>
      <c r="Q16" s="21" t="str">
        <f>IF(H16=0,"MISSING COVERAGE",IF(O16=0,"REVIEW COST",IF(COUNTIF(Effect_Sizes!$B$2:$B$19,A16)&lt;&gt;1,"BAD EFFECT KEY","REVIEWED LINK")))</f>
        <v>REVIEWED LINK</v>
      </c>
    </row>
    <row r="17" spans="1:17">
      <c r="A17" s="18" t="s">
        <v>215</v>
      </c>
      <c r="B17" s="18" t="s">
        <v>175</v>
      </c>
      <c r="C17" s="18" t="s">
        <v>172</v>
      </c>
      <c r="D17" s="21" t="str">
        <f>INDEX(Effect_Sizes!$G$2:$G$19,MATCH(A17,Effect_Sizes!$B$2:$B$19,0))</f>
        <v>sick</v>
      </c>
      <c r="E17" s="21" t="str">
        <f>INDEX(Effect_Sizes!$H$2:$H$19,MATCH(A17,Effect_Sizes!$B$2:$B$19,0))</f>
        <v>dead_t2d</v>
      </c>
      <c r="F17" s="33">
        <f>SUMIF(Effect_Sizes!$B$2:$B$19,A17,Effect_Sizes!$J$2:$J$19)</f>
        <v>0.28000000000000003</v>
      </c>
      <c r="G17" s="33">
        <f>SUMIF(Effect_Sizes!$B$2:$B$19,A17,Effect_Sizes!$K$2:$K$19)</f>
        <v>1</v>
      </c>
      <c r="H17" s="33">
        <f>SUMIF(Coverage!$B$2:$B$19,A17,Coverage!$G$2:$G$19)</f>
        <v>0.21299999999999999</v>
      </c>
      <c r="I17" s="33">
        <f>SUMIF(Coverage!$B$2:$B$19,A17,Coverage!$I$2:$I$19)</f>
        <v>0.8</v>
      </c>
      <c r="J17" s="33">
        <f t="shared" si="0"/>
        <v>0.58700000000000008</v>
      </c>
      <c r="K17" s="33">
        <f t="shared" si="2"/>
        <v>0.17478412522863587</v>
      </c>
      <c r="L17" s="33">
        <f t="shared" si="1"/>
        <v>0.17478412522863587</v>
      </c>
      <c r="M17" s="21" t="s">
        <v>215</v>
      </c>
      <c r="N17" s="21" t="s">
        <v>190</v>
      </c>
      <c r="O17" s="36">
        <f>COUNTIFS(Cost_Components!$G$2:$G$38,M17,Cost_Components!$D$2:$D$38,1)</f>
        <v>3</v>
      </c>
      <c r="P17" s="49">
        <f>SUMIFS(Cost_Components!$S$2:$S$38,Cost_Components!$G$2:$G$38,M17,Cost_Components!$D$2:$D$38,1)</f>
        <v>166.06495847821975</v>
      </c>
      <c r="Q17" s="21" t="str">
        <f>IF(H17=0,"MISSING COVERAGE",IF(O17=0,"REVIEW COST",IF(COUNTIF(Effect_Sizes!$B$2:$B$19,A17)&lt;&gt;1,"BAD EFFECT KEY","REVIEWED LINK")))</f>
        <v>REVIEWED LINK</v>
      </c>
    </row>
    <row r="18" spans="1:17" ht="22.8" customHeight="1">
      <c r="A18" s="5" t="s">
        <v>217</v>
      </c>
      <c r="B18" s="5" t="s">
        <v>175</v>
      </c>
      <c r="C18" s="5" t="s">
        <v>218</v>
      </c>
      <c r="D18" s="22" t="str">
        <f>INDEX(Effect_Sizes!$G$2:$G$19,MATCH(A18,Effect_Sizes!$B$2:$B$19,0))</f>
        <v>sick</v>
      </c>
      <c r="E18" s="22" t="str">
        <f>INDEX(Effect_Sizes!$H$2:$H$19,MATCH(A18,Effect_Sizes!$B$2:$B$19,0))</f>
        <v>dead_ihd</v>
      </c>
      <c r="F18" s="34">
        <f>SUMIF(Effect_Sizes!$B$2:$B$19,A18,Effect_Sizes!$J$2:$J$19)</f>
        <v>0.15</v>
      </c>
      <c r="G18" s="34">
        <f>SUMIF(Effect_Sizes!$B$2:$B$19,A18,Effect_Sizes!$K$2:$K$19)</f>
        <v>0.15</v>
      </c>
      <c r="H18" s="34">
        <f>SUMIF(Coverage!$B$2:$B$19,A18,Coverage!$G$2:$G$19)</f>
        <v>0.21299999999999999</v>
      </c>
      <c r="I18" s="34">
        <f>SUMIF(Coverage!$B$2:$B$19,A18,Coverage!$I$2:$I$19)</f>
        <v>0.8</v>
      </c>
      <c r="J18" s="34">
        <f t="shared" si="0"/>
        <v>0.58700000000000008</v>
      </c>
      <c r="K18" s="34">
        <f t="shared" si="2"/>
        <v>9.0956045658798626E-2</v>
      </c>
      <c r="L18" s="34">
        <f t="shared" si="1"/>
        <v>1.3643406848819794E-2</v>
      </c>
      <c r="M18" s="22" t="s">
        <v>215</v>
      </c>
      <c r="N18" s="22" t="s">
        <v>196</v>
      </c>
      <c r="O18" s="37">
        <f>COUNTIFS(Cost_Components!$G$2:$G$38,M18,Cost_Components!$D$2:$D$38,1)</f>
        <v>3</v>
      </c>
      <c r="P18" s="50">
        <f>SUMIFS(Cost_Components!$S$2:$S$38,Cost_Components!$G$2:$G$38,M18,Cost_Components!$D$2:$D$38,1)</f>
        <v>166.06495847821975</v>
      </c>
      <c r="Q18" s="22" t="str">
        <f>IF(H18=0,"MISSING COVERAGE",IF(O18=0,"REVIEW COST",IF(COUNTIF(Effect_Sizes!$B$2:$B$19,A18)&lt;&gt;1,"BAD EFFECT KEY","REVIEWED LINK")))</f>
        <v>REVIEWED LINK</v>
      </c>
    </row>
    <row r="19" spans="1:17">
      <c r="A19" s="18" t="s">
        <v>664</v>
      </c>
      <c r="B19" s="18" t="s">
        <v>614</v>
      </c>
      <c r="C19" s="18" t="s">
        <v>144</v>
      </c>
      <c r="D19" s="21" t="str">
        <f>INDEX(Effect_Sizes!$G$2:$G$19,MATCH(A19,Effect_Sizes!$B$2:$B$19,0))</f>
        <v>sick</v>
      </c>
      <c r="E19" s="21" t="str">
        <f>INDEX(Effect_Sizes!$H$2:$H$19,MATCH(A19,Effect_Sizes!$B$2:$B$19,0))</f>
        <v>dead_ihd</v>
      </c>
      <c r="F19" s="33">
        <f>SUMIF(Effect_Sizes!$B$2:$B$19,A19,Effect_Sizes!$J$2:$J$19)</f>
        <v>0.28120000000000001</v>
      </c>
      <c r="G19" s="33">
        <f>SUMIF(Effect_Sizes!$B$2:$B$19,A19,Effect_Sizes!$K$2:$K$19)</f>
        <v>0.5</v>
      </c>
      <c r="H19" s="33">
        <f>SUMIF(Coverage!$B$2:$B$19,A19,Coverage!$G$2:$G$19)</f>
        <v>0.2</v>
      </c>
      <c r="I19" s="33">
        <f>SUMIF(Coverage!$B$2:$B$19,A19,Coverage!$I$2:$I$19)</f>
        <v>0.8</v>
      </c>
      <c r="J19" s="33">
        <f>IF(H19="","",I19-H19)</f>
        <v>0.60000000000000009</v>
      </c>
      <c r="K19" s="33">
        <f>IF(OR(H19="",F19=""),"",F19*J19/(1-F19*H19))</f>
        <v>0.17877426464355348</v>
      </c>
      <c r="L19" s="33">
        <f>IF(K19="","",K19*G19)</f>
        <v>8.9387132321776738E-2</v>
      </c>
      <c r="M19" s="21" t="s">
        <v>664</v>
      </c>
      <c r="N19" s="21" t="s">
        <v>190</v>
      </c>
      <c r="O19" s="36">
        <f>COUNTIFS(Cost_Components!$G$2:$G$38,M19,Cost_Components!$D$2:$D$38,1)</f>
        <v>1</v>
      </c>
      <c r="P19" s="49">
        <f>SUMIFS(Cost_Components!$S$2:$S$38,Cost_Components!$G$2:$G$38,M19,Cost_Components!$D$2:$D$38,1)</f>
        <v>1718.8</v>
      </c>
      <c r="Q19" s="21" t="str">
        <f>IF(H19=0,"MISSING COVERAGE",IF(O19=0,"REVIEW COST",IF(COUNTIF(Effect_Sizes!$B$2:$B$19,A19)&lt;&gt;1,"BAD EFFECT KEY","REVIEWED LINK")))</f>
        <v>REVIEWED LINK</v>
      </c>
    </row>
  </sheetData>
  <conditionalFormatting sqref="Q2:Q19">
    <cfRule type="containsText" dxfId="11" priority="1" operator="containsText" text="OK"/>
    <cfRule type="containsText" dxfId="10" priority="3" operator="containsText" text="FAIL"/>
    <cfRule type="containsText" dxfId="9" priority="5" operator="containsText" text="REVIEW"/>
    <cfRule type="containsText" dxfId="8" priority="6" operator="containsText" text="BAD"/>
  </conditionalFormatting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7"/>
  <sheetViews>
    <sheetView showGridLines="0" workbookViewId="0"/>
  </sheetViews>
  <sheetFormatPr defaultColWidth="11.19921875" defaultRowHeight="13.8"/>
  <cols>
    <col min="1" max="1" width="14" customWidth="1"/>
    <col min="2" max="2" width="30" customWidth="1"/>
    <col min="3" max="3" width="58" customWidth="1"/>
    <col min="4" max="4" width="28" customWidth="1"/>
    <col min="5" max="5" width="34" customWidth="1"/>
    <col min="6" max="6" width="72" customWidth="1"/>
  </cols>
  <sheetData>
    <row r="1" spans="1:6">
      <c r="A1" s="4" t="s">
        <v>507</v>
      </c>
      <c r="B1" s="4" t="s">
        <v>508</v>
      </c>
      <c r="C1" s="4" t="s">
        <v>509</v>
      </c>
      <c r="D1" s="4" t="s">
        <v>510</v>
      </c>
      <c r="E1" s="4" t="s">
        <v>511</v>
      </c>
      <c r="F1" s="4" t="s">
        <v>512</v>
      </c>
    </row>
    <row r="2" spans="1:6">
      <c r="A2" s="51" t="s">
        <v>513</v>
      </c>
      <c r="B2" s="51" t="s">
        <v>514</v>
      </c>
      <c r="C2" s="51" t="s">
        <v>515</v>
      </c>
      <c r="D2" s="51" t="s">
        <v>516</v>
      </c>
      <c r="E2" s="51" t="s">
        <v>181</v>
      </c>
      <c r="F2" s="51" t="s">
        <v>517</v>
      </c>
    </row>
    <row r="3" spans="1:6">
      <c r="A3" s="52" t="s">
        <v>518</v>
      </c>
      <c r="B3" s="52" t="s">
        <v>519</v>
      </c>
      <c r="C3" s="52" t="s">
        <v>520</v>
      </c>
      <c r="D3" s="52" t="s">
        <v>521</v>
      </c>
      <c r="E3" s="52" t="s">
        <v>181</v>
      </c>
      <c r="F3" s="52" t="s">
        <v>522</v>
      </c>
    </row>
    <row r="4" spans="1:6" ht="26.4" customHeight="1">
      <c r="A4" s="52" t="s">
        <v>523</v>
      </c>
      <c r="B4" s="52" t="s">
        <v>524</v>
      </c>
      <c r="C4" s="52" t="s">
        <v>525</v>
      </c>
      <c r="D4" s="52" t="s">
        <v>521</v>
      </c>
      <c r="E4" s="52" t="s">
        <v>181</v>
      </c>
      <c r="F4" s="52" t="s">
        <v>526</v>
      </c>
    </row>
    <row r="5" spans="1:6">
      <c r="A5" s="52" t="s">
        <v>527</v>
      </c>
      <c r="B5" s="52" t="s">
        <v>528</v>
      </c>
      <c r="C5" s="52" t="s">
        <v>529</v>
      </c>
      <c r="D5" s="52" t="s">
        <v>530</v>
      </c>
      <c r="E5" s="52" t="s">
        <v>531</v>
      </c>
      <c r="F5" s="52" t="s">
        <v>532</v>
      </c>
    </row>
    <row r="6" spans="1:6">
      <c r="A6" s="52" t="s">
        <v>533</v>
      </c>
      <c r="B6" s="52" t="s">
        <v>534</v>
      </c>
      <c r="C6" s="52" t="s">
        <v>535</v>
      </c>
      <c r="D6" s="52" t="s">
        <v>536</v>
      </c>
      <c r="E6" s="52" t="s">
        <v>537</v>
      </c>
      <c r="F6" s="52" t="s">
        <v>538</v>
      </c>
    </row>
    <row r="7" spans="1:6">
      <c r="A7" s="52" t="s">
        <v>539</v>
      </c>
      <c r="B7" s="52" t="s">
        <v>540</v>
      </c>
      <c r="C7" s="52" t="s">
        <v>541</v>
      </c>
      <c r="D7" s="52" t="s">
        <v>542</v>
      </c>
      <c r="E7" s="52" t="s">
        <v>184</v>
      </c>
      <c r="F7" s="52" t="s">
        <v>543</v>
      </c>
    </row>
    <row r="8" spans="1:6">
      <c r="A8" s="52" t="s">
        <v>544</v>
      </c>
      <c r="B8" s="52" t="s">
        <v>545</v>
      </c>
      <c r="C8" s="52" t="s">
        <v>546</v>
      </c>
      <c r="D8" s="52" t="s">
        <v>542</v>
      </c>
      <c r="E8" s="52" t="s">
        <v>547</v>
      </c>
      <c r="F8" s="52" t="s">
        <v>548</v>
      </c>
    </row>
    <row r="9" spans="1:6" ht="26.4" customHeight="1">
      <c r="A9" s="52" t="s">
        <v>549</v>
      </c>
      <c r="B9" s="52" t="s">
        <v>550</v>
      </c>
      <c r="C9" s="52" t="s">
        <v>551</v>
      </c>
      <c r="D9" s="52" t="s">
        <v>536</v>
      </c>
      <c r="E9" s="52" t="s">
        <v>351</v>
      </c>
      <c r="F9" s="52" t="s">
        <v>552</v>
      </c>
    </row>
    <row r="10" spans="1:6">
      <c r="A10" s="53" t="s">
        <v>553</v>
      </c>
      <c r="B10" s="53" t="s">
        <v>554</v>
      </c>
      <c r="C10" s="53" t="s">
        <v>555</v>
      </c>
      <c r="D10" s="53" t="s">
        <v>556</v>
      </c>
      <c r="E10" s="53" t="s">
        <v>339</v>
      </c>
      <c r="F10" s="53" t="s">
        <v>557</v>
      </c>
    </row>
    <row r="12" spans="1:6" ht="27.6" customHeight="1">
      <c r="A12" s="54" t="s">
        <v>558</v>
      </c>
      <c r="B12" s="54" t="s">
        <v>559</v>
      </c>
      <c r="C12" s="54" t="s">
        <v>560</v>
      </c>
      <c r="D12" s="54" t="s">
        <v>561</v>
      </c>
      <c r="E12" s="54" t="s">
        <v>562</v>
      </c>
      <c r="F12" s="54"/>
    </row>
    <row r="13" spans="1:6" ht="26.4" customHeight="1">
      <c r="A13" s="51" t="s">
        <v>563</v>
      </c>
      <c r="B13" s="55">
        <v>0.03</v>
      </c>
      <c r="C13" s="55">
        <v>0.05</v>
      </c>
      <c r="D13" s="51" t="s">
        <v>564</v>
      </c>
      <c r="E13" s="51" t="s">
        <v>565</v>
      </c>
      <c r="F13" s="51"/>
    </row>
    <row r="14" spans="1:6" ht="26.4" customHeight="1">
      <c r="A14" s="52" t="s">
        <v>566</v>
      </c>
      <c r="B14" s="56">
        <v>0.03</v>
      </c>
      <c r="C14" s="56">
        <v>0</v>
      </c>
      <c r="D14" s="52" t="s">
        <v>564</v>
      </c>
      <c r="E14" s="52" t="s">
        <v>565</v>
      </c>
      <c r="F14" s="52"/>
    </row>
    <row r="15" spans="1:6" ht="26.4" customHeight="1">
      <c r="A15" s="53" t="s">
        <v>567</v>
      </c>
      <c r="B15" s="53" t="s">
        <v>568</v>
      </c>
      <c r="C15" s="53" t="s">
        <v>569</v>
      </c>
      <c r="D15" s="53" t="s">
        <v>570</v>
      </c>
      <c r="E15" s="53" t="s">
        <v>565</v>
      </c>
      <c r="F15" s="53"/>
    </row>
    <row r="17" spans="1:6" ht="34.049999999999997" customHeight="1">
      <c r="A17" s="84" t="s">
        <v>571</v>
      </c>
      <c r="B17" s="84"/>
      <c r="C17" s="84"/>
      <c r="D17" s="84"/>
      <c r="E17" s="84"/>
      <c r="F17" s="84"/>
    </row>
  </sheetData>
  <mergeCells count="1">
    <mergeCell ref="A17:F17"/>
  </mergeCell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9"/>
  <sheetViews>
    <sheetView showGridLines="0" workbookViewId="0"/>
  </sheetViews>
  <sheetFormatPr defaultColWidth="11.19921875" defaultRowHeight="13.8"/>
  <cols>
    <col min="1" max="1" width="42" customWidth="1"/>
    <col min="2" max="2" width="16" customWidth="1"/>
    <col min="3" max="3" width="56" customWidth="1"/>
    <col min="4" max="4" width="28" customWidth="1"/>
    <col min="5" max="5" width="3" customWidth="1"/>
    <col min="6" max="6" width="36" customWidth="1"/>
    <col min="7" max="7" width="48" customWidth="1"/>
    <col min="8" max="8" width="34" customWidth="1"/>
    <col min="9" max="9" width="48" customWidth="1"/>
  </cols>
  <sheetData>
    <row r="1" spans="1:9">
      <c r="A1" s="4" t="s">
        <v>572</v>
      </c>
      <c r="B1" s="4" t="s">
        <v>573</v>
      </c>
      <c r="C1" s="4" t="s">
        <v>574</v>
      </c>
      <c r="D1" s="4" t="s">
        <v>575</v>
      </c>
      <c r="F1" s="4" t="s">
        <v>34</v>
      </c>
      <c r="G1" s="4" t="s">
        <v>576</v>
      </c>
      <c r="H1" s="4" t="s">
        <v>577</v>
      </c>
      <c r="I1" s="4" t="s">
        <v>187</v>
      </c>
    </row>
    <row r="2" spans="1:9">
      <c r="A2" s="19" t="s">
        <v>578</v>
      </c>
      <c r="B2" s="19" t="s">
        <v>579</v>
      </c>
      <c r="C2" s="19" t="s">
        <v>580</v>
      </c>
      <c r="D2" s="19" t="s">
        <v>137</v>
      </c>
      <c r="E2" s="19"/>
      <c r="F2" s="19" t="s">
        <v>581</v>
      </c>
      <c r="G2" s="19" t="s">
        <v>582</v>
      </c>
      <c r="H2" s="19" t="s">
        <v>583</v>
      </c>
      <c r="I2" s="19" t="s">
        <v>584</v>
      </c>
    </row>
    <row r="3" spans="1:9" ht="22.8" customHeight="1">
      <c r="A3" s="19" t="s">
        <v>585</v>
      </c>
      <c r="B3" s="19" t="s">
        <v>579</v>
      </c>
      <c r="C3" s="19" t="s">
        <v>586</v>
      </c>
      <c r="D3" s="19" t="s">
        <v>587</v>
      </c>
      <c r="E3" s="19"/>
      <c r="F3" s="19" t="s">
        <v>44</v>
      </c>
      <c r="G3" s="19" t="s">
        <v>588</v>
      </c>
      <c r="H3" s="19" t="s">
        <v>589</v>
      </c>
      <c r="I3" s="19" t="s">
        <v>590</v>
      </c>
    </row>
    <row r="4" spans="1:9">
      <c r="A4" s="19" t="s">
        <v>591</v>
      </c>
      <c r="B4" s="19" t="s">
        <v>592</v>
      </c>
      <c r="C4" s="19" t="s">
        <v>593</v>
      </c>
      <c r="D4" s="19" t="s">
        <v>147</v>
      </c>
      <c r="E4" s="19"/>
      <c r="F4" s="19" t="s">
        <v>242</v>
      </c>
      <c r="G4" s="19" t="s">
        <v>594</v>
      </c>
      <c r="H4" s="19" t="s">
        <v>595</v>
      </c>
      <c r="I4" s="19" t="s">
        <v>596</v>
      </c>
    </row>
    <row r="5" spans="1:9" ht="22.8">
      <c r="A5" s="19" t="s">
        <v>597</v>
      </c>
      <c r="B5" s="19" t="s">
        <v>592</v>
      </c>
      <c r="C5" s="19" t="s">
        <v>598</v>
      </c>
      <c r="D5" s="19" t="s">
        <v>599</v>
      </c>
      <c r="E5" s="19"/>
      <c r="F5" s="19" t="s">
        <v>307</v>
      </c>
      <c r="G5" s="19" t="s">
        <v>600</v>
      </c>
      <c r="H5" s="19" t="s">
        <v>601</v>
      </c>
      <c r="I5" s="19" t="s">
        <v>602</v>
      </c>
    </row>
    <row r="6" spans="1:9" ht="22.8">
      <c r="A6" s="19" t="s">
        <v>603</v>
      </c>
      <c r="B6" s="19" t="s">
        <v>592</v>
      </c>
      <c r="C6" s="19" t="s">
        <v>604</v>
      </c>
      <c r="D6" s="19" t="s">
        <v>144</v>
      </c>
      <c r="E6" s="19"/>
      <c r="F6" s="19" t="s">
        <v>59</v>
      </c>
      <c r="G6" s="19" t="s">
        <v>605</v>
      </c>
      <c r="H6" s="19" t="s">
        <v>606</v>
      </c>
      <c r="I6" s="19" t="s">
        <v>607</v>
      </c>
    </row>
    <row r="7" spans="1:9">
      <c r="A7" s="19" t="s">
        <v>608</v>
      </c>
      <c r="B7" s="19" t="s">
        <v>592</v>
      </c>
      <c r="C7" s="19" t="s">
        <v>604</v>
      </c>
      <c r="D7" s="19" t="s">
        <v>609</v>
      </c>
      <c r="E7" s="19"/>
      <c r="F7" s="19" t="s">
        <v>610</v>
      </c>
      <c r="G7" s="19" t="s">
        <v>611</v>
      </c>
      <c r="H7" s="19" t="s">
        <v>612</v>
      </c>
      <c r="I7" s="19" t="s">
        <v>613</v>
      </c>
    </row>
    <row r="8" spans="1:9" ht="22.8" customHeight="1">
      <c r="A8" s="19" t="s">
        <v>614</v>
      </c>
      <c r="B8" s="19" t="s">
        <v>679</v>
      </c>
      <c r="C8" s="19" t="s">
        <v>680</v>
      </c>
      <c r="D8" s="19" t="s">
        <v>144</v>
      </c>
      <c r="E8" s="19"/>
      <c r="F8" s="19" t="s">
        <v>681</v>
      </c>
      <c r="G8" s="19" t="s">
        <v>682</v>
      </c>
      <c r="H8" s="19" t="s">
        <v>683</v>
      </c>
      <c r="I8" s="19" t="s">
        <v>684</v>
      </c>
    </row>
    <row r="9" spans="1:9">
      <c r="A9" s="19" t="s">
        <v>615</v>
      </c>
      <c r="B9" s="19" t="s">
        <v>592</v>
      </c>
      <c r="C9" s="19" t="s">
        <v>616</v>
      </c>
      <c r="D9" s="19" t="s">
        <v>617</v>
      </c>
      <c r="E9" s="19"/>
      <c r="F9" s="19"/>
      <c r="G9" s="19"/>
      <c r="H9" s="19"/>
      <c r="I9" s="19"/>
    </row>
  </sheetData>
  <conditionalFormatting sqref="B2:B9">
    <cfRule type="containsText" dxfId="7" priority="1" operator="containsText" text="OK"/>
    <cfRule type="containsText" dxfId="6" priority="3" operator="containsText" text="FAIL"/>
    <cfRule type="containsText" dxfId="5" priority="5" operator="containsText" text="REVIEW"/>
    <cfRule type="containsText" dxfId="4" priority="6" operator="containsText" text="BAD"/>
  </conditionalFormatting>
  <pageMargins left="0.7" right="0.7" top="0.75" bottom="0.75" header="0.3" footer="0.3"/>
  <tableParts count="2">
    <tablePart r:id="rId1"/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9"/>
  <sheetViews>
    <sheetView showGridLines="0" workbookViewId="0"/>
  </sheetViews>
  <sheetFormatPr defaultColWidth="11.19921875" defaultRowHeight="13.8"/>
  <cols>
    <col min="1" max="1" width="14" customWidth="1"/>
    <col min="2" max="2" width="52" customWidth="1"/>
    <col min="3" max="4" width="14" customWidth="1"/>
    <col min="5" max="5" width="16" customWidth="1"/>
    <col min="6" max="6" width="62" customWidth="1"/>
  </cols>
  <sheetData>
    <row r="1" spans="1:6">
      <c r="A1" s="4" t="s">
        <v>618</v>
      </c>
      <c r="B1" s="4" t="s">
        <v>619</v>
      </c>
      <c r="C1" s="4" t="s">
        <v>620</v>
      </c>
      <c r="D1" s="4" t="s">
        <v>621</v>
      </c>
      <c r="E1" s="4" t="s">
        <v>622</v>
      </c>
      <c r="F1" s="4" t="s">
        <v>623</v>
      </c>
    </row>
    <row r="2" spans="1:6" ht="30" customHeight="1">
      <c r="A2" s="57" t="s">
        <v>624</v>
      </c>
      <c r="B2" s="57" t="s">
        <v>625</v>
      </c>
      <c r="C2" s="57">
        <v>0</v>
      </c>
      <c r="D2" s="58">
        <f>COUNTIF(Intervention_Cause_Map!$M$2:$M$19,"&gt;1")</f>
        <v>0</v>
      </c>
      <c r="E2" s="58" t="str">
        <f t="shared" ref="E2:E9" si="0">IF(D2=C2,"PASS","FAIL")</f>
        <v>PASS</v>
      </c>
      <c r="F2" s="57" t="s">
        <v>626</v>
      </c>
    </row>
    <row r="3" spans="1:6" ht="30" customHeight="1">
      <c r="A3" s="57" t="s">
        <v>627</v>
      </c>
      <c r="B3" s="57" t="s">
        <v>628</v>
      </c>
      <c r="C3" s="57">
        <v>0</v>
      </c>
      <c r="D3" s="58">
        <f>COUNTIF(Effect_Sizes!$V$2:$V$19,"&lt;&gt;OK")</f>
        <v>0</v>
      </c>
      <c r="E3" s="58" t="str">
        <f t="shared" si="0"/>
        <v>PASS</v>
      </c>
      <c r="F3" s="57" t="s">
        <v>629</v>
      </c>
    </row>
    <row r="4" spans="1:6" ht="30" customHeight="1">
      <c r="A4" s="57" t="s">
        <v>630</v>
      </c>
      <c r="B4" s="57" t="s">
        <v>631</v>
      </c>
      <c r="C4" s="57">
        <v>0</v>
      </c>
      <c r="D4" s="58">
        <f>COUNTIF(Coverage!$S$2:$S$19,"&lt;&gt;OK")</f>
        <v>0</v>
      </c>
      <c r="E4" s="58" t="str">
        <f t="shared" si="0"/>
        <v>PASS</v>
      </c>
      <c r="F4" s="57" t="s">
        <v>632</v>
      </c>
    </row>
    <row r="5" spans="1:6" ht="30" customHeight="1">
      <c r="A5" s="57" t="s">
        <v>633</v>
      </c>
      <c r="B5" s="57" t="s">
        <v>634</v>
      </c>
      <c r="C5" s="57">
        <v>0</v>
      </c>
      <c r="D5" s="58">
        <f>COUNTIF(Cost_Components!$AC$2:$AC$38,"&lt;&gt;OK")</f>
        <v>0</v>
      </c>
      <c r="E5" s="58" t="str">
        <f t="shared" si="0"/>
        <v>PASS</v>
      </c>
      <c r="F5" s="57" t="s">
        <v>635</v>
      </c>
    </row>
    <row r="6" spans="1:6" ht="30" customHeight="1">
      <c r="A6" s="57" t="s">
        <v>636</v>
      </c>
      <c r="B6" s="57" t="s">
        <v>637</v>
      </c>
      <c r="C6" s="57">
        <v>0</v>
      </c>
      <c r="D6" s="58">
        <f>COUNTA(Effect_Sizes!$A$2:$A$19)-COUNTA(Intervention_Cause_Map!$A$2:$A$19)</f>
        <v>0</v>
      </c>
      <c r="E6" s="58" t="str">
        <f t="shared" si="0"/>
        <v>PASS</v>
      </c>
      <c r="F6" s="57" t="s">
        <v>638</v>
      </c>
    </row>
    <row r="7" spans="1:6" ht="30" customHeight="1">
      <c r="A7" s="57" t="s">
        <v>639</v>
      </c>
      <c r="B7" s="57" t="s">
        <v>640</v>
      </c>
      <c r="C7" s="57">
        <v>0</v>
      </c>
      <c r="D7" s="58">
        <f>COUNTA(Coverage!$A$2:$A$19)-COUNTA(Intervention_Cause_Map!$A$2:$A$19)</f>
        <v>0</v>
      </c>
      <c r="E7" s="58" t="str">
        <f t="shared" si="0"/>
        <v>PASS</v>
      </c>
      <c r="F7" s="57" t="s">
        <v>641</v>
      </c>
    </row>
    <row r="8" spans="1:6" ht="30" customHeight="1">
      <c r="A8" s="57" t="s">
        <v>642</v>
      </c>
      <c r="B8" s="57" t="s">
        <v>643</v>
      </c>
      <c r="C8" s="57">
        <v>0</v>
      </c>
      <c r="D8" s="58">
        <f>COUNTBLANK(Effect_Sizes!$Q$2:$Q$19)</f>
        <v>0</v>
      </c>
      <c r="E8" s="58" t="str">
        <f t="shared" si="0"/>
        <v>PASS</v>
      </c>
      <c r="F8" s="57" t="s">
        <v>644</v>
      </c>
    </row>
    <row r="9" spans="1:6" ht="30" customHeight="1">
      <c r="A9" s="57" t="s">
        <v>645</v>
      </c>
      <c r="B9" s="57" t="s">
        <v>646</v>
      </c>
      <c r="C9" s="57">
        <v>0</v>
      </c>
      <c r="D9" s="58">
        <f>COUNTIFS(Cost_Components!$D$2:$D$38,1,Cost_Components!$S$2:$S$38,"")</f>
        <v>0</v>
      </c>
      <c r="E9" s="58" t="str">
        <f t="shared" si="0"/>
        <v>PASS</v>
      </c>
      <c r="F9" s="57" t="s">
        <v>647</v>
      </c>
    </row>
  </sheetData>
  <conditionalFormatting sqref="E2:E9">
    <cfRule type="containsText" dxfId="3" priority="1" operator="containsText" text="OK"/>
    <cfRule type="containsText" dxfId="2" priority="3" operator="containsText" text="FAIL"/>
    <cfRule type="containsText" dxfId="1" priority="5" operator="containsText" text="REVIEW"/>
    <cfRule type="containsText" dxfId="0" priority="6" operator="containsText" text="BAD"/>
  </conditionalFormatting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9"/>
  <sheetViews>
    <sheetView workbookViewId="0">
      <selection activeCell="A8" sqref="A8:D9"/>
    </sheetView>
  </sheetViews>
  <sheetFormatPr defaultColWidth="11.19921875" defaultRowHeight="13.8"/>
  <cols>
    <col min="2" max="2" width="17.796875" customWidth="1"/>
  </cols>
  <sheetData>
    <row r="1" spans="1:4">
      <c r="A1" t="s">
        <v>648</v>
      </c>
      <c r="B1" t="s">
        <v>649</v>
      </c>
      <c r="C1" t="s">
        <v>650</v>
      </c>
      <c r="D1" t="s">
        <v>651</v>
      </c>
    </row>
    <row r="2" spans="1:4">
      <c r="A2" t="s">
        <v>652</v>
      </c>
      <c r="B2" t="s">
        <v>141</v>
      </c>
      <c r="C2" s="59">
        <v>46254</v>
      </c>
      <c r="D2" t="s">
        <v>653</v>
      </c>
    </row>
    <row r="3" spans="1:4">
      <c r="A3" t="s">
        <v>173</v>
      </c>
      <c r="B3" t="s">
        <v>654</v>
      </c>
      <c r="C3">
        <v>46262</v>
      </c>
      <c r="D3" t="s">
        <v>655</v>
      </c>
    </row>
    <row r="4" spans="1:4">
      <c r="A4" t="s">
        <v>195</v>
      </c>
      <c r="B4" t="s">
        <v>656</v>
      </c>
      <c r="C4" s="61">
        <v>46262</v>
      </c>
      <c r="D4" t="s">
        <v>657</v>
      </c>
    </row>
    <row r="5" spans="1:4">
      <c r="A5" t="s">
        <v>201</v>
      </c>
      <c r="B5" t="s">
        <v>658</v>
      </c>
      <c r="C5" s="61">
        <v>46263</v>
      </c>
      <c r="D5" t="s">
        <v>659</v>
      </c>
    </row>
    <row r="6" spans="1:4">
      <c r="A6" t="s">
        <v>215</v>
      </c>
      <c r="B6" t="s">
        <v>656</v>
      </c>
      <c r="D6" t="s">
        <v>660</v>
      </c>
    </row>
    <row r="7" spans="1:4">
      <c r="A7" t="s">
        <v>144</v>
      </c>
      <c r="B7" t="s">
        <v>614</v>
      </c>
      <c r="C7">
        <v>46264</v>
      </c>
      <c r="D7" t="s">
        <v>685</v>
      </c>
    </row>
    <row r="8" spans="1:4">
      <c r="A8" t="s">
        <v>536</v>
      </c>
      <c r="D8" t="s">
        <v>686</v>
      </c>
    </row>
    <row r="9" spans="1:4">
      <c r="A9" t="s">
        <v>536</v>
      </c>
      <c r="D9" t="s">
        <v>687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README</vt:lpstr>
      <vt:lpstr>Assumptions</vt:lpstr>
      <vt:lpstr>Dictionaries</vt:lpstr>
      <vt:lpstr>Intervention_Cause_Map</vt:lpstr>
      <vt:lpstr>Effect_Sizes</vt:lpstr>
      <vt:lpstr>Coverage</vt:lpstr>
      <vt:lpstr>Cost_Components</vt:lpstr>
      <vt:lpstr>Model_Input_View</vt:lpstr>
      <vt:lpstr>FairChoices_Methods</vt:lpstr>
      <vt:lpstr>Scope_and_Sources</vt:lpstr>
      <vt:lpstr>QA_Checks</vt:lpstr>
      <vt:lpstr>ChangesLog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William R Garcia</cp:lastModifiedBy>
  <dcterms:modified xsi:type="dcterms:W3CDTF">2026-09-01T01:30:35Z</dcterms:modified>
</cp:coreProperties>
</file>