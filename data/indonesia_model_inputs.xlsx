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tables/table12.xml" ContentType="application/vnd.openxmlformats-officedocument.spreadsheetml.table+xml"/>
  <Override PartName="/xl/worksheets/sheet1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8076cc7b7042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8ccef1f0d934107"/>
    <x:sheet xmlns:r="http://schemas.openxmlformats.org/officeDocument/2006/relationships" name="Assumptions" sheetId="2" r:id="Rf15c01204a354415"/>
    <x:sheet xmlns:r="http://schemas.openxmlformats.org/officeDocument/2006/relationships" name="Dictionaries" sheetId="3" r:id="Rbc13dd12b7ed4cb5"/>
    <x:sheet xmlns:r="http://schemas.openxmlformats.org/officeDocument/2006/relationships" name="Intervention_Cause_Map" sheetId="4" r:id="Rc861eb96969b4a69"/>
    <x:sheet xmlns:r="http://schemas.openxmlformats.org/officeDocument/2006/relationships" name="Effect_Sizes" sheetId="5" r:id="R14b93fb498c74f71"/>
    <x:sheet xmlns:r="http://schemas.openxmlformats.org/officeDocument/2006/relationships" name="Coverage" sheetId="6" r:id="R42b22339a838499a"/>
    <x:sheet xmlns:r="http://schemas.openxmlformats.org/officeDocument/2006/relationships" name="Cost_Components" sheetId="7" r:id="R5043eb2b1c9d41e6"/>
    <x:sheet xmlns:r="http://schemas.openxmlformats.org/officeDocument/2006/relationships" name="Model_Input_View" sheetId="8" r:id="Rec35e129cb004645"/>
    <x:sheet xmlns:r="http://schemas.openxmlformats.org/officeDocument/2006/relationships" name="FairChoices_Methods" sheetId="9" r:id="R7cfdf351e77d408f"/>
    <x:sheet xmlns:r="http://schemas.openxmlformats.org/officeDocument/2006/relationships" name="Scope_and_Sources" sheetId="10" r:id="R4bc9b10398f54e45"/>
    <x:sheet xmlns:r="http://schemas.openxmlformats.org/officeDocument/2006/relationships" name="QA_Checks" sheetId="11" r:id="R3916fd61cb8d4018"/>
    <x:sheet xmlns:r="http://schemas.openxmlformats.org/officeDocument/2006/relationships" name="ChangesLog" sheetId="12" r:id="R17165c04d866466f"/>
  </x:sheets>
</x:workbook>
</file>

<file path=xl/comments1.xml><?xml version="1.0" encoding="utf-8"?>
<x:comments xmlns:x="http://schemas.openxmlformats.org/spreadsheetml/2006/main">
  <x:authors>
    <x:author>tc={65F284AB-064D-4B9D-A390-F156B89E3B37}</x:author>
  </x:authors>
  <x:commentList>
    <x:comment ref="S3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Pending update with Sali Info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<x:sst xmlns:x="http://schemas.openxmlformats.org/spreadsheetml/2006/main">
  <x:si>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Indonesia NCD model — user input workbook</x:t>
  </x:si>
  <x:si>
    <x:t xml:space="preserve">Draft for review • August 14, 2026 meeting decisions + supplied Fair Choices, coverage/PIN, and cost files</x:t>
  </x:si>
  <x:si>
    <x:t xml:space="preserve">Readiness</x:t>
  </x:si>
  <x:si>
    <x:t xml:space="preserve">Interventions</x:t>
  </x:si>
  <x:si>
    <x:t xml:space="preserve">Model causes</x:t>
  </x:si>
  <x:si>
    <x:t xml:space="preserve">Intervention–cause links</x:t>
  </x:si>
  <x:si>
    <x:t xml:space="preserve">How to use the workbook</x:t>
  </x:si>
  <x:si>
    <x:t xml:space="preserve">1</x:t>
  </x:si>
  <x:si>
    <x:t xml:space="preserve">Edit yellow cells only.</x:t>
  </x:si>
  <x:si>
    <x:t xml:space="preserve">2</x:t>
  </x:si>
  <x:si>
    <x:t xml:space="preserve">Use Model_Input_View to audit the joined transition, effect, coverage, and cost key for each intervention–cause pair.</x:t>
  </x:si>
  <x:si>
    <x:t xml:space="preserve">3</x:t>
  </x:si>
  <x:si>
    <x:t xml:space="preserve">Costs join through cost_join_key. C_SHARED means count the cost once at intervention level, not once per affected cause.</x:t>
  </x:si>
  <x:si>
    <x:t xml:space="preserve">4</x:t>
  </x:si>
  <x:si>
    <x:t xml:space="preserve">For costing, keep exactly one selected_for_base_case = 1 within each cost_component_key.</x:t>
  </x:si>
  <x:si>
    <x:t xml:space="preserve">5</x:t>
  </x:si>
  <x:si>
    <x:t xml:space="preserve">Resolve QA failures and red review items before running the full economic evaluation.</x:t>
  </x:si>
  <x:si>
    <x:t xml:space="preserve">Known review items retained explicitly</x:t>
  </x:si>
  <x:si>
    <x:t xml:space="preserve">Missing</x:t>
  </x:si>
  <x:si>
    <x:t xml:space="preserve">IHD-specific chronic heart-failure lab/follow-up unit cost</x:t>
  </x:si>
  <x:si>
    <x:t xml:space="preserve">Review</x:t>
  </x:si>
  <x:si>
    <x:t xml:space="preserve">Lower cost option is provisionally selected when the adjusted cost file contains two salary options</x:t>
  </x:si>
  <x:si>
    <x:t xml:space="preserve">Confirm RHD surgery transition if the final model has explicit severe-RHD or surgery states</x:t>
  </x:si>
  <x:si>
    <x:t xml:space="preserve">Color legend: yellow = user input • light blue = formula/derived • green = valid • red/orange = missing or review</x:t>
  </x:si>
  <x:si>
    <x:t xml:space="preserve">parameter_id</x:t>
  </x:si>
  <x:si>
    <x:t xml:space="preserve">value</x:t>
  </x:si>
  <x:si>
    <x:t xml:space="preserve">unit</x:t>
  </x:si>
  <x:si>
    <x:t xml:space="preserve">base_case</x:t>
  </x:si>
  <x:si>
    <x:t xml:space="preserve">lower_bound</x:t>
  </x:si>
  <x:si>
    <x:t xml:space="preserve">upper_bound</x:t>
  </x:si>
  <x:si>
    <x:t xml:space="preserve">description</x:t>
  </x:si>
  <x:si>
    <x:t xml:space="preserve">source</x:t>
  </x:si>
  <x:si>
    <x:t xml:space="preserve">analysis_start_year</x:t>
  </x:si>
  <x:si>
    <x:t xml:space="preserve">year</x:t>
  </x:si>
  <x:si>
    <x:t xml:space="preserve">First modeled year</x:t>
  </x:si>
  <x:si>
    <x:t xml:space="preserve">input_file.xlsx and meeting scope</x:t>
  </x:si>
  <x:si>
    <x:t xml:space="preserve">analysis_end_year</x:t>
  </x:si>
  <x:si>
    <x:t xml:space="preserve">Last year for the Jakarta-oriented analysis</x:t>
  </x:si>
  <x:si>
    <x:t xml:space="preserve">Meeting target year</x:t>
  </x:si>
  <x:si>
    <x:t xml:space="preserve">intervention_start_year</x:t>
  </x:si>
  <x:si>
    <x:t xml:space="preserve">First year of intervention scale-up</x:t>
  </x:si>
  <x:si>
    <x:t xml:space="preserve">input_file.xlsx</x:t>
  </x:si>
  <x:si>
    <x:t xml:space="preserve">target_coverage_default</x:t>
  </x:si>
  <x:si>
    <x:t xml:space="preserve">proportion</x:t>
  </x:si>
  <x:si>
    <x:t xml:space="preserve">Default intervention coverage target; row-level override is available</x:t>
  </x:si>
  <x:si>
    <x:t xml:space="preserve">August 14 meeting</x:t>
  </x:si>
  <x:si>
    <x:t xml:space="preserve">coverage_target_year</x:t>
  </x:si>
  <x:si>
    <x:t xml:space="preserve">Year in which target coverage is reached</x:t>
  </x:si>
  <x:si>
    <x:t xml:space="preserve">cost_discount_rate</x:t>
  </x:si>
  <x:si>
    <x:t xml:space="preserve">proportion/year</x:t>
  </x:si>
  <x:si>
    <x:t xml:space="preserve">Annual discount rate for costs</x:t>
  </x:si>
  <x:si>
    <x:t xml:space="preserve">health_discount_rate</x:t>
  </x:si>
  <x:si>
    <x:t xml:space="preserve">Annual discount rate for health outcomes</x:t>
  </x:si>
  <x:si>
    <x:t xml:space="preserve">cost_price_year</x:t>
  </x:si>
  <x:si>
    <x:t xml:space="preserve">USD year</x:t>
  </x:si>
  <x:si>
    <x:t xml:space="preserve">Price year for Indonesia-adjusted CVD unit costs</x:t>
  </x:si>
  <x:si>
    <x:t xml:space="preserve">currency</x:t>
  </x:si>
  <x:si>
    <x:t xml:space="preserve">USD</x:t>
  </x:si>
  <x:si>
    <x:t xml:space="preserve">Reporting currency</x:t>
  </x:si>
  <x:si>
    <x:t xml:space="preserve">scale_up_shape</x:t>
  </x:si>
  <x:si>
    <x:t xml:space="preserve">linear</x:t>
  </x:si>
  <x:si>
    <x:t xml:space="preserve">text</x:t>
  </x:si>
  <x:si>
    <x:t xml:space="preserve">Coverage increases linearly from start year to target year</x:t>
  </x:si>
  <x:si>
    <x:t xml:space="preserve">downstream_cost_offsets</x:t>
  </x:si>
  <x:si>
    <x:t xml:space="preserve">0/1 flag</x:t>
  </x:si>
  <x:si>
    <x:t xml:space="preserve">Include downstream disease-cost offsets</x:t>
  </x:si>
  <x:si>
    <x:t xml:space="preserve">rhd_surgery_frequency</x:t>
  </x:si>
  <x:si>
    <x:t xml:space="preserve">procedure/patient-year</x:t>
  </x:si>
  <x:si>
    <x:t xml:space="preserve">Provisional surgery frequency used for costing</x:t>
  </x:si>
  <x:si>
    <x:t xml:space="preserve">economic_perspective</x:t>
  </x:si>
  <x:si>
    <x:t xml:space="preserve">health_system</x:t>
  </x:si>
  <x:si>
    <x:t xml:space="preserve">societal</x:t>
  </x:si>
  <x:si>
    <x:t xml:space="preserve">Economic evaluation perspective</x:t>
  </x:si>
  <x:si>
    <x:t xml:space="preserve">Working assumption</x:t>
  </x:si>
  <x:si>
    <x:t xml:space="preserve">bca_base_year</x:t>
  </x:si>
  <x:si>
    <x:t xml:space="preserve">Base year to which BCA benefits and costs are both discounted (single shared base year)</x:t>
  </x:si>
  <x:si>
    <x:t xml:space="preserve">Robinson et al. 2019 Reference Case Guidelines for BCA in Global Health &amp; Development (CHDS/Harvard); = analysis_start_year</x:t>
  </x:si>
  <x:si>
    <x:t xml:space="preserve">bca_discount_rate_primary</x:t>
  </x:si>
  <x:si>
    <x:t xml:space="preserve">Primary real discount rate applied to BOTH benefits and costs in the BCA</x:t>
  </x:si>
  <x:si>
    <x:t xml:space="preserve">Robinson et al. 2019 Reference Case Guidelines for BCA in Global Health &amp; Development (CHDS/Harvard); context-specific primary rate</x:t>
  </x:si>
  <x:si>
    <x:t xml:space="preserve">bca_discount_rate_sensitivity_3pct</x:t>
  </x:si>
  <x:si>
    <x:t xml:space="preserve">Standardized sensitivity discount rate (3%)</x:t>
  </x:si>
  <x:si>
    <x:t xml:space="preserve">Robinson et al. 2019 Reference Case Guidelines for BCA in Global Health &amp; Development (CHDS/Harvard); standardized sensitivity</x:t>
  </x:si>
  <x:si>
    <x:t xml:space="preserve">bca_discount_rate_sensitivity_2x_gdp_pc_growth</x:t>
  </x:si>
  <x:si>
    <x:t xml:space="preserve">Standardized sensitivity = 2x projected near-term real GDP per-capita growth; Model 08 recomputes from SSP2</x:t>
  </x:si>
  <x:si>
    <x:t xml:space="preserve">Robinson et al. 2019 Reference Case Guidelines for BCA in Global Health &amp; Development (CHDS/Harvard); IIASA SSP 3.1 (SSP2)</x:t>
  </x:si>
  <x:si>
    <x:t xml:space="preserve">vsl_us_gni_ratio</x:t>
  </x:si>
  <x:si>
    <x:t xml:space="preserve">ratio (VSL/GNI per capita)</x:t>
  </x:si>
  <x:si>
    <x:t xml:space="preserve">U.S. reference VSL-to-GNI-per-capita ratio used for the income transfer</x:t>
  </x:si>
  <x:si>
    <x:t xml:space="preserve">Robinson et al. 2019 Reference Case Guidelines for BCA in Global Health &amp; Development (CHDS/Harvard)</x:t>
  </x:si>
  <x:si>
    <x:t xml:space="preserve">vsl_income_elasticity_preferred</x:t>
  </x:si>
  <x:si>
    <x:t xml:space="preserve">elasticity</x:t>
  </x:si>
  <x:si>
    <x:t xml:space="preserve">Income elasticity of VSL for LMIC extrapolation (preferred / reference case)</x:t>
  </x:si>
  <x:si>
    <x:t xml:space="preserve">vsl_floor_gni_multiple</x:t>
  </x:si>
  <x:si>
    <x:t xml:space="preserve">Lower bound: transferred VSL not below this multiple of target-country GNI per capita</x:t>
  </x:si>
  <x:si>
    <x:t xml:space="preserve">vsl_sensitivity_gni_multiple_100</x:t>
  </x:si>
  <x:si>
    <x:t xml:space="preserve">Standardized sensitivity 1: VSL = 100 x target GNI per capita</x:t>
  </x:si>
  <x:si>
    <x:t xml:space="preserve">vsl_sensitivity_gni_multiple_160</x:t>
  </x:si>
  <x:si>
    <x:t xml:space="preserve">Standardized sensitivity 2: VSL = 160 x target GNI per capita</x:t>
  </x:si>
  <x:si>
    <x:t xml:space="preserve">vsly_adult_min_age</x:t>
  </x:si>
  <x:si>
    <x:t xml:space="preserve">age (years)</x:t>
  </x:si>
  <x:si>
    <x:t xml:space="preserve">Lower bound of adult (working-age) population for the VSLY average-adult-age denominator</x:t>
  </x:si>
  <x:si>
    <x:t xml:space="preserve">Robinson et al. 2019 Reference Case Guidelines for BCA in Global Health &amp; Development (CHDS/Harvard); ILO/World Bank working age 15-64</x:t>
  </x:si>
  <x:si>
    <x:t xml:space="preserve">vsly_adult_max_age</x:t>
  </x:si>
  <x:si>
    <x:t xml:space="preserve">Upper bound of adult (working-age) population for the VSLY average-adult-age denominator</x:t>
  </x:si>
  <x:si>
    <x:t xml:space="preserve">ILO / World Bank working-age population 15-64</x:t>
  </x:si>
  <x:si>
    <x:t xml:space="preserve">bca_currency_basis</x:t>
  </x:si>
  <x:si>
    <x:t xml:space="preserve">PPP_international_dollars</x:t>
  </x:si>
  <x:si>
    <x:t xml:space="preserve">631</x:t>
  </x:si>
  <x:si>
    <x:t xml:space="preserve">Common monetary basis for BCA benefits and costs; VSL is transferred using GNI per capita at PPP</x:t>
  </x:si>
  <x:si>
    <x:t xml:space="preserve">bca_price_year</x:t>
  </x:si>
  <x:si>
    <x:t xml:space="preserve">Real price year for BCA benefits and costs (must match the cost price year)</x:t>
  </x:si>
  <x:si>
    <x:t xml:space="preserve">= cost_price_year / reporting_price_year</x:t>
  </x:si>
  <x:si>
    <x:t xml:space="preserve">cost_to_bca_currency_factor</x:t>
  </x:si>
  <x:si>
    <x:t xml:space="preserve">int$ per market US$</x:t>
  </x:si>
  <x:si>
    <x:t xml:space="preserve">Multiplier converting market-exchange-rate USD costs to PPP international dollars (benefit basis); = 1 / WB ICP price-level ratio</x:t>
  </x:si>
  <x:si>
    <x:t xml:space="preserve">World Bank ICP PA.NUS.PPPC.RF (Indonesia price-level ratio ~0.33)</x:t>
  </x:si>
  <x:si>
    <x:t xml:space="preserve">bca_standing</x:t>
  </x:si>
  <x:si>
    <x:t xml:space="preserve">Standing/perspective for the BCA (whose benefits and costs count)</x:t>
  </x:si>
  <x:si>
    <x:t xml:space="preserve">bca_scope</x:t>
  </x:si>
  <x:si>
    <x:t xml:space="preserve">partial_mortality_benefit</x:t>
  </x:si>
  <x:si>
    <x:t xml:space="preserve">Scope: benefits limited to averted mortality (VSL/VSLY); costs limited to implementation/health-system. NOT a full societal BCA</x:t>
  </x:si>
  <x:si>
    <x:t xml:space="preserve">Model scope limitation</x:t>
  </x:si>
  <x:si>
    <x:t xml:space="preserve">intervention_id</x:t>
  </x:si>
  <x:si>
    <x:t xml:space="preserve">intervention_name</x:t>
  </x:si>
  <x:si>
    <x:t xml:space="preserve">package_group</x:t>
  </x:si>
  <x:si>
    <x:t xml:space="preserve">definition</x:t>
  </x:si>
  <x:si>
    <x:t xml:space="preserve">cause_id</x:t>
  </x:si>
  <x:si>
    <x:t xml:space="preserve">cause_name</x:t>
  </x:si>
  <x:si>
    <x:t xml:space="preserve">model_name</x:t>
  </x:si>
  <x:si>
    <x:t xml:space="preserve">is_model_cause</x:t>
  </x:si>
  <x:si>
    <x:t xml:space="preserve">I_RHD_SECONDARY</x:t>
  </x:si>
  <x:si>
    <x:t xml:space="preserve">RHD secondary prevention</x:t>
  </x:si>
  <x:si>
    <x:t xml:space="preserve">Rheumatic heart disease</x:t>
  </x:si>
  <x:si>
    <x:t xml:space="preserve">Secondary prophylaxis for rheumatic fever or established RHD</x:t>
  </x:si>
  <x:si>
    <x:t xml:space="preserve">C_RHD</x:t>
  </x:si>
  <x:si>
    <x:t xml:space="preserve">I_RHD_SURGERY</x:t>
  </x:si>
  <x:si>
    <x:t xml:space="preserve">RHD cardiac surgery</x:t>
  </x:si>
  <x:si>
    <x:t xml:space="preserve">Cardiac surgery for severe rheumatic heart disease</x:t>
  </x:si>
  <x:si>
    <x:t xml:space="preserve">C_IHD</x:t>
  </x:si>
  <x:si>
    <x:t xml:space="preserve">Ischemic heart disease</x:t>
  </x:si>
  <x:si>
    <x:t xml:space="preserve">I_CVD_PRIMARY</x:t>
  </x:si>
  <x:si>
    <x:t xml:space="preserve">Primary prevention of CVD</x:t>
  </x:si>
  <x:si>
    <x:t xml:space="preserve">Primary CVD prevention</x:t>
  </x:si>
  <x:si>
    <x:t xml:space="preserve">Combined hypertension-treatment/statin intervention using average Fair Choices effects</x:t>
  </x:si>
  <x:si>
    <x:t xml:space="preserve">C_IS</x:t>
  </x:si>
  <x:si>
    <x:t xml:space="preserve">Ischemic stroke</x:t>
  </x:si>
  <x:si>
    <x:t xml:space="preserve">I_IHD_SECONDARY</x:t>
  </x:si>
  <x:si>
    <x:t xml:space="preserve">Secondary prevention of ischemic heart disease</x:t>
  </x:si>
  <x:si>
    <x:t xml:space="preserve">Secondary CVD prevention</x:t>
  </x:si>
  <x:si>
    <x:t xml:space="preserve">Longitudinal secondary prevention after ischemic heart disease</x:t>
  </x:si>
  <x:si>
    <x:t xml:space="preserve">C_ICH</x:t>
  </x:si>
  <x:si>
    <x:t xml:space="preserve">Intracerebral hemorrhage</x:t>
  </x:si>
  <x:si>
    <x:t xml:space="preserve">I_STROKE_SECONDARY</x:t>
  </x:si>
  <x:si>
    <x:t xml:space="preserve">Secondary prevention of stroke</x:t>
  </x:si>
  <x:si>
    <x:t xml:space="preserve">Longitudinal secondary prevention after ischemic or intracerebral hemorrhagic stroke</x:t>
  </x:si>
  <x:si>
    <x:t xml:space="preserve">C_HHD</x:t>
  </x:si>
  <x:si>
    <x:t xml:space="preserve">Hypertensive heart disease</x:t>
  </x:si>
  <x:si>
    <x:t xml:space="preserve">I_HF_ACUTE</x:t>
  </x:si>
  <x:si>
    <x:t xml:space="preserve">Acute heart-failure management</x:t>
  </x:si>
  <x:si>
    <x:t xml:space="preserve">Heart-failure treatment</x:t>
  </x:si>
  <x:si>
    <x:t xml:space="preserve">Acute management of heart failure arising from IHD, HHD, or cardiomyopathy/myocarditis</x:t>
  </x:si>
  <x:si>
    <x:t xml:space="preserve">C_CMP</x:t>
  </x:si>
  <x:si>
    <x:t xml:space="preserve">Cardiomyopathy and myocarditis</x:t>
  </x:si>
  <x:si>
    <x:t xml:space="preserve">I_HF_CHRONIC</x:t>
  </x:si>
  <x:si>
    <x:t xml:space="preserve">Chronic heart-failure management</x:t>
  </x:si>
  <x:si>
    <x:t xml:space="preserve">Longitudinal management of chronic heart failure arising from IHD, HHD, or cardiomyopathy/myocarditis</x:t>
  </x:si>
  <x:si>
    <x:t xml:space="preserve">C_T2D</x:t>
  </x:si>
  <x:si>
    <x:t xml:space="preserve">Diabetes mellitus type 2</x:t>
  </x:si>
  <x:si>
    <x:t xml:space="preserve">Type 2 diabetes</x:t>
  </x:si>
  <x:si>
    <x:t xml:space="preserve">I_T2D_TREATMENT</x:t>
  </x:si>
  <x:si>
    <x:t xml:space="preserve">Longitudinal treatment of type 2 diabetes</x:t>
  </x:si>
  <x:si>
    <x:t xml:space="preserve">Diabetes treatment</x:t>
  </x:si>
  <x:si>
    <x:t xml:space="preserve">Treatment affecting direct diabetes deaths and IHD deaths attributable to high blood glucose</x:t>
  </x:si>
  <x:si>
    <x:t xml:space="preserve">C_SHARED</x:t>
  </x:si>
  <x:si>
    <x:t xml:space="preserve">Shared intervention cost</x:t>
  </x:si>
  <x:si>
    <x:t xml:space="preserve">Not a disease model; count cost once</x:t>
  </x:si>
  <x:si>
    <x:t xml:space="preserve">intervention_cause_key</x:t>
  </x:si>
  <x:si>
    <x:t xml:space="preserve">effect_key</x:t>
  </x:si>
  <x:si>
    <x:t xml:space="preserve">coverage_key</x:t>
  </x:si>
  <x:si>
    <x:t xml:space="preserve">cost_join_key</x:t>
  </x:si>
  <x:si>
    <x:t xml:space="preserve">cost_scope</x:t>
  </x:si>
  <x:si>
    <x:t xml:space="preserve">include_flag</x:t>
  </x:si>
  <x:si>
    <x:t xml:space="preserve">notes</x:t>
  </x:si>
  <x:si>
    <x:t xml:space="preserve">duplicate_count</x:t>
  </x:si>
  <x:si>
    <x:t xml:space="preserve">I_RHD_SECONDARY__C_RHD</x:t>
  </x:si>
  <x:si>
    <x:t xml:space="preserve">cause-specific</x:t>
  </x:si>
  <x:si>
    <x:t xml:space="preserve">Apply to the RHD model</x:t>
  </x:si>
  <x:si>
    <x:t xml:space="preserve">I_RHD_SURGERY__C_RHD</x:t>
  </x:si>
  <x:si>
    <x:t xml:space="preserve">SRHD has been replaced with RHD</x:t>
  </x:si>
  <x:si>
    <x:t xml:space="preserve">I_CVD_PRIMARY__C_IHD</x:t>
  </x:si>
  <x:si>
    <x:t xml:space="preserve">I_CVD_PRIMARY__C_SHARED</x:t>
  </x:si>
  <x:si>
    <x:t xml:space="preserve">shared-count-once</x:t>
  </x:si>
  <x:si>
    <x:t xml:space="preserve">Shared screening/treatment costs must be counted once</x:t>
  </x:si>
  <x:si>
    <x:t xml:space="preserve">I_CVD_PRIMARY__C_IS</x:t>
  </x:si>
  <x:si>
    <x:t xml:space="preserve">I_CVD_PRIMARY__C_ICH</x:t>
  </x:si>
  <x:si>
    <x:t xml:space="preserve">I_CVD_PRIMARY__C_HHD</x:t>
  </x:si>
  <x:si>
    <x:t xml:space="preserve">I_IHD_SECONDARY__C_IHD</x:t>
  </x:si>
  <x:si>
    <x:t xml:space="preserve">Apply to sick-to-dead transition</x:t>
  </x:si>
  <x:si>
    <x:t xml:space="preserve">I_STROKE_SECONDARY__C_IS</x:t>
  </x:si>
  <x:si>
    <x:t xml:space="preserve">Cause-specific effect and cost components</x:t>
  </x:si>
  <x:si>
    <x:t xml:space="preserve">I_STROKE_SECONDARY__C_ICH</x:t>
  </x:si>
  <x:si>
    <x:t xml:space="preserve">I_HF_ACUTE__C_IHD</x:t>
  </x:si>
  <x:si>
    <x:t xml:space="preserve">Heart failure arising from IHD</x:t>
  </x:si>
  <x:si>
    <x:t xml:space="preserve">I_HF_ACUTE__C_HHD</x:t>
  </x:si>
  <x:si>
    <x:t xml:space="preserve">Heart failure arising from HHD</x:t>
  </x:si>
  <x:si>
    <x:t xml:space="preserve">I_HF_ACUTE__C_CMP</x:t>
  </x:si>
  <x:si>
    <x:t xml:space="preserve">Heart failure arising from cardiomyopathy/myocarditis</x:t>
  </x:si>
  <x:si>
    <x:t xml:space="preserve">I_HF_CHRONIC__C_IHD</x:t>
  </x:si>
  <x:si>
    <x:t xml:space="preserve">I_HF_CHRONIC__C_HHD</x:t>
  </x:si>
  <x:si>
    <x:t xml:space="preserve">I_HF_CHRONIC__C_CMP</x:t>
  </x:si>
  <x:si>
    <x:t xml:space="preserve">I_T2D_TREATMENT__C_T2D</x:t>
  </x:si>
  <x:si>
    <x:t xml:space="preserve">Direct diabetes mortality effect</x:t>
  </x:si>
  <x:si>
    <x:t xml:space="preserve">I_T2D_TREATMENT__C_IHD</x:t>
  </x:si>
  <x:si>
    <x:t xml:space="preserve">Ischemic heart disease attributable to high blood glucose</x:t>
  </x:si>
  <x:si>
    <x:t xml:space="preserve">Count diabetes treatment cost once on the T2D population</x:t>
  </x:si>
  <x:si>
    <x:t xml:space="preserve">effect_id</x:t>
  </x:si>
  <x:si>
    <x:t xml:space="preserve">transition_from</x:t>
  </x:si>
  <x:si>
    <x:t xml:space="preserve">transition_to</x:t>
  </x:si>
  <x:si>
    <x:t xml:space="preserve">effect_measure</x:t>
  </x:si>
  <x:si>
    <x:t xml:space="preserve">effect_value</x:t>
  </x:si>
  <x:si>
    <x:t xml:space="preserve">affected_fraction</x:t>
  </x:si>
  <x:si>
    <x:t xml:space="preserve">age_start</x:t>
  </x:si>
  <x:si>
    <x:t xml:space="preserve">age_stop</x:t>
  </x:si>
  <x:si>
    <x:t xml:space="preserve">sex</x:t>
  </x:si>
  <x:si>
    <x:t xml:space="preserve">duration_years</x:t>
  </x:si>
  <x:si>
    <x:t xml:space="preserve">source_variable</x:t>
  </x:si>
  <x:si>
    <x:t xml:space="preserve">source_file</x:t>
  </x:si>
  <x:si>
    <x:t xml:space="preserve">source_row</x:t>
  </x:si>
  <x:si>
    <x:t xml:space="preserve">review_status</x:t>
  </x:si>
  <x:si>
    <x:t xml:space="preserve">map_match_count</x:t>
  </x:si>
  <x:si>
    <x:t xml:space="preserve">qa_status</x:t>
  </x:si>
  <x:si>
    <x:t xml:space="preserve">E_RHD_SECONDARY</x:t>
  </x:si>
  <x:si>
    <x:t xml:space="preserve">sick</x:t>
  </x:si>
  <x:si>
    <x:t xml:space="preserve">dead_rhd</x:t>
  </x:si>
  <x:si>
    <x:t xml:space="preserve">relative_risk_reduction</x:t>
  </x:si>
  <x:si>
    <x:t xml:space="preserve">Both</x:t>
  </x:si>
  <x:si>
    <x:t xml:space="preserve">Prevalence (reclassified to mortality transition)</x:t>
  </x:si>
  <x:si>
    <x:t xml:space="preserve">taxonomy_effect_size.xlsx</x:t>
  </x:si>
  <x:si>
    <x:t xml:space="preserve">Sheet 1, row 146</x:t>
  </x:si>
  <x:si>
    <x:t xml:space="preserve">Provisional</x:t>
  </x:si>
  <x:si>
    <x:t xml:space="preserve">Meeting decision maps secondary prevention to sick → dead</x:t>
  </x:si>
  <x:si>
    <x:t xml:space="preserve">E_RHD_SURGERY</x:t>
  </x:si>
  <x:si>
    <x:t xml:space="preserve">sick_severe</x:t>
  </x:si>
  <x:si>
    <x:t xml:space="preserve">Mortality</x:t>
  </x:si>
  <x:si>
    <x:t xml:space="preserve">Sheet 1, row 148</x:t>
  </x:si>
  <x:si>
    <x:t xml:space="preserve">Confirm model state if surgery is represented explicitly</x:t>
  </x:si>
  <x:si>
    <x:t xml:space="preserve">E_PRIMARY_IHD</x:t>
  </x:si>
  <x:si>
    <x:t xml:space="preserve">well</x:t>
  </x:si>
  <x:si>
    <x:t xml:space="preserve">Mortality (reclassified to incidence transition)</x:t>
  </x:si>
  <x:si>
    <x:t xml:space="preserve">Sheet 1, row 136</x:t>
  </x:si>
  <x:si>
    <x:t xml:space="preserve">Average Fair Choices hypertension/statin effect applied to incidence</x:t>
  </x:si>
  <x:si>
    <x:t xml:space="preserve">E_PRIMARY_IS</x:t>
  </x:si>
  <x:si>
    <x:t xml:space="preserve">Sheet 1, row 133</x:t>
  </x:si>
  <x:si>
    <x:t xml:space="preserve">E_PRIMARY_ICH</x:t>
  </x:si>
  <x:si>
    <x:t xml:space="preserve">Sheet 1, row 134</x:t>
  </x:si>
  <x:si>
    <x:t xml:space="preserve">E_PRIMARY_HHD</x:t>
  </x:si>
  <x:si>
    <x:t xml:space="preserve">Sheet 1, row 135</x:t>
  </x:si>
  <x:si>
    <x:t xml:space="preserve">E_IHD_SECONDARY</x:t>
  </x:si>
  <x:si>
    <x:t xml:space="preserve">dead_ihd</x:t>
  </x:si>
  <x:si>
    <x:t xml:space="preserve">Sheet 1, row 139</x:t>
  </x:si>
  <x:si>
    <x:t xml:space="preserve">Cause-specific disease-management effect</x:t>
  </x:si>
  <x:si>
    <x:t xml:space="preserve">E_STROKE_SECONDARY_IS</x:t>
  </x:si>
  <x:si>
    <x:t xml:space="preserve">dead_is</x:t>
  </x:si>
  <x:si>
    <x:t xml:space="preserve">Sheet 1, row 152</x:t>
  </x:si>
  <x:si>
    <x:t xml:space="preserve">E_STROKE_SECONDARY_ICH</x:t>
  </x:si>
  <x:si>
    <x:t xml:space="preserve">dead_ich</x:t>
  </x:si>
  <x:si>
    <x:t xml:space="preserve">Sheet 1, row 153</x:t>
  </x:si>
  <x:si>
    <x:t xml:space="preserve">E_HF_ACUTE_IHD</x:t>
  </x:si>
  <x:si>
    <x:t xml:space="preserve">sick_hf</x:t>
  </x:si>
  <x:si>
    <x:t xml:space="preserve">Sheet 1, row 143</x:t>
  </x:si>
  <x:si>
    <x:t xml:space="preserve">Apply only to heart failure arising from IHD</x:t>
  </x:si>
  <x:si>
    <x:t xml:space="preserve">E_HF_ACUTE_HHD</x:t>
  </x:si>
  <x:si>
    <x:t xml:space="preserve">dead_hhd</x:t>
  </x:si>
  <x:si>
    <x:t xml:space="preserve">Sheet 1, row 144</x:t>
  </x:si>
  <x:si>
    <x:t xml:space="preserve">Apply only to heart failure arising from HHD</x:t>
  </x:si>
  <x:si>
    <x:t xml:space="preserve">E_HF_ACUTE_CMP</x:t>
  </x:si>
  <x:si>
    <x:t xml:space="preserve">dead_cmp</x:t>
  </x:si>
  <x:si>
    <x:t xml:space="preserve">Sheet 1, row 145</x:t>
  </x:si>
  <x:si>
    <x:t xml:space="preserve">Apply only to heart failure arising from cardiomyopathy/myocarditis</x:t>
  </x:si>
  <x:si>
    <x:t xml:space="preserve">E_HF_CHRONIC_IHD</x:t>
  </x:si>
  <x:si>
    <x:t xml:space="preserve">Sheet 1, row 140</x:t>
  </x:si>
  <x:si>
    <x:t xml:space="preserve">E_HF_CHRONIC_HHD</x:t>
  </x:si>
  <x:si>
    <x:t xml:space="preserve">Sheet 1, row 141</x:t>
  </x:si>
  <x:si>
    <x:t xml:space="preserve">E_HF_CHRONIC_CMP</x:t>
  </x:si>
  <x:si>
    <x:t xml:space="preserve">Sheet 1, row 142</x:t>
  </x:si>
  <x:si>
    <x:t xml:space="preserve">E_T2D_DIRECT</x:t>
  </x:si>
  <x:si>
    <x:t xml:space="preserve">dead_t2d</x:t>
  </x:si>
  <x:si>
    <x:t xml:space="preserve">Sheet 1, row 173</x:t>
  </x:si>
  <x:si>
    <x:t xml:space="preserve">E_T2D_IHD_HBG</x:t>
  </x:si>
  <x:si>
    <x:t xml:space="preserve">Sheet 1, row 174</x:t>
  </x:si>
  <x:si>
    <x:t xml:space="preserve">Confirm NCD Countdown attributable-fraction implementation</x:t>
  </x:si>
  <x:si>
    <x:t xml:space="preserve">coverage_id</x:t>
  </x:si>
  <x:si>
    <x:t xml:space="preserve">baseline_coverage</x:t>
  </x:si>
  <x:si>
    <x:t xml:space="preserve">target_override</x:t>
  </x:si>
  <x:si>
    <x:t xml:space="preserve">target_coverage</x:t>
  </x:si>
  <x:si>
    <x:t xml:space="preserve">start_year</x:t>
  </x:si>
  <x:si>
    <x:t xml:space="preserve">target_year</x:t>
  </x:si>
  <x:si>
    <x:t xml:space="preserve">baseline_source_file</x:t>
  </x:si>
  <x:si>
    <x:t xml:space="preserve">baseline_source_row</x:t>
  </x:si>
  <x:si>
    <x:t xml:space="preserve">proxy_note</x:t>
  </x:si>
  <x:si>
    <x:t xml:space="preserve">absolute_increase</x:t>
  </x:si>
  <x:si>
    <x:t xml:space="preserve">CVG_01</x:t>
  </x:si>
  <x:si>
    <x:t xml:space="preserve">row 29</x:t>
  </x:si>
  <x:si>
    <x:t xml:space="preserve">Regional/platform proxy; validate with Indonesian collaborators</x:t>
  </x:si>
  <x:si>
    <x:t xml:space="preserve">CVG_02</x:t>
  </x:si>
  <x:si>
    <x:t xml:space="preserve">row 31</x:t>
  </x:si>
  <x:si>
    <x:t xml:space="preserve">Regional/platform proxy; SRHD relabeled as RHD</x:t>
  </x:si>
  <x:si>
    <x:t xml:space="preserve">CVG_03</x:t>
  </x:si>
  <x:si>
    <x:t xml:space="preserve">rows 2–3</x:t>
  </x:si>
  <x:si>
    <x:t xml:space="preserve">Country-context value supplied with the PIN file</x:t>
  </x:si>
  <x:si>
    <x:t xml:space="preserve">CVG_04</x:t>
  </x:si>
  <x:si>
    <x:t xml:space="preserve">CVG_05</x:t>
  </x:si>
  <x:si>
    <x:t xml:space="preserve">CVG_06</x:t>
  </x:si>
  <x:si>
    <x:t xml:space="preserve">CVG_07</x:t>
  </x:si>
  <x:si>
    <x:t xml:space="preserve">rows 5–7</x:t>
  </x:si>
  <x:si>
    <x:t xml:space="preserve">Higher-capacity/platform proxy</x:t>
  </x:si>
  <x:si>
    <x:t xml:space="preserve">CVG_08</x:t>
  </x:si>
  <x:si>
    <x:t xml:space="preserve">rows 9–14</x:t>
  </x:si>
  <x:si>
    <x:t xml:space="preserve">CVG_09</x:t>
  </x:si>
  <x:si>
    <x:t xml:space="preserve">CVG_10</x:t>
  </x:si>
  <x:si>
    <x:t xml:space="preserve">rows 26–28</x:t>
  </x:si>
  <x:si>
    <x:t xml:space="preserve">Hospital/platform proxy</x:t>
  </x:si>
  <x:si>
    <x:t xml:space="preserve">CVG_11</x:t>
  </x:si>
  <x:si>
    <x:t xml:space="preserve">CVG_12</x:t>
  </x:si>
  <x:si>
    <x:t xml:space="preserve">CVG_13</x:t>
  </x:si>
  <x:si>
    <x:t xml:space="preserve">rows 18–25</x:t>
  </x:si>
  <x:si>
    <x:t xml:space="preserve">CVG_14</x:t>
  </x:si>
  <x:si>
    <x:t xml:space="preserve">CVG_15</x:t>
  </x:si>
  <x:si>
    <x:t xml:space="preserve">CVG_16</x:t>
  </x:si>
  <x:si>
    <x:t xml:space="preserve">CVG_17</x:t>
  </x:si>
  <x:si>
    <x:t xml:space="preserve">cost_record_id</x:t>
  </x:si>
  <x:si>
    <x:t xml:space="preserve">cost_component_key</x:t>
  </x:si>
  <x:si>
    <x:t xml:space="preserve">cost_option</x:t>
  </x:si>
  <x:si>
    <x:t xml:space="preserve">selected_for_base_case</x:t>
  </x:si>
  <x:si>
    <x:t xml:space="preserve">cost_component</x:t>
  </x:si>
  <x:si>
    <x:t xml:space="preserve">population_in_need_measure</x:t>
  </x:si>
  <x:si>
    <x:t xml:space="preserve">population_in_need_fraction</x:t>
  </x:si>
  <x:si>
    <x:t xml:space="preserve">cost_unit</x:t>
  </x:si>
  <x:si>
    <x:t xml:space="preserve">frequency_per_year</x:t>
  </x:si>
  <x:si>
    <x:t xml:space="preserve">platform</x:t>
  </x:si>
  <x:si>
    <x:t xml:space="preserve">unit_cost_usd</x:t>
  </x:si>
  <x:si>
    <x:t xml:space="preserve">price_year</x:t>
  </x:si>
  <x:si>
    <x:t xml:space="preserve">indonesia_adjusted_flag</x:t>
  </x:si>
  <x:si>
    <x:t xml:space="preserve">source_country</x:t>
  </x:si>
  <x:si>
    <x:t xml:space="preserve">selection_count</x:t>
  </x:si>
  <x:si>
    <x:t xml:space="preserve">COST_RHD_SEC_01</x:t>
  </x:si>
  <x:si>
    <x:t xml:space="preserve">CC_RHD_SECONDARY_PENICILLIN</x:t>
  </x:si>
  <x:si>
    <x:t xml:space="preserve">Base</x:t>
  </x:si>
  <x:si>
    <x:t xml:space="preserve">Secondary prophylaxis with penicillin</x:t>
  </x:si>
  <x:si>
    <x:t xml:space="preserve">prevalence</x:t>
  </x:si>
  <x:si>
    <x:t xml:space="preserve">USD per patient-year</x:t>
  </x:si>
  <x:si>
    <x:t xml:space="preserve">Health center</x:t>
  </x:si>
  <x:si>
    <x:t xml:space="preserve">Kenya</x:t>
  </x:si>
  <x:si>
    <x:t xml:space="preserve">row 13</x:t>
  </x:si>
  <x:si>
    <x:t xml:space="preserve">Indonesia-adjusted Fair Choices unit cost</x:t>
  </x:si>
  <x:si>
    <x:t xml:space="preserve">COST_RHD_SURG_01</x:t>
  </x:si>
  <x:si>
    <x:t xml:space="preserve">CC_RHD_SURGERY</x:t>
  </x:si>
  <x:si>
    <x:t xml:space="preserve">Rheumatic heart disease cardiac surgery</x:t>
  </x:si>
  <x:si>
    <x:t xml:space="preserve">USD per procedure</x:t>
  </x:si>
  <x:si>
    <x:t xml:space="preserve">Hospital</x:t>
  </x:si>
  <x:si>
    <x:t xml:space="preserve">row 14</x:t>
  </x:si>
  <x:si>
    <x:t xml:space="preserve">SRHD corrected to RHD; frequency linked to assumption</x:t>
  </x:si>
  <x:si>
    <x:t xml:space="preserve">COST_PRIMARY_SCREEN_A</x:t>
  </x:si>
  <x:si>
    <x:t xml:space="preserve">CC_PRIMARY_SCREENING</x:t>
  </x:si>
  <x:si>
    <x:t xml:space="preserve">Option A (selected)</x:t>
  </x:si>
  <x:si>
    <x:t xml:space="preserve">Shared primary CVD cost</x:t>
  </x:si>
  <x:si>
    <x:t xml:space="preserve">CVD targeted screening</x:t>
  </x:si>
  <x:si>
    <x:t xml:space="preserve">all</x:t>
  </x:si>
  <x:si>
    <x:t xml:space="preserve">USD per eligible person-year</x:t>
  </x:si>
  <x:si>
    <x:t xml:space="preserve">Tanzania</x:t>
  </x:si>
  <x:si>
    <x:t xml:space="preserve">row 15</x:t>
  </x:si>
  <x:si>
    <x:t xml:space="preserve">Lower of two salary-adjustment options; confirm selection</x:t>
  </x:si>
  <x:si>
    <x:t xml:space="preserve">COST_PRIMARY_SCREEN_B</x:t>
  </x:si>
  <x:si>
    <x:t xml:space="preserve">Option B</x:t>
  </x:si>
  <x:si>
    <x:t xml:space="preserve">row 16</x:t>
  </x:si>
  <x:si>
    <x:t xml:space="preserve">Alternative</x:t>
  </x:si>
  <x:si>
    <x:t xml:space="preserve">Alternative salary-adjustment option</x:t>
  </x:si>
  <x:si>
    <x:t xml:space="preserve">COST_PRIMARY_TX_A</x:t>
  </x:si>
  <x:si>
    <x:t xml:space="preserve">CC_PRIMARY_HTN_STATIN</x:t>
  </x:si>
  <x:si>
    <x:t xml:space="preserve">Antihypertensives and statins for absolute CVD risk &gt;20%</x:t>
  </x:si>
  <x:si>
    <x:t xml:space="preserve">row 17</x:t>
  </x:si>
  <x:si>
    <x:t xml:space="preserve">COST_PRIMARY_TX_B</x:t>
  </x:si>
  <x:si>
    <x:t xml:space="preserve">row 18</x:t>
  </x:si>
  <x:si>
    <x:t xml:space="preserve">COST_IHD_SEC_CF_A</x:t>
  </x:si>
  <x:si>
    <x:t xml:space="preserve">CC_IHD_SECONDARY_CASE_FINDING</x:t>
  </x:si>
  <x:si>
    <x:t xml:space="preserve">Case finding and diagnosis</x:t>
  </x:si>
  <x:si>
    <x:t xml:space="preserve">incidence</x:t>
  </x:si>
  <x:si>
    <x:t xml:space="preserve">USD per incident case</x:t>
  </x:si>
  <x:si>
    <x:t xml:space="preserve">row 43</x:t>
  </x:si>
  <x:si>
    <x:t xml:space="preserve">Lower of two salary-adjustment options</x:t>
  </x:si>
  <x:si>
    <x:t xml:space="preserve">COST_IHD_SEC_CF_B</x:t>
  </x:si>
  <x:si>
    <x:t xml:space="preserve">row 44</x:t>
  </x:si>
  <x:si>
    <x:t xml:space="preserve">COST_IHD_SEC_FU</x:t>
  </x:si>
  <x:si>
    <x:t xml:space="preserve">CC_IHD_SECONDARY_FOLLOWUP</x:t>
  </x:si>
  <x:si>
    <x:t xml:space="preserve">Lab tests and follow-up visits for IHD patients</x:t>
  </x:si>
  <x:si>
    <x:t xml:space="preserve">rows 45–46</x:t>
  </x:si>
  <x:si>
    <x:t xml:space="preserve">Source label referred to stroke; corrected to IHD for this mapping</x:t>
  </x:si>
  <x:si>
    <x:t xml:space="preserve">COST_IHD_SEC_TX</x:t>
  </x:si>
  <x:si>
    <x:t xml:space="preserve">CC_IHD_SECONDARY_TREATMENT</x:t>
  </x:si>
  <x:si>
    <x:t xml:space="preserve">Treatment cost for IHD patients</x:t>
  </x:si>
  <x:si>
    <x:t xml:space="preserve">Brazil</x:t>
  </x:si>
  <x:si>
    <x:t xml:space="preserve">row 47</x:t>
  </x:si>
  <x:si>
    <x:t xml:space="preserve">COST_STROKE_IS_CF</x:t>
  </x:si>
  <x:si>
    <x:t xml:space="preserve">CC_STROKE_IS_CASE_FINDING</x:t>
  </x:si>
  <x:si>
    <x:t xml:space="preserve">row 32</x:t>
  </x:si>
  <x:si>
    <x:t xml:space="preserve">COST_STROKE_IS_LAB_A</x:t>
  </x:si>
  <x:si>
    <x:t xml:space="preserve">CC_STROKE_IS_FOLLOWUP</x:t>
  </x:si>
  <x:si>
    <x:t xml:space="preserve">Lab tests and follow-up visits</x:t>
  </x:si>
  <x:si>
    <x:t xml:space="preserve">row 37</x:t>
  </x:si>
  <x:si>
    <x:t xml:space="preserve">COST_STROKE_IS_LAB_B</x:t>
  </x:si>
  <x:si>
    <x:t xml:space="preserve">row 38</x:t>
  </x:si>
  <x:si>
    <x:t xml:space="preserve">COST_STROKE_IS_TX</x:t>
  </x:si>
  <x:si>
    <x:t xml:space="preserve">CC_STROKE_IS_TREATMENT</x:t>
  </x:si>
  <x:si>
    <x:t xml:space="preserve">Treatment cost for stroke patients</x:t>
  </x:si>
  <x:si>
    <x:t xml:space="preserve">rows 41–42</x:t>
  </x:si>
  <x:si>
    <x:t xml:space="preserve">COST_STROKE_ICH_CF_A</x:t>
  </x:si>
  <x:si>
    <x:t xml:space="preserve">CC_STROKE_ICH_CASE_FINDING</x:t>
  </x:si>
  <x:si>
    <x:t xml:space="preserve">row 33</x:t>
  </x:si>
  <x:si>
    <x:t xml:space="preserve">COST_STROKE_ICH_CF_B</x:t>
  </x:si>
  <x:si>
    <x:t xml:space="preserve">row 34</x:t>
  </x:si>
  <x:si>
    <x:t xml:space="preserve">COST_STROKE_ICH_LAB_A</x:t>
  </x:si>
  <x:si>
    <x:t xml:space="preserve">CC_STROKE_ICH_FOLLOWUP</x:t>
  </x:si>
  <x:si>
    <x:t xml:space="preserve">row 35</x:t>
  </x:si>
  <x:si>
    <x:t xml:space="preserve">COST_STROKE_ICH_LAB_B</x:t>
  </x:si>
  <x:si>
    <x:t xml:space="preserve">row 36</x:t>
  </x:si>
  <x:si>
    <x:t xml:space="preserve">COST_STROKE_ICH_TX</x:t>
  </x:si>
  <x:si>
    <x:t xml:space="preserve">CC_STROKE_ICH_TREATMENT</x:t>
  </x:si>
  <x:si>
    <x:t xml:space="preserve">rows 39–40</x:t>
  </x:si>
  <x:si>
    <x:t xml:space="preserve">COST_HF_ACUTE_C_IHD</x:t>
  </x:si>
  <x:si>
    <x:t xml:space="preserve">CC_HF_ACUTE_C_IHD</x:t>
  </x:si>
  <x:si>
    <x:t xml:space="preserve">Acute heart-failure management package</x:t>
  </x:si>
  <x:si>
    <x:t xml:space="preserve">USD per acute episode</x:t>
  </x:si>
  <x:si>
    <x:t xml:space="preserve">Ghana</x:t>
  </x:si>
  <x:si>
    <x:t xml:space="preserve">row 4</x:t>
  </x:si>
  <x:si>
    <x:t xml:space="preserve">COST_HF_ACUTE_C_HHD</x:t>
  </x:si>
  <x:si>
    <x:t xml:space="preserve">CC_HF_ACUTE_C_HHD</x:t>
  </x:si>
  <x:si>
    <x:t xml:space="preserve">row 3</x:t>
  </x:si>
  <x:si>
    <x:t xml:space="preserve">COST_HF_ACUTE_C_CMP</x:t>
  </x:si>
  <x:si>
    <x:t xml:space="preserve">CC_HF_ACUTE_C_CMP</x:t>
  </x:si>
  <x:si>
    <x:t xml:space="preserve">row 2</x:t>
  </x:si>
  <x:si>
    <x:t xml:space="preserve">COST_HF_CHRONIC_CMP_ECHO</x:t>
  </x:si>
  <x:si>
    <x:t xml:space="preserve">CC_HF_CHRONIC_CMP_ECHO</x:t>
  </x:si>
  <x:si>
    <x:t xml:space="preserve">One cardiac echo per year</x:t>
  </x:si>
  <x:si>
    <x:t xml:space="preserve">row 19</x:t>
  </x:si>
  <x:si>
    <x:t xml:space="preserve">COST_HF_CHRONIC_CMP_LAB_A</x:t>
  </x:si>
  <x:si>
    <x:t xml:space="preserve">CC_HF_CHRONIC_CMP_FOLLOWUP</x:t>
  </x:si>
  <x:si>
    <x:t xml:space="preserve">row 22</x:t>
  </x:si>
  <x:si>
    <x:t xml:space="preserve">COST_HF_CHRONIC_CMP_LAB_B</x:t>
  </x:si>
  <x:si>
    <x:t xml:space="preserve">row 23</x:t>
  </x:si>
  <x:si>
    <x:t xml:space="preserve">COST_HF_CHRONIC_CMP_TX</x:t>
  </x:si>
  <x:si>
    <x:t xml:space="preserve">CC_HF_CHRONIC_CMP_TREATMENT</x:t>
  </x:si>
  <x:si>
    <x:t xml:space="preserve">Treatment of heart failure</x:t>
  </x:si>
  <x:si>
    <x:t xml:space="preserve">rows 26–27</x:t>
  </x:si>
  <x:si>
    <x:t xml:space="preserve">COST_HF_CHRONIC_HHD_ECHO</x:t>
  </x:si>
  <x:si>
    <x:t xml:space="preserve">CC_HF_CHRONIC_HHD_ECHO</x:t>
  </x:si>
  <x:si>
    <x:t xml:space="preserve">row 20</x:t>
  </x:si>
  <x:si>
    <x:t xml:space="preserve">COST_HF_CHRONIC_HHD_LAB_A</x:t>
  </x:si>
  <x:si>
    <x:t xml:space="preserve">CC_HF_CHRONIC_HHD_FOLLOWUP</x:t>
  </x:si>
  <x:si>
    <x:t xml:space="preserve">row 24</x:t>
  </x:si>
  <x:si>
    <x:t xml:space="preserve">COST_HF_CHRONIC_HHD_LAB_B</x:t>
  </x:si>
  <x:si>
    <x:t xml:space="preserve">row 25</x:t>
  </x:si>
  <x:si>
    <x:t xml:space="preserve">COST_HF_CHRONIC_HHD_TX</x:t>
  </x:si>
  <x:si>
    <x:t xml:space="preserve">CC_HF_CHRONIC_HHD_TREATMENT</x:t>
  </x:si>
  <x:si>
    <x:t xml:space="preserve">rows 28–29</x:t>
  </x:si>
  <x:si>
    <x:t xml:space="preserve">Source age starts at 0; verify against model eligibility</x:t>
  </x:si>
  <x:si>
    <x:t xml:space="preserve">COST_HF_CHRONIC_IHD_ECHO</x:t>
  </x:si>
  <x:si>
    <x:t xml:space="preserve">CC_HF_CHRONIC_IHD_ECHO</x:t>
  </x:si>
  <x:si>
    <x:t xml:space="preserve">row 21</x:t>
  </x:si>
  <x:si>
    <x:t xml:space="preserve">COST_HF_CHRONIC_IHD_LAB</x:t>
  </x:si>
  <x:si>
    <x:t xml:space="preserve">CC_HF_CHRONIC_IHD_FOLLOWUP</x:t>
  </x:si>
  <x:si>
    <x:t xml:space="preserve">not found</x:t>
  </x:si>
  <x:si>
    <x:t xml:space="preserve">Missing input</x:t>
  </x:si>
  <x:si>
    <x:t xml:space="preserve">No IHD-specific chronic HF follow-up cost identified in supplied adjusted cost file</x:t>
  </x:si>
  <x:si>
    <x:t xml:space="preserve">COST_HF_CHRONIC_IHD_TX</x:t>
  </x:si>
  <x:si>
    <x:t xml:space="preserve">CC_HF_CHRONIC_IHD_TREATMENT</x:t>
  </x:si>
  <x:si>
    <x:t xml:space="preserve">rows 30–31</x:t>
  </x:si>
  <x:si>
    <x:t xml:space="preserve">coverage_increase</x:t>
  </x:si>
  <x:si>
    <x:t xml:space="preserve">fairchoices_adjusted_effect</x:t>
  </x:si>
  <x:si>
    <x:t xml:space="preserve">adjusted_effect_on_transition</x:t>
  </x:si>
  <x:si>
    <x:t xml:space="preserve">selected_cost_components</x:t>
  </x:si>
  <x:si>
    <x:t xml:space="preserve">selected_unit_cost_sum_usd</x:t>
  </x:si>
  <x:si>
    <x:t xml:space="preserve">method_id</x:t>
  </x:si>
  <x:si>
    <x:t xml:space="preserve">concept</x:t>
  </x:si>
  <x:si>
    <x:t xml:space="preserve">formula_or_rule</x:t>
  </x:si>
  <x:si>
    <x:t xml:space="preserve">implemented_in</x:t>
  </x:si>
  <x:si>
    <x:t xml:space="preserve">linkage_key</x:t>
  </x:si>
  <x:si>
    <x:t xml:space="preserve">Indonesia interpretation</x:t>
  </x:si>
  <x:si>
    <x:t xml:space="preserve">M01</x:t>
  </x:si>
  <x:si>
    <x:t xml:space="preserve">Incremental coverage</x:t>
  </x:si>
  <x:si>
    <x:t xml:space="preserve">delta_cov = cov_target - cov_baseline</x:t>
  </x:si>
  <x:si>
    <x:t xml:space="preserve">Coverage</x:t>
  </x:si>
  <x:si>
    <x:t xml:space="preserve">Coverage changes in percentage points; do not use target coverage alone.</x:t>
  </x:si>
  <x:si>
    <x:t xml:space="preserve">M02</x:t>
  </x:si>
  <x:si>
    <x:t xml:space="preserve">FairChoices adjusted effect</x:t>
  </x:si>
  <x:si>
    <x:t xml:space="preserve">e_adj = e_crude * delta_cov / (1 - e_crude * cov_baseline)</x:t>
  </x:si>
  <x:si>
    <x:t xml:space="preserve">Model_Input_View</x:t>
  </x:si>
  <x:si>
    <x:t xml:space="preserve">Uses effect_value as e_crude and the row-specific baseline and target coverage.</x:t>
  </x:si>
  <x:si>
    <x:t xml:space="preserve">M03</x:t>
  </x:si>
  <x:si>
    <x:t xml:space="preserve">Affected fraction</x:t>
  </x:si>
  <x:si>
    <x:t xml:space="preserve">transition_effect = e_adj * affected_fraction</x:t>
  </x:si>
  <x:si>
    <x:t xml:space="preserve">Indonesia Markov adaptation: limits the effect to the eligible/affected share supplied by FairChoices.</x:t>
  </x:si>
  <x:si>
    <x:t xml:space="preserve">M04</x:t>
  </x:si>
  <x:si>
    <x:t xml:space="preserve">Adjusted transition</x:t>
  </x:si>
  <x:si>
    <x:t xml:space="preserve">p_target = p_baseline * (1 - transition_effect)</x:t>
  </x:si>
  <x:si>
    <x:t xml:space="preserve">Model pipeline</x:t>
  </x:si>
  <x:si>
    <x:t xml:space="preserve">transition_from + transition_to</x:t>
  </x:si>
  <x:si>
    <x:t xml:space="preserve">Apply prevention to well -&gt; sick and disease management to sick -&gt; cause-specific death.</x:t>
  </x:si>
  <x:si>
    <x:t xml:space="preserve">M05</x:t>
  </x:si>
  <x:si>
    <x:t xml:space="preserve">Annual component cost</x:t>
  </x:si>
  <x:si>
    <x:t xml:space="preserve">cost = unit_cost * frequency * population_in_need * coverage</x:t>
  </x:si>
  <x:si>
    <x:t xml:space="preserve">Cost_Components</x:t>
  </x:si>
  <x:si>
    <x:t xml:space="preserve">cost_join_key + cost_component_key</x:t>
  </x:si>
  <x:si>
    <x:t xml:space="preserve">Calculate each selected component separately because PIN measures and fractions differ.</x:t>
  </x:si>
  <x:si>
    <x:t xml:space="preserve">M06</x:t>
  </x:si>
  <x:si>
    <x:t xml:space="preserve">Total intervention cost</x:t>
  </x:si>
  <x:si>
    <x:t xml:space="preserve">C_i,t = SUM_k(cost_i,k,t)</x:t>
  </x:si>
  <x:si>
    <x:t xml:space="preserve">Economic evaluation</x:t>
  </x:si>
  <x:si>
    <x:t xml:space="preserve">C_SHARED links are counted once at intervention level, not once for every affected cause.</x:t>
  </x:si>
  <x:si>
    <x:t xml:space="preserve">M07</x:t>
  </x:si>
  <x:si>
    <x:t xml:space="preserve">Discounting</x:t>
  </x:si>
  <x:si>
    <x:t xml:space="preserve">PV_t = value_t / (1 + r)^(t - start_year)</x:t>
  </x:si>
  <x:si>
    <x:t xml:space="preserve">Assumptions.parameter_id</x:t>
  </x:si>
  <x:si>
    <x:t xml:space="preserve">Use the editable Indonesia cost and health discount rates.</x:t>
  </x:si>
  <x:si>
    <x:t xml:space="preserve">M08</x:t>
  </x:si>
  <x:si>
    <x:t xml:space="preserve">FairChoices unit-cost markups</x:t>
  </x:si>
  <x:si>
    <x:t xml:space="preserve">c_i = (1 + alpha) * c_literature * (1 + beta)</x:t>
  </x:si>
  <x:si>
    <x:t xml:space="preserve">Do not reapply markups where indonesia_adjusted_flag = 1; supplied adjusted costs already include them.</x:t>
  </x:si>
  <x:si>
    <x:t xml:space="preserve">M09</x:t>
  </x:si>
  <x:si>
    <x:t xml:space="preserve">Country cost transfer</x:t>
  </x:si>
  <x:si>
    <x:t xml:space="preserve">c_i,y = delta*c_i,x*(S_y/S_x) + (1-delta)*c_i,x</x:t>
  </x:si>
  <x:si>
    <x:t xml:space="preserve">Cost source preparation</x:t>
  </x:si>
  <x:si>
    <x:t xml:space="preserve">Upstream preparation method; workbook retains the adjusted output and provenance.</x:t>
  </x:si>
  <x:si>
    <x:t xml:space="preserve">Assumption comparison</x:t>
  </x:si>
  <x:si>
    <x:t xml:space="preserve">Indonesia base case</x:t>
  </x:si>
  <x:si>
    <x:t xml:space="preserve">FairChoices documentation</x:t>
  </x:si>
  <x:si>
    <x:t xml:space="preserve">Decision</x:t>
  </x:si>
  <x:si>
    <x:t xml:space="preserve">Source</x:t>
  </x:si>
  <x:si>
    <x:t xml:space="preserve">Cost discount rate</x:t>
  </x:si>
  <x:si>
    <x:t xml:space="preserve">Keep editable Indonesia base case</x:t>
  </x:si>
  <x:si>
    <x:t xml:space="preserve">https://fairchoices.w.uib.no/documentation/fairchoices-methods/#mathematical-details</x:t>
  </x:si>
  <x:si>
    <x:t xml:space="preserve">Health-outcome discount rate</x:t>
  </x:si>
  <x:si>
    <x:t xml:space="preserve">Time horizon</x:t>
  </x:si>
  <x:si>
    <x:t xml:space="preserve">2025-2050</x:t>
  </x:si>
  <x:si>
    <x:t xml:space="preserve">5-year costing reference; lifetime health perspective</x:t>
  </x:si>
  <x:si>
    <x:t xml:space="preserve">Use Jakarta-oriented 2025-2050 horizon</x:t>
  </x:si>
  <x:si>
    <x:t xml:space="preserve">Source: FairChoices Methods, University of Bergen. The adjusted-transition and affected-fraction rows are an explicit Indonesia Markov-model adaptation of the documented FairChoices coverage-adjusted effect equation.</x:t>
  </x:si>
  <x:si>
    <x:t xml:space="preserve">item</x:t>
  </x:si>
  <x:si>
    <x:t xml:space="preserve">decision</x:t>
  </x:si>
  <x:si>
    <x:t xml:space="preserve">reason</x:t>
  </x:si>
  <x:si>
    <x:t xml:space="preserve">domain</x:t>
  </x:si>
  <x:si>
    <x:t xml:space="preserve">use</x:t>
  </x:si>
  <x:si>
    <x:t xml:space="preserve">location</x:t>
  </x:si>
  <x:si>
    <x:t xml:space="preserve">Treatment of acute pharyngitis in children</x:t>
  </x:si>
  <x:si>
    <x:t xml:space="preserve">Exclude</x:t>
  </x:si>
  <x:si>
    <x:t xml:space="preserve">Explicitly excluded in the August 14 meeting</x:t>
  </x:si>
  <x:si>
    <x:t xml:space="preserve">Meeting summary — August 14, 2026</x:t>
  </x:si>
  <x:si>
    <x:t xml:space="preserve">Scope, target coverage, intervention structure, transition corrections</x:t>
  </x:si>
  <x:si>
    <x:t xml:space="preserve">User-provided meeting summary</x:t>
  </x:si>
  <x:si>
    <x:t xml:space="preserve">Primary decision source</x:t>
  </x:si>
  <x:si>
    <x:t xml:space="preserve">Peripheral vascular disease interventions</x:t>
  </x:si>
  <x:si>
    <x:t xml:space="preserve">No disease model in the initial pipeline</x:t>
  </x:si>
  <x:si>
    <x:t xml:space="preserve">Peripheral vascular disease</x:t>
  </x:si>
  <x:si>
    <x:t xml:space="preserve">Sample organization and economic assumptions</x:t>
  </x:si>
  <x:si>
    <x:t xml:space="preserve">Economic_Assumptions; Effect_sizes; Cost; Coverage</x:t>
  </x:si>
  <x:si>
    <x:t xml:space="preserve">Used as a structural reference; originals preserved</x:t>
  </x:si>
  <x:si>
    <x:t xml:space="preserve">Detailed BP/statin risk-factor distributions</x:t>
  </x:si>
  <x:si>
    <x:t xml:space="preserve">Defer</x:t>
  </x:si>
  <x:si>
    <x:t xml:space="preserve">Use average Fair Choices effects for Jakarta results</x:t>
  </x:si>
  <x:si>
    <x:t xml:space="preserve">Fair Choices effect values and affected proportions</x:t>
  </x:si>
  <x:si>
    <x:t xml:space="preserve">Sheet 1</x:t>
  </x:si>
  <x:si>
    <x:t xml:space="preserve">CVD and type 2 diabetes rows used</x:t>
  </x:si>
  <x:si>
    <x:t xml:space="preserve">Chronic kidney disease</x:t>
  </x:si>
  <x:si>
    <x:t xml:space="preserve">Add only if core models are complete</x:t>
  </x:si>
  <x:si>
    <x:t xml:space="preserve">CKD</x:t>
  </x:si>
  <x:si>
    <x:t xml:space="preserve">Exercise-based cardiac rehabilitation</x:t>
  </x:si>
  <x:si>
    <x:t xml:space="preserve">Not in the agreed initial package</x:t>
  </x:si>
  <x:si>
    <x:t xml:space="preserve">Stroke rehabilitation</x:t>
  </x:si>
  <x:si>
    <x:t xml:space="preserve">Stroke</x:t>
  </x:si>
  <x:si>
    <x:t xml:space="preserve">PINandCosts0625(1).csv</x:t>
  </x:si>
  <x:si>
    <x:t xml:space="preserve">Treatment of acute coronary syndromes</x:t>
  </x:si>
  <x:si>
    <x:t xml:space="preserve">Not listed in the initial secondary-prevention package</x:t>
  </x:si>
  <x:si>
    <x:t xml:space="preserve">FairChoices Methods</x:t>
  </x:si>
  <x:si>
    <x:t xml:space="preserve">Coverage-adjusted effect, cost equations, discounting reference, and limitations</x:t>
  </x:si>
  <x:si>
    <x:t xml:space="preserve">Used for method documentation; Indonesia assumptions remain editable</x:t>
  </x:si>
  <x:si>
    <x:t xml:space="preserve">Shiny/web tool</x:t>
  </x:si>
  <x:si>
    <x:t xml:space="preserve">Resume later September or October</x:t>
  </x:si>
  <x:si>
    <x:t xml:space="preserve">Infrastructure</x:t>
  </x:si>
  <x:si>
    <x:t xml:space="preserve">check_id</x:t>
  </x:si>
  <x:si>
    <x:t xml:space="preserve">check</x:t>
  </x:si>
  <x:si>
    <x:t xml:space="preserve">expected</x:t>
  </x:si>
  <x:si>
    <x:t xml:space="preserve">actual</x:t>
  </x:si>
  <x:si>
    <x:t xml:space="preserve">status</x:t>
  </x:si>
  <x:si>
    <x:t xml:space="preserve">interpretation</x:t>
  </x:si>
  <x:si>
    <x:t xml:space="preserve">QA01</x:t>
  </x:si>
  <x:si>
    <x:t xml:space="preserve">Duplicate intervention–cause keys</x:t>
  </x:si>
  <x:si>
    <x:t xml:space="preserve">Each link key must appear once</x:t>
  </x:si>
  <x:si>
    <x:t xml:space="preserve">QA02</x:t>
  </x:si>
  <x:si>
    <x:t xml:space="preserve">Effect rows with bad keys or invalid values</x:t>
  </x:si>
  <x:si>
    <x:t xml:space="preserve">Effects must link once and remain within 0–100%</x:t>
  </x:si>
  <x:si>
    <x:t xml:space="preserve">QA03</x:t>
  </x:si>
  <x:si>
    <x:t xml:space="preserve">Coverage rows with missing/bad inputs</x:t>
  </x:si>
  <x:si>
    <x:t xml:space="preserve">QA04</x:t>
  </x:si>
  <x:si>
    <x:t xml:space="preserve">Cost rows with bad keys, missing values, or selection problems</x:t>
  </x:si>
  <x:si>
    <x:t xml:space="preserve">QA05</x:t>
  </x:si>
  <x:si>
    <x:t xml:space="preserve">Effect row count minus mapping row count</x:t>
  </x:si>
  <x:si>
    <x:t xml:space="preserve">Should be one effect row for every included link</x:t>
  </x:si>
  <x:si>
    <x:t xml:space="preserve">QA06</x:t>
  </x:si>
  <x:si>
    <x:t xml:space="preserve">Coverage row count minus mapping row count</x:t>
  </x:si>
  <x:si>
    <x:t xml:space="preserve">Should be one coverage row for every included link</x:t>
  </x:si>
  <x:si>
    <x:t xml:space="preserve">QA07</x:t>
  </x:si>
  <x:si>
    <x:t xml:space="preserve">Effect rows missing a source file</x:t>
  </x:si>
  <x:si>
    <x:t xml:space="preserve">All effect values require a traceable source</x:t>
  </x:si>
  <x:si>
    <x:t xml:space="preserve">QA08</x:t>
  </x:si>
  <x:si>
    <x:t xml:space="preserve">Selected costs with missing unit cost</x:t>
  </x:si>
  <x:si>
    <x:t xml:space="preserve">Only selected base-case cost rows are model-ready</x:t>
  </x:si>
  <x:si>
    <x:t xml:space="preserve">Cause</x:t>
  </x:si>
  <x:si>
    <x:t xml:space="preserve">Intervention</x:t>
  </x:si>
  <x:si>
    <x:t xml:space="preserve">Date</x:t>
  </x:si>
  <x:si>
    <x:t xml:space="preserve">Description</x:t>
  </x:si>
  <x:si>
    <x:t xml:space="preserve">RHD</x:t>
  </x:si>
  <x:si>
    <x:t xml:space="preserve">Since we do not have svere state, the PIN is updated to 9 % based on the RHD detailed model from The Uganda/Indonesia modelling</x:t>
  </x:si>
</x:sst>
</file>

<file path=xl/styles.xml><?xml version="1.0" encoding="utf-8"?>
<x:styleSheet xmlns:x="http://schemas.openxmlformats.org/spreadsheetml/2006/main">
  <x:numFmts count="2">
    <x:numFmt numFmtId="164" formatCode="0.0%"/>
    <x:numFmt numFmtId="165" formatCode="&quot;$&quot;#,##0.00"/>
  </x:numFmts>
  <x:fonts count="14">
    <x:font>
      <x:sz val="11"/>
      <x:name val="Carlito"/>
    </x:font>
    <x:font>
      <x:sz val="11"/>
      <x:color rgb="FF000000"/>
      <x:name val="Carlito"/>
    </x:font>
    <x:font>
      <x:b/>
      <x:sz val="11"/>
      <x:color rgb="FFFFFFFF"/>
      <x:name val="Carlito"/>
    </x:font>
    <x:font>
      <x:b/>
      <x:sz val="11"/>
      <x:color rgb="FF9C5700"/>
      <x:name val="Carlito"/>
    </x:font>
    <x:font>
      <x:i/>
      <x:sz val="9"/>
      <x:color rgb="FF1F1F1F"/>
      <x:name val="Carlito"/>
    </x:font>
    <x:font>
      <x:sz val="10"/>
      <x:color rgb="FF000000"/>
      <x:name val="Carlito"/>
    </x:font>
    <x:font>
      <x:b/>
      <x:sz val="20"/>
      <x:color rgb="FFFFFFFF"/>
      <x:name val="Carlito"/>
    </x:font>
    <x:font>
      <x:i/>
      <x:sz val="10"/>
      <x:color rgb="FF1F1F1F"/>
      <x:name val="Carlito"/>
    </x:font>
    <x:font>
      <x:b/>
      <x:sz val="10"/>
      <x:color rgb="FFFFFFFF"/>
      <x:name val="Carlito"/>
    </x:font>
    <x:font>
      <x:b/>
      <x:sz val="16"/>
      <x:color rgb="FF1F4E78"/>
      <x:name val="Carlito"/>
    </x:font>
    <x:font>
      <x:sz val="9"/>
      <x:color rgb="FF1F1F1F"/>
      <x:name val="Carlito"/>
    </x:font>
    <x:font>
      <x:sz val="9"/>
      <x:color rgb="FF000000"/>
      <x:name val="Carlito"/>
    </x:font>
    <x:font>
      <x:sz val="9"/>
      <x:color rgb="FFFF0000"/>
      <x:name val="Carlito"/>
    </x:font>
    <x:font>
      <x:i/>
      <x:sz val="9"/>
      <x:color rgb="FF000000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FFF2CC"/>
      </x:patternFill>
    </x:fill>
    <x:fill>
      <x:patternFill patternType="solid">
        <x:fgColor rgb="FFF3F6F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</x:fills>
  <x:borders count="17">
    <x:border/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B4C6E7"/>
      </x:left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top style="thin">
        <x:color rgb="FFD9E2F3"/>
      </x:top>
      <x:bottom style="thin">
        <x:color rgb="FFD9E2F3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1" fillId="0" borderId="0" xfId="0" applyFont="1" applyAlignment="1">
      <x:alignment wrapText="1"/>
    </x:xf>
    <x:xf numFmtId="0" fontId="2" fillId="2" borderId="0" xfId="0" applyFont="1" applyFill="1" applyAlignment="1">
      <x:alignment horizontal="center" vertical="center" wrapText="1"/>
    </x:xf>
    <x:xf numFmtId="0" fontId="3" fillId="3" borderId="0" xfId="0" applyFont="1" applyFill="1" applyAlignment="1">
      <x:alignment horizontal="center" wrapText="1"/>
    </x:xf>
    <x:xf numFmtId="0" fontId="2" fillId="7" borderId="0" xfId="0" applyFont="1" applyFill="1" applyAlignment="1">
      <x:alignment wrapText="1"/>
    </x:xf>
    <x:xf numFmtId="0" fontId="10" fillId="0" borderId="5" xfId="0" applyFont="1" applyBorder="1" applyAlignment="1">
      <x:alignment vertical="top" wrapText="1"/>
    </x:xf>
    <x:xf numFmtId="0" fontId="10" fillId="3" borderId="2" xfId="0" applyFont="1" applyFill="1" applyBorder="1" applyAlignment="1">
      <x:alignment horizontal="right" vertical="top" wrapText="1"/>
    </x:xf>
    <x:xf numFmtId="0" fontId="10" fillId="0" borderId="2" xfId="0" applyFont="1" applyBorder="1" applyAlignment="1">
      <x:alignment horizontal="right" vertical="top" wrapText="1"/>
    </x:xf>
    <x:xf numFmtId="0" fontId="10" fillId="3" borderId="13" xfId="0" applyFont="1" applyFill="1" applyBorder="1" applyAlignment="1">
      <x:alignment horizontal="right" vertical="top" wrapText="1"/>
    </x:xf>
    <x:xf numFmtId="0" fontId="10" fillId="0" borderId="13" xfId="0" applyFont="1" applyBorder="1" applyAlignment="1">
      <x:alignment horizontal="right" vertical="top" wrapText="1"/>
    </x:xf>
    <x:xf numFmtId="164" fontId="10" fillId="3" borderId="13" xfId="0" applyNumberFormat="1" applyFont="1" applyFill="1" applyBorder="1" applyAlignment="1">
      <x:alignment horizontal="right" vertical="top" wrapText="1"/>
    </x:xf>
    <x:xf numFmtId="164" fontId="10" fillId="0" borderId="13" xfId="0" applyNumberFormat="1" applyFont="1" applyBorder="1" applyAlignment="1">
      <x:alignment horizontal="right" vertical="top" wrapText="1"/>
    </x:xf>
    <x:xf numFmtId="0" fontId="10" fillId="3" borderId="5" xfId="0" applyFont="1" applyFill="1" applyBorder="1" applyAlignment="1">
      <x:alignment horizontal="right" vertical="top" wrapText="1"/>
    </x:xf>
    <x:xf numFmtId="0" fontId="10" fillId="0" borderId="5" xfId="0" applyFont="1" applyBorder="1" applyAlignment="1">
      <x:alignment horizontal="right" vertical="top" wrapText="1"/>
    </x:xf>
    <x:xf numFmtId="0" fontId="8" fillId="7" borderId="14" xfId="0" applyFont="1" applyFill="1" applyBorder="1" applyAlignment="1">
      <x:alignment vertical="center" wrapText="1"/>
    </x:xf>
    <x:xf numFmtId="0" fontId="8" fillId="7" borderId="15" xfId="0" applyFont="1" applyFill="1" applyBorder="1" applyAlignment="1">
      <x:alignment vertical="center" wrapText="1"/>
    </x:xf>
    <x:xf numFmtId="0" fontId="8" fillId="7" borderId="16" xfId="0" applyFont="1" applyFill="1" applyBorder="1" applyAlignment="1">
      <x:alignment vertical="center" wrapText="1"/>
    </x:xf>
    <x:xf numFmtId="0" fontId="10" fillId="0" borderId="2" xfId="0" applyFont="1" applyBorder="1" applyAlignment="1">
      <x:alignment vertical="top" wrapText="1"/>
    </x:xf>
    <x:xf numFmtId="0" fontId="10" fillId="0" borderId="13" xfId="0" applyFont="1" applyBorder="1" applyAlignment="1">
      <x:alignment vertical="top" wrapText="1"/>
    </x:xf>
    <x:xf numFmtId="0" fontId="11" fillId="0" borderId="0" xfId="0" applyFont="1" applyAlignment="1">
      <x:alignment vertical="top" wrapText="1"/>
    </x:xf>
    <x:xf numFmtId="0" fontId="10" fillId="9" borderId="2" xfId="0" applyFont="1" applyFill="1" applyBorder="1" applyAlignment="1">
      <x:alignment vertical="top" wrapText="1"/>
    </x:xf>
    <x:xf numFmtId="0" fontId="10" fillId="9" borderId="13" xfId="0" applyFont="1" applyFill="1" applyBorder="1" applyAlignment="1">
      <x:alignment vertical="top" wrapText="1"/>
    </x:xf>
    <x:xf numFmtId="0" fontId="10" fillId="9" borderId="5" xfId="0" applyFont="1" applyFill="1" applyBorder="1" applyAlignment="1">
      <x:alignment vertical="top" wrapText="1"/>
    </x:xf>
    <x:xf numFmtId="1" fontId="10" fillId="0" borderId="2" xfId="0" applyNumberFormat="1" applyFont="1" applyBorder="1" applyAlignment="1">
      <x:alignment vertical="top" wrapText="1"/>
    </x:xf>
    <x:xf numFmtId="1" fontId="10" fillId="0" borderId="13" xfId="0" applyNumberFormat="1" applyFont="1" applyBorder="1" applyAlignment="1">
      <x:alignment vertical="top" wrapText="1"/>
    </x:xf>
    <x:xf numFmtId="1" fontId="10" fillId="0" borderId="5" xfId="0" applyNumberFormat="1" applyFont="1" applyBorder="1" applyAlignment="1">
      <x:alignment vertical="top" wrapText="1"/>
    </x:xf>
    <x:xf numFmtId="164" fontId="10" fillId="3" borderId="13" xfId="0" applyNumberFormat="1" applyFont="1" applyFill="1" applyBorder="1" applyAlignment="1">
      <x:alignment vertical="top" wrapText="1"/>
    </x:xf>
    <x:xf numFmtId="164" fontId="10" fillId="3" borderId="2" xfId="0" applyNumberFormat="1" applyFont="1" applyFill="1" applyBorder="1" applyAlignment="1">
      <x:alignment vertical="top" wrapText="1"/>
    </x:xf>
    <x:xf numFmtId="164" fontId="10" fillId="3" borderId="5" xfId="0" applyNumberFormat="1" applyFont="1" applyFill="1" applyBorder="1" applyAlignment="1">
      <x:alignment vertical="top" wrapText="1"/>
    </x:xf>
    <x:xf numFmtId="1" fontId="10" fillId="3" borderId="2" xfId="0" applyNumberFormat="1" applyFont="1" applyFill="1" applyBorder="1" applyAlignment="1">
      <x:alignment vertical="top" wrapText="1"/>
    </x:xf>
    <x:xf numFmtId="1" fontId="10" fillId="3" borderId="13" xfId="0" applyNumberFormat="1" applyFont="1" applyFill="1" applyBorder="1" applyAlignment="1">
      <x:alignment vertical="top" wrapText="1"/>
    </x:xf>
    <x:xf numFmtId="1" fontId="10" fillId="3" borderId="5" xfId="0" applyNumberFormat="1" applyFont="1" applyFill="1" applyBorder="1" applyAlignment="1">
      <x:alignment vertical="top" wrapText="1"/>
    </x:xf>
    <x:xf numFmtId="164" fontId="10" fillId="9" borderId="2" xfId="0" applyNumberFormat="1" applyFont="1" applyFill="1" applyBorder="1" applyAlignment="1">
      <x:alignment vertical="top" wrapText="1"/>
    </x:xf>
    <x:xf numFmtId="164" fontId="10" fillId="9" borderId="13" xfId="0" applyNumberFormat="1" applyFont="1" applyFill="1" applyBorder="1" applyAlignment="1">
      <x:alignment vertical="top" wrapText="1"/>
    </x:xf>
    <x:xf numFmtId="164" fontId="10" fillId="9" borderId="5" xfId="0" applyNumberFormat="1" applyFont="1" applyFill="1" applyBorder="1" applyAlignment="1">
      <x:alignment vertical="top" wrapText="1"/>
    </x:xf>
    <x:xf numFmtId="1" fontId="10" fillId="9" borderId="2" xfId="0" applyNumberFormat="1" applyFont="1" applyFill="1" applyBorder="1" applyAlignment="1">
      <x:alignment vertical="top" wrapText="1"/>
    </x:xf>
    <x:xf numFmtId="1" fontId="10" fillId="9" borderId="13" xfId="0" applyNumberFormat="1" applyFont="1" applyFill="1" applyBorder="1" applyAlignment="1">
      <x:alignment vertical="top" wrapText="1"/>
    </x:xf>
    <x:xf numFmtId="1" fontId="10" fillId="9" borderId="5" xfId="0" applyNumberFormat="1" applyFont="1" applyFill="1" applyBorder="1" applyAlignment="1">
      <x:alignment vertical="top" wrapText="1"/>
    </x:xf>
    <x:xf numFmtId="164" fontId="12" fillId="3" borderId="13" xfId="0" applyNumberFormat="1" applyFont="1" applyFill="1" applyBorder="1" applyAlignment="1">
      <x:alignment vertical="top" wrapText="1"/>
    </x:xf>
    <x:xf numFmtId="0" fontId="10" fillId="3" borderId="2" xfId="0" applyFont="1" applyFill="1" applyBorder="1" applyAlignment="1">
      <x:alignment vertical="top" wrapText="1"/>
    </x:xf>
    <x:xf numFmtId="0" fontId="10" fillId="3" borderId="13" xfId="0" applyFont="1" applyFill="1" applyBorder="1" applyAlignment="1">
      <x:alignment vertical="top" wrapText="1"/>
    </x:xf>
    <x:xf numFmtId="0" fontId="10" fillId="3" borderId="5" xfId="0" applyFont="1" applyFill="1" applyBorder="1" applyAlignment="1">
      <x:alignment vertical="top" wrapText="1"/>
    </x:xf>
    <x:xf numFmtId="165" fontId="10" fillId="3" borderId="2" xfId="0" applyNumberFormat="1" applyFont="1" applyFill="1" applyBorder="1" applyAlignment="1">
      <x:alignment vertical="top" wrapText="1"/>
    </x:xf>
    <x:xf numFmtId="165" fontId="10" fillId="3" borderId="13" xfId="0" applyNumberFormat="1" applyFont="1" applyFill="1" applyBorder="1" applyAlignment="1">
      <x:alignment vertical="top" wrapText="1"/>
    </x:xf>
    <x:xf numFmtId="165" fontId="10" fillId="3" borderId="5" xfId="0" applyNumberFormat="1" applyFont="1" applyFill="1" applyBorder="1" applyAlignment="1">
      <x:alignment vertical="top" wrapText="1"/>
    </x:xf>
    <x:xf numFmtId="165" fontId="12" fillId="3" borderId="13" xfId="0" applyNumberFormat="1" applyFont="1" applyFill="1" applyBorder="1" applyAlignment="1">
      <x:alignment vertical="top" wrapText="1"/>
    </x:xf>
    <x:xf numFmtId="1" fontId="12" fillId="3" borderId="13" xfId="0" applyNumberFormat="1" applyFont="1" applyFill="1" applyBorder="1" applyAlignment="1">
      <x:alignment vertical="top" wrapText="1"/>
    </x:xf>
    <x:xf numFmtId="1" fontId="12" fillId="3" borderId="5" xfId="0" applyNumberFormat="1" applyFont="1" applyFill="1" applyBorder="1" applyAlignment="1">
      <x:alignment vertical="top" wrapText="1"/>
    </x:xf>
    <x:xf numFmtId="165" fontId="10" fillId="9" borderId="2" xfId="0" applyNumberFormat="1" applyFont="1" applyFill="1" applyBorder="1" applyAlignment="1">
      <x:alignment vertical="top" wrapText="1"/>
    </x:xf>
    <x:xf numFmtId="165" fontId="10" fillId="9" borderId="13" xfId="0" applyNumberFormat="1" applyFont="1" applyFill="1" applyBorder="1" applyAlignment="1">
      <x:alignment vertical="top" wrapText="1"/>
    </x:xf>
    <x:xf numFmtId="165" fontId="10" fillId="9" borderId="5" xfId="0" applyNumberFormat="1" applyFont="1" applyFill="1" applyBorder="1" applyAlignment="1">
      <x:alignment vertical="top" wrapText="1"/>
    </x:xf>
    <x:xf numFmtId="0" fontId="5" fillId="0" borderId="2" xfId="0" applyFont="1" applyBorder="1" applyAlignment="1">
      <x:alignment vertical="top" wrapText="1"/>
    </x:xf>
    <x:xf numFmtId="0" fontId="5" fillId="0" borderId="13" xfId="0" applyFont="1" applyBorder="1" applyAlignment="1">
      <x:alignment vertical="top" wrapText="1"/>
    </x:xf>
    <x:xf numFmtId="0" fontId="5" fillId="0" borderId="5" xfId="0" applyFont="1" applyBorder="1" applyAlignment="1">
      <x:alignment vertical="top" wrapText="1"/>
    </x:xf>
    <x:xf numFmtId="0" fontId="2" fillId="2" borderId="0" xfId="0" applyFont="1" applyFill="1" applyAlignment="1">
      <x:alignment wrapText="1"/>
    </x:xf>
    <x:xf numFmtId="164" fontId="5" fillId="0" borderId="2" xfId="0" applyNumberFormat="1" applyFont="1" applyBorder="1" applyAlignment="1">
      <x:alignment vertical="top" wrapText="1"/>
    </x:xf>
    <x:xf numFmtId="164" fontId="5" fillId="0" borderId="13" xfId="0" applyNumberFormat="1" applyFont="1" applyBorder="1" applyAlignment="1">
      <x:alignment vertical="top" wrapText="1"/>
    </x:xf>
    <x:xf numFmtId="0" fontId="5" fillId="0" borderId="0" xfId="0" applyFont="1" applyAlignment="1">
      <x:alignment vertical="center" wrapText="1"/>
    </x:xf>
    <x:xf numFmtId="0" fontId="5" fillId="9" borderId="0" xfId="0" applyFont="1" applyFill="1" applyAlignment="1">
      <x:alignment vertical="center" wrapText="1"/>
    </x:xf>
    <x:xf numFmtId="14" fontId="1" fillId="0" borderId="0" xfId="0" applyNumberFormat="1" applyFont="1"/>
    <x:xf numFmtId="0" fontId="1" fillId="10" borderId="0" xfId="0" applyFont="1" applyFill="1"/>
    <x:xf numFmtId="0" fontId="6" fillId="7" borderId="0" xfId="0" applyFont="1" applyFill="1" applyAlignment="1">
      <x:alignment horizontal="left" vertical="center" wrapText="1"/>
    </x:xf>
    <x:xf numFmtId="0" fontId="7" fillId="8" borderId="0" xfId="0" applyFont="1" applyFill="1" applyAlignment="1">
      <x:alignment vertical="center" wrapText="1"/>
    </x:xf>
    <x:xf numFmtId="0" fontId="8" fillId="2" borderId="0" xfId="0" applyFont="1" applyFill="1" applyAlignment="1">
      <x:alignment horizontal="center" wrapText="1"/>
    </x:xf>
    <x:xf numFmtId="0" fontId="9" fillId="4" borderId="9" xfId="0" applyFont="1" applyFill="1" applyBorder="1" applyAlignment="1">
      <x:alignment horizontal="center" vertical="center" wrapText="1"/>
    </x:xf>
    <x:xf numFmtId="0" fontId="9" fillId="4" borderId="10" xfId="0" applyFont="1" applyFill="1" applyBorder="1" applyAlignment="1">
      <x:alignment horizontal="center" vertical="center" wrapText="1"/>
    </x:xf>
    <x:xf numFmtId="0" fontId="9" fillId="4" borderId="11" xfId="0" applyFont="1" applyFill="1" applyBorder="1" applyAlignment="1">
      <x:alignment horizontal="center" vertical="center" wrapText="1"/>
    </x:xf>
    <x:xf numFmtId="0" fontId="9" fillId="4" borderId="12" xfId="0" applyFont="1" applyFill="1" applyBorder="1" applyAlignment="1">
      <x:alignment horizontal="center" vertical="center" wrapText="1"/>
    </x:xf>
    <x:xf numFmtId="0" fontId="2" fillId="7" borderId="0" xfId="0" applyFont="1" applyFill="1" applyAlignment="1">
      <x:alignment wrapText="1"/>
    </x:xf>
    <x:xf numFmtId="0" fontId="5" fillId="6" borderId="4" xfId="0" applyFont="1" applyFill="1" applyBorder="1" applyAlignment="1">
      <x:alignment vertical="center" wrapText="1"/>
    </x:xf>
    <x:xf numFmtId="0" fontId="5" fillId="6" borderId="5" xfId="0" applyFont="1" applyFill="1" applyBorder="1" applyAlignment="1">
      <x:alignment vertical="center" wrapText="1"/>
    </x:xf>
    <x:xf numFmtId="0" fontId="5" fillId="6" borderId="6" xfId="0" applyFont="1" applyFill="1" applyBorder="1" applyAlignment="1">
      <x:alignment vertical="center" wrapText="1"/>
    </x:xf>
    <x:xf numFmtId="0" fontId="5" fillId="6" borderId="7" xfId="0" applyFont="1" applyFill="1" applyBorder="1" applyAlignment="1">
      <x:alignment vertical="center" wrapText="1"/>
    </x:xf>
    <x:xf numFmtId="0" fontId="5" fillId="6" borderId="0" xfId="0" applyFont="1" applyFill="1" applyAlignment="1">
      <x:alignment vertical="center" wrapText="1"/>
    </x:xf>
    <x:xf numFmtId="0" fontId="5" fillId="6" borderId="8" xfId="0" applyFont="1" applyFill="1" applyBorder="1" applyAlignment="1">
      <x:alignment vertical="center" wrapText="1"/>
    </x:xf>
    <x:xf numFmtId="0" fontId="1" fillId="4" borderId="0" xfId="0" applyFont="1" applyFill="1" applyAlignment="1">
      <x:alignment vertical="center" wrapText="1"/>
    </x:xf>
    <x:xf numFmtId="0" fontId="4" fillId="5" borderId="0" xfId="0" applyFont="1" applyFill="1" applyAlignment="1">
      <x:alignment horizontal="center" wrapText="1"/>
    </x:xf>
    <x:xf numFmtId="0" fontId="5" fillId="6" borderId="1" xfId="0" applyFont="1" applyFill="1" applyBorder="1" applyAlignment="1">
      <x:alignment vertical="center" wrapText="1"/>
    </x:xf>
    <x:xf numFmtId="0" fontId="5" fillId="6" borderId="2" xfId="0" applyFont="1" applyFill="1" applyBorder="1" applyAlignment="1">
      <x:alignment vertical="center" wrapText="1"/>
    </x:xf>
    <x:xf numFmtId="0" fontId="5" fillId="6" borderId="3" xfId="0" applyFont="1" applyFill="1" applyBorder="1" applyAlignment="1">
      <x:alignment vertical="center" wrapText="1"/>
    </x:xf>
    <x:xf numFmtId="0" fontId="13" fillId="5" borderId="0" xfId="0" applyFont="1" applyFill="1" applyAlignment="1">
      <x:alignment wrapText="1"/>
    </x:xf>
  </x:cellXfs>
  <x:cellStyles count="1">
    <x:cellStyle name="Normal" xfId="0"/>
  </x:cellStyles>
  <x:dxfs count="36"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17540ef57e4514" /><Relationship Type="http://schemas.openxmlformats.org/officeDocument/2006/relationships/theme" Target="/xl/theme/theme1.xml" Id="R3f98138574cd40e3" /><Relationship Type="http://schemas.openxmlformats.org/officeDocument/2006/relationships/sharedStrings" Target="/xl/sharedStrings.xml" Id="R99c67cb901584850" /><Relationship Type="http://schemas.openxmlformats.org/officeDocument/2006/relationships/worksheet" Target="/xl/worksheets/sheet1.xml" Id="R58ccef1f0d934107" /><Relationship Type="http://schemas.openxmlformats.org/officeDocument/2006/relationships/worksheet" Target="/xl/worksheets/sheet2.xml" Id="Rf15c01204a354415" /><Relationship Type="http://schemas.openxmlformats.org/officeDocument/2006/relationships/worksheet" Target="/xl/worksheets/sheet3.xml" Id="Rbc13dd12b7ed4cb5" /><Relationship Type="http://schemas.openxmlformats.org/officeDocument/2006/relationships/worksheet" Target="/xl/worksheets/sheet4.xml" Id="Rc861eb96969b4a69" /><Relationship Type="http://schemas.openxmlformats.org/officeDocument/2006/relationships/worksheet" Target="/xl/worksheets/sheet5.xml" Id="R14b93fb498c74f71" /><Relationship Type="http://schemas.openxmlformats.org/officeDocument/2006/relationships/worksheet" Target="/xl/worksheets/sheet6.xml" Id="R42b22339a838499a" /><Relationship Type="http://schemas.openxmlformats.org/officeDocument/2006/relationships/worksheet" Target="/xl/worksheets/sheet7.xml" Id="R5043eb2b1c9d41e6" /><Relationship Type="http://schemas.openxmlformats.org/officeDocument/2006/relationships/worksheet" Target="/xl/worksheets/sheet8.xml" Id="Rec35e129cb004645" /><Relationship Type="http://schemas.openxmlformats.org/officeDocument/2006/relationships/worksheet" Target="/xl/worksheets/sheet9.xml" Id="R7cfdf351e77d408f" /><Relationship Type="http://schemas.openxmlformats.org/officeDocument/2006/relationships/worksheet" Target="/xl/worksheets/sheet10.xml" Id="R4bc9b10398f54e45" /><Relationship Type="http://schemas.openxmlformats.org/officeDocument/2006/relationships/worksheet" Target="/xl/worksheets/sheet11.xml" Id="R3916fd61cb8d4018" /><Relationship Type="http://schemas.openxmlformats.org/officeDocument/2006/relationships/worksheet" Target="/xl/worksheets/sheet12.xml" Id="R17165c04d866466f" /><Relationship Type="http://schemas.microsoft.com/office/2017/10/relationships/person" Target="/xl/persons/person.xml" Id="R96ba23b91def4dd7" /></Relationships>
</file>

<file path=xl/drawings/drawing1.xml><?xml version="1.0" encoding="utf-8"?>
<xdr:wsDr xmlns:xdr="http://schemas.openxmlformats.org/drawingml/2006/spreadsheetDrawing">
  <xdr:twoCellAnchor editAs="oneCell">
    <xdr:from>
      <xdr:col>19</xdr:col>
      <xdr:colOff>114300</xdr:colOff>
      <xdr:row>31</xdr:row>
      <xdr:rowOff>91440</xdr:rowOff>
    </xdr:from>
    <xdr:to>
      <xdr:col>20</xdr:col>
      <xdr:colOff>320040</xdr:colOff>
      <xdr:row>35</xdr:row>
      <xdr:rowOff>160020</xdr:rowOff>
    </xdr:to>
    <xdr:sp>
      <xdr:nvSpPr>
        <xdr:cNvPr id="1" name="Text Box 1027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34480500" y="6461760"/>
          <a:ext cx="1272540" cy="7696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E1"/>
        </a:solidFill>
        <a:ln xmlns:a="http://schemas.openxmlformats.org/drawingml/2006/main" w="9525">
          <a:solidFill>
            <a:srgbClr val="51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William R Garcia" id="{08755B68-3142-46D3-BD70-CECE36D4D0BB}"/>
</xltc:personList>
</file>

<file path=xl/tables/table1.xml><?xml version="1.0" encoding="utf-8"?>
<x:table xmlns:x="http://schemas.openxmlformats.org/spreadsheetml/2006/main" id="3" name="AssumptionsTable" displayName="AssumptionsTable" ref="A1:H14" totalsRowShown="0">
  <x:tableColumns count="8">
    <x:tableColumn id="1" name="parameter_id"/>
    <x:tableColumn id="2" name="value"/>
    <x:tableColumn id="3" name="unit"/>
    <x:tableColumn id="4" name="base_case"/>
    <x:tableColumn id="5" name="lower_bound"/>
    <x:tableColumn id="6" name="upper_bound"/>
    <x:tableColumn id="7" name="description"/>
    <x:tableColumn id="8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auseDictionary" displayName="CauseDictionary" ref="F1:I9" totalsRowShown="0">
  <x:tableColumns count="4">
    <x:tableColumn id="1" name="cause_id"/>
    <x:tableColumn id="2" name="cause_name"/>
    <x:tableColumn id="3" name="model_name"/>
    <x:tableColumn id="4" name="is_model_caus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InterventionDictionary" displayName="InterventionDictionary" ref="A1:D9" totalsRowShown="0">
  <x:tableColumns count="4">
    <x:tableColumn id="1" name="intervention_id"/>
    <x:tableColumn id="2" name="intervention_name"/>
    <x:tableColumn id="3" name="package_group"/>
    <x:tableColumn id="4" name="defini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6" name="InterventionCauseMap" displayName="InterventionCauseMap" ref="A1:M18" totalsRowShown="0">
  <x:tableColumns count="13">
    <x:tableColumn id="1" name="intervention_cause_key"/>
    <x:tableColumn id="2" name="intervention_id"/>
    <x:tableColumn id="3" name="intervention_name"/>
    <x:tableColumn id="4" name="cause_id"/>
    <x:tableColumn id="5" name="cause_name"/>
    <x:tableColumn id="6" name="model_name"/>
    <x:tableColumn id="7" name="effect_key"/>
    <x:tableColumn id="8" name="coverage_key"/>
    <x:tableColumn id="9" name="cost_join_key"/>
    <x:tableColumn id="10" name="cost_scope"/>
    <x:tableColumn id="11" name="include_flag"/>
    <x:tableColumn id="12" name="notes"/>
    <x:tableColumn id="13" name="duplicate_cou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7" name="EffectSizesTable" displayName="EffectSizesTable" ref="A1:V18" totalsRowShown="0">
  <x:tableColumns count="22">
    <x:tableColumn id="1" name="effect_id"/>
    <x:tableColumn id="2" name="intervention_cause_key"/>
    <x:tableColumn id="3" name="intervention_id"/>
    <x:tableColumn id="4" name="cause_id"/>
    <x:tableColumn id="5" name="intervention_name"/>
    <x:tableColumn id="6" name="cause_name"/>
    <x:tableColumn id="7" name="transition_from"/>
    <x:tableColumn id="8" name="transition_to"/>
    <x:tableColumn id="9" name="effect_measure"/>
    <x:tableColumn id="10" name="effect_value"/>
    <x:tableColumn id="11" name="affected_fraction"/>
    <x:tableColumn id="12" name="age_start"/>
    <x:tableColumn id="13" name="age_stop"/>
    <x:tableColumn id="14" name="sex"/>
    <x:tableColumn id="15" name="duration_years"/>
    <x:tableColumn id="16" name="source_variable"/>
    <x:tableColumn id="17" name="source_file"/>
    <x:tableColumn id="18" name="source_row"/>
    <x:tableColumn id="19" name="review_status"/>
    <x:tableColumn id="20" name="notes"/>
    <x:tableColumn id="21" name="map_match_count"/>
    <x:tableColumn id="22" name="qa_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8" name="CoverageTable" displayName="CoverageTable" ref="A1:S18" totalsRowShown="0">
  <x:tableColumns count="19">
    <x:tableColumn id="1" name="coverage_id"/>
    <x:tableColumn id="2" name="intervention_cause_key"/>
    <x:tableColumn id="3" name="intervention_id"/>
    <x:tableColumn id="4" name="cause_id"/>
    <x:tableColumn id="5" name="intervention_name"/>
    <x:tableColumn id="6" name="cause_name"/>
    <x:tableColumn id="7" name="baseline_coverage"/>
    <x:tableColumn id="8" name="target_override"/>
    <x:tableColumn id="9" name="target_coverage"/>
    <x:tableColumn id="10" name="start_year"/>
    <x:tableColumn id="11" name="target_year"/>
    <x:tableColumn id="12" name="scale_up_shape"/>
    <x:tableColumn id="13" name="baseline_source_file"/>
    <x:tableColumn id="14" name="baseline_source_row"/>
    <x:tableColumn id="15" name="proxy_note"/>
    <x:tableColumn id="16" name="review_status"/>
    <x:tableColumn id="17" name="absolute_increase"/>
    <x:tableColumn id="18" name="map_match_count"/>
    <x:tableColumn id="19" name="qa_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9" name="CostComponentsTable" displayName="CostComponentsTable" ref="A1:AC35" totalsRowShown="0">
  <x:tableColumns count="29">
    <x:tableColumn id="1" name="cost_record_id"/>
    <x:tableColumn id="2" name="cost_component_key"/>
    <x:tableColumn id="3" name="cost_option"/>
    <x:tableColumn id="4" name="selected_for_base_case"/>
    <x:tableColumn id="5" name="intervention_id"/>
    <x:tableColumn id="6" name="cause_id"/>
    <x:tableColumn id="7" name="cost_join_key"/>
    <x:tableColumn id="8" name="intervention_name"/>
    <x:tableColumn id="9" name="cause_name"/>
    <x:tableColumn id="10" name="cost_component"/>
    <x:tableColumn id="11" name="population_in_need_measure"/>
    <x:tableColumn id="12" name="population_in_need_fraction"/>
    <x:tableColumn id="13" name="cost_unit"/>
    <x:tableColumn id="14" name="frequency_per_year"/>
    <x:tableColumn id="15" name="age_start"/>
    <x:tableColumn id="16" name="age_stop"/>
    <x:tableColumn id="17" name="sex"/>
    <x:tableColumn id="18" name="platform"/>
    <x:tableColumn id="19" name="unit_cost_usd"/>
    <x:tableColumn id="20" name="price_year"/>
    <x:tableColumn id="21" name="indonesia_adjusted_flag"/>
    <x:tableColumn id="22" name="source_country"/>
    <x:tableColumn id="23" name="source_file"/>
    <x:tableColumn id="24" name="source_row"/>
    <x:tableColumn id="25" name="review_status"/>
    <x:tableColumn id="26" name="notes"/>
    <x:tableColumn id="27" name="map_match_count"/>
    <x:tableColumn id="28" name="selection_count"/>
    <x:tableColumn id="29" name="qa_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0" name="ModelInputViewTable" displayName="ModelInputViewTable" ref="A1:Q18" totalsRowShown="0">
  <x:tableColumns count="17">
    <x:tableColumn id="1" name="intervention_cause_key"/>
    <x:tableColumn id="2" name="intervention_name"/>
    <x:tableColumn id="3" name="cause_name"/>
    <x:tableColumn id="4" name="transition_from"/>
    <x:tableColumn id="5" name="transition_to"/>
    <x:tableColumn id="6" name="effect_value"/>
    <x:tableColumn id="7" name="affected_fraction"/>
    <x:tableColumn id="8" name="baseline_coverage"/>
    <x:tableColumn id="9" name="target_coverage"/>
    <x:tableColumn id="10" name="coverage_increase"/>
    <x:tableColumn id="11" name="fairchoices_adjusted_effect"/>
    <x:tableColumn id="12" name="adjusted_effect_on_transition"/>
    <x:tableColumn id="13" name="cost_join_key"/>
    <x:tableColumn id="14" name="cost_scope"/>
    <x:tableColumn id="15" name="selected_cost_components"/>
    <x:tableColumn id="16" name="selected_unit_cost_sum_usd"/>
    <x:tableColumn id="17" name="review_statu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1" name="FairChoicesMethodsTable" displayName="FairChoicesMethodsTable" ref="A1:F10" totalsRowShown="0">
  <x:tableColumns count="6">
    <x:tableColumn id="1" name="method_id"/>
    <x:tableColumn id="2" name="concept"/>
    <x:tableColumn id="3" name="formula_or_rule"/>
    <x:tableColumn id="4" name="implemented_in"/>
    <x:tableColumn id="5" name="linkage_key"/>
    <x:tableColumn id="6" name="Indonesia interpreta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2" name="SourceLogTable" displayName="SourceLogTable" ref="F1:I8" totalsRowShown="0">
  <x:tableColumns count="4">
    <x:tableColumn id="1" name="source"/>
    <x:tableColumn id="2" name="use"/>
    <x:tableColumn id="3" name="location"/>
    <x:tableColumn id="4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3" name="ScopeTable" displayName="ScopeTable" ref="A1:D9" totalsRowShown="0">
  <x:tableColumns count="4">
    <x:tableColumn id="1" name="item"/>
    <x:tableColumn id="2" name="decision"/>
    <x:tableColumn id="3" name="reason"/>
    <x:tableColumn id="4" name="domai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4" name="QAChecksTable" displayName="QAChecksTable" ref="A1:F9" totalsRowShown="0">
  <x:tableColumns count="6">
    <x:tableColumn id="1" name="check_id"/>
    <x:tableColumn id="2" name="check"/>
    <x:tableColumn id="3" name="expected"/>
    <x:tableColumn id="4" name="actual"/>
    <x:tableColumn id="5" name="status"/>
    <x:tableColumn id="6" name="interpre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S33" dT="2026-08-20T17:22:41.38" personId="{08755B68-3142-46D3-BD70-CECE36D4D0BB}" id="{65F284AB-064D-4B9D-A390-F156B89E3B37}">
    <xltc:text>Pending update with Sali Info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0cb3e45e14e4c4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9aee69f180e4a44" /><Relationship Type="http://schemas.openxmlformats.org/officeDocument/2006/relationships/table" Target="/xl/tables/table3.xml" Id="R93b2dd170a7149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6833a9b3ef340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fe85bcf61b6488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e958d9a97e3457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1.xml" Id="Rdc4026a8bcbf4c4b" /><Relationship Type="http://schemas.openxmlformats.org/officeDocument/2006/relationships/vmlDrawing" Target="/xl/drawings/vmldrawing.vml" Id="R1b8e1283489d43a0" /><Relationship Type="http://schemas.microsoft.com/office/2017/10/relationships/threadedComment" Target="/xl/threadedcomments/threadedcomment.xml" Id="R1795af5eace145ab" /><Relationship Type="http://schemas.openxmlformats.org/officeDocument/2006/relationships/drawing" Target="/xl/drawings/drawing1.xml" Id="R5c99d2c1b6fc458d" /><Relationship Type="http://schemas.openxmlformats.org/officeDocument/2006/relationships/table" Target="/xl/tables/table7.xml" Id="R3c8f938bbe47423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51ac844338744e2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765e73b072394c2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a6371558286f49dd" /><Relationship Type="http://schemas.openxmlformats.org/officeDocument/2006/relationships/table" Target="/xl/tables/table11.xml" Id="R1432c950e4e94d0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2.xml" Id="Rf0a8d5c5e53747a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1.19921875" defaultRowHeight="13.800000190734863"/>
  <x:cols>
    <x:col min="1" max="1" width="10" customWidth="1"/>
    <x:col min="2" max="2" width="22" customWidth="1"/>
    <x:col min="3" max="4" width="16" customWidth="1"/>
    <x:col min="5" max="5" width="18" customWidth="1"/>
    <x:col min="6" max="6" width="16" customWidth="1"/>
    <x:col min="7" max="8" width="18" customWidth="1"/>
  </x:cols>
  <x:sheetData>
    <x:row r="1">
      <x:c r="A1" s="61" t="s">
        <x:v>0</x:v>
      </x:c>
      <x:c r="B1" s="61"/>
      <x:c r="C1" s="61"/>
      <x:c r="D1" s="61"/>
      <x:c r="E1" s="61"/>
      <x:c r="F1" s="61"/>
      <x:c r="G1" s="61"/>
      <x:c r="H1" s="61"/>
    </x:row>
    <x:row r="2">
      <x:c r="A2" s="61"/>
      <x:c r="B2" s="61"/>
      <x:c r="C2" s="61"/>
      <x:c r="D2" s="61"/>
      <x:c r="E2" s="61"/>
      <x:c r="F2" s="61"/>
      <x:c r="G2" s="61"/>
      <x:c r="H2" s="61"/>
    </x:row>
    <x:row r="3">
      <x:c r="A3" s="62" t="s">
        <x:v>1</x:v>
      </x:c>
      <x:c r="B3" s="62"/>
      <x:c r="C3" s="62"/>
      <x:c r="D3" s="62"/>
      <x:c r="E3" s="62"/>
      <x:c r="F3" s="62"/>
      <x:c r="G3" s="62"/>
      <x:c r="H3" s="62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63" t="s">
        <x:v>2</x:v>
      </x:c>
      <x:c r="B5" s="63"/>
      <x:c r="C5" s="63" t="s">
        <x:v>3</x:v>
      </x:c>
      <x:c r="D5" s="63"/>
      <x:c r="E5" s="63" t="s">
        <x:v>4</x:v>
      </x:c>
      <x:c r="F5" s="63"/>
      <x:c r="G5" s="63" t="s">
        <x:v>5</x:v>
      </x:c>
      <x:c r="H5" s="63"/>
    </x:row>
    <x:row r="6">
      <x:c r="A6" s="64" t="str">
        <x:f>IF(COUNTIF(QA_Checks!$E$2:$E$9,"FAIL")=0,"READY TO RUN","REVIEW REQUIRED")</x:f>
        <x:v>READY TO RUN</x:v>
      </x:c>
      <x:c r="B6" s="65"/>
      <x:c r="C6" s="64" t="n">
        <x:f>COUNTA(Dictionaries!$A$2:$A$9)</x:f>
        <x:v>8</x:v>
      </x:c>
      <x:c r="D6" s="65"/>
      <x:c r="E6" s="64" t="n">
        <x:f>COUNTIF(Dictionaries!$I$2:$I$9,1)</x:f>
        <x:v>7</x:v>
      </x:c>
      <x:c r="F6" s="65"/>
      <x:c r="G6" s="64" t="n">
        <x:f>COUNTA(Intervention_Cause_Map!$A$2:$A$18)</x:f>
        <x:v>17</x:v>
      </x:c>
      <x:c r="H6" s="65"/>
    </x:row>
    <x:row r="7">
      <x:c r="A7" s="66"/>
      <x:c r="B7" s="67"/>
      <x:c r="C7" s="66"/>
      <x:c r="D7" s="67"/>
      <x:c r="E7" s="66"/>
      <x:c r="F7" s="67"/>
      <x:c r="G7" s="66"/>
      <x:c r="H7" s="67"/>
    </x:row>
    <x:row r="8">
      <x:c r="A8" s="1"/>
      <x:c r="B8" s="1"/>
      <x:c r="C8" s="1"/>
      <x:c r="D8" s="1"/>
      <x:c r="E8" s="1"/>
      <x:c r="F8" s="1"/>
      <x:c r="G8" s="1"/>
      <x:c r="H8" s="1"/>
    </x:row>
    <x:row r="9">
      <x:c r="A9" s="68" t="s">
        <x:v>6</x:v>
      </x:c>
      <x:c r="B9" s="68"/>
      <x:c r="C9" s="68"/>
      <x:c r="D9" s="68"/>
      <x:c r="E9" s="68"/>
      <x:c r="F9" s="68"/>
      <x:c r="G9" s="68"/>
      <x:c r="H9" s="68"/>
    </x:row>
    <x:row r="10" ht="28.049999237060547" customHeight="1">
      <x:c r="A10" s="2" t="s">
        <x:v>7</x:v>
      </x:c>
      <x:c r="B10" s="69" t="s">
        <x:v>8</x:v>
      </x:c>
      <x:c r="C10" s="70"/>
      <x:c r="D10" s="70"/>
      <x:c r="E10" s="70"/>
      <x:c r="F10" s="70"/>
      <x:c r="G10" s="70"/>
      <x:c r="H10" s="71"/>
    </x:row>
    <x:row r="11" ht="28.049999237060547" customHeight="1">
      <x:c r="A11" s="2" t="s">
        <x:v>9</x:v>
      </x:c>
      <x:c r="B11" s="72" t="s">
        <x:v>10</x:v>
      </x:c>
      <x:c r="C11" s="73"/>
      <x:c r="D11" s="73"/>
      <x:c r="E11" s="73"/>
      <x:c r="F11" s="73"/>
      <x:c r="G11" s="73"/>
      <x:c r="H11" s="74"/>
    </x:row>
    <x:row r="12" ht="28.049999237060547" customHeight="1">
      <x:c r="A12" s="2" t="s">
        <x:v>11</x:v>
      </x:c>
      <x:c r="B12" s="72" t="s">
        <x:v>12</x:v>
      </x:c>
      <x:c r="C12" s="73"/>
      <x:c r="D12" s="73"/>
      <x:c r="E12" s="73"/>
      <x:c r="F12" s="73"/>
      <x:c r="G12" s="73"/>
      <x:c r="H12" s="74"/>
    </x:row>
    <x:row r="13" ht="28.049999237060547" customHeight="1">
      <x:c r="A13" s="2" t="s">
        <x:v>13</x:v>
      </x:c>
      <x:c r="B13" s="72" t="s">
        <x:v>14</x:v>
      </x:c>
      <x:c r="C13" s="73"/>
      <x:c r="D13" s="73"/>
      <x:c r="E13" s="73"/>
      <x:c r="F13" s="73"/>
      <x:c r="G13" s="73"/>
      <x:c r="H13" s="74"/>
    </x:row>
    <x:row r="14" ht="28.049999237060547" customHeight="1">
      <x:c r="A14" s="2" t="s">
        <x:v>15</x:v>
      </x:c>
      <x:c r="B14" s="77" t="s">
        <x:v>16</x:v>
      </x:c>
      <x:c r="C14" s="78"/>
      <x:c r="D14" s="78"/>
      <x:c r="E14" s="78"/>
      <x:c r="F14" s="78"/>
      <x:c r="G14" s="78"/>
      <x:c r="H14" s="79"/>
    </x:row>
    <x:row r="15">
      <x:c r="A15" s="1"/>
      <x:c r="B15" s="1"/>
      <x:c r="C15" s="1"/>
      <x:c r="D15" s="1"/>
      <x:c r="E15" s="1"/>
      <x:c r="F15" s="1"/>
      <x:c r="G15" s="1"/>
      <x:c r="H15" s="1"/>
    </x:row>
    <x:row r="16">
      <x:c r="A16" s="68" t="s">
        <x:v>17</x:v>
      </x:c>
      <x:c r="B16" s="68"/>
      <x:c r="C16" s="68"/>
      <x:c r="D16" s="68"/>
      <x:c r="E16" s="68"/>
      <x:c r="F16" s="68"/>
      <x:c r="G16" s="68"/>
      <x:c r="H16" s="68"/>
    </x:row>
    <x:row r="17" ht="28.049999237060547" customHeight="1">
      <x:c r="A17" s="3" t="str">
        <x:v>Resolved</x:v>
      </x:c>
      <x:c r="B17" s="75" t="str">
        <x:v>Type 2 diabetes baseline coverage updated to 16% from the revised PIN file</x:v>
      </x:c>
      <x:c r="C17" s="75"/>
      <x:c r="D17" s="75"/>
      <x:c r="E17" s="75"/>
      <x:c r="F17" s="75"/>
      <x:c r="G17" s="75"/>
      <x:c r="H17" s="75"/>
    </x:row>
    <x:row r="18" ht="28.049999237060547" customHeight="1">
      <x:c r="A18" s="3" t="str">
        <x:v>Resolved</x:v>
      </x:c>
      <x:c r="B18" s="75" t="str">
        <x:v>Type 2 diabetes unit costs updated with Indonesia-adjusted 2023 USD values</x:v>
      </x:c>
      <x:c r="C18" s="75"/>
      <x:c r="D18" s="75"/>
      <x:c r="E18" s="75"/>
      <x:c r="F18" s="75"/>
      <x:c r="G18" s="75"/>
      <x:c r="H18" s="75"/>
    </x:row>
    <x:row r="19" ht="28.049999237060547" customHeight="1">
      <x:c r="A19" s="3" t="s">
        <x:v>18</x:v>
      </x:c>
      <x:c r="B19" s="75" t="s">
        <x:v>19</x:v>
      </x:c>
      <x:c r="C19" s="75"/>
      <x:c r="D19" s="75"/>
      <x:c r="E19" s="75"/>
      <x:c r="F19" s="75"/>
      <x:c r="G19" s="75"/>
      <x:c r="H19" s="75"/>
    </x:row>
    <x:row r="20" ht="28.049999237060547" customHeight="1">
      <x:c r="A20" s="3" t="s">
        <x:v>20</x:v>
      </x:c>
      <x:c r="B20" s="75" t="s">
        <x:v>21</x:v>
      </x:c>
      <x:c r="C20" s="75"/>
      <x:c r="D20" s="75"/>
      <x:c r="E20" s="75"/>
      <x:c r="F20" s="75"/>
      <x:c r="G20" s="75"/>
      <x:c r="H20" s="75"/>
    </x:row>
    <x:row r="21" ht="28.049999237060547" customHeight="1">
      <x:c r="A21" s="3" t="s">
        <x:v>20</x:v>
      </x:c>
      <x:c r="B21" s="75" t="s">
        <x:v>22</x:v>
      </x:c>
      <x:c r="C21" s="75"/>
      <x:c r="D21" s="75"/>
      <x:c r="E21" s="75"/>
      <x:c r="F21" s="75"/>
      <x:c r="G21" s="75"/>
      <x:c r="H21" s="75"/>
    </x:row>
    <x:row r="22">
      <x:c r="A22" s="1"/>
      <x:c r="B22" s="1"/>
      <x:c r="C22" s="1"/>
      <x:c r="D22" s="1"/>
      <x:c r="E22" s="1"/>
      <x:c r="F22" s="1"/>
      <x:c r="G22" s="1"/>
      <x:c r="H22" s="1"/>
    </x:row>
    <x:row r="23">
      <x:c r="A23" s="76" t="s">
        <x:v>23</x:v>
      </x:c>
      <x:c r="B23" s="76"/>
      <x:c r="C23" s="76"/>
      <x:c r="D23" s="76"/>
      <x:c r="E23" s="76"/>
      <x:c r="F23" s="76"/>
      <x:c r="G23" s="76"/>
      <x:c r="H23" s="76"/>
    </x:row>
  </x:sheetData>
  <x:mergeCells>
    <x:mergeCell ref="B20:H20"/>
    <x:mergeCell ref="B21:H21"/>
    <x:mergeCell ref="A23:H23"/>
    <x:mergeCell ref="B14:H14"/>
    <x:mergeCell ref="A16:H16"/>
    <x:mergeCell ref="B17:H17"/>
    <x:mergeCell ref="B18:H18"/>
    <x:mergeCell ref="B19:H19"/>
    <x:mergeCell ref="A9:H9"/>
    <x:mergeCell ref="B10:H10"/>
    <x:mergeCell ref="B11:H11"/>
    <x:mergeCell ref="B12:H12"/>
    <x:mergeCell ref="B13:H13"/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1.19921875" defaultRowHeight="13.800000190734863"/>
  <x:cols>
    <x:col min="1" max="1" width="25" customWidth="1"/>
    <x:col min="2" max="2" width="18" customWidth="1"/>
    <x:col min="3" max="3" width="20" customWidth="1"/>
    <x:col min="4" max="6" width="16" customWidth="1"/>
    <x:col min="7" max="7" width="44" customWidth="1"/>
    <x:col min="8" max="8" width="36" customWidth="1"/>
  </x:cols>
  <x:sheetData>
    <x:row r="1" ht="34.04999923706055" customHeight="1">
      <x:c r="A1" s="14" t="s">
        <x:v>24</x:v>
      </x:c>
      <x:c r="B1" s="15" t="s">
        <x:v>25</x:v>
      </x:c>
      <x:c r="C1" s="15" t="s">
        <x:v>26</x:v>
      </x:c>
      <x:c r="D1" s="15" t="s">
        <x:v>27</x:v>
      </x:c>
      <x:c r="E1" s="15" t="s">
        <x:v>28</x:v>
      </x:c>
      <x:c r="F1" s="15" t="s">
        <x:v>29</x:v>
      </x:c>
      <x:c r="G1" s="15" t="s">
        <x:v>30</x:v>
      </x:c>
      <x:c r="H1" s="16" t="s">
        <x:v>31</x:v>
      </x:c>
    </x:row>
    <x:row r="2">
      <x:c r="A2" s="17" t="s">
        <x:v>32</x:v>
      </x:c>
      <x:c r="B2" s="6">
        <x:v>2025</x:v>
      </x:c>
      <x:c r="C2" s="7" t="s">
        <x:v>33</x:v>
      </x:c>
      <x:c r="D2" s="7">
        <x:v>2025</x:v>
      </x:c>
      <x:c r="E2" s="7">
        <x:v>2025</x:v>
      </x:c>
      <x:c r="F2" s="7">
        <x:v>2025</x:v>
      </x:c>
      <x:c r="G2" s="17" t="s">
        <x:v>34</x:v>
      </x:c>
      <x:c r="H2" s="17" t="s">
        <x:v>35</x:v>
      </x:c>
    </x:row>
    <x:row r="3">
      <x:c r="A3" s="18" t="s">
        <x:v>36</x:v>
      </x:c>
      <x:c r="B3" s="8">
        <x:v>2050</x:v>
      </x:c>
      <x:c r="C3" s="9" t="s">
        <x:v>33</x:v>
      </x:c>
      <x:c r="D3" s="9">
        <x:v>2050</x:v>
      </x:c>
      <x:c r="E3" s="9">
        <x:v>2050</x:v>
      </x:c>
      <x:c r="F3" s="9">
        <x:v>2100</x:v>
      </x:c>
      <x:c r="G3" s="18" t="s">
        <x:v>37</x:v>
      </x:c>
      <x:c r="H3" s="18" t="s">
        <x:v>38</x:v>
      </x:c>
    </x:row>
    <x:row r="4">
      <x:c r="A4" s="18" t="s">
        <x:v>39</x:v>
      </x:c>
      <x:c r="B4" s="8">
        <x:v>2025</x:v>
      </x:c>
      <x:c r="C4" s="9" t="s">
        <x:v>33</x:v>
      </x:c>
      <x:c r="D4" s="9">
        <x:v>2025</x:v>
      </x:c>
      <x:c r="E4" s="9">
        <x:v>2025</x:v>
      </x:c>
      <x:c r="F4" s="9">
        <x:v>2030</x:v>
      </x:c>
      <x:c r="G4" s="18" t="s">
        <x:v>40</x:v>
      </x:c>
      <x:c r="H4" s="18" t="s">
        <x:v>41</x:v>
      </x:c>
    </x:row>
    <x:row r="5" ht="22.799999237060547" customHeight="1">
      <x:c r="A5" s="18" t="s">
        <x:v>42</x:v>
      </x:c>
      <x:c r="B5" s="10">
        <x:v>0.8</x:v>
      </x:c>
      <x:c r="C5" s="11" t="s">
        <x:v>43</x:v>
      </x:c>
      <x:c r="D5" s="11">
        <x:v>0.8</x:v>
      </x:c>
      <x:c r="E5" s="11">
        <x:v>0.7</x:v>
      </x:c>
      <x:c r="F5" s="11">
        <x:v>0.9</x:v>
      </x:c>
      <x:c r="G5" s="18" t="s">
        <x:v>44</x:v>
      </x:c>
      <x:c r="H5" s="18" t="s">
        <x:v>45</x:v>
      </x:c>
    </x:row>
    <x:row r="6">
      <x:c r="A6" s="18" t="s">
        <x:v>46</x:v>
      </x:c>
      <x:c r="B6" s="8">
        <x:v>2050</x:v>
      </x:c>
      <x:c r="C6" s="9" t="s">
        <x:v>33</x:v>
      </x:c>
      <x:c r="D6" s="9">
        <x:v>2050</x:v>
      </x:c>
      <x:c r="E6" s="9">
        <x:v>2030</x:v>
      </x:c>
      <x:c r="F6" s="9">
        <x:v>2050</x:v>
      </x:c>
      <x:c r="G6" s="18" t="s">
        <x:v>47</x:v>
      </x:c>
      <x:c r="H6" s="18" t="s">
        <x:v>45</x:v>
      </x:c>
    </x:row>
    <x:row r="7">
      <x:c r="A7" s="18" t="s">
        <x:v>48</x:v>
      </x:c>
      <x:c r="B7" s="10">
        <x:v>0.03</x:v>
      </x:c>
      <x:c r="C7" s="11" t="s">
        <x:v>49</x:v>
      </x:c>
      <x:c r="D7" s="11">
        <x:v>0.03</x:v>
      </x:c>
      <x:c r="E7" s="11">
        <x:v>0</x:v>
      </x:c>
      <x:c r="F7" s="11">
        <x:v>0.05</x:v>
      </x:c>
      <x:c r="G7" s="18" t="s">
        <x:v>50</x:v>
      </x:c>
      <x:c r="H7" s="18" t="s">
        <x:v>41</x:v>
      </x:c>
    </x:row>
    <x:row r="8">
      <x:c r="A8" s="18" t="s">
        <x:v>51</x:v>
      </x:c>
      <x:c r="B8" s="10">
        <x:v>0.03</x:v>
      </x:c>
      <x:c r="C8" s="11" t="s">
        <x:v>49</x:v>
      </x:c>
      <x:c r="D8" s="11">
        <x:v>0.03</x:v>
      </x:c>
      <x:c r="E8" s="11">
        <x:v>0</x:v>
      </x:c>
      <x:c r="F8" s="11">
        <x:v>0.05</x:v>
      </x:c>
      <x:c r="G8" s="18" t="s">
        <x:v>52</x:v>
      </x:c>
      <x:c r="H8" s="18" t="s">
        <x:v>41</x:v>
      </x:c>
    </x:row>
    <x:row r="9">
      <x:c r="A9" s="18" t="s">
        <x:v>53</x:v>
      </x:c>
      <x:c r="B9" s="8">
        <x:v>2023</x:v>
      </x:c>
      <x:c r="C9" s="9" t="s">
        <x:v>54</x:v>
      </x:c>
      <x:c r="D9" s="9">
        <x:v>2023</x:v>
      </x:c>
      <x:c r="E9" s="9">
        <x:v>2023</x:v>
      </x:c>
      <x:c r="F9" s="9">
        <x:v>2024</x:v>
      </x:c>
      <x:c r="G9" s="18" t="s">
        <x:v>55</x:v>
      </x:c>
      <x:c r="H9" s="18" t="str">
        <x:v>cvd_unit_cost_indonesia_1_dm(2).xlsx</x:v>
      </x:c>
    </x:row>
    <x:row r="10">
      <x:c r="A10" s="18" t="s">
        <x:v>56</x:v>
      </x:c>
      <x:c r="B10" s="8" t="s">
        <x:v>57</x:v>
      </x:c>
      <x:c r="C10" s="9" t="s">
        <x:v>56</x:v>
      </x:c>
      <x:c r="D10" s="9" t="s">
        <x:v>57</x:v>
      </x:c>
      <x:c r="E10" s="9" t="s">
        <x:v>57</x:v>
      </x:c>
      <x:c r="F10" s="9" t="s">
        <x:v>57</x:v>
      </x:c>
      <x:c r="G10" s="18" t="s">
        <x:v>58</x:v>
      </x:c>
      <x:c r="H10" s="18" t="s">
        <x:v>41</x:v>
      </x:c>
    </x:row>
    <x:row r="11">
      <x:c r="A11" s="18" t="s">
        <x:v>59</x:v>
      </x:c>
      <x:c r="B11" s="8" t="s">
        <x:v>60</x:v>
      </x:c>
      <x:c r="C11" s="9" t="s">
        <x:v>61</x:v>
      </x:c>
      <x:c r="D11" s="9" t="s">
        <x:v>60</x:v>
      </x:c>
      <x:c r="E11" s="9" t="s">
        <x:v>60</x:v>
      </x:c>
      <x:c r="F11" s="9" t="s">
        <x:v>60</x:v>
      </x:c>
      <x:c r="G11" s="18" t="s">
        <x:v>62</x:v>
      </x:c>
      <x:c r="H11" s="18" t="s">
        <x:v>45</x:v>
      </x:c>
    </x:row>
    <x:row r="12">
      <x:c r="A12" s="18" t="s">
        <x:v>63</x:v>
      </x:c>
      <x:c r="B12" s="8">
        <x:v>0</x:v>
      </x:c>
      <x:c r="C12" s="9" t="s">
        <x:v>64</x:v>
      </x:c>
      <x:c r="D12" s="9">
        <x:v>0</x:v>
      </x:c>
      <x:c r="E12" s="9">
        <x:v>0</x:v>
      </x:c>
      <x:c r="F12" s="9">
        <x:v>1</x:v>
      </x:c>
      <x:c r="G12" s="18" t="s">
        <x:v>65</x:v>
      </x:c>
      <x:c r="H12" s="18" t="s">
        <x:v>41</x:v>
      </x:c>
    </x:row>
    <x:row r="13">
      <x:c r="A13" s="18" t="s">
        <x:v>66</x:v>
      </x:c>
      <x:c r="B13" s="8">
        <x:v>1</x:v>
      </x:c>
      <x:c r="C13" s="9" t="s">
        <x:v>67</x:v>
      </x:c>
      <x:c r="D13" s="9">
        <x:v>1</x:v>
      </x:c>
      <x:c r="E13" s="9">
        <x:v>0</x:v>
      </x:c>
      <x:c r="F13" s="9">
        <x:v>1</x:v>
      </x:c>
      <x:c r="G13" s="18" t="s">
        <x:v>68</x:v>
      </x:c>
      <x:c r="H13" s="18" t="s">
        <x:v>41</x:v>
      </x:c>
    </x:row>
    <x:row r="14">
      <x:c r="A14" s="5" t="s">
        <x:v>69</x:v>
      </x:c>
      <x:c r="B14" s="12" t="s">
        <x:v>70</x:v>
      </x:c>
      <x:c r="C14" s="13" t="s">
        <x:v>61</x:v>
      </x:c>
      <x:c r="D14" s="13" t="s">
        <x:v>70</x:v>
      </x:c>
      <x:c r="E14" s="13" t="s">
        <x:v>70</x:v>
      </x:c>
      <x:c r="F14" s="13" t="s">
        <x:v>71</x:v>
      </x:c>
      <x:c r="G14" s="5" t="s">
        <x:v>72</x:v>
      </x:c>
      <x:c r="H14" s="5" t="s">
        <x:v>73</x:v>
      </x:c>
    </x:row>
    <x:row r="15">
      <x:c r="A15" t="s">
        <x:v>74</x:v>
      </x:c>
      <x:c r="B15" s="60">
        <x:v>2025</x:v>
      </x:c>
      <x:c r="C15" t="s">
        <x:v>33</x:v>
      </x:c>
      <x:c r="D15">
        <x:v>2025</x:v>
      </x:c>
      <x:c r="E15">
        <x:v>2025</x:v>
      </x:c>
      <x:c r="F15">
        <x:v>2026</x:v>
      </x:c>
      <x:c r="G15" t="s">
        <x:v>75</x:v>
      </x:c>
      <x:c r="H15" t="s">
        <x:v>76</x:v>
      </x:c>
    </x:row>
    <x:row r="16">
      <x:c r="A16" t="s">
        <x:v>77</x:v>
      </x:c>
      <x:c r="B16" s="60">
        <x:v>0.03</x:v>
      </x:c>
      <x:c r="C16" t="s">
        <x:v>49</x:v>
      </x:c>
      <x:c r="D16">
        <x:v>0.03</x:v>
      </x:c>
      <x:c r="E16">
        <x:v>0.03</x:v>
      </x:c>
      <x:c r="F16">
        <x:v>0.05</x:v>
      </x:c>
      <x:c r="G16" t="s">
        <x:v>78</x:v>
      </x:c>
      <x:c r="H16" t="s">
        <x:v>79</x:v>
      </x:c>
    </x:row>
    <x:row r="17">
      <x:c r="A17" t="s">
        <x:v>80</x:v>
      </x:c>
      <x:c r="B17" s="60">
        <x:v>0.03</x:v>
      </x:c>
      <x:c r="C17" t="s">
        <x:v>49</x:v>
      </x:c>
      <x:c r="D17">
        <x:v>0.03</x:v>
      </x:c>
      <x:c r="E17">
        <x:v>0.03</x:v>
      </x:c>
      <x:c r="F17">
        <x:v>0.03</x:v>
      </x:c>
      <x:c r="G17" t="s">
        <x:v>81</x:v>
      </x:c>
      <x:c r="H17" t="s">
        <x:v>82</x:v>
      </x:c>
    </x:row>
    <x:row r="18">
      <x:c r="A18" t="s">
        <x:v>83</x:v>
      </x:c>
      <x:c r="B18" s="60">
        <x:v>0.08</x:v>
      </x:c>
      <x:c r="C18" t="s">
        <x:v>49</x:v>
      </x:c>
      <x:c r="D18">
        <x:v>0.08</x:v>
      </x:c>
      <x:c r="E18">
        <x:v>0.06</x:v>
      </x:c>
      <x:c r="F18">
        <x:v>0.1</x:v>
      </x:c>
      <x:c r="G18" t="s">
        <x:v>84</x:v>
      </x:c>
      <x:c r="H18" t="s">
        <x:v>85</x:v>
      </x:c>
    </x:row>
    <x:row r="19">
      <x:c r="A19" t="s">
        <x:v>86</x:v>
      </x:c>
      <x:c r="B19" s="60">
        <x:v>160</x:v>
      </x:c>
      <x:c r="C19" t="s">
        <x:v>87</x:v>
      </x:c>
      <x:c r="D19">
        <x:v>160</x:v>
      </x:c>
      <x:c r="E19">
        <x:v>100</x:v>
      </x:c>
      <x:c r="F19">
        <x:v>230</x:v>
      </x:c>
      <x:c r="G19" t="s">
        <x:v>88</x:v>
      </x:c>
      <x:c r="H19" t="s">
        <x:v>89</x:v>
      </x:c>
    </x:row>
    <x:row r="20">
      <x:c r="A20" t="s">
        <x:v>90</x:v>
      </x:c>
      <x:c r="B20" s="60">
        <x:v>1.5</x:v>
      </x:c>
      <x:c r="C20" t="s">
        <x:v>91</x:v>
      </x:c>
      <x:c r="D20">
        <x:v>1.5</x:v>
      </x:c>
      <x:c r="E20">
        <x:v>1</x:v>
      </x:c>
      <x:c r="F20">
        <x:v>1.5</x:v>
      </x:c>
      <x:c r="G20" t="s">
        <x:v>92</x:v>
      </x:c>
      <x:c r="H20" t="s">
        <x:v>89</x:v>
      </x:c>
    </x:row>
    <x:row r="21">
      <x:c r="A21" t="s">
        <x:v>93</x:v>
      </x:c>
      <x:c r="B21" s="60">
        <x:v>20</x:v>
      </x:c>
      <x:c r="C21" t="s">
        <x:v>87</x:v>
      </x:c>
      <x:c r="D21">
        <x:v>20</x:v>
      </x:c>
      <x:c r="E21">
        <x:v>20</x:v>
      </x:c>
      <x:c r="F21">
        <x:v>20</x:v>
      </x:c>
      <x:c r="G21" t="s">
        <x:v>94</x:v>
      </x:c>
      <x:c r="H21" t="s">
        <x:v>89</x:v>
      </x:c>
    </x:row>
    <x:row r="22">
      <x:c r="A22" t="s">
        <x:v>95</x:v>
      </x:c>
      <x:c r="B22" s="60">
        <x:v>100</x:v>
      </x:c>
      <x:c r="C22" t="s">
        <x:v>87</x:v>
      </x:c>
      <x:c r="D22">
        <x:v>100</x:v>
      </x:c>
      <x:c r="E22">
        <x:v>100</x:v>
      </x:c>
      <x:c r="F22">
        <x:v>100</x:v>
      </x:c>
      <x:c r="G22" t="s">
        <x:v>96</x:v>
      </x:c>
      <x:c r="H22" t="s">
        <x:v>89</x:v>
      </x:c>
    </x:row>
    <x:row r="23">
      <x:c r="A23" t="s">
        <x:v>97</x:v>
      </x:c>
      <x:c r="B23" s="60">
        <x:v>160</x:v>
      </x:c>
      <x:c r="C23" t="s">
        <x:v>87</x:v>
      </x:c>
      <x:c r="D23">
        <x:v>160</x:v>
      </x:c>
      <x:c r="E23">
        <x:v>160</x:v>
      </x:c>
      <x:c r="F23">
        <x:v>160</x:v>
      </x:c>
      <x:c r="G23" t="s">
        <x:v>98</x:v>
      </x:c>
      <x:c r="H23" t="s">
        <x:v>89</x:v>
      </x:c>
    </x:row>
    <x:row r="24">
      <x:c r="A24" t="s">
        <x:v>99</x:v>
      </x:c>
      <x:c r="B24" s="60">
        <x:v>15</x:v>
      </x:c>
      <x:c r="C24" t="s">
        <x:v>100</x:v>
      </x:c>
      <x:c r="D24">
        <x:v>15</x:v>
      </x:c>
      <x:c r="E24">
        <x:v>15</x:v>
      </x:c>
      <x:c r="F24">
        <x:v>20</x:v>
      </x:c>
      <x:c r="G24" t="s">
        <x:v>101</x:v>
      </x:c>
      <x:c r="H24" t="s">
        <x:v>102</x:v>
      </x:c>
    </x:row>
    <x:row r="25">
      <x:c r="A25" t="s">
        <x:v>103</x:v>
      </x:c>
      <x:c r="B25" s="60">
        <x:v>64</x:v>
      </x:c>
      <x:c r="C25" t="s">
        <x:v>100</x:v>
      </x:c>
      <x:c r="D25">
        <x:v>64</x:v>
      </x:c>
      <x:c r="E25">
        <x:v>64</x:v>
      </x:c>
      <x:c r="F25">
        <x:v>95</x:v>
      </x:c>
      <x:c r="G25" t="s">
        <x:v>104</x:v>
      </x:c>
      <x:c r="H25" t="s">
        <x:v>105</x:v>
      </x:c>
    </x:row>
    <x:row r="26">
      <x:c r="A26" t="s">
        <x:v>106</x:v>
      </x:c>
      <x:c r="B26" s="60" t="s">
        <x:v>107</x:v>
      </x:c>
      <x:c r="C26" t="s">
        <x:v>61</x:v>
      </x:c>
      <x:c r="D26" t="s">
        <x:v>107</x:v>
      </x:c>
      <x:c r="E26" t="s">
        <x:v>108</x:v>
      </x:c>
      <x:c r="F26" t="s">
        <x:v>108</x:v>
      </x:c>
      <x:c r="G26" t="s">
        <x:v>109</x:v>
      </x:c>
      <x:c r="H26" t="s">
        <x:v>89</x:v>
      </x:c>
    </x:row>
    <x:row r="27">
      <x:c r="A27" t="s">
        <x:v>110</x:v>
      </x:c>
      <x:c r="B27" s="60">
        <x:v>2023</x:v>
      </x:c>
      <x:c r="C27" t="s">
        <x:v>33</x:v>
      </x:c>
      <x:c r="D27">
        <x:v>2023</x:v>
      </x:c>
      <x:c r="E27">
        <x:v>2020</x:v>
      </x:c>
      <x:c r="F27">
        <x:v>2024</x:v>
      </x:c>
      <x:c r="G27" t="s">
        <x:v>111</x:v>
      </x:c>
      <x:c r="H27" t="s">
        <x:v>112</x:v>
      </x:c>
    </x:row>
    <x:row r="28">
      <x:c r="A28" t="s">
        <x:v>113</x:v>
      </x:c>
      <x:c r="B28" s="60">
        <x:v>3</x:v>
      </x:c>
      <x:c r="C28" t="s">
        <x:v>114</x:v>
      </x:c>
      <x:c r="D28">
        <x:v>3</x:v>
      </x:c>
      <x:c r="E28">
        <x:v>2.7</x:v>
      </x:c>
      <x:c r="F28">
        <x:v>3.3</x:v>
      </x:c>
      <x:c r="G28" t="s">
        <x:v>115</x:v>
      </x:c>
      <x:c r="H28" t="s">
        <x:v>116</x:v>
      </x:c>
    </x:row>
    <x:row r="29">
      <x:c r="A29" t="s">
        <x:v>117</x:v>
      </x:c>
      <x:c r="B29" s="60" t="s">
        <x:v>71</x:v>
      </x:c>
      <x:c r="C29" t="s">
        <x:v>61</x:v>
      </x:c>
      <x:c r="D29" t="s">
        <x:v>71</x:v>
      </x:c>
      <x:c r="E29" t="s">
        <x:v>108</x:v>
      </x:c>
      <x:c r="F29" t="s">
        <x:v>108</x:v>
      </x:c>
      <x:c r="G29" t="s">
        <x:v>118</x:v>
      </x:c>
      <x:c r="H29" t="s">
        <x:v>89</x:v>
      </x:c>
    </x:row>
    <x:row r="30">
      <x:c r="A30" t="s">
        <x:v>119</x:v>
      </x:c>
      <x:c r="B30" s="60" t="s">
        <x:v>120</x:v>
      </x:c>
      <x:c r="C30" t="s">
        <x:v>61</x:v>
      </x:c>
      <x:c r="D30" t="s">
        <x:v>120</x:v>
      </x:c>
      <x:c r="E30" t="s">
        <x:v>108</x:v>
      </x:c>
      <x:c r="F30" t="s">
        <x:v>108</x:v>
      </x:c>
      <x:c r="G30" t="s">
        <x:v>121</x:v>
      </x:c>
      <x:c r="H30" t="s">
        <x:v>122</x:v>
      </x:c>
    </x:row>
  </x:sheetData>
  <x:pageMargins left="0.7" right="0.7" top="0.75" bottom="0.75" header="0.3" footer="0.3"/>
  <x:tableParts count="1">
    <x:tablePart xmlns:r="http://schemas.openxmlformats.org/officeDocument/2006/relationships" r:id="R80cb3e45e14e4c4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1.19921875" defaultRowHeight="13.800000190734863"/>
  <x:cols>
    <x:col min="1" max="1" width="22" customWidth="1"/>
    <x:col min="2" max="2" width="36" customWidth="1"/>
    <x:col min="3" max="3" width="26" customWidth="1"/>
    <x:col min="4" max="4" width="58" customWidth="1"/>
    <x:col min="5" max="5" width="3" customWidth="1"/>
    <x:col min="6" max="6" width="18" customWidth="1"/>
    <x:col min="7" max="8" width="38" customWidth="1"/>
    <x:col min="9" max="9" width="16" customWidth="1"/>
  </x:cols>
  <x:sheetData>
    <x:row r="1">
      <x:c r="A1" s="4" t="s">
        <x:v>123</x:v>
      </x:c>
      <x:c r="B1" s="4" t="s">
        <x:v>124</x:v>
      </x:c>
      <x:c r="C1" s="4" t="s">
        <x:v>125</x:v>
      </x:c>
      <x:c r="D1" s="4" t="s">
        <x:v>126</x:v>
      </x:c>
      <x:c r="F1" s="4" t="s">
        <x:v>127</x:v>
      </x:c>
      <x:c r="G1" s="4" t="s">
        <x:v>128</x:v>
      </x:c>
      <x:c r="H1" s="4" t="s">
        <x:v>129</x:v>
      </x:c>
      <x:c r="I1" s="4" t="s">
        <x:v>130</x:v>
      </x:c>
    </x:row>
    <x:row r="2">
      <x:c r="A2" s="19" t="s">
        <x:v>131</x:v>
      </x:c>
      <x:c r="B2" s="19" t="s">
        <x:v>132</x:v>
      </x:c>
      <x:c r="C2" s="19" t="s">
        <x:v>133</x:v>
      </x:c>
      <x:c r="D2" s="19" t="s">
        <x:v>134</x:v>
      </x:c>
      <x:c r="E2" s="19"/>
      <x:c r="F2" s="19" t="s">
        <x:v>135</x:v>
      </x:c>
      <x:c r="G2" s="19" t="s">
        <x:v>133</x:v>
      </x:c>
      <x:c r="H2" s="19" t="s">
        <x:v>133</x:v>
      </x:c>
      <x:c r="I2" s="19">
        <x:v>1</x:v>
      </x:c>
    </x:row>
    <x:row r="3">
      <x:c r="A3" s="19" t="s">
        <x:v>136</x:v>
      </x:c>
      <x:c r="B3" s="19" t="s">
        <x:v>137</x:v>
      </x:c>
      <x:c r="C3" s="19" t="s">
        <x:v>133</x:v>
      </x:c>
      <x:c r="D3" s="19" t="s">
        <x:v>138</x:v>
      </x:c>
      <x:c r="E3" s="19"/>
      <x:c r="F3" s="19" t="s">
        <x:v>139</x:v>
      </x:c>
      <x:c r="G3" s="19" t="s">
        <x:v>140</x:v>
      </x:c>
      <x:c r="H3" s="19" t="s">
        <x:v>140</x:v>
      </x:c>
      <x:c r="I3" s="19">
        <x:v>1</x:v>
      </x:c>
    </x:row>
    <x:row r="4" ht="22.799999237060547" customHeight="1">
      <x:c r="A4" s="19" t="s">
        <x:v>141</x:v>
      </x:c>
      <x:c r="B4" s="19" t="s">
        <x:v>142</x:v>
      </x:c>
      <x:c r="C4" s="19" t="s">
        <x:v>143</x:v>
      </x:c>
      <x:c r="D4" s="19" t="s">
        <x:v>144</x:v>
      </x:c>
      <x:c r="E4" s="19"/>
      <x:c r="F4" s="19" t="s">
        <x:v>145</x:v>
      </x:c>
      <x:c r="G4" s="19" t="s">
        <x:v>146</x:v>
      </x:c>
      <x:c r="H4" s="19" t="s">
        <x:v>146</x:v>
      </x:c>
      <x:c r="I4" s="19">
        <x:v>1</x:v>
      </x:c>
    </x:row>
    <x:row r="5">
      <x:c r="A5" s="19" t="s">
        <x:v>147</x:v>
      </x:c>
      <x:c r="B5" s="19" t="s">
        <x:v>148</x:v>
      </x:c>
      <x:c r="C5" s="19" t="s">
        <x:v>149</x:v>
      </x:c>
      <x:c r="D5" s="19" t="s">
        <x:v>150</x:v>
      </x:c>
      <x:c r="E5" s="19"/>
      <x:c r="F5" s="19" t="s">
        <x:v>151</x:v>
      </x:c>
      <x:c r="G5" s="19" t="s">
        <x:v>152</x:v>
      </x:c>
      <x:c r="H5" s="19" t="s">
        <x:v>152</x:v>
      </x:c>
      <x:c r="I5" s="19">
        <x:v>1</x:v>
      </x:c>
    </x:row>
    <x:row r="6">
      <x:c r="A6" s="19" t="s">
        <x:v>153</x:v>
      </x:c>
      <x:c r="B6" s="19" t="s">
        <x:v>154</x:v>
      </x:c>
      <x:c r="C6" s="19" t="s">
        <x:v>149</x:v>
      </x:c>
      <x:c r="D6" s="19" t="s">
        <x:v>155</x:v>
      </x:c>
      <x:c r="E6" s="19"/>
      <x:c r="F6" s="19" t="s">
        <x:v>156</x:v>
      </x:c>
      <x:c r="G6" s="19" t="s">
        <x:v>157</x:v>
      </x:c>
      <x:c r="H6" s="19" t="s">
        <x:v>157</x:v>
      </x:c>
      <x:c r="I6" s="19">
        <x:v>1</x:v>
      </x:c>
    </x:row>
    <x:row r="7" ht="22.799999237060547" customHeight="1">
      <x:c r="A7" s="19" t="s">
        <x:v>158</x:v>
      </x:c>
      <x:c r="B7" s="19" t="s">
        <x:v>159</x:v>
      </x:c>
      <x:c r="C7" s="19" t="s">
        <x:v>160</x:v>
      </x:c>
      <x:c r="D7" s="19" t="s">
        <x:v>161</x:v>
      </x:c>
      <x:c r="E7" s="19"/>
      <x:c r="F7" s="19" t="s">
        <x:v>162</x:v>
      </x:c>
      <x:c r="G7" s="19" t="s">
        <x:v>163</x:v>
      </x:c>
      <x:c r="H7" s="19" t="s">
        <x:v>163</x:v>
      </x:c>
      <x:c r="I7" s="19">
        <x:v>1</x:v>
      </x:c>
    </x:row>
    <x:row r="8" ht="22.799999237060547" customHeight="1">
      <x:c r="A8" s="19" t="s">
        <x:v>164</x:v>
      </x:c>
      <x:c r="B8" s="19" t="s">
        <x:v>165</x:v>
      </x:c>
      <x:c r="C8" s="19" t="s">
        <x:v>160</x:v>
      </x:c>
      <x:c r="D8" s="19" t="s">
        <x:v>166</x:v>
      </x:c>
      <x:c r="E8" s="19"/>
      <x:c r="F8" s="19" t="s">
        <x:v>167</x:v>
      </x:c>
      <x:c r="G8" s="19" t="s">
        <x:v>168</x:v>
      </x:c>
      <x:c r="H8" s="19" t="s">
        <x:v>169</x:v>
      </x:c>
      <x:c r="I8" s="19">
        <x:v>1</x:v>
      </x:c>
    </x:row>
    <x:row r="9" ht="22.799999237060547" customHeight="1">
      <x:c r="A9" s="19" t="s">
        <x:v>170</x:v>
      </x:c>
      <x:c r="B9" s="19" t="s">
        <x:v>171</x:v>
      </x:c>
      <x:c r="C9" s="19" t="s">
        <x:v>172</x:v>
      </x:c>
      <x:c r="D9" s="19" t="s">
        <x:v>173</x:v>
      </x:c>
      <x:c r="E9" s="19"/>
      <x:c r="F9" s="19" t="s">
        <x:v>174</x:v>
      </x:c>
      <x:c r="G9" s="19" t="s">
        <x:v>175</x:v>
      </x:c>
      <x:c r="H9" s="19" t="s">
        <x:v>176</x:v>
      </x:c>
      <x:c r="I9" s="19">
        <x:v>0</x:v>
      </x:c>
    </x:row>
  </x:sheetData>
  <x:pageMargins left="0.7" right="0.7" top="0.75" bottom="0.75" header="0.3" footer="0.3"/>
  <x:tableParts count="2">
    <x:tablePart xmlns:r="http://schemas.openxmlformats.org/officeDocument/2006/relationships" r:id="Rb9aee69f180e4a44"/>
    <x:tablePart xmlns:r="http://schemas.openxmlformats.org/officeDocument/2006/relationships" r:id="R93b2dd170a71499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1.19921875" defaultRowHeight="13.800000190734863"/>
  <x:cols>
    <x:col min="1" max="1" width="30" customWidth="1"/>
    <x:col min="2" max="2" width="22" customWidth="1"/>
    <x:col min="3" max="3" width="38" customWidth="1"/>
    <x:col min="4" max="4" width="14" customWidth="1"/>
    <x:col min="5" max="5" width="38" customWidth="1"/>
    <x:col min="6" max="6" width="32" customWidth="1"/>
    <x:col min="7" max="9" width="30" customWidth="1"/>
    <x:col min="10" max="10" width="20" customWidth="1"/>
    <x:col min="11" max="11" width="12" customWidth="1"/>
    <x:col min="12" max="12" width="50" customWidth="1"/>
    <x:col min="13" max="13" width="14" customWidth="1"/>
  </x:cols>
  <x:sheetData>
    <x:row r="1" ht="34.04999923706055" customHeight="1">
      <x:c r="A1" s="14" t="s">
        <x:v>177</x:v>
      </x:c>
      <x:c r="B1" s="15" t="s">
        <x:v>123</x:v>
      </x:c>
      <x:c r="C1" s="15" t="s">
        <x:v>124</x:v>
      </x:c>
      <x:c r="D1" s="15" t="s">
        <x:v>127</x:v>
      </x:c>
      <x:c r="E1" s="15" t="s">
        <x:v>128</x:v>
      </x:c>
      <x:c r="F1" s="15" t="s">
        <x:v>129</x:v>
      </x:c>
      <x:c r="G1" s="15" t="s">
        <x:v>178</x:v>
      </x:c>
      <x:c r="H1" s="15" t="s">
        <x:v>179</x:v>
      </x:c>
      <x:c r="I1" s="15" t="s">
        <x:v>180</x:v>
      </x:c>
      <x:c r="J1" s="15" t="s">
        <x:v>181</x:v>
      </x:c>
      <x:c r="K1" s="15" t="s">
        <x:v>182</x:v>
      </x:c>
      <x:c r="L1" s="15" t="s">
        <x:v>183</x:v>
      </x:c>
      <x:c r="M1" s="16" t="s">
        <x:v>184</x:v>
      </x:c>
    </x:row>
    <x:row r="2">
      <x:c r="A2" s="17" t="s">
        <x:v>185</x:v>
      </x:c>
      <x:c r="B2" s="17" t="s">
        <x:v>131</x:v>
      </x:c>
      <x:c r="C2" s="17" t="s">
        <x:v>132</x:v>
      </x:c>
      <x:c r="D2" s="17" t="s">
        <x:v>135</x:v>
      </x:c>
      <x:c r="E2" s="17" t="s">
        <x:v>133</x:v>
      </x:c>
      <x:c r="F2" s="17" t="s">
        <x:v>133</x:v>
      </x:c>
      <x:c r="G2" s="17" t="s">
        <x:v>185</x:v>
      </x:c>
      <x:c r="H2" s="17" t="s">
        <x:v>185</x:v>
      </x:c>
      <x:c r="I2" s="17" t="s">
        <x:v>185</x:v>
      </x:c>
      <x:c r="J2" s="17" t="s">
        <x:v>186</x:v>
      </x:c>
      <x:c r="K2" s="23">
        <x:v>1</x:v>
      </x:c>
      <x:c r="L2" s="17" t="s">
        <x:v>187</x:v>
      </x:c>
      <x:c r="M2" s="20" t="n">
        <x:f t="shared" ref="M2:M18" si="0">COUNTIF($A$2:$A$18,A2)</x:f>
        <x:v>1</x:v>
      </x:c>
    </x:row>
    <x:row r="3">
      <x:c r="A3" s="18" t="s">
        <x:v>188</x:v>
      </x:c>
      <x:c r="B3" s="18" t="s">
        <x:v>136</x:v>
      </x:c>
      <x:c r="C3" s="18" t="s">
        <x:v>137</x:v>
      </x:c>
      <x:c r="D3" s="18" t="s">
        <x:v>135</x:v>
      </x:c>
      <x:c r="E3" s="18" t="s">
        <x:v>133</x:v>
      </x:c>
      <x:c r="F3" s="18" t="s">
        <x:v>133</x:v>
      </x:c>
      <x:c r="G3" s="18" t="s">
        <x:v>188</x:v>
      </x:c>
      <x:c r="H3" s="18" t="s">
        <x:v>188</x:v>
      </x:c>
      <x:c r="I3" s="18" t="s">
        <x:v>188</x:v>
      </x:c>
      <x:c r="J3" s="18" t="s">
        <x:v>186</x:v>
      </x:c>
      <x:c r="K3" s="24">
        <x:v>0</x:v>
      </x:c>
      <x:c r="L3" s="18" t="s">
        <x:v>189</x:v>
      </x:c>
      <x:c r="M3" s="21">
        <x:f t="shared" si="0"/>
        <x:v>1</x:v>
      </x:c>
    </x:row>
    <x:row r="4">
      <x:c r="A4" s="18" t="s">
        <x:v>190</x:v>
      </x:c>
      <x:c r="B4" s="18" t="s">
        <x:v>141</x:v>
      </x:c>
      <x:c r="C4" s="18" t="s">
        <x:v>142</x:v>
      </x:c>
      <x:c r="D4" s="18" t="s">
        <x:v>139</x:v>
      </x:c>
      <x:c r="E4" s="18" t="s">
        <x:v>140</x:v>
      </x:c>
      <x:c r="F4" s="18" t="s">
        <x:v>140</x:v>
      </x:c>
      <x:c r="G4" s="18" t="s">
        <x:v>190</x:v>
      </x:c>
      <x:c r="H4" s="18" t="s">
        <x:v>190</x:v>
      </x:c>
      <x:c r="I4" s="18" t="s">
        <x:v>191</x:v>
      </x:c>
      <x:c r="J4" s="18" t="s">
        <x:v>192</x:v>
      </x:c>
      <x:c r="K4" s="24">
        <x:v>1</x:v>
      </x:c>
      <x:c r="L4" s="18" t="s">
        <x:v>193</x:v>
      </x:c>
      <x:c r="M4" s="21">
        <x:f t="shared" si="0"/>
        <x:v>1</x:v>
      </x:c>
    </x:row>
    <x:row r="5">
      <x:c r="A5" s="18" t="s">
        <x:v>194</x:v>
      </x:c>
      <x:c r="B5" s="18" t="s">
        <x:v>141</x:v>
      </x:c>
      <x:c r="C5" s="18" t="s">
        <x:v>142</x:v>
      </x:c>
      <x:c r="D5" s="18" t="s">
        <x:v>145</x:v>
      </x:c>
      <x:c r="E5" s="18" t="s">
        <x:v>146</x:v>
      </x:c>
      <x:c r="F5" s="18" t="s">
        <x:v>146</x:v>
      </x:c>
      <x:c r="G5" s="18" t="s">
        <x:v>194</x:v>
      </x:c>
      <x:c r="H5" s="18" t="s">
        <x:v>194</x:v>
      </x:c>
      <x:c r="I5" s="18" t="s">
        <x:v>191</x:v>
      </x:c>
      <x:c r="J5" s="18" t="s">
        <x:v>192</x:v>
      </x:c>
      <x:c r="K5" s="24">
        <x:v>1</x:v>
      </x:c>
      <x:c r="L5" s="18" t="s">
        <x:v>193</x:v>
      </x:c>
      <x:c r="M5" s="21">
        <x:f t="shared" si="0"/>
        <x:v>1</x:v>
      </x:c>
    </x:row>
    <x:row r="6">
      <x:c r="A6" s="18" t="s">
        <x:v>195</x:v>
      </x:c>
      <x:c r="B6" s="18" t="s">
        <x:v>141</x:v>
      </x:c>
      <x:c r="C6" s="18" t="s">
        <x:v>142</x:v>
      </x:c>
      <x:c r="D6" s="18" t="s">
        <x:v>151</x:v>
      </x:c>
      <x:c r="E6" s="18" t="s">
        <x:v>152</x:v>
      </x:c>
      <x:c r="F6" s="18" t="s">
        <x:v>152</x:v>
      </x:c>
      <x:c r="G6" s="18" t="s">
        <x:v>195</x:v>
      </x:c>
      <x:c r="H6" s="18" t="s">
        <x:v>195</x:v>
      </x:c>
      <x:c r="I6" s="18" t="s">
        <x:v>191</x:v>
      </x:c>
      <x:c r="J6" s="18" t="s">
        <x:v>192</x:v>
      </x:c>
      <x:c r="K6" s="24">
        <x:v>1</x:v>
      </x:c>
      <x:c r="L6" s="18" t="s">
        <x:v>193</x:v>
      </x:c>
      <x:c r="M6" s="21">
        <x:f t="shared" si="0"/>
        <x:v>1</x:v>
      </x:c>
    </x:row>
    <x:row r="7">
      <x:c r="A7" s="18" t="s">
        <x:v>196</x:v>
      </x:c>
      <x:c r="B7" s="18" t="s">
        <x:v>141</x:v>
      </x:c>
      <x:c r="C7" s="18" t="s">
        <x:v>142</x:v>
      </x:c>
      <x:c r="D7" s="18" t="s">
        <x:v>156</x:v>
      </x:c>
      <x:c r="E7" s="18" t="s">
        <x:v>157</x:v>
      </x:c>
      <x:c r="F7" s="18" t="s">
        <x:v>157</x:v>
      </x:c>
      <x:c r="G7" s="18" t="s">
        <x:v>196</x:v>
      </x:c>
      <x:c r="H7" s="18" t="s">
        <x:v>196</x:v>
      </x:c>
      <x:c r="I7" s="18" t="s">
        <x:v>191</x:v>
      </x:c>
      <x:c r="J7" s="18" t="s">
        <x:v>192</x:v>
      </x:c>
      <x:c r="K7" s="24">
        <x:v>1</x:v>
      </x:c>
      <x:c r="L7" s="18" t="s">
        <x:v>193</x:v>
      </x:c>
      <x:c r="M7" s="21">
        <x:f t="shared" si="0"/>
        <x:v>1</x:v>
      </x:c>
    </x:row>
    <x:row r="8">
      <x:c r="A8" s="18" t="s">
        <x:v>197</x:v>
      </x:c>
      <x:c r="B8" s="18" t="s">
        <x:v>147</x:v>
      </x:c>
      <x:c r="C8" s="18" t="s">
        <x:v>148</x:v>
      </x:c>
      <x:c r="D8" s="18" t="s">
        <x:v>139</x:v>
      </x:c>
      <x:c r="E8" s="18" t="s">
        <x:v>140</x:v>
      </x:c>
      <x:c r="F8" s="18" t="s">
        <x:v>140</x:v>
      </x:c>
      <x:c r="G8" s="18" t="s">
        <x:v>197</x:v>
      </x:c>
      <x:c r="H8" s="18" t="s">
        <x:v>197</x:v>
      </x:c>
      <x:c r="I8" s="18" t="s">
        <x:v>197</x:v>
      </x:c>
      <x:c r="J8" s="18" t="s">
        <x:v>186</x:v>
      </x:c>
      <x:c r="K8" s="24">
        <x:v>1</x:v>
      </x:c>
      <x:c r="L8" s="18" t="s">
        <x:v>198</x:v>
      </x:c>
      <x:c r="M8" s="21">
        <x:f t="shared" si="0"/>
        <x:v>1</x:v>
      </x:c>
    </x:row>
    <x:row r="9">
      <x:c r="A9" s="18" t="s">
        <x:v>199</x:v>
      </x:c>
      <x:c r="B9" s="18" t="s">
        <x:v>153</x:v>
      </x:c>
      <x:c r="C9" s="18" t="s">
        <x:v>154</x:v>
      </x:c>
      <x:c r="D9" s="18" t="s">
        <x:v>145</x:v>
      </x:c>
      <x:c r="E9" s="18" t="s">
        <x:v>146</x:v>
      </x:c>
      <x:c r="F9" s="18" t="s">
        <x:v>146</x:v>
      </x:c>
      <x:c r="G9" s="18" t="s">
        <x:v>199</x:v>
      </x:c>
      <x:c r="H9" s="18" t="s">
        <x:v>199</x:v>
      </x:c>
      <x:c r="I9" s="18" t="s">
        <x:v>199</x:v>
      </x:c>
      <x:c r="J9" s="18" t="s">
        <x:v>186</x:v>
      </x:c>
      <x:c r="K9" s="24">
        <x:v>1</x:v>
      </x:c>
      <x:c r="L9" s="18" t="s">
        <x:v>200</x:v>
      </x:c>
      <x:c r="M9" s="21">
        <x:f t="shared" si="0"/>
        <x:v>1</x:v>
      </x:c>
    </x:row>
    <x:row r="10">
      <x:c r="A10" s="18" t="s">
        <x:v>201</x:v>
      </x:c>
      <x:c r="B10" s="18" t="s">
        <x:v>153</x:v>
      </x:c>
      <x:c r="C10" s="18" t="s">
        <x:v>154</x:v>
      </x:c>
      <x:c r="D10" s="18" t="s">
        <x:v>151</x:v>
      </x:c>
      <x:c r="E10" s="18" t="s">
        <x:v>152</x:v>
      </x:c>
      <x:c r="F10" s="18" t="s">
        <x:v>152</x:v>
      </x:c>
      <x:c r="G10" s="18" t="s">
        <x:v>201</x:v>
      </x:c>
      <x:c r="H10" s="18" t="s">
        <x:v>201</x:v>
      </x:c>
      <x:c r="I10" s="18" t="s">
        <x:v>201</x:v>
      </x:c>
      <x:c r="J10" s="18" t="s">
        <x:v>186</x:v>
      </x:c>
      <x:c r="K10" s="24">
        <x:v>1</x:v>
      </x:c>
      <x:c r="L10" s="18" t="s">
        <x:v>200</x:v>
      </x:c>
      <x:c r="M10" s="21">
        <x:f t="shared" si="0"/>
        <x:v>1</x:v>
      </x:c>
    </x:row>
    <x:row r="11">
      <x:c r="A11" s="18" t="s">
        <x:v>202</x:v>
      </x:c>
      <x:c r="B11" s="18" t="s">
        <x:v>158</x:v>
      </x:c>
      <x:c r="C11" s="18" t="s">
        <x:v>159</x:v>
      </x:c>
      <x:c r="D11" s="18" t="s">
        <x:v>139</x:v>
      </x:c>
      <x:c r="E11" s="18" t="s">
        <x:v>140</x:v>
      </x:c>
      <x:c r="F11" s="18" t="s">
        <x:v>140</x:v>
      </x:c>
      <x:c r="G11" s="18" t="s">
        <x:v>202</x:v>
      </x:c>
      <x:c r="H11" s="18" t="s">
        <x:v>202</x:v>
      </x:c>
      <x:c r="I11" s="18" t="s">
        <x:v>202</x:v>
      </x:c>
      <x:c r="J11" s="18" t="s">
        <x:v>186</x:v>
      </x:c>
      <x:c r="K11" s="24">
        <x:v>1</x:v>
      </x:c>
      <x:c r="L11" s="18" t="s">
        <x:v>203</x:v>
      </x:c>
      <x:c r="M11" s="21">
        <x:f t="shared" si="0"/>
        <x:v>1</x:v>
      </x:c>
    </x:row>
    <x:row r="12">
      <x:c r="A12" s="18" t="s">
        <x:v>204</x:v>
      </x:c>
      <x:c r="B12" s="18" t="s">
        <x:v>158</x:v>
      </x:c>
      <x:c r="C12" s="18" t="s">
        <x:v>159</x:v>
      </x:c>
      <x:c r="D12" s="18" t="s">
        <x:v>156</x:v>
      </x:c>
      <x:c r="E12" s="18" t="s">
        <x:v>157</x:v>
      </x:c>
      <x:c r="F12" s="18" t="s">
        <x:v>157</x:v>
      </x:c>
      <x:c r="G12" s="18" t="s">
        <x:v>204</x:v>
      </x:c>
      <x:c r="H12" s="18" t="s">
        <x:v>204</x:v>
      </x:c>
      <x:c r="I12" s="18" t="s">
        <x:v>204</x:v>
      </x:c>
      <x:c r="J12" s="18" t="s">
        <x:v>186</x:v>
      </x:c>
      <x:c r="K12" s="24">
        <x:v>1</x:v>
      </x:c>
      <x:c r="L12" s="18" t="s">
        <x:v>205</x:v>
      </x:c>
      <x:c r="M12" s="21">
        <x:f t="shared" si="0"/>
        <x:v>1</x:v>
      </x:c>
    </x:row>
    <x:row r="13">
      <x:c r="A13" s="18" t="s">
        <x:v>206</x:v>
      </x:c>
      <x:c r="B13" s="18" t="s">
        <x:v>158</x:v>
      </x:c>
      <x:c r="C13" s="18" t="s">
        <x:v>159</x:v>
      </x:c>
      <x:c r="D13" s="18" t="s">
        <x:v>162</x:v>
      </x:c>
      <x:c r="E13" s="18" t="s">
        <x:v>163</x:v>
      </x:c>
      <x:c r="F13" s="18" t="s">
        <x:v>163</x:v>
      </x:c>
      <x:c r="G13" s="18" t="s">
        <x:v>206</x:v>
      </x:c>
      <x:c r="H13" s="18" t="s">
        <x:v>206</x:v>
      </x:c>
      <x:c r="I13" s="18" t="s">
        <x:v>206</x:v>
      </x:c>
      <x:c r="J13" s="18" t="s">
        <x:v>186</x:v>
      </x:c>
      <x:c r="K13" s="24">
        <x:v>1</x:v>
      </x:c>
      <x:c r="L13" s="18" t="s">
        <x:v>207</x:v>
      </x:c>
      <x:c r="M13" s="21">
        <x:f t="shared" si="0"/>
        <x:v>1</x:v>
      </x:c>
    </x:row>
    <x:row r="14">
      <x:c r="A14" s="18" t="s">
        <x:v>208</x:v>
      </x:c>
      <x:c r="B14" s="18" t="s">
        <x:v>164</x:v>
      </x:c>
      <x:c r="C14" s="18" t="s">
        <x:v>165</x:v>
      </x:c>
      <x:c r="D14" s="18" t="s">
        <x:v>139</x:v>
      </x:c>
      <x:c r="E14" s="18" t="s">
        <x:v>140</x:v>
      </x:c>
      <x:c r="F14" s="18" t="s">
        <x:v>140</x:v>
      </x:c>
      <x:c r="G14" s="18" t="s">
        <x:v>208</x:v>
      </x:c>
      <x:c r="H14" s="18" t="s">
        <x:v>208</x:v>
      </x:c>
      <x:c r="I14" s="18" t="s">
        <x:v>208</x:v>
      </x:c>
      <x:c r="J14" s="18" t="s">
        <x:v>186</x:v>
      </x:c>
      <x:c r="K14" s="24">
        <x:v>1</x:v>
      </x:c>
      <x:c r="L14" s="18" t="s">
        <x:v>203</x:v>
      </x:c>
      <x:c r="M14" s="21">
        <x:f t="shared" si="0"/>
        <x:v>1</x:v>
      </x:c>
    </x:row>
    <x:row r="15">
      <x:c r="A15" s="18" t="s">
        <x:v>209</x:v>
      </x:c>
      <x:c r="B15" s="18" t="s">
        <x:v>164</x:v>
      </x:c>
      <x:c r="C15" s="18" t="s">
        <x:v>165</x:v>
      </x:c>
      <x:c r="D15" s="18" t="s">
        <x:v>156</x:v>
      </x:c>
      <x:c r="E15" s="18" t="s">
        <x:v>157</x:v>
      </x:c>
      <x:c r="F15" s="18" t="s">
        <x:v>157</x:v>
      </x:c>
      <x:c r="G15" s="18" t="s">
        <x:v>209</x:v>
      </x:c>
      <x:c r="H15" s="18" t="s">
        <x:v>209</x:v>
      </x:c>
      <x:c r="I15" s="18" t="s">
        <x:v>209</x:v>
      </x:c>
      <x:c r="J15" s="18" t="s">
        <x:v>186</x:v>
      </x:c>
      <x:c r="K15" s="24">
        <x:v>1</x:v>
      </x:c>
      <x:c r="L15" s="18" t="s">
        <x:v>205</x:v>
      </x:c>
      <x:c r="M15" s="21">
        <x:f t="shared" si="0"/>
        <x:v>1</x:v>
      </x:c>
    </x:row>
    <x:row r="16">
      <x:c r="A16" s="18" t="s">
        <x:v>210</x:v>
      </x:c>
      <x:c r="B16" s="18" t="s">
        <x:v>164</x:v>
      </x:c>
      <x:c r="C16" s="18" t="s">
        <x:v>165</x:v>
      </x:c>
      <x:c r="D16" s="18" t="s">
        <x:v>162</x:v>
      </x:c>
      <x:c r="E16" s="18" t="s">
        <x:v>163</x:v>
      </x:c>
      <x:c r="F16" s="18" t="s">
        <x:v>163</x:v>
      </x:c>
      <x:c r="G16" s="18" t="s">
        <x:v>210</x:v>
      </x:c>
      <x:c r="H16" s="18" t="s">
        <x:v>210</x:v>
      </x:c>
      <x:c r="I16" s="18" t="s">
        <x:v>210</x:v>
      </x:c>
      <x:c r="J16" s="18" t="s">
        <x:v>186</x:v>
      </x:c>
      <x:c r="K16" s="24">
        <x:v>1</x:v>
      </x:c>
      <x:c r="L16" s="18" t="s">
        <x:v>207</x:v>
      </x:c>
      <x:c r="M16" s="21">
        <x:f t="shared" si="0"/>
        <x:v>1</x:v>
      </x:c>
    </x:row>
    <x:row r="17">
      <x:c r="A17" s="18" t="s">
        <x:v>211</x:v>
      </x:c>
      <x:c r="B17" s="18" t="s">
        <x:v>170</x:v>
      </x:c>
      <x:c r="C17" s="18" t="s">
        <x:v>171</x:v>
      </x:c>
      <x:c r="D17" s="18" t="s">
        <x:v>167</x:v>
      </x:c>
      <x:c r="E17" s="18" t="s">
        <x:v>168</x:v>
      </x:c>
      <x:c r="F17" s="18" t="s">
        <x:v>169</x:v>
      </x:c>
      <x:c r="G17" s="18" t="s">
        <x:v>211</x:v>
      </x:c>
      <x:c r="H17" s="18" t="s">
        <x:v>211</x:v>
      </x:c>
      <x:c r="I17" s="18" t="s">
        <x:v>211</x:v>
      </x:c>
      <x:c r="J17" s="18" t="s">
        <x:v>186</x:v>
      </x:c>
      <x:c r="K17" s="24">
        <x:v>1</x:v>
      </x:c>
      <x:c r="L17" s="18" t="s">
        <x:v>212</x:v>
      </x:c>
      <x:c r="M17" s="21">
        <x:f t="shared" si="0"/>
        <x:v>1</x:v>
      </x:c>
    </x:row>
    <x:row r="18" ht="22.799999237060547" customHeight="1">
      <x:c r="A18" s="5" t="s">
        <x:v>213</x:v>
      </x:c>
      <x:c r="B18" s="5" t="s">
        <x:v>170</x:v>
      </x:c>
      <x:c r="C18" s="5" t="s">
        <x:v>171</x:v>
      </x:c>
      <x:c r="D18" s="5" t="s">
        <x:v>139</x:v>
      </x:c>
      <x:c r="E18" s="5" t="s">
        <x:v>214</x:v>
      </x:c>
      <x:c r="F18" s="5" t="s">
        <x:v>140</x:v>
      </x:c>
      <x:c r="G18" s="5" t="s">
        <x:v>213</x:v>
      </x:c>
      <x:c r="H18" s="5" t="s">
        <x:v>213</x:v>
      </x:c>
      <x:c r="I18" s="5" t="s">
        <x:v>211</x:v>
      </x:c>
      <x:c r="J18" s="5" t="s">
        <x:v>192</x:v>
      </x:c>
      <x:c r="K18" s="25">
        <x:v>1</x:v>
      </x:c>
      <x:c r="L18" s="5" t="s">
        <x:v>215</x:v>
      </x:c>
      <x:c r="M18" s="22">
        <x:f t="shared" si="0"/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76833a9b3ef340b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11.19921875" defaultRowHeight="13.800000190734863"/>
  <x:cols>
    <x:col min="1" max="1" width="24" customWidth="1"/>
    <x:col min="2" max="2" width="30" customWidth="1"/>
    <x:col min="3" max="3" width="22" customWidth="1"/>
    <x:col min="4" max="4" width="14" customWidth="1"/>
    <x:col min="5" max="6" width="38" customWidth="1"/>
    <x:col min="7" max="8" width="18" customWidth="1"/>
    <x:col min="9" max="9" width="24" customWidth="1"/>
    <x:col min="10" max="10" width="15" customWidth="1"/>
    <x:col min="11" max="11" width="17" customWidth="1"/>
    <x:col min="12" max="13" width="12" customWidth="1"/>
    <x:col min="14" max="14" width="10" customWidth="1"/>
    <x:col min="15" max="15" width="15" customWidth="1"/>
    <x:col min="16" max="16" width="34" customWidth="1"/>
    <x:col min="17" max="17" width="28" customWidth="1"/>
    <x:col min="18" max="18" width="18" customWidth="1"/>
    <x:col min="19" max="19" width="16" customWidth="1"/>
    <x:col min="20" max="20" width="54" customWidth="1"/>
    <x:col min="21" max="22" width="16" customWidth="1"/>
  </x:cols>
  <x:sheetData>
    <x:row r="1" ht="34.04999923706055" customHeight="1">
      <x:c r="A1" s="14" t="s">
        <x:v>216</x:v>
      </x:c>
      <x:c r="B1" s="15" t="s">
        <x:v>177</x:v>
      </x:c>
      <x:c r="C1" s="15" t="s">
        <x:v>123</x:v>
      </x:c>
      <x:c r="D1" s="15" t="s">
        <x:v>127</x:v>
      </x:c>
      <x:c r="E1" s="15" t="s">
        <x:v>124</x:v>
      </x:c>
      <x:c r="F1" s="15" t="s">
        <x:v>128</x:v>
      </x:c>
      <x:c r="G1" s="15" t="s">
        <x:v>217</x:v>
      </x:c>
      <x:c r="H1" s="15" t="s">
        <x:v>218</x:v>
      </x:c>
      <x:c r="I1" s="15" t="s">
        <x:v>219</x:v>
      </x:c>
      <x:c r="J1" s="15" t="s">
        <x:v>220</x:v>
      </x:c>
      <x:c r="K1" s="15" t="s">
        <x:v>221</x:v>
      </x:c>
      <x:c r="L1" s="15" t="s">
        <x:v>222</x:v>
      </x:c>
      <x:c r="M1" s="15" t="s">
        <x:v>223</x:v>
      </x:c>
      <x:c r="N1" s="15" t="s">
        <x:v>224</x:v>
      </x:c>
      <x:c r="O1" s="15" t="s">
        <x:v>225</x:v>
      </x:c>
      <x:c r="P1" s="15" t="s">
        <x:v>226</x:v>
      </x:c>
      <x:c r="Q1" s="15" t="s">
        <x:v>227</x:v>
      </x:c>
      <x:c r="R1" s="15" t="s">
        <x:v>228</x:v>
      </x:c>
      <x:c r="S1" s="15" t="s">
        <x:v>229</x:v>
      </x:c>
      <x:c r="T1" s="15" t="s">
        <x:v>183</x:v>
      </x:c>
      <x:c r="U1" s="15" t="s">
        <x:v>230</x:v>
      </x:c>
      <x:c r="V1" s="16" t="s">
        <x:v>231</x:v>
      </x:c>
    </x:row>
    <x:row r="2">
      <x:c r="A2" s="17" t="s">
        <x:v>232</x:v>
      </x:c>
      <x:c r="B2" s="17" t="s">
        <x:v>185</x:v>
      </x:c>
      <x:c r="C2" s="17" t="s">
        <x:v>131</x:v>
      </x:c>
      <x:c r="D2" s="17" t="s">
        <x:v>135</x:v>
      </x:c>
      <x:c r="E2" s="17" t="s">
        <x:v>132</x:v>
      </x:c>
      <x:c r="F2" s="17" t="s">
        <x:v>133</x:v>
      </x:c>
      <x:c r="G2" s="17" t="s">
        <x:v>233</x:v>
      </x:c>
      <x:c r="H2" s="17" t="s">
        <x:v>234</x:v>
      </x:c>
      <x:c r="I2" s="17" t="s">
        <x:v>235</x:v>
      </x:c>
      <x:c r="J2" s="27">
        <x:v>0.55000000000000004</x:v>
      </x:c>
      <x:c r="K2" s="27">
        <x:v>1</x:v>
      </x:c>
      <x:c r="L2" s="29">
        <x:v>5</x:v>
      </x:c>
      <x:c r="M2" s="29">
        <x:v>39</x:v>
      </x:c>
      <x:c r="N2" s="29" t="s">
        <x:v>236</x:v>
      </x:c>
      <x:c r="O2" s="29">
        <x:v>1</x:v>
      </x:c>
      <x:c r="P2" s="17" t="s">
        <x:v>237</x:v>
      </x:c>
      <x:c r="Q2" s="17" t="s">
        <x:v>238</x:v>
      </x:c>
      <x:c r="R2" s="17" t="s">
        <x:v>239</x:v>
      </x:c>
      <x:c r="S2" s="17" t="s">
        <x:v>240</x:v>
      </x:c>
      <x:c r="T2" s="17" t="s">
        <x:v>241</x:v>
      </x:c>
      <x:c r="U2" s="20" t="n">
        <x:f>COUNTIF(Intervention_Cause_Map!$A$2:$A$18,B2)</x:f>
        <x:v>1</x:v>
      </x:c>
      <x:c r="V2" s="20" t="str">
        <x:f t="shared" ref="V2:V18" si="0">IF(U2&lt;&gt;1,"BAD KEY",IF(OR(J2&lt;0,J2&gt;1,K2&lt;0,K2&gt;1),"BAD VALUE","OK"))</x:f>
        <x:v>OK</x:v>
      </x:c>
    </x:row>
    <x:row r="3">
      <x:c r="A3" s="18" t="s">
        <x:v>242</x:v>
      </x:c>
      <x:c r="B3" s="18" t="s">
        <x:v>188</x:v>
      </x:c>
      <x:c r="C3" s="18" t="s">
        <x:v>136</x:v>
      </x:c>
      <x:c r="D3" s="18" t="s">
        <x:v>135</x:v>
      </x:c>
      <x:c r="E3" s="18" t="s">
        <x:v>137</x:v>
      </x:c>
      <x:c r="F3" s="18" t="s">
        <x:v>133</x:v>
      </x:c>
      <x:c r="G3" s="18" t="s">
        <x:v>243</x:v>
      </x:c>
      <x:c r="H3" s="18" t="s">
        <x:v>234</x:v>
      </x:c>
      <x:c r="I3" s="18" t="s">
        <x:v>235</x:v>
      </x:c>
      <x:c r="J3" s="26">
        <x:v>0.75</x:v>
      </x:c>
      <x:c r="K3" s="26">
        <x:v>0.09</x:v>
      </x:c>
      <x:c r="L3" s="30">
        <x:v>5</x:v>
      </x:c>
      <x:c r="M3" s="30">
        <x:v>40</x:v>
      </x:c>
      <x:c r="N3" s="30" t="s">
        <x:v>236</x:v>
      </x:c>
      <x:c r="O3" s="30">
        <x:v>15</x:v>
      </x:c>
      <x:c r="P3" s="18" t="s">
        <x:v>244</x:v>
      </x:c>
      <x:c r="Q3" s="18" t="s">
        <x:v>238</x:v>
      </x:c>
      <x:c r="R3" s="18" t="s">
        <x:v>245</x:v>
      </x:c>
      <x:c r="S3" s="18" t="s">
        <x:v>20</x:v>
      </x:c>
      <x:c r="T3" s="18" t="s">
        <x:v>246</x:v>
      </x:c>
      <x:c r="U3" s="21" t="n">
        <x:f>COUNTIF(Intervention_Cause_Map!$A$2:$A$18,B3)</x:f>
        <x:v>1</x:v>
      </x:c>
      <x:c r="V3" s="21" t="str">
        <x:f t="shared" si="0"/>
        <x:v>OK</x:v>
      </x:c>
    </x:row>
    <x:row r="4">
      <x:c r="A4" s="18" t="s">
        <x:v>247</x:v>
      </x:c>
      <x:c r="B4" s="18" t="s">
        <x:v>190</x:v>
      </x:c>
      <x:c r="C4" s="18" t="s">
        <x:v>141</x:v>
      </x:c>
      <x:c r="D4" s="18" t="s">
        <x:v>139</x:v>
      </x:c>
      <x:c r="E4" s="18" t="s">
        <x:v>142</x:v>
      </x:c>
      <x:c r="F4" s="18" t="s">
        <x:v>140</x:v>
      </x:c>
      <x:c r="G4" s="18" t="s">
        <x:v>248</x:v>
      </x:c>
      <x:c r="H4" s="18" t="s">
        <x:v>233</x:v>
      </x:c>
      <x:c r="I4" s="18" t="s">
        <x:v>235</x:v>
      </x:c>
      <x:c r="J4" s="26">
        <x:v>0.57999999999999996</x:v>
      </x:c>
      <x:c r="K4" s="26">
        <x:v>0.8</x:v>
      </x:c>
      <x:c r="L4" s="30">
        <x:v>30</x:v>
      </x:c>
      <x:c r="M4" s="30">
        <x:v>80</x:v>
      </x:c>
      <x:c r="N4" s="30" t="s">
        <x:v>236</x:v>
      </x:c>
      <x:c r="O4" s="30">
        <x:v>1</x:v>
      </x:c>
      <x:c r="P4" s="18" t="s">
        <x:v>249</x:v>
      </x:c>
      <x:c r="Q4" s="18" t="s">
        <x:v>238</x:v>
      </x:c>
      <x:c r="R4" s="18" t="s">
        <x:v>250</x:v>
      </x:c>
      <x:c r="S4" s="18" t="s">
        <x:v>240</x:v>
      </x:c>
      <x:c r="T4" s="18" t="s">
        <x:v>251</x:v>
      </x:c>
      <x:c r="U4" s="21" t="n">
        <x:f>COUNTIF(Intervention_Cause_Map!$A$2:$A$18,B4)</x:f>
        <x:v>1</x:v>
      </x:c>
      <x:c r="V4" s="21" t="str">
        <x:f t="shared" si="0"/>
        <x:v>OK</x:v>
      </x:c>
    </x:row>
    <x:row r="5">
      <x:c r="A5" s="18" t="s">
        <x:v>252</x:v>
      </x:c>
      <x:c r="B5" s="18" t="s">
        <x:v>194</x:v>
      </x:c>
      <x:c r="C5" s="18" t="s">
        <x:v>141</x:v>
      </x:c>
      <x:c r="D5" s="18" t="s">
        <x:v>145</x:v>
      </x:c>
      <x:c r="E5" s="18" t="s">
        <x:v>142</x:v>
      </x:c>
      <x:c r="F5" s="18" t="s">
        <x:v>146</x:v>
      </x:c>
      <x:c r="G5" s="18" t="s">
        <x:v>248</x:v>
      </x:c>
      <x:c r="H5" s="18" t="s">
        <x:v>233</x:v>
      </x:c>
      <x:c r="I5" s="18" t="s">
        <x:v>235</x:v>
      </x:c>
      <x:c r="J5" s="26">
        <x:v>0.54</x:v>
      </x:c>
      <x:c r="K5" s="26">
        <x:v>0.8</x:v>
      </x:c>
      <x:c r="L5" s="30">
        <x:v>30</x:v>
      </x:c>
      <x:c r="M5" s="30">
        <x:v>80</x:v>
      </x:c>
      <x:c r="N5" s="30" t="s">
        <x:v>236</x:v>
      </x:c>
      <x:c r="O5" s="30">
        <x:v>1</x:v>
      </x:c>
      <x:c r="P5" s="18" t="s">
        <x:v>249</x:v>
      </x:c>
      <x:c r="Q5" s="18" t="s">
        <x:v>238</x:v>
      </x:c>
      <x:c r="R5" s="18" t="s">
        <x:v>253</x:v>
      </x:c>
      <x:c r="S5" s="18" t="s">
        <x:v>240</x:v>
      </x:c>
      <x:c r="T5" s="18" t="s">
        <x:v>251</x:v>
      </x:c>
      <x:c r="U5" s="21" t="n">
        <x:f>COUNTIF(Intervention_Cause_Map!$A$2:$A$18,B5)</x:f>
        <x:v>1</x:v>
      </x:c>
      <x:c r="V5" s="21" t="str">
        <x:f t="shared" si="0"/>
        <x:v>OK</x:v>
      </x:c>
    </x:row>
    <x:row r="6">
      <x:c r="A6" s="18" t="s">
        <x:v>254</x:v>
      </x:c>
      <x:c r="B6" s="18" t="s">
        <x:v>195</x:v>
      </x:c>
      <x:c r="C6" s="18" t="s">
        <x:v>141</x:v>
      </x:c>
      <x:c r="D6" s="18" t="s">
        <x:v>151</x:v>
      </x:c>
      <x:c r="E6" s="18" t="s">
        <x:v>142</x:v>
      </x:c>
      <x:c r="F6" s="18" t="s">
        <x:v>152</x:v>
      </x:c>
      <x:c r="G6" s="18" t="s">
        <x:v>248</x:v>
      </x:c>
      <x:c r="H6" s="18" t="s">
        <x:v>233</x:v>
      </x:c>
      <x:c r="I6" s="18" t="s">
        <x:v>235</x:v>
      </x:c>
      <x:c r="J6" s="26">
        <x:v>0.49</x:v>
      </x:c>
      <x:c r="K6" s="26">
        <x:v>0.8</x:v>
      </x:c>
      <x:c r="L6" s="30">
        <x:v>30</x:v>
      </x:c>
      <x:c r="M6" s="30">
        <x:v>80</x:v>
      </x:c>
      <x:c r="N6" s="30" t="s">
        <x:v>236</x:v>
      </x:c>
      <x:c r="O6" s="30">
        <x:v>1</x:v>
      </x:c>
      <x:c r="P6" s="18" t="s">
        <x:v>249</x:v>
      </x:c>
      <x:c r="Q6" s="18" t="s">
        <x:v>238</x:v>
      </x:c>
      <x:c r="R6" s="18" t="s">
        <x:v>255</x:v>
      </x:c>
      <x:c r="S6" s="18" t="s">
        <x:v>240</x:v>
      </x:c>
      <x:c r="T6" s="18" t="s">
        <x:v>251</x:v>
      </x:c>
      <x:c r="U6" s="21" t="n">
        <x:f>COUNTIF(Intervention_Cause_Map!$A$2:$A$18,B6)</x:f>
        <x:v>1</x:v>
      </x:c>
      <x:c r="V6" s="21" t="str">
        <x:f t="shared" si="0"/>
        <x:v>OK</x:v>
      </x:c>
    </x:row>
    <x:row r="7">
      <x:c r="A7" s="18" t="s">
        <x:v>256</x:v>
      </x:c>
      <x:c r="B7" s="18" t="s">
        <x:v>196</x:v>
      </x:c>
      <x:c r="C7" s="18" t="s">
        <x:v>141</x:v>
      </x:c>
      <x:c r="D7" s="18" t="s">
        <x:v>156</x:v>
      </x:c>
      <x:c r="E7" s="18" t="s">
        <x:v>142</x:v>
      </x:c>
      <x:c r="F7" s="18" t="s">
        <x:v>157</x:v>
      </x:c>
      <x:c r="G7" s="18" t="s">
        <x:v>248</x:v>
      </x:c>
      <x:c r="H7" s="18" t="s">
        <x:v>233</x:v>
      </x:c>
      <x:c r="I7" s="18" t="s">
        <x:v>235</x:v>
      </x:c>
      <x:c r="J7" s="26">
        <x:v>0.47</x:v>
      </x:c>
      <x:c r="K7" s="26">
        <x:v>1</x:v>
      </x:c>
      <x:c r="L7" s="30">
        <x:v>30</x:v>
      </x:c>
      <x:c r="M7" s="30">
        <x:v>80</x:v>
      </x:c>
      <x:c r="N7" s="30" t="s">
        <x:v>236</x:v>
      </x:c>
      <x:c r="O7" s="30">
        <x:v>1</x:v>
      </x:c>
      <x:c r="P7" s="18" t="s">
        <x:v>249</x:v>
      </x:c>
      <x:c r="Q7" s="18" t="s">
        <x:v>238</x:v>
      </x:c>
      <x:c r="R7" s="18" t="s">
        <x:v>257</x:v>
      </x:c>
      <x:c r="S7" s="18" t="s">
        <x:v>240</x:v>
      </x:c>
      <x:c r="T7" s="18" t="s">
        <x:v>251</x:v>
      </x:c>
      <x:c r="U7" s="21" t="n">
        <x:f>COUNTIF(Intervention_Cause_Map!$A$2:$A$18,B7)</x:f>
        <x:v>1</x:v>
      </x:c>
      <x:c r="V7" s="21" t="str">
        <x:f t="shared" si="0"/>
        <x:v>OK</x:v>
      </x:c>
    </x:row>
    <x:row r="8">
      <x:c r="A8" s="18" t="s">
        <x:v>258</x:v>
      </x:c>
      <x:c r="B8" s="18" t="s">
        <x:v>197</x:v>
      </x:c>
      <x:c r="C8" s="18" t="s">
        <x:v>147</x:v>
      </x:c>
      <x:c r="D8" s="18" t="s">
        <x:v>139</x:v>
      </x:c>
      <x:c r="E8" s="18" t="s">
        <x:v>148</x:v>
      </x:c>
      <x:c r="F8" s="18" t="s">
        <x:v>140</x:v>
      </x:c>
      <x:c r="G8" s="18" t="s">
        <x:v>233</x:v>
      </x:c>
      <x:c r="H8" s="18" t="s">
        <x:v>259</x:v>
      </x:c>
      <x:c r="I8" s="18" t="s">
        <x:v>235</x:v>
      </x:c>
      <x:c r="J8" s="26">
        <x:v>0.58220000000000005</x:v>
      </x:c>
      <x:c r="K8" s="26">
        <x:v>0.2</x:v>
      </x:c>
      <x:c r="L8" s="30">
        <x:v>30</x:v>
      </x:c>
      <x:c r="M8" s="30">
        <x:v>80</x:v>
      </x:c>
      <x:c r="N8" s="30" t="s">
        <x:v>236</x:v>
      </x:c>
      <x:c r="O8" s="30">
        <x:v>1</x:v>
      </x:c>
      <x:c r="P8" s="18" t="s">
        <x:v>244</x:v>
      </x:c>
      <x:c r="Q8" s="18" t="s">
        <x:v>238</x:v>
      </x:c>
      <x:c r="R8" s="18" t="s">
        <x:v>260</x:v>
      </x:c>
      <x:c r="S8" s="18" t="s">
        <x:v>240</x:v>
      </x:c>
      <x:c r="T8" s="18" t="s">
        <x:v>261</x:v>
      </x:c>
      <x:c r="U8" s="21" t="n">
        <x:f>COUNTIF(Intervention_Cause_Map!$A$2:$A$18,B8)</x:f>
        <x:v>1</x:v>
      </x:c>
      <x:c r="V8" s="21" t="str">
        <x:f t="shared" si="0"/>
        <x:v>OK</x:v>
      </x:c>
    </x:row>
    <x:row r="9">
      <x:c r="A9" s="18" t="s">
        <x:v>262</x:v>
      </x:c>
      <x:c r="B9" s="18" t="s">
        <x:v>199</x:v>
      </x:c>
      <x:c r="C9" s="18" t="s">
        <x:v>153</x:v>
      </x:c>
      <x:c r="D9" s="18" t="s">
        <x:v>145</x:v>
      </x:c>
      <x:c r="E9" s="18" t="s">
        <x:v>154</x:v>
      </x:c>
      <x:c r="F9" s="18" t="s">
        <x:v>146</x:v>
      </x:c>
      <x:c r="G9" s="18" t="s">
        <x:v>233</x:v>
      </x:c>
      <x:c r="H9" s="18" t="s">
        <x:v>263</x:v>
      </x:c>
      <x:c r="I9" s="18" t="s">
        <x:v>235</x:v>
      </x:c>
      <x:c r="J9" s="26">
        <x:v>0.23</x:v>
      </x:c>
      <x:c r="K9" s="26">
        <x:v>0.2</x:v>
      </x:c>
      <x:c r="L9" s="30">
        <x:v>30</x:v>
      </x:c>
      <x:c r="M9" s="30">
        <x:v>80</x:v>
      </x:c>
      <x:c r="N9" s="30" t="s">
        <x:v>236</x:v>
      </x:c>
      <x:c r="O9" s="30">
        <x:v>1</x:v>
      </x:c>
      <x:c r="P9" s="18" t="s">
        <x:v>244</x:v>
      </x:c>
      <x:c r="Q9" s="18" t="s">
        <x:v>238</x:v>
      </x:c>
      <x:c r="R9" s="18" t="s">
        <x:v>264</x:v>
      </x:c>
      <x:c r="S9" s="18" t="s">
        <x:v>240</x:v>
      </x:c>
      <x:c r="T9" s="18" t="s">
        <x:v>261</x:v>
      </x:c>
      <x:c r="U9" s="21" t="n">
        <x:f>COUNTIF(Intervention_Cause_Map!$A$2:$A$18,B9)</x:f>
        <x:v>1</x:v>
      </x:c>
      <x:c r="V9" s="21" t="str">
        <x:f t="shared" si="0"/>
        <x:v>OK</x:v>
      </x:c>
    </x:row>
    <x:row r="10">
      <x:c r="A10" s="18" t="s">
        <x:v>265</x:v>
      </x:c>
      <x:c r="B10" s="18" t="s">
        <x:v>201</x:v>
      </x:c>
      <x:c r="C10" s="18" t="s">
        <x:v>153</x:v>
      </x:c>
      <x:c r="D10" s="18" t="s">
        <x:v>151</x:v>
      </x:c>
      <x:c r="E10" s="18" t="s">
        <x:v>154</x:v>
      </x:c>
      <x:c r="F10" s="18" t="s">
        <x:v>152</x:v>
      </x:c>
      <x:c r="G10" s="18" t="s">
        <x:v>233</x:v>
      </x:c>
      <x:c r="H10" s="18" t="s">
        <x:v>266</x:v>
      </x:c>
      <x:c r="I10" s="18" t="s">
        <x:v>235</x:v>
      </x:c>
      <x:c r="J10" s="26">
        <x:v>0.08</x:v>
      </x:c>
      <x:c r="K10" s="26">
        <x:v>0.2</x:v>
      </x:c>
      <x:c r="L10" s="30">
        <x:v>30</x:v>
      </x:c>
      <x:c r="M10" s="30">
        <x:v>80</x:v>
      </x:c>
      <x:c r="N10" s="30" t="s">
        <x:v>236</x:v>
      </x:c>
      <x:c r="O10" s="30">
        <x:v>1</x:v>
      </x:c>
      <x:c r="P10" s="18" t="s">
        <x:v>244</x:v>
      </x:c>
      <x:c r="Q10" s="18" t="s">
        <x:v>238</x:v>
      </x:c>
      <x:c r="R10" s="18" t="s">
        <x:v>267</x:v>
      </x:c>
      <x:c r="S10" s="18" t="s">
        <x:v>240</x:v>
      </x:c>
      <x:c r="T10" s="18" t="s">
        <x:v>261</x:v>
      </x:c>
      <x:c r="U10" s="21" t="n">
        <x:f>COUNTIF(Intervention_Cause_Map!$A$2:$A$18,B10)</x:f>
        <x:v>1</x:v>
      </x:c>
      <x:c r="V10" s="21" t="str">
        <x:f t="shared" si="0"/>
        <x:v>OK</x:v>
      </x:c>
    </x:row>
    <x:row r="11">
      <x:c r="A11" s="18" t="s">
        <x:v>268</x:v>
      </x:c>
      <x:c r="B11" s="18" t="s">
        <x:v>202</x:v>
      </x:c>
      <x:c r="C11" s="18" t="s">
        <x:v>158</x:v>
      </x:c>
      <x:c r="D11" s="18" t="s">
        <x:v>139</x:v>
      </x:c>
      <x:c r="E11" s="18" t="s">
        <x:v>159</x:v>
      </x:c>
      <x:c r="F11" s="18" t="s">
        <x:v>140</x:v>
      </x:c>
      <x:c r="G11" s="18" t="s">
        <x:v>269</x:v>
      </x:c>
      <x:c r="H11" s="18" t="s">
        <x:v>259</x:v>
      </x:c>
      <x:c r="I11" s="18" t="s">
        <x:v>235</x:v>
      </x:c>
      <x:c r="J11" s="26">
        <x:v>0.18</x:v>
      </x:c>
      <x:c r="K11" s="26">
        <x:v>0.05</x:v>
      </x:c>
      <x:c r="L11" s="30">
        <x:v>30</x:v>
      </x:c>
      <x:c r="M11" s="30">
        <x:v>99</x:v>
      </x:c>
      <x:c r="N11" s="30" t="s">
        <x:v>236</x:v>
      </x:c>
      <x:c r="O11" s="30">
        <x:v>1</x:v>
      </x:c>
      <x:c r="P11" s="18" t="s">
        <x:v>244</x:v>
      </x:c>
      <x:c r="Q11" s="18" t="s">
        <x:v>238</x:v>
      </x:c>
      <x:c r="R11" s="18" t="s">
        <x:v>270</x:v>
      </x:c>
      <x:c r="S11" s="18" t="s">
        <x:v>240</x:v>
      </x:c>
      <x:c r="T11" s="18" t="s">
        <x:v>271</x:v>
      </x:c>
      <x:c r="U11" s="21" t="n">
        <x:f>COUNTIF(Intervention_Cause_Map!$A$2:$A$18,B11)</x:f>
        <x:v>1</x:v>
      </x:c>
      <x:c r="V11" s="21" t="str">
        <x:f t="shared" si="0"/>
        <x:v>OK</x:v>
      </x:c>
    </x:row>
    <x:row r="12">
      <x:c r="A12" s="18" t="s">
        <x:v>272</x:v>
      </x:c>
      <x:c r="B12" s="18" t="s">
        <x:v>204</x:v>
      </x:c>
      <x:c r="C12" s="18" t="s">
        <x:v>158</x:v>
      </x:c>
      <x:c r="D12" s="18" t="s">
        <x:v>156</x:v>
      </x:c>
      <x:c r="E12" s="18" t="s">
        <x:v>159</x:v>
      </x:c>
      <x:c r="F12" s="18" t="s">
        <x:v>157</x:v>
      </x:c>
      <x:c r="G12" s="18" t="s">
        <x:v>269</x:v>
      </x:c>
      <x:c r="H12" s="18" t="s">
        <x:v>273</x:v>
      </x:c>
      <x:c r="I12" s="18" t="s">
        <x:v>235</x:v>
      </x:c>
      <x:c r="J12" s="26">
        <x:v>0.74</x:v>
      </x:c>
      <x:c r="K12" s="26">
        <x:v>0.2</x:v>
      </x:c>
      <x:c r="L12" s="30">
        <x:v>30</x:v>
      </x:c>
      <x:c r="M12" s="30">
        <x:v>99</x:v>
      </x:c>
      <x:c r="N12" s="30" t="s">
        <x:v>236</x:v>
      </x:c>
      <x:c r="O12" s="30">
        <x:v>1</x:v>
      </x:c>
      <x:c r="P12" s="18" t="s">
        <x:v>244</x:v>
      </x:c>
      <x:c r="Q12" s="18" t="s">
        <x:v>238</x:v>
      </x:c>
      <x:c r="R12" s="18" t="s">
        <x:v>274</x:v>
      </x:c>
      <x:c r="S12" s="18" t="s">
        <x:v>240</x:v>
      </x:c>
      <x:c r="T12" s="18" t="s">
        <x:v>275</x:v>
      </x:c>
      <x:c r="U12" s="21" t="n">
        <x:f>COUNTIF(Intervention_Cause_Map!$A$2:$A$18,B12)</x:f>
        <x:v>1</x:v>
      </x:c>
      <x:c r="V12" s="21" t="str">
        <x:f t="shared" si="0"/>
        <x:v>OK</x:v>
      </x:c>
    </x:row>
    <x:row r="13">
      <x:c r="A13" s="18" t="s">
        <x:v>276</x:v>
      </x:c>
      <x:c r="B13" s="18" t="s">
        <x:v>206</x:v>
      </x:c>
      <x:c r="C13" s="18" t="s">
        <x:v>158</x:v>
      </x:c>
      <x:c r="D13" s="18" t="s">
        <x:v>162</x:v>
      </x:c>
      <x:c r="E13" s="18" t="s">
        <x:v>159</x:v>
      </x:c>
      <x:c r="F13" s="18" t="s">
        <x:v>163</x:v>
      </x:c>
      <x:c r="G13" s="18" t="s">
        <x:v>269</x:v>
      </x:c>
      <x:c r="H13" s="18" t="s">
        <x:v>277</x:v>
      </x:c>
      <x:c r="I13" s="18" t="s">
        <x:v>235</x:v>
      </x:c>
      <x:c r="J13" s="26">
        <x:v>0.74</x:v>
      </x:c>
      <x:c r="K13" s="26">
        <x:v>0.2</x:v>
      </x:c>
      <x:c r="L13" s="30">
        <x:v>30</x:v>
      </x:c>
      <x:c r="M13" s="30">
        <x:v>99</x:v>
      </x:c>
      <x:c r="N13" s="30" t="s">
        <x:v>236</x:v>
      </x:c>
      <x:c r="O13" s="30">
        <x:v>1</x:v>
      </x:c>
      <x:c r="P13" s="18" t="s">
        <x:v>244</x:v>
      </x:c>
      <x:c r="Q13" s="18" t="s">
        <x:v>238</x:v>
      </x:c>
      <x:c r="R13" s="18" t="s">
        <x:v>278</x:v>
      </x:c>
      <x:c r="S13" s="18" t="s">
        <x:v>240</x:v>
      </x:c>
      <x:c r="T13" s="18" t="s">
        <x:v>279</x:v>
      </x:c>
      <x:c r="U13" s="21" t="n">
        <x:f>COUNTIF(Intervention_Cause_Map!$A$2:$A$18,B13)</x:f>
        <x:v>1</x:v>
      </x:c>
      <x:c r="V13" s="21" t="str">
        <x:f t="shared" si="0"/>
        <x:v>OK</x:v>
      </x:c>
    </x:row>
    <x:row r="14">
      <x:c r="A14" s="18" t="s">
        <x:v>280</x:v>
      </x:c>
      <x:c r="B14" s="18" t="s">
        <x:v>208</x:v>
      </x:c>
      <x:c r="C14" s="18" t="s">
        <x:v>164</x:v>
      </x:c>
      <x:c r="D14" s="18" t="s">
        <x:v>139</x:v>
      </x:c>
      <x:c r="E14" s="18" t="s">
        <x:v>165</x:v>
      </x:c>
      <x:c r="F14" s="18" t="s">
        <x:v>140</x:v>
      </x:c>
      <x:c r="G14" s="18" t="s">
        <x:v>269</x:v>
      </x:c>
      <x:c r="H14" s="18" t="s">
        <x:v>259</x:v>
      </x:c>
      <x:c r="I14" s="18" t="s">
        <x:v>235</x:v>
      </x:c>
      <x:c r="J14" s="26">
        <x:v>9.2999999999999999E-2</x:v>
      </x:c>
      <x:c r="K14" s="26">
        <x:v>0.2</x:v>
      </x:c>
      <x:c r="L14" s="30">
        <x:v>30</x:v>
      </x:c>
      <x:c r="M14" s="30">
        <x:v>80</x:v>
      </x:c>
      <x:c r="N14" s="30" t="s">
        <x:v>236</x:v>
      </x:c>
      <x:c r="O14" s="30">
        <x:v>1</x:v>
      </x:c>
      <x:c r="P14" s="18" t="s">
        <x:v>244</x:v>
      </x:c>
      <x:c r="Q14" s="18" t="s">
        <x:v>238</x:v>
      </x:c>
      <x:c r="R14" s="18" t="s">
        <x:v>281</x:v>
      </x:c>
      <x:c r="S14" s="18" t="s">
        <x:v>240</x:v>
      </x:c>
      <x:c r="T14" s="18" t="s">
        <x:v>271</x:v>
      </x:c>
      <x:c r="U14" s="21" t="n">
        <x:f>COUNTIF(Intervention_Cause_Map!$A$2:$A$18,B14)</x:f>
        <x:v>1</x:v>
      </x:c>
      <x:c r="V14" s="21" t="str">
        <x:f t="shared" si="0"/>
        <x:v>OK</x:v>
      </x:c>
    </x:row>
    <x:row r="15">
      <x:c r="A15" s="18" t="s">
        <x:v>282</x:v>
      </x:c>
      <x:c r="B15" s="18" t="s">
        <x:v>209</x:v>
      </x:c>
      <x:c r="C15" s="18" t="s">
        <x:v>164</x:v>
      </x:c>
      <x:c r="D15" s="18" t="s">
        <x:v>156</x:v>
      </x:c>
      <x:c r="E15" s="18" t="s">
        <x:v>165</x:v>
      </x:c>
      <x:c r="F15" s="18" t="s">
        <x:v>157</x:v>
      </x:c>
      <x:c r="G15" s="18" t="s">
        <x:v>269</x:v>
      </x:c>
      <x:c r="H15" s="18" t="s">
        <x:v>273</x:v>
      </x:c>
      <x:c r="I15" s="18" t="s">
        <x:v>235</x:v>
      </x:c>
      <x:c r="J15" s="26">
        <x:v>0.27500000000000002</x:v>
      </x:c>
      <x:c r="K15" s="26">
        <x:v>0.8</x:v>
      </x:c>
      <x:c r="L15" s="30">
        <x:v>30</x:v>
      </x:c>
      <x:c r="M15" s="30">
        <x:v>80</x:v>
      </x:c>
      <x:c r="N15" s="30" t="s">
        <x:v>236</x:v>
      </x:c>
      <x:c r="O15" s="30">
        <x:v>1</x:v>
      </x:c>
      <x:c r="P15" s="18" t="s">
        <x:v>244</x:v>
      </x:c>
      <x:c r="Q15" s="18" t="s">
        <x:v>238</x:v>
      </x:c>
      <x:c r="R15" s="18" t="s">
        <x:v>283</x:v>
      </x:c>
      <x:c r="S15" s="18" t="s">
        <x:v>240</x:v>
      </x:c>
      <x:c r="T15" s="18" t="s">
        <x:v>275</x:v>
      </x:c>
      <x:c r="U15" s="21" t="n">
        <x:f>COUNTIF(Intervention_Cause_Map!$A$2:$A$18,B15)</x:f>
        <x:v>1</x:v>
      </x:c>
      <x:c r="V15" s="21" t="str">
        <x:f t="shared" si="0"/>
        <x:v>OK</x:v>
      </x:c>
    </x:row>
    <x:row r="16">
      <x:c r="A16" s="18" t="s">
        <x:v>284</x:v>
      </x:c>
      <x:c r="B16" s="18" t="s">
        <x:v>210</x:v>
      </x:c>
      <x:c r="C16" s="18" t="s">
        <x:v>164</x:v>
      </x:c>
      <x:c r="D16" s="18" t="s">
        <x:v>162</x:v>
      </x:c>
      <x:c r="E16" s="18" t="s">
        <x:v>165</x:v>
      </x:c>
      <x:c r="F16" s="18" t="s">
        <x:v>163</x:v>
      </x:c>
      <x:c r="G16" s="18" t="s">
        <x:v>269</x:v>
      </x:c>
      <x:c r="H16" s="18" t="s">
        <x:v>277</x:v>
      </x:c>
      <x:c r="I16" s="18" t="s">
        <x:v>235</x:v>
      </x:c>
      <x:c r="J16" s="26">
        <x:v>0.53600000000000003</x:v>
      </x:c>
      <x:c r="K16" s="26">
        <x:v>0.8</x:v>
      </x:c>
      <x:c r="L16" s="30">
        <x:v>30</x:v>
      </x:c>
      <x:c r="M16" s="30">
        <x:v>80</x:v>
      </x:c>
      <x:c r="N16" s="30" t="s">
        <x:v>236</x:v>
      </x:c>
      <x:c r="O16" s="30">
        <x:v>1</x:v>
      </x:c>
      <x:c r="P16" s="18" t="s">
        <x:v>244</x:v>
      </x:c>
      <x:c r="Q16" s="18" t="s">
        <x:v>238</x:v>
      </x:c>
      <x:c r="R16" s="18" t="s">
        <x:v>285</x:v>
      </x:c>
      <x:c r="S16" s="18" t="s">
        <x:v>240</x:v>
      </x:c>
      <x:c r="T16" s="18" t="s">
        <x:v>279</x:v>
      </x:c>
      <x:c r="U16" s="21" t="n">
        <x:f>COUNTIF(Intervention_Cause_Map!$A$2:$A$18,B16)</x:f>
        <x:v>1</x:v>
      </x:c>
      <x:c r="V16" s="21" t="str">
        <x:f t="shared" si="0"/>
        <x:v>OK</x:v>
      </x:c>
    </x:row>
    <x:row r="17">
      <x:c r="A17" s="18" t="s">
        <x:v>286</x:v>
      </x:c>
      <x:c r="B17" s="18" t="s">
        <x:v>211</x:v>
      </x:c>
      <x:c r="C17" s="18" t="s">
        <x:v>170</x:v>
      </x:c>
      <x:c r="D17" s="18" t="s">
        <x:v>167</x:v>
      </x:c>
      <x:c r="E17" s="18" t="s">
        <x:v>171</x:v>
      </x:c>
      <x:c r="F17" s="18" t="s">
        <x:v>168</x:v>
      </x:c>
      <x:c r="G17" s="18" t="s">
        <x:v>233</x:v>
      </x:c>
      <x:c r="H17" s="18" t="s">
        <x:v>287</x:v>
      </x:c>
      <x:c r="I17" s="18" t="s">
        <x:v>235</x:v>
      </x:c>
      <x:c r="J17" s="26">
        <x:v>0.28000000000000003</x:v>
      </x:c>
      <x:c r="K17" s="26">
        <x:v>1</x:v>
      </x:c>
      <x:c r="L17" s="30">
        <x:v>0</x:v>
      </x:c>
      <x:c r="M17" s="30">
        <x:v>95</x:v>
      </x:c>
      <x:c r="N17" s="30" t="s">
        <x:v>236</x:v>
      </x:c>
      <x:c r="O17" s="30">
        <x:v>1</x:v>
      </x:c>
      <x:c r="P17" s="18" t="s">
        <x:v>244</x:v>
      </x:c>
      <x:c r="Q17" s="18" t="s">
        <x:v>238</x:v>
      </x:c>
      <x:c r="R17" s="18" t="s">
        <x:v>288</x:v>
      </x:c>
      <x:c r="S17" s="18" t="s">
        <x:v>240</x:v>
      </x:c>
      <x:c r="T17" s="18" t="s">
        <x:v>212</x:v>
      </x:c>
      <x:c r="U17" s="21" t="n">
        <x:f>COUNTIF(Intervention_Cause_Map!$A$2:$A$18,B17)</x:f>
        <x:v>1</x:v>
      </x:c>
      <x:c r="V17" s="21" t="str">
        <x:f t="shared" si="0"/>
        <x:v>OK</x:v>
      </x:c>
    </x:row>
    <x:row r="18" ht="22.799999237060547" customHeight="1">
      <x:c r="A18" s="5" t="s">
        <x:v>289</x:v>
      </x:c>
      <x:c r="B18" s="5" t="s">
        <x:v>213</x:v>
      </x:c>
      <x:c r="C18" s="5" t="s">
        <x:v>170</x:v>
      </x:c>
      <x:c r="D18" s="5" t="s">
        <x:v>139</x:v>
      </x:c>
      <x:c r="E18" s="5" t="s">
        <x:v>171</x:v>
      </x:c>
      <x:c r="F18" s="5" t="s">
        <x:v>214</x:v>
      </x:c>
      <x:c r="G18" s="5" t="s">
        <x:v>233</x:v>
      </x:c>
      <x:c r="H18" s="5" t="s">
        <x:v>259</x:v>
      </x:c>
      <x:c r="I18" s="5" t="s">
        <x:v>235</x:v>
      </x:c>
      <x:c r="J18" s="28">
        <x:v>0.15</x:v>
      </x:c>
      <x:c r="K18" s="28">
        <x:v>0.15</x:v>
      </x:c>
      <x:c r="L18" s="31">
        <x:v>0</x:v>
      </x:c>
      <x:c r="M18" s="31">
        <x:v>95</x:v>
      </x:c>
      <x:c r="N18" s="31" t="s">
        <x:v>236</x:v>
      </x:c>
      <x:c r="O18" s="31">
        <x:v>1</x:v>
      </x:c>
      <x:c r="P18" s="5" t="s">
        <x:v>244</x:v>
      </x:c>
      <x:c r="Q18" s="5" t="s">
        <x:v>238</x:v>
      </x:c>
      <x:c r="R18" s="5" t="s">
        <x:v>290</x:v>
      </x:c>
      <x:c r="S18" s="5" t="s">
        <x:v>20</x:v>
      </x:c>
      <x:c r="T18" s="5" t="s">
        <x:v>291</x:v>
      </x:c>
      <x:c r="U18" s="22" t="n">
        <x:f>COUNTIF(Intervention_Cause_Map!$A$2:$A$18,B18)</x:f>
        <x:v>1</x:v>
      </x:c>
      <x:c r="V18" s="22" t="str">
        <x:f t="shared" si="0"/>
        <x:v>OK</x:v>
      </x:c>
    </x:row>
  </x:sheetData>
  <x:conditionalFormatting sqref="S2:S18">
    <x:cfRule type="containsText" dxfId="35" priority="1" operator="containsText" text="OK"/>
    <x:cfRule type="containsText" dxfId="34" priority="3" operator="containsText" text="FAIL"/>
    <x:cfRule type="containsText" dxfId="33" priority="5" operator="containsText" text="REVIEW"/>
    <x:cfRule type="containsText" dxfId="32" priority="6" operator="containsText" text="BAD"/>
  </x:conditionalFormatting>
  <x:conditionalFormatting sqref="V2:V18">
    <x:cfRule type="containsText" dxfId="31" priority="7" operator="containsText" text="OK"/>
    <x:cfRule type="containsText" dxfId="30" priority="9" operator="containsText" text="FAIL"/>
    <x:cfRule type="containsText" dxfId="29" priority="11" operator="containsText" text="REVIEW"/>
    <x:cfRule type="containsText" dxfId="28" priority="12" operator="containsText" text="BAD"/>
  </x:conditionalFormatting>
  <x:pageMargins left="0.7" right="0.7" top="0.75" bottom="0.75" header="0.3" footer="0.3"/>
  <x:tableParts count="1">
    <x:tablePart xmlns:r="http://schemas.openxmlformats.org/officeDocument/2006/relationships" r:id="R5fe85bcf61b6488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11.19921875" defaultRowHeight="13.800000190734863"/>
  <x:cols>
    <x:col min="1" max="1" width="16" customWidth="1"/>
    <x:col min="2" max="2" width="30" customWidth="1"/>
    <x:col min="3" max="3" width="22" customWidth="1"/>
    <x:col min="4" max="4" width="14" customWidth="1"/>
    <x:col min="5" max="6" width="38" customWidth="1"/>
    <x:col min="7" max="9" width="18" customWidth="1"/>
    <x:col min="10" max="11" width="14" customWidth="1"/>
    <x:col min="12" max="12" width="18" customWidth="1"/>
    <x:col min="13" max="13" width="28" customWidth="1"/>
    <x:col min="14" max="14" width="18" customWidth="1"/>
    <x:col min="15" max="15" width="48" customWidth="1"/>
    <x:col min="16" max="17" width="18" customWidth="1"/>
    <x:col min="18" max="18" width="16" customWidth="1"/>
    <x:col min="19" max="19" width="20" customWidth="1"/>
  </x:cols>
  <x:sheetData>
    <x:row r="1" ht="34.04999923706055" customHeight="1">
      <x:c r="A1" s="14" t="s">
        <x:v>292</x:v>
      </x:c>
      <x:c r="B1" s="15" t="s">
        <x:v>177</x:v>
      </x:c>
      <x:c r="C1" s="15" t="s">
        <x:v>123</x:v>
      </x:c>
      <x:c r="D1" s="15" t="s">
        <x:v>127</x:v>
      </x:c>
      <x:c r="E1" s="15" t="s">
        <x:v>124</x:v>
      </x:c>
      <x:c r="F1" s="15" t="s">
        <x:v>128</x:v>
      </x:c>
      <x:c r="G1" s="15" t="s">
        <x:v>293</x:v>
      </x:c>
      <x:c r="H1" s="15" t="s">
        <x:v>294</x:v>
      </x:c>
      <x:c r="I1" s="15" t="s">
        <x:v>295</x:v>
      </x:c>
      <x:c r="J1" s="15" t="s">
        <x:v>296</x:v>
      </x:c>
      <x:c r="K1" s="15" t="s">
        <x:v>297</x:v>
      </x:c>
      <x:c r="L1" s="15" t="s">
        <x:v>59</x:v>
      </x:c>
      <x:c r="M1" s="15" t="s">
        <x:v>298</x:v>
      </x:c>
      <x:c r="N1" s="15" t="s">
        <x:v>299</x:v>
      </x:c>
      <x:c r="O1" s="15" t="s">
        <x:v>300</x:v>
      </x:c>
      <x:c r="P1" s="15" t="s">
        <x:v>229</x:v>
      </x:c>
      <x:c r="Q1" s="15" t="s">
        <x:v>301</x:v>
      </x:c>
      <x:c r="R1" s="15" t="s">
        <x:v>230</x:v>
      </x:c>
      <x:c r="S1" s="16" t="s">
        <x:v>231</x:v>
      </x:c>
    </x:row>
    <x:row r="2">
      <x:c r="A2" s="17" t="s">
        <x:v>302</x:v>
      </x:c>
      <x:c r="B2" s="17" t="s">
        <x:v>185</x:v>
      </x:c>
      <x:c r="C2" s="17" t="s">
        <x:v>131</x:v>
      </x:c>
      <x:c r="D2" s="17" t="s">
        <x:v>135</x:v>
      </x:c>
      <x:c r="E2" s="17" t="s">
        <x:v>132</x:v>
      </x:c>
      <x:c r="F2" s="17" t="s">
        <x:v>133</x:v>
      </x:c>
      <x:c r="G2" s="27">
        <x:v>0.31</x:v>
      </x:c>
      <x:c r="H2" s="27"/>
      <x:c r="I2" s="32" t="n">
        <x:f>IF(H2="",'Assumptions'!$B$5,H2)</x:f>
        <x:v>0.8</x:v>
      </x:c>
      <x:c r="J2" s="35" t="n">
        <x:f>'Assumptions'!$B$4</x:f>
        <x:v>2025</x:v>
      </x:c>
      <x:c r="K2" s="35" t="n">
        <x:f>'Assumptions'!$B$6</x:f>
        <x:v>2050</x:v>
      </x:c>
      <x:c r="L2" s="17" t="s">
        <x:v>60</x:v>
      </x:c>
      <x:c r="M2" s="17" t="str">
        <x:v>cvd_input_file_PIN_dm(2).csv</x:v>
      </x:c>
      <x:c r="N2" s="17" t="s">
        <x:v>303</x:v>
      </x:c>
      <x:c r="O2" s="17" t="s">
        <x:v>304</x:v>
      </x:c>
      <x:c r="P2" s="17" t="s">
        <x:v>240</x:v>
      </x:c>
      <x:c r="Q2" s="32" t="n">
        <x:f t="shared" ref="Q2:Q18" si="0">IF(G2="","",I2-G2)</x:f>
        <x:v>0.49000000000000005</x:v>
      </x:c>
      <x:c r="R2" s="20" t="n">
        <x:f>COUNTIF('Intervention_Cause_Map'!$A$2:$A$18,B2)</x:f>
        <x:v>1</x:v>
      </x:c>
      <x:c r="S2" s="20" t="str">
        <x:f t="shared" ref="S2:S18" si="1">IF(R2&lt;&gt;1,"BAD KEY",IF(G2="","MISSING BASELINE",IF(OR(G2&lt;0,G2&gt;1,I2&lt;0,I2&gt;1,I2&lt;G2),"BAD COVERAGE","OK")))</x:f>
        <x:v>OK</x:v>
      </x:c>
    </x:row>
    <x:row r="3">
      <x:c r="A3" s="18" t="s">
        <x:v>305</x:v>
      </x:c>
      <x:c r="B3" s="18" t="s">
        <x:v>188</x:v>
      </x:c>
      <x:c r="C3" s="18" t="s">
        <x:v>136</x:v>
      </x:c>
      <x:c r="D3" s="18" t="s">
        <x:v>135</x:v>
      </x:c>
      <x:c r="E3" s="18" t="s">
        <x:v>137</x:v>
      </x:c>
      <x:c r="F3" s="18" t="s">
        <x:v>133</x:v>
      </x:c>
      <x:c r="G3" s="26">
        <x:v>0.1</x:v>
      </x:c>
      <x:c r="H3" s="27"/>
      <x:c r="I3" s="33" t="n">
        <x:f>IF(H3="",'Assumptions'!$B$5,H3)</x:f>
        <x:v>0.8</x:v>
      </x:c>
      <x:c r="J3" s="36" t="n">
        <x:f>'Assumptions'!$B$4</x:f>
        <x:v>2025</x:v>
      </x:c>
      <x:c r="K3" s="36" t="n">
        <x:f>'Assumptions'!$B$6</x:f>
        <x:v>2050</x:v>
      </x:c>
      <x:c r="L3" s="18" t="s">
        <x:v>60</x:v>
      </x:c>
      <x:c r="M3" s="18" t="str">
        <x:v>cvd_input_file_PIN_dm(2).csv</x:v>
      </x:c>
      <x:c r="N3" s="18" t="s">
        <x:v>306</x:v>
      </x:c>
      <x:c r="O3" s="18" t="s">
        <x:v>307</x:v>
      </x:c>
      <x:c r="P3" s="18" t="s">
        <x:v>240</x:v>
      </x:c>
      <x:c r="Q3" s="33" t="n">
        <x:f t="shared" si="0">IF(G3="","",I3-G3)</x:f>
        <x:v>0.7000000000000001</x:v>
      </x:c>
      <x:c r="R3" s="21" t="n">
        <x:f>COUNTIF('Intervention_Cause_Map'!$A$2:$A$18,B3)</x:f>
        <x:v>1</x:v>
      </x:c>
      <x:c r="S3" s="21" t="str">
        <x:f t="shared" si="1">IF(R3&lt;&gt;1,"BAD KEY",IF(G3="","MISSING BASELINE",IF(OR(G3&lt;0,G3&gt;1,I3&lt;0,I3&gt;1,I3&lt;G3),"BAD COVERAGE","OK")))</x:f>
        <x:v>OK</x:v>
      </x:c>
    </x:row>
    <x:row r="4">
      <x:c r="A4" s="18" t="s">
        <x:v>308</x:v>
      </x:c>
      <x:c r="B4" s="18" t="s">
        <x:v>190</x:v>
      </x:c>
      <x:c r="C4" s="18" t="s">
        <x:v>141</x:v>
      </x:c>
      <x:c r="D4" s="18" t="s">
        <x:v>139</x:v>
      </x:c>
      <x:c r="E4" s="18" t="s">
        <x:v>142</x:v>
      </x:c>
      <x:c r="F4" s="18" t="s">
        <x:v>140</x:v>
      </x:c>
      <x:c r="G4" s="26">
        <x:v>0.31</x:v>
      </x:c>
      <x:c r="H4" s="27"/>
      <x:c r="I4" s="33" t="n">
        <x:f>IF(H4="",'Assumptions'!$B$5,H4)</x:f>
        <x:v>0.8</x:v>
      </x:c>
      <x:c r="J4" s="36" t="n">
        <x:f>'Assumptions'!$B$4</x:f>
        <x:v>2025</x:v>
      </x:c>
      <x:c r="K4" s="36" t="n">
        <x:f>'Assumptions'!$B$6</x:f>
        <x:v>2050</x:v>
      </x:c>
      <x:c r="L4" s="18" t="s">
        <x:v>60</x:v>
      </x:c>
      <x:c r="M4" s="18" t="str">
        <x:v>cvd_input_file_PIN_dm(2).csv</x:v>
      </x:c>
      <x:c r="N4" s="18" t="s">
        <x:v>309</x:v>
      </x:c>
      <x:c r="O4" s="18" t="s">
        <x:v>310</x:v>
      </x:c>
      <x:c r="P4" s="18" t="s">
        <x:v>240</x:v>
      </x:c>
      <x:c r="Q4" s="33" t="n">
        <x:f t="shared" si="0">IF(G4="","",I4-G4)</x:f>
        <x:v>0.49000000000000005</x:v>
      </x:c>
      <x:c r="R4" s="21" t="n">
        <x:f>COUNTIF('Intervention_Cause_Map'!$A$2:$A$18,B4)</x:f>
        <x:v>1</x:v>
      </x:c>
      <x:c r="S4" s="21" t="str">
        <x:f t="shared" si="1">IF(R4&lt;&gt;1,"BAD KEY",IF(G4="","MISSING BASELINE",IF(OR(G4&lt;0,G4&gt;1,I4&lt;0,I4&gt;1,I4&lt;G4),"BAD COVERAGE","OK")))</x:f>
        <x:v>OK</x:v>
      </x:c>
    </x:row>
    <x:row r="5">
      <x:c r="A5" s="18" t="s">
        <x:v>311</x:v>
      </x:c>
      <x:c r="B5" s="18" t="s">
        <x:v>194</x:v>
      </x:c>
      <x:c r="C5" s="18" t="s">
        <x:v>141</x:v>
      </x:c>
      <x:c r="D5" s="18" t="s">
        <x:v>145</x:v>
      </x:c>
      <x:c r="E5" s="18" t="s">
        <x:v>142</x:v>
      </x:c>
      <x:c r="F5" s="18" t="s">
        <x:v>146</x:v>
      </x:c>
      <x:c r="G5" s="26">
        <x:v>0.31</x:v>
      </x:c>
      <x:c r="H5" s="27"/>
      <x:c r="I5" s="33" t="n">
        <x:f>IF(H5="",'Assumptions'!$B$5,H5)</x:f>
        <x:v>0.8</x:v>
      </x:c>
      <x:c r="J5" s="36" t="n">
        <x:f>'Assumptions'!$B$4</x:f>
        <x:v>2025</x:v>
      </x:c>
      <x:c r="K5" s="36" t="n">
        <x:f>'Assumptions'!$B$6</x:f>
        <x:v>2050</x:v>
      </x:c>
      <x:c r="L5" s="18" t="s">
        <x:v>60</x:v>
      </x:c>
      <x:c r="M5" s="18" t="str">
        <x:v>cvd_input_file_PIN_dm(2).csv</x:v>
      </x:c>
      <x:c r="N5" s="18" t="s">
        <x:v>309</x:v>
      </x:c>
      <x:c r="O5" s="18" t="s">
        <x:v>310</x:v>
      </x:c>
      <x:c r="P5" s="18" t="s">
        <x:v>240</x:v>
      </x:c>
      <x:c r="Q5" s="33" t="n">
        <x:f t="shared" si="0">IF(G5="","",I5-G5)</x:f>
        <x:v>0.49000000000000005</x:v>
      </x:c>
      <x:c r="R5" s="21" t="n">
        <x:f>COUNTIF('Intervention_Cause_Map'!$A$2:$A$18,B5)</x:f>
        <x:v>1</x:v>
      </x:c>
      <x:c r="S5" s="21" t="str">
        <x:f t="shared" si="1">IF(R5&lt;&gt;1,"BAD KEY",IF(G5="","MISSING BASELINE",IF(OR(G5&lt;0,G5&gt;1,I5&lt;0,I5&gt;1,I5&lt;G5),"BAD COVERAGE","OK")))</x:f>
        <x:v>OK</x:v>
      </x:c>
    </x:row>
    <x:row r="6">
      <x:c r="A6" s="18" t="s">
        <x:v>312</x:v>
      </x:c>
      <x:c r="B6" s="18" t="s">
        <x:v>195</x:v>
      </x:c>
      <x:c r="C6" s="18" t="s">
        <x:v>141</x:v>
      </x:c>
      <x:c r="D6" s="18" t="s">
        <x:v>151</x:v>
      </x:c>
      <x:c r="E6" s="18" t="s">
        <x:v>142</x:v>
      </x:c>
      <x:c r="F6" s="18" t="s">
        <x:v>152</x:v>
      </x:c>
      <x:c r="G6" s="26">
        <x:v>0.31</x:v>
      </x:c>
      <x:c r="H6" s="27"/>
      <x:c r="I6" s="33" t="n">
        <x:f>IF(H6="",'Assumptions'!$B$5,H6)</x:f>
        <x:v>0.8</x:v>
      </x:c>
      <x:c r="J6" s="36" t="n">
        <x:f>'Assumptions'!$B$4</x:f>
        <x:v>2025</x:v>
      </x:c>
      <x:c r="K6" s="36" t="n">
        <x:f>'Assumptions'!$B$6</x:f>
        <x:v>2050</x:v>
      </x:c>
      <x:c r="L6" s="18" t="s">
        <x:v>60</x:v>
      </x:c>
      <x:c r="M6" s="18" t="str">
        <x:v>cvd_input_file_PIN_dm(2).csv</x:v>
      </x:c>
      <x:c r="N6" s="18" t="s">
        <x:v>309</x:v>
      </x:c>
      <x:c r="O6" s="18" t="s">
        <x:v>310</x:v>
      </x:c>
      <x:c r="P6" s="18" t="s">
        <x:v>240</x:v>
      </x:c>
      <x:c r="Q6" s="33" t="n">
        <x:f t="shared" si="0">IF(G6="","",I6-G6)</x:f>
        <x:v>0.49000000000000005</x:v>
      </x:c>
      <x:c r="R6" s="21" t="n">
        <x:f>COUNTIF('Intervention_Cause_Map'!$A$2:$A$18,B6)</x:f>
        <x:v>1</x:v>
      </x:c>
      <x:c r="S6" s="21" t="str">
        <x:f t="shared" si="1">IF(R6&lt;&gt;1,"BAD KEY",IF(G6="","MISSING BASELINE",IF(OR(G6&lt;0,G6&gt;1,I6&lt;0,I6&gt;1,I6&lt;G6),"BAD COVERAGE","OK")))</x:f>
        <x:v>OK</x:v>
      </x:c>
    </x:row>
    <x:row r="7">
      <x:c r="A7" s="18" t="s">
        <x:v>313</x:v>
      </x:c>
      <x:c r="B7" s="18" t="s">
        <x:v>196</x:v>
      </x:c>
      <x:c r="C7" s="18" t="s">
        <x:v>141</x:v>
      </x:c>
      <x:c r="D7" s="18" t="s">
        <x:v>156</x:v>
      </x:c>
      <x:c r="E7" s="18" t="s">
        <x:v>142</x:v>
      </x:c>
      <x:c r="F7" s="18" t="s">
        <x:v>157</x:v>
      </x:c>
      <x:c r="G7" s="26">
        <x:v>0.31</x:v>
      </x:c>
      <x:c r="H7" s="27"/>
      <x:c r="I7" s="33" t="n">
        <x:f>IF(H7="",'Assumptions'!$B$5,H7)</x:f>
        <x:v>0.8</x:v>
      </x:c>
      <x:c r="J7" s="36" t="n">
        <x:f>'Assumptions'!$B$4</x:f>
        <x:v>2025</x:v>
      </x:c>
      <x:c r="K7" s="36" t="n">
        <x:f>'Assumptions'!$B$6</x:f>
        <x:v>2050</x:v>
      </x:c>
      <x:c r="L7" s="18" t="s">
        <x:v>60</x:v>
      </x:c>
      <x:c r="M7" s="18" t="str">
        <x:v>cvd_input_file_PIN_dm(2).csv</x:v>
      </x:c>
      <x:c r="N7" s="18" t="s">
        <x:v>309</x:v>
      </x:c>
      <x:c r="O7" s="18" t="s">
        <x:v>310</x:v>
      </x:c>
      <x:c r="P7" s="18" t="s">
        <x:v>240</x:v>
      </x:c>
      <x:c r="Q7" s="33" t="n">
        <x:f t="shared" si="0">IF(G7="","",I7-G7)</x:f>
        <x:v>0.49000000000000005</x:v>
      </x:c>
      <x:c r="R7" s="21" t="n">
        <x:f>COUNTIF('Intervention_Cause_Map'!$A$2:$A$18,B7)</x:f>
        <x:v>1</x:v>
      </x:c>
      <x:c r="S7" s="21" t="str">
        <x:f t="shared" si="1">IF(R7&lt;&gt;1,"BAD KEY",IF(G7="","MISSING BASELINE",IF(OR(G7&lt;0,G7&gt;1,I7&lt;0,I7&gt;1,I7&lt;G7),"BAD COVERAGE","OK")))</x:f>
        <x:v>OK</x:v>
      </x:c>
    </x:row>
    <x:row r="8">
      <x:c r="A8" s="18" t="s">
        <x:v>314</x:v>
      </x:c>
      <x:c r="B8" s="18" t="s">
        <x:v>197</x:v>
      </x:c>
      <x:c r="C8" s="18" t="s">
        <x:v>147</x:v>
      </x:c>
      <x:c r="D8" s="18" t="s">
        <x:v>139</x:v>
      </x:c>
      <x:c r="E8" s="18" t="s">
        <x:v>148</x:v>
      </x:c>
      <x:c r="F8" s="18" t="s">
        <x:v>140</x:v>
      </x:c>
      <x:c r="G8" s="26">
        <x:v>0.31</x:v>
      </x:c>
      <x:c r="H8" s="27"/>
      <x:c r="I8" s="33" t="n">
        <x:f>IF(H8="",'Assumptions'!$B$5,H8)</x:f>
        <x:v>0.8</x:v>
      </x:c>
      <x:c r="J8" s="36" t="n">
        <x:f>'Assumptions'!$B$4</x:f>
        <x:v>2025</x:v>
      </x:c>
      <x:c r="K8" s="36" t="n">
        <x:f>'Assumptions'!$B$6</x:f>
        <x:v>2050</x:v>
      </x:c>
      <x:c r="L8" s="18" t="s">
        <x:v>60</x:v>
      </x:c>
      <x:c r="M8" s="18" t="str">
        <x:v>cvd_input_file_PIN_dm(2).csv</x:v>
      </x:c>
      <x:c r="N8" s="18" t="s">
        <x:v>315</x:v>
      </x:c>
      <x:c r="O8" s="18" t="s">
        <x:v>316</x:v>
      </x:c>
      <x:c r="P8" s="18" t="s">
        <x:v>240</x:v>
      </x:c>
      <x:c r="Q8" s="33" t="n">
        <x:f t="shared" si="0">IF(G8="","",I8-G8)</x:f>
        <x:v>0.49000000000000005</x:v>
      </x:c>
      <x:c r="R8" s="21" t="n">
        <x:f>COUNTIF('Intervention_Cause_Map'!$A$2:$A$18,B8)</x:f>
        <x:v>1</x:v>
      </x:c>
      <x:c r="S8" s="21" t="str">
        <x:f t="shared" si="1">IF(R8&lt;&gt;1,"BAD KEY",IF(G8="","MISSING BASELINE",IF(OR(G8&lt;0,G8&gt;1,I8&lt;0,I8&gt;1,I8&lt;G8),"BAD COVERAGE","OK")))</x:f>
        <x:v>OK</x:v>
      </x:c>
    </x:row>
    <x:row r="9">
      <x:c r="A9" s="18" t="s">
        <x:v>317</x:v>
      </x:c>
      <x:c r="B9" s="18" t="s">
        <x:v>199</x:v>
      </x:c>
      <x:c r="C9" s="18" t="s">
        <x:v>153</x:v>
      </x:c>
      <x:c r="D9" s="18" t="s">
        <x:v>145</x:v>
      </x:c>
      <x:c r="E9" s="18" t="s">
        <x:v>154</x:v>
      </x:c>
      <x:c r="F9" s="18" t="s">
        <x:v>146</x:v>
      </x:c>
      <x:c r="G9" s="26">
        <x:v>0.31</x:v>
      </x:c>
      <x:c r="H9" s="27"/>
      <x:c r="I9" s="33" t="n">
        <x:f>IF(H9="",'Assumptions'!$B$5,H9)</x:f>
        <x:v>0.8</x:v>
      </x:c>
      <x:c r="J9" s="36" t="n">
        <x:f>'Assumptions'!$B$4</x:f>
        <x:v>2025</x:v>
      </x:c>
      <x:c r="K9" s="36" t="n">
        <x:f>'Assumptions'!$B$6</x:f>
        <x:v>2050</x:v>
      </x:c>
      <x:c r="L9" s="18" t="s">
        <x:v>60</x:v>
      </x:c>
      <x:c r="M9" s="18" t="str">
        <x:v>cvd_input_file_PIN_dm(2).csv</x:v>
      </x:c>
      <x:c r="N9" s="18" t="s">
        <x:v>318</x:v>
      </x:c>
      <x:c r="O9" s="18" t="s">
        <x:v>316</x:v>
      </x:c>
      <x:c r="P9" s="18" t="s">
        <x:v>240</x:v>
      </x:c>
      <x:c r="Q9" s="33" t="n">
        <x:f t="shared" si="0">IF(G9="","",I9-G9)</x:f>
        <x:v>0.49000000000000005</x:v>
      </x:c>
      <x:c r="R9" s="21" t="n">
        <x:f>COUNTIF('Intervention_Cause_Map'!$A$2:$A$18,B9)</x:f>
        <x:v>1</x:v>
      </x:c>
      <x:c r="S9" s="21" t="str">
        <x:f t="shared" si="1">IF(R9&lt;&gt;1,"BAD KEY",IF(G9="","MISSING BASELINE",IF(OR(G9&lt;0,G9&gt;1,I9&lt;0,I9&gt;1,I9&lt;G9),"BAD COVERAGE","OK")))</x:f>
        <x:v>OK</x:v>
      </x:c>
    </x:row>
    <x:row r="10">
      <x:c r="A10" s="18" t="s">
        <x:v>319</x:v>
      </x:c>
      <x:c r="B10" s="18" t="s">
        <x:v>201</x:v>
      </x:c>
      <x:c r="C10" s="18" t="s">
        <x:v>153</x:v>
      </x:c>
      <x:c r="D10" s="18" t="s">
        <x:v>151</x:v>
      </x:c>
      <x:c r="E10" s="18" t="s">
        <x:v>154</x:v>
      </x:c>
      <x:c r="F10" s="18" t="s">
        <x:v>152</x:v>
      </x:c>
      <x:c r="G10" s="26">
        <x:v>0.31</x:v>
      </x:c>
      <x:c r="H10" s="27"/>
      <x:c r="I10" s="33" t="n">
        <x:f>IF(H10="",'Assumptions'!$B$5,H10)</x:f>
        <x:v>0.8</x:v>
      </x:c>
      <x:c r="J10" s="36" t="n">
        <x:f>'Assumptions'!$B$4</x:f>
        <x:v>2025</x:v>
      </x:c>
      <x:c r="K10" s="36" t="n">
        <x:f>'Assumptions'!$B$6</x:f>
        <x:v>2050</x:v>
      </x:c>
      <x:c r="L10" s="18" t="s">
        <x:v>60</x:v>
      </x:c>
      <x:c r="M10" s="18" t="str">
        <x:v>cvd_input_file_PIN_dm(2).csv</x:v>
      </x:c>
      <x:c r="N10" s="18" t="s">
        <x:v>318</x:v>
      </x:c>
      <x:c r="O10" s="18" t="s">
        <x:v>316</x:v>
      </x:c>
      <x:c r="P10" s="18" t="s">
        <x:v>240</x:v>
      </x:c>
      <x:c r="Q10" s="33" t="n">
        <x:f t="shared" si="0">IF(G10="","",I10-G10)</x:f>
        <x:v>0.49000000000000005</x:v>
      </x:c>
      <x:c r="R10" s="21" t="n">
        <x:f>COUNTIF('Intervention_Cause_Map'!$A$2:$A$18,B10)</x:f>
        <x:v>1</x:v>
      </x:c>
      <x:c r="S10" s="21" t="str">
        <x:f t="shared" si="1">IF(R10&lt;&gt;1,"BAD KEY",IF(G10="","MISSING BASELINE",IF(OR(G10&lt;0,G10&gt;1,I10&lt;0,I10&gt;1,I10&lt;G10),"BAD COVERAGE","OK")))</x:f>
        <x:v>OK</x:v>
      </x:c>
    </x:row>
    <x:row r="11">
      <x:c r="A11" s="18" t="s">
        <x:v>320</x:v>
      </x:c>
      <x:c r="B11" s="18" t="s">
        <x:v>202</x:v>
      </x:c>
      <x:c r="C11" s="18" t="s">
        <x:v>158</x:v>
      </x:c>
      <x:c r="D11" s="18" t="s">
        <x:v>139</x:v>
      </x:c>
      <x:c r="E11" s="18" t="s">
        <x:v>159</x:v>
      </x:c>
      <x:c r="F11" s="18" t="s">
        <x:v>140</x:v>
      </x:c>
      <x:c r="G11" s="26">
        <x:v>0.31</x:v>
      </x:c>
      <x:c r="H11" s="27"/>
      <x:c r="I11" s="33" t="n">
        <x:f>IF(H11="",'Assumptions'!$B$5,H11)</x:f>
        <x:v>0.8</x:v>
      </x:c>
      <x:c r="J11" s="36" t="n">
        <x:f>'Assumptions'!$B$4</x:f>
        <x:v>2025</x:v>
      </x:c>
      <x:c r="K11" s="36" t="n">
        <x:f>'Assumptions'!$B$6</x:f>
        <x:v>2050</x:v>
      </x:c>
      <x:c r="L11" s="18" t="s">
        <x:v>60</x:v>
      </x:c>
      <x:c r="M11" s="18" t="str">
        <x:v>cvd_input_file_PIN_dm(2).csv</x:v>
      </x:c>
      <x:c r="N11" s="18" t="s">
        <x:v>321</x:v>
      </x:c>
      <x:c r="O11" s="18" t="s">
        <x:v>322</x:v>
      </x:c>
      <x:c r="P11" s="18" t="s">
        <x:v>240</x:v>
      </x:c>
      <x:c r="Q11" s="33" t="n">
        <x:f t="shared" si="0">IF(G11="","",I11-G11)</x:f>
        <x:v>0.49000000000000005</x:v>
      </x:c>
      <x:c r="R11" s="21" t="n">
        <x:f>COUNTIF('Intervention_Cause_Map'!$A$2:$A$18,B11)</x:f>
        <x:v>1</x:v>
      </x:c>
      <x:c r="S11" s="21" t="str">
        <x:f t="shared" si="1">IF(R11&lt;&gt;1,"BAD KEY",IF(G11="","MISSING BASELINE",IF(OR(G11&lt;0,G11&gt;1,I11&lt;0,I11&gt;1,I11&lt;G11),"BAD COVERAGE","OK")))</x:f>
        <x:v>OK</x:v>
      </x:c>
    </x:row>
    <x:row r="12">
      <x:c r="A12" s="18" t="s">
        <x:v>323</x:v>
      </x:c>
      <x:c r="B12" s="18" t="s">
        <x:v>204</x:v>
      </x:c>
      <x:c r="C12" s="18" t="s">
        <x:v>158</x:v>
      </x:c>
      <x:c r="D12" s="18" t="s">
        <x:v>156</x:v>
      </x:c>
      <x:c r="E12" s="18" t="s">
        <x:v>159</x:v>
      </x:c>
      <x:c r="F12" s="18" t="s">
        <x:v>157</x:v>
      </x:c>
      <x:c r="G12" s="26">
        <x:v>0.31</x:v>
      </x:c>
      <x:c r="H12" s="27"/>
      <x:c r="I12" s="33" t="n">
        <x:f>IF(H12="",'Assumptions'!$B$5,H12)</x:f>
        <x:v>0.8</x:v>
      </x:c>
      <x:c r="J12" s="36" t="n">
        <x:f>'Assumptions'!$B$4</x:f>
        <x:v>2025</x:v>
      </x:c>
      <x:c r="K12" s="36" t="n">
        <x:f>'Assumptions'!$B$6</x:f>
        <x:v>2050</x:v>
      </x:c>
      <x:c r="L12" s="18" t="s">
        <x:v>60</x:v>
      </x:c>
      <x:c r="M12" s="18" t="str">
        <x:v>cvd_input_file_PIN_dm(2).csv</x:v>
      </x:c>
      <x:c r="N12" s="18" t="s">
        <x:v>321</x:v>
      </x:c>
      <x:c r="O12" s="18" t="s">
        <x:v>322</x:v>
      </x:c>
      <x:c r="P12" s="18" t="s">
        <x:v>240</x:v>
      </x:c>
      <x:c r="Q12" s="33" t="n">
        <x:f t="shared" si="0">IF(G12="","",I12-G12)</x:f>
        <x:v>0.49000000000000005</x:v>
      </x:c>
      <x:c r="R12" s="21" t="n">
        <x:f>COUNTIF('Intervention_Cause_Map'!$A$2:$A$18,B12)</x:f>
        <x:v>1</x:v>
      </x:c>
      <x:c r="S12" s="21" t="str">
        <x:f t="shared" si="1">IF(R12&lt;&gt;1,"BAD KEY",IF(G12="","MISSING BASELINE",IF(OR(G12&lt;0,G12&gt;1,I12&lt;0,I12&gt;1,I12&lt;G12),"BAD COVERAGE","OK")))</x:f>
        <x:v>OK</x:v>
      </x:c>
    </x:row>
    <x:row r="13">
      <x:c r="A13" s="18" t="s">
        <x:v>324</x:v>
      </x:c>
      <x:c r="B13" s="18" t="s">
        <x:v>206</x:v>
      </x:c>
      <x:c r="C13" s="18" t="s">
        <x:v>158</x:v>
      </x:c>
      <x:c r="D13" s="18" t="s">
        <x:v>162</x:v>
      </x:c>
      <x:c r="E13" s="18" t="s">
        <x:v>159</x:v>
      </x:c>
      <x:c r="F13" s="18" t="s">
        <x:v>163</x:v>
      </x:c>
      <x:c r="G13" s="26">
        <x:v>0.31</x:v>
      </x:c>
      <x:c r="H13" s="27"/>
      <x:c r="I13" s="33" t="n">
        <x:f>IF(H13="",'Assumptions'!$B$5,H13)</x:f>
        <x:v>0.8</x:v>
      </x:c>
      <x:c r="J13" s="36" t="n">
        <x:f>'Assumptions'!$B$4</x:f>
        <x:v>2025</x:v>
      </x:c>
      <x:c r="K13" s="36" t="n">
        <x:f>'Assumptions'!$B$6</x:f>
        <x:v>2050</x:v>
      </x:c>
      <x:c r="L13" s="18" t="s">
        <x:v>60</x:v>
      </x:c>
      <x:c r="M13" s="18" t="str">
        <x:v>cvd_input_file_PIN_dm(2).csv</x:v>
      </x:c>
      <x:c r="N13" s="18" t="s">
        <x:v>321</x:v>
      </x:c>
      <x:c r="O13" s="18" t="s">
        <x:v>322</x:v>
      </x:c>
      <x:c r="P13" s="18" t="s">
        <x:v>240</x:v>
      </x:c>
      <x:c r="Q13" s="33" t="n">
        <x:f t="shared" si="0">IF(G13="","",I13-G13)</x:f>
        <x:v>0.49000000000000005</x:v>
      </x:c>
      <x:c r="R13" s="21" t="n">
        <x:f>COUNTIF('Intervention_Cause_Map'!$A$2:$A$18,B13)</x:f>
        <x:v>1</x:v>
      </x:c>
      <x:c r="S13" s="21" t="str">
        <x:f t="shared" si="1">IF(R13&lt;&gt;1,"BAD KEY",IF(G13="","MISSING BASELINE",IF(OR(G13&lt;0,G13&gt;1,I13&lt;0,I13&gt;1,I13&lt;G13),"BAD COVERAGE","OK")))</x:f>
        <x:v>OK</x:v>
      </x:c>
    </x:row>
    <x:row r="14">
      <x:c r="A14" s="18" t="s">
        <x:v>325</x:v>
      </x:c>
      <x:c r="B14" s="18" t="s">
        <x:v>208</x:v>
      </x:c>
      <x:c r="C14" s="18" t="s">
        <x:v>164</x:v>
      </x:c>
      <x:c r="D14" s="18" t="s">
        <x:v>139</x:v>
      </x:c>
      <x:c r="E14" s="18" t="s">
        <x:v>165</x:v>
      </x:c>
      <x:c r="F14" s="18" t="s">
        <x:v>140</x:v>
      </x:c>
      <x:c r="G14" s="26">
        <x:v>0.31</x:v>
      </x:c>
      <x:c r="H14" s="27"/>
      <x:c r="I14" s="33" t="n">
        <x:f>IF(H14="",'Assumptions'!$B$5,H14)</x:f>
        <x:v>0.8</x:v>
      </x:c>
      <x:c r="J14" s="36" t="n">
        <x:f>'Assumptions'!$B$4</x:f>
        <x:v>2025</x:v>
      </x:c>
      <x:c r="K14" s="36" t="n">
        <x:f>'Assumptions'!$B$6</x:f>
        <x:v>2050</x:v>
      </x:c>
      <x:c r="L14" s="18" t="s">
        <x:v>60</x:v>
      </x:c>
      <x:c r="M14" s="18" t="str">
        <x:v>cvd_input_file_PIN_dm(2).csv</x:v>
      </x:c>
      <x:c r="N14" s="18" t="s">
        <x:v>326</x:v>
      </x:c>
      <x:c r="O14" s="18" t="s">
        <x:v>316</x:v>
      </x:c>
      <x:c r="P14" s="18" t="s">
        <x:v>240</x:v>
      </x:c>
      <x:c r="Q14" s="33" t="n">
        <x:f t="shared" si="0">IF(G14="","",I14-G14)</x:f>
        <x:v>0.49000000000000005</x:v>
      </x:c>
      <x:c r="R14" s="21" t="n">
        <x:f>COUNTIF('Intervention_Cause_Map'!$A$2:$A$18,B14)</x:f>
        <x:v>1</x:v>
      </x:c>
      <x:c r="S14" s="21" t="str">
        <x:f t="shared" si="1">IF(R14&lt;&gt;1,"BAD KEY",IF(G14="","MISSING BASELINE",IF(OR(G14&lt;0,G14&gt;1,I14&lt;0,I14&gt;1,I14&lt;G14),"BAD COVERAGE","OK")))</x:f>
        <x:v>OK</x:v>
      </x:c>
    </x:row>
    <x:row r="15">
      <x:c r="A15" s="18" t="s">
        <x:v>327</x:v>
      </x:c>
      <x:c r="B15" s="18" t="s">
        <x:v>209</x:v>
      </x:c>
      <x:c r="C15" s="18" t="s">
        <x:v>164</x:v>
      </x:c>
      <x:c r="D15" s="18" t="s">
        <x:v>156</x:v>
      </x:c>
      <x:c r="E15" s="18" t="s">
        <x:v>165</x:v>
      </x:c>
      <x:c r="F15" s="18" t="s">
        <x:v>157</x:v>
      </x:c>
      <x:c r="G15" s="26">
        <x:v>0.31</x:v>
      </x:c>
      <x:c r="H15" s="27"/>
      <x:c r="I15" s="33" t="n">
        <x:f>IF(H15="",'Assumptions'!$B$5,H15)</x:f>
        <x:v>0.8</x:v>
      </x:c>
      <x:c r="J15" s="36" t="n">
        <x:f>'Assumptions'!$B$4</x:f>
        <x:v>2025</x:v>
      </x:c>
      <x:c r="K15" s="36" t="n">
        <x:f>'Assumptions'!$B$6</x:f>
        <x:v>2050</x:v>
      </x:c>
      <x:c r="L15" s="18" t="s">
        <x:v>60</x:v>
      </x:c>
      <x:c r="M15" s="18" t="str">
        <x:v>cvd_input_file_PIN_dm(2).csv</x:v>
      </x:c>
      <x:c r="N15" s="18" t="s">
        <x:v>326</x:v>
      </x:c>
      <x:c r="O15" s="18" t="s">
        <x:v>316</x:v>
      </x:c>
      <x:c r="P15" s="18" t="s">
        <x:v>240</x:v>
      </x:c>
      <x:c r="Q15" s="33" t="n">
        <x:f t="shared" si="0">IF(G15="","",I15-G15)</x:f>
        <x:v>0.49000000000000005</x:v>
      </x:c>
      <x:c r="R15" s="21" t="n">
        <x:f>COUNTIF('Intervention_Cause_Map'!$A$2:$A$18,B15)</x:f>
        <x:v>1</x:v>
      </x:c>
      <x:c r="S15" s="21" t="str">
        <x:f t="shared" si="1">IF(R15&lt;&gt;1,"BAD KEY",IF(G15="","MISSING BASELINE",IF(OR(G15&lt;0,G15&gt;1,I15&lt;0,I15&gt;1,I15&lt;G15),"BAD COVERAGE","OK")))</x:f>
        <x:v>OK</x:v>
      </x:c>
    </x:row>
    <x:row r="16">
      <x:c r="A16" s="18" t="s">
        <x:v>328</x:v>
      </x:c>
      <x:c r="B16" s="18" t="s">
        <x:v>210</x:v>
      </x:c>
      <x:c r="C16" s="18" t="s">
        <x:v>164</x:v>
      </x:c>
      <x:c r="D16" s="18" t="s">
        <x:v>162</x:v>
      </x:c>
      <x:c r="E16" s="18" t="s">
        <x:v>165</x:v>
      </x:c>
      <x:c r="F16" s="18" t="s">
        <x:v>163</x:v>
      </x:c>
      <x:c r="G16" s="26">
        <x:v>0.31</x:v>
      </x:c>
      <x:c r="H16" s="27"/>
      <x:c r="I16" s="33" t="n">
        <x:f>IF(H16="",'Assumptions'!$B$5,H16)</x:f>
        <x:v>0.8</x:v>
      </x:c>
      <x:c r="J16" s="36" t="n">
        <x:f>'Assumptions'!$B$4</x:f>
        <x:v>2025</x:v>
      </x:c>
      <x:c r="K16" s="36" t="n">
        <x:f>'Assumptions'!$B$6</x:f>
        <x:v>2050</x:v>
      </x:c>
      <x:c r="L16" s="18" t="s">
        <x:v>60</x:v>
      </x:c>
      <x:c r="M16" s="18" t="str">
        <x:v>cvd_input_file_PIN_dm(2).csv</x:v>
      </x:c>
      <x:c r="N16" s="18" t="s">
        <x:v>326</x:v>
      </x:c>
      <x:c r="O16" s="18" t="s">
        <x:v>316</x:v>
      </x:c>
      <x:c r="P16" s="18" t="s">
        <x:v>240</x:v>
      </x:c>
      <x:c r="Q16" s="33" t="n">
        <x:f t="shared" si="0">IF(G16="","",I16-G16)</x:f>
        <x:v>0.49000000000000005</x:v>
      </x:c>
      <x:c r="R16" s="21" t="n">
        <x:f>COUNTIF('Intervention_Cause_Map'!$A$2:$A$18,B16)</x:f>
        <x:v>1</x:v>
      </x:c>
      <x:c r="S16" s="21" t="str">
        <x:f t="shared" si="1">IF(R16&lt;&gt;1,"BAD KEY",IF(G16="","MISSING BASELINE",IF(OR(G16&lt;0,G16&gt;1,I16&lt;0,I16&gt;1,I16&lt;G16),"BAD COVERAGE","OK")))</x:f>
        <x:v>OK</x:v>
      </x:c>
    </x:row>
    <x:row r="17">
      <x:c r="A17" s="18" t="s">
        <x:v>329</x:v>
      </x:c>
      <x:c r="B17" s="18" t="s">
        <x:v>211</x:v>
      </x:c>
      <x:c r="C17" s="18" t="s">
        <x:v>170</x:v>
      </x:c>
      <x:c r="D17" s="18" t="s">
        <x:v>167</x:v>
      </x:c>
      <x:c r="E17" s="18" t="s">
        <x:v>171</x:v>
      </x:c>
      <x:c r="F17" s="18" t="s">
        <x:v>168</x:v>
      </x:c>
      <x:c r="G17" s="38" t="n">
        <x:v>0.16</x:v>
      </x:c>
      <x:c r="H17" s="27"/>
      <x:c r="I17" s="33" t="n">
        <x:f>IF(H17="",'Assumptions'!$B$5,H17)</x:f>
        <x:v>0.8</x:v>
      </x:c>
      <x:c r="J17" s="36" t="n">
        <x:f>'Assumptions'!$B$4</x:f>
        <x:v>2025</x:v>
      </x:c>
      <x:c r="K17" s="36" t="n">
        <x:f>'Assumptions'!$B$6</x:f>
        <x:v>2050</x:v>
      </x:c>
      <x:c r="L17" s="18" t="s">
        <x:v>60</x:v>
      </x:c>
      <x:c r="M17" s="18" t="str">
        <x:v>cvd_input_file_PIN_dm(2).csv</x:v>
      </x:c>
      <x:c r="N17" s="18" t="str">
        <x:v>rows 37–39</x:v>
      </x:c>
      <x:c r="O17" s="18" t="str">
        <x:v>Country-context value supplied in the updated PIN file</x:v>
      </x:c>
      <x:c r="P17" s="18" t="str">
        <x:v>Provisional</x:v>
      </x:c>
      <x:c r="Q17" s="33" t="n">
        <x:f t="shared" si="0">IF(G17="","",I17-G17)</x:f>
        <x:v>0.64</x:v>
      </x:c>
      <x:c r="R17" s="21" t="n">
        <x:f>COUNTIF('Intervention_Cause_Map'!$A$2:$A$18,B17)</x:f>
        <x:v>1</x:v>
      </x:c>
      <x:c r="S17" s="21" t="str">
        <x:f t="shared" si="1">IF(R17&lt;&gt;1,"BAD KEY",IF(G17="","MISSING BASELINE",IF(OR(G17&lt;0,G17&gt;1,I17&lt;0,I17&gt;1,I17&lt;G17),"BAD COVERAGE","OK")))</x:f>
        <x:v>OK</x:v>
      </x:c>
    </x:row>
    <x:row r="18" ht="22.799999237060547" customHeight="1">
      <x:c r="A18" s="5" t="s">
        <x:v>330</x:v>
      </x:c>
      <x:c r="B18" s="5" t="s">
        <x:v>213</x:v>
      </x:c>
      <x:c r="C18" s="5" t="s">
        <x:v>170</x:v>
      </x:c>
      <x:c r="D18" s="5" t="s">
        <x:v>139</x:v>
      </x:c>
      <x:c r="E18" s="5" t="s">
        <x:v>171</x:v>
      </x:c>
      <x:c r="F18" s="5" t="s">
        <x:v>214</x:v>
      </x:c>
      <x:c r="G18" s="38" t="n">
        <x:v>0.16</x:v>
      </x:c>
      <x:c r="H18" s="27"/>
      <x:c r="I18" s="34" t="n">
        <x:f>IF(H18="",'Assumptions'!$B$5,H18)</x:f>
        <x:v>0.8</x:v>
      </x:c>
      <x:c r="J18" s="37" t="n">
        <x:f>'Assumptions'!$B$4</x:f>
        <x:v>2025</x:v>
      </x:c>
      <x:c r="K18" s="37" t="n">
        <x:f>'Assumptions'!$B$6</x:f>
        <x:v>2050</x:v>
      </x:c>
      <x:c r="L18" s="5" t="s">
        <x:v>60</x:v>
      </x:c>
      <x:c r="M18" s="5" t="str">
        <x:v>cvd_input_file_PIN_dm(2).csv</x:v>
      </x:c>
      <x:c r="N18" s="5" t="str">
        <x:v>rows 37–39</x:v>
      </x:c>
      <x:c r="O18" s="5" t="str">
        <x:v>Country-context value supplied in the updated PIN file; shared treatment baseline</x:v>
      </x:c>
      <x:c r="P18" s="5" t="str">
        <x:v>Provisional</x:v>
      </x:c>
      <x:c r="Q18" s="34" t="n">
        <x:f t="shared" si="0">IF(G18="","",I18-G18)</x:f>
        <x:v>0.64</x:v>
      </x:c>
      <x:c r="R18" s="22" t="n">
        <x:f>COUNTIF('Intervention_Cause_Map'!$A$2:$A$18,B18)</x:f>
        <x:v>1</x:v>
      </x:c>
      <x:c r="S18" s="22" t="str">
        <x:f t="shared" si="1">IF(R18&lt;&gt;1,"BAD KEY",IF(G18="","MISSING BASELINE",IF(OR(G18&lt;0,G18&gt;1,I18&lt;0,I18&gt;1,I18&lt;G18),"BAD COVERAGE","OK")))</x:f>
        <x:v>OK</x:v>
      </x:c>
    </x:row>
  </x:sheetData>
  <x:conditionalFormatting sqref="P2:P18">
    <x:cfRule type="containsText" dxfId="27" priority="1" operator="containsText" text="OK"/>
    <x:cfRule type="containsText" dxfId="26" priority="3" operator="containsText" text="FAIL"/>
    <x:cfRule type="containsText" dxfId="25" priority="5" operator="containsText" text="REVIEW"/>
    <x:cfRule type="containsText" dxfId="24" priority="6" operator="containsText" text="BAD"/>
  </x:conditionalFormatting>
  <x:conditionalFormatting sqref="S2:S18">
    <x:cfRule type="containsText" dxfId="23" priority="7" operator="containsText" text="OK"/>
    <x:cfRule type="containsText" dxfId="22" priority="9" operator="containsText" text="FAIL"/>
    <x:cfRule type="containsText" dxfId="21" priority="11" operator="containsText" text="REVIEW"/>
    <x:cfRule type="containsText" dxfId="20" priority="12" operator="containsText" text="BAD"/>
  </x:conditionalFormatting>
  <x:pageMargins left="0.7" right="0.7" top="0.75" bottom="0.75" header="0.3" footer="0.3"/>
  <x:tableParts count="1">
    <x:tablePart xmlns:r="http://schemas.openxmlformats.org/officeDocument/2006/relationships" r:id="R7e958d9a97e3457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11.19921875" defaultRowHeight="13.800000190734863"/>
  <x:cols>
    <x:col min="1" max="1" width="24" customWidth="1"/>
    <x:col min="2" max="2" width="34" customWidth="1"/>
    <x:col min="3" max="3" width="20" customWidth="1"/>
    <x:col min="4" max="5" width="22" customWidth="1"/>
    <x:col min="6" max="6" width="14" customWidth="1"/>
    <x:col min="7" max="7" width="30" customWidth="1"/>
    <x:col min="8" max="8" width="38" customWidth="1"/>
    <x:col min="9" max="9" width="34" customWidth="1"/>
    <x:col min="10" max="10" width="52" customWidth="1"/>
    <x:col min="11" max="11" width="25" customWidth="1"/>
    <x:col min="12" max="13" width="24" customWidth="1"/>
    <x:col min="14" max="14" width="18" customWidth="1"/>
    <x:col min="15" max="16" width="12" customWidth="1"/>
    <x:col min="17" max="17" width="10" customWidth="1"/>
    <x:col min="18" max="19" width="18" customWidth="1"/>
    <x:col min="20" max="20" width="14" customWidth="1"/>
    <x:col min="21" max="21" width="22" customWidth="1"/>
    <x:col min="22" max="22" width="18" customWidth="1"/>
    <x:col min="23" max="23" width="30" customWidth="1"/>
    <x:col min="24" max="25" width="18" customWidth="1"/>
    <x:col min="26" max="26" width="58" customWidth="1"/>
    <x:col min="27" max="28" width="16" customWidth="1"/>
    <x:col min="29" max="29" width="22" customWidth="1"/>
  </x:cols>
  <x:sheetData>
    <x:row r="1" ht="34.04999923706055" customHeight="1">
      <x:c r="A1" s="14" t="s">
        <x:v>331</x:v>
      </x:c>
      <x:c r="B1" s="15" t="s">
        <x:v>332</x:v>
      </x:c>
      <x:c r="C1" s="15" t="s">
        <x:v>333</x:v>
      </x:c>
      <x:c r="D1" s="15" t="s">
        <x:v>334</x:v>
      </x:c>
      <x:c r="E1" s="15" t="s">
        <x:v>123</x:v>
      </x:c>
      <x:c r="F1" s="15" t="s">
        <x:v>127</x:v>
      </x:c>
      <x:c r="G1" s="15" t="s">
        <x:v>180</x:v>
      </x:c>
      <x:c r="H1" s="15" t="s">
        <x:v>124</x:v>
      </x:c>
      <x:c r="I1" s="15" t="s">
        <x:v>128</x:v>
      </x:c>
      <x:c r="J1" s="15" t="s">
        <x:v>335</x:v>
      </x:c>
      <x:c r="K1" s="15" t="s">
        <x:v>336</x:v>
      </x:c>
      <x:c r="L1" s="15" t="s">
        <x:v>337</x:v>
      </x:c>
      <x:c r="M1" s="15" t="s">
        <x:v>338</x:v>
      </x:c>
      <x:c r="N1" s="15" t="s">
        <x:v>339</x:v>
      </x:c>
      <x:c r="O1" s="15" t="s">
        <x:v>222</x:v>
      </x:c>
      <x:c r="P1" s="15" t="s">
        <x:v>223</x:v>
      </x:c>
      <x:c r="Q1" s="15" t="s">
        <x:v>224</x:v>
      </x:c>
      <x:c r="R1" s="15" t="s">
        <x:v>340</x:v>
      </x:c>
      <x:c r="S1" s="15" t="s">
        <x:v>341</x:v>
      </x:c>
      <x:c r="T1" s="15" t="s">
        <x:v>342</x:v>
      </x:c>
      <x:c r="U1" s="15" t="s">
        <x:v>343</x:v>
      </x:c>
      <x:c r="V1" s="15" t="s">
        <x:v>344</x:v>
      </x:c>
      <x:c r="W1" s="15" t="s">
        <x:v>227</x:v>
      </x:c>
      <x:c r="X1" s="15" t="s">
        <x:v>228</x:v>
      </x:c>
      <x:c r="Y1" s="15" t="s">
        <x:v>229</x:v>
      </x:c>
      <x:c r="Z1" s="15" t="s">
        <x:v>183</x:v>
      </x:c>
      <x:c r="AA1" s="15" t="s">
        <x:v>230</x:v>
      </x:c>
      <x:c r="AB1" s="15" t="s">
        <x:v>345</x:v>
      </x:c>
      <x:c r="AC1" s="16" t="s">
        <x:v>231</x:v>
      </x:c>
    </x:row>
    <x:row r="2">
      <x:c r="A2" s="17" t="s">
        <x:v>346</x:v>
      </x:c>
      <x:c r="B2" s="17" t="s">
        <x:v>347</x:v>
      </x:c>
      <x:c r="C2" s="17" t="s">
        <x:v>348</x:v>
      </x:c>
      <x:c r="D2" s="29">
        <x:v>1</x:v>
      </x:c>
      <x:c r="E2" s="17" t="s">
        <x:v>131</x:v>
      </x:c>
      <x:c r="F2" s="17" t="s">
        <x:v>135</x:v>
      </x:c>
      <x:c r="G2" s="17" t="s">
        <x:v>185</x:v>
      </x:c>
      <x:c r="H2" s="17" t="s">
        <x:v>132</x:v>
      </x:c>
      <x:c r="I2" s="17" t="s">
        <x:v>133</x:v>
      </x:c>
      <x:c r="J2" s="17" t="s">
        <x:v>349</x:v>
      </x:c>
      <x:c r="K2" s="17" t="s">
        <x:v>350</x:v>
      </x:c>
      <x:c r="L2" s="27">
        <x:v>1</x:v>
      </x:c>
      <x:c r="M2" s="17" t="s">
        <x:v>351</x:v>
      </x:c>
      <x:c r="N2" s="29">
        <x:v>1</x:v>
      </x:c>
      <x:c r="O2" s="23">
        <x:v>5</x:v>
      </x:c>
      <x:c r="P2" s="23">
        <x:v>39</x:v>
      </x:c>
      <x:c r="Q2" s="17" t="s">
        <x:v>236</x:v>
      </x:c>
      <x:c r="R2" s="17" t="s">
        <x:v>352</x:v>
      </x:c>
      <x:c r="S2" s="42" t="n">
        <x:v>50.85735353</x:v>
      </x:c>
      <x:c r="T2" s="39">
        <x:v>2023</x:v>
      </x:c>
      <x:c r="U2" s="17">
        <x:v>1</x:v>
      </x:c>
      <x:c r="V2" s="17" t="s">
        <x:v>353</x:v>
      </x:c>
      <x:c r="W2" s="17" t="str">
        <x:v>cvd_unit_cost_indonesia_1_dm(2).xlsx</x:v>
      </x:c>
      <x:c r="X2" s="17" t="s">
        <x:v>354</x:v>
      </x:c>
      <x:c r="Y2" s="17" t="s">
        <x:v>240</x:v>
      </x:c>
      <x:c r="Z2" s="17" t="s">
        <x:v>355</x:v>
      </x:c>
      <x:c r="AA2" s="20" t="n">
        <x:f>COUNTIF(Intervention_Cause_Map!$I$2:$I$18,G2)</x:f>
        <x:v>1</x:v>
      </x:c>
      <x:c r="AB2" s="20" t="n">
        <x:f t="shared" ref="AB2:AB35" si="0">SUMIF($B$2:$B$37,B2,$D$2:$D$37)</x:f>
        <x:v>1</x:v>
      </x:c>
      <x:c r="AC2" s="20" t="str">
        <x:f t="shared" ref="AC2:AC34" si="1">IF(AA2&lt;1,"BAD KEY",IF(S2="","MISSING COST",IF(U2=0,"REVIEW ADJUSTMENT",IF(AB2&lt;&gt;1,"CHECK SELECTION","OK"))))</x:f>
        <x:v>OK</x:v>
      </x:c>
    </x:row>
    <x:row r="3">
      <x:c r="A3" s="18" t="s">
        <x:v>356</x:v>
      </x:c>
      <x:c r="B3" s="18" t="s">
        <x:v>357</x:v>
      </x:c>
      <x:c r="C3" s="18" t="s">
        <x:v>348</x:v>
      </x:c>
      <x:c r="D3" s="30">
        <x:v>1</x:v>
      </x:c>
      <x:c r="E3" s="18" t="s">
        <x:v>136</x:v>
      </x:c>
      <x:c r="F3" s="18" t="s">
        <x:v>135</x:v>
      </x:c>
      <x:c r="G3" s="18" t="s">
        <x:v>188</x:v>
      </x:c>
      <x:c r="H3" s="18" t="s">
        <x:v>137</x:v>
      </x:c>
      <x:c r="I3" s="18" t="s">
        <x:v>133</x:v>
      </x:c>
      <x:c r="J3" s="18" t="s">
        <x:v>358</x:v>
      </x:c>
      <x:c r="K3" s="18" t="s">
        <x:v>350</x:v>
      </x:c>
      <x:c r="L3" s="26">
        <x:v>1</x:v>
      </x:c>
      <x:c r="M3" s="18" t="s">
        <x:v>359</x:v>
      </x:c>
      <x:c r="N3" s="30" t="n">
        <x:f>Assumptions!$B$13</x:f>
        <x:v>1</x:v>
      </x:c>
      <x:c r="O3" s="24">
        <x:v>5</x:v>
      </x:c>
      <x:c r="P3" s="24">
        <x:v>40</x:v>
      </x:c>
      <x:c r="Q3" s="18" t="s">
        <x:v>236</x:v>
      </x:c>
      <x:c r="R3" s="18" t="s">
        <x:v>360</x:v>
      </x:c>
      <x:c r="S3" s="43" t="n">
        <x:v>12488.38616</x:v>
      </x:c>
      <x:c r="T3" s="40">
        <x:v>2023</x:v>
      </x:c>
      <x:c r="U3" s="18">
        <x:v>1</x:v>
      </x:c>
      <x:c r="V3" s="18" t="s">
        <x:v>353</x:v>
      </x:c>
      <x:c r="W3" s="18" t="str">
        <x:v>cvd_unit_cost_indonesia_1_dm(2).xlsx</x:v>
      </x:c>
      <x:c r="X3" s="18" t="s">
        <x:v>361</x:v>
      </x:c>
      <x:c r="Y3" s="18" t="s">
        <x:v>20</x:v>
      </x:c>
      <x:c r="Z3" s="18" t="s">
        <x:v>362</x:v>
      </x:c>
      <x:c r="AA3" s="21" t="n">
        <x:f>COUNTIF(Intervention_Cause_Map!$I$2:$I$18,G3)</x:f>
        <x:v>1</x:v>
      </x:c>
      <x:c r="AB3" s="21" t="n">
        <x:f t="shared" si="0">SUMIF($B$2:$B$37,B3,$D$2:$D$37)</x:f>
        <x:v>1</x:v>
      </x:c>
      <x:c r="AC3" s="21" t="str">
        <x:f t="shared" si="1"/>
        <x:v>OK</x:v>
      </x:c>
    </x:row>
    <x:row r="4">
      <x:c r="A4" s="18" t="s">
        <x:v>363</x:v>
      </x:c>
      <x:c r="B4" s="18" t="s">
        <x:v>364</x:v>
      </x:c>
      <x:c r="C4" s="18" t="s">
        <x:v>365</x:v>
      </x:c>
      <x:c r="D4" s="30">
        <x:v>1</x:v>
      </x:c>
      <x:c r="E4" s="18" t="s">
        <x:v>141</x:v>
      </x:c>
      <x:c r="F4" s="18" t="s">
        <x:v>174</x:v>
      </x:c>
      <x:c r="G4" s="18" t="s">
        <x:v>191</x:v>
      </x:c>
      <x:c r="H4" s="18" t="s">
        <x:v>142</x:v>
      </x:c>
      <x:c r="I4" s="18" t="s">
        <x:v>366</x:v>
      </x:c>
      <x:c r="J4" s="18" t="s">
        <x:v>367</x:v>
      </x:c>
      <x:c r="K4" s="18" t="s">
        <x:v>368</x:v>
      </x:c>
      <x:c r="L4" s="26">
        <x:v>0.2</x:v>
      </x:c>
      <x:c r="M4" s="18" t="s">
        <x:v>369</x:v>
      </x:c>
      <x:c r="N4" s="30">
        <x:v>1</x:v>
      </x:c>
      <x:c r="O4" s="24">
        <x:v>30</x:v>
      </x:c>
      <x:c r="P4" s="24">
        <x:v>95</x:v>
      </x:c>
      <x:c r="Q4" s="18" t="s">
        <x:v>236</x:v>
      </x:c>
      <x:c r="R4" s="18" t="s">
        <x:v>352</x:v>
      </x:c>
      <x:c r="S4" s="43" t="n">
        <x:v>1.291584418</x:v>
      </x:c>
      <x:c r="T4" s="40">
        <x:v>2023</x:v>
      </x:c>
      <x:c r="U4" s="18">
        <x:v>1</x:v>
      </x:c>
      <x:c r="V4" s="18" t="s">
        <x:v>370</x:v>
      </x:c>
      <x:c r="W4" s="18" t="str">
        <x:v>cvd_unit_cost_indonesia_1_dm(2).xlsx</x:v>
      </x:c>
      <x:c r="X4" s="18" t="s">
        <x:v>371</x:v>
      </x:c>
      <x:c r="Y4" s="18" t="s">
        <x:v>20</x:v>
      </x:c>
      <x:c r="Z4" s="18" t="s">
        <x:v>372</x:v>
      </x:c>
      <x:c r="AA4" s="21" t="n">
        <x:f>COUNTIF(Intervention_Cause_Map!$I$2:$I$18,G4)</x:f>
        <x:v>4</x:v>
      </x:c>
      <x:c r="AB4" s="21" t="n">
        <x:f t="shared" si="0">SUMIF($B$2:$B$37,B4,$D$2:$D$37)</x:f>
        <x:v>1</x:v>
      </x:c>
      <x:c r="AC4" s="21" t="str">
        <x:f t="shared" si="1"/>
        <x:v>OK</x:v>
      </x:c>
    </x:row>
    <x:row r="5">
      <x:c r="A5" s="18" t="s">
        <x:v>373</x:v>
      </x:c>
      <x:c r="B5" s="18" t="s">
        <x:v>364</x:v>
      </x:c>
      <x:c r="C5" s="18" t="s">
        <x:v>374</x:v>
      </x:c>
      <x:c r="D5" s="30">
        <x:v>0</x:v>
      </x:c>
      <x:c r="E5" s="18" t="s">
        <x:v>141</x:v>
      </x:c>
      <x:c r="F5" s="18" t="s">
        <x:v>174</x:v>
      </x:c>
      <x:c r="G5" s="18" t="s">
        <x:v>191</x:v>
      </x:c>
      <x:c r="H5" s="18" t="s">
        <x:v>142</x:v>
      </x:c>
      <x:c r="I5" s="18" t="s">
        <x:v>366</x:v>
      </x:c>
      <x:c r="J5" s="18" t="s">
        <x:v>367</x:v>
      </x:c>
      <x:c r="K5" s="18" t="s">
        <x:v>368</x:v>
      </x:c>
      <x:c r="L5" s="26">
        <x:v>0.2</x:v>
      </x:c>
      <x:c r="M5" s="18" t="s">
        <x:v>369</x:v>
      </x:c>
      <x:c r="N5" s="30">
        <x:v>1</x:v>
      </x:c>
      <x:c r="O5" s="24">
        <x:v>30</x:v>
      </x:c>
      <x:c r="P5" s="24">
        <x:v>95</x:v>
      </x:c>
      <x:c r="Q5" s="18" t="s">
        <x:v>236</x:v>
      </x:c>
      <x:c r="R5" s="18" t="s">
        <x:v>352</x:v>
      </x:c>
      <x:c r="S5" s="43" t="n">
        <x:v>2.766521858</x:v>
      </x:c>
      <x:c r="T5" s="40">
        <x:v>2023</x:v>
      </x:c>
      <x:c r="U5" s="18">
        <x:v>1</x:v>
      </x:c>
      <x:c r="V5" s="18" t="s">
        <x:v>370</x:v>
      </x:c>
      <x:c r="W5" s="18" t="str">
        <x:v>cvd_unit_cost_indonesia_1_dm(2).xlsx</x:v>
      </x:c>
      <x:c r="X5" s="18" t="s">
        <x:v>375</x:v>
      </x:c>
      <x:c r="Y5" s="18" t="s">
        <x:v>376</x:v>
      </x:c>
      <x:c r="Z5" s="18" t="s">
        <x:v>377</x:v>
      </x:c>
      <x:c r="AA5" s="21" t="n">
        <x:f>COUNTIF(Intervention_Cause_Map!$I$2:$I$18,G5)</x:f>
        <x:v>4</x:v>
      </x:c>
      <x:c r="AB5" s="21" t="n">
        <x:f t="shared" si="0">SUMIF($B$2:$B$37,B5,$D$2:$D$37)</x:f>
        <x:v>1</x:v>
      </x:c>
      <x:c r="AC5" s="21" t="str">
        <x:f t="shared" si="1"/>
        <x:v>OK</x:v>
      </x:c>
    </x:row>
    <x:row r="6">
      <x:c r="A6" s="18" t="s">
        <x:v>378</x:v>
      </x:c>
      <x:c r="B6" s="18" t="s">
        <x:v>379</x:v>
      </x:c>
      <x:c r="C6" s="18" t="s">
        <x:v>365</x:v>
      </x:c>
      <x:c r="D6" s="30">
        <x:v>1</x:v>
      </x:c>
      <x:c r="E6" s="18" t="s">
        <x:v>141</x:v>
      </x:c>
      <x:c r="F6" s="18" t="s">
        <x:v>174</x:v>
      </x:c>
      <x:c r="G6" s="18" t="s">
        <x:v>191</x:v>
      </x:c>
      <x:c r="H6" s="18" t="s">
        <x:v>142</x:v>
      </x:c>
      <x:c r="I6" s="18" t="s">
        <x:v>366</x:v>
      </x:c>
      <x:c r="J6" s="18" t="s">
        <x:v>380</x:v>
      </x:c>
      <x:c r="K6" s="18" t="s">
        <x:v>368</x:v>
      </x:c>
      <x:c r="L6" s="26">
        <x:v>0.06</x:v>
      </x:c>
      <x:c r="M6" s="18" t="s">
        <x:v>369</x:v>
      </x:c>
      <x:c r="N6" s="30">
        <x:v>1</x:v>
      </x:c>
      <x:c r="O6" s="24">
        <x:v>30</x:v>
      </x:c>
      <x:c r="P6" s="24">
        <x:v>95</x:v>
      </x:c>
      <x:c r="Q6" s="18" t="s">
        <x:v>236</x:v>
      </x:c>
      <x:c r="R6" s="18" t="s">
        <x:v>352</x:v>
      </x:c>
      <x:c r="S6" s="43" t="n">
        <x:v>22.22959981</x:v>
      </x:c>
      <x:c r="T6" s="40">
        <x:v>2023</x:v>
      </x:c>
      <x:c r="U6" s="18">
        <x:v>1</x:v>
      </x:c>
      <x:c r="V6" s="18" t="s">
        <x:v>370</x:v>
      </x:c>
      <x:c r="W6" s="18" t="str">
        <x:v>cvd_unit_cost_indonesia_1_dm(2).xlsx</x:v>
      </x:c>
      <x:c r="X6" s="18" t="s">
        <x:v>381</x:v>
      </x:c>
      <x:c r="Y6" s="18" t="s">
        <x:v>20</x:v>
      </x:c>
      <x:c r="Z6" s="18" t="s">
        <x:v>372</x:v>
      </x:c>
      <x:c r="AA6" s="21" t="n">
        <x:f>COUNTIF(Intervention_Cause_Map!$I$2:$I$18,G6)</x:f>
        <x:v>4</x:v>
      </x:c>
      <x:c r="AB6" s="21" t="n">
        <x:f t="shared" si="0">SUMIF($B$2:$B$37,B6,$D$2:$D$37)</x:f>
        <x:v>1</x:v>
      </x:c>
      <x:c r="AC6" s="21" t="str">
        <x:f t="shared" si="1"/>
        <x:v>OK</x:v>
      </x:c>
    </x:row>
    <x:row r="7">
      <x:c r="A7" s="18" t="s">
        <x:v>382</x:v>
      </x:c>
      <x:c r="B7" s="18" t="s">
        <x:v>379</x:v>
      </x:c>
      <x:c r="C7" s="18" t="s">
        <x:v>374</x:v>
      </x:c>
      <x:c r="D7" s="30">
        <x:v>0</x:v>
      </x:c>
      <x:c r="E7" s="18" t="s">
        <x:v>141</x:v>
      </x:c>
      <x:c r="F7" s="18" t="s">
        <x:v>174</x:v>
      </x:c>
      <x:c r="G7" s="18" t="s">
        <x:v>191</x:v>
      </x:c>
      <x:c r="H7" s="18" t="s">
        <x:v>142</x:v>
      </x:c>
      <x:c r="I7" s="18" t="s">
        <x:v>366</x:v>
      </x:c>
      <x:c r="J7" s="18" t="s">
        <x:v>380</x:v>
      </x:c>
      <x:c r="K7" s="18" t="s">
        <x:v>368</x:v>
      </x:c>
      <x:c r="L7" s="26">
        <x:v>0.06</x:v>
      </x:c>
      <x:c r="M7" s="18" t="s">
        <x:v>369</x:v>
      </x:c>
      <x:c r="N7" s="30">
        <x:v>1</x:v>
      </x:c>
      <x:c r="O7" s="24">
        <x:v>30</x:v>
      </x:c>
      <x:c r="P7" s="24">
        <x:v>95</x:v>
      </x:c>
      <x:c r="Q7" s="18" t="s">
        <x:v>236</x:v>
      </x:c>
      <x:c r="R7" s="18" t="s">
        <x:v>352</x:v>
      </x:c>
      <x:c r="S7" s="43" t="n">
        <x:v>40.48771881</x:v>
      </x:c>
      <x:c r="T7" s="40">
        <x:v>2023</x:v>
      </x:c>
      <x:c r="U7" s="18">
        <x:v>1</x:v>
      </x:c>
      <x:c r="V7" s="18" t="s">
        <x:v>370</x:v>
      </x:c>
      <x:c r="W7" s="18" t="str">
        <x:v>cvd_unit_cost_indonesia_1_dm(2).xlsx</x:v>
      </x:c>
      <x:c r="X7" s="18" t="s">
        <x:v>383</x:v>
      </x:c>
      <x:c r="Y7" s="18" t="s">
        <x:v>376</x:v>
      </x:c>
      <x:c r="Z7" s="18" t="s">
        <x:v>377</x:v>
      </x:c>
      <x:c r="AA7" s="21" t="n">
        <x:f>COUNTIF(Intervention_Cause_Map!$I$2:$I$18,G7)</x:f>
        <x:v>4</x:v>
      </x:c>
      <x:c r="AB7" s="21" t="n">
        <x:f t="shared" si="0">SUMIF($B$2:$B$37,B7,$D$2:$D$37)</x:f>
        <x:v>1</x:v>
      </x:c>
      <x:c r="AC7" s="21" t="str">
        <x:f t="shared" si="1"/>
        <x:v>OK</x:v>
      </x:c>
    </x:row>
    <x:row r="8">
      <x:c r="A8" s="18" t="s">
        <x:v>384</x:v>
      </x:c>
      <x:c r="B8" s="18" t="s">
        <x:v>385</x:v>
      </x:c>
      <x:c r="C8" s="18" t="s">
        <x:v>365</x:v>
      </x:c>
      <x:c r="D8" s="30">
        <x:v>1</x:v>
      </x:c>
      <x:c r="E8" s="18" t="s">
        <x:v>147</x:v>
      </x:c>
      <x:c r="F8" s="18" t="s">
        <x:v>139</x:v>
      </x:c>
      <x:c r="G8" s="18" t="s">
        <x:v>197</x:v>
      </x:c>
      <x:c r="H8" s="18" t="s">
        <x:v>148</x:v>
      </x:c>
      <x:c r="I8" s="18" t="s">
        <x:v>140</x:v>
      </x:c>
      <x:c r="J8" s="18" t="s">
        <x:v>386</x:v>
      </x:c>
      <x:c r="K8" s="18" t="s">
        <x:v>387</x:v>
      </x:c>
      <x:c r="L8" s="26">
        <x:v>0.52</x:v>
      </x:c>
      <x:c r="M8" s="18" t="s">
        <x:v>388</x:v>
      </x:c>
      <x:c r="N8" s="30">
        <x:v>1</x:v>
      </x:c>
      <x:c r="O8" s="24">
        <x:v>0</x:v>
      </x:c>
      <x:c r="P8" s="24">
        <x:v>95</x:v>
      </x:c>
      <x:c r="Q8" s="18" t="s">
        <x:v>236</x:v>
      </x:c>
      <x:c r="R8" s="18" t="s">
        <x:v>360</x:v>
      </x:c>
      <x:c r="S8" s="43" t="n">
        <x:v>35.36264882</x:v>
      </x:c>
      <x:c r="T8" s="40">
        <x:v>2023</x:v>
      </x:c>
      <x:c r="U8" s="18">
        <x:v>1</x:v>
      </x:c>
      <x:c r="V8" s="18" t="s">
        <x:v>370</x:v>
      </x:c>
      <x:c r="W8" s="18" t="str">
        <x:v>cvd_unit_cost_indonesia_1_dm(2).xlsx</x:v>
      </x:c>
      <x:c r="X8" s="18" t="s">
        <x:v>389</x:v>
      </x:c>
      <x:c r="Y8" s="18" t="s">
        <x:v>20</x:v>
      </x:c>
      <x:c r="Z8" s="18" t="s">
        <x:v>390</x:v>
      </x:c>
      <x:c r="AA8" s="21" t="n">
        <x:f>COUNTIF(Intervention_Cause_Map!$I$2:$I$18,G8)</x:f>
        <x:v>1</x:v>
      </x:c>
      <x:c r="AB8" s="21" t="n">
        <x:f t="shared" si="0">SUMIF($B$2:$B$37,B8,$D$2:$D$37)</x:f>
        <x:v>1</x:v>
      </x:c>
      <x:c r="AC8" s="21" t="str">
        <x:f t="shared" si="1"/>
        <x:v>OK</x:v>
      </x:c>
    </x:row>
    <x:row r="9">
      <x:c r="A9" s="18" t="s">
        <x:v>391</x:v>
      </x:c>
      <x:c r="B9" s="18" t="s">
        <x:v>385</x:v>
      </x:c>
      <x:c r="C9" s="18" t="s">
        <x:v>374</x:v>
      </x:c>
      <x:c r="D9" s="30">
        <x:v>0</x:v>
      </x:c>
      <x:c r="E9" s="18" t="s">
        <x:v>147</x:v>
      </x:c>
      <x:c r="F9" s="18" t="s">
        <x:v>139</x:v>
      </x:c>
      <x:c r="G9" s="18" t="s">
        <x:v>197</x:v>
      </x:c>
      <x:c r="H9" s="18" t="s">
        <x:v>148</x:v>
      </x:c>
      <x:c r="I9" s="18" t="s">
        <x:v>140</x:v>
      </x:c>
      <x:c r="J9" s="18" t="s">
        <x:v>386</x:v>
      </x:c>
      <x:c r="K9" s="18" t="s">
        <x:v>387</x:v>
      </x:c>
      <x:c r="L9" s="26">
        <x:v>0.52</x:v>
      </x:c>
      <x:c r="M9" s="18" t="s">
        <x:v>388</x:v>
      </x:c>
      <x:c r="N9" s="30">
        <x:v>1</x:v>
      </x:c>
      <x:c r="O9" s="24">
        <x:v>0</x:v>
      </x:c>
      <x:c r="P9" s="24">
        <x:v>95</x:v>
      </x:c>
      <x:c r="Q9" s="18" t="s">
        <x:v>236</x:v>
      </x:c>
      <x:c r="R9" s="18" t="s">
        <x:v>360</x:v>
      </x:c>
      <x:c r="S9" s="43" t="n">
        <x:v>64.94344126</x:v>
      </x:c>
      <x:c r="T9" s="40">
        <x:v>2023</x:v>
      </x:c>
      <x:c r="U9" s="18">
        <x:v>1</x:v>
      </x:c>
      <x:c r="V9" s="18" t="s">
        <x:v>370</x:v>
      </x:c>
      <x:c r="W9" s="18" t="str">
        <x:v>cvd_unit_cost_indonesia_1_dm(2).xlsx</x:v>
      </x:c>
      <x:c r="X9" s="18" t="s">
        <x:v>392</x:v>
      </x:c>
      <x:c r="Y9" s="18" t="s">
        <x:v>376</x:v>
      </x:c>
      <x:c r="Z9" s="18" t="s">
        <x:v>377</x:v>
      </x:c>
      <x:c r="AA9" s="21" t="n">
        <x:f>COUNTIF(Intervention_Cause_Map!$I$2:$I$18,G9)</x:f>
        <x:v>1</x:v>
      </x:c>
      <x:c r="AB9" s="21" t="n">
        <x:f t="shared" si="0">SUMIF($B$2:$B$37,B9,$D$2:$D$37)</x:f>
        <x:v>1</x:v>
      </x:c>
      <x:c r="AC9" s="21" t="str">
        <x:f t="shared" si="1"/>
        <x:v>OK</x:v>
      </x:c>
    </x:row>
    <x:row r="10">
      <x:c r="A10" s="18" t="s">
        <x:v>393</x:v>
      </x:c>
      <x:c r="B10" s="18" t="s">
        <x:v>394</x:v>
      </x:c>
      <x:c r="C10" s="18" t="s">
        <x:v>348</x:v>
      </x:c>
      <x:c r="D10" s="30">
        <x:v>1</x:v>
      </x:c>
      <x:c r="E10" s="18" t="s">
        <x:v>147</x:v>
      </x:c>
      <x:c r="F10" s="18" t="s">
        <x:v>139</x:v>
      </x:c>
      <x:c r="G10" s="18" t="s">
        <x:v>197</x:v>
      </x:c>
      <x:c r="H10" s="18" t="s">
        <x:v>148</x:v>
      </x:c>
      <x:c r="I10" s="18" t="s">
        <x:v>140</x:v>
      </x:c>
      <x:c r="J10" s="18" t="s">
        <x:v>395</x:v>
      </x:c>
      <x:c r="K10" s="18" t="s">
        <x:v>350</x:v>
      </x:c>
      <x:c r="L10" s="26">
        <x:v>1</x:v>
      </x:c>
      <x:c r="M10" s="18" t="s">
        <x:v>351</x:v>
      </x:c>
      <x:c r="N10" s="30">
        <x:v>1</x:v>
      </x:c>
      <x:c r="O10" s="24">
        <x:v>0</x:v>
      </x:c>
      <x:c r="P10" s="24">
        <x:v>95</x:v>
      </x:c>
      <x:c r="Q10" s="18" t="s">
        <x:v>236</x:v>
      </x:c>
      <x:c r="R10" s="18" t="s">
        <x:v>360</x:v>
      </x:c>
      <x:c r="S10" s="43" t="n">
        <x:v>119.7214874</x:v>
      </x:c>
      <x:c r="T10" s="40">
        <x:v>2023</x:v>
      </x:c>
      <x:c r="U10" s="18">
        <x:v>1</x:v>
      </x:c>
      <x:c r="V10" s="18" t="s">
        <x:v>370</x:v>
      </x:c>
      <x:c r="W10" s="18" t="str">
        <x:v>cvd_unit_cost_indonesia_1_dm(2).xlsx</x:v>
      </x:c>
      <x:c r="X10" s="18" t="s">
        <x:v>396</x:v>
      </x:c>
      <x:c r="Y10" s="18" t="s">
        <x:v>240</x:v>
      </x:c>
      <x:c r="Z10" s="18" t="s">
        <x:v>397</x:v>
      </x:c>
      <x:c r="AA10" s="21" t="n">
        <x:f>COUNTIF(Intervention_Cause_Map!$I$2:$I$18,G10)</x:f>
        <x:v>1</x:v>
      </x:c>
      <x:c r="AB10" s="21" t="n">
        <x:f t="shared" si="0">SUMIF($B$2:$B$37,B10,$D$2:$D$37)</x:f>
        <x:v>1</x:v>
      </x:c>
      <x:c r="AC10" s="21" t="str">
        <x:f t="shared" si="1"/>
        <x:v>OK</x:v>
      </x:c>
    </x:row>
    <x:row r="11">
      <x:c r="A11" s="18" t="s">
        <x:v>398</x:v>
      </x:c>
      <x:c r="B11" s="18" t="s">
        <x:v>399</x:v>
      </x:c>
      <x:c r="C11" s="18" t="s">
        <x:v>348</x:v>
      </x:c>
      <x:c r="D11" s="30">
        <x:v>1</x:v>
      </x:c>
      <x:c r="E11" s="18" t="s">
        <x:v>147</x:v>
      </x:c>
      <x:c r="F11" s="18" t="s">
        <x:v>139</x:v>
      </x:c>
      <x:c r="G11" s="18" t="s">
        <x:v>197</x:v>
      </x:c>
      <x:c r="H11" s="18" t="s">
        <x:v>148</x:v>
      </x:c>
      <x:c r="I11" s="18" t="s">
        <x:v>140</x:v>
      </x:c>
      <x:c r="J11" s="18" t="s">
        <x:v>400</x:v>
      </x:c>
      <x:c r="K11" s="18" t="s">
        <x:v>350</x:v>
      </x:c>
      <x:c r="L11" s="26">
        <x:v>1</x:v>
      </x:c>
      <x:c r="M11" s="18" t="s">
        <x:v>351</x:v>
      </x:c>
      <x:c r="N11" s="30">
        <x:v>1</x:v>
      </x:c>
      <x:c r="O11" s="24">
        <x:v>0</x:v>
      </x:c>
      <x:c r="P11" s="24">
        <x:v>95</x:v>
      </x:c>
      <x:c r="Q11" s="18" t="s">
        <x:v>236</x:v>
      </x:c>
      <x:c r="R11" s="18" t="s">
        <x:v>360</x:v>
      </x:c>
      <x:c r="S11" s="43" t="n">
        <x:v>36.4639981</x:v>
      </x:c>
      <x:c r="T11" s="40">
        <x:v>2023</x:v>
      </x:c>
      <x:c r="U11" s="18">
        <x:v>1</x:v>
      </x:c>
      <x:c r="V11" s="18" t="s">
        <x:v>401</x:v>
      </x:c>
      <x:c r="W11" s="18" t="str">
        <x:v>cvd_unit_cost_indonesia_1_dm(2).xlsx</x:v>
      </x:c>
      <x:c r="X11" s="18" t="s">
        <x:v>402</x:v>
      </x:c>
      <x:c r="Y11" s="18" t="s">
        <x:v>240</x:v>
      </x:c>
      <x:c r="Z11" s="18"/>
      <x:c r="AA11" s="21" t="n">
        <x:f>COUNTIF(Intervention_Cause_Map!$I$2:$I$18,G11)</x:f>
        <x:v>1</x:v>
      </x:c>
      <x:c r="AB11" s="21" t="n">
        <x:f t="shared" si="0">SUMIF($B$2:$B$37,B11,$D$2:$D$37)</x:f>
        <x:v>1</x:v>
      </x:c>
      <x:c r="AC11" s="21" t="str">
        <x:f t="shared" si="1"/>
        <x:v>OK</x:v>
      </x:c>
    </x:row>
    <x:row r="12">
      <x:c r="A12" s="18" t="s">
        <x:v>403</x:v>
      </x:c>
      <x:c r="B12" s="18" t="s">
        <x:v>404</x:v>
      </x:c>
      <x:c r="C12" s="18" t="s">
        <x:v>348</x:v>
      </x:c>
      <x:c r="D12" s="30">
        <x:v>1</x:v>
      </x:c>
      <x:c r="E12" s="18" t="s">
        <x:v>153</x:v>
      </x:c>
      <x:c r="F12" s="18" t="s">
        <x:v>145</x:v>
      </x:c>
      <x:c r="G12" s="18" t="s">
        <x:v>199</x:v>
      </x:c>
      <x:c r="H12" s="18" t="s">
        <x:v>154</x:v>
      </x:c>
      <x:c r="I12" s="18" t="s">
        <x:v>146</x:v>
      </x:c>
      <x:c r="J12" s="18" t="s">
        <x:v>386</x:v>
      </x:c>
      <x:c r="K12" s="18" t="s">
        <x:v>387</x:v>
      </x:c>
      <x:c r="L12" s="26">
        <x:v>0.52</x:v>
      </x:c>
      <x:c r="M12" s="18" t="s">
        <x:v>388</x:v>
      </x:c>
      <x:c r="N12" s="30">
        <x:v>1</x:v>
      </x:c>
      <x:c r="O12" s="24">
        <x:v>30</x:v>
      </x:c>
      <x:c r="P12" s="24">
        <x:v>95</x:v>
      </x:c>
      <x:c r="Q12" s="18" t="s">
        <x:v>236</x:v>
      </x:c>
      <x:c r="R12" s="18" t="s">
        <x:v>360</x:v>
      </x:c>
      <x:c r="S12" s="43" t="n">
        <x:v>186.4797924</x:v>
      </x:c>
      <x:c r="T12" s="40">
        <x:v>2023</x:v>
      </x:c>
      <x:c r="U12" s="18">
        <x:v>1</x:v>
      </x:c>
      <x:c r="V12" s="18" t="s">
        <x:v>401</x:v>
      </x:c>
      <x:c r="W12" s="18" t="str">
        <x:v>cvd_unit_cost_indonesia_1_dm(2).xlsx</x:v>
      </x:c>
      <x:c r="X12" s="18" t="s">
        <x:v>405</x:v>
      </x:c>
      <x:c r="Y12" s="18" t="s">
        <x:v>240</x:v>
      </x:c>
      <x:c r="Z12" s="18"/>
      <x:c r="AA12" s="21" t="n">
        <x:f>COUNTIF(Intervention_Cause_Map!$I$2:$I$18,G12)</x:f>
        <x:v>1</x:v>
      </x:c>
      <x:c r="AB12" s="21" t="n">
        <x:f t="shared" si="0">SUMIF($B$2:$B$37,B12,$D$2:$D$37)</x:f>
        <x:v>1</x:v>
      </x:c>
      <x:c r="AC12" s="21" t="str">
        <x:f t="shared" si="1"/>
        <x:v>OK</x:v>
      </x:c>
    </x:row>
    <x:row r="13">
      <x:c r="A13" s="18" t="s">
        <x:v>406</x:v>
      </x:c>
      <x:c r="B13" s="18" t="s">
        <x:v>407</x:v>
      </x:c>
      <x:c r="C13" s="18" t="s">
        <x:v>365</x:v>
      </x:c>
      <x:c r="D13" s="30">
        <x:v>1</x:v>
      </x:c>
      <x:c r="E13" s="18" t="s">
        <x:v>153</x:v>
      </x:c>
      <x:c r="F13" s="18" t="s">
        <x:v>145</x:v>
      </x:c>
      <x:c r="G13" s="18" t="s">
        <x:v>199</x:v>
      </x:c>
      <x:c r="H13" s="18" t="s">
        <x:v>154</x:v>
      </x:c>
      <x:c r="I13" s="18" t="s">
        <x:v>146</x:v>
      </x:c>
      <x:c r="J13" s="18" t="s">
        <x:v>408</x:v>
      </x:c>
      <x:c r="K13" s="18" t="s">
        <x:v>350</x:v>
      </x:c>
      <x:c r="L13" s="26">
        <x:v>0.5</x:v>
      </x:c>
      <x:c r="M13" s="18" t="s">
        <x:v>351</x:v>
      </x:c>
      <x:c r="N13" s="30">
        <x:v>1</x:v>
      </x:c>
      <x:c r="O13" s="24">
        <x:v>30</x:v>
      </x:c>
      <x:c r="P13" s="24">
        <x:v>95</x:v>
      </x:c>
      <x:c r="Q13" s="18" t="s">
        <x:v>236</x:v>
      </x:c>
      <x:c r="R13" s="18" t="s">
        <x:v>360</x:v>
      </x:c>
      <x:c r="S13" s="43" t="n">
        <x:v>35.36264882</x:v>
      </x:c>
      <x:c r="T13" s="40">
        <x:v>2023</x:v>
      </x:c>
      <x:c r="U13" s="18">
        <x:v>1</x:v>
      </x:c>
      <x:c r="V13" s="18" t="s">
        <x:v>370</x:v>
      </x:c>
      <x:c r="W13" s="18" t="str">
        <x:v>cvd_unit_cost_indonesia_1_dm(2).xlsx</x:v>
      </x:c>
      <x:c r="X13" s="18" t="s">
        <x:v>409</x:v>
      </x:c>
      <x:c r="Y13" s="18" t="s">
        <x:v>20</x:v>
      </x:c>
      <x:c r="Z13" s="18" t="s">
        <x:v>390</x:v>
      </x:c>
      <x:c r="AA13" s="21" t="n">
        <x:f>COUNTIF(Intervention_Cause_Map!$I$2:$I$18,G13)</x:f>
        <x:v>1</x:v>
      </x:c>
      <x:c r="AB13" s="21" t="n">
        <x:f t="shared" si="0">SUMIF($B$2:$B$37,B13,$D$2:$D$37)</x:f>
        <x:v>1</x:v>
      </x:c>
      <x:c r="AC13" s="21" t="str">
        <x:f t="shared" si="1"/>
        <x:v>OK</x:v>
      </x:c>
    </x:row>
    <x:row r="14">
      <x:c r="A14" s="18" t="s">
        <x:v>410</x:v>
      </x:c>
      <x:c r="B14" s="18" t="s">
        <x:v>407</x:v>
      </x:c>
      <x:c r="C14" s="18" t="s">
        <x:v>374</x:v>
      </x:c>
      <x:c r="D14" s="30">
        <x:v>0</x:v>
      </x:c>
      <x:c r="E14" s="18" t="s">
        <x:v>153</x:v>
      </x:c>
      <x:c r="F14" s="18" t="s">
        <x:v>145</x:v>
      </x:c>
      <x:c r="G14" s="18" t="s">
        <x:v>199</x:v>
      </x:c>
      <x:c r="H14" s="18" t="s">
        <x:v>154</x:v>
      </x:c>
      <x:c r="I14" s="18" t="s">
        <x:v>146</x:v>
      </x:c>
      <x:c r="J14" s="18" t="s">
        <x:v>408</x:v>
      </x:c>
      <x:c r="K14" s="18" t="s">
        <x:v>350</x:v>
      </x:c>
      <x:c r="L14" s="26">
        <x:v>0.5</x:v>
      </x:c>
      <x:c r="M14" s="18" t="s">
        <x:v>351</x:v>
      </x:c>
      <x:c r="N14" s="30">
        <x:v>1</x:v>
      </x:c>
      <x:c r="O14" s="24">
        <x:v>30</x:v>
      </x:c>
      <x:c r="P14" s="24">
        <x:v>95</x:v>
      </x:c>
      <x:c r="Q14" s="18" t="s">
        <x:v>236</x:v>
      </x:c>
      <x:c r="R14" s="18" t="s">
        <x:v>360</x:v>
      </x:c>
      <x:c r="S14" s="43" t="n">
        <x:v>64.94344126</x:v>
      </x:c>
      <x:c r="T14" s="40">
        <x:v>2023</x:v>
      </x:c>
      <x:c r="U14" s="18">
        <x:v>1</x:v>
      </x:c>
      <x:c r="V14" s="18" t="s">
        <x:v>370</x:v>
      </x:c>
      <x:c r="W14" s="18" t="str">
        <x:v>cvd_unit_cost_indonesia_1_dm(2).xlsx</x:v>
      </x:c>
      <x:c r="X14" s="18" t="s">
        <x:v>411</x:v>
      </x:c>
      <x:c r="Y14" s="18" t="s">
        <x:v>376</x:v>
      </x:c>
      <x:c r="Z14" s="18" t="s">
        <x:v>377</x:v>
      </x:c>
      <x:c r="AA14" s="21" t="n">
        <x:f>COUNTIF(Intervention_Cause_Map!$I$2:$I$18,G14)</x:f>
        <x:v>1</x:v>
      </x:c>
      <x:c r="AB14" s="21" t="n">
        <x:f t="shared" si="0">SUMIF($B$2:$B$37,B14,$D$2:$D$37)</x:f>
        <x:v>1</x:v>
      </x:c>
      <x:c r="AC14" s="21" t="str">
        <x:f t="shared" si="1"/>
        <x:v>OK</x:v>
      </x:c>
    </x:row>
    <x:row r="15">
      <x:c r="A15" s="18" t="s">
        <x:v>412</x:v>
      </x:c>
      <x:c r="B15" s="18" t="s">
        <x:v>413</x:v>
      </x:c>
      <x:c r="C15" s="18" t="s">
        <x:v>348</x:v>
      </x:c>
      <x:c r="D15" s="30">
        <x:v>1</x:v>
      </x:c>
      <x:c r="E15" s="18" t="s">
        <x:v>153</x:v>
      </x:c>
      <x:c r="F15" s="18" t="s">
        <x:v>145</x:v>
      </x:c>
      <x:c r="G15" s="18" t="s">
        <x:v>199</x:v>
      </x:c>
      <x:c r="H15" s="18" t="s">
        <x:v>154</x:v>
      </x:c>
      <x:c r="I15" s="18" t="s">
        <x:v>146</x:v>
      </x:c>
      <x:c r="J15" s="18" t="s">
        <x:v>414</x:v>
      </x:c>
      <x:c r="K15" s="18" t="s">
        <x:v>350</x:v>
      </x:c>
      <x:c r="L15" s="26">
        <x:v>0.5</x:v>
      </x:c>
      <x:c r="M15" s="18" t="s">
        <x:v>351</x:v>
      </x:c>
      <x:c r="N15" s="30">
        <x:v>1</x:v>
      </x:c>
      <x:c r="O15" s="24">
        <x:v>30</x:v>
      </x:c>
      <x:c r="P15" s="24">
        <x:v>95</x:v>
      </x:c>
      <x:c r="Q15" s="18" t="s">
        <x:v>236</x:v>
      </x:c>
      <x:c r="R15" s="18" t="s">
        <x:v>360</x:v>
      </x:c>
      <x:c r="S15" s="43" t="n">
        <x:v>119.7214874</x:v>
      </x:c>
      <x:c r="T15" s="40">
        <x:v>2023</x:v>
      </x:c>
      <x:c r="U15" s="18">
        <x:v>1</x:v>
      </x:c>
      <x:c r="V15" s="18" t="s">
        <x:v>370</x:v>
      </x:c>
      <x:c r="W15" s="18" t="str">
        <x:v>cvd_unit_cost_indonesia_1_dm(2).xlsx</x:v>
      </x:c>
      <x:c r="X15" s="18" t="s">
        <x:v>415</x:v>
      </x:c>
      <x:c r="Y15" s="18" t="s">
        <x:v>240</x:v>
      </x:c>
      <x:c r="Z15" s="18"/>
      <x:c r="AA15" s="21" t="n">
        <x:f>COUNTIF(Intervention_Cause_Map!$I$2:$I$18,G15)</x:f>
        <x:v>1</x:v>
      </x:c>
      <x:c r="AB15" s="21" t="n">
        <x:f t="shared" si="0">SUMIF($B$2:$B$37,B15,$D$2:$D$37)</x:f>
        <x:v>1</x:v>
      </x:c>
      <x:c r="AC15" s="21" t="str">
        <x:f t="shared" si="1"/>
        <x:v>OK</x:v>
      </x:c>
    </x:row>
    <x:row r="16">
      <x:c r="A16" s="18" t="s">
        <x:v>416</x:v>
      </x:c>
      <x:c r="B16" s="18" t="s">
        <x:v>417</x:v>
      </x:c>
      <x:c r="C16" s="18" t="s">
        <x:v>365</x:v>
      </x:c>
      <x:c r="D16" s="30">
        <x:v>1</x:v>
      </x:c>
      <x:c r="E16" s="18" t="s">
        <x:v>153</x:v>
      </x:c>
      <x:c r="F16" s="18" t="s">
        <x:v>151</x:v>
      </x:c>
      <x:c r="G16" s="18" t="s">
        <x:v>201</x:v>
      </x:c>
      <x:c r="H16" s="18" t="s">
        <x:v>154</x:v>
      </x:c>
      <x:c r="I16" s="18" t="s">
        <x:v>152</x:v>
      </x:c>
      <x:c r="J16" s="18" t="s">
        <x:v>386</x:v>
      </x:c>
      <x:c r="K16" s="18" t="s">
        <x:v>387</x:v>
      </x:c>
      <x:c r="L16" s="26">
        <x:v>0.52</x:v>
      </x:c>
      <x:c r="M16" s="18" t="s">
        <x:v>388</x:v>
      </x:c>
      <x:c r="N16" s="30">
        <x:v>1</x:v>
      </x:c>
      <x:c r="O16" s="24">
        <x:v>30</x:v>
      </x:c>
      <x:c r="P16" s="24">
        <x:v>95</x:v>
      </x:c>
      <x:c r="Q16" s="18" t="s">
        <x:v>236</x:v>
      </x:c>
      <x:c r="R16" s="18" t="s">
        <x:v>360</x:v>
      </x:c>
      <x:c r="S16" s="43" t="n">
        <x:v>550.9482895</x:v>
      </x:c>
      <x:c r="T16" s="40">
        <x:v>2023</x:v>
      </x:c>
      <x:c r="U16" s="18">
        <x:v>1</x:v>
      </x:c>
      <x:c r="V16" s="18" t="s">
        <x:v>370</x:v>
      </x:c>
      <x:c r="W16" s="18" t="str">
        <x:v>cvd_unit_cost_indonesia_1_dm(2).xlsx</x:v>
      </x:c>
      <x:c r="X16" s="18" t="s">
        <x:v>418</x:v>
      </x:c>
      <x:c r="Y16" s="18" t="s">
        <x:v>20</x:v>
      </x:c>
      <x:c r="Z16" s="18" t="s">
        <x:v>390</x:v>
      </x:c>
      <x:c r="AA16" s="21" t="n">
        <x:f>COUNTIF(Intervention_Cause_Map!$I$2:$I$18,G16)</x:f>
        <x:v>1</x:v>
      </x:c>
      <x:c r="AB16" s="21" t="n">
        <x:f t="shared" si="0">SUMIF($B$2:$B$37,B16,$D$2:$D$37)</x:f>
        <x:v>1</x:v>
      </x:c>
      <x:c r="AC16" s="21" t="str">
        <x:f t="shared" si="1"/>
        <x:v>OK</x:v>
      </x:c>
    </x:row>
    <x:row r="17">
      <x:c r="A17" s="18" t="s">
        <x:v>419</x:v>
      </x:c>
      <x:c r="B17" s="18" t="s">
        <x:v>417</x:v>
      </x:c>
      <x:c r="C17" s="18" t="s">
        <x:v>374</x:v>
      </x:c>
      <x:c r="D17" s="30">
        <x:v>0</x:v>
      </x:c>
      <x:c r="E17" s="18" t="s">
        <x:v>153</x:v>
      </x:c>
      <x:c r="F17" s="18" t="s">
        <x:v>151</x:v>
      </x:c>
      <x:c r="G17" s="18" t="s">
        <x:v>201</x:v>
      </x:c>
      <x:c r="H17" s="18" t="s">
        <x:v>154</x:v>
      </x:c>
      <x:c r="I17" s="18" t="s">
        <x:v>152</x:v>
      </x:c>
      <x:c r="J17" s="18" t="s">
        <x:v>386</x:v>
      </x:c>
      <x:c r="K17" s="18" t="s">
        <x:v>387</x:v>
      </x:c>
      <x:c r="L17" s="26">
        <x:v>0.52</x:v>
      </x:c>
      <x:c r="M17" s="18" t="s">
        <x:v>388</x:v>
      </x:c>
      <x:c r="N17" s="30">
        <x:v>1</x:v>
      </x:c>
      <x:c r="O17" s="24">
        <x:v>30</x:v>
      </x:c>
      <x:c r="P17" s="24">
        <x:v>95</x:v>
      </x:c>
      <x:c r="Q17" s="18" t="s">
        <x:v>236</x:v>
      </x:c>
      <x:c r="R17" s="18" t="s">
        <x:v>360</x:v>
      </x:c>
      <x:c r="S17" s="43" t="n">
        <x:v>900.2585901</x:v>
      </x:c>
      <x:c r="T17" s="40">
        <x:v>2023</x:v>
      </x:c>
      <x:c r="U17" s="18">
        <x:v>1</x:v>
      </x:c>
      <x:c r="V17" s="18" t="s">
        <x:v>370</x:v>
      </x:c>
      <x:c r="W17" s="18" t="str">
        <x:v>cvd_unit_cost_indonesia_1_dm(2).xlsx</x:v>
      </x:c>
      <x:c r="X17" s="18" t="s">
        <x:v>420</x:v>
      </x:c>
      <x:c r="Y17" s="18" t="s">
        <x:v>376</x:v>
      </x:c>
      <x:c r="Z17" s="18" t="s">
        <x:v>377</x:v>
      </x:c>
      <x:c r="AA17" s="21" t="n">
        <x:f>COUNTIF(Intervention_Cause_Map!$I$2:$I$18,G17)</x:f>
        <x:v>1</x:v>
      </x:c>
      <x:c r="AB17" s="21" t="n">
        <x:f t="shared" si="0">SUMIF($B$2:$B$37,B17,$D$2:$D$37)</x:f>
        <x:v>1</x:v>
      </x:c>
      <x:c r="AC17" s="21" t="str">
        <x:f t="shared" si="1"/>
        <x:v>OK</x:v>
      </x:c>
    </x:row>
    <x:row r="18">
      <x:c r="A18" s="18" t="s">
        <x:v>421</x:v>
      </x:c>
      <x:c r="B18" s="18" t="s">
        <x:v>422</x:v>
      </x:c>
      <x:c r="C18" s="18" t="s">
        <x:v>365</x:v>
      </x:c>
      <x:c r="D18" s="30">
        <x:v>1</x:v>
      </x:c>
      <x:c r="E18" s="18" t="s">
        <x:v>153</x:v>
      </x:c>
      <x:c r="F18" s="18" t="s">
        <x:v>151</x:v>
      </x:c>
      <x:c r="G18" s="18" t="s">
        <x:v>201</x:v>
      </x:c>
      <x:c r="H18" s="18" t="s">
        <x:v>154</x:v>
      </x:c>
      <x:c r="I18" s="18" t="s">
        <x:v>152</x:v>
      </x:c>
      <x:c r="J18" s="18" t="s">
        <x:v>408</x:v>
      </x:c>
      <x:c r="K18" s="18" t="s">
        <x:v>350</x:v>
      </x:c>
      <x:c r="L18" s="26">
        <x:v>0.5</x:v>
      </x:c>
      <x:c r="M18" s="18" t="s">
        <x:v>351</x:v>
      </x:c>
      <x:c r="N18" s="30">
        <x:v>1</x:v>
      </x:c>
      <x:c r="O18" s="24">
        <x:v>30</x:v>
      </x:c>
      <x:c r="P18" s="24">
        <x:v>95</x:v>
      </x:c>
      <x:c r="Q18" s="18" t="s">
        <x:v>236</x:v>
      </x:c>
      <x:c r="R18" s="18" t="s">
        <x:v>360</x:v>
      </x:c>
      <x:c r="S18" s="43" t="n">
        <x:v>35.36264882</x:v>
      </x:c>
      <x:c r="T18" s="40">
        <x:v>2023</x:v>
      </x:c>
      <x:c r="U18" s="18">
        <x:v>1</x:v>
      </x:c>
      <x:c r="V18" s="18" t="s">
        <x:v>370</x:v>
      </x:c>
      <x:c r="W18" s="18" t="str">
        <x:v>cvd_unit_cost_indonesia_1_dm(2).xlsx</x:v>
      </x:c>
      <x:c r="X18" s="18" t="s">
        <x:v>423</x:v>
      </x:c>
      <x:c r="Y18" s="18" t="s">
        <x:v>20</x:v>
      </x:c>
      <x:c r="Z18" s="18" t="s">
        <x:v>390</x:v>
      </x:c>
      <x:c r="AA18" s="21" t="n">
        <x:f>COUNTIF(Intervention_Cause_Map!$I$2:$I$18,G18)</x:f>
        <x:v>1</x:v>
      </x:c>
      <x:c r="AB18" s="21" t="n">
        <x:f t="shared" si="0">SUMIF($B$2:$B$37,B18,$D$2:$D$37)</x:f>
        <x:v>1</x:v>
      </x:c>
      <x:c r="AC18" s="21" t="str">
        <x:f t="shared" si="1"/>
        <x:v>OK</x:v>
      </x:c>
    </x:row>
    <x:row r="19">
      <x:c r="A19" s="18" t="s">
        <x:v>424</x:v>
      </x:c>
      <x:c r="B19" s="18" t="s">
        <x:v>422</x:v>
      </x:c>
      <x:c r="C19" s="18" t="s">
        <x:v>374</x:v>
      </x:c>
      <x:c r="D19" s="30">
        <x:v>0</x:v>
      </x:c>
      <x:c r="E19" s="18" t="s">
        <x:v>153</x:v>
      </x:c>
      <x:c r="F19" s="18" t="s">
        <x:v>151</x:v>
      </x:c>
      <x:c r="G19" s="18" t="s">
        <x:v>201</x:v>
      </x:c>
      <x:c r="H19" s="18" t="s">
        <x:v>154</x:v>
      </x:c>
      <x:c r="I19" s="18" t="s">
        <x:v>152</x:v>
      </x:c>
      <x:c r="J19" s="18" t="s">
        <x:v>408</x:v>
      </x:c>
      <x:c r="K19" s="18" t="s">
        <x:v>350</x:v>
      </x:c>
      <x:c r="L19" s="26">
        <x:v>0.5</x:v>
      </x:c>
      <x:c r="M19" s="18" t="s">
        <x:v>351</x:v>
      </x:c>
      <x:c r="N19" s="30">
        <x:v>1</x:v>
      </x:c>
      <x:c r="O19" s="24">
        <x:v>30</x:v>
      </x:c>
      <x:c r="P19" s="24">
        <x:v>95</x:v>
      </x:c>
      <x:c r="Q19" s="18" t="s">
        <x:v>236</x:v>
      </x:c>
      <x:c r="R19" s="18" t="s">
        <x:v>360</x:v>
      </x:c>
      <x:c r="S19" s="43" t="n">
        <x:v>64.94344126</x:v>
      </x:c>
      <x:c r="T19" s="40">
        <x:v>2023</x:v>
      </x:c>
      <x:c r="U19" s="18">
        <x:v>1</x:v>
      </x:c>
      <x:c r="V19" s="18" t="s">
        <x:v>370</x:v>
      </x:c>
      <x:c r="W19" s="18" t="str">
        <x:v>cvd_unit_cost_indonesia_1_dm(2).xlsx</x:v>
      </x:c>
      <x:c r="X19" s="18" t="s">
        <x:v>425</x:v>
      </x:c>
      <x:c r="Y19" s="18" t="s">
        <x:v>376</x:v>
      </x:c>
      <x:c r="Z19" s="18" t="s">
        <x:v>377</x:v>
      </x:c>
      <x:c r="AA19" s="21" t="n">
        <x:f>COUNTIF(Intervention_Cause_Map!$I$2:$I$18,G19)</x:f>
        <x:v>1</x:v>
      </x:c>
      <x:c r="AB19" s="21" t="n">
        <x:f t="shared" si="0">SUMIF($B$2:$B$37,B19,$D$2:$D$37)</x:f>
        <x:v>1</x:v>
      </x:c>
      <x:c r="AC19" s="21" t="str">
        <x:f t="shared" si="1"/>
        <x:v>OK</x:v>
      </x:c>
    </x:row>
    <x:row r="20">
      <x:c r="A20" s="18" t="s">
        <x:v>426</x:v>
      </x:c>
      <x:c r="B20" s="18" t="s">
        <x:v>427</x:v>
      </x:c>
      <x:c r="C20" s="18" t="s">
        <x:v>348</x:v>
      </x:c>
      <x:c r="D20" s="30">
        <x:v>1</x:v>
      </x:c>
      <x:c r="E20" s="18" t="s">
        <x:v>153</x:v>
      </x:c>
      <x:c r="F20" s="18" t="s">
        <x:v>151</x:v>
      </x:c>
      <x:c r="G20" s="18" t="s">
        <x:v>201</x:v>
      </x:c>
      <x:c r="H20" s="18" t="s">
        <x:v>154</x:v>
      </x:c>
      <x:c r="I20" s="18" t="s">
        <x:v>152</x:v>
      </x:c>
      <x:c r="J20" s="18" t="s">
        <x:v>414</x:v>
      </x:c>
      <x:c r="K20" s="18" t="s">
        <x:v>350</x:v>
      </x:c>
      <x:c r="L20" s="26">
        <x:v>0.5</x:v>
      </x:c>
      <x:c r="M20" s="18" t="s">
        <x:v>351</x:v>
      </x:c>
      <x:c r="N20" s="30">
        <x:v>1</x:v>
      </x:c>
      <x:c r="O20" s="24">
        <x:v>30</x:v>
      </x:c>
      <x:c r="P20" s="24">
        <x:v>95</x:v>
      </x:c>
      <x:c r="Q20" s="18" t="s">
        <x:v>236</x:v>
      </x:c>
      <x:c r="R20" s="18" t="s">
        <x:v>360</x:v>
      </x:c>
      <x:c r="S20" s="43" t="n">
        <x:v>119.7214874</x:v>
      </x:c>
      <x:c r="T20" s="40">
        <x:v>2023</x:v>
      </x:c>
      <x:c r="U20" s="18">
        <x:v>1</x:v>
      </x:c>
      <x:c r="V20" s="18" t="s">
        <x:v>370</x:v>
      </x:c>
      <x:c r="W20" s="18" t="str">
        <x:v>cvd_unit_cost_indonesia_1_dm(2).xlsx</x:v>
      </x:c>
      <x:c r="X20" s="18" t="s">
        <x:v>428</x:v>
      </x:c>
      <x:c r="Y20" s="18" t="s">
        <x:v>240</x:v>
      </x:c>
      <x:c r="Z20" s="18"/>
      <x:c r="AA20" s="21" t="n">
        <x:f>COUNTIF(Intervention_Cause_Map!$I$2:$I$18,G20)</x:f>
        <x:v>1</x:v>
      </x:c>
      <x:c r="AB20" s="21" t="n">
        <x:f t="shared" si="0">SUMIF($B$2:$B$37,B20,$D$2:$D$37)</x:f>
        <x:v>1</x:v>
      </x:c>
      <x:c r="AC20" s="21" t="str">
        <x:f t="shared" si="1"/>
        <x:v>OK</x:v>
      </x:c>
    </x:row>
    <x:row r="21">
      <x:c r="A21" s="18" t="s">
        <x:v>429</x:v>
      </x:c>
      <x:c r="B21" s="18" t="s">
        <x:v>430</x:v>
      </x:c>
      <x:c r="C21" s="18" t="s">
        <x:v>348</x:v>
      </x:c>
      <x:c r="D21" s="30">
        <x:v>1</x:v>
      </x:c>
      <x:c r="E21" s="18" t="s">
        <x:v>158</x:v>
      </x:c>
      <x:c r="F21" s="18" t="s">
        <x:v>139</x:v>
      </x:c>
      <x:c r="G21" s="18" t="s">
        <x:v>202</x:v>
      </x:c>
      <x:c r="H21" s="18" t="s">
        <x:v>159</x:v>
      </x:c>
      <x:c r="I21" s="18" t="s">
        <x:v>140</x:v>
      </x:c>
      <x:c r="J21" s="18" t="s">
        <x:v>431</x:v>
      </x:c>
      <x:c r="K21" s="18" t="s">
        <x:v>350</x:v>
      </x:c>
      <x:c r="L21" s="26">
        <x:v>0.1</x:v>
      </x:c>
      <x:c r="M21" s="18" t="s">
        <x:v>432</x:v>
      </x:c>
      <x:c r="N21" s="30">
        <x:v>1</x:v>
      </x:c>
      <x:c r="O21" s="24">
        <x:v>30</x:v>
      </x:c>
      <x:c r="P21" s="24">
        <x:v>95</x:v>
      </x:c>
      <x:c r="Q21" s="18" t="s">
        <x:v>236</x:v>
      </x:c>
      <x:c r="R21" s="18" t="s">
        <x:v>360</x:v>
      </x:c>
      <x:c r="S21" s="43" t="n">
        <x:v>282.5128361</x:v>
      </x:c>
      <x:c r="T21" s="40">
        <x:v>2023</x:v>
      </x:c>
      <x:c r="U21" s="18">
        <x:v>1</x:v>
      </x:c>
      <x:c r="V21" s="18" t="s">
        <x:v>433</x:v>
      </x:c>
      <x:c r="W21" s="18" t="str">
        <x:v>cvd_unit_cost_indonesia_1_dm(2).xlsx</x:v>
      </x:c>
      <x:c r="X21" s="18" t="s">
        <x:v>434</x:v>
      </x:c>
      <x:c r="Y21" s="18" t="s">
        <x:v>240</x:v>
      </x:c>
      <x:c r="Z21" s="18"/>
      <x:c r="AA21" s="21" t="n">
        <x:f>COUNTIF(Intervention_Cause_Map!$I$2:$I$18,G21)</x:f>
        <x:v>1</x:v>
      </x:c>
      <x:c r="AB21" s="21" t="n">
        <x:f t="shared" si="0">SUMIF($B$2:$B$37,B21,$D$2:$D$37)</x:f>
        <x:v>1</x:v>
      </x:c>
      <x:c r="AC21" s="21" t="str">
        <x:f t="shared" si="1"/>
        <x:v>OK</x:v>
      </x:c>
    </x:row>
    <x:row r="22">
      <x:c r="A22" s="18" t="s">
        <x:v>435</x:v>
      </x:c>
      <x:c r="B22" s="18" t="s">
        <x:v>436</x:v>
      </x:c>
      <x:c r="C22" s="18" t="s">
        <x:v>348</x:v>
      </x:c>
      <x:c r="D22" s="30">
        <x:v>1</x:v>
      </x:c>
      <x:c r="E22" s="18" t="s">
        <x:v>158</x:v>
      </x:c>
      <x:c r="F22" s="18" t="s">
        <x:v>156</x:v>
      </x:c>
      <x:c r="G22" s="18" t="s">
        <x:v>204</x:v>
      </x:c>
      <x:c r="H22" s="18" t="s">
        <x:v>159</x:v>
      </x:c>
      <x:c r="I22" s="18" t="s">
        <x:v>157</x:v>
      </x:c>
      <x:c r="J22" s="18" t="s">
        <x:v>431</x:v>
      </x:c>
      <x:c r="K22" s="18" t="s">
        <x:v>350</x:v>
      </x:c>
      <x:c r="L22" s="26">
        <x:v>0.5</x:v>
      </x:c>
      <x:c r="M22" s="18" t="s">
        <x:v>432</x:v>
      </x:c>
      <x:c r="N22" s="30">
        <x:v>1</x:v>
      </x:c>
      <x:c r="O22" s="24">
        <x:v>30</x:v>
      </x:c>
      <x:c r="P22" s="24">
        <x:v>95</x:v>
      </x:c>
      <x:c r="Q22" s="18" t="s">
        <x:v>236</x:v>
      </x:c>
      <x:c r="R22" s="18" t="s">
        <x:v>360</x:v>
      </x:c>
      <x:c r="S22" s="43" t="n">
        <x:v>282.5128361</x:v>
      </x:c>
      <x:c r="T22" s="40">
        <x:v>2023</x:v>
      </x:c>
      <x:c r="U22" s="18">
        <x:v>1</x:v>
      </x:c>
      <x:c r="V22" s="18" t="s">
        <x:v>433</x:v>
      </x:c>
      <x:c r="W22" s="18" t="str">
        <x:v>cvd_unit_cost_indonesia_1_dm(2).xlsx</x:v>
      </x:c>
      <x:c r="X22" s="18" t="s">
        <x:v>437</x:v>
      </x:c>
      <x:c r="Y22" s="18" t="s">
        <x:v>240</x:v>
      </x:c>
      <x:c r="Z22" s="18"/>
      <x:c r="AA22" s="21" t="n">
        <x:f>COUNTIF(Intervention_Cause_Map!$I$2:$I$18,G22)</x:f>
        <x:v>1</x:v>
      </x:c>
      <x:c r="AB22" s="21" t="n">
        <x:f t="shared" si="0">SUMIF($B$2:$B$37,B22,$D$2:$D$37)</x:f>
        <x:v>1</x:v>
      </x:c>
      <x:c r="AC22" s="21" t="str">
        <x:f t="shared" si="1"/>
        <x:v>OK</x:v>
      </x:c>
    </x:row>
    <x:row r="23">
      <x:c r="A23" s="18" t="s">
        <x:v>438</x:v>
      </x:c>
      <x:c r="B23" s="18" t="s">
        <x:v>439</x:v>
      </x:c>
      <x:c r="C23" s="18" t="s">
        <x:v>348</x:v>
      </x:c>
      <x:c r="D23" s="30">
        <x:v>1</x:v>
      </x:c>
      <x:c r="E23" s="18" t="s">
        <x:v>158</x:v>
      </x:c>
      <x:c r="F23" s="18" t="s">
        <x:v>162</x:v>
      </x:c>
      <x:c r="G23" s="18" t="s">
        <x:v>206</x:v>
      </x:c>
      <x:c r="H23" s="18" t="s">
        <x:v>159</x:v>
      </x:c>
      <x:c r="I23" s="18" t="s">
        <x:v>163</x:v>
      </x:c>
      <x:c r="J23" s="18" t="s">
        <x:v>431</x:v>
      </x:c>
      <x:c r="K23" s="18" t="s">
        <x:v>350</x:v>
      </x:c>
      <x:c r="L23" s="26">
        <x:v>0.5</x:v>
      </x:c>
      <x:c r="M23" s="18" t="s">
        <x:v>432</x:v>
      </x:c>
      <x:c r="N23" s="30">
        <x:v>1</x:v>
      </x:c>
      <x:c r="O23" s="24">
        <x:v>30</x:v>
      </x:c>
      <x:c r="P23" s="24">
        <x:v>95</x:v>
      </x:c>
      <x:c r="Q23" s="18" t="s">
        <x:v>236</x:v>
      </x:c>
      <x:c r="R23" s="18" t="s">
        <x:v>360</x:v>
      </x:c>
      <x:c r="S23" s="43" t="n">
        <x:v>282.5128361</x:v>
      </x:c>
      <x:c r="T23" s="40">
        <x:v>2023</x:v>
      </x:c>
      <x:c r="U23" s="18">
        <x:v>1</x:v>
      </x:c>
      <x:c r="V23" s="18" t="s">
        <x:v>433</x:v>
      </x:c>
      <x:c r="W23" s="18" t="str">
        <x:v>cvd_unit_cost_indonesia_1_dm(2).xlsx</x:v>
      </x:c>
      <x:c r="X23" s="18" t="s">
        <x:v>440</x:v>
      </x:c>
      <x:c r="Y23" s="18" t="s">
        <x:v>240</x:v>
      </x:c>
      <x:c r="Z23" s="18"/>
      <x:c r="AA23" s="21" t="n">
        <x:f>COUNTIF(Intervention_Cause_Map!$I$2:$I$18,G23)</x:f>
        <x:v>1</x:v>
      </x:c>
      <x:c r="AB23" s="21" t="n">
        <x:f t="shared" si="0">SUMIF($B$2:$B$37,B23,$D$2:$D$37)</x:f>
        <x:v>1</x:v>
      </x:c>
      <x:c r="AC23" s="21" t="str">
        <x:f t="shared" si="1"/>
        <x:v>OK</x:v>
      </x:c>
    </x:row>
    <x:row r="24" ht="22.799999237060547" customHeight="1">
      <x:c r="A24" s="18" t="s">
        <x:v>441</x:v>
      </x:c>
      <x:c r="B24" s="18" t="s">
        <x:v>442</x:v>
      </x:c>
      <x:c r="C24" s="18" t="s">
        <x:v>348</x:v>
      </x:c>
      <x:c r="D24" s="30">
        <x:v>1</x:v>
      </x:c>
      <x:c r="E24" s="18" t="s">
        <x:v>164</x:v>
      </x:c>
      <x:c r="F24" s="18" t="s">
        <x:v>162</x:v>
      </x:c>
      <x:c r="G24" s="18" t="s">
        <x:v>210</x:v>
      </x:c>
      <x:c r="H24" s="18" t="s">
        <x:v>165</x:v>
      </x:c>
      <x:c r="I24" s="18" t="s">
        <x:v>163</x:v>
      </x:c>
      <x:c r="J24" s="18" t="s">
        <x:v>443</x:v>
      </x:c>
      <x:c r="K24" s="18" t="s">
        <x:v>350</x:v>
      </x:c>
      <x:c r="L24" s="26">
        <x:v>1</x:v>
      </x:c>
      <x:c r="M24" s="18" t="s">
        <x:v>351</x:v>
      </x:c>
      <x:c r="N24" s="30">
        <x:v>1</x:v>
      </x:c>
      <x:c r="O24" s="24">
        <x:v>0</x:v>
      </x:c>
      <x:c r="P24" s="24">
        <x:v>95</x:v>
      </x:c>
      <x:c r="Q24" s="18" t="s">
        <x:v>236</x:v>
      </x:c>
      <x:c r="R24" s="18" t="s">
        <x:v>360</x:v>
      </x:c>
      <x:c r="S24" s="43" t="n">
        <x:v>5.133311162</x:v>
      </x:c>
      <x:c r="T24" s="40">
        <x:v>2023</x:v>
      </x:c>
      <x:c r="U24" s="18">
        <x:v>1</x:v>
      </x:c>
      <x:c r="V24" s="18" t="s">
        <x:v>401</x:v>
      </x:c>
      <x:c r="W24" s="18" t="str">
        <x:v>cvd_unit_cost_indonesia_1_dm(2).xlsx</x:v>
      </x:c>
      <x:c r="X24" s="18" t="s">
        <x:v>444</x:v>
      </x:c>
      <x:c r="Y24" s="18" t="s">
        <x:v>240</x:v>
      </x:c>
      <x:c r="Z24" s="18"/>
      <x:c r="AA24" s="21" t="n">
        <x:f>COUNTIF(Intervention_Cause_Map!$I$2:$I$18,G24)</x:f>
        <x:v>1</x:v>
      </x:c>
      <x:c r="AB24" s="21" t="n">
        <x:f t="shared" si="0">SUMIF($B$2:$B$37,B24,$D$2:$D$37)</x:f>
        <x:v>1</x:v>
      </x:c>
      <x:c r="AC24" s="21" t="str">
        <x:f t="shared" si="1"/>
        <x:v>OK</x:v>
      </x:c>
    </x:row>
    <x:row r="25" ht="22.799999237060547" customHeight="1">
      <x:c r="A25" s="18" t="s">
        <x:v>445</x:v>
      </x:c>
      <x:c r="B25" s="18" t="s">
        <x:v>446</x:v>
      </x:c>
      <x:c r="C25" s="18" t="s">
        <x:v>365</x:v>
      </x:c>
      <x:c r="D25" s="30">
        <x:v>1</x:v>
      </x:c>
      <x:c r="E25" s="18" t="s">
        <x:v>164</x:v>
      </x:c>
      <x:c r="F25" s="18" t="s">
        <x:v>162</x:v>
      </x:c>
      <x:c r="G25" s="18" t="s">
        <x:v>210</x:v>
      </x:c>
      <x:c r="H25" s="18" t="s">
        <x:v>165</x:v>
      </x:c>
      <x:c r="I25" s="18" t="s">
        <x:v>163</x:v>
      </x:c>
      <x:c r="J25" s="18" t="s">
        <x:v>408</x:v>
      </x:c>
      <x:c r="K25" s="18" t="s">
        <x:v>350</x:v>
      </x:c>
      <x:c r="L25" s="26">
        <x:v>1</x:v>
      </x:c>
      <x:c r="M25" s="18" t="s">
        <x:v>351</x:v>
      </x:c>
      <x:c r="N25" s="30">
        <x:v>1</x:v>
      </x:c>
      <x:c r="O25" s="24">
        <x:v>0</x:v>
      </x:c>
      <x:c r="P25" s="24">
        <x:v>95</x:v>
      </x:c>
      <x:c r="Q25" s="18" t="s">
        <x:v>236</x:v>
      </x:c>
      <x:c r="R25" s="18" t="s">
        <x:v>360</x:v>
      </x:c>
      <x:c r="S25" s="43" t="n">
        <x:v>35.36264882</x:v>
      </x:c>
      <x:c r="T25" s="40">
        <x:v>2023</x:v>
      </x:c>
      <x:c r="U25" s="18">
        <x:v>1</x:v>
      </x:c>
      <x:c r="V25" s="18" t="s">
        <x:v>370</x:v>
      </x:c>
      <x:c r="W25" s="18" t="str">
        <x:v>cvd_unit_cost_indonesia_1_dm(2).xlsx</x:v>
      </x:c>
      <x:c r="X25" s="18" t="s">
        <x:v>447</x:v>
      </x:c>
      <x:c r="Y25" s="18" t="s">
        <x:v>20</x:v>
      </x:c>
      <x:c r="Z25" s="18" t="s">
        <x:v>390</x:v>
      </x:c>
      <x:c r="AA25" s="21" t="n">
        <x:f>COUNTIF(Intervention_Cause_Map!$I$2:$I$18,G25)</x:f>
        <x:v>1</x:v>
      </x:c>
      <x:c r="AB25" s="21" t="n">
        <x:f t="shared" si="0">SUMIF($B$2:$B$37,B25,$D$2:$D$37)</x:f>
        <x:v>1</x:v>
      </x:c>
      <x:c r="AC25" s="21" t="str">
        <x:f t="shared" si="1"/>
        <x:v>OK</x:v>
      </x:c>
    </x:row>
    <x:row r="26" ht="22.799999237060547" customHeight="1">
      <x:c r="A26" s="18" t="s">
        <x:v>448</x:v>
      </x:c>
      <x:c r="B26" s="18" t="s">
        <x:v>446</x:v>
      </x:c>
      <x:c r="C26" s="18" t="s">
        <x:v>374</x:v>
      </x:c>
      <x:c r="D26" s="30">
        <x:v>0</x:v>
      </x:c>
      <x:c r="E26" s="18" t="s">
        <x:v>164</x:v>
      </x:c>
      <x:c r="F26" s="18" t="s">
        <x:v>162</x:v>
      </x:c>
      <x:c r="G26" s="18" t="s">
        <x:v>210</x:v>
      </x:c>
      <x:c r="H26" s="18" t="s">
        <x:v>165</x:v>
      </x:c>
      <x:c r="I26" s="18" t="s">
        <x:v>163</x:v>
      </x:c>
      <x:c r="J26" s="18" t="s">
        <x:v>408</x:v>
      </x:c>
      <x:c r="K26" s="18" t="s">
        <x:v>350</x:v>
      </x:c>
      <x:c r="L26" s="26">
        <x:v>1</x:v>
      </x:c>
      <x:c r="M26" s="18" t="s">
        <x:v>351</x:v>
      </x:c>
      <x:c r="N26" s="30">
        <x:v>1</x:v>
      </x:c>
      <x:c r="O26" s="24">
        <x:v>0</x:v>
      </x:c>
      <x:c r="P26" s="24">
        <x:v>95</x:v>
      </x:c>
      <x:c r="Q26" s="18" t="s">
        <x:v>236</x:v>
      </x:c>
      <x:c r="R26" s="18" t="s">
        <x:v>360</x:v>
      </x:c>
      <x:c r="S26" s="43" t="n">
        <x:v>64.94344126</x:v>
      </x:c>
      <x:c r="T26" s="40">
        <x:v>2023</x:v>
      </x:c>
      <x:c r="U26" s="18">
        <x:v>1</x:v>
      </x:c>
      <x:c r="V26" s="18" t="s">
        <x:v>370</x:v>
      </x:c>
      <x:c r="W26" s="18" t="str">
        <x:v>cvd_unit_cost_indonesia_1_dm(2).xlsx</x:v>
      </x:c>
      <x:c r="X26" s="18" t="s">
        <x:v>449</x:v>
      </x:c>
      <x:c r="Y26" s="18" t="s">
        <x:v>376</x:v>
      </x:c>
      <x:c r="Z26" s="18" t="s">
        <x:v>377</x:v>
      </x:c>
      <x:c r="AA26" s="21" t="n">
        <x:f>COUNTIF(Intervention_Cause_Map!$I$2:$I$18,G26)</x:f>
        <x:v>1</x:v>
      </x:c>
      <x:c r="AB26" s="21" t="n">
        <x:f t="shared" si="0">SUMIF($B$2:$B$37,B26,$D$2:$D$37)</x:f>
        <x:v>1</x:v>
      </x:c>
      <x:c r="AC26" s="21" t="str">
        <x:f t="shared" si="1"/>
        <x:v>OK</x:v>
      </x:c>
    </x:row>
    <x:row r="27">
      <x:c r="A27" s="18" t="s">
        <x:v>450</x:v>
      </x:c>
      <x:c r="B27" s="18" t="s">
        <x:v>451</x:v>
      </x:c>
      <x:c r="C27" s="18" t="s">
        <x:v>348</x:v>
      </x:c>
      <x:c r="D27" s="30">
        <x:v>1</x:v>
      </x:c>
      <x:c r="E27" s="18" t="s">
        <x:v>164</x:v>
      </x:c>
      <x:c r="F27" s="18" t="s">
        <x:v>162</x:v>
      </x:c>
      <x:c r="G27" s="18" t="s">
        <x:v>210</x:v>
      </x:c>
      <x:c r="H27" s="18" t="s">
        <x:v>165</x:v>
      </x:c>
      <x:c r="I27" s="18" t="s">
        <x:v>163</x:v>
      </x:c>
      <x:c r="J27" s="18" t="s">
        <x:v>452</x:v>
      </x:c>
      <x:c r="K27" s="18" t="s">
        <x:v>350</x:v>
      </x:c>
      <x:c r="L27" s="26">
        <x:v>1</x:v>
      </x:c>
      <x:c r="M27" s="18" t="s">
        <x:v>351</x:v>
      </x:c>
      <x:c r="N27" s="30">
        <x:v>1</x:v>
      </x:c>
      <x:c r="O27" s="24">
        <x:v>0</x:v>
      </x:c>
      <x:c r="P27" s="24">
        <x:v>95</x:v>
      </x:c>
      <x:c r="Q27" s="18" t="s">
        <x:v>236</x:v>
      </x:c>
      <x:c r="R27" s="18" t="s">
        <x:v>360</x:v>
      </x:c>
      <x:c r="S27" s="43" t="n">
        <x:v>115.1062307</x:v>
      </x:c>
      <x:c r="T27" s="40">
        <x:v>2023</x:v>
      </x:c>
      <x:c r="U27" s="18">
        <x:v>1</x:v>
      </x:c>
      <x:c r="V27" s="18" t="s">
        <x:v>370</x:v>
      </x:c>
      <x:c r="W27" s="18" t="str">
        <x:v>cvd_unit_cost_indonesia_1_dm(2).xlsx</x:v>
      </x:c>
      <x:c r="X27" s="18" t="s">
        <x:v>453</x:v>
      </x:c>
      <x:c r="Y27" s="18" t="s">
        <x:v>240</x:v>
      </x:c>
      <x:c r="Z27" s="18"/>
      <x:c r="AA27" s="21" t="n">
        <x:f>COUNTIF(Intervention_Cause_Map!$I$2:$I$18,G27)</x:f>
        <x:v>1</x:v>
      </x:c>
      <x:c r="AB27" s="21" t="n">
        <x:f t="shared" si="0">SUMIF($B$2:$B$37,B27,$D$2:$D$37)</x:f>
        <x:v>1</x:v>
      </x:c>
      <x:c r="AC27" s="21" t="str">
        <x:f t="shared" si="1"/>
        <x:v>OK</x:v>
      </x:c>
    </x:row>
    <x:row r="28" ht="22.799999237060547" customHeight="1">
      <x:c r="A28" s="18" t="s">
        <x:v>454</x:v>
      </x:c>
      <x:c r="B28" s="18" t="s">
        <x:v>455</x:v>
      </x:c>
      <x:c r="C28" s="18" t="s">
        <x:v>348</x:v>
      </x:c>
      <x:c r="D28" s="30">
        <x:v>1</x:v>
      </x:c>
      <x:c r="E28" s="18" t="s">
        <x:v>164</x:v>
      </x:c>
      <x:c r="F28" s="18" t="s">
        <x:v>156</x:v>
      </x:c>
      <x:c r="G28" s="18" t="s">
        <x:v>209</x:v>
      </x:c>
      <x:c r="H28" s="18" t="s">
        <x:v>165</x:v>
      </x:c>
      <x:c r="I28" s="18" t="s">
        <x:v>157</x:v>
      </x:c>
      <x:c r="J28" s="18" t="s">
        <x:v>443</x:v>
      </x:c>
      <x:c r="K28" s="18" t="s">
        <x:v>350</x:v>
      </x:c>
      <x:c r="L28" s="26">
        <x:v>1</x:v>
      </x:c>
      <x:c r="M28" s="18" t="s">
        <x:v>351</x:v>
      </x:c>
      <x:c r="N28" s="30">
        <x:v>1</x:v>
      </x:c>
      <x:c r="O28" s="24">
        <x:v>30</x:v>
      </x:c>
      <x:c r="P28" s="24">
        <x:v>95</x:v>
      </x:c>
      <x:c r="Q28" s="18" t="s">
        <x:v>236</x:v>
      </x:c>
      <x:c r="R28" s="18" t="s">
        <x:v>360</x:v>
      </x:c>
      <x:c r="S28" s="43" t="n">
        <x:v>5.133311162</x:v>
      </x:c>
      <x:c r="T28" s="40">
        <x:v>2023</x:v>
      </x:c>
      <x:c r="U28" s="18">
        <x:v>1</x:v>
      </x:c>
      <x:c r="V28" s="18" t="s">
        <x:v>401</x:v>
      </x:c>
      <x:c r="W28" s="18" t="str">
        <x:v>cvd_unit_cost_indonesia_1_dm(2).xlsx</x:v>
      </x:c>
      <x:c r="X28" s="18" t="s">
        <x:v>456</x:v>
      </x:c>
      <x:c r="Y28" s="18" t="s">
        <x:v>240</x:v>
      </x:c>
      <x:c r="Z28" s="18"/>
      <x:c r="AA28" s="21" t="n">
        <x:f>COUNTIF(Intervention_Cause_Map!$I$2:$I$18,G28)</x:f>
        <x:v>1</x:v>
      </x:c>
      <x:c r="AB28" s="21" t="n">
        <x:f t="shared" si="0">SUMIF($B$2:$B$37,B28,$D$2:$D$37)</x:f>
        <x:v>1</x:v>
      </x:c>
      <x:c r="AC28" s="21" t="str">
        <x:f t="shared" si="1"/>
        <x:v>OK</x:v>
      </x:c>
    </x:row>
    <x:row r="29" ht="22.799999237060547" customHeight="1">
      <x:c r="A29" s="18" t="s">
        <x:v>457</x:v>
      </x:c>
      <x:c r="B29" s="18" t="s">
        <x:v>458</x:v>
      </x:c>
      <x:c r="C29" s="18" t="s">
        <x:v>365</x:v>
      </x:c>
      <x:c r="D29" s="30">
        <x:v>1</x:v>
      </x:c>
      <x:c r="E29" s="18" t="s">
        <x:v>164</x:v>
      </x:c>
      <x:c r="F29" s="18" t="s">
        <x:v>156</x:v>
      </x:c>
      <x:c r="G29" s="18" t="s">
        <x:v>209</x:v>
      </x:c>
      <x:c r="H29" s="18" t="s">
        <x:v>165</x:v>
      </x:c>
      <x:c r="I29" s="18" t="s">
        <x:v>157</x:v>
      </x:c>
      <x:c r="J29" s="18" t="s">
        <x:v>408</x:v>
      </x:c>
      <x:c r="K29" s="18" t="s">
        <x:v>350</x:v>
      </x:c>
      <x:c r="L29" s="26">
        <x:v>1</x:v>
      </x:c>
      <x:c r="M29" s="18" t="s">
        <x:v>351</x:v>
      </x:c>
      <x:c r="N29" s="30">
        <x:v>1</x:v>
      </x:c>
      <x:c r="O29" s="24">
        <x:v>30</x:v>
      </x:c>
      <x:c r="P29" s="24">
        <x:v>95</x:v>
      </x:c>
      <x:c r="Q29" s="18" t="s">
        <x:v>236</x:v>
      </x:c>
      <x:c r="R29" s="18" t="s">
        <x:v>360</x:v>
      </x:c>
      <x:c r="S29" s="43" t="n">
        <x:v>35.36264882</x:v>
      </x:c>
      <x:c r="T29" s="40">
        <x:v>2023</x:v>
      </x:c>
      <x:c r="U29" s="18">
        <x:v>1</x:v>
      </x:c>
      <x:c r="V29" s="18" t="s">
        <x:v>370</x:v>
      </x:c>
      <x:c r="W29" s="18" t="str">
        <x:v>cvd_unit_cost_indonesia_1_dm(2).xlsx</x:v>
      </x:c>
      <x:c r="X29" s="18" t="s">
        <x:v>459</x:v>
      </x:c>
      <x:c r="Y29" s="18" t="s">
        <x:v>20</x:v>
      </x:c>
      <x:c r="Z29" s="18" t="s">
        <x:v>390</x:v>
      </x:c>
      <x:c r="AA29" s="21" t="n">
        <x:f>COUNTIF(Intervention_Cause_Map!$I$2:$I$18,G29)</x:f>
        <x:v>1</x:v>
      </x:c>
      <x:c r="AB29" s="21" t="n">
        <x:f t="shared" si="0">SUMIF($B$2:$B$37,B29,$D$2:$D$37)</x:f>
        <x:v>1</x:v>
      </x:c>
      <x:c r="AC29" s="21" t="str">
        <x:f t="shared" si="1"/>
        <x:v>OK</x:v>
      </x:c>
    </x:row>
    <x:row r="30" ht="22.799999237060547" customHeight="1">
      <x:c r="A30" s="18" t="s">
        <x:v>460</x:v>
      </x:c>
      <x:c r="B30" s="18" t="s">
        <x:v>458</x:v>
      </x:c>
      <x:c r="C30" s="18" t="s">
        <x:v>374</x:v>
      </x:c>
      <x:c r="D30" s="30">
        <x:v>0</x:v>
      </x:c>
      <x:c r="E30" s="18" t="s">
        <x:v>164</x:v>
      </x:c>
      <x:c r="F30" s="18" t="s">
        <x:v>156</x:v>
      </x:c>
      <x:c r="G30" s="18" t="s">
        <x:v>209</x:v>
      </x:c>
      <x:c r="H30" s="18" t="s">
        <x:v>165</x:v>
      </x:c>
      <x:c r="I30" s="18" t="s">
        <x:v>157</x:v>
      </x:c>
      <x:c r="J30" s="18" t="s">
        <x:v>408</x:v>
      </x:c>
      <x:c r="K30" s="18" t="s">
        <x:v>350</x:v>
      </x:c>
      <x:c r="L30" s="26">
        <x:v>1</x:v>
      </x:c>
      <x:c r="M30" s="18" t="s">
        <x:v>351</x:v>
      </x:c>
      <x:c r="N30" s="30">
        <x:v>1</x:v>
      </x:c>
      <x:c r="O30" s="24">
        <x:v>30</x:v>
      </x:c>
      <x:c r="P30" s="24">
        <x:v>95</x:v>
      </x:c>
      <x:c r="Q30" s="18" t="s">
        <x:v>236</x:v>
      </x:c>
      <x:c r="R30" s="18" t="s">
        <x:v>360</x:v>
      </x:c>
      <x:c r="S30" s="43" t="n">
        <x:v>64.94344126</x:v>
      </x:c>
      <x:c r="T30" s="40">
        <x:v>2023</x:v>
      </x:c>
      <x:c r="U30" s="18">
        <x:v>1</x:v>
      </x:c>
      <x:c r="V30" s="18" t="s">
        <x:v>370</x:v>
      </x:c>
      <x:c r="W30" s="18" t="str">
        <x:v>cvd_unit_cost_indonesia_1_dm(2).xlsx</x:v>
      </x:c>
      <x:c r="X30" s="18" t="s">
        <x:v>461</x:v>
      </x:c>
      <x:c r="Y30" s="18" t="s">
        <x:v>376</x:v>
      </x:c>
      <x:c r="Z30" s="18" t="s">
        <x:v>377</x:v>
      </x:c>
      <x:c r="AA30" s="21" t="n">
        <x:f>COUNTIF(Intervention_Cause_Map!$I$2:$I$18,G30)</x:f>
        <x:v>1</x:v>
      </x:c>
      <x:c r="AB30" s="21" t="n">
        <x:f t="shared" si="0">SUMIF($B$2:$B$37,B30,$D$2:$D$37)</x:f>
        <x:v>1</x:v>
      </x:c>
      <x:c r="AC30" s="21" t="str">
        <x:f t="shared" si="1"/>
        <x:v>OK</x:v>
      </x:c>
    </x:row>
    <x:row r="31">
      <x:c r="A31" s="18" t="s">
        <x:v>462</x:v>
      </x:c>
      <x:c r="B31" s="18" t="s">
        <x:v>463</x:v>
      </x:c>
      <x:c r="C31" s="18" t="s">
        <x:v>348</x:v>
      </x:c>
      <x:c r="D31" s="30">
        <x:v>1</x:v>
      </x:c>
      <x:c r="E31" s="18" t="s">
        <x:v>164</x:v>
      </x:c>
      <x:c r="F31" s="18" t="s">
        <x:v>156</x:v>
      </x:c>
      <x:c r="G31" s="18" t="s">
        <x:v>209</x:v>
      </x:c>
      <x:c r="H31" s="18" t="s">
        <x:v>165</x:v>
      </x:c>
      <x:c r="I31" s="18" t="s">
        <x:v>157</x:v>
      </x:c>
      <x:c r="J31" s="18" t="s">
        <x:v>452</x:v>
      </x:c>
      <x:c r="K31" s="18" t="s">
        <x:v>350</x:v>
      </x:c>
      <x:c r="L31" s="26">
        <x:v>1</x:v>
      </x:c>
      <x:c r="M31" s="18" t="s">
        <x:v>351</x:v>
      </x:c>
      <x:c r="N31" s="30">
        <x:v>1</x:v>
      </x:c>
      <x:c r="O31" s="24">
        <x:v>0</x:v>
      </x:c>
      <x:c r="P31" s="24">
        <x:v>95</x:v>
      </x:c>
      <x:c r="Q31" s="18" t="s">
        <x:v>236</x:v>
      </x:c>
      <x:c r="R31" s="18" t="s">
        <x:v>360</x:v>
      </x:c>
      <x:c r="S31" s="43" t="n">
        <x:v>115.1062307</x:v>
      </x:c>
      <x:c r="T31" s="40">
        <x:v>2023</x:v>
      </x:c>
      <x:c r="U31" s="18">
        <x:v>1</x:v>
      </x:c>
      <x:c r="V31" s="18" t="s">
        <x:v>370</x:v>
      </x:c>
      <x:c r="W31" s="18" t="str">
        <x:v>cvd_unit_cost_indonesia_1_dm(2).xlsx</x:v>
      </x:c>
      <x:c r="X31" s="18" t="s">
        <x:v>464</x:v>
      </x:c>
      <x:c r="Y31" s="18" t="s">
        <x:v>240</x:v>
      </x:c>
      <x:c r="Z31" s="18" t="s">
        <x:v>465</x:v>
      </x:c>
      <x:c r="AA31" s="21" t="n">
        <x:f>COUNTIF(Intervention_Cause_Map!$I$2:$I$18,G31)</x:f>
        <x:v>1</x:v>
      </x:c>
      <x:c r="AB31" s="21" t="n">
        <x:f t="shared" si="0">SUMIF($B$2:$B$37,B31,$D$2:$D$37)</x:f>
        <x:v>1</x:v>
      </x:c>
      <x:c r="AC31" s="21" t="str">
        <x:f t="shared" si="1"/>
        <x:v>OK</x:v>
      </x:c>
    </x:row>
    <x:row r="32">
      <x:c r="A32" s="18" t="s">
        <x:v>466</x:v>
      </x:c>
      <x:c r="B32" s="18" t="s">
        <x:v>467</x:v>
      </x:c>
      <x:c r="C32" s="18" t="s">
        <x:v>348</x:v>
      </x:c>
      <x:c r="D32" s="30">
        <x:v>1</x:v>
      </x:c>
      <x:c r="E32" s="18" t="s">
        <x:v>164</x:v>
      </x:c>
      <x:c r="F32" s="18" t="s">
        <x:v>139</x:v>
      </x:c>
      <x:c r="G32" s="18" t="s">
        <x:v>208</x:v>
      </x:c>
      <x:c r="H32" s="18" t="s">
        <x:v>165</x:v>
      </x:c>
      <x:c r="I32" s="18" t="s">
        <x:v>140</x:v>
      </x:c>
      <x:c r="J32" s="18" t="s">
        <x:v>443</x:v>
      </x:c>
      <x:c r="K32" s="18" t="s">
        <x:v>350</x:v>
      </x:c>
      <x:c r="L32" s="26">
        <x:v>0.2</x:v>
      </x:c>
      <x:c r="M32" s="18" t="s">
        <x:v>351</x:v>
      </x:c>
      <x:c r="N32" s="30">
        <x:v>1</x:v>
      </x:c>
      <x:c r="O32" s="24">
        <x:v>30</x:v>
      </x:c>
      <x:c r="P32" s="24">
        <x:v>95</x:v>
      </x:c>
      <x:c r="Q32" s="18" t="s">
        <x:v>236</x:v>
      </x:c>
      <x:c r="R32" s="18" t="s">
        <x:v>360</x:v>
      </x:c>
      <x:c r="S32" s="43" t="n">
        <x:v>5.133311162</x:v>
      </x:c>
      <x:c r="T32" s="40">
        <x:v>2023</x:v>
      </x:c>
      <x:c r="U32" s="18">
        <x:v>1</x:v>
      </x:c>
      <x:c r="V32" s="18" t="s">
        <x:v>401</x:v>
      </x:c>
      <x:c r="W32" s="18" t="str">
        <x:v>cvd_unit_cost_indonesia_1_dm(2).xlsx</x:v>
      </x:c>
      <x:c r="X32" s="18" t="s">
        <x:v>468</x:v>
      </x:c>
      <x:c r="Y32" s="18" t="s">
        <x:v>240</x:v>
      </x:c>
      <x:c r="Z32" s="18"/>
      <x:c r="AA32" s="21" t="n">
        <x:f>COUNTIF(Intervention_Cause_Map!$I$2:$I$18,G32)</x:f>
        <x:v>1</x:v>
      </x:c>
      <x:c r="AB32" s="21" t="n">
        <x:f t="shared" si="0">SUMIF($B$2:$B$37,B32,$D$2:$D$37)</x:f>
        <x:v>1</x:v>
      </x:c>
      <x:c r="AC32" s="21" t="str">
        <x:f t="shared" si="1"/>
        <x:v>OK</x:v>
      </x:c>
    </x:row>
    <x:row r="33">
      <x:c r="A33" s="18" t="s">
        <x:v>469</x:v>
      </x:c>
      <x:c r="B33" s="18" t="s">
        <x:v>470</x:v>
      </x:c>
      <x:c r="C33" s="18" t="s">
        <x:v>18</x:v>
      </x:c>
      <x:c r="D33" s="46">
        <x:v>1</x:v>
      </x:c>
      <x:c r="E33" s="18" t="s">
        <x:v>164</x:v>
      </x:c>
      <x:c r="F33" s="18" t="s">
        <x:v>139</x:v>
      </x:c>
      <x:c r="G33" s="18" t="s">
        <x:v>208</x:v>
      </x:c>
      <x:c r="H33" s="18" t="s">
        <x:v>165</x:v>
      </x:c>
      <x:c r="I33" s="18" t="s">
        <x:v>140</x:v>
      </x:c>
      <x:c r="J33" s="18" t="s">
        <x:v>408</x:v>
      </x:c>
      <x:c r="K33" s="18" t="s">
        <x:v>350</x:v>
      </x:c>
      <x:c r="L33" s="26">
        <x:v>0.2</x:v>
      </x:c>
      <x:c r="M33" s="18" t="s">
        <x:v>351</x:v>
      </x:c>
      <x:c r="N33" s="30">
        <x:v>1</x:v>
      </x:c>
      <x:c r="O33" s="24">
        <x:v>30</x:v>
      </x:c>
      <x:c r="P33" s="24">
        <x:v>95</x:v>
      </x:c>
      <x:c r="Q33" s="18" t="s">
        <x:v>236</x:v>
      </x:c>
      <x:c r="R33" s="18" t="s">
        <x:v>360</x:v>
      </x:c>
      <x:c r="S33" s="45">
        <x:v>7</x:v>
      </x:c>
      <x:c r="T33" s="40">
        <x:v>2023</x:v>
      </x:c>
      <x:c r="U33" s="18">
        <x:v>1</x:v>
      </x:c>
      <x:c r="V33" s="18"/>
      <x:c r="W33" s="18" t="str">
        <x:v>cvd_unit_cost_indonesia_1_dm(2).xlsx</x:v>
      </x:c>
      <x:c r="X33" s="18" t="s">
        <x:v>471</x:v>
      </x:c>
      <x:c r="Y33" s="18" t="s">
        <x:v>472</x:v>
      </x:c>
      <x:c r="Z33" s="18" t="s">
        <x:v>473</x:v>
      </x:c>
      <x:c r="AA33" s="21" t="n">
        <x:f>COUNTIF(Intervention_Cause_Map!$I$2:$I$18,G33)</x:f>
        <x:v>1</x:v>
      </x:c>
      <x:c r="AB33" s="21" t="n">
        <x:f t="shared" si="0">SUMIF($B$2:$B$37,B33,$D$2:$D$37)</x:f>
        <x:v>1</x:v>
      </x:c>
      <x:c r="AC33" s="21" t="str">
        <x:f>IF(AA33&lt;1,"BAD KEY",IF(S33="","MISSING COST",IF(U33=0,"REVIEW ADJUSTMENT",IF(AB33&lt;&gt;1,"CHECK SELECTION","OK"))))</x:f>
        <x:v>OK</x:v>
      </x:c>
    </x:row>
    <x:row r="34">
      <x:c r="A34" s="18" t="s">
        <x:v>474</x:v>
      </x:c>
      <x:c r="B34" s="18" t="s">
        <x:v>475</x:v>
      </x:c>
      <x:c r="C34" s="18" t="s">
        <x:v>348</x:v>
      </x:c>
      <x:c r="D34" s="30">
        <x:v>1</x:v>
      </x:c>
      <x:c r="E34" s="18" t="s">
        <x:v>164</x:v>
      </x:c>
      <x:c r="F34" s="18" t="s">
        <x:v>139</x:v>
      </x:c>
      <x:c r="G34" s="18" t="s">
        <x:v>208</x:v>
      </x:c>
      <x:c r="H34" s="18" t="s">
        <x:v>165</x:v>
      </x:c>
      <x:c r="I34" s="18" t="s">
        <x:v>140</x:v>
      </x:c>
      <x:c r="J34" s="18" t="s">
        <x:v>452</x:v>
      </x:c>
      <x:c r="K34" s="18" t="s">
        <x:v>350</x:v>
      </x:c>
      <x:c r="L34" s="26">
        <x:v>0.2</x:v>
      </x:c>
      <x:c r="M34" s="18" t="s">
        <x:v>351</x:v>
      </x:c>
      <x:c r="N34" s="30">
        <x:v>1</x:v>
      </x:c>
      <x:c r="O34" s="24">
        <x:v>30</x:v>
      </x:c>
      <x:c r="P34" s="24">
        <x:v>95</x:v>
      </x:c>
      <x:c r="Q34" s="18" t="s">
        <x:v>236</x:v>
      </x:c>
      <x:c r="R34" s="18" t="s">
        <x:v>360</x:v>
      </x:c>
      <x:c r="S34" s="43" t="n">
        <x:v>29.21621947</x:v>
      </x:c>
      <x:c r="T34" s="40">
        <x:v>2023</x:v>
      </x:c>
      <x:c r="U34" s="18">
        <x:v>1</x:v>
      </x:c>
      <x:c r="V34" s="18" t="s">
        <x:v>370</x:v>
      </x:c>
      <x:c r="W34" s="18" t="str">
        <x:v>cvd_unit_cost_indonesia_1_dm(2).xlsx</x:v>
      </x:c>
      <x:c r="X34" s="18" t="s">
        <x:v>476</x:v>
      </x:c>
      <x:c r="Y34" s="18" t="s">
        <x:v>240</x:v>
      </x:c>
      <x:c r="Z34" s="18"/>
      <x:c r="AA34" s="21" t="n">
        <x:f>COUNTIF(Intervention_Cause_Map!$I$2:$I$18,G34)</x:f>
        <x:v>1</x:v>
      </x:c>
      <x:c r="AB34" s="21" t="n">
        <x:f t="shared" si="0">SUMIF($B$2:$B$37,B34,$D$2:$D$37)</x:f>
        <x:v>1</x:v>
      </x:c>
      <x:c r="AC34" s="21" t="str">
        <x:f t="shared" si="1"/>
        <x:v>OK</x:v>
      </x:c>
    </x:row>
    <x:row r="35">
      <x:c r="A35" s="5" t="str">
        <x:v>COST_T2D_SCREENING</x:v>
      </x:c>
      <x:c r="B35" s="5" t="str">
        <x:v>CC_T2D_SCREENING</x:v>
      </x:c>
      <x:c r="C35" s="5" t="str">
        <x:v>Base</x:v>
      </x:c>
      <x:c r="D35" s="47" t="n">
        <x:v>1</x:v>
      </x:c>
      <x:c r="E35" s="5" t="str">
        <x:v>I_T2D_TREATMENT</x:v>
      </x:c>
      <x:c r="F35" s="5" t="str">
        <x:v>C_T2D</x:v>
      </x:c>
      <x:c r="G35" s="5" t="str">
        <x:v>I_T2D_TREATMENT__C_T2D</x:v>
      </x:c>
      <x:c r="H35" s="5" t="str">
        <x:v>Longitudinal treatment of type 2 diabetes</x:v>
      </x:c>
      <x:c r="I35" s="5" t="str">
        <x:v>Diabetes mellitus type 2</x:v>
      </x:c>
      <x:c r="J35" s="5" t="str">
        <x:v>Diabetes opportunistic screening</x:v>
      </x:c>
      <x:c r="K35" s="5" t="str">
        <x:v>all</x:v>
      </x:c>
      <x:c r="L35" s="28" t="n">
        <x:v>0.2</x:v>
      </x:c>
      <x:c r="M35" s="5" t="str">
        <x:v>USD per eligible person-year</x:v>
      </x:c>
      <x:c r="N35" s="31" t="n">
        <x:v>1</x:v>
      </x:c>
      <x:c r="O35" s="25" t="n">
        <x:v>30</x:v>
      </x:c>
      <x:c r="P35" s="25" t="n">
        <x:v>95</x:v>
      </x:c>
      <x:c r="Q35" s="5" t="str">
        <x:v>Both</x:v>
      </x:c>
      <x:c r="R35" s="5" t="str">
        <x:v>Health center</x:v>
      </x:c>
      <x:c r="S35" s="44" t="n">
        <x:v>0.704958478219738</x:v>
      </x:c>
      <x:c r="T35" s="41" t="n">
        <x:v>2023</x:v>
      </x:c>
      <x:c r="U35" s="5" t="n">
        <x:v>1</x:v>
      </x:c>
      <x:c r="V35" s="5" t="str">
        <x:v>India</x:v>
      </x:c>
      <x:c r="W35" s="5" t="str">
        <x:v>cvd_unit_cost_indonesia_1_dm(2).xlsx</x:v>
      </x:c>
      <x:c r="X35" s="5" t="str">
        <x:v>row 50</x:v>
      </x:c>
      <x:c r="Y35" s="5" t="str">
        <x:v>Provisional</x:v>
      </x:c>
      <x:c r="Z35" s="5" t="str">
        <x:v>Indonesia-adjusted Fair Choices unit cost; mapped to the updated PIN screening component</x:v>
      </x:c>
      <x:c r="AA35" s="22" t="n">
        <x:f>COUNTIF(Intervention_Cause_Map!$I$2:$I$18,G35)</x:f>
        <x:v>2</x:v>
      </x:c>
      <x:c r="AB35" s="22" t="n">
        <x:f t="shared" si="0">SUMIF($B$2:$B$37,B35,$D$2:$D$37)</x:f>
        <x:v>1</x:v>
      </x:c>
      <x:c r="AC35" s="22" t="str">
        <x:f>IF(AA35&lt;1,"BAD KEY",IF(S35="","MISSING COST",IF(U35=0,"REVIEW ADJUSTMENT",IF(AB35&lt;&gt;1,"CHECK SELECTION","OK"))))</x:f>
        <x:v>OK</x:v>
      </x:c>
    </x:row>
    <x:row r="36">
      <x:c r="A36" t="str">
        <x:v>COST_T2D_NON_INSULIN</x:v>
      </x:c>
      <x:c r="B36" t="str">
        <x:v>CC_T2D_NON_INSULIN</x:v>
      </x:c>
      <x:c r="C36" t="str">
        <x:v>Base</x:v>
      </x:c>
      <x:c r="D36" t="n">
        <x:v>1</x:v>
      </x:c>
      <x:c r="E36" t="str">
        <x:v>I_T2D_TREATMENT</x:v>
      </x:c>
      <x:c r="F36" t="str">
        <x:v>C_T2D</x:v>
      </x:c>
      <x:c r="G36" t="str">
        <x:v>I_T2D_TREATMENT__C_T2D</x:v>
      </x:c>
      <x:c r="H36" t="str">
        <x:v>Longitudinal treatment of type 2 diabetes</x:v>
      </x:c>
      <x:c r="I36" t="str">
        <x:v>Diabetes mellitus type 2</x:v>
      </x:c>
      <x:c r="J36" t="str">
        <x:v>Diabetes management, non-insulin dependent</x:v>
      </x:c>
      <x:c r="K36" t="str">
        <x:v>prevalence</x:v>
      </x:c>
      <x:c r="L36" t="n">
        <x:v>0.6</x:v>
      </x:c>
      <x:c r="M36" t="str">
        <x:v>USD per patient-year</x:v>
      </x:c>
      <x:c r="N36" t="n">
        <x:v>1</x:v>
      </x:c>
      <x:c r="O36" t="n">
        <x:v>30</x:v>
      </x:c>
      <x:c r="P36" t="n">
        <x:v>95</x:v>
      </x:c>
      <x:c r="Q36" t="str">
        <x:v>Both</x:v>
      </x:c>
      <x:c r="R36" t="str">
        <x:v>Health center</x:v>
      </x:c>
      <x:c r="S36" t="n">
        <x:v>752.576232260719</x:v>
      </x:c>
      <x:c r="T36" t="n">
        <x:v>2023</x:v>
      </x:c>
      <x:c r="U36" t="n">
        <x:v>1</x:v>
      </x:c>
      <x:c r="V36" t="str">
        <x:v>Bangladesh</x:v>
      </x:c>
      <x:c r="W36" t="str">
        <x:v>cvd_unit_cost_indonesia_1_dm(2).xlsx</x:v>
      </x:c>
      <x:c r="X36" t="str">
        <x:v>row 51</x:v>
      </x:c>
      <x:c r="Y36" t="str">
        <x:v>Provisional</x:v>
      </x:c>
      <x:c r="Z36" t="str">
        <x:v>Indonesia-adjusted Fair Choices unit cost; mapped to the updated PIN non-insulin component</x:v>
      </x:c>
      <x:c r="AA36" t="n">
        <x:f>COUNTIF('Intervention_Cause_Map'!$I$2:$I$18,G36)</x:f>
        <x:v>2</x:v>
      </x:c>
      <x:c r="AB36" t="n">
        <x:f>SUMIF($B$2:$B$37,B36,$D$2:$D$37)</x:f>
        <x:v>1</x:v>
      </x:c>
      <x:c r="AC36" t="str">
        <x:f>IF(AA36&lt;1,"BAD KEY",IF(S36="","MISSING COST",IF(U36=0,"REVIEW ADJUSTMENT",IF(AB36&lt;&gt;1,"CHECK SELECTION","OK"))))</x:f>
        <x:v>OK</x:v>
      </x:c>
    </x:row>
    <x:row r="37">
      <x:c r="A37" t="str">
        <x:v>COST_T2D_INSULIN</x:v>
      </x:c>
      <x:c r="B37" t="str">
        <x:v>CC_T2D_INSULIN</x:v>
      </x:c>
      <x:c r="C37" t="str">
        <x:v>Base</x:v>
      </x:c>
      <x:c r="D37" t="n">
        <x:v>1</x:v>
      </x:c>
      <x:c r="E37" t="str">
        <x:v>I_T2D_TREATMENT</x:v>
      </x:c>
      <x:c r="F37" t="str">
        <x:v>C_T2D</x:v>
      </x:c>
      <x:c r="G37" t="str">
        <x:v>I_T2D_TREATMENT__C_T2D</x:v>
      </x:c>
      <x:c r="H37" t="str">
        <x:v>Longitudinal treatment of type 2 diabetes</x:v>
      </x:c>
      <x:c r="I37" t="str">
        <x:v>Diabetes mellitus type 2</x:v>
      </x:c>
      <x:c r="J37" t="str">
        <x:v>Diabetes management, insulin dependent</x:v>
      </x:c>
      <x:c r="K37" t="str">
        <x:v>prevalence</x:v>
      </x:c>
      <x:c r="L37" t="n">
        <x:v>0.2</x:v>
      </x:c>
      <x:c r="M37" t="str">
        <x:v>USD per patient-year</x:v>
      </x:c>
      <x:c r="N37" t="n">
        <x:v>1</x:v>
      </x:c>
      <x:c r="O37" t="n">
        <x:v>30</x:v>
      </x:c>
      <x:c r="P37" t="n">
        <x:v>95</x:v>
      </x:c>
      <x:c r="Q37" t="str">
        <x:v>Both</x:v>
      </x:c>
      <x:c r="R37" t="str">
        <x:v>Health center</x:v>
      </x:c>
      <x:c r="S37" t="n">
        <x:v>1154.03552166169</x:v>
      </x:c>
      <x:c r="T37" t="n">
        <x:v>2023</x:v>
      </x:c>
      <x:c r="U37" t="n">
        <x:v>1</x:v>
      </x:c>
      <x:c r="V37" t="str">
        <x:v>Bangladesh</x:v>
      </x:c>
      <x:c r="W37" t="str">
        <x:v>cvd_unit_cost_indonesia_1_dm(2).xlsx</x:v>
      </x:c>
      <x:c r="X37" t="str">
        <x:v>row 52</x:v>
      </x:c>
      <x:c r="Y37" t="str">
        <x:v>Provisional</x:v>
      </x:c>
      <x:c r="Z37" t="str">
        <x:v>Indonesia-adjusted Fair Choices unit cost; mapped to the updated PIN insulin component</x:v>
      </x:c>
      <x:c r="AA37" t="n">
        <x:f>COUNTIF('Intervention_Cause_Map'!$I$2:$I$18,G37)</x:f>
        <x:v>2</x:v>
      </x:c>
      <x:c r="AB37" t="n">
        <x:f>SUMIF($B$2:$B$37,B37,$D$2:$D$37)</x:f>
        <x:v>1</x:v>
      </x:c>
      <x:c r="AC37" t="str">
        <x:f>IF(AA37&lt;1,"BAD KEY",IF(S37="","MISSING COST",IF(U37=0,"REVIEW ADJUSTMENT",IF(AB37&lt;&gt;1,"CHECK SELECTION","OK"))))</x:f>
        <x:v>OK</x:v>
      </x:c>
    </x:row>
  </x:sheetData>
  <x:conditionalFormatting sqref="Y2:Y35">
    <x:cfRule type="containsText" dxfId="19" priority="1" operator="containsText" text="OK"/>
    <x:cfRule type="containsText" dxfId="18" priority="3" operator="containsText" text="FAIL"/>
    <x:cfRule type="containsText" dxfId="17" priority="5" operator="containsText" text="REVIEW"/>
    <x:cfRule type="containsText" dxfId="16" priority="6" operator="containsText" text="BAD"/>
  </x:conditionalFormatting>
  <x:conditionalFormatting sqref="AC2:AC35">
    <x:cfRule type="containsText" dxfId="15" priority="7" operator="containsText" text="OK"/>
    <x:cfRule type="containsText" dxfId="14" priority="9" operator="containsText" text="FAIL"/>
    <x:cfRule type="containsText" dxfId="13" priority="11" operator="containsText" text="REVIEW"/>
    <x:cfRule type="containsText" dxfId="12" priority="12" operator="containsText" text="BAD"/>
  </x:conditionalFormatting>
  <x:dataValidations count="1">
    <x:dataValidation type="list" sqref="D2:D35">
      <x:formula1>"0,1"</x:formula1>
    </x:dataValidation>
  </x:dataValidations>
  <x:pageMargins left="0.7" right="0.7" top="0.75" bottom="0.75" header="0.3" footer="0.3"/>
  <x:drawing xmlns:r="http://schemas.openxmlformats.org/officeDocument/2006/relationships" r:id="R5c99d2c1b6fc458d"/>
  <x:legacyDrawing xmlns:r="http://schemas.openxmlformats.org/officeDocument/2006/relationships" r:id="R1b8e1283489d43a0"/>
  <x:tableParts count="1">
    <x:tablePart xmlns:r="http://schemas.openxmlformats.org/officeDocument/2006/relationships" r:id="R3c8f938bbe47423e"/>
  </x:tableParts>
</x:worksheet>
</file>

<file path=xl/worksheets/sheet8.xml><?xml version="1.0" encoding="utf-8"?>
<x:worksheet xmlns:x="http://schemas.openxmlformats.org/spreadsheetml/2006/main">
  <x:sheetPr>
    <x:tabColor theme="6" tint="0.39998"/>
  </x:sheetPr>
  <x:sheetViews>
    <x:sheetView showGridLines="0" workbookViewId="0"/>
  </x:sheetViews>
  <x:sheetFormatPr defaultColWidth="11.19921875" defaultRowHeight="13.800000190734863"/>
  <x:cols>
    <x:col min="1" max="1" width="30" customWidth="1"/>
    <x:col min="2" max="3" width="38" customWidth="1"/>
    <x:col min="4" max="5" width="18" customWidth="1"/>
    <x:col min="6" max="6" width="15" customWidth="1"/>
    <x:col min="7" max="7" width="17" customWidth="1"/>
    <x:col min="8" max="10" width="18" customWidth="1"/>
    <x:col min="11" max="11" width="22" customWidth="1"/>
    <x:col min="12" max="12" width="26" customWidth="1"/>
    <x:col min="13" max="13" width="30" customWidth="1"/>
    <x:col min="14" max="14" width="20" customWidth="1"/>
    <x:col min="15" max="15" width="22" customWidth="1"/>
    <x:col min="16" max="16" width="24" customWidth="1"/>
    <x:col min="17" max="17" width="20" customWidth="1"/>
  </x:cols>
  <x:sheetData>
    <x:row r="1" ht="34.04999923706055" customHeight="1">
      <x:c r="A1" s="14" t="s">
        <x:v>177</x:v>
      </x:c>
      <x:c r="B1" s="15" t="s">
        <x:v>124</x:v>
      </x:c>
      <x:c r="C1" s="15" t="s">
        <x:v>128</x:v>
      </x:c>
      <x:c r="D1" s="15" t="s">
        <x:v>217</x:v>
      </x:c>
      <x:c r="E1" s="15" t="s">
        <x:v>218</x:v>
      </x:c>
      <x:c r="F1" s="15" t="s">
        <x:v>220</x:v>
      </x:c>
      <x:c r="G1" s="15" t="s">
        <x:v>221</x:v>
      </x:c>
      <x:c r="H1" s="15" t="s">
        <x:v>293</x:v>
      </x:c>
      <x:c r="I1" s="15" t="s">
        <x:v>295</x:v>
      </x:c>
      <x:c r="J1" s="15" t="s">
        <x:v>477</x:v>
      </x:c>
      <x:c r="K1" s="15" t="s">
        <x:v>478</x:v>
      </x:c>
      <x:c r="L1" s="15" t="s">
        <x:v>479</x:v>
      </x:c>
      <x:c r="M1" s="15" t="s">
        <x:v>180</x:v>
      </x:c>
      <x:c r="N1" s="15" t="s">
        <x:v>181</x:v>
      </x:c>
      <x:c r="O1" s="15" t="s">
        <x:v>480</x:v>
      </x:c>
      <x:c r="P1" s="15" t="s">
        <x:v>481</x:v>
      </x:c>
      <x:c r="Q1" s="16" t="s">
        <x:v>229</x:v>
      </x:c>
    </x:row>
    <x:row r="2">
      <x:c r="A2" s="17" t="s">
        <x:v>185</x:v>
      </x:c>
      <x:c r="B2" s="17" t="s">
        <x:v>132</x:v>
      </x:c>
      <x:c r="C2" s="17" t="s">
        <x:v>133</x:v>
      </x:c>
      <x:c r="D2" s="20" t="str">
        <x:f>INDEX('Effect_Sizes'!$G$2:$G$18,MATCH(A2,'Effect_Sizes'!$B$2:$B$18,0))</x:f>
        <x:v>sick</x:v>
      </x:c>
      <x:c r="E2" s="20" t="str">
        <x:f>INDEX('Effect_Sizes'!$H$2:$H$18,MATCH(A2,'Effect_Sizes'!$B$2:$B$18,0))</x:f>
        <x:v>dead_rhd</x:v>
      </x:c>
      <x:c r="F2" s="32" t="n">
        <x:f>SUMIF('Effect_Sizes'!$B$2:$B$18,A2,'Effect_Sizes'!$J$2:$J$18)</x:f>
        <x:v>0.55</x:v>
      </x:c>
      <x:c r="G2" s="32" t="n">
        <x:f>SUMIF('Effect_Sizes'!$B$2:$B$18,A2,'Effect_Sizes'!$K$2:$K$18)</x:f>
        <x:v>1</x:v>
      </x:c>
      <x:c r="H2" s="32" t="n">
        <x:f>SUMIF('Coverage'!$B$2:$B$18,A2,'Coverage'!$G$2:$G$18)</x:f>
        <x:v>0.31</x:v>
      </x:c>
      <x:c r="I2" s="32" t="n">
        <x:f>SUMIF('Coverage'!$B$2:$B$18,A2,'Coverage'!$I$2:$I$18)</x:f>
        <x:v>0.8</x:v>
      </x:c>
      <x:c r="J2" s="32" t="n">
        <x:f t="shared" ref="J2:J18" si="0">IF(H2="","",I2-H2)</x:f>
        <x:v>0.49000000000000005</x:v>
      </x:c>
      <x:c r="K2" s="32" t="n">
        <x:f>IF(OR(H2="",F2=""),"",F2*J2/(1-F2*H2))</x:f>
        <x:v>0.3248945147679326</x:v>
      </x:c>
      <x:c r="L2" s="32" t="n">
        <x:f t="shared" ref="L2:L18" si="1">IF(K2="","",K2*G2)</x:f>
        <x:v>0.3248945147679326</x:v>
      </x:c>
      <x:c r="M2" s="20" t="s">
        <x:v>185</x:v>
      </x:c>
      <x:c r="N2" s="20" t="s">
        <x:v>186</x:v>
      </x:c>
      <x:c r="O2" s="35" t="n">
        <x:f>COUNTIFS('Cost_Components'!$G$2:$G$37,M2,'Cost_Components'!$D$2:$D$37,1)</x:f>
        <x:v>1</x:v>
      </x:c>
      <x:c r="P2" s="48" t="n">
        <x:f>SUMIFS('Cost_Components'!$S$2:$S$37,'Cost_Components'!$G$2:$G$37,M2,'Cost_Components'!$D$2:$D$37,1)</x:f>
        <x:v>50.85735353</x:v>
      </x:c>
      <x:c r="Q2" s="20" t="str">
        <x:f>IF(H2=0,"MISSING COVERAGE",IF(O2=0,"REVIEW COST",IF(COUNTIF('Effect_Sizes'!$B$2:$B$18,A2)&lt;&gt;1,"BAD EFFECT KEY","REVIEWED LINK")))</x:f>
        <x:v>REVIEWED LINK</x:v>
      </x:c>
    </x:row>
    <x:row r="3">
      <x:c r="A3" s="18" t="s">
        <x:v>188</x:v>
      </x:c>
      <x:c r="B3" s="18" t="s">
        <x:v>137</x:v>
      </x:c>
      <x:c r="C3" s="18" t="s">
        <x:v>133</x:v>
      </x:c>
      <x:c r="D3" s="21" t="str">
        <x:f>INDEX('Effect_Sizes'!$G$2:$G$18,MATCH(A3,'Effect_Sizes'!$B$2:$B$18,0))</x:f>
        <x:v>sick_severe</x:v>
      </x:c>
      <x:c r="E3" s="21" t="str">
        <x:f>INDEX('Effect_Sizes'!$H$2:$H$18,MATCH(A3,'Effect_Sizes'!$B$2:$B$18,0))</x:f>
        <x:v>dead_rhd</x:v>
      </x:c>
      <x:c r="F3" s="33" t="n">
        <x:f>SUMIF('Effect_Sizes'!$B$2:$B$18,A3,'Effect_Sizes'!$J$2:$J$18)</x:f>
        <x:v>0.75</x:v>
      </x:c>
      <x:c r="G3" s="33" t="n">
        <x:f>SUMIF('Effect_Sizes'!$B$2:$B$18,A3,'Effect_Sizes'!$K$2:$K$18)</x:f>
        <x:v>0.09</x:v>
      </x:c>
      <x:c r="H3" s="33" t="n">
        <x:f>SUMIF('Coverage'!$B$2:$B$18,A3,'Coverage'!$G$2:$G$18)</x:f>
        <x:v>0.1</x:v>
      </x:c>
      <x:c r="I3" s="33" t="n">
        <x:f>SUMIF('Coverage'!$B$2:$B$18,A3,'Coverage'!$I$2:$I$18)</x:f>
        <x:v>0.8</x:v>
      </x:c>
      <x:c r="J3" s="33" t="n">
        <x:f t="shared" si="0">IF(H3="","",I3-H3)</x:f>
        <x:v>0.7000000000000001</x:v>
      </x:c>
      <x:c r="K3" s="33" t="n">
        <x:f t="shared" ref="K3:K18" si="2">IF(OR(H3="",F3=""),"",F3*J3/(1-F3*H3))</x:f>
        <x:v>0.5675675675675675</x:v>
      </x:c>
      <x:c r="L3" s="33" t="n">
        <x:f>IF(K3="","",K3*G3)</x:f>
        <x:v>0.05108108108108108</x:v>
      </x:c>
      <x:c r="M3" s="21" t="s">
        <x:v>188</x:v>
      </x:c>
      <x:c r="N3" s="21" t="s">
        <x:v>186</x:v>
      </x:c>
      <x:c r="O3" s="36" t="n">
        <x:f>COUNTIFS('Cost_Components'!$G$2:$G$37,M3,'Cost_Components'!$D$2:$D$37,1)</x:f>
        <x:v>1</x:v>
      </x:c>
      <x:c r="P3" s="49" t="n">
        <x:f>SUMIFS('Cost_Components'!$S$2:$S$37,'Cost_Components'!$G$2:$G$37,M3,'Cost_Components'!$D$2:$D$37,1)</x:f>
        <x:v>12488.38616</x:v>
      </x:c>
      <x:c r="Q3" s="21" t="str">
        <x:f>IF(H3=0,"MISSING COVERAGE",IF(O3=0,"REVIEW COST",IF(COUNTIF('Effect_Sizes'!$B$2:$B$18,A3)&lt;&gt;1,"BAD EFFECT KEY","REVIEWED LINK")))</x:f>
        <x:v>REVIEWED LINK</x:v>
      </x:c>
    </x:row>
    <x:row r="4">
      <x:c r="A4" s="18" t="s">
        <x:v>190</x:v>
      </x:c>
      <x:c r="B4" s="18" t="s">
        <x:v>142</x:v>
      </x:c>
      <x:c r="C4" s="18" t="s">
        <x:v>140</x:v>
      </x:c>
      <x:c r="D4" s="21" t="str">
        <x:f>INDEX('Effect_Sizes'!$G$2:$G$18,MATCH(A4,'Effect_Sizes'!$B$2:$B$18,0))</x:f>
        <x:v>well</x:v>
      </x:c>
      <x:c r="E4" s="21" t="str">
        <x:f>INDEX('Effect_Sizes'!$H$2:$H$18,MATCH(A4,'Effect_Sizes'!$B$2:$B$18,0))</x:f>
        <x:v>sick</x:v>
      </x:c>
      <x:c r="F4" s="33" t="n">
        <x:f>SUMIF('Effect_Sizes'!$B$2:$B$18,A4,'Effect_Sizes'!$J$2:$J$18)</x:f>
        <x:v>0.58</x:v>
      </x:c>
      <x:c r="G4" s="33" t="n">
        <x:f>SUMIF('Effect_Sizes'!$B$2:$B$18,A4,'Effect_Sizes'!$K$2:$K$18)</x:f>
        <x:v>0.8</x:v>
      </x:c>
      <x:c r="H4" s="33" t="n">
        <x:f>SUMIF('Coverage'!$B$2:$B$18,A4,'Coverage'!$G$2:$G$18)</x:f>
        <x:v>0.31</x:v>
      </x:c>
      <x:c r="I4" s="33" t="n">
        <x:f>SUMIF('Coverage'!$B$2:$B$18,A4,'Coverage'!$I$2:$I$18)</x:f>
        <x:v>0.8</x:v>
      </x:c>
      <x:c r="J4" s="33" t="n">
        <x:f t="shared" si="0">IF(H4="","",I4-H4)</x:f>
        <x:v>0.49000000000000005</x:v>
      </x:c>
      <x:c r="K4" s="33" t="n">
        <x:f t="shared" si="2">IF(OR(H4="",F4=""),"",F4*J4/(1-F4*H4))</x:f>
        <x:v>0.34650085345037795</x:v>
      </x:c>
      <x:c r="L4" s="33" t="n">
        <x:f>IF(K4="","",K4*G4)</x:f>
        <x:v>0.27720068276030235</x:v>
      </x:c>
      <x:c r="M4" s="21" t="s">
        <x:v>191</x:v>
      </x:c>
      <x:c r="N4" s="21" t="s">
        <x:v>192</x:v>
      </x:c>
      <x:c r="O4" s="36" t="n">
        <x:f>COUNTIFS('Cost_Components'!$G$2:$G$37,M4,'Cost_Components'!$D$2:$D$37,1)</x:f>
        <x:v>2</x:v>
      </x:c>
      <x:c r="P4" s="49" t="n">
        <x:f>SUMIFS('Cost_Components'!$S$2:$S$37,'Cost_Components'!$G$2:$G$37,M4,'Cost_Components'!$D$2:$D$37,1)</x:f>
        <x:v>23.521184228</x:v>
      </x:c>
      <x:c r="Q4" s="21" t="str">
        <x:f>IF(H4=0,"MISSING COVERAGE",IF(O4=0,"REVIEW COST",IF(COUNTIF('Effect_Sizes'!$B$2:$B$18,A4)&lt;&gt;1,"BAD EFFECT KEY","REVIEWED LINK")))</x:f>
        <x:v>REVIEWED LINK</x:v>
      </x:c>
    </x:row>
    <x:row r="5">
      <x:c r="A5" s="18" t="s">
        <x:v>194</x:v>
      </x:c>
      <x:c r="B5" s="18" t="s">
        <x:v>142</x:v>
      </x:c>
      <x:c r="C5" s="18" t="s">
        <x:v>146</x:v>
      </x:c>
      <x:c r="D5" s="21" t="str">
        <x:f>INDEX('Effect_Sizes'!$G$2:$G$18,MATCH(A5,'Effect_Sizes'!$B$2:$B$18,0))</x:f>
        <x:v>well</x:v>
      </x:c>
      <x:c r="E5" s="21" t="str">
        <x:f>INDEX('Effect_Sizes'!$H$2:$H$18,MATCH(A5,'Effect_Sizes'!$B$2:$B$18,0))</x:f>
        <x:v>sick</x:v>
      </x:c>
      <x:c r="F5" s="33" t="n">
        <x:f>SUMIF('Effect_Sizes'!$B$2:$B$18,A5,'Effect_Sizes'!$J$2:$J$18)</x:f>
        <x:v>0.54</x:v>
      </x:c>
      <x:c r="G5" s="33" t="n">
        <x:f>SUMIF('Effect_Sizes'!$B$2:$B$18,A5,'Effect_Sizes'!$K$2:$K$18)</x:f>
        <x:v>0.8</x:v>
      </x:c>
      <x:c r="H5" s="33" t="n">
        <x:f>SUMIF('Coverage'!$B$2:$B$18,A5,'Coverage'!$G$2:$G$18)</x:f>
        <x:v>0.31</x:v>
      </x:c>
      <x:c r="I5" s="33" t="n">
        <x:f>SUMIF('Coverage'!$B$2:$B$18,A5,'Coverage'!$I$2:$I$18)</x:f>
        <x:v>0.8</x:v>
      </x:c>
      <x:c r="J5" s="33" t="n">
        <x:f t="shared" si="0">IF(H5="","",I5-H5)</x:f>
        <x:v>0.49000000000000005</x:v>
      </x:c>
      <x:c r="K5" s="33" t="n">
        <x:f>IF(OR(H5="",F5=""),"",F5*J5/(1-F5*H5))</x:f>
        <x:v>0.31779966370405965</x:v>
      </x:c>
      <x:c r="L5" s="33" t="n">
        <x:f t="shared" si="1">IF(K5="","",K5*G5)</x:f>
        <x:v>0.25423973096324776</x:v>
      </x:c>
      <x:c r="M5" s="21" t="s">
        <x:v>191</x:v>
      </x:c>
      <x:c r="N5" s="21" t="s">
        <x:v>192</x:v>
      </x:c>
      <x:c r="O5" s="36" t="n">
        <x:f>COUNTIFS('Cost_Components'!$G$2:$G$37,M5,'Cost_Components'!$D$2:$D$37,1)</x:f>
        <x:v>2</x:v>
      </x:c>
      <x:c r="P5" s="49" t="n">
        <x:f>SUMIFS('Cost_Components'!$S$2:$S$37,'Cost_Components'!$G$2:$G$37,M5,'Cost_Components'!$D$2:$D$37,1)</x:f>
        <x:v>23.521184228</x:v>
      </x:c>
      <x:c r="Q5" s="21" t="str">
        <x:f>IF(H5=0,"MISSING COVERAGE",IF(O5=0,"REVIEW COST",IF(COUNTIF('Effect_Sizes'!$B$2:$B$18,A5)&lt;&gt;1,"BAD EFFECT KEY","REVIEWED LINK")))</x:f>
        <x:v>REVIEWED LINK</x:v>
      </x:c>
    </x:row>
    <x:row r="6">
      <x:c r="A6" s="18" t="s">
        <x:v>195</x:v>
      </x:c>
      <x:c r="B6" s="18" t="s">
        <x:v>142</x:v>
      </x:c>
      <x:c r="C6" s="18" t="s">
        <x:v>152</x:v>
      </x:c>
      <x:c r="D6" s="21" t="str">
        <x:f>INDEX('Effect_Sizes'!$G$2:$G$18,MATCH(A6,'Effect_Sizes'!$B$2:$B$18,0))</x:f>
        <x:v>well</x:v>
      </x:c>
      <x:c r="E6" s="21" t="str">
        <x:f>INDEX('Effect_Sizes'!$H$2:$H$18,MATCH(A6,'Effect_Sizes'!$B$2:$B$18,0))</x:f>
        <x:v>sick</x:v>
      </x:c>
      <x:c r="F6" s="33" t="n">
        <x:f>SUMIF('Effect_Sizes'!$B$2:$B$18,A6,'Effect_Sizes'!$J$2:$J$18)</x:f>
        <x:v>0.49</x:v>
      </x:c>
      <x:c r="G6" s="33" t="n">
        <x:f>SUMIF('Effect_Sizes'!$B$2:$B$18,A6,'Effect_Sizes'!$K$2:$K$18)</x:f>
        <x:v>0.8</x:v>
      </x:c>
      <x:c r="H6" s="33" t="n">
        <x:f>SUMIF('Coverage'!$B$2:$B$18,A6,'Coverage'!$G$2:$G$18)</x:f>
        <x:v>0.31</x:v>
      </x:c>
      <x:c r="I6" s="33" t="n">
        <x:f>SUMIF('Coverage'!$B$2:$B$18,A6,'Coverage'!$I$2:$I$18)</x:f>
        <x:v>0.8</x:v>
      </x:c>
      <x:c r="J6" s="33" t="n">
        <x:f t="shared" si="0">IF(H6="","",I6-H6)</x:f>
        <x:v>0.49000000000000005</x:v>
      </x:c>
      <x:c r="K6" s="33" t="n">
        <x:f t="shared" si="2">IF(OR(H6="",F6=""),"",F6*J6/(1-F6*H6))</x:f>
        <x:v>0.2831034076170263</x:v>
      </x:c>
      <x:c r="L6" s="33" t="n">
        <x:f t="shared" si="1">IF(K6="","",K6*G6)</x:f>
        <x:v>0.22648272609362105</x:v>
      </x:c>
      <x:c r="M6" s="21" t="s">
        <x:v>191</x:v>
      </x:c>
      <x:c r="N6" s="21" t="s">
        <x:v>192</x:v>
      </x:c>
      <x:c r="O6" s="36" t="n">
        <x:f>COUNTIFS('Cost_Components'!$G$2:$G$37,M6,'Cost_Components'!$D$2:$D$37,1)</x:f>
        <x:v>2</x:v>
      </x:c>
      <x:c r="P6" s="49" t="n">
        <x:f>SUMIFS('Cost_Components'!$S$2:$S$37,'Cost_Components'!$G$2:$G$37,M6,'Cost_Components'!$D$2:$D$37,1)</x:f>
        <x:v>23.521184228</x:v>
      </x:c>
      <x:c r="Q6" s="21" t="str">
        <x:f>IF(H6=0,"MISSING COVERAGE",IF(O6=0,"REVIEW COST",IF(COUNTIF('Effect_Sizes'!$B$2:$B$18,A6)&lt;&gt;1,"BAD EFFECT KEY","REVIEWED LINK")))</x:f>
        <x:v>REVIEWED LINK</x:v>
      </x:c>
    </x:row>
    <x:row r="7">
      <x:c r="A7" s="18" t="s">
        <x:v>196</x:v>
      </x:c>
      <x:c r="B7" s="18" t="s">
        <x:v>142</x:v>
      </x:c>
      <x:c r="C7" s="18" t="s">
        <x:v>157</x:v>
      </x:c>
      <x:c r="D7" s="21" t="str">
        <x:f>INDEX('Effect_Sizes'!$G$2:$G$18,MATCH(A7,'Effect_Sizes'!$B$2:$B$18,0))</x:f>
        <x:v>well</x:v>
      </x:c>
      <x:c r="E7" s="21" t="str">
        <x:f>INDEX('Effect_Sizes'!$H$2:$H$18,MATCH(A7,'Effect_Sizes'!$B$2:$B$18,0))</x:f>
        <x:v>sick</x:v>
      </x:c>
      <x:c r="F7" s="33" t="n">
        <x:f>SUMIF('Effect_Sizes'!$B$2:$B$18,A7,'Effect_Sizes'!$J$2:$J$18)</x:f>
        <x:v>0.47</x:v>
      </x:c>
      <x:c r="G7" s="33" t="n">
        <x:f>SUMIF('Effect_Sizes'!$B$2:$B$18,A7,'Effect_Sizes'!$K$2:$K$18)</x:f>
        <x:v>1</x:v>
      </x:c>
      <x:c r="H7" s="33" t="n">
        <x:f>SUMIF('Coverage'!$B$2:$B$18,A7,'Coverage'!$G$2:$G$18)</x:f>
        <x:v>0.31</x:v>
      </x:c>
      <x:c r="I7" s="33" t="n">
        <x:f>SUMIF('Coverage'!$B$2:$B$18,A7,'Coverage'!$I$2:$I$18)</x:f>
        <x:v>0.8</x:v>
      </x:c>
      <x:c r="J7" s="33" t="n">
        <x:f t="shared" si="0">IF(H7="","",I7-H7)</x:f>
        <x:v>0.49000000000000005</x:v>
      </x:c>
      <x:c r="K7" s="33" t="n">
        <x:f t="shared" si="2">IF(OR(H7="",F7=""),"",F7*J7/(1-F7*H7))</x:f>
        <x:v>0.26957743181552146</x:v>
      </x:c>
      <x:c r="L7" s="33" t="n">
        <x:f t="shared" si="1">IF(K7="","",K7*G7)</x:f>
        <x:v>0.26957743181552146</x:v>
      </x:c>
      <x:c r="M7" s="21" t="s">
        <x:v>191</x:v>
      </x:c>
      <x:c r="N7" s="21" t="s">
        <x:v>192</x:v>
      </x:c>
      <x:c r="O7" s="36" t="n">
        <x:f>COUNTIFS('Cost_Components'!$G$2:$G$37,M7,'Cost_Components'!$D$2:$D$37,1)</x:f>
        <x:v>2</x:v>
      </x:c>
      <x:c r="P7" s="49" t="n">
        <x:f>SUMIFS('Cost_Components'!$S$2:$S$37,'Cost_Components'!$G$2:$G$37,M7,'Cost_Components'!$D$2:$D$37,1)</x:f>
        <x:v>23.521184228</x:v>
      </x:c>
      <x:c r="Q7" s="21" t="str">
        <x:f>IF(H7=0,"MISSING COVERAGE",IF(O7=0,"REVIEW COST",IF(COUNTIF('Effect_Sizes'!$B$2:$B$18,A7)&lt;&gt;1,"BAD EFFECT KEY","REVIEWED LINK")))</x:f>
        <x:v>REVIEWED LINK</x:v>
      </x:c>
    </x:row>
    <x:row r="8">
      <x:c r="A8" s="18" t="s">
        <x:v>197</x:v>
      </x:c>
      <x:c r="B8" s="18" t="s">
        <x:v>148</x:v>
      </x:c>
      <x:c r="C8" s="18" t="s">
        <x:v>140</x:v>
      </x:c>
      <x:c r="D8" s="21" t="str">
        <x:f>INDEX('Effect_Sizes'!$G$2:$G$18,MATCH(A8,'Effect_Sizes'!$B$2:$B$18,0))</x:f>
        <x:v>sick</x:v>
      </x:c>
      <x:c r="E8" s="21" t="str">
        <x:f>INDEX('Effect_Sizes'!$H$2:$H$18,MATCH(A8,'Effect_Sizes'!$B$2:$B$18,0))</x:f>
        <x:v>dead_ihd</x:v>
      </x:c>
      <x:c r="F8" s="33" t="n">
        <x:f>SUMIF('Effect_Sizes'!$B$2:$B$18,A8,'Effect_Sizes'!$J$2:$J$18)</x:f>
        <x:v>0.5822</x:v>
      </x:c>
      <x:c r="G8" s="33" t="n">
        <x:f>SUMIF('Effect_Sizes'!$B$2:$B$18,A8,'Effect_Sizes'!$K$2:$K$18)</x:f>
        <x:v>0.2</x:v>
      </x:c>
      <x:c r="H8" s="33" t="n">
        <x:f>SUMIF('Coverage'!$B$2:$B$18,A8,'Coverage'!$G$2:$G$18)</x:f>
        <x:v>0.31</x:v>
      </x:c>
      <x:c r="I8" s="33" t="n">
        <x:f>SUMIF('Coverage'!$B$2:$B$18,A8,'Coverage'!$I$2:$I$18)</x:f>
        <x:v>0.8</x:v>
      </x:c>
      <x:c r="J8" s="33" t="n">
        <x:f t="shared" si="0">IF(H8="","",I8-H8)</x:f>
        <x:v>0.49000000000000005</x:v>
      </x:c>
      <x:c r="K8" s="33" t="n">
        <x:f t="shared" si="2">IF(OR(H8="",F8=""),"",F8*J8/(1-F8*H8))</x:f>
        <x:v>0.3481046175922921</x:v>
      </x:c>
      <x:c r="L8" s="33" t="n">
        <x:f t="shared" si="1">IF(K8="","",K8*G8)</x:f>
        <x:v>0.06962092351845843</x:v>
      </x:c>
      <x:c r="M8" s="21" t="s">
        <x:v>197</x:v>
      </x:c>
      <x:c r="N8" s="21" t="s">
        <x:v>186</x:v>
      </x:c>
      <x:c r="O8" s="36" t="n">
        <x:f>COUNTIFS('Cost_Components'!$G$2:$G$37,M8,'Cost_Components'!$D$2:$D$37,1)</x:f>
        <x:v>3</x:v>
      </x:c>
      <x:c r="P8" s="49" t="n">
        <x:f>SUMIFS('Cost_Components'!$S$2:$S$37,'Cost_Components'!$G$2:$G$37,M8,'Cost_Components'!$D$2:$D$37,1)</x:f>
        <x:v>191.54813432</x:v>
      </x:c>
      <x:c r="Q8" s="21" t="str">
        <x:f>IF(H8=0,"MISSING COVERAGE",IF(O8=0,"REVIEW COST",IF(COUNTIF('Effect_Sizes'!$B$2:$B$18,A8)&lt;&gt;1,"BAD EFFECT KEY","REVIEWED LINK")))</x:f>
        <x:v>REVIEWED LINK</x:v>
      </x:c>
    </x:row>
    <x:row r="9">
      <x:c r="A9" s="18" t="s">
        <x:v>199</x:v>
      </x:c>
      <x:c r="B9" s="18" t="s">
        <x:v>154</x:v>
      </x:c>
      <x:c r="C9" s="18" t="s">
        <x:v>146</x:v>
      </x:c>
      <x:c r="D9" s="21" t="str">
        <x:f>INDEX('Effect_Sizes'!$G$2:$G$18,MATCH(A9,'Effect_Sizes'!$B$2:$B$18,0))</x:f>
        <x:v>sick</x:v>
      </x:c>
      <x:c r="E9" s="21" t="str">
        <x:f>INDEX('Effect_Sizes'!$H$2:$H$18,MATCH(A9,'Effect_Sizes'!$B$2:$B$18,0))</x:f>
        <x:v>dead_is</x:v>
      </x:c>
      <x:c r="F9" s="33" t="n">
        <x:f>SUMIF('Effect_Sizes'!$B$2:$B$18,A9,'Effect_Sizes'!$J$2:$J$18)</x:f>
        <x:v>0.23</x:v>
      </x:c>
      <x:c r="G9" s="33" t="n">
        <x:f>SUMIF('Effect_Sizes'!$B$2:$B$18,A9,'Effect_Sizes'!$K$2:$K$18)</x:f>
        <x:v>0.2</x:v>
      </x:c>
      <x:c r="H9" s="33" t="n">
        <x:f>SUMIF('Coverage'!$B$2:$B$18,A9,'Coverage'!$G$2:$G$18)</x:f>
        <x:v>0.31</x:v>
      </x:c>
      <x:c r="I9" s="33" t="n">
        <x:f>SUMIF('Coverage'!$B$2:$B$18,A9,'Coverage'!$I$2:$I$18)</x:f>
        <x:v>0.8</x:v>
      </x:c>
      <x:c r="J9" s="33" t="n">
        <x:f t="shared" si="0">IF(H9="","",I9-H9)</x:f>
        <x:v>0.49000000000000005</x:v>
      </x:c>
      <x:c r="K9" s="33" t="n">
        <x:f t="shared" si="2">IF(OR(H9="",F9=""),"",F9*J9/(1-F9*H9))</x:f>
        <x:v>0.12135242812533652</x:v>
      </x:c>
      <x:c r="L9" s="33" t="n">
        <x:f t="shared" si="1">IF(K9="","",K9*G9)</x:f>
        <x:v>0.024270485625067305</x:v>
      </x:c>
      <x:c r="M9" s="21" t="s">
        <x:v>199</x:v>
      </x:c>
      <x:c r="N9" s="21" t="s">
        <x:v>186</x:v>
      </x:c>
      <x:c r="O9" s="36" t="n">
        <x:f>COUNTIFS('Cost_Components'!$G$2:$G$37,M9,'Cost_Components'!$D$2:$D$37,1)</x:f>
        <x:v>3</x:v>
      </x:c>
      <x:c r="P9" s="49" t="n">
        <x:f>SUMIFS('Cost_Components'!$S$2:$S$37,'Cost_Components'!$G$2:$G$37,M9,'Cost_Components'!$D$2:$D$37,1)</x:f>
        <x:v>341.56392862</x:v>
      </x:c>
      <x:c r="Q9" s="21" t="str">
        <x:f>IF(H9=0,"MISSING COVERAGE",IF(O9=0,"REVIEW COST",IF(COUNTIF('Effect_Sizes'!$B$2:$B$18,A9)&lt;&gt;1,"BAD EFFECT KEY","REVIEWED LINK")))</x:f>
        <x:v>REVIEWED LINK</x:v>
      </x:c>
    </x:row>
    <x:row r="10">
      <x:c r="A10" s="18" t="s">
        <x:v>201</x:v>
      </x:c>
      <x:c r="B10" s="18" t="s">
        <x:v>154</x:v>
      </x:c>
      <x:c r="C10" s="18" t="s">
        <x:v>152</x:v>
      </x:c>
      <x:c r="D10" s="21" t="str">
        <x:f>INDEX('Effect_Sizes'!$G$2:$G$18,MATCH(A10,'Effect_Sizes'!$B$2:$B$18,0))</x:f>
        <x:v>sick</x:v>
      </x:c>
      <x:c r="E10" s="21" t="str">
        <x:f>INDEX('Effect_Sizes'!$H$2:$H$18,MATCH(A10,'Effect_Sizes'!$B$2:$B$18,0))</x:f>
        <x:v>dead_ich</x:v>
      </x:c>
      <x:c r="F10" s="33" t="n">
        <x:f>SUMIF('Effect_Sizes'!$B$2:$B$18,A10,'Effect_Sizes'!$J$2:$J$18)</x:f>
        <x:v>0.08</x:v>
      </x:c>
      <x:c r="G10" s="33" t="n">
        <x:f>SUMIF('Effect_Sizes'!$B$2:$B$18,A10,'Effect_Sizes'!$K$2:$K$18)</x:f>
        <x:v>0.2</x:v>
      </x:c>
      <x:c r="H10" s="33" t="n">
        <x:f>SUMIF('Coverage'!$B$2:$B$18,A10,'Coverage'!$G$2:$G$18)</x:f>
        <x:v>0.31</x:v>
      </x:c>
      <x:c r="I10" s="33" t="n">
        <x:f>SUMIF('Coverage'!$B$2:$B$18,A10,'Coverage'!$I$2:$I$18)</x:f>
        <x:v>0.8</x:v>
      </x:c>
      <x:c r="J10" s="33" t="n">
        <x:f t="shared" si="0">IF(H10="","",I10-H10)</x:f>
        <x:v>0.49000000000000005</x:v>
      </x:c>
      <x:c r="K10" s="33" t="n">
        <x:f t="shared" si="2">IF(OR(H10="",F10=""),"",F10*J10/(1-F10*H10))</x:f>
        <x:v>0.040196882690730115</x:v>
      </x:c>
      <x:c r="L10" s="33" t="n">
        <x:f t="shared" si="1">IF(K10="","",K10*G10)</x:f>
        <x:v>0.008039376538146023</x:v>
      </x:c>
      <x:c r="M10" s="21" t="s">
        <x:v>201</x:v>
      </x:c>
      <x:c r="N10" s="21" t="s">
        <x:v>186</x:v>
      </x:c>
      <x:c r="O10" s="36" t="n">
        <x:f>COUNTIFS('Cost_Components'!$G$2:$G$37,M10,'Cost_Components'!$D$2:$D$37,1)</x:f>
        <x:v>3</x:v>
      </x:c>
      <x:c r="P10" s="49" t="n">
        <x:f>SUMIFS('Cost_Components'!$S$2:$S$37,'Cost_Components'!$G$2:$G$37,M10,'Cost_Components'!$D$2:$D$37,1)</x:f>
        <x:v>706.03242572</x:v>
      </x:c>
      <x:c r="Q10" s="21" t="str">
        <x:f>IF(H10=0,"MISSING COVERAGE",IF(O10=0,"REVIEW COST",IF(COUNTIF('Effect_Sizes'!$B$2:$B$18,A10)&lt;&gt;1,"BAD EFFECT KEY","REVIEWED LINK")))</x:f>
        <x:v>REVIEWED LINK</x:v>
      </x:c>
    </x:row>
    <x:row r="11">
      <x:c r="A11" s="18" t="s">
        <x:v>202</x:v>
      </x:c>
      <x:c r="B11" s="18" t="s">
        <x:v>159</x:v>
      </x:c>
      <x:c r="C11" s="18" t="s">
        <x:v>140</x:v>
      </x:c>
      <x:c r="D11" s="21" t="str">
        <x:f>INDEX('Effect_Sizes'!$G$2:$G$18,MATCH(A11,'Effect_Sizes'!$B$2:$B$18,0))</x:f>
        <x:v>sick_hf</x:v>
      </x:c>
      <x:c r="E11" s="21" t="str">
        <x:f>INDEX('Effect_Sizes'!$H$2:$H$18,MATCH(A11,'Effect_Sizes'!$B$2:$B$18,0))</x:f>
        <x:v>dead_ihd</x:v>
      </x:c>
      <x:c r="F11" s="33" t="n">
        <x:f>SUMIF('Effect_Sizes'!$B$2:$B$18,A11,'Effect_Sizes'!$J$2:$J$18)</x:f>
        <x:v>0.18</x:v>
      </x:c>
      <x:c r="G11" s="33" t="n">
        <x:f>SUMIF('Effect_Sizes'!$B$2:$B$18,A11,'Effect_Sizes'!$K$2:$K$18)</x:f>
        <x:v>0.05</x:v>
      </x:c>
      <x:c r="H11" s="33" t="n">
        <x:f>SUMIF('Coverage'!$B$2:$B$18,A11,'Coverage'!$G$2:$G$18)</x:f>
        <x:v>0.31</x:v>
      </x:c>
      <x:c r="I11" s="33" t="n">
        <x:f>SUMIF('Coverage'!$B$2:$B$18,A11,'Coverage'!$I$2:$I$18)</x:f>
        <x:v>0.8</x:v>
      </x:c>
      <x:c r="J11" s="33" t="n">
        <x:f t="shared" si="0">IF(H11="","",I11-H11)</x:f>
        <x:v>0.49000000000000005</x:v>
      </x:c>
      <x:c r="K11" s="33" t="n">
        <x:f t="shared" si="2">IF(OR(H11="",F11=""),"",F11*J11/(1-F11*H11))</x:f>
        <x:v>0.09341241262444397</x:v>
      </x:c>
      <x:c r="L11" s="33" t="n">
        <x:f t="shared" si="1">IF(K11="","",K11*G11)</x:f>
        <x:v>0.004670620631222199</x:v>
      </x:c>
      <x:c r="M11" s="21" t="s">
        <x:v>202</x:v>
      </x:c>
      <x:c r="N11" s="21" t="s">
        <x:v>186</x:v>
      </x:c>
      <x:c r="O11" s="36" t="n">
        <x:f>COUNTIFS('Cost_Components'!$G$2:$G$37,M11,'Cost_Components'!$D$2:$D$37,1)</x:f>
        <x:v>1</x:v>
      </x:c>
      <x:c r="P11" s="49" t="n">
        <x:f>SUMIFS('Cost_Components'!$S$2:$S$37,'Cost_Components'!$G$2:$G$37,M11,'Cost_Components'!$D$2:$D$37,1)</x:f>
        <x:v>282.5128361</x:v>
      </x:c>
      <x:c r="Q11" s="21" t="str">
        <x:f>IF(H11=0,"MISSING COVERAGE",IF(O11=0,"REVIEW COST",IF(COUNTIF('Effect_Sizes'!$B$2:$B$18,A11)&lt;&gt;1,"BAD EFFECT KEY","REVIEWED LINK")))</x:f>
        <x:v>REVIEWED LINK</x:v>
      </x:c>
    </x:row>
    <x:row r="12">
      <x:c r="A12" s="18" t="s">
        <x:v>204</x:v>
      </x:c>
      <x:c r="B12" s="18" t="s">
        <x:v>159</x:v>
      </x:c>
      <x:c r="C12" s="18" t="s">
        <x:v>157</x:v>
      </x:c>
      <x:c r="D12" s="21" t="str">
        <x:f>INDEX('Effect_Sizes'!$G$2:$G$18,MATCH(A12,'Effect_Sizes'!$B$2:$B$18,0))</x:f>
        <x:v>sick_hf</x:v>
      </x:c>
      <x:c r="E12" s="21" t="str">
        <x:f>INDEX('Effect_Sizes'!$H$2:$H$18,MATCH(A12,'Effect_Sizes'!$B$2:$B$18,0))</x:f>
        <x:v>dead_hhd</x:v>
      </x:c>
      <x:c r="F12" s="33" t="n">
        <x:f>SUMIF('Effect_Sizes'!$B$2:$B$18,A12,'Effect_Sizes'!$J$2:$J$18)</x:f>
        <x:v>0.74</x:v>
      </x:c>
      <x:c r="G12" s="33" t="n">
        <x:f>SUMIF('Effect_Sizes'!$B$2:$B$18,A12,'Effect_Sizes'!$K$2:$K$18)</x:f>
        <x:v>0.2</x:v>
      </x:c>
      <x:c r="H12" s="33" t="n">
        <x:f>SUMIF('Coverage'!$B$2:$B$18,A12,'Coverage'!$G$2:$G$18)</x:f>
        <x:v>0.31</x:v>
      </x:c>
      <x:c r="I12" s="33" t="n">
        <x:f>SUMIF('Coverage'!$B$2:$B$18,A12,'Coverage'!$I$2:$I$18)</x:f>
        <x:v>0.8</x:v>
      </x:c>
      <x:c r="J12" s="33" t="n">
        <x:f t="shared" si="0">IF(H12="","",I12-H12)</x:f>
        <x:v>0.49000000000000005</x:v>
      </x:c>
      <x:c r="K12" s="33" t="n">
        <x:f t="shared" si="2">IF(OR(H12="",F12=""),"",F12*J12/(1-F12*H12))</x:f>
        <x:v>0.47054243446664945</x:v>
      </x:c>
      <x:c r="L12" s="33" t="n">
        <x:f t="shared" si="1">IF(K12="","",K12*G12)</x:f>
        <x:v>0.0941084868933299</x:v>
      </x:c>
      <x:c r="M12" s="21" t="s">
        <x:v>204</x:v>
      </x:c>
      <x:c r="N12" s="21" t="s">
        <x:v>186</x:v>
      </x:c>
      <x:c r="O12" s="36" t="n">
        <x:f>COUNTIFS('Cost_Components'!$G$2:$G$37,M12,'Cost_Components'!$D$2:$D$37,1)</x:f>
        <x:v>1</x:v>
      </x:c>
      <x:c r="P12" s="49" t="n">
        <x:f>SUMIFS('Cost_Components'!$S$2:$S$37,'Cost_Components'!$G$2:$G$37,M12,'Cost_Components'!$D$2:$D$37,1)</x:f>
        <x:v>282.5128361</x:v>
      </x:c>
      <x:c r="Q12" s="21" t="str">
        <x:f>IF(H12=0,"MISSING COVERAGE",IF(O12=0,"REVIEW COST",IF(COUNTIF('Effect_Sizes'!$B$2:$B$18,A12)&lt;&gt;1,"BAD EFFECT KEY","REVIEWED LINK")))</x:f>
        <x:v>REVIEWED LINK</x:v>
      </x:c>
    </x:row>
    <x:row r="13">
      <x:c r="A13" s="18" t="s">
        <x:v>206</x:v>
      </x:c>
      <x:c r="B13" s="18" t="s">
        <x:v>159</x:v>
      </x:c>
      <x:c r="C13" s="18" t="s">
        <x:v>163</x:v>
      </x:c>
      <x:c r="D13" s="21" t="str">
        <x:f>INDEX('Effect_Sizes'!$G$2:$G$18,MATCH(A13,'Effect_Sizes'!$B$2:$B$18,0))</x:f>
        <x:v>sick_hf</x:v>
      </x:c>
      <x:c r="E13" s="21" t="str">
        <x:f>INDEX('Effect_Sizes'!$H$2:$H$18,MATCH(A13,'Effect_Sizes'!$B$2:$B$18,0))</x:f>
        <x:v>dead_cmp</x:v>
      </x:c>
      <x:c r="F13" s="33" t="n">
        <x:f>SUMIF('Effect_Sizes'!$B$2:$B$18,A13,'Effect_Sizes'!$J$2:$J$18)</x:f>
        <x:v>0.74</x:v>
      </x:c>
      <x:c r="G13" s="33" t="n">
        <x:f>SUMIF('Effect_Sizes'!$B$2:$B$18,A13,'Effect_Sizes'!$K$2:$K$18)</x:f>
        <x:v>0.2</x:v>
      </x:c>
      <x:c r="H13" s="33" t="n">
        <x:f>SUMIF('Coverage'!$B$2:$B$18,A13,'Coverage'!$G$2:$G$18)</x:f>
        <x:v>0.31</x:v>
      </x:c>
      <x:c r="I13" s="33" t="n">
        <x:f>SUMIF('Coverage'!$B$2:$B$18,A13,'Coverage'!$I$2:$I$18)</x:f>
        <x:v>0.8</x:v>
      </x:c>
      <x:c r="J13" s="33" t="n">
        <x:f t="shared" si="0">IF(H13="","",I13-H13)</x:f>
        <x:v>0.49000000000000005</x:v>
      </x:c>
      <x:c r="K13" s="33" t="n">
        <x:f t="shared" si="2">IF(OR(H13="",F13=""),"",F13*J13/(1-F13*H13))</x:f>
        <x:v>0.47054243446664945</x:v>
      </x:c>
      <x:c r="L13" s="33" t="n">
        <x:f t="shared" si="1">IF(K13="","",K13*G13)</x:f>
        <x:v>0.0941084868933299</x:v>
      </x:c>
      <x:c r="M13" s="21" t="s">
        <x:v>206</x:v>
      </x:c>
      <x:c r="N13" s="21" t="s">
        <x:v>186</x:v>
      </x:c>
      <x:c r="O13" s="36" t="n">
        <x:f>COUNTIFS('Cost_Components'!$G$2:$G$37,M13,'Cost_Components'!$D$2:$D$37,1)</x:f>
        <x:v>1</x:v>
      </x:c>
      <x:c r="P13" s="49" t="n">
        <x:f>SUMIFS('Cost_Components'!$S$2:$S$37,'Cost_Components'!$G$2:$G$37,M13,'Cost_Components'!$D$2:$D$37,1)</x:f>
        <x:v>282.5128361</x:v>
      </x:c>
      <x:c r="Q13" s="21" t="str">
        <x:f>IF(H13=0,"MISSING COVERAGE",IF(O13=0,"REVIEW COST",IF(COUNTIF('Effect_Sizes'!$B$2:$B$18,A13)&lt;&gt;1,"BAD EFFECT KEY","REVIEWED LINK")))</x:f>
        <x:v>REVIEWED LINK</x:v>
      </x:c>
    </x:row>
    <x:row r="14">
      <x:c r="A14" s="18" t="s">
        <x:v>208</x:v>
      </x:c>
      <x:c r="B14" s="18" t="s">
        <x:v>165</x:v>
      </x:c>
      <x:c r="C14" s="18" t="s">
        <x:v>140</x:v>
      </x:c>
      <x:c r="D14" s="21" t="str">
        <x:f>INDEX('Effect_Sizes'!$G$2:$G$18,MATCH(A14,'Effect_Sizes'!$B$2:$B$18,0))</x:f>
        <x:v>sick_hf</x:v>
      </x:c>
      <x:c r="E14" s="21" t="str">
        <x:f>INDEX('Effect_Sizes'!$H$2:$H$18,MATCH(A14,'Effect_Sizes'!$B$2:$B$18,0))</x:f>
        <x:v>dead_ihd</x:v>
      </x:c>
      <x:c r="F14" s="33" t="n">
        <x:f>SUMIF('Effect_Sizes'!$B$2:$B$18,A14,'Effect_Sizes'!$J$2:$J$18)</x:f>
        <x:v>0.093</x:v>
      </x:c>
      <x:c r="G14" s="33" t="n">
        <x:f>SUMIF('Effect_Sizes'!$B$2:$B$18,A14,'Effect_Sizes'!$K$2:$K$18)</x:f>
        <x:v>0.2</x:v>
      </x:c>
      <x:c r="H14" s="33" t="n">
        <x:f>SUMIF('Coverage'!$B$2:$B$18,A14,'Coverage'!$G$2:$G$18)</x:f>
        <x:v>0.31</x:v>
      </x:c>
      <x:c r="I14" s="33" t="n">
        <x:f>SUMIF('Coverage'!$B$2:$B$18,A14,'Coverage'!$I$2:$I$18)</x:f>
        <x:v>0.8</x:v>
      </x:c>
      <x:c r="J14" s="33" t="n">
        <x:f t="shared" si="0">IF(H14="","",I14-H14)</x:f>
        <x:v>0.49000000000000005</x:v>
      </x:c>
      <x:c r="K14" s="33" t="n">
        <x:f t="shared" si="2">IF(OR(H14="",F14=""),"",F14*J14/(1-F14*H14))</x:f>
        <x:v>0.046922783858644734</x:v>
      </x:c>
      <x:c r="L14" s="33" t="n">
        <x:f t="shared" si="1">IF(K14="","",K14*G14)</x:f>
        <x:v>0.009384556771728947</x:v>
      </x:c>
      <x:c r="M14" s="21" t="s">
        <x:v>208</x:v>
      </x:c>
      <x:c r="N14" s="21" t="s">
        <x:v>186</x:v>
      </x:c>
      <x:c r="O14" s="36" t="n">
        <x:f>COUNTIFS('Cost_Components'!$G$2:$G$37,M14,'Cost_Components'!$D$2:$D$37,1)</x:f>
        <x:v>3</x:v>
      </x:c>
      <x:c r="P14" s="49" t="n">
        <x:f>SUMIFS('Cost_Components'!$S$2:$S$37,'Cost_Components'!$G$2:$G$37,M14,'Cost_Components'!$D$2:$D$37,1)</x:f>
        <x:v>41.349530632</x:v>
      </x:c>
      <x:c r="Q14" s="21" t="str">
        <x:f>IF(H14=0,"MISSING COVERAGE",IF(O14=0,"REVIEW COST",IF(COUNTIF('Effect_Sizes'!$B$2:$B$18,A14)&lt;&gt;1,"BAD EFFECT KEY","REVIEWED LINK")))</x:f>
        <x:v>REVIEWED LINK</x:v>
      </x:c>
    </x:row>
    <x:row r="15">
      <x:c r="A15" s="18" t="s">
        <x:v>209</x:v>
      </x:c>
      <x:c r="B15" s="18" t="s">
        <x:v>165</x:v>
      </x:c>
      <x:c r="C15" s="18" t="s">
        <x:v>157</x:v>
      </x:c>
      <x:c r="D15" s="21" t="str">
        <x:f>INDEX('Effect_Sizes'!$G$2:$G$18,MATCH(A15,'Effect_Sizes'!$B$2:$B$18,0))</x:f>
        <x:v>sick_hf</x:v>
      </x:c>
      <x:c r="E15" s="21" t="str">
        <x:f>INDEX('Effect_Sizes'!$H$2:$H$18,MATCH(A15,'Effect_Sizes'!$B$2:$B$18,0))</x:f>
        <x:v>dead_hhd</x:v>
      </x:c>
      <x:c r="F15" s="33" t="n">
        <x:f>SUMIF('Effect_Sizes'!$B$2:$B$18,A15,'Effect_Sizes'!$J$2:$J$18)</x:f>
        <x:v>0.275</x:v>
      </x:c>
      <x:c r="G15" s="33" t="n">
        <x:f>SUMIF('Effect_Sizes'!$B$2:$B$18,A15,'Effect_Sizes'!$K$2:$K$18)</x:f>
        <x:v>0.8</x:v>
      </x:c>
      <x:c r="H15" s="33" t="n">
        <x:f>SUMIF('Coverage'!$B$2:$B$18,A15,'Coverage'!$G$2:$G$18)</x:f>
        <x:v>0.31</x:v>
      </x:c>
      <x:c r="I15" s="33" t="n">
        <x:f>SUMIF('Coverage'!$B$2:$B$18,A15,'Coverage'!$I$2:$I$18)</x:f>
        <x:v>0.8</x:v>
      </x:c>
      <x:c r="J15" s="33" t="n">
        <x:f t="shared" si="0">IF(H15="","",I15-H15)</x:f>
        <x:v>0.49000000000000005</x:v>
      </x:c>
      <x:c r="K15" s="33" t="n">
        <x:f t="shared" si="2">IF(OR(H15="",F15=""),"",F15*J15/(1-F15*H15))</x:f>
        <x:v>0.14730800765236407</x:v>
      </x:c>
      <x:c r="L15" s="33" t="n">
        <x:f t="shared" si="1">IF(K15="","",K15*G15)</x:f>
        <x:v>0.11784640612189126</x:v>
      </x:c>
      <x:c r="M15" s="21" t="s">
        <x:v>209</x:v>
      </x:c>
      <x:c r="N15" s="21" t="s">
        <x:v>186</x:v>
      </x:c>
      <x:c r="O15" s="36" t="n">
        <x:f>COUNTIFS('Cost_Components'!$G$2:$G$37,M15,'Cost_Components'!$D$2:$D$37,1)</x:f>
        <x:v>3</x:v>
      </x:c>
      <x:c r="P15" s="49" t="n">
        <x:f>SUMIFS('Cost_Components'!$S$2:$S$37,'Cost_Components'!$G$2:$G$37,M15,'Cost_Components'!$D$2:$D$37,1)</x:f>
        <x:v>155.60219068199999</x:v>
      </x:c>
      <x:c r="Q15" s="21" t="str">
        <x:f>IF(H15=0,"MISSING COVERAGE",IF(O15=0,"REVIEW COST",IF(COUNTIF('Effect_Sizes'!$B$2:$B$18,A15)&lt;&gt;1,"BAD EFFECT KEY","REVIEWED LINK")))</x:f>
        <x:v>REVIEWED LINK</x:v>
      </x:c>
    </x:row>
    <x:row r="16">
      <x:c r="A16" s="18" t="s">
        <x:v>210</x:v>
      </x:c>
      <x:c r="B16" s="18" t="s">
        <x:v>165</x:v>
      </x:c>
      <x:c r="C16" s="18" t="s">
        <x:v>163</x:v>
      </x:c>
      <x:c r="D16" s="21" t="str">
        <x:f>INDEX('Effect_Sizes'!$G$2:$G$18,MATCH(A16,'Effect_Sizes'!$B$2:$B$18,0))</x:f>
        <x:v>sick_hf</x:v>
      </x:c>
      <x:c r="E16" s="21" t="str">
        <x:f>INDEX('Effect_Sizes'!$H$2:$H$18,MATCH(A16,'Effect_Sizes'!$B$2:$B$18,0))</x:f>
        <x:v>dead_cmp</x:v>
      </x:c>
      <x:c r="F16" s="33" t="n">
        <x:f>SUMIF('Effect_Sizes'!$B$2:$B$18,A16,'Effect_Sizes'!$J$2:$J$18)</x:f>
        <x:v>0.536</x:v>
      </x:c>
      <x:c r="G16" s="33" t="n">
        <x:f>SUMIF('Effect_Sizes'!$B$2:$B$18,A16,'Effect_Sizes'!$K$2:$K$18)</x:f>
        <x:v>0.8</x:v>
      </x:c>
      <x:c r="H16" s="33" t="n">
        <x:f>SUMIF('Coverage'!$B$2:$B$18,A16,'Coverage'!$G$2:$G$18)</x:f>
        <x:v>0.31</x:v>
      </x:c>
      <x:c r="I16" s="33" t="n">
        <x:f>SUMIF('Coverage'!$B$2:$B$18,A16,'Coverage'!$I$2:$I$18)</x:f>
        <x:v>0.8</x:v>
      </x:c>
      <x:c r="J16" s="33" t="n">
        <x:f t="shared" si="0">IF(H16="","",I16-H16)</x:f>
        <x:v>0.49000000000000005</x:v>
      </x:c>
      <x:c r="K16" s="33" t="n">
        <x:f t="shared" si="2">IF(OR(H16="",F16=""),"",F16*J16/(1-F16*H16))</x:f>
        <x:v>0.31497649429147084</x:v>
      </x:c>
      <x:c r="L16" s="33" t="n">
        <x:f t="shared" si="1">IF(K16="","",K16*G16)</x:f>
        <x:v>0.2519811954331767</x:v>
      </x:c>
      <x:c r="M16" s="21" t="s">
        <x:v>210</x:v>
      </x:c>
      <x:c r="N16" s="21" t="s">
        <x:v>186</x:v>
      </x:c>
      <x:c r="O16" s="36" t="n">
        <x:f>COUNTIFS('Cost_Components'!$G$2:$G$37,M16,'Cost_Components'!$D$2:$D$37,1)</x:f>
        <x:v>3</x:v>
      </x:c>
      <x:c r="P16" s="49" t="n">
        <x:f>SUMIFS('Cost_Components'!$S$2:$S$37,'Cost_Components'!$G$2:$G$37,M16,'Cost_Components'!$D$2:$D$37,1)</x:f>
        <x:v>155.60219068199999</x:v>
      </x:c>
      <x:c r="Q16" s="21" t="str">
        <x:f>IF(H16=0,"MISSING COVERAGE",IF(O16=0,"REVIEW COST",IF(COUNTIF('Effect_Sizes'!$B$2:$B$18,A16)&lt;&gt;1,"BAD EFFECT KEY","REVIEWED LINK")))</x:f>
        <x:v>REVIEWED LINK</x:v>
      </x:c>
    </x:row>
    <x:row r="17">
      <x:c r="A17" s="18" t="s">
        <x:v>211</x:v>
      </x:c>
      <x:c r="B17" s="18" t="s">
        <x:v>171</x:v>
      </x:c>
      <x:c r="C17" s="18" t="s">
        <x:v>168</x:v>
      </x:c>
      <x:c r="D17" s="21" t="str">
        <x:f>INDEX('Effect_Sizes'!$G$2:$G$18,MATCH(A17,'Effect_Sizes'!$B$2:$B$18,0))</x:f>
        <x:v>sick</x:v>
      </x:c>
      <x:c r="E17" s="21" t="str">
        <x:f>INDEX('Effect_Sizes'!$H$2:$H$18,MATCH(A17,'Effect_Sizes'!$B$2:$B$18,0))</x:f>
        <x:v>dead_t2d</x:v>
      </x:c>
      <x:c r="F17" s="33" t="n">
        <x:f>SUMIF('Effect_Sizes'!$B$2:$B$18,A17,'Effect_Sizes'!$J$2:$J$18)</x:f>
        <x:v>0.28</x:v>
      </x:c>
      <x:c r="G17" s="33" t="n">
        <x:f>SUMIF('Effect_Sizes'!$B$2:$B$18,A17,'Effect_Sizes'!$K$2:$K$18)</x:f>
        <x:v>1</x:v>
      </x:c>
      <x:c r="H17" s="33" t="n">
        <x:f>SUMIF('Coverage'!$B$2:$B$18,A17,'Coverage'!$G$2:$G$18)</x:f>
        <x:v>0.16</x:v>
      </x:c>
      <x:c r="I17" s="33" t="n">
        <x:f>SUMIF('Coverage'!$B$2:$B$18,A17,'Coverage'!$I$2:$I$18)</x:f>
        <x:v>0.8</x:v>
      </x:c>
      <x:c r="J17" s="33" t="n">
        <x:f t="shared" si="0">IF(H17="","",I17-H17)</x:f>
        <x:v>0.64</x:v>
      </x:c>
      <x:c r="K17" s="33" t="n">
        <x:f t="shared" si="2">IF(OR(H17="",F17=""),"",F17*J17/(1-F17*H17))</x:f>
        <x:v>0.18760469011725295</x:v>
      </x:c>
      <x:c r="L17" s="33" t="n">
        <x:f t="shared" si="1">IF(K17="","",K17*G17)</x:f>
        <x:v>0.18760469011725295</x:v>
      </x:c>
      <x:c r="M17" s="21" t="s">
        <x:v>211</x:v>
      </x:c>
      <x:c r="N17" s="21" t="s">
        <x:v>186</x:v>
      </x:c>
      <x:c r="O17" s="36" t="n">
        <x:f>COUNTIFS('Cost_Components'!$G$2:$G$37,M17,'Cost_Components'!$D$2:$D$37,1)</x:f>
        <x:v>3</x:v>
      </x:c>
      <x:c r="P17" s="49" t="n">
        <x:f>SUMIFS('Cost_Components'!$S$2:$S$37,'Cost_Components'!$G$2:$G$37,M17,'Cost_Components'!$D$2:$D$37,1)</x:f>
        <x:v>1907.3167124006286</x:v>
      </x:c>
      <x:c r="Q17" s="21" t="str">
        <x:f>IF(H17=0,"MISSING COVERAGE",IF(O17=0,"REVIEW COST",IF(COUNTIF('Effect_Sizes'!$B$2:$B$18,A17)&lt;&gt;1,"BAD EFFECT KEY","REVIEWED LINK")))</x:f>
        <x:v>REVIEWED LINK</x:v>
      </x:c>
    </x:row>
    <x:row r="18" ht="22.799999237060547" customHeight="1">
      <x:c r="A18" s="5" t="s">
        <x:v>213</x:v>
      </x:c>
      <x:c r="B18" s="5" t="s">
        <x:v>171</x:v>
      </x:c>
      <x:c r="C18" s="5" t="s">
        <x:v>214</x:v>
      </x:c>
      <x:c r="D18" s="22" t="str">
        <x:f>INDEX('Effect_Sizes'!$G$2:$G$18,MATCH(A18,'Effect_Sizes'!$B$2:$B$18,0))</x:f>
        <x:v>sick</x:v>
      </x:c>
      <x:c r="E18" s="22" t="str">
        <x:f>INDEX('Effect_Sizes'!$H$2:$H$18,MATCH(A18,'Effect_Sizes'!$B$2:$B$18,0))</x:f>
        <x:v>dead_ihd</x:v>
      </x:c>
      <x:c r="F18" s="34" t="n">
        <x:f>SUMIF('Effect_Sizes'!$B$2:$B$18,A18,'Effect_Sizes'!$J$2:$J$18)</x:f>
        <x:v>0.15</x:v>
      </x:c>
      <x:c r="G18" s="34" t="n">
        <x:f>SUMIF('Effect_Sizes'!$B$2:$B$18,A18,'Effect_Sizes'!$K$2:$K$18)</x:f>
        <x:v>0.15</x:v>
      </x:c>
      <x:c r="H18" s="34" t="n">
        <x:f>SUMIF('Coverage'!$B$2:$B$18,A18,'Coverage'!$G$2:$G$18)</x:f>
        <x:v>0.16</x:v>
      </x:c>
      <x:c r="I18" s="34" t="n">
        <x:f>SUMIF('Coverage'!$B$2:$B$18,A18,'Coverage'!$I$2:$I$18)</x:f>
        <x:v>0.8</x:v>
      </x:c>
      <x:c r="J18" s="34" t="n">
        <x:f t="shared" si="0">IF(H18="","",I18-H18)</x:f>
        <x:v>0.64</x:v>
      </x:c>
      <x:c r="K18" s="34" t="n">
        <x:f t="shared" si="2">IF(OR(H18="",F18=""),"",F18*J18/(1-F18*H18))</x:f>
        <x:v>0.09836065573770492</x:v>
      </x:c>
      <x:c r="L18" s="34" t="n">
        <x:f t="shared" si="1">IF(K18="","",K18*G18)</x:f>
        <x:v>0.014754098360655736</x:v>
      </x:c>
      <x:c r="M18" s="22" t="s">
        <x:v>211</x:v>
      </x:c>
      <x:c r="N18" s="22" t="s">
        <x:v>192</x:v>
      </x:c>
      <x:c r="O18" s="37" t="n">
        <x:f>COUNTIFS('Cost_Components'!$G$2:$G$37,M18,'Cost_Components'!$D$2:$D$37,1)</x:f>
        <x:v>3</x:v>
      </x:c>
      <x:c r="P18" s="50" t="n">
        <x:f>SUMIFS('Cost_Components'!$S$2:$S$37,'Cost_Components'!$G$2:$G$37,M18,'Cost_Components'!$D$2:$D$37,1)</x:f>
        <x:v>1907.3167124006286</x:v>
      </x:c>
      <x:c r="Q18" s="22" t="str">
        <x:f>IF(H18=0,"MISSING COVERAGE",IF(O18=0,"REVIEW COST",IF(COUNTIF('Effect_Sizes'!$B$2:$B$18,A18)&lt;&gt;1,"BAD EFFECT KEY","REVIEWED LINK")))</x:f>
        <x:v>REVIEWED LINK</x:v>
      </x:c>
    </x:row>
  </x:sheetData>
  <x:conditionalFormatting sqref="Q2:Q18">
    <x:cfRule type="containsText" dxfId="11" priority="1" operator="containsText" text="OK"/>
    <x:cfRule type="containsText" dxfId="10" priority="3" operator="containsText" text="FAIL"/>
    <x:cfRule type="containsText" dxfId="9" priority="5" operator="containsText" text="REVIEW"/>
    <x:cfRule type="containsText" dxfId="8" priority="6" operator="containsText" text="BAD"/>
  </x:conditionalFormatting>
  <x:pageMargins left="0.7" right="0.7" top="0.75" bottom="0.75" header="0.3" footer="0.3"/>
  <x:tableParts count="1">
    <x:tablePart xmlns:r="http://schemas.openxmlformats.org/officeDocument/2006/relationships" r:id="R51ac844338744e2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11.19921875" defaultRowHeight="13.800000190734863"/>
  <x:cols>
    <x:col min="1" max="1" width="14" customWidth="1"/>
    <x:col min="2" max="2" width="30" customWidth="1"/>
    <x:col min="3" max="3" width="58" customWidth="1"/>
    <x:col min="4" max="4" width="28" customWidth="1"/>
    <x:col min="5" max="5" width="34" customWidth="1"/>
    <x:col min="6" max="6" width="72" customWidth="1"/>
  </x:cols>
  <x:sheetData>
    <x:row r="1">
      <x:c r="A1" s="4" t="s">
        <x:v>482</x:v>
      </x:c>
      <x:c r="B1" s="4" t="s">
        <x:v>483</x:v>
      </x:c>
      <x:c r="C1" s="4" t="s">
        <x:v>484</x:v>
      </x:c>
      <x:c r="D1" s="4" t="s">
        <x:v>485</x:v>
      </x:c>
      <x:c r="E1" s="4" t="s">
        <x:v>486</x:v>
      </x:c>
      <x:c r="F1" s="4" t="s">
        <x:v>487</x:v>
      </x:c>
    </x:row>
    <x:row r="2">
      <x:c r="A2" s="51" t="s">
        <x:v>488</x:v>
      </x:c>
      <x:c r="B2" s="51" t="s">
        <x:v>489</x:v>
      </x:c>
      <x:c r="C2" s="51" t="s">
        <x:v>490</x:v>
      </x:c>
      <x:c r="D2" s="51" t="s">
        <x:v>491</x:v>
      </x:c>
      <x:c r="E2" s="51" t="s">
        <x:v>177</x:v>
      </x:c>
      <x:c r="F2" s="51" t="s">
        <x:v>492</x:v>
      </x:c>
    </x:row>
    <x:row r="3">
      <x:c r="A3" s="52" t="s">
        <x:v>493</x:v>
      </x:c>
      <x:c r="B3" s="52" t="s">
        <x:v>494</x:v>
      </x:c>
      <x:c r="C3" s="52" t="s">
        <x:v>495</x:v>
      </x:c>
      <x:c r="D3" s="52" t="s">
        <x:v>496</x:v>
      </x:c>
      <x:c r="E3" s="52" t="s">
        <x:v>177</x:v>
      </x:c>
      <x:c r="F3" s="52" t="s">
        <x:v>497</x:v>
      </x:c>
    </x:row>
    <x:row r="4" ht="26.399999618530273" customHeight="1">
      <x:c r="A4" s="52" t="s">
        <x:v>498</x:v>
      </x:c>
      <x:c r="B4" s="52" t="s">
        <x:v>499</x:v>
      </x:c>
      <x:c r="C4" s="52" t="s">
        <x:v>500</x:v>
      </x:c>
      <x:c r="D4" s="52" t="s">
        <x:v>496</x:v>
      </x:c>
      <x:c r="E4" s="52" t="s">
        <x:v>177</x:v>
      </x:c>
      <x:c r="F4" s="52" t="s">
        <x:v>501</x:v>
      </x:c>
    </x:row>
    <x:row r="5">
      <x:c r="A5" s="52" t="s">
        <x:v>502</x:v>
      </x:c>
      <x:c r="B5" s="52" t="s">
        <x:v>503</x:v>
      </x:c>
      <x:c r="C5" s="52" t="s">
        <x:v>504</x:v>
      </x:c>
      <x:c r="D5" s="52" t="s">
        <x:v>505</x:v>
      </x:c>
      <x:c r="E5" s="52" t="s">
        <x:v>506</x:v>
      </x:c>
      <x:c r="F5" s="52" t="s">
        <x:v>507</x:v>
      </x:c>
    </x:row>
    <x:row r="6">
      <x:c r="A6" s="52" t="s">
        <x:v>508</x:v>
      </x:c>
      <x:c r="B6" s="52" t="s">
        <x:v>509</x:v>
      </x:c>
      <x:c r="C6" s="52" t="s">
        <x:v>510</x:v>
      </x:c>
      <x:c r="D6" s="52" t="s">
        <x:v>511</x:v>
      </x:c>
      <x:c r="E6" s="52" t="s">
        <x:v>512</x:v>
      </x:c>
      <x:c r="F6" s="52" t="s">
        <x:v>513</x:v>
      </x:c>
    </x:row>
    <x:row r="7">
      <x:c r="A7" s="52" t="s">
        <x:v>514</x:v>
      </x:c>
      <x:c r="B7" s="52" t="s">
        <x:v>515</x:v>
      </x:c>
      <x:c r="C7" s="52" t="s">
        <x:v>516</x:v>
      </x:c>
      <x:c r="D7" s="52" t="s">
        <x:v>517</x:v>
      </x:c>
      <x:c r="E7" s="52" t="s">
        <x:v>180</x:v>
      </x:c>
      <x:c r="F7" s="52" t="s">
        <x:v>518</x:v>
      </x:c>
    </x:row>
    <x:row r="8">
      <x:c r="A8" s="52" t="s">
        <x:v>519</x:v>
      </x:c>
      <x:c r="B8" s="52" t="s">
        <x:v>520</x:v>
      </x:c>
      <x:c r="C8" s="52" t="s">
        <x:v>521</x:v>
      </x:c>
      <x:c r="D8" s="52" t="s">
        <x:v>517</x:v>
      </x:c>
      <x:c r="E8" s="52" t="s">
        <x:v>522</x:v>
      </x:c>
      <x:c r="F8" s="52" t="s">
        <x:v>523</x:v>
      </x:c>
    </x:row>
    <x:row r="9" ht="26.399999618530273" customHeight="1">
      <x:c r="A9" s="52" t="s">
        <x:v>524</x:v>
      </x:c>
      <x:c r="B9" s="52" t="s">
        <x:v>525</x:v>
      </x:c>
      <x:c r="C9" s="52" t="s">
        <x:v>526</x:v>
      </x:c>
      <x:c r="D9" s="52" t="s">
        <x:v>511</x:v>
      </x:c>
      <x:c r="E9" s="52" t="s">
        <x:v>343</x:v>
      </x:c>
      <x:c r="F9" s="52" t="s">
        <x:v>527</x:v>
      </x:c>
    </x:row>
    <x:row r="10">
      <x:c r="A10" s="53" t="s">
        <x:v>528</x:v>
      </x:c>
      <x:c r="B10" s="53" t="s">
        <x:v>529</x:v>
      </x:c>
      <x:c r="C10" s="53" t="s">
        <x:v>530</x:v>
      </x:c>
      <x:c r="D10" s="53" t="s">
        <x:v>531</x:v>
      </x:c>
      <x:c r="E10" s="53" t="s">
        <x:v>331</x:v>
      </x:c>
      <x:c r="F10" s="53" t="s">
        <x:v>532</x:v>
      </x:c>
    </x:row>
    <x:row r="12" ht="27.600000381469727" customHeight="1">
      <x:c r="A12" s="54" t="s">
        <x:v>533</x:v>
      </x:c>
      <x:c r="B12" s="54" t="s">
        <x:v>534</x:v>
      </x:c>
      <x:c r="C12" s="54" t="s">
        <x:v>535</x:v>
      </x:c>
      <x:c r="D12" s="54" t="s">
        <x:v>536</x:v>
      </x:c>
      <x:c r="E12" s="54" t="s">
        <x:v>537</x:v>
      </x:c>
      <x:c r="F12" s="54"/>
    </x:row>
    <x:row r="13" ht="26.399999618530273" customHeight="1">
      <x:c r="A13" s="51" t="s">
        <x:v>538</x:v>
      </x:c>
      <x:c r="B13" s="55">
        <x:v>0.03</x:v>
      </x:c>
      <x:c r="C13" s="55">
        <x:v>0.05</x:v>
      </x:c>
      <x:c r="D13" s="51" t="s">
        <x:v>539</x:v>
      </x:c>
      <x:c r="E13" s="51" t="s">
        <x:v>540</x:v>
      </x:c>
      <x:c r="F13" s="51"/>
    </x:row>
    <x:row r="14" ht="26.399999618530273" customHeight="1">
      <x:c r="A14" s="52" t="s">
        <x:v>541</x:v>
      </x:c>
      <x:c r="B14" s="56">
        <x:v>0.03</x:v>
      </x:c>
      <x:c r="C14" s="56">
        <x:v>0</x:v>
      </x:c>
      <x:c r="D14" s="52" t="s">
        <x:v>539</x:v>
      </x:c>
      <x:c r="E14" s="52" t="s">
        <x:v>540</x:v>
      </x:c>
      <x:c r="F14" s="52"/>
    </x:row>
    <x:row r="15" ht="26.399999618530273" customHeight="1">
      <x:c r="A15" s="53" t="s">
        <x:v>542</x:v>
      </x:c>
      <x:c r="B15" s="53" t="s">
        <x:v>543</x:v>
      </x:c>
      <x:c r="C15" s="53" t="s">
        <x:v>544</x:v>
      </x:c>
      <x:c r="D15" s="53" t="s">
        <x:v>545</x:v>
      </x:c>
      <x:c r="E15" s="53" t="s">
        <x:v>540</x:v>
      </x:c>
      <x:c r="F15" s="53"/>
    </x:row>
    <x:row r="17" ht="34.04999923706055" customHeight="1">
      <x:c r="A17" s="80" t="s">
        <x:v>546</x:v>
      </x:c>
      <x:c r="B17" s="80"/>
      <x:c r="C17" s="80"/>
      <x:c r="D17" s="80"/>
      <x:c r="E17" s="80"/>
      <x:c r="F17" s="80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765e73b072394c2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11.19921875" defaultRowHeight="13.800000190734863"/>
  <x:cols>
    <x:col min="1" max="1" width="42" customWidth="1"/>
    <x:col min="2" max="2" width="16" customWidth="1"/>
    <x:col min="3" max="3" width="56" customWidth="1"/>
    <x:col min="4" max="4" width="28" customWidth="1"/>
    <x:col min="5" max="5" width="3" customWidth="1"/>
    <x:col min="6" max="6" width="36" customWidth="1"/>
    <x:col min="7" max="7" width="48" customWidth="1"/>
    <x:col min="8" max="8" width="34" customWidth="1"/>
    <x:col min="9" max="9" width="48" customWidth="1"/>
  </x:cols>
  <x:sheetData>
    <x:row r="1">
      <x:c r="A1" s="4" t="s">
        <x:v>547</x:v>
      </x:c>
      <x:c r="B1" s="4" t="s">
        <x:v>548</x:v>
      </x:c>
      <x:c r="C1" s="4" t="s">
        <x:v>549</x:v>
      </x:c>
      <x:c r="D1" s="4" t="s">
        <x:v>550</x:v>
      </x:c>
      <x:c r="F1" s="4" t="s">
        <x:v>31</x:v>
      </x:c>
      <x:c r="G1" s="4" t="s">
        <x:v>551</x:v>
      </x:c>
      <x:c r="H1" s="4" t="s">
        <x:v>552</x:v>
      </x:c>
      <x:c r="I1" s="4" t="s">
        <x:v>183</x:v>
      </x:c>
    </x:row>
    <x:row r="2">
      <x:c r="A2" s="19" t="s">
        <x:v>553</x:v>
      </x:c>
      <x:c r="B2" s="19" t="s">
        <x:v>554</x:v>
      </x:c>
      <x:c r="C2" s="19" t="s">
        <x:v>555</x:v>
      </x:c>
      <x:c r="D2" s="19" t="s">
        <x:v>133</x:v>
      </x:c>
      <x:c r="E2" s="19"/>
      <x:c r="F2" s="19" t="s">
        <x:v>556</x:v>
      </x:c>
      <x:c r="G2" s="19" t="s">
        <x:v>557</x:v>
      </x:c>
      <x:c r="H2" s="19" t="s">
        <x:v>558</x:v>
      </x:c>
      <x:c r="I2" s="19" t="s">
        <x:v>559</x:v>
      </x:c>
    </x:row>
    <x:row r="3" ht="22.799999237060547" customHeight="1">
      <x:c r="A3" s="19" t="s">
        <x:v>560</x:v>
      </x:c>
      <x:c r="B3" s="19" t="s">
        <x:v>554</x:v>
      </x:c>
      <x:c r="C3" s="19" t="s">
        <x:v>561</x:v>
      </x:c>
      <x:c r="D3" s="19" t="s">
        <x:v>562</x:v>
      </x:c>
      <x:c r="E3" s="19"/>
      <x:c r="F3" s="19" t="s">
        <x:v>41</x:v>
      </x:c>
      <x:c r="G3" s="19" t="s">
        <x:v>563</x:v>
      </x:c>
      <x:c r="H3" s="19" t="s">
        <x:v>564</x:v>
      </x:c>
      <x:c r="I3" s="19" t="s">
        <x:v>565</x:v>
      </x:c>
    </x:row>
    <x:row r="4">
      <x:c r="A4" s="19" t="s">
        <x:v>566</x:v>
      </x:c>
      <x:c r="B4" s="19" t="s">
        <x:v>567</x:v>
      </x:c>
      <x:c r="C4" s="19" t="s">
        <x:v>568</x:v>
      </x:c>
      <x:c r="D4" s="19" t="s">
        <x:v>143</x:v>
      </x:c>
      <x:c r="E4" s="19"/>
      <x:c r="F4" s="19" t="s">
        <x:v>238</x:v>
      </x:c>
      <x:c r="G4" s="19" t="s">
        <x:v>569</x:v>
      </x:c>
      <x:c r="H4" s="19" t="s">
        <x:v>570</x:v>
      </x:c>
      <x:c r="I4" s="19" t="s">
        <x:v>571</x:v>
      </x:c>
    </x:row>
    <x:row r="5">
      <x:c r="A5" s="19" t="s">
        <x:v>572</x:v>
      </x:c>
      <x:c r="B5" s="19" t="s">
        <x:v>567</x:v>
      </x:c>
      <x:c r="C5" s="19" t="s">
        <x:v>573</x:v>
      </x:c>
      <x:c r="D5" s="19" t="s">
        <x:v>574</x:v>
      </x:c>
      <x:c r="E5" s="19"/>
      <x:c r="F5" s="19" t="str">
        <x:v>cvd_input_file_PIN_dm(2).csv</x:v>
      </x:c>
      <x:c r="G5" s="19" t="str">
        <x:v>Baseline coverage and population-in-need fractions, including type 2 diabetes</x:v>
      </x:c>
      <x:c r="H5" s="19" t="str">
        <x:v>All rows</x:v>
      </x:c>
      <x:c r="I5" s="19" t="str">
        <x:v>Contains regional/platform proxies; type 2 diabetes baseline coverage is 16%</x:v>
      </x:c>
    </x:row>
    <x:row r="6">
      <x:c r="A6" s="19" t="s">
        <x:v>575</x:v>
      </x:c>
      <x:c r="B6" s="19" t="s">
        <x:v>567</x:v>
      </x:c>
      <x:c r="C6" s="19" t="s">
        <x:v>576</x:v>
      </x:c>
      <x:c r="D6" s="19" t="s">
        <x:v>140</x:v>
      </x:c>
      <x:c r="E6" s="19"/>
      <x:c r="F6" s="19" t="str">
        <x:v>cvd_unit_cost_indonesia_1_dm(2).xlsx</x:v>
      </x:c>
      <x:c r="G6" s="19" t="str">
        <x:v>Indonesia-adjusted CVD and type 2 diabetes unit costs</x:v>
      </x:c>
      <x:c r="H6" s="19" t="str">
        <x:v>cvd_unit_cost_indonesia</x:v>
      </x:c>
      <x:c r="I6" s="19" t="str">
        <x:v>Alternative salary-adjustment options retained; type 2 diabetes rows added</x:v>
      </x:c>
    </x:row>
    <x:row r="7">
      <x:c r="A7" s="19" t="s">
        <x:v>577</x:v>
      </x:c>
      <x:c r="B7" s="19" t="s">
        <x:v>567</x:v>
      </x:c>
      <x:c r="C7" s="19" t="s">
        <x:v>576</x:v>
      </x:c>
      <x:c r="D7" s="19" t="s">
        <x:v>578</x:v>
      </x:c>
      <x:c r="E7" s="19"/>
      <x:c r="F7" s="19" t="s">
        <x:v>579</x:v>
      </x:c>
      <x:c r="G7" s="19" t="str">
        <x:v>Legacy raw PIN/cost reference for deferred interventions</x:v>
      </x:c>
      <x:c r="H7" s="19" t="str">
        <x:v>As previously documented</x:v>
      </x:c>
      <x:c r="I7" s="19" t="str">
        <x:v>No longer used for type 2 diabetes costing</x:v>
      </x:c>
    </x:row>
    <x:row r="8" ht="22.799999237060547" customHeight="1">
      <x:c r="A8" s="19" t="s">
        <x:v>580</x:v>
      </x:c>
      <x:c r="B8" s="19" t="s">
        <x:v>567</x:v>
      </x:c>
      <x:c r="C8" s="19" t="s">
        <x:v>581</x:v>
      </x:c>
      <x:c r="D8" s="19" t="s">
        <x:v>140</x:v>
      </x:c>
      <x:c r="E8" s="19"/>
      <x:c r="F8" s="19" t="s">
        <x:v>582</x:v>
      </x:c>
      <x:c r="G8" s="19" t="s">
        <x:v>583</x:v>
      </x:c>
      <x:c r="H8" s="19" t="s">
        <x:v>540</x:v>
      </x:c>
      <x:c r="I8" s="19" t="s">
        <x:v>584</x:v>
      </x:c>
    </x:row>
    <x:row r="9">
      <x:c r="A9" s="19" t="s">
        <x:v>585</x:v>
      </x:c>
      <x:c r="B9" s="19" t="s">
        <x:v>567</x:v>
      </x:c>
      <x:c r="C9" s="19" t="s">
        <x:v>586</x:v>
      </x:c>
      <x:c r="D9" s="19" t="s">
        <x:v>587</x:v>
      </x:c>
      <x:c r="E9" s="19"/>
      <x:c r="F9" s="19"/>
      <x:c r="G9" s="19"/>
      <x:c r="H9" s="19"/>
      <x:c r="I9" s="19"/>
    </x:row>
  </x:sheetData>
  <x:conditionalFormatting sqref="B2:B9">
    <x:cfRule type="containsText" dxfId="7" priority="1" operator="containsText" text="OK"/>
    <x:cfRule type="containsText" dxfId="6" priority="3" operator="containsText" text="FAIL"/>
    <x:cfRule type="containsText" dxfId="5" priority="5" operator="containsText" text="REVIEW"/>
    <x:cfRule type="containsText" dxfId="4" priority="6" operator="containsText" text="BAD"/>
  </x:conditionalFormatting>
  <x:pageMargins left="0.7" right="0.7" top="0.75" bottom="0.75" header="0.3" footer="0.3"/>
  <x:tableParts count="2">
    <x:tablePart xmlns:r="http://schemas.openxmlformats.org/officeDocument/2006/relationships" r:id="Ra6371558286f49dd"/>
    <x:tablePart xmlns:r="http://schemas.openxmlformats.org/officeDocument/2006/relationships" r:id="R1432c950e4e94d02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11.19921875" defaultRowHeight="13.800000190734863"/>
  <x:cols>
    <x:col min="1" max="1" width="14" customWidth="1"/>
    <x:col min="2" max="2" width="52" customWidth="1"/>
    <x:col min="3" max="4" width="14" customWidth="1"/>
    <x:col min="5" max="5" width="16" customWidth="1"/>
    <x:col min="6" max="6" width="62" customWidth="1"/>
  </x:cols>
  <x:sheetData>
    <x:row r="1">
      <x:c r="A1" s="4" t="s">
        <x:v>588</x:v>
      </x:c>
      <x:c r="B1" s="4" t="s">
        <x:v>589</x:v>
      </x:c>
      <x:c r="C1" s="4" t="s">
        <x:v>590</x:v>
      </x:c>
      <x:c r="D1" s="4" t="s">
        <x:v>591</x:v>
      </x:c>
      <x:c r="E1" s="4" t="s">
        <x:v>592</x:v>
      </x:c>
      <x:c r="F1" s="4" t="s">
        <x:v>593</x:v>
      </x:c>
    </x:row>
    <x:row r="2" ht="30" customHeight="1">
      <x:c r="A2" s="57" t="s">
        <x:v>594</x:v>
      </x:c>
      <x:c r="B2" s="57" t="s">
        <x:v>595</x:v>
      </x:c>
      <x:c r="C2" s="57">
        <x:v>0</x:v>
      </x:c>
      <x:c r="D2" s="58" t="n">
        <x:f>COUNTIF('Intervention_Cause_Map'!$M$2:$M$18,"&gt;1")</x:f>
        <x:v>0</x:v>
      </x:c>
      <x:c r="E2" s="58" t="str">
        <x:f t="shared" ref="E2:E9" si="0">IF(D2=C2,"PASS","FAIL")</x:f>
        <x:v>PASS</x:v>
      </x:c>
      <x:c r="F2" s="57" t="s">
        <x:v>596</x:v>
      </x:c>
    </x:row>
    <x:row r="3" ht="30" customHeight="1">
      <x:c r="A3" s="57" t="s">
        <x:v>597</x:v>
      </x:c>
      <x:c r="B3" s="57" t="s">
        <x:v>598</x:v>
      </x:c>
      <x:c r="C3" s="57">
        <x:v>0</x:v>
      </x:c>
      <x:c r="D3" s="58" t="n">
        <x:f>COUNTIF('Effect_Sizes'!$V$2:$V$18,"&lt;&gt;OK")</x:f>
        <x:v>0</x:v>
      </x:c>
      <x:c r="E3" s="58" t="str">
        <x:f t="shared" si="0">IF(D3=C3,"PASS","FAIL")</x:f>
        <x:v>PASS</x:v>
      </x:c>
      <x:c r="F3" s="57" t="s">
        <x:v>599</x:v>
      </x:c>
    </x:row>
    <x:row r="4" ht="30" customHeight="1">
      <x:c r="A4" s="57" t="s">
        <x:v>600</x:v>
      </x:c>
      <x:c r="B4" s="57" t="s">
        <x:v>601</x:v>
      </x:c>
      <x:c r="C4" s="57">
        <x:v>0</x:v>
      </x:c>
      <x:c r="D4" s="58" t="n">
        <x:f>COUNTIF('Coverage'!$S$2:$S$18,"&lt;&gt;OK")</x:f>
        <x:v>0</x:v>
      </x:c>
      <x:c r="E4" s="58" t="str">
        <x:f t="shared" si="0">IF(D4=C4,"PASS","FAIL")</x:f>
        <x:v>PASS</x:v>
      </x:c>
      <x:c r="F4" s="57" t="str">
        <x:v>Coverage inputs are linked and valid; T2D baseline is updated to 16%</x:v>
      </x:c>
    </x:row>
    <x:row r="5" ht="30" customHeight="1">
      <x:c r="A5" s="57" t="s">
        <x:v>602</x:v>
      </x:c>
      <x:c r="B5" s="57" t="s">
        <x:v>603</x:v>
      </x:c>
      <x:c r="C5" s="57">
        <x:v>0</x:v>
      </x:c>
      <x:c r="D5" s="58" t="n">
        <x:f>COUNTIF('Cost_Components'!$AC$2:$AC$37,"&lt;&gt;OK")</x:f>
        <x:v>0</x:v>
      </x:c>
      <x:c r="E5" s="58" t="str">
        <x:f t="shared" si="0">IF(D5=C5,"PASS","FAIL")</x:f>
        <x:v>PASS</x:v>
      </x:c>
      <x:c r="F5" s="57" t="str">
        <x:v>T2D cost adjustment is resolved; the provisional IHD chronic-HF follow-up input remains documented for review</x:v>
      </x:c>
    </x:row>
    <x:row r="6" ht="30" customHeight="1">
      <x:c r="A6" s="57" t="s">
        <x:v>604</x:v>
      </x:c>
      <x:c r="B6" s="57" t="s">
        <x:v>605</x:v>
      </x:c>
      <x:c r="C6" s="57">
        <x:v>0</x:v>
      </x:c>
      <x:c r="D6" s="58" t="n">
        <x:f>COUNTA('Effect_Sizes'!$A$2:$A$18)-COUNTA('Intervention_Cause_Map'!$A$2:$A$18)</x:f>
        <x:v>0</x:v>
      </x:c>
      <x:c r="E6" s="58" t="str">
        <x:f t="shared" si="0">IF(D6=C6,"PASS","FAIL")</x:f>
        <x:v>PASS</x:v>
      </x:c>
      <x:c r="F6" s="57" t="s">
        <x:v>606</x:v>
      </x:c>
    </x:row>
    <x:row r="7" ht="30" customHeight="1">
      <x:c r="A7" s="57" t="s">
        <x:v>607</x:v>
      </x:c>
      <x:c r="B7" s="57" t="s">
        <x:v>608</x:v>
      </x:c>
      <x:c r="C7" s="57">
        <x:v>0</x:v>
      </x:c>
      <x:c r="D7" s="58" t="n">
        <x:f>COUNTA('Coverage'!$A$2:$A$18)-COUNTA('Intervention_Cause_Map'!$A$2:$A$18)</x:f>
        <x:v>0</x:v>
      </x:c>
      <x:c r="E7" s="58" t="str">
        <x:f t="shared" si="0">IF(D7=C7,"PASS","FAIL")</x:f>
        <x:v>PASS</x:v>
      </x:c>
      <x:c r="F7" s="57" t="s">
        <x:v>609</x:v>
      </x:c>
    </x:row>
    <x:row r="8" ht="30" customHeight="1">
      <x:c r="A8" s="57" t="s">
        <x:v>610</x:v>
      </x:c>
      <x:c r="B8" s="57" t="s">
        <x:v>611</x:v>
      </x:c>
      <x:c r="C8" s="57">
        <x:v>0</x:v>
      </x:c>
      <x:c r="D8" s="58" t="n">
        <x:f>COUNTBLANK('Effect_Sizes'!$Q$2:$Q$18)</x:f>
        <x:v>0</x:v>
      </x:c>
      <x:c r="E8" s="58" t="str">
        <x:f t="shared" si="0">IF(D8=C8,"PASS","FAIL")</x:f>
        <x:v>PASS</x:v>
      </x:c>
      <x:c r="F8" s="57" t="s">
        <x:v>612</x:v>
      </x:c>
    </x:row>
    <x:row r="9" ht="30" customHeight="1">
      <x:c r="A9" s="57" t="s">
        <x:v>613</x:v>
      </x:c>
      <x:c r="B9" s="57" t="s">
        <x:v>614</x:v>
      </x:c>
      <x:c r="C9" s="57">
        <x:v>0</x:v>
      </x:c>
      <x:c r="D9" s="58" t="n">
        <x:f>COUNTIFS('Cost_Components'!$D$2:$D$37,1,'Cost_Components'!$S$2:$S$37,"")</x:f>
        <x:v>0</x:v>
      </x:c>
      <x:c r="E9" s="58" t="str">
        <x:f t="shared" si="0">IF(D9=C9,"PASS","FAIL")</x:f>
        <x:v>PASS</x:v>
      </x:c>
      <x:c r="F9" s="57" t="s">
        <x:v>615</x:v>
      </x:c>
    </x:row>
  </x:sheetData>
  <x:conditionalFormatting sqref="E2:E9">
    <x:cfRule type="containsText" dxfId="3" priority="1" operator="containsText" text="OK"/>
    <x:cfRule type="containsText" dxfId="2" priority="3" operator="containsText" text="FAIL"/>
    <x:cfRule type="containsText" dxfId="1" priority="5" operator="containsText" text="REVIEW"/>
    <x:cfRule type="containsText" dxfId="0" priority="6" operator="containsText" text="BAD"/>
  </x:conditionalFormatting>
  <x:pageMargins left="0.7" right="0.7" top="0.75" bottom="0.75" header="0.3" footer="0.3"/>
  <x:tableParts count="1">
    <x:tablePart xmlns:r="http://schemas.openxmlformats.org/officeDocument/2006/relationships" r:id="Rf0a8d5c5e53747ae"/>
  </x:tableParts>
</x:worksheet>
</file>

<file path=xl/worksheets/sheet12.xml><?xml version="1.0" encoding="utf-8"?>
<x:worksheet xmlns:x="http://schemas.openxmlformats.org/spreadsheetml/2006/main">
  <x:sheetFormatPr defaultColWidth="11.19921875" defaultRowHeight="13.800000190734863"/>
  <x:cols>
    <x:col min="2" max="2" width="17.796875" customWidth="1"/>
  </x:cols>
  <x:sheetData>
    <x:row r="1">
      <x:c r="A1" t="s">
        <x:v>616</x:v>
      </x:c>
      <x:c r="B1" t="s">
        <x:v>617</x:v>
      </x:c>
      <x:c r="C1" t="s">
        <x:v>618</x:v>
      </x:c>
      <x:c r="D1" t="s">
        <x:v>619</x:v>
      </x:c>
    </x:row>
    <x:row r="2">
      <x:c r="A2" t="s">
        <x:v>620</x:v>
      </x:c>
      <x:c r="B2" t="s">
        <x:v>137</x:v>
      </x:c>
      <x:c r="C2" s="59">
        <x:v>46254</x:v>
      </x:c>
      <x:c r="D2" t="s">
        <x:v>621</x:v>
      </x:c>
    </x:row>
    <x:row r="3">
      <x:c r="A3" t="str">
        <x:v>Type 2 diabetes</x:v>
      </x:c>
      <x:c r="B3" t="str">
        <x:v>PIN and unit costs</x:v>
      </x:c>
      <x:c r="C3" t="n">
        <x:v>46262</x:v>
      </x:c>
      <x:c r="D3" t="str">
        <x:v>Updated baseline coverage to 16% and added screening, non-insulin, and insulin cost components using Indonesia-adjusted 2023 USD values</x:v>
      </x:c>
    </x:row>
  </x:sheetData>
  <x:pageMargins left="0.7" right="0.7" top="0.75" bottom="0.75" header="0.3" footer="0.3"/>
</x:worksheet>
</file>