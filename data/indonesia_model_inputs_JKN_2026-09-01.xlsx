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orldBank-Indonesia/uw-wb-indonesia-ncd/data/"/>
    </mc:Choice>
  </mc:AlternateContent>
  <xr:revisionPtr revIDLastSave="1" documentId="11_B0C31A8181D53E29DFCE080E532632D4FEADA452" xr6:coauthVersionLast="47" xr6:coauthVersionMax="47" xr10:uidLastSave="{9BC4A2C9-E0F4-4C99-951B-D59B33C1809F}"/>
  <bookViews>
    <workbookView xWindow="28680" yWindow="-120" windowWidth="29040" windowHeight="15720" firstSheet="1" activeTab="11" xr2:uid="{00000000-000D-0000-FFFF-FFFF00000000}"/>
  </bookViews>
  <sheets>
    <sheet name="README" sheetId="1" r:id="rId1"/>
    <sheet name="Assumptions" sheetId="2" r:id="rId2"/>
    <sheet name="Dictionaries" sheetId="3" state="hidden" r:id="rId3"/>
    <sheet name="Intervention_Cause_Map" sheetId="4" state="hidden" r:id="rId4"/>
    <sheet name="Effect_Sizes" sheetId="5" r:id="rId5"/>
    <sheet name="Coverage" sheetId="6" r:id="rId6"/>
    <sheet name="Cost_Components" sheetId="7" r:id="rId7"/>
    <sheet name="Model_Input_View" sheetId="8" r:id="rId8"/>
    <sheet name="FairChoices_Methods" sheetId="9" state="hidden" r:id="rId9"/>
    <sheet name="Scope_and_Sources" sheetId="10" state="hidden" r:id="rId10"/>
    <sheet name="QA_Checks" sheetId="11" state="hidden" r:id="rId11"/>
    <sheet name="JKN_Derivation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2" l="1"/>
  <c r="D9" i="11"/>
  <c r="E9" i="11" s="1"/>
  <c r="D8" i="11"/>
  <c r="E8" i="11" s="1"/>
  <c r="D7" i="11"/>
  <c r="E7" i="11" s="1"/>
  <c r="D6" i="11"/>
  <c r="E6" i="11" s="1"/>
  <c r="P18" i="8"/>
  <c r="O18" i="8"/>
  <c r="H18" i="8"/>
  <c r="Q18" i="8" s="1"/>
  <c r="G18" i="8"/>
  <c r="F18" i="8"/>
  <c r="E18" i="8"/>
  <c r="D18" i="8"/>
  <c r="P17" i="8"/>
  <c r="O17" i="8"/>
  <c r="H17" i="8"/>
  <c r="G17" i="8"/>
  <c r="F17" i="8"/>
  <c r="E17" i="8"/>
  <c r="D17" i="8"/>
  <c r="P16" i="8"/>
  <c r="O16" i="8"/>
  <c r="I16" i="8"/>
  <c r="J16" i="8" s="1"/>
  <c r="H16" i="8"/>
  <c r="Q16" i="8" s="1"/>
  <c r="G16" i="8"/>
  <c r="F16" i="8"/>
  <c r="E16" i="8"/>
  <c r="D16" i="8"/>
  <c r="P15" i="8"/>
  <c r="O15" i="8"/>
  <c r="Q15" i="8" s="1"/>
  <c r="H15" i="8"/>
  <c r="G15" i="8"/>
  <c r="F15" i="8"/>
  <c r="E15" i="8"/>
  <c r="D15" i="8"/>
  <c r="P14" i="8"/>
  <c r="O14" i="8"/>
  <c r="H14" i="8"/>
  <c r="Q14" i="8" s="1"/>
  <c r="G14" i="8"/>
  <c r="F14" i="8"/>
  <c r="E14" i="8"/>
  <c r="D14" i="8"/>
  <c r="P13" i="8"/>
  <c r="O13" i="8"/>
  <c r="H13" i="8"/>
  <c r="G13" i="8"/>
  <c r="F13" i="8"/>
  <c r="E13" i="8"/>
  <c r="D13" i="8"/>
  <c r="P12" i="8"/>
  <c r="O12" i="8"/>
  <c r="I12" i="8"/>
  <c r="J12" i="8" s="1"/>
  <c r="H12" i="8"/>
  <c r="Q12" i="8" s="1"/>
  <c r="G12" i="8"/>
  <c r="F12" i="8"/>
  <c r="E12" i="8"/>
  <c r="D12" i="8"/>
  <c r="P11" i="8"/>
  <c r="O11" i="8"/>
  <c r="H11" i="8"/>
  <c r="Q11" i="8" s="1"/>
  <c r="G11" i="8"/>
  <c r="F11" i="8"/>
  <c r="E11" i="8"/>
  <c r="D11" i="8"/>
  <c r="P10" i="8"/>
  <c r="O10" i="8"/>
  <c r="H10" i="8"/>
  <c r="Q10" i="8" s="1"/>
  <c r="G10" i="8"/>
  <c r="F10" i="8"/>
  <c r="E10" i="8"/>
  <c r="D10" i="8"/>
  <c r="P9" i="8"/>
  <c r="O9" i="8"/>
  <c r="H9" i="8"/>
  <c r="G9" i="8"/>
  <c r="F9" i="8"/>
  <c r="E9" i="8"/>
  <c r="D9" i="8"/>
  <c r="P8" i="8"/>
  <c r="O8" i="8"/>
  <c r="I8" i="8"/>
  <c r="J8" i="8" s="1"/>
  <c r="H8" i="8"/>
  <c r="Q8" i="8" s="1"/>
  <c r="G8" i="8"/>
  <c r="F8" i="8"/>
  <c r="E8" i="8"/>
  <c r="D8" i="8"/>
  <c r="P7" i="8"/>
  <c r="O7" i="8"/>
  <c r="H7" i="8"/>
  <c r="Q7" i="8" s="1"/>
  <c r="G7" i="8"/>
  <c r="F7" i="8"/>
  <c r="E7" i="8"/>
  <c r="D7" i="8"/>
  <c r="P6" i="8"/>
  <c r="O6" i="8"/>
  <c r="H6" i="8"/>
  <c r="Q6" i="8" s="1"/>
  <c r="G6" i="8"/>
  <c r="F6" i="8"/>
  <c r="E6" i="8"/>
  <c r="D6" i="8"/>
  <c r="P5" i="8"/>
  <c r="O5" i="8"/>
  <c r="H5" i="8"/>
  <c r="G5" i="8"/>
  <c r="F5" i="8"/>
  <c r="E5" i="8"/>
  <c r="D5" i="8"/>
  <c r="P4" i="8"/>
  <c r="O4" i="8"/>
  <c r="I4" i="8"/>
  <c r="J4" i="8" s="1"/>
  <c r="H4" i="8"/>
  <c r="Q4" i="8" s="1"/>
  <c r="G4" i="8"/>
  <c r="F4" i="8"/>
  <c r="K4" i="8" s="1"/>
  <c r="L4" i="8" s="1"/>
  <c r="E4" i="8"/>
  <c r="D4" i="8"/>
  <c r="P3" i="8"/>
  <c r="O3" i="8"/>
  <c r="H3" i="8"/>
  <c r="Q3" i="8" s="1"/>
  <c r="G3" i="8"/>
  <c r="F3" i="8"/>
  <c r="E3" i="8"/>
  <c r="D3" i="8"/>
  <c r="P2" i="8"/>
  <c r="O2" i="8"/>
  <c r="H2" i="8"/>
  <c r="Q2" i="8" s="1"/>
  <c r="G2" i="8"/>
  <c r="F2" i="8"/>
  <c r="E2" i="8"/>
  <c r="D2" i="8"/>
  <c r="AB35" i="7"/>
  <c r="AA35" i="7"/>
  <c r="AC35" i="7" s="1"/>
  <c r="AB34" i="7"/>
  <c r="AA34" i="7"/>
  <c r="AC34" i="7" s="1"/>
  <c r="AB33" i="7"/>
  <c r="AC33" i="7" s="1"/>
  <c r="AA33" i="7"/>
  <c r="AB32" i="7"/>
  <c r="AC32" i="7" s="1"/>
  <c r="AA32" i="7"/>
  <c r="AB31" i="7"/>
  <c r="AA31" i="7"/>
  <c r="AC31" i="7" s="1"/>
  <c r="AB30" i="7"/>
  <c r="AA30" i="7"/>
  <c r="AC30" i="7" s="1"/>
  <c r="AC29" i="7"/>
  <c r="AB29" i="7"/>
  <c r="AA29" i="7"/>
  <c r="AB28" i="7"/>
  <c r="AA28" i="7"/>
  <c r="AC28" i="7" s="1"/>
  <c r="AB27" i="7"/>
  <c r="AA27" i="7"/>
  <c r="AC27" i="7" s="1"/>
  <c r="AB26" i="7"/>
  <c r="AA26" i="7"/>
  <c r="AC26" i="7" s="1"/>
  <c r="AB25" i="7"/>
  <c r="AA25" i="7"/>
  <c r="AC25" i="7" s="1"/>
  <c r="AB24" i="7"/>
  <c r="AC24" i="7" s="1"/>
  <c r="AA24" i="7"/>
  <c r="AB23" i="7"/>
  <c r="AA23" i="7"/>
  <c r="AC23" i="7" s="1"/>
  <c r="AC22" i="7"/>
  <c r="AB22" i="7"/>
  <c r="AA22" i="7"/>
  <c r="AC21" i="7"/>
  <c r="AB21" i="7"/>
  <c r="AA21" i="7"/>
  <c r="AC20" i="7"/>
  <c r="AB20" i="7"/>
  <c r="AA20" i="7"/>
  <c r="AB19" i="7"/>
  <c r="AA19" i="7"/>
  <c r="AC19" i="7" s="1"/>
  <c r="AB18" i="7"/>
  <c r="AA18" i="7"/>
  <c r="AC18" i="7" s="1"/>
  <c r="AB17" i="7"/>
  <c r="AC17" i="7" s="1"/>
  <c r="AA17" i="7"/>
  <c r="AB16" i="7"/>
  <c r="AC16" i="7" s="1"/>
  <c r="AA16" i="7"/>
  <c r="AB15" i="7"/>
  <c r="AA15" i="7"/>
  <c r="AC15" i="7" s="1"/>
  <c r="AB14" i="7"/>
  <c r="AA14" i="7"/>
  <c r="AC14" i="7" s="1"/>
  <c r="AC13" i="7"/>
  <c r="AB13" i="7"/>
  <c r="AA13" i="7"/>
  <c r="AB12" i="7"/>
  <c r="AA12" i="7"/>
  <c r="AC12" i="7" s="1"/>
  <c r="AB11" i="7"/>
  <c r="AA11" i="7"/>
  <c r="AC11" i="7" s="1"/>
  <c r="AB10" i="7"/>
  <c r="AA10" i="7"/>
  <c r="AC10" i="7" s="1"/>
  <c r="AB9" i="7"/>
  <c r="AA9" i="7"/>
  <c r="AC9" i="7" s="1"/>
  <c r="AB8" i="7"/>
  <c r="AC8" i="7" s="1"/>
  <c r="AA8" i="7"/>
  <c r="AB7" i="7"/>
  <c r="AA7" i="7"/>
  <c r="AC7" i="7" s="1"/>
  <c r="AC6" i="7"/>
  <c r="AB6" i="7"/>
  <c r="AA6" i="7"/>
  <c r="AC5" i="7"/>
  <c r="AB5" i="7"/>
  <c r="AA5" i="7"/>
  <c r="AC4" i="7"/>
  <c r="AB4" i="7"/>
  <c r="AA4" i="7"/>
  <c r="AB3" i="7"/>
  <c r="AA3" i="7"/>
  <c r="AC3" i="7" s="1"/>
  <c r="N3" i="7"/>
  <c r="AB2" i="7"/>
  <c r="AA2" i="7"/>
  <c r="AC2" i="7" s="1"/>
  <c r="S18" i="6"/>
  <c r="R18" i="6"/>
  <c r="Q18" i="6"/>
  <c r="K18" i="6"/>
  <c r="J18" i="6"/>
  <c r="I18" i="6"/>
  <c r="I18" i="8" s="1"/>
  <c r="R17" i="6"/>
  <c r="K17" i="6"/>
  <c r="J17" i="6"/>
  <c r="I17" i="6"/>
  <c r="I17" i="8" s="1"/>
  <c r="S16" i="6"/>
  <c r="R16" i="6"/>
  <c r="Q16" i="6"/>
  <c r="K16" i="6"/>
  <c r="J16" i="6"/>
  <c r="I16" i="6"/>
  <c r="R15" i="6"/>
  <c r="S15" i="6" s="1"/>
  <c r="K15" i="6"/>
  <c r="J15" i="6"/>
  <c r="I15" i="6"/>
  <c r="Q15" i="6" s="1"/>
  <c r="R14" i="6"/>
  <c r="S14" i="6" s="1"/>
  <c r="Q14" i="6"/>
  <c r="K14" i="6"/>
  <c r="J14" i="6"/>
  <c r="I14" i="6"/>
  <c r="I14" i="8" s="1"/>
  <c r="J14" i="8" s="1"/>
  <c r="R13" i="6"/>
  <c r="S13" i="6" s="1"/>
  <c r="Q13" i="6"/>
  <c r="K13" i="6"/>
  <c r="J13" i="6"/>
  <c r="I13" i="6"/>
  <c r="I13" i="8" s="1"/>
  <c r="R12" i="6"/>
  <c r="S12" i="6" s="1"/>
  <c r="K12" i="6"/>
  <c r="J12" i="6"/>
  <c r="I12" i="6"/>
  <c r="Q12" i="6" s="1"/>
  <c r="R11" i="6"/>
  <c r="S11" i="6" s="1"/>
  <c r="K11" i="6"/>
  <c r="J11" i="6"/>
  <c r="I11" i="6"/>
  <c r="I11" i="8" s="1"/>
  <c r="J11" i="8" s="1"/>
  <c r="S10" i="6"/>
  <c r="R10" i="6"/>
  <c r="Q10" i="6"/>
  <c r="K10" i="6"/>
  <c r="J10" i="6"/>
  <c r="I10" i="6"/>
  <c r="I10" i="8" s="1"/>
  <c r="J10" i="8" s="1"/>
  <c r="R9" i="6"/>
  <c r="K9" i="6"/>
  <c r="J9" i="6"/>
  <c r="I9" i="6"/>
  <c r="I9" i="8" s="1"/>
  <c r="S8" i="6"/>
  <c r="R8" i="6"/>
  <c r="Q8" i="6"/>
  <c r="K8" i="6"/>
  <c r="J8" i="6"/>
  <c r="I8" i="6"/>
  <c r="R7" i="6"/>
  <c r="S7" i="6" s="1"/>
  <c r="K7" i="6"/>
  <c r="J7" i="6"/>
  <c r="I7" i="6"/>
  <c r="Q7" i="6" s="1"/>
  <c r="R6" i="6"/>
  <c r="S6" i="6" s="1"/>
  <c r="Q6" i="6"/>
  <c r="K6" i="6"/>
  <c r="J6" i="6"/>
  <c r="I6" i="6"/>
  <c r="I6" i="8" s="1"/>
  <c r="J6" i="8" s="1"/>
  <c r="R5" i="6"/>
  <c r="S5" i="6" s="1"/>
  <c r="Q5" i="6"/>
  <c r="K5" i="6"/>
  <c r="J5" i="6"/>
  <c r="I5" i="6"/>
  <c r="I5" i="8" s="1"/>
  <c r="R4" i="6"/>
  <c r="S4" i="6" s="1"/>
  <c r="K4" i="6"/>
  <c r="J4" i="6"/>
  <c r="I4" i="6"/>
  <c r="Q4" i="6" s="1"/>
  <c r="R3" i="6"/>
  <c r="S3" i="6" s="1"/>
  <c r="K3" i="6"/>
  <c r="J3" i="6"/>
  <c r="I3" i="6"/>
  <c r="I3" i="8" s="1"/>
  <c r="J3" i="8" s="1"/>
  <c r="S2" i="6"/>
  <c r="R2" i="6"/>
  <c r="Q2" i="6"/>
  <c r="K2" i="6"/>
  <c r="J2" i="6"/>
  <c r="I2" i="6"/>
  <c r="I2" i="8" s="1"/>
  <c r="J2" i="8" s="1"/>
  <c r="U18" i="5"/>
  <c r="V18" i="5" s="1"/>
  <c r="U17" i="5"/>
  <c r="V17" i="5" s="1"/>
  <c r="U16" i="5"/>
  <c r="V16" i="5" s="1"/>
  <c r="V15" i="5"/>
  <c r="U15" i="5"/>
  <c r="U14" i="5"/>
  <c r="V14" i="5" s="1"/>
  <c r="V13" i="5"/>
  <c r="U13" i="5"/>
  <c r="U12" i="5"/>
  <c r="V12" i="5" s="1"/>
  <c r="U11" i="5"/>
  <c r="V11" i="5" s="1"/>
  <c r="U10" i="5"/>
  <c r="V10" i="5" s="1"/>
  <c r="U9" i="5"/>
  <c r="V9" i="5" s="1"/>
  <c r="U8" i="5"/>
  <c r="V8" i="5" s="1"/>
  <c r="V7" i="5"/>
  <c r="U7" i="5"/>
  <c r="U6" i="5"/>
  <c r="V6" i="5" s="1"/>
  <c r="V5" i="5"/>
  <c r="U5" i="5"/>
  <c r="U4" i="5"/>
  <c r="V4" i="5" s="1"/>
  <c r="U3" i="5"/>
  <c r="V3" i="5" s="1"/>
  <c r="U2" i="5"/>
  <c r="V2" i="5" s="1"/>
  <c r="D3" i="11" s="1"/>
  <c r="E3" i="11" s="1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D2" i="11" s="1"/>
  <c r="E2" i="11" s="1"/>
  <c r="G6" i="1"/>
  <c r="E6" i="1"/>
  <c r="C6" i="1"/>
  <c r="D5" i="11" l="1"/>
  <c r="E5" i="11" s="1"/>
  <c r="K9" i="8"/>
  <c r="L9" i="8" s="1"/>
  <c r="K12" i="8"/>
  <c r="L12" i="8" s="1"/>
  <c r="K8" i="8"/>
  <c r="L8" i="8" s="1"/>
  <c r="Q3" i="6"/>
  <c r="Q11" i="6"/>
  <c r="K16" i="8"/>
  <c r="L16" i="8" s="1"/>
  <c r="Q17" i="8"/>
  <c r="Q5" i="8"/>
  <c r="Q9" i="8"/>
  <c r="Q13" i="8"/>
  <c r="Q9" i="6"/>
  <c r="Q17" i="6"/>
  <c r="I7" i="8"/>
  <c r="J7" i="8" s="1"/>
  <c r="I15" i="8"/>
  <c r="J15" i="8" s="1"/>
  <c r="K15" i="8" s="1"/>
  <c r="L15" i="8" s="1"/>
  <c r="K3" i="8"/>
  <c r="L3" i="8" s="1"/>
  <c r="K7" i="8"/>
  <c r="L7" i="8" s="1"/>
  <c r="K11" i="8"/>
  <c r="L11" i="8" s="1"/>
  <c r="S9" i="6"/>
  <c r="D4" i="11" s="1"/>
  <c r="E4" i="11" s="1"/>
  <c r="A6" i="1" s="1"/>
  <c r="S17" i="6"/>
  <c r="J18" i="8"/>
  <c r="K2" i="8"/>
  <c r="L2" i="8" s="1"/>
  <c r="K6" i="8"/>
  <c r="L6" i="8" s="1"/>
  <c r="K10" i="8"/>
  <c r="L10" i="8" s="1"/>
  <c r="K14" i="8"/>
  <c r="L14" i="8" s="1"/>
  <c r="K18" i="8"/>
  <c r="L18" i="8" s="1"/>
  <c r="J5" i="8"/>
  <c r="K5" i="8" s="1"/>
  <c r="L5" i="8" s="1"/>
  <c r="J9" i="8"/>
  <c r="J13" i="8"/>
  <c r="K13" i="8" s="1"/>
  <c r="L13" i="8" s="1"/>
  <c r="J17" i="8"/>
  <c r="K17" i="8" s="1"/>
  <c r="L17" i="8" s="1"/>
</calcChain>
</file>

<file path=xl/sharedStrings.xml><?xml version="1.0" encoding="utf-8"?>
<sst xmlns="http://schemas.openxmlformats.org/spreadsheetml/2006/main" count="1877" uniqueCount="655">
  <si>
    <t>Indonesia NCD model — user input workbook</t>
  </si>
  <si>
    <t>Draft for review • August 14, 2026 meeting decisions + supplied Fair Choices, coverage/PIN, and cost files</t>
  </si>
  <si>
    <t>Readiness</t>
  </si>
  <si>
    <t>Interventions</t>
  </si>
  <si>
    <t>Model causes</t>
  </si>
  <si>
    <t>Intervention–cause links</t>
  </si>
  <si>
    <t>How to use the workbook</t>
  </si>
  <si>
    <t>1</t>
  </si>
  <si>
    <t>Edit yellow cells only.</t>
  </si>
  <si>
    <t>2</t>
  </si>
  <si>
    <t>Use Model_Input_View to audit the joined transition, effect, coverage, and cost key for each intervention–cause pair.</t>
  </si>
  <si>
    <t>3</t>
  </si>
  <si>
    <t>Costs join through cost_join_key. C_SHARED means count the cost once at intervention level, not once per affected cause.</t>
  </si>
  <si>
    <t>4</t>
  </si>
  <si>
    <t>For costing, keep exactly one selected_for_base_case = 1 within each cost_component_key.</t>
  </si>
  <si>
    <t>5</t>
  </si>
  <si>
    <t>Resolve QA failures and red review items before running the full economic evaluation.</t>
  </si>
  <si>
    <t>Known review items retained explicitly</t>
  </si>
  <si>
    <t>Resolved</t>
  </si>
  <si>
    <t>Type 2 diabetes baseline coverage set from SKI 2023 (treated among laboratory-confirmed diabetics aged 30+)</t>
  </si>
  <si>
    <t>Type 2 diabetes unit cost replaced with observed JKN FKRTL outpatient spend per patient-year, 2023</t>
  </si>
  <si>
    <t>Filled from JKN heart-failure outpatient spend per patient-year, 2023</t>
  </si>
  <si>
    <t>Superseded</t>
  </si>
  <si>
    <t>Salary-adjustment options no longer drive the base case; selected rows now carry observed Indonesian JKN values</t>
  </si>
  <si>
    <t>Review</t>
  </si>
  <si>
    <t>Confirm RHD surgery transition if the final model has explicit severe-RHD or surgery states</t>
  </si>
  <si>
    <t>Color legend: yellow = user input • light blue = formula/derived • green = valid • red/orange = missing or review</t>
  </si>
  <si>
    <t>parameter_id</t>
  </si>
  <si>
    <t>value</t>
  </si>
  <si>
    <t>unit</t>
  </si>
  <si>
    <t>base_case</t>
  </si>
  <si>
    <t>lower_bound</t>
  </si>
  <si>
    <t>upper_bound</t>
  </si>
  <si>
    <t>description</t>
  </si>
  <si>
    <t>source</t>
  </si>
  <si>
    <t>analysis_start_year</t>
  </si>
  <si>
    <t>year</t>
  </si>
  <si>
    <t>First modeled year</t>
  </si>
  <si>
    <t>input_file.xlsx and meeting scope</t>
  </si>
  <si>
    <t>analysis_end_year</t>
  </si>
  <si>
    <t>Last year for the Jakarta-oriented analysis</t>
  </si>
  <si>
    <t>Meeting target year</t>
  </si>
  <si>
    <t>intervention_start_year</t>
  </si>
  <si>
    <t>First year of intervention scale-up</t>
  </si>
  <si>
    <t>input_file.xlsx</t>
  </si>
  <si>
    <t>target_coverage_default</t>
  </si>
  <si>
    <t>proportion</t>
  </si>
  <si>
    <t>Default intervention coverage target; row-level override is available</t>
  </si>
  <si>
    <t>August 14 meeting</t>
  </si>
  <si>
    <t>coverage_target_year</t>
  </si>
  <si>
    <t>Year in which target coverage is reached</t>
  </si>
  <si>
    <t>cost_discount_rate</t>
  </si>
  <si>
    <t>proportion/year</t>
  </si>
  <si>
    <t>Annual discount rate for costs</t>
  </si>
  <si>
    <t>health_discount_rate</t>
  </si>
  <si>
    <t>Annual discount rate for health outcomes</t>
  </si>
  <si>
    <t>cost_price_year</t>
  </si>
  <si>
    <t>USD year</t>
  </si>
  <si>
    <t>Price year for Indonesia-adjusted CVD unit costs</t>
  </si>
  <si>
    <t>cvd_unit_cost_indonesia_1(1).xlsx</t>
  </si>
  <si>
    <t>currency</t>
  </si>
  <si>
    <t>USD</t>
  </si>
  <si>
    <t>Reporting currency</t>
  </si>
  <si>
    <t>scale_up_shape</t>
  </si>
  <si>
    <t>linear</t>
  </si>
  <si>
    <t>text</t>
  </si>
  <si>
    <t>Coverage increases linearly from start year to target year</t>
  </si>
  <si>
    <t>downstream_cost_offsets</t>
  </si>
  <si>
    <t>0/1 flag</t>
  </si>
  <si>
    <t>Include downstream disease-cost offsets</t>
  </si>
  <si>
    <t>rhd_surgery_frequency</t>
  </si>
  <si>
    <t>procedure/patient-year</t>
  </si>
  <si>
    <t>Provisional surgery frequency used for costing</t>
  </si>
  <si>
    <t>economic_perspective</t>
  </si>
  <si>
    <t>health_system</t>
  </si>
  <si>
    <t>societal</t>
  </si>
  <si>
    <t>Economic evaluation perspective</t>
  </si>
  <si>
    <t>Working assumption</t>
  </si>
  <si>
    <t>usd_idr_exchange_rate</t>
  </si>
  <si>
    <t>IDR per USD</t>
  </si>
  <si>
    <t>Conversion applied to all JKN-derived unit costs (2023 period average)</t>
  </si>
  <si>
    <t>World Bank official exchange rate, Indonesia 2023</t>
  </si>
  <si>
    <t>intervention_id</t>
  </si>
  <si>
    <t>intervention_name</t>
  </si>
  <si>
    <t>package_group</t>
  </si>
  <si>
    <t>definition</t>
  </si>
  <si>
    <t>cause_id</t>
  </si>
  <si>
    <t>cause_name</t>
  </si>
  <si>
    <t>model_name</t>
  </si>
  <si>
    <t>is_model_cause</t>
  </si>
  <si>
    <t>I_RHD_SECONDARY</t>
  </si>
  <si>
    <t>RHD secondary prevention</t>
  </si>
  <si>
    <t>Rheumatic heart disease</t>
  </si>
  <si>
    <t>Secondary prophylaxis for rheumatic fever or established RHD</t>
  </si>
  <si>
    <t>C_RHD</t>
  </si>
  <si>
    <t>I_RHD_SURGERY</t>
  </si>
  <si>
    <t>RHD cardiac surgery</t>
  </si>
  <si>
    <t>Cardiac surgery for severe rheumatic heart disease</t>
  </si>
  <si>
    <t>C_IHD</t>
  </si>
  <si>
    <t>Ischemic heart disease</t>
  </si>
  <si>
    <t>I_CVD_PRIMARY</t>
  </si>
  <si>
    <t>Primary prevention of CVD</t>
  </si>
  <si>
    <t>Primary CVD prevention</t>
  </si>
  <si>
    <t>Combined hypertension-treatment/statin intervention using average Fair Choices effects</t>
  </si>
  <si>
    <t>C_IS</t>
  </si>
  <si>
    <t>Ischemic stroke</t>
  </si>
  <si>
    <t>I_IHD_SECONDARY</t>
  </si>
  <si>
    <t>Secondary prevention of ischemic heart disease</t>
  </si>
  <si>
    <t>Secondary CVD prevention</t>
  </si>
  <si>
    <t>Longitudinal secondary prevention after ischemic heart disease</t>
  </si>
  <si>
    <t>C_ICH</t>
  </si>
  <si>
    <t>Intracerebral hemorrhage</t>
  </si>
  <si>
    <t>I_STROKE_SECONDARY</t>
  </si>
  <si>
    <t>Secondary prevention of stroke</t>
  </si>
  <si>
    <t>Longitudinal secondary prevention after ischemic or intracerebral hemorrhagic stroke</t>
  </si>
  <si>
    <t>C_HHD</t>
  </si>
  <si>
    <t>Hypertensive heart disease</t>
  </si>
  <si>
    <t>I_HF_ACUTE</t>
  </si>
  <si>
    <t>Acute heart-failure management</t>
  </si>
  <si>
    <t>Heart-failure treatment</t>
  </si>
  <si>
    <t>Acute management of heart failure arising from IHD, HHD, or cardiomyopathy/myocarditis</t>
  </si>
  <si>
    <t>C_CMP</t>
  </si>
  <si>
    <t>Cardiomyopathy and myocarditis</t>
  </si>
  <si>
    <t>I_HF_CHRONIC</t>
  </si>
  <si>
    <t>Chronic heart-failure management</t>
  </si>
  <si>
    <t>Longitudinal management of chronic heart failure arising from IHD, HHD, or cardiomyopathy/myocarditis</t>
  </si>
  <si>
    <t>C_T2D</t>
  </si>
  <si>
    <t>Diabetes mellitus type 2</t>
  </si>
  <si>
    <t>Type 2 diabetes</t>
  </si>
  <si>
    <t>I_T2D_TREATMENT</t>
  </si>
  <si>
    <t>Longitudinal treatment of type 2 diabetes</t>
  </si>
  <si>
    <t>Diabetes treatment</t>
  </si>
  <si>
    <t>Treatment affecting direct diabetes deaths and IHD deaths attributable to high blood glucose</t>
  </si>
  <si>
    <t>C_SHARED</t>
  </si>
  <si>
    <t>Shared intervention cost</t>
  </si>
  <si>
    <t>Not a disease model; count cost once</t>
  </si>
  <si>
    <t>intervention_cause_key</t>
  </si>
  <si>
    <t>effect_key</t>
  </si>
  <si>
    <t>coverage_key</t>
  </si>
  <si>
    <t>cost_join_key</t>
  </si>
  <si>
    <t>cost_scope</t>
  </si>
  <si>
    <t>include_flag</t>
  </si>
  <si>
    <t>notes</t>
  </si>
  <si>
    <t>duplicate_count</t>
  </si>
  <si>
    <t>I_RHD_SECONDARY__C_RHD</t>
  </si>
  <si>
    <t>cause-specific</t>
  </si>
  <si>
    <t>Apply to the RHD model</t>
  </si>
  <si>
    <t>I_RHD_SURGERY__C_RHD</t>
  </si>
  <si>
    <t>SRHD has been replaced with RHD</t>
  </si>
  <si>
    <t>I_CVD_PRIMARY__C_IHD</t>
  </si>
  <si>
    <t>I_CVD_PRIMARY__C_SHARED</t>
  </si>
  <si>
    <t>shared-count-once</t>
  </si>
  <si>
    <t>Shared screening/treatment costs must be counted once</t>
  </si>
  <si>
    <t>I_CVD_PRIMARY__C_IS</t>
  </si>
  <si>
    <t>I_CVD_PRIMARY__C_ICH</t>
  </si>
  <si>
    <t>I_CVD_PRIMARY__C_HHD</t>
  </si>
  <si>
    <t>I_IHD_SECONDARY__C_IHD</t>
  </si>
  <si>
    <t>Apply to sick-to-dead transition</t>
  </si>
  <si>
    <t>I_STROKE_SECONDARY__C_IS</t>
  </si>
  <si>
    <t>Cause-specific effect and cost components</t>
  </si>
  <si>
    <t>I_STROKE_SECONDARY__C_ICH</t>
  </si>
  <si>
    <t>I_HF_ACUTE__C_IHD</t>
  </si>
  <si>
    <t>Heart failure arising from IHD</t>
  </si>
  <si>
    <t>I_HF_ACUTE__C_HHD</t>
  </si>
  <si>
    <t>Heart failure arising from HHD</t>
  </si>
  <si>
    <t>I_HF_ACUTE__C_CMP</t>
  </si>
  <si>
    <t>Heart failure arising from cardiomyopathy/myocarditis</t>
  </si>
  <si>
    <t>I_HF_CHRONIC__C_IHD</t>
  </si>
  <si>
    <t>I_HF_CHRONIC__C_HHD</t>
  </si>
  <si>
    <t>I_HF_CHRONIC__C_CMP</t>
  </si>
  <si>
    <t>I_T2D_TREATMENT__C_T2D</t>
  </si>
  <si>
    <t>Direct diabetes mortality effect</t>
  </si>
  <si>
    <t>I_T2D_TREATMENT__C_IHD</t>
  </si>
  <si>
    <t>Ischemic heart disease attributable to high blood glucose</t>
  </si>
  <si>
    <t>Count diabetes treatment cost once on the T2D population</t>
  </si>
  <si>
    <t>effect_id</t>
  </si>
  <si>
    <t>transition_from</t>
  </si>
  <si>
    <t>transition_to</t>
  </si>
  <si>
    <t>effect_measure</t>
  </si>
  <si>
    <t>effect_value</t>
  </si>
  <si>
    <t>affected_fraction</t>
  </si>
  <si>
    <t>age_start</t>
  </si>
  <si>
    <t>age_stop</t>
  </si>
  <si>
    <t>sex</t>
  </si>
  <si>
    <t>duration_years</t>
  </si>
  <si>
    <t>source_variable</t>
  </si>
  <si>
    <t>source_file</t>
  </si>
  <si>
    <t>source_row</t>
  </si>
  <si>
    <t>review_status</t>
  </si>
  <si>
    <t>map_match_count</t>
  </si>
  <si>
    <t>qa_status</t>
  </si>
  <si>
    <t>E_RHD_SECONDARY</t>
  </si>
  <si>
    <t>sick</t>
  </si>
  <si>
    <t>dead_rhd</t>
  </si>
  <si>
    <t>relative_risk_reduction</t>
  </si>
  <si>
    <t>Both</t>
  </si>
  <si>
    <t>Prevalence (reclassified to mortality transition)</t>
  </si>
  <si>
    <t>taxonomy_effect_size.xlsx</t>
  </si>
  <si>
    <t>Sheet 1, row 146</t>
  </si>
  <si>
    <t>Provisional</t>
  </si>
  <si>
    <t>Meeting decision maps secondary prevention to sick → dead</t>
  </si>
  <si>
    <t>E_RHD_SURGERY</t>
  </si>
  <si>
    <t>sick_severe</t>
  </si>
  <si>
    <t>Mortality</t>
  </si>
  <si>
    <t>Sheet 1, row 148</t>
  </si>
  <si>
    <t>Confirm model state if surgery is represented explicitly</t>
  </si>
  <si>
    <t>E_PRIMARY_IHD</t>
  </si>
  <si>
    <t>well</t>
  </si>
  <si>
    <t>Mortality (reclassified to incidence transition)</t>
  </si>
  <si>
    <t>Sheet 1, row 136</t>
  </si>
  <si>
    <t>Average Fair Choices hypertension/statin effect applied to incidence</t>
  </si>
  <si>
    <t>E_PRIMARY_IS</t>
  </si>
  <si>
    <t>Sheet 1, row 133</t>
  </si>
  <si>
    <t>E_PRIMARY_ICH</t>
  </si>
  <si>
    <t>Sheet 1, row 134</t>
  </si>
  <si>
    <t>E_PRIMARY_HHD</t>
  </si>
  <si>
    <t>Sheet 1, row 135</t>
  </si>
  <si>
    <t>E_IHD_SECONDARY</t>
  </si>
  <si>
    <t>dead_ihd</t>
  </si>
  <si>
    <t>Sheet 1, row 139</t>
  </si>
  <si>
    <t>Cause-specific disease-management effect</t>
  </si>
  <si>
    <t>E_STROKE_SECONDARY_IS</t>
  </si>
  <si>
    <t>dead_is</t>
  </si>
  <si>
    <t>Sheet 1, row 152</t>
  </si>
  <si>
    <t>E_STROKE_SECONDARY_ICH</t>
  </si>
  <si>
    <t>dead_ich</t>
  </si>
  <si>
    <t>Sheet 1, row 153</t>
  </si>
  <si>
    <t>E_HF_ACUTE_IHD</t>
  </si>
  <si>
    <t>sick_hf</t>
  </si>
  <si>
    <t>Sheet 1, row 143</t>
  </si>
  <si>
    <t>Apply only to heart failure arising from IHD</t>
  </si>
  <si>
    <t>E_HF_ACUTE_HHD</t>
  </si>
  <si>
    <t>dead_hhd</t>
  </si>
  <si>
    <t>Sheet 1, row 144</t>
  </si>
  <si>
    <t>Apply only to heart failure arising from HHD</t>
  </si>
  <si>
    <t>E_HF_ACUTE_CMP</t>
  </si>
  <si>
    <t>dead_cmp</t>
  </si>
  <si>
    <t>Sheet 1, row 145</t>
  </si>
  <si>
    <t>Apply only to heart failure arising from cardiomyopathy/myocarditis</t>
  </si>
  <si>
    <t>E_HF_CHRONIC_IHD</t>
  </si>
  <si>
    <t>Sheet 1, row 140</t>
  </si>
  <si>
    <t>E_HF_CHRONIC_HHD</t>
  </si>
  <si>
    <t>Sheet 1, row 141</t>
  </si>
  <si>
    <t>E_HF_CHRONIC_CMP</t>
  </si>
  <si>
    <t>Sheet 1, row 142</t>
  </si>
  <si>
    <t>E_T2D_DIRECT</t>
  </si>
  <si>
    <t>dead_t2d</t>
  </si>
  <si>
    <t>Sheet 1, row 173</t>
  </si>
  <si>
    <t>E_T2D_IHD_HBG</t>
  </si>
  <si>
    <t>Sheet 1, row 174</t>
  </si>
  <si>
    <t>Confirm NCD Countdown attributable-fraction implementation</t>
  </si>
  <si>
    <t>coverage_id</t>
  </si>
  <si>
    <t>baseline_coverage</t>
  </si>
  <si>
    <t>target_override</t>
  </si>
  <si>
    <t>target_coverage</t>
  </si>
  <si>
    <t>start_year</t>
  </si>
  <si>
    <t>target_year</t>
  </si>
  <si>
    <t>baseline_source_file</t>
  </si>
  <si>
    <t>baseline_source_row</t>
  </si>
  <si>
    <t>proxy_note</t>
  </si>
  <si>
    <t>absolute_increase</t>
  </si>
  <si>
    <t>baseline_coverage_previous</t>
  </si>
  <si>
    <t>jkn_basis</t>
  </si>
  <si>
    <t>jkn_n_insample</t>
  </si>
  <si>
    <t>CVG_01</t>
  </si>
  <si>
    <t>Data Sampel JKN 2022-2023 (reguler), I05-I09</t>
  </si>
  <si>
    <t>analysis/outputs/jkn_retention_by_group.csv | ski2023_coverage.csv</t>
  </si>
  <si>
    <t>Indonesian value; replaces the FairChoices regional/platform proxy</t>
  </si>
  <si>
    <t>Indonesia JKN</t>
  </si>
  <si>
    <t>Share of JKN patients with a 2022 claim (excluding those recorded as died in 2022) who had a further claim for the same condition in 2023; effective continuation of care among diagnosed patients</t>
  </si>
  <si>
    <t>CVG_02</t>
  </si>
  <si>
    <t>Data Sampel JKN 2023 (reguler), I05-I09</t>
  </si>
  <si>
    <t>Share of prevalent JKN RHD patients who received an inpatient surgical-procedure episode in 2023</t>
  </si>
  <si>
    <t>CVG_03</t>
  </si>
  <si>
    <t>SKI 2023 (harmonized), final_hypertension_status + ht_ever_treated</t>
  </si>
  <si>
    <t>Indonesia SKI 2023</t>
  </si>
  <si>
    <t>Share of measured hypertensives aged 30+ ever treated for hypertension, weight_total</t>
  </si>
  <si>
    <t>CVG_04</t>
  </si>
  <si>
    <t>CVG_05</t>
  </si>
  <si>
    <t>CVG_06</t>
  </si>
  <si>
    <t>CVG_07</t>
  </si>
  <si>
    <t>Data Sampel JKN 2022-2023 (reguler), I20-I25</t>
  </si>
  <si>
    <t>CVG_08</t>
  </si>
  <si>
    <t>Data Sampel JKN 2022-2023 (reguler), I63</t>
  </si>
  <si>
    <t>CVG_09</t>
  </si>
  <si>
    <t>Data Sampel JKN 2022-2023 (reguler), I61</t>
  </si>
  <si>
    <t>CVG_10</t>
  </si>
  <si>
    <t>Data Sampel JKN 2023 (reguler), I50</t>
  </si>
  <si>
    <t>Share of prevalent JKN heart-failure patients with at least one hospital admission in 2023; baseline coverage of facility-based acute management</t>
  </si>
  <si>
    <t>CVG_11</t>
  </si>
  <si>
    <t>CVG_12</t>
  </si>
  <si>
    <t>CVG_13</t>
  </si>
  <si>
    <t>Data Sampel JKN 2022-2023 (reguler), I50</t>
  </si>
  <si>
    <t>CVG_14</t>
  </si>
  <si>
    <t>CVG_15</t>
  </si>
  <si>
    <t>CVG_16</t>
  </si>
  <si>
    <t>SKI 2023 (harmonized), dm_final_status + dm_ever_treated</t>
  </si>
  <si>
    <t>Share of laboratory-confirmed diabetics aged 30+ ever treated for diabetes, weight_diabetes</t>
  </si>
  <si>
    <t>CVG_17</t>
  </si>
  <si>
    <t>cost_record_id</t>
  </si>
  <si>
    <t>cost_component_key</t>
  </si>
  <si>
    <t>cost_option</t>
  </si>
  <si>
    <t>selected_for_base_case</t>
  </si>
  <si>
    <t>cost_component</t>
  </si>
  <si>
    <t>population_in_need_measure</t>
  </si>
  <si>
    <t>population_in_need_fraction</t>
  </si>
  <si>
    <t>cost_unit</t>
  </si>
  <si>
    <t>frequency_per_year</t>
  </si>
  <si>
    <t>platform</t>
  </si>
  <si>
    <t>unit_cost_usd</t>
  </si>
  <si>
    <t>price_year</t>
  </si>
  <si>
    <t>indonesia_adjusted_flag</t>
  </si>
  <si>
    <t>source_country</t>
  </si>
  <si>
    <t>selection_count</t>
  </si>
  <si>
    <t>unit_cost_idr_2023</t>
  </si>
  <si>
    <t>unit_cost_usd_previous</t>
  </si>
  <si>
    <t>COST_RHD_SEC_01</t>
  </si>
  <si>
    <t>CC_RHD_SECONDARY_PENICILLIN</t>
  </si>
  <si>
    <t>Indonesia JKN 2023 (selected)</t>
  </si>
  <si>
    <t>Secondary prophylaxis with penicillin</t>
  </si>
  <si>
    <t>prevalence</t>
  </si>
  <si>
    <t>USD per patient-year</t>
  </si>
  <si>
    <t>Health center</t>
  </si>
  <si>
    <t>Indonesia</t>
  </si>
  <si>
    <t>Data Sampel JKN (bpjs_data.reguler.fkrtl), claim year 2023</t>
  </si>
  <si>
    <t>analysis/outputs/jkn_cost_by_group.csv</t>
  </si>
  <si>
    <t>Replaces the FairChoices transferred cost with an observed Indonesian JKN value. Converted at Rp 15,237/USD (2023 period average). NCD-E-12 revision 2026-09-01.</t>
  </si>
  <si>
    <t>FKRTL outpatient spend per RHD patient in outpatient care, 2023 [ICD-10 I05-I09]</t>
  </si>
  <si>
    <t>COST_RHD_SURG_01</t>
  </si>
  <si>
    <t>CC_RHD_SURGERY</t>
  </si>
  <si>
    <t>Rheumatic heart disease cardiac surgery</t>
  </si>
  <si>
    <t>USD per procedure</t>
  </si>
  <si>
    <t>Hospital</t>
  </si>
  <si>
    <t>Replaces the FairChoices transferred cost with an observed Indonesian JKN value. Converted at Rp 15,237/USD (2023 period average). NCD-E-12 revision 2026-09-01. Small in-sample base (n=65); treat as indicative and widen the PSA range.</t>
  </si>
  <si>
    <t>Mean INA-CBG paid amount per RHD inpatient episode with an inpatient procedure group, 2023 [ICD-10 I05-I09]</t>
  </si>
  <si>
    <t>COST_PRIMARY_SCREEN_A</t>
  </si>
  <si>
    <t>CC_PRIMARY_SCREENING</t>
  </si>
  <si>
    <t>Option A (selected)</t>
  </si>
  <si>
    <t>Shared primary CVD cost</t>
  </si>
  <si>
    <t>CVD targeted screening</t>
  </si>
  <si>
    <t>all</t>
  </si>
  <si>
    <t>USD per eligible person-year</t>
  </si>
  <si>
    <t>Tanzania</t>
  </si>
  <si>
    <t>row 15</t>
  </si>
  <si>
    <t>Review - no JKN equivalent</t>
  </si>
  <si>
    <t>Population screening is delivered at FKTP/Posbindu under capitation, so it generates no fee-for-service claim in the JKN sample. FairChoices Indonesia-adjusted value retained. JKN reference for a specialist outpatient contact: Rp 248,443 per visit (hypertension, 2023).</t>
  </si>
  <si>
    <t>No JKN claims equivalent</t>
  </si>
  <si>
    <t>COST_PRIMARY_SCREEN_B</t>
  </si>
  <si>
    <t>Option B</t>
  </si>
  <si>
    <t>row 16</t>
  </si>
  <si>
    <t>Alternative</t>
  </si>
  <si>
    <t>Alternative salary-adjustment option</t>
  </si>
  <si>
    <t>COST_PRIMARY_TX_A</t>
  </si>
  <si>
    <t>CC_PRIMARY_HTN_STATIN</t>
  </si>
  <si>
    <t>Antihypertensives and statins for absolute CVD risk &gt;20%</t>
  </si>
  <si>
    <t>FKRTL outpatient spend per hypertension patient in outpatient care, 2023 [ICD-10 I10-I15]</t>
  </si>
  <si>
    <t>COST_PRIMARY_TX_B</t>
  </si>
  <si>
    <t>row 18</t>
  </si>
  <si>
    <t>COST_IHD_SEC_CF_A</t>
  </si>
  <si>
    <t>CC_IHD_SECONDARY_CASE_FINDING</t>
  </si>
  <si>
    <t>Case finding and diagnosis</t>
  </si>
  <si>
    <t>incidence</t>
  </si>
  <si>
    <t>USD per incident case</t>
  </si>
  <si>
    <t>Replaces the FairChoices transferred cost with an observed Indonesian JKN value. Converted at Rp 15,237/USD (2023 period average). NCD-E-12 revision 2026-09-01. Scope differs from the FairChoices component: an INA-CBG episode is paid as one all-inclusive package, so this is the full first-ever admission (diagnosis plus acute treatment), not diagnostic work-up alone. Check for overlap with the paired TREATMENT component before summing.</t>
  </si>
  <si>
    <t>Mean INA-CBG paid amount for the first-ever IHD inpatient episode (no IHD claim 2015-2022), 2023 [ICD-10 I20-I25]</t>
  </si>
  <si>
    <t>COST_IHD_SEC_CF_B</t>
  </si>
  <si>
    <t>row 44</t>
  </si>
  <si>
    <t>COST_IHD_SEC_FU</t>
  </si>
  <si>
    <t>CC_IHD_SECONDARY_FOLLOWUP</t>
  </si>
  <si>
    <t>Lab tests and follow-up visits for IHD patients</t>
  </si>
  <si>
    <t>FKRTL outpatient spend per IHD patient in outpatient care, 2023 [ICD-10 I20-I25]</t>
  </si>
  <si>
    <t>COST_IHD_SEC_TX</t>
  </si>
  <si>
    <t>CC_IHD_SECONDARY_TREATMENT</t>
  </si>
  <si>
    <t>Treatment cost for IHD patients</t>
  </si>
  <si>
    <t>Recurrent (non-first-ever) inpatient spend per prevalent IHD patient, 2023 [ICD-10 I20-I25]</t>
  </si>
  <si>
    <t>COST_STROKE_IS_CF</t>
  </si>
  <si>
    <t>CC_STROKE_IS_CASE_FINDING</t>
  </si>
  <si>
    <t>Mean INA-CBG paid amount for the first-ever ischaemic-stroke inpatient episode, 2023 [ICD-10 I63]</t>
  </si>
  <si>
    <t>COST_STROKE_IS_LAB_A</t>
  </si>
  <si>
    <t>CC_STROKE_IS_FOLLOWUP</t>
  </si>
  <si>
    <t>Lab tests and follow-up visits</t>
  </si>
  <si>
    <t>FKRTL outpatient spend per ischaemic-stroke patient in outpatient care, 2023 [ICD-10 I63]</t>
  </si>
  <si>
    <t>COST_STROKE_IS_LAB_B</t>
  </si>
  <si>
    <t>row 38</t>
  </si>
  <si>
    <t>COST_STROKE_IS_TX</t>
  </si>
  <si>
    <t>CC_STROKE_IS_TREATMENT</t>
  </si>
  <si>
    <t>Treatment cost for stroke patients</t>
  </si>
  <si>
    <t>Recurrent (non-first-ever) inpatient spend per prevalent ischaemic-stroke patient, 2023 [ICD-10 I63]</t>
  </si>
  <si>
    <t>COST_STROKE_ICH_CF_A</t>
  </si>
  <si>
    <t>CC_STROKE_ICH_CASE_FINDING</t>
  </si>
  <si>
    <t>Mean INA-CBG paid amount for the first-ever intracerebral-haemorrhage inpatient episode, 2023 [ICD-10 I61]</t>
  </si>
  <si>
    <t>COST_STROKE_ICH_CF_B</t>
  </si>
  <si>
    <t>row 34</t>
  </si>
  <si>
    <t>COST_STROKE_ICH_LAB_A</t>
  </si>
  <si>
    <t>CC_STROKE_ICH_FOLLOWUP</t>
  </si>
  <si>
    <t>FKRTL outpatient spend per intracerebral-haemorrhage patient in outpatient care, 2023 [ICD-10 I61]</t>
  </si>
  <si>
    <t>COST_STROKE_ICH_LAB_B</t>
  </si>
  <si>
    <t>row 36</t>
  </si>
  <si>
    <t>COST_STROKE_ICH_TX</t>
  </si>
  <si>
    <t>CC_STROKE_ICH_TREATMENT</t>
  </si>
  <si>
    <t>Replaces the FairChoices transferred cost with an observed Indonesian JKN value. Converted at Rp 15,237/USD (2023 period average). NCD-E-12 revision 2026-09-01. Small in-sample base (n=214); treat as indicative and widen the PSA range.</t>
  </si>
  <si>
    <t>Recurrent (non-first-ever) inpatient spend per prevalent intracerebral-haemorrhage patient, 2023 [ICD-10 I61]</t>
  </si>
  <si>
    <t>COST_HF_ACUTE_C_IHD</t>
  </si>
  <si>
    <t>CC_HF_ACUTE_C_IHD</t>
  </si>
  <si>
    <t>Acute heart-failure management package</t>
  </si>
  <si>
    <t>USD per acute episode</t>
  </si>
  <si>
    <t>Mean INA-CBG paid amount per heart-failure inpatient episode, 2023 [ICD-10 I50]</t>
  </si>
  <si>
    <t>COST_HF_ACUTE_C_HHD</t>
  </si>
  <si>
    <t>CC_HF_ACUTE_C_HHD</t>
  </si>
  <si>
    <t>COST_HF_ACUTE_C_CMP</t>
  </si>
  <si>
    <t>CC_HF_ACUTE_C_CMP</t>
  </si>
  <si>
    <t>COST_HF_CHRONIC_CMP_ECHO</t>
  </si>
  <si>
    <t>CC_HF_CHRONIC_CMP_ECHO</t>
  </si>
  <si>
    <t>Base</t>
  </si>
  <si>
    <t>One cardiac echo per year</t>
  </si>
  <si>
    <t>Brazil</t>
  </si>
  <si>
    <t>row 19</t>
  </si>
  <si>
    <t>Echocardiography is bundled inside the INA-CBG package and cannot be priced separately from claims. FairChoices Indonesia-adjusted value retained.</t>
  </si>
  <si>
    <t>COST_HF_CHRONIC_CMP_LAB_A</t>
  </si>
  <si>
    <t>CC_HF_CHRONIC_CMP_FOLLOWUP</t>
  </si>
  <si>
    <t>FKRTL outpatient spend per heart-failure patient in outpatient care, 2023 [ICD-10 I50]</t>
  </si>
  <si>
    <t>COST_HF_CHRONIC_CMP_LAB_B</t>
  </si>
  <si>
    <t>row 23</t>
  </si>
  <si>
    <t>COST_HF_CHRONIC_CMP_TX</t>
  </si>
  <si>
    <t>CC_HF_CHRONIC_CMP_TREATMENT</t>
  </si>
  <si>
    <t>Treatment of heart failure</t>
  </si>
  <si>
    <t>Recurrent (non-first-ever) inpatient spend per prevalent heart-failure patient, 2023 [ICD-10 I50]</t>
  </si>
  <si>
    <t>COST_HF_CHRONIC_HHD_ECHO</t>
  </si>
  <si>
    <t>CC_HF_CHRONIC_HHD_ECHO</t>
  </si>
  <si>
    <t>row 20</t>
  </si>
  <si>
    <t>COST_HF_CHRONIC_HHD_LAB_A</t>
  </si>
  <si>
    <t>CC_HF_CHRONIC_HHD_FOLLOWUP</t>
  </si>
  <si>
    <t>COST_HF_CHRONIC_HHD_LAB_B</t>
  </si>
  <si>
    <t>row 25</t>
  </si>
  <si>
    <t>COST_HF_CHRONIC_HHD_TX</t>
  </si>
  <si>
    <t>CC_HF_CHRONIC_HHD_TREATMENT</t>
  </si>
  <si>
    <t>COST_HF_CHRONIC_IHD_ECHO</t>
  </si>
  <si>
    <t>CC_HF_CHRONIC_IHD_ECHO</t>
  </si>
  <si>
    <t>row 21</t>
  </si>
  <si>
    <t>COST_HF_CHRONIC_IHD_LAB</t>
  </si>
  <si>
    <t>CC_HF_CHRONIC_IHD_FOLLOWUP</t>
  </si>
  <si>
    <t>FKRTL outpatient spend per heart-failure patient in outpatient care, 2023 (fills the previously missing IHD-specific value) [ICD-10 I50]</t>
  </si>
  <si>
    <t>COST_HF_CHRONIC_IHD_TX</t>
  </si>
  <si>
    <t>CC_HF_CHRONIC_IHD_TREATMENT</t>
  </si>
  <si>
    <t>COST_T2D_TREATMENT</t>
  </si>
  <si>
    <t>CC_T2D_TREATMENT</t>
  </si>
  <si>
    <t>Diabetes screening and treatment</t>
  </si>
  <si>
    <t>FKRTL outpatient spend per type 2 diabetes patient in outpatient care, 2023 [ICD-10 E11, E13]</t>
  </si>
  <si>
    <t>coverage_increase</t>
  </si>
  <si>
    <t>fairchoices_adjusted_effect</t>
  </si>
  <si>
    <t>adjusted_effect_on_transition</t>
  </si>
  <si>
    <t>selected_cost_components</t>
  </si>
  <si>
    <t>selected_unit_cost_sum_usd</t>
  </si>
  <si>
    <t>method_id</t>
  </si>
  <si>
    <t>concept</t>
  </si>
  <si>
    <t>formula_or_rule</t>
  </si>
  <si>
    <t>implemented_in</t>
  </si>
  <si>
    <t>linkage_key</t>
  </si>
  <si>
    <t>Indonesia interpretation</t>
  </si>
  <si>
    <t>M01</t>
  </si>
  <si>
    <t>Incremental coverage</t>
  </si>
  <si>
    <t>delta_cov = cov_target - cov_baseline</t>
  </si>
  <si>
    <t>Coverage</t>
  </si>
  <si>
    <t>Coverage changes in percentage points; do not use target coverage alone.</t>
  </si>
  <si>
    <t>M02</t>
  </si>
  <si>
    <t>FairChoices adjusted effect</t>
  </si>
  <si>
    <t>e_adj = e_crude * delta_cov / (1 - e_crude * cov_baseline)</t>
  </si>
  <si>
    <t>Model_Input_View</t>
  </si>
  <si>
    <t>Uses effect_value as e_crude and the row-specific baseline and target coverage.</t>
  </si>
  <si>
    <t>M03</t>
  </si>
  <si>
    <t>Affected fraction</t>
  </si>
  <si>
    <t>transition_effect = e_adj * affected_fraction</t>
  </si>
  <si>
    <t>Indonesia Markov adaptation: limits the effect to the eligible/affected share supplied by FairChoices.</t>
  </si>
  <si>
    <t>M04</t>
  </si>
  <si>
    <t>Adjusted transition</t>
  </si>
  <si>
    <t>p_target = p_baseline * (1 - transition_effect)</t>
  </si>
  <si>
    <t>Model pipeline</t>
  </si>
  <si>
    <t>transition_from + transition_to</t>
  </si>
  <si>
    <t>Apply prevention to well -&gt; sick and disease management to sick -&gt; cause-specific death.</t>
  </si>
  <si>
    <t>M05</t>
  </si>
  <si>
    <t>Annual component cost</t>
  </si>
  <si>
    <t>cost = unit_cost * frequency * population_in_need * coverage</t>
  </si>
  <si>
    <t>Cost_Components</t>
  </si>
  <si>
    <t>cost_join_key + cost_component_key</t>
  </si>
  <si>
    <t>Calculate each selected component separately because PIN measures and fractions differ.</t>
  </si>
  <si>
    <t>M06</t>
  </si>
  <si>
    <t>Total intervention cost</t>
  </si>
  <si>
    <t>C_i,t = SUM_k(cost_i,k,t)</t>
  </si>
  <si>
    <t>Economic evaluation</t>
  </si>
  <si>
    <t>C_SHARED links are counted once at intervention level, not once for every affected cause.</t>
  </si>
  <si>
    <t>M07</t>
  </si>
  <si>
    <t>Discounting</t>
  </si>
  <si>
    <t>PV_t = value_t / (1 + r)^(t - start_year)</t>
  </si>
  <si>
    <t>Assumptions.parameter_id</t>
  </si>
  <si>
    <t>Use the editable Indonesia cost and health discount rates.</t>
  </si>
  <si>
    <t>M08</t>
  </si>
  <si>
    <t>FairChoices unit-cost markups</t>
  </si>
  <si>
    <t>c_i = (1 + alpha) * c_literature * (1 + beta)</t>
  </si>
  <si>
    <t>Do not reapply markups where indonesia_adjusted_flag = 1; supplied adjusted costs already include them.</t>
  </si>
  <si>
    <t>M09</t>
  </si>
  <si>
    <t>Country cost transfer</t>
  </si>
  <si>
    <t>c_i,y = delta*c_i,x*(S_y/S_x) + (1-delta)*c_i,x</t>
  </si>
  <si>
    <t>Cost source preparation</t>
  </si>
  <si>
    <t>Upstream preparation method; workbook retains the adjusted output and provenance.</t>
  </si>
  <si>
    <t>Assumption comparison</t>
  </si>
  <si>
    <t>Indonesia base case</t>
  </si>
  <si>
    <t>FairChoices documentation</t>
  </si>
  <si>
    <t>Decision</t>
  </si>
  <si>
    <t>Source</t>
  </si>
  <si>
    <t>Cost discount rate</t>
  </si>
  <si>
    <t>Keep editable Indonesia base case</t>
  </si>
  <si>
    <t>https://fairchoices.w.uib.no/documentation/fairchoices-methods/#mathematical-details</t>
  </si>
  <si>
    <t>Health-outcome discount rate</t>
  </si>
  <si>
    <t>Time horizon</t>
  </si>
  <si>
    <t>2025-2050</t>
  </si>
  <si>
    <t>5-year costing reference; lifetime health perspective</t>
  </si>
  <si>
    <t>Use Jakarta-oriented 2025-2050 horizon</t>
  </si>
  <si>
    <t>Source: FairChoices Methods, University of Bergen. The adjusted-transition and affected-fraction rows are an explicit Indonesia Markov-model adaptation of the documented FairChoices coverage-adjusted effect equation.</t>
  </si>
  <si>
    <t>item</t>
  </si>
  <si>
    <t>decision</t>
  </si>
  <si>
    <t>reason</t>
  </si>
  <si>
    <t>domain</t>
  </si>
  <si>
    <t>use</t>
  </si>
  <si>
    <t>location</t>
  </si>
  <si>
    <t>Treatment of acute pharyngitis in children</t>
  </si>
  <si>
    <t>Exclude</t>
  </si>
  <si>
    <t>Explicitly excluded in the August 14 meeting</t>
  </si>
  <si>
    <t>Meeting summary — August 14, 2026</t>
  </si>
  <si>
    <t>Scope, target coverage, intervention structure, transition corrections</t>
  </si>
  <si>
    <t>User-provided meeting summary</t>
  </si>
  <si>
    <t>Primary decision source</t>
  </si>
  <si>
    <t>Peripheral vascular disease interventions</t>
  </si>
  <si>
    <t>No disease model in the initial pipeline</t>
  </si>
  <si>
    <t>Peripheral vascular disease</t>
  </si>
  <si>
    <t>Sample organization and economic assumptions</t>
  </si>
  <si>
    <t>Economic_Assumptions; Effect_sizes; Cost; Coverage</t>
  </si>
  <si>
    <t>Used as a structural reference; originals preserved</t>
  </si>
  <si>
    <t>Detailed BP/statin risk-factor distributions</t>
  </si>
  <si>
    <t>Defer</t>
  </si>
  <si>
    <t>Use average Fair Choices effects for Jakarta results</t>
  </si>
  <si>
    <t>Fair Choices effect values and affected proportions</t>
  </si>
  <si>
    <t>Sheet 1</t>
  </si>
  <si>
    <t>CVD and type 2 diabetes rows used</t>
  </si>
  <si>
    <t>Chronic kidney disease</t>
  </si>
  <si>
    <t>Add only if core models are complete</t>
  </si>
  <si>
    <t>CKD</t>
  </si>
  <si>
    <t>cvd_input_file_PIN(1).csv</t>
  </si>
  <si>
    <t>Baseline coverage and population-in-need fractions</t>
  </si>
  <si>
    <t>All rows</t>
  </si>
  <si>
    <t>Contains regional/platform proxies to validate</t>
  </si>
  <si>
    <t>Exercise-based cardiac rehabilitation</t>
  </si>
  <si>
    <t>Not in the agreed initial package</t>
  </si>
  <si>
    <t>Indonesia-adjusted CVD unit costs</t>
  </si>
  <si>
    <t>cvd_unit_cost_indonesia</t>
  </si>
  <si>
    <t>Alternative salary-adjustment options retained</t>
  </si>
  <si>
    <t>Stroke rehabilitation</t>
  </si>
  <si>
    <t>Stroke</t>
  </si>
  <si>
    <t>PINandCosts0625(1).csv</t>
  </si>
  <si>
    <t>Raw PIN/cost reference; type 2 diabetes cost</t>
  </si>
  <si>
    <t>Row 23 for diabetes</t>
  </si>
  <si>
    <t>Diabetes cost requires Indonesia adjustment</t>
  </si>
  <si>
    <t>Treatment of acute coronary syndromes</t>
  </si>
  <si>
    <t>Not listed in the initial secondary-prevention package</t>
  </si>
  <si>
    <t>FairChoices Methods</t>
  </si>
  <si>
    <t>Coverage-adjusted effect, cost equations, discounting reference, and limitations</t>
  </si>
  <si>
    <t>Used for method documentation; Indonesia assumptions remain editable</t>
  </si>
  <si>
    <t>Shiny/web tool</t>
  </si>
  <si>
    <t>Resume later September or October</t>
  </si>
  <si>
    <t>Infrastructure</t>
  </si>
  <si>
    <t>check_id</t>
  </si>
  <si>
    <t>check</t>
  </si>
  <si>
    <t>expected</t>
  </si>
  <si>
    <t>actual</t>
  </si>
  <si>
    <t>status</t>
  </si>
  <si>
    <t>interpretation</t>
  </si>
  <si>
    <t>QA01</t>
  </si>
  <si>
    <t>Duplicate intervention–cause keys</t>
  </si>
  <si>
    <t>Each link key must appear once</t>
  </si>
  <si>
    <t>QA02</t>
  </si>
  <si>
    <t>Effect rows with bad keys or invalid values</t>
  </si>
  <si>
    <t>Effects must link once and remain within 0–100%</t>
  </si>
  <si>
    <t>QA03</t>
  </si>
  <si>
    <t>Coverage rows with missing/bad inputs</t>
  </si>
  <si>
    <t>Known diabetes baseline coverage gap will fail</t>
  </si>
  <si>
    <t>QA04</t>
  </si>
  <si>
    <t>Cost rows with bad keys, missing values, or selection problems</t>
  </si>
  <si>
    <t>Also flags costs not adjusted to Indonesia</t>
  </si>
  <si>
    <t>QA05</t>
  </si>
  <si>
    <t>Effect row count minus mapping row count</t>
  </si>
  <si>
    <t>Should be one effect row for every included link</t>
  </si>
  <si>
    <t>QA06</t>
  </si>
  <si>
    <t>Coverage row count minus mapping row count</t>
  </si>
  <si>
    <t>Should be one coverage row for every included link</t>
  </si>
  <si>
    <t>QA07</t>
  </si>
  <si>
    <t>Effect rows missing a source file</t>
  </si>
  <si>
    <t>All effect values require a traceable source</t>
  </si>
  <si>
    <t>QA08</t>
  </si>
  <si>
    <t>Selected costs with missing unit cost</t>
  </si>
  <si>
    <t>Only selected base-case cost rows are model-ready</t>
  </si>
  <si>
    <t>JKN and SKI 2023 derivation of Indonesian unit costs and baseline coverage</t>
  </si>
  <si>
    <t>Revision 2026-09-01 — NCD-E-12 CVD Counterfactual Modelling</t>
  </si>
  <si>
    <t>Sources</t>
  </si>
  <si>
    <t>Data Sampel JKN (BPJS Kesehatan 1% member sample), PostgreSQL bpjs_data, schema reguler, tables fkrtl and member; claim year 2023, matching the workbook price year.</t>
  </si>
  <si>
    <t>Survei Kesehatan Indonesia (SKI) 2023, harmonized.ski_2023_harmonized; survey weights weight_total (hypertension) and weight_diabetes (diabetes).</t>
  </si>
  <si>
    <t>Currency conversion Rp 15,237 per USD (2023 period average, World Bank official exchange rate).</t>
  </si>
  <si>
    <t>Engine: analysis/engine_jkn_model_inputs.R. Aggregates: analysis/outputs/.</t>
  </si>
  <si>
    <t>Anchor check</t>
  </si>
  <si>
    <t>SKI 2023 hypertension prevalence reproduced at 30.45 percent against the published 30.8 percent before any coverage value was taken from the survey.</t>
  </si>
  <si>
    <t>Case definition</t>
  </si>
  <si>
    <t>An FKRTL claim counts for a condition when the ICD-10 three-character code appears in any of FKL15A, FKL16, FKL17A, FKL18 or SDX, the shared ARC coalesced definition that recovers the 2015-2016 rows where FKL15A is null.</t>
  </si>
  <si>
    <t>Outpatient is FKL10 = 1 (RJTL), inpatient is FKL10 = 2 (RITL). Cost is FKL48, the amount BPJS actually paid. Patients are counted on PSTV01.</t>
  </si>
  <si>
    <t>Group</t>
  </si>
  <si>
    <t>ICD-10</t>
  </si>
  <si>
    <t>Patients 2023</t>
  </si>
  <si>
    <t>Patients in outpatient care</t>
  </si>
  <si>
    <t>Outpatient Rp per patient-year</t>
  </si>
  <si>
    <t>Inpatient episodes</t>
  </si>
  <si>
    <t>Rp per inpatient episode</t>
  </si>
  <si>
    <t>First-ever inpatient episodes</t>
  </si>
  <si>
    <t>Rp per first-ever episode</t>
  </si>
  <si>
    <t>Recurrent inpatient Rp per patient-year</t>
  </si>
  <si>
    <t>Retention 2022 to 2023</t>
  </si>
  <si>
    <t>RHD</t>
  </si>
  <si>
    <t>I05-I09</t>
  </si>
  <si>
    <t>HTN</t>
  </si>
  <si>
    <t>I10-I15</t>
  </si>
  <si>
    <t>HHD</t>
  </si>
  <si>
    <t>I11</t>
  </si>
  <si>
    <t>IHD</t>
  </si>
  <si>
    <t>I20-I25</t>
  </si>
  <si>
    <t>IS</t>
  </si>
  <si>
    <t>I63</t>
  </si>
  <si>
    <t>ICH</t>
  </si>
  <si>
    <t>I61</t>
  </si>
  <si>
    <t>HF</t>
  </si>
  <si>
    <t>I50</t>
  </si>
  <si>
    <t>CMP</t>
  </si>
  <si>
    <t>I40-I43</t>
  </si>
  <si>
    <t>T2D</t>
  </si>
  <si>
    <t>E11, E13</t>
  </si>
  <si>
    <t>SKI 2023 coverage</t>
  </si>
  <si>
    <t>indicator</t>
  </si>
  <si>
    <t>unweighted n</t>
  </si>
  <si>
    <t>dm_dx_among_dm_15plus</t>
  </si>
  <si>
    <t>dm_treated_among_dm_15plus</t>
  </si>
  <si>
    <t>dm_treated_among_dm_30plus</t>
  </si>
  <si>
    <t>ht_dx_among_ht_18plus</t>
  </si>
  <si>
    <t>ht_prev_all_ages</t>
  </si>
  <si>
    <t>ht_treated_among_ht_18plus</t>
  </si>
  <si>
    <t>ht_treated_among_ht_30plus</t>
  </si>
  <si>
    <t>Limitations</t>
  </si>
  <si>
    <t>JKN FKRTL claims cover referral-level care only. FKTP capitation, Posbindu screening and out-of-pocket private care are outside the sample, so primary-care and screening components have no claims equivalent and keep their FairChoices values.</t>
  </si>
  <si>
    <t>Retention-based coverage is measured among patients already diagnosed and already inside JKN. It is an upper bound on population coverage because undiagnosed patients never appear in claims.</t>
  </si>
  <si>
    <t>Unit costs are amounts paid under INA-CBG tariffs, not provider economic cost. They are the right basis for a payer-perspective model and understate a societal-perspective cost.</t>
  </si>
  <si>
    <t>Echocardiography and other bundled diagnostics cannot be priced separately from a claim because INA-CBG pays one package amount per episode.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</si>
</sst>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.00"/>
  </numFmts>
  <fonts count="14">
    <font>
      <sz val="11"/>
      <name val="Carlito"/>
    </font>
    <font>
      <b/>
      <sz val="20"/>
      <color rgb="FFFFFFFF"/>
      <name val="Carlito"/>
    </font>
    <font>
      <i/>
      <sz val="10"/>
      <color rgb="FF1F1F1F"/>
      <name val="Carlito"/>
    </font>
    <font>
      <b/>
      <sz val="10"/>
      <color rgb="FFFFFFFF"/>
      <name val="Carlito"/>
    </font>
    <font>
      <b/>
      <sz val="16"/>
      <color rgb="FF1F4E78"/>
      <name val="Carlito"/>
    </font>
    <font>
      <b/>
      <sz val="11"/>
      <color rgb="FFFFFFFF"/>
      <name val="Carlito"/>
    </font>
    <font>
      <sz val="10"/>
      <name val="Carlito"/>
    </font>
    <font>
      <b/>
      <sz val="11"/>
      <color rgb="FF9C5700"/>
      <name val="Carlito"/>
    </font>
    <font>
      <i/>
      <sz val="9"/>
      <color rgb="FF1F1F1F"/>
      <name val="Carlito"/>
    </font>
    <font>
      <sz val="9"/>
      <color rgb="FF1F1F1F"/>
      <name val="Carlito"/>
    </font>
    <font>
      <sz val="9"/>
      <name val="Carlito"/>
    </font>
    <font>
      <i/>
      <sz val="9"/>
      <name val="Carlito"/>
    </font>
    <font>
      <b/>
      <sz val="11"/>
      <name val="Carlito"/>
    </font>
    <font>
      <b/>
      <sz val="13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0F6B78"/>
      </patternFill>
    </fill>
    <fill>
      <patternFill patternType="solid">
        <fgColor rgb="FFF3F6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AF3F8"/>
      </patternFill>
    </fill>
    <fill>
      <patternFill patternType="solid">
        <fgColor rgb="FFFFF2CC"/>
      </patternFill>
    </fill>
  </fills>
  <borders count="17">
    <border>
      <left/>
      <right/>
      <top/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/>
      <bottom/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wrapText="1"/>
    </xf>
    <xf numFmtId="0" fontId="5" fillId="2" borderId="0" xfId="0" applyFont="1" applyFill="1" applyAlignment="1">
      <alignment wrapText="1"/>
    </xf>
    <xf numFmtId="0" fontId="5" fillId="4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9" fillId="0" borderId="7" xfId="0" applyFont="1" applyBorder="1" applyAlignment="1">
      <alignment vertical="top" wrapText="1"/>
    </xf>
    <xf numFmtId="0" fontId="9" fillId="0" borderId="12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9" fillId="7" borderId="7" xfId="0" applyFont="1" applyFill="1" applyBorder="1" applyAlignment="1">
      <alignment vertical="top" wrapText="1"/>
    </xf>
    <xf numFmtId="0" fontId="9" fillId="7" borderId="12" xfId="0" applyFont="1" applyFill="1" applyBorder="1" applyAlignment="1">
      <alignment vertical="top" wrapText="1"/>
    </xf>
    <xf numFmtId="0" fontId="9" fillId="7" borderId="4" xfId="0" applyFont="1" applyFill="1" applyBorder="1" applyAlignment="1">
      <alignment vertical="top" wrapText="1"/>
    </xf>
    <xf numFmtId="164" fontId="9" fillId="7" borderId="12" xfId="0" applyNumberFormat="1" applyFont="1" applyFill="1" applyBorder="1" applyAlignment="1">
      <alignment vertical="top" wrapText="1"/>
    </xf>
    <xf numFmtId="0" fontId="9" fillId="7" borderId="7" xfId="0" applyFont="1" applyFill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9" fillId="7" borderId="12" xfId="0" applyFont="1" applyFill="1" applyBorder="1" applyAlignment="1">
      <alignment horizontal="right" vertical="top" wrapText="1"/>
    </xf>
    <xf numFmtId="0" fontId="9" fillId="0" borderId="12" xfId="0" applyFont="1" applyBorder="1" applyAlignment="1">
      <alignment horizontal="right" vertical="top" wrapText="1"/>
    </xf>
    <xf numFmtId="164" fontId="9" fillId="7" borderId="12" xfId="0" applyNumberFormat="1" applyFont="1" applyFill="1" applyBorder="1" applyAlignment="1">
      <alignment horizontal="right" vertical="top" wrapText="1"/>
    </xf>
    <xf numFmtId="164" fontId="9" fillId="0" borderId="12" xfId="0" applyNumberFormat="1" applyFont="1" applyBorder="1" applyAlignment="1">
      <alignment horizontal="right" vertical="top" wrapText="1"/>
    </xf>
    <xf numFmtId="0" fontId="9" fillId="7" borderId="4" xfId="0" applyFont="1" applyFill="1" applyBorder="1" applyAlignment="1">
      <alignment horizontal="right" vertical="top" wrapText="1"/>
    </xf>
    <xf numFmtId="0" fontId="9" fillId="0" borderId="4" xfId="0" applyFont="1" applyBorder="1" applyAlignment="1">
      <alignment horizontal="right" vertical="top" wrapText="1"/>
    </xf>
    <xf numFmtId="0" fontId="10" fillId="0" borderId="0" xfId="0" applyFont="1" applyAlignment="1">
      <alignment vertical="top" wrapText="1"/>
    </xf>
    <xf numFmtId="0" fontId="9" fillId="9" borderId="7" xfId="0" applyFont="1" applyFill="1" applyBorder="1" applyAlignment="1">
      <alignment vertical="top" wrapText="1"/>
    </xf>
    <xf numFmtId="0" fontId="9" fillId="9" borderId="12" xfId="0" applyFont="1" applyFill="1" applyBorder="1" applyAlignment="1">
      <alignment vertical="top" wrapText="1"/>
    </xf>
    <xf numFmtId="0" fontId="9" fillId="9" borderId="4" xfId="0" applyFont="1" applyFill="1" applyBorder="1" applyAlignment="1">
      <alignment vertical="top" wrapText="1"/>
    </xf>
    <xf numFmtId="1" fontId="9" fillId="0" borderId="7" xfId="0" applyNumberFormat="1" applyFont="1" applyBorder="1" applyAlignment="1">
      <alignment vertical="top" wrapText="1"/>
    </xf>
    <xf numFmtId="1" fontId="9" fillId="0" borderId="12" xfId="0" applyNumberFormat="1" applyFont="1" applyBorder="1" applyAlignment="1">
      <alignment vertical="top" wrapText="1"/>
    </xf>
    <xf numFmtId="1" fontId="9" fillId="0" borderId="4" xfId="0" applyNumberFormat="1" applyFont="1" applyBorder="1" applyAlignment="1">
      <alignment vertical="top" wrapText="1"/>
    </xf>
    <xf numFmtId="164" fontId="9" fillId="7" borderId="7" xfId="0" applyNumberFormat="1" applyFont="1" applyFill="1" applyBorder="1" applyAlignment="1">
      <alignment vertical="top" wrapText="1"/>
    </xf>
    <xf numFmtId="164" fontId="9" fillId="7" borderId="4" xfId="0" applyNumberFormat="1" applyFont="1" applyFill="1" applyBorder="1" applyAlignment="1">
      <alignment vertical="top" wrapText="1"/>
    </xf>
    <xf numFmtId="1" fontId="9" fillId="7" borderId="7" xfId="0" applyNumberFormat="1" applyFont="1" applyFill="1" applyBorder="1" applyAlignment="1">
      <alignment vertical="top" wrapText="1"/>
    </xf>
    <xf numFmtId="1" fontId="9" fillId="7" borderId="12" xfId="0" applyNumberFormat="1" applyFont="1" applyFill="1" applyBorder="1" applyAlignment="1">
      <alignment vertical="top" wrapText="1"/>
    </xf>
    <xf numFmtId="1" fontId="9" fillId="7" borderId="4" xfId="0" applyNumberFormat="1" applyFont="1" applyFill="1" applyBorder="1" applyAlignment="1">
      <alignment vertical="top" wrapText="1"/>
    </xf>
    <xf numFmtId="164" fontId="9" fillId="9" borderId="7" xfId="0" applyNumberFormat="1" applyFont="1" applyFill="1" applyBorder="1" applyAlignment="1">
      <alignment vertical="top" wrapText="1"/>
    </xf>
    <xf numFmtId="164" fontId="9" fillId="9" borderId="12" xfId="0" applyNumberFormat="1" applyFont="1" applyFill="1" applyBorder="1" applyAlignment="1">
      <alignment vertical="top" wrapText="1"/>
    </xf>
    <xf numFmtId="164" fontId="9" fillId="9" borderId="4" xfId="0" applyNumberFormat="1" applyFont="1" applyFill="1" applyBorder="1" applyAlignment="1">
      <alignment vertical="top" wrapText="1"/>
    </xf>
    <xf numFmtId="1" fontId="9" fillId="9" borderId="7" xfId="0" applyNumberFormat="1" applyFont="1" applyFill="1" applyBorder="1" applyAlignment="1">
      <alignment vertical="top" wrapText="1"/>
    </xf>
    <xf numFmtId="1" fontId="9" fillId="9" borderId="12" xfId="0" applyNumberFormat="1" applyFont="1" applyFill="1" applyBorder="1" applyAlignment="1">
      <alignment vertical="top" wrapText="1"/>
    </xf>
    <xf numFmtId="1" fontId="9" fillId="9" borderId="4" xfId="0" applyNumberFormat="1" applyFont="1" applyFill="1" applyBorder="1" applyAlignment="1">
      <alignment vertical="top" wrapText="1"/>
    </xf>
    <xf numFmtId="165" fontId="9" fillId="7" borderId="12" xfId="0" applyNumberFormat="1" applyFont="1" applyFill="1" applyBorder="1" applyAlignment="1">
      <alignment vertical="top" wrapText="1"/>
    </xf>
    <xf numFmtId="165" fontId="9" fillId="9" borderId="7" xfId="0" applyNumberFormat="1" applyFont="1" applyFill="1" applyBorder="1" applyAlignment="1">
      <alignment vertical="top" wrapText="1"/>
    </xf>
    <xf numFmtId="165" fontId="9" fillId="9" borderId="12" xfId="0" applyNumberFormat="1" applyFont="1" applyFill="1" applyBorder="1" applyAlignment="1">
      <alignment vertical="top" wrapText="1"/>
    </xf>
    <xf numFmtId="165" fontId="9" fillId="9" borderId="4" xfId="0" applyNumberFormat="1" applyFont="1" applyFill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5" fillId="4" borderId="0" xfId="0" applyFont="1" applyFill="1" applyAlignment="1">
      <alignment wrapText="1"/>
    </xf>
    <xf numFmtId="164" fontId="6" fillId="0" borderId="7" xfId="0" applyNumberFormat="1" applyFont="1" applyBorder="1" applyAlignment="1">
      <alignment vertical="top" wrapText="1"/>
    </xf>
    <xf numFmtId="164" fontId="6" fillId="0" borderId="12" xfId="0" applyNumberFormat="1" applyFont="1" applyBorder="1" applyAlignment="1">
      <alignment vertical="top" wrapText="1"/>
    </xf>
    <xf numFmtId="0" fontId="6" fillId="0" borderId="0" xfId="0" applyFont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12" fillId="0" borderId="0" xfId="0" applyFont="1"/>
    <xf numFmtId="164" fontId="9" fillId="10" borderId="7" xfId="0" applyNumberFormat="1" applyFont="1" applyFill="1" applyBorder="1" applyAlignment="1">
      <alignment vertical="top" wrapText="1"/>
    </xf>
    <xf numFmtId="164" fontId="9" fillId="10" borderId="12" xfId="0" applyNumberFormat="1" applyFont="1" applyFill="1" applyBorder="1" applyAlignment="1">
      <alignment vertical="top" wrapText="1"/>
    </xf>
    <xf numFmtId="164" fontId="9" fillId="10" borderId="4" xfId="0" applyNumberFormat="1" applyFont="1" applyFill="1" applyBorder="1" applyAlignment="1">
      <alignment vertical="top" wrapText="1"/>
    </xf>
    <xf numFmtId="165" fontId="9" fillId="10" borderId="7" xfId="0" applyNumberFormat="1" applyFont="1" applyFill="1" applyBorder="1" applyAlignment="1">
      <alignment vertical="top" wrapText="1"/>
    </xf>
    <xf numFmtId="165" fontId="9" fillId="10" borderId="12" xfId="0" applyNumberFormat="1" applyFont="1" applyFill="1" applyBorder="1" applyAlignment="1">
      <alignment vertical="top" wrapText="1"/>
    </xf>
    <xf numFmtId="165" fontId="9" fillId="10" borderId="4" xfId="0" applyNumberFormat="1" applyFont="1" applyFill="1" applyBorder="1" applyAlignment="1">
      <alignment vertical="top" wrapText="1"/>
    </xf>
    <xf numFmtId="0" fontId="13" fillId="0" borderId="0" xfId="0" applyFont="1"/>
    <xf numFmtId="0" fontId="5" fillId="2" borderId="0" xfId="0" applyFont="1" applyFill="1" applyAlignment="1">
      <alignment wrapText="1"/>
    </xf>
    <xf numFmtId="0" fontId="0" fillId="0" borderId="0" xfId="0"/>
    <xf numFmtId="0" fontId="4" fillId="5" borderId="16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4" borderId="0" xfId="0" applyFont="1" applyFill="1" applyAlignment="1">
      <alignment horizontal="center" wrapText="1"/>
    </xf>
    <xf numFmtId="0" fontId="0" fillId="5" borderId="0" xfId="0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6" fillId="6" borderId="15" xfId="0" applyFont="1" applyFill="1" applyBorder="1" applyAlignment="1">
      <alignment vertical="center" wrapText="1"/>
    </xf>
    <xf numFmtId="0" fontId="0" fillId="0" borderId="6" xfId="0" applyBorder="1"/>
    <xf numFmtId="0" fontId="8" fillId="8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0" fontId="6" fillId="6" borderId="13" xfId="0" applyFont="1" applyFill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6" fillId="6" borderId="14" xfId="0" applyFont="1" applyFill="1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11" fillId="8" borderId="0" xfId="0" applyFont="1" applyFill="1" applyAlignment="1">
      <alignment wrapText="1"/>
    </xf>
  </cellXfs>
  <cellStyles count="1">
    <cellStyle name="Normal" xfId="0" builtinId="0"/>
  </cellStyles>
  <dxfs count="36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57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57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57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57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57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57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57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57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57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umptionsTable" displayName="AssumptionsTable" ref="A1:H14" totalsRowShown="0">
  <tableColumns count="8">
    <tableColumn id="1" xr3:uid="{00000000-0010-0000-0000-000001000000}" name="parameter_id"/>
    <tableColumn id="2" xr3:uid="{00000000-0010-0000-0000-000002000000}" name="value"/>
    <tableColumn id="3" xr3:uid="{00000000-0010-0000-0000-000003000000}" name="unit"/>
    <tableColumn id="4" xr3:uid="{00000000-0010-0000-0000-000004000000}" name="base_case"/>
    <tableColumn id="5" xr3:uid="{00000000-0010-0000-0000-000005000000}" name="lower_bound"/>
    <tableColumn id="6" xr3:uid="{00000000-0010-0000-0000-000006000000}" name="upper_bound"/>
    <tableColumn id="7" xr3:uid="{00000000-0010-0000-0000-000007000000}" name="description"/>
    <tableColumn id="8" xr3:uid="{00000000-0010-0000-0000-000008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terventionDictionary" displayName="InterventionDictionary" ref="A1:D9" totalsRowShown="0">
  <tableColumns count="4">
    <tableColumn id="1" xr3:uid="{00000000-0010-0000-0100-000001000000}" name="intervention_id"/>
    <tableColumn id="2" xr3:uid="{00000000-0010-0000-0100-000002000000}" name="intervention_name"/>
    <tableColumn id="3" xr3:uid="{00000000-0010-0000-0100-000003000000}" name="package_group"/>
    <tableColumn id="4" xr3:uid="{00000000-0010-0000-0100-000004000000}" name="defin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useDictionary" displayName="CauseDictionary" ref="F1:I9" totalsRowShown="0">
  <tableColumns count="4">
    <tableColumn id="1" xr3:uid="{00000000-0010-0000-0200-000001000000}" name="cause_id"/>
    <tableColumn id="2" xr3:uid="{00000000-0010-0000-0200-000002000000}" name="cause_name"/>
    <tableColumn id="3" xr3:uid="{00000000-0010-0000-0200-000003000000}" name="model_name"/>
    <tableColumn id="4" xr3:uid="{00000000-0010-0000-0200-000004000000}" name="is_model_cau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terventionCauseMap" displayName="InterventionCauseMap" ref="A1:M18" totalsRowShown="0">
  <tableColumns count="13">
    <tableColumn id="1" xr3:uid="{00000000-0010-0000-0300-000001000000}" name="intervention_cause_key"/>
    <tableColumn id="2" xr3:uid="{00000000-0010-0000-0300-000002000000}" name="intervention_id"/>
    <tableColumn id="3" xr3:uid="{00000000-0010-0000-0300-000003000000}" name="intervention_name"/>
    <tableColumn id="4" xr3:uid="{00000000-0010-0000-0300-000004000000}" name="cause_id"/>
    <tableColumn id="5" xr3:uid="{00000000-0010-0000-0300-000005000000}" name="cause_name"/>
    <tableColumn id="6" xr3:uid="{00000000-0010-0000-0300-000006000000}" name="model_name"/>
    <tableColumn id="7" xr3:uid="{00000000-0010-0000-0300-000007000000}" name="effect_key"/>
    <tableColumn id="8" xr3:uid="{00000000-0010-0000-0300-000008000000}" name="coverage_key"/>
    <tableColumn id="9" xr3:uid="{00000000-0010-0000-0300-000009000000}" name="cost_join_key"/>
    <tableColumn id="10" xr3:uid="{00000000-0010-0000-0300-00000A000000}" name="cost_scope"/>
    <tableColumn id="11" xr3:uid="{00000000-0010-0000-0300-00000B000000}" name="include_flag"/>
    <tableColumn id="12" xr3:uid="{00000000-0010-0000-0300-00000C000000}" name="notes"/>
    <tableColumn id="13" xr3:uid="{00000000-0010-0000-0300-00000D000000}" name="duplicate_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ffectSizesTable" displayName="EffectSizesTable" ref="A1:V18" totalsRowShown="0">
  <tableColumns count="22">
    <tableColumn id="1" xr3:uid="{00000000-0010-0000-0400-000001000000}" name="effect_id"/>
    <tableColumn id="2" xr3:uid="{00000000-0010-0000-0400-000002000000}" name="intervention_cause_key"/>
    <tableColumn id="3" xr3:uid="{00000000-0010-0000-0400-000003000000}" name="intervention_id"/>
    <tableColumn id="4" xr3:uid="{00000000-0010-0000-0400-000004000000}" name="cause_id"/>
    <tableColumn id="5" xr3:uid="{00000000-0010-0000-0400-000005000000}" name="intervention_name"/>
    <tableColumn id="6" xr3:uid="{00000000-0010-0000-0400-000006000000}" name="cause_name"/>
    <tableColumn id="7" xr3:uid="{00000000-0010-0000-0400-000007000000}" name="transition_from"/>
    <tableColumn id="8" xr3:uid="{00000000-0010-0000-0400-000008000000}" name="transition_to"/>
    <tableColumn id="9" xr3:uid="{00000000-0010-0000-0400-000009000000}" name="effect_measure"/>
    <tableColumn id="10" xr3:uid="{00000000-0010-0000-0400-00000A000000}" name="effect_value"/>
    <tableColumn id="11" xr3:uid="{00000000-0010-0000-0400-00000B000000}" name="affected_fraction"/>
    <tableColumn id="12" xr3:uid="{00000000-0010-0000-0400-00000C000000}" name="age_start"/>
    <tableColumn id="13" xr3:uid="{00000000-0010-0000-0400-00000D000000}" name="age_stop"/>
    <tableColumn id="14" xr3:uid="{00000000-0010-0000-0400-00000E000000}" name="sex"/>
    <tableColumn id="15" xr3:uid="{00000000-0010-0000-0400-00000F000000}" name="duration_years"/>
    <tableColumn id="16" xr3:uid="{00000000-0010-0000-0400-000010000000}" name="source_variable"/>
    <tableColumn id="17" xr3:uid="{00000000-0010-0000-0400-000011000000}" name="source_file"/>
    <tableColumn id="18" xr3:uid="{00000000-0010-0000-0400-000012000000}" name="source_row"/>
    <tableColumn id="19" xr3:uid="{00000000-0010-0000-0400-000013000000}" name="review_status"/>
    <tableColumn id="20" xr3:uid="{00000000-0010-0000-0400-000014000000}" name="notes"/>
    <tableColumn id="21" xr3:uid="{00000000-0010-0000-0400-000015000000}" name="map_match_count"/>
    <tableColumn id="22" xr3:uid="{00000000-0010-0000-0400-000016000000}" name="qa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verageTable" displayName="CoverageTable" ref="A1:S18" totalsRowShown="0">
  <tableColumns count="19">
    <tableColumn id="1" xr3:uid="{00000000-0010-0000-0500-000001000000}" name="coverage_id"/>
    <tableColumn id="2" xr3:uid="{00000000-0010-0000-0500-000002000000}" name="intervention_cause_key"/>
    <tableColumn id="3" xr3:uid="{00000000-0010-0000-0500-000003000000}" name="intervention_id"/>
    <tableColumn id="4" xr3:uid="{00000000-0010-0000-0500-000004000000}" name="cause_id"/>
    <tableColumn id="5" xr3:uid="{00000000-0010-0000-0500-000005000000}" name="intervention_name"/>
    <tableColumn id="6" xr3:uid="{00000000-0010-0000-0500-000006000000}" name="cause_name"/>
    <tableColumn id="7" xr3:uid="{00000000-0010-0000-0500-000007000000}" name="baseline_coverage"/>
    <tableColumn id="8" xr3:uid="{00000000-0010-0000-0500-000008000000}" name="target_override"/>
    <tableColumn id="9" xr3:uid="{00000000-0010-0000-0500-000009000000}" name="target_coverage"/>
    <tableColumn id="10" xr3:uid="{00000000-0010-0000-0500-00000A000000}" name="start_year"/>
    <tableColumn id="11" xr3:uid="{00000000-0010-0000-0500-00000B000000}" name="target_year"/>
    <tableColumn id="12" xr3:uid="{00000000-0010-0000-0500-00000C000000}" name="scale_up_shape"/>
    <tableColumn id="13" xr3:uid="{00000000-0010-0000-0500-00000D000000}" name="baseline_source_file"/>
    <tableColumn id="14" xr3:uid="{00000000-0010-0000-0500-00000E000000}" name="baseline_source_row"/>
    <tableColumn id="15" xr3:uid="{00000000-0010-0000-0500-00000F000000}" name="proxy_note"/>
    <tableColumn id="16" xr3:uid="{00000000-0010-0000-0500-000010000000}" name="review_status"/>
    <tableColumn id="17" xr3:uid="{00000000-0010-0000-0500-000011000000}" name="absolute_increase"/>
    <tableColumn id="18" xr3:uid="{00000000-0010-0000-0500-000012000000}" name="map_match_count"/>
    <tableColumn id="19" xr3:uid="{00000000-0010-0000-0500-000013000000}" name="qa_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stComponentsTable" displayName="CostComponentsTable" ref="A1:AC35" totalsRowShown="0">
  <tableColumns count="29">
    <tableColumn id="1" xr3:uid="{00000000-0010-0000-0600-000001000000}" name="cost_record_id"/>
    <tableColumn id="2" xr3:uid="{00000000-0010-0000-0600-000002000000}" name="cost_component_key"/>
    <tableColumn id="3" xr3:uid="{00000000-0010-0000-0600-000003000000}" name="cost_option"/>
    <tableColumn id="4" xr3:uid="{00000000-0010-0000-0600-000004000000}" name="selected_for_base_case"/>
    <tableColumn id="5" xr3:uid="{00000000-0010-0000-0600-000005000000}" name="intervention_id"/>
    <tableColumn id="6" xr3:uid="{00000000-0010-0000-0600-000006000000}" name="cause_id"/>
    <tableColumn id="7" xr3:uid="{00000000-0010-0000-0600-000007000000}" name="cost_join_key"/>
    <tableColumn id="8" xr3:uid="{00000000-0010-0000-0600-000008000000}" name="intervention_name"/>
    <tableColumn id="9" xr3:uid="{00000000-0010-0000-0600-000009000000}" name="cause_name"/>
    <tableColumn id="10" xr3:uid="{00000000-0010-0000-0600-00000A000000}" name="cost_component"/>
    <tableColumn id="11" xr3:uid="{00000000-0010-0000-0600-00000B000000}" name="population_in_need_measure"/>
    <tableColumn id="12" xr3:uid="{00000000-0010-0000-0600-00000C000000}" name="population_in_need_fraction"/>
    <tableColumn id="13" xr3:uid="{00000000-0010-0000-0600-00000D000000}" name="cost_unit"/>
    <tableColumn id="14" xr3:uid="{00000000-0010-0000-0600-00000E000000}" name="frequency_per_year"/>
    <tableColumn id="15" xr3:uid="{00000000-0010-0000-0600-00000F000000}" name="age_start"/>
    <tableColumn id="16" xr3:uid="{00000000-0010-0000-0600-000010000000}" name="age_stop"/>
    <tableColumn id="17" xr3:uid="{00000000-0010-0000-0600-000011000000}" name="sex"/>
    <tableColumn id="18" xr3:uid="{00000000-0010-0000-0600-000012000000}" name="platform"/>
    <tableColumn id="19" xr3:uid="{00000000-0010-0000-0600-000013000000}" name="unit_cost_usd"/>
    <tableColumn id="20" xr3:uid="{00000000-0010-0000-0600-000014000000}" name="price_year"/>
    <tableColumn id="21" xr3:uid="{00000000-0010-0000-0600-000015000000}" name="indonesia_adjusted_flag"/>
    <tableColumn id="22" xr3:uid="{00000000-0010-0000-0600-000016000000}" name="source_country"/>
    <tableColumn id="23" xr3:uid="{00000000-0010-0000-0600-000017000000}" name="source_file"/>
    <tableColumn id="24" xr3:uid="{00000000-0010-0000-0600-000018000000}" name="source_row"/>
    <tableColumn id="25" xr3:uid="{00000000-0010-0000-0600-000019000000}" name="review_status"/>
    <tableColumn id="26" xr3:uid="{00000000-0010-0000-0600-00001A000000}" name="notes"/>
    <tableColumn id="27" xr3:uid="{00000000-0010-0000-0600-00001B000000}" name="map_match_count"/>
    <tableColumn id="28" xr3:uid="{00000000-0010-0000-0600-00001C000000}" name="selection_count"/>
    <tableColumn id="29" xr3:uid="{00000000-0010-0000-0600-00001D000000}" name="qa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odelInputViewTable" displayName="ModelInputViewTable" ref="A1:Q18" totalsRowShown="0">
  <tableColumns count="17">
    <tableColumn id="1" xr3:uid="{00000000-0010-0000-0700-000001000000}" name="intervention_cause_key"/>
    <tableColumn id="2" xr3:uid="{00000000-0010-0000-0700-000002000000}" name="intervention_name"/>
    <tableColumn id="3" xr3:uid="{00000000-0010-0000-0700-000003000000}" name="cause_name"/>
    <tableColumn id="4" xr3:uid="{00000000-0010-0000-0700-000004000000}" name="transition_from"/>
    <tableColumn id="5" xr3:uid="{00000000-0010-0000-0700-000005000000}" name="transition_to"/>
    <tableColumn id="6" xr3:uid="{00000000-0010-0000-0700-000006000000}" name="effect_value"/>
    <tableColumn id="7" xr3:uid="{00000000-0010-0000-0700-000007000000}" name="affected_fraction"/>
    <tableColumn id="8" xr3:uid="{00000000-0010-0000-0700-000008000000}" name="baseline_coverage"/>
    <tableColumn id="9" xr3:uid="{00000000-0010-0000-0700-000009000000}" name="target_coverage"/>
    <tableColumn id="10" xr3:uid="{00000000-0010-0000-0700-00000A000000}" name="coverage_increase"/>
    <tableColumn id="11" xr3:uid="{00000000-0010-0000-0700-00000B000000}" name="fairchoices_adjusted_effect"/>
    <tableColumn id="12" xr3:uid="{00000000-0010-0000-0700-00000C000000}" name="adjusted_effect_on_transition"/>
    <tableColumn id="13" xr3:uid="{00000000-0010-0000-0700-00000D000000}" name="cost_join_key"/>
    <tableColumn id="14" xr3:uid="{00000000-0010-0000-0700-00000E000000}" name="cost_scope"/>
    <tableColumn id="15" xr3:uid="{00000000-0010-0000-0700-00000F000000}" name="selected_cost_components"/>
    <tableColumn id="16" xr3:uid="{00000000-0010-0000-0700-000010000000}" name="selected_unit_cost_sum_usd"/>
    <tableColumn id="17" xr3:uid="{00000000-0010-0000-0700-000011000000}" name="review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airChoicesMethodsTable" displayName="FairChoicesMethodsTable" ref="A1:F10" totalsRowShown="0">
  <tableColumns count="6">
    <tableColumn id="1" xr3:uid="{00000000-0010-0000-0800-000001000000}" name="method_id"/>
    <tableColumn id="2" xr3:uid="{00000000-0010-0000-0800-000002000000}" name="concept"/>
    <tableColumn id="3" xr3:uid="{00000000-0010-0000-0800-000003000000}" name="formula_or_rule"/>
    <tableColumn id="4" xr3:uid="{00000000-0010-0000-0800-000004000000}" name="implemented_in"/>
    <tableColumn id="5" xr3:uid="{00000000-0010-0000-0800-000005000000}" name="linkage_key"/>
    <tableColumn id="6" xr3:uid="{00000000-0010-0000-0800-000006000000}" name="Indonesia interpreta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copeTable" displayName="ScopeTable" ref="A1:D9" totalsRowShown="0">
  <tableColumns count="4">
    <tableColumn id="1" xr3:uid="{00000000-0010-0000-0900-000001000000}" name="item"/>
    <tableColumn id="2" xr3:uid="{00000000-0010-0000-0900-000002000000}" name="decision"/>
    <tableColumn id="3" xr3:uid="{00000000-0010-0000-0900-000003000000}" name="reason"/>
    <tableColumn id="4" xr3:uid="{00000000-0010-0000-0900-000004000000}" name="domai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ourceLogTable" displayName="SourceLogTable" ref="F1:I8" totalsRowShown="0">
  <tableColumns count="4">
    <tableColumn id="1" xr3:uid="{00000000-0010-0000-0A00-000001000000}" name="source"/>
    <tableColumn id="2" xr3:uid="{00000000-0010-0000-0A00-000002000000}" name="use"/>
    <tableColumn id="3" xr3:uid="{00000000-0010-0000-0A00-000003000000}" name="location"/>
    <tableColumn id="4" xr3:uid="{00000000-0010-0000-0A00-000004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AChecksTable" displayName="QAChecksTable" ref="A1:F9" totalsRowShown="0">
  <tableColumns count="6">
    <tableColumn id="1" xr3:uid="{00000000-0010-0000-0B00-000001000000}" name="check_id"/>
    <tableColumn id="2" xr3:uid="{00000000-0010-0000-0B00-000002000000}" name="check"/>
    <tableColumn id="3" xr3:uid="{00000000-0010-0000-0B00-000003000000}" name="expected"/>
    <tableColumn id="4" xr3:uid="{00000000-0010-0000-0B00-000004000000}" name="actual"/>
    <tableColumn id="5" xr3:uid="{00000000-0010-0000-0B00-000005000000}" name="status"/>
    <tableColumn id="6" xr3:uid="{00000000-0010-0000-0B00-000006000000}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workbookViewId="0">
      <selection sqref="A1:H2"/>
    </sheetView>
  </sheetViews>
  <sheetFormatPr defaultColWidth="8.796875" defaultRowHeight="13.8"/>
  <cols>
    <col min="1" max="1" width="10" customWidth="1"/>
    <col min="2" max="2" width="22" customWidth="1"/>
    <col min="3" max="4" width="16" customWidth="1"/>
    <col min="5" max="5" width="18" customWidth="1"/>
    <col min="6" max="6" width="16" customWidth="1"/>
    <col min="7" max="8" width="18" customWidth="1"/>
  </cols>
  <sheetData>
    <row r="1" spans="1:8">
      <c r="A1" s="73" t="s">
        <v>0</v>
      </c>
      <c r="B1" s="62"/>
      <c r="C1" s="62"/>
      <c r="D1" s="62"/>
      <c r="E1" s="62"/>
      <c r="F1" s="62"/>
      <c r="G1" s="62"/>
      <c r="H1" s="62"/>
    </row>
    <row r="2" spans="1:8">
      <c r="A2" s="62"/>
      <c r="B2" s="62"/>
      <c r="C2" s="62"/>
      <c r="D2" s="62"/>
      <c r="E2" s="62"/>
      <c r="F2" s="62"/>
      <c r="G2" s="62"/>
      <c r="H2" s="62"/>
    </row>
    <row r="3" spans="1:8">
      <c r="A3" s="69" t="s">
        <v>1</v>
      </c>
      <c r="B3" s="62"/>
      <c r="C3" s="62"/>
      <c r="D3" s="62"/>
      <c r="E3" s="62"/>
      <c r="F3" s="62"/>
      <c r="G3" s="62"/>
      <c r="H3" s="62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67" t="s">
        <v>2</v>
      </c>
      <c r="B5" s="62"/>
      <c r="C5" s="67" t="s">
        <v>3</v>
      </c>
      <c r="D5" s="62"/>
      <c r="E5" s="67" t="s">
        <v>4</v>
      </c>
      <c r="F5" s="62"/>
      <c r="G5" s="67" t="s">
        <v>5</v>
      </c>
      <c r="H5" s="62"/>
    </row>
    <row r="6" spans="1:8">
      <c r="A6" s="63" t="str">
        <f>IF(COUNTIF(QA_Checks!$E$2:$E$9,"FAIL")=0,"READY TO RUN","REVIEW REQUIRED")</f>
        <v>READY TO RUN</v>
      </c>
      <c r="B6" s="64"/>
      <c r="C6" s="63">
        <f>COUNTA(Dictionaries!$A$2:$A$9)</f>
        <v>8</v>
      </c>
      <c r="D6" s="64"/>
      <c r="E6" s="63">
        <f>COUNTIF(Dictionaries!$I$2:$I$9,1)</f>
        <v>7</v>
      </c>
      <c r="F6" s="64"/>
      <c r="G6" s="63">
        <f>COUNTA(Intervention_Cause_Map!$A$2:$A$18)</f>
        <v>17</v>
      </c>
      <c r="H6" s="64"/>
    </row>
    <row r="7" spans="1:8">
      <c r="A7" s="65"/>
      <c r="B7" s="66"/>
      <c r="C7" s="65"/>
      <c r="D7" s="66"/>
      <c r="E7" s="65"/>
      <c r="F7" s="66"/>
      <c r="G7" s="65"/>
      <c r="H7" s="66"/>
    </row>
    <row r="8" spans="1:8">
      <c r="A8" s="1"/>
      <c r="B8" s="1"/>
      <c r="C8" s="1"/>
      <c r="D8" s="1"/>
      <c r="E8" s="1"/>
      <c r="F8" s="1"/>
      <c r="G8" s="1"/>
      <c r="H8" s="1"/>
    </row>
    <row r="9" spans="1:8" ht="15" customHeight="1">
      <c r="A9" s="61" t="s">
        <v>6</v>
      </c>
      <c r="B9" s="62"/>
      <c r="C9" s="62"/>
      <c r="D9" s="62"/>
      <c r="E9" s="62"/>
      <c r="F9" s="62"/>
      <c r="G9" s="62"/>
      <c r="H9" s="62"/>
    </row>
    <row r="10" spans="1:8" ht="28.05" customHeight="1">
      <c r="A10" s="3" t="s">
        <v>7</v>
      </c>
      <c r="B10" s="77" t="s">
        <v>8</v>
      </c>
      <c r="C10" s="78"/>
      <c r="D10" s="78"/>
      <c r="E10" s="78"/>
      <c r="F10" s="78"/>
      <c r="G10" s="78"/>
      <c r="H10" s="79"/>
    </row>
    <row r="11" spans="1:8" ht="28.05" customHeight="1">
      <c r="A11" s="3" t="s">
        <v>9</v>
      </c>
      <c r="B11" s="70" t="s">
        <v>10</v>
      </c>
      <c r="C11" s="62"/>
      <c r="D11" s="62"/>
      <c r="E11" s="62"/>
      <c r="F11" s="62"/>
      <c r="G11" s="62"/>
      <c r="H11" s="71"/>
    </row>
    <row r="12" spans="1:8" ht="28.05" customHeight="1">
      <c r="A12" s="3" t="s">
        <v>11</v>
      </c>
      <c r="B12" s="70" t="s">
        <v>12</v>
      </c>
      <c r="C12" s="62"/>
      <c r="D12" s="62"/>
      <c r="E12" s="62"/>
      <c r="F12" s="62"/>
      <c r="G12" s="62"/>
      <c r="H12" s="71"/>
    </row>
    <row r="13" spans="1:8" ht="28.05" customHeight="1">
      <c r="A13" s="3" t="s">
        <v>13</v>
      </c>
      <c r="B13" s="70" t="s">
        <v>14</v>
      </c>
      <c r="C13" s="62"/>
      <c r="D13" s="62"/>
      <c r="E13" s="62"/>
      <c r="F13" s="62"/>
      <c r="G13" s="62"/>
      <c r="H13" s="71"/>
    </row>
    <row r="14" spans="1:8" ht="28.05" customHeight="1">
      <c r="A14" s="3" t="s">
        <v>15</v>
      </c>
      <c r="B14" s="74" t="s">
        <v>16</v>
      </c>
      <c r="C14" s="75"/>
      <c r="D14" s="75"/>
      <c r="E14" s="75"/>
      <c r="F14" s="75"/>
      <c r="G14" s="75"/>
      <c r="H14" s="76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 ht="15" customHeight="1">
      <c r="A16" s="61" t="s">
        <v>17</v>
      </c>
      <c r="B16" s="62"/>
      <c r="C16" s="62"/>
      <c r="D16" s="62"/>
      <c r="E16" s="62"/>
      <c r="F16" s="62"/>
      <c r="G16" s="62"/>
      <c r="H16" s="62"/>
    </row>
    <row r="17" spans="1:8" ht="28.05" customHeight="1">
      <c r="A17" s="4" t="s">
        <v>18</v>
      </c>
      <c r="B17" s="68" t="s">
        <v>19</v>
      </c>
      <c r="C17" s="62"/>
      <c r="D17" s="62"/>
      <c r="E17" s="62"/>
      <c r="F17" s="62"/>
      <c r="G17" s="62"/>
      <c r="H17" s="62"/>
    </row>
    <row r="18" spans="1:8" ht="28.05" customHeight="1">
      <c r="A18" s="4" t="s">
        <v>18</v>
      </c>
      <c r="B18" s="68" t="s">
        <v>20</v>
      </c>
      <c r="C18" s="62"/>
      <c r="D18" s="62"/>
      <c r="E18" s="62"/>
      <c r="F18" s="62"/>
      <c r="G18" s="62"/>
      <c r="H18" s="62"/>
    </row>
    <row r="19" spans="1:8" ht="28.05" customHeight="1">
      <c r="A19" s="4" t="s">
        <v>18</v>
      </c>
      <c r="B19" s="68" t="s">
        <v>21</v>
      </c>
      <c r="C19" s="62"/>
      <c r="D19" s="62"/>
      <c r="E19" s="62"/>
      <c r="F19" s="62"/>
      <c r="G19" s="62"/>
      <c r="H19" s="62"/>
    </row>
    <row r="20" spans="1:8" ht="28.05" customHeight="1">
      <c r="A20" s="4" t="s">
        <v>22</v>
      </c>
      <c r="B20" s="68" t="s">
        <v>23</v>
      </c>
      <c r="C20" s="62"/>
      <c r="D20" s="62"/>
      <c r="E20" s="62"/>
      <c r="F20" s="62"/>
      <c r="G20" s="62"/>
      <c r="H20" s="62"/>
    </row>
    <row r="21" spans="1:8" ht="28.05" customHeight="1">
      <c r="A21" s="4" t="s">
        <v>24</v>
      </c>
      <c r="B21" s="68" t="s">
        <v>25</v>
      </c>
      <c r="C21" s="62"/>
      <c r="D21" s="62"/>
      <c r="E21" s="62"/>
      <c r="F21" s="62"/>
      <c r="G21" s="62"/>
      <c r="H21" s="62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72" t="s">
        <v>26</v>
      </c>
      <c r="B23" s="62"/>
      <c r="C23" s="62"/>
      <c r="D23" s="62"/>
      <c r="E23" s="62"/>
      <c r="F23" s="62"/>
      <c r="G23" s="62"/>
      <c r="H23" s="62"/>
    </row>
  </sheetData>
  <mergeCells count="23">
    <mergeCell ref="A23:H23"/>
    <mergeCell ref="A1:H2"/>
    <mergeCell ref="B14:H14"/>
    <mergeCell ref="B17:H17"/>
    <mergeCell ref="B13:H13"/>
    <mergeCell ref="A6:B7"/>
    <mergeCell ref="B10:H10"/>
    <mergeCell ref="B19:H19"/>
    <mergeCell ref="B21:H21"/>
    <mergeCell ref="B12:H12"/>
    <mergeCell ref="A5:B5"/>
    <mergeCell ref="G5:H5"/>
    <mergeCell ref="B11:H11"/>
    <mergeCell ref="B20:H20"/>
    <mergeCell ref="A16:H16"/>
    <mergeCell ref="A3:H3"/>
    <mergeCell ref="B18:H18"/>
    <mergeCell ref="C6:D7"/>
    <mergeCell ref="A9:H9"/>
    <mergeCell ref="E6:F7"/>
    <mergeCell ref="G6:H7"/>
    <mergeCell ref="C5:D5"/>
    <mergeCell ref="E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zoomScale="130" zoomScaleNormal="130" workbookViewId="0"/>
  </sheetViews>
  <sheetFormatPr defaultColWidth="8.796875" defaultRowHeight="13.8"/>
  <cols>
    <col min="1" max="1" width="25" customWidth="1"/>
    <col min="2" max="2" width="18" customWidth="1"/>
    <col min="3" max="3" width="20" customWidth="1"/>
    <col min="4" max="6" width="16" customWidth="1"/>
    <col min="7" max="7" width="44" customWidth="1"/>
    <col min="8" max="8" width="36" customWidth="1"/>
  </cols>
  <sheetData>
    <row r="1" spans="1:8" ht="34.049999999999997" customHeight="1">
      <c r="A1" s="5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7" t="s">
        <v>34</v>
      </c>
    </row>
    <row r="2" spans="1:8">
      <c r="A2" s="8" t="s">
        <v>35</v>
      </c>
      <c r="B2" s="15">
        <v>2025</v>
      </c>
      <c r="C2" s="16" t="s">
        <v>36</v>
      </c>
      <c r="D2" s="16">
        <v>2025</v>
      </c>
      <c r="E2" s="16">
        <v>2025</v>
      </c>
      <c r="F2" s="16">
        <v>2025</v>
      </c>
      <c r="G2" s="8" t="s">
        <v>37</v>
      </c>
      <c r="H2" s="8" t="s">
        <v>38</v>
      </c>
    </row>
    <row r="3" spans="1:8">
      <c r="A3" s="9" t="s">
        <v>39</v>
      </c>
      <c r="B3" s="17">
        <v>2050</v>
      </c>
      <c r="C3" s="18" t="s">
        <v>36</v>
      </c>
      <c r="D3" s="18">
        <v>2050</v>
      </c>
      <c r="E3" s="18">
        <v>2050</v>
      </c>
      <c r="F3" s="18">
        <v>2100</v>
      </c>
      <c r="G3" s="9" t="s">
        <v>40</v>
      </c>
      <c r="H3" s="9" t="s">
        <v>41</v>
      </c>
    </row>
    <row r="4" spans="1:8">
      <c r="A4" s="9" t="s">
        <v>42</v>
      </c>
      <c r="B4" s="17">
        <v>2025</v>
      </c>
      <c r="C4" s="18" t="s">
        <v>36</v>
      </c>
      <c r="D4" s="18">
        <v>2025</v>
      </c>
      <c r="E4" s="18">
        <v>2025</v>
      </c>
      <c r="F4" s="18">
        <v>2030</v>
      </c>
      <c r="G4" s="9" t="s">
        <v>43</v>
      </c>
      <c r="H4" s="9" t="s">
        <v>44</v>
      </c>
    </row>
    <row r="5" spans="1:8" ht="25.95" customHeight="1">
      <c r="A5" s="9" t="s">
        <v>45</v>
      </c>
      <c r="B5" s="19">
        <v>0.8</v>
      </c>
      <c r="C5" s="20" t="s">
        <v>46</v>
      </c>
      <c r="D5" s="20">
        <v>0.8</v>
      </c>
      <c r="E5" s="20">
        <v>0.7</v>
      </c>
      <c r="F5" s="20">
        <v>0.9</v>
      </c>
      <c r="G5" s="9" t="s">
        <v>47</v>
      </c>
      <c r="H5" s="9" t="s">
        <v>48</v>
      </c>
    </row>
    <row r="6" spans="1:8">
      <c r="A6" s="9" t="s">
        <v>49</v>
      </c>
      <c r="B6" s="17">
        <v>2050</v>
      </c>
      <c r="C6" s="18" t="s">
        <v>36</v>
      </c>
      <c r="D6" s="18">
        <v>2050</v>
      </c>
      <c r="E6" s="18">
        <v>2030</v>
      </c>
      <c r="F6" s="18">
        <v>2050</v>
      </c>
      <c r="G6" s="9" t="s">
        <v>50</v>
      </c>
      <c r="H6" s="9" t="s">
        <v>48</v>
      </c>
    </row>
    <row r="7" spans="1:8">
      <c r="A7" s="9" t="s">
        <v>51</v>
      </c>
      <c r="B7" s="19">
        <v>0.03</v>
      </c>
      <c r="C7" s="20" t="s">
        <v>52</v>
      </c>
      <c r="D7" s="20">
        <v>0.03</v>
      </c>
      <c r="E7" s="20">
        <v>0</v>
      </c>
      <c r="F7" s="20">
        <v>0.05</v>
      </c>
      <c r="G7" s="9" t="s">
        <v>53</v>
      </c>
      <c r="H7" s="9" t="s">
        <v>44</v>
      </c>
    </row>
    <row r="8" spans="1:8">
      <c r="A8" s="9" t="s">
        <v>54</v>
      </c>
      <c r="B8" s="19">
        <v>0.03</v>
      </c>
      <c r="C8" s="20" t="s">
        <v>52</v>
      </c>
      <c r="D8" s="20">
        <v>0.03</v>
      </c>
      <c r="E8" s="20">
        <v>0</v>
      </c>
      <c r="F8" s="20">
        <v>0.05</v>
      </c>
      <c r="G8" s="9" t="s">
        <v>55</v>
      </c>
      <c r="H8" s="9" t="s">
        <v>44</v>
      </c>
    </row>
    <row r="9" spans="1:8">
      <c r="A9" s="9" t="s">
        <v>56</v>
      </c>
      <c r="B9" s="17">
        <v>2023</v>
      </c>
      <c r="C9" s="18" t="s">
        <v>57</v>
      </c>
      <c r="D9" s="18">
        <v>2023</v>
      </c>
      <c r="E9" s="18">
        <v>2023</v>
      </c>
      <c r="F9" s="18">
        <v>2024</v>
      </c>
      <c r="G9" s="9" t="s">
        <v>58</v>
      </c>
      <c r="H9" s="9" t="s">
        <v>59</v>
      </c>
    </row>
    <row r="10" spans="1:8">
      <c r="A10" s="9" t="s">
        <v>60</v>
      </c>
      <c r="B10" s="17" t="s">
        <v>61</v>
      </c>
      <c r="C10" s="18" t="s">
        <v>60</v>
      </c>
      <c r="D10" s="18" t="s">
        <v>61</v>
      </c>
      <c r="E10" s="18" t="s">
        <v>61</v>
      </c>
      <c r="F10" s="18" t="s">
        <v>61</v>
      </c>
      <c r="G10" s="9" t="s">
        <v>62</v>
      </c>
      <c r="H10" s="9" t="s">
        <v>44</v>
      </c>
    </row>
    <row r="11" spans="1:8">
      <c r="A11" s="9" t="s">
        <v>63</v>
      </c>
      <c r="B11" s="17" t="s">
        <v>64</v>
      </c>
      <c r="C11" s="18" t="s">
        <v>65</v>
      </c>
      <c r="D11" s="18" t="s">
        <v>64</v>
      </c>
      <c r="E11" s="18" t="s">
        <v>64</v>
      </c>
      <c r="F11" s="18" t="s">
        <v>64</v>
      </c>
      <c r="G11" s="9" t="s">
        <v>66</v>
      </c>
      <c r="H11" s="9" t="s">
        <v>48</v>
      </c>
    </row>
    <row r="12" spans="1:8">
      <c r="A12" s="9" t="s">
        <v>67</v>
      </c>
      <c r="B12" s="17">
        <v>0</v>
      </c>
      <c r="C12" s="18" t="s">
        <v>68</v>
      </c>
      <c r="D12" s="18">
        <v>0</v>
      </c>
      <c r="E12" s="18">
        <v>0</v>
      </c>
      <c r="F12" s="18">
        <v>1</v>
      </c>
      <c r="G12" s="9" t="s">
        <v>69</v>
      </c>
      <c r="H12" s="9" t="s">
        <v>44</v>
      </c>
    </row>
    <row r="13" spans="1:8">
      <c r="A13" s="9" t="s">
        <v>70</v>
      </c>
      <c r="B13" s="17">
        <v>1</v>
      </c>
      <c r="C13" s="18" t="s">
        <v>71</v>
      </c>
      <c r="D13" s="18">
        <v>1</v>
      </c>
      <c r="E13" s="18">
        <v>0</v>
      </c>
      <c r="F13" s="18">
        <v>1</v>
      </c>
      <c r="G13" s="9" t="s">
        <v>72</v>
      </c>
      <c r="H13" s="9" t="s">
        <v>44</v>
      </c>
    </row>
    <row r="14" spans="1:8">
      <c r="A14" s="10" t="s">
        <v>73</v>
      </c>
      <c r="B14" s="21" t="s">
        <v>74</v>
      </c>
      <c r="C14" s="22" t="s">
        <v>65</v>
      </c>
      <c r="D14" s="22" t="s">
        <v>74</v>
      </c>
      <c r="E14" s="22" t="s">
        <v>74</v>
      </c>
      <c r="F14" s="22" t="s">
        <v>75</v>
      </c>
      <c r="G14" s="10" t="s">
        <v>76</v>
      </c>
      <c r="H14" s="10" t="s">
        <v>77</v>
      </c>
    </row>
    <row r="15" spans="1:8">
      <c r="A15" t="s">
        <v>78</v>
      </c>
      <c r="B15">
        <v>15237</v>
      </c>
      <c r="C15" t="s">
        <v>79</v>
      </c>
      <c r="D15">
        <v>15237</v>
      </c>
      <c r="E15">
        <v>15000</v>
      </c>
      <c r="F15">
        <v>15600</v>
      </c>
      <c r="G15" t="s">
        <v>80</v>
      </c>
      <c r="H15" t="s">
        <v>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showGridLines="0" topLeftCell="D1" workbookViewId="0">
      <selection activeCell="E9" sqref="E9"/>
    </sheetView>
  </sheetViews>
  <sheetFormatPr defaultColWidth="8.796875" defaultRowHeight="13.8"/>
  <cols>
    <col min="1" max="1" width="22" customWidth="1"/>
    <col min="2" max="2" width="36" customWidth="1"/>
    <col min="3" max="3" width="26" customWidth="1"/>
    <col min="4" max="4" width="58" customWidth="1"/>
    <col min="5" max="5" width="3" customWidth="1"/>
    <col min="6" max="6" width="18" customWidth="1"/>
    <col min="7" max="8" width="38" customWidth="1"/>
    <col min="9" max="9" width="16" customWidth="1"/>
  </cols>
  <sheetData>
    <row r="1" spans="1:9" ht="16.05" customHeight="1">
      <c r="A1" s="2" t="s">
        <v>82</v>
      </c>
      <c r="B1" s="2" t="s">
        <v>83</v>
      </c>
      <c r="C1" s="2" t="s">
        <v>84</v>
      </c>
      <c r="D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</row>
    <row r="2" spans="1:9">
      <c r="A2" s="23" t="s">
        <v>90</v>
      </c>
      <c r="B2" s="23" t="s">
        <v>91</v>
      </c>
      <c r="C2" s="23" t="s">
        <v>92</v>
      </c>
      <c r="D2" s="23" t="s">
        <v>93</v>
      </c>
      <c r="E2" s="23"/>
      <c r="F2" s="23" t="s">
        <v>94</v>
      </c>
      <c r="G2" s="23" t="s">
        <v>92</v>
      </c>
      <c r="H2" s="23" t="s">
        <v>92</v>
      </c>
      <c r="I2" s="23">
        <v>1</v>
      </c>
    </row>
    <row r="3" spans="1:9">
      <c r="A3" s="23" t="s">
        <v>95</v>
      </c>
      <c r="B3" s="23" t="s">
        <v>96</v>
      </c>
      <c r="C3" s="23" t="s">
        <v>92</v>
      </c>
      <c r="D3" s="23" t="s">
        <v>97</v>
      </c>
      <c r="E3" s="23"/>
      <c r="F3" s="23" t="s">
        <v>98</v>
      </c>
      <c r="G3" s="23" t="s">
        <v>99</v>
      </c>
      <c r="H3" s="23" t="s">
        <v>99</v>
      </c>
      <c r="I3" s="23">
        <v>1</v>
      </c>
    </row>
    <row r="4" spans="1:9" ht="25.95" customHeight="1">
      <c r="A4" s="23" t="s">
        <v>100</v>
      </c>
      <c r="B4" s="23" t="s">
        <v>101</v>
      </c>
      <c r="C4" s="23" t="s">
        <v>102</v>
      </c>
      <c r="D4" s="23" t="s">
        <v>103</v>
      </c>
      <c r="E4" s="23"/>
      <c r="F4" s="23" t="s">
        <v>104</v>
      </c>
      <c r="G4" s="23" t="s">
        <v>105</v>
      </c>
      <c r="H4" s="23" t="s">
        <v>105</v>
      </c>
      <c r="I4" s="23">
        <v>1</v>
      </c>
    </row>
    <row r="5" spans="1:9">
      <c r="A5" s="23" t="s">
        <v>106</v>
      </c>
      <c r="B5" s="23" t="s">
        <v>107</v>
      </c>
      <c r="C5" s="23" t="s">
        <v>108</v>
      </c>
      <c r="D5" s="23" t="s">
        <v>109</v>
      </c>
      <c r="E5" s="23"/>
      <c r="F5" s="23" t="s">
        <v>110</v>
      </c>
      <c r="G5" s="23" t="s">
        <v>111</v>
      </c>
      <c r="H5" s="23" t="s">
        <v>111</v>
      </c>
      <c r="I5" s="23">
        <v>1</v>
      </c>
    </row>
    <row r="6" spans="1:9">
      <c r="A6" s="23" t="s">
        <v>112</v>
      </c>
      <c r="B6" s="23" t="s">
        <v>113</v>
      </c>
      <c r="C6" s="23" t="s">
        <v>108</v>
      </c>
      <c r="D6" s="23" t="s">
        <v>114</v>
      </c>
      <c r="E6" s="23"/>
      <c r="F6" s="23" t="s">
        <v>115</v>
      </c>
      <c r="G6" s="23" t="s">
        <v>116</v>
      </c>
      <c r="H6" s="23" t="s">
        <v>116</v>
      </c>
      <c r="I6" s="23">
        <v>1</v>
      </c>
    </row>
    <row r="7" spans="1:9" ht="25.95" customHeight="1">
      <c r="A7" s="23" t="s">
        <v>117</v>
      </c>
      <c r="B7" s="23" t="s">
        <v>118</v>
      </c>
      <c r="C7" s="23" t="s">
        <v>119</v>
      </c>
      <c r="D7" s="23" t="s">
        <v>120</v>
      </c>
      <c r="E7" s="23"/>
      <c r="F7" s="23" t="s">
        <v>121</v>
      </c>
      <c r="G7" s="23" t="s">
        <v>122</v>
      </c>
      <c r="H7" s="23" t="s">
        <v>122</v>
      </c>
      <c r="I7" s="23">
        <v>1</v>
      </c>
    </row>
    <row r="8" spans="1:9" ht="25.95" customHeight="1">
      <c r="A8" s="23" t="s">
        <v>123</v>
      </c>
      <c r="B8" s="23" t="s">
        <v>124</v>
      </c>
      <c r="C8" s="23" t="s">
        <v>119</v>
      </c>
      <c r="D8" s="23" t="s">
        <v>125</v>
      </c>
      <c r="E8" s="23"/>
      <c r="F8" s="23" t="s">
        <v>126</v>
      </c>
      <c r="G8" s="23" t="s">
        <v>127</v>
      </c>
      <c r="H8" s="23" t="s">
        <v>128</v>
      </c>
      <c r="I8" s="23">
        <v>1</v>
      </c>
    </row>
    <row r="9" spans="1:9" ht="25.95" customHeight="1">
      <c r="A9" s="23" t="s">
        <v>129</v>
      </c>
      <c r="B9" s="23" t="s">
        <v>130</v>
      </c>
      <c r="C9" s="23" t="s">
        <v>131</v>
      </c>
      <c r="D9" s="23" t="s">
        <v>132</v>
      </c>
      <c r="E9" s="23"/>
      <c r="F9" s="23" t="s">
        <v>133</v>
      </c>
      <c r="G9" s="23" t="s">
        <v>134</v>
      </c>
      <c r="H9" s="23" t="s">
        <v>135</v>
      </c>
      <c r="I9" s="23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"/>
  <sheetViews>
    <sheetView showGridLines="0" workbookViewId="0">
      <selection activeCell="K4" sqref="K4"/>
    </sheetView>
  </sheetViews>
  <sheetFormatPr defaultColWidth="8.796875" defaultRowHeight="13.8"/>
  <cols>
    <col min="1" max="1" width="30" customWidth="1"/>
    <col min="2" max="2" width="22" customWidth="1"/>
    <col min="3" max="3" width="38" customWidth="1"/>
    <col min="4" max="4" width="14" customWidth="1"/>
    <col min="5" max="5" width="38" customWidth="1"/>
    <col min="6" max="6" width="32" customWidth="1"/>
    <col min="7" max="9" width="30" customWidth="1"/>
    <col min="10" max="10" width="20" customWidth="1"/>
    <col min="11" max="11" width="12" customWidth="1"/>
    <col min="12" max="12" width="50" customWidth="1"/>
    <col min="13" max="13" width="14" customWidth="1"/>
  </cols>
  <sheetData>
    <row r="1" spans="1:13" ht="34.049999999999997" customHeight="1">
      <c r="A1" s="5" t="s">
        <v>136</v>
      </c>
      <c r="B1" s="6" t="s">
        <v>82</v>
      </c>
      <c r="C1" s="6" t="s">
        <v>83</v>
      </c>
      <c r="D1" s="6" t="s">
        <v>86</v>
      </c>
      <c r="E1" s="6" t="s">
        <v>87</v>
      </c>
      <c r="F1" s="6" t="s">
        <v>88</v>
      </c>
      <c r="G1" s="6" t="s">
        <v>137</v>
      </c>
      <c r="H1" s="6" t="s">
        <v>138</v>
      </c>
      <c r="I1" s="6" t="s">
        <v>139</v>
      </c>
      <c r="J1" s="6" t="s">
        <v>140</v>
      </c>
      <c r="K1" s="6" t="s">
        <v>141</v>
      </c>
      <c r="L1" s="6" t="s">
        <v>142</v>
      </c>
      <c r="M1" s="7" t="s">
        <v>143</v>
      </c>
    </row>
    <row r="2" spans="1:13">
      <c r="A2" s="8" t="s">
        <v>144</v>
      </c>
      <c r="B2" s="8" t="s">
        <v>90</v>
      </c>
      <c r="C2" s="8" t="s">
        <v>91</v>
      </c>
      <c r="D2" s="8" t="s">
        <v>94</v>
      </c>
      <c r="E2" s="8" t="s">
        <v>92</v>
      </c>
      <c r="F2" s="8" t="s">
        <v>92</v>
      </c>
      <c r="G2" s="8" t="s">
        <v>144</v>
      </c>
      <c r="H2" s="8" t="s">
        <v>144</v>
      </c>
      <c r="I2" s="8" t="s">
        <v>144</v>
      </c>
      <c r="J2" s="8" t="s">
        <v>145</v>
      </c>
      <c r="K2" s="27">
        <v>1</v>
      </c>
      <c r="L2" s="8" t="s">
        <v>146</v>
      </c>
      <c r="M2" s="24">
        <f t="shared" ref="M2:M18" si="0">COUNTIF($A$2:$A$18,A2)</f>
        <v>1</v>
      </c>
    </row>
    <row r="3" spans="1:13">
      <c r="A3" s="9" t="s">
        <v>147</v>
      </c>
      <c r="B3" s="9" t="s">
        <v>95</v>
      </c>
      <c r="C3" s="9" t="s">
        <v>96</v>
      </c>
      <c r="D3" s="9" t="s">
        <v>94</v>
      </c>
      <c r="E3" s="9" t="s">
        <v>92</v>
      </c>
      <c r="F3" s="9" t="s">
        <v>92</v>
      </c>
      <c r="G3" s="9" t="s">
        <v>147</v>
      </c>
      <c r="H3" s="9" t="s">
        <v>147</v>
      </c>
      <c r="I3" s="9" t="s">
        <v>147</v>
      </c>
      <c r="J3" s="9" t="s">
        <v>145</v>
      </c>
      <c r="K3" s="28">
        <v>1</v>
      </c>
      <c r="L3" s="9" t="s">
        <v>148</v>
      </c>
      <c r="M3" s="25">
        <f t="shared" si="0"/>
        <v>1</v>
      </c>
    </row>
    <row r="4" spans="1:13">
      <c r="A4" s="9" t="s">
        <v>149</v>
      </c>
      <c r="B4" s="9" t="s">
        <v>100</v>
      </c>
      <c r="C4" s="9" t="s">
        <v>101</v>
      </c>
      <c r="D4" s="9" t="s">
        <v>98</v>
      </c>
      <c r="E4" s="9" t="s">
        <v>99</v>
      </c>
      <c r="F4" s="9" t="s">
        <v>99</v>
      </c>
      <c r="G4" s="9" t="s">
        <v>149</v>
      </c>
      <c r="H4" s="9" t="s">
        <v>149</v>
      </c>
      <c r="I4" s="9" t="s">
        <v>150</v>
      </c>
      <c r="J4" s="9" t="s">
        <v>151</v>
      </c>
      <c r="K4" s="28">
        <v>1</v>
      </c>
      <c r="L4" s="9" t="s">
        <v>152</v>
      </c>
      <c r="M4" s="25">
        <f t="shared" si="0"/>
        <v>1</v>
      </c>
    </row>
    <row r="5" spans="1:13">
      <c r="A5" s="9" t="s">
        <v>153</v>
      </c>
      <c r="B5" s="9" t="s">
        <v>100</v>
      </c>
      <c r="C5" s="9" t="s">
        <v>101</v>
      </c>
      <c r="D5" s="9" t="s">
        <v>104</v>
      </c>
      <c r="E5" s="9" t="s">
        <v>105</v>
      </c>
      <c r="F5" s="9" t="s">
        <v>105</v>
      </c>
      <c r="G5" s="9" t="s">
        <v>153</v>
      </c>
      <c r="H5" s="9" t="s">
        <v>153</v>
      </c>
      <c r="I5" s="9" t="s">
        <v>150</v>
      </c>
      <c r="J5" s="9" t="s">
        <v>151</v>
      </c>
      <c r="K5" s="28">
        <v>1</v>
      </c>
      <c r="L5" s="9" t="s">
        <v>152</v>
      </c>
      <c r="M5" s="25">
        <f t="shared" si="0"/>
        <v>1</v>
      </c>
    </row>
    <row r="6" spans="1:13">
      <c r="A6" s="9" t="s">
        <v>154</v>
      </c>
      <c r="B6" s="9" t="s">
        <v>100</v>
      </c>
      <c r="C6" s="9" t="s">
        <v>101</v>
      </c>
      <c r="D6" s="9" t="s">
        <v>110</v>
      </c>
      <c r="E6" s="9" t="s">
        <v>111</v>
      </c>
      <c r="F6" s="9" t="s">
        <v>111</v>
      </c>
      <c r="G6" s="9" t="s">
        <v>154</v>
      </c>
      <c r="H6" s="9" t="s">
        <v>154</v>
      </c>
      <c r="I6" s="9" t="s">
        <v>150</v>
      </c>
      <c r="J6" s="9" t="s">
        <v>151</v>
      </c>
      <c r="K6" s="28">
        <v>1</v>
      </c>
      <c r="L6" s="9" t="s">
        <v>152</v>
      </c>
      <c r="M6" s="25">
        <f t="shared" si="0"/>
        <v>1</v>
      </c>
    </row>
    <row r="7" spans="1:13">
      <c r="A7" s="9" t="s">
        <v>155</v>
      </c>
      <c r="B7" s="9" t="s">
        <v>100</v>
      </c>
      <c r="C7" s="9" t="s">
        <v>101</v>
      </c>
      <c r="D7" s="9" t="s">
        <v>115</v>
      </c>
      <c r="E7" s="9" t="s">
        <v>116</v>
      </c>
      <c r="F7" s="9" t="s">
        <v>116</v>
      </c>
      <c r="G7" s="9" t="s">
        <v>155</v>
      </c>
      <c r="H7" s="9" t="s">
        <v>155</v>
      </c>
      <c r="I7" s="9" t="s">
        <v>150</v>
      </c>
      <c r="J7" s="9" t="s">
        <v>151</v>
      </c>
      <c r="K7" s="28">
        <v>1</v>
      </c>
      <c r="L7" s="9" t="s">
        <v>152</v>
      </c>
      <c r="M7" s="25">
        <f t="shared" si="0"/>
        <v>1</v>
      </c>
    </row>
    <row r="8" spans="1:13">
      <c r="A8" s="9" t="s">
        <v>156</v>
      </c>
      <c r="B8" s="9" t="s">
        <v>106</v>
      </c>
      <c r="C8" s="9" t="s">
        <v>107</v>
      </c>
      <c r="D8" s="9" t="s">
        <v>98</v>
      </c>
      <c r="E8" s="9" t="s">
        <v>99</v>
      </c>
      <c r="F8" s="9" t="s">
        <v>99</v>
      </c>
      <c r="G8" s="9" t="s">
        <v>156</v>
      </c>
      <c r="H8" s="9" t="s">
        <v>156</v>
      </c>
      <c r="I8" s="9" t="s">
        <v>156</v>
      </c>
      <c r="J8" s="9" t="s">
        <v>145</v>
      </c>
      <c r="K8" s="28">
        <v>1</v>
      </c>
      <c r="L8" s="9" t="s">
        <v>157</v>
      </c>
      <c r="M8" s="25">
        <f t="shared" si="0"/>
        <v>1</v>
      </c>
    </row>
    <row r="9" spans="1:13">
      <c r="A9" s="9" t="s">
        <v>158</v>
      </c>
      <c r="B9" s="9" t="s">
        <v>112</v>
      </c>
      <c r="C9" s="9" t="s">
        <v>113</v>
      </c>
      <c r="D9" s="9" t="s">
        <v>104</v>
      </c>
      <c r="E9" s="9" t="s">
        <v>105</v>
      </c>
      <c r="F9" s="9" t="s">
        <v>105</v>
      </c>
      <c r="G9" s="9" t="s">
        <v>158</v>
      </c>
      <c r="H9" s="9" t="s">
        <v>158</v>
      </c>
      <c r="I9" s="9" t="s">
        <v>158</v>
      </c>
      <c r="J9" s="9" t="s">
        <v>145</v>
      </c>
      <c r="K9" s="28">
        <v>1</v>
      </c>
      <c r="L9" s="9" t="s">
        <v>159</v>
      </c>
      <c r="M9" s="25">
        <f t="shared" si="0"/>
        <v>1</v>
      </c>
    </row>
    <row r="10" spans="1:13">
      <c r="A10" s="9" t="s">
        <v>160</v>
      </c>
      <c r="B10" s="9" t="s">
        <v>112</v>
      </c>
      <c r="C10" s="9" t="s">
        <v>113</v>
      </c>
      <c r="D10" s="9" t="s">
        <v>110</v>
      </c>
      <c r="E10" s="9" t="s">
        <v>111</v>
      </c>
      <c r="F10" s="9" t="s">
        <v>111</v>
      </c>
      <c r="G10" s="9" t="s">
        <v>160</v>
      </c>
      <c r="H10" s="9" t="s">
        <v>160</v>
      </c>
      <c r="I10" s="9" t="s">
        <v>160</v>
      </c>
      <c r="J10" s="9" t="s">
        <v>145</v>
      </c>
      <c r="K10" s="28">
        <v>1</v>
      </c>
      <c r="L10" s="9" t="s">
        <v>159</v>
      </c>
      <c r="M10" s="25">
        <f t="shared" si="0"/>
        <v>1</v>
      </c>
    </row>
    <row r="11" spans="1:13">
      <c r="A11" s="9" t="s">
        <v>161</v>
      </c>
      <c r="B11" s="9" t="s">
        <v>117</v>
      </c>
      <c r="C11" s="9" t="s">
        <v>118</v>
      </c>
      <c r="D11" s="9" t="s">
        <v>98</v>
      </c>
      <c r="E11" s="9" t="s">
        <v>99</v>
      </c>
      <c r="F11" s="9" t="s">
        <v>99</v>
      </c>
      <c r="G11" s="9" t="s">
        <v>161</v>
      </c>
      <c r="H11" s="9" t="s">
        <v>161</v>
      </c>
      <c r="I11" s="9" t="s">
        <v>161</v>
      </c>
      <c r="J11" s="9" t="s">
        <v>145</v>
      </c>
      <c r="K11" s="28">
        <v>1</v>
      </c>
      <c r="L11" s="9" t="s">
        <v>162</v>
      </c>
      <c r="M11" s="25">
        <f t="shared" si="0"/>
        <v>1</v>
      </c>
    </row>
    <row r="12" spans="1:13">
      <c r="A12" s="9" t="s">
        <v>163</v>
      </c>
      <c r="B12" s="9" t="s">
        <v>117</v>
      </c>
      <c r="C12" s="9" t="s">
        <v>118</v>
      </c>
      <c r="D12" s="9" t="s">
        <v>115</v>
      </c>
      <c r="E12" s="9" t="s">
        <v>116</v>
      </c>
      <c r="F12" s="9" t="s">
        <v>116</v>
      </c>
      <c r="G12" s="9" t="s">
        <v>163</v>
      </c>
      <c r="H12" s="9" t="s">
        <v>163</v>
      </c>
      <c r="I12" s="9" t="s">
        <v>163</v>
      </c>
      <c r="J12" s="9" t="s">
        <v>145</v>
      </c>
      <c r="K12" s="28">
        <v>1</v>
      </c>
      <c r="L12" s="9" t="s">
        <v>164</v>
      </c>
      <c r="M12" s="25">
        <f t="shared" si="0"/>
        <v>1</v>
      </c>
    </row>
    <row r="13" spans="1:13">
      <c r="A13" s="9" t="s">
        <v>165</v>
      </c>
      <c r="B13" s="9" t="s">
        <v>117</v>
      </c>
      <c r="C13" s="9" t="s">
        <v>118</v>
      </c>
      <c r="D13" s="9" t="s">
        <v>121</v>
      </c>
      <c r="E13" s="9" t="s">
        <v>122</v>
      </c>
      <c r="F13" s="9" t="s">
        <v>122</v>
      </c>
      <c r="G13" s="9" t="s">
        <v>165</v>
      </c>
      <c r="H13" s="9" t="s">
        <v>165</v>
      </c>
      <c r="I13" s="9" t="s">
        <v>165</v>
      </c>
      <c r="J13" s="9" t="s">
        <v>145</v>
      </c>
      <c r="K13" s="28">
        <v>1</v>
      </c>
      <c r="L13" s="9" t="s">
        <v>166</v>
      </c>
      <c r="M13" s="25">
        <f t="shared" si="0"/>
        <v>1</v>
      </c>
    </row>
    <row r="14" spans="1:13">
      <c r="A14" s="9" t="s">
        <v>167</v>
      </c>
      <c r="B14" s="9" t="s">
        <v>123</v>
      </c>
      <c r="C14" s="9" t="s">
        <v>124</v>
      </c>
      <c r="D14" s="9" t="s">
        <v>98</v>
      </c>
      <c r="E14" s="9" t="s">
        <v>99</v>
      </c>
      <c r="F14" s="9" t="s">
        <v>99</v>
      </c>
      <c r="G14" s="9" t="s">
        <v>167</v>
      </c>
      <c r="H14" s="9" t="s">
        <v>167</v>
      </c>
      <c r="I14" s="9" t="s">
        <v>167</v>
      </c>
      <c r="J14" s="9" t="s">
        <v>145</v>
      </c>
      <c r="K14" s="28">
        <v>1</v>
      </c>
      <c r="L14" s="9" t="s">
        <v>162</v>
      </c>
      <c r="M14" s="25">
        <f t="shared" si="0"/>
        <v>1</v>
      </c>
    </row>
    <row r="15" spans="1:13">
      <c r="A15" s="9" t="s">
        <v>168</v>
      </c>
      <c r="B15" s="9" t="s">
        <v>123</v>
      </c>
      <c r="C15" s="9" t="s">
        <v>124</v>
      </c>
      <c r="D15" s="9" t="s">
        <v>115</v>
      </c>
      <c r="E15" s="9" t="s">
        <v>116</v>
      </c>
      <c r="F15" s="9" t="s">
        <v>116</v>
      </c>
      <c r="G15" s="9" t="s">
        <v>168</v>
      </c>
      <c r="H15" s="9" t="s">
        <v>168</v>
      </c>
      <c r="I15" s="9" t="s">
        <v>168</v>
      </c>
      <c r="J15" s="9" t="s">
        <v>145</v>
      </c>
      <c r="K15" s="28">
        <v>1</v>
      </c>
      <c r="L15" s="9" t="s">
        <v>164</v>
      </c>
      <c r="M15" s="25">
        <f t="shared" si="0"/>
        <v>1</v>
      </c>
    </row>
    <row r="16" spans="1:13">
      <c r="A16" s="9" t="s">
        <v>169</v>
      </c>
      <c r="B16" s="9" t="s">
        <v>123</v>
      </c>
      <c r="C16" s="9" t="s">
        <v>124</v>
      </c>
      <c r="D16" s="9" t="s">
        <v>121</v>
      </c>
      <c r="E16" s="9" t="s">
        <v>122</v>
      </c>
      <c r="F16" s="9" t="s">
        <v>122</v>
      </c>
      <c r="G16" s="9" t="s">
        <v>169</v>
      </c>
      <c r="H16" s="9" t="s">
        <v>169</v>
      </c>
      <c r="I16" s="9" t="s">
        <v>169</v>
      </c>
      <c r="J16" s="9" t="s">
        <v>145</v>
      </c>
      <c r="K16" s="28">
        <v>1</v>
      </c>
      <c r="L16" s="9" t="s">
        <v>166</v>
      </c>
      <c r="M16" s="25">
        <f t="shared" si="0"/>
        <v>1</v>
      </c>
    </row>
    <row r="17" spans="1:13">
      <c r="A17" s="9" t="s">
        <v>170</v>
      </c>
      <c r="B17" s="9" t="s">
        <v>129</v>
      </c>
      <c r="C17" s="9" t="s">
        <v>130</v>
      </c>
      <c r="D17" s="9" t="s">
        <v>126</v>
      </c>
      <c r="E17" s="9" t="s">
        <v>127</v>
      </c>
      <c r="F17" s="9" t="s">
        <v>128</v>
      </c>
      <c r="G17" s="9" t="s">
        <v>170</v>
      </c>
      <c r="H17" s="9" t="s">
        <v>170</v>
      </c>
      <c r="I17" s="9" t="s">
        <v>170</v>
      </c>
      <c r="J17" s="9" t="s">
        <v>145</v>
      </c>
      <c r="K17" s="28">
        <v>1</v>
      </c>
      <c r="L17" s="9" t="s">
        <v>171</v>
      </c>
      <c r="M17" s="25">
        <f t="shared" si="0"/>
        <v>1</v>
      </c>
    </row>
    <row r="18" spans="1:13" ht="25.95" customHeight="1">
      <c r="A18" s="10" t="s">
        <v>172</v>
      </c>
      <c r="B18" s="10" t="s">
        <v>129</v>
      </c>
      <c r="C18" s="10" t="s">
        <v>130</v>
      </c>
      <c r="D18" s="10" t="s">
        <v>98</v>
      </c>
      <c r="E18" s="10" t="s">
        <v>173</v>
      </c>
      <c r="F18" s="10" t="s">
        <v>99</v>
      </c>
      <c r="G18" s="10" t="s">
        <v>172</v>
      </c>
      <c r="H18" s="10" t="s">
        <v>172</v>
      </c>
      <c r="I18" s="10" t="s">
        <v>170</v>
      </c>
      <c r="J18" s="10" t="s">
        <v>151</v>
      </c>
      <c r="K18" s="29">
        <v>1</v>
      </c>
      <c r="L18" s="10" t="s">
        <v>174</v>
      </c>
      <c r="M18" s="26">
        <f t="shared" si="0"/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8"/>
  <sheetViews>
    <sheetView showGridLines="0" workbookViewId="0"/>
  </sheetViews>
  <sheetFormatPr defaultColWidth="8.796875" defaultRowHeight="13.8"/>
  <cols>
    <col min="1" max="1" width="24" customWidth="1"/>
    <col min="2" max="2" width="30" customWidth="1"/>
    <col min="3" max="3" width="22" customWidth="1"/>
    <col min="4" max="4" width="14" customWidth="1"/>
    <col min="5" max="6" width="38" customWidth="1"/>
    <col min="7" max="8" width="18" customWidth="1"/>
    <col min="9" max="9" width="24" customWidth="1"/>
    <col min="10" max="10" width="15" customWidth="1"/>
    <col min="11" max="11" width="17" customWidth="1"/>
    <col min="12" max="13" width="12" customWidth="1"/>
    <col min="14" max="14" width="10" customWidth="1"/>
    <col min="15" max="15" width="15" customWidth="1"/>
    <col min="16" max="16" width="34" customWidth="1"/>
    <col min="17" max="17" width="28" customWidth="1"/>
    <col min="18" max="18" width="18" customWidth="1"/>
    <col min="19" max="19" width="16" customWidth="1"/>
    <col min="20" max="20" width="54" customWidth="1"/>
    <col min="21" max="22" width="16" customWidth="1"/>
  </cols>
  <sheetData>
    <row r="1" spans="1:22" ht="34.049999999999997" customHeight="1">
      <c r="A1" s="5" t="s">
        <v>175</v>
      </c>
      <c r="B1" s="6" t="s">
        <v>136</v>
      </c>
      <c r="C1" s="6" t="s">
        <v>82</v>
      </c>
      <c r="D1" s="6" t="s">
        <v>86</v>
      </c>
      <c r="E1" s="6" t="s">
        <v>83</v>
      </c>
      <c r="F1" s="6" t="s">
        <v>87</v>
      </c>
      <c r="G1" s="6" t="s">
        <v>176</v>
      </c>
      <c r="H1" s="6" t="s">
        <v>177</v>
      </c>
      <c r="I1" s="6" t="s">
        <v>178</v>
      </c>
      <c r="J1" s="6" t="s">
        <v>179</v>
      </c>
      <c r="K1" s="6" t="s">
        <v>180</v>
      </c>
      <c r="L1" s="6" t="s">
        <v>181</v>
      </c>
      <c r="M1" s="6" t="s">
        <v>182</v>
      </c>
      <c r="N1" s="6" t="s">
        <v>183</v>
      </c>
      <c r="O1" s="6" t="s">
        <v>184</v>
      </c>
      <c r="P1" s="6" t="s">
        <v>185</v>
      </c>
      <c r="Q1" s="6" t="s">
        <v>186</v>
      </c>
      <c r="R1" s="6" t="s">
        <v>187</v>
      </c>
      <c r="S1" s="6" t="s">
        <v>188</v>
      </c>
      <c r="T1" s="6" t="s">
        <v>142</v>
      </c>
      <c r="U1" s="6" t="s">
        <v>189</v>
      </c>
      <c r="V1" s="7" t="s">
        <v>190</v>
      </c>
    </row>
    <row r="2" spans="1:22">
      <c r="A2" s="8" t="s">
        <v>191</v>
      </c>
      <c r="B2" s="8" t="s">
        <v>144</v>
      </c>
      <c r="C2" s="8" t="s">
        <v>90</v>
      </c>
      <c r="D2" s="8" t="s">
        <v>94</v>
      </c>
      <c r="E2" s="8" t="s">
        <v>91</v>
      </c>
      <c r="F2" s="8" t="s">
        <v>92</v>
      </c>
      <c r="G2" s="8" t="s">
        <v>192</v>
      </c>
      <c r="H2" s="8" t="s">
        <v>193</v>
      </c>
      <c r="I2" s="8" t="s">
        <v>194</v>
      </c>
      <c r="J2" s="30">
        <v>0.55000000000000004</v>
      </c>
      <c r="K2" s="30">
        <v>1</v>
      </c>
      <c r="L2" s="32">
        <v>5</v>
      </c>
      <c r="M2" s="32">
        <v>39</v>
      </c>
      <c r="N2" s="32" t="s">
        <v>195</v>
      </c>
      <c r="O2" s="32">
        <v>1</v>
      </c>
      <c r="P2" s="8" t="s">
        <v>196</v>
      </c>
      <c r="Q2" s="8" t="s">
        <v>197</v>
      </c>
      <c r="R2" s="8" t="s">
        <v>198</v>
      </c>
      <c r="S2" s="8" t="s">
        <v>199</v>
      </c>
      <c r="T2" s="8" t="s">
        <v>200</v>
      </c>
      <c r="U2" s="24">
        <f>COUNTIF(Intervention_Cause_Map!$A$2:$A$18,B2)</f>
        <v>1</v>
      </c>
      <c r="V2" s="24" t="str">
        <f t="shared" ref="V2:V18" si="0">IF(U2&lt;&gt;1,"BAD KEY",IF(OR(J2&lt;0,J2&gt;1,K2&lt;0,K2&gt;1),"BAD VALUE","OK"))</f>
        <v>OK</v>
      </c>
    </row>
    <row r="3" spans="1:22">
      <c r="A3" s="9" t="s">
        <v>201</v>
      </c>
      <c r="B3" s="9" t="s">
        <v>147</v>
      </c>
      <c r="C3" s="9" t="s">
        <v>95</v>
      </c>
      <c r="D3" s="9" t="s">
        <v>94</v>
      </c>
      <c r="E3" s="9" t="s">
        <v>96</v>
      </c>
      <c r="F3" s="9" t="s">
        <v>92</v>
      </c>
      <c r="G3" s="9" t="s">
        <v>202</v>
      </c>
      <c r="H3" s="9" t="s">
        <v>193</v>
      </c>
      <c r="I3" s="9" t="s">
        <v>194</v>
      </c>
      <c r="J3" s="14">
        <v>0.75</v>
      </c>
      <c r="K3" s="14">
        <v>1</v>
      </c>
      <c r="L3" s="33">
        <v>5</v>
      </c>
      <c r="M3" s="33">
        <v>40</v>
      </c>
      <c r="N3" s="33" t="s">
        <v>195</v>
      </c>
      <c r="O3" s="33">
        <v>15</v>
      </c>
      <c r="P3" s="9" t="s">
        <v>203</v>
      </c>
      <c r="Q3" s="9" t="s">
        <v>197</v>
      </c>
      <c r="R3" s="9" t="s">
        <v>204</v>
      </c>
      <c r="S3" s="9" t="s">
        <v>24</v>
      </c>
      <c r="T3" s="9" t="s">
        <v>205</v>
      </c>
      <c r="U3" s="25">
        <f>COUNTIF(Intervention_Cause_Map!$A$2:$A$18,B3)</f>
        <v>1</v>
      </c>
      <c r="V3" s="25" t="str">
        <f t="shared" si="0"/>
        <v>OK</v>
      </c>
    </row>
    <row r="4" spans="1:22">
      <c r="A4" s="9" t="s">
        <v>206</v>
      </c>
      <c r="B4" s="9" t="s">
        <v>149</v>
      </c>
      <c r="C4" s="9" t="s">
        <v>100</v>
      </c>
      <c r="D4" s="9" t="s">
        <v>98</v>
      </c>
      <c r="E4" s="9" t="s">
        <v>101</v>
      </c>
      <c r="F4" s="9" t="s">
        <v>99</v>
      </c>
      <c r="G4" s="9" t="s">
        <v>207</v>
      </c>
      <c r="H4" s="9" t="s">
        <v>192</v>
      </c>
      <c r="I4" s="9" t="s">
        <v>194</v>
      </c>
      <c r="J4" s="14">
        <v>0.57999999999999996</v>
      </c>
      <c r="K4" s="14">
        <v>0.8</v>
      </c>
      <c r="L4" s="33">
        <v>30</v>
      </c>
      <c r="M4" s="33">
        <v>80</v>
      </c>
      <c r="N4" s="33" t="s">
        <v>195</v>
      </c>
      <c r="O4" s="33">
        <v>1</v>
      </c>
      <c r="P4" s="9" t="s">
        <v>208</v>
      </c>
      <c r="Q4" s="9" t="s">
        <v>197</v>
      </c>
      <c r="R4" s="9" t="s">
        <v>209</v>
      </c>
      <c r="S4" s="9" t="s">
        <v>199</v>
      </c>
      <c r="T4" s="9" t="s">
        <v>210</v>
      </c>
      <c r="U4" s="25">
        <f>COUNTIF(Intervention_Cause_Map!$A$2:$A$18,B4)</f>
        <v>1</v>
      </c>
      <c r="V4" s="25" t="str">
        <f t="shared" si="0"/>
        <v>OK</v>
      </c>
    </row>
    <row r="5" spans="1:22">
      <c r="A5" s="9" t="s">
        <v>211</v>
      </c>
      <c r="B5" s="9" t="s">
        <v>153</v>
      </c>
      <c r="C5" s="9" t="s">
        <v>100</v>
      </c>
      <c r="D5" s="9" t="s">
        <v>104</v>
      </c>
      <c r="E5" s="9" t="s">
        <v>101</v>
      </c>
      <c r="F5" s="9" t="s">
        <v>105</v>
      </c>
      <c r="G5" s="9" t="s">
        <v>207</v>
      </c>
      <c r="H5" s="9" t="s">
        <v>192</v>
      </c>
      <c r="I5" s="9" t="s">
        <v>194</v>
      </c>
      <c r="J5" s="14">
        <v>0.54</v>
      </c>
      <c r="K5" s="14">
        <v>0.8</v>
      </c>
      <c r="L5" s="33">
        <v>30</v>
      </c>
      <c r="M5" s="33">
        <v>80</v>
      </c>
      <c r="N5" s="33" t="s">
        <v>195</v>
      </c>
      <c r="O5" s="33">
        <v>1</v>
      </c>
      <c r="P5" s="9" t="s">
        <v>208</v>
      </c>
      <c r="Q5" s="9" t="s">
        <v>197</v>
      </c>
      <c r="R5" s="9" t="s">
        <v>212</v>
      </c>
      <c r="S5" s="9" t="s">
        <v>199</v>
      </c>
      <c r="T5" s="9" t="s">
        <v>210</v>
      </c>
      <c r="U5" s="25">
        <f>COUNTIF(Intervention_Cause_Map!$A$2:$A$18,B5)</f>
        <v>1</v>
      </c>
      <c r="V5" s="25" t="str">
        <f t="shared" si="0"/>
        <v>OK</v>
      </c>
    </row>
    <row r="6" spans="1:22">
      <c r="A6" s="9" t="s">
        <v>213</v>
      </c>
      <c r="B6" s="9" t="s">
        <v>154</v>
      </c>
      <c r="C6" s="9" t="s">
        <v>100</v>
      </c>
      <c r="D6" s="9" t="s">
        <v>110</v>
      </c>
      <c r="E6" s="9" t="s">
        <v>101</v>
      </c>
      <c r="F6" s="9" t="s">
        <v>111</v>
      </c>
      <c r="G6" s="9" t="s">
        <v>207</v>
      </c>
      <c r="H6" s="9" t="s">
        <v>192</v>
      </c>
      <c r="I6" s="9" t="s">
        <v>194</v>
      </c>
      <c r="J6" s="14">
        <v>0.49</v>
      </c>
      <c r="K6" s="14">
        <v>0.8</v>
      </c>
      <c r="L6" s="33">
        <v>30</v>
      </c>
      <c r="M6" s="33">
        <v>80</v>
      </c>
      <c r="N6" s="33" t="s">
        <v>195</v>
      </c>
      <c r="O6" s="33">
        <v>1</v>
      </c>
      <c r="P6" s="9" t="s">
        <v>208</v>
      </c>
      <c r="Q6" s="9" t="s">
        <v>197</v>
      </c>
      <c r="R6" s="9" t="s">
        <v>214</v>
      </c>
      <c r="S6" s="9" t="s">
        <v>199</v>
      </c>
      <c r="T6" s="9" t="s">
        <v>210</v>
      </c>
      <c r="U6" s="25">
        <f>COUNTIF(Intervention_Cause_Map!$A$2:$A$18,B6)</f>
        <v>1</v>
      </c>
      <c r="V6" s="25" t="str">
        <f t="shared" si="0"/>
        <v>OK</v>
      </c>
    </row>
    <row r="7" spans="1:22">
      <c r="A7" s="9" t="s">
        <v>215</v>
      </c>
      <c r="B7" s="9" t="s">
        <v>155</v>
      </c>
      <c r="C7" s="9" t="s">
        <v>100</v>
      </c>
      <c r="D7" s="9" t="s">
        <v>115</v>
      </c>
      <c r="E7" s="9" t="s">
        <v>101</v>
      </c>
      <c r="F7" s="9" t="s">
        <v>116</v>
      </c>
      <c r="G7" s="9" t="s">
        <v>207</v>
      </c>
      <c r="H7" s="9" t="s">
        <v>192</v>
      </c>
      <c r="I7" s="9" t="s">
        <v>194</v>
      </c>
      <c r="J7" s="14">
        <v>0.47</v>
      </c>
      <c r="K7" s="14">
        <v>1</v>
      </c>
      <c r="L7" s="33">
        <v>30</v>
      </c>
      <c r="M7" s="33">
        <v>80</v>
      </c>
      <c r="N7" s="33" t="s">
        <v>195</v>
      </c>
      <c r="O7" s="33">
        <v>1</v>
      </c>
      <c r="P7" s="9" t="s">
        <v>208</v>
      </c>
      <c r="Q7" s="9" t="s">
        <v>197</v>
      </c>
      <c r="R7" s="9" t="s">
        <v>216</v>
      </c>
      <c r="S7" s="9" t="s">
        <v>199</v>
      </c>
      <c r="T7" s="9" t="s">
        <v>210</v>
      </c>
      <c r="U7" s="25">
        <f>COUNTIF(Intervention_Cause_Map!$A$2:$A$18,B7)</f>
        <v>1</v>
      </c>
      <c r="V7" s="25" t="str">
        <f t="shared" si="0"/>
        <v>OK</v>
      </c>
    </row>
    <row r="8" spans="1:22">
      <c r="A8" s="9" t="s">
        <v>217</v>
      </c>
      <c r="B8" s="9" t="s">
        <v>156</v>
      </c>
      <c r="C8" s="9" t="s">
        <v>106</v>
      </c>
      <c r="D8" s="9" t="s">
        <v>98</v>
      </c>
      <c r="E8" s="9" t="s">
        <v>107</v>
      </c>
      <c r="F8" s="9" t="s">
        <v>99</v>
      </c>
      <c r="G8" s="9" t="s">
        <v>192</v>
      </c>
      <c r="H8" s="9" t="s">
        <v>218</v>
      </c>
      <c r="I8" s="9" t="s">
        <v>194</v>
      </c>
      <c r="J8" s="14">
        <v>0.58220000000000005</v>
      </c>
      <c r="K8" s="14">
        <v>0.2</v>
      </c>
      <c r="L8" s="33">
        <v>30</v>
      </c>
      <c r="M8" s="33">
        <v>80</v>
      </c>
      <c r="N8" s="33" t="s">
        <v>195</v>
      </c>
      <c r="O8" s="33">
        <v>1</v>
      </c>
      <c r="P8" s="9" t="s">
        <v>203</v>
      </c>
      <c r="Q8" s="9" t="s">
        <v>197</v>
      </c>
      <c r="R8" s="9" t="s">
        <v>219</v>
      </c>
      <c r="S8" s="9" t="s">
        <v>199</v>
      </c>
      <c r="T8" s="9" t="s">
        <v>220</v>
      </c>
      <c r="U8" s="25">
        <f>COUNTIF(Intervention_Cause_Map!$A$2:$A$18,B8)</f>
        <v>1</v>
      </c>
      <c r="V8" s="25" t="str">
        <f t="shared" si="0"/>
        <v>OK</v>
      </c>
    </row>
    <row r="9" spans="1:22">
      <c r="A9" s="9" t="s">
        <v>221</v>
      </c>
      <c r="B9" s="9" t="s">
        <v>158</v>
      </c>
      <c r="C9" s="9" t="s">
        <v>112</v>
      </c>
      <c r="D9" s="9" t="s">
        <v>104</v>
      </c>
      <c r="E9" s="9" t="s">
        <v>113</v>
      </c>
      <c r="F9" s="9" t="s">
        <v>105</v>
      </c>
      <c r="G9" s="9" t="s">
        <v>192</v>
      </c>
      <c r="H9" s="9" t="s">
        <v>222</v>
      </c>
      <c r="I9" s="9" t="s">
        <v>194</v>
      </c>
      <c r="J9" s="14">
        <v>0.23</v>
      </c>
      <c r="K9" s="14">
        <v>0.2</v>
      </c>
      <c r="L9" s="33">
        <v>30</v>
      </c>
      <c r="M9" s="33">
        <v>80</v>
      </c>
      <c r="N9" s="33" t="s">
        <v>195</v>
      </c>
      <c r="O9" s="33">
        <v>1</v>
      </c>
      <c r="P9" s="9" t="s">
        <v>203</v>
      </c>
      <c r="Q9" s="9" t="s">
        <v>197</v>
      </c>
      <c r="R9" s="9" t="s">
        <v>223</v>
      </c>
      <c r="S9" s="9" t="s">
        <v>199</v>
      </c>
      <c r="T9" s="9" t="s">
        <v>220</v>
      </c>
      <c r="U9" s="25">
        <f>COUNTIF(Intervention_Cause_Map!$A$2:$A$18,B9)</f>
        <v>1</v>
      </c>
      <c r="V9" s="25" t="str">
        <f t="shared" si="0"/>
        <v>OK</v>
      </c>
    </row>
    <row r="10" spans="1:22">
      <c r="A10" s="9" t="s">
        <v>224</v>
      </c>
      <c r="B10" s="9" t="s">
        <v>160</v>
      </c>
      <c r="C10" s="9" t="s">
        <v>112</v>
      </c>
      <c r="D10" s="9" t="s">
        <v>110</v>
      </c>
      <c r="E10" s="9" t="s">
        <v>113</v>
      </c>
      <c r="F10" s="9" t="s">
        <v>111</v>
      </c>
      <c r="G10" s="9" t="s">
        <v>192</v>
      </c>
      <c r="H10" s="9" t="s">
        <v>225</v>
      </c>
      <c r="I10" s="9" t="s">
        <v>194</v>
      </c>
      <c r="J10" s="14">
        <v>0.08</v>
      </c>
      <c r="K10" s="14">
        <v>0.2</v>
      </c>
      <c r="L10" s="33">
        <v>30</v>
      </c>
      <c r="M10" s="33">
        <v>80</v>
      </c>
      <c r="N10" s="33" t="s">
        <v>195</v>
      </c>
      <c r="O10" s="33">
        <v>1</v>
      </c>
      <c r="P10" s="9" t="s">
        <v>203</v>
      </c>
      <c r="Q10" s="9" t="s">
        <v>197</v>
      </c>
      <c r="R10" s="9" t="s">
        <v>226</v>
      </c>
      <c r="S10" s="9" t="s">
        <v>199</v>
      </c>
      <c r="T10" s="9" t="s">
        <v>220</v>
      </c>
      <c r="U10" s="25">
        <f>COUNTIF(Intervention_Cause_Map!$A$2:$A$18,B10)</f>
        <v>1</v>
      </c>
      <c r="V10" s="25" t="str">
        <f t="shared" si="0"/>
        <v>OK</v>
      </c>
    </row>
    <row r="11" spans="1:22">
      <c r="A11" s="9" t="s">
        <v>227</v>
      </c>
      <c r="B11" s="9" t="s">
        <v>161</v>
      </c>
      <c r="C11" s="9" t="s">
        <v>117</v>
      </c>
      <c r="D11" s="9" t="s">
        <v>98</v>
      </c>
      <c r="E11" s="9" t="s">
        <v>118</v>
      </c>
      <c r="F11" s="9" t="s">
        <v>99</v>
      </c>
      <c r="G11" s="9" t="s">
        <v>228</v>
      </c>
      <c r="H11" s="9" t="s">
        <v>218</v>
      </c>
      <c r="I11" s="9" t="s">
        <v>194</v>
      </c>
      <c r="J11" s="14">
        <v>0.18</v>
      </c>
      <c r="K11" s="14">
        <v>0.05</v>
      </c>
      <c r="L11" s="33">
        <v>30</v>
      </c>
      <c r="M11" s="33">
        <v>99</v>
      </c>
      <c r="N11" s="33" t="s">
        <v>195</v>
      </c>
      <c r="O11" s="33">
        <v>1</v>
      </c>
      <c r="P11" s="9" t="s">
        <v>203</v>
      </c>
      <c r="Q11" s="9" t="s">
        <v>197</v>
      </c>
      <c r="R11" s="9" t="s">
        <v>229</v>
      </c>
      <c r="S11" s="9" t="s">
        <v>199</v>
      </c>
      <c r="T11" s="9" t="s">
        <v>230</v>
      </c>
      <c r="U11" s="25">
        <f>COUNTIF(Intervention_Cause_Map!$A$2:$A$18,B11)</f>
        <v>1</v>
      </c>
      <c r="V11" s="25" t="str">
        <f t="shared" si="0"/>
        <v>OK</v>
      </c>
    </row>
    <row r="12" spans="1:22">
      <c r="A12" s="9" t="s">
        <v>231</v>
      </c>
      <c r="B12" s="9" t="s">
        <v>163</v>
      </c>
      <c r="C12" s="9" t="s">
        <v>117</v>
      </c>
      <c r="D12" s="9" t="s">
        <v>115</v>
      </c>
      <c r="E12" s="9" t="s">
        <v>118</v>
      </c>
      <c r="F12" s="9" t="s">
        <v>116</v>
      </c>
      <c r="G12" s="9" t="s">
        <v>228</v>
      </c>
      <c r="H12" s="9" t="s">
        <v>232</v>
      </c>
      <c r="I12" s="9" t="s">
        <v>194</v>
      </c>
      <c r="J12" s="14">
        <v>0.74</v>
      </c>
      <c r="K12" s="14">
        <v>0.2</v>
      </c>
      <c r="L12" s="33">
        <v>30</v>
      </c>
      <c r="M12" s="33">
        <v>99</v>
      </c>
      <c r="N12" s="33" t="s">
        <v>195</v>
      </c>
      <c r="O12" s="33">
        <v>1</v>
      </c>
      <c r="P12" s="9" t="s">
        <v>203</v>
      </c>
      <c r="Q12" s="9" t="s">
        <v>197</v>
      </c>
      <c r="R12" s="9" t="s">
        <v>233</v>
      </c>
      <c r="S12" s="9" t="s">
        <v>199</v>
      </c>
      <c r="T12" s="9" t="s">
        <v>234</v>
      </c>
      <c r="U12" s="25">
        <f>COUNTIF(Intervention_Cause_Map!$A$2:$A$18,B12)</f>
        <v>1</v>
      </c>
      <c r="V12" s="25" t="str">
        <f t="shared" si="0"/>
        <v>OK</v>
      </c>
    </row>
    <row r="13" spans="1:22">
      <c r="A13" s="9" t="s">
        <v>235</v>
      </c>
      <c r="B13" s="9" t="s">
        <v>165</v>
      </c>
      <c r="C13" s="9" t="s">
        <v>117</v>
      </c>
      <c r="D13" s="9" t="s">
        <v>121</v>
      </c>
      <c r="E13" s="9" t="s">
        <v>118</v>
      </c>
      <c r="F13" s="9" t="s">
        <v>122</v>
      </c>
      <c r="G13" s="9" t="s">
        <v>228</v>
      </c>
      <c r="H13" s="9" t="s">
        <v>236</v>
      </c>
      <c r="I13" s="9" t="s">
        <v>194</v>
      </c>
      <c r="J13" s="14">
        <v>0.74</v>
      </c>
      <c r="K13" s="14">
        <v>0.2</v>
      </c>
      <c r="L13" s="33">
        <v>30</v>
      </c>
      <c r="M13" s="33">
        <v>99</v>
      </c>
      <c r="N13" s="33" t="s">
        <v>195</v>
      </c>
      <c r="O13" s="33">
        <v>1</v>
      </c>
      <c r="P13" s="9" t="s">
        <v>203</v>
      </c>
      <c r="Q13" s="9" t="s">
        <v>197</v>
      </c>
      <c r="R13" s="9" t="s">
        <v>237</v>
      </c>
      <c r="S13" s="9" t="s">
        <v>199</v>
      </c>
      <c r="T13" s="9" t="s">
        <v>238</v>
      </c>
      <c r="U13" s="25">
        <f>COUNTIF(Intervention_Cause_Map!$A$2:$A$18,B13)</f>
        <v>1</v>
      </c>
      <c r="V13" s="25" t="str">
        <f t="shared" si="0"/>
        <v>OK</v>
      </c>
    </row>
    <row r="14" spans="1:22">
      <c r="A14" s="9" t="s">
        <v>239</v>
      </c>
      <c r="B14" s="9" t="s">
        <v>167</v>
      </c>
      <c r="C14" s="9" t="s">
        <v>123</v>
      </c>
      <c r="D14" s="9" t="s">
        <v>98</v>
      </c>
      <c r="E14" s="9" t="s">
        <v>124</v>
      </c>
      <c r="F14" s="9" t="s">
        <v>99</v>
      </c>
      <c r="G14" s="9" t="s">
        <v>228</v>
      </c>
      <c r="H14" s="9" t="s">
        <v>218</v>
      </c>
      <c r="I14" s="9" t="s">
        <v>194</v>
      </c>
      <c r="J14" s="14">
        <v>9.2999999999999999E-2</v>
      </c>
      <c r="K14" s="14">
        <v>0.2</v>
      </c>
      <c r="L14" s="33">
        <v>30</v>
      </c>
      <c r="M14" s="33">
        <v>80</v>
      </c>
      <c r="N14" s="33" t="s">
        <v>195</v>
      </c>
      <c r="O14" s="33">
        <v>1</v>
      </c>
      <c r="P14" s="9" t="s">
        <v>203</v>
      </c>
      <c r="Q14" s="9" t="s">
        <v>197</v>
      </c>
      <c r="R14" s="9" t="s">
        <v>240</v>
      </c>
      <c r="S14" s="9" t="s">
        <v>199</v>
      </c>
      <c r="T14" s="9" t="s">
        <v>230</v>
      </c>
      <c r="U14" s="25">
        <f>COUNTIF(Intervention_Cause_Map!$A$2:$A$18,B14)</f>
        <v>1</v>
      </c>
      <c r="V14" s="25" t="str">
        <f t="shared" si="0"/>
        <v>OK</v>
      </c>
    </row>
    <row r="15" spans="1:22">
      <c r="A15" s="9" t="s">
        <v>241</v>
      </c>
      <c r="B15" s="9" t="s">
        <v>168</v>
      </c>
      <c r="C15" s="9" t="s">
        <v>123</v>
      </c>
      <c r="D15" s="9" t="s">
        <v>115</v>
      </c>
      <c r="E15" s="9" t="s">
        <v>124</v>
      </c>
      <c r="F15" s="9" t="s">
        <v>116</v>
      </c>
      <c r="G15" s="9" t="s">
        <v>228</v>
      </c>
      <c r="H15" s="9" t="s">
        <v>232</v>
      </c>
      <c r="I15" s="9" t="s">
        <v>194</v>
      </c>
      <c r="J15" s="14">
        <v>0.27500000000000002</v>
      </c>
      <c r="K15" s="14">
        <v>0.8</v>
      </c>
      <c r="L15" s="33">
        <v>30</v>
      </c>
      <c r="M15" s="33">
        <v>80</v>
      </c>
      <c r="N15" s="33" t="s">
        <v>195</v>
      </c>
      <c r="O15" s="33">
        <v>1</v>
      </c>
      <c r="P15" s="9" t="s">
        <v>203</v>
      </c>
      <c r="Q15" s="9" t="s">
        <v>197</v>
      </c>
      <c r="R15" s="9" t="s">
        <v>242</v>
      </c>
      <c r="S15" s="9" t="s">
        <v>199</v>
      </c>
      <c r="T15" s="9" t="s">
        <v>234</v>
      </c>
      <c r="U15" s="25">
        <f>COUNTIF(Intervention_Cause_Map!$A$2:$A$18,B15)</f>
        <v>1</v>
      </c>
      <c r="V15" s="25" t="str">
        <f t="shared" si="0"/>
        <v>OK</v>
      </c>
    </row>
    <row r="16" spans="1:22">
      <c r="A16" s="9" t="s">
        <v>243</v>
      </c>
      <c r="B16" s="9" t="s">
        <v>169</v>
      </c>
      <c r="C16" s="9" t="s">
        <v>123</v>
      </c>
      <c r="D16" s="9" t="s">
        <v>121</v>
      </c>
      <c r="E16" s="9" t="s">
        <v>124</v>
      </c>
      <c r="F16" s="9" t="s">
        <v>122</v>
      </c>
      <c r="G16" s="9" t="s">
        <v>228</v>
      </c>
      <c r="H16" s="9" t="s">
        <v>236</v>
      </c>
      <c r="I16" s="9" t="s">
        <v>194</v>
      </c>
      <c r="J16" s="14">
        <v>0.53600000000000003</v>
      </c>
      <c r="K16" s="14">
        <v>0.8</v>
      </c>
      <c r="L16" s="33">
        <v>30</v>
      </c>
      <c r="M16" s="33">
        <v>80</v>
      </c>
      <c r="N16" s="33" t="s">
        <v>195</v>
      </c>
      <c r="O16" s="33">
        <v>1</v>
      </c>
      <c r="P16" s="9" t="s">
        <v>203</v>
      </c>
      <c r="Q16" s="9" t="s">
        <v>197</v>
      </c>
      <c r="R16" s="9" t="s">
        <v>244</v>
      </c>
      <c r="S16" s="9" t="s">
        <v>199</v>
      </c>
      <c r="T16" s="9" t="s">
        <v>238</v>
      </c>
      <c r="U16" s="25">
        <f>COUNTIF(Intervention_Cause_Map!$A$2:$A$18,B16)</f>
        <v>1</v>
      </c>
      <c r="V16" s="25" t="str">
        <f t="shared" si="0"/>
        <v>OK</v>
      </c>
    </row>
    <row r="17" spans="1:22">
      <c r="A17" s="9" t="s">
        <v>245</v>
      </c>
      <c r="B17" s="9" t="s">
        <v>170</v>
      </c>
      <c r="C17" s="9" t="s">
        <v>129</v>
      </c>
      <c r="D17" s="9" t="s">
        <v>126</v>
      </c>
      <c r="E17" s="9" t="s">
        <v>130</v>
      </c>
      <c r="F17" s="9" t="s">
        <v>127</v>
      </c>
      <c r="G17" s="9" t="s">
        <v>192</v>
      </c>
      <c r="H17" s="9" t="s">
        <v>246</v>
      </c>
      <c r="I17" s="9" t="s">
        <v>194</v>
      </c>
      <c r="J17" s="14">
        <v>0.28000000000000003</v>
      </c>
      <c r="K17" s="14">
        <v>1</v>
      </c>
      <c r="L17" s="33">
        <v>0</v>
      </c>
      <c r="M17" s="33">
        <v>95</v>
      </c>
      <c r="N17" s="33" t="s">
        <v>195</v>
      </c>
      <c r="O17" s="33">
        <v>1</v>
      </c>
      <c r="P17" s="9" t="s">
        <v>203</v>
      </c>
      <c r="Q17" s="9" t="s">
        <v>197</v>
      </c>
      <c r="R17" s="9" t="s">
        <v>247</v>
      </c>
      <c r="S17" s="9" t="s">
        <v>199</v>
      </c>
      <c r="T17" s="9" t="s">
        <v>171</v>
      </c>
      <c r="U17" s="25">
        <f>COUNTIF(Intervention_Cause_Map!$A$2:$A$18,B17)</f>
        <v>1</v>
      </c>
      <c r="V17" s="25" t="str">
        <f t="shared" si="0"/>
        <v>OK</v>
      </c>
    </row>
    <row r="18" spans="1:22" ht="25.95" customHeight="1">
      <c r="A18" s="10" t="s">
        <v>248</v>
      </c>
      <c r="B18" s="10" t="s">
        <v>172</v>
      </c>
      <c r="C18" s="10" t="s">
        <v>129</v>
      </c>
      <c r="D18" s="10" t="s">
        <v>98</v>
      </c>
      <c r="E18" s="10" t="s">
        <v>130</v>
      </c>
      <c r="F18" s="10" t="s">
        <v>173</v>
      </c>
      <c r="G18" s="10" t="s">
        <v>192</v>
      </c>
      <c r="H18" s="10" t="s">
        <v>218</v>
      </c>
      <c r="I18" s="10" t="s">
        <v>194</v>
      </c>
      <c r="J18" s="31">
        <v>0.15</v>
      </c>
      <c r="K18" s="31">
        <v>0.15</v>
      </c>
      <c r="L18" s="34">
        <v>0</v>
      </c>
      <c r="M18" s="34">
        <v>95</v>
      </c>
      <c r="N18" s="34" t="s">
        <v>195</v>
      </c>
      <c r="O18" s="34">
        <v>1</v>
      </c>
      <c r="P18" s="10" t="s">
        <v>203</v>
      </c>
      <c r="Q18" s="10" t="s">
        <v>197</v>
      </c>
      <c r="R18" s="10" t="s">
        <v>249</v>
      </c>
      <c r="S18" s="10" t="s">
        <v>24</v>
      </c>
      <c r="T18" s="10" t="s">
        <v>250</v>
      </c>
      <c r="U18" s="26">
        <f>COUNTIF(Intervention_Cause_Map!$A$2:$A$18,B18)</f>
        <v>1</v>
      </c>
      <c r="V18" s="26" t="str">
        <f t="shared" si="0"/>
        <v>OK</v>
      </c>
    </row>
  </sheetData>
  <conditionalFormatting sqref="S2:S18">
    <cfRule type="containsText" dxfId="35" priority="1" operator="containsText" text="OK"/>
    <cfRule type="containsText" dxfId="34" priority="3" operator="containsText" text="FAIL"/>
    <cfRule type="containsText" dxfId="33" priority="5" operator="containsText" text="REVIEW"/>
    <cfRule type="containsText" dxfId="32" priority="6" operator="containsText" text="BAD"/>
  </conditionalFormatting>
  <conditionalFormatting sqref="V2:V18">
    <cfRule type="containsText" dxfId="31" priority="7" operator="containsText" text="OK"/>
    <cfRule type="containsText" dxfId="30" priority="9" operator="containsText" text="FAIL"/>
    <cfRule type="containsText" dxfId="29" priority="11" operator="containsText" text="REVIEW"/>
    <cfRule type="containsText" dxfId="28" priority="12" operator="containsText" text="BAD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8"/>
  <sheetViews>
    <sheetView showGridLines="0" workbookViewId="0">
      <selection activeCell="E5" sqref="E5"/>
    </sheetView>
  </sheetViews>
  <sheetFormatPr defaultColWidth="8.796875" defaultRowHeight="13.8"/>
  <cols>
    <col min="1" max="1" width="16" customWidth="1"/>
    <col min="2" max="2" width="30" customWidth="1"/>
    <col min="3" max="3" width="22" customWidth="1"/>
    <col min="4" max="4" width="14" customWidth="1"/>
    <col min="5" max="6" width="38" customWidth="1"/>
    <col min="7" max="9" width="18" customWidth="1"/>
    <col min="10" max="11" width="14" customWidth="1"/>
    <col min="12" max="12" width="18" customWidth="1"/>
    <col min="13" max="13" width="28" customWidth="1"/>
    <col min="14" max="14" width="18" customWidth="1"/>
    <col min="15" max="15" width="48" customWidth="1"/>
    <col min="16" max="17" width="18" customWidth="1"/>
    <col min="18" max="18" width="16" customWidth="1"/>
    <col min="19" max="19" width="20" customWidth="1"/>
  </cols>
  <sheetData>
    <row r="1" spans="1:22" ht="34.049999999999997" customHeight="1">
      <c r="A1" s="5" t="s">
        <v>251</v>
      </c>
      <c r="B1" s="6" t="s">
        <v>136</v>
      </c>
      <c r="C1" s="6" t="s">
        <v>82</v>
      </c>
      <c r="D1" s="6" t="s">
        <v>86</v>
      </c>
      <c r="E1" s="6" t="s">
        <v>83</v>
      </c>
      <c r="F1" s="6" t="s">
        <v>87</v>
      </c>
      <c r="G1" s="6" t="s">
        <v>252</v>
      </c>
      <c r="H1" s="6" t="s">
        <v>253</v>
      </c>
      <c r="I1" s="6" t="s">
        <v>254</v>
      </c>
      <c r="J1" s="6" t="s">
        <v>255</v>
      </c>
      <c r="K1" s="6" t="s">
        <v>256</v>
      </c>
      <c r="L1" s="6" t="s">
        <v>63</v>
      </c>
      <c r="M1" s="6" t="s">
        <v>257</v>
      </c>
      <c r="N1" s="6" t="s">
        <v>258</v>
      </c>
      <c r="O1" s="6" t="s">
        <v>259</v>
      </c>
      <c r="P1" s="6" t="s">
        <v>188</v>
      </c>
      <c r="Q1" s="6" t="s">
        <v>260</v>
      </c>
      <c r="R1" s="6" t="s">
        <v>189</v>
      </c>
      <c r="S1" s="7" t="s">
        <v>190</v>
      </c>
      <c r="T1" s="53" t="s">
        <v>261</v>
      </c>
      <c r="U1" s="53" t="s">
        <v>262</v>
      </c>
      <c r="V1" s="53" t="s">
        <v>263</v>
      </c>
    </row>
    <row r="2" spans="1:22" ht="34.200000000000003">
      <c r="A2" s="8" t="s">
        <v>264</v>
      </c>
      <c r="B2" s="8" t="s">
        <v>144</v>
      </c>
      <c r="C2" s="8" t="s">
        <v>90</v>
      </c>
      <c r="D2" s="8" t="s">
        <v>94</v>
      </c>
      <c r="E2" s="8" t="s">
        <v>91</v>
      </c>
      <c r="F2" s="8" t="s">
        <v>92</v>
      </c>
      <c r="G2" s="54">
        <v>0.40110000000000001</v>
      </c>
      <c r="H2" s="30"/>
      <c r="I2" s="35">
        <f>IF(H2="",Assumptions!$B$5,H2)</f>
        <v>0.8</v>
      </c>
      <c r="J2" s="38">
        <f>Assumptions!$B$4</f>
        <v>2025</v>
      </c>
      <c r="K2" s="38">
        <f>Assumptions!$B$6</f>
        <v>2050</v>
      </c>
      <c r="L2" s="8" t="s">
        <v>64</v>
      </c>
      <c r="M2" s="8" t="s">
        <v>265</v>
      </c>
      <c r="N2" s="8" t="s">
        <v>266</v>
      </c>
      <c r="O2" s="8" t="s">
        <v>267</v>
      </c>
      <c r="P2" s="8" t="s">
        <v>268</v>
      </c>
      <c r="Q2" s="35">
        <f t="shared" ref="Q2:Q18" si="0">IF(G2="","",I2-G2)</f>
        <v>0.39890000000000003</v>
      </c>
      <c r="R2" s="24">
        <f>COUNTIF(Intervention_Cause_Map!$A$2:$A$18,B2)</f>
        <v>1</v>
      </c>
      <c r="S2" s="24" t="str">
        <f t="shared" ref="S2:S18" si="1">IF(R2&lt;&gt;1,"BAD KEY",IF(G2="","MISSING BASELINE",IF(OR(G2&lt;0,G2&gt;1,I2&lt;0,I2&gt;1,I2&lt;G2),"BAD COVERAGE","OK")))</f>
        <v>OK</v>
      </c>
      <c r="T2">
        <v>0.31</v>
      </c>
      <c r="U2" t="s">
        <v>269</v>
      </c>
      <c r="V2">
        <v>698</v>
      </c>
    </row>
    <row r="3" spans="1:22" ht="34.200000000000003">
      <c r="A3" s="9" t="s">
        <v>270</v>
      </c>
      <c r="B3" s="9" t="s">
        <v>147</v>
      </c>
      <c r="C3" s="9" t="s">
        <v>95</v>
      </c>
      <c r="D3" s="9" t="s">
        <v>94</v>
      </c>
      <c r="E3" s="9" t="s">
        <v>96</v>
      </c>
      <c r="F3" s="9" t="s">
        <v>92</v>
      </c>
      <c r="G3" s="55">
        <v>6.6400000000000001E-2</v>
      </c>
      <c r="H3" s="14"/>
      <c r="I3" s="36">
        <f>IF(H3="",Assumptions!$B$5,H3)</f>
        <v>0.8</v>
      </c>
      <c r="J3" s="39">
        <f>Assumptions!$B$4</f>
        <v>2025</v>
      </c>
      <c r="K3" s="39">
        <f>Assumptions!$B$6</f>
        <v>2050</v>
      </c>
      <c r="L3" s="9" t="s">
        <v>64</v>
      </c>
      <c r="M3" s="9" t="s">
        <v>271</v>
      </c>
      <c r="N3" s="9" t="s">
        <v>266</v>
      </c>
      <c r="O3" s="9" t="s">
        <v>267</v>
      </c>
      <c r="P3" s="9" t="s">
        <v>268</v>
      </c>
      <c r="Q3" s="36">
        <f t="shared" si="0"/>
        <v>0.73360000000000003</v>
      </c>
      <c r="R3" s="25">
        <f>COUNTIF(Intervention_Cause_Map!$A$2:$A$18,B3)</f>
        <v>1</v>
      </c>
      <c r="S3" s="25" t="str">
        <f t="shared" si="1"/>
        <v>OK</v>
      </c>
      <c r="T3">
        <v>0.1</v>
      </c>
      <c r="U3" t="s">
        <v>272</v>
      </c>
      <c r="V3">
        <v>919</v>
      </c>
    </row>
    <row r="4" spans="1:22" ht="34.200000000000003">
      <c r="A4" s="9" t="s">
        <v>273</v>
      </c>
      <c r="B4" s="9" t="s">
        <v>149</v>
      </c>
      <c r="C4" s="9" t="s">
        <v>100</v>
      </c>
      <c r="D4" s="9" t="s">
        <v>98</v>
      </c>
      <c r="E4" s="9" t="s">
        <v>101</v>
      </c>
      <c r="F4" s="9" t="s">
        <v>99</v>
      </c>
      <c r="G4" s="55">
        <v>0.24660000000000001</v>
      </c>
      <c r="H4" s="14"/>
      <c r="I4" s="36">
        <f>IF(H4="",Assumptions!$B$5,H4)</f>
        <v>0.8</v>
      </c>
      <c r="J4" s="39">
        <f>Assumptions!$B$4</f>
        <v>2025</v>
      </c>
      <c r="K4" s="39">
        <f>Assumptions!$B$6</f>
        <v>2050</v>
      </c>
      <c r="L4" s="9" t="s">
        <v>64</v>
      </c>
      <c r="M4" s="9" t="s">
        <v>274</v>
      </c>
      <c r="N4" s="9" t="s">
        <v>266</v>
      </c>
      <c r="O4" s="9" t="s">
        <v>267</v>
      </c>
      <c r="P4" s="9" t="s">
        <v>275</v>
      </c>
      <c r="Q4" s="36">
        <f t="shared" si="0"/>
        <v>0.5534</v>
      </c>
      <c r="R4" s="25">
        <f>COUNTIF(Intervention_Cause_Map!$A$2:$A$18,B4)</f>
        <v>1</v>
      </c>
      <c r="S4" s="25" t="str">
        <f t="shared" si="1"/>
        <v>OK</v>
      </c>
      <c r="T4">
        <v>0.31</v>
      </c>
      <c r="U4" t="s">
        <v>276</v>
      </c>
    </row>
    <row r="5" spans="1:22" ht="34.200000000000003">
      <c r="A5" s="9" t="s">
        <v>277</v>
      </c>
      <c r="B5" s="9" t="s">
        <v>153</v>
      </c>
      <c r="C5" s="9" t="s">
        <v>100</v>
      </c>
      <c r="D5" s="9" t="s">
        <v>104</v>
      </c>
      <c r="E5" s="9" t="s">
        <v>101</v>
      </c>
      <c r="F5" s="9" t="s">
        <v>105</v>
      </c>
      <c r="G5" s="55">
        <v>0.24660000000000001</v>
      </c>
      <c r="H5" s="14"/>
      <c r="I5" s="36">
        <f>IF(H5="",Assumptions!$B$5,H5)</f>
        <v>0.8</v>
      </c>
      <c r="J5" s="39">
        <f>Assumptions!$B$4</f>
        <v>2025</v>
      </c>
      <c r="K5" s="39">
        <f>Assumptions!$B$6</f>
        <v>2050</v>
      </c>
      <c r="L5" s="9" t="s">
        <v>64</v>
      </c>
      <c r="M5" s="9" t="s">
        <v>274</v>
      </c>
      <c r="N5" s="9" t="s">
        <v>266</v>
      </c>
      <c r="O5" s="9" t="s">
        <v>267</v>
      </c>
      <c r="P5" s="9" t="s">
        <v>275</v>
      </c>
      <c r="Q5" s="36">
        <f t="shared" si="0"/>
        <v>0.5534</v>
      </c>
      <c r="R5" s="25">
        <f>COUNTIF(Intervention_Cause_Map!$A$2:$A$18,B5)</f>
        <v>1</v>
      </c>
      <c r="S5" s="25" t="str">
        <f t="shared" si="1"/>
        <v>OK</v>
      </c>
      <c r="T5">
        <v>0.31</v>
      </c>
      <c r="U5" t="s">
        <v>276</v>
      </c>
    </row>
    <row r="6" spans="1:22" ht="34.200000000000003">
      <c r="A6" s="9" t="s">
        <v>278</v>
      </c>
      <c r="B6" s="9" t="s">
        <v>154</v>
      </c>
      <c r="C6" s="9" t="s">
        <v>100</v>
      </c>
      <c r="D6" s="9" t="s">
        <v>110</v>
      </c>
      <c r="E6" s="9" t="s">
        <v>101</v>
      </c>
      <c r="F6" s="9" t="s">
        <v>111</v>
      </c>
      <c r="G6" s="55">
        <v>0.24660000000000001</v>
      </c>
      <c r="H6" s="14"/>
      <c r="I6" s="36">
        <f>IF(H6="",Assumptions!$B$5,H6)</f>
        <v>0.8</v>
      </c>
      <c r="J6" s="39">
        <f>Assumptions!$B$4</f>
        <v>2025</v>
      </c>
      <c r="K6" s="39">
        <f>Assumptions!$B$6</f>
        <v>2050</v>
      </c>
      <c r="L6" s="9" t="s">
        <v>64</v>
      </c>
      <c r="M6" s="9" t="s">
        <v>274</v>
      </c>
      <c r="N6" s="9" t="s">
        <v>266</v>
      </c>
      <c r="O6" s="9" t="s">
        <v>267</v>
      </c>
      <c r="P6" s="9" t="s">
        <v>275</v>
      </c>
      <c r="Q6" s="36">
        <f t="shared" si="0"/>
        <v>0.5534</v>
      </c>
      <c r="R6" s="25">
        <f>COUNTIF(Intervention_Cause_Map!$A$2:$A$18,B6)</f>
        <v>1</v>
      </c>
      <c r="S6" s="25" t="str">
        <f t="shared" si="1"/>
        <v>OK</v>
      </c>
      <c r="T6">
        <v>0.31</v>
      </c>
      <c r="U6" t="s">
        <v>276</v>
      </c>
    </row>
    <row r="7" spans="1:22" ht="34.200000000000003">
      <c r="A7" s="9" t="s">
        <v>279</v>
      </c>
      <c r="B7" s="9" t="s">
        <v>155</v>
      </c>
      <c r="C7" s="9" t="s">
        <v>100</v>
      </c>
      <c r="D7" s="9" t="s">
        <v>115</v>
      </c>
      <c r="E7" s="9" t="s">
        <v>101</v>
      </c>
      <c r="F7" s="9" t="s">
        <v>116</v>
      </c>
      <c r="G7" s="55">
        <v>0.24660000000000001</v>
      </c>
      <c r="H7" s="14"/>
      <c r="I7" s="36">
        <f>IF(H7="",Assumptions!$B$5,H7)</f>
        <v>0.8</v>
      </c>
      <c r="J7" s="39">
        <f>Assumptions!$B$4</f>
        <v>2025</v>
      </c>
      <c r="K7" s="39">
        <f>Assumptions!$B$6</f>
        <v>2050</v>
      </c>
      <c r="L7" s="9" t="s">
        <v>64</v>
      </c>
      <c r="M7" s="9" t="s">
        <v>274</v>
      </c>
      <c r="N7" s="9" t="s">
        <v>266</v>
      </c>
      <c r="O7" s="9" t="s">
        <v>267</v>
      </c>
      <c r="P7" s="9" t="s">
        <v>275</v>
      </c>
      <c r="Q7" s="36">
        <f t="shared" si="0"/>
        <v>0.5534</v>
      </c>
      <c r="R7" s="25">
        <f>COUNTIF(Intervention_Cause_Map!$A$2:$A$18,B7)</f>
        <v>1</v>
      </c>
      <c r="S7" s="25" t="str">
        <f t="shared" si="1"/>
        <v>OK</v>
      </c>
      <c r="T7">
        <v>0.31</v>
      </c>
      <c r="U7" t="s">
        <v>276</v>
      </c>
    </row>
    <row r="8" spans="1:22" ht="34.200000000000003">
      <c r="A8" s="9" t="s">
        <v>280</v>
      </c>
      <c r="B8" s="9" t="s">
        <v>156</v>
      </c>
      <c r="C8" s="9" t="s">
        <v>106</v>
      </c>
      <c r="D8" s="9" t="s">
        <v>98</v>
      </c>
      <c r="E8" s="9" t="s">
        <v>107</v>
      </c>
      <c r="F8" s="9" t="s">
        <v>99</v>
      </c>
      <c r="G8" s="55">
        <v>0.53010000000000002</v>
      </c>
      <c r="H8" s="14"/>
      <c r="I8" s="36">
        <f>IF(H8="",Assumptions!$B$5,H8)</f>
        <v>0.8</v>
      </c>
      <c r="J8" s="39">
        <f>Assumptions!$B$4</f>
        <v>2025</v>
      </c>
      <c r="K8" s="39">
        <f>Assumptions!$B$6</f>
        <v>2050</v>
      </c>
      <c r="L8" s="9" t="s">
        <v>64</v>
      </c>
      <c r="M8" s="9" t="s">
        <v>281</v>
      </c>
      <c r="N8" s="9" t="s">
        <v>266</v>
      </c>
      <c r="O8" s="9" t="s">
        <v>267</v>
      </c>
      <c r="P8" s="9" t="s">
        <v>268</v>
      </c>
      <c r="Q8" s="36">
        <f t="shared" si="0"/>
        <v>0.26990000000000003</v>
      </c>
      <c r="R8" s="25">
        <f>COUNTIF(Intervention_Cause_Map!$A$2:$A$18,B8)</f>
        <v>1</v>
      </c>
      <c r="S8" s="25" t="str">
        <f t="shared" si="1"/>
        <v>OK</v>
      </c>
      <c r="T8">
        <v>0.31</v>
      </c>
      <c r="U8" t="s">
        <v>269</v>
      </c>
      <c r="V8">
        <v>11920</v>
      </c>
    </row>
    <row r="9" spans="1:22" ht="34.200000000000003">
      <c r="A9" s="9" t="s">
        <v>282</v>
      </c>
      <c r="B9" s="9" t="s">
        <v>158</v>
      </c>
      <c r="C9" s="9" t="s">
        <v>112</v>
      </c>
      <c r="D9" s="9" t="s">
        <v>104</v>
      </c>
      <c r="E9" s="9" t="s">
        <v>113</v>
      </c>
      <c r="F9" s="9" t="s">
        <v>105</v>
      </c>
      <c r="G9" s="55">
        <v>0.38219999999999998</v>
      </c>
      <c r="H9" s="14"/>
      <c r="I9" s="36">
        <f>IF(H9="",Assumptions!$B$5,H9)</f>
        <v>0.8</v>
      </c>
      <c r="J9" s="39">
        <f>Assumptions!$B$4</f>
        <v>2025</v>
      </c>
      <c r="K9" s="39">
        <f>Assumptions!$B$6</f>
        <v>2050</v>
      </c>
      <c r="L9" s="9" t="s">
        <v>64</v>
      </c>
      <c r="M9" s="9" t="s">
        <v>283</v>
      </c>
      <c r="N9" s="9" t="s">
        <v>266</v>
      </c>
      <c r="O9" s="9" t="s">
        <v>267</v>
      </c>
      <c r="P9" s="9" t="s">
        <v>268</v>
      </c>
      <c r="Q9" s="36">
        <f t="shared" si="0"/>
        <v>0.41780000000000006</v>
      </c>
      <c r="R9" s="25">
        <f>COUNTIF(Intervention_Cause_Map!$A$2:$A$18,B9)</f>
        <v>1</v>
      </c>
      <c r="S9" s="25" t="str">
        <f t="shared" si="1"/>
        <v>OK</v>
      </c>
      <c r="T9">
        <v>0.31</v>
      </c>
      <c r="U9" t="s">
        <v>269</v>
      </c>
      <c r="V9">
        <v>4506</v>
      </c>
    </row>
    <row r="10" spans="1:22" ht="34.200000000000003">
      <c r="A10" s="9" t="s">
        <v>284</v>
      </c>
      <c r="B10" s="9" t="s">
        <v>160</v>
      </c>
      <c r="C10" s="9" t="s">
        <v>112</v>
      </c>
      <c r="D10" s="9" t="s">
        <v>110</v>
      </c>
      <c r="E10" s="9" t="s">
        <v>113</v>
      </c>
      <c r="F10" s="9" t="s">
        <v>111</v>
      </c>
      <c r="G10" s="55">
        <v>0.21240000000000001</v>
      </c>
      <c r="H10" s="14"/>
      <c r="I10" s="36">
        <f>IF(H10="",Assumptions!$B$5,H10)</f>
        <v>0.8</v>
      </c>
      <c r="J10" s="39">
        <f>Assumptions!$B$4</f>
        <v>2025</v>
      </c>
      <c r="K10" s="39">
        <f>Assumptions!$B$6</f>
        <v>2050</v>
      </c>
      <c r="L10" s="9" t="s">
        <v>64</v>
      </c>
      <c r="M10" s="9" t="s">
        <v>285</v>
      </c>
      <c r="N10" s="9" t="s">
        <v>266</v>
      </c>
      <c r="O10" s="9" t="s">
        <v>267</v>
      </c>
      <c r="P10" s="9" t="s">
        <v>268</v>
      </c>
      <c r="Q10" s="36">
        <f t="shared" si="0"/>
        <v>0.58760000000000001</v>
      </c>
      <c r="R10" s="25">
        <f>COUNTIF(Intervention_Cause_Map!$A$2:$A$18,B10)</f>
        <v>1</v>
      </c>
      <c r="S10" s="25" t="str">
        <f t="shared" si="1"/>
        <v>OK</v>
      </c>
      <c r="T10">
        <v>0.31</v>
      </c>
      <c r="U10" t="s">
        <v>269</v>
      </c>
      <c r="V10">
        <v>739</v>
      </c>
    </row>
    <row r="11" spans="1:22" ht="34.200000000000003">
      <c r="A11" s="9" t="s">
        <v>286</v>
      </c>
      <c r="B11" s="9" t="s">
        <v>161</v>
      </c>
      <c r="C11" s="9" t="s">
        <v>117</v>
      </c>
      <c r="D11" s="9" t="s">
        <v>98</v>
      </c>
      <c r="E11" s="9" t="s">
        <v>118</v>
      </c>
      <c r="F11" s="9" t="s">
        <v>99</v>
      </c>
      <c r="G11" s="55">
        <v>0.26840000000000003</v>
      </c>
      <c r="H11" s="14"/>
      <c r="I11" s="36">
        <f>IF(H11="",Assumptions!$B$5,H11)</f>
        <v>0.8</v>
      </c>
      <c r="J11" s="39">
        <f>Assumptions!$B$4</f>
        <v>2025</v>
      </c>
      <c r="K11" s="39">
        <f>Assumptions!$B$6</f>
        <v>2050</v>
      </c>
      <c r="L11" s="9" t="s">
        <v>64</v>
      </c>
      <c r="M11" s="9" t="s">
        <v>287</v>
      </c>
      <c r="N11" s="9" t="s">
        <v>266</v>
      </c>
      <c r="O11" s="9" t="s">
        <v>267</v>
      </c>
      <c r="P11" s="9" t="s">
        <v>268</v>
      </c>
      <c r="Q11" s="36">
        <f t="shared" si="0"/>
        <v>0.53160000000000007</v>
      </c>
      <c r="R11" s="25">
        <f>COUNTIF(Intervention_Cause_Map!$A$2:$A$18,B11)</f>
        <v>1</v>
      </c>
      <c r="S11" s="25" t="str">
        <f t="shared" si="1"/>
        <v>OK</v>
      </c>
      <c r="T11">
        <v>0.31</v>
      </c>
      <c r="U11" t="s">
        <v>288</v>
      </c>
      <c r="V11">
        <v>11183</v>
      </c>
    </row>
    <row r="12" spans="1:22" ht="34.200000000000003">
      <c r="A12" s="9" t="s">
        <v>289</v>
      </c>
      <c r="B12" s="9" t="s">
        <v>163</v>
      </c>
      <c r="C12" s="9" t="s">
        <v>117</v>
      </c>
      <c r="D12" s="9" t="s">
        <v>115</v>
      </c>
      <c r="E12" s="9" t="s">
        <v>118</v>
      </c>
      <c r="F12" s="9" t="s">
        <v>116</v>
      </c>
      <c r="G12" s="55">
        <v>0.26840000000000003</v>
      </c>
      <c r="H12" s="14"/>
      <c r="I12" s="36">
        <f>IF(H12="",Assumptions!$B$5,H12)</f>
        <v>0.8</v>
      </c>
      <c r="J12" s="39">
        <f>Assumptions!$B$4</f>
        <v>2025</v>
      </c>
      <c r="K12" s="39">
        <f>Assumptions!$B$6</f>
        <v>2050</v>
      </c>
      <c r="L12" s="9" t="s">
        <v>64</v>
      </c>
      <c r="M12" s="9" t="s">
        <v>287</v>
      </c>
      <c r="N12" s="9" t="s">
        <v>266</v>
      </c>
      <c r="O12" s="9" t="s">
        <v>267</v>
      </c>
      <c r="P12" s="9" t="s">
        <v>268</v>
      </c>
      <c r="Q12" s="36">
        <f t="shared" si="0"/>
        <v>0.53160000000000007</v>
      </c>
      <c r="R12" s="25">
        <f>COUNTIF(Intervention_Cause_Map!$A$2:$A$18,B12)</f>
        <v>1</v>
      </c>
      <c r="S12" s="25" t="str">
        <f t="shared" si="1"/>
        <v>OK</v>
      </c>
      <c r="T12">
        <v>0.31</v>
      </c>
      <c r="U12" t="s">
        <v>288</v>
      </c>
      <c r="V12">
        <v>11183</v>
      </c>
    </row>
    <row r="13" spans="1:22" ht="34.200000000000003">
      <c r="A13" s="9" t="s">
        <v>290</v>
      </c>
      <c r="B13" s="9" t="s">
        <v>165</v>
      </c>
      <c r="C13" s="9" t="s">
        <v>117</v>
      </c>
      <c r="D13" s="9" t="s">
        <v>121</v>
      </c>
      <c r="E13" s="9" t="s">
        <v>118</v>
      </c>
      <c r="F13" s="9" t="s">
        <v>122</v>
      </c>
      <c r="G13" s="55">
        <v>0.26840000000000003</v>
      </c>
      <c r="H13" s="14"/>
      <c r="I13" s="36">
        <f>IF(H13="",Assumptions!$B$5,H13)</f>
        <v>0.8</v>
      </c>
      <c r="J13" s="39">
        <f>Assumptions!$B$4</f>
        <v>2025</v>
      </c>
      <c r="K13" s="39">
        <f>Assumptions!$B$6</f>
        <v>2050</v>
      </c>
      <c r="L13" s="9" t="s">
        <v>64</v>
      </c>
      <c r="M13" s="9" t="s">
        <v>287</v>
      </c>
      <c r="N13" s="9" t="s">
        <v>266</v>
      </c>
      <c r="O13" s="9" t="s">
        <v>267</v>
      </c>
      <c r="P13" s="9" t="s">
        <v>268</v>
      </c>
      <c r="Q13" s="36">
        <f t="shared" si="0"/>
        <v>0.53160000000000007</v>
      </c>
      <c r="R13" s="25">
        <f>COUNTIF(Intervention_Cause_Map!$A$2:$A$18,B13)</f>
        <v>1</v>
      </c>
      <c r="S13" s="25" t="str">
        <f t="shared" si="1"/>
        <v>OK</v>
      </c>
      <c r="T13">
        <v>0.31</v>
      </c>
      <c r="U13" t="s">
        <v>288</v>
      </c>
      <c r="V13">
        <v>11183</v>
      </c>
    </row>
    <row r="14" spans="1:22" ht="34.200000000000003">
      <c r="A14" s="9" t="s">
        <v>291</v>
      </c>
      <c r="B14" s="9" t="s">
        <v>167</v>
      </c>
      <c r="C14" s="9" t="s">
        <v>123</v>
      </c>
      <c r="D14" s="9" t="s">
        <v>98</v>
      </c>
      <c r="E14" s="9" t="s">
        <v>124</v>
      </c>
      <c r="F14" s="9" t="s">
        <v>99</v>
      </c>
      <c r="G14" s="55">
        <v>0.50249999999999995</v>
      </c>
      <c r="H14" s="14"/>
      <c r="I14" s="36">
        <f>IF(H14="",Assumptions!$B$5,H14)</f>
        <v>0.8</v>
      </c>
      <c r="J14" s="39">
        <f>Assumptions!$B$4</f>
        <v>2025</v>
      </c>
      <c r="K14" s="39">
        <f>Assumptions!$B$6</f>
        <v>2050</v>
      </c>
      <c r="L14" s="9" t="s">
        <v>64</v>
      </c>
      <c r="M14" s="9" t="s">
        <v>292</v>
      </c>
      <c r="N14" s="9" t="s">
        <v>266</v>
      </c>
      <c r="O14" s="9" t="s">
        <v>267</v>
      </c>
      <c r="P14" s="9" t="s">
        <v>268</v>
      </c>
      <c r="Q14" s="36">
        <f t="shared" si="0"/>
        <v>0.2975000000000001</v>
      </c>
      <c r="R14" s="25">
        <f>COUNTIF(Intervention_Cause_Map!$A$2:$A$18,B14)</f>
        <v>1</v>
      </c>
      <c r="S14" s="25" t="str">
        <f t="shared" si="1"/>
        <v>OK</v>
      </c>
      <c r="T14">
        <v>0.31</v>
      </c>
      <c r="U14" t="s">
        <v>269</v>
      </c>
      <c r="V14">
        <v>9442</v>
      </c>
    </row>
    <row r="15" spans="1:22" ht="34.200000000000003">
      <c r="A15" s="9" t="s">
        <v>293</v>
      </c>
      <c r="B15" s="9" t="s">
        <v>168</v>
      </c>
      <c r="C15" s="9" t="s">
        <v>123</v>
      </c>
      <c r="D15" s="9" t="s">
        <v>115</v>
      </c>
      <c r="E15" s="9" t="s">
        <v>124</v>
      </c>
      <c r="F15" s="9" t="s">
        <v>116</v>
      </c>
      <c r="G15" s="55">
        <v>0.50249999999999995</v>
      </c>
      <c r="H15" s="14"/>
      <c r="I15" s="36">
        <f>IF(H15="",Assumptions!$B$5,H15)</f>
        <v>0.8</v>
      </c>
      <c r="J15" s="39">
        <f>Assumptions!$B$4</f>
        <v>2025</v>
      </c>
      <c r="K15" s="39">
        <f>Assumptions!$B$6</f>
        <v>2050</v>
      </c>
      <c r="L15" s="9" t="s">
        <v>64</v>
      </c>
      <c r="M15" s="9" t="s">
        <v>292</v>
      </c>
      <c r="N15" s="9" t="s">
        <v>266</v>
      </c>
      <c r="O15" s="9" t="s">
        <v>267</v>
      </c>
      <c r="P15" s="9" t="s">
        <v>268</v>
      </c>
      <c r="Q15" s="36">
        <f t="shared" si="0"/>
        <v>0.2975000000000001</v>
      </c>
      <c r="R15" s="25">
        <f>COUNTIF(Intervention_Cause_Map!$A$2:$A$18,B15)</f>
        <v>1</v>
      </c>
      <c r="S15" s="25" t="str">
        <f t="shared" si="1"/>
        <v>OK</v>
      </c>
      <c r="T15">
        <v>0.31</v>
      </c>
      <c r="U15" t="s">
        <v>269</v>
      </c>
      <c r="V15">
        <v>9442</v>
      </c>
    </row>
    <row r="16" spans="1:22" ht="34.200000000000003">
      <c r="A16" s="9" t="s">
        <v>294</v>
      </c>
      <c r="B16" s="9" t="s">
        <v>169</v>
      </c>
      <c r="C16" s="9" t="s">
        <v>123</v>
      </c>
      <c r="D16" s="9" t="s">
        <v>121</v>
      </c>
      <c r="E16" s="9" t="s">
        <v>124</v>
      </c>
      <c r="F16" s="9" t="s">
        <v>122</v>
      </c>
      <c r="G16" s="55">
        <v>0.50249999999999995</v>
      </c>
      <c r="H16" s="14"/>
      <c r="I16" s="36">
        <f>IF(H16="",Assumptions!$B$5,H16)</f>
        <v>0.8</v>
      </c>
      <c r="J16" s="39">
        <f>Assumptions!$B$4</f>
        <v>2025</v>
      </c>
      <c r="K16" s="39">
        <f>Assumptions!$B$6</f>
        <v>2050</v>
      </c>
      <c r="L16" s="9" t="s">
        <v>64</v>
      </c>
      <c r="M16" s="9" t="s">
        <v>292</v>
      </c>
      <c r="N16" s="9" t="s">
        <v>266</v>
      </c>
      <c r="O16" s="9" t="s">
        <v>267</v>
      </c>
      <c r="P16" s="9" t="s">
        <v>268</v>
      </c>
      <c r="Q16" s="36">
        <f t="shared" si="0"/>
        <v>0.2975000000000001</v>
      </c>
      <c r="R16" s="25">
        <f>COUNTIF(Intervention_Cause_Map!$A$2:$A$18,B16)</f>
        <v>1</v>
      </c>
      <c r="S16" s="25" t="str">
        <f t="shared" si="1"/>
        <v>OK</v>
      </c>
      <c r="T16">
        <v>0.31</v>
      </c>
      <c r="U16" t="s">
        <v>269</v>
      </c>
      <c r="V16">
        <v>9442</v>
      </c>
    </row>
    <row r="17" spans="1:21" ht="34.200000000000003">
      <c r="A17" s="9" t="s">
        <v>295</v>
      </c>
      <c r="B17" s="9" t="s">
        <v>170</v>
      </c>
      <c r="C17" s="9" t="s">
        <v>129</v>
      </c>
      <c r="D17" s="9" t="s">
        <v>126</v>
      </c>
      <c r="E17" s="9" t="s">
        <v>130</v>
      </c>
      <c r="F17" s="9" t="s">
        <v>127</v>
      </c>
      <c r="G17" s="55">
        <v>0.21299999999999999</v>
      </c>
      <c r="H17" s="14"/>
      <c r="I17" s="36">
        <f>IF(H17="",Assumptions!$B$5,H17)</f>
        <v>0.8</v>
      </c>
      <c r="J17" s="39">
        <f>Assumptions!$B$4</f>
        <v>2025</v>
      </c>
      <c r="K17" s="39">
        <f>Assumptions!$B$6</f>
        <v>2050</v>
      </c>
      <c r="L17" s="9" t="s">
        <v>64</v>
      </c>
      <c r="M17" s="9" t="s">
        <v>296</v>
      </c>
      <c r="N17" s="9" t="s">
        <v>266</v>
      </c>
      <c r="O17" s="9" t="s">
        <v>267</v>
      </c>
      <c r="P17" s="9" t="s">
        <v>275</v>
      </c>
      <c r="Q17" s="36">
        <f t="shared" si="0"/>
        <v>0.58700000000000008</v>
      </c>
      <c r="R17" s="25">
        <f>COUNTIF(Intervention_Cause_Map!$A$2:$A$18,B17)</f>
        <v>1</v>
      </c>
      <c r="S17" s="25" t="str">
        <f t="shared" si="1"/>
        <v>OK</v>
      </c>
      <c r="U17" t="s">
        <v>297</v>
      </c>
    </row>
    <row r="18" spans="1:21" ht="25.95" customHeight="1">
      <c r="A18" s="10" t="s">
        <v>298</v>
      </c>
      <c r="B18" s="10" t="s">
        <v>172</v>
      </c>
      <c r="C18" s="10" t="s">
        <v>129</v>
      </c>
      <c r="D18" s="10" t="s">
        <v>98</v>
      </c>
      <c r="E18" s="10" t="s">
        <v>130</v>
      </c>
      <c r="F18" s="10" t="s">
        <v>173</v>
      </c>
      <c r="G18" s="56">
        <v>0.21299999999999999</v>
      </c>
      <c r="H18" s="31"/>
      <c r="I18" s="37">
        <f>IF(H18="",Assumptions!$B$5,H18)</f>
        <v>0.8</v>
      </c>
      <c r="J18" s="40">
        <f>Assumptions!$B$4</f>
        <v>2025</v>
      </c>
      <c r="K18" s="40">
        <f>Assumptions!$B$6</f>
        <v>2050</v>
      </c>
      <c r="L18" s="10" t="s">
        <v>64</v>
      </c>
      <c r="M18" s="10" t="s">
        <v>296</v>
      </c>
      <c r="N18" s="10" t="s">
        <v>266</v>
      </c>
      <c r="O18" s="10" t="s">
        <v>267</v>
      </c>
      <c r="P18" s="10" t="s">
        <v>275</v>
      </c>
      <c r="Q18" s="37">
        <f t="shared" si="0"/>
        <v>0.58700000000000008</v>
      </c>
      <c r="R18" s="26">
        <f>COUNTIF(Intervention_Cause_Map!$A$2:$A$18,B18)</f>
        <v>1</v>
      </c>
      <c r="S18" s="26" t="str">
        <f t="shared" si="1"/>
        <v>OK</v>
      </c>
      <c r="U18" t="s">
        <v>297</v>
      </c>
    </row>
  </sheetData>
  <conditionalFormatting sqref="P2:P18">
    <cfRule type="containsText" dxfId="27" priority="1" operator="containsText" text="OK"/>
    <cfRule type="containsText" dxfId="26" priority="3" operator="containsText" text="FAIL"/>
    <cfRule type="containsText" dxfId="25" priority="5" operator="containsText" text="REVIEW"/>
    <cfRule type="containsText" dxfId="24" priority="6" operator="containsText" text="BAD"/>
  </conditionalFormatting>
  <conditionalFormatting sqref="S2:S18">
    <cfRule type="containsText" dxfId="23" priority="7" operator="containsText" text="OK"/>
    <cfRule type="containsText" dxfId="22" priority="9" operator="containsText" text="FAIL"/>
    <cfRule type="containsText" dxfId="21" priority="11" operator="containsText" text="REVIEW"/>
    <cfRule type="containsText" dxfId="20" priority="12" operator="containsText" text="BAD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35"/>
  <sheetViews>
    <sheetView showGridLines="0" topLeftCell="P1" workbookViewId="0">
      <selection activeCell="U1" sqref="U1:Z35"/>
    </sheetView>
  </sheetViews>
  <sheetFormatPr defaultColWidth="8.796875" defaultRowHeight="13.8"/>
  <cols>
    <col min="1" max="1" width="24" customWidth="1"/>
    <col min="2" max="2" width="34" customWidth="1"/>
    <col min="3" max="3" width="20" customWidth="1"/>
    <col min="4" max="5" width="22" customWidth="1"/>
    <col min="6" max="6" width="14" customWidth="1"/>
    <col min="7" max="7" width="30" customWidth="1"/>
    <col min="8" max="8" width="38" customWidth="1"/>
    <col min="9" max="9" width="34" customWidth="1"/>
    <col min="10" max="10" width="52" customWidth="1"/>
    <col min="11" max="11" width="25" customWidth="1"/>
    <col min="12" max="13" width="24" customWidth="1"/>
    <col min="14" max="14" width="18" customWidth="1"/>
    <col min="15" max="16" width="12" customWidth="1"/>
    <col min="17" max="17" width="10" customWidth="1"/>
    <col min="18" max="19" width="18" customWidth="1"/>
    <col min="20" max="20" width="14" customWidth="1"/>
    <col min="21" max="21" width="22" customWidth="1"/>
    <col min="22" max="22" width="18" customWidth="1"/>
    <col min="23" max="23" width="30" customWidth="1"/>
    <col min="24" max="25" width="18" customWidth="1"/>
    <col min="26" max="26" width="58" customWidth="1"/>
    <col min="27" max="28" width="16" customWidth="1"/>
    <col min="29" max="29" width="22" customWidth="1"/>
  </cols>
  <sheetData>
    <row r="1" spans="1:33" ht="34.049999999999997" customHeight="1">
      <c r="A1" s="5" t="s">
        <v>299</v>
      </c>
      <c r="B1" s="6" t="s">
        <v>300</v>
      </c>
      <c r="C1" s="6" t="s">
        <v>301</v>
      </c>
      <c r="D1" s="6" t="s">
        <v>302</v>
      </c>
      <c r="E1" s="6" t="s">
        <v>82</v>
      </c>
      <c r="F1" s="6" t="s">
        <v>86</v>
      </c>
      <c r="G1" s="6" t="s">
        <v>139</v>
      </c>
      <c r="H1" s="6" t="s">
        <v>83</v>
      </c>
      <c r="I1" s="6" t="s">
        <v>87</v>
      </c>
      <c r="J1" s="6" t="s">
        <v>303</v>
      </c>
      <c r="K1" s="6" t="s">
        <v>304</v>
      </c>
      <c r="L1" s="6" t="s">
        <v>305</v>
      </c>
      <c r="M1" s="6" t="s">
        <v>306</v>
      </c>
      <c r="N1" s="6" t="s">
        <v>307</v>
      </c>
      <c r="O1" s="6" t="s">
        <v>181</v>
      </c>
      <c r="P1" s="6" t="s">
        <v>182</v>
      </c>
      <c r="Q1" s="6" t="s">
        <v>183</v>
      </c>
      <c r="R1" s="6" t="s">
        <v>308</v>
      </c>
      <c r="S1" s="6" t="s">
        <v>309</v>
      </c>
      <c r="T1" s="6" t="s">
        <v>310</v>
      </c>
      <c r="U1" s="6" t="s">
        <v>311</v>
      </c>
      <c r="V1" s="6" t="s">
        <v>312</v>
      </c>
      <c r="W1" s="6" t="s">
        <v>186</v>
      </c>
      <c r="X1" s="6" t="s">
        <v>187</v>
      </c>
      <c r="Y1" s="6" t="s">
        <v>188</v>
      </c>
      <c r="Z1" s="6" t="s">
        <v>142</v>
      </c>
      <c r="AA1" s="6" t="s">
        <v>189</v>
      </c>
      <c r="AB1" s="6" t="s">
        <v>313</v>
      </c>
      <c r="AC1" s="7" t="s">
        <v>190</v>
      </c>
      <c r="AD1" s="53" t="s">
        <v>314</v>
      </c>
      <c r="AE1" s="53" t="s">
        <v>315</v>
      </c>
      <c r="AF1" s="53" t="s">
        <v>262</v>
      </c>
      <c r="AG1" s="53" t="s">
        <v>263</v>
      </c>
    </row>
    <row r="2" spans="1:33" ht="22.8">
      <c r="A2" s="8" t="s">
        <v>316</v>
      </c>
      <c r="B2" s="8" t="s">
        <v>317</v>
      </c>
      <c r="C2" s="8" t="s">
        <v>318</v>
      </c>
      <c r="D2" s="32">
        <v>1</v>
      </c>
      <c r="E2" s="8" t="s">
        <v>90</v>
      </c>
      <c r="F2" s="8" t="s">
        <v>94</v>
      </c>
      <c r="G2" s="8" t="s">
        <v>144</v>
      </c>
      <c r="H2" s="8" t="s">
        <v>91</v>
      </c>
      <c r="I2" s="8" t="s">
        <v>92</v>
      </c>
      <c r="J2" s="8" t="s">
        <v>319</v>
      </c>
      <c r="K2" s="8" t="s">
        <v>320</v>
      </c>
      <c r="L2" s="30">
        <v>1</v>
      </c>
      <c r="M2" s="8" t="s">
        <v>321</v>
      </c>
      <c r="N2" s="32">
        <v>1</v>
      </c>
      <c r="O2" s="27">
        <v>5</v>
      </c>
      <c r="P2" s="27">
        <v>39</v>
      </c>
      <c r="Q2" s="8" t="s">
        <v>195</v>
      </c>
      <c r="R2" s="8" t="s">
        <v>322</v>
      </c>
      <c r="S2" s="57">
        <v>68.174792999999994</v>
      </c>
      <c r="T2" s="11">
        <v>2023</v>
      </c>
      <c r="U2" s="8">
        <v>1</v>
      </c>
      <c r="V2" s="8" t="s">
        <v>323</v>
      </c>
      <c r="W2" s="8" t="s">
        <v>324</v>
      </c>
      <c r="X2" s="8" t="s">
        <v>325</v>
      </c>
      <c r="Y2" s="8" t="s">
        <v>268</v>
      </c>
      <c r="Z2" s="8" t="s">
        <v>326</v>
      </c>
      <c r="AA2" s="24">
        <f>COUNTIF(Intervention_Cause_Map!$I$2:$I$18,G2)</f>
        <v>1</v>
      </c>
      <c r="AB2" s="24">
        <f t="shared" ref="AB2:AB35" si="0">SUMIF($B$2:$B$35,B2,$D$2:$D$35)</f>
        <v>1</v>
      </c>
      <c r="AC2" s="24" t="str">
        <f t="shared" ref="AC2:AC35" si="1">IF(AA2&lt;1,"BAD KEY",IF(S2="","MISSING COST",IF(U2=0,"REVIEW ADJUSTMENT",IF(AB2&lt;&gt;1,"CHECK SELECTION","OK"))))</f>
        <v>OK</v>
      </c>
      <c r="AD2">
        <v>1038779</v>
      </c>
      <c r="AE2">
        <v>50.857354000000001</v>
      </c>
      <c r="AF2" t="s">
        <v>327</v>
      </c>
      <c r="AG2">
        <v>769</v>
      </c>
    </row>
    <row r="3" spans="1:33" ht="34.200000000000003">
      <c r="A3" s="9" t="s">
        <v>328</v>
      </c>
      <c r="B3" s="9" t="s">
        <v>329</v>
      </c>
      <c r="C3" s="9" t="s">
        <v>318</v>
      </c>
      <c r="D3" s="33">
        <v>1</v>
      </c>
      <c r="E3" s="9" t="s">
        <v>95</v>
      </c>
      <c r="F3" s="9" t="s">
        <v>94</v>
      </c>
      <c r="G3" s="9" t="s">
        <v>147</v>
      </c>
      <c r="H3" s="9" t="s">
        <v>96</v>
      </c>
      <c r="I3" s="9" t="s">
        <v>92</v>
      </c>
      <c r="J3" s="9" t="s">
        <v>330</v>
      </c>
      <c r="K3" s="9" t="s">
        <v>320</v>
      </c>
      <c r="L3" s="14">
        <v>1</v>
      </c>
      <c r="M3" s="9" t="s">
        <v>331</v>
      </c>
      <c r="N3" s="33">
        <f>Assumptions!$B$13</f>
        <v>1</v>
      </c>
      <c r="O3" s="28">
        <v>5</v>
      </c>
      <c r="P3" s="28">
        <v>40</v>
      </c>
      <c r="Q3" s="9" t="s">
        <v>195</v>
      </c>
      <c r="R3" s="9" t="s">
        <v>332</v>
      </c>
      <c r="S3" s="58">
        <v>3766.310954</v>
      </c>
      <c r="T3" s="12">
        <v>2023</v>
      </c>
      <c r="U3" s="9">
        <v>1</v>
      </c>
      <c r="V3" s="9" t="s">
        <v>323</v>
      </c>
      <c r="W3" s="9" t="s">
        <v>324</v>
      </c>
      <c r="X3" s="9" t="s">
        <v>325</v>
      </c>
      <c r="Y3" s="9" t="s">
        <v>268</v>
      </c>
      <c r="Z3" s="9" t="s">
        <v>333</v>
      </c>
      <c r="AA3" s="25">
        <f>COUNTIF(Intervention_Cause_Map!$I$2:$I$18,G3)</f>
        <v>1</v>
      </c>
      <c r="AB3" s="25">
        <f t="shared" si="0"/>
        <v>1</v>
      </c>
      <c r="AC3" s="25" t="str">
        <f t="shared" si="1"/>
        <v>OK</v>
      </c>
      <c r="AD3">
        <v>57387280</v>
      </c>
      <c r="AE3">
        <v>12488.38616</v>
      </c>
      <c r="AF3" t="s">
        <v>334</v>
      </c>
      <c r="AG3">
        <v>65</v>
      </c>
    </row>
    <row r="4" spans="1:33" ht="45.6">
      <c r="A4" s="9" t="s">
        <v>335</v>
      </c>
      <c r="B4" s="9" t="s">
        <v>336</v>
      </c>
      <c r="C4" s="9" t="s">
        <v>337</v>
      </c>
      <c r="D4" s="33">
        <v>1</v>
      </c>
      <c r="E4" s="9" t="s">
        <v>100</v>
      </c>
      <c r="F4" s="9" t="s">
        <v>133</v>
      </c>
      <c r="G4" s="9" t="s">
        <v>150</v>
      </c>
      <c r="H4" s="9" t="s">
        <v>101</v>
      </c>
      <c r="I4" s="9" t="s">
        <v>338</v>
      </c>
      <c r="J4" s="9" t="s">
        <v>339</v>
      </c>
      <c r="K4" s="9" t="s">
        <v>340</v>
      </c>
      <c r="L4" s="14">
        <v>0.2</v>
      </c>
      <c r="M4" s="9" t="s">
        <v>341</v>
      </c>
      <c r="N4" s="33">
        <v>1</v>
      </c>
      <c r="O4" s="28">
        <v>30</v>
      </c>
      <c r="P4" s="28">
        <v>95</v>
      </c>
      <c r="Q4" s="9" t="s">
        <v>195</v>
      </c>
      <c r="R4" s="9" t="s">
        <v>322</v>
      </c>
      <c r="S4" s="41">
        <v>1.2915840000000001</v>
      </c>
      <c r="T4" s="12">
        <v>2023</v>
      </c>
      <c r="U4" s="9">
        <v>1</v>
      </c>
      <c r="V4" s="9" t="s">
        <v>342</v>
      </c>
      <c r="W4" s="9" t="s">
        <v>59</v>
      </c>
      <c r="X4" s="9" t="s">
        <v>343</v>
      </c>
      <c r="Y4" s="9" t="s">
        <v>344</v>
      </c>
      <c r="Z4" s="9" t="s">
        <v>345</v>
      </c>
      <c r="AA4" s="25">
        <f>COUNTIF(Intervention_Cause_Map!$I$2:$I$18,G4)</f>
        <v>4</v>
      </c>
      <c r="AB4" s="25">
        <f t="shared" si="0"/>
        <v>1</v>
      </c>
      <c r="AC4" s="25" t="str">
        <f t="shared" si="1"/>
        <v>OK</v>
      </c>
      <c r="AF4" t="s">
        <v>346</v>
      </c>
    </row>
    <row r="5" spans="1:33">
      <c r="A5" s="9" t="s">
        <v>347</v>
      </c>
      <c r="B5" s="9" t="s">
        <v>336</v>
      </c>
      <c r="C5" s="9" t="s">
        <v>348</v>
      </c>
      <c r="D5" s="33">
        <v>0</v>
      </c>
      <c r="E5" s="9" t="s">
        <v>100</v>
      </c>
      <c r="F5" s="9" t="s">
        <v>133</v>
      </c>
      <c r="G5" s="9" t="s">
        <v>150</v>
      </c>
      <c r="H5" s="9" t="s">
        <v>101</v>
      </c>
      <c r="I5" s="9" t="s">
        <v>338</v>
      </c>
      <c r="J5" s="9" t="s">
        <v>339</v>
      </c>
      <c r="K5" s="9" t="s">
        <v>340</v>
      </c>
      <c r="L5" s="14">
        <v>0.2</v>
      </c>
      <c r="M5" s="9" t="s">
        <v>341</v>
      </c>
      <c r="N5" s="33">
        <v>1</v>
      </c>
      <c r="O5" s="28">
        <v>30</v>
      </c>
      <c r="P5" s="28">
        <v>95</v>
      </c>
      <c r="Q5" s="9" t="s">
        <v>195</v>
      </c>
      <c r="R5" s="9" t="s">
        <v>322</v>
      </c>
      <c r="S5" s="41">
        <v>2.7665220000000001</v>
      </c>
      <c r="T5" s="12">
        <v>2023</v>
      </c>
      <c r="U5" s="9">
        <v>1</v>
      </c>
      <c r="V5" s="9" t="s">
        <v>342</v>
      </c>
      <c r="W5" s="9" t="s">
        <v>59</v>
      </c>
      <c r="X5" s="9" t="s">
        <v>349</v>
      </c>
      <c r="Y5" s="9" t="s">
        <v>350</v>
      </c>
      <c r="Z5" s="9" t="s">
        <v>351</v>
      </c>
      <c r="AA5" s="25">
        <f>COUNTIF(Intervention_Cause_Map!$I$2:$I$18,G5)</f>
        <v>4</v>
      </c>
      <c r="AB5" s="25">
        <f t="shared" si="0"/>
        <v>1</v>
      </c>
      <c r="AC5" s="25" t="str">
        <f t="shared" si="1"/>
        <v>OK</v>
      </c>
    </row>
    <row r="6" spans="1:33" ht="22.8">
      <c r="A6" s="9" t="s">
        <v>352</v>
      </c>
      <c r="B6" s="9" t="s">
        <v>353</v>
      </c>
      <c r="C6" s="9" t="s">
        <v>318</v>
      </c>
      <c r="D6" s="33">
        <v>1</v>
      </c>
      <c r="E6" s="9" t="s">
        <v>100</v>
      </c>
      <c r="F6" s="9" t="s">
        <v>133</v>
      </c>
      <c r="G6" s="9" t="s">
        <v>150</v>
      </c>
      <c r="H6" s="9" t="s">
        <v>101</v>
      </c>
      <c r="I6" s="9" t="s">
        <v>338</v>
      </c>
      <c r="J6" s="9" t="s">
        <v>354</v>
      </c>
      <c r="K6" s="9" t="s">
        <v>340</v>
      </c>
      <c r="L6" s="14">
        <v>0.06</v>
      </c>
      <c r="M6" s="9" t="s">
        <v>341</v>
      </c>
      <c r="N6" s="33">
        <v>1</v>
      </c>
      <c r="O6" s="28">
        <v>30</v>
      </c>
      <c r="P6" s="28">
        <v>95</v>
      </c>
      <c r="Q6" s="9" t="s">
        <v>195</v>
      </c>
      <c r="R6" s="9" t="s">
        <v>322</v>
      </c>
      <c r="S6" s="58">
        <v>69.304995000000005</v>
      </c>
      <c r="T6" s="12">
        <v>2023</v>
      </c>
      <c r="U6" s="9">
        <v>1</v>
      </c>
      <c r="V6" s="9" t="s">
        <v>323</v>
      </c>
      <c r="W6" s="9" t="s">
        <v>324</v>
      </c>
      <c r="X6" s="9" t="s">
        <v>325</v>
      </c>
      <c r="Y6" s="9" t="s">
        <v>268</v>
      </c>
      <c r="Z6" s="9" t="s">
        <v>326</v>
      </c>
      <c r="AA6" s="25">
        <f>COUNTIF(Intervention_Cause_Map!$I$2:$I$18,G6)</f>
        <v>4</v>
      </c>
      <c r="AB6" s="25">
        <f t="shared" si="0"/>
        <v>1</v>
      </c>
      <c r="AC6" s="25" t="str">
        <f t="shared" si="1"/>
        <v>OK</v>
      </c>
      <c r="AD6">
        <v>1056000</v>
      </c>
      <c r="AE6">
        <v>22.229600000000001</v>
      </c>
      <c r="AF6" t="s">
        <v>355</v>
      </c>
      <c r="AG6">
        <v>32889</v>
      </c>
    </row>
    <row r="7" spans="1:33">
      <c r="A7" s="9" t="s">
        <v>356</v>
      </c>
      <c r="B7" s="9" t="s">
        <v>353</v>
      </c>
      <c r="C7" s="9" t="s">
        <v>348</v>
      </c>
      <c r="D7" s="33">
        <v>0</v>
      </c>
      <c r="E7" s="9" t="s">
        <v>100</v>
      </c>
      <c r="F7" s="9" t="s">
        <v>133</v>
      </c>
      <c r="G7" s="9" t="s">
        <v>150</v>
      </c>
      <c r="H7" s="9" t="s">
        <v>101</v>
      </c>
      <c r="I7" s="9" t="s">
        <v>338</v>
      </c>
      <c r="J7" s="9" t="s">
        <v>354</v>
      </c>
      <c r="K7" s="9" t="s">
        <v>340</v>
      </c>
      <c r="L7" s="14">
        <v>0.06</v>
      </c>
      <c r="M7" s="9" t="s">
        <v>341</v>
      </c>
      <c r="N7" s="33">
        <v>1</v>
      </c>
      <c r="O7" s="28">
        <v>30</v>
      </c>
      <c r="P7" s="28">
        <v>95</v>
      </c>
      <c r="Q7" s="9" t="s">
        <v>195</v>
      </c>
      <c r="R7" s="9" t="s">
        <v>322</v>
      </c>
      <c r="S7" s="41">
        <v>40.487718999999998</v>
      </c>
      <c r="T7" s="12">
        <v>2023</v>
      </c>
      <c r="U7" s="9">
        <v>1</v>
      </c>
      <c r="V7" s="9" t="s">
        <v>342</v>
      </c>
      <c r="W7" s="9" t="s">
        <v>59</v>
      </c>
      <c r="X7" s="9" t="s">
        <v>357</v>
      </c>
      <c r="Y7" s="9" t="s">
        <v>350</v>
      </c>
      <c r="Z7" s="9" t="s">
        <v>351</v>
      </c>
      <c r="AA7" s="25">
        <f>COUNTIF(Intervention_Cause_Map!$I$2:$I$18,G7)</f>
        <v>4</v>
      </c>
      <c r="AB7" s="25">
        <f t="shared" si="0"/>
        <v>1</v>
      </c>
      <c r="AC7" s="25" t="str">
        <f t="shared" si="1"/>
        <v>OK</v>
      </c>
    </row>
    <row r="8" spans="1:33" ht="68.400000000000006">
      <c r="A8" s="9" t="s">
        <v>358</v>
      </c>
      <c r="B8" s="9" t="s">
        <v>359</v>
      </c>
      <c r="C8" s="9" t="s">
        <v>318</v>
      </c>
      <c r="D8" s="33">
        <v>1</v>
      </c>
      <c r="E8" s="9" t="s">
        <v>106</v>
      </c>
      <c r="F8" s="9" t="s">
        <v>98</v>
      </c>
      <c r="G8" s="9" t="s">
        <v>156</v>
      </c>
      <c r="H8" s="9" t="s">
        <v>107</v>
      </c>
      <c r="I8" s="9" t="s">
        <v>99</v>
      </c>
      <c r="J8" s="9" t="s">
        <v>360</v>
      </c>
      <c r="K8" s="9" t="s">
        <v>361</v>
      </c>
      <c r="L8" s="14">
        <v>0.52</v>
      </c>
      <c r="M8" s="9" t="s">
        <v>362</v>
      </c>
      <c r="N8" s="33">
        <v>1</v>
      </c>
      <c r="O8" s="28">
        <v>0</v>
      </c>
      <c r="P8" s="28">
        <v>95</v>
      </c>
      <c r="Q8" s="9" t="s">
        <v>195</v>
      </c>
      <c r="R8" s="9" t="s">
        <v>332</v>
      </c>
      <c r="S8" s="58">
        <v>677.26935300000002</v>
      </c>
      <c r="T8" s="12">
        <v>2023</v>
      </c>
      <c r="U8" s="9">
        <v>1</v>
      </c>
      <c r="V8" s="9" t="s">
        <v>323</v>
      </c>
      <c r="W8" s="9" t="s">
        <v>324</v>
      </c>
      <c r="X8" s="9" t="s">
        <v>325</v>
      </c>
      <c r="Y8" s="9" t="s">
        <v>268</v>
      </c>
      <c r="Z8" s="9" t="s">
        <v>363</v>
      </c>
      <c r="AA8" s="25">
        <f>COUNTIF(Intervention_Cause_Map!$I$2:$I$18,G8)</f>
        <v>1</v>
      </c>
      <c r="AB8" s="25">
        <f t="shared" si="0"/>
        <v>1</v>
      </c>
      <c r="AC8" s="25" t="str">
        <f t="shared" si="1"/>
        <v>OK</v>
      </c>
      <c r="AD8">
        <v>10319553</v>
      </c>
      <c r="AE8">
        <v>35.362648999999998</v>
      </c>
      <c r="AF8" t="s">
        <v>364</v>
      </c>
      <c r="AG8">
        <v>4061</v>
      </c>
    </row>
    <row r="9" spans="1:33">
      <c r="A9" s="9" t="s">
        <v>365</v>
      </c>
      <c r="B9" s="9" t="s">
        <v>359</v>
      </c>
      <c r="C9" s="9" t="s">
        <v>348</v>
      </c>
      <c r="D9" s="33">
        <v>0</v>
      </c>
      <c r="E9" s="9" t="s">
        <v>106</v>
      </c>
      <c r="F9" s="9" t="s">
        <v>98</v>
      </c>
      <c r="G9" s="9" t="s">
        <v>156</v>
      </c>
      <c r="H9" s="9" t="s">
        <v>107</v>
      </c>
      <c r="I9" s="9" t="s">
        <v>99</v>
      </c>
      <c r="J9" s="9" t="s">
        <v>360</v>
      </c>
      <c r="K9" s="9" t="s">
        <v>361</v>
      </c>
      <c r="L9" s="14">
        <v>0.52</v>
      </c>
      <c r="M9" s="9" t="s">
        <v>362</v>
      </c>
      <c r="N9" s="33">
        <v>1</v>
      </c>
      <c r="O9" s="28">
        <v>0</v>
      </c>
      <c r="P9" s="28">
        <v>95</v>
      </c>
      <c r="Q9" s="9" t="s">
        <v>195</v>
      </c>
      <c r="R9" s="9" t="s">
        <v>332</v>
      </c>
      <c r="S9" s="41">
        <v>64.943441000000007</v>
      </c>
      <c r="T9" s="12">
        <v>2023</v>
      </c>
      <c r="U9" s="9">
        <v>1</v>
      </c>
      <c r="V9" s="9" t="s">
        <v>342</v>
      </c>
      <c r="W9" s="9" t="s">
        <v>59</v>
      </c>
      <c r="X9" s="9" t="s">
        <v>366</v>
      </c>
      <c r="Y9" s="9" t="s">
        <v>350</v>
      </c>
      <c r="Z9" s="9" t="s">
        <v>351</v>
      </c>
      <c r="AA9" s="25">
        <f>COUNTIF(Intervention_Cause_Map!$I$2:$I$18,G9)</f>
        <v>1</v>
      </c>
      <c r="AB9" s="25">
        <f t="shared" si="0"/>
        <v>1</v>
      </c>
      <c r="AC9" s="25" t="str">
        <f t="shared" si="1"/>
        <v>OK</v>
      </c>
    </row>
    <row r="10" spans="1:33" ht="22.8">
      <c r="A10" s="9" t="s">
        <v>367</v>
      </c>
      <c r="B10" s="9" t="s">
        <v>368</v>
      </c>
      <c r="C10" s="9" t="s">
        <v>318</v>
      </c>
      <c r="D10" s="33">
        <v>1</v>
      </c>
      <c r="E10" s="9" t="s">
        <v>106</v>
      </c>
      <c r="F10" s="9" t="s">
        <v>98</v>
      </c>
      <c r="G10" s="9" t="s">
        <v>156</v>
      </c>
      <c r="H10" s="9" t="s">
        <v>107</v>
      </c>
      <c r="I10" s="9" t="s">
        <v>99</v>
      </c>
      <c r="J10" s="9" t="s">
        <v>369</v>
      </c>
      <c r="K10" s="9" t="s">
        <v>320</v>
      </c>
      <c r="L10" s="14">
        <v>1</v>
      </c>
      <c r="M10" s="9" t="s">
        <v>321</v>
      </c>
      <c r="N10" s="33">
        <v>1</v>
      </c>
      <c r="O10" s="28">
        <v>0</v>
      </c>
      <c r="P10" s="28">
        <v>95</v>
      </c>
      <c r="Q10" s="9" t="s">
        <v>195</v>
      </c>
      <c r="R10" s="9" t="s">
        <v>332</v>
      </c>
      <c r="S10" s="58">
        <v>77.628668000000005</v>
      </c>
      <c r="T10" s="12">
        <v>2023</v>
      </c>
      <c r="U10" s="9">
        <v>1</v>
      </c>
      <c r="V10" s="9" t="s">
        <v>323</v>
      </c>
      <c r="W10" s="9" t="s">
        <v>324</v>
      </c>
      <c r="X10" s="9" t="s">
        <v>325</v>
      </c>
      <c r="Y10" s="9" t="s">
        <v>268</v>
      </c>
      <c r="Z10" s="9" t="s">
        <v>326</v>
      </c>
      <c r="AA10" s="25">
        <f>COUNTIF(Intervention_Cause_Map!$I$2:$I$18,G10)</f>
        <v>1</v>
      </c>
      <c r="AB10" s="25">
        <f t="shared" si="0"/>
        <v>1</v>
      </c>
      <c r="AC10" s="25" t="str">
        <f t="shared" si="1"/>
        <v>OK</v>
      </c>
      <c r="AD10">
        <v>1182828</v>
      </c>
      <c r="AE10">
        <v>119.721487</v>
      </c>
      <c r="AF10" t="s">
        <v>370</v>
      </c>
      <c r="AG10">
        <v>13330</v>
      </c>
    </row>
    <row r="11" spans="1:33" ht="22.8">
      <c r="A11" s="9" t="s">
        <v>371</v>
      </c>
      <c r="B11" s="9" t="s">
        <v>372</v>
      </c>
      <c r="C11" s="9" t="s">
        <v>318</v>
      </c>
      <c r="D11" s="33">
        <v>1</v>
      </c>
      <c r="E11" s="9" t="s">
        <v>106</v>
      </c>
      <c r="F11" s="9" t="s">
        <v>98</v>
      </c>
      <c r="G11" s="9" t="s">
        <v>156</v>
      </c>
      <c r="H11" s="9" t="s">
        <v>107</v>
      </c>
      <c r="I11" s="9" t="s">
        <v>99</v>
      </c>
      <c r="J11" s="9" t="s">
        <v>373</v>
      </c>
      <c r="K11" s="9" t="s">
        <v>320</v>
      </c>
      <c r="L11" s="14">
        <v>1</v>
      </c>
      <c r="M11" s="9" t="s">
        <v>321</v>
      </c>
      <c r="N11" s="33">
        <v>1</v>
      </c>
      <c r="O11" s="28">
        <v>0</v>
      </c>
      <c r="P11" s="28">
        <v>95</v>
      </c>
      <c r="Q11" s="9" t="s">
        <v>195</v>
      </c>
      <c r="R11" s="9" t="s">
        <v>332</v>
      </c>
      <c r="S11" s="58">
        <v>213.29056800000001</v>
      </c>
      <c r="T11" s="12">
        <v>2023</v>
      </c>
      <c r="U11" s="9">
        <v>1</v>
      </c>
      <c r="V11" s="9" t="s">
        <v>323</v>
      </c>
      <c r="W11" s="9" t="s">
        <v>324</v>
      </c>
      <c r="X11" s="9" t="s">
        <v>325</v>
      </c>
      <c r="Y11" s="9" t="s">
        <v>268</v>
      </c>
      <c r="Z11" s="9" t="s">
        <v>326</v>
      </c>
      <c r="AA11" s="25">
        <f>COUNTIF(Intervention_Cause_Map!$I$2:$I$18,G11)</f>
        <v>1</v>
      </c>
      <c r="AB11" s="25">
        <f t="shared" si="0"/>
        <v>1</v>
      </c>
      <c r="AC11" s="25" t="str">
        <f t="shared" si="1"/>
        <v>OK</v>
      </c>
      <c r="AD11">
        <v>3249908</v>
      </c>
      <c r="AE11">
        <v>36.463997999999997</v>
      </c>
      <c r="AF11" t="s">
        <v>374</v>
      </c>
      <c r="AG11">
        <v>7700</v>
      </c>
    </row>
    <row r="12" spans="1:33" ht="68.400000000000006">
      <c r="A12" s="9" t="s">
        <v>375</v>
      </c>
      <c r="B12" s="9" t="s">
        <v>376</v>
      </c>
      <c r="C12" s="9" t="s">
        <v>318</v>
      </c>
      <c r="D12" s="33">
        <v>1</v>
      </c>
      <c r="E12" s="9" t="s">
        <v>112</v>
      </c>
      <c r="F12" s="9" t="s">
        <v>104</v>
      </c>
      <c r="G12" s="9" t="s">
        <v>158</v>
      </c>
      <c r="H12" s="9" t="s">
        <v>113</v>
      </c>
      <c r="I12" s="9" t="s">
        <v>105</v>
      </c>
      <c r="J12" s="9" t="s">
        <v>360</v>
      </c>
      <c r="K12" s="9" t="s">
        <v>361</v>
      </c>
      <c r="L12" s="14">
        <v>0.52</v>
      </c>
      <c r="M12" s="9" t="s">
        <v>362</v>
      </c>
      <c r="N12" s="33">
        <v>1</v>
      </c>
      <c r="O12" s="28">
        <v>30</v>
      </c>
      <c r="P12" s="28">
        <v>95</v>
      </c>
      <c r="Q12" s="9" t="s">
        <v>195</v>
      </c>
      <c r="R12" s="9" t="s">
        <v>332</v>
      </c>
      <c r="S12" s="58">
        <v>574.50203999999997</v>
      </c>
      <c r="T12" s="12">
        <v>2023</v>
      </c>
      <c r="U12" s="9">
        <v>1</v>
      </c>
      <c r="V12" s="9" t="s">
        <v>323</v>
      </c>
      <c r="W12" s="9" t="s">
        <v>324</v>
      </c>
      <c r="X12" s="9" t="s">
        <v>325</v>
      </c>
      <c r="Y12" s="9" t="s">
        <v>268</v>
      </c>
      <c r="Z12" s="9" t="s">
        <v>363</v>
      </c>
      <c r="AA12" s="25">
        <f>COUNTIF(Intervention_Cause_Map!$I$2:$I$18,G12)</f>
        <v>1</v>
      </c>
      <c r="AB12" s="25">
        <f t="shared" si="0"/>
        <v>1</v>
      </c>
      <c r="AC12" s="25" t="str">
        <f t="shared" si="1"/>
        <v>OK</v>
      </c>
      <c r="AD12">
        <v>8753688</v>
      </c>
      <c r="AE12">
        <v>186.479792</v>
      </c>
      <c r="AF12" t="s">
        <v>377</v>
      </c>
      <c r="AG12">
        <v>2947</v>
      </c>
    </row>
    <row r="13" spans="1:33" ht="22.8">
      <c r="A13" s="9" t="s">
        <v>378</v>
      </c>
      <c r="B13" s="9" t="s">
        <v>379</v>
      </c>
      <c r="C13" s="9" t="s">
        <v>318</v>
      </c>
      <c r="D13" s="33">
        <v>1</v>
      </c>
      <c r="E13" s="9" t="s">
        <v>112</v>
      </c>
      <c r="F13" s="9" t="s">
        <v>104</v>
      </c>
      <c r="G13" s="9" t="s">
        <v>158</v>
      </c>
      <c r="H13" s="9" t="s">
        <v>113</v>
      </c>
      <c r="I13" s="9" t="s">
        <v>105</v>
      </c>
      <c r="J13" s="9" t="s">
        <v>380</v>
      </c>
      <c r="K13" s="9" t="s">
        <v>320</v>
      </c>
      <c r="L13" s="14">
        <v>0.5</v>
      </c>
      <c r="M13" s="9" t="s">
        <v>321</v>
      </c>
      <c r="N13" s="33">
        <v>1</v>
      </c>
      <c r="O13" s="28">
        <v>30</v>
      </c>
      <c r="P13" s="28">
        <v>95</v>
      </c>
      <c r="Q13" s="9" t="s">
        <v>195</v>
      </c>
      <c r="R13" s="9" t="s">
        <v>332</v>
      </c>
      <c r="S13" s="58">
        <v>71.302158000000006</v>
      </c>
      <c r="T13" s="12">
        <v>2023</v>
      </c>
      <c r="U13" s="9">
        <v>1</v>
      </c>
      <c r="V13" s="9" t="s">
        <v>323</v>
      </c>
      <c r="W13" s="9" t="s">
        <v>324</v>
      </c>
      <c r="X13" s="9" t="s">
        <v>325</v>
      </c>
      <c r="Y13" s="9" t="s">
        <v>268</v>
      </c>
      <c r="Z13" s="9" t="s">
        <v>326</v>
      </c>
      <c r="AA13" s="25">
        <f>COUNTIF(Intervention_Cause_Map!$I$2:$I$18,G13)</f>
        <v>1</v>
      </c>
      <c r="AB13" s="25">
        <f t="shared" si="0"/>
        <v>1</v>
      </c>
      <c r="AC13" s="25" t="str">
        <f t="shared" si="1"/>
        <v>OK</v>
      </c>
      <c r="AD13">
        <v>1086431</v>
      </c>
      <c r="AE13">
        <v>35.362648999999998</v>
      </c>
      <c r="AF13" t="s">
        <v>381</v>
      </c>
      <c r="AG13">
        <v>4819</v>
      </c>
    </row>
    <row r="14" spans="1:33">
      <c r="A14" s="9" t="s">
        <v>382</v>
      </c>
      <c r="B14" s="9" t="s">
        <v>379</v>
      </c>
      <c r="C14" s="9" t="s">
        <v>348</v>
      </c>
      <c r="D14" s="33">
        <v>0</v>
      </c>
      <c r="E14" s="9" t="s">
        <v>112</v>
      </c>
      <c r="F14" s="9" t="s">
        <v>104</v>
      </c>
      <c r="G14" s="9" t="s">
        <v>158</v>
      </c>
      <c r="H14" s="9" t="s">
        <v>113</v>
      </c>
      <c r="I14" s="9" t="s">
        <v>105</v>
      </c>
      <c r="J14" s="9" t="s">
        <v>380</v>
      </c>
      <c r="K14" s="9" t="s">
        <v>320</v>
      </c>
      <c r="L14" s="14">
        <v>0.5</v>
      </c>
      <c r="M14" s="9" t="s">
        <v>321</v>
      </c>
      <c r="N14" s="33">
        <v>1</v>
      </c>
      <c r="O14" s="28">
        <v>30</v>
      </c>
      <c r="P14" s="28">
        <v>95</v>
      </c>
      <c r="Q14" s="9" t="s">
        <v>195</v>
      </c>
      <c r="R14" s="9" t="s">
        <v>332</v>
      </c>
      <c r="S14" s="41">
        <v>64.943441000000007</v>
      </c>
      <c r="T14" s="12">
        <v>2023</v>
      </c>
      <c r="U14" s="9">
        <v>1</v>
      </c>
      <c r="V14" s="9" t="s">
        <v>342</v>
      </c>
      <c r="W14" s="9" t="s">
        <v>59</v>
      </c>
      <c r="X14" s="9" t="s">
        <v>383</v>
      </c>
      <c r="Y14" s="9" t="s">
        <v>350</v>
      </c>
      <c r="Z14" s="9" t="s">
        <v>351</v>
      </c>
      <c r="AA14" s="25">
        <f>COUNTIF(Intervention_Cause_Map!$I$2:$I$18,G14)</f>
        <v>1</v>
      </c>
      <c r="AB14" s="25">
        <f t="shared" si="0"/>
        <v>1</v>
      </c>
      <c r="AC14" s="25" t="str">
        <f t="shared" si="1"/>
        <v>OK</v>
      </c>
    </row>
    <row r="15" spans="1:33" ht="22.8">
      <c r="A15" s="9" t="s">
        <v>384</v>
      </c>
      <c r="B15" s="9" t="s">
        <v>385</v>
      </c>
      <c r="C15" s="9" t="s">
        <v>318</v>
      </c>
      <c r="D15" s="33">
        <v>1</v>
      </c>
      <c r="E15" s="9" t="s">
        <v>112</v>
      </c>
      <c r="F15" s="9" t="s">
        <v>104</v>
      </c>
      <c r="G15" s="9" t="s">
        <v>158</v>
      </c>
      <c r="H15" s="9" t="s">
        <v>113</v>
      </c>
      <c r="I15" s="9" t="s">
        <v>105</v>
      </c>
      <c r="J15" s="9" t="s">
        <v>386</v>
      </c>
      <c r="K15" s="9" t="s">
        <v>320</v>
      </c>
      <c r="L15" s="14">
        <v>0.5</v>
      </c>
      <c r="M15" s="9" t="s">
        <v>321</v>
      </c>
      <c r="N15" s="33">
        <v>1</v>
      </c>
      <c r="O15" s="28">
        <v>30</v>
      </c>
      <c r="P15" s="28">
        <v>95</v>
      </c>
      <c r="Q15" s="9" t="s">
        <v>195</v>
      </c>
      <c r="R15" s="9" t="s">
        <v>332</v>
      </c>
      <c r="S15" s="58">
        <v>172.27746099999999</v>
      </c>
      <c r="T15" s="12">
        <v>2023</v>
      </c>
      <c r="U15" s="9">
        <v>1</v>
      </c>
      <c r="V15" s="9" t="s">
        <v>323</v>
      </c>
      <c r="W15" s="9" t="s">
        <v>324</v>
      </c>
      <c r="X15" s="9" t="s">
        <v>325</v>
      </c>
      <c r="Y15" s="9" t="s">
        <v>268</v>
      </c>
      <c r="Z15" s="9" t="s">
        <v>326</v>
      </c>
      <c r="AA15" s="25">
        <f>COUNTIF(Intervention_Cause_Map!$I$2:$I$18,G15)</f>
        <v>1</v>
      </c>
      <c r="AB15" s="25">
        <f t="shared" si="0"/>
        <v>1</v>
      </c>
      <c r="AC15" s="25" t="str">
        <f t="shared" si="1"/>
        <v>OK</v>
      </c>
      <c r="AD15">
        <v>2624992</v>
      </c>
      <c r="AE15">
        <v>119.721487</v>
      </c>
      <c r="AF15" t="s">
        <v>387</v>
      </c>
      <c r="AG15">
        <v>2196</v>
      </c>
    </row>
    <row r="16" spans="1:33" ht="68.400000000000006">
      <c r="A16" s="9" t="s">
        <v>388</v>
      </c>
      <c r="B16" s="9" t="s">
        <v>389</v>
      </c>
      <c r="C16" s="9" t="s">
        <v>318</v>
      </c>
      <c r="D16" s="33">
        <v>1</v>
      </c>
      <c r="E16" s="9" t="s">
        <v>112</v>
      </c>
      <c r="F16" s="9" t="s">
        <v>110</v>
      </c>
      <c r="G16" s="9" t="s">
        <v>160</v>
      </c>
      <c r="H16" s="9" t="s">
        <v>113</v>
      </c>
      <c r="I16" s="9" t="s">
        <v>111</v>
      </c>
      <c r="J16" s="9" t="s">
        <v>360</v>
      </c>
      <c r="K16" s="9" t="s">
        <v>361</v>
      </c>
      <c r="L16" s="14">
        <v>0.52</v>
      </c>
      <c r="M16" s="9" t="s">
        <v>362</v>
      </c>
      <c r="N16" s="33">
        <v>1</v>
      </c>
      <c r="O16" s="28">
        <v>30</v>
      </c>
      <c r="P16" s="28">
        <v>95</v>
      </c>
      <c r="Q16" s="9" t="s">
        <v>195</v>
      </c>
      <c r="R16" s="9" t="s">
        <v>332</v>
      </c>
      <c r="S16" s="58">
        <v>1035.004856</v>
      </c>
      <c r="T16" s="12">
        <v>2023</v>
      </c>
      <c r="U16" s="9">
        <v>1</v>
      </c>
      <c r="V16" s="9" t="s">
        <v>323</v>
      </c>
      <c r="W16" s="9" t="s">
        <v>324</v>
      </c>
      <c r="X16" s="9" t="s">
        <v>325</v>
      </c>
      <c r="Y16" s="9" t="s">
        <v>268</v>
      </c>
      <c r="Z16" s="9" t="s">
        <v>363</v>
      </c>
      <c r="AA16" s="25">
        <f>COUNTIF(Intervention_Cause_Map!$I$2:$I$18,G16)</f>
        <v>1</v>
      </c>
      <c r="AB16" s="25">
        <f t="shared" si="0"/>
        <v>1</v>
      </c>
      <c r="AC16" s="25" t="str">
        <f t="shared" si="1"/>
        <v>OK</v>
      </c>
      <c r="AD16">
        <v>15770369</v>
      </c>
      <c r="AE16">
        <v>550.94828900000005</v>
      </c>
      <c r="AF16" t="s">
        <v>390</v>
      </c>
      <c r="AG16">
        <v>745</v>
      </c>
    </row>
    <row r="17" spans="1:33">
      <c r="A17" s="9" t="s">
        <v>391</v>
      </c>
      <c r="B17" s="9" t="s">
        <v>389</v>
      </c>
      <c r="C17" s="9" t="s">
        <v>348</v>
      </c>
      <c r="D17" s="33">
        <v>0</v>
      </c>
      <c r="E17" s="9" t="s">
        <v>112</v>
      </c>
      <c r="F17" s="9" t="s">
        <v>110</v>
      </c>
      <c r="G17" s="9" t="s">
        <v>160</v>
      </c>
      <c r="H17" s="9" t="s">
        <v>113</v>
      </c>
      <c r="I17" s="9" t="s">
        <v>111</v>
      </c>
      <c r="J17" s="9" t="s">
        <v>360</v>
      </c>
      <c r="K17" s="9" t="s">
        <v>361</v>
      </c>
      <c r="L17" s="14">
        <v>0.52</v>
      </c>
      <c r="M17" s="9" t="s">
        <v>362</v>
      </c>
      <c r="N17" s="33">
        <v>1</v>
      </c>
      <c r="O17" s="28">
        <v>30</v>
      </c>
      <c r="P17" s="28">
        <v>95</v>
      </c>
      <c r="Q17" s="9" t="s">
        <v>195</v>
      </c>
      <c r="R17" s="9" t="s">
        <v>332</v>
      </c>
      <c r="S17" s="41">
        <v>900.25859000000003</v>
      </c>
      <c r="T17" s="12">
        <v>2023</v>
      </c>
      <c r="U17" s="9">
        <v>1</v>
      </c>
      <c r="V17" s="9" t="s">
        <v>342</v>
      </c>
      <c r="W17" s="9" t="s">
        <v>59</v>
      </c>
      <c r="X17" s="9" t="s">
        <v>392</v>
      </c>
      <c r="Y17" s="9" t="s">
        <v>350</v>
      </c>
      <c r="Z17" s="9" t="s">
        <v>351</v>
      </c>
      <c r="AA17" s="25">
        <f>COUNTIF(Intervention_Cause_Map!$I$2:$I$18,G17)</f>
        <v>1</v>
      </c>
      <c r="AB17" s="25">
        <f t="shared" si="0"/>
        <v>1</v>
      </c>
      <c r="AC17" s="25" t="str">
        <f t="shared" si="1"/>
        <v>OK</v>
      </c>
    </row>
    <row r="18" spans="1:33" ht="22.8">
      <c r="A18" s="9" t="s">
        <v>393</v>
      </c>
      <c r="B18" s="9" t="s">
        <v>394</v>
      </c>
      <c r="C18" s="9" t="s">
        <v>318</v>
      </c>
      <c r="D18" s="33">
        <v>1</v>
      </c>
      <c r="E18" s="9" t="s">
        <v>112</v>
      </c>
      <c r="F18" s="9" t="s">
        <v>110</v>
      </c>
      <c r="G18" s="9" t="s">
        <v>160</v>
      </c>
      <c r="H18" s="9" t="s">
        <v>113</v>
      </c>
      <c r="I18" s="9" t="s">
        <v>111</v>
      </c>
      <c r="J18" s="9" t="s">
        <v>380</v>
      </c>
      <c r="K18" s="9" t="s">
        <v>320</v>
      </c>
      <c r="L18" s="14">
        <v>0.5</v>
      </c>
      <c r="M18" s="9" t="s">
        <v>321</v>
      </c>
      <c r="N18" s="33">
        <v>1</v>
      </c>
      <c r="O18" s="28">
        <v>30</v>
      </c>
      <c r="P18" s="28">
        <v>95</v>
      </c>
      <c r="Q18" s="9" t="s">
        <v>195</v>
      </c>
      <c r="R18" s="9" t="s">
        <v>332</v>
      </c>
      <c r="S18" s="58">
        <v>56.227229000000001</v>
      </c>
      <c r="T18" s="12">
        <v>2023</v>
      </c>
      <c r="U18" s="9">
        <v>1</v>
      </c>
      <c r="V18" s="9" t="s">
        <v>323</v>
      </c>
      <c r="W18" s="9" t="s">
        <v>324</v>
      </c>
      <c r="X18" s="9" t="s">
        <v>325</v>
      </c>
      <c r="Y18" s="9" t="s">
        <v>268</v>
      </c>
      <c r="Z18" s="9" t="s">
        <v>326</v>
      </c>
      <c r="AA18" s="25">
        <f>COUNTIF(Intervention_Cause_Map!$I$2:$I$18,G18)</f>
        <v>1</v>
      </c>
      <c r="AB18" s="25">
        <f t="shared" si="0"/>
        <v>1</v>
      </c>
      <c r="AC18" s="25" t="str">
        <f t="shared" si="1"/>
        <v>OK</v>
      </c>
      <c r="AD18">
        <v>856734</v>
      </c>
      <c r="AE18">
        <v>35.362648999999998</v>
      </c>
      <c r="AF18" t="s">
        <v>395</v>
      </c>
      <c r="AG18">
        <v>738</v>
      </c>
    </row>
    <row r="19" spans="1:33">
      <c r="A19" s="9" t="s">
        <v>396</v>
      </c>
      <c r="B19" s="9" t="s">
        <v>394</v>
      </c>
      <c r="C19" s="9" t="s">
        <v>348</v>
      </c>
      <c r="D19" s="33">
        <v>0</v>
      </c>
      <c r="E19" s="9" t="s">
        <v>112</v>
      </c>
      <c r="F19" s="9" t="s">
        <v>110</v>
      </c>
      <c r="G19" s="9" t="s">
        <v>160</v>
      </c>
      <c r="H19" s="9" t="s">
        <v>113</v>
      </c>
      <c r="I19" s="9" t="s">
        <v>111</v>
      </c>
      <c r="J19" s="9" t="s">
        <v>380</v>
      </c>
      <c r="K19" s="9" t="s">
        <v>320</v>
      </c>
      <c r="L19" s="14">
        <v>0.5</v>
      </c>
      <c r="M19" s="9" t="s">
        <v>321</v>
      </c>
      <c r="N19" s="33">
        <v>1</v>
      </c>
      <c r="O19" s="28">
        <v>30</v>
      </c>
      <c r="P19" s="28">
        <v>95</v>
      </c>
      <c r="Q19" s="9" t="s">
        <v>195</v>
      </c>
      <c r="R19" s="9" t="s">
        <v>332</v>
      </c>
      <c r="S19" s="41">
        <v>64.943441000000007</v>
      </c>
      <c r="T19" s="12">
        <v>2023</v>
      </c>
      <c r="U19" s="9">
        <v>1</v>
      </c>
      <c r="V19" s="9" t="s">
        <v>342</v>
      </c>
      <c r="W19" s="9" t="s">
        <v>59</v>
      </c>
      <c r="X19" s="9" t="s">
        <v>397</v>
      </c>
      <c r="Y19" s="9" t="s">
        <v>350</v>
      </c>
      <c r="Z19" s="9" t="s">
        <v>351</v>
      </c>
      <c r="AA19" s="25">
        <f>COUNTIF(Intervention_Cause_Map!$I$2:$I$18,G19)</f>
        <v>1</v>
      </c>
      <c r="AB19" s="25">
        <f t="shared" si="0"/>
        <v>1</v>
      </c>
      <c r="AC19" s="25" t="str">
        <f t="shared" si="1"/>
        <v>OK</v>
      </c>
    </row>
    <row r="20" spans="1:33" ht="34.200000000000003">
      <c r="A20" s="9" t="s">
        <v>398</v>
      </c>
      <c r="B20" s="9" t="s">
        <v>399</v>
      </c>
      <c r="C20" s="9" t="s">
        <v>318</v>
      </c>
      <c r="D20" s="33">
        <v>1</v>
      </c>
      <c r="E20" s="9" t="s">
        <v>112</v>
      </c>
      <c r="F20" s="9" t="s">
        <v>110</v>
      </c>
      <c r="G20" s="9" t="s">
        <v>160</v>
      </c>
      <c r="H20" s="9" t="s">
        <v>113</v>
      </c>
      <c r="I20" s="9" t="s">
        <v>111</v>
      </c>
      <c r="J20" s="9" t="s">
        <v>386</v>
      </c>
      <c r="K20" s="9" t="s">
        <v>320</v>
      </c>
      <c r="L20" s="14">
        <v>0.5</v>
      </c>
      <c r="M20" s="9" t="s">
        <v>321</v>
      </c>
      <c r="N20" s="33">
        <v>1</v>
      </c>
      <c r="O20" s="28">
        <v>30</v>
      </c>
      <c r="P20" s="28">
        <v>95</v>
      </c>
      <c r="Q20" s="9" t="s">
        <v>195</v>
      </c>
      <c r="R20" s="9" t="s">
        <v>332</v>
      </c>
      <c r="S20" s="58">
        <v>272.78860100000003</v>
      </c>
      <c r="T20" s="12">
        <v>2023</v>
      </c>
      <c r="U20" s="9">
        <v>1</v>
      </c>
      <c r="V20" s="9" t="s">
        <v>323</v>
      </c>
      <c r="W20" s="9" t="s">
        <v>324</v>
      </c>
      <c r="X20" s="9" t="s">
        <v>325</v>
      </c>
      <c r="Y20" s="9" t="s">
        <v>268</v>
      </c>
      <c r="Z20" s="9" t="s">
        <v>400</v>
      </c>
      <c r="AA20" s="25">
        <f>COUNTIF(Intervention_Cause_Map!$I$2:$I$18,G20)</f>
        <v>1</v>
      </c>
      <c r="AB20" s="25">
        <f t="shared" si="0"/>
        <v>1</v>
      </c>
      <c r="AC20" s="25" t="str">
        <f t="shared" si="1"/>
        <v>OK</v>
      </c>
      <c r="AD20">
        <v>4156480</v>
      </c>
      <c r="AE20">
        <v>119.721487</v>
      </c>
      <c r="AF20" t="s">
        <v>401</v>
      </c>
      <c r="AG20">
        <v>214</v>
      </c>
    </row>
    <row r="21" spans="1:33" ht="22.8">
      <c r="A21" s="9" t="s">
        <v>402</v>
      </c>
      <c r="B21" s="9" t="s">
        <v>403</v>
      </c>
      <c r="C21" s="9" t="s">
        <v>318</v>
      </c>
      <c r="D21" s="33">
        <v>1</v>
      </c>
      <c r="E21" s="9" t="s">
        <v>117</v>
      </c>
      <c r="F21" s="9" t="s">
        <v>98</v>
      </c>
      <c r="G21" s="9" t="s">
        <v>161</v>
      </c>
      <c r="H21" s="9" t="s">
        <v>118</v>
      </c>
      <c r="I21" s="9" t="s">
        <v>99</v>
      </c>
      <c r="J21" s="9" t="s">
        <v>404</v>
      </c>
      <c r="K21" s="9" t="s">
        <v>320</v>
      </c>
      <c r="L21" s="14">
        <v>0.1</v>
      </c>
      <c r="M21" s="9" t="s">
        <v>405</v>
      </c>
      <c r="N21" s="33">
        <v>1</v>
      </c>
      <c r="O21" s="28">
        <v>30</v>
      </c>
      <c r="P21" s="28">
        <v>95</v>
      </c>
      <c r="Q21" s="9" t="s">
        <v>195</v>
      </c>
      <c r="R21" s="9" t="s">
        <v>332</v>
      </c>
      <c r="S21" s="58">
        <v>575.48694599999999</v>
      </c>
      <c r="T21" s="12">
        <v>2023</v>
      </c>
      <c r="U21" s="9">
        <v>1</v>
      </c>
      <c r="V21" s="9" t="s">
        <v>323</v>
      </c>
      <c r="W21" s="9" t="s">
        <v>324</v>
      </c>
      <c r="X21" s="9" t="s">
        <v>325</v>
      </c>
      <c r="Y21" s="9" t="s">
        <v>268</v>
      </c>
      <c r="Z21" s="9" t="s">
        <v>326</v>
      </c>
      <c r="AA21" s="25">
        <f>COUNTIF(Intervention_Cause_Map!$I$2:$I$18,G21)</f>
        <v>1</v>
      </c>
      <c r="AB21" s="25">
        <f t="shared" si="0"/>
        <v>1</v>
      </c>
      <c r="AC21" s="25" t="str">
        <f t="shared" si="1"/>
        <v>OK</v>
      </c>
      <c r="AD21">
        <v>8768695</v>
      </c>
      <c r="AE21">
        <v>282.51283599999999</v>
      </c>
      <c r="AF21" t="s">
        <v>406</v>
      </c>
      <c r="AG21">
        <v>3813</v>
      </c>
    </row>
    <row r="22" spans="1:33" ht="22.8">
      <c r="A22" s="9" t="s">
        <v>407</v>
      </c>
      <c r="B22" s="9" t="s">
        <v>408</v>
      </c>
      <c r="C22" s="9" t="s">
        <v>318</v>
      </c>
      <c r="D22" s="33">
        <v>1</v>
      </c>
      <c r="E22" s="9" t="s">
        <v>117</v>
      </c>
      <c r="F22" s="9" t="s">
        <v>115</v>
      </c>
      <c r="G22" s="9" t="s">
        <v>163</v>
      </c>
      <c r="H22" s="9" t="s">
        <v>118</v>
      </c>
      <c r="I22" s="9" t="s">
        <v>116</v>
      </c>
      <c r="J22" s="9" t="s">
        <v>404</v>
      </c>
      <c r="K22" s="9" t="s">
        <v>320</v>
      </c>
      <c r="L22" s="14">
        <v>0.5</v>
      </c>
      <c r="M22" s="9" t="s">
        <v>405</v>
      </c>
      <c r="N22" s="33">
        <v>1</v>
      </c>
      <c r="O22" s="28">
        <v>30</v>
      </c>
      <c r="P22" s="28">
        <v>95</v>
      </c>
      <c r="Q22" s="9" t="s">
        <v>195</v>
      </c>
      <c r="R22" s="9" t="s">
        <v>332</v>
      </c>
      <c r="S22" s="58">
        <v>575.48694599999999</v>
      </c>
      <c r="T22" s="12">
        <v>2023</v>
      </c>
      <c r="U22" s="9">
        <v>1</v>
      </c>
      <c r="V22" s="9" t="s">
        <v>323</v>
      </c>
      <c r="W22" s="9" t="s">
        <v>324</v>
      </c>
      <c r="X22" s="9" t="s">
        <v>325</v>
      </c>
      <c r="Y22" s="9" t="s">
        <v>268</v>
      </c>
      <c r="Z22" s="9" t="s">
        <v>326</v>
      </c>
      <c r="AA22" s="25">
        <f>COUNTIF(Intervention_Cause_Map!$I$2:$I$18,G22)</f>
        <v>1</v>
      </c>
      <c r="AB22" s="25">
        <f t="shared" si="0"/>
        <v>1</v>
      </c>
      <c r="AC22" s="25" t="str">
        <f t="shared" si="1"/>
        <v>OK</v>
      </c>
      <c r="AD22">
        <v>8768695</v>
      </c>
      <c r="AE22">
        <v>282.51283599999999</v>
      </c>
      <c r="AF22" t="s">
        <v>406</v>
      </c>
      <c r="AG22">
        <v>3813</v>
      </c>
    </row>
    <row r="23" spans="1:33" ht="22.8">
      <c r="A23" s="9" t="s">
        <v>409</v>
      </c>
      <c r="B23" s="9" t="s">
        <v>410</v>
      </c>
      <c r="C23" s="9" t="s">
        <v>318</v>
      </c>
      <c r="D23" s="33">
        <v>1</v>
      </c>
      <c r="E23" s="9" t="s">
        <v>117</v>
      </c>
      <c r="F23" s="9" t="s">
        <v>121</v>
      </c>
      <c r="G23" s="9" t="s">
        <v>165</v>
      </c>
      <c r="H23" s="9" t="s">
        <v>118</v>
      </c>
      <c r="I23" s="9" t="s">
        <v>122</v>
      </c>
      <c r="J23" s="9" t="s">
        <v>404</v>
      </c>
      <c r="K23" s="9" t="s">
        <v>320</v>
      </c>
      <c r="L23" s="14">
        <v>0.5</v>
      </c>
      <c r="M23" s="9" t="s">
        <v>405</v>
      </c>
      <c r="N23" s="33">
        <v>1</v>
      </c>
      <c r="O23" s="28">
        <v>30</v>
      </c>
      <c r="P23" s="28">
        <v>95</v>
      </c>
      <c r="Q23" s="9" t="s">
        <v>195</v>
      </c>
      <c r="R23" s="9" t="s">
        <v>332</v>
      </c>
      <c r="S23" s="58">
        <v>575.48694599999999</v>
      </c>
      <c r="T23" s="12">
        <v>2023</v>
      </c>
      <c r="U23" s="9">
        <v>1</v>
      </c>
      <c r="V23" s="9" t="s">
        <v>323</v>
      </c>
      <c r="W23" s="9" t="s">
        <v>324</v>
      </c>
      <c r="X23" s="9" t="s">
        <v>325</v>
      </c>
      <c r="Y23" s="9" t="s">
        <v>268</v>
      </c>
      <c r="Z23" s="9" t="s">
        <v>326</v>
      </c>
      <c r="AA23" s="25">
        <f>COUNTIF(Intervention_Cause_Map!$I$2:$I$18,G23)</f>
        <v>1</v>
      </c>
      <c r="AB23" s="25">
        <f t="shared" si="0"/>
        <v>1</v>
      </c>
      <c r="AC23" s="25" t="str">
        <f t="shared" si="1"/>
        <v>OK</v>
      </c>
      <c r="AD23">
        <v>8768695</v>
      </c>
      <c r="AE23">
        <v>282.51283599999999</v>
      </c>
      <c r="AF23" t="s">
        <v>406</v>
      </c>
      <c r="AG23">
        <v>3813</v>
      </c>
    </row>
    <row r="24" spans="1:33" ht="22.8">
      <c r="A24" s="9" t="s">
        <v>411</v>
      </c>
      <c r="B24" s="9" t="s">
        <v>412</v>
      </c>
      <c r="C24" s="9" t="s">
        <v>413</v>
      </c>
      <c r="D24" s="33">
        <v>1</v>
      </c>
      <c r="E24" s="9" t="s">
        <v>123</v>
      </c>
      <c r="F24" s="9" t="s">
        <v>121</v>
      </c>
      <c r="G24" s="9" t="s">
        <v>169</v>
      </c>
      <c r="H24" s="9" t="s">
        <v>124</v>
      </c>
      <c r="I24" s="9" t="s">
        <v>122</v>
      </c>
      <c r="J24" s="9" t="s">
        <v>414</v>
      </c>
      <c r="K24" s="9" t="s">
        <v>320</v>
      </c>
      <c r="L24" s="14">
        <v>1</v>
      </c>
      <c r="M24" s="9" t="s">
        <v>321</v>
      </c>
      <c r="N24" s="33">
        <v>1</v>
      </c>
      <c r="O24" s="28">
        <v>0</v>
      </c>
      <c r="P24" s="28">
        <v>95</v>
      </c>
      <c r="Q24" s="9" t="s">
        <v>195</v>
      </c>
      <c r="R24" s="9" t="s">
        <v>332</v>
      </c>
      <c r="S24" s="41">
        <v>5.133311</v>
      </c>
      <c r="T24" s="12">
        <v>2023</v>
      </c>
      <c r="U24" s="9">
        <v>1</v>
      </c>
      <c r="V24" s="9" t="s">
        <v>415</v>
      </c>
      <c r="W24" s="9" t="s">
        <v>59</v>
      </c>
      <c r="X24" s="9" t="s">
        <v>416</v>
      </c>
      <c r="Y24" s="9" t="s">
        <v>344</v>
      </c>
      <c r="Z24" s="9" t="s">
        <v>417</v>
      </c>
      <c r="AA24" s="25">
        <f>COUNTIF(Intervention_Cause_Map!$I$2:$I$18,G24)</f>
        <v>1</v>
      </c>
      <c r="AB24" s="25">
        <f t="shared" si="0"/>
        <v>1</v>
      </c>
      <c r="AC24" s="25" t="str">
        <f t="shared" si="1"/>
        <v>OK</v>
      </c>
      <c r="AF24" t="s">
        <v>346</v>
      </c>
    </row>
    <row r="25" spans="1:33" ht="25.95" customHeight="1">
      <c r="A25" s="9" t="s">
        <v>418</v>
      </c>
      <c r="B25" s="9" t="s">
        <v>419</v>
      </c>
      <c r="C25" s="9" t="s">
        <v>318</v>
      </c>
      <c r="D25" s="33">
        <v>1</v>
      </c>
      <c r="E25" s="9" t="s">
        <v>123</v>
      </c>
      <c r="F25" s="9" t="s">
        <v>121</v>
      </c>
      <c r="G25" s="9" t="s">
        <v>169</v>
      </c>
      <c r="H25" s="9" t="s">
        <v>124</v>
      </c>
      <c r="I25" s="9" t="s">
        <v>122</v>
      </c>
      <c r="J25" s="9" t="s">
        <v>380</v>
      </c>
      <c r="K25" s="9" t="s">
        <v>320</v>
      </c>
      <c r="L25" s="14">
        <v>1</v>
      </c>
      <c r="M25" s="9" t="s">
        <v>321</v>
      </c>
      <c r="N25" s="33">
        <v>1</v>
      </c>
      <c r="O25" s="28">
        <v>0</v>
      </c>
      <c r="P25" s="28">
        <v>95</v>
      </c>
      <c r="Q25" s="9" t="s">
        <v>195</v>
      </c>
      <c r="R25" s="9" t="s">
        <v>332</v>
      </c>
      <c r="S25" s="58">
        <v>69.384409000000005</v>
      </c>
      <c r="T25" s="12">
        <v>2023</v>
      </c>
      <c r="U25" s="9">
        <v>1</v>
      </c>
      <c r="V25" s="9" t="s">
        <v>323</v>
      </c>
      <c r="W25" s="9" t="s">
        <v>324</v>
      </c>
      <c r="X25" s="9" t="s">
        <v>325</v>
      </c>
      <c r="Y25" s="9" t="s">
        <v>268</v>
      </c>
      <c r="Z25" s="9" t="s">
        <v>326</v>
      </c>
      <c r="AA25" s="25">
        <f>COUNTIF(Intervention_Cause_Map!$I$2:$I$18,G25)</f>
        <v>1</v>
      </c>
      <c r="AB25" s="25">
        <f t="shared" si="0"/>
        <v>1</v>
      </c>
      <c r="AC25" s="25" t="str">
        <f t="shared" si="1"/>
        <v>OK</v>
      </c>
      <c r="AD25">
        <v>1057210</v>
      </c>
      <c r="AE25">
        <v>35.362648999999998</v>
      </c>
      <c r="AF25" t="s">
        <v>420</v>
      </c>
      <c r="AG25">
        <v>10040</v>
      </c>
    </row>
    <row r="26" spans="1:33" ht="25.95" customHeight="1">
      <c r="A26" s="9" t="s">
        <v>421</v>
      </c>
      <c r="B26" s="9" t="s">
        <v>419</v>
      </c>
      <c r="C26" s="9" t="s">
        <v>348</v>
      </c>
      <c r="D26" s="33">
        <v>0</v>
      </c>
      <c r="E26" s="9" t="s">
        <v>123</v>
      </c>
      <c r="F26" s="9" t="s">
        <v>121</v>
      </c>
      <c r="G26" s="9" t="s">
        <v>169</v>
      </c>
      <c r="H26" s="9" t="s">
        <v>124</v>
      </c>
      <c r="I26" s="9" t="s">
        <v>122</v>
      </c>
      <c r="J26" s="9" t="s">
        <v>380</v>
      </c>
      <c r="K26" s="9" t="s">
        <v>320</v>
      </c>
      <c r="L26" s="14">
        <v>1</v>
      </c>
      <c r="M26" s="9" t="s">
        <v>321</v>
      </c>
      <c r="N26" s="33">
        <v>1</v>
      </c>
      <c r="O26" s="28">
        <v>0</v>
      </c>
      <c r="P26" s="28">
        <v>95</v>
      </c>
      <c r="Q26" s="9" t="s">
        <v>195</v>
      </c>
      <c r="R26" s="9" t="s">
        <v>332</v>
      </c>
      <c r="S26" s="41">
        <v>64.943441000000007</v>
      </c>
      <c r="T26" s="12">
        <v>2023</v>
      </c>
      <c r="U26" s="9">
        <v>1</v>
      </c>
      <c r="V26" s="9" t="s">
        <v>342</v>
      </c>
      <c r="W26" s="9" t="s">
        <v>59</v>
      </c>
      <c r="X26" s="9" t="s">
        <v>422</v>
      </c>
      <c r="Y26" s="9" t="s">
        <v>350</v>
      </c>
      <c r="Z26" s="9" t="s">
        <v>351</v>
      </c>
      <c r="AA26" s="25">
        <f>COUNTIF(Intervention_Cause_Map!$I$2:$I$18,G26)</f>
        <v>1</v>
      </c>
      <c r="AB26" s="25">
        <f t="shared" si="0"/>
        <v>1</v>
      </c>
      <c r="AC26" s="25" t="str">
        <f t="shared" si="1"/>
        <v>OK</v>
      </c>
    </row>
    <row r="27" spans="1:33" ht="22.8">
      <c r="A27" s="9" t="s">
        <v>423</v>
      </c>
      <c r="B27" s="9" t="s">
        <v>424</v>
      </c>
      <c r="C27" s="9" t="s">
        <v>318</v>
      </c>
      <c r="D27" s="33">
        <v>1</v>
      </c>
      <c r="E27" s="9" t="s">
        <v>123</v>
      </c>
      <c r="F27" s="9" t="s">
        <v>121</v>
      </c>
      <c r="G27" s="9" t="s">
        <v>169</v>
      </c>
      <c r="H27" s="9" t="s">
        <v>124</v>
      </c>
      <c r="I27" s="9" t="s">
        <v>122</v>
      </c>
      <c r="J27" s="9" t="s">
        <v>425</v>
      </c>
      <c r="K27" s="9" t="s">
        <v>320</v>
      </c>
      <c r="L27" s="14">
        <v>1</v>
      </c>
      <c r="M27" s="9" t="s">
        <v>321</v>
      </c>
      <c r="N27" s="33">
        <v>1</v>
      </c>
      <c r="O27" s="28">
        <v>0</v>
      </c>
      <c r="P27" s="28">
        <v>95</v>
      </c>
      <c r="Q27" s="9" t="s">
        <v>195</v>
      </c>
      <c r="R27" s="9" t="s">
        <v>332</v>
      </c>
      <c r="S27" s="58">
        <v>152.889884</v>
      </c>
      <c r="T27" s="12">
        <v>2023</v>
      </c>
      <c r="U27" s="9">
        <v>1</v>
      </c>
      <c r="V27" s="9" t="s">
        <v>323</v>
      </c>
      <c r="W27" s="9" t="s">
        <v>324</v>
      </c>
      <c r="X27" s="9" t="s">
        <v>325</v>
      </c>
      <c r="Y27" s="9" t="s">
        <v>268</v>
      </c>
      <c r="Z27" s="9" t="s">
        <v>326</v>
      </c>
      <c r="AA27" s="25">
        <f>COUNTIF(Intervention_Cause_Map!$I$2:$I$18,G27)</f>
        <v>1</v>
      </c>
      <c r="AB27" s="25">
        <f t="shared" si="0"/>
        <v>1</v>
      </c>
      <c r="AC27" s="25" t="str">
        <f t="shared" si="1"/>
        <v>OK</v>
      </c>
      <c r="AD27">
        <v>2329583</v>
      </c>
      <c r="AE27">
        <v>115.10623099999999</v>
      </c>
      <c r="AF27" t="s">
        <v>426</v>
      </c>
      <c r="AG27">
        <v>5783</v>
      </c>
    </row>
    <row r="28" spans="1:33" ht="22.8">
      <c r="A28" s="9" t="s">
        <v>427</v>
      </c>
      <c r="B28" s="9" t="s">
        <v>428</v>
      </c>
      <c r="C28" s="9" t="s">
        <v>413</v>
      </c>
      <c r="D28" s="33">
        <v>1</v>
      </c>
      <c r="E28" s="9" t="s">
        <v>123</v>
      </c>
      <c r="F28" s="9" t="s">
        <v>115</v>
      </c>
      <c r="G28" s="9" t="s">
        <v>168</v>
      </c>
      <c r="H28" s="9" t="s">
        <v>124</v>
      </c>
      <c r="I28" s="9" t="s">
        <v>116</v>
      </c>
      <c r="J28" s="9" t="s">
        <v>414</v>
      </c>
      <c r="K28" s="9" t="s">
        <v>320</v>
      </c>
      <c r="L28" s="14">
        <v>1</v>
      </c>
      <c r="M28" s="9" t="s">
        <v>321</v>
      </c>
      <c r="N28" s="33">
        <v>1</v>
      </c>
      <c r="O28" s="28">
        <v>30</v>
      </c>
      <c r="P28" s="28">
        <v>95</v>
      </c>
      <c r="Q28" s="9" t="s">
        <v>195</v>
      </c>
      <c r="R28" s="9" t="s">
        <v>332</v>
      </c>
      <c r="S28" s="41">
        <v>5.133311</v>
      </c>
      <c r="T28" s="12">
        <v>2023</v>
      </c>
      <c r="U28" s="9">
        <v>1</v>
      </c>
      <c r="V28" s="9" t="s">
        <v>415</v>
      </c>
      <c r="W28" s="9" t="s">
        <v>59</v>
      </c>
      <c r="X28" s="9" t="s">
        <v>429</v>
      </c>
      <c r="Y28" s="9" t="s">
        <v>344</v>
      </c>
      <c r="Z28" s="9" t="s">
        <v>417</v>
      </c>
      <c r="AA28" s="25">
        <f>COUNTIF(Intervention_Cause_Map!$I$2:$I$18,G28)</f>
        <v>1</v>
      </c>
      <c r="AB28" s="25">
        <f t="shared" si="0"/>
        <v>1</v>
      </c>
      <c r="AC28" s="25" t="str">
        <f t="shared" si="1"/>
        <v>OK</v>
      </c>
      <c r="AF28" t="s">
        <v>346</v>
      </c>
    </row>
    <row r="29" spans="1:33" ht="25.95" customHeight="1">
      <c r="A29" s="9" t="s">
        <v>430</v>
      </c>
      <c r="B29" s="9" t="s">
        <v>431</v>
      </c>
      <c r="C29" s="9" t="s">
        <v>318</v>
      </c>
      <c r="D29" s="33">
        <v>1</v>
      </c>
      <c r="E29" s="9" t="s">
        <v>123</v>
      </c>
      <c r="F29" s="9" t="s">
        <v>115</v>
      </c>
      <c r="G29" s="9" t="s">
        <v>168</v>
      </c>
      <c r="H29" s="9" t="s">
        <v>124</v>
      </c>
      <c r="I29" s="9" t="s">
        <v>116</v>
      </c>
      <c r="J29" s="9" t="s">
        <v>380</v>
      </c>
      <c r="K29" s="9" t="s">
        <v>320</v>
      </c>
      <c r="L29" s="14">
        <v>1</v>
      </c>
      <c r="M29" s="9" t="s">
        <v>321</v>
      </c>
      <c r="N29" s="33">
        <v>1</v>
      </c>
      <c r="O29" s="28">
        <v>30</v>
      </c>
      <c r="P29" s="28">
        <v>95</v>
      </c>
      <c r="Q29" s="9" t="s">
        <v>195</v>
      </c>
      <c r="R29" s="9" t="s">
        <v>332</v>
      </c>
      <c r="S29" s="58">
        <v>69.384409000000005</v>
      </c>
      <c r="T29" s="12">
        <v>2023</v>
      </c>
      <c r="U29" s="9">
        <v>1</v>
      </c>
      <c r="V29" s="9" t="s">
        <v>323</v>
      </c>
      <c r="W29" s="9" t="s">
        <v>324</v>
      </c>
      <c r="X29" s="9" t="s">
        <v>325</v>
      </c>
      <c r="Y29" s="9" t="s">
        <v>268</v>
      </c>
      <c r="Z29" s="9" t="s">
        <v>326</v>
      </c>
      <c r="AA29" s="25">
        <f>COUNTIF(Intervention_Cause_Map!$I$2:$I$18,G29)</f>
        <v>1</v>
      </c>
      <c r="AB29" s="25">
        <f t="shared" si="0"/>
        <v>1</v>
      </c>
      <c r="AC29" s="25" t="str">
        <f t="shared" si="1"/>
        <v>OK</v>
      </c>
      <c r="AD29">
        <v>1057210</v>
      </c>
      <c r="AE29">
        <v>35.362648999999998</v>
      </c>
      <c r="AF29" t="s">
        <v>420</v>
      </c>
      <c r="AG29">
        <v>10040</v>
      </c>
    </row>
    <row r="30" spans="1:33" ht="25.95" customHeight="1">
      <c r="A30" s="9" t="s">
        <v>432</v>
      </c>
      <c r="B30" s="9" t="s">
        <v>431</v>
      </c>
      <c r="C30" s="9" t="s">
        <v>348</v>
      </c>
      <c r="D30" s="33">
        <v>0</v>
      </c>
      <c r="E30" s="9" t="s">
        <v>123</v>
      </c>
      <c r="F30" s="9" t="s">
        <v>115</v>
      </c>
      <c r="G30" s="9" t="s">
        <v>168</v>
      </c>
      <c r="H30" s="9" t="s">
        <v>124</v>
      </c>
      <c r="I30" s="9" t="s">
        <v>116</v>
      </c>
      <c r="J30" s="9" t="s">
        <v>380</v>
      </c>
      <c r="K30" s="9" t="s">
        <v>320</v>
      </c>
      <c r="L30" s="14">
        <v>1</v>
      </c>
      <c r="M30" s="9" t="s">
        <v>321</v>
      </c>
      <c r="N30" s="33">
        <v>1</v>
      </c>
      <c r="O30" s="28">
        <v>30</v>
      </c>
      <c r="P30" s="28">
        <v>95</v>
      </c>
      <c r="Q30" s="9" t="s">
        <v>195</v>
      </c>
      <c r="R30" s="9" t="s">
        <v>332</v>
      </c>
      <c r="S30" s="41">
        <v>64.943441000000007</v>
      </c>
      <c r="T30" s="12">
        <v>2023</v>
      </c>
      <c r="U30" s="9">
        <v>1</v>
      </c>
      <c r="V30" s="9" t="s">
        <v>342</v>
      </c>
      <c r="W30" s="9" t="s">
        <v>59</v>
      </c>
      <c r="X30" s="9" t="s">
        <v>433</v>
      </c>
      <c r="Y30" s="9" t="s">
        <v>350</v>
      </c>
      <c r="Z30" s="9" t="s">
        <v>351</v>
      </c>
      <c r="AA30" s="25">
        <f>COUNTIF(Intervention_Cause_Map!$I$2:$I$18,G30)</f>
        <v>1</v>
      </c>
      <c r="AB30" s="25">
        <f t="shared" si="0"/>
        <v>1</v>
      </c>
      <c r="AC30" s="25" t="str">
        <f t="shared" si="1"/>
        <v>OK</v>
      </c>
    </row>
    <row r="31" spans="1:33" ht="22.8">
      <c r="A31" s="9" t="s">
        <v>434</v>
      </c>
      <c r="B31" s="9" t="s">
        <v>435</v>
      </c>
      <c r="C31" s="9" t="s">
        <v>318</v>
      </c>
      <c r="D31" s="33">
        <v>1</v>
      </c>
      <c r="E31" s="9" t="s">
        <v>123</v>
      </c>
      <c r="F31" s="9" t="s">
        <v>115</v>
      </c>
      <c r="G31" s="9" t="s">
        <v>168</v>
      </c>
      <c r="H31" s="9" t="s">
        <v>124</v>
      </c>
      <c r="I31" s="9" t="s">
        <v>116</v>
      </c>
      <c r="J31" s="9" t="s">
        <v>425</v>
      </c>
      <c r="K31" s="9" t="s">
        <v>320</v>
      </c>
      <c r="L31" s="14">
        <v>1</v>
      </c>
      <c r="M31" s="9" t="s">
        <v>321</v>
      </c>
      <c r="N31" s="33">
        <v>1</v>
      </c>
      <c r="O31" s="28">
        <v>0</v>
      </c>
      <c r="P31" s="28">
        <v>95</v>
      </c>
      <c r="Q31" s="9" t="s">
        <v>195</v>
      </c>
      <c r="R31" s="9" t="s">
        <v>332</v>
      </c>
      <c r="S31" s="58">
        <v>152.889884</v>
      </c>
      <c r="T31" s="12">
        <v>2023</v>
      </c>
      <c r="U31" s="9">
        <v>1</v>
      </c>
      <c r="V31" s="9" t="s">
        <v>323</v>
      </c>
      <c r="W31" s="9" t="s">
        <v>324</v>
      </c>
      <c r="X31" s="9" t="s">
        <v>325</v>
      </c>
      <c r="Y31" s="9" t="s">
        <v>268</v>
      </c>
      <c r="Z31" s="9" t="s">
        <v>326</v>
      </c>
      <c r="AA31" s="25">
        <f>COUNTIF(Intervention_Cause_Map!$I$2:$I$18,G31)</f>
        <v>1</v>
      </c>
      <c r="AB31" s="25">
        <f t="shared" si="0"/>
        <v>1</v>
      </c>
      <c r="AC31" s="25" t="str">
        <f t="shared" si="1"/>
        <v>OK</v>
      </c>
      <c r="AD31">
        <v>2329583</v>
      </c>
      <c r="AE31">
        <v>115.10623099999999</v>
      </c>
      <c r="AF31" t="s">
        <v>426</v>
      </c>
      <c r="AG31">
        <v>5783</v>
      </c>
    </row>
    <row r="32" spans="1:33" ht="22.8">
      <c r="A32" s="9" t="s">
        <v>436</v>
      </c>
      <c r="B32" s="9" t="s">
        <v>437</v>
      </c>
      <c r="C32" s="9" t="s">
        <v>413</v>
      </c>
      <c r="D32" s="33">
        <v>1</v>
      </c>
      <c r="E32" s="9" t="s">
        <v>123</v>
      </c>
      <c r="F32" s="9" t="s">
        <v>98</v>
      </c>
      <c r="G32" s="9" t="s">
        <v>167</v>
      </c>
      <c r="H32" s="9" t="s">
        <v>124</v>
      </c>
      <c r="I32" s="9" t="s">
        <v>99</v>
      </c>
      <c r="J32" s="9" t="s">
        <v>414</v>
      </c>
      <c r="K32" s="9" t="s">
        <v>320</v>
      </c>
      <c r="L32" s="14">
        <v>0.2</v>
      </c>
      <c r="M32" s="9" t="s">
        <v>321</v>
      </c>
      <c r="N32" s="33">
        <v>1</v>
      </c>
      <c r="O32" s="28">
        <v>30</v>
      </c>
      <c r="P32" s="28">
        <v>95</v>
      </c>
      <c r="Q32" s="9" t="s">
        <v>195</v>
      </c>
      <c r="R32" s="9" t="s">
        <v>332</v>
      </c>
      <c r="S32" s="41">
        <v>5.133311</v>
      </c>
      <c r="T32" s="12">
        <v>2023</v>
      </c>
      <c r="U32" s="9">
        <v>1</v>
      </c>
      <c r="V32" s="9" t="s">
        <v>415</v>
      </c>
      <c r="W32" s="9" t="s">
        <v>59</v>
      </c>
      <c r="X32" s="9" t="s">
        <v>438</v>
      </c>
      <c r="Y32" s="9" t="s">
        <v>344</v>
      </c>
      <c r="Z32" s="9" t="s">
        <v>417</v>
      </c>
      <c r="AA32" s="25">
        <f>COUNTIF(Intervention_Cause_Map!$I$2:$I$18,G32)</f>
        <v>1</v>
      </c>
      <c r="AB32" s="25">
        <f t="shared" si="0"/>
        <v>1</v>
      </c>
      <c r="AC32" s="25" t="str">
        <f t="shared" si="1"/>
        <v>OK</v>
      </c>
      <c r="AF32" t="s">
        <v>346</v>
      </c>
    </row>
    <row r="33" spans="1:33" ht="22.8">
      <c r="A33" s="9" t="s">
        <v>439</v>
      </c>
      <c r="B33" s="9" t="s">
        <v>440</v>
      </c>
      <c r="C33" s="9" t="s">
        <v>318</v>
      </c>
      <c r="D33" s="33">
        <v>1</v>
      </c>
      <c r="E33" s="9" t="s">
        <v>123</v>
      </c>
      <c r="F33" s="9" t="s">
        <v>98</v>
      </c>
      <c r="G33" s="9" t="s">
        <v>167</v>
      </c>
      <c r="H33" s="9" t="s">
        <v>124</v>
      </c>
      <c r="I33" s="9" t="s">
        <v>99</v>
      </c>
      <c r="J33" s="9" t="s">
        <v>380</v>
      </c>
      <c r="K33" s="9" t="s">
        <v>320</v>
      </c>
      <c r="L33" s="14">
        <v>0.2</v>
      </c>
      <c r="M33" s="9" t="s">
        <v>321</v>
      </c>
      <c r="N33" s="33">
        <v>1</v>
      </c>
      <c r="O33" s="28">
        <v>30</v>
      </c>
      <c r="P33" s="28">
        <v>95</v>
      </c>
      <c r="Q33" s="9" t="s">
        <v>195</v>
      </c>
      <c r="R33" s="9" t="s">
        <v>332</v>
      </c>
      <c r="S33" s="58">
        <v>69.384409000000005</v>
      </c>
      <c r="T33" s="12">
        <v>2023</v>
      </c>
      <c r="U33" s="9">
        <v>1</v>
      </c>
      <c r="V33" s="9" t="s">
        <v>323</v>
      </c>
      <c r="W33" s="9" t="s">
        <v>324</v>
      </c>
      <c r="X33" s="9" t="s">
        <v>325</v>
      </c>
      <c r="Y33" s="9" t="s">
        <v>268</v>
      </c>
      <c r="Z33" s="9" t="s">
        <v>326</v>
      </c>
      <c r="AA33" s="25">
        <f>COUNTIF(Intervention_Cause_Map!$I$2:$I$18,G33)</f>
        <v>1</v>
      </c>
      <c r="AB33" s="25">
        <f t="shared" si="0"/>
        <v>1</v>
      </c>
      <c r="AC33" s="25" t="str">
        <f t="shared" si="1"/>
        <v>OK</v>
      </c>
      <c r="AD33">
        <v>1057210</v>
      </c>
      <c r="AF33" t="s">
        <v>441</v>
      </c>
      <c r="AG33">
        <v>10040</v>
      </c>
    </row>
    <row r="34" spans="1:33" ht="22.8">
      <c r="A34" s="9" t="s">
        <v>442</v>
      </c>
      <c r="B34" s="9" t="s">
        <v>443</v>
      </c>
      <c r="C34" s="9" t="s">
        <v>318</v>
      </c>
      <c r="D34" s="33">
        <v>1</v>
      </c>
      <c r="E34" s="9" t="s">
        <v>123</v>
      </c>
      <c r="F34" s="9" t="s">
        <v>98</v>
      </c>
      <c r="G34" s="9" t="s">
        <v>167</v>
      </c>
      <c r="H34" s="9" t="s">
        <v>124</v>
      </c>
      <c r="I34" s="9" t="s">
        <v>99</v>
      </c>
      <c r="J34" s="9" t="s">
        <v>425</v>
      </c>
      <c r="K34" s="9" t="s">
        <v>320</v>
      </c>
      <c r="L34" s="14">
        <v>0.2</v>
      </c>
      <c r="M34" s="9" t="s">
        <v>321</v>
      </c>
      <c r="N34" s="33">
        <v>1</v>
      </c>
      <c r="O34" s="28">
        <v>30</v>
      </c>
      <c r="P34" s="28">
        <v>95</v>
      </c>
      <c r="Q34" s="9" t="s">
        <v>195</v>
      </c>
      <c r="R34" s="9" t="s">
        <v>332</v>
      </c>
      <c r="S34" s="58">
        <v>152.889884</v>
      </c>
      <c r="T34" s="12">
        <v>2023</v>
      </c>
      <c r="U34" s="9">
        <v>1</v>
      </c>
      <c r="V34" s="9" t="s">
        <v>323</v>
      </c>
      <c r="W34" s="9" t="s">
        <v>324</v>
      </c>
      <c r="X34" s="9" t="s">
        <v>325</v>
      </c>
      <c r="Y34" s="9" t="s">
        <v>268</v>
      </c>
      <c r="Z34" s="9" t="s">
        <v>326</v>
      </c>
      <c r="AA34" s="25">
        <f>COUNTIF(Intervention_Cause_Map!$I$2:$I$18,G34)</f>
        <v>1</v>
      </c>
      <c r="AB34" s="25">
        <f t="shared" si="0"/>
        <v>1</v>
      </c>
      <c r="AC34" s="25" t="str">
        <f t="shared" si="1"/>
        <v>OK</v>
      </c>
      <c r="AD34">
        <v>2329583</v>
      </c>
      <c r="AE34">
        <v>29.216218999999999</v>
      </c>
      <c r="AF34" t="s">
        <v>426</v>
      </c>
      <c r="AG34">
        <v>5783</v>
      </c>
    </row>
    <row r="35" spans="1:33" ht="22.8">
      <c r="A35" s="10" t="s">
        <v>444</v>
      </c>
      <c r="B35" s="10" t="s">
        <v>445</v>
      </c>
      <c r="C35" s="10" t="s">
        <v>318</v>
      </c>
      <c r="D35" s="34">
        <v>1</v>
      </c>
      <c r="E35" s="10" t="s">
        <v>129</v>
      </c>
      <c r="F35" s="10" t="s">
        <v>126</v>
      </c>
      <c r="G35" s="10" t="s">
        <v>170</v>
      </c>
      <c r="H35" s="10" t="s">
        <v>130</v>
      </c>
      <c r="I35" s="10" t="s">
        <v>127</v>
      </c>
      <c r="J35" s="10" t="s">
        <v>446</v>
      </c>
      <c r="K35" s="10" t="s">
        <v>320</v>
      </c>
      <c r="L35" s="31">
        <v>0.8</v>
      </c>
      <c r="M35" s="10" t="s">
        <v>321</v>
      </c>
      <c r="N35" s="34">
        <v>1</v>
      </c>
      <c r="O35" s="29">
        <v>0</v>
      </c>
      <c r="P35" s="29">
        <v>95</v>
      </c>
      <c r="Q35" s="10" t="s">
        <v>195</v>
      </c>
      <c r="R35" s="10" t="s">
        <v>322</v>
      </c>
      <c r="S35" s="59">
        <v>82.677092999999999</v>
      </c>
      <c r="T35" s="13">
        <v>2023</v>
      </c>
      <c r="U35" s="10">
        <v>1</v>
      </c>
      <c r="V35" s="10" t="s">
        <v>323</v>
      </c>
      <c r="W35" s="10" t="s">
        <v>324</v>
      </c>
      <c r="X35" s="10" t="s">
        <v>325</v>
      </c>
      <c r="Y35" s="10" t="s">
        <v>268</v>
      </c>
      <c r="Z35" s="10" t="s">
        <v>326</v>
      </c>
      <c r="AA35" s="26">
        <f>COUNTIF(Intervention_Cause_Map!$I$2:$I$18,G35)</f>
        <v>2</v>
      </c>
      <c r="AB35" s="26">
        <f t="shared" si="0"/>
        <v>1</v>
      </c>
      <c r="AC35" s="26" t="str">
        <f t="shared" si="1"/>
        <v>OK</v>
      </c>
      <c r="AD35">
        <v>1259751</v>
      </c>
      <c r="AE35">
        <v>176.67</v>
      </c>
      <c r="AF35" t="s">
        <v>447</v>
      </c>
      <c r="AG35">
        <v>18126</v>
      </c>
    </row>
  </sheetData>
  <conditionalFormatting sqref="Y2:Y35">
    <cfRule type="containsText" dxfId="19" priority="1" operator="containsText" text="OK"/>
    <cfRule type="containsText" dxfId="18" priority="3" operator="containsText" text="FAIL"/>
    <cfRule type="containsText" dxfId="17" priority="5" operator="containsText" text="REVIEW"/>
    <cfRule type="containsText" dxfId="16" priority="6" operator="containsText" text="BAD"/>
  </conditionalFormatting>
  <conditionalFormatting sqref="AC2:AC35">
    <cfRule type="containsText" dxfId="15" priority="7" operator="containsText" text="OK"/>
    <cfRule type="containsText" dxfId="14" priority="9" operator="containsText" text="FAIL"/>
    <cfRule type="containsText" dxfId="13" priority="11" operator="containsText" text="REVIEW"/>
    <cfRule type="containsText" dxfId="12" priority="12" operator="containsText" text="BAD"/>
  </conditionalFormatting>
  <dataValidations count="1">
    <dataValidation type="list" sqref="D2:D35" xr:uid="{00000000-0002-0000-0600-000000000000}">
      <formula1>"0,1"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39997558519241921"/>
  </sheetPr>
  <dimension ref="A1:Q18"/>
  <sheetViews>
    <sheetView showGridLines="0" workbookViewId="0">
      <selection activeCell="G17" sqref="G17"/>
    </sheetView>
  </sheetViews>
  <sheetFormatPr defaultColWidth="8.796875" defaultRowHeight="13.8"/>
  <cols>
    <col min="1" max="1" width="30" customWidth="1"/>
    <col min="2" max="3" width="38" customWidth="1"/>
    <col min="4" max="5" width="18" customWidth="1"/>
    <col min="6" max="6" width="15" customWidth="1"/>
    <col min="7" max="7" width="17" customWidth="1"/>
    <col min="8" max="10" width="18" customWidth="1"/>
    <col min="11" max="11" width="22" customWidth="1"/>
    <col min="12" max="12" width="26" customWidth="1"/>
    <col min="13" max="13" width="30" customWidth="1"/>
    <col min="14" max="14" width="20" customWidth="1"/>
    <col min="15" max="15" width="22" customWidth="1"/>
    <col min="16" max="16" width="24" customWidth="1"/>
    <col min="17" max="17" width="20" customWidth="1"/>
  </cols>
  <sheetData>
    <row r="1" spans="1:17" ht="34.049999999999997" customHeight="1">
      <c r="A1" s="5" t="s">
        <v>136</v>
      </c>
      <c r="B1" s="6" t="s">
        <v>83</v>
      </c>
      <c r="C1" s="6" t="s">
        <v>87</v>
      </c>
      <c r="D1" s="6" t="s">
        <v>176</v>
      </c>
      <c r="E1" s="6" t="s">
        <v>177</v>
      </c>
      <c r="F1" s="6" t="s">
        <v>179</v>
      </c>
      <c r="G1" s="6" t="s">
        <v>180</v>
      </c>
      <c r="H1" s="6" t="s">
        <v>252</v>
      </c>
      <c r="I1" s="6" t="s">
        <v>254</v>
      </c>
      <c r="J1" s="6" t="s">
        <v>448</v>
      </c>
      <c r="K1" s="6" t="s">
        <v>449</v>
      </c>
      <c r="L1" s="6" t="s">
        <v>450</v>
      </c>
      <c r="M1" s="6" t="s">
        <v>139</v>
      </c>
      <c r="N1" s="6" t="s">
        <v>140</v>
      </c>
      <c r="O1" s="6" t="s">
        <v>451</v>
      </c>
      <c r="P1" s="6" t="s">
        <v>452</v>
      </c>
      <c r="Q1" s="7" t="s">
        <v>188</v>
      </c>
    </row>
    <row r="2" spans="1:17">
      <c r="A2" s="8" t="s">
        <v>144</v>
      </c>
      <c r="B2" s="8" t="s">
        <v>91</v>
      </c>
      <c r="C2" s="8" t="s">
        <v>92</v>
      </c>
      <c r="D2" s="24" t="str">
        <f>INDEX(Effect_Sizes!$G$2:$G$18,MATCH(A2,Effect_Sizes!$B$2:$B$18,0))</f>
        <v>sick</v>
      </c>
      <c r="E2" s="24" t="str">
        <f>INDEX(Effect_Sizes!$H$2:$H$18,MATCH(A2,Effect_Sizes!$B$2:$B$18,0))</f>
        <v>dead_rhd</v>
      </c>
      <c r="F2" s="35">
        <f>SUMIF(Effect_Sizes!$B$2:$B$18,A2,Effect_Sizes!$J$2:$J$18)</f>
        <v>0.55000000000000004</v>
      </c>
      <c r="G2" s="35">
        <f>SUMIF(Effect_Sizes!$B$2:$B$18,A2,Effect_Sizes!$K$2:$K$18)</f>
        <v>1</v>
      </c>
      <c r="H2" s="35">
        <f>SUMIF(Coverage!$B$2:$B$18,A2,Coverage!$G$2:$G$18)</f>
        <v>0.40110000000000001</v>
      </c>
      <c r="I2" s="35">
        <f>SUMIF(Coverage!$B$2:$B$18,A2,Coverage!$I$2:$I$18)</f>
        <v>0.8</v>
      </c>
      <c r="J2" s="35">
        <f t="shared" ref="J2:J18" si="0">IF(H2="","",I2-H2)</f>
        <v>0.39890000000000003</v>
      </c>
      <c r="K2" s="35">
        <f t="shared" ref="K2:K18" si="1">IF(OR(H2="",F2=""),"",F2*J2/(1-F2*H2))</f>
        <v>0.28149397930446057</v>
      </c>
      <c r="L2" s="35">
        <f t="shared" ref="L2:L18" si="2">IF(K2="","",K2*G2)</f>
        <v>0.28149397930446057</v>
      </c>
      <c r="M2" s="24" t="s">
        <v>144</v>
      </c>
      <c r="N2" s="24" t="s">
        <v>145</v>
      </c>
      <c r="O2" s="38">
        <f>COUNTIFS(Cost_Components!$G$2:$G$35,M2,Cost_Components!$D$2:$D$35,1)</f>
        <v>1</v>
      </c>
      <c r="P2" s="42">
        <f>SUMIFS(Cost_Components!$S$2:$S$35,Cost_Components!$G$2:$G$35,M2,Cost_Components!$D$2:$D$35,1)</f>
        <v>68.174792999999994</v>
      </c>
      <c r="Q2" s="24" t="str">
        <f>IF(H2=0,"MISSING COVERAGE",IF(O2=0,"REVIEW COST",IF(COUNTIF(Effect_Sizes!$B$2:$B$18,A2)&lt;&gt;1,"BAD EFFECT KEY","REVIEWED LINK")))</f>
        <v>REVIEWED LINK</v>
      </c>
    </row>
    <row r="3" spans="1:17">
      <c r="A3" s="9" t="s">
        <v>147</v>
      </c>
      <c r="B3" s="9" t="s">
        <v>96</v>
      </c>
      <c r="C3" s="9" t="s">
        <v>92</v>
      </c>
      <c r="D3" s="25" t="str">
        <f>INDEX(Effect_Sizes!$G$2:$G$18,MATCH(A3,Effect_Sizes!$B$2:$B$18,0))</f>
        <v>sick_severe</v>
      </c>
      <c r="E3" s="25" t="str">
        <f>INDEX(Effect_Sizes!$H$2:$H$18,MATCH(A3,Effect_Sizes!$B$2:$B$18,0))</f>
        <v>dead_rhd</v>
      </c>
      <c r="F3" s="36">
        <f>SUMIF(Effect_Sizes!$B$2:$B$18,A3,Effect_Sizes!$J$2:$J$18)</f>
        <v>0.75</v>
      </c>
      <c r="G3" s="36">
        <f>SUMIF(Effect_Sizes!$B$2:$B$18,A3,Effect_Sizes!$K$2:$K$18)</f>
        <v>1</v>
      </c>
      <c r="H3" s="36">
        <f>SUMIF(Coverage!$B$2:$B$18,A3,Coverage!$G$2:$G$18)</f>
        <v>6.6400000000000001E-2</v>
      </c>
      <c r="I3" s="36">
        <f>SUMIF(Coverage!$B$2:$B$18,A3,Coverage!$I$2:$I$18)</f>
        <v>0.8</v>
      </c>
      <c r="J3" s="36">
        <f t="shared" si="0"/>
        <v>0.73360000000000003</v>
      </c>
      <c r="K3" s="36">
        <f t="shared" si="1"/>
        <v>0.57903599242264781</v>
      </c>
      <c r="L3" s="36">
        <f t="shared" si="2"/>
        <v>0.57903599242264781</v>
      </c>
      <c r="M3" s="25" t="s">
        <v>147</v>
      </c>
      <c r="N3" s="25" t="s">
        <v>145</v>
      </c>
      <c r="O3" s="39">
        <f>COUNTIFS(Cost_Components!$G$2:$G$35,M3,Cost_Components!$D$2:$D$35,1)</f>
        <v>1</v>
      </c>
      <c r="P3" s="43">
        <f>SUMIFS(Cost_Components!$S$2:$S$35,Cost_Components!$G$2:$G$35,M3,Cost_Components!$D$2:$D$35,1)</f>
        <v>3766.310954</v>
      </c>
      <c r="Q3" s="25" t="str">
        <f>IF(H3=0,"MISSING COVERAGE",IF(O3=0,"REVIEW COST",IF(COUNTIF(Effect_Sizes!$B$2:$B$18,A3)&lt;&gt;1,"BAD EFFECT KEY","REVIEWED LINK")))</f>
        <v>REVIEWED LINK</v>
      </c>
    </row>
    <row r="4" spans="1:17">
      <c r="A4" s="9" t="s">
        <v>149</v>
      </c>
      <c r="B4" s="9" t="s">
        <v>101</v>
      </c>
      <c r="C4" s="9" t="s">
        <v>99</v>
      </c>
      <c r="D4" s="25" t="str">
        <f>INDEX(Effect_Sizes!$G$2:$G$18,MATCH(A4,Effect_Sizes!$B$2:$B$18,0))</f>
        <v>well</v>
      </c>
      <c r="E4" s="25" t="str">
        <f>INDEX(Effect_Sizes!$H$2:$H$18,MATCH(A4,Effect_Sizes!$B$2:$B$18,0))</f>
        <v>sick</v>
      </c>
      <c r="F4" s="36">
        <f>SUMIF(Effect_Sizes!$B$2:$B$18,A4,Effect_Sizes!$J$2:$J$18)</f>
        <v>0.57999999999999996</v>
      </c>
      <c r="G4" s="36">
        <f>SUMIF(Effect_Sizes!$B$2:$B$18,A4,Effect_Sizes!$K$2:$K$18)</f>
        <v>0.8</v>
      </c>
      <c r="H4" s="36">
        <f>SUMIF(Coverage!$B$2:$B$18,A4,Coverage!$G$2:$G$18)</f>
        <v>0.24660000000000001</v>
      </c>
      <c r="I4" s="36">
        <f>SUMIF(Coverage!$B$2:$B$18,A4,Coverage!$I$2:$I$18)</f>
        <v>0.8</v>
      </c>
      <c r="J4" s="36">
        <f t="shared" si="0"/>
        <v>0.5534</v>
      </c>
      <c r="K4" s="36">
        <f t="shared" si="1"/>
        <v>0.37454199203707933</v>
      </c>
      <c r="L4" s="36">
        <f t="shared" si="2"/>
        <v>0.29963359362966346</v>
      </c>
      <c r="M4" s="25" t="s">
        <v>150</v>
      </c>
      <c r="N4" s="25" t="s">
        <v>151</v>
      </c>
      <c r="O4" s="39">
        <f>COUNTIFS(Cost_Components!$G$2:$G$35,M4,Cost_Components!$D$2:$D$35,1)</f>
        <v>2</v>
      </c>
      <c r="P4" s="43">
        <f>SUMIFS(Cost_Components!$S$2:$S$35,Cost_Components!$G$2:$G$35,M4,Cost_Components!$D$2:$D$35,1)</f>
        <v>70.596579000000006</v>
      </c>
      <c r="Q4" s="25" t="str">
        <f>IF(H4=0,"MISSING COVERAGE",IF(O4=0,"REVIEW COST",IF(COUNTIF(Effect_Sizes!$B$2:$B$18,A4)&lt;&gt;1,"BAD EFFECT KEY","REVIEWED LINK")))</f>
        <v>REVIEWED LINK</v>
      </c>
    </row>
    <row r="5" spans="1:17">
      <c r="A5" s="9" t="s">
        <v>153</v>
      </c>
      <c r="B5" s="9" t="s">
        <v>101</v>
      </c>
      <c r="C5" s="9" t="s">
        <v>105</v>
      </c>
      <c r="D5" s="25" t="str">
        <f>INDEX(Effect_Sizes!$G$2:$G$18,MATCH(A5,Effect_Sizes!$B$2:$B$18,0))</f>
        <v>well</v>
      </c>
      <c r="E5" s="25" t="str">
        <f>INDEX(Effect_Sizes!$H$2:$H$18,MATCH(A5,Effect_Sizes!$B$2:$B$18,0))</f>
        <v>sick</v>
      </c>
      <c r="F5" s="36">
        <f>SUMIF(Effect_Sizes!$B$2:$B$18,A5,Effect_Sizes!$J$2:$J$18)</f>
        <v>0.54</v>
      </c>
      <c r="G5" s="36">
        <f>SUMIF(Effect_Sizes!$B$2:$B$18,A5,Effect_Sizes!$K$2:$K$18)</f>
        <v>0.8</v>
      </c>
      <c r="H5" s="36">
        <f>SUMIF(Coverage!$B$2:$B$18,A5,Coverage!$G$2:$G$18)</f>
        <v>0.24660000000000001</v>
      </c>
      <c r="I5" s="36">
        <f>SUMIF(Coverage!$B$2:$B$18,A5,Coverage!$I$2:$I$18)</f>
        <v>0.8</v>
      </c>
      <c r="J5" s="36">
        <f t="shared" si="0"/>
        <v>0.5534</v>
      </c>
      <c r="K5" s="36">
        <f t="shared" si="1"/>
        <v>0.34474341167187345</v>
      </c>
      <c r="L5" s="36">
        <f t="shared" si="2"/>
        <v>0.27579472933749877</v>
      </c>
      <c r="M5" s="25" t="s">
        <v>150</v>
      </c>
      <c r="N5" s="25" t="s">
        <v>151</v>
      </c>
      <c r="O5" s="39">
        <f>COUNTIFS(Cost_Components!$G$2:$G$35,M5,Cost_Components!$D$2:$D$35,1)</f>
        <v>2</v>
      </c>
      <c r="P5" s="43">
        <f>SUMIFS(Cost_Components!$S$2:$S$35,Cost_Components!$G$2:$G$35,M5,Cost_Components!$D$2:$D$35,1)</f>
        <v>70.596579000000006</v>
      </c>
      <c r="Q5" s="25" t="str">
        <f>IF(H5=0,"MISSING COVERAGE",IF(O5=0,"REVIEW COST",IF(COUNTIF(Effect_Sizes!$B$2:$B$18,A5)&lt;&gt;1,"BAD EFFECT KEY","REVIEWED LINK")))</f>
        <v>REVIEWED LINK</v>
      </c>
    </row>
    <row r="6" spans="1:17">
      <c r="A6" s="9" t="s">
        <v>154</v>
      </c>
      <c r="B6" s="9" t="s">
        <v>101</v>
      </c>
      <c r="C6" s="9" t="s">
        <v>111</v>
      </c>
      <c r="D6" s="25" t="str">
        <f>INDEX(Effect_Sizes!$G$2:$G$18,MATCH(A6,Effect_Sizes!$B$2:$B$18,0))</f>
        <v>well</v>
      </c>
      <c r="E6" s="25" t="str">
        <f>INDEX(Effect_Sizes!$H$2:$H$18,MATCH(A6,Effect_Sizes!$B$2:$B$18,0))</f>
        <v>sick</v>
      </c>
      <c r="F6" s="36">
        <f>SUMIF(Effect_Sizes!$B$2:$B$18,A6,Effect_Sizes!$J$2:$J$18)</f>
        <v>0.49</v>
      </c>
      <c r="G6" s="36">
        <f>SUMIF(Effect_Sizes!$B$2:$B$18,A6,Effect_Sizes!$K$2:$K$18)</f>
        <v>0.8</v>
      </c>
      <c r="H6" s="36">
        <f>SUMIF(Coverage!$B$2:$B$18,A6,Coverage!$G$2:$G$18)</f>
        <v>0.24660000000000001</v>
      </c>
      <c r="I6" s="36">
        <f>SUMIF(Coverage!$B$2:$B$18,A6,Coverage!$I$2:$I$18)</f>
        <v>0.8</v>
      </c>
      <c r="J6" s="36">
        <f t="shared" si="0"/>
        <v>0.5534</v>
      </c>
      <c r="K6" s="36">
        <f t="shared" si="1"/>
        <v>0.30843549454824232</v>
      </c>
      <c r="L6" s="36">
        <f t="shared" si="2"/>
        <v>0.24674839563859385</v>
      </c>
      <c r="M6" s="25" t="s">
        <v>150</v>
      </c>
      <c r="N6" s="25" t="s">
        <v>151</v>
      </c>
      <c r="O6" s="39">
        <f>COUNTIFS(Cost_Components!$G$2:$G$35,M6,Cost_Components!$D$2:$D$35,1)</f>
        <v>2</v>
      </c>
      <c r="P6" s="43">
        <f>SUMIFS(Cost_Components!$S$2:$S$35,Cost_Components!$G$2:$G$35,M6,Cost_Components!$D$2:$D$35,1)</f>
        <v>70.596579000000006</v>
      </c>
      <c r="Q6" s="25" t="str">
        <f>IF(H6=0,"MISSING COVERAGE",IF(O6=0,"REVIEW COST",IF(COUNTIF(Effect_Sizes!$B$2:$B$18,A6)&lt;&gt;1,"BAD EFFECT KEY","REVIEWED LINK")))</f>
        <v>REVIEWED LINK</v>
      </c>
    </row>
    <row r="7" spans="1:17">
      <c r="A7" s="9" t="s">
        <v>155</v>
      </c>
      <c r="B7" s="9" t="s">
        <v>101</v>
      </c>
      <c r="C7" s="9" t="s">
        <v>116</v>
      </c>
      <c r="D7" s="25" t="str">
        <f>INDEX(Effect_Sizes!$G$2:$G$18,MATCH(A7,Effect_Sizes!$B$2:$B$18,0))</f>
        <v>well</v>
      </c>
      <c r="E7" s="25" t="str">
        <f>INDEX(Effect_Sizes!$H$2:$H$18,MATCH(A7,Effect_Sizes!$B$2:$B$18,0))</f>
        <v>sick</v>
      </c>
      <c r="F7" s="36">
        <f>SUMIF(Effect_Sizes!$B$2:$B$18,A7,Effect_Sizes!$J$2:$J$18)</f>
        <v>0.47</v>
      </c>
      <c r="G7" s="36">
        <f>SUMIF(Effect_Sizes!$B$2:$B$18,A7,Effect_Sizes!$K$2:$K$18)</f>
        <v>1</v>
      </c>
      <c r="H7" s="36">
        <f>SUMIF(Coverage!$B$2:$B$18,A7,Coverage!$G$2:$G$18)</f>
        <v>0.24660000000000001</v>
      </c>
      <c r="I7" s="36">
        <f>SUMIF(Coverage!$B$2:$B$18,A7,Coverage!$I$2:$I$18)</f>
        <v>0.8</v>
      </c>
      <c r="J7" s="36">
        <f t="shared" si="0"/>
        <v>0.5534</v>
      </c>
      <c r="K7" s="36">
        <f t="shared" si="1"/>
        <v>0.29419589231058091</v>
      </c>
      <c r="L7" s="36">
        <f t="shared" si="2"/>
        <v>0.29419589231058091</v>
      </c>
      <c r="M7" s="25" t="s">
        <v>150</v>
      </c>
      <c r="N7" s="25" t="s">
        <v>151</v>
      </c>
      <c r="O7" s="39">
        <f>COUNTIFS(Cost_Components!$G$2:$G$35,M7,Cost_Components!$D$2:$D$35,1)</f>
        <v>2</v>
      </c>
      <c r="P7" s="43">
        <f>SUMIFS(Cost_Components!$S$2:$S$35,Cost_Components!$G$2:$G$35,M7,Cost_Components!$D$2:$D$35,1)</f>
        <v>70.596579000000006</v>
      </c>
      <c r="Q7" s="25" t="str">
        <f>IF(H7=0,"MISSING COVERAGE",IF(O7=0,"REVIEW COST",IF(COUNTIF(Effect_Sizes!$B$2:$B$18,A7)&lt;&gt;1,"BAD EFFECT KEY","REVIEWED LINK")))</f>
        <v>REVIEWED LINK</v>
      </c>
    </row>
    <row r="8" spans="1:17">
      <c r="A8" s="9" t="s">
        <v>156</v>
      </c>
      <c r="B8" s="9" t="s">
        <v>107</v>
      </c>
      <c r="C8" s="9" t="s">
        <v>99</v>
      </c>
      <c r="D8" s="25" t="str">
        <f>INDEX(Effect_Sizes!$G$2:$G$18,MATCH(A8,Effect_Sizes!$B$2:$B$18,0))</f>
        <v>sick</v>
      </c>
      <c r="E8" s="25" t="str">
        <f>INDEX(Effect_Sizes!$H$2:$H$18,MATCH(A8,Effect_Sizes!$B$2:$B$18,0))</f>
        <v>dead_ihd</v>
      </c>
      <c r="F8" s="36">
        <f>SUMIF(Effect_Sizes!$B$2:$B$18,A8,Effect_Sizes!$J$2:$J$18)</f>
        <v>0.58220000000000005</v>
      </c>
      <c r="G8" s="36">
        <f>SUMIF(Effect_Sizes!$B$2:$B$18,A8,Effect_Sizes!$K$2:$K$18)</f>
        <v>0.2</v>
      </c>
      <c r="H8" s="36">
        <f>SUMIF(Coverage!$B$2:$B$18,A8,Coverage!$G$2:$G$18)</f>
        <v>0.53010000000000002</v>
      </c>
      <c r="I8" s="36">
        <f>SUMIF(Coverage!$B$2:$B$18,A8,Coverage!$I$2:$I$18)</f>
        <v>0.8</v>
      </c>
      <c r="J8" s="36">
        <f t="shared" si="0"/>
        <v>0.26990000000000003</v>
      </c>
      <c r="K8" s="36">
        <f t="shared" si="1"/>
        <v>0.22727984483344213</v>
      </c>
      <c r="L8" s="36">
        <f t="shared" si="2"/>
        <v>4.545596896668843E-2</v>
      </c>
      <c r="M8" s="25" t="s">
        <v>156</v>
      </c>
      <c r="N8" s="25" t="s">
        <v>145</v>
      </c>
      <c r="O8" s="39">
        <f>COUNTIFS(Cost_Components!$G$2:$G$35,M8,Cost_Components!$D$2:$D$35,1)</f>
        <v>3</v>
      </c>
      <c r="P8" s="43">
        <f>SUMIFS(Cost_Components!$S$2:$S$35,Cost_Components!$G$2:$G$35,M8,Cost_Components!$D$2:$D$35,1)</f>
        <v>968.18858899999998</v>
      </c>
      <c r="Q8" s="25" t="str">
        <f>IF(H8=0,"MISSING COVERAGE",IF(O8=0,"REVIEW COST",IF(COUNTIF(Effect_Sizes!$B$2:$B$18,A8)&lt;&gt;1,"BAD EFFECT KEY","REVIEWED LINK")))</f>
        <v>REVIEWED LINK</v>
      </c>
    </row>
    <row r="9" spans="1:17">
      <c r="A9" s="9" t="s">
        <v>158</v>
      </c>
      <c r="B9" s="9" t="s">
        <v>113</v>
      </c>
      <c r="C9" s="9" t="s">
        <v>105</v>
      </c>
      <c r="D9" s="25" t="str">
        <f>INDEX(Effect_Sizes!$G$2:$G$18,MATCH(A9,Effect_Sizes!$B$2:$B$18,0))</f>
        <v>sick</v>
      </c>
      <c r="E9" s="25" t="str">
        <f>INDEX(Effect_Sizes!$H$2:$H$18,MATCH(A9,Effect_Sizes!$B$2:$B$18,0))</f>
        <v>dead_is</v>
      </c>
      <c r="F9" s="36">
        <f>SUMIF(Effect_Sizes!$B$2:$B$18,A9,Effect_Sizes!$J$2:$J$18)</f>
        <v>0.23</v>
      </c>
      <c r="G9" s="36">
        <f>SUMIF(Effect_Sizes!$B$2:$B$18,A9,Effect_Sizes!$K$2:$K$18)</f>
        <v>0.2</v>
      </c>
      <c r="H9" s="36">
        <f>SUMIF(Coverage!$B$2:$B$18,A9,Coverage!$G$2:$G$18)</f>
        <v>0.38219999999999998</v>
      </c>
      <c r="I9" s="36">
        <f>SUMIF(Coverage!$B$2:$B$18,A9,Coverage!$I$2:$I$18)</f>
        <v>0.8</v>
      </c>
      <c r="J9" s="36">
        <f t="shared" si="0"/>
        <v>0.41780000000000006</v>
      </c>
      <c r="K9" s="36">
        <f t="shared" si="1"/>
        <v>0.10535536907380162</v>
      </c>
      <c r="L9" s="36">
        <f t="shared" si="2"/>
        <v>2.1071073814760324E-2</v>
      </c>
      <c r="M9" s="25" t="s">
        <v>158</v>
      </c>
      <c r="N9" s="25" t="s">
        <v>145</v>
      </c>
      <c r="O9" s="39">
        <f>COUNTIFS(Cost_Components!$G$2:$G$35,M9,Cost_Components!$D$2:$D$35,1)</f>
        <v>3</v>
      </c>
      <c r="P9" s="43">
        <f>SUMIFS(Cost_Components!$S$2:$S$35,Cost_Components!$G$2:$G$35,M9,Cost_Components!$D$2:$D$35,1)</f>
        <v>818.08165899999995</v>
      </c>
      <c r="Q9" s="25" t="str">
        <f>IF(H9=0,"MISSING COVERAGE",IF(O9=0,"REVIEW COST",IF(COUNTIF(Effect_Sizes!$B$2:$B$18,A9)&lt;&gt;1,"BAD EFFECT KEY","REVIEWED LINK")))</f>
        <v>REVIEWED LINK</v>
      </c>
    </row>
    <row r="10" spans="1:17">
      <c r="A10" s="9" t="s">
        <v>160</v>
      </c>
      <c r="B10" s="9" t="s">
        <v>113</v>
      </c>
      <c r="C10" s="9" t="s">
        <v>111</v>
      </c>
      <c r="D10" s="25" t="str">
        <f>INDEX(Effect_Sizes!$G$2:$G$18,MATCH(A10,Effect_Sizes!$B$2:$B$18,0))</f>
        <v>sick</v>
      </c>
      <c r="E10" s="25" t="str">
        <f>INDEX(Effect_Sizes!$H$2:$H$18,MATCH(A10,Effect_Sizes!$B$2:$B$18,0))</f>
        <v>dead_ich</v>
      </c>
      <c r="F10" s="36">
        <f>SUMIF(Effect_Sizes!$B$2:$B$18,A10,Effect_Sizes!$J$2:$J$18)</f>
        <v>0.08</v>
      </c>
      <c r="G10" s="36">
        <f>SUMIF(Effect_Sizes!$B$2:$B$18,A10,Effect_Sizes!$K$2:$K$18)</f>
        <v>0.2</v>
      </c>
      <c r="H10" s="36">
        <f>SUMIF(Coverage!$B$2:$B$18,A10,Coverage!$G$2:$G$18)</f>
        <v>0.21240000000000001</v>
      </c>
      <c r="I10" s="36">
        <f>SUMIF(Coverage!$B$2:$B$18,A10,Coverage!$I$2:$I$18)</f>
        <v>0.8</v>
      </c>
      <c r="J10" s="36">
        <f t="shared" si="0"/>
        <v>0.58760000000000001</v>
      </c>
      <c r="K10" s="36">
        <f t="shared" si="1"/>
        <v>4.7820567075751164E-2</v>
      </c>
      <c r="L10" s="36">
        <f t="shared" si="2"/>
        <v>9.5641134151502327E-3</v>
      </c>
      <c r="M10" s="25" t="s">
        <v>160</v>
      </c>
      <c r="N10" s="25" t="s">
        <v>145</v>
      </c>
      <c r="O10" s="39">
        <f>COUNTIFS(Cost_Components!$G$2:$G$35,M10,Cost_Components!$D$2:$D$35,1)</f>
        <v>3</v>
      </c>
      <c r="P10" s="43">
        <f>SUMIFS(Cost_Components!$S$2:$S$35,Cost_Components!$G$2:$G$35,M10,Cost_Components!$D$2:$D$35,1)</f>
        <v>1364.0206860000001</v>
      </c>
      <c r="Q10" s="25" t="str">
        <f>IF(H10=0,"MISSING COVERAGE",IF(O10=0,"REVIEW COST",IF(COUNTIF(Effect_Sizes!$B$2:$B$18,A10)&lt;&gt;1,"BAD EFFECT KEY","REVIEWED LINK")))</f>
        <v>REVIEWED LINK</v>
      </c>
    </row>
    <row r="11" spans="1:17">
      <c r="A11" s="9" t="s">
        <v>161</v>
      </c>
      <c r="B11" s="9" t="s">
        <v>118</v>
      </c>
      <c r="C11" s="9" t="s">
        <v>99</v>
      </c>
      <c r="D11" s="25" t="str">
        <f>INDEX(Effect_Sizes!$G$2:$G$18,MATCH(A11,Effect_Sizes!$B$2:$B$18,0))</f>
        <v>sick_hf</v>
      </c>
      <c r="E11" s="25" t="str">
        <f>INDEX(Effect_Sizes!$H$2:$H$18,MATCH(A11,Effect_Sizes!$B$2:$B$18,0))</f>
        <v>dead_ihd</v>
      </c>
      <c r="F11" s="36">
        <f>SUMIF(Effect_Sizes!$B$2:$B$18,A11,Effect_Sizes!$J$2:$J$18)</f>
        <v>0.18</v>
      </c>
      <c r="G11" s="36">
        <f>SUMIF(Effect_Sizes!$B$2:$B$18,A11,Effect_Sizes!$K$2:$K$18)</f>
        <v>0.05</v>
      </c>
      <c r="H11" s="36">
        <f>SUMIF(Coverage!$B$2:$B$18,A11,Coverage!$G$2:$G$18)</f>
        <v>0.26840000000000003</v>
      </c>
      <c r="I11" s="36">
        <f>SUMIF(Coverage!$B$2:$B$18,A11,Coverage!$I$2:$I$18)</f>
        <v>0.8</v>
      </c>
      <c r="J11" s="36">
        <f t="shared" si="0"/>
        <v>0.53160000000000007</v>
      </c>
      <c r="K11" s="36">
        <f t="shared" si="1"/>
        <v>0.10054555694723483</v>
      </c>
      <c r="L11" s="36">
        <f t="shared" si="2"/>
        <v>5.0272778473617417E-3</v>
      </c>
      <c r="M11" s="25" t="s">
        <v>161</v>
      </c>
      <c r="N11" s="25" t="s">
        <v>145</v>
      </c>
      <c r="O11" s="39">
        <f>COUNTIFS(Cost_Components!$G$2:$G$35,M11,Cost_Components!$D$2:$D$35,1)</f>
        <v>1</v>
      </c>
      <c r="P11" s="43">
        <f>SUMIFS(Cost_Components!$S$2:$S$35,Cost_Components!$G$2:$G$35,M11,Cost_Components!$D$2:$D$35,1)</f>
        <v>575.48694599999999</v>
      </c>
      <c r="Q11" s="25" t="str">
        <f>IF(H11=0,"MISSING COVERAGE",IF(O11=0,"REVIEW COST",IF(COUNTIF(Effect_Sizes!$B$2:$B$18,A11)&lt;&gt;1,"BAD EFFECT KEY","REVIEWED LINK")))</f>
        <v>REVIEWED LINK</v>
      </c>
    </row>
    <row r="12" spans="1:17">
      <c r="A12" s="9" t="s">
        <v>163</v>
      </c>
      <c r="B12" s="9" t="s">
        <v>118</v>
      </c>
      <c r="C12" s="9" t="s">
        <v>116</v>
      </c>
      <c r="D12" s="25" t="str">
        <f>INDEX(Effect_Sizes!$G$2:$G$18,MATCH(A12,Effect_Sizes!$B$2:$B$18,0))</f>
        <v>sick_hf</v>
      </c>
      <c r="E12" s="25" t="str">
        <f>INDEX(Effect_Sizes!$H$2:$H$18,MATCH(A12,Effect_Sizes!$B$2:$B$18,0))</f>
        <v>dead_hhd</v>
      </c>
      <c r="F12" s="36">
        <f>SUMIF(Effect_Sizes!$B$2:$B$18,A12,Effect_Sizes!$J$2:$J$18)</f>
        <v>0.74</v>
      </c>
      <c r="G12" s="36">
        <f>SUMIF(Effect_Sizes!$B$2:$B$18,A12,Effect_Sizes!$K$2:$K$18)</f>
        <v>0.2</v>
      </c>
      <c r="H12" s="36">
        <f>SUMIF(Coverage!$B$2:$B$18,A12,Coverage!$G$2:$G$18)</f>
        <v>0.26840000000000003</v>
      </c>
      <c r="I12" s="36">
        <f>SUMIF(Coverage!$B$2:$B$18,A12,Coverage!$I$2:$I$18)</f>
        <v>0.8</v>
      </c>
      <c r="J12" s="36">
        <f t="shared" si="0"/>
        <v>0.53160000000000007</v>
      </c>
      <c r="K12" s="36">
        <f t="shared" si="1"/>
        <v>0.49088077625707538</v>
      </c>
      <c r="L12" s="36">
        <f t="shared" si="2"/>
        <v>9.8176155251415084E-2</v>
      </c>
      <c r="M12" s="25" t="s">
        <v>163</v>
      </c>
      <c r="N12" s="25" t="s">
        <v>145</v>
      </c>
      <c r="O12" s="39">
        <f>COUNTIFS(Cost_Components!$G$2:$G$35,M12,Cost_Components!$D$2:$D$35,1)</f>
        <v>1</v>
      </c>
      <c r="P12" s="43">
        <f>SUMIFS(Cost_Components!$S$2:$S$35,Cost_Components!$G$2:$G$35,M12,Cost_Components!$D$2:$D$35,1)</f>
        <v>575.48694599999999</v>
      </c>
      <c r="Q12" s="25" t="str">
        <f>IF(H12=0,"MISSING COVERAGE",IF(O12=0,"REVIEW COST",IF(COUNTIF(Effect_Sizes!$B$2:$B$18,A12)&lt;&gt;1,"BAD EFFECT KEY","REVIEWED LINK")))</f>
        <v>REVIEWED LINK</v>
      </c>
    </row>
    <row r="13" spans="1:17">
      <c r="A13" s="9" t="s">
        <v>165</v>
      </c>
      <c r="B13" s="9" t="s">
        <v>118</v>
      </c>
      <c r="C13" s="9" t="s">
        <v>122</v>
      </c>
      <c r="D13" s="25" t="str">
        <f>INDEX(Effect_Sizes!$G$2:$G$18,MATCH(A13,Effect_Sizes!$B$2:$B$18,0))</f>
        <v>sick_hf</v>
      </c>
      <c r="E13" s="25" t="str">
        <f>INDEX(Effect_Sizes!$H$2:$H$18,MATCH(A13,Effect_Sizes!$B$2:$B$18,0))</f>
        <v>dead_cmp</v>
      </c>
      <c r="F13" s="36">
        <f>SUMIF(Effect_Sizes!$B$2:$B$18,A13,Effect_Sizes!$J$2:$J$18)</f>
        <v>0.74</v>
      </c>
      <c r="G13" s="36">
        <f>SUMIF(Effect_Sizes!$B$2:$B$18,A13,Effect_Sizes!$K$2:$K$18)</f>
        <v>0.2</v>
      </c>
      <c r="H13" s="36">
        <f>SUMIF(Coverage!$B$2:$B$18,A13,Coverage!$G$2:$G$18)</f>
        <v>0.26840000000000003</v>
      </c>
      <c r="I13" s="36">
        <f>SUMIF(Coverage!$B$2:$B$18,A13,Coverage!$I$2:$I$18)</f>
        <v>0.8</v>
      </c>
      <c r="J13" s="36">
        <f t="shared" si="0"/>
        <v>0.53160000000000007</v>
      </c>
      <c r="K13" s="36">
        <f t="shared" si="1"/>
        <v>0.49088077625707538</v>
      </c>
      <c r="L13" s="36">
        <f t="shared" si="2"/>
        <v>9.8176155251415084E-2</v>
      </c>
      <c r="M13" s="25" t="s">
        <v>165</v>
      </c>
      <c r="N13" s="25" t="s">
        <v>145</v>
      </c>
      <c r="O13" s="39">
        <f>COUNTIFS(Cost_Components!$G$2:$G$35,M13,Cost_Components!$D$2:$D$35,1)</f>
        <v>1</v>
      </c>
      <c r="P13" s="43">
        <f>SUMIFS(Cost_Components!$S$2:$S$35,Cost_Components!$G$2:$G$35,M13,Cost_Components!$D$2:$D$35,1)</f>
        <v>575.48694599999999</v>
      </c>
      <c r="Q13" s="25" t="str">
        <f>IF(H13=0,"MISSING COVERAGE",IF(O13=0,"REVIEW COST",IF(COUNTIF(Effect_Sizes!$B$2:$B$18,A13)&lt;&gt;1,"BAD EFFECT KEY","REVIEWED LINK")))</f>
        <v>REVIEWED LINK</v>
      </c>
    </row>
    <row r="14" spans="1:17">
      <c r="A14" s="9" t="s">
        <v>167</v>
      </c>
      <c r="B14" s="9" t="s">
        <v>124</v>
      </c>
      <c r="C14" s="9" t="s">
        <v>99</v>
      </c>
      <c r="D14" s="25" t="str">
        <f>INDEX(Effect_Sizes!$G$2:$G$18,MATCH(A14,Effect_Sizes!$B$2:$B$18,0))</f>
        <v>sick_hf</v>
      </c>
      <c r="E14" s="25" t="str">
        <f>INDEX(Effect_Sizes!$H$2:$H$18,MATCH(A14,Effect_Sizes!$B$2:$B$18,0))</f>
        <v>dead_ihd</v>
      </c>
      <c r="F14" s="36">
        <f>SUMIF(Effect_Sizes!$B$2:$B$18,A14,Effect_Sizes!$J$2:$J$18)</f>
        <v>9.2999999999999999E-2</v>
      </c>
      <c r="G14" s="36">
        <f>SUMIF(Effect_Sizes!$B$2:$B$18,A14,Effect_Sizes!$K$2:$K$18)</f>
        <v>0.2</v>
      </c>
      <c r="H14" s="36">
        <f>SUMIF(Coverage!$B$2:$B$18,A14,Coverage!$G$2:$G$18)</f>
        <v>0.50249999999999995</v>
      </c>
      <c r="I14" s="36">
        <f>SUMIF(Coverage!$B$2:$B$18,A14,Coverage!$I$2:$I$18)</f>
        <v>0.8</v>
      </c>
      <c r="J14" s="36">
        <f t="shared" si="0"/>
        <v>0.2975000000000001</v>
      </c>
      <c r="K14" s="36">
        <f t="shared" si="1"/>
        <v>2.9023857416727212E-2</v>
      </c>
      <c r="L14" s="36">
        <f t="shared" si="2"/>
        <v>5.8047714833454429E-3</v>
      </c>
      <c r="M14" s="25" t="s">
        <v>167</v>
      </c>
      <c r="N14" s="25" t="s">
        <v>145</v>
      </c>
      <c r="O14" s="39">
        <f>COUNTIFS(Cost_Components!$G$2:$G$35,M14,Cost_Components!$D$2:$D$35,1)</f>
        <v>3</v>
      </c>
      <c r="P14" s="43">
        <f>SUMIFS(Cost_Components!$S$2:$S$35,Cost_Components!$G$2:$G$35,M14,Cost_Components!$D$2:$D$35,1)</f>
        <v>227.40760399999999</v>
      </c>
      <c r="Q14" s="25" t="str">
        <f>IF(H14=0,"MISSING COVERAGE",IF(O14=0,"REVIEW COST",IF(COUNTIF(Effect_Sizes!$B$2:$B$18,A14)&lt;&gt;1,"BAD EFFECT KEY","REVIEWED LINK")))</f>
        <v>REVIEWED LINK</v>
      </c>
    </row>
    <row r="15" spans="1:17">
      <c r="A15" s="9" t="s">
        <v>168</v>
      </c>
      <c r="B15" s="9" t="s">
        <v>124</v>
      </c>
      <c r="C15" s="9" t="s">
        <v>116</v>
      </c>
      <c r="D15" s="25" t="str">
        <f>INDEX(Effect_Sizes!$G$2:$G$18,MATCH(A15,Effect_Sizes!$B$2:$B$18,0))</f>
        <v>sick_hf</v>
      </c>
      <c r="E15" s="25" t="str">
        <f>INDEX(Effect_Sizes!$H$2:$H$18,MATCH(A15,Effect_Sizes!$B$2:$B$18,0))</f>
        <v>dead_hhd</v>
      </c>
      <c r="F15" s="36">
        <f>SUMIF(Effect_Sizes!$B$2:$B$18,A15,Effect_Sizes!$J$2:$J$18)</f>
        <v>0.27500000000000002</v>
      </c>
      <c r="G15" s="36">
        <f>SUMIF(Effect_Sizes!$B$2:$B$18,A15,Effect_Sizes!$K$2:$K$18)</f>
        <v>0.8</v>
      </c>
      <c r="H15" s="36">
        <f>SUMIF(Coverage!$B$2:$B$18,A15,Coverage!$G$2:$G$18)</f>
        <v>0.50249999999999995</v>
      </c>
      <c r="I15" s="36">
        <f>SUMIF(Coverage!$B$2:$B$18,A15,Coverage!$I$2:$I$18)</f>
        <v>0.8</v>
      </c>
      <c r="J15" s="36">
        <f t="shared" si="0"/>
        <v>0.2975000000000001</v>
      </c>
      <c r="K15" s="36">
        <f t="shared" si="1"/>
        <v>9.4930741895714016E-2</v>
      </c>
      <c r="L15" s="36">
        <f t="shared" si="2"/>
        <v>7.5944593516571221E-2</v>
      </c>
      <c r="M15" s="25" t="s">
        <v>168</v>
      </c>
      <c r="N15" s="25" t="s">
        <v>145</v>
      </c>
      <c r="O15" s="39">
        <f>COUNTIFS(Cost_Components!$G$2:$G$35,M15,Cost_Components!$D$2:$D$35,1)</f>
        <v>3</v>
      </c>
      <c r="P15" s="43">
        <f>SUMIFS(Cost_Components!$S$2:$S$35,Cost_Components!$G$2:$G$35,M15,Cost_Components!$D$2:$D$35,1)</f>
        <v>227.40760399999999</v>
      </c>
      <c r="Q15" s="25" t="str">
        <f>IF(H15=0,"MISSING COVERAGE",IF(O15=0,"REVIEW COST",IF(COUNTIF(Effect_Sizes!$B$2:$B$18,A15)&lt;&gt;1,"BAD EFFECT KEY","REVIEWED LINK")))</f>
        <v>REVIEWED LINK</v>
      </c>
    </row>
    <row r="16" spans="1:17">
      <c r="A16" s="9" t="s">
        <v>169</v>
      </c>
      <c r="B16" s="9" t="s">
        <v>124</v>
      </c>
      <c r="C16" s="9" t="s">
        <v>122</v>
      </c>
      <c r="D16" s="25" t="str">
        <f>INDEX(Effect_Sizes!$G$2:$G$18,MATCH(A16,Effect_Sizes!$B$2:$B$18,0))</f>
        <v>sick_hf</v>
      </c>
      <c r="E16" s="25" t="str">
        <f>INDEX(Effect_Sizes!$H$2:$H$18,MATCH(A16,Effect_Sizes!$B$2:$B$18,0))</f>
        <v>dead_cmp</v>
      </c>
      <c r="F16" s="36">
        <f>SUMIF(Effect_Sizes!$B$2:$B$18,A16,Effect_Sizes!$J$2:$J$18)</f>
        <v>0.53600000000000003</v>
      </c>
      <c r="G16" s="36">
        <f>SUMIF(Effect_Sizes!$B$2:$B$18,A16,Effect_Sizes!$K$2:$K$18)</f>
        <v>0.8</v>
      </c>
      <c r="H16" s="36">
        <f>SUMIF(Coverage!$B$2:$B$18,A16,Coverage!$G$2:$G$18)</f>
        <v>0.50249999999999995</v>
      </c>
      <c r="I16" s="36">
        <f>SUMIF(Coverage!$B$2:$B$18,A16,Coverage!$I$2:$I$18)</f>
        <v>0.8</v>
      </c>
      <c r="J16" s="36">
        <f t="shared" si="0"/>
        <v>0.2975000000000001</v>
      </c>
      <c r="K16" s="36">
        <f t="shared" si="1"/>
        <v>0.21824104234527694</v>
      </c>
      <c r="L16" s="36">
        <f t="shared" si="2"/>
        <v>0.17459283387622157</v>
      </c>
      <c r="M16" s="25" t="s">
        <v>169</v>
      </c>
      <c r="N16" s="25" t="s">
        <v>145</v>
      </c>
      <c r="O16" s="39">
        <f>COUNTIFS(Cost_Components!$G$2:$G$35,M16,Cost_Components!$D$2:$D$35,1)</f>
        <v>3</v>
      </c>
      <c r="P16" s="43">
        <f>SUMIFS(Cost_Components!$S$2:$S$35,Cost_Components!$G$2:$G$35,M16,Cost_Components!$D$2:$D$35,1)</f>
        <v>227.40760399999999</v>
      </c>
      <c r="Q16" s="25" t="str">
        <f>IF(H16=0,"MISSING COVERAGE",IF(O16=0,"REVIEW COST",IF(COUNTIF(Effect_Sizes!$B$2:$B$18,A16)&lt;&gt;1,"BAD EFFECT KEY","REVIEWED LINK")))</f>
        <v>REVIEWED LINK</v>
      </c>
    </row>
    <row r="17" spans="1:17">
      <c r="A17" s="9" t="s">
        <v>170</v>
      </c>
      <c r="B17" s="9" t="s">
        <v>130</v>
      </c>
      <c r="C17" s="9" t="s">
        <v>127</v>
      </c>
      <c r="D17" s="25" t="str">
        <f>INDEX(Effect_Sizes!$G$2:$G$18,MATCH(A17,Effect_Sizes!$B$2:$B$18,0))</f>
        <v>sick</v>
      </c>
      <c r="E17" s="25" t="str">
        <f>INDEX(Effect_Sizes!$H$2:$H$18,MATCH(A17,Effect_Sizes!$B$2:$B$18,0))</f>
        <v>dead_t2d</v>
      </c>
      <c r="F17" s="36">
        <f>SUMIF(Effect_Sizes!$B$2:$B$18,A17,Effect_Sizes!$J$2:$J$18)</f>
        <v>0.28000000000000003</v>
      </c>
      <c r="G17" s="36">
        <f>SUMIF(Effect_Sizes!$B$2:$B$18,A17,Effect_Sizes!$K$2:$K$18)</f>
        <v>1</v>
      </c>
      <c r="H17" s="36">
        <f>SUMIF(Coverage!$B$2:$B$18,A17,Coverage!$G$2:$G$18)</f>
        <v>0.21299999999999999</v>
      </c>
      <c r="I17" s="36">
        <f>SUMIF(Coverage!$B$2:$B$18,A17,Coverage!$I$2:$I$18)</f>
        <v>0.8</v>
      </c>
      <c r="J17" s="36">
        <f t="shared" si="0"/>
        <v>0.58700000000000008</v>
      </c>
      <c r="K17" s="36">
        <f t="shared" si="1"/>
        <v>0.17478412522863587</v>
      </c>
      <c r="L17" s="36">
        <f t="shared" si="2"/>
        <v>0.17478412522863587</v>
      </c>
      <c r="M17" s="25" t="s">
        <v>170</v>
      </c>
      <c r="N17" s="25" t="s">
        <v>145</v>
      </c>
      <c r="O17" s="39">
        <f>COUNTIFS(Cost_Components!$G$2:$G$35,M17,Cost_Components!$D$2:$D$35,1)</f>
        <v>1</v>
      </c>
      <c r="P17" s="43">
        <f>SUMIFS(Cost_Components!$S$2:$S$35,Cost_Components!$G$2:$G$35,M17,Cost_Components!$D$2:$D$35,1)</f>
        <v>82.677092999999999</v>
      </c>
      <c r="Q17" s="25" t="str">
        <f>IF(H17=0,"MISSING COVERAGE",IF(O17=0,"REVIEW COST",IF(COUNTIF(Effect_Sizes!$B$2:$B$18,A17)&lt;&gt;1,"BAD EFFECT KEY","REVIEWED LINK")))</f>
        <v>REVIEWED LINK</v>
      </c>
    </row>
    <row r="18" spans="1:17" ht="25.95" customHeight="1">
      <c r="A18" s="10" t="s">
        <v>172</v>
      </c>
      <c r="B18" s="10" t="s">
        <v>130</v>
      </c>
      <c r="C18" s="10" t="s">
        <v>173</v>
      </c>
      <c r="D18" s="26" t="str">
        <f>INDEX(Effect_Sizes!$G$2:$G$18,MATCH(A18,Effect_Sizes!$B$2:$B$18,0))</f>
        <v>sick</v>
      </c>
      <c r="E18" s="26" t="str">
        <f>INDEX(Effect_Sizes!$H$2:$H$18,MATCH(A18,Effect_Sizes!$B$2:$B$18,0))</f>
        <v>dead_ihd</v>
      </c>
      <c r="F18" s="37">
        <f>SUMIF(Effect_Sizes!$B$2:$B$18,A18,Effect_Sizes!$J$2:$J$18)</f>
        <v>0.15</v>
      </c>
      <c r="G18" s="37">
        <f>SUMIF(Effect_Sizes!$B$2:$B$18,A18,Effect_Sizes!$K$2:$K$18)</f>
        <v>0.15</v>
      </c>
      <c r="H18" s="37">
        <f>SUMIF(Coverage!$B$2:$B$18,A18,Coverage!$G$2:$G$18)</f>
        <v>0.21299999999999999</v>
      </c>
      <c r="I18" s="37">
        <f>SUMIF(Coverage!$B$2:$B$18,A18,Coverage!$I$2:$I$18)</f>
        <v>0.8</v>
      </c>
      <c r="J18" s="37">
        <f t="shared" si="0"/>
        <v>0.58700000000000008</v>
      </c>
      <c r="K18" s="37">
        <f t="shared" si="1"/>
        <v>9.0956045658798626E-2</v>
      </c>
      <c r="L18" s="37">
        <f t="shared" si="2"/>
        <v>1.3643406848819794E-2</v>
      </c>
      <c r="M18" s="26" t="s">
        <v>170</v>
      </c>
      <c r="N18" s="26" t="s">
        <v>151</v>
      </c>
      <c r="O18" s="40">
        <f>COUNTIFS(Cost_Components!$G$2:$G$35,M18,Cost_Components!$D$2:$D$35,1)</f>
        <v>1</v>
      </c>
      <c r="P18" s="44">
        <f>SUMIFS(Cost_Components!$S$2:$S$35,Cost_Components!$G$2:$G$35,M18,Cost_Components!$D$2:$D$35,1)</f>
        <v>82.677092999999999</v>
      </c>
      <c r="Q18" s="26" t="str">
        <f>IF(H18=0,"MISSING COVERAGE",IF(O18=0,"REVIEW COST",IF(COUNTIF(Effect_Sizes!$B$2:$B$18,A18)&lt;&gt;1,"BAD EFFECT KEY","REVIEWED LINK")))</f>
        <v>REVIEWED LINK</v>
      </c>
    </row>
  </sheetData>
  <conditionalFormatting sqref="Q2:Q18">
    <cfRule type="containsText" dxfId="11" priority="1" operator="containsText" text="OK"/>
    <cfRule type="containsText" dxfId="10" priority="3" operator="containsText" text="FAIL"/>
    <cfRule type="containsText" dxfId="9" priority="5" operator="containsText" text="REVIEW"/>
    <cfRule type="containsText" dxfId="8" priority="6" operator="containsText" text="BAD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showGridLines="0" workbookViewId="0"/>
  </sheetViews>
  <sheetFormatPr defaultColWidth="8.796875" defaultRowHeight="13.8"/>
  <cols>
    <col min="1" max="1" width="14" customWidth="1"/>
    <col min="2" max="2" width="30" customWidth="1"/>
    <col min="3" max="3" width="58" customWidth="1"/>
    <col min="4" max="4" width="28" customWidth="1"/>
    <col min="5" max="5" width="34" customWidth="1"/>
    <col min="6" max="6" width="72" customWidth="1"/>
  </cols>
  <sheetData>
    <row r="1" spans="1:6" ht="16.05" customHeight="1">
      <c r="A1" s="2" t="s">
        <v>453</v>
      </c>
      <c r="B1" s="2" t="s">
        <v>454</v>
      </c>
      <c r="C1" s="2" t="s">
        <v>455</v>
      </c>
      <c r="D1" s="2" t="s">
        <v>456</v>
      </c>
      <c r="E1" s="2" t="s">
        <v>457</v>
      </c>
      <c r="F1" s="2" t="s">
        <v>458</v>
      </c>
    </row>
    <row r="2" spans="1:6">
      <c r="A2" s="45" t="s">
        <v>459</v>
      </c>
      <c r="B2" s="45" t="s">
        <v>460</v>
      </c>
      <c r="C2" s="45" t="s">
        <v>461</v>
      </c>
      <c r="D2" s="45" t="s">
        <v>462</v>
      </c>
      <c r="E2" s="45" t="s">
        <v>136</v>
      </c>
      <c r="F2" s="45" t="s">
        <v>463</v>
      </c>
    </row>
    <row r="3" spans="1:6">
      <c r="A3" s="46" t="s">
        <v>464</v>
      </c>
      <c r="B3" s="46" t="s">
        <v>465</v>
      </c>
      <c r="C3" s="46" t="s">
        <v>466</v>
      </c>
      <c r="D3" s="46" t="s">
        <v>467</v>
      </c>
      <c r="E3" s="46" t="s">
        <v>136</v>
      </c>
      <c r="F3" s="46" t="s">
        <v>468</v>
      </c>
    </row>
    <row r="4" spans="1:6" ht="26.4">
      <c r="A4" s="46" t="s">
        <v>469</v>
      </c>
      <c r="B4" s="46" t="s">
        <v>470</v>
      </c>
      <c r="C4" s="46" t="s">
        <v>471</v>
      </c>
      <c r="D4" s="46" t="s">
        <v>467</v>
      </c>
      <c r="E4" s="46" t="s">
        <v>136</v>
      </c>
      <c r="F4" s="46" t="s">
        <v>472</v>
      </c>
    </row>
    <row r="5" spans="1:6">
      <c r="A5" s="46" t="s">
        <v>473</v>
      </c>
      <c r="B5" s="46" t="s">
        <v>474</v>
      </c>
      <c r="C5" s="46" t="s">
        <v>475</v>
      </c>
      <c r="D5" s="46" t="s">
        <v>476</v>
      </c>
      <c r="E5" s="46" t="s">
        <v>477</v>
      </c>
      <c r="F5" s="46" t="s">
        <v>478</v>
      </c>
    </row>
    <row r="6" spans="1:6">
      <c r="A6" s="46" t="s">
        <v>479</v>
      </c>
      <c r="B6" s="46" t="s">
        <v>480</v>
      </c>
      <c r="C6" s="46" t="s">
        <v>481</v>
      </c>
      <c r="D6" s="46" t="s">
        <v>482</v>
      </c>
      <c r="E6" s="46" t="s">
        <v>483</v>
      </c>
      <c r="F6" s="46" t="s">
        <v>484</v>
      </c>
    </row>
    <row r="7" spans="1:6">
      <c r="A7" s="46" t="s">
        <v>485</v>
      </c>
      <c r="B7" s="46" t="s">
        <v>486</v>
      </c>
      <c r="C7" s="46" t="s">
        <v>487</v>
      </c>
      <c r="D7" s="46" t="s">
        <v>488</v>
      </c>
      <c r="E7" s="46" t="s">
        <v>139</v>
      </c>
      <c r="F7" s="46" t="s">
        <v>489</v>
      </c>
    </row>
    <row r="8" spans="1:6">
      <c r="A8" s="46" t="s">
        <v>490</v>
      </c>
      <c r="B8" s="46" t="s">
        <v>491</v>
      </c>
      <c r="C8" s="46" t="s">
        <v>492</v>
      </c>
      <c r="D8" s="46" t="s">
        <v>488</v>
      </c>
      <c r="E8" s="46" t="s">
        <v>493</v>
      </c>
      <c r="F8" s="46" t="s">
        <v>494</v>
      </c>
    </row>
    <row r="9" spans="1:6" ht="28.05" customHeight="1">
      <c r="A9" s="46" t="s">
        <v>495</v>
      </c>
      <c r="B9" s="46" t="s">
        <v>496</v>
      </c>
      <c r="C9" s="46" t="s">
        <v>497</v>
      </c>
      <c r="D9" s="46" t="s">
        <v>482</v>
      </c>
      <c r="E9" s="46" t="s">
        <v>311</v>
      </c>
      <c r="F9" s="46" t="s">
        <v>498</v>
      </c>
    </row>
    <row r="10" spans="1:6">
      <c r="A10" s="47" t="s">
        <v>499</v>
      </c>
      <c r="B10" s="47" t="s">
        <v>500</v>
      </c>
      <c r="C10" s="47" t="s">
        <v>501</v>
      </c>
      <c r="D10" s="47" t="s">
        <v>502</v>
      </c>
      <c r="E10" s="47" t="s">
        <v>299</v>
      </c>
      <c r="F10" s="47" t="s">
        <v>503</v>
      </c>
    </row>
    <row r="12" spans="1:6" ht="31.95" customHeight="1">
      <c r="A12" s="48" t="s">
        <v>504</v>
      </c>
      <c r="B12" s="48" t="s">
        <v>505</v>
      </c>
      <c r="C12" s="48" t="s">
        <v>506</v>
      </c>
      <c r="D12" s="48" t="s">
        <v>507</v>
      </c>
      <c r="E12" s="48" t="s">
        <v>508</v>
      </c>
      <c r="F12" s="48"/>
    </row>
    <row r="13" spans="1:6" ht="28.05" customHeight="1">
      <c r="A13" s="45" t="s">
        <v>509</v>
      </c>
      <c r="B13" s="49">
        <v>0.03</v>
      </c>
      <c r="C13" s="49">
        <v>0.05</v>
      </c>
      <c r="D13" s="45" t="s">
        <v>510</v>
      </c>
      <c r="E13" s="45" t="s">
        <v>511</v>
      </c>
      <c r="F13" s="45"/>
    </row>
    <row r="14" spans="1:6" ht="28.05" customHeight="1">
      <c r="A14" s="46" t="s">
        <v>512</v>
      </c>
      <c r="B14" s="50">
        <v>0.03</v>
      </c>
      <c r="C14" s="50">
        <v>0</v>
      </c>
      <c r="D14" s="46" t="s">
        <v>510</v>
      </c>
      <c r="E14" s="46" t="s">
        <v>511</v>
      </c>
      <c r="F14" s="46"/>
    </row>
    <row r="15" spans="1:6" ht="28.05" customHeight="1">
      <c r="A15" s="47" t="s">
        <v>513</v>
      </c>
      <c r="B15" s="47" t="s">
        <v>514</v>
      </c>
      <c r="C15" s="47" t="s">
        <v>515</v>
      </c>
      <c r="D15" s="47" t="s">
        <v>516</v>
      </c>
      <c r="E15" s="47" t="s">
        <v>511</v>
      </c>
      <c r="F15" s="47"/>
    </row>
    <row r="17" spans="1:6" ht="34.049999999999997" customHeight="1">
      <c r="A17" s="80" t="s">
        <v>517</v>
      </c>
      <c r="B17" s="62"/>
      <c r="C17" s="62"/>
      <c r="D17" s="62"/>
      <c r="E17" s="62"/>
      <c r="F17" s="62"/>
    </row>
  </sheetData>
  <mergeCells count="1">
    <mergeCell ref="A17:F17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"/>
  <sheetViews>
    <sheetView showGridLines="0" workbookViewId="0"/>
  </sheetViews>
  <sheetFormatPr defaultColWidth="8.796875" defaultRowHeight="13.8"/>
  <cols>
    <col min="1" max="1" width="42" customWidth="1"/>
    <col min="2" max="2" width="16" customWidth="1"/>
    <col min="3" max="3" width="56" customWidth="1"/>
    <col min="4" max="4" width="28" customWidth="1"/>
    <col min="5" max="5" width="3" customWidth="1"/>
    <col min="6" max="6" width="36" customWidth="1"/>
    <col min="7" max="7" width="48" customWidth="1"/>
    <col min="8" max="8" width="34" customWidth="1"/>
    <col min="9" max="9" width="48" customWidth="1"/>
  </cols>
  <sheetData>
    <row r="1" spans="1:9" ht="16.05" customHeight="1">
      <c r="A1" s="2" t="s">
        <v>518</v>
      </c>
      <c r="B1" s="2" t="s">
        <v>519</v>
      </c>
      <c r="C1" s="2" t="s">
        <v>520</v>
      </c>
      <c r="D1" s="2" t="s">
        <v>521</v>
      </c>
      <c r="F1" s="2" t="s">
        <v>34</v>
      </c>
      <c r="G1" s="2" t="s">
        <v>522</v>
      </c>
      <c r="H1" s="2" t="s">
        <v>523</v>
      </c>
      <c r="I1" s="2" t="s">
        <v>142</v>
      </c>
    </row>
    <row r="2" spans="1:9">
      <c r="A2" s="23" t="s">
        <v>524</v>
      </c>
      <c r="B2" s="23" t="s">
        <v>525</v>
      </c>
      <c r="C2" s="23" t="s">
        <v>526</v>
      </c>
      <c r="D2" s="23" t="s">
        <v>92</v>
      </c>
      <c r="E2" s="23"/>
      <c r="F2" s="23" t="s">
        <v>527</v>
      </c>
      <c r="G2" s="23" t="s">
        <v>528</v>
      </c>
      <c r="H2" s="23" t="s">
        <v>529</v>
      </c>
      <c r="I2" s="23" t="s">
        <v>530</v>
      </c>
    </row>
    <row r="3" spans="1:9" ht="25.95" customHeight="1">
      <c r="A3" s="23" t="s">
        <v>531</v>
      </c>
      <c r="B3" s="23" t="s">
        <v>525</v>
      </c>
      <c r="C3" s="23" t="s">
        <v>532</v>
      </c>
      <c r="D3" s="23" t="s">
        <v>533</v>
      </c>
      <c r="E3" s="23"/>
      <c r="F3" s="23" t="s">
        <v>44</v>
      </c>
      <c r="G3" s="23" t="s">
        <v>534</v>
      </c>
      <c r="H3" s="23" t="s">
        <v>535</v>
      </c>
      <c r="I3" s="23" t="s">
        <v>536</v>
      </c>
    </row>
    <row r="4" spans="1:9">
      <c r="A4" s="23" t="s">
        <v>537</v>
      </c>
      <c r="B4" s="23" t="s">
        <v>538</v>
      </c>
      <c r="C4" s="23" t="s">
        <v>539</v>
      </c>
      <c r="D4" s="23" t="s">
        <v>102</v>
      </c>
      <c r="E4" s="23"/>
      <c r="F4" s="23" t="s">
        <v>197</v>
      </c>
      <c r="G4" s="23" t="s">
        <v>540</v>
      </c>
      <c r="H4" s="23" t="s">
        <v>541</v>
      </c>
      <c r="I4" s="23" t="s">
        <v>542</v>
      </c>
    </row>
    <row r="5" spans="1:9">
      <c r="A5" s="23" t="s">
        <v>543</v>
      </c>
      <c r="B5" s="23" t="s">
        <v>538</v>
      </c>
      <c r="C5" s="23" t="s">
        <v>544</v>
      </c>
      <c r="D5" s="23" t="s">
        <v>545</v>
      </c>
      <c r="E5" s="23"/>
      <c r="F5" s="23" t="s">
        <v>546</v>
      </c>
      <c r="G5" s="23" t="s">
        <v>547</v>
      </c>
      <c r="H5" s="23" t="s">
        <v>548</v>
      </c>
      <c r="I5" s="23" t="s">
        <v>549</v>
      </c>
    </row>
    <row r="6" spans="1:9">
      <c r="A6" s="23" t="s">
        <v>550</v>
      </c>
      <c r="B6" s="23" t="s">
        <v>538</v>
      </c>
      <c r="C6" s="23" t="s">
        <v>551</v>
      </c>
      <c r="D6" s="23" t="s">
        <v>99</v>
      </c>
      <c r="E6" s="23"/>
      <c r="F6" s="23" t="s">
        <v>59</v>
      </c>
      <c r="G6" s="23" t="s">
        <v>552</v>
      </c>
      <c r="H6" s="23" t="s">
        <v>553</v>
      </c>
      <c r="I6" s="23" t="s">
        <v>554</v>
      </c>
    </row>
    <row r="7" spans="1:9">
      <c r="A7" s="23" t="s">
        <v>555</v>
      </c>
      <c r="B7" s="23" t="s">
        <v>538</v>
      </c>
      <c r="C7" s="23" t="s">
        <v>551</v>
      </c>
      <c r="D7" s="23" t="s">
        <v>556</v>
      </c>
      <c r="E7" s="23"/>
      <c r="F7" s="23" t="s">
        <v>557</v>
      </c>
      <c r="G7" s="23" t="s">
        <v>558</v>
      </c>
      <c r="H7" s="23" t="s">
        <v>559</v>
      </c>
      <c r="I7" s="23" t="s">
        <v>560</v>
      </c>
    </row>
    <row r="8" spans="1:9" ht="25.95" customHeight="1">
      <c r="A8" s="23" t="s">
        <v>561</v>
      </c>
      <c r="B8" s="23" t="s">
        <v>538</v>
      </c>
      <c r="C8" s="23" t="s">
        <v>562</v>
      </c>
      <c r="D8" s="23" t="s">
        <v>99</v>
      </c>
      <c r="E8" s="23"/>
      <c r="F8" s="23" t="s">
        <v>563</v>
      </c>
      <c r="G8" s="23" t="s">
        <v>564</v>
      </c>
      <c r="H8" s="23" t="s">
        <v>511</v>
      </c>
      <c r="I8" s="23" t="s">
        <v>565</v>
      </c>
    </row>
    <row r="9" spans="1:9">
      <c r="A9" s="23" t="s">
        <v>566</v>
      </c>
      <c r="B9" s="23" t="s">
        <v>538</v>
      </c>
      <c r="C9" s="23" t="s">
        <v>567</v>
      </c>
      <c r="D9" s="23" t="s">
        <v>568</v>
      </c>
      <c r="E9" s="23"/>
      <c r="F9" s="23"/>
      <c r="G9" s="23"/>
      <c r="H9" s="23"/>
      <c r="I9" s="23"/>
    </row>
  </sheetData>
  <conditionalFormatting sqref="B2:B9">
    <cfRule type="containsText" dxfId="7" priority="1" operator="containsText" text="OK"/>
    <cfRule type="containsText" dxfId="6" priority="3" operator="containsText" text="FAIL"/>
    <cfRule type="containsText" dxfId="5" priority="5" operator="containsText" text="REVIEW"/>
    <cfRule type="containsText" dxfId="4" priority="6" operator="containsText" text="BAD"/>
  </conditionalFormatting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"/>
  <sheetViews>
    <sheetView showGridLines="0" workbookViewId="0">
      <selection activeCell="D4" sqref="D4"/>
    </sheetView>
  </sheetViews>
  <sheetFormatPr defaultColWidth="8.796875" defaultRowHeight="13.8"/>
  <cols>
    <col min="1" max="1" width="14" customWidth="1"/>
    <col min="2" max="2" width="52" customWidth="1"/>
    <col min="3" max="4" width="14" customWidth="1"/>
    <col min="5" max="5" width="16" customWidth="1"/>
    <col min="6" max="6" width="62" customWidth="1"/>
  </cols>
  <sheetData>
    <row r="1" spans="1:6" ht="16.05" customHeight="1">
      <c r="A1" s="2" t="s">
        <v>569</v>
      </c>
      <c r="B1" s="2" t="s">
        <v>570</v>
      </c>
      <c r="C1" s="2" t="s">
        <v>571</v>
      </c>
      <c r="D1" s="2" t="s">
        <v>572</v>
      </c>
      <c r="E1" s="2" t="s">
        <v>573</v>
      </c>
      <c r="F1" s="2" t="s">
        <v>574</v>
      </c>
    </row>
    <row r="2" spans="1:6" ht="30" customHeight="1">
      <c r="A2" s="51" t="s">
        <v>575</v>
      </c>
      <c r="B2" s="51" t="s">
        <v>576</v>
      </c>
      <c r="C2" s="51">
        <v>0</v>
      </c>
      <c r="D2" s="52">
        <f>COUNTIF(Intervention_Cause_Map!$M$2:$M$18,"&gt;1")</f>
        <v>0</v>
      </c>
      <c r="E2" s="52" t="str">
        <f t="shared" ref="E2:E9" si="0">IF(D2=C2,"PASS","FAIL")</f>
        <v>PASS</v>
      </c>
      <c r="F2" s="51" t="s">
        <v>577</v>
      </c>
    </row>
    <row r="3" spans="1:6" ht="30" customHeight="1">
      <c r="A3" s="51" t="s">
        <v>578</v>
      </c>
      <c r="B3" s="51" t="s">
        <v>579</v>
      </c>
      <c r="C3" s="51">
        <v>0</v>
      </c>
      <c r="D3" s="52">
        <f>COUNTIF(Effect_Sizes!$V$2:$V$18,"&lt;&gt;OK")</f>
        <v>0</v>
      </c>
      <c r="E3" s="52" t="str">
        <f t="shared" si="0"/>
        <v>PASS</v>
      </c>
      <c r="F3" s="51" t="s">
        <v>580</v>
      </c>
    </row>
    <row r="4" spans="1:6" ht="30" customHeight="1">
      <c r="A4" s="51" t="s">
        <v>581</v>
      </c>
      <c r="B4" s="51" t="s">
        <v>582</v>
      </c>
      <c r="C4" s="51">
        <v>0</v>
      </c>
      <c r="D4" s="52">
        <f>COUNTIF(Coverage!$S$2:$S$18,"&lt;&gt;OK")</f>
        <v>0</v>
      </c>
      <c r="E4" s="52" t="str">
        <f t="shared" si="0"/>
        <v>PASS</v>
      </c>
      <c r="F4" s="51" t="s">
        <v>583</v>
      </c>
    </row>
    <row r="5" spans="1:6" ht="30" customHeight="1">
      <c r="A5" s="51" t="s">
        <v>584</v>
      </c>
      <c r="B5" s="51" t="s">
        <v>585</v>
      </c>
      <c r="C5" s="51">
        <v>0</v>
      </c>
      <c r="D5" s="52">
        <f>COUNTIF(Cost_Components!$AC$2:$AC$35,"&lt;&gt;OK")</f>
        <v>0</v>
      </c>
      <c r="E5" s="52" t="str">
        <f t="shared" si="0"/>
        <v>PASS</v>
      </c>
      <c r="F5" s="51" t="s">
        <v>586</v>
      </c>
    </row>
    <row r="6" spans="1:6" ht="30" customHeight="1">
      <c r="A6" s="51" t="s">
        <v>587</v>
      </c>
      <c r="B6" s="51" t="s">
        <v>588</v>
      </c>
      <c r="C6" s="51">
        <v>0</v>
      </c>
      <c r="D6" s="52">
        <f>COUNTA(Effect_Sizes!$A$2:$A$18)-COUNTA(Intervention_Cause_Map!$A$2:$A$18)</f>
        <v>0</v>
      </c>
      <c r="E6" s="52" t="str">
        <f t="shared" si="0"/>
        <v>PASS</v>
      </c>
      <c r="F6" s="51" t="s">
        <v>589</v>
      </c>
    </row>
    <row r="7" spans="1:6" ht="30" customHeight="1">
      <c r="A7" s="51" t="s">
        <v>590</v>
      </c>
      <c r="B7" s="51" t="s">
        <v>591</v>
      </c>
      <c r="C7" s="51">
        <v>0</v>
      </c>
      <c r="D7" s="52">
        <f>COUNTA(Coverage!$A$2:$A$18)-COUNTA(Intervention_Cause_Map!$A$2:$A$18)</f>
        <v>0</v>
      </c>
      <c r="E7" s="52" t="str">
        <f t="shared" si="0"/>
        <v>PASS</v>
      </c>
      <c r="F7" s="51" t="s">
        <v>592</v>
      </c>
    </row>
    <row r="8" spans="1:6" ht="30" customHeight="1">
      <c r="A8" s="51" t="s">
        <v>593</v>
      </c>
      <c r="B8" s="51" t="s">
        <v>594</v>
      </c>
      <c r="C8" s="51">
        <v>0</v>
      </c>
      <c r="D8" s="52">
        <f>COUNTBLANK(Effect_Sizes!$Q$2:$Q$18)</f>
        <v>0</v>
      </c>
      <c r="E8" s="52" t="str">
        <f t="shared" si="0"/>
        <v>PASS</v>
      </c>
      <c r="F8" s="51" t="s">
        <v>595</v>
      </c>
    </row>
    <row r="9" spans="1:6" ht="30" customHeight="1">
      <c r="A9" s="51" t="s">
        <v>596</v>
      </c>
      <c r="B9" s="51" t="s">
        <v>597</v>
      </c>
      <c r="C9" s="51">
        <v>0</v>
      </c>
      <c r="D9" s="52">
        <f>COUNTIFS(Cost_Components!$D$2:$D$35,1,Cost_Components!$S$2:$S$35,"")</f>
        <v>0</v>
      </c>
      <c r="E9" s="52" t="str">
        <f t="shared" si="0"/>
        <v>PASS</v>
      </c>
      <c r="F9" s="51" t="s">
        <v>598</v>
      </c>
    </row>
  </sheetData>
  <conditionalFormatting sqref="E2:E9">
    <cfRule type="containsText" dxfId="3" priority="1" operator="containsText" text="OK"/>
    <cfRule type="containsText" dxfId="2" priority="3" operator="containsText" text="FAIL"/>
    <cfRule type="containsText" dxfId="1" priority="5" operator="containsText" text="REVIEW"/>
    <cfRule type="containsText" dxfId="0" priority="6" operator="containsText" text="BAD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2"/>
  <sheetViews>
    <sheetView tabSelected="1" topLeftCell="A15" workbookViewId="0">
      <selection activeCell="C35" sqref="C35"/>
    </sheetView>
  </sheetViews>
  <sheetFormatPr defaultRowHeight="13.8"/>
  <cols>
    <col min="1" max="1" width="28" customWidth="1"/>
    <col min="2" max="2" width="14" customWidth="1"/>
    <col min="3" max="3" width="16" customWidth="1"/>
    <col min="4" max="4" width="18" customWidth="1"/>
    <col min="5" max="5" width="22" customWidth="1"/>
    <col min="6" max="6" width="18" customWidth="1"/>
    <col min="7" max="9" width="20" customWidth="1"/>
    <col min="10" max="10" width="22" customWidth="1"/>
    <col min="11" max="11" width="18" customWidth="1"/>
  </cols>
  <sheetData>
    <row r="1" spans="1:1" ht="16.8">
      <c r="A1" s="60" t="s">
        <v>599</v>
      </c>
    </row>
    <row r="2" spans="1:1">
      <c r="A2" t="s">
        <v>600</v>
      </c>
    </row>
    <row r="4" spans="1:1">
      <c r="A4" s="53" t="s">
        <v>601</v>
      </c>
    </row>
    <row r="5" spans="1:1">
      <c r="A5" t="s">
        <v>602</v>
      </c>
    </row>
    <row r="6" spans="1:1">
      <c r="A6" t="s">
        <v>603</v>
      </c>
    </row>
    <row r="7" spans="1:1">
      <c r="A7" t="s">
        <v>604</v>
      </c>
    </row>
    <row r="8" spans="1:1">
      <c r="A8" t="s">
        <v>605</v>
      </c>
    </row>
    <row r="10" spans="1:1">
      <c r="A10" s="53" t="s">
        <v>606</v>
      </c>
    </row>
    <row r="11" spans="1:1">
      <c r="A11" t="s">
        <v>607</v>
      </c>
    </row>
    <row r="13" spans="1:1">
      <c r="A13" s="53" t="s">
        <v>608</v>
      </c>
    </row>
    <row r="14" spans="1:1">
      <c r="A14" t="s">
        <v>609</v>
      </c>
    </row>
    <row r="15" spans="1:1">
      <c r="A15" t="s">
        <v>610</v>
      </c>
    </row>
    <row r="17" spans="1:11">
      <c r="A17" s="53" t="s">
        <v>611</v>
      </c>
      <c r="B17" t="s">
        <v>612</v>
      </c>
      <c r="C17" t="s">
        <v>613</v>
      </c>
      <c r="D17" t="s">
        <v>614</v>
      </c>
      <c r="E17" t="s">
        <v>615</v>
      </c>
      <c r="F17" t="s">
        <v>616</v>
      </c>
      <c r="G17" t="s">
        <v>617</v>
      </c>
      <c r="H17" t="s">
        <v>618</v>
      </c>
      <c r="I17" t="s">
        <v>619</v>
      </c>
      <c r="J17" t="s">
        <v>620</v>
      </c>
      <c r="K17" t="s">
        <v>621</v>
      </c>
    </row>
    <row r="18" spans="1:11">
      <c r="A18" t="s">
        <v>622</v>
      </c>
      <c r="B18" t="s">
        <v>623</v>
      </c>
      <c r="C18">
        <v>919</v>
      </c>
      <c r="D18">
        <v>769</v>
      </c>
      <c r="E18">
        <v>1038779</v>
      </c>
      <c r="F18">
        <v>344</v>
      </c>
      <c r="G18">
        <v>16083389</v>
      </c>
      <c r="H18">
        <v>247</v>
      </c>
      <c r="I18">
        <v>15473221</v>
      </c>
      <c r="J18">
        <v>5061539</v>
      </c>
      <c r="K18">
        <v>0.40110000000000001</v>
      </c>
    </row>
    <row r="19" spans="1:11">
      <c r="A19" t="s">
        <v>624</v>
      </c>
      <c r="B19" t="s">
        <v>625</v>
      </c>
      <c r="C19">
        <v>38226</v>
      </c>
      <c r="D19">
        <v>32889</v>
      </c>
      <c r="E19">
        <v>1056000</v>
      </c>
      <c r="F19">
        <v>14146</v>
      </c>
      <c r="G19">
        <v>6552632</v>
      </c>
      <c r="H19">
        <v>7430</v>
      </c>
      <c r="I19">
        <v>6447849</v>
      </c>
      <c r="J19">
        <v>2181491</v>
      </c>
      <c r="K19">
        <v>0.503</v>
      </c>
    </row>
    <row r="20" spans="1:11">
      <c r="A20" t="s">
        <v>626</v>
      </c>
      <c r="B20" t="s">
        <v>627</v>
      </c>
      <c r="C20">
        <v>16288</v>
      </c>
      <c r="D20">
        <v>14725</v>
      </c>
      <c r="E20">
        <v>893730</v>
      </c>
      <c r="F20">
        <v>3291</v>
      </c>
      <c r="G20">
        <v>6924654</v>
      </c>
      <c r="H20">
        <v>2177</v>
      </c>
      <c r="I20">
        <v>7053926</v>
      </c>
      <c r="J20">
        <v>940602</v>
      </c>
      <c r="K20">
        <v>0.49</v>
      </c>
    </row>
    <row r="21" spans="1:11">
      <c r="A21" t="s">
        <v>628</v>
      </c>
      <c r="B21" t="s">
        <v>629</v>
      </c>
      <c r="C21">
        <v>15101</v>
      </c>
      <c r="D21">
        <v>13330</v>
      </c>
      <c r="E21">
        <v>1182828</v>
      </c>
      <c r="F21">
        <v>6447</v>
      </c>
      <c r="G21">
        <v>10381883</v>
      </c>
      <c r="H21">
        <v>4061</v>
      </c>
      <c r="I21">
        <v>10319553</v>
      </c>
      <c r="J21">
        <v>3249908</v>
      </c>
      <c r="K21">
        <v>0.53010000000000002</v>
      </c>
    </row>
    <row r="22" spans="1:11">
      <c r="A22" t="s">
        <v>630</v>
      </c>
      <c r="B22" t="s">
        <v>631</v>
      </c>
      <c r="C22">
        <v>6507</v>
      </c>
      <c r="D22">
        <v>4819</v>
      </c>
      <c r="E22">
        <v>1086431</v>
      </c>
      <c r="F22">
        <v>3511</v>
      </c>
      <c r="G22">
        <v>8989347</v>
      </c>
      <c r="H22">
        <v>2947</v>
      </c>
      <c r="I22">
        <v>8753688</v>
      </c>
      <c r="J22">
        <v>2624992</v>
      </c>
      <c r="K22">
        <v>0.38219999999999998</v>
      </c>
    </row>
    <row r="23" spans="1:11">
      <c r="A23" t="s">
        <v>632</v>
      </c>
      <c r="B23" t="s">
        <v>633</v>
      </c>
      <c r="C23">
        <v>1238</v>
      </c>
      <c r="D23">
        <v>738</v>
      </c>
      <c r="E23">
        <v>856734</v>
      </c>
      <c r="F23">
        <v>792</v>
      </c>
      <c r="G23">
        <v>15957590</v>
      </c>
      <c r="H23">
        <v>745</v>
      </c>
      <c r="I23">
        <v>15770369</v>
      </c>
      <c r="J23">
        <v>4156480</v>
      </c>
      <c r="K23">
        <v>0.21240000000000001</v>
      </c>
    </row>
    <row r="24" spans="1:11">
      <c r="A24" t="s">
        <v>634</v>
      </c>
      <c r="B24" t="s">
        <v>635</v>
      </c>
      <c r="C24">
        <v>11183</v>
      </c>
      <c r="D24">
        <v>10040</v>
      </c>
      <c r="E24">
        <v>1057210</v>
      </c>
      <c r="F24">
        <v>3813</v>
      </c>
      <c r="G24">
        <v>8768695</v>
      </c>
      <c r="H24">
        <v>2299</v>
      </c>
      <c r="I24">
        <v>8683364</v>
      </c>
      <c r="J24">
        <v>2329583</v>
      </c>
      <c r="K24">
        <v>0.50249999999999995</v>
      </c>
    </row>
    <row r="25" spans="1:11">
      <c r="A25" t="s">
        <v>636</v>
      </c>
      <c r="B25" t="s">
        <v>637</v>
      </c>
      <c r="C25">
        <v>556</v>
      </c>
      <c r="D25">
        <v>456</v>
      </c>
      <c r="E25">
        <v>773869</v>
      </c>
      <c r="F25">
        <v>191</v>
      </c>
      <c r="G25">
        <v>6744581</v>
      </c>
      <c r="H25">
        <v>156</v>
      </c>
      <c r="I25">
        <v>6915049</v>
      </c>
      <c r="J25">
        <v>1224956</v>
      </c>
      <c r="K25">
        <v>0.39219999999999999</v>
      </c>
    </row>
    <row r="26" spans="1:11">
      <c r="A26" t="s">
        <v>638</v>
      </c>
      <c r="B26" t="s">
        <v>639</v>
      </c>
      <c r="C26">
        <v>21122</v>
      </c>
      <c r="D26">
        <v>18126</v>
      </c>
      <c r="E26">
        <v>1259751</v>
      </c>
      <c r="F26">
        <v>11195</v>
      </c>
      <c r="G26">
        <v>7077165</v>
      </c>
      <c r="H26">
        <v>5193</v>
      </c>
      <c r="I26">
        <v>6895954</v>
      </c>
      <c r="J26">
        <v>3647667</v>
      </c>
      <c r="K26">
        <v>0.57050000000000001</v>
      </c>
    </row>
    <row r="28" spans="1:11">
      <c r="A28" t="s">
        <v>640</v>
      </c>
    </row>
    <row r="29" spans="1:11">
      <c r="A29" t="s">
        <v>641</v>
      </c>
      <c r="B29" t="s">
        <v>28</v>
      </c>
      <c r="C29" t="s">
        <v>642</v>
      </c>
    </row>
    <row r="30" spans="1:11">
      <c r="A30" t="s">
        <v>643</v>
      </c>
      <c r="B30">
        <v>0.26140000000000002</v>
      </c>
    </row>
    <row r="31" spans="1:11">
      <c r="A31" t="s">
        <v>644</v>
      </c>
      <c r="B31">
        <v>0.20200000000000001</v>
      </c>
    </row>
    <row r="32" spans="1:11">
      <c r="A32" t="s">
        <v>645</v>
      </c>
      <c r="B32">
        <v>0.21299999999999999</v>
      </c>
    </row>
    <row r="33" spans="1:3">
      <c r="A33" t="s">
        <v>646</v>
      </c>
      <c r="B33">
        <v>0.2702</v>
      </c>
    </row>
    <row r="34" spans="1:3">
      <c r="A34" t="s">
        <v>647</v>
      </c>
      <c r="B34">
        <v>0.30449999999999999</v>
      </c>
    </row>
    <row r="35" spans="1:3">
      <c r="A35" t="s">
        <v>648</v>
      </c>
      <c r="B35">
        <v>0.22459999999999999</v>
      </c>
      <c r="C35">
        <f>+B35*B33</f>
        <v>6.0686919999999998E-2</v>
      </c>
    </row>
    <row r="36" spans="1:3">
      <c r="A36" t="s">
        <v>649</v>
      </c>
      <c r="B36">
        <v>0.24660000000000001</v>
      </c>
    </row>
    <row r="38" spans="1:3">
      <c r="A38" t="s">
        <v>650</v>
      </c>
    </row>
    <row r="39" spans="1:3">
      <c r="A39" t="s">
        <v>651</v>
      </c>
    </row>
    <row r="40" spans="1:3">
      <c r="A40" t="s">
        <v>652</v>
      </c>
    </row>
    <row r="41" spans="1:3">
      <c r="A41" t="s">
        <v>653</v>
      </c>
    </row>
    <row r="42" spans="1:3">
      <c r="A42" t="s">
        <v>654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7d74e8-a486-4d3d-8732-11bd335e8da3" xsi:nil="true"/>
    <yvjb xmlns="e591b7d0-ed26-4704-a906-b37836554494">
      <UserInfo>
        <DisplayName/>
        <AccountId xsi:nil="true"/>
        <AccountType/>
      </UserInfo>
    </yvjb>
    <lcf76f155ced4ddcb4097134ff3c332f xmlns="e591b7d0-ed26-4704-a906-b37836554494">
      <Terms xmlns="http://schemas.microsoft.com/office/infopath/2007/PartnerControls"/>
    </lcf76f155ced4ddcb4097134ff3c332f>
    <_ApprovalAssignedTo xmlns="e591b7d0-ed26-4704-a906-b37836554494">
      <UserInfo>
        <DisplayName/>
        <AccountId xsi:nil="true"/>
        <AccountType/>
      </UserInfo>
    </_ApprovalAssignedTo>
    <_ApprovalRespondedBy xmlns="e591b7d0-ed26-4704-a906-b37836554494">
      <UserInfo>
        <DisplayName/>
        <AccountId xsi:nil="true"/>
        <AccountType/>
      </UserInfo>
    </_ApprovalRespondedBy>
    <_ApprovalStatus xmlns="e591b7d0-ed26-4704-a906-b37836554494">0</_Approval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54B28B783BA2479149CF974AE2BC4B" ma:contentTypeVersion="18" ma:contentTypeDescription="Create a new document." ma:contentTypeScope="" ma:versionID="4d636555f4df7f4217ad846c7391bc9f">
  <xsd:schema xmlns:xsd="http://www.w3.org/2001/XMLSchema" xmlns:xs="http://www.w3.org/2001/XMLSchema" xmlns:p="http://schemas.microsoft.com/office/2006/metadata/properties" xmlns:ns2="e591b7d0-ed26-4704-a906-b37836554494" xmlns:ns3="427d74e8-a486-4d3d-8732-11bd335e8da3" targetNamespace="http://schemas.microsoft.com/office/2006/metadata/properties" ma:root="true" ma:fieldsID="3d3a8b324045f670943a309c5b6e03d8" ns2:_="" ns3:_="">
    <xsd:import namespace="e591b7d0-ed26-4704-a906-b37836554494"/>
    <xsd:import namespace="427d74e8-a486-4d3d-8732-11bd335e8d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ServiceLocation" minOccurs="0"/>
                <xsd:element ref="ns2:MediaServiceBillingMetadata" minOccurs="0"/>
                <xsd:element ref="ns2:yvj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91b7d0-ed26-4704-a906-b37836554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71f9555-429c-4fbc-9215-8c3cd596f6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yvjb" ma:index="25" nillable="true" ma:displayName="Person or Group" ma:list="UserInfo" ma:internalName="yvjb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d74e8-a486-4d3d-8732-11bd335e8da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2ef6410-8571-496f-a8b8-651a9e9df706}" ma:internalName="TaxCatchAll" ma:showField="CatchAllData" ma:web="427d74e8-a486-4d3d-8732-11bd335e8d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37AD60-2D97-4EAD-8982-FA2F8C8D2560}">
  <ds:schemaRefs>
    <ds:schemaRef ds:uri="http://schemas.microsoft.com/office/2006/metadata/properties"/>
    <ds:schemaRef ds:uri="http://schemas.microsoft.com/office/infopath/2007/PartnerControls"/>
    <ds:schemaRef ds:uri="427d74e8-a486-4d3d-8732-11bd335e8da3"/>
    <ds:schemaRef ds:uri="e591b7d0-ed26-4704-a906-b37836554494"/>
  </ds:schemaRefs>
</ds:datastoreItem>
</file>

<file path=customXml/itemProps2.xml><?xml version="1.0" encoding="utf-8"?>
<ds:datastoreItem xmlns:ds="http://schemas.openxmlformats.org/officeDocument/2006/customXml" ds:itemID="{791E5630-0454-43B9-86B0-E098BF74B6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4FE34A-85AA-4591-A7CF-0BA0F14529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91b7d0-ed26-4704-a906-b37836554494"/>
    <ds:schemaRef ds:uri="427d74e8-a486-4d3d-8732-11bd335e8d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Assumptions</vt:lpstr>
      <vt:lpstr>Dictionaries</vt:lpstr>
      <vt:lpstr>Intervention_Cause_Map</vt:lpstr>
      <vt:lpstr>Effect_Sizes</vt:lpstr>
      <vt:lpstr>Coverage</vt:lpstr>
      <vt:lpstr>Cost_Components</vt:lpstr>
      <vt:lpstr>Model_Input_View</vt:lpstr>
      <vt:lpstr>FairChoices_Methods</vt:lpstr>
      <vt:lpstr>Scope_and_Sources</vt:lpstr>
      <vt:lpstr>QA_Checks</vt:lpstr>
      <vt:lpstr>JKN_Derivation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R Garcia</cp:lastModifiedBy>
  <dcterms:created xsi:type="dcterms:W3CDTF">2026-08-31T23:25:16Z</dcterms:created>
  <dcterms:modified xsi:type="dcterms:W3CDTF">2026-09-01T02:25:05Z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0x0101001D54B28B783BA2479149CF974AE2BC4B</vt:lpwstr>
  </property>
  <property fmtid="{D5CDD505-2E9C-101B-9397-08002B2CF9AE}" pid="3" name="MediaServiceImageTags">
    <vt:lpwstr/>
  </property>
</Properties>
</file>