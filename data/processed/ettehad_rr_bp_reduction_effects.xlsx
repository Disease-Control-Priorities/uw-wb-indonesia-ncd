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HO-CVD/github/uw-who-cvdtargets/data/processed/"/>
    </mc:Choice>
  </mc:AlternateContent>
  <xr:revisionPtr revIDLastSave="75" documentId="8_{331CF8A5-94EE-488E-B7B7-4C4AC6851445}" xr6:coauthVersionLast="47" xr6:coauthVersionMax="47" xr10:uidLastSave="{C1677BEB-9CFA-41E6-A963-AF5371A2E9DD}"/>
  <bookViews>
    <workbookView xWindow="-108" yWindow="-108" windowWidth="23256" windowHeight="12456" xr2:uid="{ACAEEDB5-3BB2-45B3-B3BF-2A292CDA7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  <c r="F5" i="1"/>
  <c r="D34" i="1"/>
  <c r="F34" i="1"/>
  <c r="D35" i="1"/>
  <c r="F35" i="1"/>
  <c r="D36" i="1"/>
  <c r="F36" i="1"/>
  <c r="C35" i="1"/>
  <c r="C36" i="1"/>
  <c r="C37" i="1"/>
  <c r="C38" i="1"/>
  <c r="C39" i="1"/>
  <c r="C40" i="1"/>
  <c r="C41" i="1"/>
  <c r="C34" i="1"/>
  <c r="F33" i="1"/>
  <c r="G33" i="1" s="1"/>
  <c r="D33" i="1"/>
  <c r="E33" i="1" s="1"/>
  <c r="F32" i="1"/>
  <c r="G32" i="1" s="1"/>
  <c r="D32" i="1"/>
  <c r="E32" i="1" s="1"/>
  <c r="F31" i="1"/>
  <c r="G31" i="1" s="1"/>
  <c r="D31" i="1"/>
  <c r="E31" i="1" s="1"/>
  <c r="F30" i="1"/>
  <c r="G30" i="1" s="1"/>
  <c r="D30" i="1"/>
  <c r="E30" i="1" s="1"/>
  <c r="F29" i="1"/>
  <c r="G29" i="1" s="1"/>
  <c r="D29" i="1"/>
  <c r="E29" i="1" s="1"/>
  <c r="G28" i="1"/>
  <c r="E28" i="1"/>
  <c r="G27" i="1"/>
  <c r="E27" i="1"/>
  <c r="G26" i="1"/>
  <c r="E26" i="1"/>
  <c r="F25" i="1"/>
  <c r="G25" i="1" s="1"/>
  <c r="D25" i="1"/>
  <c r="E25" i="1" s="1"/>
  <c r="F24" i="1"/>
  <c r="G24" i="1" s="1"/>
  <c r="D24" i="1"/>
  <c r="E24" i="1" s="1"/>
  <c r="F23" i="1"/>
  <c r="G23" i="1" s="1"/>
  <c r="D23" i="1"/>
  <c r="E23" i="1" s="1"/>
  <c r="F22" i="1"/>
  <c r="G22" i="1" s="1"/>
  <c r="D22" i="1"/>
  <c r="E22" i="1" s="1"/>
  <c r="F21" i="1"/>
  <c r="G21" i="1" s="1"/>
  <c r="D21" i="1"/>
  <c r="E21" i="1" s="1"/>
  <c r="G20" i="1"/>
  <c r="E20" i="1"/>
  <c r="G19" i="1"/>
  <c r="E19" i="1"/>
  <c r="G18" i="1"/>
  <c r="E18" i="1"/>
  <c r="F17" i="1"/>
  <c r="G17" i="1" s="1"/>
  <c r="D17" i="1"/>
  <c r="E17" i="1" s="1"/>
  <c r="F16" i="1"/>
  <c r="G16" i="1" s="1"/>
  <c r="D16" i="1"/>
  <c r="E16" i="1" s="1"/>
  <c r="F15" i="1"/>
  <c r="G15" i="1" s="1"/>
  <c r="D15" i="1"/>
  <c r="E15" i="1" s="1"/>
  <c r="F14" i="1"/>
  <c r="G14" i="1" s="1"/>
  <c r="D14" i="1"/>
  <c r="E14" i="1" s="1"/>
  <c r="F13" i="1"/>
  <c r="G13" i="1" s="1"/>
  <c r="D13" i="1"/>
  <c r="E13" i="1" s="1"/>
  <c r="G12" i="1"/>
  <c r="E12" i="1"/>
  <c r="G11" i="1"/>
  <c r="E11" i="1"/>
  <c r="G10" i="1"/>
  <c r="E10" i="1"/>
  <c r="G5" i="1"/>
  <c r="G37" i="1" s="1"/>
  <c r="F6" i="1"/>
  <c r="F38" i="1" s="1"/>
  <c r="F7" i="1"/>
  <c r="F39" i="1" s="1"/>
  <c r="F8" i="1"/>
  <c r="F40" i="1" s="1"/>
  <c r="F9" i="1"/>
  <c r="F41" i="1" s="1"/>
  <c r="D9" i="1"/>
  <c r="D41" i="1" s="1"/>
  <c r="G9" i="1"/>
  <c r="G41" i="1" s="1"/>
  <c r="G8" i="1"/>
  <c r="G40" i="1" s="1"/>
  <c r="G7" i="1"/>
  <c r="G39" i="1" s="1"/>
  <c r="G6" i="1"/>
  <c r="G38" i="1" s="1"/>
  <c r="G4" i="1"/>
  <c r="G36" i="1" s="1"/>
  <c r="G3" i="1"/>
  <c r="G35" i="1" s="1"/>
  <c r="G2" i="1"/>
  <c r="G34" i="1" s="1"/>
  <c r="D5" i="1"/>
  <c r="E5" i="1" s="1"/>
  <c r="E37" i="1" s="1"/>
  <c r="D8" i="1"/>
  <c r="E8" i="1" s="1"/>
  <c r="E40" i="1" s="1"/>
  <c r="D7" i="1"/>
  <c r="E7" i="1" s="1"/>
  <c r="E39" i="1" s="1"/>
  <c r="D6" i="1"/>
  <c r="E6" i="1" s="1"/>
  <c r="E38" i="1" s="1"/>
  <c r="E4" i="1"/>
  <c r="E36" i="1" s="1"/>
  <c r="E3" i="1"/>
  <c r="E35" i="1" s="1"/>
  <c r="E2" i="1"/>
  <c r="E34" i="1" s="1"/>
  <c r="F37" i="1" l="1"/>
  <c r="E9" i="1"/>
  <c r="E41" i="1" s="1"/>
  <c r="D37" i="1"/>
  <c r="D40" i="1"/>
  <c r="D39" i="1"/>
  <c r="D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GARCIA</author>
  </authors>
  <commentList>
    <comment ref="A34" authorId="0" shapeId="0" xr:uid="{B8EAAE83-5393-429B-9852-DD225E1A94C8}">
      <text>
        <r>
          <rPr>
            <b/>
            <sz val="9"/>
            <color indexed="81"/>
            <rFont val="Tahoma"/>
            <charset val="1"/>
          </rPr>
          <t>WILLIAM GARCIA:</t>
        </r>
        <r>
          <rPr>
            <sz val="9"/>
            <color indexed="81"/>
            <rFont val="Tahoma"/>
            <charset val="1"/>
          </rPr>
          <t xml:space="preserve">
For future model completeness. Dementia is not been modeled</t>
        </r>
      </text>
    </comment>
  </commentList>
</comments>
</file>

<file path=xl/sharedStrings.xml><?xml version="1.0" encoding="utf-8"?>
<sst xmlns="http://schemas.openxmlformats.org/spreadsheetml/2006/main" count="87" uniqueCount="20">
  <si>
    <t>cause</t>
  </si>
  <si>
    <t>rr_per_10mmhg</t>
  </si>
  <si>
    <t>hhd</t>
  </si>
  <si>
    <t>&lt;120</t>
  </si>
  <si>
    <t>120-129</t>
  </si>
  <si>
    <t>130-139</t>
  </si>
  <si>
    <t>140-149</t>
  </si>
  <si>
    <t>150-159</t>
  </si>
  <si>
    <t>160-169</t>
  </si>
  <si>
    <t>170-179</t>
  </si>
  <si>
    <t>180+</t>
  </si>
  <si>
    <t>hstroke</t>
  </si>
  <si>
    <t>ihd</t>
  </si>
  <si>
    <t>istroke</t>
  </si>
  <si>
    <t>bp_cat</t>
  </si>
  <si>
    <t>cummulative_rr_diabetes</t>
  </si>
  <si>
    <t>effect_size_diabetes</t>
  </si>
  <si>
    <t>cummulative_rr_nodiabetes</t>
  </si>
  <si>
    <t>effect_size_nodiabetes</t>
  </si>
  <si>
    <t>aod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</si>
</sst>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43" fontId="2" fillId="0" borderId="0" xfId="1" applyFont="1" applyBorder="1"/>
    <xf numFmtId="43" fontId="2" fillId="3" borderId="0" xfId="1" applyFont="1" applyFill="1" applyBorder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 wrapText="1"/>
    </xf>
    <xf numFmtId="43" fontId="2" fillId="0" borderId="7" xfId="1" applyFont="1" applyBorder="1"/>
    <xf numFmtId="43" fontId="2" fillId="3" borderId="5" xfId="1" applyFont="1" applyFill="1" applyBorder="1"/>
    <xf numFmtId="43" fontId="2" fillId="0" borderId="8" xfId="1" applyFon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5" borderId="3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/>
    <xf numFmtId="43" fontId="0" fillId="5" borderId="0" xfId="1" applyFont="1" applyFill="1" applyBorder="1"/>
    <xf numFmtId="43" fontId="0" fillId="5" borderId="7" xfId="1" applyFont="1" applyFill="1" applyBorder="1"/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0" fillId="5" borderId="5" xfId="0" applyFill="1" applyBorder="1"/>
    <xf numFmtId="43" fontId="0" fillId="5" borderId="5" xfId="1" applyFont="1" applyFill="1" applyBorder="1"/>
    <xf numFmtId="43" fontId="0" fillId="5" borderId="8" xfId="1" applyFont="1" applyFill="1" applyBorder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BF1AE-BCF8-40A0-B451-998C10F2396D}">
  <dimension ref="A1:I41"/>
  <sheetViews>
    <sheetView tabSelected="1" topLeftCell="A27" zoomScale="160" zoomScaleNormal="160" workbookViewId="0">
      <selection activeCell="I2" sqref="I2:I41"/>
    </sheetView>
  </sheetViews>
  <sheetFormatPr defaultRowHeight="14.4" x14ac:dyDescent="0.3"/>
  <cols>
    <col min="2" max="2" width="11.77734375" customWidth="1"/>
    <col min="3" max="3" width="15" bestFit="1" customWidth="1"/>
    <col min="4" max="4" width="14.5546875" bestFit="1" customWidth="1"/>
    <col min="5" max="5" width="9.88671875" bestFit="1" customWidth="1"/>
    <col min="6" max="6" width="22" bestFit="1" customWidth="1"/>
    <col min="7" max="7" width="18.21875" bestFit="1" customWidth="1"/>
  </cols>
  <sheetData>
    <row r="1" spans="1:9" ht="43.8" thickBot="1" x14ac:dyDescent="0.35">
      <c r="A1" s="1" t="s">
        <v>0</v>
      </c>
      <c r="B1" s="2" t="s">
        <v>14</v>
      </c>
      <c r="C1" s="2" t="s">
        <v>1</v>
      </c>
      <c r="D1" s="3" t="s">
        <v>17</v>
      </c>
      <c r="E1" s="10" t="s">
        <v>18</v>
      </c>
      <c r="F1" s="14" t="s">
        <v>15</v>
      </c>
      <c r="G1" s="15" t="s">
        <v>16</v>
      </c>
    </row>
    <row r="2" spans="1:9" x14ac:dyDescent="0.3">
      <c r="A2" s="4" t="s">
        <v>2</v>
      </c>
      <c r="B2" s="16" t="s">
        <v>3</v>
      </c>
      <c r="C2" s="17">
        <v>0.83</v>
      </c>
      <c r="D2" s="5">
        <v>0</v>
      </c>
      <c r="E2" s="11">
        <f>1-D2</f>
        <v>1</v>
      </c>
      <c r="F2" s="5">
        <v>0</v>
      </c>
      <c r="G2" s="11">
        <f>1-F2</f>
        <v>1</v>
      </c>
      <c r="I2" s="28">
        <f>+G2/E2</f>
        <v>1</v>
      </c>
    </row>
    <row r="3" spans="1:9" x14ac:dyDescent="0.3">
      <c r="A3" s="4" t="s">
        <v>2</v>
      </c>
      <c r="B3" s="16" t="s">
        <v>4</v>
      </c>
      <c r="C3" s="17">
        <v>0.83</v>
      </c>
      <c r="D3" s="5">
        <v>0</v>
      </c>
      <c r="E3" s="11">
        <f t="shared" ref="E3:E9" si="0">1-D3</f>
        <v>1</v>
      </c>
      <c r="F3" s="5">
        <v>0</v>
      </c>
      <c r="G3" s="11">
        <f t="shared" ref="G3" si="1">1-F3</f>
        <v>1</v>
      </c>
      <c r="I3" s="28">
        <f t="shared" ref="I3:I41" si="2">+G3/E3</f>
        <v>1</v>
      </c>
    </row>
    <row r="4" spans="1:9" x14ac:dyDescent="0.3">
      <c r="A4" s="4" t="s">
        <v>2</v>
      </c>
      <c r="B4" s="16" t="s">
        <v>5</v>
      </c>
      <c r="C4" s="17">
        <v>0.75</v>
      </c>
      <c r="D4" s="5">
        <v>0</v>
      </c>
      <c r="E4" s="11">
        <f>1-D4</f>
        <v>1</v>
      </c>
      <c r="F4" s="5">
        <v>0</v>
      </c>
      <c r="G4" s="11">
        <f>1-F4</f>
        <v>1</v>
      </c>
      <c r="I4" s="28">
        <f t="shared" si="2"/>
        <v>1</v>
      </c>
    </row>
    <row r="5" spans="1:9" x14ac:dyDescent="0.3">
      <c r="A5" s="4" t="s">
        <v>2</v>
      </c>
      <c r="B5" s="16" t="s">
        <v>6</v>
      </c>
      <c r="C5" s="17">
        <v>0.83</v>
      </c>
      <c r="D5" s="6">
        <f>C5</f>
        <v>0.83</v>
      </c>
      <c r="E5" s="11">
        <f>1-D5</f>
        <v>0.17000000000000004</v>
      </c>
      <c r="F5" s="6">
        <f>+C5*C4</f>
        <v>0.62249999999999994</v>
      </c>
      <c r="G5" s="11">
        <f>1-F5</f>
        <v>0.37750000000000006</v>
      </c>
      <c r="I5" s="28">
        <f t="shared" si="2"/>
        <v>2.2205882352941173</v>
      </c>
    </row>
    <row r="6" spans="1:9" x14ac:dyDescent="0.3">
      <c r="A6" s="4" t="s">
        <v>2</v>
      </c>
      <c r="B6" s="16" t="s">
        <v>7</v>
      </c>
      <c r="C6" s="17">
        <v>0.96</v>
      </c>
      <c r="D6" s="6">
        <f>C6*C5</f>
        <v>0.79679999999999995</v>
      </c>
      <c r="E6" s="11">
        <f t="shared" si="0"/>
        <v>0.20320000000000005</v>
      </c>
      <c r="F6" s="6">
        <f>+C6*C5*C4</f>
        <v>0.59759999999999991</v>
      </c>
      <c r="G6" s="11">
        <f t="shared" ref="G6:G9" si="3">1-F6</f>
        <v>0.40240000000000009</v>
      </c>
      <c r="I6" s="28">
        <f t="shared" si="2"/>
        <v>1.9803149606299213</v>
      </c>
    </row>
    <row r="7" spans="1:9" x14ac:dyDescent="0.3">
      <c r="A7" s="4" t="s">
        <v>2</v>
      </c>
      <c r="B7" s="16" t="s">
        <v>8</v>
      </c>
      <c r="C7" s="17">
        <v>0.61</v>
      </c>
      <c r="D7" s="6">
        <f>C7*C6*C5</f>
        <v>0.48604799999999998</v>
      </c>
      <c r="E7" s="11">
        <f t="shared" si="0"/>
        <v>0.51395199999999996</v>
      </c>
      <c r="F7" s="6">
        <f>+C7*C6*C5*C4</f>
        <v>0.36453599999999997</v>
      </c>
      <c r="G7" s="11">
        <f t="shared" si="3"/>
        <v>0.63546400000000003</v>
      </c>
      <c r="I7" s="28">
        <f t="shared" si="2"/>
        <v>1.2364267480231619</v>
      </c>
    </row>
    <row r="8" spans="1:9" x14ac:dyDescent="0.3">
      <c r="A8" s="4" t="s">
        <v>2</v>
      </c>
      <c r="B8" s="16" t="s">
        <v>9</v>
      </c>
      <c r="C8" s="17">
        <v>0.61</v>
      </c>
      <c r="D8" s="6">
        <f>C8*C7*C6*C5</f>
        <v>0.29648927999999997</v>
      </c>
      <c r="E8" s="11">
        <f t="shared" si="0"/>
        <v>0.70351072000000003</v>
      </c>
      <c r="F8" s="6">
        <f>+C8*C7*C6*C5*C4</f>
        <v>0.22236695999999997</v>
      </c>
      <c r="G8" s="11">
        <f t="shared" si="3"/>
        <v>0.77763304</v>
      </c>
      <c r="I8" s="28">
        <f t="shared" si="2"/>
        <v>1.1053606119889687</v>
      </c>
    </row>
    <row r="9" spans="1:9" x14ac:dyDescent="0.3">
      <c r="A9" s="4" t="s">
        <v>2</v>
      </c>
      <c r="B9" s="16" t="s">
        <v>10</v>
      </c>
      <c r="C9" s="17">
        <v>0.61</v>
      </c>
      <c r="D9" s="6">
        <f>C9*C8*C7*C6*C5</f>
        <v>0.18085846079999998</v>
      </c>
      <c r="E9" s="11">
        <f t="shared" si="0"/>
        <v>0.81914153919999999</v>
      </c>
      <c r="F9" s="6">
        <f>+C9*C8*C7*C6*C5*C4</f>
        <v>0.13564384559999998</v>
      </c>
      <c r="G9" s="11">
        <f t="shared" si="3"/>
        <v>0.86435615440000002</v>
      </c>
      <c r="I9" s="28">
        <f t="shared" si="2"/>
        <v>1.0551975611493931</v>
      </c>
    </row>
    <row r="10" spans="1:9" x14ac:dyDescent="0.3">
      <c r="A10" s="4" t="s">
        <v>11</v>
      </c>
      <c r="B10" s="16" t="s">
        <v>3</v>
      </c>
      <c r="C10" s="17">
        <v>0.65</v>
      </c>
      <c r="D10" s="5">
        <v>0</v>
      </c>
      <c r="E10" s="11">
        <f>1-D10</f>
        <v>1</v>
      </c>
      <c r="F10" s="5">
        <v>0</v>
      </c>
      <c r="G10" s="11">
        <f>1-F10</f>
        <v>1</v>
      </c>
      <c r="I10" s="28">
        <f t="shared" si="2"/>
        <v>1</v>
      </c>
    </row>
    <row r="11" spans="1:9" x14ac:dyDescent="0.3">
      <c r="A11" s="4" t="s">
        <v>11</v>
      </c>
      <c r="B11" s="16" t="s">
        <v>4</v>
      </c>
      <c r="C11" s="17">
        <v>0.65</v>
      </c>
      <c r="D11" s="5">
        <v>0</v>
      </c>
      <c r="E11" s="11">
        <f t="shared" ref="E11" si="4">1-D11</f>
        <v>1</v>
      </c>
      <c r="F11" s="5">
        <v>0</v>
      </c>
      <c r="G11" s="11">
        <f t="shared" ref="G11" si="5">1-F11</f>
        <v>1</v>
      </c>
      <c r="I11" s="28">
        <f t="shared" si="2"/>
        <v>1</v>
      </c>
    </row>
    <row r="12" spans="1:9" x14ac:dyDescent="0.3">
      <c r="A12" s="4" t="s">
        <v>11</v>
      </c>
      <c r="B12" s="16" t="s">
        <v>5</v>
      </c>
      <c r="C12" s="17">
        <v>0.73</v>
      </c>
      <c r="D12" s="5">
        <v>0</v>
      </c>
      <c r="E12" s="11">
        <f>1-D12</f>
        <v>1</v>
      </c>
      <c r="F12" s="5">
        <v>0</v>
      </c>
      <c r="G12" s="11">
        <f>1-F12</f>
        <v>1</v>
      </c>
      <c r="I12" s="28">
        <f t="shared" si="2"/>
        <v>1</v>
      </c>
    </row>
    <row r="13" spans="1:9" x14ac:dyDescent="0.3">
      <c r="A13" s="4" t="s">
        <v>11</v>
      </c>
      <c r="B13" s="16" t="s">
        <v>6</v>
      </c>
      <c r="C13" s="17">
        <v>0.78</v>
      </c>
      <c r="D13" s="6">
        <f>C13</f>
        <v>0.78</v>
      </c>
      <c r="E13" s="11">
        <f>1-D13</f>
        <v>0.21999999999999997</v>
      </c>
      <c r="F13" s="6">
        <f>+C13*C12</f>
        <v>0.56940000000000002</v>
      </c>
      <c r="G13" s="11">
        <f>1-F13</f>
        <v>0.43059999999999998</v>
      </c>
      <c r="I13" s="28">
        <f t="shared" si="2"/>
        <v>1.9572727272727275</v>
      </c>
    </row>
    <row r="14" spans="1:9" x14ac:dyDescent="0.3">
      <c r="A14" s="4" t="s">
        <v>11</v>
      </c>
      <c r="B14" s="16" t="s">
        <v>7</v>
      </c>
      <c r="C14" s="17">
        <v>0.65</v>
      </c>
      <c r="D14" s="6">
        <f>C14*C13</f>
        <v>0.50700000000000001</v>
      </c>
      <c r="E14" s="11">
        <f t="shared" ref="E14:E17" si="6">1-D14</f>
        <v>0.49299999999999999</v>
      </c>
      <c r="F14" s="6">
        <f>+C14*C13*C12</f>
        <v>0.37010999999999999</v>
      </c>
      <c r="G14" s="11">
        <f t="shared" ref="G14:G17" si="7">1-F14</f>
        <v>0.62989000000000006</v>
      </c>
      <c r="I14" s="28">
        <f t="shared" si="2"/>
        <v>1.2776673427991887</v>
      </c>
    </row>
    <row r="15" spans="1:9" x14ac:dyDescent="0.3">
      <c r="A15" s="4" t="s">
        <v>11</v>
      </c>
      <c r="B15" s="16" t="s">
        <v>8</v>
      </c>
      <c r="C15" s="17">
        <v>0.7</v>
      </c>
      <c r="D15" s="6">
        <f>C15*C14*C13</f>
        <v>0.35489999999999999</v>
      </c>
      <c r="E15" s="11">
        <f t="shared" si="6"/>
        <v>0.64510000000000001</v>
      </c>
      <c r="F15" s="6">
        <f>+C15*C14*C13*C12</f>
        <v>0.259077</v>
      </c>
      <c r="G15" s="11">
        <f t="shared" si="7"/>
        <v>0.740923</v>
      </c>
      <c r="I15" s="28">
        <f t="shared" si="2"/>
        <v>1.1485397612773214</v>
      </c>
    </row>
    <row r="16" spans="1:9" x14ac:dyDescent="0.3">
      <c r="A16" s="4" t="s">
        <v>11</v>
      </c>
      <c r="B16" s="16" t="s">
        <v>9</v>
      </c>
      <c r="C16" s="17">
        <v>0.7</v>
      </c>
      <c r="D16" s="6">
        <f>C16*C15*C14*C13</f>
        <v>0.24842999999999996</v>
      </c>
      <c r="E16" s="11">
        <f t="shared" si="6"/>
        <v>0.75157000000000007</v>
      </c>
      <c r="F16" s="6">
        <f>+C16*C15*C14*C13*C12</f>
        <v>0.18135389999999996</v>
      </c>
      <c r="G16" s="11">
        <f t="shared" si="7"/>
        <v>0.81864610000000004</v>
      </c>
      <c r="I16" s="28">
        <f t="shared" si="2"/>
        <v>1.0892479742405896</v>
      </c>
    </row>
    <row r="17" spans="1:9" x14ac:dyDescent="0.3">
      <c r="A17" s="4" t="s">
        <v>11</v>
      </c>
      <c r="B17" s="16" t="s">
        <v>10</v>
      </c>
      <c r="C17" s="17">
        <v>0.7</v>
      </c>
      <c r="D17" s="6">
        <f>C17*C16*C15*C14*C13</f>
        <v>0.17390099999999997</v>
      </c>
      <c r="E17" s="11">
        <f t="shared" si="6"/>
        <v>0.82609900000000003</v>
      </c>
      <c r="F17" s="6">
        <f>+C17*C16*C15*C14*C13*C12</f>
        <v>0.12694772999999998</v>
      </c>
      <c r="G17" s="11">
        <f t="shared" si="7"/>
        <v>0.87305227000000007</v>
      </c>
      <c r="I17" s="28">
        <f t="shared" si="2"/>
        <v>1.0568373403187754</v>
      </c>
    </row>
    <row r="18" spans="1:9" x14ac:dyDescent="0.3">
      <c r="A18" s="4" t="s">
        <v>12</v>
      </c>
      <c r="B18" s="16" t="s">
        <v>3</v>
      </c>
      <c r="C18" s="17">
        <v>0.55000000000000004</v>
      </c>
      <c r="D18" s="5">
        <v>0</v>
      </c>
      <c r="E18" s="11">
        <f>1-D18</f>
        <v>1</v>
      </c>
      <c r="F18" s="5">
        <v>0</v>
      </c>
      <c r="G18" s="11">
        <f>1-F18</f>
        <v>1</v>
      </c>
      <c r="I18" s="28">
        <f t="shared" si="2"/>
        <v>1</v>
      </c>
    </row>
    <row r="19" spans="1:9" x14ac:dyDescent="0.3">
      <c r="A19" s="4" t="s">
        <v>12</v>
      </c>
      <c r="B19" s="16" t="s">
        <v>4</v>
      </c>
      <c r="C19" s="17">
        <v>0.55000000000000004</v>
      </c>
      <c r="D19" s="5">
        <v>0</v>
      </c>
      <c r="E19" s="11">
        <f t="shared" ref="E19" si="8">1-D19</f>
        <v>1</v>
      </c>
      <c r="F19" s="5">
        <v>0</v>
      </c>
      <c r="G19" s="11">
        <f t="shared" ref="G19" si="9">1-F19</f>
        <v>1</v>
      </c>
      <c r="I19" s="28">
        <f t="shared" si="2"/>
        <v>1</v>
      </c>
    </row>
    <row r="20" spans="1:9" x14ac:dyDescent="0.3">
      <c r="A20" s="4" t="s">
        <v>12</v>
      </c>
      <c r="B20" s="16" t="s">
        <v>5</v>
      </c>
      <c r="C20" s="17">
        <v>0.88</v>
      </c>
      <c r="D20" s="5">
        <v>0</v>
      </c>
      <c r="E20" s="11">
        <f>1-D20</f>
        <v>1</v>
      </c>
      <c r="F20" s="5">
        <v>0</v>
      </c>
      <c r="G20" s="11">
        <f>1-F20</f>
        <v>1</v>
      </c>
      <c r="I20" s="28">
        <f t="shared" si="2"/>
        <v>1</v>
      </c>
    </row>
    <row r="21" spans="1:9" x14ac:dyDescent="0.3">
      <c r="A21" s="4" t="s">
        <v>12</v>
      </c>
      <c r="B21" s="16" t="s">
        <v>6</v>
      </c>
      <c r="C21" s="17">
        <v>0.8</v>
      </c>
      <c r="D21" s="6">
        <f>C21</f>
        <v>0.8</v>
      </c>
      <c r="E21" s="11">
        <f>1-D21</f>
        <v>0.19999999999999996</v>
      </c>
      <c r="F21" s="6">
        <f>+C21*C20</f>
        <v>0.70400000000000007</v>
      </c>
      <c r="G21" s="11">
        <f>1-F21</f>
        <v>0.29599999999999993</v>
      </c>
      <c r="I21" s="28">
        <f t="shared" si="2"/>
        <v>1.48</v>
      </c>
    </row>
    <row r="22" spans="1:9" x14ac:dyDescent="0.3">
      <c r="A22" s="4" t="s">
        <v>12</v>
      </c>
      <c r="B22" s="16" t="s">
        <v>7</v>
      </c>
      <c r="C22" s="17">
        <v>0.84</v>
      </c>
      <c r="D22" s="6">
        <f>C22*C21</f>
        <v>0.67200000000000004</v>
      </c>
      <c r="E22" s="11">
        <f t="shared" ref="E22:E25" si="10">1-D22</f>
        <v>0.32799999999999996</v>
      </c>
      <c r="F22" s="6">
        <f>+C22*C21*C20</f>
        <v>0.59136</v>
      </c>
      <c r="G22" s="11">
        <f t="shared" ref="G22:G25" si="11">1-F22</f>
        <v>0.40864</v>
      </c>
      <c r="I22" s="28">
        <f t="shared" si="2"/>
        <v>1.2458536585365856</v>
      </c>
    </row>
    <row r="23" spans="1:9" x14ac:dyDescent="0.3">
      <c r="A23" s="4" t="s">
        <v>12</v>
      </c>
      <c r="B23" s="16" t="s">
        <v>8</v>
      </c>
      <c r="C23" s="17">
        <v>0.82</v>
      </c>
      <c r="D23" s="6">
        <f>C23*C22*C21</f>
        <v>0.55103999999999997</v>
      </c>
      <c r="E23" s="11">
        <f t="shared" si="10"/>
        <v>0.44896000000000003</v>
      </c>
      <c r="F23" s="6">
        <f>+C23*C22*C21*C20</f>
        <v>0.48491519999999999</v>
      </c>
      <c r="G23" s="11">
        <f t="shared" si="11"/>
        <v>0.51508480000000001</v>
      </c>
      <c r="I23" s="28">
        <f t="shared" si="2"/>
        <v>1.1472843905915895</v>
      </c>
    </row>
    <row r="24" spans="1:9" x14ac:dyDescent="0.3">
      <c r="A24" s="4" t="s">
        <v>12</v>
      </c>
      <c r="B24" s="16" t="s">
        <v>9</v>
      </c>
      <c r="C24" s="17">
        <v>0.82</v>
      </c>
      <c r="D24" s="6">
        <f>C24*C23*C22*C21</f>
        <v>0.45185279999999994</v>
      </c>
      <c r="E24" s="11">
        <f t="shared" si="10"/>
        <v>0.54814720000000006</v>
      </c>
      <c r="F24" s="6">
        <f>+C24*C23*C22*C21*C20</f>
        <v>0.39763046399999996</v>
      </c>
      <c r="G24" s="11">
        <f t="shared" si="11"/>
        <v>0.60236953600000009</v>
      </c>
      <c r="I24" s="28">
        <f t="shared" si="2"/>
        <v>1.0989192975901365</v>
      </c>
    </row>
    <row r="25" spans="1:9" x14ac:dyDescent="0.3">
      <c r="A25" s="4" t="s">
        <v>12</v>
      </c>
      <c r="B25" s="16" t="s">
        <v>10</v>
      </c>
      <c r="C25" s="17">
        <v>0.82</v>
      </c>
      <c r="D25" s="6">
        <f>C25*C24*C23*C22*C21</f>
        <v>0.37051929599999989</v>
      </c>
      <c r="E25" s="11">
        <f t="shared" si="10"/>
        <v>0.62948070400000011</v>
      </c>
      <c r="F25" s="6">
        <f>+C25*C24*C23*C22*C21*C20</f>
        <v>0.32605698047999992</v>
      </c>
      <c r="G25" s="11">
        <f t="shared" si="11"/>
        <v>0.67394301952000002</v>
      </c>
      <c r="I25" s="28">
        <f t="shared" si="2"/>
        <v>1.0706333255927729</v>
      </c>
    </row>
    <row r="26" spans="1:9" x14ac:dyDescent="0.3">
      <c r="A26" s="4" t="s">
        <v>13</v>
      </c>
      <c r="B26" s="16" t="s">
        <v>3</v>
      </c>
      <c r="C26" s="17">
        <v>0.65</v>
      </c>
      <c r="D26" s="5">
        <v>0</v>
      </c>
      <c r="E26" s="11">
        <f>1-D26</f>
        <v>1</v>
      </c>
      <c r="F26" s="5">
        <v>0</v>
      </c>
      <c r="G26" s="11">
        <f>1-F26</f>
        <v>1</v>
      </c>
      <c r="I26" s="28">
        <f t="shared" si="2"/>
        <v>1</v>
      </c>
    </row>
    <row r="27" spans="1:9" x14ac:dyDescent="0.3">
      <c r="A27" s="4" t="s">
        <v>13</v>
      </c>
      <c r="B27" s="16" t="s">
        <v>4</v>
      </c>
      <c r="C27" s="17">
        <v>0.65</v>
      </c>
      <c r="D27" s="5">
        <v>0</v>
      </c>
      <c r="E27" s="11">
        <f t="shared" ref="E27" si="12">1-D27</f>
        <v>1</v>
      </c>
      <c r="F27" s="5">
        <v>0</v>
      </c>
      <c r="G27" s="11">
        <f t="shared" ref="G27" si="13">1-F27</f>
        <v>1</v>
      </c>
      <c r="I27" s="28">
        <f t="shared" si="2"/>
        <v>1</v>
      </c>
    </row>
    <row r="28" spans="1:9" x14ac:dyDescent="0.3">
      <c r="A28" s="4" t="s">
        <v>13</v>
      </c>
      <c r="B28" s="16" t="s">
        <v>5</v>
      </c>
      <c r="C28" s="17">
        <v>0.73</v>
      </c>
      <c r="D28" s="5">
        <v>0</v>
      </c>
      <c r="E28" s="11">
        <f>1-D28</f>
        <v>1</v>
      </c>
      <c r="F28" s="5">
        <v>0</v>
      </c>
      <c r="G28" s="11">
        <f>1-F28</f>
        <v>1</v>
      </c>
      <c r="I28" s="28">
        <f t="shared" si="2"/>
        <v>1</v>
      </c>
    </row>
    <row r="29" spans="1:9" x14ac:dyDescent="0.3">
      <c r="A29" s="4" t="s">
        <v>13</v>
      </c>
      <c r="B29" s="16" t="s">
        <v>6</v>
      </c>
      <c r="C29" s="17">
        <v>0.78</v>
      </c>
      <c r="D29" s="6">
        <f>C29</f>
        <v>0.78</v>
      </c>
      <c r="E29" s="11">
        <f>1-D29</f>
        <v>0.21999999999999997</v>
      </c>
      <c r="F29" s="6">
        <f>+C29*C28</f>
        <v>0.56940000000000002</v>
      </c>
      <c r="G29" s="11">
        <f>1-F29</f>
        <v>0.43059999999999998</v>
      </c>
      <c r="I29" s="28">
        <f t="shared" si="2"/>
        <v>1.9572727272727275</v>
      </c>
    </row>
    <row r="30" spans="1:9" x14ac:dyDescent="0.3">
      <c r="A30" s="4" t="s">
        <v>13</v>
      </c>
      <c r="B30" s="16" t="s">
        <v>7</v>
      </c>
      <c r="C30" s="17">
        <v>0.65</v>
      </c>
      <c r="D30" s="6">
        <f>C30*C29</f>
        <v>0.50700000000000001</v>
      </c>
      <c r="E30" s="11">
        <f t="shared" ref="E30:E33" si="14">1-D30</f>
        <v>0.49299999999999999</v>
      </c>
      <c r="F30" s="6">
        <f>+C30*C29*C28</f>
        <v>0.37010999999999999</v>
      </c>
      <c r="G30" s="11">
        <f t="shared" ref="G30:G33" si="15">1-F30</f>
        <v>0.62989000000000006</v>
      </c>
      <c r="I30" s="28">
        <f t="shared" si="2"/>
        <v>1.2776673427991887</v>
      </c>
    </row>
    <row r="31" spans="1:9" x14ac:dyDescent="0.3">
      <c r="A31" s="4" t="s">
        <v>13</v>
      </c>
      <c r="B31" s="16" t="s">
        <v>8</v>
      </c>
      <c r="C31" s="17">
        <v>0.7</v>
      </c>
      <c r="D31" s="6">
        <f>C31*C30*C29</f>
        <v>0.35489999999999999</v>
      </c>
      <c r="E31" s="11">
        <f t="shared" si="14"/>
        <v>0.64510000000000001</v>
      </c>
      <c r="F31" s="6">
        <f>+C31*C30*C29*C28</f>
        <v>0.259077</v>
      </c>
      <c r="G31" s="11">
        <f t="shared" si="15"/>
        <v>0.740923</v>
      </c>
      <c r="I31" s="28">
        <f t="shared" si="2"/>
        <v>1.1485397612773214</v>
      </c>
    </row>
    <row r="32" spans="1:9" x14ac:dyDescent="0.3">
      <c r="A32" s="4" t="s">
        <v>13</v>
      </c>
      <c r="B32" s="16" t="s">
        <v>9</v>
      </c>
      <c r="C32" s="17">
        <v>0.7</v>
      </c>
      <c r="D32" s="6">
        <f>C32*C31*C30*C29</f>
        <v>0.24842999999999996</v>
      </c>
      <c r="E32" s="11">
        <f t="shared" si="14"/>
        <v>0.75157000000000007</v>
      </c>
      <c r="F32" s="6">
        <f>+C32*C31*C30*C29*C28</f>
        <v>0.18135389999999996</v>
      </c>
      <c r="G32" s="11">
        <f t="shared" si="15"/>
        <v>0.81864610000000004</v>
      </c>
      <c r="I32" s="28">
        <f t="shared" si="2"/>
        <v>1.0892479742405896</v>
      </c>
    </row>
    <row r="33" spans="1:9" ht="15" thickBot="1" x14ac:dyDescent="0.35">
      <c r="A33" s="7" t="s">
        <v>13</v>
      </c>
      <c r="B33" s="8" t="s">
        <v>10</v>
      </c>
      <c r="C33" s="9">
        <v>0.7</v>
      </c>
      <c r="D33" s="12">
        <f>C33*C32*C31*C30*C29</f>
        <v>0.17390099999999997</v>
      </c>
      <c r="E33" s="13">
        <f t="shared" si="14"/>
        <v>0.82609900000000003</v>
      </c>
      <c r="F33" s="12">
        <f>+C33*C32*C31*C30*C29*C28</f>
        <v>0.12694772999999998</v>
      </c>
      <c r="G33" s="13">
        <f t="shared" si="15"/>
        <v>0.87305227000000007</v>
      </c>
      <c r="I33" s="28">
        <f t="shared" si="2"/>
        <v>1.0568373403187754</v>
      </c>
    </row>
    <row r="34" spans="1:9" x14ac:dyDescent="0.3">
      <c r="A34" s="18" t="s">
        <v>19</v>
      </c>
      <c r="B34" s="19" t="s">
        <v>3</v>
      </c>
      <c r="C34" s="20">
        <f>+C2</f>
        <v>0.83</v>
      </c>
      <c r="D34" s="21">
        <f t="shared" ref="D34:G34" si="16">+D2</f>
        <v>0</v>
      </c>
      <c r="E34" s="21">
        <f t="shared" si="16"/>
        <v>1</v>
      </c>
      <c r="F34" s="21">
        <f t="shared" si="16"/>
        <v>0</v>
      </c>
      <c r="G34" s="22">
        <f t="shared" si="16"/>
        <v>1</v>
      </c>
      <c r="I34" s="28">
        <f t="shared" si="2"/>
        <v>1</v>
      </c>
    </row>
    <row r="35" spans="1:9" x14ac:dyDescent="0.3">
      <c r="A35" s="18" t="s">
        <v>19</v>
      </c>
      <c r="B35" s="19" t="s">
        <v>4</v>
      </c>
      <c r="C35" s="20">
        <f t="shared" ref="C35:G41" si="17">+C3</f>
        <v>0.83</v>
      </c>
      <c r="D35" s="21">
        <f t="shared" si="17"/>
        <v>0</v>
      </c>
      <c r="E35" s="21">
        <f t="shared" si="17"/>
        <v>1</v>
      </c>
      <c r="F35" s="21">
        <f t="shared" si="17"/>
        <v>0</v>
      </c>
      <c r="G35" s="22">
        <f t="shared" si="17"/>
        <v>1</v>
      </c>
      <c r="I35" s="28">
        <f t="shared" si="2"/>
        <v>1</v>
      </c>
    </row>
    <row r="36" spans="1:9" x14ac:dyDescent="0.3">
      <c r="A36" s="18" t="s">
        <v>19</v>
      </c>
      <c r="B36" s="19" t="s">
        <v>5</v>
      </c>
      <c r="C36" s="20">
        <f t="shared" si="17"/>
        <v>0.75</v>
      </c>
      <c r="D36" s="21">
        <f t="shared" si="17"/>
        <v>0</v>
      </c>
      <c r="E36" s="21">
        <f t="shared" si="17"/>
        <v>1</v>
      </c>
      <c r="F36" s="21">
        <f t="shared" si="17"/>
        <v>0</v>
      </c>
      <c r="G36" s="22">
        <f t="shared" si="17"/>
        <v>1</v>
      </c>
      <c r="I36" s="28">
        <f t="shared" si="2"/>
        <v>1</v>
      </c>
    </row>
    <row r="37" spans="1:9" x14ac:dyDescent="0.3">
      <c r="A37" s="18" t="s">
        <v>19</v>
      </c>
      <c r="B37" s="19" t="s">
        <v>6</v>
      </c>
      <c r="C37" s="20">
        <f t="shared" si="17"/>
        <v>0.83</v>
      </c>
      <c r="D37" s="21">
        <f t="shared" si="17"/>
        <v>0.83</v>
      </c>
      <c r="E37" s="21">
        <f t="shared" si="17"/>
        <v>0.17000000000000004</v>
      </c>
      <c r="F37" s="21">
        <f t="shared" si="17"/>
        <v>0.62249999999999994</v>
      </c>
      <c r="G37" s="22">
        <f t="shared" si="17"/>
        <v>0.37750000000000006</v>
      </c>
      <c r="I37" s="28">
        <f t="shared" si="2"/>
        <v>2.2205882352941173</v>
      </c>
    </row>
    <row r="38" spans="1:9" x14ac:dyDescent="0.3">
      <c r="A38" s="18" t="s">
        <v>19</v>
      </c>
      <c r="B38" s="19" t="s">
        <v>7</v>
      </c>
      <c r="C38" s="20">
        <f t="shared" si="17"/>
        <v>0.96</v>
      </c>
      <c r="D38" s="21">
        <f t="shared" si="17"/>
        <v>0.79679999999999995</v>
      </c>
      <c r="E38" s="21">
        <f t="shared" si="17"/>
        <v>0.20320000000000005</v>
      </c>
      <c r="F38" s="21">
        <f t="shared" si="17"/>
        <v>0.59759999999999991</v>
      </c>
      <c r="G38" s="22">
        <f t="shared" si="17"/>
        <v>0.40240000000000009</v>
      </c>
      <c r="I38" s="28">
        <f t="shared" si="2"/>
        <v>1.9803149606299213</v>
      </c>
    </row>
    <row r="39" spans="1:9" x14ac:dyDescent="0.3">
      <c r="A39" s="18" t="s">
        <v>19</v>
      </c>
      <c r="B39" s="19" t="s">
        <v>8</v>
      </c>
      <c r="C39" s="20">
        <f t="shared" si="17"/>
        <v>0.61</v>
      </c>
      <c r="D39" s="21">
        <f t="shared" si="17"/>
        <v>0.48604799999999998</v>
      </c>
      <c r="E39" s="21">
        <f t="shared" si="17"/>
        <v>0.51395199999999996</v>
      </c>
      <c r="F39" s="21">
        <f t="shared" si="17"/>
        <v>0.36453599999999997</v>
      </c>
      <c r="G39" s="22">
        <f t="shared" si="17"/>
        <v>0.63546400000000003</v>
      </c>
      <c r="I39" s="28">
        <f t="shared" si="2"/>
        <v>1.2364267480231619</v>
      </c>
    </row>
    <row r="40" spans="1:9" x14ac:dyDescent="0.3">
      <c r="A40" s="18" t="s">
        <v>19</v>
      </c>
      <c r="B40" s="19" t="s">
        <v>9</v>
      </c>
      <c r="C40" s="20">
        <f t="shared" si="17"/>
        <v>0.61</v>
      </c>
      <c r="D40" s="21">
        <f t="shared" si="17"/>
        <v>0.29648927999999997</v>
      </c>
      <c r="E40" s="21">
        <f t="shared" si="17"/>
        <v>0.70351072000000003</v>
      </c>
      <c r="F40" s="21">
        <f t="shared" si="17"/>
        <v>0.22236695999999997</v>
      </c>
      <c r="G40" s="22">
        <f t="shared" si="17"/>
        <v>0.77763304</v>
      </c>
      <c r="I40" s="28">
        <f t="shared" si="2"/>
        <v>1.1053606119889687</v>
      </c>
    </row>
    <row r="41" spans="1:9" ht="15" thickBot="1" x14ac:dyDescent="0.35">
      <c r="A41" s="23" t="s">
        <v>19</v>
      </c>
      <c r="B41" s="24" t="s">
        <v>10</v>
      </c>
      <c r="C41" s="25">
        <f t="shared" si="17"/>
        <v>0.61</v>
      </c>
      <c r="D41" s="26">
        <f t="shared" si="17"/>
        <v>0.18085846079999998</v>
      </c>
      <c r="E41" s="26">
        <f t="shared" si="17"/>
        <v>0.81914153919999999</v>
      </c>
      <c r="F41" s="26">
        <f t="shared" si="17"/>
        <v>0.13564384559999998</v>
      </c>
      <c r="G41" s="27">
        <f t="shared" si="17"/>
        <v>0.86435615440000002</v>
      </c>
      <c r="I41" s="28">
        <f t="shared" si="2"/>
        <v>1.0551975611493931</v>
      </c>
    </row>
  </sheetData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 Garcia</dc:creator>
  <cp:lastModifiedBy>William R Garcia</cp:lastModifiedBy>
  <dcterms:created xsi:type="dcterms:W3CDTF">2025-11-27T02:31:09Z</dcterms:created>
  <dcterms:modified xsi:type="dcterms:W3CDTF">2026-05-08T23:21:51Z</dcterms:modified>
</cp:coreProperties>
</file>