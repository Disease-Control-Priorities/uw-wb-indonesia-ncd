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HO-CVD/github/uw-who-cvdtargets/data/processed/"/>
    </mc:Choice>
  </mc:AlternateContent>
  <xr:revisionPtr revIDLastSave="465" documentId="8_{37DD4D6C-A1E8-49CB-B96F-22A9EB69CDC2}" xr6:coauthVersionLast="47" xr6:coauthVersionMax="47" xr10:uidLastSave="{CDF39131-31DF-4FB1-A25A-02EC87818D60}"/>
  <bookViews>
    <workbookView xWindow="-108" yWindow="-108" windowWidth="23256" windowHeight="12456" xr2:uid="{4E9BE896-48AB-4A3E-A255-F19187E5388A}"/>
  </bookViews>
  <sheets>
    <sheet name="Sheet1" sheetId="1" r:id="rId1"/>
    <sheet name="Diabetes" sheetId="2" r:id="rId2"/>
    <sheet name="HTN_targets" sheetId="3" r:id="rId3"/>
  </sheets>
  <definedNames>
    <definedName name="_xlnm._FilterDatabase" localSheetId="1" hidden="1">Diabetes!$A$1:$S$206</definedName>
    <definedName name="_xlnm._FilterDatabase" localSheetId="2" hidden="1">HTN_targets!$Q$1:$X$203</definedName>
    <definedName name="_xlnm._FilterDatabase" localSheetId="0" hidden="1">Sheet1!$A$9:$T$200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10" i="1"/>
  <c r="C22" i="1"/>
  <c r="C13" i="1"/>
  <c r="T11" i="1"/>
  <c r="T12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10" i="1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9" i="3"/>
  <c r="C11" i="1"/>
  <c r="H11" i="1" s="1"/>
  <c r="C12" i="1"/>
  <c r="C14" i="1"/>
  <c r="C15" i="1"/>
  <c r="O15" i="1" s="1"/>
  <c r="C16" i="1"/>
  <c r="C17" i="1"/>
  <c r="O17" i="1" s="1"/>
  <c r="C18" i="1"/>
  <c r="O18" i="1" s="1"/>
  <c r="C19" i="1"/>
  <c r="C20" i="1"/>
  <c r="C21" i="1"/>
  <c r="O21" i="1" s="1"/>
  <c r="H22" i="1"/>
  <c r="C23" i="1"/>
  <c r="O23" i="1" s="1"/>
  <c r="C24" i="1"/>
  <c r="H24" i="1" s="1"/>
  <c r="C25" i="1"/>
  <c r="O25" i="1" s="1"/>
  <c r="C26" i="1"/>
  <c r="O26" i="1" s="1"/>
  <c r="C27" i="1"/>
  <c r="H27" i="1" s="1"/>
  <c r="C28" i="1"/>
  <c r="C29" i="1"/>
  <c r="C30" i="1"/>
  <c r="C31" i="1"/>
  <c r="H31" i="1" s="1"/>
  <c r="C32" i="1"/>
  <c r="C33" i="1"/>
  <c r="O33" i="1" s="1"/>
  <c r="C34" i="1"/>
  <c r="H34" i="1" s="1"/>
  <c r="C35" i="1"/>
  <c r="C36" i="1"/>
  <c r="C37" i="1"/>
  <c r="O37" i="1" s="1"/>
  <c r="C38" i="1"/>
  <c r="O38" i="1" s="1"/>
  <c r="C39" i="1"/>
  <c r="O39" i="1" s="1"/>
  <c r="C40" i="1"/>
  <c r="H40" i="1" s="1"/>
  <c r="C41" i="1"/>
  <c r="H41" i="1" s="1"/>
  <c r="C42" i="1"/>
  <c r="O42" i="1" s="1"/>
  <c r="C43" i="1"/>
  <c r="H43" i="1" s="1"/>
  <c r="C44" i="1"/>
  <c r="C45" i="1"/>
  <c r="C46" i="1"/>
  <c r="H46" i="1" s="1"/>
  <c r="C47" i="1"/>
  <c r="H47" i="1" s="1"/>
  <c r="C48" i="1"/>
  <c r="C49" i="1"/>
  <c r="H49" i="1" s="1"/>
  <c r="C50" i="1"/>
  <c r="H50" i="1" s="1"/>
  <c r="C51" i="1"/>
  <c r="C52" i="1"/>
  <c r="C53" i="1"/>
  <c r="H53" i="1" s="1"/>
  <c r="C54" i="1"/>
  <c r="O54" i="1" s="1"/>
  <c r="C55" i="1"/>
  <c r="O55" i="1" s="1"/>
  <c r="C56" i="1"/>
  <c r="O56" i="1" s="1"/>
  <c r="C57" i="1"/>
  <c r="H57" i="1" s="1"/>
  <c r="C58" i="1"/>
  <c r="O58" i="1" s="1"/>
  <c r="C59" i="1"/>
  <c r="C60" i="1"/>
  <c r="C61" i="1"/>
  <c r="C62" i="1"/>
  <c r="C63" i="1"/>
  <c r="O63" i="1" s="1"/>
  <c r="C64" i="1"/>
  <c r="C65" i="1"/>
  <c r="H65" i="1" s="1"/>
  <c r="C66" i="1"/>
  <c r="H66" i="1" s="1"/>
  <c r="C67" i="1"/>
  <c r="C68" i="1"/>
  <c r="C69" i="1"/>
  <c r="C70" i="1"/>
  <c r="O70" i="1" s="1"/>
  <c r="C71" i="1"/>
  <c r="O71" i="1" s="1"/>
  <c r="C72" i="1"/>
  <c r="H72" i="1" s="1"/>
  <c r="C73" i="1"/>
  <c r="O73" i="1" s="1"/>
  <c r="C74" i="1"/>
  <c r="H74" i="1" s="1"/>
  <c r="C75" i="1"/>
  <c r="C76" i="1"/>
  <c r="C77" i="1"/>
  <c r="C78" i="1"/>
  <c r="O78" i="1" s="1"/>
  <c r="C79" i="1"/>
  <c r="H79" i="1" s="1"/>
  <c r="C80" i="1"/>
  <c r="C81" i="1"/>
  <c r="O81" i="1" s="1"/>
  <c r="C82" i="1"/>
  <c r="O82" i="1" s="1"/>
  <c r="C83" i="1"/>
  <c r="C84" i="1"/>
  <c r="C85" i="1"/>
  <c r="C86" i="1"/>
  <c r="O86" i="1" s="1"/>
  <c r="C87" i="1"/>
  <c r="O87" i="1" s="1"/>
  <c r="C88" i="1"/>
  <c r="O88" i="1" s="1"/>
  <c r="C89" i="1"/>
  <c r="H89" i="1" s="1"/>
  <c r="C90" i="1"/>
  <c r="H90" i="1" s="1"/>
  <c r="C91" i="1"/>
  <c r="H91" i="1" s="1"/>
  <c r="C92" i="1"/>
  <c r="C93" i="1"/>
  <c r="C94" i="1"/>
  <c r="C95" i="1"/>
  <c r="O95" i="1" s="1"/>
  <c r="C96" i="1"/>
  <c r="H96" i="1" s="1"/>
  <c r="C97" i="1"/>
  <c r="H97" i="1" s="1"/>
  <c r="C98" i="1"/>
  <c r="H98" i="1" s="1"/>
  <c r="C99" i="1"/>
  <c r="C100" i="1"/>
  <c r="C101" i="1"/>
  <c r="C102" i="1"/>
  <c r="O102" i="1" s="1"/>
  <c r="C103" i="1"/>
  <c r="O103" i="1" s="1"/>
  <c r="C104" i="1"/>
  <c r="O104" i="1" s="1"/>
  <c r="C105" i="1"/>
  <c r="O105" i="1" s="1"/>
  <c r="C106" i="1"/>
  <c r="H106" i="1" s="1"/>
  <c r="C107" i="1"/>
  <c r="C108" i="1"/>
  <c r="C109" i="1"/>
  <c r="H109" i="1" s="1"/>
  <c r="C110" i="1"/>
  <c r="H110" i="1" s="1"/>
  <c r="C111" i="1"/>
  <c r="H111" i="1" s="1"/>
  <c r="C112" i="1"/>
  <c r="C113" i="1"/>
  <c r="H113" i="1" s="1"/>
  <c r="C114" i="1"/>
  <c r="H114" i="1" s="1"/>
  <c r="C115" i="1"/>
  <c r="C116" i="1"/>
  <c r="C117" i="1"/>
  <c r="O117" i="1" s="1"/>
  <c r="C118" i="1"/>
  <c r="O118" i="1" s="1"/>
  <c r="C119" i="1"/>
  <c r="O119" i="1" s="1"/>
  <c r="C120" i="1"/>
  <c r="H120" i="1" s="1"/>
  <c r="C121" i="1"/>
  <c r="O121" i="1" s="1"/>
  <c r="C122" i="1"/>
  <c r="H122" i="1" s="1"/>
  <c r="C123" i="1"/>
  <c r="C124" i="1"/>
  <c r="C125" i="1"/>
  <c r="C126" i="1"/>
  <c r="O126" i="1" s="1"/>
  <c r="C127" i="1"/>
  <c r="H127" i="1" s="1"/>
  <c r="C128" i="1"/>
  <c r="H128" i="1" s="1"/>
  <c r="C129" i="1"/>
  <c r="H129" i="1" s="1"/>
  <c r="C130" i="1"/>
  <c r="H130" i="1" s="1"/>
  <c r="C131" i="1"/>
  <c r="C132" i="1"/>
  <c r="C133" i="1"/>
  <c r="H133" i="1" s="1"/>
  <c r="C134" i="1"/>
  <c r="H134" i="1" s="1"/>
  <c r="C135" i="1"/>
  <c r="O135" i="1" s="1"/>
  <c r="C136" i="1"/>
  <c r="H136" i="1" s="1"/>
  <c r="C137" i="1"/>
  <c r="H137" i="1" s="1"/>
  <c r="C138" i="1"/>
  <c r="H138" i="1" s="1"/>
  <c r="C139" i="1"/>
  <c r="C140" i="1"/>
  <c r="C141" i="1"/>
  <c r="C142" i="1"/>
  <c r="C143" i="1"/>
  <c r="O143" i="1" s="1"/>
  <c r="C144" i="1"/>
  <c r="O144" i="1" s="1"/>
  <c r="C145" i="1"/>
  <c r="H145" i="1" s="1"/>
  <c r="C146" i="1"/>
  <c r="H146" i="1" s="1"/>
  <c r="C147" i="1"/>
  <c r="C148" i="1"/>
  <c r="C149" i="1"/>
  <c r="O149" i="1" s="1"/>
  <c r="C150" i="1"/>
  <c r="O150" i="1" s="1"/>
  <c r="C151" i="1"/>
  <c r="H151" i="1" s="1"/>
  <c r="C152" i="1"/>
  <c r="H152" i="1" s="1"/>
  <c r="C153" i="1"/>
  <c r="H153" i="1" s="1"/>
  <c r="C154" i="1"/>
  <c r="O154" i="1" s="1"/>
  <c r="C155" i="1"/>
  <c r="H155" i="1" s="1"/>
  <c r="C156" i="1"/>
  <c r="O156" i="1" s="1"/>
  <c r="C157" i="1"/>
  <c r="H157" i="1" s="1"/>
  <c r="C158" i="1"/>
  <c r="H158" i="1" s="1"/>
  <c r="C159" i="1"/>
  <c r="O159" i="1" s="1"/>
  <c r="C160" i="1"/>
  <c r="C161" i="1"/>
  <c r="H161" i="1" s="1"/>
  <c r="C162" i="1"/>
  <c r="O162" i="1" s="1"/>
  <c r="C163" i="1"/>
  <c r="C164" i="1"/>
  <c r="C165" i="1"/>
  <c r="H165" i="1" s="1"/>
  <c r="C166" i="1"/>
  <c r="O166" i="1" s="1"/>
  <c r="C167" i="1"/>
  <c r="H167" i="1" s="1"/>
  <c r="C168" i="1"/>
  <c r="O168" i="1" s="1"/>
  <c r="C169" i="1"/>
  <c r="H169" i="1" s="1"/>
  <c r="C170" i="1"/>
  <c r="O170" i="1" s="1"/>
  <c r="C171" i="1"/>
  <c r="O171" i="1" s="1"/>
  <c r="C172" i="1"/>
  <c r="C173" i="1"/>
  <c r="O173" i="1" s="1"/>
  <c r="C174" i="1"/>
  <c r="C175" i="1"/>
  <c r="O175" i="1" s="1"/>
  <c r="C176" i="1"/>
  <c r="O176" i="1" s="1"/>
  <c r="C177" i="1"/>
  <c r="O177" i="1" s="1"/>
  <c r="C178" i="1"/>
  <c r="O178" i="1" s="1"/>
  <c r="C179" i="1"/>
  <c r="C180" i="1"/>
  <c r="C181" i="1"/>
  <c r="H181" i="1" s="1"/>
  <c r="C182" i="1"/>
  <c r="H182" i="1" s="1"/>
  <c r="C183" i="1"/>
  <c r="O183" i="1" s="1"/>
  <c r="C184" i="1"/>
  <c r="O184" i="1" s="1"/>
  <c r="C185" i="1"/>
  <c r="H185" i="1" s="1"/>
  <c r="C186" i="1"/>
  <c r="O186" i="1" s="1"/>
  <c r="C187" i="1"/>
  <c r="O187" i="1" s="1"/>
  <c r="C188" i="1"/>
  <c r="C189" i="1"/>
  <c r="H189" i="1" s="1"/>
  <c r="C190" i="1"/>
  <c r="C191" i="1"/>
  <c r="H191" i="1" s="1"/>
  <c r="C192" i="1"/>
  <c r="H192" i="1" s="1"/>
  <c r="C193" i="1"/>
  <c r="O193" i="1" s="1"/>
  <c r="C194" i="1"/>
  <c r="O194" i="1" s="1"/>
  <c r="C195" i="1"/>
  <c r="C196" i="1"/>
  <c r="C197" i="1"/>
  <c r="O197" i="1" s="1"/>
  <c r="C198" i="1"/>
  <c r="O198" i="1" s="1"/>
  <c r="C199" i="1"/>
  <c r="O199" i="1" s="1"/>
  <c r="C200" i="1"/>
  <c r="O200" i="1" s="1"/>
  <c r="C10" i="1"/>
  <c r="H25" i="1"/>
  <c r="B11" i="1"/>
  <c r="B12" i="1"/>
  <c r="B13" i="1"/>
  <c r="B14" i="1"/>
  <c r="F14" i="1" s="1"/>
  <c r="G14" i="1" s="1"/>
  <c r="B15" i="1"/>
  <c r="F15" i="1" s="1"/>
  <c r="B16" i="1"/>
  <c r="F16" i="1" s="1"/>
  <c r="B17" i="1"/>
  <c r="B18" i="1"/>
  <c r="B19" i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B27" i="1"/>
  <c r="B28" i="1"/>
  <c r="F28" i="1" s="1"/>
  <c r="B29" i="1"/>
  <c r="F29" i="1" s="1"/>
  <c r="B30" i="1"/>
  <c r="B31" i="1"/>
  <c r="B32" i="1"/>
  <c r="F32" i="1" s="1"/>
  <c r="B33" i="1"/>
  <c r="B34" i="1"/>
  <c r="B35" i="1"/>
  <c r="F35" i="1" s="1"/>
  <c r="B36" i="1"/>
  <c r="B37" i="1"/>
  <c r="F37" i="1" s="1"/>
  <c r="B38" i="1"/>
  <c r="F38" i="1" s="1"/>
  <c r="B39" i="1"/>
  <c r="F39" i="1" s="1"/>
  <c r="G39" i="1" s="1"/>
  <c r="B40" i="1"/>
  <c r="F40" i="1" s="1"/>
  <c r="B41" i="1"/>
  <c r="F41" i="1" s="1"/>
  <c r="B42" i="1"/>
  <c r="F42" i="1" s="1"/>
  <c r="B43" i="1"/>
  <c r="B44" i="1"/>
  <c r="B45" i="1"/>
  <c r="B46" i="1"/>
  <c r="F46" i="1" s="1"/>
  <c r="G46" i="1" s="1"/>
  <c r="B47" i="1"/>
  <c r="B48" i="1"/>
  <c r="F48" i="1" s="1"/>
  <c r="B49" i="1"/>
  <c r="B50" i="1"/>
  <c r="B51" i="1"/>
  <c r="B52" i="1"/>
  <c r="B53" i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B61" i="1"/>
  <c r="F61" i="1" s="1"/>
  <c r="B62" i="1"/>
  <c r="F62" i="1" s="1"/>
  <c r="G62" i="1" s="1"/>
  <c r="B63" i="1"/>
  <c r="F63" i="1" s="1"/>
  <c r="B64" i="1"/>
  <c r="F64" i="1" s="1"/>
  <c r="B65" i="1"/>
  <c r="B66" i="1"/>
  <c r="B67" i="1"/>
  <c r="B68" i="1"/>
  <c r="B69" i="1"/>
  <c r="F69" i="1" s="1"/>
  <c r="B70" i="1"/>
  <c r="F70" i="1" s="1"/>
  <c r="B71" i="1"/>
  <c r="F71" i="1" s="1"/>
  <c r="G71" i="1" s="1"/>
  <c r="B72" i="1"/>
  <c r="F72" i="1" s="1"/>
  <c r="B73" i="1"/>
  <c r="F73" i="1" s="1"/>
  <c r="B74" i="1"/>
  <c r="B75" i="1"/>
  <c r="B76" i="1"/>
  <c r="F76" i="1" s="1"/>
  <c r="B77" i="1"/>
  <c r="B78" i="1"/>
  <c r="F78" i="1" s="1"/>
  <c r="G78" i="1" s="1"/>
  <c r="B79" i="1"/>
  <c r="F79" i="1" s="1"/>
  <c r="B80" i="1"/>
  <c r="F80" i="1" s="1"/>
  <c r="B81" i="1"/>
  <c r="B82" i="1"/>
  <c r="B83" i="1"/>
  <c r="B84" i="1"/>
  <c r="B85" i="1"/>
  <c r="B86" i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B95" i="1"/>
  <c r="F95" i="1" s="1"/>
  <c r="B96" i="1"/>
  <c r="F96" i="1" s="1"/>
  <c r="B97" i="1"/>
  <c r="B98" i="1"/>
  <c r="B99" i="1"/>
  <c r="B100" i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F106" i="1" s="1"/>
  <c r="B107" i="1"/>
  <c r="F107" i="1" s="1"/>
  <c r="B108" i="1"/>
  <c r="B109" i="1"/>
  <c r="F109" i="1" s="1"/>
  <c r="B110" i="1"/>
  <c r="F110" i="1" s="1"/>
  <c r="G110" i="1" s="1"/>
  <c r="B111" i="1"/>
  <c r="F111" i="1" s="1"/>
  <c r="B112" i="1"/>
  <c r="F112" i="1" s="1"/>
  <c r="B113" i="1"/>
  <c r="B114" i="1"/>
  <c r="B115" i="1"/>
  <c r="F115" i="1" s="1"/>
  <c r="B116" i="1"/>
  <c r="F116" i="1" s="1"/>
  <c r="B117" i="1"/>
  <c r="F117" i="1" s="1"/>
  <c r="B118" i="1"/>
  <c r="F118" i="1" s="1"/>
  <c r="B119" i="1"/>
  <c r="F119" i="1" s="1"/>
  <c r="G119" i="1" s="1"/>
  <c r="B120" i="1"/>
  <c r="F120" i="1" s="1"/>
  <c r="B121" i="1"/>
  <c r="F121" i="1" s="1"/>
  <c r="B122" i="1"/>
  <c r="F122" i="1" s="1"/>
  <c r="B123" i="1"/>
  <c r="F123" i="1" s="1"/>
  <c r="B124" i="1"/>
  <c r="B125" i="1"/>
  <c r="B126" i="1"/>
  <c r="F126" i="1" s="1"/>
  <c r="G126" i="1" s="1"/>
  <c r="B127" i="1"/>
  <c r="F127" i="1" s="1"/>
  <c r="B128" i="1"/>
  <c r="F128" i="1" s="1"/>
  <c r="B129" i="1"/>
  <c r="F129" i="1" s="1"/>
  <c r="B130" i="1"/>
  <c r="B131" i="1"/>
  <c r="F131" i="1" s="1"/>
  <c r="B132" i="1"/>
  <c r="F132" i="1" s="1"/>
  <c r="B133" i="1"/>
  <c r="F133" i="1" s="1"/>
  <c r="B134" i="1"/>
  <c r="F134" i="1" s="1"/>
  <c r="B135" i="1"/>
  <c r="F135" i="1" s="1"/>
  <c r="B136" i="1"/>
  <c r="F136" i="1" s="1"/>
  <c r="B137" i="1"/>
  <c r="F137" i="1" s="1"/>
  <c r="B138" i="1"/>
  <c r="F138" i="1" s="1"/>
  <c r="B139" i="1"/>
  <c r="B140" i="1"/>
  <c r="F140" i="1" s="1"/>
  <c r="B141" i="1"/>
  <c r="F141" i="1" s="1"/>
  <c r="B142" i="1"/>
  <c r="F142" i="1" s="1"/>
  <c r="G142" i="1" s="1"/>
  <c r="B143" i="1"/>
  <c r="F143" i="1" s="1"/>
  <c r="B144" i="1"/>
  <c r="F144" i="1" s="1"/>
  <c r="B145" i="1"/>
  <c r="F145" i="1" s="1"/>
  <c r="B146" i="1"/>
  <c r="B147" i="1"/>
  <c r="F147" i="1" s="1"/>
  <c r="B148" i="1"/>
  <c r="F148" i="1" s="1"/>
  <c r="B149" i="1"/>
  <c r="F149" i="1" s="1"/>
  <c r="B150" i="1"/>
  <c r="F150" i="1" s="1"/>
  <c r="B151" i="1"/>
  <c r="F151" i="1" s="1"/>
  <c r="B152" i="1"/>
  <c r="F152" i="1" s="1"/>
  <c r="B153" i="1"/>
  <c r="F153" i="1" s="1"/>
  <c r="B154" i="1"/>
  <c r="F154" i="1" s="1"/>
  <c r="B155" i="1"/>
  <c r="F155" i="1" s="1"/>
  <c r="B156" i="1"/>
  <c r="B157" i="1"/>
  <c r="F157" i="1" s="1"/>
  <c r="B158" i="1"/>
  <c r="F158" i="1" s="1"/>
  <c r="G158" i="1" s="1"/>
  <c r="B159" i="1"/>
  <c r="F159" i="1" s="1"/>
  <c r="B160" i="1"/>
  <c r="F160" i="1" s="1"/>
  <c r="B161" i="1"/>
  <c r="F161" i="1" s="1"/>
  <c r="B162" i="1"/>
  <c r="F162" i="1" s="1"/>
  <c r="B163" i="1"/>
  <c r="F163" i="1" s="1"/>
  <c r="B164" i="1"/>
  <c r="B165" i="1"/>
  <c r="F165" i="1" s="1"/>
  <c r="B166" i="1"/>
  <c r="F166" i="1" s="1"/>
  <c r="G166" i="1" s="1"/>
  <c r="B167" i="1"/>
  <c r="F167" i="1" s="1"/>
  <c r="B168" i="1"/>
  <c r="F168" i="1" s="1"/>
  <c r="B169" i="1"/>
  <c r="F169" i="1" s="1"/>
  <c r="B170" i="1"/>
  <c r="B171" i="1"/>
  <c r="F171" i="1" s="1"/>
  <c r="B172" i="1"/>
  <c r="F172" i="1" s="1"/>
  <c r="B173" i="1"/>
  <c r="F173" i="1" s="1"/>
  <c r="B174" i="1"/>
  <c r="F174" i="1" s="1"/>
  <c r="G174" i="1" s="1"/>
  <c r="B175" i="1"/>
  <c r="F175" i="1" s="1"/>
  <c r="B176" i="1"/>
  <c r="F176" i="1" s="1"/>
  <c r="B177" i="1"/>
  <c r="F177" i="1" s="1"/>
  <c r="B178" i="1"/>
  <c r="F178" i="1" s="1"/>
  <c r="B179" i="1"/>
  <c r="B180" i="1"/>
  <c r="F180" i="1" s="1"/>
  <c r="B181" i="1"/>
  <c r="F181" i="1" s="1"/>
  <c r="B182" i="1"/>
  <c r="F182" i="1" s="1"/>
  <c r="G182" i="1" s="1"/>
  <c r="B183" i="1"/>
  <c r="F183" i="1" s="1"/>
  <c r="B184" i="1"/>
  <c r="F184" i="1" s="1"/>
  <c r="B185" i="1"/>
  <c r="F185" i="1" s="1"/>
  <c r="B186" i="1"/>
  <c r="F186" i="1" s="1"/>
  <c r="B187" i="1"/>
  <c r="F187" i="1" s="1"/>
  <c r="B188" i="1"/>
  <c r="F188" i="1" s="1"/>
  <c r="B189" i="1"/>
  <c r="F189" i="1" s="1"/>
  <c r="B190" i="1"/>
  <c r="F190" i="1" s="1"/>
  <c r="G190" i="1" s="1"/>
  <c r="B191" i="1"/>
  <c r="F191" i="1" s="1"/>
  <c r="B192" i="1"/>
  <c r="F192" i="1" s="1"/>
  <c r="B193" i="1"/>
  <c r="F193" i="1" s="1"/>
  <c r="B194" i="1"/>
  <c r="F194" i="1" s="1"/>
  <c r="B195" i="1"/>
  <c r="F195" i="1" s="1"/>
  <c r="B196" i="1"/>
  <c r="F196" i="1" s="1"/>
  <c r="B197" i="1"/>
  <c r="F197" i="1" s="1"/>
  <c r="B198" i="1"/>
  <c r="F198" i="1" s="1"/>
  <c r="G198" i="1" s="1"/>
  <c r="B199" i="1"/>
  <c r="F199" i="1" s="1"/>
  <c r="B200" i="1"/>
  <c r="F200" i="1" s="1"/>
  <c r="B10" i="1"/>
  <c r="F10" i="1" s="1"/>
  <c r="F26" i="1"/>
  <c r="F36" i="1"/>
  <c r="F52" i="1"/>
  <c r="F68" i="1"/>
  <c r="F74" i="1"/>
  <c r="F84" i="1"/>
  <c r="F94" i="1"/>
  <c r="G94" i="1" s="1"/>
  <c r="F100" i="1"/>
  <c r="F114" i="1"/>
  <c r="F130" i="1"/>
  <c r="F146" i="1"/>
  <c r="F164" i="1"/>
  <c r="F170" i="1"/>
  <c r="F179" i="1"/>
  <c r="N11" i="1"/>
  <c r="W11" i="1" s="1"/>
  <c r="N12" i="1"/>
  <c r="W12" i="1" s="1"/>
  <c r="N13" i="1"/>
  <c r="N14" i="1"/>
  <c r="N15" i="1"/>
  <c r="N16" i="1"/>
  <c r="N17" i="1"/>
  <c r="W17" i="1" s="1"/>
  <c r="N18" i="1"/>
  <c r="N19" i="1"/>
  <c r="N20" i="1"/>
  <c r="N21" i="1"/>
  <c r="N22" i="1"/>
  <c r="N23" i="1"/>
  <c r="N24" i="1"/>
  <c r="N25" i="1"/>
  <c r="N26" i="1"/>
  <c r="N27" i="1"/>
  <c r="N28" i="1"/>
  <c r="W28" i="1" s="1"/>
  <c r="N29" i="1"/>
  <c r="N30" i="1"/>
  <c r="N31" i="1"/>
  <c r="N32" i="1"/>
  <c r="N33" i="1"/>
  <c r="W33" i="1" s="1"/>
  <c r="N34" i="1"/>
  <c r="N35" i="1"/>
  <c r="N36" i="1"/>
  <c r="N37" i="1"/>
  <c r="W37" i="1" s="1"/>
  <c r="N38" i="1"/>
  <c r="N39" i="1"/>
  <c r="N40" i="1"/>
  <c r="N41" i="1"/>
  <c r="N42" i="1"/>
  <c r="N43" i="1"/>
  <c r="N44" i="1"/>
  <c r="W44" i="1" s="1"/>
  <c r="N45" i="1"/>
  <c r="N46" i="1"/>
  <c r="N47" i="1"/>
  <c r="N48" i="1"/>
  <c r="N49" i="1"/>
  <c r="N50" i="1"/>
  <c r="N51" i="1"/>
  <c r="N52" i="1"/>
  <c r="N53" i="1"/>
  <c r="W53" i="1" s="1"/>
  <c r="N54" i="1"/>
  <c r="N55" i="1"/>
  <c r="N56" i="1"/>
  <c r="N57" i="1"/>
  <c r="N58" i="1"/>
  <c r="N59" i="1"/>
  <c r="N60" i="1"/>
  <c r="W60" i="1" s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W76" i="1" s="1"/>
  <c r="N77" i="1"/>
  <c r="N78" i="1"/>
  <c r="N79" i="1"/>
  <c r="N80" i="1"/>
  <c r="N81" i="1"/>
  <c r="W81" i="1" s="1"/>
  <c r="N82" i="1"/>
  <c r="N83" i="1"/>
  <c r="N84" i="1"/>
  <c r="N85" i="1"/>
  <c r="W85" i="1" s="1"/>
  <c r="N86" i="1"/>
  <c r="N87" i="1"/>
  <c r="N88" i="1"/>
  <c r="N89" i="1"/>
  <c r="N90" i="1"/>
  <c r="N91" i="1"/>
  <c r="N92" i="1"/>
  <c r="W92" i="1" s="1"/>
  <c r="N93" i="1"/>
  <c r="N94" i="1"/>
  <c r="N95" i="1"/>
  <c r="N96" i="1"/>
  <c r="N97" i="1"/>
  <c r="N98" i="1"/>
  <c r="N99" i="1"/>
  <c r="N100" i="1"/>
  <c r="N101" i="1"/>
  <c r="W101" i="1" s="1"/>
  <c r="N102" i="1"/>
  <c r="N103" i="1"/>
  <c r="N104" i="1"/>
  <c r="N105" i="1"/>
  <c r="N106" i="1"/>
  <c r="N107" i="1"/>
  <c r="N108" i="1"/>
  <c r="W108" i="1" s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W124" i="1" s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10" i="1"/>
  <c r="O12" i="1"/>
  <c r="O13" i="1"/>
  <c r="O14" i="1"/>
  <c r="O16" i="1"/>
  <c r="O19" i="1"/>
  <c r="O20" i="1"/>
  <c r="O27" i="1"/>
  <c r="O28" i="1"/>
  <c r="O29" i="1"/>
  <c r="O30" i="1"/>
  <c r="O31" i="1"/>
  <c r="V31" i="1" s="1"/>
  <c r="O32" i="1"/>
  <c r="O35" i="1"/>
  <c r="O36" i="1"/>
  <c r="O43" i="1"/>
  <c r="O44" i="1"/>
  <c r="O45" i="1"/>
  <c r="O46" i="1"/>
  <c r="O47" i="1"/>
  <c r="O48" i="1"/>
  <c r="O49" i="1"/>
  <c r="O50" i="1"/>
  <c r="O51" i="1"/>
  <c r="O52" i="1"/>
  <c r="O53" i="1"/>
  <c r="O59" i="1"/>
  <c r="O60" i="1"/>
  <c r="O61" i="1"/>
  <c r="O62" i="1"/>
  <c r="O64" i="1"/>
  <c r="O67" i="1"/>
  <c r="O68" i="1"/>
  <c r="O69" i="1"/>
  <c r="O75" i="1"/>
  <c r="O76" i="1"/>
  <c r="O77" i="1"/>
  <c r="O80" i="1"/>
  <c r="O83" i="1"/>
  <c r="O84" i="1"/>
  <c r="O85" i="1"/>
  <c r="O91" i="1"/>
  <c r="O92" i="1"/>
  <c r="O93" i="1"/>
  <c r="O94" i="1"/>
  <c r="O99" i="1"/>
  <c r="O100" i="1"/>
  <c r="O101" i="1"/>
  <c r="O107" i="1"/>
  <c r="O108" i="1"/>
  <c r="O109" i="1"/>
  <c r="O110" i="1"/>
  <c r="O112" i="1"/>
  <c r="O115" i="1"/>
  <c r="O116" i="1"/>
  <c r="O123" i="1"/>
  <c r="O124" i="1"/>
  <c r="O125" i="1"/>
  <c r="O128" i="1"/>
  <c r="O131" i="1"/>
  <c r="O132" i="1"/>
  <c r="O139" i="1"/>
  <c r="O140" i="1"/>
  <c r="O141" i="1"/>
  <c r="O142" i="1"/>
  <c r="O147" i="1"/>
  <c r="O148" i="1"/>
  <c r="O153" i="1"/>
  <c r="O155" i="1"/>
  <c r="O157" i="1"/>
  <c r="O158" i="1"/>
  <c r="O160" i="1"/>
  <c r="O161" i="1"/>
  <c r="O163" i="1"/>
  <c r="O164" i="1"/>
  <c r="O165" i="1"/>
  <c r="O172" i="1"/>
  <c r="O174" i="1"/>
  <c r="O179" i="1"/>
  <c r="O180" i="1"/>
  <c r="O181" i="1"/>
  <c r="O182" i="1"/>
  <c r="O188" i="1"/>
  <c r="O189" i="1"/>
  <c r="O190" i="1"/>
  <c r="O191" i="1"/>
  <c r="O195" i="1"/>
  <c r="O196" i="1"/>
  <c r="W49" i="1"/>
  <c r="H12" i="1"/>
  <c r="H13" i="1"/>
  <c r="H14" i="1"/>
  <c r="H16" i="1"/>
  <c r="H19" i="1"/>
  <c r="H20" i="1"/>
  <c r="H28" i="1"/>
  <c r="H29" i="1"/>
  <c r="H30" i="1"/>
  <c r="H32" i="1"/>
  <c r="H33" i="1"/>
  <c r="H35" i="1"/>
  <c r="H36" i="1"/>
  <c r="H37" i="1"/>
  <c r="H44" i="1"/>
  <c r="H45" i="1"/>
  <c r="H48" i="1"/>
  <c r="H51" i="1"/>
  <c r="H52" i="1"/>
  <c r="H59" i="1"/>
  <c r="H60" i="1"/>
  <c r="H61" i="1"/>
  <c r="H62" i="1"/>
  <c r="H64" i="1"/>
  <c r="H67" i="1"/>
  <c r="H68" i="1"/>
  <c r="H69" i="1"/>
  <c r="H70" i="1"/>
  <c r="H75" i="1"/>
  <c r="H76" i="1"/>
  <c r="H77" i="1"/>
  <c r="H80" i="1"/>
  <c r="H83" i="1"/>
  <c r="H84" i="1"/>
  <c r="H85" i="1"/>
  <c r="H92" i="1"/>
  <c r="H93" i="1"/>
  <c r="H94" i="1"/>
  <c r="H95" i="1"/>
  <c r="H99" i="1"/>
  <c r="H100" i="1"/>
  <c r="H101" i="1"/>
  <c r="H107" i="1"/>
  <c r="H108" i="1"/>
  <c r="H112" i="1"/>
  <c r="H115" i="1"/>
  <c r="H116" i="1"/>
  <c r="H123" i="1"/>
  <c r="H124" i="1"/>
  <c r="H125" i="1"/>
  <c r="H126" i="1"/>
  <c r="H131" i="1"/>
  <c r="H132" i="1"/>
  <c r="H139" i="1"/>
  <c r="H140" i="1"/>
  <c r="H141" i="1"/>
  <c r="H142" i="1"/>
  <c r="H143" i="1"/>
  <c r="H144" i="1"/>
  <c r="H147" i="1"/>
  <c r="H148" i="1"/>
  <c r="H149" i="1"/>
  <c r="H150" i="1"/>
  <c r="H156" i="1"/>
  <c r="H160" i="1"/>
  <c r="H163" i="1"/>
  <c r="H164" i="1"/>
  <c r="H171" i="1"/>
  <c r="H172" i="1"/>
  <c r="H174" i="1"/>
  <c r="H176" i="1"/>
  <c r="H179" i="1"/>
  <c r="H180" i="1"/>
  <c r="H187" i="1"/>
  <c r="H188" i="1"/>
  <c r="H190" i="1"/>
  <c r="H195" i="1"/>
  <c r="H196" i="1"/>
  <c r="H197" i="1"/>
  <c r="F11" i="1"/>
  <c r="F12" i="1"/>
  <c r="F17" i="1"/>
  <c r="F18" i="1"/>
  <c r="F19" i="1"/>
  <c r="F27" i="1"/>
  <c r="F30" i="1"/>
  <c r="G30" i="1" s="1"/>
  <c r="F33" i="1"/>
  <c r="G33" i="1" s="1"/>
  <c r="F34" i="1"/>
  <c r="F43" i="1"/>
  <c r="F44" i="1"/>
  <c r="F45" i="1"/>
  <c r="F49" i="1"/>
  <c r="F50" i="1"/>
  <c r="F51" i="1"/>
  <c r="F53" i="1"/>
  <c r="F60" i="1"/>
  <c r="F65" i="1"/>
  <c r="F66" i="1"/>
  <c r="F67" i="1"/>
  <c r="F75" i="1"/>
  <c r="F81" i="1"/>
  <c r="F82" i="1"/>
  <c r="F83" i="1"/>
  <c r="F85" i="1"/>
  <c r="F86" i="1"/>
  <c r="F97" i="1"/>
  <c r="F98" i="1"/>
  <c r="F99" i="1"/>
  <c r="F108" i="1"/>
  <c r="F113" i="1"/>
  <c r="F124" i="1"/>
  <c r="F125" i="1"/>
  <c r="F139" i="1"/>
  <c r="F156" i="1"/>
  <c r="D7" i="1"/>
  <c r="E7" i="1"/>
  <c r="W47" i="1" l="1"/>
  <c r="W31" i="1"/>
  <c r="W99" i="1"/>
  <c r="W83" i="1"/>
  <c r="W67" i="1"/>
  <c r="W51" i="1"/>
  <c r="W35" i="1"/>
  <c r="W19" i="1"/>
  <c r="O120" i="1"/>
  <c r="W29" i="1"/>
  <c r="W123" i="1"/>
  <c r="W107" i="1"/>
  <c r="W91" i="1"/>
  <c r="W75" i="1"/>
  <c r="W43" i="1"/>
  <c r="W27" i="1"/>
  <c r="H23" i="1"/>
  <c r="O134" i="1"/>
  <c r="V134" i="1" s="1"/>
  <c r="H166" i="1"/>
  <c r="H102" i="1"/>
  <c r="V49" i="1"/>
  <c r="W34" i="1"/>
  <c r="W18" i="1"/>
  <c r="H199" i="1"/>
  <c r="W59" i="1"/>
  <c r="O167" i="1"/>
  <c r="V167" i="1" s="1"/>
  <c r="H198" i="1"/>
  <c r="H38" i="1"/>
  <c r="I38" i="1" s="1"/>
  <c r="O22" i="1"/>
  <c r="V22" i="1" s="1"/>
  <c r="G10" i="1"/>
  <c r="H39" i="1"/>
  <c r="I39" i="1" s="1"/>
  <c r="W30" i="1"/>
  <c r="W14" i="1"/>
  <c r="H118" i="1"/>
  <c r="I118" i="1" s="1"/>
  <c r="H87" i="1"/>
  <c r="V12" i="1"/>
  <c r="G23" i="1"/>
  <c r="H117" i="1"/>
  <c r="H86" i="1"/>
  <c r="H119" i="1"/>
  <c r="H55" i="1"/>
  <c r="H54" i="1"/>
  <c r="I54" i="1" s="1"/>
  <c r="W15" i="1"/>
  <c r="O10" i="1"/>
  <c r="V10" i="1" s="1"/>
  <c r="H135" i="1"/>
  <c r="I135" i="1" s="1"/>
  <c r="H103" i="1"/>
  <c r="I103" i="1" s="1"/>
  <c r="V28" i="1"/>
  <c r="W77" i="1"/>
  <c r="W45" i="1"/>
  <c r="O89" i="1"/>
  <c r="V89" i="1" s="1"/>
  <c r="O137" i="1"/>
  <c r="V81" i="1"/>
  <c r="V33" i="1"/>
  <c r="V17" i="1"/>
  <c r="V15" i="1"/>
  <c r="W125" i="1"/>
  <c r="W61" i="1"/>
  <c r="G129" i="1"/>
  <c r="H162" i="1"/>
  <c r="I162" i="1" s="1"/>
  <c r="O66" i="1"/>
  <c r="V66" i="1" s="1"/>
  <c r="O11" i="1"/>
  <c r="V11" i="1" s="1"/>
  <c r="O65" i="1"/>
  <c r="V65" i="1" s="1"/>
  <c r="V47" i="1"/>
  <c r="G81" i="1"/>
  <c r="W93" i="1"/>
  <c r="F77" i="1"/>
  <c r="I77" i="1" s="1"/>
  <c r="F31" i="1"/>
  <c r="H177" i="1"/>
  <c r="I177" i="1" s="1"/>
  <c r="G113" i="1"/>
  <c r="H82" i="1"/>
  <c r="W79" i="1"/>
  <c r="O136" i="1"/>
  <c r="G177" i="1"/>
  <c r="G151" i="1"/>
  <c r="G49" i="1"/>
  <c r="H175" i="1"/>
  <c r="I175" i="1" s="1"/>
  <c r="H81" i="1"/>
  <c r="I81" i="1" s="1"/>
  <c r="H63" i="1"/>
  <c r="I63" i="1" s="1"/>
  <c r="W63" i="1"/>
  <c r="O152" i="1"/>
  <c r="V152" i="1" s="1"/>
  <c r="O98" i="1"/>
  <c r="V98" i="1" s="1"/>
  <c r="V44" i="1"/>
  <c r="O24" i="1"/>
  <c r="G87" i="1"/>
  <c r="O97" i="1"/>
  <c r="V97" i="1" s="1"/>
  <c r="O79" i="1"/>
  <c r="H178" i="1"/>
  <c r="H159" i="1"/>
  <c r="H194" i="1"/>
  <c r="O151" i="1"/>
  <c r="G199" i="1"/>
  <c r="F47" i="1"/>
  <c r="I47" i="1" s="1"/>
  <c r="H193" i="1"/>
  <c r="I193" i="1" s="1"/>
  <c r="H173" i="1"/>
  <c r="I173" i="1" s="1"/>
  <c r="O133" i="1"/>
  <c r="O96" i="1"/>
  <c r="V96" i="1" s="1"/>
  <c r="O40" i="1"/>
  <c r="V40" i="1" s="1"/>
  <c r="H78" i="1"/>
  <c r="I78" i="1" s="1"/>
  <c r="H21" i="1"/>
  <c r="O192" i="1"/>
  <c r="O114" i="1"/>
  <c r="V114" i="1" s="1"/>
  <c r="V60" i="1"/>
  <c r="W150" i="1"/>
  <c r="W134" i="1"/>
  <c r="W102" i="1"/>
  <c r="W86" i="1"/>
  <c r="W70" i="1"/>
  <c r="W54" i="1"/>
  <c r="W38" i="1"/>
  <c r="W22" i="1"/>
  <c r="O113" i="1"/>
  <c r="V113" i="1" s="1"/>
  <c r="H168" i="1"/>
  <c r="I168" i="1" s="1"/>
  <c r="H56" i="1"/>
  <c r="I56" i="1" s="1"/>
  <c r="H18" i="1"/>
  <c r="O129" i="1"/>
  <c r="O72" i="1"/>
  <c r="V72" i="1" s="1"/>
  <c r="G65" i="1"/>
  <c r="O146" i="1"/>
  <c r="H17" i="1"/>
  <c r="O34" i="1"/>
  <c r="O130" i="1"/>
  <c r="V130" i="1" s="1"/>
  <c r="G97" i="1"/>
  <c r="G17" i="1"/>
  <c r="O111" i="1"/>
  <c r="V111" i="1" s="1"/>
  <c r="H184" i="1"/>
  <c r="I184" i="1" s="1"/>
  <c r="O145" i="1"/>
  <c r="V145" i="1" s="1"/>
  <c r="H183" i="1"/>
  <c r="I183" i="1" s="1"/>
  <c r="H71" i="1"/>
  <c r="I71" i="1" s="1"/>
  <c r="O127" i="1"/>
  <c r="V127" i="1" s="1"/>
  <c r="H88" i="1"/>
  <c r="I88" i="1" s="1"/>
  <c r="H15" i="1"/>
  <c r="I15" i="1" s="1"/>
  <c r="W32" i="1"/>
  <c r="W16" i="1"/>
  <c r="G55" i="1"/>
  <c r="O185" i="1"/>
  <c r="O122" i="1"/>
  <c r="O169" i="1"/>
  <c r="H200" i="1"/>
  <c r="I200" i="1" s="1"/>
  <c r="G161" i="1"/>
  <c r="H121" i="1"/>
  <c r="I121" i="1" s="1"/>
  <c r="O138" i="1"/>
  <c r="V138" i="1" s="1"/>
  <c r="C7" i="1"/>
  <c r="O106" i="1"/>
  <c r="V106" i="1" s="1"/>
  <c r="H26" i="1"/>
  <c r="I26" i="1" s="1"/>
  <c r="H105" i="1"/>
  <c r="I105" i="1" s="1"/>
  <c r="H42" i="1"/>
  <c r="I42" i="1" s="1"/>
  <c r="O90" i="1"/>
  <c r="H58" i="1"/>
  <c r="I58" i="1" s="1"/>
  <c r="O74" i="1"/>
  <c r="V74" i="1" s="1"/>
  <c r="O41" i="1"/>
  <c r="V41" i="1" s="1"/>
  <c r="H73" i="1"/>
  <c r="O57" i="1"/>
  <c r="H104" i="1"/>
  <c r="H154" i="1"/>
  <c r="I154" i="1" s="1"/>
  <c r="G193" i="1"/>
  <c r="G145" i="1"/>
  <c r="H170" i="1"/>
  <c r="I170" i="1" s="1"/>
  <c r="H186" i="1"/>
  <c r="I186" i="1" s="1"/>
  <c r="G167" i="1"/>
  <c r="G135" i="1"/>
  <c r="G103" i="1"/>
  <c r="G183" i="1"/>
  <c r="H10" i="1"/>
  <c r="I10" i="1" s="1"/>
  <c r="V59" i="1"/>
  <c r="V43" i="1"/>
  <c r="V27" i="1"/>
  <c r="W171" i="1"/>
  <c r="W36" i="1"/>
  <c r="W20" i="1"/>
  <c r="V76" i="1"/>
  <c r="W131" i="1"/>
  <c r="V46" i="1"/>
  <c r="V30" i="1"/>
  <c r="V14" i="1"/>
  <c r="V93" i="1"/>
  <c r="V77" i="1"/>
  <c r="V45" i="1"/>
  <c r="V29" i="1"/>
  <c r="W95" i="1"/>
  <c r="V140" i="1"/>
  <c r="V124" i="1"/>
  <c r="V108" i="1"/>
  <c r="V92" i="1"/>
  <c r="V67" i="1"/>
  <c r="V51" i="1"/>
  <c r="V35" i="1"/>
  <c r="V19" i="1"/>
  <c r="W46" i="1"/>
  <c r="W13" i="1"/>
  <c r="W111" i="1"/>
  <c r="W172" i="1"/>
  <c r="W156" i="1"/>
  <c r="W140" i="1"/>
  <c r="W199" i="1"/>
  <c r="W151" i="1"/>
  <c r="W135" i="1"/>
  <c r="W87" i="1"/>
  <c r="W71" i="1"/>
  <c r="W39" i="1"/>
  <c r="W127" i="1"/>
  <c r="W173" i="1"/>
  <c r="W141" i="1"/>
  <c r="W159" i="1"/>
  <c r="W143" i="1"/>
  <c r="W84" i="1"/>
  <c r="W163" i="1"/>
  <c r="W98" i="1"/>
  <c r="W82" i="1"/>
  <c r="W66" i="1"/>
  <c r="W50" i="1"/>
  <c r="W129" i="1"/>
  <c r="W113" i="1"/>
  <c r="W97" i="1"/>
  <c r="W65" i="1"/>
  <c r="W68" i="1"/>
  <c r="V91" i="1"/>
  <c r="W96" i="1"/>
  <c r="W80" i="1"/>
  <c r="W64" i="1"/>
  <c r="W48" i="1"/>
  <c r="V131" i="1"/>
  <c r="V83" i="1"/>
  <c r="W120" i="1"/>
  <c r="W104" i="1"/>
  <c r="W88" i="1"/>
  <c r="W72" i="1"/>
  <c r="W56" i="1"/>
  <c r="W40" i="1"/>
  <c r="W24" i="1"/>
  <c r="W161" i="1"/>
  <c r="W73" i="1"/>
  <c r="W57" i="1"/>
  <c r="W41" i="1"/>
  <c r="W184" i="1"/>
  <c r="W168" i="1"/>
  <c r="W152" i="1"/>
  <c r="W136" i="1"/>
  <c r="W146" i="1"/>
  <c r="W114" i="1"/>
  <c r="V13" i="1"/>
  <c r="F13" i="1"/>
  <c r="W138" i="1"/>
  <c r="W106" i="1"/>
  <c r="W90" i="1"/>
  <c r="W74" i="1"/>
  <c r="W185" i="1"/>
  <c r="W153" i="1"/>
  <c r="W137" i="1"/>
  <c r="W121" i="1"/>
  <c r="W89" i="1"/>
  <c r="W197" i="1"/>
  <c r="W149" i="1"/>
  <c r="W133" i="1"/>
  <c r="W196" i="1"/>
  <c r="W164" i="1"/>
  <c r="W132" i="1"/>
  <c r="W116" i="1"/>
  <c r="W176" i="1"/>
  <c r="W144" i="1"/>
  <c r="W128" i="1"/>
  <c r="W112" i="1"/>
  <c r="W190" i="1"/>
  <c r="W158" i="1"/>
  <c r="W126" i="1"/>
  <c r="W94" i="1"/>
  <c r="V64" i="1"/>
  <c r="V32" i="1"/>
  <c r="V16" i="1"/>
  <c r="W62" i="1"/>
  <c r="W105" i="1"/>
  <c r="W170" i="1"/>
  <c r="W169" i="1"/>
  <c r="W42" i="1"/>
  <c r="B7" i="1"/>
  <c r="W122" i="1"/>
  <c r="W58" i="1"/>
  <c r="W154" i="1"/>
  <c r="V82" i="1"/>
  <c r="V50" i="1"/>
  <c r="V34" i="1"/>
  <c r="V18" i="1"/>
  <c r="W110" i="1"/>
  <c r="W78" i="1"/>
  <c r="W178" i="1"/>
  <c r="W160" i="1"/>
  <c r="V95" i="1"/>
  <c r="V79" i="1"/>
  <c r="W177" i="1"/>
  <c r="W186" i="1"/>
  <c r="W179" i="1"/>
  <c r="W194" i="1"/>
  <c r="W191" i="1"/>
  <c r="V70" i="1"/>
  <c r="V54" i="1"/>
  <c r="V38" i="1"/>
  <c r="V180" i="1"/>
  <c r="V84" i="1"/>
  <c r="V68" i="1"/>
  <c r="V20" i="1"/>
  <c r="V150" i="1"/>
  <c r="V102" i="1"/>
  <c r="V86" i="1"/>
  <c r="V174" i="1"/>
  <c r="V133" i="1"/>
  <c r="V183" i="1"/>
  <c r="V147" i="1"/>
  <c r="V63" i="1"/>
  <c r="V172" i="1"/>
  <c r="V75" i="1"/>
  <c r="W147" i="1"/>
  <c r="V110" i="1"/>
  <c r="V94" i="1"/>
  <c r="V78" i="1"/>
  <c r="V62" i="1"/>
  <c r="V143" i="1"/>
  <c r="V191" i="1"/>
  <c r="V158" i="1"/>
  <c r="V42" i="1"/>
  <c r="V159" i="1"/>
  <c r="V177" i="1"/>
  <c r="V73" i="1"/>
  <c r="V57" i="1"/>
  <c r="V99" i="1"/>
  <c r="V48" i="1"/>
  <c r="V119" i="1"/>
  <c r="V103" i="1"/>
  <c r="V55" i="1"/>
  <c r="V23" i="1"/>
  <c r="V198" i="1"/>
  <c r="V182" i="1"/>
  <c r="V166" i="1"/>
  <c r="V118" i="1"/>
  <c r="V164" i="1"/>
  <c r="V181" i="1"/>
  <c r="V165" i="1"/>
  <c r="V117" i="1"/>
  <c r="V85" i="1"/>
  <c r="V69" i="1"/>
  <c r="V21" i="1"/>
  <c r="V100" i="1"/>
  <c r="V52" i="1"/>
  <c r="V36" i="1"/>
  <c r="V148" i="1"/>
  <c r="V163" i="1"/>
  <c r="V115" i="1"/>
  <c r="V162" i="1"/>
  <c r="V193" i="1"/>
  <c r="V161" i="1"/>
  <c r="V129" i="1"/>
  <c r="V80" i="1"/>
  <c r="V132" i="1"/>
  <c r="V175" i="1"/>
  <c r="V190" i="1"/>
  <c r="V142" i="1"/>
  <c r="V189" i="1"/>
  <c r="V173" i="1"/>
  <c r="V157" i="1"/>
  <c r="V125" i="1"/>
  <c r="V109" i="1"/>
  <c r="V88" i="1"/>
  <c r="V135" i="1"/>
  <c r="W157" i="1"/>
  <c r="V24" i="1"/>
  <c r="V56" i="1"/>
  <c r="V185" i="1"/>
  <c r="W130" i="1"/>
  <c r="V184" i="1"/>
  <c r="W193" i="1"/>
  <c r="V178" i="1"/>
  <c r="W189" i="1"/>
  <c r="V61" i="1"/>
  <c r="W166" i="1"/>
  <c r="W118" i="1"/>
  <c r="V141" i="1"/>
  <c r="W115" i="1"/>
  <c r="W162" i="1"/>
  <c r="W109" i="1"/>
  <c r="V179" i="1"/>
  <c r="W198" i="1"/>
  <c r="V169" i="1"/>
  <c r="W182" i="1"/>
  <c r="W175" i="1"/>
  <c r="W174" i="1"/>
  <c r="W145" i="1"/>
  <c r="V146" i="1"/>
  <c r="V126" i="1"/>
  <c r="W142" i="1"/>
  <c r="V128" i="1"/>
  <c r="V116" i="1"/>
  <c r="V87" i="1"/>
  <c r="V37" i="1"/>
  <c r="W167" i="1"/>
  <c r="W148" i="1"/>
  <c r="W52" i="1"/>
  <c r="V26" i="1"/>
  <c r="V39" i="1"/>
  <c r="W69" i="1"/>
  <c r="V25" i="1"/>
  <c r="V199" i="1"/>
  <c r="W165" i="1"/>
  <c r="V200" i="1"/>
  <c r="W183" i="1"/>
  <c r="W103" i="1"/>
  <c r="W181" i="1"/>
  <c r="V53" i="1"/>
  <c r="W180" i="1"/>
  <c r="W119" i="1"/>
  <c r="W100" i="1"/>
  <c r="V196" i="1"/>
  <c r="V195" i="1"/>
  <c r="V197" i="1"/>
  <c r="V101" i="1"/>
  <c r="W200" i="1"/>
  <c r="V194" i="1"/>
  <c r="V156" i="1"/>
  <c r="W117" i="1"/>
  <c r="W23" i="1"/>
  <c r="V151" i="1"/>
  <c r="V192" i="1"/>
  <c r="V176" i="1"/>
  <c r="V160" i="1"/>
  <c r="V144" i="1"/>
  <c r="V112" i="1"/>
  <c r="V71" i="1"/>
  <c r="W21" i="1"/>
  <c r="V149" i="1"/>
  <c r="V123" i="1"/>
  <c r="W195" i="1"/>
  <c r="W55" i="1"/>
  <c r="V188" i="1"/>
  <c r="V187" i="1"/>
  <c r="V155" i="1"/>
  <c r="V139" i="1"/>
  <c r="V153" i="1"/>
  <c r="W192" i="1"/>
  <c r="V170" i="1"/>
  <c r="V105" i="1"/>
  <c r="V171" i="1"/>
  <c r="V107" i="1"/>
  <c r="W188" i="1"/>
  <c r="V121" i="1"/>
  <c r="W187" i="1"/>
  <c r="W155" i="1"/>
  <c r="W139" i="1"/>
  <c r="W26" i="1"/>
  <c r="V154" i="1"/>
  <c r="V122" i="1"/>
  <c r="V90" i="1"/>
  <c r="V58" i="1"/>
  <c r="V137" i="1"/>
  <c r="V168" i="1"/>
  <c r="V136" i="1"/>
  <c r="V120" i="1"/>
  <c r="V104" i="1"/>
  <c r="W25" i="1"/>
  <c r="V186" i="1"/>
  <c r="W10" i="1"/>
  <c r="I163" i="1"/>
  <c r="I138" i="1"/>
  <c r="I106" i="1"/>
  <c r="I74" i="1"/>
  <c r="I90" i="1"/>
  <c r="I122" i="1"/>
  <c r="I194" i="1"/>
  <c r="I178" i="1"/>
  <c r="I146" i="1"/>
  <c r="I130" i="1"/>
  <c r="I114" i="1"/>
  <c r="I98" i="1"/>
  <c r="I82" i="1"/>
  <c r="I66" i="1"/>
  <c r="I50" i="1"/>
  <c r="I34" i="1"/>
  <c r="I18" i="1"/>
  <c r="I51" i="1"/>
  <c r="I147" i="1"/>
  <c r="I67" i="1"/>
  <c r="I179" i="1"/>
  <c r="I115" i="1"/>
  <c r="I83" i="1"/>
  <c r="I131" i="1"/>
  <c r="I19" i="1"/>
  <c r="I195" i="1"/>
  <c r="I99" i="1"/>
  <c r="I35" i="1"/>
  <c r="I191" i="1"/>
  <c r="I159" i="1"/>
  <c r="I143" i="1"/>
  <c r="I127" i="1"/>
  <c r="I111" i="1"/>
  <c r="I95" i="1"/>
  <c r="I79" i="1"/>
  <c r="I31" i="1"/>
  <c r="I189" i="1"/>
  <c r="I157" i="1"/>
  <c r="I45" i="1"/>
  <c r="I17" i="1"/>
  <c r="I187" i="1"/>
  <c r="I171" i="1"/>
  <c r="I155" i="1"/>
  <c r="I139" i="1"/>
  <c r="I123" i="1"/>
  <c r="I107" i="1"/>
  <c r="I91" i="1"/>
  <c r="I75" i="1"/>
  <c r="I59" i="1"/>
  <c r="I43" i="1"/>
  <c r="I27" i="1"/>
  <c r="I11" i="1"/>
  <c r="I190" i="1"/>
  <c r="I174" i="1"/>
  <c r="I110" i="1"/>
  <c r="I97" i="1"/>
  <c r="I94" i="1"/>
  <c r="I23" i="1"/>
  <c r="I14" i="1"/>
  <c r="I192" i="1"/>
  <c r="I176" i="1"/>
  <c r="I160" i="1"/>
  <c r="I144" i="1"/>
  <c r="I128" i="1"/>
  <c r="I112" i="1"/>
  <c r="I96" i="1"/>
  <c r="I80" i="1"/>
  <c r="I64" i="1"/>
  <c r="I48" i="1"/>
  <c r="I32" i="1"/>
  <c r="I16" i="1"/>
  <c r="I89" i="1"/>
  <c r="I120" i="1"/>
  <c r="I167" i="1"/>
  <c r="I57" i="1"/>
  <c r="I72" i="1"/>
  <c r="I198" i="1"/>
  <c r="I182" i="1"/>
  <c r="I150" i="1"/>
  <c r="I102" i="1"/>
  <c r="I70" i="1"/>
  <c r="I197" i="1"/>
  <c r="I165" i="1"/>
  <c r="I133" i="1"/>
  <c r="I101" i="1"/>
  <c r="I85" i="1"/>
  <c r="I69" i="1"/>
  <c r="I53" i="1"/>
  <c r="I37" i="1"/>
  <c r="I21" i="1"/>
  <c r="I161" i="1"/>
  <c r="G150" i="1"/>
  <c r="I25" i="1"/>
  <c r="I104" i="1"/>
  <c r="I24" i="1"/>
  <c r="I87" i="1"/>
  <c r="I166" i="1"/>
  <c r="I134" i="1"/>
  <c r="I86" i="1"/>
  <c r="I22" i="1"/>
  <c r="I181" i="1"/>
  <c r="I149" i="1"/>
  <c r="I117" i="1"/>
  <c r="I196" i="1"/>
  <c r="I180" i="1"/>
  <c r="I164" i="1"/>
  <c r="I148" i="1"/>
  <c r="I132" i="1"/>
  <c r="I116" i="1"/>
  <c r="I100" i="1"/>
  <c r="I84" i="1"/>
  <c r="I68" i="1"/>
  <c r="I52" i="1"/>
  <c r="I36" i="1"/>
  <c r="I20" i="1"/>
  <c r="I158" i="1"/>
  <c r="G134" i="1"/>
  <c r="I137" i="1"/>
  <c r="I40" i="1"/>
  <c r="I151" i="1"/>
  <c r="I65" i="1"/>
  <c r="G118" i="1"/>
  <c r="I169" i="1"/>
  <c r="I145" i="1"/>
  <c r="I62" i="1"/>
  <c r="G102" i="1"/>
  <c r="I136" i="1"/>
  <c r="I142" i="1"/>
  <c r="I55" i="1"/>
  <c r="G86" i="1"/>
  <c r="I185" i="1"/>
  <c r="I49" i="1"/>
  <c r="G70" i="1"/>
  <c r="I153" i="1"/>
  <c r="I129" i="1"/>
  <c r="I46" i="1"/>
  <c r="G54" i="1"/>
  <c r="I41" i="1"/>
  <c r="I152" i="1"/>
  <c r="I126" i="1"/>
  <c r="G38" i="1"/>
  <c r="I73" i="1"/>
  <c r="I141" i="1"/>
  <c r="I125" i="1"/>
  <c r="I109" i="1"/>
  <c r="I93" i="1"/>
  <c r="I61" i="1"/>
  <c r="I29" i="1"/>
  <c r="I119" i="1"/>
  <c r="I33" i="1"/>
  <c r="G22" i="1"/>
  <c r="I188" i="1"/>
  <c r="I172" i="1"/>
  <c r="I156" i="1"/>
  <c r="I140" i="1"/>
  <c r="I124" i="1"/>
  <c r="I108" i="1"/>
  <c r="I92" i="1"/>
  <c r="I76" i="1"/>
  <c r="I60" i="1"/>
  <c r="I44" i="1"/>
  <c r="I28" i="1"/>
  <c r="I12" i="1"/>
  <c r="I199" i="1"/>
  <c r="I113" i="1"/>
  <c r="I30" i="1"/>
  <c r="G189" i="1"/>
  <c r="G173" i="1"/>
  <c r="G157" i="1"/>
  <c r="G141" i="1"/>
  <c r="G125" i="1"/>
  <c r="G109" i="1"/>
  <c r="G93" i="1"/>
  <c r="G61" i="1"/>
  <c r="G45" i="1"/>
  <c r="G29" i="1"/>
  <c r="G188" i="1"/>
  <c r="G172" i="1"/>
  <c r="G156" i="1"/>
  <c r="G140" i="1"/>
  <c r="G124" i="1"/>
  <c r="G108" i="1"/>
  <c r="G92" i="1"/>
  <c r="G76" i="1"/>
  <c r="G60" i="1"/>
  <c r="G44" i="1"/>
  <c r="G28" i="1"/>
  <c r="G12" i="1"/>
  <c r="G187" i="1"/>
  <c r="G171" i="1"/>
  <c r="G155" i="1"/>
  <c r="G139" i="1"/>
  <c r="G123" i="1"/>
  <c r="G107" i="1"/>
  <c r="G91" i="1"/>
  <c r="G75" i="1"/>
  <c r="G59" i="1"/>
  <c r="G43" i="1"/>
  <c r="G27" i="1"/>
  <c r="G11" i="1"/>
  <c r="G186" i="1"/>
  <c r="G170" i="1"/>
  <c r="G154" i="1"/>
  <c r="G138" i="1"/>
  <c r="G122" i="1"/>
  <c r="G106" i="1"/>
  <c r="G90" i="1"/>
  <c r="G74" i="1"/>
  <c r="G58" i="1"/>
  <c r="G42" i="1"/>
  <c r="G26" i="1"/>
  <c r="G185" i="1"/>
  <c r="G169" i="1"/>
  <c r="G153" i="1"/>
  <c r="G137" i="1"/>
  <c r="G121" i="1"/>
  <c r="G105" i="1"/>
  <c r="G89" i="1"/>
  <c r="G73" i="1"/>
  <c r="G57" i="1"/>
  <c r="G41" i="1"/>
  <c r="G25" i="1"/>
  <c r="G200" i="1"/>
  <c r="G184" i="1"/>
  <c r="G168" i="1"/>
  <c r="G152" i="1"/>
  <c r="G136" i="1"/>
  <c r="G120" i="1"/>
  <c r="G104" i="1"/>
  <c r="G88" i="1"/>
  <c r="G72" i="1"/>
  <c r="G56" i="1"/>
  <c r="G40" i="1"/>
  <c r="G24" i="1"/>
  <c r="G197" i="1"/>
  <c r="G181" i="1"/>
  <c r="G165" i="1"/>
  <c r="G149" i="1"/>
  <c r="G133" i="1"/>
  <c r="G117" i="1"/>
  <c r="G101" i="1"/>
  <c r="G85" i="1"/>
  <c r="G69" i="1"/>
  <c r="G53" i="1"/>
  <c r="G37" i="1"/>
  <c r="G21" i="1"/>
  <c r="G196" i="1"/>
  <c r="G180" i="1"/>
  <c r="G164" i="1"/>
  <c r="G148" i="1"/>
  <c r="G132" i="1"/>
  <c r="G116" i="1"/>
  <c r="G100" i="1"/>
  <c r="G84" i="1"/>
  <c r="G68" i="1"/>
  <c r="G52" i="1"/>
  <c r="G36" i="1"/>
  <c r="G20" i="1"/>
  <c r="G195" i="1"/>
  <c r="G179" i="1"/>
  <c r="G163" i="1"/>
  <c r="G147" i="1"/>
  <c r="G131" i="1"/>
  <c r="G115" i="1"/>
  <c r="G99" i="1"/>
  <c r="G83" i="1"/>
  <c r="G67" i="1"/>
  <c r="G51" i="1"/>
  <c r="G35" i="1"/>
  <c r="G19" i="1"/>
  <c r="G194" i="1"/>
  <c r="G178" i="1"/>
  <c r="G162" i="1"/>
  <c r="G146" i="1"/>
  <c r="G130" i="1"/>
  <c r="G114" i="1"/>
  <c r="G98" i="1"/>
  <c r="G82" i="1"/>
  <c r="G66" i="1"/>
  <c r="G50" i="1"/>
  <c r="G34" i="1"/>
  <c r="G18" i="1"/>
  <c r="G192" i="1"/>
  <c r="G176" i="1"/>
  <c r="G160" i="1"/>
  <c r="G144" i="1"/>
  <c r="G128" i="1"/>
  <c r="G112" i="1"/>
  <c r="G96" i="1"/>
  <c r="G80" i="1"/>
  <c r="G64" i="1"/>
  <c r="G48" i="1"/>
  <c r="G32" i="1"/>
  <c r="G16" i="1"/>
  <c r="G191" i="1"/>
  <c r="G175" i="1"/>
  <c r="G159" i="1"/>
  <c r="G143" i="1"/>
  <c r="G127" i="1"/>
  <c r="G111" i="1"/>
  <c r="G95" i="1"/>
  <c r="G79" i="1"/>
  <c r="G63" i="1"/>
  <c r="G47" i="1"/>
  <c r="G31" i="1"/>
  <c r="G15" i="1"/>
  <c r="G77" i="1" l="1"/>
  <c r="F7" i="1"/>
  <c r="I13" i="1"/>
  <c r="I7" i="1" s="1"/>
  <c r="G13" i="1"/>
  <c r="V9" i="1"/>
  <c r="W9" i="1"/>
  <c r="G7" i="1" l="1"/>
  <c r="M6" i="1" s="1"/>
  <c r="M5" i="1" s="1"/>
  <c r="X9" i="1"/>
  <c r="I5" i="1"/>
  <c r="Y5" i="1" l="1"/>
  <c r="G5" i="1"/>
  <c r="L26" i="1" s="1"/>
  <c r="M26" i="1" s="1"/>
  <c r="K6" i="1"/>
  <c r="K5" i="1" s="1"/>
  <c r="W5" i="1"/>
  <c r="L57" i="1"/>
  <c r="M57" i="1" s="1"/>
  <c r="L73" i="1"/>
  <c r="M73" i="1" s="1"/>
  <c r="L89" i="1"/>
  <c r="M89" i="1" s="1"/>
  <c r="L105" i="1"/>
  <c r="M105" i="1" s="1"/>
  <c r="L121" i="1"/>
  <c r="M121" i="1" s="1"/>
  <c r="L137" i="1"/>
  <c r="M137" i="1" s="1"/>
  <c r="L153" i="1"/>
  <c r="M153" i="1" s="1"/>
  <c r="L169" i="1"/>
  <c r="M169" i="1" s="1"/>
  <c r="L185" i="1"/>
  <c r="M185" i="1" s="1"/>
  <c r="L90" i="1"/>
  <c r="M90" i="1" s="1"/>
  <c r="L106" i="1"/>
  <c r="M106" i="1" s="1"/>
  <c r="L122" i="1"/>
  <c r="M122" i="1" s="1"/>
  <c r="L138" i="1"/>
  <c r="M138" i="1" s="1"/>
  <c r="L154" i="1"/>
  <c r="M154" i="1" s="1"/>
  <c r="L170" i="1"/>
  <c r="M170" i="1" s="1"/>
  <c r="L186" i="1"/>
  <c r="M186" i="1" s="1"/>
  <c r="L11" i="1"/>
  <c r="M11" i="1" s="1"/>
  <c r="L27" i="1"/>
  <c r="M27" i="1" s="1"/>
  <c r="L43" i="1"/>
  <c r="M43" i="1" s="1"/>
  <c r="L59" i="1"/>
  <c r="M59" i="1" s="1"/>
  <c r="L75" i="1"/>
  <c r="M75" i="1" s="1"/>
  <c r="L155" i="1"/>
  <c r="M155" i="1" s="1"/>
  <c r="L171" i="1"/>
  <c r="M171" i="1" s="1"/>
  <c r="L187" i="1"/>
  <c r="M187" i="1" s="1"/>
  <c r="L12" i="1"/>
  <c r="M12" i="1" s="1"/>
  <c r="L28" i="1"/>
  <c r="M28" i="1" s="1"/>
  <c r="L44" i="1"/>
  <c r="M44" i="1" s="1"/>
  <c r="L60" i="1"/>
  <c r="M60" i="1" s="1"/>
  <c r="L76" i="1"/>
  <c r="M76" i="1" s="1"/>
  <c r="L92" i="1"/>
  <c r="M92" i="1" s="1"/>
  <c r="L108" i="1"/>
  <c r="M108" i="1" s="1"/>
  <c r="L124" i="1"/>
  <c r="M124" i="1" s="1"/>
  <c r="L140" i="1"/>
  <c r="L29" i="1"/>
  <c r="M29" i="1" s="1"/>
  <c r="L45" i="1"/>
  <c r="M45" i="1" s="1"/>
  <c r="L61" i="1"/>
  <c r="M61" i="1" s="1"/>
  <c r="L77" i="1"/>
  <c r="M77" i="1" s="1"/>
  <c r="L93" i="1"/>
  <c r="M93" i="1" s="1"/>
  <c r="L109" i="1"/>
  <c r="M109" i="1" s="1"/>
  <c r="L125" i="1"/>
  <c r="M125" i="1" s="1"/>
  <c r="L141" i="1"/>
  <c r="M141" i="1" s="1"/>
  <c r="L157" i="1"/>
  <c r="M157" i="1" s="1"/>
  <c r="L173" i="1"/>
  <c r="M173" i="1" s="1"/>
  <c r="L189" i="1"/>
  <c r="M189" i="1" s="1"/>
  <c r="L14" i="1"/>
  <c r="M14" i="1" s="1"/>
  <c r="L94" i="1"/>
  <c r="M94" i="1" s="1"/>
  <c r="L110" i="1"/>
  <c r="M110" i="1" s="1"/>
  <c r="L126" i="1"/>
  <c r="M126" i="1" s="1"/>
  <c r="L142" i="1"/>
  <c r="M142" i="1" s="1"/>
  <c r="L158" i="1"/>
  <c r="M158" i="1" s="1"/>
  <c r="L174" i="1"/>
  <c r="M174" i="1" s="1"/>
  <c r="L190" i="1"/>
  <c r="M190" i="1" s="1"/>
  <c r="L15" i="1"/>
  <c r="M15" i="1" s="1"/>
  <c r="L31" i="1"/>
  <c r="M31" i="1" s="1"/>
  <c r="L47" i="1"/>
  <c r="M47" i="1" s="1"/>
  <c r="L63" i="1"/>
  <c r="M63" i="1" s="1"/>
  <c r="L79" i="1"/>
  <c r="L159" i="1"/>
  <c r="M159" i="1" s="1"/>
  <c r="L175" i="1"/>
  <c r="M175" i="1" s="1"/>
  <c r="L191" i="1"/>
  <c r="M191" i="1" s="1"/>
  <c r="L16" i="1"/>
  <c r="M16" i="1" s="1"/>
  <c r="L32" i="1"/>
  <c r="M32" i="1" s="1"/>
  <c r="L48" i="1"/>
  <c r="M48" i="1" s="1"/>
  <c r="L64" i="1"/>
  <c r="M64" i="1" s="1"/>
  <c r="L80" i="1"/>
  <c r="M80" i="1" s="1"/>
  <c r="L96" i="1"/>
  <c r="M96" i="1" s="1"/>
  <c r="L112" i="1"/>
  <c r="M112" i="1" s="1"/>
  <c r="L128" i="1"/>
  <c r="M128" i="1" s="1"/>
  <c r="L144" i="1"/>
  <c r="M144" i="1" s="1"/>
  <c r="L33" i="1"/>
  <c r="M33" i="1" s="1"/>
  <c r="L49" i="1"/>
  <c r="M49" i="1" s="1"/>
  <c r="L65" i="1"/>
  <c r="M65" i="1" s="1"/>
  <c r="L81" i="1"/>
  <c r="M81" i="1" s="1"/>
  <c r="L97" i="1"/>
  <c r="M97" i="1" s="1"/>
  <c r="L113" i="1"/>
  <c r="M113" i="1" s="1"/>
  <c r="L129" i="1"/>
  <c r="M129" i="1" s="1"/>
  <c r="L145" i="1"/>
  <c r="M145" i="1" s="1"/>
  <c r="L161" i="1"/>
  <c r="M161" i="1" s="1"/>
  <c r="L177" i="1"/>
  <c r="M177" i="1" s="1"/>
  <c r="L193" i="1"/>
  <c r="M193" i="1" s="1"/>
  <c r="L18" i="1"/>
  <c r="M18" i="1" s="1"/>
  <c r="L98" i="1"/>
  <c r="M98" i="1" s="1"/>
  <c r="L114" i="1"/>
  <c r="M114" i="1" s="1"/>
  <c r="L130" i="1"/>
  <c r="M130" i="1" s="1"/>
  <c r="L146" i="1"/>
  <c r="M146" i="1" s="1"/>
  <c r="L162" i="1"/>
  <c r="M162" i="1" s="1"/>
  <c r="L178" i="1"/>
  <c r="L194" i="1"/>
  <c r="M194" i="1" s="1"/>
  <c r="L19" i="1"/>
  <c r="M19" i="1" s="1"/>
  <c r="L35" i="1"/>
  <c r="M35" i="1" s="1"/>
  <c r="L51" i="1"/>
  <c r="M51" i="1" s="1"/>
  <c r="L67" i="1"/>
  <c r="M67" i="1" s="1"/>
  <c r="L83" i="1"/>
  <c r="M83" i="1" s="1"/>
  <c r="L163" i="1"/>
  <c r="M163" i="1" s="1"/>
  <c r="L179" i="1"/>
  <c r="M179" i="1" s="1"/>
  <c r="L195" i="1"/>
  <c r="M195" i="1" s="1"/>
  <c r="L20" i="1"/>
  <c r="M20" i="1" s="1"/>
  <c r="L36" i="1"/>
  <c r="M36" i="1" s="1"/>
  <c r="L52" i="1"/>
  <c r="M52" i="1" s="1"/>
  <c r="L68" i="1"/>
  <c r="M68" i="1" s="1"/>
  <c r="L84" i="1"/>
  <c r="M84" i="1" s="1"/>
  <c r="L100" i="1"/>
  <c r="M100" i="1" s="1"/>
  <c r="L116" i="1"/>
  <c r="M116" i="1" s="1"/>
  <c r="L132" i="1"/>
  <c r="M132" i="1" s="1"/>
  <c r="L148" i="1"/>
  <c r="M148" i="1" s="1"/>
  <c r="L37" i="1"/>
  <c r="M37" i="1" s="1"/>
  <c r="L53" i="1"/>
  <c r="M53" i="1" s="1"/>
  <c r="L69" i="1"/>
  <c r="M69" i="1" s="1"/>
  <c r="L85" i="1"/>
  <c r="M85" i="1" s="1"/>
  <c r="L101" i="1"/>
  <c r="M101" i="1" s="1"/>
  <c r="L117" i="1"/>
  <c r="M117" i="1" s="1"/>
  <c r="L133" i="1"/>
  <c r="M133" i="1" s="1"/>
  <c r="L149" i="1"/>
  <c r="M149" i="1" s="1"/>
  <c r="L165" i="1"/>
  <c r="M165" i="1" s="1"/>
  <c r="L181" i="1"/>
  <c r="M181" i="1" s="1"/>
  <c r="L197" i="1"/>
  <c r="M197" i="1" s="1"/>
  <c r="L22" i="1"/>
  <c r="M22" i="1" s="1"/>
  <c r="L102" i="1"/>
  <c r="M102" i="1" s="1"/>
  <c r="L118" i="1"/>
  <c r="M118" i="1" s="1"/>
  <c r="L134" i="1"/>
  <c r="M134" i="1" s="1"/>
  <c r="L150" i="1"/>
  <c r="M150" i="1" s="1"/>
  <c r="L166" i="1"/>
  <c r="M166" i="1" s="1"/>
  <c r="L182" i="1"/>
  <c r="M182" i="1" s="1"/>
  <c r="L198" i="1"/>
  <c r="M198" i="1" s="1"/>
  <c r="L23" i="1"/>
  <c r="M23" i="1" s="1"/>
  <c r="L39" i="1"/>
  <c r="M39" i="1" s="1"/>
  <c r="L55" i="1"/>
  <c r="M55" i="1" s="1"/>
  <c r="L71" i="1"/>
  <c r="M71" i="1" s="1"/>
  <c r="L87" i="1"/>
  <c r="M87" i="1" s="1"/>
  <c r="L167" i="1"/>
  <c r="M167" i="1" s="1"/>
  <c r="L183" i="1"/>
  <c r="M183" i="1" s="1"/>
  <c r="L199" i="1"/>
  <c r="M199" i="1" s="1"/>
  <c r="L24" i="1"/>
  <c r="M24" i="1" s="1"/>
  <c r="L40" i="1"/>
  <c r="M40" i="1" s="1"/>
  <c r="L56" i="1"/>
  <c r="M56" i="1" s="1"/>
  <c r="L72" i="1"/>
  <c r="M72" i="1" s="1"/>
  <c r="L88" i="1"/>
  <c r="M88" i="1" s="1"/>
  <c r="L104" i="1"/>
  <c r="M104" i="1" s="1"/>
  <c r="L120" i="1"/>
  <c r="M120" i="1" s="1"/>
  <c r="L136" i="1"/>
  <c r="M136" i="1" s="1"/>
  <c r="L152" i="1"/>
  <c r="M152" i="1" s="1"/>
  <c r="X7" i="1"/>
  <c r="J69" i="1"/>
  <c r="J195" i="1"/>
  <c r="J71" i="1"/>
  <c r="J29" i="1"/>
  <c r="K29" i="1" s="1"/>
  <c r="J67" i="1"/>
  <c r="K67" i="1" s="1"/>
  <c r="L41" i="1" l="1"/>
  <c r="M41" i="1" s="1"/>
  <c r="L25" i="1"/>
  <c r="M25" i="1" s="1"/>
  <c r="W7" i="1"/>
  <c r="L151" i="1"/>
  <c r="M151" i="1" s="1"/>
  <c r="L86" i="1"/>
  <c r="M86" i="1" s="1"/>
  <c r="L21" i="1"/>
  <c r="M21" i="1" s="1"/>
  <c r="L147" i="1"/>
  <c r="M147" i="1" s="1"/>
  <c r="L82" i="1"/>
  <c r="M82" i="1" s="1"/>
  <c r="L17" i="1"/>
  <c r="M17" i="1" s="1"/>
  <c r="L143" i="1"/>
  <c r="M143" i="1" s="1"/>
  <c r="L78" i="1"/>
  <c r="M78" i="1" s="1"/>
  <c r="L13" i="1"/>
  <c r="L139" i="1"/>
  <c r="M139" i="1" s="1"/>
  <c r="L74" i="1"/>
  <c r="M74" i="1" s="1"/>
  <c r="X5" i="1"/>
  <c r="L135" i="1"/>
  <c r="M135" i="1" s="1"/>
  <c r="L196" i="1"/>
  <c r="M196" i="1" s="1"/>
  <c r="L131" i="1"/>
  <c r="M131" i="1" s="1"/>
  <c r="L66" i="1"/>
  <c r="M66" i="1" s="1"/>
  <c r="L192" i="1"/>
  <c r="M192" i="1" s="1"/>
  <c r="L127" i="1"/>
  <c r="M127" i="1" s="1"/>
  <c r="L62" i="1"/>
  <c r="M62" i="1" s="1"/>
  <c r="L188" i="1"/>
  <c r="M188" i="1" s="1"/>
  <c r="L123" i="1"/>
  <c r="M123" i="1" s="1"/>
  <c r="L58" i="1"/>
  <c r="M58" i="1" s="1"/>
  <c r="Y7" i="1"/>
  <c r="L200" i="1"/>
  <c r="M200" i="1" s="1"/>
  <c r="L184" i="1"/>
  <c r="M184" i="1" s="1"/>
  <c r="L119" i="1"/>
  <c r="M119" i="1" s="1"/>
  <c r="L54" i="1"/>
  <c r="M54" i="1" s="1"/>
  <c r="L180" i="1"/>
  <c r="M180" i="1" s="1"/>
  <c r="L115" i="1"/>
  <c r="M115" i="1" s="1"/>
  <c r="L50" i="1"/>
  <c r="M50" i="1" s="1"/>
  <c r="L176" i="1"/>
  <c r="M176" i="1" s="1"/>
  <c r="L111" i="1"/>
  <c r="M111" i="1" s="1"/>
  <c r="L46" i="1"/>
  <c r="M46" i="1" s="1"/>
  <c r="L172" i="1"/>
  <c r="M172" i="1" s="1"/>
  <c r="L107" i="1"/>
  <c r="M107" i="1" s="1"/>
  <c r="L42" i="1"/>
  <c r="M42" i="1" s="1"/>
  <c r="L10" i="1"/>
  <c r="M10" i="1" s="1"/>
  <c r="L70" i="1"/>
  <c r="M70" i="1" s="1"/>
  <c r="L168" i="1"/>
  <c r="M168" i="1" s="1"/>
  <c r="L103" i="1"/>
  <c r="M103" i="1" s="1"/>
  <c r="L38" i="1"/>
  <c r="M38" i="1" s="1"/>
  <c r="L164" i="1"/>
  <c r="M164" i="1" s="1"/>
  <c r="L99" i="1"/>
  <c r="M99" i="1" s="1"/>
  <c r="L34" i="1"/>
  <c r="M34" i="1" s="1"/>
  <c r="M7" i="1" s="1"/>
  <c r="L160" i="1"/>
  <c r="M160" i="1" s="1"/>
  <c r="L95" i="1"/>
  <c r="M95" i="1" s="1"/>
  <c r="L30" i="1"/>
  <c r="L156" i="1"/>
  <c r="M156" i="1" s="1"/>
  <c r="L91" i="1"/>
  <c r="M91" i="1" s="1"/>
  <c r="J10" i="1"/>
  <c r="K10" i="1" s="1"/>
  <c r="M178" i="1"/>
  <c r="T178" i="1"/>
  <c r="M13" i="1"/>
  <c r="T13" i="1"/>
  <c r="M30" i="1"/>
  <c r="T30" i="1"/>
  <c r="M79" i="1"/>
  <c r="T79" i="1"/>
  <c r="M140" i="1"/>
  <c r="T140" i="1"/>
  <c r="X6" i="1"/>
  <c r="K4" i="1"/>
  <c r="J154" i="1"/>
  <c r="J43" i="1"/>
  <c r="J118" i="1"/>
  <c r="J98" i="1"/>
  <c r="J184" i="1"/>
  <c r="J198" i="1"/>
  <c r="J89" i="1"/>
  <c r="K89" i="1" s="1"/>
  <c r="J50" i="1"/>
  <c r="J136" i="1"/>
  <c r="J141" i="1"/>
  <c r="J85" i="1"/>
  <c r="J95" i="1"/>
  <c r="J135" i="1"/>
  <c r="J36" i="1"/>
  <c r="K36" i="1" s="1"/>
  <c r="J158" i="1"/>
  <c r="J116" i="1"/>
  <c r="J86" i="1"/>
  <c r="J40" i="1"/>
  <c r="J130" i="1"/>
  <c r="J26" i="1"/>
  <c r="K26" i="1" s="1"/>
  <c r="J149" i="1"/>
  <c r="J148" i="1"/>
  <c r="J123" i="1"/>
  <c r="W6" i="1"/>
  <c r="J165" i="1"/>
  <c r="J56" i="1"/>
  <c r="J79" i="1"/>
  <c r="J174" i="1"/>
  <c r="J168" i="1"/>
  <c r="J60" i="1"/>
  <c r="J46" i="1"/>
  <c r="K46" i="1" s="1"/>
  <c r="J99" i="1"/>
  <c r="J183" i="1"/>
  <c r="J97" i="1"/>
  <c r="K97" i="1" s="1"/>
  <c r="J33" i="1"/>
  <c r="J52" i="1"/>
  <c r="K52" i="1" s="1"/>
  <c r="J88" i="1"/>
  <c r="J120" i="1"/>
  <c r="J153" i="1"/>
  <c r="J139" i="1"/>
  <c r="J114" i="1"/>
  <c r="J73" i="1"/>
  <c r="J74" i="1"/>
  <c r="J188" i="1"/>
  <c r="J138" i="1"/>
  <c r="J34" i="1"/>
  <c r="K34" i="1" s="1"/>
  <c r="J151" i="1"/>
  <c r="J190" i="1"/>
  <c r="J193" i="1"/>
  <c r="J125" i="1"/>
  <c r="J82" i="1"/>
  <c r="K82" i="1" s="1"/>
  <c r="J37" i="1"/>
  <c r="K37" i="1" s="1"/>
  <c r="J122" i="1"/>
  <c r="K122" i="1" s="1"/>
  <c r="J111" i="1"/>
  <c r="J115" i="1"/>
  <c r="J21" i="1"/>
  <c r="K21" i="1" s="1"/>
  <c r="J62" i="1"/>
  <c r="K62" i="1" s="1"/>
  <c r="J102" i="1"/>
  <c r="K102" i="1" s="1"/>
  <c r="J80" i="1"/>
  <c r="J23" i="1"/>
  <c r="K23" i="1" s="1"/>
  <c r="J200" i="1"/>
  <c r="J30" i="1"/>
  <c r="K30" i="1" s="1"/>
  <c r="J142" i="1"/>
  <c r="K142" i="1" s="1"/>
  <c r="J96" i="1"/>
  <c r="J131" i="1"/>
  <c r="J92" i="1"/>
  <c r="K92" i="1" s="1"/>
  <c r="J121" i="1"/>
  <c r="J87" i="1"/>
  <c r="K87" i="1" s="1"/>
  <c r="J179" i="1"/>
  <c r="J164" i="1"/>
  <c r="J14" i="1"/>
  <c r="K14" i="1" s="1"/>
  <c r="J140" i="1"/>
  <c r="J55" i="1"/>
  <c r="J104" i="1"/>
  <c r="J72" i="1"/>
  <c r="K72" i="1" s="1"/>
  <c r="J27" i="1"/>
  <c r="K27" i="1" s="1"/>
  <c r="J105" i="1"/>
  <c r="J191" i="1"/>
  <c r="J171" i="1"/>
  <c r="J155" i="1"/>
  <c r="J22" i="1"/>
  <c r="K22" i="1" s="1"/>
  <c r="J146" i="1"/>
  <c r="J58" i="1"/>
  <c r="K58" i="1" s="1"/>
  <c r="J45" i="1"/>
  <c r="J48" i="1"/>
  <c r="J175" i="1"/>
  <c r="J189" i="1"/>
  <c r="J32" i="1"/>
  <c r="K32" i="1" s="1"/>
  <c r="J35" i="1"/>
  <c r="J134" i="1"/>
  <c r="J156" i="1"/>
  <c r="J106" i="1"/>
  <c r="J77" i="1"/>
  <c r="K77" i="1" s="1"/>
  <c r="J78" i="1"/>
  <c r="J167" i="1"/>
  <c r="K167" i="1" s="1"/>
  <c r="Y6" i="1"/>
  <c r="J113" i="1"/>
  <c r="J172" i="1"/>
  <c r="K172" i="1" s="1"/>
  <c r="J81" i="1"/>
  <c r="J94" i="1"/>
  <c r="J19" i="1"/>
  <c r="K19" i="1" s="1"/>
  <c r="J117" i="1"/>
  <c r="K117" i="1" s="1"/>
  <c r="J128" i="1"/>
  <c r="J83" i="1"/>
  <c r="J197" i="1"/>
  <c r="K197" i="1" s="1"/>
  <c r="J147" i="1"/>
  <c r="K147" i="1" s="1"/>
  <c r="J17" i="1"/>
  <c r="K17" i="1" s="1"/>
  <c r="J162" i="1"/>
  <c r="K162" i="1" s="1"/>
  <c r="J108" i="1"/>
  <c r="J75" i="1"/>
  <c r="J16" i="1"/>
  <c r="K16" i="1" s="1"/>
  <c r="J126" i="1"/>
  <c r="J51" i="1"/>
  <c r="J137" i="1"/>
  <c r="K137" i="1" s="1"/>
  <c r="J132" i="1"/>
  <c r="K132" i="1" s="1"/>
  <c r="J39" i="1"/>
  <c r="K39" i="1" s="1"/>
  <c r="J196" i="1"/>
  <c r="J157" i="1"/>
  <c r="K157" i="1" s="1"/>
  <c r="J90" i="1"/>
  <c r="J173" i="1"/>
  <c r="J152" i="1"/>
  <c r="K152" i="1" s="1"/>
  <c r="J186" i="1"/>
  <c r="J44" i="1"/>
  <c r="K44" i="1" s="1"/>
  <c r="J54" i="1"/>
  <c r="J100" i="1"/>
  <c r="J18" i="1"/>
  <c r="K18" i="1" s="1"/>
  <c r="J181" i="1"/>
  <c r="J66" i="1"/>
  <c r="J38" i="1"/>
  <c r="J49" i="1"/>
  <c r="K49" i="1" s="1"/>
  <c r="J53" i="1"/>
  <c r="J194" i="1"/>
  <c r="J25" i="1"/>
  <c r="K25" i="1" s="1"/>
  <c r="J144" i="1"/>
  <c r="J64" i="1"/>
  <c r="J166" i="1"/>
  <c r="J145" i="1"/>
  <c r="J129" i="1"/>
  <c r="J187" i="1"/>
  <c r="K187" i="1" s="1"/>
  <c r="J107" i="1"/>
  <c r="K107" i="1" s="1"/>
  <c r="J42" i="1"/>
  <c r="K42" i="1" s="1"/>
  <c r="J41" i="1"/>
  <c r="J24" i="1"/>
  <c r="K24" i="1" s="1"/>
  <c r="J109" i="1"/>
  <c r="J15" i="1"/>
  <c r="K15" i="1" s="1"/>
  <c r="J61" i="1"/>
  <c r="J185" i="1"/>
  <c r="J192" i="1"/>
  <c r="K192" i="1" s="1"/>
  <c r="J103" i="1"/>
  <c r="J127" i="1"/>
  <c r="K127" i="1" s="1"/>
  <c r="J12" i="1"/>
  <c r="K12" i="1" s="1"/>
  <c r="J84" i="1"/>
  <c r="J182" i="1"/>
  <c r="K182" i="1" s="1"/>
  <c r="J161" i="1"/>
  <c r="J28" i="1"/>
  <c r="K28" i="1" s="1"/>
  <c r="J177" i="1"/>
  <c r="K177" i="1" s="1"/>
  <c r="J70" i="1"/>
  <c r="J11" i="1"/>
  <c r="K11" i="1" s="1"/>
  <c r="J178" i="1"/>
  <c r="J101" i="1"/>
  <c r="J57" i="1"/>
  <c r="K57" i="1" s="1"/>
  <c r="J163" i="1"/>
  <c r="J110" i="1"/>
  <c r="J63" i="1"/>
  <c r="J13" i="1"/>
  <c r="K13" i="1" s="1"/>
  <c r="J112" i="1"/>
  <c r="K112" i="1" s="1"/>
  <c r="J180" i="1"/>
  <c r="J119" i="1"/>
  <c r="J76" i="1"/>
  <c r="J20" i="1"/>
  <c r="K20" i="1" s="1"/>
  <c r="J150" i="1"/>
  <c r="J169" i="1"/>
  <c r="J124" i="1"/>
  <c r="J68" i="1"/>
  <c r="J133" i="1"/>
  <c r="J65" i="1"/>
  <c r="J91" i="1"/>
  <c r="J199" i="1"/>
  <c r="J31" i="1"/>
  <c r="K31" i="1" s="1"/>
  <c r="J143" i="1"/>
  <c r="J159" i="1"/>
  <c r="J170" i="1"/>
  <c r="J160" i="1"/>
  <c r="J176" i="1"/>
  <c r="J59" i="1"/>
  <c r="J93" i="1"/>
  <c r="J47" i="1"/>
  <c r="K47" i="1" s="1"/>
  <c r="K33" i="1"/>
  <c r="K35" i="1" l="1"/>
  <c r="K40" i="1" s="1"/>
  <c r="K45" i="1" s="1"/>
  <c r="K50" i="1" s="1"/>
  <c r="K55" i="1" s="1"/>
  <c r="K60" i="1" s="1"/>
  <c r="K51" i="1"/>
  <c r="K56" i="1" s="1"/>
  <c r="K61" i="1" s="1"/>
  <c r="K66" i="1" s="1"/>
  <c r="K71" i="1" s="1"/>
  <c r="K94" i="1"/>
  <c r="K99" i="1" s="1"/>
  <c r="K104" i="1" s="1"/>
  <c r="K109" i="1" s="1"/>
  <c r="K114" i="1" s="1"/>
  <c r="K38" i="1"/>
  <c r="K43" i="1" s="1"/>
  <c r="K48" i="1" s="1"/>
  <c r="K76" i="1"/>
  <c r="K81" i="1" s="1"/>
  <c r="K86" i="1" s="1"/>
  <c r="K91" i="1" s="1"/>
  <c r="K96" i="1" s="1"/>
  <c r="K101" i="1" s="1"/>
  <c r="K106" i="1" s="1"/>
  <c r="K111" i="1" s="1"/>
  <c r="K116" i="1" s="1"/>
  <c r="K121" i="1" s="1"/>
  <c r="K126" i="1" s="1"/>
  <c r="K131" i="1" s="1"/>
  <c r="K136" i="1" s="1"/>
  <c r="K141" i="1" s="1"/>
  <c r="K146" i="1" s="1"/>
  <c r="K151" i="1" s="1"/>
  <c r="K156" i="1" s="1"/>
  <c r="K161" i="1" s="1"/>
  <c r="K166" i="1" s="1"/>
  <c r="K171" i="1" s="1"/>
  <c r="K176" i="1" s="1"/>
  <c r="K181" i="1" s="1"/>
  <c r="K186" i="1" s="1"/>
  <c r="K191" i="1" s="1"/>
  <c r="K196" i="1" s="1"/>
  <c r="K65" i="1"/>
  <c r="K63" i="1"/>
  <c r="K119" i="1"/>
  <c r="K124" i="1" s="1"/>
  <c r="K129" i="1" s="1"/>
  <c r="K134" i="1" s="1"/>
  <c r="K139" i="1" s="1"/>
  <c r="K144" i="1" s="1"/>
  <c r="K149" i="1" s="1"/>
  <c r="K154" i="1" s="1"/>
  <c r="K159" i="1" s="1"/>
  <c r="K164" i="1" s="1"/>
  <c r="K169" i="1" s="1"/>
  <c r="K174" i="1" s="1"/>
  <c r="K179" i="1" s="1"/>
  <c r="K184" i="1" s="1"/>
  <c r="K189" i="1" s="1"/>
  <c r="K194" i="1" s="1"/>
  <c r="K199" i="1" s="1"/>
  <c r="K70" i="1"/>
  <c r="K75" i="1" s="1"/>
  <c r="K80" i="1" s="1"/>
  <c r="K85" i="1" s="1"/>
  <c r="K90" i="1" s="1"/>
  <c r="K95" i="1" s="1"/>
  <c r="K100" i="1" s="1"/>
  <c r="K105" i="1" s="1"/>
  <c r="K110" i="1" s="1"/>
  <c r="K115" i="1" s="1"/>
  <c r="K120" i="1" s="1"/>
  <c r="K125" i="1" s="1"/>
  <c r="K130" i="1" s="1"/>
  <c r="K135" i="1" s="1"/>
  <c r="K140" i="1" s="1"/>
  <c r="K145" i="1" s="1"/>
  <c r="K150" i="1" s="1"/>
  <c r="K155" i="1" s="1"/>
  <c r="K160" i="1" s="1"/>
  <c r="K165" i="1" s="1"/>
  <c r="K170" i="1" s="1"/>
  <c r="K175" i="1" s="1"/>
  <c r="K180" i="1" s="1"/>
  <c r="K185" i="1" s="1"/>
  <c r="K190" i="1" s="1"/>
  <c r="K195" i="1" s="1"/>
  <c r="K200" i="1" s="1"/>
  <c r="K68" i="1"/>
  <c r="K73" i="1" s="1"/>
  <c r="K78" i="1" s="1"/>
  <c r="K83" i="1" s="1"/>
  <c r="K88" i="1" s="1"/>
  <c r="K53" i="1"/>
  <c r="K54" i="1"/>
  <c r="K41" i="1"/>
  <c r="K93" i="1"/>
  <c r="K98" i="1" s="1"/>
  <c r="K103" i="1" s="1"/>
  <c r="K108" i="1" s="1"/>
  <c r="K113" i="1" s="1"/>
  <c r="K118" i="1" s="1"/>
  <c r="K123" i="1" s="1"/>
  <c r="K128" i="1" s="1"/>
  <c r="K133" i="1" s="1"/>
  <c r="K138" i="1" s="1"/>
  <c r="K143" i="1" s="1"/>
  <c r="K148" i="1" s="1"/>
  <c r="K153" i="1" s="1"/>
  <c r="K158" i="1" s="1"/>
  <c r="K163" i="1" s="1"/>
  <c r="K168" i="1" s="1"/>
  <c r="K173" i="1" s="1"/>
  <c r="K178" i="1" s="1"/>
  <c r="K183" i="1" s="1"/>
  <c r="K188" i="1" s="1"/>
  <c r="K193" i="1" s="1"/>
  <c r="K198" i="1" s="1"/>
  <c r="K59" i="1"/>
  <c r="K64" i="1" s="1"/>
  <c r="K69" i="1" s="1"/>
  <c r="K74" i="1" s="1"/>
  <c r="K79" i="1" s="1"/>
  <c r="K84" i="1" s="1"/>
  <c r="K7" i="1" l="1"/>
  <c r="N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GARCIA</author>
  </authors>
  <commentList>
    <comment ref="B8" authorId="0" shapeId="0" xr:uid="{62A4A381-2F64-4ED5-8D6B-DFA7C71CA855}">
      <text>
        <r>
          <rPr>
            <b/>
            <sz val="9"/>
            <color indexed="81"/>
            <rFont val="Tahoma"/>
            <family val="2"/>
          </rPr>
          <t>WILLIAM GARCIA:</t>
        </r>
        <r>
          <rPr>
            <sz val="9"/>
            <color indexed="81"/>
            <rFont val="Tahoma"/>
            <family val="2"/>
          </rPr>
          <t xml:space="preserve">
htn_profiles_master_data_file provided by WHO</t>
        </r>
      </text>
    </comment>
    <comment ref="N8" authorId="0" shapeId="0" xr:uid="{139C139B-0F71-41A5-B74C-53C3A97B6604}">
      <text>
        <r>
          <rPr>
            <b/>
            <sz val="9"/>
            <color indexed="81"/>
            <rFont val="Tahoma"/>
            <family val="2"/>
          </rPr>
          <t>WILLIAM GARCIA:</t>
        </r>
        <r>
          <rPr>
            <sz val="9"/>
            <color indexed="81"/>
            <rFont val="Tahoma"/>
            <family val="2"/>
          </rPr>
          <t xml:space="preserve">
This column correspons to all ages-both sex all diabetes prevalence rate in GBD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COWAN, Melanie</author>
  </authors>
  <commentList>
    <comment ref="F1" authorId="0" shapeId="0" xr:uid="{CC610A47-C8B0-4E63-ADD2-2B84EC54D4CC}">
      <text>
        <r>
          <rPr>
            <b/>
            <sz val="9"/>
            <color indexed="81"/>
            <rFont val="Tahoma"/>
            <family val="2"/>
          </rPr>
          <t>These 3 in blue go in the bar at the top "Prevalnce of hypertension …"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4CBA16A-4AB7-4A46-83DE-7AEDD5989F7E}">
      <text>
        <r>
          <rPr>
            <sz val="9"/>
            <color indexed="81"/>
            <rFont val="Tahoma"/>
            <family val="2"/>
          </rPr>
          <t>This is the first number in the sentence above the upper right graph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3FDF051A-FB98-4916-A2E8-3144D9B9DFAC}">
      <text>
        <r>
          <rPr>
            <b/>
            <sz val="9"/>
            <color indexed="81"/>
            <rFont val="Tahoma"/>
            <family val="2"/>
          </rPr>
          <t>This is the second number in the sentence above the upper right graph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A215A536-0810-47F9-907E-4437B97D01CF}">
      <text>
        <r>
          <rPr>
            <b/>
            <sz val="9"/>
            <color indexed="81"/>
            <rFont val="Tahoma"/>
            <family val="2"/>
          </rPr>
          <t>For the following columns, I have used the same abbreviations throughout - there are figures for Both Sexes (B), Males (M) and Females (F), for diagnosed (DIAG), treated (TRTD) and controlled (CTRL). The first 9 columns have the percentages, these are then followed by the number of people written out.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<sst xmlns="http://schemas.openxmlformats.org/spreadsheetml/2006/main" count="4063" uniqueCount="927">
  <si>
    <t>location</t>
  </si>
  <si>
    <t>htncov2</t>
  </si>
  <si>
    <t>raisedBP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</si>
  <si>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</si>
  <si>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</si>
  <si>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</si>
  <si>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</si>
  <si>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</si>
  <si>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</si>
  <si>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</si>
  <si>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</si>
  <si>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</si>
  <si>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</si>
  <si>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</si>
  <si>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</si>
  <si>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</si>
  <si>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</si>
  <si>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</si>
  <si>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</si>
  <si>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</si>
  <si>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</si>
  <si>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</si>
  <si>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</si>
  <si>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</si>
  <si>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</si>
  <si>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</si>
  <si>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</si>
  <si>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</si>
  <si>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</si>
  <si>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</si>
  <si>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</si>
  <si>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</si>
  <si>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</si>
  <si>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</si>
  <si>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</si>
  <si>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</si>
  <si>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</si>
  <si>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</si>
  <si>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</si>
  <si>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</si>
  <si>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</si>
  <si>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</si>
  <si>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</si>
  <si>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</si>
  <si>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</si>
  <si>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</si>
  <si>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</si>
  <si>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</si>
  <si>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</si>
  <si>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</si>
  <si>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</si>
  <si>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</si>
  <si>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</si>
  <si>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</si>
  <si>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</si>
  <si>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</si>
  <si>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</si>
  <si>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</si>
  <si>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</si>
  <si>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</si>
  <si>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</si>
  <si>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</si>
  <si>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</si>
  <si>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</si>
  <si>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</si>
  <si>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</si>
  <si>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</si>
  <si>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</si>
  <si>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</si>
  <si>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</si>
  <si>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</si>
  <si>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</si>
  <si>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</si>
  <si>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</si>
  <si>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</si>
  <si>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</si>
  <si>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</si>
  <si>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</si>
  <si>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</si>
  <si>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</si>
  <si>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</si>
  <si>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</si>
  <si>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</si>
  <si>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</si>
  <si>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</si>
  <si>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</si>
  <si>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</si>
  <si>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</si>
  <si>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</si>
  <si>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</si>
  <si>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</si>
  <si>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</si>
  <si>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</si>
  <si>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</si>
  <si>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</si>
  <si>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</si>
  <si>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</si>
  <si>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</si>
  <si>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</si>
  <si>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</si>
  <si>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</si>
  <si>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</si>
  <si>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</si>
  <si>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</si>
  <si>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</si>
  <si>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</si>
  <si>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</si>
  <si>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</si>
  <si>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</si>
  <si>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</si>
  <si>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</si>
  <si>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</si>
  <si>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</si>
  <si>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</si>
  <si>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</si>
  <si>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</si>
  <si>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</si>
  <si>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</si>
  <si>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</si>
  <si>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</si>
  <si>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</si>
  <si>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</si>
  <si>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</si>
  <si>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</si>
  <si>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</si>
  <si>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</si>
  <si>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</si>
  <si>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</si>
  <si>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</si>
  <si>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</si>
  <si>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</si>
  <si>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</si>
  <si>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</si>
  <si>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</si>
  <si>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</si>
  <si>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</si>
  <si>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</si>
  <si>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</si>
  <si>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</si>
  <si>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</si>
  <si>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</si>
  <si>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</si>
  <si>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</si>
  <si>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</si>
  <si>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</si>
  <si>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</si>
  <si>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</si>
  <si>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</si>
  <si>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</si>
  <si>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</si>
  <si>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</si>
  <si>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</si>
  <si>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</si>
  <si>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</si>
  <si>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</si>
  <si>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</si>
  <si>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</si>
  <si>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</si>
  <si>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</si>
  <si>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</si>
  <si>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</si>
  <si>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</si>
  <si>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</si>
  <si>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</si>
  <si>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</si>
  <si>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</si>
  <si>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</si>
  <si>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</si>
  <si>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</si>
  <si>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</si>
  <si>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</si>
  <si>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 (Province of China)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</si>
  <si>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</si>
  <si>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</si>
  <si>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</si>
  <si>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</si>
  <si>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</si>
  <si>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</si>
  <si>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</si>
  <si>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</si>
  <si>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</si>
  <si>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</si>
  <si>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</si>
  <si>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</si>
  <si>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</si>
  <si>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</si>
  <si>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</si>
  <si>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</si>
  <si>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</si>
  <si>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</si>
  <si>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</si>
  <si>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</si>
  <si>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</si>
  <si>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</si>
  <si>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Totals</t>
  </si>
  <si>
    <t>htnprev</t>
  </si>
  <si>
    <t>controled_2025</t>
  </si>
  <si>
    <t>prevalence_2025</t>
  </si>
  <si>
    <t>controlled_2030_equal</t>
  </si>
  <si>
    <t>%change</t>
  </si>
  <si>
    <t>abs pp</t>
  </si>
  <si>
    <t>growth_year</t>
  </si>
  <si>
    <t>Ask the client for inputs?</t>
  </si>
  <si>
    <t>30-79 NCDRisk??</t>
  </si>
  <si>
    <t>controlled_2030_aspirational</t>
  </si>
  <si>
    <t>controlled_2030_ambitious</t>
  </si>
  <si>
    <t>htncov2_progress</t>
  </si>
  <si>
    <t>htncov2_ambitious</t>
  </si>
  <si>
    <t>htncov2_aspirational</t>
  </si>
  <si>
    <t>htn_ctrl_diabetes</t>
  </si>
  <si>
    <t>diabetes</t>
  </si>
  <si>
    <t>pop20_2025</t>
  </si>
  <si>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</si>
  <si>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</si>
  <si>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</si>
  <si>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</si>
  <si>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</si>
  <si>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</si>
  <si>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</si>
  <si>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</si>
  <si>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</si>
  <si>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</si>
  <si>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</si>
  <si>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</si>
  <si>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</si>
  <si>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</si>
  <si>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</si>
  <si>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</si>
  <si>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</si>
  <si>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</si>
  <si>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All Population</t>
  </si>
  <si>
    <t>Prevalence</t>
  </si>
  <si>
    <t>Both</t>
  </si>
  <si>
    <t>All ages</t>
  </si>
  <si>
    <t>Diabetes mellitus</t>
  </si>
  <si>
    <t>Rate</t>
  </si>
  <si>
    <t>Nauru</t>
  </si>
  <si>
    <t>Cook Islands</t>
  </si>
  <si>
    <t>Saint Kitts and Nevis</t>
  </si>
  <si>
    <t>Tokelau</t>
  </si>
  <si>
    <t>Guam</t>
  </si>
  <si>
    <t>United Republic of Tanzania</t>
  </si>
  <si>
    <t>Global</t>
  </si>
  <si>
    <t>United States Virgin Islands</t>
  </si>
  <si>
    <t>Northern Mariana Islands</t>
  </si>
  <si>
    <t>United States of America</t>
  </si>
  <si>
    <t>Tonga</t>
  </si>
  <si>
    <t>Taiwan</t>
  </si>
  <si>
    <t>Bolivia (Plurinational State of)</t>
  </si>
  <si>
    <t>TÃ¼rkiye</t>
  </si>
  <si>
    <t>CÃ´te d'Ivoire</t>
  </si>
  <si>
    <t>San Marino</t>
  </si>
  <si>
    <t>Tuvalu</t>
  </si>
  <si>
    <t>Monaco</t>
  </si>
  <si>
    <t>Niue</t>
  </si>
  <si>
    <t>Palau</t>
  </si>
  <si>
    <t>diabetes_NCDRisk</t>
  </si>
  <si>
    <t>loc_corrected</t>
  </si>
  <si>
    <t>iso</t>
  </si>
  <si>
    <t>region</t>
  </si>
  <si>
    <t>country</t>
  </si>
  <si>
    <t>pop_rounded_2024</t>
  </si>
  <si>
    <t>HTN_B_2024</t>
  </si>
  <si>
    <t>HTN_M_2024</t>
  </si>
  <si>
    <t>HTN_F_2024</t>
  </si>
  <si>
    <t>NUM_HTN_B_rounded</t>
  </si>
  <si>
    <t>NUM_NOTCTRL_B_rounded</t>
  </si>
  <si>
    <t>PERC_DIAG_B</t>
  </si>
  <si>
    <t>PERC_TRTD_B</t>
  </si>
  <si>
    <t>PERC_CTRL_B</t>
  </si>
  <si>
    <t>AFG</t>
  </si>
  <si>
    <t>EMR</t>
  </si>
  <si>
    <t xml:space="preserve"> 42 650 000</t>
  </si>
  <si>
    <t>4.8 million</t>
  </si>
  <si>
    <t>4 million</t>
  </si>
  <si>
    <t>AGO</t>
  </si>
  <si>
    <t>AFR</t>
  </si>
  <si>
    <t xml:space="preserve"> 37 890 000</t>
  </si>
  <si>
    <t>3.5 million</t>
  </si>
  <si>
    <t>3 million</t>
  </si>
  <si>
    <t>ALB</t>
  </si>
  <si>
    <t>EUR</t>
  </si>
  <si>
    <t xml:space="preserve"> 2 792 000</t>
  </si>
  <si>
    <t>797 000</t>
  </si>
  <si>
    <t>711 000</t>
  </si>
  <si>
    <t>AND</t>
  </si>
  <si>
    <t xml:space="preserve">  81 940</t>
  </si>
  <si>
    <t>19 000</t>
  </si>
  <si>
    <t>12 000</t>
  </si>
  <si>
    <t>ARE</t>
  </si>
  <si>
    <t xml:space="preserve"> 11 030 000</t>
  </si>
  <si>
    <t>2.1 million</t>
  </si>
  <si>
    <t>1.8 million</t>
  </si>
  <si>
    <t>ARG</t>
  </si>
  <si>
    <t>AMR</t>
  </si>
  <si>
    <t xml:space="preserve"> 45 700 000</t>
  </si>
  <si>
    <t>12.1 million</t>
  </si>
  <si>
    <t>10.1 million</t>
  </si>
  <si>
    <t>ARM</t>
  </si>
  <si>
    <t xml:space="preserve"> 2 974 000</t>
  </si>
  <si>
    <t>894 000</t>
  </si>
  <si>
    <t>803 000</t>
  </si>
  <si>
    <t>ATG</t>
  </si>
  <si>
    <t xml:space="preserve">  93 770</t>
  </si>
  <si>
    <t>26 000</t>
  </si>
  <si>
    <t>AUS</t>
  </si>
  <si>
    <t>WPR</t>
  </si>
  <si>
    <t xml:space="preserve"> 26 710 000</t>
  </si>
  <si>
    <t>5.2 million</t>
  </si>
  <si>
    <t>3.8 million</t>
  </si>
  <si>
    <t>AUT</t>
  </si>
  <si>
    <t xml:space="preserve"> 9 121 000</t>
  </si>
  <si>
    <t>2.2 million</t>
  </si>
  <si>
    <t>1.5 million</t>
  </si>
  <si>
    <t>AZE</t>
  </si>
  <si>
    <t xml:space="preserve"> 10 340 000</t>
  </si>
  <si>
    <t>2.5 million</t>
  </si>
  <si>
    <t>BDI</t>
  </si>
  <si>
    <t xml:space="preserve"> 14 050 000</t>
  </si>
  <si>
    <t>1.1 million</t>
  </si>
  <si>
    <t>923 000</t>
  </si>
  <si>
    <t>BEL</t>
  </si>
  <si>
    <t xml:space="preserve"> 11 740 000</t>
  </si>
  <si>
    <t>1.4 million</t>
  </si>
  <si>
    <t>BEN</t>
  </si>
  <si>
    <t xml:space="preserve"> 14 460 000</t>
  </si>
  <si>
    <t>957 000</t>
  </si>
  <si>
    <t>BFA</t>
  </si>
  <si>
    <t xml:space="preserve"> 23 550 000</t>
  </si>
  <si>
    <t>1.7 million</t>
  </si>
  <si>
    <t>BGD</t>
  </si>
  <si>
    <t>SEAR</t>
  </si>
  <si>
    <t xml:space="preserve"> 173 600 000</t>
  </si>
  <si>
    <t>22.8 million</t>
  </si>
  <si>
    <t>19.2 million</t>
  </si>
  <si>
    <t>BGR</t>
  </si>
  <si>
    <t xml:space="preserve"> 6 758 000</t>
  </si>
  <si>
    <t>2.4 million</t>
  </si>
  <si>
    <t>BHR</t>
  </si>
  <si>
    <t xml:space="preserve"> 1 607 000</t>
  </si>
  <si>
    <t>347 000</t>
  </si>
  <si>
    <t>283 000</t>
  </si>
  <si>
    <t>BHS</t>
  </si>
  <si>
    <t xml:space="preserve">  401 300</t>
  </si>
  <si>
    <t>103 000</t>
  </si>
  <si>
    <t>78 000</t>
  </si>
  <si>
    <t>BIH</t>
  </si>
  <si>
    <t xml:space="preserve"> 3 164 000</t>
  </si>
  <si>
    <t>883 000</t>
  </si>
  <si>
    <t>BLR</t>
  </si>
  <si>
    <t xml:space="preserve"> 9 057 000</t>
  </si>
  <si>
    <t>3.2 million</t>
  </si>
  <si>
    <t>2.8 million</t>
  </si>
  <si>
    <t>BLZ</t>
  </si>
  <si>
    <t xml:space="preserve">  417 100</t>
  </si>
  <si>
    <t>68 000</t>
  </si>
  <si>
    <t>53 000</t>
  </si>
  <si>
    <t>BOL</t>
  </si>
  <si>
    <t xml:space="preserve"> 12 410 000</t>
  </si>
  <si>
    <t>BRA</t>
  </si>
  <si>
    <t xml:space="preserve"> 212 000 000</t>
  </si>
  <si>
    <t>55.7 million</t>
  </si>
  <si>
    <t>34.5 million</t>
  </si>
  <si>
    <t>BRB</t>
  </si>
  <si>
    <t xml:space="preserve">  282 500</t>
  </si>
  <si>
    <t>86 000</t>
  </si>
  <si>
    <t>BRN</t>
  </si>
  <si>
    <t xml:space="preserve">  462 700</t>
  </si>
  <si>
    <t>119 000</t>
  </si>
  <si>
    <t>81 000</t>
  </si>
  <si>
    <t>BTN</t>
  </si>
  <si>
    <t xml:space="preserve">  791 500</t>
  </si>
  <si>
    <t>166 000</t>
  </si>
  <si>
    <t>151 000</t>
  </si>
  <si>
    <t>BWA</t>
  </si>
  <si>
    <t xml:space="preserve"> 2 521 000</t>
  </si>
  <si>
    <t>425 000</t>
  </si>
  <si>
    <t>338 000</t>
  </si>
  <si>
    <t>CAF</t>
  </si>
  <si>
    <t xml:space="preserve"> 5 331 000</t>
  </si>
  <si>
    <t>511 000</t>
  </si>
  <si>
    <t>475 000</t>
  </si>
  <si>
    <t>CAN</t>
  </si>
  <si>
    <t xml:space="preserve"> 39 740 000</t>
  </si>
  <si>
    <t>6.5 million</t>
  </si>
  <si>
    <t>2.3 million</t>
  </si>
  <si>
    <t>CHE</t>
  </si>
  <si>
    <t xml:space="preserve"> 8 922 000</t>
  </si>
  <si>
    <t>855 000</t>
  </si>
  <si>
    <t>CHL</t>
  </si>
  <si>
    <t xml:space="preserve"> 19 760 000</t>
  </si>
  <si>
    <t>4.2 million</t>
  </si>
  <si>
    <t>2.6 million</t>
  </si>
  <si>
    <t>CHN</t>
  </si>
  <si>
    <t>1 419 000 000</t>
  </si>
  <si>
    <t>271.5 million</t>
  </si>
  <si>
    <t>221.4 million</t>
  </si>
  <si>
    <t>CIV</t>
  </si>
  <si>
    <t>Côte d’Ivoire</t>
  </si>
  <si>
    <t xml:space="preserve"> 31 930 000</t>
  </si>
  <si>
    <t>2.9 million</t>
  </si>
  <si>
    <t>CMR</t>
  </si>
  <si>
    <t xml:space="preserve"> 29 120 000</t>
  </si>
  <si>
    <t>2.7 million</t>
  </si>
  <si>
    <t>COD</t>
  </si>
  <si>
    <t xml:space="preserve"> 109 300 000</t>
  </si>
  <si>
    <t>8.8 million</t>
  </si>
  <si>
    <t>7.7 million</t>
  </si>
  <si>
    <t>COG</t>
  </si>
  <si>
    <t xml:space="preserve"> 6 333 000</t>
  </si>
  <si>
    <t>717 000</t>
  </si>
  <si>
    <t>636 000</t>
  </si>
  <si>
    <t>COK</t>
  </si>
  <si>
    <t xml:space="preserve">  13 730</t>
  </si>
  <si>
    <t>COL</t>
  </si>
  <si>
    <t xml:space="preserve"> 52 890 000</t>
  </si>
  <si>
    <t>5.5 million</t>
  </si>
  <si>
    <t>COM</t>
  </si>
  <si>
    <t xml:space="preserve">  866 600</t>
  </si>
  <si>
    <t>92 000</t>
  </si>
  <si>
    <t>80 000</t>
  </si>
  <si>
    <t>CPV</t>
  </si>
  <si>
    <t xml:space="preserve">  524 900</t>
  </si>
  <si>
    <t>110 000</t>
  </si>
  <si>
    <t>94 000</t>
  </si>
  <si>
    <t>CRI</t>
  </si>
  <si>
    <t xml:space="preserve"> 5 130 000</t>
  </si>
  <si>
    <t>1.2 million</t>
  </si>
  <si>
    <t>512 000</t>
  </si>
  <si>
    <t>CUB</t>
  </si>
  <si>
    <t xml:space="preserve"> 10 980 000</t>
  </si>
  <si>
    <t>3.3 million</t>
  </si>
  <si>
    <t>CYP</t>
  </si>
  <si>
    <t xml:space="preserve"> 1 358 000</t>
  </si>
  <si>
    <t>248 000</t>
  </si>
  <si>
    <t>155 000</t>
  </si>
  <si>
    <t>CZE</t>
  </si>
  <si>
    <t xml:space="preserve"> 10 740 000</t>
  </si>
  <si>
    <t>3.4 million</t>
  </si>
  <si>
    <t>2 million</t>
  </si>
  <si>
    <t>DEU</t>
  </si>
  <si>
    <t xml:space="preserve"> 84 550 000</t>
  </si>
  <si>
    <t>19 million</t>
  </si>
  <si>
    <t>9.3 million</t>
  </si>
  <si>
    <t>DJI</t>
  </si>
  <si>
    <t xml:space="preserve"> 1 169 000</t>
  </si>
  <si>
    <t>145 000</t>
  </si>
  <si>
    <t>126 000</t>
  </si>
  <si>
    <t>DMA</t>
  </si>
  <si>
    <t xml:space="preserve">  66 210</t>
  </si>
  <si>
    <t>20 000</t>
  </si>
  <si>
    <t>16 000</t>
  </si>
  <si>
    <t>DNK</t>
  </si>
  <si>
    <t xml:space="preserve"> 5 977 000</t>
  </si>
  <si>
    <t>DOM</t>
  </si>
  <si>
    <t xml:space="preserve"> 11 430 000</t>
  </si>
  <si>
    <t>DZA</t>
  </si>
  <si>
    <t xml:space="preserve"> 46 810 000</t>
  </si>
  <si>
    <t>6.4 million</t>
  </si>
  <si>
    <t>ECU</t>
  </si>
  <si>
    <t xml:space="preserve"> 18 140 000</t>
  </si>
  <si>
    <t>EGY</t>
  </si>
  <si>
    <t xml:space="preserve"> 116 500 000</t>
  </si>
  <si>
    <t>16.8 million</t>
  </si>
  <si>
    <t>13.4 million</t>
  </si>
  <si>
    <t>ERI</t>
  </si>
  <si>
    <t xml:space="preserve"> 3 536 000</t>
  </si>
  <si>
    <t>256 000</t>
  </si>
  <si>
    <t>217 000</t>
  </si>
  <si>
    <t>ESP</t>
  </si>
  <si>
    <t xml:space="preserve"> 47 910 000</t>
  </si>
  <si>
    <t>9.8 million</t>
  </si>
  <si>
    <t>6.2 million</t>
  </si>
  <si>
    <t>EST</t>
  </si>
  <si>
    <t xml:space="preserve"> 1 361 000</t>
  </si>
  <si>
    <t>363 000</t>
  </si>
  <si>
    <t>298 000</t>
  </si>
  <si>
    <t>ETH</t>
  </si>
  <si>
    <t xml:space="preserve"> 132 100 000</t>
  </si>
  <si>
    <t>9.1 million</t>
  </si>
  <si>
    <t>FIN</t>
  </si>
  <si>
    <t xml:space="preserve"> 5 617 000</t>
  </si>
  <si>
    <t>999 000</t>
  </si>
  <si>
    <t>FJI</t>
  </si>
  <si>
    <t xml:space="preserve">  928 800</t>
  </si>
  <si>
    <t>176 000</t>
  </si>
  <si>
    <t>152 000</t>
  </si>
  <si>
    <t>FRA</t>
  </si>
  <si>
    <t xml:space="preserve"> 66 550 000</t>
  </si>
  <si>
    <t>14.5 million</t>
  </si>
  <si>
    <t>FSM</t>
  </si>
  <si>
    <t xml:space="preserve">  113 200</t>
  </si>
  <si>
    <t>14 000</t>
  </si>
  <si>
    <t>GAB</t>
  </si>
  <si>
    <t xml:space="preserve"> 2 539 000</t>
  </si>
  <si>
    <t>311 000</t>
  </si>
  <si>
    <t>266 000</t>
  </si>
  <si>
    <t>GBR</t>
  </si>
  <si>
    <t>United Kingdom of Great Britain and Northern Ireland</t>
  </si>
  <si>
    <t xml:space="preserve"> 69 140 000</t>
  </si>
  <si>
    <t>12.6 million</t>
  </si>
  <si>
    <t>8.1 million</t>
  </si>
  <si>
    <t>GEO</t>
  </si>
  <si>
    <t xml:space="preserve"> 3 808 000</t>
  </si>
  <si>
    <t>938 000</t>
  </si>
  <si>
    <t>GHA</t>
  </si>
  <si>
    <t xml:space="preserve"> 34 430 000</t>
  </si>
  <si>
    <t>3.6 million</t>
  </si>
  <si>
    <t>GIN</t>
  </si>
  <si>
    <t xml:space="preserve"> 14 750 000</t>
  </si>
  <si>
    <t>GMB</t>
  </si>
  <si>
    <t xml:space="preserve"> 2 760 000</t>
  </si>
  <si>
    <t>250 000</t>
  </si>
  <si>
    <t>223 000</t>
  </si>
  <si>
    <t>GNB</t>
  </si>
  <si>
    <t xml:space="preserve"> 2 201 000</t>
  </si>
  <si>
    <t>219 000</t>
  </si>
  <si>
    <t>191 000</t>
  </si>
  <si>
    <t>GNQ</t>
  </si>
  <si>
    <t xml:space="preserve"> 1 893 000</t>
  </si>
  <si>
    <t>162 000</t>
  </si>
  <si>
    <t>142 000</t>
  </si>
  <si>
    <t>GRC</t>
  </si>
  <si>
    <t xml:space="preserve"> 10 050 000</t>
  </si>
  <si>
    <t>1.6 million</t>
  </si>
  <si>
    <t>GRD</t>
  </si>
  <si>
    <t xml:space="preserve">  117 200</t>
  </si>
  <si>
    <t>29 000</t>
  </si>
  <si>
    <t>23 000</t>
  </si>
  <si>
    <t>GTM</t>
  </si>
  <si>
    <t xml:space="preserve"> 18 410 000</t>
  </si>
  <si>
    <t>GUY</t>
  </si>
  <si>
    <t xml:space="preserve">  831 100</t>
  </si>
  <si>
    <t>117 000</t>
  </si>
  <si>
    <t>HND</t>
  </si>
  <si>
    <t xml:space="preserve"> 10 830 000</t>
  </si>
  <si>
    <t>1.3 million</t>
  </si>
  <si>
    <t>874 000</t>
  </si>
  <si>
    <t>HRV</t>
  </si>
  <si>
    <t xml:space="preserve"> 3 875 000</t>
  </si>
  <si>
    <t>HTI</t>
  </si>
  <si>
    <t xml:space="preserve"> 11 770 000</t>
  </si>
  <si>
    <t>HUN</t>
  </si>
  <si>
    <t xml:space="preserve"> 9 676 000</t>
  </si>
  <si>
    <t>IDN</t>
  </si>
  <si>
    <t xml:space="preserve"> 283 500 000</t>
  </si>
  <si>
    <t>61.5 million</t>
  </si>
  <si>
    <t>58.5 million</t>
  </si>
  <si>
    <t>IND</t>
  </si>
  <si>
    <t>1 451 000 000</t>
  </si>
  <si>
    <t>210.2 million</t>
  </si>
  <si>
    <t>173.9 million</t>
  </si>
  <si>
    <t>IRL</t>
  </si>
  <si>
    <t xml:space="preserve"> 5 255 000</t>
  </si>
  <si>
    <t>756 000</t>
  </si>
  <si>
    <t>IRN</t>
  </si>
  <si>
    <t xml:space="preserve"> 91 570 000</t>
  </si>
  <si>
    <t>10.6 million</t>
  </si>
  <si>
    <t>IRQ</t>
  </si>
  <si>
    <t xml:space="preserve"> 46 040 000</t>
  </si>
  <si>
    <t>6.9 million</t>
  </si>
  <si>
    <t>6 million</t>
  </si>
  <si>
    <t>ISL</t>
  </si>
  <si>
    <t xml:space="preserve">  393 400</t>
  </si>
  <si>
    <t>64 000</t>
  </si>
  <si>
    <t>ISR</t>
  </si>
  <si>
    <t xml:space="preserve"> 9 387 000</t>
  </si>
  <si>
    <t>975 000</t>
  </si>
  <si>
    <t>ITA</t>
  </si>
  <si>
    <t xml:space="preserve"> 59 340 000</t>
  </si>
  <si>
    <t>16.4 million</t>
  </si>
  <si>
    <t>10.9 million</t>
  </si>
  <si>
    <t>JAM</t>
  </si>
  <si>
    <t xml:space="preserve"> 2 839 000</t>
  </si>
  <si>
    <t>600 000</t>
  </si>
  <si>
    <t>JOR</t>
  </si>
  <si>
    <t xml:space="preserve"> 11 550 000</t>
  </si>
  <si>
    <t>958 000</t>
  </si>
  <si>
    <t>JPN</t>
  </si>
  <si>
    <t xml:space="preserve"> 123 800 000</t>
  </si>
  <si>
    <t>32.4 million</t>
  </si>
  <si>
    <t>20.8 million</t>
  </si>
  <si>
    <t>KAZ</t>
  </si>
  <si>
    <t xml:space="preserve"> 20 590 000</t>
  </si>
  <si>
    <t>4.3 million</t>
  </si>
  <si>
    <t>KEN</t>
  </si>
  <si>
    <t xml:space="preserve"> 56 430 000</t>
  </si>
  <si>
    <t>5.1 million</t>
  </si>
  <si>
    <t>KGZ</t>
  </si>
  <si>
    <t xml:space="preserve"> 7 186 000</t>
  </si>
  <si>
    <t>KHM</t>
  </si>
  <si>
    <t xml:space="preserve"> 17 640 000</t>
  </si>
  <si>
    <t>1.9 million</t>
  </si>
  <si>
    <t>KIR</t>
  </si>
  <si>
    <t xml:space="preserve">  134 500</t>
  </si>
  <si>
    <t>21 000</t>
  </si>
  <si>
    <t>KNA</t>
  </si>
  <si>
    <t xml:space="preserve">  46 840</t>
  </si>
  <si>
    <t>15 000</t>
  </si>
  <si>
    <t>11 000</t>
  </si>
  <si>
    <t>KOR</t>
  </si>
  <si>
    <t xml:space="preserve"> 51 720 000</t>
  </si>
  <si>
    <t>11.3 million</t>
  </si>
  <si>
    <t>4.4 million</t>
  </si>
  <si>
    <t>KWT</t>
  </si>
  <si>
    <t xml:space="preserve"> 4 935 000</t>
  </si>
  <si>
    <t>LAO</t>
  </si>
  <si>
    <t>Lao People’s Democratic Republic</t>
  </si>
  <si>
    <t xml:space="preserve"> 7 770 000</t>
  </si>
  <si>
    <t>858 000</t>
  </si>
  <si>
    <t>723 000</t>
  </si>
  <si>
    <t>LBN</t>
  </si>
  <si>
    <t xml:space="preserve"> 5 806 000</t>
  </si>
  <si>
    <t>901 000</t>
  </si>
  <si>
    <t>LBR</t>
  </si>
  <si>
    <t xml:space="preserve"> 5 613 000</t>
  </si>
  <si>
    <t>635 000</t>
  </si>
  <si>
    <t>571 000</t>
  </si>
  <si>
    <t>LBY</t>
  </si>
  <si>
    <t xml:space="preserve"> 7 381 000</t>
  </si>
  <si>
    <t>LCA</t>
  </si>
  <si>
    <t xml:space="preserve">  179 700</t>
  </si>
  <si>
    <t>45 000</t>
  </si>
  <si>
    <t>34 000</t>
  </si>
  <si>
    <t>LKA</t>
  </si>
  <si>
    <t xml:space="preserve"> 23 100 000</t>
  </si>
  <si>
    <t>4.7 million</t>
  </si>
  <si>
    <t>LSO</t>
  </si>
  <si>
    <t xml:space="preserve"> 2 337 000</t>
  </si>
  <si>
    <t>329 000</t>
  </si>
  <si>
    <t>261 000</t>
  </si>
  <si>
    <t>LTU</t>
  </si>
  <si>
    <t xml:space="preserve"> 2 859 000</t>
  </si>
  <si>
    <t>892 000</t>
  </si>
  <si>
    <t>748 000</t>
  </si>
  <si>
    <t>LUX</t>
  </si>
  <si>
    <t xml:space="preserve">  673 000</t>
  </si>
  <si>
    <t>127 000</t>
  </si>
  <si>
    <t>83 000</t>
  </si>
  <si>
    <t>LVA</t>
  </si>
  <si>
    <t xml:space="preserve"> 1 872 000</t>
  </si>
  <si>
    <t>572 000</t>
  </si>
  <si>
    <t>453 000</t>
  </si>
  <si>
    <t>MAR</t>
  </si>
  <si>
    <t xml:space="preserve"> 38 080 000</t>
  </si>
  <si>
    <t>6.8 million</t>
  </si>
  <si>
    <t>MCO</t>
  </si>
  <si>
    <t xml:space="preserve">  38 630</t>
  </si>
  <si>
    <t>no data</t>
  </si>
  <si>
    <t>MDA</t>
  </si>
  <si>
    <t xml:space="preserve"> 3 035 000</t>
  </si>
  <si>
    <t>MDG</t>
  </si>
  <si>
    <t xml:space="preserve"> 31 960 000</t>
  </si>
  <si>
    <t>MDV</t>
  </si>
  <si>
    <t xml:space="preserve">  527 800</t>
  </si>
  <si>
    <t>71 000</t>
  </si>
  <si>
    <t>MEX</t>
  </si>
  <si>
    <t xml:space="preserve"> 130 900 000</t>
  </si>
  <si>
    <t>20.2 million</t>
  </si>
  <si>
    <t>13.8 million</t>
  </si>
  <si>
    <t>MHL</t>
  </si>
  <si>
    <t xml:space="preserve">  37 550</t>
  </si>
  <si>
    <t>MKD</t>
  </si>
  <si>
    <t xml:space="preserve"> 1 823 000</t>
  </si>
  <si>
    <t>655 000</t>
  </si>
  <si>
    <t>483 000</t>
  </si>
  <si>
    <t>MLI</t>
  </si>
  <si>
    <t xml:space="preserve"> 24 480 000</t>
  </si>
  <si>
    <t>MLT</t>
  </si>
  <si>
    <t xml:space="preserve">  539 600</t>
  </si>
  <si>
    <t>104 000</t>
  </si>
  <si>
    <t>51 000</t>
  </si>
  <si>
    <t>MMR</t>
  </si>
  <si>
    <t xml:space="preserve"> 54 500 000</t>
  </si>
  <si>
    <t>10.8 million</t>
  </si>
  <si>
    <t>8.9 million</t>
  </si>
  <si>
    <t>MNE</t>
  </si>
  <si>
    <t xml:space="preserve">  638 500</t>
  </si>
  <si>
    <t>194 000</t>
  </si>
  <si>
    <t>MNG</t>
  </si>
  <si>
    <t xml:space="preserve"> 3 476 000</t>
  </si>
  <si>
    <t>645 000</t>
  </si>
  <si>
    <t>462 000</t>
  </si>
  <si>
    <t>MOZ</t>
  </si>
  <si>
    <t xml:space="preserve"> 34 630 000</t>
  </si>
  <si>
    <t>MRT</t>
  </si>
  <si>
    <t xml:space="preserve"> 5 169 000</t>
  </si>
  <si>
    <t>584 000</t>
  </si>
  <si>
    <t>MUS</t>
  </si>
  <si>
    <t xml:space="preserve"> 1 271 000</t>
  </si>
  <si>
    <t>276 000</t>
  </si>
  <si>
    <t>163 000</t>
  </si>
  <si>
    <t>MWI</t>
  </si>
  <si>
    <t xml:space="preserve"> 21 660 000</t>
  </si>
  <si>
    <t>MYS</t>
  </si>
  <si>
    <t xml:space="preserve"> 35 560 000</t>
  </si>
  <si>
    <t>NAM</t>
  </si>
  <si>
    <t xml:space="preserve"> 3 030 000</t>
  </si>
  <si>
    <t>391 000</t>
  </si>
  <si>
    <t>304 000</t>
  </si>
  <si>
    <t>NER</t>
  </si>
  <si>
    <t xml:space="preserve"> 27 030 000</t>
  </si>
  <si>
    <t>NGA</t>
  </si>
  <si>
    <t xml:space="preserve"> 232 700 000</t>
  </si>
  <si>
    <t>22 million</t>
  </si>
  <si>
    <t>19.1 million</t>
  </si>
  <si>
    <t>NIC</t>
  </si>
  <si>
    <t xml:space="preserve"> 6 916 000</t>
  </si>
  <si>
    <t>NIU</t>
  </si>
  <si>
    <t>NLD</t>
  </si>
  <si>
    <t>Netherlands (Kingdom of the)</t>
  </si>
  <si>
    <t xml:space="preserve"> 18 230 000</t>
  </si>
  <si>
    <t>3.9 million</t>
  </si>
  <si>
    <t>NOR</t>
  </si>
  <si>
    <t xml:space="preserve"> 5 577 000</t>
  </si>
  <si>
    <t>789 000</t>
  </si>
  <si>
    <t>NPL</t>
  </si>
  <si>
    <t xml:space="preserve"> 29 650 000</t>
  </si>
  <si>
    <t>NRU</t>
  </si>
  <si>
    <t xml:space="preserve">  11 950</t>
  </si>
  <si>
    <t>NZL</t>
  </si>
  <si>
    <t xml:space="preserve"> 5 214 000</t>
  </si>
  <si>
    <t>1 million</t>
  </si>
  <si>
    <t>691 000</t>
  </si>
  <si>
    <t>OMN</t>
  </si>
  <si>
    <t xml:space="preserve"> 5 282 000</t>
  </si>
  <si>
    <t>PAK</t>
  </si>
  <si>
    <t xml:space="preserve"> 251 300 000</t>
  </si>
  <si>
    <t>38.6 million</t>
  </si>
  <si>
    <t>33.9 million</t>
  </si>
  <si>
    <t>PAN</t>
  </si>
  <si>
    <t xml:space="preserve"> 4 516 000</t>
  </si>
  <si>
    <t>821 000</t>
  </si>
  <si>
    <t>558 000</t>
  </si>
  <si>
    <t>PER</t>
  </si>
  <si>
    <t xml:space="preserve"> 34 220 000</t>
  </si>
  <si>
    <t>PHL</t>
  </si>
  <si>
    <t xml:space="preserve"> 115 800 000</t>
  </si>
  <si>
    <t>13.6 million</t>
  </si>
  <si>
    <t>PLW</t>
  </si>
  <si>
    <t xml:space="preserve">  17 700</t>
  </si>
  <si>
    <t>PNG</t>
  </si>
  <si>
    <t xml:space="preserve"> 10 580 000</t>
  </si>
  <si>
    <t>921 000</t>
  </si>
  <si>
    <t>POL</t>
  </si>
  <si>
    <t xml:space="preserve"> 38 540 000</t>
  </si>
  <si>
    <t>13.9 million</t>
  </si>
  <si>
    <t>8.6 million</t>
  </si>
  <si>
    <t>PRK</t>
  </si>
  <si>
    <t>Democratic People’s Republic of Korea</t>
  </si>
  <si>
    <t xml:space="preserve"> 26 500 000</t>
  </si>
  <si>
    <t>PRT</t>
  </si>
  <si>
    <t xml:space="preserve"> 10 430 000</t>
  </si>
  <si>
    <t>PRY</t>
  </si>
  <si>
    <t xml:space="preserve"> 6 929 000</t>
  </si>
  <si>
    <t>QAT</t>
  </si>
  <si>
    <t xml:space="preserve"> 3 048 000</t>
  </si>
  <si>
    <t>602 000</t>
  </si>
  <si>
    <t>464 000</t>
  </si>
  <si>
    <t>ROU</t>
  </si>
  <si>
    <t xml:space="preserve"> 19 020 000</t>
  </si>
  <si>
    <t>6.7 million</t>
  </si>
  <si>
    <t>4.6 million</t>
  </si>
  <si>
    <t>RUS</t>
  </si>
  <si>
    <t xml:space="preserve"> 144 800 000</t>
  </si>
  <si>
    <t>42.6 million</t>
  </si>
  <si>
    <t>34.1 million</t>
  </si>
  <si>
    <t>RWA</t>
  </si>
  <si>
    <t xml:space="preserve"> 14 260 000</t>
  </si>
  <si>
    <t>SAU</t>
  </si>
  <si>
    <t xml:space="preserve"> 33 960 000</t>
  </si>
  <si>
    <t>6.1 million</t>
  </si>
  <si>
    <t>SDN</t>
  </si>
  <si>
    <t xml:space="preserve"> 50 450 000</t>
  </si>
  <si>
    <t>5.4 million</t>
  </si>
  <si>
    <t>SEN</t>
  </si>
  <si>
    <t xml:space="preserve"> 18 500 000</t>
  </si>
  <si>
    <t>SGP</t>
  </si>
  <si>
    <t xml:space="preserve"> 5 832 000</t>
  </si>
  <si>
    <t>854 000</t>
  </si>
  <si>
    <t>SLB</t>
  </si>
  <si>
    <t xml:space="preserve">  819 200</t>
  </si>
  <si>
    <t>76 000</t>
  </si>
  <si>
    <t>70 000</t>
  </si>
  <si>
    <t>SLE</t>
  </si>
  <si>
    <t xml:space="preserve"> 8 642 000</t>
  </si>
  <si>
    <t>991 000</t>
  </si>
  <si>
    <t>890 000</t>
  </si>
  <si>
    <t>SLV</t>
  </si>
  <si>
    <t xml:space="preserve"> 6 338 000</t>
  </si>
  <si>
    <t>590 000</t>
  </si>
  <si>
    <t>SMR</t>
  </si>
  <si>
    <t xml:space="preserve">  33 580</t>
  </si>
  <si>
    <t>SOM</t>
  </si>
  <si>
    <t xml:space="preserve"> 19 010 000</t>
  </si>
  <si>
    <t>SRB</t>
  </si>
  <si>
    <t xml:space="preserve"> 6 736 000</t>
  </si>
  <si>
    <t>SSD</t>
  </si>
  <si>
    <t xml:space="preserve"> 11 940 000</t>
  </si>
  <si>
    <t>977 000</t>
  </si>
  <si>
    <t>STP</t>
  </si>
  <si>
    <t xml:space="preserve">  235 500</t>
  </si>
  <si>
    <t>31 000</t>
  </si>
  <si>
    <t>27 000</t>
  </si>
  <si>
    <t>SUR</t>
  </si>
  <si>
    <t xml:space="preserve">  634 400</t>
  </si>
  <si>
    <t>130 000</t>
  </si>
  <si>
    <t>100 000</t>
  </si>
  <si>
    <t>SVK</t>
  </si>
  <si>
    <t xml:space="preserve"> 5 507 000</t>
  </si>
  <si>
    <t>SVN</t>
  </si>
  <si>
    <t xml:space="preserve"> 2 119 000</t>
  </si>
  <si>
    <t>718 000</t>
  </si>
  <si>
    <t>521 000</t>
  </si>
  <si>
    <t>SWE</t>
  </si>
  <si>
    <t xml:space="preserve"> 10 610 000</t>
  </si>
  <si>
    <t>SWZ</t>
  </si>
  <si>
    <t xml:space="preserve"> 1 243 000</t>
  </si>
  <si>
    <t>134 000</t>
  </si>
  <si>
    <t>SYC</t>
  </si>
  <si>
    <t xml:space="preserve">  130 400</t>
  </si>
  <si>
    <t>25 000</t>
  </si>
  <si>
    <t>17 000</t>
  </si>
  <si>
    <t>SYR</t>
  </si>
  <si>
    <t xml:space="preserve"> 24 670 000</t>
  </si>
  <si>
    <t>TCD</t>
  </si>
  <si>
    <t xml:space="preserve"> 20 300 000</t>
  </si>
  <si>
    <t>TGO</t>
  </si>
  <si>
    <t xml:space="preserve"> 9 515 000</t>
  </si>
  <si>
    <t>954 000</t>
  </si>
  <si>
    <t>849 000</t>
  </si>
  <si>
    <t>THA</t>
  </si>
  <si>
    <t xml:space="preserve"> 71 670 000</t>
  </si>
  <si>
    <t>15.2 million</t>
  </si>
  <si>
    <t>10.5 million</t>
  </si>
  <si>
    <t>TJK</t>
  </si>
  <si>
    <t xml:space="preserve"> 10 590 000</t>
  </si>
  <si>
    <t>TKM</t>
  </si>
  <si>
    <t xml:space="preserve"> 7 494 000</t>
  </si>
  <si>
    <t>955 000</t>
  </si>
  <si>
    <t>TLS</t>
  </si>
  <si>
    <t xml:space="preserve"> 1 401 000</t>
  </si>
  <si>
    <t>168 000</t>
  </si>
  <si>
    <t>148 000</t>
  </si>
  <si>
    <t>TON</t>
  </si>
  <si>
    <t xml:space="preserve">  104 200</t>
  </si>
  <si>
    <t>TTO</t>
  </si>
  <si>
    <t xml:space="preserve"> 1 508 000</t>
  </si>
  <si>
    <t>387 000</t>
  </si>
  <si>
    <t>295 000</t>
  </si>
  <si>
    <t>TUN</t>
  </si>
  <si>
    <t xml:space="preserve"> 12 280 000</t>
  </si>
  <si>
    <t>TUR</t>
  </si>
  <si>
    <t>Türkiye</t>
  </si>
  <si>
    <t xml:space="preserve"> 87 470 000</t>
  </si>
  <si>
    <t>15 million</t>
  </si>
  <si>
    <t>9.7 million</t>
  </si>
  <si>
    <t>TUV</t>
  </si>
  <si>
    <t>TZA</t>
  </si>
  <si>
    <t xml:space="preserve"> 68 560 000</t>
  </si>
  <si>
    <t>5 million</t>
  </si>
  <si>
    <t>UGA</t>
  </si>
  <si>
    <t xml:space="preserve"> 50 020 000</t>
  </si>
  <si>
    <t>UKR</t>
  </si>
  <si>
    <t xml:space="preserve"> 37 860 000</t>
  </si>
  <si>
    <t>12.7 million</t>
  </si>
  <si>
    <t>URY</t>
  </si>
  <si>
    <t xml:space="preserve"> 3 387 000</t>
  </si>
  <si>
    <t>902 000</t>
  </si>
  <si>
    <t>599 000</t>
  </si>
  <si>
    <t>USA</t>
  </si>
  <si>
    <t xml:space="preserve"> 345 400 000</t>
  </si>
  <si>
    <t>73.5 million</t>
  </si>
  <si>
    <t>37.1 million</t>
  </si>
  <si>
    <t>UZB</t>
  </si>
  <si>
    <t xml:space="preserve"> 36 360 000</t>
  </si>
  <si>
    <t>8 million</t>
  </si>
  <si>
    <t>6.6 million</t>
  </si>
  <si>
    <t>VCT</t>
  </si>
  <si>
    <t xml:space="preserve">  100 600</t>
  </si>
  <si>
    <t>VEN</t>
  </si>
  <si>
    <t xml:space="preserve"> 28 410 000</t>
  </si>
  <si>
    <t>VNM</t>
  </si>
  <si>
    <t xml:space="preserve"> 101 000 000</t>
  </si>
  <si>
    <t>16.9 million</t>
  </si>
  <si>
    <t>14.4 million</t>
  </si>
  <si>
    <t>VUT</t>
  </si>
  <si>
    <t xml:space="preserve">  327 800</t>
  </si>
  <si>
    <t>46 000</t>
  </si>
  <si>
    <t>44 000</t>
  </si>
  <si>
    <t>WSM</t>
  </si>
  <si>
    <t xml:space="preserve">  218 000</t>
  </si>
  <si>
    <t>32 000</t>
  </si>
  <si>
    <t>28 000</t>
  </si>
  <si>
    <t>YEM</t>
  </si>
  <si>
    <t xml:space="preserve"> 40 580 000</t>
  </si>
  <si>
    <t>ZAF</t>
  </si>
  <si>
    <t xml:space="preserve"> 64 010 000</t>
  </si>
  <si>
    <t>12 million</t>
  </si>
  <si>
    <t>9 million</t>
  </si>
  <si>
    <t>ZMB</t>
  </si>
  <si>
    <t xml:space="preserve"> 21 310 000</t>
  </si>
  <si>
    <t>ZWE</t>
  </si>
  <si>
    <t xml:space="preserve"> 16 630 000</t>
  </si>
  <si>
    <t>Green Cells From updates source WHO or GBD 2023</t>
  </si>
  <si>
    <t>htnprev_NCDRisk</t>
  </si>
  <si>
    <t>htncov2_NCDRisk</t>
  </si>
  <si>
    <t>raisedBP_NCDRisk</t>
  </si>
  <si>
    <t>LOCATION_NAME</t>
  </si>
  <si>
    <t>Exclude: Palestine, Bermuda, Puerto Rico, Greenland, Taiwan, American Samoa</t>
  </si>
  <si>
    <t>Delta</t>
  </si>
  <si>
    <t>iso3</t>
  </si>
  <si>
    <t>whoname</t>
  </si>
  <si>
    <t>sex</t>
  </si>
  <si>
    <t>metric</t>
  </si>
  <si>
    <t>type</t>
  </si>
  <si>
    <t>number_affected</t>
  </si>
  <si>
    <t/>
  </si>
  <si>
    <t>crude</t>
  </si>
  <si>
    <t>ctrl140</t>
  </si>
  <si>
    <t>PRI</t>
  </si>
  <si>
    <t>PSE</t>
  </si>
  <si>
    <t>Occupied Palestinian Territory</t>
  </si>
  <si>
    <t>PYF</t>
  </si>
  <si>
    <t>French Polynesia</t>
  </si>
  <si>
    <t>improvement</t>
  </si>
  <si>
    <t>htncov2_progress_who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</si>
</sst>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_(* #,##0.000_);_(* \(#,##0.000\);_(* &quot;-&quot;??_);_(@_)"/>
    <numFmt numFmtId="168" formatCode="0_);\(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5" fontId="2" fillId="0" borderId="0" xfId="0" applyNumberFormat="1" applyFont="1"/>
    <xf numFmtId="9" fontId="0" fillId="0" borderId="0" xfId="2" applyFont="1"/>
    <xf numFmtId="9" fontId="2" fillId="0" borderId="0" xfId="2" applyFont="1"/>
    <xf numFmtId="165" fontId="2" fillId="2" borderId="0" xfId="0" applyNumberFormat="1" applyFont="1" applyFill="1"/>
    <xf numFmtId="165" fontId="0" fillId="3" borderId="0" xfId="1" applyNumberFormat="1" applyFont="1" applyFill="1"/>
    <xf numFmtId="165" fontId="0" fillId="3" borderId="0" xfId="1" applyNumberFormat="1" applyFont="1" applyFill="1" applyAlignment="1">
      <alignment horizontal="center"/>
    </xf>
    <xf numFmtId="166" fontId="0" fillId="0" borderId="0" xfId="0" applyNumberFormat="1"/>
    <xf numFmtId="166" fontId="2" fillId="0" borderId="0" xfId="2" applyNumberFormat="1" applyFont="1"/>
    <xf numFmtId="164" fontId="0" fillId="4" borderId="0" xfId="0" applyNumberFormat="1" applyFill="1" applyAlignment="1">
      <alignment horizontal="center"/>
    </xf>
    <xf numFmtId="2" fontId="0" fillId="0" borderId="0" xfId="0" applyNumberFormat="1"/>
    <xf numFmtId="166" fontId="0" fillId="0" borderId="0" xfId="2" applyNumberFormat="1" applyFont="1"/>
    <xf numFmtId="0" fontId="0" fillId="5" borderId="0" xfId="0" applyFill="1"/>
    <xf numFmtId="43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6" fillId="0" borderId="0" xfId="0" applyFont="1"/>
    <xf numFmtId="0" fontId="3" fillId="0" borderId="0" xfId="0" applyFont="1"/>
    <xf numFmtId="0" fontId="3" fillId="6" borderId="0" xfId="0" applyFont="1" applyFill="1"/>
    <xf numFmtId="165" fontId="3" fillId="7" borderId="0" xfId="1" applyNumberFormat="1" applyFont="1" applyFill="1" applyAlignment="1">
      <alignment horizontal="right"/>
    </xf>
    <xf numFmtId="165" fontId="3" fillId="7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165" fontId="1" fillId="7" borderId="0" xfId="1" applyNumberFormat="1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quotePrefix="1" applyFill="1" applyAlignment="1">
      <alignment horizontal="center"/>
    </xf>
    <xf numFmtId="168" fontId="1" fillId="7" borderId="0" xfId="1" applyNumberFormat="1" applyFont="1" applyFill="1" applyAlignment="1">
      <alignment horizontal="right"/>
    </xf>
    <xf numFmtId="165" fontId="0" fillId="7" borderId="0" xfId="1" applyNumberFormat="1" applyFont="1" applyFill="1" applyAlignment="1">
      <alignment horizontal="center"/>
    </xf>
    <xf numFmtId="168" fontId="0" fillId="0" borderId="0" xfId="1" applyNumberFormat="1" applyFont="1" applyAlignment="1">
      <alignment horizontal="right"/>
    </xf>
    <xf numFmtId="0" fontId="0" fillId="7" borderId="0" xfId="0" applyFill="1"/>
    <xf numFmtId="167" fontId="0" fillId="7" borderId="0" xfId="0" applyNumberFormat="1" applyFill="1"/>
    <xf numFmtId="0" fontId="8" fillId="0" borderId="0" xfId="0" applyFont="1"/>
    <xf numFmtId="0" fontId="9" fillId="2" borderId="0" xfId="0" applyFont="1" applyFill="1"/>
    <xf numFmtId="1" fontId="0" fillId="0" borderId="0" xfId="0" applyNumberFormat="1"/>
    <xf numFmtId="9" fontId="0" fillId="0" borderId="0" xfId="2" applyFont="1" applyBorder="1"/>
    <xf numFmtId="9" fontId="0" fillId="0" borderId="0" xfId="0" applyNumberFormat="1"/>
    <xf numFmtId="0" fontId="8" fillId="7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20AC-66EC-4A2E-A9CF-F3C1215CAE1E}">
  <dimension ref="A2:Y200"/>
  <sheetViews>
    <sheetView tabSelected="1" zoomScaleNormal="100" workbookViewId="0">
      <selection activeCell="A10" sqref="A10"/>
    </sheetView>
  </sheetViews>
  <sheetFormatPr defaultRowHeight="14.4" x14ac:dyDescent="0.3"/>
  <cols>
    <col min="1" max="1" width="32.33203125" bestFit="1" customWidth="1"/>
    <col min="5" max="5" width="16.88671875" bestFit="1" customWidth="1"/>
    <col min="6" max="6" width="15.77734375" bestFit="1" customWidth="1"/>
    <col min="7" max="7" width="17" bestFit="1" customWidth="1"/>
    <col min="8" max="8" width="15" bestFit="1" customWidth="1"/>
    <col min="9" max="9" width="15.77734375" bestFit="1" customWidth="1"/>
    <col min="10" max="10" width="14.88671875" customWidth="1"/>
    <col min="11" max="11" width="22.88671875" bestFit="1" customWidth="1"/>
    <col min="12" max="12" width="18.21875" bestFit="1" customWidth="1"/>
    <col min="13" max="14" width="13.109375" customWidth="1"/>
    <col min="15" max="15" width="17" bestFit="1" customWidth="1"/>
    <col min="16" max="21" width="17" customWidth="1"/>
    <col min="22" max="22" width="14" bestFit="1" customWidth="1"/>
    <col min="23" max="23" width="13.88671875" bestFit="1" customWidth="1"/>
    <col min="24" max="24" width="11.21875" bestFit="1" customWidth="1"/>
  </cols>
  <sheetData>
    <row r="2" spans="1:25" x14ac:dyDescent="0.3">
      <c r="A2" t="s">
        <v>909</v>
      </c>
      <c r="N2" t="s">
        <v>910</v>
      </c>
    </row>
    <row r="3" spans="1:25" x14ac:dyDescent="0.3">
      <c r="N3" s="6">
        <f>+K7-G7+M7-G7</f>
        <v>149999999.99999976</v>
      </c>
    </row>
    <row r="4" spans="1:25" x14ac:dyDescent="0.3">
      <c r="F4" s="14" t="s">
        <v>202</v>
      </c>
      <c r="H4" s="14" t="s">
        <v>203</v>
      </c>
      <c r="K4" s="9">
        <f>+K5-G5</f>
        <v>4.7655894304443086E-2</v>
      </c>
      <c r="W4" t="s">
        <v>200</v>
      </c>
      <c r="X4" t="s">
        <v>199</v>
      </c>
      <c r="Y4" t="s">
        <v>201</v>
      </c>
    </row>
    <row r="5" spans="1:25" x14ac:dyDescent="0.3">
      <c r="A5" s="33" t="s">
        <v>904</v>
      </c>
      <c r="G5" s="10">
        <f>+G7/F7</f>
        <v>0.22792549115397956</v>
      </c>
      <c r="I5" s="10">
        <f>+I7/F7</f>
        <v>0.50177138000051946</v>
      </c>
      <c r="K5" s="10">
        <f>+K6/F7</f>
        <v>0.27558138545842265</v>
      </c>
      <c r="L5" s="10"/>
      <c r="M5" s="10">
        <f>+M6/F7</f>
        <v>0.25796942451982413</v>
      </c>
      <c r="N5" s="10"/>
      <c r="W5" s="12">
        <f>+I5-G5</f>
        <v>0.27384588884653993</v>
      </c>
      <c r="X5" s="5">
        <f>+I5/G5-1</f>
        <v>1.201471092417381</v>
      </c>
      <c r="Y5" s="13">
        <f>((I7/G7)^(1/5))-1</f>
        <v>0.17096144948597325</v>
      </c>
    </row>
    <row r="6" spans="1:25" x14ac:dyDescent="0.3">
      <c r="G6" s="3"/>
      <c r="I6" s="6"/>
      <c r="K6" s="6">
        <f>+G7+92000000</f>
        <v>532011576.57870495</v>
      </c>
      <c r="L6" s="6"/>
      <c r="M6" s="6">
        <f>+G7+58000000</f>
        <v>498011576.57870495</v>
      </c>
      <c r="N6" s="6"/>
      <c r="W6" s="12">
        <f>+K5-G5</f>
        <v>4.7655894304443086E-2</v>
      </c>
      <c r="X6" s="5">
        <f>+K5/G5-1</f>
        <v>0.20908540796890596</v>
      </c>
      <c r="Y6" s="13">
        <f>((K5/G5)^(1/5))-1</f>
        <v>3.8703023942771697E-2</v>
      </c>
    </row>
    <row r="7" spans="1:25" x14ac:dyDescent="0.3">
      <c r="A7" t="s">
        <v>194</v>
      </c>
      <c r="B7">
        <f>+SUMPRODUCT(B10:B200,$E$10:$E$200)/SUM($E$10:$E$200)</f>
        <v>0.33984296257970004</v>
      </c>
      <c r="C7">
        <f>+SUMPRODUCT(C10:C200,$E$10:$E$200)/SUM($E$10:$E$200)</f>
        <v>0.22339212243597856</v>
      </c>
      <c r="D7">
        <f>+SUMPRODUCT(D10:D200,$E$10:$E$200)/SUM($E$10:$E$200)</f>
        <v>5.5332930506386505E-2</v>
      </c>
      <c r="E7">
        <f>+SUM(E10:E200)</f>
        <v>5680583165.5</v>
      </c>
      <c r="F7" s="11">
        <f>+SUM(F10:F200)</f>
        <v>1930506212.1438906</v>
      </c>
      <c r="G7" s="7">
        <f>+SUM(G10:G200)</f>
        <v>440011576.57870495</v>
      </c>
      <c r="I7" s="8">
        <f>+SUM(I10:I200)</f>
        <v>968672766.16701567</v>
      </c>
      <c r="K7" s="8">
        <f>+SUM(K10:K200)</f>
        <v>532011576.57870501</v>
      </c>
      <c r="L7" s="8"/>
      <c r="M7" s="8">
        <f>+SUM(M10:M200)</f>
        <v>498011576.57870466</v>
      </c>
      <c r="N7" s="8"/>
      <c r="W7" s="12">
        <f>+M5-G5</f>
        <v>3.0043933365844572E-2</v>
      </c>
      <c r="X7" s="5">
        <f>+M5/G5-1</f>
        <v>0.1318147137195278</v>
      </c>
      <c r="Y7" s="13">
        <f>((M5/G5)^(1/5))-1</f>
        <v>2.5073643354716957E-2</v>
      </c>
    </row>
    <row r="8" spans="1:25" x14ac:dyDescent="0.3"/>
    <row r="9" spans="1:25" x14ac:dyDescent="0.3">
      <c r="A9" t="s">
        <v>0</v>
      </c>
      <c r="B9" s="33" t="s">
        <v>195</v>
      </c>
      <c r="C9" s="33" t="s">
        <v>1</v>
      </c>
      <c r="D9" s="35" t="s">
        <v>2</v>
      </c>
      <c r="E9" t="s">
        <v>211</v>
      </c>
      <c r="F9" t="s">
        <v>197</v>
      </c>
      <c r="G9" t="s">
        <v>196</v>
      </c>
      <c r="H9" t="s">
        <v>208</v>
      </c>
      <c r="I9" t="s">
        <v>204</v>
      </c>
      <c r="J9" t="s">
        <v>207</v>
      </c>
      <c r="K9" t="s">
        <v>205</v>
      </c>
      <c r="L9" t="s">
        <v>206</v>
      </c>
      <c r="M9" t="s">
        <v>198</v>
      </c>
      <c r="N9" s="33" t="s">
        <v>210</v>
      </c>
      <c r="O9" t="s">
        <v>209</v>
      </c>
      <c r="P9" t="s">
        <v>256</v>
      </c>
      <c r="Q9" t="s">
        <v>905</v>
      </c>
      <c r="R9" t="s">
        <v>906</v>
      </c>
      <c r="S9" s="35" t="s">
        <v>907</v>
      </c>
      <c r="T9" s="33" t="s">
        <v>926</v>
      </c>
      <c r="V9" s="3">
        <f>SUM(V10:V200)</f>
        <v>61492582.817975968</v>
      </c>
      <c r="W9" s="3">
        <f>SUM(W10:W200)</f>
        <v>122462223.93763073</v>
      </c>
      <c r="X9" s="3">
        <f>+W9-V9</f>
        <v>60969641.11965476</v>
      </c>
    </row>
    <row r="10" spans="1:25" x14ac:dyDescent="0.3">
      <c r="A10" t="s">
        <v>3</v>
      </c>
      <c r="B10" s="33">
        <f>IFERROR(VLOOKUP(A10,HTN_targets!$D$1:$M$195,3,0),Q10)</f>
        <v>0.37955967000000002</v>
      </c>
      <c r="C10" s="33">
        <f>IFERROR(VLOOKUP(A10,HTN_targets!$D$1:$M$195,10,0),R10)</f>
        <v>0.1596070677042</v>
      </c>
      <c r="D10" s="35">
        <v>8.5710087632092494E-2</v>
      </c>
      <c r="E10" s="1">
        <v>21241068.5</v>
      </c>
      <c r="F10" s="1">
        <f t="shared" ref="F10:F41" si="0">+B10*E10</f>
        <v>8062252.9503073953</v>
      </c>
      <c r="G10" s="1">
        <f>+F10*C10</f>
        <v>1286792.5524880986</v>
      </c>
      <c r="H10" s="4">
        <f t="shared" ref="H10:H41" si="1">+IF(C10&gt;0.5,C10,0.5)</f>
        <v>0.5</v>
      </c>
      <c r="I10" s="1">
        <f>+F10*H10</f>
        <v>4031126.4751536977</v>
      </c>
      <c r="J10" s="9">
        <f>C10+($K$5-$G$5)</f>
        <v>0.20726296200864308</v>
      </c>
      <c r="K10" s="2">
        <f>+J10*F10</f>
        <v>1671006.4269436323</v>
      </c>
      <c r="L10" s="9">
        <f>C10+($M$5-$G$5)</f>
        <v>0.18965100107004457</v>
      </c>
      <c r="M10" s="2">
        <f>+F10*L10</f>
        <v>1529014.3429057179</v>
      </c>
      <c r="N10" s="34">
        <f>+VLOOKUP(A10,Diabetes!$G$1:$S$206,12,0)/100000</f>
        <v>6.1569095988658E-2</v>
      </c>
      <c r="O10">
        <f>+C10+0.15</f>
        <v>0.30960706770419999</v>
      </c>
      <c r="P10" s="16">
        <v>5.9672589999999998E-2</v>
      </c>
      <c r="Q10">
        <v>0.353321445473947</v>
      </c>
      <c r="R10">
        <v>0.12488201945553599</v>
      </c>
      <c r="S10" s="35">
        <v>8.5710087632092494E-2</v>
      </c>
      <c r="T10" s="40">
        <f>IFERROR(VLOOKUP(A10,HTN_targets!$R$9:$X$203,6,0),L10)</f>
        <v>0.15960706770420069</v>
      </c>
      <c r="U10">
        <f>IF(T10&gt;C10,1,0)</f>
        <v>1</v>
      </c>
      <c r="V10" s="15">
        <f t="shared" ref="V10:V41" si="2">+E10*B10*N10*O10</f>
        <v>153684.49804897755</v>
      </c>
      <c r="W10" s="15">
        <f t="shared" ref="W10:W41" si="3">+E10*B10*N10*0.8</f>
        <v>397108.50062585378</v>
      </c>
    </row>
    <row r="11" spans="1:25" x14ac:dyDescent="0.3">
      <c r="A11" t="s">
        <v>4</v>
      </c>
      <c r="B11" s="33">
        <f>IFERROR(VLOOKUP(A11,HTN_targets!$D$1:$M$195,3,0),Q11)</f>
        <v>0.47361237</v>
      </c>
      <c r="C11" s="33">
        <f>IFERROR(VLOOKUP(A11,HTN_targets!$D$1:$M$195,10,0),R11)</f>
        <v>0.107542820274829</v>
      </c>
      <c r="D11" s="35">
        <v>8.0804703474577702E-2</v>
      </c>
      <c r="E11" s="1">
        <v>2182816.5</v>
      </c>
      <c r="F11" s="1">
        <f t="shared" si="0"/>
        <v>1033808.895840105</v>
      </c>
      <c r="G11" s="1">
        <f t="shared" ref="G11:G41" si="4">+F11*C11</f>
        <v>111178.72428385183</v>
      </c>
      <c r="H11" s="4">
        <f t="shared" si="1"/>
        <v>0.5</v>
      </c>
      <c r="I11" s="1">
        <f t="shared" ref="I11:I74" si="5">+F11*H11</f>
        <v>516904.44792005251</v>
      </c>
      <c r="J11" s="9">
        <f t="shared" ref="J11:J41" si="6">C11+($K$5-$G$5)</f>
        <v>0.15519871457927209</v>
      </c>
      <c r="K11" s="2">
        <f t="shared" ref="K11:K74" si="7">+J11*F11</f>
        <v>160445.81175500088</v>
      </c>
      <c r="L11" s="9">
        <f t="shared" ref="L11:L41" si="8">C11+($M$5-$G$5)</f>
        <v>0.13758675364067358</v>
      </c>
      <c r="M11" s="2">
        <f t="shared" ref="M11:M74" si="9">+F11*L11</f>
        <v>142238.4098634893</v>
      </c>
      <c r="N11" s="34">
        <f>+VLOOKUP(A11,Diabetes!$G$1:$S$206,12,0)/100000</f>
        <v>6.1050695008231799E-2</v>
      </c>
      <c r="O11">
        <f t="shared" ref="O11:O41" si="10">+C11+0.15</f>
        <v>0.257542820274829</v>
      </c>
      <c r="P11" s="16">
        <v>2.849345E-2</v>
      </c>
      <c r="Q11">
        <v>0.425832600720287</v>
      </c>
      <c r="R11">
        <v>6.8413228107856897E-2</v>
      </c>
      <c r="S11" s="35">
        <v>8.0804703474577702E-2</v>
      </c>
      <c r="T11" s="40">
        <f>IFERROR(VLOOKUP(A11,HTN_targets!$R$9:$X$203,6,0),L11)</f>
        <v>0.10754282027482991</v>
      </c>
      <c r="U11">
        <f t="shared" ref="U11:U74" si="11">IF(T11&gt;C11,1,0)</f>
        <v>1</v>
      </c>
      <c r="V11" s="15">
        <f t="shared" si="2"/>
        <v>16254.751127167401</v>
      </c>
      <c r="W11" s="15">
        <f t="shared" si="3"/>
        <v>50491.801277384904</v>
      </c>
    </row>
    <row r="12" spans="1:25" x14ac:dyDescent="0.3">
      <c r="A12" t="s">
        <v>5</v>
      </c>
      <c r="B12" s="33">
        <f>IFERROR(VLOOKUP(A12,HTN_targets!$D$1:$M$195,3,0),Q12)</f>
        <v>0.34410548000000002</v>
      </c>
      <c r="C12" s="33">
        <f>IFERROR(VLOOKUP(A12,HTN_targets!$D$1:$M$195,10,0),R12)</f>
        <v>0.17358428239822299</v>
      </c>
      <c r="D12" s="35">
        <v>6.2013212322350499E-2</v>
      </c>
      <c r="E12" s="1">
        <v>30080191.5</v>
      </c>
      <c r="F12" s="1">
        <f t="shared" si="0"/>
        <v>10350758.734599421</v>
      </c>
      <c r="G12" s="1">
        <f t="shared" si="4"/>
        <v>1796729.0272225791</v>
      </c>
      <c r="H12" s="4">
        <f t="shared" si="1"/>
        <v>0.5</v>
      </c>
      <c r="I12" s="1">
        <f t="shared" si="5"/>
        <v>5175379.3672997104</v>
      </c>
      <c r="J12" s="9">
        <f t="shared" si="6"/>
        <v>0.22124017670266607</v>
      </c>
      <c r="K12" s="2">
        <f t="shared" si="7"/>
        <v>2290003.6914494401</v>
      </c>
      <c r="L12" s="9">
        <f t="shared" si="8"/>
        <v>0.20362821576406756</v>
      </c>
      <c r="M12" s="2">
        <f t="shared" si="9"/>
        <v>2107706.5329308179</v>
      </c>
      <c r="N12" s="34">
        <f>+VLOOKUP(A12,Diabetes!$G$1:$S$206,12,0)/100000</f>
        <v>0.11948162384034801</v>
      </c>
      <c r="O12">
        <f t="shared" si="10"/>
        <v>0.32358428239822301</v>
      </c>
      <c r="P12" s="16">
        <v>5.2739349999999997E-2</v>
      </c>
      <c r="Q12">
        <v>0.349547746291343</v>
      </c>
      <c r="R12">
        <v>0.13800482709131401</v>
      </c>
      <c r="S12" s="35">
        <v>6.2013212322350499E-2</v>
      </c>
      <c r="T12" s="40">
        <f>IFERROR(VLOOKUP(A12,HTN_targets!$R$9:$X$203,6,0),L12)</f>
        <v>0.1735842823982239</v>
      </c>
      <c r="U12">
        <f t="shared" si="11"/>
        <v>1</v>
      </c>
      <c r="V12" s="15">
        <f t="shared" si="2"/>
        <v>400184.9210120833</v>
      </c>
      <c r="W12" s="15">
        <f t="shared" si="3"/>
        <v>989380.36927168374</v>
      </c>
    </row>
    <row r="13" spans="1:25" x14ac:dyDescent="0.3">
      <c r="A13" t="s">
        <v>6</v>
      </c>
      <c r="B13" s="33">
        <f>IFERROR(VLOOKUP(A13,HTN_targets!$D$1:$M$195,3,0),Q13)</f>
        <v>0.48812840273373498</v>
      </c>
      <c r="C13" s="33">
        <f>IFERROR(VLOOKUP(A13,HTN_targets!$D$1:$M$195,10,0),R13)</f>
        <v>9.7576806337281399E-2</v>
      </c>
      <c r="D13" s="35">
        <v>5.2195459546735698E-2</v>
      </c>
      <c r="E13" s="1">
        <v>30619</v>
      </c>
      <c r="F13" s="1">
        <f t="shared" si="0"/>
        <v>14946.003563304232</v>
      </c>
      <c r="G13" s="1">
        <f t="shared" si="4"/>
        <v>1458.3832952128548</v>
      </c>
      <c r="H13" s="4">
        <f t="shared" si="1"/>
        <v>0.5</v>
      </c>
      <c r="I13" s="1">
        <f t="shared" si="5"/>
        <v>7473.0017816521158</v>
      </c>
      <c r="J13" s="9">
        <f t="shared" si="6"/>
        <v>0.1452327006417245</v>
      </c>
      <c r="K13" s="2">
        <f t="shared" si="7"/>
        <v>2170.6484612995109</v>
      </c>
      <c r="L13" s="9">
        <f t="shared" si="8"/>
        <v>0.12762073970312598</v>
      </c>
      <c r="M13" s="2">
        <f t="shared" si="9"/>
        <v>1907.4200303544428</v>
      </c>
      <c r="N13" s="34">
        <f>+VLOOKUP(A13,Diabetes!$G$1:$S$206,12,0)/100000</f>
        <v>0.187030251409458</v>
      </c>
      <c r="O13">
        <f t="shared" si="10"/>
        <v>0.24757680633728141</v>
      </c>
      <c r="P13" s="16">
        <v>5.5833428333333331E-2</v>
      </c>
      <c r="Q13">
        <v>0.48812840273373498</v>
      </c>
      <c r="R13">
        <v>9.7576806337281399E-2</v>
      </c>
      <c r="S13" s="35">
        <v>5.2195459546735698E-2</v>
      </c>
      <c r="T13" s="40">
        <f>IFERROR(VLOOKUP(A13,HTN_targets!$R$9:$X$203,6,0),L13)</f>
        <v>0.12762073970312598</v>
      </c>
      <c r="U13">
        <f t="shared" si="11"/>
        <v>1</v>
      </c>
      <c r="V13" s="15">
        <f t="shared" si="2"/>
        <v>692.06501495673092</v>
      </c>
      <c r="W13" s="15">
        <f t="shared" si="3"/>
        <v>2236.2838432091567</v>
      </c>
    </row>
    <row r="14" spans="1:25" x14ac:dyDescent="0.3">
      <c r="A14" t="s">
        <v>7</v>
      </c>
      <c r="B14" s="33">
        <f>IFERROR(VLOOKUP(A14,HTN_targets!$D$1:$M$195,3,0),Q14)</f>
        <v>0.36730590000000002</v>
      </c>
      <c r="C14" s="33">
        <f>IFERROR(VLOOKUP(A14,HTN_targets!$D$1:$M$195,10,0),R14)</f>
        <v>0.37682920694351202</v>
      </c>
      <c r="D14" s="35">
        <v>4.4482927714746497E-2</v>
      </c>
      <c r="E14" s="1">
        <v>69752</v>
      </c>
      <c r="F14" s="1">
        <f t="shared" si="0"/>
        <v>25620.321136800001</v>
      </c>
      <c r="G14" s="1">
        <f t="shared" si="4"/>
        <v>9654.4852956184423</v>
      </c>
      <c r="H14" s="4">
        <f t="shared" si="1"/>
        <v>0.5</v>
      </c>
      <c r="I14" s="1">
        <f t="shared" si="5"/>
        <v>12810.160568400001</v>
      </c>
      <c r="J14" s="9">
        <f t="shared" si="6"/>
        <v>0.42448510124795513</v>
      </c>
      <c r="K14" s="2">
        <f t="shared" si="7"/>
        <v>10875.444611759673</v>
      </c>
      <c r="L14" s="9">
        <f t="shared" si="8"/>
        <v>0.40687314030935662</v>
      </c>
      <c r="M14" s="2">
        <f t="shared" si="9"/>
        <v>10424.220516664001</v>
      </c>
      <c r="N14" s="34">
        <f>+VLOOKUP(A14,Diabetes!$G$1:$S$206,12,0)/100000</f>
        <v>5.8643140168872197E-2</v>
      </c>
      <c r="O14">
        <f t="shared" si="10"/>
        <v>0.52682920694351199</v>
      </c>
      <c r="P14" s="16">
        <v>4.8907239999999998E-2</v>
      </c>
      <c r="Q14">
        <v>0.35732874113138102</v>
      </c>
      <c r="R14">
        <v>0.308006190211362</v>
      </c>
      <c r="S14" s="35">
        <v>4.4482927714746497E-2</v>
      </c>
      <c r="T14" s="40">
        <f>IFERROR(VLOOKUP(A14,HTN_targets!$R$9:$X$203,6,0),L14)</f>
        <v>0.37682920694351202</v>
      </c>
      <c r="U14">
        <f t="shared" si="11"/>
        <v>0</v>
      </c>
      <c r="V14" s="15">
        <f t="shared" si="2"/>
        <v>791.53774698880011</v>
      </c>
      <c r="W14" s="15">
        <f t="shared" si="3"/>
        <v>1201.9648668775053</v>
      </c>
    </row>
    <row r="15" spans="1:25" x14ac:dyDescent="0.3">
      <c r="A15" t="s">
        <v>8</v>
      </c>
      <c r="B15" s="33">
        <f>IFERROR(VLOOKUP(A15,HTN_targets!$D$1:$M$195,3,0),Q15)</f>
        <v>0.34542890999999998</v>
      </c>
      <c r="C15" s="33">
        <f>IFERROR(VLOOKUP(A15,HTN_targets!$D$1:$M$195,10,0),R15)</f>
        <v>0.13649408519268</v>
      </c>
      <c r="D15" s="35">
        <v>8.1140044904977102E-2</v>
      </c>
      <c r="E15" s="1">
        <v>18409009</v>
      </c>
      <c r="F15" s="1">
        <f t="shared" si="0"/>
        <v>6359003.9130501896</v>
      </c>
      <c r="G15" s="1">
        <f t="shared" si="4"/>
        <v>867966.42184845801</v>
      </c>
      <c r="H15" s="4">
        <f t="shared" si="1"/>
        <v>0.5</v>
      </c>
      <c r="I15" s="1">
        <f t="shared" si="5"/>
        <v>3179501.9565250948</v>
      </c>
      <c r="J15" s="9">
        <f t="shared" si="6"/>
        <v>0.18414997949712308</v>
      </c>
      <c r="K15" s="2">
        <f t="shared" si="7"/>
        <v>1171010.440210318</v>
      </c>
      <c r="L15" s="9">
        <f t="shared" si="8"/>
        <v>0.16653801855852457</v>
      </c>
      <c r="M15" s="2">
        <f t="shared" si="9"/>
        <v>1059015.9116852828</v>
      </c>
      <c r="N15" s="34">
        <f>+VLOOKUP(A15,Diabetes!$G$1:$S$206,12,0)/100000</f>
        <v>4.45450084697692E-2</v>
      </c>
      <c r="O15">
        <f t="shared" si="10"/>
        <v>0.28649408519267999</v>
      </c>
      <c r="P15" s="16">
        <v>6.99959E-2</v>
      </c>
      <c r="Q15">
        <v>0.36489771545616601</v>
      </c>
      <c r="R15">
        <v>0.107290556029932</v>
      </c>
      <c r="S15" s="35">
        <v>8.1140044904977102E-2</v>
      </c>
      <c r="T15" s="40">
        <f>IFERROR(VLOOKUP(A15,HTN_targets!$R$9:$X$203,6,0),L15)</f>
        <v>0.13649408519268039</v>
      </c>
      <c r="U15">
        <f t="shared" si="11"/>
        <v>0</v>
      </c>
      <c r="V15" s="15">
        <f t="shared" si="2"/>
        <v>81152.854087632266</v>
      </c>
      <c r="W15" s="15">
        <f t="shared" si="3"/>
        <v>226609.50653289296</v>
      </c>
    </row>
    <row r="16" spans="1:25" x14ac:dyDescent="0.3">
      <c r="A16" t="s">
        <v>9</v>
      </c>
      <c r="B16" s="33">
        <f>IFERROR(VLOOKUP(A16,HTN_targets!$D$1:$M$195,3,0),Q16)</f>
        <v>0.45622262000000002</v>
      </c>
      <c r="C16" s="33">
        <f>IFERROR(VLOOKUP(A16,HTN_targets!$D$1:$M$195,10,0),R16)</f>
        <v>0.25480821728706299</v>
      </c>
      <c r="D16" s="35">
        <v>5.5943770888953297E-2</v>
      </c>
      <c r="E16" s="1">
        <v>72433.5</v>
      </c>
      <c r="F16" s="1">
        <f t="shared" si="0"/>
        <v>33045.801145770005</v>
      </c>
      <c r="G16" s="1">
        <f t="shared" si="4"/>
        <v>8420.3416787764381</v>
      </c>
      <c r="H16" s="4">
        <f t="shared" si="1"/>
        <v>0.5</v>
      </c>
      <c r="I16" s="1">
        <f t="shared" si="5"/>
        <v>16522.900572885002</v>
      </c>
      <c r="J16" s="9">
        <f t="shared" si="6"/>
        <v>0.3024641115915061</v>
      </c>
      <c r="K16" s="2">
        <f t="shared" si="7"/>
        <v>9995.1688853848991</v>
      </c>
      <c r="L16" s="9">
        <f t="shared" si="8"/>
        <v>0.28485215065290759</v>
      </c>
      <c r="M16" s="2">
        <f t="shared" si="9"/>
        <v>9413.1675264209043</v>
      </c>
      <c r="N16" s="34">
        <f>+VLOOKUP(A16,Diabetes!$G$1:$S$206,12,0)/100000</f>
        <v>0.12481961002722</v>
      </c>
      <c r="O16">
        <f t="shared" si="10"/>
        <v>0.40480821728706295</v>
      </c>
      <c r="P16" s="16">
        <v>5.5833428333333331E-2</v>
      </c>
      <c r="Q16">
        <v>0.41943379061486102</v>
      </c>
      <c r="R16">
        <v>0.20336407349089999</v>
      </c>
      <c r="S16" s="35">
        <v>5.5943770888953297E-2</v>
      </c>
      <c r="T16" s="40">
        <f>IFERROR(VLOOKUP(A16,HTN_targets!$R$9:$X$203,6,0),L16)</f>
        <v>0.2548082172870636</v>
      </c>
      <c r="U16">
        <f t="shared" si="11"/>
        <v>1</v>
      </c>
      <c r="V16" s="15">
        <f t="shared" si="2"/>
        <v>1669.7383664486326</v>
      </c>
      <c r="W16" s="15">
        <f t="shared" si="3"/>
        <v>3299.8112096416576</v>
      </c>
    </row>
    <row r="17" spans="1:23" x14ac:dyDescent="0.3">
      <c r="A17" t="s">
        <v>10</v>
      </c>
      <c r="B17" s="33">
        <f>IFERROR(VLOOKUP(A17,HTN_targets!$D$1:$M$195,3,0),Q17)</f>
        <v>0.50844467000000004</v>
      </c>
      <c r="C17" s="33">
        <f>IFERROR(VLOOKUP(A17,HTN_targets!$D$1:$M$195,10,0),R17)</f>
        <v>0.162830635905265</v>
      </c>
      <c r="D17" s="35">
        <v>5.6253628138363702E-2</v>
      </c>
      <c r="E17" s="1">
        <v>33323445.5</v>
      </c>
      <c r="F17" s="1">
        <f t="shared" si="0"/>
        <v>16943128.250510488</v>
      </c>
      <c r="G17" s="1">
        <f t="shared" si="4"/>
        <v>2758860.3472550828</v>
      </c>
      <c r="H17" s="4">
        <f t="shared" si="1"/>
        <v>0.5</v>
      </c>
      <c r="I17" s="1">
        <f t="shared" si="5"/>
        <v>8471564.1252552439</v>
      </c>
      <c r="J17" s="9">
        <f t="shared" si="6"/>
        <v>0.21048653020970809</v>
      </c>
      <c r="K17" s="2">
        <f t="shared" si="7"/>
        <v>3566300.2763480344</v>
      </c>
      <c r="L17" s="9">
        <f t="shared" si="8"/>
        <v>0.19287456927110957</v>
      </c>
      <c r="M17" s="2">
        <f t="shared" si="9"/>
        <v>3267898.5634223786</v>
      </c>
      <c r="N17" s="34">
        <f>+VLOOKUP(A17,Diabetes!$G$1:$S$206,12,0)/100000</f>
        <v>5.1307119474561395E-2</v>
      </c>
      <c r="O17">
        <f t="shared" si="10"/>
        <v>0.312830635905265</v>
      </c>
      <c r="P17" s="16">
        <v>3.960288E-2</v>
      </c>
      <c r="Q17">
        <v>0.54014375838650597</v>
      </c>
      <c r="R17">
        <v>0.123638651013072</v>
      </c>
      <c r="S17" s="35">
        <v>5.6253628138363702E-2</v>
      </c>
      <c r="T17" s="40">
        <f>IFERROR(VLOOKUP(A17,HTN_targets!$R$9:$X$203,6,0),L17)</f>
        <v>0.16283063590526581</v>
      </c>
      <c r="U17">
        <f t="shared" si="11"/>
        <v>1</v>
      </c>
      <c r="V17" s="15">
        <f t="shared" si="2"/>
        <v>271944.6432635102</v>
      </c>
      <c r="W17" s="15">
        <f t="shared" si="3"/>
        <v>695442.48433740647</v>
      </c>
    </row>
    <row r="18" spans="1:23" x14ac:dyDescent="0.3">
      <c r="A18" t="s">
        <v>11</v>
      </c>
      <c r="B18" s="33">
        <f>IFERROR(VLOOKUP(A18,HTN_targets!$D$1:$M$195,3,0),Q18)</f>
        <v>0.50704086000000004</v>
      </c>
      <c r="C18" s="33">
        <f>IFERROR(VLOOKUP(A18,HTN_targets!$D$1:$M$195,10,0),R18)</f>
        <v>0.102147184312343</v>
      </c>
      <c r="D18" s="35">
        <v>6.1781734341254599E-2</v>
      </c>
      <c r="E18" s="1">
        <v>2236922.5</v>
      </c>
      <c r="F18" s="1">
        <f t="shared" si="0"/>
        <v>1134211.1081533502</v>
      </c>
      <c r="G18" s="1">
        <f t="shared" si="4"/>
        <v>115856.47111364706</v>
      </c>
      <c r="H18" s="4">
        <f t="shared" si="1"/>
        <v>0.5</v>
      </c>
      <c r="I18" s="1">
        <f t="shared" si="5"/>
        <v>567105.55407667509</v>
      </c>
      <c r="J18" s="9">
        <f t="shared" si="6"/>
        <v>0.1498030786167861</v>
      </c>
      <c r="K18" s="2">
        <f t="shared" si="7"/>
        <v>169908.31580272841</v>
      </c>
      <c r="L18" s="9">
        <f t="shared" si="8"/>
        <v>0.13219111767818759</v>
      </c>
      <c r="M18" s="2">
        <f t="shared" si="9"/>
        <v>149932.63406980707</v>
      </c>
      <c r="N18" s="34">
        <f>+VLOOKUP(A18,Diabetes!$G$1:$S$206,12,0)/100000</f>
        <v>7.2854139721639802E-2</v>
      </c>
      <c r="O18">
        <f t="shared" si="10"/>
        <v>0.25214718431234301</v>
      </c>
      <c r="P18" s="16">
        <v>5.0407390000000003E-2</v>
      </c>
      <c r="Q18">
        <v>0.48463553083948002</v>
      </c>
      <c r="R18">
        <v>8.0842911899361602E-2</v>
      </c>
      <c r="S18" s="35">
        <v>6.1781734341254599E-2</v>
      </c>
      <c r="T18" s="40">
        <f>IFERROR(VLOOKUP(A18,HTN_targets!$R$9:$X$203,6,0),L18)</f>
        <v>0.1021471843123436</v>
      </c>
      <c r="U18">
        <f t="shared" si="11"/>
        <v>1</v>
      </c>
      <c r="V18" s="15">
        <f t="shared" si="2"/>
        <v>20835.419716255783</v>
      </c>
      <c r="W18" s="15">
        <f t="shared" si="3"/>
        <v>66105.579637792063</v>
      </c>
    </row>
    <row r="19" spans="1:23" x14ac:dyDescent="0.3">
      <c r="A19" t="s">
        <v>12</v>
      </c>
      <c r="B19" s="33">
        <f>IFERROR(VLOOKUP(A19,HTN_targets!$D$1:$M$195,3,0),Q19)</f>
        <v>0.34051824000000003</v>
      </c>
      <c r="C19" s="33">
        <f>IFERROR(VLOOKUP(A19,HTN_targets!$D$1:$M$195,10,0),R19)</f>
        <v>0.28334492444991999</v>
      </c>
      <c r="D19" s="35">
        <v>3.0352476158657899E-2</v>
      </c>
      <c r="E19" s="1">
        <v>20873328</v>
      </c>
      <c r="F19" s="1">
        <f t="shared" si="0"/>
        <v>7107748.9135027202</v>
      </c>
      <c r="G19" s="1">
        <f t="shared" si="4"/>
        <v>2013944.5789054292</v>
      </c>
      <c r="H19" s="4">
        <f t="shared" si="1"/>
        <v>0.5</v>
      </c>
      <c r="I19" s="1">
        <f t="shared" si="5"/>
        <v>3553874.4567513601</v>
      </c>
      <c r="J19" s="9">
        <f t="shared" si="6"/>
        <v>0.33100081875436305</v>
      </c>
      <c r="K19" s="2">
        <f t="shared" si="7"/>
        <v>2352670.7098698346</v>
      </c>
      <c r="L19" s="9">
        <f t="shared" si="8"/>
        <v>0.31338885781576453</v>
      </c>
      <c r="M19" s="2">
        <f t="shared" si="9"/>
        <v>2227489.3136438588</v>
      </c>
      <c r="N19" s="34">
        <f>+VLOOKUP(A19,Diabetes!$G$1:$S$206,12,0)/100000</f>
        <v>4.52888402764038E-2</v>
      </c>
      <c r="O19">
        <f t="shared" si="10"/>
        <v>0.43334492444992001</v>
      </c>
      <c r="P19" s="16">
        <v>3.1229779999999999E-2</v>
      </c>
      <c r="Q19">
        <v>0.32253306717803998</v>
      </c>
      <c r="R19">
        <v>0.25152592700843301</v>
      </c>
      <c r="S19" s="35">
        <v>3.0352476158657899E-2</v>
      </c>
      <c r="T19" s="40">
        <f>IFERROR(VLOOKUP(A19,HTN_targets!$R$9:$X$203,6,0),L19)</f>
        <v>0.28334492444992071</v>
      </c>
      <c r="U19">
        <f t="shared" si="11"/>
        <v>1</v>
      </c>
      <c r="V19" s="15">
        <f t="shared" si="2"/>
        <v>139494.47014983839</v>
      </c>
      <c r="W19" s="15">
        <f t="shared" si="3"/>
        <v>257521.36421472591</v>
      </c>
    </row>
    <row r="20" spans="1:23" x14ac:dyDescent="0.3">
      <c r="A20" t="s">
        <v>13</v>
      </c>
      <c r="B20" s="33">
        <f>IFERROR(VLOOKUP(A20,HTN_targets!$D$1:$M$195,3,0),Q20)</f>
        <v>0.37721261</v>
      </c>
      <c r="C20" s="33">
        <f>IFERROR(VLOOKUP(A20,HTN_targets!$D$1:$M$195,10,0),R20)</f>
        <v>0.31397420167922901</v>
      </c>
      <c r="D20" s="35">
        <v>5.0107476489876401E-2</v>
      </c>
      <c r="E20" s="1">
        <v>7476501.5</v>
      </c>
      <c r="F20" s="1">
        <f t="shared" si="0"/>
        <v>2820230.6444839151</v>
      </c>
      <c r="G20" s="1">
        <f t="shared" si="4"/>
        <v>885479.66515313473</v>
      </c>
      <c r="H20" s="4">
        <f t="shared" si="1"/>
        <v>0.5</v>
      </c>
      <c r="I20" s="1">
        <f t="shared" si="5"/>
        <v>1410115.3222419575</v>
      </c>
      <c r="J20" s="9">
        <f t="shared" si="6"/>
        <v>0.36163009598367213</v>
      </c>
      <c r="K20" s="2">
        <f t="shared" si="7"/>
        <v>1019880.2786608117</v>
      </c>
      <c r="L20" s="9">
        <f t="shared" si="8"/>
        <v>0.34401813504507361</v>
      </c>
      <c r="M20" s="2">
        <f t="shared" si="9"/>
        <v>970210.48671232245</v>
      </c>
      <c r="N20" s="34">
        <f>+VLOOKUP(A20,Diabetes!$G$1:$S$206,12,0)/100000</f>
        <v>5.1667703462107001E-2</v>
      </c>
      <c r="O20">
        <f t="shared" si="10"/>
        <v>0.46397420167922898</v>
      </c>
      <c r="P20" s="16">
        <v>4.3542270000000001E-2</v>
      </c>
      <c r="Q20">
        <v>0.37477219661564498</v>
      </c>
      <c r="R20">
        <v>0.27425232099621799</v>
      </c>
      <c r="S20" s="35">
        <v>5.0107476489876401E-2</v>
      </c>
      <c r="T20" s="40">
        <f>IFERROR(VLOOKUP(A20,HTN_targets!$R$9:$X$203,6,0),L20)</f>
        <v>0.31397420167922968</v>
      </c>
      <c r="U20">
        <f t="shared" si="11"/>
        <v>1</v>
      </c>
      <c r="V20" s="15">
        <f t="shared" si="2"/>
        <v>67607.926855949248</v>
      </c>
      <c r="W20" s="15">
        <f t="shared" si="3"/>
        <v>116571.87250715349</v>
      </c>
    </row>
    <row r="21" spans="1:23" x14ac:dyDescent="0.3">
      <c r="A21" t="s">
        <v>14</v>
      </c>
      <c r="B21" s="33">
        <f>IFERROR(VLOOKUP(A21,HTN_targets!$D$1:$M$195,3,0),Q21)</f>
        <v>0.42041825999999999</v>
      </c>
      <c r="C21" s="33">
        <f>IFERROR(VLOOKUP(A21,HTN_targets!$D$1:$M$195,10,0),R21)</f>
        <v>0.148302167654037</v>
      </c>
      <c r="D21" s="35">
        <v>5.8836392503971303E-2</v>
      </c>
      <c r="E21" s="1">
        <v>7550998</v>
      </c>
      <c r="F21" s="1">
        <f t="shared" si="0"/>
        <v>3174577.4404234798</v>
      </c>
      <c r="G21" s="1">
        <f t="shared" si="4"/>
        <v>470796.71580040659</v>
      </c>
      <c r="H21" s="4">
        <f t="shared" si="1"/>
        <v>0.5</v>
      </c>
      <c r="I21" s="1">
        <f t="shared" si="5"/>
        <v>1587288.7202117399</v>
      </c>
      <c r="J21" s="9">
        <f t="shared" si="6"/>
        <v>0.19595806195848009</v>
      </c>
      <c r="K21" s="2">
        <f t="shared" si="7"/>
        <v>622084.04276249744</v>
      </c>
      <c r="L21" s="9">
        <f t="shared" si="8"/>
        <v>0.17834610101988158</v>
      </c>
      <c r="M21" s="2">
        <f t="shared" si="9"/>
        <v>566173.50888520305</v>
      </c>
      <c r="N21" s="34">
        <f>+VLOOKUP(A21,Diabetes!$G$1:$S$206,12,0)/100000</f>
        <v>6.7644852413161094E-2</v>
      </c>
      <c r="O21">
        <f t="shared" si="10"/>
        <v>0.298302167654037</v>
      </c>
      <c r="P21" s="16">
        <v>4.9083080000000001E-2</v>
      </c>
      <c r="Q21">
        <v>0.39599678925575998</v>
      </c>
      <c r="R21">
        <v>0.11381297762053599</v>
      </c>
      <c r="S21" s="35">
        <v>5.8836392503971303E-2</v>
      </c>
      <c r="T21" s="40">
        <f>IFERROR(VLOOKUP(A21,HTN_targets!$R$9:$X$203,6,0),L21)</f>
        <v>0.1483021676540375</v>
      </c>
      <c r="U21">
        <f t="shared" si="11"/>
        <v>1</v>
      </c>
      <c r="V21" s="15">
        <f t="shared" si="2"/>
        <v>64058.547721658993</v>
      </c>
      <c r="W21" s="15">
        <f t="shared" si="3"/>
        <v>171795.0579452776</v>
      </c>
    </row>
    <row r="22" spans="1:23" x14ac:dyDescent="0.3">
      <c r="A22" t="s">
        <v>15</v>
      </c>
      <c r="B22" s="33">
        <f>IFERROR(VLOOKUP(A22,HTN_targets!$D$1:$M$195,3,0),Q22)</f>
        <v>0.46812569999999998</v>
      </c>
      <c r="C22" s="33">
        <f>IFERROR(VLOOKUP(A22,HTN_targets!$D$1:$M$195,10,0),R22)</f>
        <v>0.24749425053596499</v>
      </c>
      <c r="D22" s="35">
        <v>4.8931326609352802E-2</v>
      </c>
      <c r="E22" s="1">
        <v>309233</v>
      </c>
      <c r="F22" s="1">
        <f t="shared" si="0"/>
        <v>144759.91458809999</v>
      </c>
      <c r="G22" s="1">
        <f t="shared" si="4"/>
        <v>35827.246568632108</v>
      </c>
      <c r="H22" s="4">
        <f t="shared" si="1"/>
        <v>0.5</v>
      </c>
      <c r="I22" s="1">
        <f t="shared" si="5"/>
        <v>72379.957294049993</v>
      </c>
      <c r="J22" s="9">
        <f t="shared" si="6"/>
        <v>0.29515014484040808</v>
      </c>
      <c r="K22" s="2">
        <f t="shared" si="7"/>
        <v>42725.909757762813</v>
      </c>
      <c r="L22" s="9">
        <f t="shared" si="8"/>
        <v>0.27753818390180957</v>
      </c>
      <c r="M22" s="2">
        <f t="shared" si="9"/>
        <v>40176.403796562336</v>
      </c>
      <c r="N22" s="34">
        <f>+VLOOKUP(A22,Diabetes!$G$1:$S$206,12,0)/100000</f>
        <v>0.11177245649170199</v>
      </c>
      <c r="O22">
        <f t="shared" si="10"/>
        <v>0.39749425053596499</v>
      </c>
      <c r="P22" s="16">
        <v>5.5833428333333331E-2</v>
      </c>
      <c r="Q22">
        <v>0.45546131589038003</v>
      </c>
      <c r="R22">
        <v>0.18854787089047201</v>
      </c>
      <c r="S22" s="35">
        <v>4.8931326609352802E-2</v>
      </c>
      <c r="T22" s="40">
        <f>IFERROR(VLOOKUP(A22,HTN_targets!$R$9:$X$203,6,0),L22)</f>
        <v>0.24749425053596499</v>
      </c>
      <c r="U22">
        <f t="shared" si="11"/>
        <v>0</v>
      </c>
      <c r="V22" s="15">
        <f t="shared" si="2"/>
        <v>6431.5250465660474</v>
      </c>
      <c r="W22" s="15">
        <f t="shared" si="3"/>
        <v>12944.137004032722</v>
      </c>
    </row>
    <row r="23" spans="1:23" x14ac:dyDescent="0.3">
      <c r="A23" t="s">
        <v>16</v>
      </c>
      <c r="B23" s="33">
        <f>IFERROR(VLOOKUP(A23,HTN_targets!$D$1:$M$195,3,0),Q23)</f>
        <v>0.31960893000000001</v>
      </c>
      <c r="C23" s="33">
        <f>IFERROR(VLOOKUP(A23,HTN_targets!$D$1:$M$195,10,0),R23)</f>
        <v>0.182648450136184</v>
      </c>
      <c r="D23" s="35">
        <v>5.4970040445958303E-2</v>
      </c>
      <c r="E23" s="1">
        <v>1268558</v>
      </c>
      <c r="F23" s="1">
        <f t="shared" si="0"/>
        <v>405442.46502294001</v>
      </c>
      <c r="G23" s="1">
        <f t="shared" si="4"/>
        <v>74053.437855833981</v>
      </c>
      <c r="H23" s="4">
        <f t="shared" si="1"/>
        <v>0.5</v>
      </c>
      <c r="I23" s="1">
        <f t="shared" si="5"/>
        <v>202721.23251147001</v>
      </c>
      <c r="J23" s="9">
        <f t="shared" si="6"/>
        <v>0.23030434444062708</v>
      </c>
      <c r="K23" s="2">
        <f t="shared" si="7"/>
        <v>93375.161115500072</v>
      </c>
      <c r="L23" s="9">
        <f t="shared" si="8"/>
        <v>0.21269238350202857</v>
      </c>
      <c r="M23" s="2">
        <f t="shared" si="9"/>
        <v>86234.524258666963</v>
      </c>
      <c r="N23" s="34">
        <f>+VLOOKUP(A23,Diabetes!$G$1:$S$206,12,0)/100000</f>
        <v>0.21294375543612401</v>
      </c>
      <c r="O23">
        <f t="shared" si="10"/>
        <v>0.33264845013618399</v>
      </c>
      <c r="P23" s="16">
        <v>5.7171119999999999E-2</v>
      </c>
      <c r="Q23">
        <v>0.401005334137087</v>
      </c>
      <c r="R23">
        <v>0.17520933396385699</v>
      </c>
      <c r="S23" s="35">
        <v>5.4970040445958303E-2</v>
      </c>
      <c r="T23" s="40">
        <f>IFERROR(VLOOKUP(A23,HTN_targets!$R$9:$X$203,6,0),L23)</f>
        <v>0.18264845013618469</v>
      </c>
      <c r="U23">
        <f t="shared" si="11"/>
        <v>1</v>
      </c>
      <c r="V23" s="15">
        <f t="shared" si="2"/>
        <v>28719.68332726655</v>
      </c>
      <c r="W23" s="15">
        <f t="shared" si="3"/>
        <v>69069.152892211365</v>
      </c>
    </row>
    <row r="24" spans="1:23" x14ac:dyDescent="0.3">
      <c r="A24" t="s">
        <v>17</v>
      </c>
      <c r="B24" s="33">
        <f>IFERROR(VLOOKUP(A24,HTN_targets!$D$1:$M$195,3,0),Q24)</f>
        <v>0.28281882000000003</v>
      </c>
      <c r="C24" s="33">
        <f>IFERROR(VLOOKUP(A24,HTN_targets!$D$1:$M$195,10,0),R24)</f>
        <v>0.15759722888469699</v>
      </c>
      <c r="D24" s="35">
        <v>5.9796085303155298E-2</v>
      </c>
      <c r="E24" s="1">
        <v>113586743.5</v>
      </c>
      <c r="F24" s="1">
        <f t="shared" si="0"/>
        <v>32124468.764312673</v>
      </c>
      <c r="G24" s="1">
        <f t="shared" si="4"/>
        <v>5062727.256648683</v>
      </c>
      <c r="H24" s="4">
        <f t="shared" si="1"/>
        <v>0.5</v>
      </c>
      <c r="I24" s="1">
        <f t="shared" si="5"/>
        <v>16062234.382156337</v>
      </c>
      <c r="J24" s="9">
        <f t="shared" si="6"/>
        <v>0.20525312318914007</v>
      </c>
      <c r="K24" s="2">
        <f t="shared" si="7"/>
        <v>6593647.5446671518</v>
      </c>
      <c r="L24" s="9">
        <f t="shared" si="8"/>
        <v>0.18764116225054156</v>
      </c>
      <c r="M24" s="2">
        <f t="shared" si="9"/>
        <v>6027872.6556168487</v>
      </c>
      <c r="N24" s="34">
        <f>+VLOOKUP(A24,Diabetes!$G$1:$S$206,12,0)/100000</f>
        <v>6.4803578145428406E-2</v>
      </c>
      <c r="O24">
        <f t="shared" si="10"/>
        <v>0.30759722888469698</v>
      </c>
      <c r="P24" s="16">
        <v>4.6957119999999998E-2</v>
      </c>
      <c r="Q24">
        <v>0.23546531041442001</v>
      </c>
      <c r="R24">
        <v>0.143925810911918</v>
      </c>
      <c r="S24" s="35">
        <v>5.9796085303155298E-2</v>
      </c>
      <c r="T24" s="40">
        <f>IFERROR(VLOOKUP(A24,HTN_targets!$R$9:$X$203,6,0),L24)</f>
        <v>0.15759722888469699</v>
      </c>
      <c r="U24">
        <f t="shared" si="11"/>
        <v>0</v>
      </c>
      <c r="V24" s="15">
        <f t="shared" si="2"/>
        <v>640349.91969749983</v>
      </c>
      <c r="W24" s="15">
        <f t="shared" si="3"/>
        <v>1665424.4175588083</v>
      </c>
    </row>
    <row r="25" spans="1:23" x14ac:dyDescent="0.3">
      <c r="A25" t="s">
        <v>18</v>
      </c>
      <c r="B25" s="33">
        <f>IFERROR(VLOOKUP(A25,HTN_targets!$D$1:$M$195,3,0),Q25)</f>
        <v>0.49306573999999997</v>
      </c>
      <c r="C25" s="33">
        <f>IFERROR(VLOOKUP(A25,HTN_targets!$D$1:$M$195,10,0),R25)</f>
        <v>0.37836894392967202</v>
      </c>
      <c r="D25" s="35">
        <v>5.90364809917353E-2</v>
      </c>
      <c r="E25" s="1">
        <v>219730</v>
      </c>
      <c r="F25" s="1">
        <f t="shared" si="0"/>
        <v>108341.3350502</v>
      </c>
      <c r="G25" s="1">
        <f t="shared" si="4"/>
        <v>40992.996526874929</v>
      </c>
      <c r="H25" s="4">
        <f t="shared" si="1"/>
        <v>0.5</v>
      </c>
      <c r="I25" s="1">
        <f t="shared" si="5"/>
        <v>54170.667525099998</v>
      </c>
      <c r="J25" s="9">
        <f t="shared" si="6"/>
        <v>0.42602483823411508</v>
      </c>
      <c r="K25" s="2">
        <f t="shared" si="7"/>
        <v>46156.099738829515</v>
      </c>
      <c r="L25" s="9">
        <f t="shared" si="8"/>
        <v>0.40841287729551656</v>
      </c>
      <c r="M25" s="2">
        <f t="shared" si="9"/>
        <v>44247.99637788978</v>
      </c>
      <c r="N25" s="34">
        <f>+VLOOKUP(A25,Diabetes!$G$1:$S$206,12,0)/100000</f>
        <v>0.18393577000314398</v>
      </c>
      <c r="O25">
        <f t="shared" si="10"/>
        <v>0.52836894392967204</v>
      </c>
      <c r="P25" s="16">
        <v>6.1791039999999998E-2</v>
      </c>
      <c r="Q25">
        <v>0.39990781618083399</v>
      </c>
      <c r="R25">
        <v>0.311016143257068</v>
      </c>
      <c r="S25" s="35">
        <v>5.90364809917353E-2</v>
      </c>
      <c r="T25" s="40">
        <f>IFERROR(VLOOKUP(A25,HTN_targets!$R$9:$X$203,6,0),L25)</f>
        <v>0.37836894392967219</v>
      </c>
      <c r="U25">
        <f t="shared" si="11"/>
        <v>0</v>
      </c>
      <c r="V25" s="15">
        <f t="shared" si="2"/>
        <v>10529.25541375102</v>
      </c>
      <c r="W25" s="15">
        <f t="shared" si="3"/>
        <v>15942.277508501718</v>
      </c>
    </row>
    <row r="26" spans="1:23" x14ac:dyDescent="0.3">
      <c r="A26" t="s">
        <v>19</v>
      </c>
      <c r="B26" s="33">
        <f>IFERROR(VLOOKUP(A26,HTN_targets!$D$1:$M$195,3,0),Q26)</f>
        <v>0.53998493999999997</v>
      </c>
      <c r="C26" s="33">
        <f>IFERROR(VLOOKUP(A26,HTN_targets!$D$1:$M$195,10,0),R26)</f>
        <v>0.121919550001621</v>
      </c>
      <c r="D26" s="35">
        <v>7.2153994663531895E-2</v>
      </c>
      <c r="E26" s="1">
        <v>7151611.5</v>
      </c>
      <c r="F26" s="1">
        <f t="shared" si="0"/>
        <v>3861762.5067308098</v>
      </c>
      <c r="G26" s="1">
        <f t="shared" si="4"/>
        <v>470824.34703375219</v>
      </c>
      <c r="H26" s="4">
        <f t="shared" si="1"/>
        <v>0.5</v>
      </c>
      <c r="I26" s="1">
        <f t="shared" si="5"/>
        <v>1930881.2533654049</v>
      </c>
      <c r="J26" s="9">
        <f t="shared" si="6"/>
        <v>0.16957544430606408</v>
      </c>
      <c r="K26" s="2">
        <f t="shared" si="7"/>
        <v>654860.09288337687</v>
      </c>
      <c r="L26" s="9">
        <f t="shared" si="8"/>
        <v>0.15196348336746557</v>
      </c>
      <c r="M26" s="2">
        <f t="shared" si="9"/>
        <v>586846.88246068952</v>
      </c>
      <c r="N26" s="34">
        <f>+VLOOKUP(A26,Diabetes!$G$1:$S$206,12,0)/100000</f>
        <v>7.09609662162871E-2</v>
      </c>
      <c r="O26">
        <f t="shared" si="10"/>
        <v>0.27191955000162099</v>
      </c>
      <c r="P26" s="16">
        <v>3.9907610000000003E-2</v>
      </c>
      <c r="Q26">
        <v>0.515611617458129</v>
      </c>
      <c r="R26">
        <v>8.1051727009417096E-2</v>
      </c>
      <c r="S26" s="35">
        <v>7.2153994663531895E-2</v>
      </c>
      <c r="T26" s="40">
        <f>IFERROR(VLOOKUP(A26,HTN_targets!$R$9:$X$203,6,0),L26)</f>
        <v>0.1219195500016212</v>
      </c>
      <c r="U26">
        <f t="shared" si="11"/>
        <v>0</v>
      </c>
      <c r="V26" s="15">
        <f t="shared" si="2"/>
        <v>74515.310399984897</v>
      </c>
      <c r="W26" s="15">
        <f t="shared" si="3"/>
        <v>219227.51902035938</v>
      </c>
    </row>
    <row r="27" spans="1:23" x14ac:dyDescent="0.3">
      <c r="A27" t="s">
        <v>20</v>
      </c>
      <c r="B27" s="33">
        <f>IFERROR(VLOOKUP(A27,HTN_targets!$D$1:$M$195,3,0),Q27)</f>
        <v>0.35070905000000002</v>
      </c>
      <c r="C27" s="33">
        <f>IFERROR(VLOOKUP(A27,HTN_targets!$D$1:$M$195,10,0),R27)</f>
        <v>0.42824572324752802</v>
      </c>
      <c r="D27" s="35">
        <v>3.8432544897823301E-2</v>
      </c>
      <c r="E27" s="1">
        <v>9354648.5</v>
      </c>
      <c r="F27" s="1">
        <f t="shared" si="0"/>
        <v>3280759.8885189253</v>
      </c>
      <c r="G27" s="1">
        <f t="shared" si="4"/>
        <v>1404971.3912602665</v>
      </c>
      <c r="H27" s="4">
        <f t="shared" si="1"/>
        <v>0.5</v>
      </c>
      <c r="I27" s="1">
        <f t="shared" si="5"/>
        <v>1640379.9442594626</v>
      </c>
      <c r="J27" s="9">
        <f t="shared" si="6"/>
        <v>0.47590161755197113</v>
      </c>
      <c r="K27" s="2">
        <f t="shared" si="7"/>
        <v>1561318.9377457811</v>
      </c>
      <c r="L27" s="9">
        <f t="shared" si="8"/>
        <v>0.45828965661337262</v>
      </c>
      <c r="M27" s="2">
        <f t="shared" si="9"/>
        <v>1503538.3227402649</v>
      </c>
      <c r="N27" s="34">
        <f>+VLOOKUP(A27,Diabetes!$G$1:$S$206,12,0)/100000</f>
        <v>6.35195062337401E-2</v>
      </c>
      <c r="O27">
        <f t="shared" si="10"/>
        <v>0.57824572324752799</v>
      </c>
      <c r="P27" s="16">
        <v>5.2428790000000003E-2</v>
      </c>
      <c r="Q27">
        <v>0.338178633577562</v>
      </c>
      <c r="R27">
        <v>0.35516680013923702</v>
      </c>
      <c r="S27" s="35">
        <v>3.8432544897823301E-2</v>
      </c>
      <c r="T27" s="40">
        <f>IFERROR(VLOOKUP(A27,HTN_targets!$R$9:$X$203,6,0),L27)</f>
        <v>0.42824572324752808</v>
      </c>
      <c r="U27">
        <f t="shared" si="11"/>
        <v>0</v>
      </c>
      <c r="V27" s="15">
        <f t="shared" si="2"/>
        <v>120501.92627391034</v>
      </c>
      <c r="W27" s="15">
        <f t="shared" si="3"/>
        <v>166713.79855214589</v>
      </c>
    </row>
    <row r="28" spans="1:23" x14ac:dyDescent="0.3">
      <c r="A28" t="s">
        <v>21</v>
      </c>
      <c r="B28" s="33">
        <f>IFERROR(VLOOKUP(A28,HTN_targets!$D$1:$M$195,3,0),Q28)</f>
        <v>0.37030411000000002</v>
      </c>
      <c r="C28" s="33">
        <f>IFERROR(VLOOKUP(A28,HTN_targets!$D$1:$M$195,10,0),R28)</f>
        <v>0.22931204736232699</v>
      </c>
      <c r="D28" s="35">
        <v>5.4276697030643903E-2</v>
      </c>
      <c r="E28" s="1">
        <v>281687</v>
      </c>
      <c r="F28" s="1">
        <f t="shared" si="0"/>
        <v>104309.85383357</v>
      </c>
      <c r="G28" s="1">
        <f t="shared" si="4"/>
        <v>23919.50614264101</v>
      </c>
      <c r="H28" s="4">
        <f t="shared" si="1"/>
        <v>0.5</v>
      </c>
      <c r="I28" s="1">
        <f t="shared" si="5"/>
        <v>52154.926916785</v>
      </c>
      <c r="J28" s="9">
        <f t="shared" si="6"/>
        <v>0.27696794166677008</v>
      </c>
      <c r="K28" s="2">
        <f t="shared" si="7"/>
        <v>28890.485511845531</v>
      </c>
      <c r="L28" s="9">
        <f t="shared" si="8"/>
        <v>0.25935598072817156</v>
      </c>
      <c r="M28" s="2">
        <f t="shared" si="9"/>
        <v>27053.384440617774</v>
      </c>
      <c r="N28" s="34">
        <f>+VLOOKUP(A28,Diabetes!$G$1:$S$206,12,0)/100000</f>
        <v>9.4762519512879492E-2</v>
      </c>
      <c r="O28">
        <f t="shared" si="10"/>
        <v>0.37931204736232699</v>
      </c>
      <c r="P28" s="16">
        <v>6.151599E-2</v>
      </c>
      <c r="Q28">
        <v>0.38025871109149401</v>
      </c>
      <c r="R28">
        <v>0.18589208811655999</v>
      </c>
      <c r="S28" s="35">
        <v>5.4276697030643903E-2</v>
      </c>
      <c r="T28" s="40">
        <f>IFERROR(VLOOKUP(A28,HTN_targets!$R$9:$X$203,6,0),L28)</f>
        <v>0.2293120473623276</v>
      </c>
      <c r="U28">
        <f t="shared" si="11"/>
        <v>1</v>
      </c>
      <c r="V28" s="15">
        <f t="shared" si="2"/>
        <v>3749.3723514738526</v>
      </c>
      <c r="W28" s="15">
        <f t="shared" si="3"/>
        <v>7907.7316474314284</v>
      </c>
    </row>
    <row r="29" spans="1:23" x14ac:dyDescent="0.3">
      <c r="A29" t="s">
        <v>22</v>
      </c>
      <c r="B29" s="33">
        <f>IFERROR(VLOOKUP(A29,HTN_targets!$D$1:$M$195,3,0),Q29)</f>
        <v>0.25899791999999999</v>
      </c>
      <c r="C29" s="33">
        <f>IFERROR(VLOOKUP(A29,HTN_targets!$D$1:$M$195,10,0),R29)</f>
        <v>0.109309799969196</v>
      </c>
      <c r="D29" s="35">
        <v>7.1338598050254304E-2</v>
      </c>
      <c r="E29" s="1">
        <v>7421746.5</v>
      </c>
      <c r="F29" s="1">
        <f t="shared" si="0"/>
        <v>1922216.90626728</v>
      </c>
      <c r="G29" s="1">
        <f t="shared" si="4"/>
        <v>210117.14552148315</v>
      </c>
      <c r="H29" s="4">
        <f t="shared" si="1"/>
        <v>0.5</v>
      </c>
      <c r="I29" s="1">
        <f t="shared" si="5"/>
        <v>961108.45313364</v>
      </c>
      <c r="J29" s="9">
        <f t="shared" si="6"/>
        <v>0.1569656942736391</v>
      </c>
      <c r="K29" s="2">
        <f t="shared" si="7"/>
        <v>301722.11123677023</v>
      </c>
      <c r="L29" s="9">
        <f t="shared" si="8"/>
        <v>0.13935373333504059</v>
      </c>
      <c r="M29" s="2">
        <f t="shared" si="9"/>
        <v>267868.10216807725</v>
      </c>
      <c r="N29" s="34">
        <f>+VLOOKUP(A29,Diabetes!$G$1:$S$206,12,0)/100000</f>
        <v>2.8842594379886E-2</v>
      </c>
      <c r="O29">
        <f t="shared" si="10"/>
        <v>0.25930979996919601</v>
      </c>
      <c r="P29" s="16">
        <v>5.9501209999999999E-2</v>
      </c>
      <c r="Q29">
        <v>0.28901009878940698</v>
      </c>
      <c r="R29">
        <v>8.8258284884828897E-2</v>
      </c>
      <c r="S29" s="35">
        <v>7.1338598050254304E-2</v>
      </c>
      <c r="T29" s="40">
        <f>IFERROR(VLOOKUP(A29,HTN_targets!$R$9:$X$203,6,0),L29)</f>
        <v>0.10930979996919631</v>
      </c>
      <c r="U29">
        <f t="shared" si="11"/>
        <v>0</v>
      </c>
      <c r="V29" s="15">
        <f t="shared" si="2"/>
        <v>14376.581981179595</v>
      </c>
      <c r="W29" s="15">
        <f t="shared" si="3"/>
        <v>44353.378030101208</v>
      </c>
    </row>
    <row r="30" spans="1:23" x14ac:dyDescent="0.3">
      <c r="A30" t="s">
        <v>23</v>
      </c>
      <c r="B30" s="33">
        <f>IFERROR(VLOOKUP(A30,HTN_targets!$D$1:$M$195,3,0),Q30)</f>
        <v>0.41977158072168103</v>
      </c>
      <c r="C30" s="33">
        <f>IFERROR(VLOOKUP(A30,HTN_targets!$D$1:$M$195,10,0),R30)</f>
        <v>0.19341937110826499</v>
      </c>
      <c r="D30" s="35">
        <v>5.2560471905526297E-2</v>
      </c>
      <c r="E30" s="1">
        <v>53200</v>
      </c>
      <c r="F30" s="1">
        <f t="shared" si="0"/>
        <v>22331.84809439343</v>
      </c>
      <c r="G30" s="1">
        <f t="shared" si="4"/>
        <v>4319.4120141028834</v>
      </c>
      <c r="H30" s="4">
        <f t="shared" si="1"/>
        <v>0.5</v>
      </c>
      <c r="I30" s="1">
        <f t="shared" si="5"/>
        <v>11165.924047196715</v>
      </c>
      <c r="J30" s="9">
        <f t="shared" si="6"/>
        <v>0.24107526541270807</v>
      </c>
      <c r="K30" s="2">
        <f t="shared" si="7"/>
        <v>5383.6562065121752</v>
      </c>
      <c r="L30" s="9">
        <f t="shared" si="8"/>
        <v>0.22346330447410956</v>
      </c>
      <c r="M30" s="2">
        <f t="shared" si="9"/>
        <v>4990.3485701870022</v>
      </c>
      <c r="N30" s="34">
        <f>+VLOOKUP(A30,Diabetes!$G$1:$S$206,12,0)/100000</f>
        <v>0.10871430142479699</v>
      </c>
      <c r="O30">
        <f t="shared" si="10"/>
        <v>0.34341937110826498</v>
      </c>
      <c r="P30" s="16">
        <v>5.010059E-2</v>
      </c>
      <c r="Q30">
        <v>0.41977158072168103</v>
      </c>
      <c r="R30">
        <v>0.19341937110826499</v>
      </c>
      <c r="S30" s="35">
        <v>5.2560471905526297E-2</v>
      </c>
      <c r="T30" s="40">
        <f>IFERROR(VLOOKUP(A30,HTN_targets!$R$9:$X$203,6,0),L30)</f>
        <v>0.22346330447410956</v>
      </c>
      <c r="U30">
        <f t="shared" si="11"/>
        <v>1</v>
      </c>
      <c r="V30" s="15">
        <f t="shared" si="2"/>
        <v>833.75054944507008</v>
      </c>
      <c r="W30" s="15">
        <f t="shared" si="3"/>
        <v>1942.2330120853323</v>
      </c>
    </row>
    <row r="31" spans="1:23" x14ac:dyDescent="0.3">
      <c r="A31" t="s">
        <v>24</v>
      </c>
      <c r="B31" s="33">
        <f>IFERROR(VLOOKUP(A31,HTN_targets!$D$1:$M$195,3,0),Q31)</f>
        <v>0.42446773999999998</v>
      </c>
      <c r="C31" s="33">
        <f>IFERROR(VLOOKUP(A31,HTN_targets!$D$1:$M$195,10,0),R31)</f>
        <v>9.12657231092453E-2</v>
      </c>
      <c r="D31" s="35">
        <v>7.6830856803716305E-2</v>
      </c>
      <c r="E31" s="1">
        <v>581900</v>
      </c>
      <c r="F31" s="1">
        <f t="shared" si="0"/>
        <v>246997.777906</v>
      </c>
      <c r="G31" s="1">
        <f t="shared" si="4"/>
        <v>22542.430806967863</v>
      </c>
      <c r="H31" s="4">
        <f t="shared" si="1"/>
        <v>0.5</v>
      </c>
      <c r="I31" s="1">
        <f t="shared" si="5"/>
        <v>123498.888953</v>
      </c>
      <c r="J31" s="9">
        <f t="shared" si="6"/>
        <v>0.13892161741368839</v>
      </c>
      <c r="K31" s="2">
        <f t="shared" si="7"/>
        <v>34313.330804288504</v>
      </c>
      <c r="L31" s="9">
        <f t="shared" si="8"/>
        <v>0.12130965647508987</v>
      </c>
      <c r="M31" s="2">
        <f t="shared" si="9"/>
        <v>29963.215587887404</v>
      </c>
      <c r="N31" s="34">
        <f>+VLOOKUP(A31,Diabetes!$G$1:$S$206,12,0)/100000</f>
        <v>5.58595356661458E-2</v>
      </c>
      <c r="O31">
        <f t="shared" si="10"/>
        <v>0.24126572310924529</v>
      </c>
      <c r="P31" s="16">
        <v>5.0581260000000003E-2</v>
      </c>
      <c r="Q31">
        <v>0.436381999958112</v>
      </c>
      <c r="R31">
        <v>8.0184822467365205E-2</v>
      </c>
      <c r="S31" s="35">
        <v>7.6830856803716305E-2</v>
      </c>
      <c r="T31" s="40">
        <f>IFERROR(VLOOKUP(A31,HTN_targets!$R$9:$X$203,6,0),L31)</f>
        <v>9.12657231092453E-2</v>
      </c>
      <c r="U31">
        <f t="shared" si="11"/>
        <v>0</v>
      </c>
      <c r="V31" s="15">
        <f t="shared" si="2"/>
        <v>3328.7868953232901</v>
      </c>
      <c r="W31" s="15">
        <f t="shared" si="3"/>
        <v>11037.744947519175</v>
      </c>
    </row>
    <row r="32" spans="1:23" x14ac:dyDescent="0.3">
      <c r="A32" t="s">
        <v>25</v>
      </c>
      <c r="B32" s="33">
        <f>IFERROR(VLOOKUP(A32,HTN_targets!$D$1:$M$195,3,0),Q32)</f>
        <v>0.28441849000000002</v>
      </c>
      <c r="C32" s="33">
        <f>IFERROR(VLOOKUP(A32,HTN_targets!$D$1:$M$195,10,0),R32)</f>
        <v>0.28512787818908603</v>
      </c>
      <c r="D32" s="35">
        <v>3.7985310091425598E-2</v>
      </c>
      <c r="E32" s="1">
        <v>7922576</v>
      </c>
      <c r="F32" s="1">
        <f t="shared" si="0"/>
        <v>2253327.10283024</v>
      </c>
      <c r="G32" s="1">
        <f t="shared" si="4"/>
        <v>642486.37569594686</v>
      </c>
      <c r="H32" s="4">
        <f t="shared" si="1"/>
        <v>0.5</v>
      </c>
      <c r="I32" s="1">
        <f t="shared" si="5"/>
        <v>1126663.55141512</v>
      </c>
      <c r="J32" s="9">
        <f t="shared" si="6"/>
        <v>0.33278377249352908</v>
      </c>
      <c r="K32" s="2">
        <f t="shared" si="7"/>
        <v>749870.69394176162</v>
      </c>
      <c r="L32" s="9">
        <f t="shared" si="8"/>
        <v>0.31517181155493057</v>
      </c>
      <c r="M32" s="2">
        <f t="shared" si="9"/>
        <v>710185.18502483005</v>
      </c>
      <c r="N32" s="34">
        <f>+VLOOKUP(A32,Diabetes!$G$1:$S$206,12,0)/100000</f>
        <v>5.2394093773273497E-2</v>
      </c>
      <c r="O32">
        <f t="shared" si="10"/>
        <v>0.43512787818908605</v>
      </c>
      <c r="P32" s="16">
        <v>4.4209230000000002E-2</v>
      </c>
      <c r="Q32">
        <v>0.29428771295171502</v>
      </c>
      <c r="R32">
        <v>0.22199984736260001</v>
      </c>
      <c r="S32" s="35">
        <v>3.7985310091425598E-2</v>
      </c>
      <c r="T32" s="40">
        <f>IFERROR(VLOOKUP(A32,HTN_targets!$R$9:$X$203,6,0),L32)</f>
        <v>0.28512787818908691</v>
      </c>
      <c r="U32">
        <f t="shared" si="11"/>
        <v>1</v>
      </c>
      <c r="V32" s="15">
        <f t="shared" si="2"/>
        <v>51371.646145396007</v>
      </c>
      <c r="W32" s="15">
        <f t="shared" si="3"/>
        <v>94448.825222037034</v>
      </c>
    </row>
    <row r="33" spans="1:23" x14ac:dyDescent="0.3">
      <c r="A33" t="s">
        <v>26</v>
      </c>
      <c r="B33" s="33">
        <f>IFERROR(VLOOKUP(A33,HTN_targets!$D$1:$M$195,3,0),Q33)</f>
        <v>0.52827018000000003</v>
      </c>
      <c r="C33" s="33">
        <f>IFERROR(VLOOKUP(A33,HTN_targets!$D$1:$M$195,10,0),R33)</f>
        <v>0.20487739145755701</v>
      </c>
      <c r="D33" s="35">
        <v>8.4962826513122106E-2</v>
      </c>
      <c r="E33" s="1">
        <v>2608267</v>
      </c>
      <c r="F33" s="1">
        <f t="shared" si="0"/>
        <v>1377869.6775780602</v>
      </c>
      <c r="G33" s="1">
        <f t="shared" si="4"/>
        <v>282294.3453106581</v>
      </c>
      <c r="H33" s="4">
        <f t="shared" si="1"/>
        <v>0.5</v>
      </c>
      <c r="I33" s="1">
        <f t="shared" si="5"/>
        <v>688934.83878903009</v>
      </c>
      <c r="J33" s="9">
        <f t="shared" si="6"/>
        <v>0.25253328576200007</v>
      </c>
      <c r="K33" s="2">
        <f t="shared" si="7"/>
        <v>347957.95703061519</v>
      </c>
      <c r="L33" s="9">
        <f t="shared" si="8"/>
        <v>0.23492132482340158</v>
      </c>
      <c r="M33" s="2">
        <f t="shared" si="9"/>
        <v>323690.9700906311</v>
      </c>
      <c r="N33" s="34">
        <f>+VLOOKUP(A33,Diabetes!$G$1:$S$206,12,0)/100000</f>
        <v>0.116061684650713</v>
      </c>
      <c r="O33">
        <f t="shared" si="10"/>
        <v>0.35487739145755703</v>
      </c>
      <c r="P33" s="16">
        <v>5.5833428333333331E-2</v>
      </c>
      <c r="Q33">
        <v>0.46900197103680202</v>
      </c>
      <c r="R33">
        <v>0.14521831389329701</v>
      </c>
      <c r="S33" s="35">
        <v>8.4962826513122106E-2</v>
      </c>
      <c r="T33" s="40">
        <f>IFERROR(VLOOKUP(A33,HTN_targets!$R$9:$X$203,6,0),L33)</f>
        <v>0.20487739145755771</v>
      </c>
      <c r="U33">
        <f t="shared" si="11"/>
        <v>1</v>
      </c>
      <c r="V33" s="15">
        <f t="shared" si="2"/>
        <v>56751.238685451746</v>
      </c>
      <c r="W33" s="15">
        <f t="shared" si="3"/>
        <v>127934.30080707553</v>
      </c>
    </row>
    <row r="34" spans="1:23" x14ac:dyDescent="0.3">
      <c r="A34" t="s">
        <v>27</v>
      </c>
      <c r="B34" s="33">
        <f>IFERROR(VLOOKUP(A34,HTN_targets!$D$1:$M$195,3,0),Q34)</f>
        <v>0.40864330999999998</v>
      </c>
      <c r="C34" s="33">
        <f>IFERROR(VLOOKUP(A34,HTN_targets!$D$1:$M$195,10,0),R34)</f>
        <v>0.20350369811058</v>
      </c>
      <c r="D34" s="35">
        <v>8.0427072335872193E-2</v>
      </c>
      <c r="E34" s="1">
        <v>1549375</v>
      </c>
      <c r="F34" s="1">
        <f t="shared" si="0"/>
        <v>633141.72843124997</v>
      </c>
      <c r="G34" s="1">
        <f t="shared" si="4"/>
        <v>128846.68316388392</v>
      </c>
      <c r="H34" s="4">
        <f t="shared" si="1"/>
        <v>0.5</v>
      </c>
      <c r="I34" s="1">
        <f t="shared" si="5"/>
        <v>316570.86421562498</v>
      </c>
      <c r="J34" s="9">
        <f t="shared" si="6"/>
        <v>0.25115959241502306</v>
      </c>
      <c r="K34" s="2">
        <f t="shared" si="7"/>
        <v>159019.61845373595</v>
      </c>
      <c r="L34" s="9">
        <f t="shared" si="8"/>
        <v>0.23354763147642457</v>
      </c>
      <c r="M34" s="2">
        <f t="shared" si="9"/>
        <v>147868.75106400804</v>
      </c>
      <c r="N34" s="34">
        <f>+VLOOKUP(A34,Diabetes!$G$1:$S$206,12,0)/100000</f>
        <v>4.0915365297205498E-2</v>
      </c>
      <c r="O34">
        <f t="shared" si="10"/>
        <v>0.35350369811058002</v>
      </c>
      <c r="P34" s="16">
        <v>6.7904409999999998E-2</v>
      </c>
      <c r="Q34">
        <v>0.40340601586410801</v>
      </c>
      <c r="R34">
        <v>0.16491048699709601</v>
      </c>
      <c r="S34" s="35">
        <v>8.0427072335872193E-2</v>
      </c>
      <c r="T34" s="40">
        <f>IFERROR(VLOOKUP(A34,HTN_targets!$R$9:$X$203,6,0),L34)</f>
        <v>0.20350369811058039</v>
      </c>
      <c r="U34">
        <f t="shared" si="11"/>
        <v>0</v>
      </c>
      <c r="V34" s="15">
        <f t="shared" si="2"/>
        <v>9157.5928745339097</v>
      </c>
      <c r="W34" s="15">
        <f t="shared" si="3"/>
        <v>20724.180082934938</v>
      </c>
    </row>
    <row r="35" spans="1:23" x14ac:dyDescent="0.3">
      <c r="A35" t="s">
        <v>28</v>
      </c>
      <c r="B35" s="33">
        <f>IFERROR(VLOOKUP(A35,HTN_targets!$D$1:$M$195,3,0),Q35)</f>
        <v>0.45856829999999998</v>
      </c>
      <c r="C35" s="33">
        <f>IFERROR(VLOOKUP(A35,HTN_targets!$D$1:$M$195,10,0),R35)</f>
        <v>0.38068264722824102</v>
      </c>
      <c r="D35" s="35">
        <v>5.8010631775701101E-2</v>
      </c>
      <c r="E35" s="1">
        <v>159869426</v>
      </c>
      <c r="F35" s="1">
        <f t="shared" si="0"/>
        <v>73311050.902795792</v>
      </c>
      <c r="G35" s="1">
        <f t="shared" si="4"/>
        <v>27908244.928760629</v>
      </c>
      <c r="H35" s="4">
        <f t="shared" si="1"/>
        <v>0.5</v>
      </c>
      <c r="I35" s="1">
        <f t="shared" si="5"/>
        <v>36655525.451397896</v>
      </c>
      <c r="J35" s="9">
        <f t="shared" si="6"/>
        <v>0.42833854153268414</v>
      </c>
      <c r="K35" s="2">
        <f t="shared" si="7"/>
        <v>31401948.621931914</v>
      </c>
      <c r="L35" s="9">
        <f t="shared" si="8"/>
        <v>0.41072658059408562</v>
      </c>
      <c r="M35" s="2">
        <f t="shared" si="9"/>
        <v>30110797.257064268</v>
      </c>
      <c r="N35" s="34">
        <f>+VLOOKUP(A35,Diabetes!$G$1:$S$206,12,0)/100000</f>
        <v>7.3005110760756803E-2</v>
      </c>
      <c r="O35">
        <f t="shared" si="10"/>
        <v>0.53068264722824099</v>
      </c>
      <c r="P35" s="16">
        <v>3.4139360000000001E-2</v>
      </c>
      <c r="Q35">
        <v>0.47915298453025801</v>
      </c>
      <c r="R35">
        <v>0.30402568432119398</v>
      </c>
      <c r="S35" s="35">
        <v>5.8010631775701101E-2</v>
      </c>
      <c r="T35" s="40">
        <f>IFERROR(VLOOKUP(A35,HTN_targets!$R$9:$X$203,6,0),L35)</f>
        <v>0.38068264722824102</v>
      </c>
      <c r="U35">
        <f t="shared" si="11"/>
        <v>0</v>
      </c>
      <c r="V35" s="15">
        <f t="shared" si="2"/>
        <v>2840256.7208344121</v>
      </c>
      <c r="W35" s="15">
        <f t="shared" si="3"/>
        <v>4281665.11291687</v>
      </c>
    </row>
    <row r="36" spans="1:23" x14ac:dyDescent="0.3">
      <c r="A36" t="s">
        <v>29</v>
      </c>
      <c r="B36" s="33">
        <f>IFERROR(VLOOKUP(A36,HTN_targets!$D$1:$M$195,3,0),Q36)</f>
        <v>0.47441769</v>
      </c>
      <c r="C36" s="33">
        <f>IFERROR(VLOOKUP(A36,HTN_targets!$D$1:$M$195,10,0),R36)</f>
        <v>0.32365250587463301</v>
      </c>
      <c r="D36" s="35">
        <v>4.4476914370590301E-2</v>
      </c>
      <c r="E36" s="1">
        <v>345215.5</v>
      </c>
      <c r="F36" s="1">
        <f t="shared" si="0"/>
        <v>163776.340062195</v>
      </c>
      <c r="G36" s="1">
        <f t="shared" si="4"/>
        <v>53006.622864105462</v>
      </c>
      <c r="H36" s="4">
        <f t="shared" si="1"/>
        <v>0.5</v>
      </c>
      <c r="I36" s="1">
        <f t="shared" si="5"/>
        <v>81888.170031097499</v>
      </c>
      <c r="J36" s="9">
        <f t="shared" si="6"/>
        <v>0.37130840017907607</v>
      </c>
      <c r="K36" s="2">
        <f t="shared" si="7"/>
        <v>60811.53081567795</v>
      </c>
      <c r="L36" s="9">
        <f t="shared" si="8"/>
        <v>0.35369643924047756</v>
      </c>
      <c r="M36" s="2">
        <f t="shared" si="9"/>
        <v>57927.108311835946</v>
      </c>
      <c r="N36" s="34">
        <f>+VLOOKUP(A36,Diabetes!$G$1:$S$206,12,0)/100000</f>
        <v>9.2897628793314799E-2</v>
      </c>
      <c r="O36">
        <f t="shared" si="10"/>
        <v>0.47365250587463303</v>
      </c>
      <c r="P36" s="16">
        <v>5.5833428333333331E-2</v>
      </c>
      <c r="Q36">
        <v>0.46992514704142901</v>
      </c>
      <c r="R36">
        <v>0.26983279517023401</v>
      </c>
      <c r="S36" s="35">
        <v>4.4476914370590301E-2</v>
      </c>
      <c r="T36" s="40">
        <f>IFERROR(VLOOKUP(A36,HTN_targets!$R$9:$X$203,6,0),L36)</f>
        <v>0.32365250587463379</v>
      </c>
      <c r="U36">
        <f t="shared" si="11"/>
        <v>1</v>
      </c>
      <c r="V36" s="15">
        <f t="shared" si="2"/>
        <v>7206.3546210507247</v>
      </c>
      <c r="W36" s="15">
        <f t="shared" si="3"/>
        <v>12171.546915380386</v>
      </c>
    </row>
    <row r="37" spans="1:23" x14ac:dyDescent="0.3">
      <c r="A37" t="s">
        <v>30</v>
      </c>
      <c r="B37" s="33">
        <f>IFERROR(VLOOKUP(A37,HTN_targets!$D$1:$M$195,3,0),Q37)</f>
        <v>0.53080976000000002</v>
      </c>
      <c r="C37" s="33">
        <f>IFERROR(VLOOKUP(A37,HTN_targets!$D$1:$M$195,10,0),R37)</f>
        <v>0.27120903134346003</v>
      </c>
      <c r="D37" s="35">
        <v>7.7994210754442198E-2</v>
      </c>
      <c r="E37" s="1">
        <v>5467929.5</v>
      </c>
      <c r="F37" s="1">
        <f t="shared" si="0"/>
        <v>2902430.34559192</v>
      </c>
      <c r="G37" s="1">
        <f t="shared" si="4"/>
        <v>787165.3225698485</v>
      </c>
      <c r="H37" s="4">
        <f t="shared" si="1"/>
        <v>0.5</v>
      </c>
      <c r="I37" s="1">
        <f t="shared" si="5"/>
        <v>1451215.17279596</v>
      </c>
      <c r="J37" s="9">
        <f t="shared" si="6"/>
        <v>0.31886492564790314</v>
      </c>
      <c r="K37" s="2">
        <f t="shared" si="7"/>
        <v>925483.23634538543</v>
      </c>
      <c r="L37" s="9">
        <f t="shared" si="8"/>
        <v>0.30125296470930463</v>
      </c>
      <c r="M37" s="2">
        <f t="shared" si="9"/>
        <v>874365.74647181749</v>
      </c>
      <c r="N37" s="34">
        <f>+VLOOKUP(A37,Diabetes!$G$1:$S$206,12,0)/100000</f>
        <v>9.2879304746987204E-2</v>
      </c>
      <c r="O37">
        <f t="shared" si="10"/>
        <v>0.42120903134345999</v>
      </c>
      <c r="P37" s="16">
        <v>3.1137120000000001E-2</v>
      </c>
      <c r="Q37">
        <v>0.49407972777147702</v>
      </c>
      <c r="R37">
        <v>0.20472154815845101</v>
      </c>
      <c r="S37" s="35">
        <v>7.7994210754442198E-2</v>
      </c>
      <c r="T37" s="40">
        <f>IFERROR(VLOOKUP(A37,HTN_targets!$R$9:$X$203,6,0),L37)</f>
        <v>0.27120903134346008</v>
      </c>
      <c r="U37">
        <f t="shared" si="11"/>
        <v>0</v>
      </c>
      <c r="V37" s="15">
        <f t="shared" si="2"/>
        <v>113547.72476749575</v>
      </c>
      <c r="W37" s="15">
        <f t="shared" si="3"/>
        <v>215660.57006010829</v>
      </c>
    </row>
    <row r="38" spans="1:23" x14ac:dyDescent="0.3">
      <c r="A38" t="s">
        <v>31</v>
      </c>
      <c r="B38" s="33">
        <f>IFERROR(VLOOKUP(A38,HTN_targets!$D$1:$M$195,3,0),Q38)</f>
        <v>0.25911397000000003</v>
      </c>
      <c r="C38" s="33">
        <f>IFERROR(VLOOKUP(A38,HTN_targets!$D$1:$M$195,10,0),R38)</f>
        <v>0.100046224892139</v>
      </c>
      <c r="D38" s="35">
        <v>9.3739405658114699E-2</v>
      </c>
      <c r="E38" s="1">
        <v>11899662</v>
      </c>
      <c r="F38" s="1">
        <f t="shared" si="0"/>
        <v>3083368.6624781401</v>
      </c>
      <c r="G38" s="1">
        <f t="shared" si="4"/>
        <v>308479.39463166182</v>
      </c>
      <c r="H38" s="4">
        <f t="shared" si="1"/>
        <v>0.5</v>
      </c>
      <c r="I38" s="1">
        <f t="shared" si="5"/>
        <v>1541684.33123907</v>
      </c>
      <c r="J38" s="9">
        <f t="shared" si="6"/>
        <v>0.1477021191965821</v>
      </c>
      <c r="K38" s="2">
        <f t="shared" si="7"/>
        <v>455420.08571235219</v>
      </c>
      <c r="L38" s="9">
        <f t="shared" si="8"/>
        <v>0.13009015825798359</v>
      </c>
      <c r="M38" s="2">
        <f t="shared" si="9"/>
        <v>401115.91726948845</v>
      </c>
      <c r="N38" s="34">
        <f>+VLOOKUP(A38,Diabetes!$G$1:$S$206,12,0)/100000</f>
        <v>1.52296060557599E-2</v>
      </c>
      <c r="O38">
        <f t="shared" si="10"/>
        <v>0.25004622489213901</v>
      </c>
      <c r="P38" s="16">
        <v>5.5833428333333331E-2</v>
      </c>
      <c r="Q38">
        <v>0.29053226841116198</v>
      </c>
      <c r="R38">
        <v>7.97481640345961E-2</v>
      </c>
      <c r="S38" s="35">
        <v>9.3739405658114699E-2</v>
      </c>
      <c r="T38" s="40">
        <f>IFERROR(VLOOKUP(A38,HTN_targets!$R$9:$X$203,6,0),L38)</f>
        <v>0.10004622489213939</v>
      </c>
      <c r="U38">
        <f t="shared" si="11"/>
        <v>0</v>
      </c>
      <c r="V38" s="15">
        <f t="shared" si="2"/>
        <v>11741.793164692113</v>
      </c>
      <c r="W38" s="15">
        <f t="shared" si="3"/>
        <v>37566.792043373913</v>
      </c>
    </row>
    <row r="39" spans="1:23" x14ac:dyDescent="0.3">
      <c r="A39" t="s">
        <v>32</v>
      </c>
      <c r="B39" s="33">
        <f>IFERROR(VLOOKUP(A39,HTN_targets!$D$1:$M$195,3,0),Q39)</f>
        <v>0.27613598</v>
      </c>
      <c r="C39" s="33">
        <f>IFERROR(VLOOKUP(A39,HTN_targets!$D$1:$M$195,10,0),R39)</f>
        <v>0.12545673549175199</v>
      </c>
      <c r="D39" s="35">
        <v>7.8746974428448496E-2</v>
      </c>
      <c r="E39" s="1">
        <v>6665478</v>
      </c>
      <c r="F39" s="1">
        <f t="shared" si="0"/>
        <v>1840578.2996984401</v>
      </c>
      <c r="G39" s="1">
        <f t="shared" si="4"/>
        <v>230912.94489712582</v>
      </c>
      <c r="H39" s="4">
        <f t="shared" si="1"/>
        <v>0.5</v>
      </c>
      <c r="I39" s="1">
        <f t="shared" si="5"/>
        <v>920289.14984922006</v>
      </c>
      <c r="J39" s="9">
        <f t="shared" si="6"/>
        <v>0.17311262979619507</v>
      </c>
      <c r="K39" s="2">
        <f t="shared" si="7"/>
        <v>318627.34980660625</v>
      </c>
      <c r="L39" s="9">
        <f t="shared" si="8"/>
        <v>0.15550066885759656</v>
      </c>
      <c r="M39" s="2">
        <f t="shared" si="9"/>
        <v>286211.15668788523</v>
      </c>
      <c r="N39" s="34">
        <f>+VLOOKUP(A39,Diabetes!$G$1:$S$206,12,0)/100000</f>
        <v>1.7267219640946602E-2</v>
      </c>
      <c r="O39">
        <f t="shared" si="10"/>
        <v>0.27545673549175198</v>
      </c>
      <c r="P39" s="16">
        <v>4.9494730000000001E-2</v>
      </c>
      <c r="Q39">
        <v>0.32532017008516001</v>
      </c>
      <c r="R39">
        <v>0.10864329346306199</v>
      </c>
      <c r="S39" s="35">
        <v>7.8746974428448496E-2</v>
      </c>
      <c r="T39" s="40">
        <f>IFERROR(VLOOKUP(A39,HTN_targets!$R$9:$X$203,6,0),L39)</f>
        <v>0.1254567354917526</v>
      </c>
      <c r="U39">
        <f t="shared" si="11"/>
        <v>1</v>
      </c>
      <c r="V39" s="15">
        <f t="shared" si="2"/>
        <v>8754.4750025644225</v>
      </c>
      <c r="W39" s="15">
        <f t="shared" si="3"/>
        <v>25425.335813802405</v>
      </c>
    </row>
    <row r="40" spans="1:23" x14ac:dyDescent="0.3">
      <c r="A40" t="s">
        <v>33</v>
      </c>
      <c r="B40" s="33">
        <f>IFERROR(VLOOKUP(A40,HTN_targets!$D$1:$M$195,3,0),Q40)</f>
        <v>0.39212993000000002</v>
      </c>
      <c r="C40" s="33">
        <f>IFERROR(VLOOKUP(A40,HTN_targets!$D$1:$M$195,10,0),R40)</f>
        <v>0.14735746383666901</v>
      </c>
      <c r="D40" s="35">
        <v>8.1109746593719695E-2</v>
      </c>
      <c r="E40" s="1">
        <v>358201</v>
      </c>
      <c r="F40" s="1">
        <f t="shared" si="0"/>
        <v>140461.33305593001</v>
      </c>
      <c r="G40" s="1">
        <f t="shared" si="4"/>
        <v>20698.025806239526</v>
      </c>
      <c r="H40" s="4">
        <f t="shared" si="1"/>
        <v>0.5</v>
      </c>
      <c r="I40" s="1">
        <f t="shared" si="5"/>
        <v>70230.666527965004</v>
      </c>
      <c r="J40" s="9">
        <f t="shared" si="6"/>
        <v>0.19501335814111209</v>
      </c>
      <c r="K40" s="2">
        <f t="shared" si="7"/>
        <v>27391.836248214106</v>
      </c>
      <c r="L40" s="9">
        <f t="shared" si="8"/>
        <v>0.17740139720251358</v>
      </c>
      <c r="M40" s="2">
        <f t="shared" si="9"/>
        <v>24918.036737049591</v>
      </c>
      <c r="N40" s="34">
        <f>+VLOOKUP(A40,Diabetes!$G$1:$S$206,12,0)/100000</f>
        <v>5.83525301104015E-2</v>
      </c>
      <c r="O40">
        <f t="shared" si="10"/>
        <v>0.297357463836669</v>
      </c>
      <c r="P40" s="16">
        <v>5.5833428333333331E-2</v>
      </c>
      <c r="Q40">
        <v>0.45727627418071498</v>
      </c>
      <c r="R40">
        <v>0.118346872051958</v>
      </c>
      <c r="S40" s="35">
        <v>8.1109746593719695E-2</v>
      </c>
      <c r="T40" s="40">
        <f>IFERROR(VLOOKUP(A40,HTN_targets!$R$9:$X$203,6,0),L40)</f>
        <v>0.14735746383666989</v>
      </c>
      <c r="U40">
        <f t="shared" si="11"/>
        <v>1</v>
      </c>
      <c r="V40" s="15">
        <f t="shared" si="2"/>
        <v>2437.2232990584525</v>
      </c>
      <c r="W40" s="15">
        <f t="shared" si="3"/>
        <v>6557.0193331946321</v>
      </c>
    </row>
    <row r="41" spans="1:23" x14ac:dyDescent="0.3">
      <c r="A41" t="s">
        <v>34</v>
      </c>
      <c r="B41" s="33">
        <f>IFERROR(VLOOKUP(A41,HTN_targets!$D$1:$M$195,3,0),Q41)</f>
        <v>0.25184318</v>
      </c>
      <c r="C41" s="33">
        <f>IFERROR(VLOOKUP(A41,HTN_targets!$D$1:$M$195,10,0),R41)</f>
        <v>0.23679199814796401</v>
      </c>
      <c r="D41" s="35">
        <v>6.3976663266822706E-2</v>
      </c>
      <c r="E41" s="1">
        <v>11255989</v>
      </c>
      <c r="F41" s="1">
        <f t="shared" si="0"/>
        <v>2834744.0638050199</v>
      </c>
      <c r="G41" s="1">
        <f t="shared" si="4"/>
        <v>671244.7111064702</v>
      </c>
      <c r="H41" s="4">
        <f t="shared" si="1"/>
        <v>0.5</v>
      </c>
      <c r="I41" s="1">
        <f t="shared" si="5"/>
        <v>1417372.03190251</v>
      </c>
      <c r="J41" s="9">
        <f t="shared" si="6"/>
        <v>0.28444789245240709</v>
      </c>
      <c r="K41" s="2">
        <f t="shared" si="7"/>
        <v>806336.97459130979</v>
      </c>
      <c r="L41" s="9">
        <f t="shared" si="8"/>
        <v>0.26683593151380858</v>
      </c>
      <c r="M41" s="2">
        <f t="shared" si="9"/>
        <v>756411.57286865171</v>
      </c>
      <c r="N41" s="34">
        <f>+VLOOKUP(A41,Diabetes!$G$1:$S$206,12,0)/100000</f>
        <v>3.5372405873954897E-2</v>
      </c>
      <c r="O41">
        <f t="shared" si="10"/>
        <v>0.386791998147964</v>
      </c>
      <c r="P41" s="16">
        <v>5.8083469999999998E-2</v>
      </c>
      <c r="Q41">
        <v>0.25835183059821498</v>
      </c>
      <c r="R41">
        <v>0.19714929688595301</v>
      </c>
      <c r="S41" s="35">
        <v>6.3976663266822706E-2</v>
      </c>
      <c r="T41" s="40">
        <f>IFERROR(VLOOKUP(A41,HTN_targets!$R$9:$X$203,6,0),L41)</f>
        <v>0.23679199814796451</v>
      </c>
      <c r="U41">
        <f t="shared" si="11"/>
        <v>1</v>
      </c>
      <c r="V41" s="15">
        <f t="shared" si="2"/>
        <v>38784.297998057984</v>
      </c>
      <c r="W41" s="15">
        <f t="shared" si="3"/>
        <v>80217.374058956382</v>
      </c>
    </row>
    <row r="42" spans="1:23" x14ac:dyDescent="0.3">
      <c r="A42" t="s">
        <v>35</v>
      </c>
      <c r="B42" s="33">
        <f>IFERROR(VLOOKUP(A42,HTN_targets!$D$1:$M$195,3,0),Q42)</f>
        <v>0.32458699000000002</v>
      </c>
      <c r="C42" s="33">
        <f>IFERROR(VLOOKUP(A42,HTN_targets!$D$1:$M$195,10,0),R42)</f>
        <v>8.2777984440326705E-2</v>
      </c>
      <c r="D42" s="35">
        <v>6.1085155032832898E-2</v>
      </c>
      <c r="E42" s="1">
        <v>14970066</v>
      </c>
      <c r="F42" s="1">
        <f t="shared" ref="F42:F73" si="12">+B42*E42</f>
        <v>4859088.6630413402</v>
      </c>
      <c r="G42" s="1">
        <f t="shared" ref="G42:G73" si="13">+F42*C42</f>
        <v>402225.56574340397</v>
      </c>
      <c r="H42" s="4">
        <f t="shared" ref="H42:H73" si="14">+IF(C42&gt;0.5,C42,0.5)</f>
        <v>0.5</v>
      </c>
      <c r="I42" s="1">
        <f t="shared" si="5"/>
        <v>2429544.3315206701</v>
      </c>
      <c r="J42" s="9">
        <f t="shared" ref="J42:J73" si="15">C42+($K$5-$G$5)</f>
        <v>0.1304338787447698</v>
      </c>
      <c r="K42" s="2">
        <f t="shared" si="7"/>
        <v>633789.78148521984</v>
      </c>
      <c r="L42" s="9">
        <f t="shared" ref="L42:L73" si="16">C42+($M$5-$G$5)</f>
        <v>0.11282191780617128</v>
      </c>
      <c r="M42" s="2">
        <f t="shared" si="9"/>
        <v>548211.7017545487</v>
      </c>
      <c r="N42" s="34">
        <f>+VLOOKUP(A42,Diabetes!$G$1:$S$206,12,0)/100000</f>
        <v>3.0964377949371801E-2</v>
      </c>
      <c r="O42">
        <f t="shared" ref="O42:O73" si="17">+C42+0.15</f>
        <v>0.23277798444032671</v>
      </c>
      <c r="P42" s="16">
        <v>5.5431179999999997E-2</v>
      </c>
      <c r="Q42">
        <v>0.34782790305438499</v>
      </c>
      <c r="R42">
        <v>6.25606037873188E-2</v>
      </c>
      <c r="S42" s="35">
        <v>6.1085155032832898E-2</v>
      </c>
      <c r="T42" s="40">
        <f>IFERROR(VLOOKUP(A42,HTN_targets!$R$9:$X$203,6,0),L42)</f>
        <v>8.2777984440326691E-2</v>
      </c>
      <c r="U42">
        <f t="shared" si="11"/>
        <v>0</v>
      </c>
      <c r="V42" s="15">
        <f t="shared" ref="V42:V73" si="18">+E42*B42*N42*O42</f>
        <v>35023.463116366627</v>
      </c>
      <c r="W42" s="15">
        <f t="shared" ref="W42:W73" si="19">+E42*B42*N42*0.8</f>
        <v>120366.92628153584</v>
      </c>
    </row>
    <row r="43" spans="1:23" x14ac:dyDescent="0.3">
      <c r="A43" t="s">
        <v>36</v>
      </c>
      <c r="B43" s="33">
        <f>IFERROR(VLOOKUP(A43,HTN_targets!$D$1:$M$195,3,0),Q43)</f>
        <v>0.27066103000000002</v>
      </c>
      <c r="C43" s="33">
        <f>IFERROR(VLOOKUP(A43,HTN_targets!$D$1:$M$195,10,0),R43)</f>
        <v>0.65052527189254705</v>
      </c>
      <c r="D43" s="35">
        <v>2.56164294451789E-2</v>
      </c>
      <c r="E43" s="1">
        <v>32359063.5</v>
      </c>
      <c r="F43" s="1">
        <f t="shared" si="12"/>
        <v>8758337.4567454066</v>
      </c>
      <c r="G43" s="1">
        <f t="shared" si="13"/>
        <v>5697519.8553759847</v>
      </c>
      <c r="H43" s="4">
        <f t="shared" si="14"/>
        <v>0.65052527189254705</v>
      </c>
      <c r="I43" s="1">
        <f t="shared" si="5"/>
        <v>5697519.8553759847</v>
      </c>
      <c r="J43" s="9">
        <f t="shared" si="15"/>
        <v>0.69818116619699011</v>
      </c>
      <c r="K43" s="2">
        <f t="shared" si="7"/>
        <v>6114906.2594972886</v>
      </c>
      <c r="L43" s="9">
        <f t="shared" si="16"/>
        <v>0.6805692052583916</v>
      </c>
      <c r="M43" s="2">
        <f t="shared" si="9"/>
        <v>5960654.7623220244</v>
      </c>
      <c r="N43" s="34">
        <f>+VLOOKUP(A43,Diabetes!$G$1:$S$206,12,0)/100000</f>
        <v>6.8268913126927996E-2</v>
      </c>
      <c r="O43">
        <f t="shared" si="17"/>
        <v>0.80052527189254707</v>
      </c>
      <c r="P43" s="16">
        <v>2.882527E-2</v>
      </c>
      <c r="Q43">
        <v>0.24334751223666301</v>
      </c>
      <c r="R43">
        <v>0.63114671125062705</v>
      </c>
      <c r="S43" s="35">
        <v>2.56164294451789E-2</v>
      </c>
      <c r="T43" s="40">
        <f>IFERROR(VLOOKUP(A43,HTN_targets!$R$9:$X$203,6,0),L43)</f>
        <v>0.65052527189254761</v>
      </c>
      <c r="U43">
        <f t="shared" si="11"/>
        <v>1</v>
      </c>
      <c r="V43" s="15">
        <f t="shared" si="18"/>
        <v>478651.8148912412</v>
      </c>
      <c r="W43" s="15">
        <f t="shared" si="19"/>
        <v>478337.74317669729</v>
      </c>
    </row>
    <row r="44" spans="1:23" x14ac:dyDescent="0.3">
      <c r="A44" t="s">
        <v>37</v>
      </c>
      <c r="B44" s="33">
        <f>IFERROR(VLOOKUP(A44,HTN_targets!$D$1:$M$195,3,0),Q44)</f>
        <v>0.36484464999999999</v>
      </c>
      <c r="C44" s="33">
        <f>IFERROR(VLOOKUP(A44,HTN_targets!$D$1:$M$195,10,0),R44)</f>
        <v>6.9991245865821797E-2</v>
      </c>
      <c r="D44" s="35">
        <v>8.6174545596959806E-2</v>
      </c>
      <c r="E44" s="1">
        <v>2282701.5</v>
      </c>
      <c r="F44" s="1">
        <f t="shared" si="12"/>
        <v>832831.42982197495</v>
      </c>
      <c r="G44" s="1">
        <f t="shared" si="13"/>
        <v>58290.909369453759</v>
      </c>
      <c r="H44" s="4">
        <f t="shared" si="14"/>
        <v>0.5</v>
      </c>
      <c r="I44" s="1">
        <f t="shared" si="5"/>
        <v>416415.71491098747</v>
      </c>
      <c r="J44" s="9">
        <f t="shared" si="15"/>
        <v>0.11764714017026488</v>
      </c>
      <c r="K44" s="2">
        <f t="shared" si="7"/>
        <v>97980.23596246801</v>
      </c>
      <c r="L44" s="9">
        <f t="shared" si="16"/>
        <v>0.10003517923166637</v>
      </c>
      <c r="M44" s="2">
        <f t="shared" si="9"/>
        <v>83312.441352006237</v>
      </c>
      <c r="N44" s="34">
        <f>+VLOOKUP(A44,Diabetes!$G$1:$S$206,12,0)/100000</f>
        <v>3.94511893451314E-2</v>
      </c>
      <c r="O44">
        <f t="shared" si="17"/>
        <v>0.21999124586582181</v>
      </c>
      <c r="P44" s="16">
        <v>5.5833428333333331E-2</v>
      </c>
      <c r="Q44">
        <v>0.39457929532185099</v>
      </c>
      <c r="R44">
        <v>5.4190972518182903E-2</v>
      </c>
      <c r="S44" s="35">
        <v>8.6174545596959806E-2</v>
      </c>
      <c r="T44" s="40">
        <f>IFERROR(VLOOKUP(A44,HTN_targets!$R$9:$X$203,6,0),L44)</f>
        <v>6.9991245865821838E-2</v>
      </c>
      <c r="U44">
        <f t="shared" si="11"/>
        <v>0</v>
      </c>
      <c r="V44" s="15">
        <f t="shared" si="18"/>
        <v>7228.0742672067017</v>
      </c>
      <c r="W44" s="15">
        <f t="shared" si="19"/>
        <v>26284.952344386602</v>
      </c>
    </row>
    <row r="45" spans="1:23" x14ac:dyDescent="0.3">
      <c r="A45" t="s">
        <v>38</v>
      </c>
      <c r="B45" s="33">
        <f>IFERROR(VLOOKUP(A45,HTN_targets!$D$1:$M$195,3,0),Q45)</f>
        <v>0.33015946000000002</v>
      </c>
      <c r="C45" s="33">
        <f>IFERROR(VLOOKUP(A45,HTN_targets!$D$1:$M$195,10,0),R45)</f>
        <v>0.12725257873535101</v>
      </c>
      <c r="D45" s="35">
        <v>9.6295964393571701E-2</v>
      </c>
      <c r="E45" s="1">
        <v>9504929</v>
      </c>
      <c r="F45" s="1">
        <f t="shared" si="12"/>
        <v>3138142.22597834</v>
      </c>
      <c r="G45" s="1">
        <f t="shared" si="13"/>
        <v>399336.69069403841</v>
      </c>
      <c r="H45" s="4">
        <f t="shared" si="14"/>
        <v>0.5</v>
      </c>
      <c r="I45" s="1">
        <f t="shared" si="5"/>
        <v>1569071.11298917</v>
      </c>
      <c r="J45" s="9">
        <f t="shared" si="15"/>
        <v>0.17490847303979409</v>
      </c>
      <c r="K45" s="2">
        <f t="shared" si="7"/>
        <v>548887.6649275719</v>
      </c>
      <c r="L45" s="9">
        <f t="shared" si="16"/>
        <v>0.15729651210119558</v>
      </c>
      <c r="M45" s="2">
        <f t="shared" si="9"/>
        <v>493618.82662387477</v>
      </c>
      <c r="N45" s="34">
        <f>+VLOOKUP(A45,Diabetes!$G$1:$S$206,12,0)/100000</f>
        <v>2.1631008485259198E-2</v>
      </c>
      <c r="O45">
        <f t="shared" si="17"/>
        <v>0.27725257873535103</v>
      </c>
      <c r="P45" s="16">
        <v>5.5085549999999997E-2</v>
      </c>
      <c r="Q45">
        <v>0.35069204941834498</v>
      </c>
      <c r="R45">
        <v>0.105467234955922</v>
      </c>
      <c r="S45" s="35">
        <v>9.6295964393571701E-2</v>
      </c>
      <c r="T45" s="40">
        <f>IFERROR(VLOOKUP(A45,HTN_targets!$R$9:$X$203,6,0),L45)</f>
        <v>0.12725257873535159</v>
      </c>
      <c r="U45">
        <f t="shared" si="11"/>
        <v>1</v>
      </c>
      <c r="V45" s="15">
        <f t="shared" si="18"/>
        <v>18820.232512591221</v>
      </c>
      <c r="W45" s="15">
        <f t="shared" si="19"/>
        <v>54304.944894470129</v>
      </c>
    </row>
    <row r="46" spans="1:23" x14ac:dyDescent="0.3">
      <c r="A46" t="s">
        <v>39</v>
      </c>
      <c r="B46" s="33">
        <f>IFERROR(VLOOKUP(A46,HTN_targets!$D$1:$M$195,3,0),Q46)</f>
        <v>0.37814652999999998</v>
      </c>
      <c r="C46" s="33">
        <f>IFERROR(VLOOKUP(A46,HTN_targets!$D$1:$M$195,10,0),R46)</f>
        <v>0.37391304969787598</v>
      </c>
      <c r="D46" s="35">
        <v>4.9126163693433603E-2</v>
      </c>
      <c r="E46" s="1">
        <v>15590606</v>
      </c>
      <c r="F46" s="1">
        <f t="shared" si="12"/>
        <v>5895533.5594971795</v>
      </c>
      <c r="G46" s="1">
        <f t="shared" si="13"/>
        <v>2204416.9328277647</v>
      </c>
      <c r="H46" s="4">
        <f t="shared" si="14"/>
        <v>0.5</v>
      </c>
      <c r="I46" s="1">
        <f t="shared" si="5"/>
        <v>2947766.7797485897</v>
      </c>
      <c r="J46" s="9">
        <f t="shared" si="15"/>
        <v>0.42156894400231903</v>
      </c>
      <c r="K46" s="2">
        <f t="shared" si="7"/>
        <v>2485373.8570074593</v>
      </c>
      <c r="L46" s="9">
        <f t="shared" si="16"/>
        <v>0.40395698306372052</v>
      </c>
      <c r="M46" s="2">
        <f t="shared" si="9"/>
        <v>2381541.9502453981</v>
      </c>
      <c r="N46" s="34">
        <f>+VLOOKUP(A46,Diabetes!$G$1:$S$206,12,0)/100000</f>
        <v>3.7197471892714301E-2</v>
      </c>
      <c r="O46">
        <f t="shared" si="17"/>
        <v>0.523913049697876</v>
      </c>
      <c r="P46" s="16">
        <v>3.7254540000000003E-2</v>
      </c>
      <c r="Q46">
        <v>0.390478905282027</v>
      </c>
      <c r="R46">
        <v>0.28943373769116998</v>
      </c>
      <c r="S46" s="35">
        <v>4.9126163693433603E-2</v>
      </c>
      <c r="T46" s="40">
        <f>IFERROR(VLOOKUP(A46,HTN_targets!$R$9:$X$203,6,0),L46)</f>
        <v>0.37391304969787598</v>
      </c>
      <c r="U46">
        <f t="shared" si="11"/>
        <v>0</v>
      </c>
      <c r="V46" s="15">
        <f t="shared" si="18"/>
        <v>114893.57847947678</v>
      </c>
      <c r="W46" s="15">
        <f t="shared" si="19"/>
        <v>175439.1550975602</v>
      </c>
    </row>
    <row r="47" spans="1:23" x14ac:dyDescent="0.3">
      <c r="A47" t="s">
        <v>40</v>
      </c>
      <c r="B47" s="33">
        <f>IFERROR(VLOOKUP(A47,HTN_targets!$D$1:$M$195,3,0),Q47)</f>
        <v>0.29272151000000002</v>
      </c>
      <c r="C47" s="33">
        <f>IFERROR(VLOOKUP(A47,HTN_targets!$D$1:$M$195,10,0),R47)</f>
        <v>0.18453387916088099</v>
      </c>
      <c r="D47" s="35">
        <v>4.05488953642094E-2</v>
      </c>
      <c r="E47" s="1">
        <v>1129391298</v>
      </c>
      <c r="F47" s="1">
        <f t="shared" si="12"/>
        <v>330597126.13142002</v>
      </c>
      <c r="G47" s="1">
        <f t="shared" si="13"/>
        <v>61006370.124469988</v>
      </c>
      <c r="H47" s="4">
        <f t="shared" si="14"/>
        <v>0.5</v>
      </c>
      <c r="I47" s="1">
        <f t="shared" si="5"/>
        <v>165298563.06571001</v>
      </c>
      <c r="J47" s="9">
        <f t="shared" si="15"/>
        <v>0.23218977346532407</v>
      </c>
      <c r="K47" s="2">
        <f t="shared" si="7"/>
        <v>76761271.824741587</v>
      </c>
      <c r="L47" s="9">
        <f t="shared" si="16"/>
        <v>0.21457781252672556</v>
      </c>
      <c r="M47" s="2">
        <f t="shared" si="9"/>
        <v>70938808.152902082</v>
      </c>
      <c r="N47" s="34">
        <f>+VLOOKUP(A47,Diabetes!$G$1:$S$206,12,0)/100000</f>
        <v>8.3895242861977207E-2</v>
      </c>
      <c r="O47">
        <f t="shared" si="17"/>
        <v>0.33453387916088095</v>
      </c>
      <c r="P47" s="16">
        <v>5.3077480000000003E-2</v>
      </c>
      <c r="Q47">
        <v>0.302380195128508</v>
      </c>
      <c r="R47">
        <v>0.146201183873894</v>
      </c>
      <c r="S47" s="35">
        <v>4.05488953642094E-2</v>
      </c>
      <c r="T47" s="40">
        <f>IFERROR(VLOOKUP(A47,HTN_targets!$R$9:$X$203,6,0),L47)</f>
        <v>0.18453387916088099</v>
      </c>
      <c r="U47">
        <f t="shared" si="11"/>
        <v>0</v>
      </c>
      <c r="V47" s="15">
        <f t="shared" si="18"/>
        <v>9278473.1656601578</v>
      </c>
      <c r="W47" s="15">
        <f t="shared" si="19"/>
        <v>22188420.949013755</v>
      </c>
    </row>
    <row r="48" spans="1:23" x14ac:dyDescent="0.3">
      <c r="A48" t="s">
        <v>41</v>
      </c>
      <c r="B48" s="33">
        <f>IFERROR(VLOOKUP(A48,HTN_targets!$D$1:$M$195,3,0),Q48)</f>
        <v>0.31996226</v>
      </c>
      <c r="C48" s="33">
        <f>IFERROR(VLOOKUP(A48,HTN_targets!$D$1:$M$195,10,0),R48)</f>
        <v>0.36969074606895402</v>
      </c>
      <c r="D48" s="35">
        <v>4.1209066096743102E-2</v>
      </c>
      <c r="E48" s="1">
        <v>39636134.5</v>
      </c>
      <c r="F48" s="1">
        <f t="shared" si="12"/>
        <v>12682067.17228397</v>
      </c>
      <c r="G48" s="1">
        <f t="shared" si="13"/>
        <v>4688442.8746182509</v>
      </c>
      <c r="H48" s="4">
        <f t="shared" si="14"/>
        <v>0.5</v>
      </c>
      <c r="I48" s="1">
        <f t="shared" si="5"/>
        <v>6341033.5861419849</v>
      </c>
      <c r="J48" s="9">
        <f t="shared" si="15"/>
        <v>0.41734664037339708</v>
      </c>
      <c r="K48" s="2">
        <f t="shared" si="7"/>
        <v>5292818.1273424625</v>
      </c>
      <c r="L48" s="9">
        <f t="shared" si="16"/>
        <v>0.39973467943479857</v>
      </c>
      <c r="M48" s="2">
        <f t="shared" si="9"/>
        <v>5069462.055683515</v>
      </c>
      <c r="N48" s="34">
        <f>+VLOOKUP(A48,Diabetes!$G$1:$S$206,12,0)/100000</f>
        <v>7.1033428153224998E-2</v>
      </c>
      <c r="O48">
        <f t="shared" si="17"/>
        <v>0.51969074606895405</v>
      </c>
      <c r="P48" s="16">
        <v>4.597772E-2</v>
      </c>
      <c r="Q48">
        <v>0.31130876200981999</v>
      </c>
      <c r="R48">
        <v>0.27256395641125902</v>
      </c>
      <c r="S48" s="35">
        <v>4.1209066096743102E-2</v>
      </c>
      <c r="T48" s="40">
        <f>IFERROR(VLOOKUP(A48,HTN_targets!$R$9:$X$203,6,0),L48)</f>
        <v>0.36969074606895452</v>
      </c>
      <c r="U48">
        <f t="shared" si="11"/>
        <v>1</v>
      </c>
      <c r="V48" s="15">
        <f t="shared" si="18"/>
        <v>468163.77618221618</v>
      </c>
      <c r="W48" s="15">
        <f t="shared" si="19"/>
        <v>720680.56585344533</v>
      </c>
    </row>
    <row r="49" spans="1:23" x14ac:dyDescent="0.3">
      <c r="A49" t="s">
        <v>42</v>
      </c>
      <c r="B49" s="33">
        <f>IFERROR(VLOOKUP(A49,HTN_targets!$D$1:$M$195,3,0),Q49)</f>
        <v>0.28347686</v>
      </c>
      <c r="C49" s="33">
        <f>IFERROR(VLOOKUP(A49,HTN_targets!$D$1:$M$195,10,0),R49)</f>
        <v>0.13255193829536399</v>
      </c>
      <c r="D49" s="35">
        <v>7.29029887827298E-2</v>
      </c>
      <c r="E49" s="1">
        <v>484650</v>
      </c>
      <c r="F49" s="1">
        <f t="shared" si="12"/>
        <v>137387.060199</v>
      </c>
      <c r="G49" s="1">
        <f t="shared" si="13"/>
        <v>18210.921126079305</v>
      </c>
      <c r="H49" s="4">
        <f t="shared" si="14"/>
        <v>0.5</v>
      </c>
      <c r="I49" s="1">
        <f t="shared" si="5"/>
        <v>68693.5300995</v>
      </c>
      <c r="J49" s="9">
        <f t="shared" si="15"/>
        <v>0.18020783259980708</v>
      </c>
      <c r="K49" s="2">
        <f t="shared" si="7"/>
        <v>24758.22434572101</v>
      </c>
      <c r="L49" s="9">
        <f t="shared" si="16"/>
        <v>0.16259587166120856</v>
      </c>
      <c r="M49" s="2">
        <f t="shared" si="9"/>
        <v>22338.568808027339</v>
      </c>
      <c r="N49" s="34">
        <f>+VLOOKUP(A49,Diabetes!$G$1:$S$206,12,0)/100000</f>
        <v>3.2019018799146801E-2</v>
      </c>
      <c r="O49">
        <f t="shared" si="17"/>
        <v>0.28255193829536396</v>
      </c>
      <c r="P49" s="16">
        <v>5.450849E-2</v>
      </c>
      <c r="Q49">
        <v>0.30017144690917502</v>
      </c>
      <c r="R49">
        <v>0.106012014835397</v>
      </c>
      <c r="S49" s="35">
        <v>7.29029887827298E-2</v>
      </c>
      <c r="T49" s="40">
        <f>IFERROR(VLOOKUP(A49,HTN_targets!$R$9:$X$203,6,0),L49)</f>
        <v>0.13255193829536441</v>
      </c>
      <c r="U49">
        <f t="shared" si="11"/>
        <v>0</v>
      </c>
      <c r="V49" s="15">
        <f t="shared" si="18"/>
        <v>1242.9456553764069</v>
      </c>
      <c r="W49" s="15">
        <f t="shared" si="19"/>
        <v>3519.1990906170354</v>
      </c>
    </row>
    <row r="50" spans="1:23" x14ac:dyDescent="0.3">
      <c r="A50" t="s">
        <v>43</v>
      </c>
      <c r="B50" s="33">
        <f>IFERROR(VLOOKUP(A50,HTN_targets!$D$1:$M$195,3,0),Q50)</f>
        <v>0.36222741000000003</v>
      </c>
      <c r="C50" s="33">
        <f>IFERROR(VLOOKUP(A50,HTN_targets!$D$1:$M$195,10,0),R50)</f>
        <v>0.112826623022556</v>
      </c>
      <c r="D50" s="35">
        <v>6.75160678388496E-2</v>
      </c>
      <c r="E50" s="1">
        <v>3316030.5</v>
      </c>
      <c r="F50" s="1">
        <f t="shared" si="12"/>
        <v>1201157.1394960051</v>
      </c>
      <c r="G50" s="1">
        <f t="shared" si="13"/>
        <v>135522.50376876749</v>
      </c>
      <c r="H50" s="4">
        <f t="shared" si="14"/>
        <v>0.5</v>
      </c>
      <c r="I50" s="1">
        <f t="shared" si="5"/>
        <v>600578.56974800257</v>
      </c>
      <c r="J50" s="9">
        <f t="shared" si="15"/>
        <v>0.16048251732699909</v>
      </c>
      <c r="K50" s="2">
        <f t="shared" si="7"/>
        <v>192764.72145161629</v>
      </c>
      <c r="L50" s="9">
        <f t="shared" si="16"/>
        <v>0.14287055638840057</v>
      </c>
      <c r="M50" s="2">
        <f t="shared" si="9"/>
        <v>171609.98882969393</v>
      </c>
      <c r="N50" s="34">
        <f>+VLOOKUP(A50,Diabetes!$G$1:$S$206,12,0)/100000</f>
        <v>4.8623056903623701E-2</v>
      </c>
      <c r="O50">
        <f t="shared" si="17"/>
        <v>0.26282662302255599</v>
      </c>
      <c r="P50" s="16">
        <v>6.8810730000000001E-2</v>
      </c>
      <c r="Q50">
        <v>0.380388425615165</v>
      </c>
      <c r="R50">
        <v>8.6530623140179702E-2</v>
      </c>
      <c r="S50" s="35">
        <v>6.75160678388496E-2</v>
      </c>
      <c r="T50" s="40">
        <f>IFERROR(VLOOKUP(A50,HTN_targets!$R$9:$X$203,6,0),L50)</f>
        <v>0.1128266230225563</v>
      </c>
      <c r="U50">
        <f t="shared" si="11"/>
        <v>0</v>
      </c>
      <c r="V50" s="15">
        <f t="shared" si="18"/>
        <v>15350.108204056558</v>
      </c>
      <c r="W50" s="15">
        <f t="shared" si="19"/>
        <v>46723.14555512651</v>
      </c>
    </row>
    <row r="51" spans="1:23" x14ac:dyDescent="0.3">
      <c r="A51" t="s">
        <v>44</v>
      </c>
      <c r="B51" s="33">
        <f>IFERROR(VLOOKUP(A51,HTN_targets!$D$1:$M$195,3,0),Q51)</f>
        <v>0.39033651000000003</v>
      </c>
      <c r="C51" s="33">
        <f>IFERROR(VLOOKUP(A51,HTN_targets!$D$1:$M$195,10,0),R51)</f>
        <v>0.55520486831664995</v>
      </c>
      <c r="D51" s="35">
        <v>4.0630919875911102E-2</v>
      </c>
      <c r="E51" s="1">
        <v>3919838.5</v>
      </c>
      <c r="F51" s="1">
        <f t="shared" si="12"/>
        <v>1530056.079853635</v>
      </c>
      <c r="G51" s="1">
        <f t="shared" si="13"/>
        <v>849494.58433222712</v>
      </c>
      <c r="H51" s="4">
        <f t="shared" si="14"/>
        <v>0.55520486831664995</v>
      </c>
      <c r="I51" s="1">
        <f t="shared" si="5"/>
        <v>849494.58433222712</v>
      </c>
      <c r="J51" s="9">
        <f t="shared" si="15"/>
        <v>0.602860762621093</v>
      </c>
      <c r="K51" s="2">
        <f t="shared" si="7"/>
        <v>922410.77515360236</v>
      </c>
      <c r="L51" s="9">
        <f t="shared" si="16"/>
        <v>0.58524880168249449</v>
      </c>
      <c r="M51" s="2">
        <f t="shared" si="9"/>
        <v>895463.487241355</v>
      </c>
      <c r="N51" s="34">
        <f>+VLOOKUP(A51,Diabetes!$G$1:$S$206,12,0)/100000</f>
        <v>0.109385964557437</v>
      </c>
      <c r="O51">
        <f t="shared" si="17"/>
        <v>0.70520486831664997</v>
      </c>
      <c r="P51" s="16">
        <v>5.5833428333333331E-2</v>
      </c>
      <c r="Q51">
        <v>0.36008104689603398</v>
      </c>
      <c r="R51">
        <v>0.47046500654788898</v>
      </c>
      <c r="S51" s="35">
        <v>4.0630919875911102E-2</v>
      </c>
      <c r="T51" s="40">
        <f>IFERROR(VLOOKUP(A51,HTN_targets!$R$9:$X$203,6,0),L51)</f>
        <v>0.55520486831665039</v>
      </c>
      <c r="U51">
        <f t="shared" si="11"/>
        <v>0</v>
      </c>
      <c r="V51" s="15">
        <f t="shared" si="18"/>
        <v>118027.78351176377</v>
      </c>
      <c r="W51" s="15">
        <f t="shared" si="19"/>
        <v>133893.32809740858</v>
      </c>
    </row>
    <row r="52" spans="1:23" x14ac:dyDescent="0.3">
      <c r="A52" t="s">
        <v>45</v>
      </c>
      <c r="B52" s="33">
        <f>IFERROR(VLOOKUP(A52,HTN_targets!$D$1:$M$195,3,0),Q52)</f>
        <v>0.57912576000000004</v>
      </c>
      <c r="C52" s="33">
        <f>IFERROR(VLOOKUP(A52,HTN_targets!$D$1:$M$195,10,0),R52)</f>
        <v>0.23284405469894401</v>
      </c>
      <c r="D52" s="35">
        <v>9.4269663917437199E-2</v>
      </c>
      <c r="E52" s="1">
        <v>3154415.5</v>
      </c>
      <c r="F52" s="1">
        <f t="shared" si="12"/>
        <v>1826803.2737932801</v>
      </c>
      <c r="G52" s="1">
        <f t="shared" si="13"/>
        <v>425360.28140733251</v>
      </c>
      <c r="H52" s="4">
        <f t="shared" si="14"/>
        <v>0.5</v>
      </c>
      <c r="I52" s="1">
        <f t="shared" si="5"/>
        <v>913401.63689664006</v>
      </c>
      <c r="J52" s="9">
        <f t="shared" si="15"/>
        <v>0.28049994900338709</v>
      </c>
      <c r="K52" s="2">
        <f t="shared" si="7"/>
        <v>512418.22513823566</v>
      </c>
      <c r="L52" s="9">
        <f t="shared" si="16"/>
        <v>0.26288798806478858</v>
      </c>
      <c r="M52" s="2">
        <f t="shared" si="9"/>
        <v>480244.63723768451</v>
      </c>
      <c r="N52" s="34">
        <f>+VLOOKUP(A52,Diabetes!$G$1:$S$206,12,0)/100000</f>
        <v>0.129553881521797</v>
      </c>
      <c r="O52">
        <f t="shared" si="17"/>
        <v>0.382844054698944</v>
      </c>
      <c r="P52" s="16">
        <v>3.2674340000000003E-2</v>
      </c>
      <c r="Q52">
        <v>0.51354615006890902</v>
      </c>
      <c r="R52">
        <v>0.167597093670526</v>
      </c>
      <c r="S52" s="35">
        <v>9.4269663917437199E-2</v>
      </c>
      <c r="T52" s="40">
        <f>IFERROR(VLOOKUP(A52,HTN_targets!$R$9:$X$203,6,0),L52)</f>
        <v>0.23284405469894409</v>
      </c>
      <c r="U52">
        <f t="shared" si="11"/>
        <v>0</v>
      </c>
      <c r="V52" s="15">
        <f t="shared" si="18"/>
        <v>90607.49373602061</v>
      </c>
      <c r="W52" s="15">
        <f t="shared" si="19"/>
        <v>189335.56391731641</v>
      </c>
    </row>
    <row r="53" spans="1:23" x14ac:dyDescent="0.3">
      <c r="A53" t="s">
        <v>46</v>
      </c>
      <c r="B53" s="33">
        <f>IFERROR(VLOOKUP(A53,HTN_targets!$D$1:$M$195,3,0),Q53)</f>
        <v>0.46425917999999999</v>
      </c>
      <c r="C53" s="33">
        <f>IFERROR(VLOOKUP(A53,HTN_targets!$D$1:$M$195,10,0),R53)</f>
        <v>0.36515340209007202</v>
      </c>
      <c r="D53" s="35">
        <v>4.1107894254461298E-2</v>
      </c>
      <c r="E53" s="1">
        <v>8821484</v>
      </c>
      <c r="F53" s="1">
        <f t="shared" si="12"/>
        <v>4095454.92822312</v>
      </c>
      <c r="G53" s="1">
        <f t="shared" si="13"/>
        <v>1495469.300147224</v>
      </c>
      <c r="H53" s="4">
        <f t="shared" si="14"/>
        <v>0.5</v>
      </c>
      <c r="I53" s="1">
        <f t="shared" si="5"/>
        <v>2047727.46411156</v>
      </c>
      <c r="J53" s="9">
        <f t="shared" si="15"/>
        <v>0.41280929639451514</v>
      </c>
      <c r="K53" s="2">
        <f t="shared" si="7"/>
        <v>1690641.8673352357</v>
      </c>
      <c r="L53" s="9">
        <f t="shared" si="16"/>
        <v>0.39519733545591662</v>
      </c>
      <c r="M53" s="2">
        <f t="shared" si="9"/>
        <v>1618512.8751135792</v>
      </c>
      <c r="N53" s="34">
        <f>+VLOOKUP(A53,Diabetes!$G$1:$S$206,12,0)/100000</f>
        <v>7.78907766022605E-2</v>
      </c>
      <c r="O53">
        <f t="shared" si="17"/>
        <v>0.51515340209007199</v>
      </c>
      <c r="P53" s="16">
        <v>4.9685670000000001E-2</v>
      </c>
      <c r="Q53">
        <v>0.402752253218912</v>
      </c>
      <c r="R53">
        <v>0.29832687811387298</v>
      </c>
      <c r="S53" s="35">
        <v>4.1107894254461298E-2</v>
      </c>
      <c r="T53" s="40">
        <f>IFERROR(VLOOKUP(A53,HTN_targets!$R$9:$X$203,6,0),L53)</f>
        <v>0.36515340209007258</v>
      </c>
      <c r="U53">
        <f t="shared" si="11"/>
        <v>1</v>
      </c>
      <c r="V53" s="15">
        <f t="shared" si="18"/>
        <v>164332.98990813436</v>
      </c>
      <c r="W53" s="15">
        <f t="shared" si="19"/>
        <v>255198.53191908309</v>
      </c>
    </row>
    <row r="54" spans="1:23" x14ac:dyDescent="0.3">
      <c r="A54" t="s">
        <v>47</v>
      </c>
      <c r="B54" s="33">
        <f>IFERROR(VLOOKUP(A54,HTN_targets!$D$1:$M$195,3,0),Q54)</f>
        <v>0.33332318</v>
      </c>
      <c r="C54" s="33">
        <f>IFERROR(VLOOKUP(A54,HTN_targets!$D$1:$M$195,10,0),R54)</f>
        <v>0.37542125582695002</v>
      </c>
      <c r="D54" s="35">
        <v>4.66407053959089E-2</v>
      </c>
      <c r="E54" s="1">
        <v>1095975.5</v>
      </c>
      <c r="F54" s="1">
        <f t="shared" si="12"/>
        <v>365314.03886208998</v>
      </c>
      <c r="G54" s="1">
        <f t="shared" si="13"/>
        <v>137146.65524082104</v>
      </c>
      <c r="H54" s="4">
        <f t="shared" si="14"/>
        <v>0.5</v>
      </c>
      <c r="I54" s="1">
        <f t="shared" si="5"/>
        <v>182657.01943104499</v>
      </c>
      <c r="J54" s="9">
        <f t="shared" si="15"/>
        <v>0.42307715013139313</v>
      </c>
      <c r="K54" s="2">
        <f t="shared" si="7"/>
        <v>154556.02246476203</v>
      </c>
      <c r="L54" s="9">
        <f t="shared" si="16"/>
        <v>0.40546518919279462</v>
      </c>
      <c r="M54" s="2">
        <f t="shared" si="9"/>
        <v>148122.12588200124</v>
      </c>
      <c r="N54" s="34">
        <f>+VLOOKUP(A54,Diabetes!$G$1:$S$206,12,0)/100000</f>
        <v>7.84015693637235E-2</v>
      </c>
      <c r="O54">
        <f t="shared" si="17"/>
        <v>0.52542125582694998</v>
      </c>
      <c r="P54" s="16">
        <v>5.3817469999999999E-2</v>
      </c>
      <c r="Q54">
        <v>0.35680137212188501</v>
      </c>
      <c r="R54">
        <v>0.31147954715526799</v>
      </c>
      <c r="S54" s="35">
        <v>4.66407053959089E-2</v>
      </c>
      <c r="T54" s="40">
        <f>IFERROR(VLOOKUP(A54,HTN_targets!$R$9:$X$203,6,0),L54)</f>
        <v>0.37542125582695007</v>
      </c>
      <c r="U54">
        <f t="shared" si="11"/>
        <v>0</v>
      </c>
      <c r="V54" s="15">
        <f t="shared" si="18"/>
        <v>15048.692097474122</v>
      </c>
      <c r="W54" s="15">
        <f t="shared" si="19"/>
        <v>22912.955165910505</v>
      </c>
    </row>
    <row r="55" spans="1:23" x14ac:dyDescent="0.3">
      <c r="A55" t="s">
        <v>48</v>
      </c>
      <c r="B55" s="33">
        <f>IFERROR(VLOOKUP(A55,HTN_targets!$D$1:$M$195,3,0),Q55)</f>
        <v>0.48972061</v>
      </c>
      <c r="C55" s="33">
        <f>IFERROR(VLOOKUP(A55,HTN_targets!$D$1:$M$195,10,0),R55)</f>
        <v>0.41031807661056502</v>
      </c>
      <c r="D55" s="35">
        <v>7.7891131243561895E-2</v>
      </c>
      <c r="E55" s="1">
        <v>8533264</v>
      </c>
      <c r="F55" s="1">
        <f t="shared" si="12"/>
        <v>4178915.25137104</v>
      </c>
      <c r="G55" s="1">
        <f t="shared" si="13"/>
        <v>1714684.4682611211</v>
      </c>
      <c r="H55" s="4">
        <f t="shared" si="14"/>
        <v>0.5</v>
      </c>
      <c r="I55" s="1">
        <f t="shared" si="5"/>
        <v>2089457.62568552</v>
      </c>
      <c r="J55" s="9">
        <f t="shared" si="15"/>
        <v>0.45797397091500813</v>
      </c>
      <c r="K55" s="2">
        <f t="shared" si="7"/>
        <v>1913834.4117876845</v>
      </c>
      <c r="L55" s="9">
        <f t="shared" si="16"/>
        <v>0.44036200997640962</v>
      </c>
      <c r="M55" s="2">
        <f t="shared" si="9"/>
        <v>1840235.5196148243</v>
      </c>
      <c r="N55" s="34">
        <f>+VLOOKUP(A55,Diabetes!$G$1:$S$206,12,0)/100000</f>
        <v>9.8436608561820599E-2</v>
      </c>
      <c r="O55">
        <f t="shared" si="17"/>
        <v>0.56031807661056499</v>
      </c>
      <c r="P55" s="16">
        <v>5.5833428333333331E-2</v>
      </c>
      <c r="Q55">
        <v>0.38</v>
      </c>
      <c r="R55">
        <v>0.326394155375894</v>
      </c>
      <c r="S55" s="35">
        <v>7.7891131243561895E-2</v>
      </c>
      <c r="T55" s="40">
        <f>IFERROR(VLOOKUP(A55,HTN_targets!$R$9:$X$203,6,0),L55)</f>
        <v>0.41031807661056519</v>
      </c>
      <c r="U55">
        <f t="shared" si="11"/>
        <v>0</v>
      </c>
      <c r="V55" s="15">
        <f t="shared" si="18"/>
        <v>230491.46053108844</v>
      </c>
      <c r="W55" s="15">
        <f t="shared" si="19"/>
        <v>329086.59584978659</v>
      </c>
    </row>
    <row r="56" spans="1:23" x14ac:dyDescent="0.3">
      <c r="A56" t="s">
        <v>49</v>
      </c>
      <c r="B56" s="33">
        <f>IFERROR(VLOOKUP(A56,HTN_targets!$D$1:$M$195,3,0),Q56)</f>
        <v>0.28730633999999999</v>
      </c>
      <c r="C56" s="33">
        <f>IFERROR(VLOOKUP(A56,HTN_targets!$D$1:$M$195,10,0),R56)</f>
        <v>0.256013244390487</v>
      </c>
      <c r="D56" s="35">
        <v>3.73243565156045E-2</v>
      </c>
      <c r="E56" s="1">
        <v>20238517</v>
      </c>
      <c r="F56" s="1">
        <f t="shared" si="12"/>
        <v>5814654.2462977795</v>
      </c>
      <c r="G56" s="1">
        <f t="shared" si="13"/>
        <v>1488628.4986036164</v>
      </c>
      <c r="H56" s="4">
        <f t="shared" si="14"/>
        <v>0.5</v>
      </c>
      <c r="I56" s="1">
        <f t="shared" si="5"/>
        <v>2907327.1231488897</v>
      </c>
      <c r="J56" s="9">
        <f t="shared" si="15"/>
        <v>0.30366913869493006</v>
      </c>
      <c r="K56" s="2">
        <f t="shared" si="7"/>
        <v>1765731.0467820645</v>
      </c>
      <c r="L56" s="9">
        <f t="shared" si="16"/>
        <v>0.28605717775633155</v>
      </c>
      <c r="M56" s="2">
        <f t="shared" si="9"/>
        <v>1663323.5833248119</v>
      </c>
      <c r="N56" s="34">
        <f>+VLOOKUP(A56,Diabetes!$G$1:$S$206,12,0)/100000</f>
        <v>7.347751174037781E-2</v>
      </c>
      <c r="O56">
        <f t="shared" si="17"/>
        <v>0.40601324439048703</v>
      </c>
      <c r="P56" s="16">
        <v>5.5833428333333331E-2</v>
      </c>
      <c r="Q56">
        <v>0.38</v>
      </c>
      <c r="R56">
        <v>0.21449465687949601</v>
      </c>
      <c r="S56" s="35">
        <v>3.73243565156045E-2</v>
      </c>
      <c r="T56" s="40">
        <f>IFERROR(VLOOKUP(A56,HTN_targets!$R$9:$X$203,6,0),L56)</f>
        <v>0.25601324439048773</v>
      </c>
      <c r="U56">
        <f t="shared" si="11"/>
        <v>1</v>
      </c>
      <c r="V56" s="15">
        <f t="shared" si="18"/>
        <v>173467.66683049564</v>
      </c>
      <c r="W56" s="15">
        <f t="shared" si="19"/>
        <v>341797.06051886623</v>
      </c>
    </row>
    <row r="57" spans="1:23" x14ac:dyDescent="0.3">
      <c r="A57" t="s">
        <v>50</v>
      </c>
      <c r="B57" s="33">
        <f>IFERROR(VLOOKUP(A57,HTN_targets!$D$1:$M$195,3,0),Q57)</f>
        <v>0.31483629000000002</v>
      </c>
      <c r="C57" s="33">
        <f>IFERROR(VLOOKUP(A57,HTN_targets!$D$1:$M$195,10,0),R57)</f>
        <v>0.132044821977615</v>
      </c>
      <c r="D57" s="35">
        <v>7.55733365468714E-2</v>
      </c>
      <c r="E57" s="1">
        <v>51334600</v>
      </c>
      <c r="F57" s="1">
        <f t="shared" si="12"/>
        <v>16161995.012634002</v>
      </c>
      <c r="G57" s="1">
        <f t="shared" si="13"/>
        <v>2134107.7542463583</v>
      </c>
      <c r="H57" s="4">
        <f t="shared" si="14"/>
        <v>0.5</v>
      </c>
      <c r="I57" s="1">
        <f t="shared" si="5"/>
        <v>8080997.5063170008</v>
      </c>
      <c r="J57" s="9">
        <f t="shared" si="15"/>
        <v>0.17970071628205808</v>
      </c>
      <c r="K57" s="2">
        <f t="shared" si="7"/>
        <v>2904322.0803173804</v>
      </c>
      <c r="L57" s="9">
        <f t="shared" si="16"/>
        <v>0.16208875534345957</v>
      </c>
      <c r="M57" s="2">
        <f t="shared" si="9"/>
        <v>2619677.6554650464</v>
      </c>
      <c r="N57" s="34">
        <f>+VLOOKUP(A57,Diabetes!$G$1:$S$206,12,0)/100000</f>
        <v>3.6933108715538003E-2</v>
      </c>
      <c r="O57">
        <f t="shared" si="17"/>
        <v>0.28204482197761499</v>
      </c>
      <c r="P57" s="16">
        <v>5.5833428333333331E-2</v>
      </c>
      <c r="Q57">
        <v>0.38</v>
      </c>
      <c r="R57">
        <v>0.112062914095178</v>
      </c>
      <c r="S57" s="35">
        <v>7.55733365468714E-2</v>
      </c>
      <c r="T57" s="40">
        <f>IFERROR(VLOOKUP(A57,HTN_targets!$R$9:$X$203,6,0),L57)</f>
        <v>0.13204482197761541</v>
      </c>
      <c r="U57">
        <f t="shared" si="11"/>
        <v>0</v>
      </c>
      <c r="V57" s="15">
        <f t="shared" si="18"/>
        <v>168356.14152749258</v>
      </c>
      <c r="W57" s="15">
        <f t="shared" si="19"/>
        <v>477530.1750892757</v>
      </c>
    </row>
    <row r="58" spans="1:23" x14ac:dyDescent="0.3">
      <c r="A58" t="s">
        <v>51</v>
      </c>
      <c r="B58" s="33">
        <f>IFERROR(VLOOKUP(A58,HTN_targets!$D$1:$M$195,3,0),Q58)</f>
        <v>0.40491634999999998</v>
      </c>
      <c r="C58" s="33">
        <f>IFERROR(VLOOKUP(A58,HTN_targets!$D$1:$M$195,10,0),R58)</f>
        <v>0.127151429653167</v>
      </c>
      <c r="D58" s="35">
        <v>5.0512570493906901E-2</v>
      </c>
      <c r="E58" s="1">
        <v>4788656.5</v>
      </c>
      <c r="F58" s="1">
        <f t="shared" si="12"/>
        <v>1939005.311383775</v>
      </c>
      <c r="G58" s="1">
        <f t="shared" si="13"/>
        <v>246547.29744753125</v>
      </c>
      <c r="H58" s="4">
        <f t="shared" si="14"/>
        <v>0.5</v>
      </c>
      <c r="I58" s="1">
        <f t="shared" si="5"/>
        <v>969502.65569188748</v>
      </c>
      <c r="J58" s="9">
        <f t="shared" si="15"/>
        <v>0.17480732395761009</v>
      </c>
      <c r="K58" s="2">
        <f t="shared" si="7"/>
        <v>338952.32962259016</v>
      </c>
      <c r="L58" s="9">
        <f t="shared" si="16"/>
        <v>0.15719536301901157</v>
      </c>
      <c r="M58" s="2">
        <f t="shared" si="9"/>
        <v>304802.64381876407</v>
      </c>
      <c r="N58" s="34">
        <f>+VLOOKUP(A58,Diabetes!$G$1:$S$206,12,0)/100000</f>
        <v>6.24331185023397E-2</v>
      </c>
      <c r="O58">
        <f t="shared" si="17"/>
        <v>0.27715142965316697</v>
      </c>
      <c r="P58" s="16">
        <v>7.1374690000000005E-2</v>
      </c>
      <c r="Q58">
        <v>0.432740280005594</v>
      </c>
      <c r="R58">
        <v>8.9792523795132403E-2</v>
      </c>
      <c r="S58" s="35">
        <v>5.0512570493906901E-2</v>
      </c>
      <c r="T58" s="40">
        <f>IFERROR(VLOOKUP(A58,HTN_targets!$R$9:$X$203,6,0),L58)</f>
        <v>0.1271514296531677</v>
      </c>
      <c r="U58">
        <f t="shared" si="11"/>
        <v>1</v>
      </c>
      <c r="V58" s="15">
        <f t="shared" si="18"/>
        <v>33551.4388953167</v>
      </c>
      <c r="W58" s="15">
        <f t="shared" si="19"/>
        <v>96846.518705831448</v>
      </c>
    </row>
    <row r="59" spans="1:23" x14ac:dyDescent="0.3">
      <c r="A59" t="s">
        <v>52</v>
      </c>
      <c r="B59" s="33">
        <f>IFERROR(VLOOKUP(A59,HTN_targets!$D$1:$M$195,3,0),Q59)</f>
        <v>0.30559807999999999</v>
      </c>
      <c r="C59" s="33">
        <f>IFERROR(VLOOKUP(A59,HTN_targets!$D$1:$M$195,10,0),R59)</f>
        <v>0.13089178502559601</v>
      </c>
      <c r="D59" s="35">
        <v>6.9292419910867403E-2</v>
      </c>
      <c r="E59" s="1">
        <v>751723</v>
      </c>
      <c r="F59" s="1">
        <f t="shared" si="12"/>
        <v>229725.10549183999</v>
      </c>
      <c r="G59" s="1">
        <f t="shared" si="13"/>
        <v>30069.129123020284</v>
      </c>
      <c r="H59" s="4">
        <f t="shared" si="14"/>
        <v>0.5</v>
      </c>
      <c r="I59" s="1">
        <f t="shared" si="5"/>
        <v>114862.55274591999</v>
      </c>
      <c r="J59" s="9">
        <f t="shared" si="15"/>
        <v>0.17854767933003909</v>
      </c>
      <c r="K59" s="2">
        <f t="shared" si="7"/>
        <v>41016.884469416451</v>
      </c>
      <c r="L59" s="9">
        <f t="shared" si="16"/>
        <v>0.16093571839144058</v>
      </c>
      <c r="M59" s="2">
        <f t="shared" si="9"/>
        <v>36970.974884878742</v>
      </c>
      <c r="N59" s="34">
        <f>+VLOOKUP(A59,Diabetes!$G$1:$S$206,12,0)/100000</f>
        <v>2.4549787109776199E-2</v>
      </c>
      <c r="O59">
        <f t="shared" si="17"/>
        <v>0.28089178502559597</v>
      </c>
      <c r="P59" s="16">
        <v>5.3276959999999998E-2</v>
      </c>
      <c r="Q59">
        <v>0.32663659813900803</v>
      </c>
      <c r="R59">
        <v>0.10370913379503501</v>
      </c>
      <c r="S59" s="35">
        <v>6.9292419910867403E-2</v>
      </c>
      <c r="T59" s="40">
        <f>IFERROR(VLOOKUP(A59,HTN_targets!$R$9:$X$203,6,0),L59)</f>
        <v>0.13089178502559659</v>
      </c>
      <c r="U59">
        <f t="shared" si="11"/>
        <v>1</v>
      </c>
      <c r="V59" s="15">
        <f t="shared" si="18"/>
        <v>1584.146083585852</v>
      </c>
      <c r="W59" s="15">
        <f t="shared" si="19"/>
        <v>4511.7619468764415</v>
      </c>
    </row>
    <row r="60" spans="1:23" x14ac:dyDescent="0.3">
      <c r="A60" t="s">
        <v>53</v>
      </c>
      <c r="B60" s="33">
        <f>IFERROR(VLOOKUP(A60,HTN_targets!$D$1:$M$195,3,0),Q60)</f>
        <v>0.48730233000000001</v>
      </c>
      <c r="C60" s="33">
        <f>IFERROR(VLOOKUP(A60,HTN_targets!$D$1:$M$195,10,0),R60)</f>
        <v>0.201271101832389</v>
      </c>
      <c r="D60" s="35">
        <v>5.5187246189069998E-2</v>
      </c>
      <c r="E60" s="1">
        <v>50796</v>
      </c>
      <c r="F60" s="1">
        <f t="shared" si="12"/>
        <v>24753.009154679999</v>
      </c>
      <c r="G60" s="1">
        <f t="shared" si="13"/>
        <v>4982.0654262296557</v>
      </c>
      <c r="H60" s="4">
        <f t="shared" si="14"/>
        <v>0.5</v>
      </c>
      <c r="I60" s="1">
        <f t="shared" si="5"/>
        <v>12376.50457734</v>
      </c>
      <c r="J60" s="9">
        <f t="shared" si="15"/>
        <v>0.24892699613683208</v>
      </c>
      <c r="K60" s="2">
        <f t="shared" si="7"/>
        <v>6161.6922142219973</v>
      </c>
      <c r="L60" s="9">
        <f t="shared" si="16"/>
        <v>0.23131503519823357</v>
      </c>
      <c r="M60" s="2">
        <f t="shared" si="9"/>
        <v>5725.7431838770017</v>
      </c>
      <c r="N60" s="34">
        <f>+VLOOKUP(A60,Diabetes!$G$1:$S$206,12,0)/100000</f>
        <v>0.152318983188442</v>
      </c>
      <c r="O60">
        <f t="shared" si="17"/>
        <v>0.35127110183238897</v>
      </c>
      <c r="P60" s="16">
        <v>6.4904710000000004E-2</v>
      </c>
      <c r="Q60">
        <v>0.455038100351496</v>
      </c>
      <c r="R60">
        <v>0.15653835289993601</v>
      </c>
      <c r="S60" s="35">
        <v>5.5187246189069998E-2</v>
      </c>
      <c r="T60" s="40">
        <f>IFERROR(VLOOKUP(A60,HTN_targets!$R$9:$X$203,6,0),L60)</f>
        <v>0.2012711018323898</v>
      </c>
      <c r="U60">
        <f t="shared" si="11"/>
        <v>1</v>
      </c>
      <c r="V60" s="15">
        <f t="shared" si="18"/>
        <v>1324.416117695851</v>
      </c>
      <c r="W60" s="15">
        <f t="shared" si="19"/>
        <v>3016.2825482360431</v>
      </c>
    </row>
    <row r="61" spans="1:23" x14ac:dyDescent="0.3">
      <c r="A61" t="s">
        <v>54</v>
      </c>
      <c r="B61" s="33">
        <f>IFERROR(VLOOKUP(A61,HTN_targets!$D$1:$M$195,3,0),Q61)</f>
        <v>0.49723640000000002</v>
      </c>
      <c r="C61" s="33">
        <f>IFERROR(VLOOKUP(A61,HTN_targets!$D$1:$M$195,10,0),R61)</f>
        <v>0.23310354351997301</v>
      </c>
      <c r="D61" s="35">
        <v>4.9781229224748501E-2</v>
      </c>
      <c r="E61" s="1">
        <v>7710059.5</v>
      </c>
      <c r="F61" s="1">
        <f t="shared" si="12"/>
        <v>3833722.2295658002</v>
      </c>
      <c r="G61" s="1">
        <f t="shared" si="13"/>
        <v>893654.23658307944</v>
      </c>
      <c r="H61" s="4">
        <f t="shared" si="14"/>
        <v>0.5</v>
      </c>
      <c r="I61" s="1">
        <f t="shared" si="5"/>
        <v>1916861.1147829001</v>
      </c>
      <c r="J61" s="9">
        <f t="shared" si="15"/>
        <v>0.28075943782441609</v>
      </c>
      <c r="K61" s="2">
        <f t="shared" si="7"/>
        <v>1076353.6979478612</v>
      </c>
      <c r="L61" s="9">
        <f t="shared" si="16"/>
        <v>0.26314747688581758</v>
      </c>
      <c r="M61" s="2">
        <f t="shared" si="9"/>
        <v>1008834.3317913114</v>
      </c>
      <c r="N61" s="34">
        <f>+VLOOKUP(A61,Diabetes!$G$1:$S$206,12,0)/100000</f>
        <v>8.4730541523837896E-2</v>
      </c>
      <c r="O61">
        <f t="shared" si="17"/>
        <v>0.383103543519973</v>
      </c>
      <c r="P61" s="16">
        <v>5.5833428333333331E-2</v>
      </c>
      <c r="Q61">
        <v>0.48965973928765499</v>
      </c>
      <c r="R61">
        <v>0.194948367639588</v>
      </c>
      <c r="S61" s="35">
        <v>4.9781229224748501E-2</v>
      </c>
      <c r="T61" s="40">
        <f>IFERROR(VLOOKUP(A61,HTN_targets!$R$9:$X$203,6,0),L61)</f>
        <v>0.23310354351997381</v>
      </c>
      <c r="U61">
        <f t="shared" si="11"/>
        <v>1</v>
      </c>
      <c r="V61" s="15">
        <f t="shared" si="18"/>
        <v>124444.81148521908</v>
      </c>
      <c r="W61" s="15">
        <f t="shared" si="19"/>
        <v>259866.68845046835</v>
      </c>
    </row>
    <row r="62" spans="1:23" x14ac:dyDescent="0.3">
      <c r="A62" t="s">
        <v>55</v>
      </c>
      <c r="B62" s="33">
        <f>IFERROR(VLOOKUP(A62,HTN_targets!$D$1:$M$195,3,0),Q62)</f>
        <v>0.28060457</v>
      </c>
      <c r="C62" s="33">
        <f>IFERROR(VLOOKUP(A62,HTN_targets!$D$1:$M$195,10,0),R62)</f>
        <v>0.30289757251739502</v>
      </c>
      <c r="D62" s="35">
        <v>3.7612376765748197E-2</v>
      </c>
      <c r="E62" s="1">
        <v>12643236.5</v>
      </c>
      <c r="F62" s="1">
        <f t="shared" si="12"/>
        <v>3547749.9414908048</v>
      </c>
      <c r="G62" s="1">
        <f t="shared" si="13"/>
        <v>1074604.8451762949</v>
      </c>
      <c r="H62" s="4">
        <f t="shared" si="14"/>
        <v>0.5</v>
      </c>
      <c r="I62" s="1">
        <f t="shared" si="5"/>
        <v>1773874.9707454024</v>
      </c>
      <c r="J62" s="9">
        <f t="shared" si="15"/>
        <v>0.35055346682183808</v>
      </c>
      <c r="K62" s="2">
        <f t="shared" si="7"/>
        <v>1243676.0414065749</v>
      </c>
      <c r="L62" s="9">
        <f t="shared" si="16"/>
        <v>0.33294150588323956</v>
      </c>
      <c r="M62" s="2">
        <f t="shared" si="9"/>
        <v>1181193.2080171236</v>
      </c>
      <c r="N62" s="34">
        <f>+VLOOKUP(A62,Diabetes!$G$1:$S$206,12,0)/100000</f>
        <v>6.5971178932875296E-2</v>
      </c>
      <c r="O62">
        <f t="shared" si="17"/>
        <v>0.45289757251739504</v>
      </c>
      <c r="P62" s="16">
        <v>4.1560420000000001E-2</v>
      </c>
      <c r="Q62">
        <v>0.29185788592376799</v>
      </c>
      <c r="R62">
        <v>0.22562758474760999</v>
      </c>
      <c r="S62" s="35">
        <v>3.7612376765748197E-2</v>
      </c>
      <c r="T62" s="40">
        <f>IFERROR(VLOOKUP(A62,HTN_targets!$R$9:$X$203,6,0),L62)</f>
        <v>0.30289757251739502</v>
      </c>
      <c r="U62">
        <f t="shared" si="11"/>
        <v>0</v>
      </c>
      <c r="V62" s="15">
        <f t="shared" si="18"/>
        <v>106000.33545313828</v>
      </c>
      <c r="W62" s="15">
        <f t="shared" si="19"/>
        <v>187239.39695935021</v>
      </c>
    </row>
    <row r="63" spans="1:23" x14ac:dyDescent="0.3">
      <c r="A63" t="s">
        <v>56</v>
      </c>
      <c r="B63" s="33">
        <f>IFERROR(VLOOKUP(A63,HTN_targets!$D$1:$M$195,3,0),Q63)</f>
        <v>0.36629695000000001</v>
      </c>
      <c r="C63" s="33">
        <f>IFERROR(VLOOKUP(A63,HTN_targets!$D$1:$M$195,10,0),R63)</f>
        <v>0.202165693044662</v>
      </c>
      <c r="D63" s="35">
        <v>6.0963975752745099E-2</v>
      </c>
      <c r="E63" s="1">
        <v>72064627.5</v>
      </c>
      <c r="F63" s="1">
        <f t="shared" si="12"/>
        <v>26397053.256136127</v>
      </c>
      <c r="G63" s="1">
        <f t="shared" si="13"/>
        <v>5336578.5658636121</v>
      </c>
      <c r="H63" s="4">
        <f t="shared" si="14"/>
        <v>0.5</v>
      </c>
      <c r="I63" s="1">
        <f t="shared" si="5"/>
        <v>13198526.628068063</v>
      </c>
      <c r="J63" s="9">
        <f t="shared" si="15"/>
        <v>0.24982158734910509</v>
      </c>
      <c r="K63" s="2">
        <f t="shared" si="7"/>
        <v>6594553.7457867907</v>
      </c>
      <c r="L63" s="9">
        <f t="shared" si="16"/>
        <v>0.23220962641050658</v>
      </c>
      <c r="M63" s="2">
        <f t="shared" si="9"/>
        <v>6129649.8749456163</v>
      </c>
      <c r="N63" s="34">
        <f>+VLOOKUP(A63,Diabetes!$G$1:$S$206,12,0)/100000</f>
        <v>0.12062493317058599</v>
      </c>
      <c r="O63">
        <f t="shared" si="17"/>
        <v>0.352165693044662</v>
      </c>
      <c r="P63" s="16">
        <v>5.6617790000000001E-2</v>
      </c>
      <c r="Q63">
        <v>0.355659487493934</v>
      </c>
      <c r="R63">
        <v>0.169076050404522</v>
      </c>
      <c r="S63" s="35">
        <v>6.0963975752745099E-2</v>
      </c>
      <c r="T63" s="40">
        <f>IFERROR(VLOOKUP(A63,HTN_targets!$R$9:$X$203,6,0),L63)</f>
        <v>0.2021656930446625</v>
      </c>
      <c r="U63">
        <f t="shared" si="11"/>
        <v>1</v>
      </c>
      <c r="V63" s="15">
        <f t="shared" si="18"/>
        <v>1121345.8506051528</v>
      </c>
      <c r="W63" s="15">
        <f t="shared" si="19"/>
        <v>2547314.2279374562</v>
      </c>
    </row>
    <row r="64" spans="1:23" x14ac:dyDescent="0.3">
      <c r="A64" t="s">
        <v>57</v>
      </c>
      <c r="B64" s="33">
        <f>IFERROR(VLOOKUP(A64,HTN_targets!$D$1:$M$195,3,0),Q64)</f>
        <v>0.33587720999999998</v>
      </c>
      <c r="C64" s="33">
        <f>IFERROR(VLOOKUP(A64,HTN_targets!$D$1:$M$195,10,0),R64)</f>
        <v>0.424793720245361</v>
      </c>
      <c r="D64" s="35">
        <v>3.8568098767284002E-2</v>
      </c>
      <c r="E64" s="1">
        <v>4366207.5</v>
      </c>
      <c r="F64" s="1">
        <f t="shared" si="12"/>
        <v>1466509.593381075</v>
      </c>
      <c r="G64" s="1">
        <f t="shared" si="13"/>
        <v>622964.0659478585</v>
      </c>
      <c r="H64" s="4">
        <f t="shared" si="14"/>
        <v>0.5</v>
      </c>
      <c r="I64" s="1">
        <f t="shared" si="5"/>
        <v>733254.79669053748</v>
      </c>
      <c r="J64" s="9">
        <f t="shared" si="15"/>
        <v>0.47244961454980405</v>
      </c>
      <c r="K64" s="2">
        <f t="shared" si="7"/>
        <v>692851.89212647872</v>
      </c>
      <c r="L64" s="9">
        <f t="shared" si="16"/>
        <v>0.45483765361120554</v>
      </c>
      <c r="M64" s="2">
        <f t="shared" si="9"/>
        <v>667023.7824517712</v>
      </c>
      <c r="N64" s="34">
        <f>+VLOOKUP(A64,Diabetes!$G$1:$S$206,12,0)/100000</f>
        <v>8.0110442659722003E-2</v>
      </c>
      <c r="O64">
        <f t="shared" si="17"/>
        <v>0.57479372024536102</v>
      </c>
      <c r="P64" s="16">
        <v>5.5833428333333331E-2</v>
      </c>
      <c r="Q64">
        <v>0.31378521322971298</v>
      </c>
      <c r="R64">
        <v>0.31877541863648001</v>
      </c>
      <c r="S64" s="35">
        <v>3.8568098767284002E-2</v>
      </c>
      <c r="T64" s="40">
        <f>IFERROR(VLOOKUP(A64,HTN_targets!$R$9:$X$203,6,0),L64)</f>
        <v>0.42479372024536127</v>
      </c>
      <c r="U64">
        <f t="shared" si="11"/>
        <v>0</v>
      </c>
      <c r="V64" s="15">
        <f t="shared" si="18"/>
        <v>67528.336987756222</v>
      </c>
      <c r="W64" s="15">
        <f t="shared" si="19"/>
        <v>93986.186152389477</v>
      </c>
    </row>
    <row r="65" spans="1:23" x14ac:dyDescent="0.3">
      <c r="A65" t="s">
        <v>58</v>
      </c>
      <c r="B65" s="33">
        <f>IFERROR(VLOOKUP(A65,HTN_targets!$D$1:$M$195,3,0),Q65)</f>
        <v>0.30097061000000003</v>
      </c>
      <c r="C65" s="33">
        <f>IFERROR(VLOOKUP(A65,HTN_targets!$D$1:$M$195,10,0),R65)</f>
        <v>0.123957186937332</v>
      </c>
      <c r="D65" s="35">
        <v>7.9504727257583702E-2</v>
      </c>
      <c r="E65" s="1">
        <v>1066564</v>
      </c>
      <c r="F65" s="1">
        <f t="shared" si="12"/>
        <v>321004.41768404003</v>
      </c>
      <c r="G65" s="1">
        <f t="shared" si="13"/>
        <v>39790.804610569954</v>
      </c>
      <c r="H65" s="4">
        <f t="shared" si="14"/>
        <v>0.5</v>
      </c>
      <c r="I65" s="1">
        <f t="shared" si="5"/>
        <v>160502.20884202002</v>
      </c>
      <c r="J65" s="9">
        <f t="shared" si="15"/>
        <v>0.1716130812417751</v>
      </c>
      <c r="K65" s="2">
        <f t="shared" si="7"/>
        <v>55088.557210979867</v>
      </c>
      <c r="L65" s="9">
        <f t="shared" si="16"/>
        <v>0.15400112030317659</v>
      </c>
      <c r="M65" s="2">
        <f t="shared" si="9"/>
        <v>49435.039945610995</v>
      </c>
      <c r="N65" s="34">
        <f>+VLOOKUP(A65,Diabetes!$G$1:$S$206,12,0)/100000</f>
        <v>4.4070401042647998E-2</v>
      </c>
      <c r="O65">
        <f t="shared" si="17"/>
        <v>0.27395718693733201</v>
      </c>
      <c r="P65" s="16">
        <v>5.5833428333333331E-2</v>
      </c>
      <c r="Q65">
        <v>0.36553074862094498</v>
      </c>
      <c r="R65">
        <v>0.105983750491355</v>
      </c>
      <c r="S65" s="35">
        <v>7.9504727257583702E-2</v>
      </c>
      <c r="T65" s="40">
        <f>IFERROR(VLOOKUP(A65,HTN_targets!$R$9:$X$203,6,0),L65)</f>
        <v>0.12395718693733219</v>
      </c>
      <c r="U65">
        <f t="shared" si="11"/>
        <v>0</v>
      </c>
      <c r="V65" s="15">
        <f t="shared" si="18"/>
        <v>3875.6157305670645</v>
      </c>
      <c r="W65" s="15">
        <f t="shared" si="19"/>
        <v>11317.434739037866</v>
      </c>
    </row>
    <row r="66" spans="1:23" x14ac:dyDescent="0.3">
      <c r="A66" t="s">
        <v>59</v>
      </c>
      <c r="B66" s="33">
        <f>IFERROR(VLOOKUP(A66,HTN_targets!$D$1:$M$195,3,0),Q66)</f>
        <v>0.20556279999999999</v>
      </c>
      <c r="C66" s="33">
        <f>IFERROR(VLOOKUP(A66,HTN_targets!$D$1:$M$195,10,0),R66)</f>
        <v>0.15142787992954199</v>
      </c>
      <c r="D66" s="35">
        <v>7.6781388885682297E-2</v>
      </c>
      <c r="E66" s="1">
        <v>1905794</v>
      </c>
      <c r="F66" s="1">
        <f t="shared" si="12"/>
        <v>391760.35086319997</v>
      </c>
      <c r="G66" s="1">
        <f t="shared" si="13"/>
        <v>59323.439371667882</v>
      </c>
      <c r="H66" s="4">
        <f t="shared" si="14"/>
        <v>0.5</v>
      </c>
      <c r="I66" s="1">
        <f t="shared" si="5"/>
        <v>195880.17543159999</v>
      </c>
      <c r="J66" s="9">
        <f t="shared" si="15"/>
        <v>0.19908377423398507</v>
      </c>
      <c r="K66" s="2">
        <f t="shared" si="7"/>
        <v>77993.129245076081</v>
      </c>
      <c r="L66" s="9">
        <f t="shared" si="16"/>
        <v>0.18147181329538656</v>
      </c>
      <c r="M66" s="2">
        <f t="shared" si="9"/>
        <v>71093.461248381762</v>
      </c>
      <c r="N66" s="34">
        <f>+VLOOKUP(A66,Diabetes!$G$1:$S$206,12,0)/100000</f>
        <v>2.3074662619317201E-2</v>
      </c>
      <c r="O66">
        <f t="shared" si="17"/>
        <v>0.30142787992954201</v>
      </c>
      <c r="P66" s="16">
        <v>5.0672790000000002E-2</v>
      </c>
      <c r="Q66">
        <v>0.22475493588538201</v>
      </c>
      <c r="R66">
        <v>0.12252797535481</v>
      </c>
      <c r="S66" s="35">
        <v>7.6781388885682297E-2</v>
      </c>
      <c r="T66" s="40">
        <f>IFERROR(VLOOKUP(A66,HTN_targets!$R$9:$X$203,6,0),L66)</f>
        <v>0.15142787992954251</v>
      </c>
      <c r="U66">
        <f t="shared" si="11"/>
        <v>1</v>
      </c>
      <c r="V66" s="15">
        <f t="shared" si="18"/>
        <v>2724.8290374878061</v>
      </c>
      <c r="W66" s="15">
        <f t="shared" si="19"/>
        <v>7231.7903390349375</v>
      </c>
    </row>
    <row r="67" spans="1:23" x14ac:dyDescent="0.3">
      <c r="A67" t="s">
        <v>60</v>
      </c>
      <c r="B67" s="33">
        <f>IFERROR(VLOOKUP(A67,HTN_targets!$D$1:$M$195,3,0),Q67)</f>
        <v>0.44218117000000001</v>
      </c>
      <c r="C67" s="33">
        <f>IFERROR(VLOOKUP(A67,HTN_targets!$D$1:$M$195,10,0),R67)</f>
        <v>0.179140985012054</v>
      </c>
      <c r="D67" s="35">
        <v>7.3800854281450598E-2</v>
      </c>
      <c r="E67" s="1">
        <v>1075970.5</v>
      </c>
      <c r="F67" s="1">
        <f t="shared" si="12"/>
        <v>475773.89457548503</v>
      </c>
      <c r="G67" s="1">
        <f t="shared" si="13"/>
        <v>85230.604117273528</v>
      </c>
      <c r="H67" s="4">
        <f t="shared" si="14"/>
        <v>0.5</v>
      </c>
      <c r="I67" s="1">
        <f t="shared" si="5"/>
        <v>237886.94728774251</v>
      </c>
      <c r="J67" s="9">
        <f t="shared" si="15"/>
        <v>0.22679687931649709</v>
      </c>
      <c r="K67" s="2">
        <f t="shared" si="7"/>
        <v>107904.03454997609</v>
      </c>
      <c r="L67" s="9">
        <f t="shared" si="16"/>
        <v>0.20918491837789857</v>
      </c>
      <c r="M67" s="2">
        <f t="shared" si="9"/>
        <v>99524.723303107749</v>
      </c>
      <c r="N67" s="34">
        <f>+VLOOKUP(A67,Diabetes!$G$1:$S$206,12,0)/100000</f>
        <v>8.3059325873245313E-2</v>
      </c>
      <c r="O67">
        <f t="shared" si="17"/>
        <v>0.32914098501205402</v>
      </c>
      <c r="P67" s="16">
        <v>4.5489729999999999E-2</v>
      </c>
      <c r="Q67">
        <v>0.45863836400125602</v>
      </c>
      <c r="R67">
        <v>0.139883345253072</v>
      </c>
      <c r="S67" s="35">
        <v>7.3800854281450598E-2</v>
      </c>
      <c r="T67" s="40">
        <f>IFERROR(VLOOKUP(A67,HTN_targets!$R$9:$X$203,6,0),L67)</f>
        <v>0.17914098501205439</v>
      </c>
      <c r="U67">
        <f t="shared" si="11"/>
        <v>0</v>
      </c>
      <c r="V67" s="15">
        <f t="shared" si="18"/>
        <v>13006.815364479427</v>
      </c>
      <c r="W67" s="15">
        <f t="shared" si="19"/>
        <v>31613.967161222619</v>
      </c>
    </row>
    <row r="68" spans="1:23" x14ac:dyDescent="0.3">
      <c r="A68" t="s">
        <v>61</v>
      </c>
      <c r="B68" s="33">
        <f>IFERROR(VLOOKUP(A68,HTN_targets!$D$1:$M$195,3,0),Q68)</f>
        <v>0.36737113999999998</v>
      </c>
      <c r="C68" s="33">
        <f>IFERROR(VLOOKUP(A68,HTN_targets!$D$1:$M$195,10,0),R68)</f>
        <v>0.135177552700042</v>
      </c>
      <c r="D68" s="35">
        <v>7.9366552864974502E-2</v>
      </c>
      <c r="E68" s="1">
        <v>737061</v>
      </c>
      <c r="F68" s="1">
        <f t="shared" si="12"/>
        <v>270774.93981954001</v>
      </c>
      <c r="G68" s="1">
        <f t="shared" si="13"/>
        <v>36602.693697306575</v>
      </c>
      <c r="H68" s="4">
        <f t="shared" si="14"/>
        <v>0.5</v>
      </c>
      <c r="I68" s="1">
        <f t="shared" si="5"/>
        <v>135387.46990977001</v>
      </c>
      <c r="J68" s="9">
        <f t="shared" si="15"/>
        <v>0.18283344700448509</v>
      </c>
      <c r="K68" s="2">
        <f t="shared" si="7"/>
        <v>49506.715609638508</v>
      </c>
      <c r="L68" s="9">
        <f t="shared" si="16"/>
        <v>0.16522148606588657</v>
      </c>
      <c r="M68" s="2">
        <f t="shared" si="9"/>
        <v>44737.837946385407</v>
      </c>
      <c r="N68" s="34">
        <f>+VLOOKUP(A68,Diabetes!$G$1:$S$206,12,0)/100000</f>
        <v>4.91184700081186E-2</v>
      </c>
      <c r="O68">
        <f t="shared" si="17"/>
        <v>0.28517755270004197</v>
      </c>
      <c r="P68" s="16">
        <v>5.5833428333333331E-2</v>
      </c>
      <c r="Q68">
        <v>0.38</v>
      </c>
      <c r="R68">
        <v>0.11387967241734701</v>
      </c>
      <c r="S68" s="35">
        <v>7.9366552864974502E-2</v>
      </c>
      <c r="T68" s="40">
        <f>IFERROR(VLOOKUP(A68,HTN_targets!$R$9:$X$203,6,0),L68)</f>
        <v>0.1351775527000427</v>
      </c>
      <c r="U68">
        <f t="shared" si="11"/>
        <v>1</v>
      </c>
      <c r="V68" s="15">
        <f t="shared" si="18"/>
        <v>3792.8759266589336</v>
      </c>
      <c r="W68" s="15">
        <f t="shared" si="19"/>
        <v>10640.040608380958</v>
      </c>
    </row>
    <row r="69" spans="1:23" x14ac:dyDescent="0.3">
      <c r="A69" t="s">
        <v>62</v>
      </c>
      <c r="B69" s="33">
        <f>IFERROR(VLOOKUP(A69,HTN_targets!$D$1:$M$195,3,0),Q69)</f>
        <v>0.24664509000000001</v>
      </c>
      <c r="C69" s="33">
        <f>IFERROR(VLOOKUP(A69,HTN_targets!$D$1:$M$195,10,0),R69)</f>
        <v>7.0711955428123502E-2</v>
      </c>
      <c r="D69" s="35">
        <v>8.3499149212856505E-2</v>
      </c>
      <c r="E69" s="1">
        <v>71040858.5</v>
      </c>
      <c r="F69" s="1">
        <f t="shared" si="12"/>
        <v>17521878.938409764</v>
      </c>
      <c r="G69" s="1">
        <f t="shared" si="13"/>
        <v>1239006.3225098073</v>
      </c>
      <c r="H69" s="4">
        <f t="shared" si="14"/>
        <v>0.5</v>
      </c>
      <c r="I69" s="1">
        <f t="shared" si="5"/>
        <v>8760939.4692048822</v>
      </c>
      <c r="J69" s="9">
        <f t="shared" si="15"/>
        <v>0.11836784973256659</v>
      </c>
      <c r="K69" s="2">
        <f t="shared" si="7"/>
        <v>2074027.1332139103</v>
      </c>
      <c r="L69" s="9">
        <f t="shared" si="16"/>
        <v>0.10075588879396807</v>
      </c>
      <c r="M69" s="2">
        <f t="shared" si="9"/>
        <v>1765432.4857797856</v>
      </c>
      <c r="N69" s="34">
        <f>+VLOOKUP(A69,Diabetes!$G$1:$S$206,12,0)/100000</f>
        <v>1.8401417368413199E-2</v>
      </c>
      <c r="O69">
        <f t="shared" si="17"/>
        <v>0.2207119554281235</v>
      </c>
      <c r="P69" s="16">
        <v>4.2974739999999997E-2</v>
      </c>
      <c r="Q69">
        <v>0.24538656678004001</v>
      </c>
      <c r="R69">
        <v>6.0184512369212802E-2</v>
      </c>
      <c r="S69" s="35">
        <v>8.3499149212856505E-2</v>
      </c>
      <c r="T69" s="40">
        <f>IFERROR(VLOOKUP(A69,HTN_targets!$R$9:$X$203,6,0),L69)</f>
        <v>7.0711955428123474E-2</v>
      </c>
      <c r="U69">
        <f t="shared" si="11"/>
        <v>0</v>
      </c>
      <c r="V69" s="15">
        <f t="shared" si="18"/>
        <v>71163.583576278761</v>
      </c>
      <c r="W69" s="15">
        <f t="shared" si="19"/>
        <v>257941.92593958951</v>
      </c>
    </row>
    <row r="70" spans="1:23" x14ac:dyDescent="0.3">
      <c r="A70" t="s">
        <v>63</v>
      </c>
      <c r="B70" s="33">
        <f>IFERROR(VLOOKUP(A70,HTN_targets!$D$1:$M$195,3,0),Q70)</f>
        <v>0.40293922999999998</v>
      </c>
      <c r="C70" s="33">
        <f>IFERROR(VLOOKUP(A70,HTN_targets!$D$1:$M$195,10,0),R70)</f>
        <v>0.13492198288440699</v>
      </c>
      <c r="D70" s="35">
        <v>4.8992440568765297E-2</v>
      </c>
      <c r="E70" s="1">
        <v>616361.5</v>
      </c>
      <c r="F70" s="1">
        <f t="shared" si="12"/>
        <v>248356.22821164498</v>
      </c>
      <c r="G70" s="1">
        <f t="shared" si="13"/>
        <v>33508.714772007443</v>
      </c>
      <c r="H70" s="4">
        <f t="shared" si="14"/>
        <v>0.5</v>
      </c>
      <c r="I70" s="1">
        <f t="shared" si="5"/>
        <v>124178.11410582249</v>
      </c>
      <c r="J70" s="9">
        <f t="shared" si="15"/>
        <v>0.18257787718885007</v>
      </c>
      <c r="K70" s="2">
        <f t="shared" si="7"/>
        <v>45344.352933511742</v>
      </c>
      <c r="L70" s="9">
        <f t="shared" si="16"/>
        <v>0.16496591625025156</v>
      </c>
      <c r="M70" s="2">
        <f t="shared" si="9"/>
        <v>40970.31274339059</v>
      </c>
      <c r="N70" s="34">
        <f>+VLOOKUP(A70,Diabetes!$G$1:$S$206,12,0)/100000</f>
        <v>0.18006432652357202</v>
      </c>
      <c r="O70">
        <f t="shared" si="17"/>
        <v>0.28492198288440695</v>
      </c>
      <c r="P70" s="16">
        <v>0.11751815</v>
      </c>
      <c r="Q70">
        <v>0.36480972516683902</v>
      </c>
      <c r="R70">
        <v>0.10813582186237899</v>
      </c>
      <c r="S70" s="35">
        <v>4.8992440568765297E-2</v>
      </c>
      <c r="T70" s="40">
        <f>IFERROR(VLOOKUP(A70,HTN_targets!$R$9:$X$203,6,0),L70)</f>
        <v>0.13492198288440699</v>
      </c>
      <c r="U70">
        <f t="shared" si="11"/>
        <v>0</v>
      </c>
      <c r="V70" s="15">
        <f t="shared" si="18"/>
        <v>12741.738703721649</v>
      </c>
      <c r="W70" s="15">
        <f t="shared" si="19"/>
        <v>35776.077576691532</v>
      </c>
    </row>
    <row r="71" spans="1:23" x14ac:dyDescent="0.3">
      <c r="A71" t="s">
        <v>64</v>
      </c>
      <c r="B71" s="33">
        <f>IFERROR(VLOOKUP(A71,HTN_targets!$D$1:$M$195,3,0),Q71)</f>
        <v>0.43111413999999998</v>
      </c>
      <c r="C71" s="33">
        <f>IFERROR(VLOOKUP(A71,HTN_targets!$D$1:$M$195,10,0),R71)</f>
        <v>0.32593759894370999</v>
      </c>
      <c r="D71" s="35">
        <v>4.3900958894198601E-2</v>
      </c>
      <c r="E71" s="1">
        <v>4559279.5</v>
      </c>
      <c r="F71" s="1">
        <f t="shared" si="12"/>
        <v>1965569.8606621299</v>
      </c>
      <c r="G71" s="1">
        <f t="shared" si="13"/>
        <v>640653.12094033719</v>
      </c>
      <c r="H71" s="4">
        <f t="shared" si="14"/>
        <v>0.5</v>
      </c>
      <c r="I71" s="1">
        <f t="shared" si="5"/>
        <v>982784.93033106497</v>
      </c>
      <c r="J71" s="9">
        <f t="shared" si="15"/>
        <v>0.37359349324815305</v>
      </c>
      <c r="K71" s="2">
        <f t="shared" si="7"/>
        <v>734324.11046805058</v>
      </c>
      <c r="L71" s="9">
        <f t="shared" si="16"/>
        <v>0.35598153230955454</v>
      </c>
      <c r="M71" s="2">
        <f t="shared" si="9"/>
        <v>699706.57085998263</v>
      </c>
      <c r="N71" s="34">
        <f>+VLOOKUP(A71,Diabetes!$G$1:$S$206,12,0)/100000</f>
        <v>0.11325329070918</v>
      </c>
      <c r="O71">
        <f t="shared" si="17"/>
        <v>0.47593759894371002</v>
      </c>
      <c r="P71" s="16">
        <v>6.6579559999999996E-2</v>
      </c>
      <c r="Q71">
        <v>0.41049639386624398</v>
      </c>
      <c r="R71">
        <v>0.27247364803700203</v>
      </c>
      <c r="S71" s="35">
        <v>4.3900958894198601E-2</v>
      </c>
      <c r="T71" s="40">
        <f>IFERROR(VLOOKUP(A71,HTN_targets!$R$9:$X$203,6,0),L71)</f>
        <v>0.32593759894371033</v>
      </c>
      <c r="U71">
        <f t="shared" si="11"/>
        <v>0</v>
      </c>
      <c r="V71" s="15">
        <f t="shared" si="18"/>
        <v>105947.16237541506</v>
      </c>
      <c r="W71" s="15">
        <f t="shared" si="19"/>
        <v>178085.80387101651</v>
      </c>
    </row>
    <row r="72" spans="1:23" x14ac:dyDescent="0.3">
      <c r="A72" t="s">
        <v>65</v>
      </c>
      <c r="B72" s="33">
        <f>IFERROR(VLOOKUP(A72,HTN_targets!$D$1:$M$195,3,0),Q72)</f>
        <v>0.37063381000000001</v>
      </c>
      <c r="C72" s="33">
        <f>IFERROR(VLOOKUP(A72,HTN_targets!$D$1:$M$195,10,0),R72)</f>
        <v>0.326923698186874</v>
      </c>
      <c r="D72" s="35">
        <v>5.4865569303433503E-2</v>
      </c>
      <c r="E72" s="1">
        <v>52523911</v>
      </c>
      <c r="F72" s="1">
        <f t="shared" si="12"/>
        <v>19467137.250030909</v>
      </c>
      <c r="G72" s="1">
        <f t="shared" si="13"/>
        <v>6364268.5028915573</v>
      </c>
      <c r="H72" s="4">
        <f t="shared" si="14"/>
        <v>0.5</v>
      </c>
      <c r="I72" s="1">
        <f t="shared" si="5"/>
        <v>9733568.6250154544</v>
      </c>
      <c r="J72" s="9">
        <f t="shared" si="15"/>
        <v>0.37457959249131711</v>
      </c>
      <c r="K72" s="2">
        <f t="shared" si="7"/>
        <v>7291992.3380891178</v>
      </c>
      <c r="L72" s="9">
        <f t="shared" si="16"/>
        <v>0.3569676315527186</v>
      </c>
      <c r="M72" s="2">
        <f t="shared" si="9"/>
        <v>6949137.8772552367</v>
      </c>
      <c r="N72" s="34">
        <f>+VLOOKUP(A72,Diabetes!$G$1:$S$206,12,0)/100000</f>
        <v>6.9286423015066101E-2</v>
      </c>
      <c r="O72">
        <f t="shared" si="17"/>
        <v>0.47692369818687397</v>
      </c>
      <c r="P72" s="16">
        <v>3.8326819999999998E-2</v>
      </c>
      <c r="Q72">
        <v>0.34149664114153899</v>
      </c>
      <c r="R72">
        <v>0.25137266209649201</v>
      </c>
      <c r="S72" s="35">
        <v>5.4865569303433503E-2</v>
      </c>
      <c r="T72" s="40">
        <f>IFERROR(VLOOKUP(A72,HTN_targets!$R$9:$X$203,6,0),L72)</f>
        <v>0.32692369818687439</v>
      </c>
      <c r="U72">
        <f t="shared" si="11"/>
        <v>0</v>
      </c>
      <c r="V72" s="15">
        <f t="shared" si="18"/>
        <v>643278.6456325046</v>
      </c>
      <c r="W72" s="15">
        <f t="shared" si="19"/>
        <v>1079046.6451183937</v>
      </c>
    </row>
    <row r="73" spans="1:23" x14ac:dyDescent="0.3">
      <c r="A73" t="s">
        <v>66</v>
      </c>
      <c r="B73" s="33">
        <f>IFERROR(VLOOKUP(A73,HTN_targets!$D$1:$M$195,3,0),Q73)</f>
        <v>0.33283338000000001</v>
      </c>
      <c r="C73" s="33">
        <f>IFERROR(VLOOKUP(A73,HTN_targets!$D$1:$M$195,10,0),R73)</f>
        <v>0.14246760308742501</v>
      </c>
      <c r="D73" s="35">
        <v>6.63424689142358E-2</v>
      </c>
      <c r="E73" s="1">
        <v>1453543</v>
      </c>
      <c r="F73" s="1">
        <f t="shared" si="12"/>
        <v>483787.62966534001</v>
      </c>
      <c r="G73" s="1">
        <f t="shared" si="13"/>
        <v>68924.064001767823</v>
      </c>
      <c r="H73" s="4">
        <f t="shared" si="14"/>
        <v>0.5</v>
      </c>
      <c r="I73" s="1">
        <f t="shared" si="5"/>
        <v>241893.81483267</v>
      </c>
      <c r="J73" s="9">
        <f t="shared" si="15"/>
        <v>0.1901234973918681</v>
      </c>
      <c r="K73" s="2">
        <f t="shared" si="7"/>
        <v>91979.396146896324</v>
      </c>
      <c r="L73" s="9">
        <f t="shared" si="16"/>
        <v>0.17251153645326958</v>
      </c>
      <c r="M73" s="2">
        <f t="shared" si="9"/>
        <v>83458.94731065318</v>
      </c>
      <c r="N73" s="34">
        <f>+VLOOKUP(A73,Diabetes!$G$1:$S$206,12,0)/100000</f>
        <v>6.3947183716512104E-2</v>
      </c>
      <c r="O73">
        <f t="shared" si="17"/>
        <v>0.29246760308742503</v>
      </c>
      <c r="P73" s="16">
        <v>7.2100250000000005E-2</v>
      </c>
      <c r="Q73">
        <v>0.36037754697484498</v>
      </c>
      <c r="R73">
        <v>0.119335479474487</v>
      </c>
      <c r="S73" s="35">
        <v>6.63424689142358E-2</v>
      </c>
      <c r="T73" s="40">
        <f>IFERROR(VLOOKUP(A73,HTN_targets!$R$9:$X$203,6,0),L73)</f>
        <v>0.1424676030874252</v>
      </c>
      <c r="U73">
        <f t="shared" si="11"/>
        <v>0</v>
      </c>
      <c r="V73" s="15">
        <f t="shared" si="18"/>
        <v>9048.0282483074989</v>
      </c>
      <c r="W73" s="15">
        <f t="shared" si="19"/>
        <v>24749.485147188338</v>
      </c>
    </row>
    <row r="74" spans="1:23" x14ac:dyDescent="0.3">
      <c r="A74" t="s">
        <v>67</v>
      </c>
      <c r="B74" s="33">
        <f>IFERROR(VLOOKUP(A74,HTN_targets!$D$1:$M$195,3,0),Q74)</f>
        <v>0.32432663</v>
      </c>
      <c r="C74" s="33">
        <f>IFERROR(VLOOKUP(A74,HTN_targets!$D$1:$M$195,10,0),R74)</f>
        <v>0.10821831971406901</v>
      </c>
      <c r="D74" s="35">
        <v>7.9075152449217895E-2</v>
      </c>
      <c r="E74" s="1">
        <v>1446317</v>
      </c>
      <c r="F74" s="1">
        <f t="shared" ref="F74:F105" si="20">+B74*E74</f>
        <v>469079.11852170998</v>
      </c>
      <c r="G74" s="1">
        <f t="shared" ref="G74:G105" si="21">+F74*C74</f>
        <v>50762.954019376077</v>
      </c>
      <c r="H74" s="4">
        <f t="shared" ref="H74:H105" si="22">+IF(C74&gt;0.5,C74,0.5)</f>
        <v>0.5</v>
      </c>
      <c r="I74" s="1">
        <f t="shared" si="5"/>
        <v>234539.55926085499</v>
      </c>
      <c r="J74" s="9">
        <f t="shared" ref="J74:J105" si="23">C74+($K$5-$G$5)</f>
        <v>0.15587421401851209</v>
      </c>
      <c r="K74" s="2">
        <f t="shared" si="7"/>
        <v>73117.338912068022</v>
      </c>
      <c r="L74" s="9">
        <f t="shared" ref="L74:L105" si="24">C74+($M$5-$G$5)</f>
        <v>0.13826225307991358</v>
      </c>
      <c r="M74" s="2">
        <f t="shared" si="9"/>
        <v>64855.935799551444</v>
      </c>
      <c r="N74" s="34">
        <f>+VLOOKUP(A74,Diabetes!$G$1:$S$206,12,0)/100000</f>
        <v>4.1293983982500101E-2</v>
      </c>
      <c r="O74">
        <f t="shared" ref="O74:O105" si="25">+C74+0.15</f>
        <v>0.258218319714069</v>
      </c>
      <c r="P74" s="16">
        <v>5.5833428333333331E-2</v>
      </c>
      <c r="Q74">
        <v>0.347264979705661</v>
      </c>
      <c r="R74">
        <v>8.9419626447319503E-2</v>
      </c>
      <c r="S74" s="35">
        <v>7.9075152449217895E-2</v>
      </c>
      <c r="T74" s="40">
        <f>IFERROR(VLOOKUP(A74,HTN_targets!$R$9:$X$203,6,0),L74)</f>
        <v>0.10821831971406939</v>
      </c>
      <c r="U74">
        <f t="shared" si="11"/>
        <v>0</v>
      </c>
      <c r="V74" s="15">
        <f t="shared" ref="V74:V105" si="26">+E74*B74*N74*O74</f>
        <v>5001.7264511946187</v>
      </c>
      <c r="W74" s="15">
        <f t="shared" ref="W74:W105" si="27">+E74*B74*N74*0.8</f>
        <v>15496.116485408607</v>
      </c>
    </row>
    <row r="75" spans="1:23" x14ac:dyDescent="0.3">
      <c r="A75" t="s">
        <v>68</v>
      </c>
      <c r="B75" s="33">
        <f>IFERROR(VLOOKUP(A75,HTN_targets!$D$1:$M$195,3,0),Q75)</f>
        <v>0.50276595000000002</v>
      </c>
      <c r="C75" s="33">
        <f>IFERROR(VLOOKUP(A75,HTN_targets!$D$1:$M$195,10,0),R75)</f>
        <v>0.19897511601448001</v>
      </c>
      <c r="D75" s="35">
        <v>6.5522063497899505E-2</v>
      </c>
      <c r="E75" s="1">
        <v>2826219</v>
      </c>
      <c r="F75" s="1">
        <f t="shared" si="20"/>
        <v>1420926.6804430501</v>
      </c>
      <c r="G75" s="1">
        <f t="shared" si="21"/>
        <v>282729.05108922586</v>
      </c>
      <c r="H75" s="4">
        <f t="shared" si="22"/>
        <v>0.5</v>
      </c>
      <c r="I75" s="1">
        <f t="shared" ref="I75:I138" si="28">+F75*H75</f>
        <v>710463.34022152505</v>
      </c>
      <c r="J75" s="9">
        <f t="shared" si="23"/>
        <v>0.24663101031892309</v>
      </c>
      <c r="K75" s="2">
        <f t="shared" ref="K75:K138" si="29">+J75*F75</f>
        <v>350444.58278678305</v>
      </c>
      <c r="L75" s="9">
        <f t="shared" si="24"/>
        <v>0.22901904938032458</v>
      </c>
      <c r="M75" s="2">
        <f t="shared" ref="M75:M138" si="30">+F75*L75</f>
        <v>325419.27759420755</v>
      </c>
      <c r="N75" s="34">
        <f>+VLOOKUP(A75,Diabetes!$G$1:$S$206,12,0)/100000</f>
        <v>7.1451046271934507E-2</v>
      </c>
      <c r="O75">
        <f t="shared" si="25"/>
        <v>0.34897511601448</v>
      </c>
      <c r="P75" s="16">
        <v>4.984711E-2</v>
      </c>
      <c r="Q75">
        <v>0.46506495723685898</v>
      </c>
      <c r="R75">
        <v>0.15220773721713601</v>
      </c>
      <c r="S75" s="35">
        <v>6.5522063497899505E-2</v>
      </c>
      <c r="T75" s="40">
        <f>IFERROR(VLOOKUP(A75,HTN_targets!$R$9:$X$203,6,0),L75)</f>
        <v>0.19897511601448059</v>
      </c>
      <c r="U75">
        <f t="shared" ref="U75:U138" si="31">IF(T75&gt;C75,1,0)</f>
        <v>1</v>
      </c>
      <c r="V75" s="15">
        <f t="shared" si="26"/>
        <v>35430.291210800809</v>
      </c>
      <c r="W75" s="15">
        <f t="shared" si="27"/>
        <v>81221.358394690149</v>
      </c>
    </row>
    <row r="76" spans="1:23" x14ac:dyDescent="0.3">
      <c r="A76" t="s">
        <v>69</v>
      </c>
      <c r="B76" s="33">
        <f>IFERROR(VLOOKUP(A76,HTN_targets!$D$1:$M$195,3,0),Q76)</f>
        <v>0.36105427000000001</v>
      </c>
      <c r="C76" s="33">
        <f>IFERROR(VLOOKUP(A76,HTN_targets!$D$1:$M$195,10,0),R76)</f>
        <v>0.51199030876159601</v>
      </c>
      <c r="D76" s="35">
        <v>4.6960466441617901E-2</v>
      </c>
      <c r="E76" s="1">
        <v>69311077.5</v>
      </c>
      <c r="F76" s="1">
        <f t="shared" si="20"/>
        <v>25025060.489675924</v>
      </c>
      <c r="G76" s="1">
        <f t="shared" si="21"/>
        <v>12812588.446886793</v>
      </c>
      <c r="H76" s="4">
        <f t="shared" si="22"/>
        <v>0.51199030876159601</v>
      </c>
      <c r="I76" s="1">
        <f t="shared" si="28"/>
        <v>12812588.446886793</v>
      </c>
      <c r="J76" s="9">
        <f t="shared" si="23"/>
        <v>0.55964620306603907</v>
      </c>
      <c r="K76" s="2">
        <f t="shared" si="29"/>
        <v>14005180.084545083</v>
      </c>
      <c r="L76" s="9">
        <f t="shared" si="24"/>
        <v>0.54203424212744056</v>
      </c>
      <c r="M76" s="2">
        <f t="shared" si="30"/>
        <v>13564439.696714846</v>
      </c>
      <c r="N76" s="34">
        <f>+VLOOKUP(A76,Diabetes!$G$1:$S$206,12,0)/100000</f>
        <v>8.89948643914871E-2</v>
      </c>
      <c r="O76">
        <f t="shared" si="25"/>
        <v>0.66199030876159604</v>
      </c>
      <c r="P76" s="16">
        <v>4.3473999999999999E-2</v>
      </c>
      <c r="Q76">
        <v>0.34358843201020101</v>
      </c>
      <c r="R76">
        <v>0.43868787590019998</v>
      </c>
      <c r="S76" s="35">
        <v>4.6960466441617901E-2</v>
      </c>
      <c r="T76" s="40">
        <f>IFERROR(VLOOKUP(A76,HTN_targets!$R$9:$X$203,6,0),L76)</f>
        <v>0.51199030876159668</v>
      </c>
      <c r="U76">
        <f t="shared" si="31"/>
        <v>1</v>
      </c>
      <c r="V76" s="15">
        <f t="shared" si="26"/>
        <v>1474319.8510347451</v>
      </c>
      <c r="W76" s="15">
        <f t="shared" si="27"/>
        <v>1781681.4917339766</v>
      </c>
    </row>
    <row r="77" spans="1:23" x14ac:dyDescent="0.3">
      <c r="A77" t="s">
        <v>70</v>
      </c>
      <c r="B77" s="33">
        <f>IFERROR(VLOOKUP(A77,HTN_targets!$D$1:$M$195,3,0),Q77)</f>
        <v>0.29175356000000002</v>
      </c>
      <c r="C77" s="33">
        <f>IFERROR(VLOOKUP(A77,HTN_targets!$D$1:$M$195,10,0),R77)</f>
        <v>0.212050780653953</v>
      </c>
      <c r="D77" s="35">
        <v>5.6492743376222801E-2</v>
      </c>
      <c r="E77" s="1">
        <v>19760662</v>
      </c>
      <c r="F77" s="1">
        <f t="shared" si="20"/>
        <v>5765243.4864567202</v>
      </c>
      <c r="G77" s="1">
        <f t="shared" si="21"/>
        <v>1222524.3819632651</v>
      </c>
      <c r="H77" s="4">
        <f t="shared" si="22"/>
        <v>0.5</v>
      </c>
      <c r="I77" s="1">
        <f t="shared" si="28"/>
        <v>2882621.7432283601</v>
      </c>
      <c r="J77" s="9">
        <f t="shared" si="23"/>
        <v>0.25970667495839606</v>
      </c>
      <c r="K77" s="2">
        <f t="shared" si="29"/>
        <v>1497272.2161932255</v>
      </c>
      <c r="L77" s="9">
        <f t="shared" si="24"/>
        <v>0.24209471401979757</v>
      </c>
      <c r="M77" s="2">
        <f t="shared" si="30"/>
        <v>1395734.9731082404</v>
      </c>
      <c r="N77" s="34">
        <f>+VLOOKUP(A77,Diabetes!$G$1:$S$206,12,0)/100000</f>
        <v>3.9652236597215403E-2</v>
      </c>
      <c r="O77">
        <f t="shared" si="25"/>
        <v>0.36205078065395302</v>
      </c>
      <c r="P77" s="16">
        <v>6.1026990000000003E-2</v>
      </c>
      <c r="Q77">
        <v>0.314408175520896</v>
      </c>
      <c r="R77">
        <v>0.164046481049133</v>
      </c>
      <c r="S77" s="35">
        <v>5.6492743376222801E-2</v>
      </c>
      <c r="T77" s="40">
        <f>IFERROR(VLOOKUP(A77,HTN_targets!$R$9:$X$203,6,0),L77)</f>
        <v>0.21205078065395361</v>
      </c>
      <c r="U77">
        <f t="shared" si="31"/>
        <v>1</v>
      </c>
      <c r="V77" s="15">
        <f t="shared" si="26"/>
        <v>82766.545854302472</v>
      </c>
      <c r="W77" s="15">
        <f t="shared" si="27"/>
        <v>182883.83901242953</v>
      </c>
    </row>
    <row r="78" spans="1:23" x14ac:dyDescent="0.3">
      <c r="A78" t="s">
        <v>71</v>
      </c>
      <c r="B78" s="33">
        <f>IFERROR(VLOOKUP(A78,HTN_targets!$D$1:$M$195,3,0),Q78)</f>
        <v>0.38737716999999999</v>
      </c>
      <c r="C78" s="33">
        <f>IFERROR(VLOOKUP(A78,HTN_targets!$D$1:$M$195,10,0),R78)</f>
        <v>0.38871151208877502</v>
      </c>
      <c r="D78" s="35">
        <v>4.2372990390482299E-2</v>
      </c>
      <c r="E78" s="1">
        <v>8230778.5</v>
      </c>
      <c r="F78" s="1">
        <f t="shared" si="20"/>
        <v>3188415.6822268451</v>
      </c>
      <c r="G78" s="1">
        <f t="shared" si="21"/>
        <v>1239373.8810059601</v>
      </c>
      <c r="H78" s="4">
        <f t="shared" si="22"/>
        <v>0.5</v>
      </c>
      <c r="I78" s="1">
        <f t="shared" si="28"/>
        <v>1594207.8411134225</v>
      </c>
      <c r="J78" s="9">
        <f t="shared" si="23"/>
        <v>0.43636740639321814</v>
      </c>
      <c r="K78" s="2">
        <f t="shared" si="29"/>
        <v>1391320.6817567917</v>
      </c>
      <c r="L78" s="9">
        <f t="shared" si="24"/>
        <v>0.41875544545461962</v>
      </c>
      <c r="M78" s="2">
        <f t="shared" si="30"/>
        <v>1335166.4293053974</v>
      </c>
      <c r="N78" s="34">
        <f>+VLOOKUP(A78,Diabetes!$G$1:$S$206,12,0)/100000</f>
        <v>7.5023914748166498E-2</v>
      </c>
      <c r="O78">
        <f t="shared" si="25"/>
        <v>0.53871151208877499</v>
      </c>
      <c r="P78" s="16">
        <v>5.438813E-2</v>
      </c>
      <c r="Q78">
        <v>0.36501728465106997</v>
      </c>
      <c r="R78">
        <v>0.30203234216903002</v>
      </c>
      <c r="S78" s="35">
        <v>4.2372990390482299E-2</v>
      </c>
      <c r="T78" s="40">
        <f>IFERROR(VLOOKUP(A78,HTN_targets!$R$9:$X$203,6,0),L78)</f>
        <v>0.38871151208877558</v>
      </c>
      <c r="U78">
        <f t="shared" si="31"/>
        <v>1</v>
      </c>
      <c r="V78" s="15">
        <f t="shared" si="26"/>
        <v>128863.79433846098</v>
      </c>
      <c r="W78" s="15">
        <f t="shared" si="27"/>
        <v>191365.94106008316</v>
      </c>
    </row>
    <row r="79" spans="1:23" x14ac:dyDescent="0.3">
      <c r="A79" t="s">
        <v>72</v>
      </c>
      <c r="B79" s="33">
        <f>IFERROR(VLOOKUP(A79,HTN_targets!$D$1:$M$195,3,0),Q79)</f>
        <v>0.37863896034622302</v>
      </c>
      <c r="C79" s="33">
        <f>IFERROR(VLOOKUP(A79,HTN_targets!$D$1:$M$195,10,0),R79)</f>
        <v>0.20799642953188099</v>
      </c>
      <c r="D79" s="35">
        <v>5.0908568775722397E-2</v>
      </c>
      <c r="E79" s="1">
        <v>41355</v>
      </c>
      <c r="F79" s="1">
        <f t="shared" si="20"/>
        <v>15658.614205118052</v>
      </c>
      <c r="G79" s="1">
        <f t="shared" si="21"/>
        <v>3256.9358460817475</v>
      </c>
      <c r="H79" s="4">
        <f t="shared" si="22"/>
        <v>0.5</v>
      </c>
      <c r="I79" s="1">
        <f t="shared" si="28"/>
        <v>7829.3071025590261</v>
      </c>
      <c r="J79" s="9">
        <f t="shared" si="23"/>
        <v>0.25565232383632408</v>
      </c>
      <c r="K79" s="2">
        <f t="shared" si="29"/>
        <v>4003.1611095949047</v>
      </c>
      <c r="L79" s="9">
        <f t="shared" si="24"/>
        <v>0.23804036289772557</v>
      </c>
      <c r="M79" s="2">
        <f t="shared" si="30"/>
        <v>3727.3822078617818</v>
      </c>
      <c r="N79" s="34">
        <f>+VLOOKUP(A79,Diabetes!$G$1:$S$206,12,0)/100000</f>
        <v>4.8512623789638304E-2</v>
      </c>
      <c r="O79">
        <f t="shared" si="25"/>
        <v>0.35799642953188099</v>
      </c>
      <c r="P79" s="16">
        <v>2.8611080000000001E-2</v>
      </c>
      <c r="Q79">
        <v>0.37863896034622302</v>
      </c>
      <c r="R79">
        <v>0.20799642953188099</v>
      </c>
      <c r="S79" s="35">
        <v>5.0908568775722397E-2</v>
      </c>
      <c r="T79" s="40">
        <f>IFERROR(VLOOKUP(A79,HTN_targets!$R$9:$X$203,6,0),L79)</f>
        <v>0.23804036289772557</v>
      </c>
      <c r="U79">
        <f t="shared" si="31"/>
        <v>1</v>
      </c>
      <c r="V79" s="15">
        <f t="shared" si="26"/>
        <v>271.94857240794789</v>
      </c>
      <c r="W79" s="15">
        <f t="shared" si="27"/>
        <v>607.71236799998258</v>
      </c>
    </row>
    <row r="80" spans="1:23" x14ac:dyDescent="0.3">
      <c r="A80" t="s">
        <v>73</v>
      </c>
      <c r="B80" s="33">
        <f>IFERROR(VLOOKUP(A80,HTN_targets!$D$1:$M$195,3,0),Q80)</f>
        <v>0.48165825000000001</v>
      </c>
      <c r="C80" s="33">
        <f>IFERROR(VLOOKUP(A80,HTN_targets!$D$1:$M$195,10,0),R80)</f>
        <v>0.21419972181320099</v>
      </c>
      <c r="D80" s="35">
        <v>6.0657561036490198E-2</v>
      </c>
      <c r="E80" s="1">
        <v>88051</v>
      </c>
      <c r="F80" s="1">
        <f t="shared" si="20"/>
        <v>42410.49057075</v>
      </c>
      <c r="G80" s="1">
        <f t="shared" si="21"/>
        <v>9084.3152822160337</v>
      </c>
      <c r="H80" s="4">
        <f t="shared" si="22"/>
        <v>0.5</v>
      </c>
      <c r="I80" s="1">
        <f t="shared" si="28"/>
        <v>21205.245285375</v>
      </c>
      <c r="J80" s="9">
        <f t="shared" si="23"/>
        <v>0.26185561611764407</v>
      </c>
      <c r="K80" s="2">
        <f t="shared" si="29"/>
        <v>11105.425138255276</v>
      </c>
      <c r="L80" s="9">
        <f t="shared" si="24"/>
        <v>0.24424365517904556</v>
      </c>
      <c r="M80" s="2">
        <f t="shared" si="30"/>
        <v>10358.493234936426</v>
      </c>
      <c r="N80" s="34">
        <f>+VLOOKUP(A80,Diabetes!$G$1:$S$206,12,0)/100000</f>
        <v>0.15189847815766799</v>
      </c>
      <c r="O80">
        <f t="shared" si="25"/>
        <v>0.36419972181320098</v>
      </c>
      <c r="P80" s="16">
        <v>6.3693799999999995E-2</v>
      </c>
      <c r="Q80">
        <v>0.47563127990018</v>
      </c>
      <c r="R80">
        <v>0.168091811641289</v>
      </c>
      <c r="S80" s="35">
        <v>6.0657561036490198E-2</v>
      </c>
      <c r="T80" s="40">
        <f>IFERROR(VLOOKUP(A80,HTN_targets!$R$9:$X$203,6,0),L80)</f>
        <v>0.2141997218132019</v>
      </c>
      <c r="U80">
        <f t="shared" si="31"/>
        <v>1</v>
      </c>
      <c r="V80" s="15">
        <f t="shared" si="26"/>
        <v>2346.2070128156197</v>
      </c>
      <c r="W80" s="15">
        <f t="shared" si="27"/>
        <v>5153.6711804936431</v>
      </c>
    </row>
    <row r="81" spans="1:23" x14ac:dyDescent="0.3">
      <c r="A81" t="s">
        <v>74</v>
      </c>
      <c r="B81" s="33">
        <f>IFERROR(VLOOKUP(A81,HTN_targets!$D$1:$M$195,3,0),Q81)</f>
        <v>0.29927989999999999</v>
      </c>
      <c r="C81" s="33">
        <f>IFERROR(VLOOKUP(A81,HTN_targets!$D$1:$M$195,10,0),R81)</f>
        <v>0.21666623651981301</v>
      </c>
      <c r="D81" s="35">
        <v>4.6604997562155602E-2</v>
      </c>
      <c r="E81" s="1">
        <v>11371164</v>
      </c>
      <c r="F81" s="1">
        <f t="shared" si="20"/>
        <v>3403160.8248036001</v>
      </c>
      <c r="G81" s="1">
        <f t="shared" si="21"/>
        <v>737350.04818185873</v>
      </c>
      <c r="H81" s="4">
        <f t="shared" si="22"/>
        <v>0.5</v>
      </c>
      <c r="I81" s="1">
        <f t="shared" si="28"/>
        <v>1701580.4124018</v>
      </c>
      <c r="J81" s="9">
        <f t="shared" si="23"/>
        <v>0.2643221308242561</v>
      </c>
      <c r="K81" s="2">
        <f t="shared" si="29"/>
        <v>899530.72074972047</v>
      </c>
      <c r="L81" s="9">
        <f t="shared" si="24"/>
        <v>0.24671016988565758</v>
      </c>
      <c r="M81" s="2">
        <f t="shared" si="30"/>
        <v>839594.38523551077</v>
      </c>
      <c r="N81" s="34">
        <f>+VLOOKUP(A81,Diabetes!$G$1:$S$206,12,0)/100000</f>
        <v>8.3987293822209597E-2</v>
      </c>
      <c r="O81">
        <f t="shared" si="25"/>
        <v>0.366666236519813</v>
      </c>
      <c r="P81" s="16">
        <v>6.1680649999999997E-2</v>
      </c>
      <c r="Q81">
        <v>0.31478617743660903</v>
      </c>
      <c r="R81">
        <v>0.168051702284918</v>
      </c>
      <c r="S81" s="35">
        <v>4.6604997562155602E-2</v>
      </c>
      <c r="T81" s="40">
        <f>IFERROR(VLOOKUP(A81,HTN_targets!$R$9:$X$203,6,0),L81)</f>
        <v>0.21666623651981351</v>
      </c>
      <c r="U81">
        <f t="shared" si="31"/>
        <v>1</v>
      </c>
      <c r="V81" s="15">
        <f t="shared" si="26"/>
        <v>104801.37536402213</v>
      </c>
      <c r="W81" s="15">
        <f t="shared" si="27"/>
        <v>228657.81449361049</v>
      </c>
    </row>
    <row r="82" spans="1:23" x14ac:dyDescent="0.3">
      <c r="A82" t="s">
        <v>75</v>
      </c>
      <c r="B82" s="33">
        <f>IFERROR(VLOOKUP(A82,HTN_targets!$D$1:$M$195,3,0),Q82)</f>
        <v>0.35600906999999998</v>
      </c>
      <c r="C82" s="33">
        <f>IFERROR(VLOOKUP(A82,HTN_targets!$D$1:$M$195,10,0),R82)</f>
        <v>8.4529228508472401E-2</v>
      </c>
      <c r="D82" s="35">
        <v>8.2914601773636201E-2</v>
      </c>
      <c r="E82" s="1">
        <v>7645770.5</v>
      </c>
      <c r="F82" s="1">
        <f t="shared" si="20"/>
        <v>2721963.6451384351</v>
      </c>
      <c r="G82" s="1">
        <f t="shared" si="21"/>
        <v>230085.48695166127</v>
      </c>
      <c r="H82" s="4">
        <f t="shared" si="22"/>
        <v>0.5</v>
      </c>
      <c r="I82" s="1">
        <f t="shared" si="28"/>
        <v>1360981.8225692175</v>
      </c>
      <c r="J82" s="9">
        <f t="shared" si="23"/>
        <v>0.1321851228129155</v>
      </c>
      <c r="K82" s="2">
        <f t="shared" si="29"/>
        <v>359803.09872491518</v>
      </c>
      <c r="L82" s="9">
        <f t="shared" si="24"/>
        <v>0.11457316187431697</v>
      </c>
      <c r="M82" s="2">
        <f t="shared" si="30"/>
        <v>311863.98133045179</v>
      </c>
      <c r="N82" s="34">
        <f>+VLOOKUP(A82,Diabetes!$G$1:$S$206,12,0)/100000</f>
        <v>2.4842579145184798E-2</v>
      </c>
      <c r="O82">
        <f t="shared" si="25"/>
        <v>0.23452922850847241</v>
      </c>
      <c r="P82" s="16">
        <v>5.2577829999999999E-2</v>
      </c>
      <c r="Q82">
        <v>0.38314639010530099</v>
      </c>
      <c r="R82">
        <v>6.6893421429413194E-2</v>
      </c>
      <c r="S82" s="35">
        <v>8.2914601773636201E-2</v>
      </c>
      <c r="T82" s="40">
        <f>IFERROR(VLOOKUP(A82,HTN_targets!$R$9:$X$203,6,0),L82)</f>
        <v>8.4529228508472443E-2</v>
      </c>
      <c r="U82">
        <f t="shared" si="31"/>
        <v>0</v>
      </c>
      <c r="V82" s="15">
        <f t="shared" si="26"/>
        <v>15859.006512455122</v>
      </c>
      <c r="W82" s="15">
        <f t="shared" si="27"/>
        <v>54096.477827733826</v>
      </c>
    </row>
    <row r="83" spans="1:23" x14ac:dyDescent="0.3">
      <c r="A83" t="s">
        <v>76</v>
      </c>
      <c r="B83" s="33">
        <f>IFERROR(VLOOKUP(A83,HTN_targets!$D$1:$M$195,3,0),Q83)</f>
        <v>0.32706164999999998</v>
      </c>
      <c r="C83" s="33">
        <f>IFERROR(VLOOKUP(A83,HTN_targets!$D$1:$M$195,10,0),R83)</f>
        <v>0.126316398382186</v>
      </c>
      <c r="D83" s="35">
        <v>8.3120671831322906E-2</v>
      </c>
      <c r="E83" s="1">
        <v>1188344</v>
      </c>
      <c r="F83" s="1">
        <f t="shared" si="20"/>
        <v>388661.74940759997</v>
      </c>
      <c r="G83" s="1">
        <f t="shared" si="21"/>
        <v>49094.352374087743</v>
      </c>
      <c r="H83" s="4">
        <f t="shared" si="22"/>
        <v>0.5</v>
      </c>
      <c r="I83" s="1">
        <f t="shared" si="28"/>
        <v>194330.87470379999</v>
      </c>
      <c r="J83" s="9">
        <f t="shared" si="23"/>
        <v>0.17397229268662909</v>
      </c>
      <c r="K83" s="2">
        <f t="shared" si="29"/>
        <v>67616.375624036271</v>
      </c>
      <c r="L83" s="9">
        <f t="shared" si="24"/>
        <v>0.15636033174803057</v>
      </c>
      <c r="M83" s="2">
        <f t="shared" si="30"/>
        <v>60771.280075142255</v>
      </c>
      <c r="N83" s="34">
        <f>+VLOOKUP(A83,Diabetes!$G$1:$S$206,12,0)/100000</f>
        <v>3.2817641020873901E-2</v>
      </c>
      <c r="O83">
        <f t="shared" si="25"/>
        <v>0.27631639838218602</v>
      </c>
      <c r="P83" s="16">
        <v>6.158785E-2</v>
      </c>
      <c r="Q83">
        <v>0.38</v>
      </c>
      <c r="R83">
        <v>0.103188991620652</v>
      </c>
      <c r="S83" s="35">
        <v>8.3120671831322906E-2</v>
      </c>
      <c r="T83" s="40">
        <f>IFERROR(VLOOKUP(A83,HTN_targets!$R$9:$X$203,6,0),L83)</f>
        <v>0.12631639838218689</v>
      </c>
      <c r="U83">
        <f t="shared" si="31"/>
        <v>1</v>
      </c>
      <c r="V83" s="15">
        <f t="shared" si="26"/>
        <v>3524.40509795562</v>
      </c>
      <c r="W83" s="15">
        <f t="shared" si="27"/>
        <v>10203.969416482774</v>
      </c>
    </row>
    <row r="84" spans="1:23" x14ac:dyDescent="0.3">
      <c r="A84" t="s">
        <v>77</v>
      </c>
      <c r="B84" s="33">
        <f>IFERROR(VLOOKUP(A84,HTN_targets!$D$1:$M$195,3,0),Q84)</f>
        <v>0.41704929000000002</v>
      </c>
      <c r="C84" s="33">
        <f>IFERROR(VLOOKUP(A84,HTN_targets!$D$1:$M$195,10,0),R84)</f>
        <v>0.22445517778396601</v>
      </c>
      <c r="D84" s="35">
        <v>5.37142459922752E-2</v>
      </c>
      <c r="E84" s="1">
        <v>534640</v>
      </c>
      <c r="F84" s="1">
        <f t="shared" si="20"/>
        <v>222971.23240560002</v>
      </c>
      <c r="G84" s="1">
        <f t="shared" si="21"/>
        <v>50047.047610308953</v>
      </c>
      <c r="H84" s="4">
        <f t="shared" si="22"/>
        <v>0.5</v>
      </c>
      <c r="I84" s="1">
        <f t="shared" si="28"/>
        <v>111485.61620280001</v>
      </c>
      <c r="J84" s="9">
        <f t="shared" si="23"/>
        <v>0.27211107208840912</v>
      </c>
      <c r="K84" s="2">
        <f t="shared" si="29"/>
        <v>60672.941094761649</v>
      </c>
      <c r="L84" s="9">
        <f t="shared" si="24"/>
        <v>0.25449911114981061</v>
      </c>
      <c r="M84" s="2">
        <f t="shared" si="30"/>
        <v>56745.980459203056</v>
      </c>
      <c r="N84" s="34">
        <f>+VLOOKUP(A84,Diabetes!$G$1:$S$206,12,0)/100000</f>
        <v>0.109567807968581</v>
      </c>
      <c r="O84">
        <f t="shared" si="25"/>
        <v>0.37445517778396598</v>
      </c>
      <c r="P84" s="16">
        <v>6.4290169999999994E-2</v>
      </c>
      <c r="Q84">
        <v>0.38155742115445501</v>
      </c>
      <c r="R84">
        <v>0.184022150393821</v>
      </c>
      <c r="S84" s="35">
        <v>5.37142459922752E-2</v>
      </c>
      <c r="T84" s="40">
        <f>IFERROR(VLOOKUP(A84,HTN_targets!$R$9:$X$203,6,0),L84)</f>
        <v>0.22445517778396609</v>
      </c>
      <c r="U84">
        <f t="shared" si="31"/>
        <v>0</v>
      </c>
      <c r="V84" s="15">
        <f t="shared" si="26"/>
        <v>9148.1156781709542</v>
      </c>
      <c r="W84" s="15">
        <f t="shared" si="27"/>
        <v>19544.375339787701</v>
      </c>
    </row>
    <row r="85" spans="1:23" x14ac:dyDescent="0.3">
      <c r="A85" t="s">
        <v>78</v>
      </c>
      <c r="B85" s="33">
        <f>IFERROR(VLOOKUP(A85,HTN_targets!$D$1:$M$195,3,0),Q85)</f>
        <v>0.41168344000000001</v>
      </c>
      <c r="C85" s="33">
        <f>IFERROR(VLOOKUP(A85,HTN_targets!$D$1:$M$195,10,0),R85)</f>
        <v>8.0827489495277405E-2</v>
      </c>
      <c r="D85" s="35">
        <v>5.9364488969885797E-2</v>
      </c>
      <c r="E85" s="1">
        <v>7297649</v>
      </c>
      <c r="F85" s="1">
        <f t="shared" si="20"/>
        <v>3004321.24423256</v>
      </c>
      <c r="G85" s="1">
        <f t="shared" si="21"/>
        <v>242831.74380864599</v>
      </c>
      <c r="H85" s="4">
        <f t="shared" si="22"/>
        <v>0.5</v>
      </c>
      <c r="I85" s="1">
        <f t="shared" si="28"/>
        <v>1502160.62211628</v>
      </c>
      <c r="J85" s="9">
        <f t="shared" si="23"/>
        <v>0.12848338379972049</v>
      </c>
      <c r="K85" s="2">
        <f t="shared" si="29"/>
        <v>386005.35948038578</v>
      </c>
      <c r="L85" s="9">
        <f t="shared" si="24"/>
        <v>0.11087142286112198</v>
      </c>
      <c r="M85" s="2">
        <f t="shared" si="30"/>
        <v>333093.37107996026</v>
      </c>
      <c r="N85" s="34">
        <f>+VLOOKUP(A85,Diabetes!$G$1:$S$206,12,0)/100000</f>
        <v>5.1425141934455694E-2</v>
      </c>
      <c r="O85">
        <f t="shared" si="25"/>
        <v>0.2308274894952774</v>
      </c>
      <c r="P85" s="16">
        <v>5.6063929999999998E-2</v>
      </c>
      <c r="Q85">
        <v>0.375521247511997</v>
      </c>
      <c r="R85">
        <v>7.8214531882723495E-2</v>
      </c>
      <c r="S85" s="35">
        <v>5.9364488969885797E-2</v>
      </c>
      <c r="T85" s="40">
        <f>IFERROR(VLOOKUP(A85,HTN_targets!$R$9:$X$203,6,0),L85)</f>
        <v>8.0827489495277405E-2</v>
      </c>
      <c r="U85">
        <f t="shared" si="31"/>
        <v>0</v>
      </c>
      <c r="V85" s="15">
        <f t="shared" si="26"/>
        <v>35662.303851754994</v>
      </c>
      <c r="W85" s="15">
        <f t="shared" si="27"/>
        <v>123598.11712108795</v>
      </c>
    </row>
    <row r="86" spans="1:23" x14ac:dyDescent="0.3">
      <c r="A86" t="s">
        <v>79</v>
      </c>
      <c r="B86" s="33">
        <f>IFERROR(VLOOKUP(A86,HTN_targets!$D$1:$M$195,3,0),Q86)</f>
        <v>0.30957510999999999</v>
      </c>
      <c r="C86" s="33">
        <f>IFERROR(VLOOKUP(A86,HTN_targets!$D$1:$M$195,10,0),R86)</f>
        <v>0.35146033763885498</v>
      </c>
      <c r="D86" s="35">
        <v>4.8587333444368497E-2</v>
      </c>
      <c r="E86" s="1">
        <v>6824394</v>
      </c>
      <c r="F86" s="1">
        <f t="shared" si="20"/>
        <v>2112662.5232333401</v>
      </c>
      <c r="G86" s="1">
        <f t="shared" si="21"/>
        <v>742517.08373254503</v>
      </c>
      <c r="H86" s="4">
        <f t="shared" si="22"/>
        <v>0.5</v>
      </c>
      <c r="I86" s="1">
        <f t="shared" si="28"/>
        <v>1056331.2616166701</v>
      </c>
      <c r="J86" s="9">
        <f t="shared" si="23"/>
        <v>0.39911623194329804</v>
      </c>
      <c r="K86" s="2">
        <f t="shared" si="29"/>
        <v>843197.90564071108</v>
      </c>
      <c r="L86" s="9">
        <f t="shared" si="24"/>
        <v>0.38150427100469952</v>
      </c>
      <c r="M86" s="2">
        <f t="shared" si="30"/>
        <v>805989.7758050845</v>
      </c>
      <c r="N86" s="34">
        <f>+VLOOKUP(A86,Diabetes!$G$1:$S$206,12,0)/100000</f>
        <v>4.8216051998441298E-2</v>
      </c>
      <c r="O86">
        <f t="shared" si="25"/>
        <v>0.501460337638855</v>
      </c>
      <c r="P86" s="16">
        <v>5.5836240000000002E-2</v>
      </c>
      <c r="Q86">
        <v>0.33168886845920298</v>
      </c>
      <c r="R86">
        <v>0.28758257275324101</v>
      </c>
      <c r="S86" s="35">
        <v>4.8587333444368497E-2</v>
      </c>
      <c r="T86" s="40">
        <f>IFERROR(VLOOKUP(A86,HTN_targets!$R$9:$X$203,6,0),L86)</f>
        <v>0.35146033763885498</v>
      </c>
      <c r="U86">
        <f t="shared" si="31"/>
        <v>0</v>
      </c>
      <c r="V86" s="15">
        <f t="shared" si="26"/>
        <v>51080.879230285922</v>
      </c>
      <c r="W86" s="15">
        <f t="shared" si="27"/>
        <v>81491.396860301553</v>
      </c>
    </row>
    <row r="87" spans="1:23" x14ac:dyDescent="0.3">
      <c r="A87" t="s">
        <v>80</v>
      </c>
      <c r="B87" s="33">
        <f>IFERROR(VLOOKUP(A87,HTN_targets!$D$1:$M$195,3,0),Q87)</f>
        <v>0.54810554</v>
      </c>
      <c r="C87" s="33">
        <f>IFERROR(VLOOKUP(A87,HTN_targets!$D$1:$M$195,10,0),R87)</f>
        <v>0.273018479347229</v>
      </c>
      <c r="D87" s="35">
        <v>8.57874051569366E-2</v>
      </c>
      <c r="E87" s="1">
        <v>7849933.5</v>
      </c>
      <c r="F87" s="1">
        <f t="shared" si="20"/>
        <v>4302592.0399815897</v>
      </c>
      <c r="G87" s="1">
        <f t="shared" si="21"/>
        <v>1174687.1360072657</v>
      </c>
      <c r="H87" s="4">
        <f t="shared" si="22"/>
        <v>0.5</v>
      </c>
      <c r="I87" s="1">
        <f t="shared" si="28"/>
        <v>2151296.0199907948</v>
      </c>
      <c r="J87" s="9">
        <f t="shared" si="23"/>
        <v>0.32067437365167206</v>
      </c>
      <c r="K87" s="2">
        <f t="shared" si="29"/>
        <v>1379731.0074997663</v>
      </c>
      <c r="L87" s="9">
        <f t="shared" si="24"/>
        <v>0.30306241271307355</v>
      </c>
      <c r="M87" s="2">
        <f t="shared" si="30"/>
        <v>1303953.9245568856</v>
      </c>
      <c r="N87" s="34">
        <f>+VLOOKUP(A87,Diabetes!$G$1:$S$206,12,0)/100000</f>
        <v>7.7937341984361599E-2</v>
      </c>
      <c r="O87">
        <f t="shared" si="25"/>
        <v>0.42301847934722903</v>
      </c>
      <c r="P87" s="16">
        <v>3.5532000000000001E-2</v>
      </c>
      <c r="Q87">
        <v>0.55904813799392905</v>
      </c>
      <c r="R87">
        <v>0.203399730390626</v>
      </c>
      <c r="S87" s="35">
        <v>8.57874051569366E-2</v>
      </c>
      <c r="T87" s="40">
        <f>IFERROR(VLOOKUP(A87,HTN_targets!$R$9:$X$203,6,0),L87)</f>
        <v>0.273018479347229</v>
      </c>
      <c r="U87">
        <f t="shared" si="31"/>
        <v>0</v>
      </c>
      <c r="V87" s="15">
        <f t="shared" si="26"/>
        <v>141851.88112951411</v>
      </c>
      <c r="W87" s="15">
        <f t="shared" si="27"/>
        <v>268266.06979138975</v>
      </c>
    </row>
    <row r="88" spans="1:23" x14ac:dyDescent="0.3">
      <c r="A88" t="s">
        <v>81</v>
      </c>
      <c r="B88" s="33">
        <f>IFERROR(VLOOKUP(A88,HTN_targets!$D$1:$M$195,3,0),Q88)</f>
        <v>0.31696184999999999</v>
      </c>
      <c r="C88" s="33">
        <f>IFERROR(VLOOKUP(A88,HTN_targets!$D$1:$M$195,10,0),R88)</f>
        <v>0.55418646335601796</v>
      </c>
      <c r="D88" s="35">
        <v>5.0204783369998E-2</v>
      </c>
      <c r="E88" s="1">
        <v>308049</v>
      </c>
      <c r="F88" s="1">
        <f t="shared" si="20"/>
        <v>97639.780930649998</v>
      </c>
      <c r="G88" s="1">
        <f t="shared" si="21"/>
        <v>54110.644876813283</v>
      </c>
      <c r="H88" s="4">
        <f t="shared" si="22"/>
        <v>0.55418646335601796</v>
      </c>
      <c r="I88" s="1">
        <f t="shared" si="28"/>
        <v>54110.644876813283</v>
      </c>
      <c r="J88" s="9">
        <f t="shared" si="23"/>
        <v>0.60184235766046101</v>
      </c>
      <c r="K88" s="2">
        <f t="shared" si="29"/>
        <v>58763.755956753317</v>
      </c>
      <c r="L88" s="9">
        <f t="shared" si="24"/>
        <v>0.5842303967218625</v>
      </c>
      <c r="M88" s="2">
        <f t="shared" si="30"/>
        <v>57044.12794894939</v>
      </c>
      <c r="N88" s="34">
        <f>+VLOOKUP(A88,Diabetes!$G$1:$S$206,12,0)/100000</f>
        <v>5.5745932774768997E-2</v>
      </c>
      <c r="O88">
        <f t="shared" si="25"/>
        <v>0.70418646335601798</v>
      </c>
      <c r="P88" s="16">
        <v>5.6876879999999998E-2</v>
      </c>
      <c r="Q88">
        <v>0.30867685486924101</v>
      </c>
      <c r="R88">
        <v>0.51120153491812503</v>
      </c>
      <c r="S88" s="35">
        <v>5.0204783369998E-2</v>
      </c>
      <c r="T88" s="40">
        <f>IFERROR(VLOOKUP(A88,HTN_targets!$R$9:$X$203,6,0),L88)</f>
        <v>0.55418646335601807</v>
      </c>
      <c r="U88">
        <f t="shared" si="31"/>
        <v>0</v>
      </c>
      <c r="V88" s="15">
        <f t="shared" si="26"/>
        <v>3832.9014712877101</v>
      </c>
      <c r="W88" s="15">
        <f t="shared" si="27"/>
        <v>4354.4165311225497</v>
      </c>
    </row>
    <row r="89" spans="1:23" x14ac:dyDescent="0.3">
      <c r="A89" t="s">
        <v>82</v>
      </c>
      <c r="B89" s="33">
        <f>IFERROR(VLOOKUP(A89,HTN_targets!$D$1:$M$195,3,0),Q89)</f>
        <v>0.30298522</v>
      </c>
      <c r="C89" s="33">
        <f>IFERROR(VLOOKUP(A89,HTN_targets!$D$1:$M$195,10,0),R89)</f>
        <v>0.17267854511737801</v>
      </c>
      <c r="D89" s="35">
        <v>6.8787553903362997E-2</v>
      </c>
      <c r="E89" s="1">
        <v>1008459547</v>
      </c>
      <c r="F89" s="1">
        <f t="shared" si="20"/>
        <v>305548337.70889533</v>
      </c>
      <c r="G89" s="1">
        <f t="shared" si="21"/>
        <v>52761642.418605335</v>
      </c>
      <c r="H89" s="4">
        <f t="shared" si="22"/>
        <v>0.5</v>
      </c>
      <c r="I89" s="1">
        <f t="shared" si="28"/>
        <v>152774168.85444766</v>
      </c>
      <c r="J89" s="9">
        <f t="shared" si="23"/>
        <v>0.2203344394218211</v>
      </c>
      <c r="K89" s="2">
        <f t="shared" si="29"/>
        <v>67322821.705358729</v>
      </c>
      <c r="L89" s="9">
        <f t="shared" si="24"/>
        <v>0.20272247848322258</v>
      </c>
      <c r="M89" s="2">
        <f t="shared" si="30"/>
        <v>61941516.316775963</v>
      </c>
      <c r="N89" s="34">
        <f>+VLOOKUP(A89,Diabetes!$G$1:$S$206,12,0)/100000</f>
        <v>8.0705400863115007E-2</v>
      </c>
      <c r="O89">
        <f t="shared" si="25"/>
        <v>0.32267854511737804</v>
      </c>
      <c r="P89" s="16">
        <v>4.9157560000000003E-2</v>
      </c>
      <c r="Q89">
        <v>0.31641813464815799</v>
      </c>
      <c r="R89">
        <v>0.134912063273285</v>
      </c>
      <c r="S89" s="35">
        <v>6.8787553903362997E-2</v>
      </c>
      <c r="T89" s="40">
        <f>IFERROR(VLOOKUP(A89,HTN_targets!$R$9:$X$203,6,0),L89)</f>
        <v>0.17267854511737821</v>
      </c>
      <c r="U89">
        <f t="shared" si="31"/>
        <v>0</v>
      </c>
      <c r="V89" s="15">
        <f t="shared" si="26"/>
        <v>7957059.6632681014</v>
      </c>
      <c r="W89" s="15">
        <f t="shared" si="27"/>
        <v>19727520.862283867</v>
      </c>
    </row>
    <row r="90" spans="1:23" x14ac:dyDescent="0.3">
      <c r="A90" t="s">
        <v>83</v>
      </c>
      <c r="B90" s="33">
        <f>IFERROR(VLOOKUP(A90,HTN_targets!$D$1:$M$195,3,0),Q90)</f>
        <v>0.43196145000000002</v>
      </c>
      <c r="C90" s="33">
        <f>IFERROR(VLOOKUP(A90,HTN_targets!$D$1:$M$195,10,0),R90)</f>
        <v>4.9966223537921899E-2</v>
      </c>
      <c r="D90" s="35">
        <v>5.67767210647026E-2</v>
      </c>
      <c r="E90" s="1">
        <v>197505332</v>
      </c>
      <c r="F90" s="1">
        <f t="shared" si="20"/>
        <v>85314689.593451411</v>
      </c>
      <c r="G90" s="1">
        <f t="shared" si="21"/>
        <v>4262852.8512948127</v>
      </c>
      <c r="H90" s="4">
        <f t="shared" si="22"/>
        <v>0.5</v>
      </c>
      <c r="I90" s="1">
        <f t="shared" si="28"/>
        <v>42657344.796725705</v>
      </c>
      <c r="J90" s="9">
        <f t="shared" si="23"/>
        <v>9.7622117842364992E-2</v>
      </c>
      <c r="K90" s="2">
        <f t="shared" si="29"/>
        <v>8328600.6811767034</v>
      </c>
      <c r="L90" s="9">
        <f t="shared" si="24"/>
        <v>8.0010156903766477E-2</v>
      </c>
      <c r="M90" s="2">
        <f t="shared" si="30"/>
        <v>6826041.7005681805</v>
      </c>
      <c r="N90" s="34">
        <f>+VLOOKUP(A90,Diabetes!$G$1:$S$206,12,0)/100000</f>
        <v>5.79005594775319E-2</v>
      </c>
      <c r="O90">
        <f t="shared" si="25"/>
        <v>0.1999662235379219</v>
      </c>
      <c r="P90" s="16">
        <v>6.6679639999999998E-2</v>
      </c>
      <c r="Q90">
        <v>0.358875839809351</v>
      </c>
      <c r="R90">
        <v>4.02774975269082E-2</v>
      </c>
      <c r="S90" s="35">
        <v>5.67767210647026E-2</v>
      </c>
      <c r="T90" s="40">
        <f>IFERROR(VLOOKUP(A90,HTN_targets!$R$9:$X$203,6,0),L90)</f>
        <v>4.9966223537921912E-2</v>
      </c>
      <c r="U90">
        <f t="shared" si="31"/>
        <v>0</v>
      </c>
      <c r="V90" s="15">
        <f t="shared" si="26"/>
        <v>987786.80392728245</v>
      </c>
      <c r="W90" s="15">
        <f t="shared" si="27"/>
        <v>3951814.6072902442</v>
      </c>
    </row>
    <row r="91" spans="1:23" x14ac:dyDescent="0.3">
      <c r="A91" t="s">
        <v>84</v>
      </c>
      <c r="B91" s="33">
        <f>IFERROR(VLOOKUP(A91,HTN_targets!$D$1:$M$195,3,0),Q91)</f>
        <v>0.21842091</v>
      </c>
      <c r="C91" s="33">
        <f>IFERROR(VLOOKUP(A91,HTN_targets!$D$1:$M$195,10,0),R91)</f>
        <v>0.26847335696220398</v>
      </c>
      <c r="D91" s="35">
        <v>4.2761448910927702E-2</v>
      </c>
      <c r="E91" s="1">
        <v>66812072.5</v>
      </c>
      <c r="F91" s="1">
        <f t="shared" si="20"/>
        <v>14593153.674435975</v>
      </c>
      <c r="G91" s="1">
        <f t="shared" si="21"/>
        <v>3917872.9556411481</v>
      </c>
      <c r="H91" s="4">
        <f t="shared" si="22"/>
        <v>0.5</v>
      </c>
      <c r="I91" s="1">
        <f t="shared" si="28"/>
        <v>7296576.8372179875</v>
      </c>
      <c r="J91" s="9">
        <f t="shared" si="23"/>
        <v>0.31612925126664704</v>
      </c>
      <c r="K91" s="2">
        <f t="shared" si="29"/>
        <v>4613322.7447185637</v>
      </c>
      <c r="L91" s="9">
        <f t="shared" si="24"/>
        <v>0.29851729032804852</v>
      </c>
      <c r="M91" s="2">
        <f t="shared" si="30"/>
        <v>4356308.6922334321</v>
      </c>
      <c r="N91" s="34">
        <f>+VLOOKUP(A91,Diabetes!$G$1:$S$206,12,0)/100000</f>
        <v>9.9518193866745E-2</v>
      </c>
      <c r="O91">
        <f t="shared" si="25"/>
        <v>0.418473356962204</v>
      </c>
      <c r="P91" s="16">
        <v>5.5833428333333331E-2</v>
      </c>
      <c r="Q91">
        <v>0.38</v>
      </c>
      <c r="R91">
        <v>0.215396865014502</v>
      </c>
      <c r="S91" s="35">
        <v>4.2761448910927702E-2</v>
      </c>
      <c r="T91" s="40">
        <f>IFERROR(VLOOKUP(A91,HTN_targets!$R$9:$X$203,6,0),L91)</f>
        <v>0.26847335696220398</v>
      </c>
      <c r="U91">
        <f t="shared" si="31"/>
        <v>0</v>
      </c>
      <c r="V91" s="15">
        <f t="shared" si="26"/>
        <v>607742.28481973126</v>
      </c>
      <c r="W91" s="15">
        <f t="shared" si="27"/>
        <v>1161827.4371997772</v>
      </c>
    </row>
    <row r="92" spans="1:23" x14ac:dyDescent="0.3">
      <c r="A92" t="s">
        <v>85</v>
      </c>
      <c r="B92" s="33">
        <f>IFERROR(VLOOKUP(A92,HTN_targets!$D$1:$M$195,3,0),Q92)</f>
        <v>0.44321975000000002</v>
      </c>
      <c r="C92" s="33">
        <f>IFERROR(VLOOKUP(A92,HTN_targets!$D$1:$M$195,10,0),R92)</f>
        <v>0.13758186995983099</v>
      </c>
      <c r="D92" s="35">
        <v>6.1658151495638698E-2</v>
      </c>
      <c r="E92" s="1">
        <v>26084183</v>
      </c>
      <c r="F92" s="1">
        <f t="shared" si="20"/>
        <v>11561025.068214251</v>
      </c>
      <c r="G92" s="1">
        <f t="shared" si="21"/>
        <v>1590587.4475373991</v>
      </c>
      <c r="H92" s="4">
        <f t="shared" si="22"/>
        <v>0.5</v>
      </c>
      <c r="I92" s="1">
        <f t="shared" si="28"/>
        <v>5780512.5341071254</v>
      </c>
      <c r="J92" s="9">
        <f t="shared" si="23"/>
        <v>0.18523776426427407</v>
      </c>
      <c r="K92" s="2">
        <f t="shared" si="29"/>
        <v>2141538.4362392346</v>
      </c>
      <c r="L92" s="9">
        <f t="shared" si="24"/>
        <v>0.16762580332567556</v>
      </c>
      <c r="M92" s="2">
        <f t="shared" si="30"/>
        <v>1937926.1143276868</v>
      </c>
      <c r="N92" s="34">
        <f>+VLOOKUP(A92,Diabetes!$G$1:$S$206,12,0)/100000</f>
        <v>0.110480770201846</v>
      </c>
      <c r="O92">
        <f t="shared" si="25"/>
        <v>0.28758186995983098</v>
      </c>
      <c r="P92" s="16">
        <v>6.1619260000000002E-2</v>
      </c>
      <c r="Q92">
        <v>0.48440541802918002</v>
      </c>
      <c r="R92">
        <v>0.124349308231433</v>
      </c>
      <c r="S92" s="35">
        <v>6.1658151495638698E-2</v>
      </c>
      <c r="T92" s="40">
        <f>IFERROR(VLOOKUP(A92,HTN_targets!$R$9:$X$203,6,0),L92)</f>
        <v>0.13758186995983121</v>
      </c>
      <c r="U92">
        <f t="shared" si="31"/>
        <v>0</v>
      </c>
      <c r="V92" s="15">
        <f t="shared" si="26"/>
        <v>367319.96935619414</v>
      </c>
      <c r="W92" s="15">
        <f t="shared" si="27"/>
        <v>1021816.7630873278</v>
      </c>
    </row>
    <row r="93" spans="1:23" x14ac:dyDescent="0.3">
      <c r="A93" t="s">
        <v>86</v>
      </c>
      <c r="B93" s="33">
        <f>IFERROR(VLOOKUP(A93,HTN_targets!$D$1:$M$195,3,0),Q93)</f>
        <v>0.35641727000000001</v>
      </c>
      <c r="C93" s="33">
        <f>IFERROR(VLOOKUP(A93,HTN_targets!$D$1:$M$195,10,0),R93)</f>
        <v>0.283101767301559</v>
      </c>
      <c r="D93" s="35">
        <v>4.4625380383193802E-2</v>
      </c>
      <c r="E93" s="1">
        <v>4049666.5</v>
      </c>
      <c r="F93" s="1">
        <f t="shared" si="20"/>
        <v>1443371.078340455</v>
      </c>
      <c r="G93" s="1">
        <f t="shared" si="21"/>
        <v>408620.90315013978</v>
      </c>
      <c r="H93" s="4">
        <f t="shared" si="22"/>
        <v>0.5</v>
      </c>
      <c r="I93" s="1">
        <f t="shared" si="28"/>
        <v>721685.53917022748</v>
      </c>
      <c r="J93" s="9">
        <f t="shared" si="23"/>
        <v>0.33075766160600206</v>
      </c>
      <c r="K93" s="2">
        <f t="shared" si="29"/>
        <v>477406.04270162247</v>
      </c>
      <c r="L93" s="9">
        <f t="shared" si="24"/>
        <v>0.31314570066740355</v>
      </c>
      <c r="M93" s="2">
        <f t="shared" si="30"/>
        <v>451985.44764998759</v>
      </c>
      <c r="N93" s="34">
        <f>+VLOOKUP(A93,Diabetes!$G$1:$S$206,12,0)/100000</f>
        <v>5.2018983762165398E-2</v>
      </c>
      <c r="O93">
        <f t="shared" si="25"/>
        <v>0.43310176730155903</v>
      </c>
      <c r="P93" s="16">
        <v>6.5350459999999999E-2</v>
      </c>
      <c r="Q93">
        <v>0.382110886570733</v>
      </c>
      <c r="R93">
        <v>0.22335573963925401</v>
      </c>
      <c r="S93" s="35">
        <v>4.4625380383193802E-2</v>
      </c>
      <c r="T93" s="40">
        <f>IFERROR(VLOOKUP(A93,HTN_targets!$R$9:$X$203,6,0),L93)</f>
        <v>0.28310176730155939</v>
      </c>
      <c r="U93">
        <f t="shared" si="31"/>
        <v>0</v>
      </c>
      <c r="V93" s="15">
        <f t="shared" si="26"/>
        <v>32518.448628894177</v>
      </c>
      <c r="W93" s="15">
        <f t="shared" si="27"/>
        <v>60066.157349577035</v>
      </c>
    </row>
    <row r="94" spans="1:23" x14ac:dyDescent="0.3">
      <c r="A94" t="s">
        <v>87</v>
      </c>
      <c r="B94" s="33">
        <f>IFERROR(VLOOKUP(A94,HTN_targets!$D$1:$M$195,3,0),Q94)</f>
        <v>0.32015428000000001</v>
      </c>
      <c r="C94" s="33">
        <f>IFERROR(VLOOKUP(A94,HTN_targets!$D$1:$M$195,10,0),R94)</f>
        <v>0.30664113163947998</v>
      </c>
      <c r="D94" s="35">
        <v>3.63036735157619E-2</v>
      </c>
      <c r="E94" s="1">
        <v>6312287.5</v>
      </c>
      <c r="F94" s="1">
        <f t="shared" si="20"/>
        <v>2020905.8597155001</v>
      </c>
      <c r="G94" s="1">
        <f t="shared" si="21"/>
        <v>619692.85976001713</v>
      </c>
      <c r="H94" s="4">
        <f t="shared" si="22"/>
        <v>0.5</v>
      </c>
      <c r="I94" s="1">
        <f t="shared" si="28"/>
        <v>1010452.9298577501</v>
      </c>
      <c r="J94" s="9">
        <f t="shared" si="23"/>
        <v>0.35429702594392309</v>
      </c>
      <c r="K94" s="2">
        <f t="shared" si="29"/>
        <v>716000.93580984871</v>
      </c>
      <c r="L94" s="9">
        <f t="shared" si="24"/>
        <v>0.33668506500532458</v>
      </c>
      <c r="M94" s="2">
        <f t="shared" si="30"/>
        <v>680408.82074795454</v>
      </c>
      <c r="N94" s="34">
        <f>+VLOOKUP(A94,Diabetes!$G$1:$S$206,12,0)/100000</f>
        <v>4.6828987192104599E-2</v>
      </c>
      <c r="O94">
        <f t="shared" si="25"/>
        <v>0.45664113163947995</v>
      </c>
      <c r="P94" s="16">
        <v>4.8047199999999998E-2</v>
      </c>
      <c r="Q94">
        <v>0.32975708963558797</v>
      </c>
      <c r="R94">
        <v>0.24946660685050201</v>
      </c>
      <c r="S94" s="35">
        <v>3.63036735157619E-2</v>
      </c>
      <c r="T94" s="40">
        <f>IFERROR(VLOOKUP(A94,HTN_targets!$R$9:$X$203,6,0),L94)</f>
        <v>0.30664113163948059</v>
      </c>
      <c r="U94">
        <f t="shared" si="31"/>
        <v>1</v>
      </c>
      <c r="V94" s="15">
        <f t="shared" si="26"/>
        <v>43215.13518590045</v>
      </c>
      <c r="W94" s="15">
        <f t="shared" si="27"/>
        <v>75709.579696853034</v>
      </c>
    </row>
    <row r="95" spans="1:23" x14ac:dyDescent="0.3">
      <c r="A95" t="s">
        <v>88</v>
      </c>
      <c r="B95" s="33">
        <f>IFERROR(VLOOKUP(A95,HTN_targets!$D$1:$M$195,3,0),Q95)</f>
        <v>0.41847511999999998</v>
      </c>
      <c r="C95" s="33">
        <f>IFERROR(VLOOKUP(A95,HTN_targets!$D$1:$M$195,10,0),R95)</f>
        <v>0.33429947495460499</v>
      </c>
      <c r="D95" s="35">
        <v>4.7048884367064801E-2</v>
      </c>
      <c r="E95" s="1">
        <v>49941266</v>
      </c>
      <c r="F95" s="1">
        <f t="shared" si="20"/>
        <v>20899177.282301918</v>
      </c>
      <c r="G95" s="1">
        <f t="shared" si="21"/>
        <v>6986583.9924567398</v>
      </c>
      <c r="H95" s="4">
        <f t="shared" si="22"/>
        <v>0.5</v>
      </c>
      <c r="I95" s="1">
        <f t="shared" si="28"/>
        <v>10449588.641150959</v>
      </c>
      <c r="J95" s="9">
        <f t="shared" si="23"/>
        <v>0.38195536925904805</v>
      </c>
      <c r="K95" s="2">
        <f t="shared" si="29"/>
        <v>7982552.976071937</v>
      </c>
      <c r="L95" s="9">
        <f t="shared" si="24"/>
        <v>0.36434340832044954</v>
      </c>
      <c r="M95" s="2">
        <f t="shared" si="30"/>
        <v>7614477.4821271906</v>
      </c>
      <c r="N95" s="34">
        <f>+VLOOKUP(A95,Diabetes!$G$1:$S$206,12,0)/100000</f>
        <v>8.2244835786214013E-2</v>
      </c>
      <c r="O95">
        <f t="shared" si="25"/>
        <v>0.48429947495460501</v>
      </c>
      <c r="P95" s="16">
        <v>4.2273760000000001E-2</v>
      </c>
      <c r="Q95">
        <v>0.391253330786557</v>
      </c>
      <c r="R95">
        <v>0.25756947865187502</v>
      </c>
      <c r="S95" s="35">
        <v>4.7048884367064801E-2</v>
      </c>
      <c r="T95" s="40">
        <f>IFERROR(VLOOKUP(A95,HTN_targets!$R$9:$X$203,6,0),L95)</f>
        <v>0.3342994749546051</v>
      </c>
      <c r="U95">
        <f t="shared" si="31"/>
        <v>0</v>
      </c>
      <c r="V95" s="15">
        <f t="shared" si="26"/>
        <v>832437.86371368042</v>
      </c>
      <c r="W95" s="15">
        <f t="shared" si="27"/>
        <v>1375079.5229199165</v>
      </c>
    </row>
    <row r="96" spans="1:23" x14ac:dyDescent="0.3">
      <c r="A96" t="s">
        <v>89</v>
      </c>
      <c r="B96" s="33">
        <f>IFERROR(VLOOKUP(A96,HTN_targets!$D$1:$M$195,3,0),Q96)</f>
        <v>0.32494592999999999</v>
      </c>
      <c r="C96" s="33">
        <f>IFERROR(VLOOKUP(A96,HTN_targets!$D$1:$M$195,10,0),R96)</f>
        <v>0.102288737893104</v>
      </c>
      <c r="D96" s="35">
        <v>7.2377187368143206E-2</v>
      </c>
      <c r="E96" s="1">
        <v>16577449.5</v>
      </c>
      <c r="F96" s="1">
        <f t="shared" si="20"/>
        <v>5386774.7448055353</v>
      </c>
      <c r="G96" s="1">
        <f t="shared" si="21"/>
        <v>551006.38996060553</v>
      </c>
      <c r="H96" s="4">
        <f t="shared" si="22"/>
        <v>0.5</v>
      </c>
      <c r="I96" s="1">
        <f t="shared" si="28"/>
        <v>2693387.3724027677</v>
      </c>
      <c r="J96" s="9">
        <f t="shared" si="23"/>
        <v>0.14994463219754708</v>
      </c>
      <c r="K96" s="2">
        <f t="shared" si="29"/>
        <v>807717.95784090157</v>
      </c>
      <c r="L96" s="9">
        <f t="shared" si="24"/>
        <v>0.13233267125894857</v>
      </c>
      <c r="M96" s="2">
        <f t="shared" si="30"/>
        <v>712846.29145035753</v>
      </c>
      <c r="N96" s="34">
        <f>+VLOOKUP(A96,Diabetes!$G$1:$S$206,12,0)/100000</f>
        <v>3.2879403743358397E-2</v>
      </c>
      <c r="O96">
        <f t="shared" si="25"/>
        <v>0.25228873789310402</v>
      </c>
      <c r="P96" s="16">
        <v>5.5833428333333331E-2</v>
      </c>
      <c r="Q96">
        <v>0.38</v>
      </c>
      <c r="R96">
        <v>7.8210894636230099E-2</v>
      </c>
      <c r="S96" s="35">
        <v>7.2377187368143206E-2</v>
      </c>
      <c r="T96" s="40">
        <f>IFERROR(VLOOKUP(A96,HTN_targets!$R$9:$X$203,6,0),L96)</f>
        <v>0.10228873789310459</v>
      </c>
      <c r="U96">
        <f t="shared" si="31"/>
        <v>1</v>
      </c>
      <c r="V96" s="15">
        <f t="shared" si="26"/>
        <v>44683.852817033272</v>
      </c>
      <c r="W96" s="15">
        <f t="shared" si="27"/>
        <v>141691.15336719007</v>
      </c>
    </row>
    <row r="97" spans="1:23" x14ac:dyDescent="0.3">
      <c r="A97" t="s">
        <v>90</v>
      </c>
      <c r="B97" s="33">
        <f>IFERROR(VLOOKUP(A97,HTN_targets!$D$1:$M$195,3,0),Q97)</f>
        <v>0.48735157000000001</v>
      </c>
      <c r="C97" s="33">
        <f>IFERROR(VLOOKUP(A97,HTN_targets!$D$1:$M$195,10,0),R97)</f>
        <v>0.20727556943893399</v>
      </c>
      <c r="D97" s="35">
        <v>5.1050584837179301E-2</v>
      </c>
      <c r="E97" s="1">
        <v>2146693</v>
      </c>
      <c r="F97" s="1">
        <f t="shared" si="20"/>
        <v>1046194.20385801</v>
      </c>
      <c r="G97" s="1">
        <f t="shared" si="21"/>
        <v>216850.49934838121</v>
      </c>
      <c r="H97" s="4">
        <f t="shared" si="22"/>
        <v>0.5</v>
      </c>
      <c r="I97" s="1">
        <f t="shared" si="28"/>
        <v>523097.101929005</v>
      </c>
      <c r="J97" s="9">
        <f t="shared" si="23"/>
        <v>0.25493146374337705</v>
      </c>
      <c r="K97" s="2">
        <f t="shared" si="29"/>
        <v>266707.81974935951</v>
      </c>
      <c r="L97" s="9">
        <f t="shared" si="24"/>
        <v>0.23731950280477856</v>
      </c>
      <c r="M97" s="2">
        <f t="shared" si="30"/>
        <v>248282.28829682409</v>
      </c>
      <c r="N97" s="34">
        <f>+VLOOKUP(A97,Diabetes!$G$1:$S$206,12,0)/100000</f>
        <v>0.10683525183453599</v>
      </c>
      <c r="O97">
        <f t="shared" si="25"/>
        <v>0.35727556943893402</v>
      </c>
      <c r="P97" s="16">
        <v>5.973494E-2</v>
      </c>
      <c r="Q97">
        <v>0.445409864534835</v>
      </c>
      <c r="R97">
        <v>0.16084993706734799</v>
      </c>
      <c r="S97" s="35">
        <v>5.1050584837179301E-2</v>
      </c>
      <c r="T97" s="40">
        <f>IFERROR(VLOOKUP(A97,HTN_targets!$R$9:$X$203,6,0),L97)</f>
        <v>0.2072755694389343</v>
      </c>
      <c r="U97">
        <f t="shared" si="31"/>
        <v>0</v>
      </c>
      <c r="V97" s="15">
        <f t="shared" si="26"/>
        <v>39932.840893879547</v>
      </c>
      <c r="W97" s="15">
        <f t="shared" si="27"/>
        <v>89416.336989601899</v>
      </c>
    </row>
    <row r="98" spans="1:23" x14ac:dyDescent="0.3">
      <c r="A98" t="s">
        <v>91</v>
      </c>
      <c r="B98" s="33">
        <f>IFERROR(VLOOKUP(A98,HTN_targets!$D$1:$M$195,3,0),Q98)</f>
        <v>0.40733092999999998</v>
      </c>
      <c r="C98" s="33">
        <f>IFERROR(VLOOKUP(A98,HTN_targets!$D$1:$M$195,10,0),R98)</f>
        <v>0.35889208316802901</v>
      </c>
      <c r="D98" s="35">
        <v>3.7282053062402197E-2</v>
      </c>
      <c r="E98" s="1">
        <v>104767430.5</v>
      </c>
      <c r="F98" s="1">
        <f t="shared" si="20"/>
        <v>42675014.899275362</v>
      </c>
      <c r="G98" s="1">
        <f t="shared" si="21"/>
        <v>15315724.996427611</v>
      </c>
      <c r="H98" s="4">
        <f t="shared" si="22"/>
        <v>0.5</v>
      </c>
      <c r="I98" s="1">
        <f t="shared" si="28"/>
        <v>21337507.449637681</v>
      </c>
      <c r="J98" s="9">
        <f t="shared" si="23"/>
        <v>0.40654797747247207</v>
      </c>
      <c r="K98" s="2">
        <f t="shared" si="29"/>
        <v>17349440.995908011</v>
      </c>
      <c r="L98" s="9">
        <f t="shared" si="24"/>
        <v>0.38893601653387355</v>
      </c>
      <c r="M98" s="2">
        <f t="shared" si="30"/>
        <v>16597850.300447863</v>
      </c>
      <c r="N98" s="34">
        <f>+VLOOKUP(A98,Diabetes!$G$1:$S$206,12,0)/100000</f>
        <v>0.12346474780084099</v>
      </c>
      <c r="O98">
        <f t="shared" si="25"/>
        <v>0.50889208316802903</v>
      </c>
      <c r="P98" s="16">
        <v>4.081444E-2</v>
      </c>
      <c r="Q98">
        <v>0.40311819633059198</v>
      </c>
      <c r="R98">
        <v>0.246490022380082</v>
      </c>
      <c r="S98" s="35">
        <v>3.7282053062402197E-2</v>
      </c>
      <c r="T98" s="40">
        <f>IFERROR(VLOOKUP(A98,HTN_targets!$R$9:$X$203,6,0),L98)</f>
        <v>0.35889208316802979</v>
      </c>
      <c r="U98">
        <f t="shared" si="31"/>
        <v>1</v>
      </c>
      <c r="V98" s="15">
        <f t="shared" si="26"/>
        <v>2681281.116861396</v>
      </c>
      <c r="W98" s="15">
        <f t="shared" si="27"/>
        <v>4215087.961548931</v>
      </c>
    </row>
    <row r="99" spans="1:23" x14ac:dyDescent="0.3">
      <c r="A99" t="s">
        <v>92</v>
      </c>
      <c r="B99" s="33">
        <f>IFERROR(VLOOKUP(A99,HTN_targets!$D$1:$M$195,3,0),Q99)</f>
        <v>0.3400493</v>
      </c>
      <c r="C99" s="33">
        <f>IFERROR(VLOOKUP(A99,HTN_targets!$D$1:$M$195,10,0),R99)</f>
        <v>0.33786627650260898</v>
      </c>
      <c r="D99" s="35">
        <v>4.8919060151460698E-2</v>
      </c>
      <c r="E99" s="1">
        <v>7096882.5</v>
      </c>
      <c r="F99" s="1">
        <f t="shared" si="20"/>
        <v>2413289.9263072498</v>
      </c>
      <c r="G99" s="1">
        <f t="shared" si="21"/>
        <v>815369.28152268613</v>
      </c>
      <c r="H99" s="4">
        <f t="shared" si="22"/>
        <v>0.5</v>
      </c>
      <c r="I99" s="1">
        <f t="shared" si="28"/>
        <v>1206644.9631536249</v>
      </c>
      <c r="J99" s="9">
        <f t="shared" si="23"/>
        <v>0.38552217080705209</v>
      </c>
      <c r="K99" s="2">
        <f t="shared" si="29"/>
        <v>930376.77117676171</v>
      </c>
      <c r="L99" s="9">
        <f t="shared" si="24"/>
        <v>0.36791020986845357</v>
      </c>
      <c r="M99" s="2">
        <f t="shared" si="30"/>
        <v>887874.00326112518</v>
      </c>
      <c r="N99" s="34">
        <f>+VLOOKUP(A99,Diabetes!$G$1:$S$206,12,0)/100000</f>
        <v>0.11480014356740099</v>
      </c>
      <c r="O99">
        <f t="shared" si="25"/>
        <v>0.48786627650260894</v>
      </c>
      <c r="P99" s="16">
        <v>5.491919E-2</v>
      </c>
      <c r="Q99">
        <v>0.39581751464766102</v>
      </c>
      <c r="R99">
        <v>0.30165000853027901</v>
      </c>
      <c r="S99" s="35">
        <v>4.8919060151460698E-2</v>
      </c>
      <c r="T99" s="40">
        <f>IFERROR(VLOOKUP(A99,HTN_targets!$R$9:$X$203,6,0),L99)</f>
        <v>0.33786627650260931</v>
      </c>
      <c r="U99">
        <f t="shared" si="31"/>
        <v>0</v>
      </c>
      <c r="V99" s="15">
        <f t="shared" si="26"/>
        <v>135161.41508072818</v>
      </c>
      <c r="W99" s="15">
        <f t="shared" si="27"/>
        <v>221636.82400786789</v>
      </c>
    </row>
    <row r="100" spans="1:23" x14ac:dyDescent="0.3">
      <c r="A100" t="s">
        <v>93</v>
      </c>
      <c r="B100" s="33">
        <f>IFERROR(VLOOKUP(A100,HTN_targets!$D$1:$M$195,3,0),Q100)</f>
        <v>0.42748782000000002</v>
      </c>
      <c r="C100" s="33">
        <f>IFERROR(VLOOKUP(A100,HTN_targets!$D$1:$M$195,10,0),R100)</f>
        <v>0.34111183881759599</v>
      </c>
      <c r="D100" s="35">
        <v>7.1019939023835493E-2</v>
      </c>
      <c r="E100" s="1">
        <v>13386381.5</v>
      </c>
      <c r="F100" s="1">
        <f t="shared" si="20"/>
        <v>5722515.0451233303</v>
      </c>
      <c r="G100" s="1">
        <f t="shared" si="21"/>
        <v>1952017.6297033776</v>
      </c>
      <c r="H100" s="4">
        <f t="shared" si="22"/>
        <v>0.5</v>
      </c>
      <c r="I100" s="1">
        <f t="shared" si="28"/>
        <v>2861257.5225616652</v>
      </c>
      <c r="J100" s="9">
        <f t="shared" si="23"/>
        <v>0.38876773312203905</v>
      </c>
      <c r="K100" s="2">
        <f t="shared" si="29"/>
        <v>2224729.20184936</v>
      </c>
      <c r="L100" s="9">
        <f t="shared" si="24"/>
        <v>0.37115577218344054</v>
      </c>
      <c r="M100" s="2">
        <f t="shared" si="30"/>
        <v>2123944.4904041057</v>
      </c>
      <c r="N100" s="34">
        <f>+VLOOKUP(A100,Diabetes!$G$1:$S$206,12,0)/100000</f>
        <v>5.9901174860554504E-2</v>
      </c>
      <c r="O100">
        <f t="shared" si="25"/>
        <v>0.49111183881759601</v>
      </c>
      <c r="P100" s="16">
        <v>4.3368650000000002E-2</v>
      </c>
      <c r="Q100">
        <v>0.40884207284363</v>
      </c>
      <c r="R100">
        <v>0.27730740326876602</v>
      </c>
      <c r="S100" s="35">
        <v>7.1019939023835493E-2</v>
      </c>
      <c r="T100" s="40">
        <f>IFERROR(VLOOKUP(A100,HTN_targets!$R$9:$X$203,6,0),L100)</f>
        <v>0.34111183881759638</v>
      </c>
      <c r="U100">
        <f t="shared" si="31"/>
        <v>0</v>
      </c>
      <c r="V100" s="15">
        <f t="shared" si="26"/>
        <v>168345.95552176016</v>
      </c>
      <c r="W100" s="15">
        <f t="shared" si="27"/>
        <v>274228.29948806926</v>
      </c>
    </row>
    <row r="101" spans="1:23" x14ac:dyDescent="0.3">
      <c r="A101" t="s">
        <v>94</v>
      </c>
      <c r="B101" s="33">
        <f>IFERROR(VLOOKUP(A101,HTN_targets!$D$1:$M$195,3,0),Q101)</f>
        <v>0.27645322999999999</v>
      </c>
      <c r="C101" s="33">
        <f>IFERROR(VLOOKUP(A101,HTN_targets!$D$1:$M$195,10,0),R101)</f>
        <v>6.9425940513610798E-2</v>
      </c>
      <c r="D101" s="35">
        <v>6.7402637113821495E-2</v>
      </c>
      <c r="E101" s="1">
        <v>31289361</v>
      </c>
      <c r="F101" s="1">
        <f t="shared" si="20"/>
        <v>8650044.9130860306</v>
      </c>
      <c r="G101" s="1">
        <f t="shared" si="21"/>
        <v>600537.5035759724</v>
      </c>
      <c r="H101" s="4">
        <f t="shared" si="22"/>
        <v>0.5</v>
      </c>
      <c r="I101" s="1">
        <f t="shared" si="28"/>
        <v>4325022.4565430153</v>
      </c>
      <c r="J101" s="9">
        <f t="shared" si="23"/>
        <v>0.11708183481805388</v>
      </c>
      <c r="K101" s="2">
        <f t="shared" si="29"/>
        <v>1012763.1296826859</v>
      </c>
      <c r="L101" s="9">
        <f t="shared" si="24"/>
        <v>9.946987387945537E-2</v>
      </c>
      <c r="M101" s="2">
        <f t="shared" si="30"/>
        <v>860418.87655629194</v>
      </c>
      <c r="N101" s="34">
        <f>+VLOOKUP(A101,Diabetes!$G$1:$S$206,12,0)/100000</f>
        <v>2.4462319933785504E-2</v>
      </c>
      <c r="O101">
        <f t="shared" si="25"/>
        <v>0.21942594051361081</v>
      </c>
      <c r="P101" s="16">
        <v>4.9961199999999997E-2</v>
      </c>
      <c r="Q101">
        <v>0.31434840725593799</v>
      </c>
      <c r="R101">
        <v>5.5519825103296103E-2</v>
      </c>
      <c r="S101" s="35">
        <v>6.7402637113821495E-2</v>
      </c>
      <c r="T101" s="40">
        <f>IFERROR(VLOOKUP(A101,HTN_targets!$R$9:$X$203,6,0),L101)</f>
        <v>6.942594051361084E-2</v>
      </c>
      <c r="U101">
        <f t="shared" si="31"/>
        <v>0</v>
      </c>
      <c r="V101" s="15">
        <f t="shared" si="26"/>
        <v>46430.565460540936</v>
      </c>
      <c r="W101" s="15">
        <f t="shared" si="27"/>
        <v>169280.13288441944</v>
      </c>
    </row>
    <row r="102" spans="1:23" x14ac:dyDescent="0.3">
      <c r="A102" t="s">
        <v>95</v>
      </c>
      <c r="B102" s="33">
        <f>IFERROR(VLOOKUP(A102,HTN_targets!$D$1:$M$195,3,0),Q102)</f>
        <v>0.45543658999999997</v>
      </c>
      <c r="C102" s="33">
        <f>IFERROR(VLOOKUP(A102,HTN_targets!$D$1:$M$195,10,0),R102)</f>
        <v>6.3903622329235105E-2</v>
      </c>
      <c r="D102" s="35">
        <v>4.9648526754263303E-2</v>
      </c>
      <c r="E102" s="1">
        <v>78930</v>
      </c>
      <c r="F102" s="1">
        <f t="shared" si="20"/>
        <v>35947.6100487</v>
      </c>
      <c r="G102" s="1">
        <f t="shared" si="21"/>
        <v>2297.1824961907414</v>
      </c>
      <c r="H102" s="4">
        <f t="shared" si="22"/>
        <v>0.5</v>
      </c>
      <c r="I102" s="1">
        <f t="shared" si="28"/>
        <v>17973.80502435</v>
      </c>
      <c r="J102" s="9">
        <f t="shared" si="23"/>
        <v>0.11155951663367819</v>
      </c>
      <c r="K102" s="2">
        <f t="shared" si="29"/>
        <v>4010.2980011689251</v>
      </c>
      <c r="L102" s="9">
        <f t="shared" si="24"/>
        <v>9.3947555695079676E-2</v>
      </c>
      <c r="M102" s="2">
        <f t="shared" si="30"/>
        <v>3377.1900971552491</v>
      </c>
      <c r="N102" s="34">
        <f>+VLOOKUP(A102,Diabetes!$G$1:$S$206,12,0)/100000</f>
        <v>0.12337870140974899</v>
      </c>
      <c r="O102">
        <f t="shared" si="25"/>
        <v>0.2139036223292351</v>
      </c>
      <c r="P102" s="16">
        <v>0.13566280999999999</v>
      </c>
      <c r="Q102">
        <v>0.403983468518886</v>
      </c>
      <c r="R102">
        <v>5.8422959254641998E-2</v>
      </c>
      <c r="S102" s="35">
        <v>4.9648526754263303E-2</v>
      </c>
      <c r="T102" s="40">
        <f>IFERROR(VLOOKUP(A102,HTN_targets!$R$9:$X$203,6,0),L102)</f>
        <v>6.3903622329235077E-2</v>
      </c>
      <c r="U102">
        <f t="shared" si="31"/>
        <v>0</v>
      </c>
      <c r="V102" s="15">
        <f t="shared" si="26"/>
        <v>948.69881027011672</v>
      </c>
      <c r="W102" s="15">
        <f t="shared" si="27"/>
        <v>3548.1355572741195</v>
      </c>
    </row>
    <row r="103" spans="1:23" x14ac:dyDescent="0.3">
      <c r="A103" t="s">
        <v>96</v>
      </c>
      <c r="B103" s="33">
        <f>IFERROR(VLOOKUP(A103,HTN_targets!$D$1:$M$195,3,0),Q103)</f>
        <v>0.39285653999999998</v>
      </c>
      <c r="C103" s="33">
        <f>IFERROR(VLOOKUP(A103,HTN_targets!$D$1:$M$195,10,0),R103)</f>
        <v>0.32743576169013899</v>
      </c>
      <c r="D103" s="35">
        <v>6.3895900390369603E-2</v>
      </c>
      <c r="E103" s="1">
        <v>3886920.5</v>
      </c>
      <c r="F103" s="1">
        <f t="shared" si="20"/>
        <v>1527002.1388850699</v>
      </c>
      <c r="G103" s="1">
        <f t="shared" si="21"/>
        <v>499995.10844830424</v>
      </c>
      <c r="H103" s="4">
        <f t="shared" si="22"/>
        <v>0.5</v>
      </c>
      <c r="I103" s="1">
        <f t="shared" si="28"/>
        <v>763501.06944253494</v>
      </c>
      <c r="J103" s="9">
        <f t="shared" si="23"/>
        <v>0.37509165599458205</v>
      </c>
      <c r="K103" s="2">
        <f t="shared" si="29"/>
        <v>572765.76098166965</v>
      </c>
      <c r="L103" s="9">
        <f t="shared" si="24"/>
        <v>0.35747969505598354</v>
      </c>
      <c r="M103" s="2">
        <f t="shared" si="30"/>
        <v>545872.25895846938</v>
      </c>
      <c r="N103" s="34">
        <f>+VLOOKUP(A103,Diabetes!$G$1:$S$206,12,0)/100000</f>
        <v>0.21749823168215299</v>
      </c>
      <c r="O103">
        <f t="shared" si="25"/>
        <v>0.47743576169013902</v>
      </c>
      <c r="P103" s="16">
        <v>5.8327959999999998E-2</v>
      </c>
      <c r="Q103">
        <v>0.43535866653695399</v>
      </c>
      <c r="R103">
        <v>0.287494941116474</v>
      </c>
      <c r="S103" s="35">
        <v>6.3895900390369603E-2</v>
      </c>
      <c r="T103" s="40">
        <f>IFERROR(VLOOKUP(A103,HTN_targets!$R$9:$X$203,6,0),L103)</f>
        <v>0.32743576169013983</v>
      </c>
      <c r="U103">
        <f t="shared" si="31"/>
        <v>1</v>
      </c>
      <c r="V103" s="15">
        <f t="shared" si="26"/>
        <v>158566.09168458771</v>
      </c>
      <c r="W103" s="15">
        <f t="shared" si="27"/>
        <v>265696.21198589448</v>
      </c>
    </row>
    <row r="104" spans="1:23" x14ac:dyDescent="0.3">
      <c r="A104" t="s">
        <v>97</v>
      </c>
      <c r="B104" s="33">
        <f>IFERROR(VLOOKUP(A104,HTN_targets!$D$1:$M$195,3,0),Q104)</f>
        <v>0.39847758</v>
      </c>
      <c r="C104" s="33">
        <f>IFERROR(VLOOKUP(A104,HTN_targets!$D$1:$M$195,10,0),R104)</f>
        <v>0.115118570625782</v>
      </c>
      <c r="D104" s="35">
        <v>6.6420002416696794E-2</v>
      </c>
      <c r="E104" s="1">
        <v>4440387</v>
      </c>
      <c r="F104" s="1">
        <f t="shared" si="20"/>
        <v>1769394.66602346</v>
      </c>
      <c r="G104" s="1">
        <f t="shared" si="21"/>
        <v>203690.18482550362</v>
      </c>
      <c r="H104" s="4">
        <f t="shared" si="22"/>
        <v>0.5</v>
      </c>
      <c r="I104" s="1">
        <f t="shared" si="28"/>
        <v>884697.33301172999</v>
      </c>
      <c r="J104" s="9">
        <f t="shared" si="23"/>
        <v>0.16277446493022507</v>
      </c>
      <c r="K104" s="2">
        <f t="shared" si="29"/>
        <v>288012.27001236298</v>
      </c>
      <c r="L104" s="9">
        <f t="shared" si="24"/>
        <v>0.14516250399162656</v>
      </c>
      <c r="M104" s="2">
        <f t="shared" si="30"/>
        <v>256849.76026939324</v>
      </c>
      <c r="N104" s="34">
        <f>+VLOOKUP(A104,Diabetes!$G$1:$S$206,12,0)/100000</f>
        <v>3.8705286824576801E-2</v>
      </c>
      <c r="O104">
        <f t="shared" si="25"/>
        <v>0.26511857062578198</v>
      </c>
      <c r="P104" s="16">
        <v>4.1240789999999999E-2</v>
      </c>
      <c r="Q104">
        <v>0.38131099050047301</v>
      </c>
      <c r="R104">
        <v>9.5349394439218998E-2</v>
      </c>
      <c r="S104" s="35">
        <v>6.6420002416696794E-2</v>
      </c>
      <c r="T104" s="40">
        <f>IFERROR(VLOOKUP(A104,HTN_targets!$R$9:$X$203,6,0),L104)</f>
        <v>0.115118570625782</v>
      </c>
      <c r="U104">
        <f t="shared" si="31"/>
        <v>0</v>
      </c>
      <c r="V104" s="15">
        <f t="shared" si="26"/>
        <v>18156.626235169322</v>
      </c>
      <c r="W104" s="15">
        <f t="shared" si="27"/>
        <v>54787.942443451437</v>
      </c>
    </row>
    <row r="105" spans="1:23" x14ac:dyDescent="0.3">
      <c r="A105" t="s">
        <v>98</v>
      </c>
      <c r="B105" s="33">
        <f>IFERROR(VLOOKUP(A105,HTN_targets!$D$1:$M$195,3,0),Q105)</f>
        <v>0.26745561000000001</v>
      </c>
      <c r="C105" s="33">
        <f>IFERROR(VLOOKUP(A105,HTN_targets!$D$1:$M$195,10,0),R105)</f>
        <v>0.15808849036693501</v>
      </c>
      <c r="D105" s="35">
        <v>5.9613573296743598E-2</v>
      </c>
      <c r="E105" s="1">
        <v>4927924</v>
      </c>
      <c r="F105" s="1">
        <f t="shared" si="20"/>
        <v>1318000.91945364</v>
      </c>
      <c r="G105" s="1">
        <f t="shared" si="21"/>
        <v>208360.77565865824</v>
      </c>
      <c r="H105" s="4">
        <f t="shared" si="22"/>
        <v>0.5</v>
      </c>
      <c r="I105" s="1">
        <f t="shared" si="28"/>
        <v>659000.45972682</v>
      </c>
      <c r="J105" s="9">
        <f t="shared" si="23"/>
        <v>0.20574438467137809</v>
      </c>
      <c r="K105" s="2">
        <f t="shared" si="29"/>
        <v>271171.28816929972</v>
      </c>
      <c r="L105" s="9">
        <f t="shared" si="24"/>
        <v>0.18813242373277958</v>
      </c>
      <c r="M105" s="2">
        <f t="shared" si="30"/>
        <v>247958.70745884528</v>
      </c>
      <c r="N105" s="34">
        <f>+VLOOKUP(A105,Diabetes!$G$1:$S$206,12,0)/100000</f>
        <v>4.4236006971082098E-2</v>
      </c>
      <c r="O105">
        <f t="shared" si="25"/>
        <v>0.30808849036693498</v>
      </c>
      <c r="P105" s="16">
        <v>5.5833428333333331E-2</v>
      </c>
      <c r="Q105">
        <v>0.38</v>
      </c>
      <c r="R105">
        <v>0.136748896137214</v>
      </c>
      <c r="S105" s="35">
        <v>5.9613573296743598E-2</v>
      </c>
      <c r="T105" s="40">
        <f>IFERROR(VLOOKUP(A105,HTN_targets!$R$9:$X$203,6,0),L105)</f>
        <v>0.1580884903669357</v>
      </c>
      <c r="U105">
        <f t="shared" si="31"/>
        <v>1</v>
      </c>
      <c r="V105" s="15">
        <f t="shared" si="26"/>
        <v>17962.513403663052</v>
      </c>
      <c r="W105" s="15">
        <f t="shared" si="27"/>
        <v>46642.478288675069</v>
      </c>
    </row>
    <row r="106" spans="1:23" x14ac:dyDescent="0.3">
      <c r="A106" t="s">
        <v>99</v>
      </c>
      <c r="B106" s="33">
        <f>IFERROR(VLOOKUP(A106,HTN_targets!$D$1:$M$195,3,0),Q106)</f>
        <v>0.49505848000000002</v>
      </c>
      <c r="C106" s="33">
        <f>IFERROR(VLOOKUP(A106,HTN_targets!$D$1:$M$195,10,0),R106)</f>
        <v>0.20700784027576399</v>
      </c>
      <c r="D106" s="35">
        <v>8.3048706163652106E-2</v>
      </c>
      <c r="E106" s="1">
        <v>1488664</v>
      </c>
      <c r="F106" s="1">
        <f t="shared" ref="F106:F137" si="32">+B106*E106</f>
        <v>736975.73707072006</v>
      </c>
      <c r="G106" s="1">
        <f t="shared" ref="G106:G137" si="33">+F106*C106</f>
        <v>152559.75566664906</v>
      </c>
      <c r="H106" s="4">
        <f t="shared" ref="H106:H137" si="34">+IF(C106&gt;0.5,C106,0.5)</f>
        <v>0.5</v>
      </c>
      <c r="I106" s="1">
        <f t="shared" si="28"/>
        <v>368487.86853536003</v>
      </c>
      <c r="J106" s="9">
        <f t="shared" ref="J106:J137" si="35">C106+($K$5-$G$5)</f>
        <v>0.25466373458020708</v>
      </c>
      <c r="K106" s="2">
        <f t="shared" si="29"/>
        <v>187680.99349743035</v>
      </c>
      <c r="L106" s="9">
        <f t="shared" ref="L106:L137" si="36">C106+($M$5-$G$5)</f>
        <v>0.23705177364160857</v>
      </c>
      <c r="M106" s="2">
        <f t="shared" si="30"/>
        <v>174701.40560344595</v>
      </c>
      <c r="N106" s="34">
        <f>+VLOOKUP(A106,Diabetes!$G$1:$S$206,12,0)/100000</f>
        <v>9.6314179924306006E-2</v>
      </c>
      <c r="O106">
        <f t="shared" ref="O106:O137" si="37">+C106+0.15</f>
        <v>0.35700784027576399</v>
      </c>
      <c r="P106" s="16">
        <v>4.3069799999999998E-2</v>
      </c>
      <c r="Q106">
        <v>0.48900001774818702</v>
      </c>
      <c r="R106">
        <v>0.15844036301202899</v>
      </c>
      <c r="S106" s="35">
        <v>8.3048706163652106E-2</v>
      </c>
      <c r="T106" s="40">
        <f>IFERROR(VLOOKUP(A106,HTN_targets!$R$9:$X$203,6,0),L106)</f>
        <v>0.20700784027576449</v>
      </c>
      <c r="U106">
        <f t="shared" si="31"/>
        <v>0</v>
      </c>
      <c r="V106" s="15">
        <f t="shared" ref="V106:V137" si="38">+E106*B106*N106*O106</f>
        <v>25340.849817497405</v>
      </c>
      <c r="W106" s="15">
        <f t="shared" ref="W106:W137" si="39">+E106*B106*N106*0.8</f>
        <v>56784.970992061892</v>
      </c>
    </row>
    <row r="107" spans="1:23" x14ac:dyDescent="0.3">
      <c r="A107" t="s">
        <v>100</v>
      </c>
      <c r="B107" s="33">
        <f>IFERROR(VLOOKUP(A107,HTN_targets!$D$1:$M$195,3,0),Q107)</f>
        <v>0.38412979000000003</v>
      </c>
      <c r="C107" s="33">
        <f>IFERROR(VLOOKUP(A107,HTN_targets!$D$1:$M$195,10,0),R107)</f>
        <v>0.29990574717521601</v>
      </c>
      <c r="D107" s="35">
        <v>4.6047632288943603E-2</v>
      </c>
      <c r="E107" s="1">
        <v>3921845</v>
      </c>
      <c r="F107" s="1">
        <f t="shared" si="32"/>
        <v>1506497.4962625501</v>
      </c>
      <c r="G107" s="1">
        <f t="shared" si="33"/>
        <v>451807.2572342123</v>
      </c>
      <c r="H107" s="4">
        <f t="shared" si="34"/>
        <v>0.5</v>
      </c>
      <c r="I107" s="1">
        <f t="shared" si="28"/>
        <v>753248.74813127506</v>
      </c>
      <c r="J107" s="9">
        <f t="shared" si="35"/>
        <v>0.34756164147965907</v>
      </c>
      <c r="K107" s="2">
        <f t="shared" si="29"/>
        <v>523600.74268600845</v>
      </c>
      <c r="L107" s="9">
        <f t="shared" si="36"/>
        <v>0.32994968054106055</v>
      </c>
      <c r="M107" s="2">
        <f t="shared" si="30"/>
        <v>497068.36762773595</v>
      </c>
      <c r="N107" s="34">
        <f>+VLOOKUP(A107,Diabetes!$G$1:$S$206,12,0)/100000</f>
        <v>0.141770380625444</v>
      </c>
      <c r="O107">
        <f t="shared" si="37"/>
        <v>0.44990574717521603</v>
      </c>
      <c r="P107" s="16">
        <v>5.6584589999999997E-2</v>
      </c>
      <c r="Q107">
        <v>0.42097640202708098</v>
      </c>
      <c r="R107">
        <v>0.248027910513616</v>
      </c>
      <c r="S107" s="35">
        <v>4.6047632288943603E-2</v>
      </c>
      <c r="T107" s="40">
        <f>IFERROR(VLOOKUP(A107,HTN_targets!$R$9:$X$203,6,0),L107)</f>
        <v>0.29990574717521667</v>
      </c>
      <c r="U107">
        <f t="shared" si="31"/>
        <v>1</v>
      </c>
      <c r="V107" s="15">
        <f t="shared" si="38"/>
        <v>96089.395345895202</v>
      </c>
      <c r="W107" s="15">
        <f t="shared" si="39"/>
        <v>170861.37876513612</v>
      </c>
    </row>
    <row r="108" spans="1:23" x14ac:dyDescent="0.3">
      <c r="A108" t="s">
        <v>101</v>
      </c>
      <c r="B108" s="33">
        <f>IFERROR(VLOOKUP(A108,HTN_targets!$D$1:$M$195,3,0),Q108)</f>
        <v>0.36805295999999998</v>
      </c>
      <c r="C108" s="33">
        <f>IFERROR(VLOOKUP(A108,HTN_targets!$D$1:$M$195,10,0),R108)</f>
        <v>0.20699279010295801</v>
      </c>
      <c r="D108" s="35">
        <v>7.3429800409839499E-2</v>
      </c>
      <c r="E108" s="1">
        <v>1358788</v>
      </c>
      <c r="F108" s="1">
        <f t="shared" si="32"/>
        <v>500105.94541247998</v>
      </c>
      <c r="G108" s="1">
        <f t="shared" si="33"/>
        <v>103518.32498800685</v>
      </c>
      <c r="H108" s="4">
        <f t="shared" si="34"/>
        <v>0.5</v>
      </c>
      <c r="I108" s="1">
        <f t="shared" si="28"/>
        <v>250052.97270623999</v>
      </c>
      <c r="J108" s="9">
        <f t="shared" si="35"/>
        <v>0.25464868440740107</v>
      </c>
      <c r="K108" s="2">
        <f t="shared" si="29"/>
        <v>127351.32106360757</v>
      </c>
      <c r="L108" s="9">
        <f t="shared" si="36"/>
        <v>0.23703672346880258</v>
      </c>
      <c r="M108" s="2">
        <f t="shared" si="30"/>
        <v>118543.4746878421</v>
      </c>
      <c r="N108" s="34">
        <f>+VLOOKUP(A108,Diabetes!$G$1:$S$206,12,0)/100000</f>
        <v>3.4461028859237297E-2</v>
      </c>
      <c r="O108">
        <f t="shared" si="37"/>
        <v>0.35699279010295804</v>
      </c>
      <c r="P108" s="16">
        <v>7.3307819999999996E-2</v>
      </c>
      <c r="Q108">
        <v>0.320843088867236</v>
      </c>
      <c r="R108">
        <v>0.16832970400612399</v>
      </c>
      <c r="S108" s="35">
        <v>7.3429800409839499E-2</v>
      </c>
      <c r="T108" s="40">
        <f>IFERROR(VLOOKUP(A108,HTN_targets!$R$9:$X$203,6,0),L108)</f>
        <v>0.20699279010295871</v>
      </c>
      <c r="U108">
        <f t="shared" si="31"/>
        <v>1</v>
      </c>
      <c r="V108" s="15">
        <f t="shared" si="38"/>
        <v>6152.4727975019532</v>
      </c>
      <c r="W108" s="15">
        <f t="shared" si="39"/>
        <v>13787.332334028499</v>
      </c>
    </row>
    <row r="109" spans="1:23" x14ac:dyDescent="0.3">
      <c r="A109" t="s">
        <v>102</v>
      </c>
      <c r="B109" s="33">
        <f>IFERROR(VLOOKUP(A109,HTN_targets!$D$1:$M$195,3,0),Q109)</f>
        <v>0.35361913</v>
      </c>
      <c r="C109" s="33">
        <f>IFERROR(VLOOKUP(A109,HTN_targets!$D$1:$M$195,10,0),R109)</f>
        <v>0.100597366690635</v>
      </c>
      <c r="D109" s="35">
        <v>7.4532083356758899E-2</v>
      </c>
      <c r="E109" s="1">
        <v>2960373.5</v>
      </c>
      <c r="F109" s="1">
        <f t="shared" si="32"/>
        <v>1046844.701545055</v>
      </c>
      <c r="G109" s="1">
        <f t="shared" si="33"/>
        <v>105309.82030947626</v>
      </c>
      <c r="H109" s="4">
        <f t="shared" si="34"/>
        <v>0.5</v>
      </c>
      <c r="I109" s="1">
        <f t="shared" si="28"/>
        <v>523422.35077252751</v>
      </c>
      <c r="J109" s="9">
        <f t="shared" si="35"/>
        <v>0.14825326099507807</v>
      </c>
      <c r="K109" s="2">
        <f t="shared" si="29"/>
        <v>155198.14075947367</v>
      </c>
      <c r="L109" s="9">
        <f t="shared" si="36"/>
        <v>0.13064130005647956</v>
      </c>
      <c r="M109" s="2">
        <f t="shared" si="30"/>
        <v>136761.15276708332</v>
      </c>
      <c r="N109" s="34">
        <f>+VLOOKUP(A109,Diabetes!$G$1:$S$206,12,0)/100000</f>
        <v>3.7730228394475096E-2</v>
      </c>
      <c r="O109">
        <f t="shared" si="37"/>
        <v>0.25059736669063498</v>
      </c>
      <c r="P109" s="16">
        <v>5.9961050000000002E-2</v>
      </c>
      <c r="Q109">
        <v>0.37439357996907602</v>
      </c>
      <c r="R109">
        <v>8.1646899350529795E-2</v>
      </c>
      <c r="S109" s="35">
        <v>7.4532083356758899E-2</v>
      </c>
      <c r="T109" s="40">
        <f>IFERROR(VLOOKUP(A109,HTN_targets!$R$9:$X$203,6,0),L109)</f>
        <v>0.1005973666906357</v>
      </c>
      <c r="U109">
        <f t="shared" si="31"/>
        <v>1</v>
      </c>
      <c r="V109" s="15">
        <f t="shared" si="38"/>
        <v>9898.0170248838258</v>
      </c>
      <c r="W109" s="15">
        <f t="shared" si="39"/>
        <v>31598.151746272833</v>
      </c>
    </row>
    <row r="110" spans="1:23" x14ac:dyDescent="0.3">
      <c r="A110" t="s">
        <v>103</v>
      </c>
      <c r="B110" s="33">
        <f>IFERROR(VLOOKUP(A110,HTN_targets!$D$1:$M$195,3,0),Q110)</f>
        <v>0.39092252</v>
      </c>
      <c r="C110" s="33">
        <f>IFERROR(VLOOKUP(A110,HTN_targets!$D$1:$M$195,10,0),R110)</f>
        <v>0.118205279111862</v>
      </c>
      <c r="D110" s="35">
        <v>5.7755444638987401E-2</v>
      </c>
      <c r="E110" s="1">
        <v>4904836.5</v>
      </c>
      <c r="F110" s="1">
        <f t="shared" si="32"/>
        <v>1917411.04476798</v>
      </c>
      <c r="G110" s="1">
        <f t="shared" si="33"/>
        <v>226648.107718966</v>
      </c>
      <c r="H110" s="4">
        <f t="shared" si="34"/>
        <v>0.5</v>
      </c>
      <c r="I110" s="1">
        <f t="shared" si="28"/>
        <v>958705.52238399</v>
      </c>
      <c r="J110" s="9">
        <f t="shared" si="35"/>
        <v>0.16586117341630507</v>
      </c>
      <c r="K110" s="2">
        <f t="shared" si="29"/>
        <v>318024.0458066006</v>
      </c>
      <c r="L110" s="9">
        <f t="shared" si="36"/>
        <v>0.14824921247770656</v>
      </c>
      <c r="M110" s="2">
        <f t="shared" si="30"/>
        <v>284254.67738290958</v>
      </c>
      <c r="N110" s="34">
        <f>+VLOOKUP(A110,Diabetes!$G$1:$S$206,12,0)/100000</f>
        <v>0.15329142739855101</v>
      </c>
      <c r="O110">
        <f t="shared" si="37"/>
        <v>0.26820527911186198</v>
      </c>
      <c r="P110" s="16">
        <v>6.1317110000000001E-2</v>
      </c>
      <c r="Q110">
        <v>0.459218321934107</v>
      </c>
      <c r="R110">
        <v>9.5057060001035906E-2</v>
      </c>
      <c r="S110" s="35">
        <v>5.7755444638987401E-2</v>
      </c>
      <c r="T110" s="40">
        <f>IFERROR(VLOOKUP(A110,HTN_targets!$R$9:$X$203,6,0),L110)</f>
        <v>0.1182052791118622</v>
      </c>
      <c r="U110">
        <f t="shared" si="31"/>
        <v>0</v>
      </c>
      <c r="V110" s="15">
        <f t="shared" si="38"/>
        <v>78831.613343755438</v>
      </c>
      <c r="W110" s="15">
        <f t="shared" si="39"/>
        <v>235138.14076978454</v>
      </c>
    </row>
    <row r="111" spans="1:23" x14ac:dyDescent="0.3">
      <c r="A111" t="s">
        <v>104</v>
      </c>
      <c r="B111" s="33">
        <f>IFERROR(VLOOKUP(A111,HTN_targets!$D$1:$M$195,3,0),Q111)</f>
        <v>0.54154329999999995</v>
      </c>
      <c r="C111" s="33">
        <f>IFERROR(VLOOKUP(A111,HTN_targets!$D$1:$M$195,10,0),R111)</f>
        <v>0.16224068403243999</v>
      </c>
      <c r="D111" s="35">
        <v>8.4360224651825605E-2</v>
      </c>
      <c r="E111" s="1">
        <v>2305879</v>
      </c>
      <c r="F111" s="1">
        <f t="shared" si="32"/>
        <v>1248733.3230607</v>
      </c>
      <c r="G111" s="1">
        <f t="shared" si="33"/>
        <v>202595.34850746984</v>
      </c>
      <c r="H111" s="4">
        <f t="shared" si="34"/>
        <v>0.5</v>
      </c>
      <c r="I111" s="1">
        <f t="shared" si="28"/>
        <v>624366.66153034999</v>
      </c>
      <c r="J111" s="9">
        <f t="shared" si="35"/>
        <v>0.20989657833688308</v>
      </c>
      <c r="K111" s="2">
        <f t="shared" si="29"/>
        <v>262104.85176568653</v>
      </c>
      <c r="L111" s="9">
        <f t="shared" si="36"/>
        <v>0.19228461739828456</v>
      </c>
      <c r="M111" s="2">
        <f t="shared" si="30"/>
        <v>240112.20925721517</v>
      </c>
      <c r="N111" s="34">
        <f>+VLOOKUP(A111,Diabetes!$G$1:$S$206,12,0)/100000</f>
        <v>8.0361002355541403E-2</v>
      </c>
      <c r="O111">
        <f t="shared" si="37"/>
        <v>0.31224068403243999</v>
      </c>
      <c r="P111" s="16">
        <v>4.0914909999999999E-2</v>
      </c>
      <c r="Q111">
        <v>0.53990475279634398</v>
      </c>
      <c r="R111">
        <v>0.111605774121777</v>
      </c>
      <c r="S111" s="35">
        <v>8.4360224651825605E-2</v>
      </c>
      <c r="T111" s="40">
        <f>IFERROR(VLOOKUP(A111,HTN_targets!$R$9:$X$203,6,0),L111)</f>
        <v>0.16224068403244021</v>
      </c>
      <c r="U111">
        <f t="shared" si="31"/>
        <v>0</v>
      </c>
      <c r="V111" s="15">
        <f t="shared" si="38"/>
        <v>31333.184506019104</v>
      </c>
      <c r="W111" s="15">
        <f t="shared" si="39"/>
        <v>80279.569212739167</v>
      </c>
    </row>
    <row r="112" spans="1:23" x14ac:dyDescent="0.3">
      <c r="A112" t="s">
        <v>105</v>
      </c>
      <c r="B112" s="33">
        <f>IFERROR(VLOOKUP(A112,HTN_targets!$D$1:$M$195,3,0),Q112)</f>
        <v>0.31190825</v>
      </c>
      <c r="C112" s="33">
        <f>IFERROR(VLOOKUP(A112,HTN_targets!$D$1:$M$195,10,0),R112)</f>
        <v>0.34325638413429199</v>
      </c>
      <c r="D112" s="35">
        <v>5.5899048124928102E-2</v>
      </c>
      <c r="E112" s="1">
        <v>544701.5</v>
      </c>
      <c r="F112" s="1">
        <f t="shared" si="32"/>
        <v>169896.891637375</v>
      </c>
      <c r="G112" s="1">
        <f t="shared" si="33"/>
        <v>58318.192699100975</v>
      </c>
      <c r="H112" s="4">
        <f t="shared" si="34"/>
        <v>0.5</v>
      </c>
      <c r="I112" s="1">
        <f t="shared" si="28"/>
        <v>84948.445818687498</v>
      </c>
      <c r="J112" s="9">
        <f t="shared" si="35"/>
        <v>0.39091227843873511</v>
      </c>
      <c r="K112" s="2">
        <f t="shared" si="29"/>
        <v>66414.781009625134</v>
      </c>
      <c r="L112" s="9">
        <f t="shared" si="36"/>
        <v>0.37330031750013659</v>
      </c>
      <c r="M112" s="2">
        <f t="shared" si="30"/>
        <v>63422.563590518388</v>
      </c>
      <c r="N112" s="34">
        <f>+VLOOKUP(A112,Diabetes!$G$1:$S$206,12,0)/100000</f>
        <v>5.5162733291416098E-2</v>
      </c>
      <c r="O112">
        <f t="shared" si="37"/>
        <v>0.49325638413429196</v>
      </c>
      <c r="P112" s="16">
        <v>7.1262549999999994E-2</v>
      </c>
      <c r="Q112">
        <v>0.36562369407047801</v>
      </c>
      <c r="R112">
        <v>0.276884140626173</v>
      </c>
      <c r="S112" s="35">
        <v>5.5899048124928102E-2</v>
      </c>
      <c r="T112" s="40">
        <f>IFERROR(VLOOKUP(A112,HTN_targets!$R$9:$X$203,6,0),L112)</f>
        <v>0.3432563841342926</v>
      </c>
      <c r="U112">
        <f t="shared" si="31"/>
        <v>1</v>
      </c>
      <c r="V112" s="15">
        <f t="shared" si="38"/>
        <v>4622.7874479628872</v>
      </c>
      <c r="W112" s="15">
        <f t="shared" si="39"/>
        <v>7497.5815363465117</v>
      </c>
    </row>
    <row r="113" spans="1:23" x14ac:dyDescent="0.3">
      <c r="A113" t="s">
        <v>106</v>
      </c>
      <c r="B113" s="33">
        <f>IFERROR(VLOOKUP(A113,HTN_targets!$D$1:$M$195,3,0),Q113)</f>
        <v>0.32510453</v>
      </c>
      <c r="C113" s="33">
        <f>IFERROR(VLOOKUP(A113,HTN_targets!$D$1:$M$195,10,0),R113)</f>
        <v>7.8177966177463504E-2</v>
      </c>
      <c r="D113" s="35">
        <v>7.40377282193177E-2</v>
      </c>
      <c r="E113" s="1">
        <v>17163279</v>
      </c>
      <c r="F113" s="1">
        <f t="shared" si="32"/>
        <v>5579859.75255387</v>
      </c>
      <c r="G113" s="1">
        <f t="shared" si="33"/>
        <v>436222.08701014629</v>
      </c>
      <c r="H113" s="4">
        <f t="shared" si="34"/>
        <v>0.5</v>
      </c>
      <c r="I113" s="1">
        <f t="shared" si="28"/>
        <v>2789929.876276935</v>
      </c>
      <c r="J113" s="9">
        <f t="shared" si="35"/>
        <v>0.12583386048190659</v>
      </c>
      <c r="K113" s="2">
        <f t="shared" si="29"/>
        <v>702135.29361146945</v>
      </c>
      <c r="L113" s="9">
        <f t="shared" si="36"/>
        <v>0.10822189954330808</v>
      </c>
      <c r="M113" s="2">
        <f t="shared" si="30"/>
        <v>603863.02160663274</v>
      </c>
      <c r="N113" s="34">
        <f>+VLOOKUP(A113,Diabetes!$G$1:$S$206,12,0)/100000</f>
        <v>1.7870773767111599E-2</v>
      </c>
      <c r="O113">
        <f t="shared" si="37"/>
        <v>0.2281779661774635</v>
      </c>
      <c r="P113" s="16">
        <v>4.8618660000000001E-2</v>
      </c>
      <c r="Q113">
        <v>0.347460621470769</v>
      </c>
      <c r="R113">
        <v>6.1608741196133E-2</v>
      </c>
      <c r="S113" s="35">
        <v>7.40377282193177E-2</v>
      </c>
      <c r="T113" s="40">
        <f>IFERROR(VLOOKUP(A113,HTN_targets!$R$9:$X$203,6,0),L113)</f>
        <v>7.8177966177463531E-2</v>
      </c>
      <c r="U113">
        <f t="shared" si="31"/>
        <v>0</v>
      </c>
      <c r="V113" s="15">
        <f t="shared" si="38"/>
        <v>22753.087922690822</v>
      </c>
      <c r="W113" s="15">
        <f t="shared" si="39"/>
        <v>79773.129032081226</v>
      </c>
    </row>
    <row r="114" spans="1:23" x14ac:dyDescent="0.3">
      <c r="A114" t="s">
        <v>107</v>
      </c>
      <c r="B114" s="33">
        <f>IFERROR(VLOOKUP(A114,HTN_targets!$D$1:$M$195,3,0),Q114)</f>
        <v>0.21258215999999999</v>
      </c>
      <c r="C114" s="33">
        <f>IFERROR(VLOOKUP(A114,HTN_targets!$D$1:$M$195,10,0),R114)</f>
        <v>0.121794283390045</v>
      </c>
      <c r="D114" s="35">
        <v>7.5841181140957406E-2</v>
      </c>
      <c r="E114" s="1">
        <v>11164033</v>
      </c>
      <c r="F114" s="1">
        <f t="shared" si="32"/>
        <v>2373274.2494512801</v>
      </c>
      <c r="G114" s="1">
        <f t="shared" si="33"/>
        <v>289051.23649996554</v>
      </c>
      <c r="H114" s="4">
        <f t="shared" si="34"/>
        <v>0.5</v>
      </c>
      <c r="I114" s="1">
        <f t="shared" si="28"/>
        <v>1186637.1247256401</v>
      </c>
      <c r="J114" s="9">
        <f t="shared" si="35"/>
        <v>0.16945017769448809</v>
      </c>
      <c r="K114" s="2">
        <f t="shared" si="29"/>
        <v>402151.74328727229</v>
      </c>
      <c r="L114" s="9">
        <f t="shared" si="36"/>
        <v>0.15183821675588957</v>
      </c>
      <c r="M114" s="2">
        <f t="shared" si="30"/>
        <v>360353.72990935459</v>
      </c>
      <c r="N114" s="34">
        <f>+VLOOKUP(A114,Diabetes!$G$1:$S$206,12,0)/100000</f>
        <v>1.44177987284881E-2</v>
      </c>
      <c r="O114">
        <f t="shared" si="37"/>
        <v>0.27179428339004497</v>
      </c>
      <c r="P114" s="16">
        <v>5.6661400000000001E-2</v>
      </c>
      <c r="Q114">
        <v>0.26817385164226798</v>
      </c>
      <c r="R114">
        <v>9.2810063515609706E-2</v>
      </c>
      <c r="S114" s="35">
        <v>7.5841181140957406E-2</v>
      </c>
      <c r="T114" s="40">
        <f>IFERROR(VLOOKUP(A114,HTN_targets!$R$9:$X$203,6,0),L114)</f>
        <v>0.12179428339004519</v>
      </c>
      <c r="U114">
        <f t="shared" si="31"/>
        <v>0</v>
      </c>
      <c r="V114" s="15">
        <f t="shared" si="38"/>
        <v>9300.0911184909473</v>
      </c>
      <c r="W114" s="15">
        <f t="shared" si="39"/>
        <v>27373.912364873773</v>
      </c>
    </row>
    <row r="115" spans="1:23" x14ac:dyDescent="0.3">
      <c r="A115" t="s">
        <v>108</v>
      </c>
      <c r="B115" s="33">
        <f>IFERROR(VLOOKUP(A115,HTN_targets!$D$1:$M$195,3,0),Q115)</f>
        <v>0.39396252999999998</v>
      </c>
      <c r="C115" s="33">
        <f>IFERROR(VLOOKUP(A115,HTN_targets!$D$1:$M$195,10,0),R115)</f>
        <v>0.212423935532569</v>
      </c>
      <c r="D115" s="35">
        <v>5.7451796601942502E-2</v>
      </c>
      <c r="E115" s="1">
        <v>26099495</v>
      </c>
      <c r="F115" s="1">
        <f t="shared" si="32"/>
        <v>10282223.081922349</v>
      </c>
      <c r="G115" s="1">
        <f t="shared" si="33"/>
        <v>2184190.293085766</v>
      </c>
      <c r="H115" s="4">
        <f t="shared" si="34"/>
        <v>0.5</v>
      </c>
      <c r="I115" s="1">
        <f t="shared" si="28"/>
        <v>5141111.5409611743</v>
      </c>
      <c r="J115" s="9">
        <f t="shared" si="35"/>
        <v>0.26007982983701206</v>
      </c>
      <c r="K115" s="2">
        <f t="shared" si="29"/>
        <v>2674198.829492562</v>
      </c>
      <c r="L115" s="9">
        <f t="shared" si="36"/>
        <v>0.24246786889841357</v>
      </c>
      <c r="M115" s="2">
        <f t="shared" si="30"/>
        <v>2493108.7182117901</v>
      </c>
      <c r="N115" s="34">
        <f>+VLOOKUP(A115,Diabetes!$G$1:$S$206,12,0)/100000</f>
        <v>8.5710956759026E-2</v>
      </c>
      <c r="O115">
        <f t="shared" si="37"/>
        <v>0.36242393553256902</v>
      </c>
      <c r="P115" s="16">
        <v>7.4008760000000007E-2</v>
      </c>
      <c r="Q115">
        <v>0.40522032902765498</v>
      </c>
      <c r="R115">
        <v>0.19520002299540701</v>
      </c>
      <c r="S115" s="35">
        <v>5.7451796601942502E-2</v>
      </c>
      <c r="T115" s="40">
        <f>IFERROR(VLOOKUP(A115,HTN_targets!$R$9:$X$203,6,0),L115)</f>
        <v>0.21242393553256991</v>
      </c>
      <c r="U115">
        <f t="shared" si="31"/>
        <v>1</v>
      </c>
      <c r="V115" s="15">
        <f t="shared" si="38"/>
        <v>319403.91645835427</v>
      </c>
      <c r="W115" s="15">
        <f t="shared" si="39"/>
        <v>705039.34236904443</v>
      </c>
    </row>
    <row r="116" spans="1:23" x14ac:dyDescent="0.3">
      <c r="A116" t="s">
        <v>109</v>
      </c>
      <c r="B116" s="33">
        <f>IFERROR(VLOOKUP(A116,HTN_targets!$D$1:$M$195,3,0),Q116)</f>
        <v>0.27364992999999999</v>
      </c>
      <c r="C116" s="33">
        <f>IFERROR(VLOOKUP(A116,HTN_targets!$D$1:$M$195,10,0),R116)</f>
        <v>0.14872345328330899</v>
      </c>
      <c r="D116" s="35">
        <v>7.0738407867808106E-2</v>
      </c>
      <c r="E116" s="1">
        <v>400213.5</v>
      </c>
      <c r="F116" s="1">
        <f t="shared" si="32"/>
        <v>109518.396260055</v>
      </c>
      <c r="G116" s="1">
        <f t="shared" si="33"/>
        <v>16287.954089845212</v>
      </c>
      <c r="H116" s="4">
        <f t="shared" si="34"/>
        <v>0.5</v>
      </c>
      <c r="I116" s="1">
        <f t="shared" si="28"/>
        <v>54759.1981300275</v>
      </c>
      <c r="J116" s="9">
        <f t="shared" si="35"/>
        <v>0.19637934758775208</v>
      </c>
      <c r="K116" s="2">
        <f t="shared" si="29"/>
        <v>21507.15120640651</v>
      </c>
      <c r="L116" s="9">
        <f t="shared" si="36"/>
        <v>0.17876738664915356</v>
      </c>
      <c r="M116" s="2">
        <f t="shared" si="30"/>
        <v>19578.317489416466</v>
      </c>
      <c r="N116" s="34">
        <f>+VLOOKUP(A116,Diabetes!$G$1:$S$206,12,0)/100000</f>
        <v>4.9863793272884108E-2</v>
      </c>
      <c r="O116">
        <f t="shared" si="37"/>
        <v>0.29872345328330896</v>
      </c>
      <c r="P116" s="16">
        <v>6.3807500000000003E-2</v>
      </c>
      <c r="Q116">
        <v>0.32591478470798602</v>
      </c>
      <c r="R116">
        <v>0.14170906023917401</v>
      </c>
      <c r="S116" s="35">
        <v>7.0738407867808106E-2</v>
      </c>
      <c r="T116" s="40">
        <f>IFERROR(VLOOKUP(A116,HTN_targets!$R$9:$X$203,6,0),L116)</f>
        <v>0.14872345328330991</v>
      </c>
      <c r="U116">
        <f t="shared" si="31"/>
        <v>1</v>
      </c>
      <c r="V116" s="15">
        <f t="shared" si="38"/>
        <v>1631.3295761776467</v>
      </c>
      <c r="W116" s="15">
        <f t="shared" si="39"/>
        <v>4368.8021365513496</v>
      </c>
    </row>
    <row r="117" spans="1:23" x14ac:dyDescent="0.3">
      <c r="A117" t="s">
        <v>110</v>
      </c>
      <c r="B117" s="33">
        <f>IFERROR(VLOOKUP(A117,HTN_targets!$D$1:$M$195,3,0),Q117)</f>
        <v>0.30016437000000001</v>
      </c>
      <c r="C117" s="33">
        <f>IFERROR(VLOOKUP(A117,HTN_targets!$D$1:$M$195,10,0),R117)</f>
        <v>0.16306416690349501</v>
      </c>
      <c r="D117" s="35">
        <v>9.4826500542386699E-2</v>
      </c>
      <c r="E117" s="1">
        <v>11314917.5</v>
      </c>
      <c r="F117" s="1">
        <f t="shared" si="32"/>
        <v>3396335.0829894752</v>
      </c>
      <c r="G117" s="1">
        <f t="shared" si="33"/>
        <v>553820.55083279137</v>
      </c>
      <c r="H117" s="4">
        <f t="shared" si="34"/>
        <v>0.5</v>
      </c>
      <c r="I117" s="1">
        <f t="shared" si="28"/>
        <v>1698167.5414947376</v>
      </c>
      <c r="J117" s="9">
        <f t="shared" si="35"/>
        <v>0.2107200612079381</v>
      </c>
      <c r="K117" s="2">
        <f t="shared" si="29"/>
        <v>715675.93657020968</v>
      </c>
      <c r="L117" s="9">
        <f t="shared" si="36"/>
        <v>0.19310810026933958</v>
      </c>
      <c r="M117" s="2">
        <f t="shared" si="30"/>
        <v>655859.81575420732</v>
      </c>
      <c r="N117" s="34">
        <f>+VLOOKUP(A117,Diabetes!$G$1:$S$206,12,0)/100000</f>
        <v>4.6571517015672595E-2</v>
      </c>
      <c r="O117">
        <f t="shared" si="37"/>
        <v>0.31306416690349503</v>
      </c>
      <c r="P117" s="16">
        <v>5.3967330000000001E-2</v>
      </c>
      <c r="Q117">
        <v>0.30455725359071301</v>
      </c>
      <c r="R117">
        <v>0.13591837973261001</v>
      </c>
      <c r="S117" s="35">
        <v>9.4826500542386699E-2</v>
      </c>
      <c r="T117" s="40">
        <f>IFERROR(VLOOKUP(A117,HTN_targets!$R$9:$X$203,6,0),L117)</f>
        <v>0.16306416690349579</v>
      </c>
      <c r="U117">
        <f t="shared" si="31"/>
        <v>1</v>
      </c>
      <c r="V117" s="15">
        <f t="shared" si="38"/>
        <v>49518.134772994032</v>
      </c>
      <c r="W117" s="15">
        <f t="shared" si="39"/>
        <v>126537.98168669612</v>
      </c>
    </row>
    <row r="118" spans="1:23" x14ac:dyDescent="0.3">
      <c r="A118" t="s">
        <v>111</v>
      </c>
      <c r="B118" s="33">
        <f>IFERROR(VLOOKUP(A118,HTN_targets!$D$1:$M$195,3,0),Q118)</f>
        <v>0.35987327000000002</v>
      </c>
      <c r="C118" s="33">
        <f>IFERROR(VLOOKUP(A118,HTN_targets!$D$1:$M$195,10,0),R118)</f>
        <v>0.50733453035354603</v>
      </c>
      <c r="D118" s="35">
        <v>4.7658925351869399E-2</v>
      </c>
      <c r="E118" s="1">
        <v>456237.5</v>
      </c>
      <c r="F118" s="1">
        <f t="shared" si="32"/>
        <v>164187.681021625</v>
      </c>
      <c r="G118" s="1">
        <f t="shared" si="33"/>
        <v>83298.08004094394</v>
      </c>
      <c r="H118" s="4">
        <f t="shared" si="34"/>
        <v>0.50733453035354603</v>
      </c>
      <c r="I118" s="1">
        <f t="shared" si="28"/>
        <v>83298.08004094394</v>
      </c>
      <c r="J118" s="9">
        <f t="shared" si="35"/>
        <v>0.55499042465798909</v>
      </c>
      <c r="K118" s="2">
        <f t="shared" si="29"/>
        <v>91122.590813802119</v>
      </c>
      <c r="L118" s="9">
        <f t="shared" si="36"/>
        <v>0.53737846371939058</v>
      </c>
      <c r="M118" s="2">
        <f t="shared" si="30"/>
        <v>88230.923789050183</v>
      </c>
      <c r="N118" s="34">
        <f>+VLOOKUP(A118,Diabetes!$G$1:$S$206,12,0)/100000</f>
        <v>7.0038839059532704E-2</v>
      </c>
      <c r="O118">
        <f t="shared" si="37"/>
        <v>0.65733453035354605</v>
      </c>
      <c r="P118" s="16">
        <v>7.8570219999999996E-2</v>
      </c>
      <c r="Q118">
        <v>0.340534239111696</v>
      </c>
      <c r="R118">
        <v>0.43460145774458397</v>
      </c>
      <c r="S118" s="35">
        <v>4.7658925351869399E-2</v>
      </c>
      <c r="T118" s="40">
        <f>IFERROR(VLOOKUP(A118,HTN_targets!$R$9:$X$203,6,0),L118)</f>
        <v>0.50733453035354614</v>
      </c>
      <c r="U118">
        <f t="shared" si="31"/>
        <v>0</v>
      </c>
      <c r="V118" s="15">
        <f t="shared" si="38"/>
        <v>7559.0280069504697</v>
      </c>
      <c r="W118" s="15">
        <f t="shared" si="39"/>
        <v>9199.6116533051882</v>
      </c>
    </row>
    <row r="119" spans="1:23" x14ac:dyDescent="0.3">
      <c r="A119" t="s">
        <v>112</v>
      </c>
      <c r="B119" s="33">
        <f>IFERROR(VLOOKUP(A119,HTN_targets!$D$1:$M$195,3,0),Q119)</f>
        <v>0.32036024000000002</v>
      </c>
      <c r="C119" s="33">
        <f>IFERROR(VLOOKUP(A119,HTN_targets!$D$1:$M$195,10,0),R119)</f>
        <v>0.15117688477039301</v>
      </c>
      <c r="D119" s="35">
        <v>4.9895196667574603E-2</v>
      </c>
      <c r="E119" s="1">
        <v>20192.5</v>
      </c>
      <c r="F119" s="1">
        <f t="shared" si="32"/>
        <v>6468.8741462000007</v>
      </c>
      <c r="G119" s="1">
        <f t="shared" si="33"/>
        <v>977.944241394252</v>
      </c>
      <c r="H119" s="4">
        <f t="shared" si="34"/>
        <v>0.5</v>
      </c>
      <c r="I119" s="1">
        <f t="shared" si="28"/>
        <v>3234.4370731000004</v>
      </c>
      <c r="J119" s="9">
        <f t="shared" si="35"/>
        <v>0.1988327790748361</v>
      </c>
      <c r="K119" s="2">
        <f t="shared" si="29"/>
        <v>1286.2242239743036</v>
      </c>
      <c r="L119" s="9">
        <f t="shared" si="36"/>
        <v>0.18122081813623758</v>
      </c>
      <c r="M119" s="2">
        <f t="shared" si="30"/>
        <v>1172.2946651947195</v>
      </c>
      <c r="N119" s="34">
        <f>+VLOOKUP(A119,Diabetes!$G$1:$S$206,12,0)/100000</f>
        <v>0.159080528614403</v>
      </c>
      <c r="O119">
        <f t="shared" si="37"/>
        <v>0.30117688477039301</v>
      </c>
      <c r="P119" s="16">
        <v>5.5833428333333331E-2</v>
      </c>
      <c r="Q119">
        <v>0.307685548177834</v>
      </c>
      <c r="R119">
        <v>0.13200795704851001</v>
      </c>
      <c r="S119" s="35">
        <v>4.9895196667574603E-2</v>
      </c>
      <c r="T119" s="40">
        <f>IFERROR(VLOOKUP(A119,HTN_targets!$R$9:$X$203,6,0),L119)</f>
        <v>0.1511768847703934</v>
      </c>
      <c r="U119">
        <f t="shared" si="31"/>
        <v>0</v>
      </c>
      <c r="V119" s="15">
        <f t="shared" si="38"/>
        <v>309.93267468404008</v>
      </c>
      <c r="W119" s="15">
        <f t="shared" si="39"/>
        <v>823.25753497403275</v>
      </c>
    </row>
    <row r="120" spans="1:23" x14ac:dyDescent="0.3">
      <c r="A120" t="s">
        <v>113</v>
      </c>
      <c r="B120" s="33">
        <f>IFERROR(VLOOKUP(A120,HTN_targets!$D$1:$M$195,3,0),Q120)</f>
        <v>0.33440322</v>
      </c>
      <c r="C120" s="33">
        <f>IFERROR(VLOOKUP(A120,HTN_targets!$D$1:$M$195,10,0),R120)</f>
        <v>0.125087410211563</v>
      </c>
      <c r="D120" s="35">
        <v>8.9730432817595601E-2</v>
      </c>
      <c r="E120" s="1">
        <v>2589460.5</v>
      </c>
      <c r="F120" s="1">
        <f t="shared" si="32"/>
        <v>865923.92926281004</v>
      </c>
      <c r="G120" s="1">
        <f t="shared" si="33"/>
        <v>108316.18175170558</v>
      </c>
      <c r="H120" s="4">
        <f t="shared" si="34"/>
        <v>0.5</v>
      </c>
      <c r="I120" s="1">
        <f t="shared" si="28"/>
        <v>432961.96463140502</v>
      </c>
      <c r="J120" s="9">
        <f t="shared" si="35"/>
        <v>0.17274330451600609</v>
      </c>
      <c r="K120" s="2">
        <f t="shared" si="29"/>
        <v>149582.5610003421</v>
      </c>
      <c r="L120" s="9">
        <f t="shared" si="36"/>
        <v>0.15513134357740757</v>
      </c>
      <c r="M120" s="2">
        <f t="shared" si="30"/>
        <v>134331.94258236774</v>
      </c>
      <c r="N120" s="34">
        <f>+VLOOKUP(A120,Diabetes!$G$1:$S$206,12,0)/100000</f>
        <v>4.1511499641393501E-2</v>
      </c>
      <c r="O120">
        <f t="shared" si="37"/>
        <v>0.27508741021156302</v>
      </c>
      <c r="P120" s="16">
        <v>5.9814390000000002E-2</v>
      </c>
      <c r="Q120">
        <v>0.35929454971625302</v>
      </c>
      <c r="R120">
        <v>0.102495667882341</v>
      </c>
      <c r="S120" s="35">
        <v>8.9730432817595601E-2</v>
      </c>
      <c r="T120" s="40">
        <f>IFERROR(VLOOKUP(A120,HTN_targets!$R$9:$X$203,6,0),L120)</f>
        <v>0.12508741021156311</v>
      </c>
      <c r="U120">
        <f t="shared" si="31"/>
        <v>0</v>
      </c>
      <c r="V120" s="15">
        <f t="shared" si="38"/>
        <v>9888.2372718031183</v>
      </c>
      <c r="W120" s="15">
        <f t="shared" si="39"/>
        <v>28756.640703253754</v>
      </c>
    </row>
    <row r="121" spans="1:23" x14ac:dyDescent="0.3">
      <c r="A121" t="s">
        <v>114</v>
      </c>
      <c r="B121" s="33">
        <f>IFERROR(VLOOKUP(A121,HTN_targets!$D$1:$M$195,3,0),Q121)</f>
        <v>0.35714119999999999</v>
      </c>
      <c r="C121" s="33">
        <f>IFERROR(VLOOKUP(A121,HTN_targets!$D$1:$M$195,10,0),R121)</f>
        <v>0.41019770503044101</v>
      </c>
      <c r="D121" s="35">
        <v>6.1622896740202E-2</v>
      </c>
      <c r="E121" s="1">
        <v>1020510</v>
      </c>
      <c r="F121" s="1">
        <f t="shared" si="32"/>
        <v>364466.166012</v>
      </c>
      <c r="G121" s="1">
        <f t="shared" si="33"/>
        <v>149503.18485936613</v>
      </c>
      <c r="H121" s="4">
        <f t="shared" si="34"/>
        <v>0.5</v>
      </c>
      <c r="I121" s="1">
        <f t="shared" si="28"/>
        <v>182233.083006</v>
      </c>
      <c r="J121" s="9">
        <f t="shared" si="35"/>
        <v>0.45785359933488412</v>
      </c>
      <c r="K121" s="2">
        <f t="shared" si="29"/>
        <v>166872.14594437962</v>
      </c>
      <c r="L121" s="9">
        <f t="shared" si="36"/>
        <v>0.44024163839628561</v>
      </c>
      <c r="M121" s="2">
        <f t="shared" si="30"/>
        <v>160453.18206513551</v>
      </c>
      <c r="N121" s="34">
        <f>+VLOOKUP(A121,Diabetes!$G$1:$S$206,12,0)/100000</f>
        <v>0.19897802459795902</v>
      </c>
      <c r="O121">
        <f t="shared" si="37"/>
        <v>0.56019770503044097</v>
      </c>
      <c r="P121" s="16">
        <v>9.5249210000000001E-2</v>
      </c>
      <c r="Q121">
        <v>0.34199032195198897</v>
      </c>
      <c r="R121">
        <v>0.326189316196695</v>
      </c>
      <c r="S121" s="35">
        <v>6.1622896740202E-2</v>
      </c>
      <c r="T121" s="40">
        <f>IFERROR(VLOOKUP(A121,HTN_targets!$R$9:$X$203,6,0),L121)</f>
        <v>0.41019770503044128</v>
      </c>
      <c r="U121">
        <f t="shared" si="31"/>
        <v>0</v>
      </c>
      <c r="V121" s="15">
        <f t="shared" si="38"/>
        <v>40625.962056299097</v>
      </c>
      <c r="W121" s="15">
        <f t="shared" si="39"/>
        <v>58016.606196687644</v>
      </c>
    </row>
    <row r="122" spans="1:23" x14ac:dyDescent="0.3">
      <c r="A122" t="s">
        <v>115</v>
      </c>
      <c r="B122" s="33">
        <f>IFERROR(VLOOKUP(A122,HTN_targets!$D$1:$M$195,3,0),Q122)</f>
        <v>0.30612275</v>
      </c>
      <c r="C122" s="33">
        <f>IFERROR(VLOOKUP(A122,HTN_targets!$D$1:$M$195,10,0),R122)</f>
        <v>0.31790950894355702</v>
      </c>
      <c r="D122" s="35">
        <v>4.5718424242264202E-2</v>
      </c>
      <c r="E122" s="1">
        <v>91233701</v>
      </c>
      <c r="F122" s="1">
        <f t="shared" si="32"/>
        <v>27928711.44279775</v>
      </c>
      <c r="G122" s="1">
        <f t="shared" si="33"/>
        <v>8878802.9402061347</v>
      </c>
      <c r="H122" s="4">
        <f t="shared" si="34"/>
        <v>0.5</v>
      </c>
      <c r="I122" s="1">
        <f t="shared" si="28"/>
        <v>13964355.721398875</v>
      </c>
      <c r="J122" s="9">
        <f t="shared" si="35"/>
        <v>0.36556540324800013</v>
      </c>
      <c r="K122" s="2">
        <f t="shared" si="29"/>
        <v>10209770.660783395</v>
      </c>
      <c r="L122" s="9">
        <f t="shared" si="36"/>
        <v>0.34795344230940162</v>
      </c>
      <c r="M122" s="2">
        <f t="shared" si="30"/>
        <v>9717891.285787452</v>
      </c>
      <c r="N122" s="34">
        <f>+VLOOKUP(A122,Diabetes!$G$1:$S$206,12,0)/100000</f>
        <v>0.13631138787588298</v>
      </c>
      <c r="O122">
        <f t="shared" si="37"/>
        <v>0.46790950894355698</v>
      </c>
      <c r="P122" s="16">
        <v>6.9489659999999995E-2</v>
      </c>
      <c r="Q122">
        <v>0.327559536597056</v>
      </c>
      <c r="R122">
        <v>0.241534623810025</v>
      </c>
      <c r="S122" s="35">
        <v>4.5718424242264202E-2</v>
      </c>
      <c r="T122" s="40">
        <f>IFERROR(VLOOKUP(A122,HTN_targets!$R$9:$X$203,6,0),L122)</f>
        <v>0.31790950894355768</v>
      </c>
      <c r="U122">
        <f t="shared" si="31"/>
        <v>1</v>
      </c>
      <c r="V122" s="15">
        <f t="shared" si="38"/>
        <v>1781332.1642088909</v>
      </c>
      <c r="W122" s="15">
        <f t="shared" si="39"/>
        <v>3045601.134682253</v>
      </c>
    </row>
    <row r="123" spans="1:23" x14ac:dyDescent="0.3">
      <c r="A123" t="s">
        <v>116</v>
      </c>
      <c r="B123" s="33">
        <f>IFERROR(VLOOKUP(A123,HTN_targets!$D$1:$M$195,3,0),Q123)</f>
        <v>0.32580224000000002</v>
      </c>
      <c r="C123" s="33">
        <f>IFERROR(VLOOKUP(A123,HTN_targets!$D$1:$M$195,10,0),R123)</f>
        <v>0.152863353490829</v>
      </c>
      <c r="D123" s="35">
        <v>6.1093584497338503E-2</v>
      </c>
      <c r="E123" s="1">
        <v>68476.5</v>
      </c>
      <c r="F123" s="1">
        <f t="shared" si="32"/>
        <v>22309.797087360002</v>
      </c>
      <c r="G123" s="1">
        <f t="shared" si="33"/>
        <v>3410.350398473779</v>
      </c>
      <c r="H123" s="4">
        <f t="shared" si="34"/>
        <v>0.5</v>
      </c>
      <c r="I123" s="1">
        <f t="shared" si="28"/>
        <v>11154.898543680001</v>
      </c>
      <c r="J123" s="9">
        <f t="shared" si="35"/>
        <v>0.20051924779527208</v>
      </c>
      <c r="K123" s="2">
        <f t="shared" si="29"/>
        <v>4473.5437304225798</v>
      </c>
      <c r="L123" s="9">
        <f t="shared" si="36"/>
        <v>0.18290728685667357</v>
      </c>
      <c r="M123" s="2">
        <f t="shared" si="30"/>
        <v>4080.6244555719363</v>
      </c>
      <c r="N123" s="34">
        <f>+VLOOKUP(A123,Diabetes!$G$1:$S$206,12,0)/100000</f>
        <v>0.18564371051169898</v>
      </c>
      <c r="O123">
        <f t="shared" si="37"/>
        <v>0.30286335349082899</v>
      </c>
      <c r="P123" s="16">
        <v>5.5833428333333331E-2</v>
      </c>
      <c r="Q123">
        <v>0.31677265127592102</v>
      </c>
      <c r="R123">
        <v>0.12683515225132899</v>
      </c>
      <c r="S123" s="35">
        <v>6.1093584497338503E-2</v>
      </c>
      <c r="T123" s="40">
        <f>IFERROR(VLOOKUP(A123,HTN_targets!$R$9:$X$203,6,0),L123)</f>
        <v>0.1528633534908295</v>
      </c>
      <c r="U123">
        <f t="shared" si="31"/>
        <v>0</v>
      </c>
      <c r="V123" s="15">
        <f t="shared" si="38"/>
        <v>1254.3611289268142</v>
      </c>
      <c r="W123" s="15">
        <f t="shared" si="39"/>
        <v>3313.3388096484846</v>
      </c>
    </row>
    <row r="124" spans="1:23" x14ac:dyDescent="0.3">
      <c r="A124" t="s">
        <v>117</v>
      </c>
      <c r="B124" s="33">
        <f>IFERROR(VLOOKUP(A124,HTN_targets!$D$1:$M$195,3,0),Q124)</f>
        <v>0.38901550000000001</v>
      </c>
      <c r="C124" s="33">
        <f>IFERROR(VLOOKUP(A124,HTN_targets!$D$1:$M$195,10,0),R124)</f>
        <v>0.28361913561820901</v>
      </c>
      <c r="D124" s="35">
        <v>8.0006493934931699E-2</v>
      </c>
      <c r="E124" s="1">
        <v>2159923.5</v>
      </c>
      <c r="F124" s="1">
        <f t="shared" si="32"/>
        <v>840243.72031424998</v>
      </c>
      <c r="G124" s="1">
        <f t="shared" si="33"/>
        <v>238309.19766415574</v>
      </c>
      <c r="H124" s="4">
        <f t="shared" si="34"/>
        <v>0.5</v>
      </c>
      <c r="I124" s="1">
        <f t="shared" si="28"/>
        <v>420121.86015712499</v>
      </c>
      <c r="J124" s="9">
        <f t="shared" si="35"/>
        <v>0.33127502992265212</v>
      </c>
      <c r="K124" s="2">
        <f t="shared" si="29"/>
        <v>278351.76358942367</v>
      </c>
      <c r="L124" s="9">
        <f t="shared" si="36"/>
        <v>0.31366306898405361</v>
      </c>
      <c r="M124" s="2">
        <f t="shared" si="30"/>
        <v>263553.42400834645</v>
      </c>
      <c r="N124" s="34">
        <f>+VLOOKUP(A124,Diabetes!$G$1:$S$206,12,0)/100000</f>
        <v>4.2535842067648599E-2</v>
      </c>
      <c r="O124">
        <f t="shared" si="37"/>
        <v>0.43361913561820897</v>
      </c>
      <c r="P124" s="16">
        <v>4.1033199999999999E-2</v>
      </c>
      <c r="Q124">
        <v>0.449713940331191</v>
      </c>
      <c r="R124">
        <v>0.22350784406288601</v>
      </c>
      <c r="S124" s="35">
        <v>8.0006493934931699E-2</v>
      </c>
      <c r="T124" s="40">
        <f>IFERROR(VLOOKUP(A124,HTN_targets!$R$9:$X$203,6,0),L124)</f>
        <v>0.28361913561820978</v>
      </c>
      <c r="U124">
        <f t="shared" si="31"/>
        <v>1</v>
      </c>
      <c r="V124" s="15">
        <f t="shared" si="38"/>
        <v>15497.753522953644</v>
      </c>
      <c r="W124" s="15">
        <f t="shared" si="39"/>
        <v>28592.37934849635</v>
      </c>
    </row>
    <row r="125" spans="1:23" x14ac:dyDescent="0.3">
      <c r="A125" t="s">
        <v>118</v>
      </c>
      <c r="B125" s="33">
        <f>IFERROR(VLOOKUP(A125,HTN_targets!$D$1:$M$195,3,0),Q125)</f>
        <v>0.51402223000000002</v>
      </c>
      <c r="C125" s="33">
        <f>IFERROR(VLOOKUP(A125,HTN_targets!$D$1:$M$195,10,0),R125)</f>
        <v>0.269651859998703</v>
      </c>
      <c r="D125" s="35">
        <v>8.0808054059401696E-2</v>
      </c>
      <c r="E125" s="1">
        <v>487107</v>
      </c>
      <c r="F125" s="1">
        <f t="shared" si="32"/>
        <v>250383.82638861</v>
      </c>
      <c r="G125" s="1">
        <f t="shared" si="33"/>
        <v>67516.464499281021</v>
      </c>
      <c r="H125" s="4">
        <f t="shared" si="34"/>
        <v>0.5</v>
      </c>
      <c r="I125" s="1">
        <f t="shared" si="28"/>
        <v>125191.913194305</v>
      </c>
      <c r="J125" s="9">
        <f t="shared" si="35"/>
        <v>0.31730775430314606</v>
      </c>
      <c r="K125" s="2">
        <f t="shared" si="29"/>
        <v>79448.72966519864</v>
      </c>
      <c r="L125" s="9">
        <f t="shared" si="36"/>
        <v>0.29969579336454755</v>
      </c>
      <c r="M125" s="2">
        <f t="shared" si="30"/>
        <v>75038.979495185617</v>
      </c>
      <c r="N125" s="34">
        <f>+VLOOKUP(A125,Diabetes!$G$1:$S$206,12,0)/100000</f>
        <v>0.118594997350808</v>
      </c>
      <c r="O125">
        <f t="shared" si="37"/>
        <v>0.41965185999870303</v>
      </c>
      <c r="P125" s="16">
        <v>3.4642109999999997E-2</v>
      </c>
      <c r="Q125">
        <v>0.495070072486746</v>
      </c>
      <c r="R125">
        <v>0.205242686964308</v>
      </c>
      <c r="S125" s="35">
        <v>8.0808054059401696E-2</v>
      </c>
      <c r="T125" s="40">
        <f>IFERROR(VLOOKUP(A125,HTN_targets!$R$9:$X$203,6,0),L125)</f>
        <v>0.269651859998703</v>
      </c>
      <c r="U125">
        <f t="shared" si="31"/>
        <v>0</v>
      </c>
      <c r="V125" s="15">
        <f t="shared" si="38"/>
        <v>12461.255312514511</v>
      </c>
      <c r="W125" s="15">
        <f t="shared" si="39"/>
        <v>23755.4153817939</v>
      </c>
    </row>
    <row r="126" spans="1:23" x14ac:dyDescent="0.3">
      <c r="A126" t="s">
        <v>119</v>
      </c>
      <c r="B126" s="33">
        <f>IFERROR(VLOOKUP(A126,HTN_targets!$D$1:$M$195,3,0),Q126)</f>
        <v>0.35162964000000002</v>
      </c>
      <c r="C126" s="33">
        <f>IFERROR(VLOOKUP(A126,HTN_targets!$D$1:$M$195,10,0),R126)</f>
        <v>0.113225892186164</v>
      </c>
      <c r="D126" s="35">
        <v>6.5419431718204302E-2</v>
      </c>
      <c r="E126" s="1">
        <v>26119682.5</v>
      </c>
      <c r="F126" s="1">
        <f t="shared" si="32"/>
        <v>9184454.5543892998</v>
      </c>
      <c r="G126" s="1">
        <f t="shared" si="33"/>
        <v>1039918.0611640058</v>
      </c>
      <c r="H126" s="4">
        <f t="shared" si="34"/>
        <v>0.5</v>
      </c>
      <c r="I126" s="1">
        <f t="shared" si="28"/>
        <v>4592227.2771946499</v>
      </c>
      <c r="J126" s="9">
        <f t="shared" si="35"/>
        <v>0.16088178649060708</v>
      </c>
      <c r="K126" s="2">
        <f t="shared" si="29"/>
        <v>1477611.456651943</v>
      </c>
      <c r="L126" s="9">
        <f t="shared" si="36"/>
        <v>0.14326982555200857</v>
      </c>
      <c r="M126" s="2">
        <f t="shared" si="30"/>
        <v>1315855.2017977056</v>
      </c>
      <c r="N126" s="34">
        <f>+VLOOKUP(A126,Diabetes!$G$1:$S$206,12,0)/100000</f>
        <v>0.114633497835034</v>
      </c>
      <c r="O126">
        <f t="shared" si="37"/>
        <v>0.26322589218616399</v>
      </c>
      <c r="P126" s="16">
        <v>5.2861150000000003E-2</v>
      </c>
      <c r="Q126">
        <v>0.34978800126266302</v>
      </c>
      <c r="R126">
        <v>8.5903931725371294E-2</v>
      </c>
      <c r="S126" s="35">
        <v>6.5419431718204302E-2</v>
      </c>
      <c r="T126" s="40">
        <f>IFERROR(VLOOKUP(A126,HTN_targets!$R$9:$X$203,6,0),L126)</f>
        <v>0.1132258921861649</v>
      </c>
      <c r="U126">
        <f t="shared" si="31"/>
        <v>1</v>
      </c>
      <c r="V126" s="15">
        <f t="shared" si="38"/>
        <v>277136.3675045399</v>
      </c>
      <c r="W126" s="15">
        <f t="shared" si="39"/>
        <v>842276.92102124321</v>
      </c>
    </row>
    <row r="127" spans="1:23" x14ac:dyDescent="0.3">
      <c r="A127" t="s">
        <v>120</v>
      </c>
      <c r="B127" s="33">
        <f>IFERROR(VLOOKUP(A127,HTN_targets!$D$1:$M$195,3,0),Q127)</f>
        <v>0.34137255</v>
      </c>
      <c r="C127" s="33">
        <f>IFERROR(VLOOKUP(A127,HTN_targets!$D$1:$M$195,10,0),R127)</f>
        <v>8.9297428727150005E-2</v>
      </c>
      <c r="D127" s="35">
        <v>7.6350957676730294E-2</v>
      </c>
      <c r="E127" s="1">
        <v>16693588.5</v>
      </c>
      <c r="F127" s="1">
        <f t="shared" si="32"/>
        <v>5698732.8748956751</v>
      </c>
      <c r="G127" s="1">
        <f t="shared" si="33"/>
        <v>508882.19273106317</v>
      </c>
      <c r="H127" s="4">
        <f t="shared" si="34"/>
        <v>0.5</v>
      </c>
      <c r="I127" s="1">
        <f t="shared" si="28"/>
        <v>2849366.4374478376</v>
      </c>
      <c r="J127" s="9">
        <f t="shared" si="35"/>
        <v>0.13695332303159308</v>
      </c>
      <c r="K127" s="2">
        <f t="shared" si="29"/>
        <v>780460.40428634651</v>
      </c>
      <c r="L127" s="9">
        <f t="shared" si="36"/>
        <v>0.11934136209299458</v>
      </c>
      <c r="M127" s="2">
        <f t="shared" si="30"/>
        <v>680094.5434941767</v>
      </c>
      <c r="N127" s="34">
        <f>+VLOOKUP(A127,Diabetes!$G$1:$S$206,12,0)/100000</f>
        <v>1.4827046248804999E-2</v>
      </c>
      <c r="O127">
        <f t="shared" si="37"/>
        <v>0.23929742872714999</v>
      </c>
      <c r="P127" s="16">
        <v>5.4270359999999997E-2</v>
      </c>
      <c r="Q127">
        <v>0.343224609015777</v>
      </c>
      <c r="R127">
        <v>6.5689775970026995E-2</v>
      </c>
      <c r="S127" s="35">
        <v>7.6350957676730294E-2</v>
      </c>
      <c r="T127" s="40">
        <f>IFERROR(VLOOKUP(A127,HTN_targets!$R$9:$X$203,6,0),L127)</f>
        <v>8.9297428727149963E-2</v>
      </c>
      <c r="U127">
        <f t="shared" si="31"/>
        <v>0</v>
      </c>
      <c r="V127" s="15">
        <f t="shared" si="38"/>
        <v>20219.526191166318</v>
      </c>
      <c r="W127" s="15">
        <f t="shared" si="39"/>
        <v>67596.300716530925</v>
      </c>
    </row>
    <row r="128" spans="1:23" x14ac:dyDescent="0.3">
      <c r="A128" t="s">
        <v>121</v>
      </c>
      <c r="B128" s="33">
        <f>IFERROR(VLOOKUP(A128,HTN_targets!$D$1:$M$195,3,0),Q128)</f>
        <v>0.38963616000000001</v>
      </c>
      <c r="C128" s="33">
        <f>IFERROR(VLOOKUP(A128,HTN_targets!$D$1:$M$195,10,0),R128)</f>
        <v>0.17044502496719299</v>
      </c>
      <c r="D128" s="35">
        <v>5.91144335403085E-2</v>
      </c>
      <c r="E128" s="1">
        <v>38144599.5</v>
      </c>
      <c r="F128" s="1">
        <f t="shared" si="32"/>
        <v>14862515.273917921</v>
      </c>
      <c r="G128" s="1">
        <f t="shared" si="33"/>
        <v>2533241.7869382272</v>
      </c>
      <c r="H128" s="4">
        <f t="shared" si="34"/>
        <v>0.5</v>
      </c>
      <c r="I128" s="1">
        <f t="shared" si="28"/>
        <v>7431257.6369589604</v>
      </c>
      <c r="J128" s="9">
        <f t="shared" si="35"/>
        <v>0.21810091927163608</v>
      </c>
      <c r="K128" s="2">
        <f t="shared" si="29"/>
        <v>3241528.2439302308</v>
      </c>
      <c r="L128" s="9">
        <f t="shared" si="36"/>
        <v>0.20048895833303756</v>
      </c>
      <c r="M128" s="2">
        <f t="shared" si="30"/>
        <v>2979770.2054766645</v>
      </c>
      <c r="N128" s="34">
        <f>+VLOOKUP(A128,Diabetes!$G$1:$S$206,12,0)/100000</f>
        <v>6.4293311148354099E-2</v>
      </c>
      <c r="O128">
        <f t="shared" si="37"/>
        <v>0.32044502496719296</v>
      </c>
      <c r="P128" s="16">
        <v>6.6794500000000007E-2</v>
      </c>
      <c r="Q128">
        <v>0.351554620241606</v>
      </c>
      <c r="R128">
        <v>0.139991429516931</v>
      </c>
      <c r="S128" s="35">
        <v>5.91144335403085E-2</v>
      </c>
      <c r="T128" s="40">
        <f>IFERROR(VLOOKUP(A128,HTN_targets!$R$9:$X$203,6,0),L128)</f>
        <v>0.1704450249671936</v>
      </c>
      <c r="U128">
        <f t="shared" si="31"/>
        <v>1</v>
      </c>
      <c r="V128" s="15">
        <f t="shared" si="38"/>
        <v>306204.55026460747</v>
      </c>
      <c r="W128" s="15">
        <f t="shared" si="39"/>
        <v>764448.25516253617</v>
      </c>
    </row>
    <row r="129" spans="1:23" x14ac:dyDescent="0.3">
      <c r="A129" t="s">
        <v>122</v>
      </c>
      <c r="B129" s="33">
        <f>IFERROR(VLOOKUP(A129,HTN_targets!$D$1:$M$195,3,0),Q129)</f>
        <v>0.39701143</v>
      </c>
      <c r="C129" s="33">
        <f>IFERROR(VLOOKUP(A129,HTN_targets!$D$1:$M$195,10,0),R129)</f>
        <v>0.22223711013793901</v>
      </c>
      <c r="D129" s="35">
        <v>7.3512584069314296E-2</v>
      </c>
      <c r="E129" s="1">
        <v>1722696</v>
      </c>
      <c r="F129" s="1">
        <f t="shared" si="32"/>
        <v>683930.00241527997</v>
      </c>
      <c r="G129" s="1">
        <f t="shared" si="33"/>
        <v>151994.62727340547</v>
      </c>
      <c r="H129" s="4">
        <f t="shared" si="34"/>
        <v>0.5</v>
      </c>
      <c r="I129" s="1">
        <f t="shared" si="28"/>
        <v>341965.00120763999</v>
      </c>
      <c r="J129" s="9">
        <f t="shared" si="35"/>
        <v>0.26989300444238207</v>
      </c>
      <c r="K129" s="2">
        <f t="shared" si="29"/>
        <v>184587.92318014553</v>
      </c>
      <c r="L129" s="9">
        <f t="shared" si="36"/>
        <v>0.25228104350378355</v>
      </c>
      <c r="M129" s="2">
        <f t="shared" si="30"/>
        <v>172542.57469287203</v>
      </c>
      <c r="N129" s="34">
        <f>+VLOOKUP(A129,Diabetes!$G$1:$S$206,12,0)/100000</f>
        <v>3.7658403748394201E-2</v>
      </c>
      <c r="O129">
        <f t="shared" si="37"/>
        <v>0.37223711013793903</v>
      </c>
      <c r="P129" s="16">
        <v>6.3753889999999994E-2</v>
      </c>
      <c r="Q129">
        <v>0.426125571738664</v>
      </c>
      <c r="R129">
        <v>0.20061168666197801</v>
      </c>
      <c r="S129" s="35">
        <v>7.3512584069314296E-2</v>
      </c>
      <c r="T129" s="40">
        <f>IFERROR(VLOOKUP(A129,HTN_targets!$R$9:$X$203,6,0),L129)</f>
        <v>0.22223711013793951</v>
      </c>
      <c r="U129">
        <f t="shared" si="31"/>
        <v>1</v>
      </c>
      <c r="V129" s="15">
        <f t="shared" si="38"/>
        <v>9587.2318664378163</v>
      </c>
      <c r="W129" s="15">
        <f t="shared" si="39"/>
        <v>20604.569733275868</v>
      </c>
    </row>
    <row r="130" spans="1:23" x14ac:dyDescent="0.3">
      <c r="A130" t="s">
        <v>123</v>
      </c>
      <c r="B130" s="33">
        <f>IFERROR(VLOOKUP(A130,HTN_targets!$D$1:$M$195,3,0),Q130)</f>
        <v>0.35468172999999997</v>
      </c>
      <c r="C130" s="33">
        <f>IFERROR(VLOOKUP(A130,HTN_targets!$D$1:$M$195,10,0),R130)</f>
        <v>8.6650639772415203E-2</v>
      </c>
      <c r="D130" s="35">
        <v>8.03745273876839E-2</v>
      </c>
      <c r="E130" s="1">
        <v>18993640.5</v>
      </c>
      <c r="F130" s="1">
        <f t="shared" si="32"/>
        <v>6736697.2715380648</v>
      </c>
      <c r="G130" s="1">
        <f t="shared" si="33"/>
        <v>583739.12853185716</v>
      </c>
      <c r="H130" s="4">
        <f t="shared" si="34"/>
        <v>0.5</v>
      </c>
      <c r="I130" s="1">
        <f t="shared" si="28"/>
        <v>3368348.6357690324</v>
      </c>
      <c r="J130" s="9">
        <f t="shared" si="35"/>
        <v>0.13430653407685827</v>
      </c>
      <c r="K130" s="2">
        <f t="shared" si="29"/>
        <v>904782.46166530531</v>
      </c>
      <c r="L130" s="9">
        <f t="shared" si="36"/>
        <v>0.11669457313825977</v>
      </c>
      <c r="M130" s="2">
        <f t="shared" si="30"/>
        <v>786136.01246381376</v>
      </c>
      <c r="N130" s="34">
        <f>+VLOOKUP(A130,Diabetes!$G$1:$S$206,12,0)/100000</f>
        <v>6.1732967888733503E-2</v>
      </c>
      <c r="O130">
        <f t="shared" si="37"/>
        <v>0.23665063977241518</v>
      </c>
      <c r="P130" s="16">
        <v>4.7573209999999998E-2</v>
      </c>
      <c r="Q130">
        <v>0.39603361442762802</v>
      </c>
      <c r="R130">
        <v>6.8818874121429202E-2</v>
      </c>
      <c r="S130" s="35">
        <v>8.03745273876839E-2</v>
      </c>
      <c r="T130" s="40">
        <f>IFERROR(VLOOKUP(A130,HTN_targets!$R$9:$X$203,6,0),L130)</f>
        <v>8.6650639772415161E-2</v>
      </c>
      <c r="U130">
        <f t="shared" si="31"/>
        <v>0</v>
      </c>
      <c r="V130" s="15">
        <f t="shared" si="38"/>
        <v>98417.396328051109</v>
      </c>
      <c r="W130" s="15">
        <f t="shared" si="39"/>
        <v>332701.0530719824</v>
      </c>
    </row>
    <row r="131" spans="1:23" x14ac:dyDescent="0.3">
      <c r="A131" t="s">
        <v>124</v>
      </c>
      <c r="B131" s="33">
        <f>IFERROR(VLOOKUP(A131,HTN_targets!$D$1:$M$195,3,0),Q131)</f>
        <v>0.36902073000000002</v>
      </c>
      <c r="C131" s="33">
        <f>IFERROR(VLOOKUP(A131,HTN_targets!$D$1:$M$195,10,0),R131)</f>
        <v>0.27686405181884699</v>
      </c>
      <c r="D131" s="35">
        <v>4.2014106715640299E-2</v>
      </c>
      <c r="E131" s="1">
        <v>14806799.5</v>
      </c>
      <c r="F131" s="1">
        <f t="shared" si="32"/>
        <v>5464015.9604536351</v>
      </c>
      <c r="G131" s="1">
        <f t="shared" si="33"/>
        <v>1512789.5980140422</v>
      </c>
      <c r="H131" s="4">
        <f t="shared" si="34"/>
        <v>0.5</v>
      </c>
      <c r="I131" s="1">
        <f t="shared" si="28"/>
        <v>2732007.9802268175</v>
      </c>
      <c r="J131" s="9">
        <f t="shared" si="35"/>
        <v>0.32451994612329005</v>
      </c>
      <c r="K131" s="2">
        <f t="shared" si="29"/>
        <v>1773182.1651032106</v>
      </c>
      <c r="L131" s="9">
        <f t="shared" si="36"/>
        <v>0.30690798518469153</v>
      </c>
      <c r="M131" s="2">
        <f t="shared" si="30"/>
        <v>1676950.1294398224</v>
      </c>
      <c r="N131" s="34">
        <f>+VLOOKUP(A131,Diabetes!$G$1:$S$206,12,0)/100000</f>
        <v>5.8236698204510801E-2</v>
      </c>
      <c r="O131">
        <f t="shared" si="37"/>
        <v>0.42686405181884701</v>
      </c>
      <c r="P131" s="16">
        <v>6.7142279999999999E-2</v>
      </c>
      <c r="Q131">
        <v>0.36201051066243101</v>
      </c>
      <c r="R131">
        <v>0.21252107160158901</v>
      </c>
      <c r="S131" s="35">
        <v>4.2014106715640299E-2</v>
      </c>
      <c r="T131" s="40">
        <f>IFERROR(VLOOKUP(A131,HTN_targets!$R$9:$X$203,6,0),L131)</f>
        <v>0.27686405181884771</v>
      </c>
      <c r="U131">
        <f t="shared" si="31"/>
        <v>1</v>
      </c>
      <c r="V131" s="15">
        <f t="shared" si="38"/>
        <v>135830.80853750228</v>
      </c>
      <c r="W131" s="15">
        <f t="shared" si="39"/>
        <v>254564.99877885488</v>
      </c>
    </row>
    <row r="132" spans="1:23" x14ac:dyDescent="0.3">
      <c r="A132" t="s">
        <v>125</v>
      </c>
      <c r="B132" s="33">
        <f>IFERROR(VLOOKUP(A132,HTN_targets!$D$1:$M$195,3,0),Q132)</f>
        <v>0.35598537000000002</v>
      </c>
      <c r="C132" s="33">
        <f>IFERROR(VLOOKUP(A132,HTN_targets!$D$1:$M$195,10,0),R132)</f>
        <v>0.32048472762107799</v>
      </c>
      <c r="D132" s="35">
        <v>3.4345135024118401E-2</v>
      </c>
      <c r="E132" s="1">
        <v>4040749.5</v>
      </c>
      <c r="F132" s="1">
        <f t="shared" si="32"/>
        <v>1438447.705834815</v>
      </c>
      <c r="G132" s="1">
        <f t="shared" si="33"/>
        <v>461000.52120163525</v>
      </c>
      <c r="H132" s="4">
        <f t="shared" si="34"/>
        <v>0.5</v>
      </c>
      <c r="I132" s="1">
        <f t="shared" si="28"/>
        <v>719223.85291740752</v>
      </c>
      <c r="J132" s="9">
        <f t="shared" si="35"/>
        <v>0.36814062192552111</v>
      </c>
      <c r="K132" s="2">
        <f t="shared" si="29"/>
        <v>529551.03303336783</v>
      </c>
      <c r="L132" s="9">
        <f t="shared" si="36"/>
        <v>0.35052866098692259</v>
      </c>
      <c r="M132" s="2">
        <f t="shared" si="30"/>
        <v>504217.14822598844</v>
      </c>
      <c r="N132" s="34">
        <f>+VLOOKUP(A132,Diabetes!$G$1:$S$206,12,0)/100000</f>
        <v>6.9057091969427997E-2</v>
      </c>
      <c r="O132">
        <f t="shared" si="37"/>
        <v>0.47048472762107796</v>
      </c>
      <c r="P132" s="16">
        <v>5.5833428333333331E-2</v>
      </c>
      <c r="Q132">
        <v>0.34363470377875699</v>
      </c>
      <c r="R132">
        <v>0.25720557312884001</v>
      </c>
      <c r="S132" s="35">
        <v>3.4345135024118401E-2</v>
      </c>
      <c r="T132" s="40">
        <f>IFERROR(VLOOKUP(A132,HTN_targets!$R$9:$X$203,6,0),L132)</f>
        <v>0.32048472762107849</v>
      </c>
      <c r="U132">
        <f t="shared" si="31"/>
        <v>0</v>
      </c>
      <c r="V132" s="15">
        <f t="shared" si="38"/>
        <v>46735.607717832689</v>
      </c>
      <c r="W132" s="15">
        <f t="shared" si="39"/>
        <v>79468.012412038035</v>
      </c>
    </row>
    <row r="133" spans="1:23" x14ac:dyDescent="0.3">
      <c r="A133" t="s">
        <v>126</v>
      </c>
      <c r="B133" s="33">
        <f>IFERROR(VLOOKUP(A133,HTN_targets!$D$1:$M$195,3,0),Q133)</f>
        <v>0.33557236000000001</v>
      </c>
      <c r="C133" s="33">
        <f>IFERROR(VLOOKUP(A133,HTN_targets!$D$1:$M$195,10,0),R133)</f>
        <v>0.377360939979553</v>
      </c>
      <c r="D133" s="35">
        <v>4.5856891931549099E-2</v>
      </c>
      <c r="E133" s="1">
        <v>4496521.5</v>
      </c>
      <c r="F133" s="1">
        <f t="shared" si="32"/>
        <v>1508908.3315457401</v>
      </c>
      <c r="G133" s="1">
        <f t="shared" si="33"/>
        <v>569403.06633507949</v>
      </c>
      <c r="H133" s="4">
        <f t="shared" si="34"/>
        <v>0.5</v>
      </c>
      <c r="I133" s="1">
        <f t="shared" si="28"/>
        <v>754454.16577287007</v>
      </c>
      <c r="J133" s="9">
        <f t="shared" si="35"/>
        <v>0.42501683428399606</v>
      </c>
      <c r="K133" s="2">
        <f t="shared" si="29"/>
        <v>641311.44229831686</v>
      </c>
      <c r="L133" s="9">
        <f t="shared" si="36"/>
        <v>0.40740487334539754</v>
      </c>
      <c r="M133" s="2">
        <f t="shared" si="30"/>
        <v>614736.60770320741</v>
      </c>
      <c r="N133" s="34">
        <f>+VLOOKUP(A133,Diabetes!$G$1:$S$206,12,0)/100000</f>
        <v>5.1276966135805298E-2</v>
      </c>
      <c r="O133">
        <f t="shared" si="37"/>
        <v>0.52736093997955302</v>
      </c>
      <c r="P133" s="16">
        <v>5.7799400000000001E-2</v>
      </c>
      <c r="Q133">
        <v>0.34497563565331602</v>
      </c>
      <c r="R133">
        <v>0.30123271570626398</v>
      </c>
      <c r="S133" s="35">
        <v>4.5856891931549099E-2</v>
      </c>
      <c r="T133" s="40">
        <f>IFERROR(VLOOKUP(A133,HTN_targets!$R$9:$X$203,6,0),L133)</f>
        <v>0.37736093997955322</v>
      </c>
      <c r="U133">
        <f t="shared" si="31"/>
        <v>0</v>
      </c>
      <c r="V133" s="15">
        <f t="shared" si="38"/>
        <v>40803.097962893386</v>
      </c>
      <c r="W133" s="15">
        <f t="shared" si="39"/>
        <v>61897.793134964319</v>
      </c>
    </row>
    <row r="134" spans="1:23" x14ac:dyDescent="0.3">
      <c r="A134" t="s">
        <v>127</v>
      </c>
      <c r="B134" s="33">
        <f>IFERROR(VLOOKUP(A134,HTN_targets!$D$1:$M$195,3,0),Q134)</f>
        <v>0.37277797000000001</v>
      </c>
      <c r="C134" s="33">
        <f>IFERROR(VLOOKUP(A134,HTN_targets!$D$1:$M$195,10,0),R134)</f>
        <v>7.3106981813907596E-2</v>
      </c>
      <c r="D134" s="35">
        <v>0.102087722343284</v>
      </c>
      <c r="E134" s="1">
        <v>12420867</v>
      </c>
      <c r="F134" s="1">
        <f t="shared" si="32"/>
        <v>4630225.5858999901</v>
      </c>
      <c r="G134" s="1">
        <f t="shared" si="33"/>
        <v>338501.81770268019</v>
      </c>
      <c r="H134" s="4">
        <f t="shared" si="34"/>
        <v>0.5</v>
      </c>
      <c r="I134" s="1">
        <f t="shared" si="28"/>
        <v>2315112.792949995</v>
      </c>
      <c r="J134" s="9">
        <f t="shared" si="35"/>
        <v>0.12076287611835068</v>
      </c>
      <c r="K134" s="2">
        <f t="shared" si="29"/>
        <v>559159.35883005825</v>
      </c>
      <c r="L134" s="9">
        <f t="shared" si="36"/>
        <v>0.10315091517975217</v>
      </c>
      <c r="M134" s="2">
        <f t="shared" si="30"/>
        <v>477612.00667428813</v>
      </c>
      <c r="N134" s="34">
        <f>+VLOOKUP(A134,Diabetes!$G$1:$S$206,12,0)/100000</f>
        <v>2.2189461482425999E-2</v>
      </c>
      <c r="O134">
        <f t="shared" si="37"/>
        <v>0.22310698181390759</v>
      </c>
      <c r="P134" s="16">
        <v>5.3015819999999998E-2</v>
      </c>
      <c r="Q134">
        <v>0.40426714986930501</v>
      </c>
      <c r="R134">
        <v>5.6566281609548498E-2</v>
      </c>
      <c r="S134" s="35">
        <v>0.102087722343284</v>
      </c>
      <c r="T134" s="40">
        <f>IFERROR(VLOOKUP(A134,HTN_targets!$R$9:$X$203,6,0),L134)</f>
        <v>7.3106981813907623E-2</v>
      </c>
      <c r="U134">
        <f t="shared" si="31"/>
        <v>0</v>
      </c>
      <c r="V134" s="15">
        <f t="shared" si="38"/>
        <v>22922.504889635486</v>
      </c>
      <c r="W134" s="15">
        <f t="shared" si="39"/>
        <v>82193.769834616949</v>
      </c>
    </row>
    <row r="135" spans="1:23" x14ac:dyDescent="0.3">
      <c r="A135" t="s">
        <v>128</v>
      </c>
      <c r="B135" s="33">
        <f>IFERROR(VLOOKUP(A135,HTN_targets!$D$1:$M$195,3,0),Q135)</f>
        <v>0.32426875999999999</v>
      </c>
      <c r="C135" s="33">
        <f>IFERROR(VLOOKUP(A135,HTN_targets!$D$1:$M$195,10,0),R135)</f>
        <v>0.13356940448284099</v>
      </c>
      <c r="D135" s="35">
        <v>5.6182589053548199E-2</v>
      </c>
      <c r="E135" s="1">
        <v>119492148.5</v>
      </c>
      <c r="F135" s="1">
        <f t="shared" si="32"/>
        <v>38747570.823830858</v>
      </c>
      <c r="G135" s="1">
        <f t="shared" si="33"/>
        <v>5175489.9600957921</v>
      </c>
      <c r="H135" s="4">
        <f t="shared" si="34"/>
        <v>0.5</v>
      </c>
      <c r="I135" s="1">
        <f t="shared" si="28"/>
        <v>19373785.411915429</v>
      </c>
      <c r="J135" s="9">
        <f t="shared" si="35"/>
        <v>0.18122529878728408</v>
      </c>
      <c r="K135" s="2">
        <f t="shared" si="29"/>
        <v>7022040.0998301981</v>
      </c>
      <c r="L135" s="9">
        <f t="shared" si="36"/>
        <v>0.16361333784868556</v>
      </c>
      <c r="M135" s="2">
        <f t="shared" si="30"/>
        <v>6339619.3960153097</v>
      </c>
      <c r="N135" s="34">
        <f>+VLOOKUP(A135,Diabetes!$G$1:$S$206,12,0)/100000</f>
        <v>2.4913052380824401E-2</v>
      </c>
      <c r="O135">
        <f t="shared" si="37"/>
        <v>0.28356940448284096</v>
      </c>
      <c r="P135" s="16">
        <v>5.0040380000000002E-2</v>
      </c>
      <c r="Q135">
        <v>0.330281203595787</v>
      </c>
      <c r="R135">
        <v>0.112232450844304</v>
      </c>
      <c r="S135" s="35">
        <v>5.6182589053548199E-2</v>
      </c>
      <c r="T135" s="40">
        <f>IFERROR(VLOOKUP(A135,HTN_targets!$R$9:$X$203,6,0),L135)</f>
        <v>0.13356940448284149</v>
      </c>
      <c r="U135">
        <f t="shared" si="31"/>
        <v>0</v>
      </c>
      <c r="V135" s="15">
        <f t="shared" si="38"/>
        <v>273735.29170686746</v>
      </c>
      <c r="W135" s="15">
        <f t="shared" si="39"/>
        <v>772256.20925104117</v>
      </c>
    </row>
    <row r="136" spans="1:23" x14ac:dyDescent="0.3">
      <c r="A136" t="s">
        <v>129</v>
      </c>
      <c r="B136" s="33">
        <f>IFERROR(VLOOKUP(A136,HTN_targets!$D$1:$M$195,3,0),Q136)</f>
        <v>0.49655122000000002</v>
      </c>
      <c r="C136" s="33">
        <f>IFERROR(VLOOKUP(A136,HTN_targets!$D$1:$M$195,10,0),R136)</f>
        <v>0.26312333345413202</v>
      </c>
      <c r="D136" s="35">
        <v>7.7685205896033296E-2</v>
      </c>
      <c r="E136" s="1">
        <v>1429751</v>
      </c>
      <c r="F136" s="1">
        <f t="shared" si="32"/>
        <v>709944.60334621998</v>
      </c>
      <c r="G136" s="1">
        <f t="shared" si="33"/>
        <v>186802.99060022895</v>
      </c>
      <c r="H136" s="4">
        <f t="shared" si="34"/>
        <v>0.5</v>
      </c>
      <c r="I136" s="1">
        <f t="shared" si="28"/>
        <v>354972.30167310999</v>
      </c>
      <c r="J136" s="9">
        <f t="shared" si="35"/>
        <v>0.31077922775857514</v>
      </c>
      <c r="K136" s="2">
        <f t="shared" si="29"/>
        <v>220636.03557930619</v>
      </c>
      <c r="L136" s="9">
        <f t="shared" si="36"/>
        <v>0.29316726681997662</v>
      </c>
      <c r="M136" s="2">
        <f t="shared" si="30"/>
        <v>208132.51895660374</v>
      </c>
      <c r="N136" s="34">
        <f>+VLOOKUP(A136,Diabetes!$G$1:$S$206,12,0)/100000</f>
        <v>0.12253407038653701</v>
      </c>
      <c r="O136">
        <f t="shared" si="37"/>
        <v>0.41312333345413199</v>
      </c>
      <c r="P136" s="16">
        <v>5.5833428333333331E-2</v>
      </c>
      <c r="Q136">
        <v>0.38</v>
      </c>
      <c r="R136">
        <v>0.20628652564000599</v>
      </c>
      <c r="S136" s="35">
        <v>7.7685205896033296E-2</v>
      </c>
      <c r="T136" s="40">
        <f>IFERROR(VLOOKUP(A136,HTN_targets!$R$9:$X$203,6,0),L136)</f>
        <v>0.26312333345413208</v>
      </c>
      <c r="U136">
        <f t="shared" si="31"/>
        <v>0</v>
      </c>
      <c r="V136" s="15">
        <f t="shared" si="38"/>
        <v>35938.591098169236</v>
      </c>
      <c r="W136" s="15">
        <f t="shared" si="39"/>
        <v>69593.921597574255</v>
      </c>
    </row>
    <row r="137" spans="1:23" x14ac:dyDescent="0.3">
      <c r="A137" t="s">
        <v>130</v>
      </c>
      <c r="B137" s="33">
        <f>IFERROR(VLOOKUP(A137,HTN_targets!$D$1:$M$195,3,0),Q137)</f>
        <v>0.35149090999999999</v>
      </c>
      <c r="C137" s="33">
        <f>IFERROR(VLOOKUP(A137,HTN_targets!$D$1:$M$195,10,0),R137)</f>
        <v>0.329262435436248</v>
      </c>
      <c r="D137" s="35">
        <v>4.6742265961206099E-2</v>
      </c>
      <c r="E137" s="1">
        <v>4453565</v>
      </c>
      <c r="F137" s="1">
        <f t="shared" si="32"/>
        <v>1565387.6145941499</v>
      </c>
      <c r="G137" s="1">
        <f t="shared" si="33"/>
        <v>515423.33838300855</v>
      </c>
      <c r="H137" s="4">
        <f t="shared" si="34"/>
        <v>0.5</v>
      </c>
      <c r="I137" s="1">
        <f t="shared" si="28"/>
        <v>782693.80729707493</v>
      </c>
      <c r="J137" s="9">
        <f t="shared" si="35"/>
        <v>0.37691832974069106</v>
      </c>
      <c r="K137" s="2">
        <f t="shared" si="29"/>
        <v>590023.28508959163</v>
      </c>
      <c r="L137" s="9">
        <f t="shared" si="36"/>
        <v>0.35930636880209255</v>
      </c>
      <c r="M137" s="2">
        <f t="shared" si="30"/>
        <v>562453.73956759355</v>
      </c>
      <c r="N137" s="34">
        <f>+VLOOKUP(A137,Diabetes!$G$1:$S$206,12,0)/100000</f>
        <v>7.6977699872545796E-2</v>
      </c>
      <c r="O137">
        <f t="shared" si="37"/>
        <v>0.47926243543624802</v>
      </c>
      <c r="P137" s="16">
        <v>4.8964540000000001E-2</v>
      </c>
      <c r="Q137">
        <v>0.35339036746720498</v>
      </c>
      <c r="R137">
        <v>0.28822242717030899</v>
      </c>
      <c r="S137" s="35">
        <v>4.6742265961206099E-2</v>
      </c>
      <c r="T137" s="40">
        <f>IFERROR(VLOOKUP(A137,HTN_targets!$R$9:$X$203,6,0),L137)</f>
        <v>0.32926243543624878</v>
      </c>
      <c r="U137">
        <f t="shared" si="31"/>
        <v>1</v>
      </c>
      <c r="V137" s="15">
        <f t="shared" si="38"/>
        <v>57751.09374641718</v>
      </c>
      <c r="W137" s="15">
        <f t="shared" si="39"/>
        <v>96399.950384343101</v>
      </c>
    </row>
    <row r="138" spans="1:23" x14ac:dyDescent="0.3">
      <c r="A138" t="s">
        <v>131</v>
      </c>
      <c r="B138" s="33">
        <f>IFERROR(VLOOKUP(A138,HTN_targets!$D$1:$M$195,3,0),Q138)</f>
        <v>0.37208386999999998</v>
      </c>
      <c r="C138" s="33">
        <f>IFERROR(VLOOKUP(A138,HTN_targets!$D$1:$M$195,10,0),R138)</f>
        <v>0.10827616602182299</v>
      </c>
      <c r="D138" s="35">
        <v>6.9465308834612896E-2</v>
      </c>
      <c r="E138" s="1">
        <v>3897642.5</v>
      </c>
      <c r="F138" s="1">
        <f t="shared" ref="F138:F169" si="40">+B138*E138</f>
        <v>1450249.905276475</v>
      </c>
      <c r="G138" s="1">
        <f t="shared" ref="G138:G169" si="41">+F138*C138</f>
        <v>157027.49951684868</v>
      </c>
      <c r="H138" s="4">
        <f t="shared" ref="H138:H169" si="42">+IF(C138&gt;0.5,C138,0.5)</f>
        <v>0.5</v>
      </c>
      <c r="I138" s="1">
        <f t="shared" si="28"/>
        <v>725124.9526382375</v>
      </c>
      <c r="J138" s="9">
        <f t="shared" ref="J138:J169" si="43">C138+($K$5-$G$5)</f>
        <v>0.15593206032626608</v>
      </c>
      <c r="K138" s="2">
        <f t="shared" si="29"/>
        <v>226140.45571773298</v>
      </c>
      <c r="L138" s="9">
        <f t="shared" ref="L138:L169" si="44">C138+($M$5-$G$5)</f>
        <v>0.13832009938766757</v>
      </c>
      <c r="M138" s="2">
        <f t="shared" si="30"/>
        <v>200598.71103479751</v>
      </c>
      <c r="N138" s="34">
        <f>+VLOOKUP(A138,Diabetes!$G$1:$S$206,12,0)/100000</f>
        <v>0.10215112101819401</v>
      </c>
      <c r="O138">
        <f t="shared" ref="O138:O169" si="45">+C138+0.15</f>
        <v>0.25827616602182302</v>
      </c>
      <c r="P138" s="16">
        <v>5.8999009999999998E-2</v>
      </c>
      <c r="Q138">
        <v>0.48270077121933602</v>
      </c>
      <c r="R138">
        <v>0.12563731999181699</v>
      </c>
      <c r="S138" s="35">
        <v>6.9465308834612896E-2</v>
      </c>
      <c r="T138" s="40">
        <f>IFERROR(VLOOKUP(A138,HTN_targets!$R$9:$X$203,6,0),L138)</f>
        <v>0.1082761660218239</v>
      </c>
      <c r="U138">
        <f t="shared" si="31"/>
        <v>1</v>
      </c>
      <c r="V138" s="15">
        <f t="shared" ref="V138:V169" si="46">+E138*B138*N138*O138</f>
        <v>38262.233143408259</v>
      </c>
      <c r="W138" s="15">
        <f t="shared" ref="W138:W169" si="47">+E138*B138*N138*0.8</f>
        <v>118515.7228644173</v>
      </c>
    </row>
    <row r="139" spans="1:23" x14ac:dyDescent="0.3">
      <c r="A139" t="s">
        <v>132</v>
      </c>
      <c r="B139" s="33">
        <f>IFERROR(VLOOKUP(A139,HTN_targets!$D$1:$M$195,3,0),Q139)</f>
        <v>0.42341184999999998</v>
      </c>
      <c r="C139" s="33">
        <f>IFERROR(VLOOKUP(A139,HTN_targets!$D$1:$M$195,10,0),R139)</f>
        <v>0.11989610642194699</v>
      </c>
      <c r="D139" s="35">
        <v>8.7584047064657305E-2</v>
      </c>
      <c r="E139" s="1">
        <v>140441472</v>
      </c>
      <c r="F139" s="1">
        <f t="shared" si="40"/>
        <v>59464583.476243198</v>
      </c>
      <c r="G139" s="1">
        <f t="shared" si="41"/>
        <v>7129572.0288044056</v>
      </c>
      <c r="H139" s="4">
        <f t="shared" si="42"/>
        <v>0.5</v>
      </c>
      <c r="I139" s="1">
        <f t="shared" ref="I139:I200" si="48">+F139*H139</f>
        <v>29732291.738121599</v>
      </c>
      <c r="J139" s="9">
        <f t="shared" si="43"/>
        <v>0.16755200072639009</v>
      </c>
      <c r="K139" s="2">
        <f t="shared" ref="K139:K200" si="49">+J139*F139</f>
        <v>9963409.9338059854</v>
      </c>
      <c r="L139" s="9">
        <f t="shared" si="44"/>
        <v>0.14994003978779158</v>
      </c>
      <c r="M139" s="2">
        <f t="shared" ref="M139:M200" si="50">+F139*L139</f>
        <v>8916122.0123923589</v>
      </c>
      <c r="N139" s="34">
        <f>+VLOOKUP(A139,Diabetes!$G$1:$S$206,12,0)/100000</f>
        <v>6.2769452800994011E-2</v>
      </c>
      <c r="O139">
        <f t="shared" si="45"/>
        <v>0.269896106421947</v>
      </c>
      <c r="P139" s="16">
        <v>6.3642699999999996E-2</v>
      </c>
      <c r="Q139">
        <v>0.41620284545619401</v>
      </c>
      <c r="R139">
        <v>0.10217170447606699</v>
      </c>
      <c r="S139" s="35">
        <v>8.7584047064657305E-2</v>
      </c>
      <c r="T139" s="40">
        <f>IFERROR(VLOOKUP(A139,HTN_targets!$R$9:$X$203,6,0),L139)</f>
        <v>0.11989610642194749</v>
      </c>
      <c r="U139">
        <f t="shared" ref="U139:U200" si="51">IF(T139&gt;C139,1,0)</f>
        <v>0</v>
      </c>
      <c r="V139" s="15">
        <f t="shared" si="46"/>
        <v>1007403.2398297477</v>
      </c>
      <c r="W139" s="15">
        <f t="shared" si="47"/>
        <v>2986047.4926742529</v>
      </c>
    </row>
    <row r="140" spans="1:23" x14ac:dyDescent="0.3">
      <c r="A140" t="s">
        <v>133</v>
      </c>
      <c r="B140" s="33">
        <f>IFERROR(VLOOKUP(A140,HTN_targets!$D$1:$M$195,3,0),Q140)</f>
        <v>0.38</v>
      </c>
      <c r="C140" s="33">
        <f>IFERROR(VLOOKUP(A140,HTN_targets!$D$1:$M$195,10,0),R140)</f>
        <v>0.18462562870399099</v>
      </c>
      <c r="D140" s="35">
        <v>5.0801969214842001E-2</v>
      </c>
      <c r="E140" s="1">
        <v>3015346.5</v>
      </c>
      <c r="F140" s="1">
        <f t="shared" si="40"/>
        <v>1145831.67</v>
      </c>
      <c r="G140" s="1">
        <f t="shared" si="41"/>
        <v>211549.89246269391</v>
      </c>
      <c r="H140" s="4">
        <f t="shared" si="42"/>
        <v>0.5</v>
      </c>
      <c r="I140" s="1">
        <f t="shared" si="48"/>
        <v>572915.83499999996</v>
      </c>
      <c r="J140" s="9">
        <f t="shared" si="43"/>
        <v>0.23228152300843408</v>
      </c>
      <c r="K140" s="2">
        <f t="shared" si="49"/>
        <v>266155.52541889745</v>
      </c>
      <c r="L140" s="9">
        <f t="shared" si="44"/>
        <v>0.21466956206983556</v>
      </c>
      <c r="M140" s="2">
        <f t="shared" si="50"/>
        <v>245975.18280464833</v>
      </c>
      <c r="N140" s="34">
        <f>+VLOOKUP(A140,Diabetes!$G$1:$S$206,12,0)/100000</f>
        <v>9.6129564764305189E-2</v>
      </c>
      <c r="O140">
        <f t="shared" si="45"/>
        <v>0.33462562870399098</v>
      </c>
      <c r="P140" s="16">
        <v>5.3923190000000003E-2</v>
      </c>
      <c r="Q140">
        <v>0.38</v>
      </c>
      <c r="R140">
        <v>0.18462562870399099</v>
      </c>
      <c r="S140" s="35">
        <v>5.0801969214842001E-2</v>
      </c>
      <c r="T140" s="40">
        <f>IFERROR(VLOOKUP(A140,HTN_targets!$R$9:$X$203,6,0),L140)</f>
        <v>0.21466956206983556</v>
      </c>
      <c r="U140">
        <f t="shared" si="51"/>
        <v>1</v>
      </c>
      <c r="V140" s="15">
        <f t="shared" si="46"/>
        <v>36858.444047912883</v>
      </c>
      <c r="W140" s="15">
        <f t="shared" si="47"/>
        <v>88118.639784205589</v>
      </c>
    </row>
    <row r="141" spans="1:23" x14ac:dyDescent="0.3">
      <c r="A141" t="s">
        <v>134</v>
      </c>
      <c r="B141" s="33">
        <f>IFERROR(VLOOKUP(A141,HTN_targets!$D$1:$M$195,3,0),Q141)</f>
        <v>0.36880480999999998</v>
      </c>
      <c r="C141" s="33">
        <f>IFERROR(VLOOKUP(A141,HTN_targets!$D$1:$M$195,10,0),R141)</f>
        <v>0.32051819562911898</v>
      </c>
      <c r="D141" s="35">
        <v>4.44241396487247E-2</v>
      </c>
      <c r="E141" s="1">
        <v>3153697.5</v>
      </c>
      <c r="F141" s="1">
        <f t="shared" si="40"/>
        <v>1163098.807284975</v>
      </c>
      <c r="G141" s="1">
        <f t="shared" si="41"/>
        <v>372794.33104936057</v>
      </c>
      <c r="H141" s="4">
        <f t="shared" si="42"/>
        <v>0.5</v>
      </c>
      <c r="I141" s="1">
        <f t="shared" si="48"/>
        <v>581549.40364248748</v>
      </c>
      <c r="J141" s="9">
        <f t="shared" si="43"/>
        <v>0.36817408993356204</v>
      </c>
      <c r="K141" s="2">
        <f t="shared" si="49"/>
        <v>428222.84487495711</v>
      </c>
      <c r="L141" s="9">
        <f t="shared" si="44"/>
        <v>0.35056212899496353</v>
      </c>
      <c r="M141" s="2">
        <f t="shared" si="50"/>
        <v>407738.39411332359</v>
      </c>
      <c r="N141" s="34">
        <f>+VLOOKUP(A141,Diabetes!$G$1:$S$206,12,0)/100000</f>
        <v>8.5553186506352394E-2</v>
      </c>
      <c r="O141">
        <f t="shared" si="45"/>
        <v>0.47051819562911901</v>
      </c>
      <c r="P141" s="16">
        <v>5.151683E-2</v>
      </c>
      <c r="Q141">
        <v>0.36791989483125198</v>
      </c>
      <c r="R141">
        <v>0.24210314615546699</v>
      </c>
      <c r="S141" s="35">
        <v>4.44241396487247E-2</v>
      </c>
      <c r="T141" s="40">
        <f>IFERROR(VLOOKUP(A141,HTN_targets!$R$9:$X$203,6,0),L141)</f>
        <v>0.32051819562911987</v>
      </c>
      <c r="U141">
        <f t="shared" si="51"/>
        <v>1</v>
      </c>
      <c r="V141" s="15">
        <f t="shared" si="46"/>
        <v>46819.764310521947</v>
      </c>
      <c r="W141" s="15">
        <f t="shared" si="47"/>
        <v>79605.447347973997</v>
      </c>
    </row>
    <row r="142" spans="1:23" x14ac:dyDescent="0.3">
      <c r="A142" t="s">
        <v>135</v>
      </c>
      <c r="B142" s="33">
        <f>IFERROR(VLOOKUP(A142,HTN_targets!$D$1:$M$195,3,0),Q142)</f>
        <v>0.28449887000000001</v>
      </c>
      <c r="C142" s="33">
        <f>IFERROR(VLOOKUP(A142,HTN_targets!$D$1:$M$195,10,0),R142)</f>
        <v>0.11395077407360001</v>
      </c>
      <c r="D142" s="35">
        <v>6.4065643315503795E-2</v>
      </c>
      <c r="E142" s="1">
        <v>6341924.5</v>
      </c>
      <c r="F142" s="1">
        <f t="shared" si="40"/>
        <v>1804270.353875315</v>
      </c>
      <c r="G142" s="1">
        <f t="shared" si="41"/>
        <v>205598.00346214036</v>
      </c>
      <c r="H142" s="4">
        <f t="shared" si="42"/>
        <v>0.5</v>
      </c>
      <c r="I142" s="1">
        <f t="shared" si="48"/>
        <v>902135.17693765752</v>
      </c>
      <c r="J142" s="9">
        <f t="shared" si="43"/>
        <v>0.16160666837804311</v>
      </c>
      <c r="K142" s="2">
        <f t="shared" si="49"/>
        <v>291582.12074306252</v>
      </c>
      <c r="L142" s="9">
        <f t="shared" si="44"/>
        <v>0.14399470743944459</v>
      </c>
      <c r="M142" s="2">
        <f t="shared" si="50"/>
        <v>259805.38174793916</v>
      </c>
      <c r="N142" s="34">
        <f>+VLOOKUP(A142,Diabetes!$G$1:$S$206,12,0)/100000</f>
        <v>6.2195332390042303E-2</v>
      </c>
      <c r="O142">
        <f t="shared" si="45"/>
        <v>0.26395077407360001</v>
      </c>
      <c r="P142" s="16">
        <v>5.5833428333333331E-2</v>
      </c>
      <c r="Q142">
        <v>0.25413567420129701</v>
      </c>
      <c r="R142">
        <v>9.4848554057598802E-2</v>
      </c>
      <c r="S142" s="35">
        <v>6.4065643315503795E-2</v>
      </c>
      <c r="T142" s="40">
        <f>IFERROR(VLOOKUP(A142,HTN_targets!$R$9:$X$203,6,0),L142)</f>
        <v>0.1139507740736008</v>
      </c>
      <c r="U142">
        <f t="shared" si="51"/>
        <v>1</v>
      </c>
      <c r="V142" s="15">
        <f t="shared" si="46"/>
        <v>29619.815321173061</v>
      </c>
      <c r="W142" s="15">
        <f t="shared" si="47"/>
        <v>89773.755504619578</v>
      </c>
    </row>
    <row r="143" spans="1:23" x14ac:dyDescent="0.3">
      <c r="A143" t="s">
        <v>136</v>
      </c>
      <c r="B143" s="33">
        <f>IFERROR(VLOOKUP(A143,HTN_targets!$D$1:$M$195,3,0),Q143)</f>
        <v>0.54570996999999999</v>
      </c>
      <c r="C143" s="33">
        <f>IFERROR(VLOOKUP(A143,HTN_targets!$D$1:$M$195,10,0),R143)</f>
        <v>0.13947245478629999</v>
      </c>
      <c r="D143" s="35">
        <v>6.2340766165000901E-2</v>
      </c>
      <c r="E143" s="1">
        <v>4547109.5</v>
      </c>
      <c r="F143" s="1">
        <f t="shared" si="40"/>
        <v>2481402.9888317147</v>
      </c>
      <c r="G143" s="1">
        <f t="shared" si="41"/>
        <v>346087.36616642098</v>
      </c>
      <c r="H143" s="4">
        <f t="shared" si="42"/>
        <v>0.5</v>
      </c>
      <c r="I143" s="1">
        <f t="shared" si="48"/>
        <v>1240701.4944158574</v>
      </c>
      <c r="J143" s="9">
        <f t="shared" si="43"/>
        <v>0.18712834909074308</v>
      </c>
      <c r="K143" s="2">
        <f t="shared" si="49"/>
        <v>464340.84472891438</v>
      </c>
      <c r="L143" s="9">
        <f t="shared" si="44"/>
        <v>0.16951638815214456</v>
      </c>
      <c r="M143" s="2">
        <f t="shared" si="50"/>
        <v>420638.47221668862</v>
      </c>
      <c r="N143" s="34">
        <f>+VLOOKUP(A143,Diabetes!$G$1:$S$206,12,0)/100000</f>
        <v>7.9540922425118898E-2</v>
      </c>
      <c r="O143">
        <f t="shared" si="45"/>
        <v>0.28947245478630002</v>
      </c>
      <c r="P143" s="16">
        <v>4.613428E-2</v>
      </c>
      <c r="Q143">
        <v>0.61570792545378505</v>
      </c>
      <c r="R143">
        <v>0.10513328243471901</v>
      </c>
      <c r="S143" s="35">
        <v>6.2340766165000901E-2</v>
      </c>
      <c r="T143" s="40">
        <f>IFERROR(VLOOKUP(A143,HTN_targets!$R$9:$X$203,6,0),L143)</f>
        <v>0.13947245478630069</v>
      </c>
      <c r="U143">
        <f t="shared" si="51"/>
        <v>1</v>
      </c>
      <c r="V143" s="15">
        <f t="shared" si="46"/>
        <v>57134.070740575255</v>
      </c>
      <c r="W143" s="15">
        <f t="shared" si="47"/>
        <v>157898.46611209729</v>
      </c>
    </row>
    <row r="144" spans="1:23" x14ac:dyDescent="0.3">
      <c r="A144" t="s">
        <v>137</v>
      </c>
      <c r="B144" s="33">
        <f>IFERROR(VLOOKUP(A144,HTN_targets!$D$1:$M$195,3,0),Q144)</f>
        <v>0.2158062</v>
      </c>
      <c r="C144" s="33">
        <f>IFERROR(VLOOKUP(A144,HTN_targets!$D$1:$M$195,10,0),R144)</f>
        <v>0.23009750247001601</v>
      </c>
      <c r="D144" s="35">
        <v>2.6569876677069001E-2</v>
      </c>
      <c r="E144" s="1">
        <v>24104566</v>
      </c>
      <c r="F144" s="1">
        <f t="shared" si="40"/>
        <v>5201914.7911091996</v>
      </c>
      <c r="G144" s="1">
        <f t="shared" si="41"/>
        <v>1196947.6014960618</v>
      </c>
      <c r="H144" s="4">
        <f t="shared" si="42"/>
        <v>0.5</v>
      </c>
      <c r="I144" s="1">
        <f t="shared" si="48"/>
        <v>2600957.3955545998</v>
      </c>
      <c r="J144" s="9">
        <f t="shared" si="43"/>
        <v>0.27775339677445909</v>
      </c>
      <c r="K144" s="2">
        <f t="shared" si="49"/>
        <v>1444849.502961881</v>
      </c>
      <c r="L144" s="9">
        <f t="shared" si="44"/>
        <v>0.26014143583586058</v>
      </c>
      <c r="M144" s="2">
        <f t="shared" si="50"/>
        <v>1353233.582854948</v>
      </c>
      <c r="N144" s="34">
        <f>+VLOOKUP(A144,Diabetes!$G$1:$S$206,12,0)/100000</f>
        <v>3.96829225048759E-2</v>
      </c>
      <c r="O144">
        <f t="shared" si="45"/>
        <v>0.380097502470016</v>
      </c>
      <c r="P144" s="16">
        <v>3.6974750000000001E-2</v>
      </c>
      <c r="Q144">
        <v>0.228184265805734</v>
      </c>
      <c r="R144">
        <v>0.163559451483555</v>
      </c>
      <c r="S144" s="35">
        <v>2.6569876677069001E-2</v>
      </c>
      <c r="T144" s="40">
        <f>IFERROR(VLOOKUP(A144,HTN_targets!$R$9:$X$203,6,0),L144)</f>
        <v>0.23009750247001651</v>
      </c>
      <c r="U144">
        <f t="shared" si="51"/>
        <v>1</v>
      </c>
      <c r="V144" s="15">
        <f t="shared" si="46"/>
        <v>78462.456142448413</v>
      </c>
      <c r="W144" s="15">
        <f t="shared" si="47"/>
        <v>165141.74522604328</v>
      </c>
    </row>
    <row r="145" spans="1:23" x14ac:dyDescent="0.3">
      <c r="A145" t="s">
        <v>138</v>
      </c>
      <c r="B145" s="33">
        <f>IFERROR(VLOOKUP(A145,HTN_targets!$D$1:$M$195,3,0),Q145)</f>
        <v>0.33302461999999999</v>
      </c>
      <c r="C145" s="33">
        <f>IFERROR(VLOOKUP(A145,HTN_targets!$D$1:$M$195,10,0),R145)</f>
        <v>0.18982307612895899</v>
      </c>
      <c r="D145" s="35">
        <v>5.27931914818505E-2</v>
      </c>
      <c r="E145" s="1">
        <v>75880007.5</v>
      </c>
      <c r="F145" s="1">
        <f t="shared" si="40"/>
        <v>25269910.663284648</v>
      </c>
      <c r="G145" s="1">
        <f t="shared" si="41"/>
        <v>4796812.1756086741</v>
      </c>
      <c r="H145" s="4">
        <f t="shared" si="42"/>
        <v>0.5</v>
      </c>
      <c r="I145" s="1">
        <f t="shared" si="48"/>
        <v>12634955.331642324</v>
      </c>
      <c r="J145" s="9">
        <f t="shared" si="43"/>
        <v>0.23747897043340208</v>
      </c>
      <c r="K145" s="2">
        <f t="shared" si="49"/>
        <v>6001072.3672608864</v>
      </c>
      <c r="L145" s="9">
        <f t="shared" si="44"/>
        <v>0.21986700949480356</v>
      </c>
      <c r="M145" s="2">
        <f t="shared" si="50"/>
        <v>5556019.6877372433</v>
      </c>
      <c r="N145" s="34">
        <f>+VLOOKUP(A145,Diabetes!$G$1:$S$206,12,0)/100000</f>
        <v>5.37652466941929E-2</v>
      </c>
      <c r="O145">
        <f t="shared" si="45"/>
        <v>0.33982307612895901</v>
      </c>
      <c r="P145" s="16">
        <v>7.0804290000000006E-2</v>
      </c>
      <c r="Q145">
        <v>0.34661531891360903</v>
      </c>
      <c r="R145">
        <v>0.15295645225525201</v>
      </c>
      <c r="S145" s="35">
        <v>5.27931914818505E-2</v>
      </c>
      <c r="T145" s="40">
        <f>IFERROR(VLOOKUP(A145,HTN_targets!$R$9:$X$203,6,0),L145)</f>
        <v>0.18982307612895971</v>
      </c>
      <c r="U145">
        <f t="shared" si="51"/>
        <v>1</v>
      </c>
      <c r="V145" s="15">
        <f t="shared" si="46"/>
        <v>461698.23708006582</v>
      </c>
      <c r="W145" s="15">
        <f t="shared" si="47"/>
        <v>1086914.3846013721</v>
      </c>
    </row>
    <row r="146" spans="1:23" x14ac:dyDescent="0.3">
      <c r="A146" t="s">
        <v>139</v>
      </c>
      <c r="B146" s="33">
        <f>IFERROR(VLOOKUP(A146,HTN_targets!$D$1:$M$195,3,0),Q146)</f>
        <v>0.56630862000000004</v>
      </c>
      <c r="C146" s="33">
        <f>IFERROR(VLOOKUP(A146,HTN_targets!$D$1:$M$195,10,0),R146)</f>
        <v>0.38524171710014299</v>
      </c>
      <c r="D146" s="35">
        <v>7.9518434620790404E-2</v>
      </c>
      <c r="E146" s="1">
        <v>30954503.5</v>
      </c>
      <c r="F146" s="1">
        <f t="shared" si="40"/>
        <v>17529802.15987017</v>
      </c>
      <c r="G146" s="1">
        <f t="shared" si="41"/>
        <v>6753211.08449418</v>
      </c>
      <c r="H146" s="4">
        <f t="shared" si="42"/>
        <v>0.5</v>
      </c>
      <c r="I146" s="1">
        <f t="shared" si="48"/>
        <v>8764901.079935085</v>
      </c>
      <c r="J146" s="9">
        <f t="shared" si="43"/>
        <v>0.43289761140458605</v>
      </c>
      <c r="K146" s="2">
        <f t="shared" si="49"/>
        <v>7588609.4834027505</v>
      </c>
      <c r="L146" s="9">
        <f t="shared" si="44"/>
        <v>0.41528565046598753</v>
      </c>
      <c r="M146" s="2">
        <f t="shared" si="50"/>
        <v>7279875.2925017569</v>
      </c>
      <c r="N146" s="34">
        <f>+VLOOKUP(A146,Diabetes!$G$1:$S$206,12,0)/100000</f>
        <v>0.12734156034621699</v>
      </c>
      <c r="O146">
        <f t="shared" si="45"/>
        <v>0.53524171710014301</v>
      </c>
      <c r="P146" s="16">
        <v>3.1270649999999997E-2</v>
      </c>
      <c r="Q146">
        <v>0.554754397908643</v>
      </c>
      <c r="R146">
        <v>0.30091469318438002</v>
      </c>
      <c r="S146" s="35">
        <v>7.9518434620790404E-2</v>
      </c>
      <c r="T146" s="40">
        <f>IFERROR(VLOOKUP(A146,HTN_targets!$R$9:$X$203,6,0),L146)</f>
        <v>0.38524171710014338</v>
      </c>
      <c r="U146">
        <f t="shared" si="51"/>
        <v>0</v>
      </c>
      <c r="V146" s="15">
        <f t="shared" si="46"/>
        <v>1194805.29078661</v>
      </c>
      <c r="W146" s="15">
        <f t="shared" si="47"/>
        <v>1785817.8876786819</v>
      </c>
    </row>
    <row r="147" spans="1:23" x14ac:dyDescent="0.3">
      <c r="A147" t="s">
        <v>140</v>
      </c>
      <c r="B147" s="33">
        <f>IFERROR(VLOOKUP(A147,HTN_targets!$D$1:$M$195,3,0),Q147)</f>
        <v>0.40506198999999998</v>
      </c>
      <c r="C147" s="33">
        <f>IFERROR(VLOOKUP(A147,HTN_targets!$D$1:$M$195,10,0),R147)</f>
        <v>0.52177703380584695</v>
      </c>
      <c r="D147" s="35">
        <v>6.12585078177958E-2</v>
      </c>
      <c r="E147" s="1">
        <v>8679609.5</v>
      </c>
      <c r="F147" s="1">
        <f t="shared" si="40"/>
        <v>3515779.896492905</v>
      </c>
      <c r="G147" s="1">
        <f t="shared" si="41"/>
        <v>1834453.2059062955</v>
      </c>
      <c r="H147" s="4">
        <f t="shared" si="42"/>
        <v>0.52177703380584695</v>
      </c>
      <c r="I147" s="1">
        <f t="shared" si="48"/>
        <v>1834453.2059062955</v>
      </c>
      <c r="J147" s="9">
        <f t="shared" si="43"/>
        <v>0.56943292811029</v>
      </c>
      <c r="K147" s="2">
        <f t="shared" si="49"/>
        <v>2002000.8410512472</v>
      </c>
      <c r="L147" s="9">
        <f t="shared" si="44"/>
        <v>0.55182096717169149</v>
      </c>
      <c r="M147" s="2">
        <f t="shared" si="50"/>
        <v>1940081.0628455041</v>
      </c>
      <c r="N147" s="34">
        <f>+VLOOKUP(A147,Diabetes!$G$1:$S$206,12,0)/100000</f>
        <v>9.6398776176890799E-2</v>
      </c>
      <c r="O147">
        <f t="shared" si="45"/>
        <v>0.67177703380584697</v>
      </c>
      <c r="P147" s="16">
        <v>6.9664859999999995E-2</v>
      </c>
      <c r="Q147">
        <v>0.36960877123328301</v>
      </c>
      <c r="R147">
        <v>0.41005113065757798</v>
      </c>
      <c r="S147" s="35">
        <v>6.12585078177958E-2</v>
      </c>
      <c r="T147" s="40">
        <f>IFERROR(VLOOKUP(A147,HTN_targets!$R$9:$X$203,6,0),L147)</f>
        <v>0.52177703380584717</v>
      </c>
      <c r="U147">
        <f t="shared" si="51"/>
        <v>0</v>
      </c>
      <c r="V147" s="15">
        <f t="shared" si="46"/>
        <v>227676.57590252554</v>
      </c>
      <c r="W147" s="15">
        <f t="shared" si="47"/>
        <v>271133.50346338551</v>
      </c>
    </row>
    <row r="148" spans="1:23" x14ac:dyDescent="0.3">
      <c r="A148" t="s">
        <v>141</v>
      </c>
      <c r="B148" s="33">
        <f>IFERROR(VLOOKUP(A148,HTN_targets!$D$1:$M$195,3,0),Q148)</f>
        <v>0.41800374932814299</v>
      </c>
      <c r="C148" s="33">
        <f>IFERROR(VLOOKUP(A148,HTN_targets!$D$1:$M$195,10,0),R148)</f>
        <v>0.194991324329123</v>
      </c>
      <c r="D148" s="35">
        <v>4.0868773594338201E-2</v>
      </c>
      <c r="E148" s="1">
        <v>2728443</v>
      </c>
      <c r="F148" s="1">
        <f t="shared" si="40"/>
        <v>1140499.4038281264</v>
      </c>
      <c r="G148" s="1">
        <f t="shared" si="41"/>
        <v>222387.48914902163</v>
      </c>
      <c r="H148" s="4">
        <f t="shared" si="42"/>
        <v>0.5</v>
      </c>
      <c r="I148" s="1">
        <f t="shared" si="48"/>
        <v>570249.70191406319</v>
      </c>
      <c r="J148" s="9">
        <f t="shared" si="43"/>
        <v>0.24264721863356609</v>
      </c>
      <c r="K148" s="2">
        <f t="shared" si="49"/>
        <v>276739.00819213514</v>
      </c>
      <c r="L148" s="9">
        <f t="shared" si="44"/>
        <v>0.22503525769496757</v>
      </c>
      <c r="M148" s="2">
        <f t="shared" si="50"/>
        <v>256652.57724141929</v>
      </c>
      <c r="N148" s="34">
        <f>+VLOOKUP(A148,Diabetes!$G$1:$S$206,12,0)/100000</f>
        <v>0.163387906565753</v>
      </c>
      <c r="O148">
        <f t="shared" si="45"/>
        <v>0.34499132432912299</v>
      </c>
      <c r="P148" s="16">
        <v>5.5833428333333331E-2</v>
      </c>
      <c r="Q148">
        <v>0.41800374932814299</v>
      </c>
      <c r="R148">
        <v>0.194991324329123</v>
      </c>
      <c r="S148" s="35">
        <v>4.0868773594338201E-2</v>
      </c>
      <c r="T148" s="40">
        <f>IFERROR(VLOOKUP(A148,HTN_targets!$R$9:$X$203,6,0),L148)</f>
        <v>0.263377845287323</v>
      </c>
      <c r="U148">
        <f t="shared" si="51"/>
        <v>1</v>
      </c>
      <c r="V148" s="15">
        <f t="shared" si="46"/>
        <v>64286.997803117789</v>
      </c>
      <c r="W148" s="15">
        <f t="shared" si="47"/>
        <v>149075.04802477354</v>
      </c>
    </row>
    <row r="149" spans="1:23" x14ac:dyDescent="0.3">
      <c r="A149" t="s">
        <v>142</v>
      </c>
      <c r="B149" s="33">
        <f>IFERROR(VLOOKUP(A149,HTN_targets!$D$1:$M$195,3,0),Q149)</f>
        <v>0.32172455999999999</v>
      </c>
      <c r="C149" s="33">
        <f>IFERROR(VLOOKUP(A149,HTN_targets!$D$1:$M$195,10,0),R149)</f>
        <v>0.22954466938972401</v>
      </c>
      <c r="D149" s="35">
        <v>6.1859295507523497E-2</v>
      </c>
      <c r="E149" s="1">
        <v>2548954</v>
      </c>
      <c r="F149" s="1">
        <f t="shared" si="40"/>
        <v>820061.10411024</v>
      </c>
      <c r="G149" s="1">
        <f t="shared" si="41"/>
        <v>188240.6550223571</v>
      </c>
      <c r="H149" s="4">
        <f t="shared" si="42"/>
        <v>0.5</v>
      </c>
      <c r="I149" s="1">
        <f t="shared" si="48"/>
        <v>410030.55205512</v>
      </c>
      <c r="J149" s="9">
        <f t="shared" si="43"/>
        <v>0.27720056369416712</v>
      </c>
      <c r="K149" s="2">
        <f t="shared" si="49"/>
        <v>227321.4003230196</v>
      </c>
      <c r="L149" s="9">
        <f t="shared" si="44"/>
        <v>0.25958860275556861</v>
      </c>
      <c r="M149" s="2">
        <f t="shared" si="50"/>
        <v>212878.51619016609</v>
      </c>
      <c r="N149" s="34">
        <f>+VLOOKUP(A149,Diabetes!$G$1:$S$206,12,0)/100000</f>
        <v>0.16107387953589</v>
      </c>
      <c r="O149">
        <f t="shared" si="45"/>
        <v>0.37954466938972398</v>
      </c>
      <c r="P149" s="16">
        <v>5.8982390000000003E-2</v>
      </c>
      <c r="Q149">
        <v>0.41590845372645802</v>
      </c>
      <c r="R149">
        <v>0.22160882778371899</v>
      </c>
      <c r="S149" s="35">
        <v>6.1859295507523497E-2</v>
      </c>
      <c r="T149" s="40">
        <f>IFERROR(VLOOKUP(A149,HTN_targets!$R$9:$X$203,6,0),L149)</f>
        <v>0.2295446693897247</v>
      </c>
      <c r="U149">
        <f t="shared" si="51"/>
        <v>1</v>
      </c>
      <c r="V149" s="15">
        <f t="shared" si="46"/>
        <v>50134.216115156429</v>
      </c>
      <c r="W149" s="15">
        <f t="shared" si="47"/>
        <v>105672.3387964174</v>
      </c>
    </row>
    <row r="150" spans="1:23" x14ac:dyDescent="0.3">
      <c r="A150" t="s">
        <v>143</v>
      </c>
      <c r="B150" s="33">
        <f>IFERROR(VLOOKUP(A150,HTN_targets!$D$1:$M$195,3,0),Q150)</f>
        <v>0.32405036999999998</v>
      </c>
      <c r="C150" s="33">
        <f>IFERROR(VLOOKUP(A150,HTN_targets!$D$1:$M$195,10,0),R150)</f>
        <v>0.613178551197052</v>
      </c>
      <c r="D150" s="35">
        <v>2.10828262253927E-2</v>
      </c>
      <c r="E150" s="1">
        <v>44545369</v>
      </c>
      <c r="F150" s="1">
        <f t="shared" si="40"/>
        <v>14434943.30623653</v>
      </c>
      <c r="G150" s="1">
        <f t="shared" si="41"/>
        <v>8851197.6231296994</v>
      </c>
      <c r="H150" s="4">
        <f t="shared" si="42"/>
        <v>0.613178551197052</v>
      </c>
      <c r="I150" s="1">
        <f t="shared" si="48"/>
        <v>8851197.6231296994</v>
      </c>
      <c r="J150" s="9">
        <f t="shared" si="43"/>
        <v>0.66083444550149506</v>
      </c>
      <c r="K150" s="2">
        <f t="shared" si="49"/>
        <v>9539107.7556223348</v>
      </c>
      <c r="L150" s="9">
        <f t="shared" si="44"/>
        <v>0.64322248456289655</v>
      </c>
      <c r="M150" s="2">
        <f t="shared" si="50"/>
        <v>9284880.0979620125</v>
      </c>
      <c r="N150" s="34">
        <f>+VLOOKUP(A150,Diabetes!$G$1:$S$206,12,0)/100000</f>
        <v>0.101938831504262</v>
      </c>
      <c r="O150">
        <f t="shared" si="45"/>
        <v>0.76317855119705202</v>
      </c>
      <c r="P150" s="16">
        <v>5.5833428333333331E-2</v>
      </c>
      <c r="Q150">
        <v>0.38</v>
      </c>
      <c r="R150">
        <v>0.504369377380392</v>
      </c>
      <c r="S150" s="35">
        <v>2.10828262253927E-2</v>
      </c>
      <c r="T150" s="40">
        <f>IFERROR(VLOOKUP(A150,HTN_targets!$R$9:$X$203,6,0),L150)</f>
        <v>0.613178551197052</v>
      </c>
      <c r="U150">
        <f t="shared" si="51"/>
        <v>0</v>
      </c>
      <c r="V150" s="15">
        <f t="shared" si="46"/>
        <v>1123002.9311353459</v>
      </c>
      <c r="W150" s="15">
        <f t="shared" si="47"/>
        <v>1177185.0027744162</v>
      </c>
    </row>
    <row r="151" spans="1:23" x14ac:dyDescent="0.3">
      <c r="A151" t="s">
        <v>144</v>
      </c>
      <c r="B151" s="33">
        <f>IFERROR(VLOOKUP(A151,HTN_targets!$D$1:$M$195,3,0),Q151)</f>
        <v>0.49117055999999998</v>
      </c>
      <c r="C151" s="33">
        <f>IFERROR(VLOOKUP(A151,HTN_targets!$D$1:$M$195,10,0),R151)</f>
        <v>9.9917821586131994E-2</v>
      </c>
      <c r="D151" s="35">
        <v>8.1114849063015901E-2</v>
      </c>
      <c r="E151" s="1">
        <v>2256659.5</v>
      </c>
      <c r="F151" s="1">
        <f t="shared" si="40"/>
        <v>1108404.7103443199</v>
      </c>
      <c r="G151" s="1">
        <f t="shared" si="41"/>
        <v>110749.38409341207</v>
      </c>
      <c r="H151" s="4">
        <f t="shared" si="42"/>
        <v>0.5</v>
      </c>
      <c r="I151" s="1">
        <f t="shared" si="48"/>
        <v>554202.35517215997</v>
      </c>
      <c r="J151" s="9">
        <f t="shared" si="43"/>
        <v>0.14757371589057508</v>
      </c>
      <c r="K151" s="2">
        <f t="shared" si="49"/>
        <v>163571.40181612782</v>
      </c>
      <c r="L151" s="9">
        <f t="shared" si="44"/>
        <v>0.12996175495197657</v>
      </c>
      <c r="M151" s="2">
        <f t="shared" si="50"/>
        <v>144050.22135338507</v>
      </c>
      <c r="N151" s="34">
        <f>+VLOOKUP(A151,Diabetes!$G$1:$S$206,12,0)/100000</f>
        <v>8.8085032430856899E-2</v>
      </c>
      <c r="O151">
        <f t="shared" si="45"/>
        <v>0.24991782158613199</v>
      </c>
      <c r="P151" s="16">
        <v>5.5833428333333331E-2</v>
      </c>
      <c r="Q151">
        <v>0.38</v>
      </c>
      <c r="R151">
        <v>7.9210418710371003E-2</v>
      </c>
      <c r="S151" s="35">
        <v>8.1114849063015901E-2</v>
      </c>
      <c r="T151" s="40">
        <f>IFERROR(VLOOKUP(A151,HTN_targets!$R$9:$X$203,6,0),L151)</f>
        <v>9.991782158613205E-2</v>
      </c>
      <c r="U151">
        <f t="shared" si="51"/>
        <v>0</v>
      </c>
      <c r="V151" s="15">
        <f t="shared" si="46"/>
        <v>24400.442818144726</v>
      </c>
      <c r="W151" s="15">
        <f t="shared" si="47"/>
        <v>78107.091885755173</v>
      </c>
    </row>
    <row r="152" spans="1:23" x14ac:dyDescent="0.3">
      <c r="A152" t="s">
        <v>145</v>
      </c>
      <c r="B152" s="33">
        <f>IFERROR(VLOOKUP(A152,HTN_targets!$D$1:$M$195,3,0),Q152)</f>
        <v>0.55706233000000005</v>
      </c>
      <c r="C152" s="33">
        <f>IFERROR(VLOOKUP(A152,HTN_targets!$D$1:$M$195,10,0),R152)</f>
        <v>0.32518625259399397</v>
      </c>
      <c r="D152" s="35">
        <v>8.4730292933947196E-2</v>
      </c>
      <c r="E152" s="1">
        <v>15090675</v>
      </c>
      <c r="F152" s="1">
        <f t="shared" si="40"/>
        <v>8406446.5767727513</v>
      </c>
      <c r="G152" s="1">
        <f t="shared" si="41"/>
        <v>2733660.8599323398</v>
      </c>
      <c r="H152" s="4">
        <f t="shared" si="42"/>
        <v>0.5</v>
      </c>
      <c r="I152" s="1">
        <f t="shared" si="48"/>
        <v>4203223.2883863756</v>
      </c>
      <c r="J152" s="9">
        <f t="shared" si="43"/>
        <v>0.37284214689843709</v>
      </c>
      <c r="K152" s="2">
        <f t="shared" si="49"/>
        <v>3134277.5894709695</v>
      </c>
      <c r="L152" s="9">
        <f t="shared" si="44"/>
        <v>0.35523018595983857</v>
      </c>
      <c r="M152" s="2">
        <f t="shared" si="50"/>
        <v>2986223.5807284326</v>
      </c>
      <c r="N152" s="34">
        <f>+VLOOKUP(A152,Diabetes!$G$1:$S$206,12,0)/100000</f>
        <v>6.4058665604117201E-2</v>
      </c>
      <c r="O152">
        <f t="shared" si="45"/>
        <v>0.47518625259399394</v>
      </c>
      <c r="P152" s="16">
        <v>2.8359820000000001E-2</v>
      </c>
      <c r="Q152">
        <v>0.52619138603749105</v>
      </c>
      <c r="R152">
        <v>0.26437895645515602</v>
      </c>
      <c r="S152" s="35">
        <v>8.4730292933947196E-2</v>
      </c>
      <c r="T152" s="40">
        <f>IFERROR(VLOOKUP(A152,HTN_targets!$R$9:$X$203,6,0),L152)</f>
        <v>0.32518625259399409</v>
      </c>
      <c r="U152">
        <f t="shared" si="51"/>
        <v>0</v>
      </c>
      <c r="V152" s="15">
        <f t="shared" si="46"/>
        <v>255890.52942852344</v>
      </c>
      <c r="W152" s="15">
        <f t="shared" si="47"/>
        <v>430804.6001442892</v>
      </c>
    </row>
    <row r="153" spans="1:23" x14ac:dyDescent="0.3">
      <c r="A153" t="s">
        <v>146</v>
      </c>
      <c r="B153" s="33">
        <f>IFERROR(VLOOKUP(A153,HTN_targets!$D$1:$M$195,3,0),Q153)</f>
        <v>0.46653857999999998</v>
      </c>
      <c r="C153" s="33">
        <f>IFERROR(VLOOKUP(A153,HTN_targets!$D$1:$M$195,10,0),R153)</f>
        <v>0.20034222304821001</v>
      </c>
      <c r="D153" s="35">
        <v>7.0790721769224005E-2</v>
      </c>
      <c r="E153" s="1">
        <v>112830721</v>
      </c>
      <c r="F153" s="1">
        <f t="shared" si="40"/>
        <v>52639884.355716176</v>
      </c>
      <c r="G153" s="1">
        <f t="shared" si="41"/>
        <v>10545991.45282487</v>
      </c>
      <c r="H153" s="4">
        <f t="shared" si="42"/>
        <v>0.5</v>
      </c>
      <c r="I153" s="1">
        <f t="shared" si="48"/>
        <v>26319942.177858088</v>
      </c>
      <c r="J153" s="9">
        <f t="shared" si="43"/>
        <v>0.24799811735265309</v>
      </c>
      <c r="K153" s="2">
        <f t="shared" si="49"/>
        <v>13054592.217878988</v>
      </c>
      <c r="L153" s="9">
        <f t="shared" si="44"/>
        <v>0.23038615641405458</v>
      </c>
      <c r="M153" s="2">
        <f t="shared" si="50"/>
        <v>12127500.630793771</v>
      </c>
      <c r="N153" s="34">
        <f>+VLOOKUP(A153,Diabetes!$G$1:$S$206,12,0)/100000</f>
        <v>7.1313296300835896E-2</v>
      </c>
      <c r="O153">
        <f t="shared" si="45"/>
        <v>0.35034222304821</v>
      </c>
      <c r="P153" s="16">
        <v>5.5833428333333331E-2</v>
      </c>
      <c r="Q153">
        <v>0.47280062000367301</v>
      </c>
      <c r="R153">
        <v>0.15700979914066401</v>
      </c>
      <c r="S153" s="35">
        <v>7.0790721769224005E-2</v>
      </c>
      <c r="T153" s="40">
        <f>IFERROR(VLOOKUP(A153,HTN_targets!$R$9:$X$203,6,0),L153)</f>
        <v>0.20034222304821009</v>
      </c>
      <c r="U153">
        <f t="shared" si="51"/>
        <v>0</v>
      </c>
      <c r="V153" s="15">
        <f t="shared" si="46"/>
        <v>1315157.9638065214</v>
      </c>
      <c r="W153" s="15">
        <f t="shared" si="47"/>
        <v>3003138.9362407392</v>
      </c>
    </row>
    <row r="154" spans="1:23" x14ac:dyDescent="0.3">
      <c r="A154" t="s">
        <v>147</v>
      </c>
      <c r="B154" s="33">
        <f>IFERROR(VLOOKUP(A154,HTN_targets!$D$1:$M$195,3,0),Q154)</f>
        <v>0.25440397999999997</v>
      </c>
      <c r="C154" s="33">
        <f>IFERROR(VLOOKUP(A154,HTN_targets!$D$1:$M$195,10,0),R154)</f>
        <v>6.9748483598232297E-2</v>
      </c>
      <c r="D154" s="35">
        <v>6.6543237265870497E-2</v>
      </c>
      <c r="E154" s="1">
        <v>7901507.5</v>
      </c>
      <c r="F154" s="1">
        <f t="shared" si="40"/>
        <v>2010174.9559998498</v>
      </c>
      <c r="G154" s="1">
        <f t="shared" si="41"/>
        <v>140206.65494813287</v>
      </c>
      <c r="H154" s="4">
        <f t="shared" si="42"/>
        <v>0.5</v>
      </c>
      <c r="I154" s="1">
        <f t="shared" si="48"/>
        <v>1005087.4779999249</v>
      </c>
      <c r="J154" s="9">
        <f t="shared" si="43"/>
        <v>0.11740437790267538</v>
      </c>
      <c r="K154" s="2">
        <f t="shared" si="49"/>
        <v>236003.34018470024</v>
      </c>
      <c r="L154" s="9">
        <f t="shared" si="44"/>
        <v>9.9792416964076869E-2</v>
      </c>
      <c r="M154" s="2">
        <f t="shared" si="50"/>
        <v>200600.21737988188</v>
      </c>
      <c r="N154" s="34">
        <f>+VLOOKUP(A154,Diabetes!$G$1:$S$206,12,0)/100000</f>
        <v>1.8249076334640599E-2</v>
      </c>
      <c r="O154">
        <f t="shared" si="45"/>
        <v>0.21974848359823229</v>
      </c>
      <c r="P154" s="16">
        <v>4.6949030000000003E-2</v>
      </c>
      <c r="Q154">
        <v>0.28512826592874702</v>
      </c>
      <c r="R154">
        <v>5.8729295989525601E-2</v>
      </c>
      <c r="S154" s="35">
        <v>6.6543237265870497E-2</v>
      </c>
      <c r="T154" s="40">
        <f>IFERROR(VLOOKUP(A154,HTN_targets!$R$9:$X$203,6,0),L154)</f>
        <v>6.9748483598232269E-2</v>
      </c>
      <c r="U154">
        <f t="shared" si="51"/>
        <v>0</v>
      </c>
      <c r="V154" s="15">
        <f t="shared" si="46"/>
        <v>8061.2173814767011</v>
      </c>
      <c r="W154" s="15">
        <f t="shared" si="47"/>
        <v>29347.068974419253</v>
      </c>
    </row>
    <row r="155" spans="1:23" x14ac:dyDescent="0.3">
      <c r="A155" t="s">
        <v>148</v>
      </c>
      <c r="B155" s="33">
        <f>IFERROR(VLOOKUP(A155,HTN_targets!$D$1:$M$195,3,0),Q155)</f>
        <v>0.41897838999999998</v>
      </c>
      <c r="C155" s="33">
        <f>IFERROR(VLOOKUP(A155,HTN_targets!$D$1:$M$195,10,0),R155)</f>
        <v>0.23869432508945401</v>
      </c>
      <c r="D155" s="35">
        <v>7.2044443088114807E-2</v>
      </c>
      <c r="E155" s="1">
        <v>139295.5</v>
      </c>
      <c r="F155" s="1">
        <f t="shared" si="40"/>
        <v>58361.804324245</v>
      </c>
      <c r="G155" s="1">
        <f t="shared" si="41"/>
        <v>13930.631494178439</v>
      </c>
      <c r="H155" s="4">
        <f t="shared" si="42"/>
        <v>0.5</v>
      </c>
      <c r="I155" s="1">
        <f t="shared" si="48"/>
        <v>29180.9021621225</v>
      </c>
      <c r="J155" s="9">
        <f t="shared" si="43"/>
        <v>0.2863502193938971</v>
      </c>
      <c r="K155" s="2">
        <f t="shared" si="49"/>
        <v>16711.91547247125</v>
      </c>
      <c r="L155" s="9">
        <f t="shared" si="44"/>
        <v>0.26873825845529858</v>
      </c>
      <c r="M155" s="2">
        <f t="shared" si="50"/>
        <v>15684.049654406515</v>
      </c>
      <c r="N155" s="34">
        <f>+VLOOKUP(A155,Diabetes!$G$1:$S$206,12,0)/100000</f>
        <v>0.15278282268673599</v>
      </c>
      <c r="O155">
        <f t="shared" si="45"/>
        <v>0.38869432508945401</v>
      </c>
      <c r="P155" s="16">
        <v>5.5833428333333331E-2</v>
      </c>
      <c r="Q155">
        <v>0.38800986015100902</v>
      </c>
      <c r="R155">
        <v>0.17001465580830899</v>
      </c>
      <c r="S155" s="35">
        <v>7.2044443088114807E-2</v>
      </c>
      <c r="T155" s="40">
        <f>IFERROR(VLOOKUP(A155,HTN_targets!$R$9:$X$203,6,0),L155)</f>
        <v>0.23869432508945471</v>
      </c>
      <c r="U155">
        <f t="shared" si="51"/>
        <v>1</v>
      </c>
      <c r="V155" s="15">
        <f t="shared" si="46"/>
        <v>3465.8633817516898</v>
      </c>
      <c r="W155" s="15">
        <f t="shared" si="47"/>
        <v>7133.3449613992843</v>
      </c>
    </row>
    <row r="156" spans="1:23" x14ac:dyDescent="0.3">
      <c r="A156" t="s">
        <v>149</v>
      </c>
      <c r="B156" s="33">
        <f>IFERROR(VLOOKUP(A156,HTN_targets!$D$1:$M$195,3,0),Q156)</f>
        <v>0.42489009999999999</v>
      </c>
      <c r="C156" s="33">
        <f>IFERROR(VLOOKUP(A156,HTN_targets!$D$1:$M$195,10,0),R156)</f>
        <v>0.23237210512161199</v>
      </c>
      <c r="D156" s="35">
        <v>5.7628817575969597E-2</v>
      </c>
      <c r="E156" s="1">
        <v>72953.5</v>
      </c>
      <c r="F156" s="1">
        <f t="shared" si="40"/>
        <v>30997.219910349999</v>
      </c>
      <c r="G156" s="1">
        <f t="shared" si="41"/>
        <v>7202.8892434855743</v>
      </c>
      <c r="H156" s="4">
        <f t="shared" si="42"/>
        <v>0.5</v>
      </c>
      <c r="I156" s="1">
        <f t="shared" si="48"/>
        <v>15498.609955174999</v>
      </c>
      <c r="J156" s="9">
        <f t="shared" si="43"/>
        <v>0.28002799942605505</v>
      </c>
      <c r="K156" s="2">
        <f t="shared" si="49"/>
        <v>8680.0894792647923</v>
      </c>
      <c r="L156" s="9">
        <f t="shared" si="44"/>
        <v>0.26241603848745654</v>
      </c>
      <c r="M156" s="2">
        <f t="shared" si="50"/>
        <v>8134.1676529985598</v>
      </c>
      <c r="N156" s="34">
        <f>+VLOOKUP(A156,Diabetes!$G$1:$S$206,12,0)/100000</f>
        <v>0.14908691232107199</v>
      </c>
      <c r="O156">
        <f t="shared" si="45"/>
        <v>0.38237210512161202</v>
      </c>
      <c r="P156" s="16">
        <v>5.5833428333333331E-2</v>
      </c>
      <c r="Q156">
        <v>0.37165519539220099</v>
      </c>
      <c r="R156">
        <v>0.174979002887823</v>
      </c>
      <c r="S156" s="35">
        <v>5.7628817575969597E-2</v>
      </c>
      <c r="T156" s="40">
        <f>IFERROR(VLOOKUP(A156,HTN_targets!$R$9:$X$203,6,0),L156)</f>
        <v>0.23237210512161249</v>
      </c>
      <c r="U156">
        <f t="shared" si="51"/>
        <v>0</v>
      </c>
      <c r="V156" s="15">
        <f t="shared" si="46"/>
        <v>1767.048488147627</v>
      </c>
      <c r="W156" s="15">
        <f t="shared" si="47"/>
        <v>3697.02384557707</v>
      </c>
    </row>
    <row r="157" spans="1:23" x14ac:dyDescent="0.3">
      <c r="A157" t="s">
        <v>150</v>
      </c>
      <c r="B157" s="33">
        <f>IFERROR(VLOOKUP(A157,HTN_targets!$D$1:$M$195,3,0),Q157)</f>
        <v>0.40781662000000002</v>
      </c>
      <c r="C157" s="33">
        <f>IFERROR(VLOOKUP(A157,HTN_targets!$D$1:$M$195,10,0),R157)</f>
        <v>0.11078102141618699</v>
      </c>
      <c r="D157" s="35">
        <v>5.85738460475385E-2</v>
      </c>
      <c r="E157" s="1">
        <v>115327.5</v>
      </c>
      <c r="F157" s="1">
        <f t="shared" si="40"/>
        <v>47032.47124305</v>
      </c>
      <c r="G157" s="1">
        <f t="shared" si="41"/>
        <v>5210.305204032521</v>
      </c>
      <c r="H157" s="4">
        <f t="shared" si="42"/>
        <v>0.5</v>
      </c>
      <c r="I157" s="1">
        <f t="shared" si="48"/>
        <v>23516.235621525</v>
      </c>
      <c r="J157" s="9">
        <f t="shared" si="43"/>
        <v>0.15843691572063007</v>
      </c>
      <c r="K157" s="2">
        <f t="shared" si="49"/>
        <v>7451.6796824680705</v>
      </c>
      <c r="L157" s="9">
        <f t="shared" si="44"/>
        <v>0.14082495478203155</v>
      </c>
      <c r="M157" s="2">
        <f t="shared" si="50"/>
        <v>6623.3456360897153</v>
      </c>
      <c r="N157" s="34">
        <f>+VLOOKUP(A157,Diabetes!$G$1:$S$206,12,0)/100000</f>
        <v>0.121882596108583</v>
      </c>
      <c r="O157">
        <f t="shared" si="45"/>
        <v>0.26078102141618698</v>
      </c>
      <c r="P157" s="16">
        <v>9.1786839999999995E-2</v>
      </c>
      <c r="Q157">
        <v>0.38605704908627803</v>
      </c>
      <c r="R157">
        <v>9.9272341888688498E-2</v>
      </c>
      <c r="S157" s="35">
        <v>5.85738460475385E-2</v>
      </c>
      <c r="T157" s="40">
        <f>IFERROR(VLOOKUP(A157,HTN_targets!$R$9:$X$203,6,0),L157)</f>
        <v>0.1107810214161873</v>
      </c>
      <c r="U157">
        <f t="shared" si="51"/>
        <v>0</v>
      </c>
      <c r="V157" s="15">
        <f t="shared" si="46"/>
        <v>1494.9114792613248</v>
      </c>
      <c r="W157" s="15">
        <f t="shared" si="47"/>
        <v>4585.9517572041659</v>
      </c>
    </row>
    <row r="158" spans="1:23" x14ac:dyDescent="0.3">
      <c r="A158" t="s">
        <v>151</v>
      </c>
      <c r="B158" s="33">
        <f>IFERROR(VLOOKUP(A158,HTN_targets!$D$1:$M$195,3,0),Q158)</f>
        <v>0.41181925000000003</v>
      </c>
      <c r="C158" s="33">
        <f>IFERROR(VLOOKUP(A158,HTN_targets!$D$1:$M$195,10,0),R158)</f>
        <v>0.111149907112121</v>
      </c>
      <c r="D158" s="35">
        <v>6.4962002018051204E-2</v>
      </c>
      <c r="E158" s="1">
        <v>127969.5</v>
      </c>
      <c r="F158" s="1">
        <f t="shared" si="40"/>
        <v>52700.303512875005</v>
      </c>
      <c r="G158" s="1">
        <f t="shared" si="41"/>
        <v>5857.6338402366409</v>
      </c>
      <c r="H158" s="4">
        <f t="shared" si="42"/>
        <v>0.5</v>
      </c>
      <c r="I158" s="1">
        <f t="shared" si="48"/>
        <v>26350.151756437503</v>
      </c>
      <c r="J158" s="9">
        <f t="shared" si="43"/>
        <v>0.15880580141656409</v>
      </c>
      <c r="K158" s="2">
        <f t="shared" si="49"/>
        <v>8369.1139342582828</v>
      </c>
      <c r="L158" s="9">
        <f t="shared" si="44"/>
        <v>0.14119384047796557</v>
      </c>
      <c r="M158" s="2">
        <f t="shared" si="50"/>
        <v>7440.958247337242</v>
      </c>
      <c r="N158" s="34">
        <f>+VLOOKUP(A158,Diabetes!$G$1:$S$206,12,0)/100000</f>
        <v>5.0450410084788899E-2</v>
      </c>
      <c r="O158">
        <f t="shared" si="45"/>
        <v>0.26114990711212099</v>
      </c>
      <c r="P158" s="16">
        <v>5.5833428333333331E-2</v>
      </c>
      <c r="Q158">
        <v>0.41934693908241499</v>
      </c>
      <c r="R158">
        <v>8.2465198543270501E-2</v>
      </c>
      <c r="S158" s="35">
        <v>6.4962002018051204E-2</v>
      </c>
      <c r="T158" s="40">
        <f>IFERROR(VLOOKUP(A158,HTN_targets!$R$9:$X$203,6,0),L158)</f>
        <v>0.1111499071121216</v>
      </c>
      <c r="U158">
        <f t="shared" si="51"/>
        <v>1</v>
      </c>
      <c r="V158" s="15">
        <f t="shared" si="46"/>
        <v>694.33281793908304</v>
      </c>
      <c r="W158" s="15">
        <f t="shared" si="47"/>
        <v>2127.0015390539079</v>
      </c>
    </row>
    <row r="159" spans="1:23" x14ac:dyDescent="0.3">
      <c r="A159" t="s">
        <v>152</v>
      </c>
      <c r="B159" s="33">
        <f>IFERROR(VLOOKUP(A159,HTN_targets!$D$1:$M$195,3,0),Q159)</f>
        <v>0.30026403000000002</v>
      </c>
      <c r="C159" s="33">
        <f>IFERROR(VLOOKUP(A159,HTN_targets!$D$1:$M$195,10,0),R159)</f>
        <v>0.21793961524963301</v>
      </c>
      <c r="D159" s="35">
        <v>6.28090505871223E-2</v>
      </c>
      <c r="E159" s="1">
        <v>24409890</v>
      </c>
      <c r="F159" s="1">
        <f t="shared" si="40"/>
        <v>7329411.9432567004</v>
      </c>
      <c r="G159" s="1">
        <f t="shared" si="41"/>
        <v>1597369.2189194304</v>
      </c>
      <c r="H159" s="4">
        <f t="shared" si="42"/>
        <v>0.5</v>
      </c>
      <c r="I159" s="1">
        <f t="shared" si="48"/>
        <v>3664705.9716283502</v>
      </c>
      <c r="J159" s="9">
        <f t="shared" si="43"/>
        <v>0.26559550955407607</v>
      </c>
      <c r="K159" s="2">
        <f t="shared" si="49"/>
        <v>1946658.8998009942</v>
      </c>
      <c r="L159" s="9">
        <f t="shared" si="44"/>
        <v>0.24798354861547758</v>
      </c>
      <c r="M159" s="2">
        <f t="shared" si="50"/>
        <v>1817573.58295346</v>
      </c>
      <c r="N159" s="34">
        <f>+VLOOKUP(A159,Diabetes!$G$1:$S$206,12,0)/100000</f>
        <v>0.22034222816087801</v>
      </c>
      <c r="O159">
        <f t="shared" si="45"/>
        <v>0.36793961524963303</v>
      </c>
      <c r="P159" s="16">
        <v>5.5833428333333331E-2</v>
      </c>
      <c r="Q159">
        <v>0.36250232769405499</v>
      </c>
      <c r="R159">
        <v>0.19972922659834699</v>
      </c>
      <c r="S159" s="35">
        <v>6.28090505871223E-2</v>
      </c>
      <c r="T159" s="40">
        <f>IFERROR(VLOOKUP(A159,HTN_targets!$R$9:$X$203,6,0),L159)</f>
        <v>0.21793961524963379</v>
      </c>
      <c r="U159">
        <f t="shared" si="51"/>
        <v>1</v>
      </c>
      <c r="V159" s="15">
        <f t="shared" si="46"/>
        <v>594214.73669522849</v>
      </c>
      <c r="W159" s="15">
        <f t="shared" si="47"/>
        <v>1291983.1669489059</v>
      </c>
    </row>
    <row r="160" spans="1:23" x14ac:dyDescent="0.3">
      <c r="A160" t="s">
        <v>153</v>
      </c>
      <c r="B160" s="33">
        <f>IFERROR(VLOOKUP(A160,HTN_targets!$D$1:$M$195,3,0),Q160)</f>
        <v>0.35949620999999998</v>
      </c>
      <c r="C160" s="33">
        <f>IFERROR(VLOOKUP(A160,HTN_targets!$D$1:$M$195,10,0),R160)</f>
        <v>0.111164346337318</v>
      </c>
      <c r="D160" s="35">
        <v>8.3438094504817803E-2</v>
      </c>
      <c r="E160" s="1">
        <v>10093750.5</v>
      </c>
      <c r="F160" s="1">
        <f t="shared" si="40"/>
        <v>3628665.0494356048</v>
      </c>
      <c r="G160" s="1">
        <f t="shared" si="41"/>
        <v>403378.17829758074</v>
      </c>
      <c r="H160" s="4">
        <f t="shared" si="42"/>
        <v>0.5</v>
      </c>
      <c r="I160" s="1">
        <f t="shared" si="48"/>
        <v>1814332.5247178024</v>
      </c>
      <c r="J160" s="9">
        <f t="shared" si="43"/>
        <v>0.15882024064176109</v>
      </c>
      <c r="K160" s="2">
        <f t="shared" si="49"/>
        <v>576305.45635971066</v>
      </c>
      <c r="L160" s="9">
        <f t="shared" si="44"/>
        <v>0.14120827970316258</v>
      </c>
      <c r="M160" s="2">
        <f t="shared" si="50"/>
        <v>512397.54924979317</v>
      </c>
      <c r="N160" s="34">
        <f>+VLOOKUP(A160,Diabetes!$G$1:$S$206,12,0)/100000</f>
        <v>4.9875764066306699E-2</v>
      </c>
      <c r="O160">
        <f t="shared" si="45"/>
        <v>0.261164346337318</v>
      </c>
      <c r="P160" s="16">
        <v>6.1410699999999999E-2</v>
      </c>
      <c r="Q160">
        <v>0.372691693265221</v>
      </c>
      <c r="R160">
        <v>8.5582271480588196E-2</v>
      </c>
      <c r="S160" s="35">
        <v>8.3438094504817803E-2</v>
      </c>
      <c r="T160" s="40">
        <f>IFERROR(VLOOKUP(A160,HTN_targets!$R$9:$X$203,6,0),L160)</f>
        <v>0.11116434633731841</v>
      </c>
      <c r="U160">
        <f t="shared" si="51"/>
        <v>0</v>
      </c>
      <c r="V160" s="15">
        <f t="shared" si="46"/>
        <v>47266.161132462235</v>
      </c>
      <c r="W160" s="15">
        <f t="shared" si="47"/>
        <v>144785.95350504268</v>
      </c>
    </row>
    <row r="161" spans="1:23" x14ac:dyDescent="0.3">
      <c r="A161" t="s">
        <v>154</v>
      </c>
      <c r="B161" s="33">
        <f>IFERROR(VLOOKUP(A161,HTN_targets!$D$1:$M$195,3,0),Q161)</f>
        <v>0.53329073999999999</v>
      </c>
      <c r="C161" s="33">
        <f>IFERROR(VLOOKUP(A161,HTN_targets!$D$1:$M$195,10,0),R161)</f>
        <v>0.29544198513031</v>
      </c>
      <c r="D161" s="35">
        <v>7.9866127384168401E-2</v>
      </c>
      <c r="E161" s="1">
        <v>5470023</v>
      </c>
      <c r="F161" s="1">
        <f t="shared" si="40"/>
        <v>2917112.6134870201</v>
      </c>
      <c r="G161" s="1">
        <f t="shared" si="41"/>
        <v>861837.54137727199</v>
      </c>
      <c r="H161" s="4">
        <f t="shared" si="42"/>
        <v>0.5</v>
      </c>
      <c r="I161" s="1">
        <f t="shared" si="48"/>
        <v>1458556.3067435101</v>
      </c>
      <c r="J161" s="9">
        <f t="shared" si="43"/>
        <v>0.34309787943475312</v>
      </c>
      <c r="K161" s="2">
        <f t="shared" si="49"/>
        <v>1000855.1517597672</v>
      </c>
      <c r="L161" s="9">
        <f t="shared" si="44"/>
        <v>0.3254859184961546</v>
      </c>
      <c r="M161" s="2">
        <f t="shared" si="50"/>
        <v>949479.07835754077</v>
      </c>
      <c r="N161" s="34">
        <f>+VLOOKUP(A161,Diabetes!$G$1:$S$206,12,0)/100000</f>
        <v>9.1885717952975302E-2</v>
      </c>
      <c r="O161">
        <f t="shared" si="45"/>
        <v>0.44544198513030997</v>
      </c>
      <c r="P161" s="16">
        <v>3.4695230000000001E-2</v>
      </c>
      <c r="Q161">
        <v>0.49854277924977097</v>
      </c>
      <c r="R161">
        <v>0.22363961172108099</v>
      </c>
      <c r="S161" s="35">
        <v>7.9866127384168401E-2</v>
      </c>
      <c r="T161" s="40">
        <f>IFERROR(VLOOKUP(A161,HTN_targets!$R$9:$X$203,6,0),L161)</f>
        <v>0.29544198513031011</v>
      </c>
      <c r="U161">
        <f t="shared" si="51"/>
        <v>0</v>
      </c>
      <c r="V161" s="15">
        <f t="shared" si="46"/>
        <v>119396.70927426794</v>
      </c>
      <c r="W161" s="15">
        <f t="shared" si="47"/>
        <v>214432.78947194802</v>
      </c>
    </row>
    <row r="162" spans="1:23" x14ac:dyDescent="0.3">
      <c r="A162" t="s">
        <v>155</v>
      </c>
      <c r="B162" s="33">
        <f>IFERROR(VLOOKUP(A162,HTN_targets!$D$1:$M$195,3,0),Q162)</f>
        <v>0.44280037</v>
      </c>
      <c r="C162" s="33">
        <f>IFERROR(VLOOKUP(A162,HTN_targets!$D$1:$M$195,10,0),R162)</f>
        <v>0.30696725845336897</v>
      </c>
      <c r="D162" s="35">
        <v>6.1749785252788E-2</v>
      </c>
      <c r="E162" s="1">
        <v>99937.5</v>
      </c>
      <c r="F162" s="1">
        <f t="shared" si="40"/>
        <v>44252.361976875</v>
      </c>
      <c r="G162" s="1">
        <f t="shared" si="41"/>
        <v>13584.026236127425</v>
      </c>
      <c r="H162" s="4">
        <f t="shared" si="42"/>
        <v>0.5</v>
      </c>
      <c r="I162" s="1">
        <f t="shared" si="48"/>
        <v>22126.1809884375</v>
      </c>
      <c r="J162" s="9">
        <f t="shared" si="43"/>
        <v>0.35462315275781209</v>
      </c>
      <c r="K162" s="2">
        <f t="shared" si="49"/>
        <v>15692.912121219339</v>
      </c>
      <c r="L162" s="9">
        <f t="shared" si="44"/>
        <v>0.33701119181921357</v>
      </c>
      <c r="M162" s="2">
        <f t="shared" si="50"/>
        <v>14913.541250641894</v>
      </c>
      <c r="N162" s="34">
        <f>+VLOOKUP(A162,Diabetes!$G$1:$S$206,12,0)/100000</f>
        <v>0.11470100772502999</v>
      </c>
      <c r="O162">
        <f t="shared" si="45"/>
        <v>0.45696725845336894</v>
      </c>
      <c r="P162" s="16">
        <v>7.9026669999999993E-2</v>
      </c>
      <c r="Q162">
        <v>0.45800973575725501</v>
      </c>
      <c r="R162">
        <v>0.21457184874964799</v>
      </c>
      <c r="S162" s="35">
        <v>6.1749785252788E-2</v>
      </c>
      <c r="T162" s="40">
        <f>IFERROR(VLOOKUP(A162,HTN_targets!$R$9:$X$203,6,0),L162)</f>
        <v>0.30696725845336909</v>
      </c>
      <c r="U162">
        <f t="shared" si="51"/>
        <v>0</v>
      </c>
      <c r="V162" s="15">
        <f t="shared" si="46"/>
        <v>2319.4700751911159</v>
      </c>
      <c r="W162" s="15">
        <f t="shared" si="47"/>
        <v>4060.63241036829</v>
      </c>
    </row>
    <row r="163" spans="1:23" x14ac:dyDescent="0.3">
      <c r="A163" t="s">
        <v>156</v>
      </c>
      <c r="B163" s="33">
        <f>IFERROR(VLOOKUP(A163,HTN_targets!$D$1:$M$195,3,0),Q163)</f>
        <v>0.35933652999999999</v>
      </c>
      <c r="C163" s="33">
        <f>IFERROR(VLOOKUP(A163,HTN_targets!$D$1:$M$195,10,0),R163)</f>
        <v>0.101970054209232</v>
      </c>
      <c r="D163" s="35">
        <v>8.3742682263498194E-2</v>
      </c>
      <c r="E163" s="1">
        <v>4720661</v>
      </c>
      <c r="F163" s="1">
        <f t="shared" si="40"/>
        <v>1696305.94304633</v>
      </c>
      <c r="G163" s="1">
        <f t="shared" si="41"/>
        <v>172972.40896787669</v>
      </c>
      <c r="H163" s="4">
        <f t="shared" si="42"/>
        <v>0.5</v>
      </c>
      <c r="I163" s="1">
        <f t="shared" si="48"/>
        <v>848152.971523165</v>
      </c>
      <c r="J163" s="9">
        <f t="shared" si="43"/>
        <v>0.14962594851367508</v>
      </c>
      <c r="K163" s="2">
        <f t="shared" si="49"/>
        <v>253811.38569769124</v>
      </c>
      <c r="L163" s="9">
        <f t="shared" si="44"/>
        <v>0.13201398757507657</v>
      </c>
      <c r="M163" s="2">
        <f t="shared" si="50"/>
        <v>223936.11168884675</v>
      </c>
      <c r="N163" s="34">
        <f>+VLOOKUP(A163,Diabetes!$G$1:$S$206,12,0)/100000</f>
        <v>3.2815732098364199E-2</v>
      </c>
      <c r="O163">
        <f t="shared" si="45"/>
        <v>0.25197005420923202</v>
      </c>
      <c r="P163" s="16">
        <v>5.5833428333333331E-2</v>
      </c>
      <c r="Q163">
        <v>0.38017944563311501</v>
      </c>
      <c r="R163">
        <v>7.7800099943550999E-2</v>
      </c>
      <c r="S163" s="35">
        <v>8.3742682263498194E-2</v>
      </c>
      <c r="T163" s="40">
        <f>IFERROR(VLOOKUP(A163,HTN_targets!$R$9:$X$203,6,0),L163)</f>
        <v>0.1019700542092323</v>
      </c>
      <c r="U163">
        <f t="shared" si="51"/>
        <v>0</v>
      </c>
      <c r="V163" s="15">
        <f t="shared" si="46"/>
        <v>14026.044440679241</v>
      </c>
      <c r="W163" s="15">
        <f t="shared" si="47"/>
        <v>44532.417107097128</v>
      </c>
    </row>
    <row r="164" spans="1:23" x14ac:dyDescent="0.3">
      <c r="A164" t="s">
        <v>157</v>
      </c>
      <c r="B164" s="33">
        <f>IFERROR(VLOOKUP(A164,HTN_targets!$D$1:$M$195,3,0),Q164)</f>
        <v>0.36287150000000001</v>
      </c>
      <c r="C164" s="33">
        <f>IFERROR(VLOOKUP(A164,HTN_targets!$D$1:$M$195,10,0),R164)</f>
        <v>0.432348102331161</v>
      </c>
      <c r="D164" s="35">
        <v>2.9642299534740301E-2</v>
      </c>
      <c r="E164" s="1">
        <v>4957851.5</v>
      </c>
      <c r="F164" s="1">
        <f t="shared" si="40"/>
        <v>1799063.0105822501</v>
      </c>
      <c r="G164" s="1">
        <f t="shared" si="41"/>
        <v>777821.47859942121</v>
      </c>
      <c r="H164" s="4">
        <f t="shared" si="42"/>
        <v>0.5</v>
      </c>
      <c r="I164" s="1">
        <f t="shared" si="48"/>
        <v>899531.50529112504</v>
      </c>
      <c r="J164" s="9">
        <f t="shared" si="43"/>
        <v>0.48000399663560411</v>
      </c>
      <c r="K164" s="2">
        <f t="shared" si="49"/>
        <v>863557.43527876213</v>
      </c>
      <c r="L164" s="9">
        <f t="shared" si="44"/>
        <v>0.4623920356970056</v>
      </c>
      <c r="M164" s="2">
        <f t="shared" si="50"/>
        <v>831872.40781031013</v>
      </c>
      <c r="N164" s="34">
        <f>+VLOOKUP(A164,Diabetes!$G$1:$S$206,12,0)/100000</f>
        <v>7.3330976013062696E-2</v>
      </c>
      <c r="O164">
        <f t="shared" si="45"/>
        <v>0.58234810233116097</v>
      </c>
      <c r="P164" s="16">
        <v>5.3808540000000002E-2</v>
      </c>
      <c r="Q164">
        <v>0.35407787529267998</v>
      </c>
      <c r="R164">
        <v>0.36538584994644202</v>
      </c>
      <c r="S164" s="35">
        <v>2.9642299534740301E-2</v>
      </c>
      <c r="T164" s="40">
        <f>IFERROR(VLOOKUP(A164,HTN_targets!$R$9:$X$203,6,0),L164)</f>
        <v>0.4323481023311615</v>
      </c>
      <c r="U164">
        <f t="shared" si="51"/>
        <v>0</v>
      </c>
      <c r="V164" s="15">
        <f t="shared" si="46"/>
        <v>76827.465160868422</v>
      </c>
      <c r="W164" s="15">
        <f t="shared" si="47"/>
        <v>105541.63717999629</v>
      </c>
    </row>
    <row r="165" spans="1:23" x14ac:dyDescent="0.3">
      <c r="A165" t="s">
        <v>158</v>
      </c>
      <c r="B165" s="33">
        <f>IFERROR(VLOOKUP(A165,HTN_targets!$D$1:$M$195,3,0),Q165)</f>
        <v>0.48888978</v>
      </c>
      <c r="C165" s="33">
        <f>IFERROR(VLOOKUP(A165,HTN_targets!$D$1:$M$195,10,0),R165)</f>
        <v>0.39605045318603499</v>
      </c>
      <c r="D165" s="35">
        <v>7.8721645151294206E-2</v>
      </c>
      <c r="E165" s="1">
        <v>4393307</v>
      </c>
      <c r="F165" s="1">
        <f t="shared" si="40"/>
        <v>2147842.8927024598</v>
      </c>
      <c r="G165" s="1">
        <f t="shared" si="41"/>
        <v>850654.15102721355</v>
      </c>
      <c r="H165" s="4">
        <f t="shared" si="42"/>
        <v>0.5</v>
      </c>
      <c r="I165" s="1">
        <f t="shared" si="48"/>
        <v>1073921.4463512299</v>
      </c>
      <c r="J165" s="9">
        <f t="shared" si="43"/>
        <v>0.4437063474904781</v>
      </c>
      <c r="K165" s="2">
        <f t="shared" si="49"/>
        <v>953011.52490439126</v>
      </c>
      <c r="L165" s="9">
        <f t="shared" si="44"/>
        <v>0.42609438655187959</v>
      </c>
      <c r="M165" s="2">
        <f t="shared" si="50"/>
        <v>915183.79977586912</v>
      </c>
      <c r="N165" s="34">
        <f>+VLOOKUP(A165,Diabetes!$G$1:$S$206,12,0)/100000</f>
        <v>6.5282092923331897E-2</v>
      </c>
      <c r="O165">
        <f t="shared" si="45"/>
        <v>0.54605045318603496</v>
      </c>
      <c r="P165" s="16">
        <v>3.0552900000000001E-2</v>
      </c>
      <c r="Q165">
        <v>0.47392567255787998</v>
      </c>
      <c r="R165">
        <v>0.320982692801002</v>
      </c>
      <c r="S165" s="35">
        <v>7.8721645151294206E-2</v>
      </c>
      <c r="T165" s="40">
        <f>IFERROR(VLOOKUP(A165,HTN_targets!$R$9:$X$203,6,0),L165)</f>
        <v>0.39605045318603521</v>
      </c>
      <c r="U165">
        <f t="shared" si="51"/>
        <v>0</v>
      </c>
      <c r="V165" s="15">
        <f t="shared" si="46"/>
        <v>76564.835228894561</v>
      </c>
      <c r="W165" s="15">
        <f t="shared" si="47"/>
        <v>112172.54344489599</v>
      </c>
    </row>
    <row r="166" spans="1:23" x14ac:dyDescent="0.3">
      <c r="A166" t="s">
        <v>159</v>
      </c>
      <c r="B166" s="33">
        <f>IFERROR(VLOOKUP(A166,HTN_targets!$D$1:$M$195,3,0),Q166)</f>
        <v>0.53297943000000003</v>
      </c>
      <c r="C166" s="33">
        <f>IFERROR(VLOOKUP(A166,HTN_targets!$D$1:$M$195,10,0),R166)</f>
        <v>0.27423569560050898</v>
      </c>
      <c r="D166" s="35">
        <v>8.9796224850661605E-2</v>
      </c>
      <c r="E166" s="1">
        <v>1720576</v>
      </c>
      <c r="F166" s="1">
        <f t="shared" si="40"/>
        <v>917031.6157516801</v>
      </c>
      <c r="G166" s="1">
        <f t="shared" si="41"/>
        <v>251482.80303332067</v>
      </c>
      <c r="H166" s="4">
        <f t="shared" si="42"/>
        <v>0.5</v>
      </c>
      <c r="I166" s="1">
        <f t="shared" si="48"/>
        <v>458515.80787584005</v>
      </c>
      <c r="J166" s="9">
        <f t="shared" si="43"/>
        <v>0.32189158990495204</v>
      </c>
      <c r="K166" s="2">
        <f t="shared" si="49"/>
        <v>295184.76478741539</v>
      </c>
      <c r="L166" s="9">
        <f t="shared" si="44"/>
        <v>0.30427962896635352</v>
      </c>
      <c r="M166" s="2">
        <f t="shared" si="50"/>
        <v>279034.03979133687</v>
      </c>
      <c r="N166" s="34">
        <f>+VLOOKUP(A166,Diabetes!$G$1:$S$206,12,0)/100000</f>
        <v>9.0418242630933288E-2</v>
      </c>
      <c r="O166">
        <f t="shared" si="45"/>
        <v>0.424235695600509</v>
      </c>
      <c r="P166" s="16">
        <v>3.1439990000000001E-2</v>
      </c>
      <c r="Q166">
        <v>0.49578723539042102</v>
      </c>
      <c r="R166">
        <v>0.204167790954909</v>
      </c>
      <c r="S166" s="35">
        <v>8.9796224850661605E-2</v>
      </c>
      <c r="T166" s="40">
        <f>IFERROR(VLOOKUP(A166,HTN_targets!$R$9:$X$203,6,0),L166)</f>
        <v>0.27423569560050959</v>
      </c>
      <c r="U166">
        <f t="shared" si="51"/>
        <v>1</v>
      </c>
      <c r="V166" s="15">
        <f t="shared" si="46"/>
        <v>35176.091172164823</v>
      </c>
      <c r="W166" s="15">
        <f t="shared" si="47"/>
        <v>66333.109706617761</v>
      </c>
    </row>
    <row r="167" spans="1:23" x14ac:dyDescent="0.3">
      <c r="A167" t="s">
        <v>160</v>
      </c>
      <c r="B167" s="33">
        <f>IFERROR(VLOOKUP(A167,HTN_targets!$D$1:$M$195,3,0),Q167)</f>
        <v>0.29862323000000002</v>
      </c>
      <c r="C167" s="33">
        <f>IFERROR(VLOOKUP(A167,HTN_targets!$D$1:$M$195,10,0),R167)</f>
        <v>7.5273454189300495E-2</v>
      </c>
      <c r="D167" s="35">
        <v>4.7672808096950098E-2</v>
      </c>
      <c r="E167" s="1">
        <v>462779.5</v>
      </c>
      <c r="F167" s="1">
        <f t="shared" si="40"/>
        <v>138196.70906778501</v>
      </c>
      <c r="G167" s="1">
        <f t="shared" si="41"/>
        <v>10402.543649126002</v>
      </c>
      <c r="H167" s="4">
        <f t="shared" si="42"/>
        <v>0.5</v>
      </c>
      <c r="I167" s="1">
        <f t="shared" si="48"/>
        <v>69098.354533892503</v>
      </c>
      <c r="J167" s="9">
        <f t="shared" si="43"/>
        <v>0.12292934849374358</v>
      </c>
      <c r="K167" s="2">
        <f t="shared" si="49"/>
        <v>16988.431409682238</v>
      </c>
      <c r="L167" s="9">
        <f t="shared" si="44"/>
        <v>0.10531738755514507</v>
      </c>
      <c r="M167" s="2">
        <f t="shared" si="50"/>
        <v>14554.516367737544</v>
      </c>
      <c r="N167" s="34">
        <f>+VLOOKUP(A167,Diabetes!$G$1:$S$206,12,0)/100000</f>
        <v>7.2105778406720306E-2</v>
      </c>
      <c r="O167">
        <f t="shared" si="45"/>
        <v>0.2252734541893005</v>
      </c>
      <c r="P167" s="16">
        <v>5.5833428333333331E-2</v>
      </c>
      <c r="Q167">
        <v>0.24870053382715099</v>
      </c>
      <c r="R167">
        <v>5.9532006822227999E-2</v>
      </c>
      <c r="S167" s="35">
        <v>4.7672808096950098E-2</v>
      </c>
      <c r="T167" s="40">
        <f>IFERROR(VLOOKUP(A167,HTN_targets!$R$9:$X$203,6,0),L167)</f>
        <v>7.5273454189300537E-2</v>
      </c>
      <c r="U167">
        <f t="shared" si="51"/>
        <v>0</v>
      </c>
      <c r="V167" s="15">
        <f t="shared" si="46"/>
        <v>2244.8006993170702</v>
      </c>
      <c r="W167" s="15">
        <f t="shared" si="47"/>
        <v>7971.8250244637602</v>
      </c>
    </row>
    <row r="168" spans="1:23" x14ac:dyDescent="0.3">
      <c r="A168" t="s">
        <v>161</v>
      </c>
      <c r="B168" s="33">
        <f>IFERROR(VLOOKUP(A168,HTN_targets!$D$1:$M$195,3,0),Q168)</f>
        <v>0.32047966</v>
      </c>
      <c r="C168" s="33">
        <f>IFERROR(VLOOKUP(A168,HTN_targets!$D$1:$M$195,10,0),R168)</f>
        <v>0.11249116808176</v>
      </c>
      <c r="D168" s="35">
        <v>9.7749915543202198E-2</v>
      </c>
      <c r="E168" s="1">
        <v>8821337.5</v>
      </c>
      <c r="F168" s="1">
        <f t="shared" si="40"/>
        <v>2827059.24274525</v>
      </c>
      <c r="G168" s="1">
        <f t="shared" si="41"/>
        <v>318019.19645274908</v>
      </c>
      <c r="H168" s="4">
        <f t="shared" si="42"/>
        <v>0.5</v>
      </c>
      <c r="I168" s="1">
        <f t="shared" si="48"/>
        <v>1413529.621372625</v>
      </c>
      <c r="J168" s="9">
        <f t="shared" si="43"/>
        <v>0.16014706238620308</v>
      </c>
      <c r="K168" s="2">
        <f t="shared" si="49"/>
        <v>452745.23291741556</v>
      </c>
      <c r="L168" s="9">
        <f t="shared" si="44"/>
        <v>0.14253510144760456</v>
      </c>
      <c r="M168" s="2">
        <f t="shared" si="50"/>
        <v>402955.17596308235</v>
      </c>
      <c r="N168" s="34">
        <f>+VLOOKUP(A168,Diabetes!$G$1:$S$206,12,0)/100000</f>
        <v>1.7953761434191598E-2</v>
      </c>
      <c r="O168">
        <f t="shared" si="45"/>
        <v>0.26249116808175998</v>
      </c>
      <c r="P168" s="16">
        <v>5.1449229999999999E-2</v>
      </c>
      <c r="Q168">
        <v>0.33428585702577202</v>
      </c>
      <c r="R168">
        <v>9.2983650845761198E-2</v>
      </c>
      <c r="S168" s="35">
        <v>9.7749915543202198E-2</v>
      </c>
      <c r="T168" s="40">
        <f>IFERROR(VLOOKUP(A168,HTN_targets!$R$9:$X$203,6,0),L168)</f>
        <v>0.11249116808176041</v>
      </c>
      <c r="U168">
        <f t="shared" si="51"/>
        <v>0</v>
      </c>
      <c r="V168" s="15">
        <f t="shared" si="46"/>
        <v>13323.092865292152</v>
      </c>
      <c r="W168" s="15">
        <f t="shared" si="47"/>
        <v>40605.077763659661</v>
      </c>
    </row>
    <row r="169" spans="1:23" x14ac:dyDescent="0.3">
      <c r="A169" t="s">
        <v>162</v>
      </c>
      <c r="B169" s="33">
        <f>IFERROR(VLOOKUP(A169,HTN_targets!$D$1:$M$195,3,0),Q169)</f>
        <v>0.41096212999999998</v>
      </c>
      <c r="C169" s="33">
        <f>IFERROR(VLOOKUP(A169,HTN_targets!$D$1:$M$195,10,0),R169)</f>
        <v>0.24974943697452501</v>
      </c>
      <c r="D169" s="35">
        <v>6.93684239403414E-2</v>
      </c>
      <c r="E169" s="1">
        <v>43731450.5</v>
      </c>
      <c r="F169" s="1">
        <f t="shared" si="40"/>
        <v>17971970.045469563</v>
      </c>
      <c r="G169" s="1">
        <f t="shared" si="41"/>
        <v>4488489.4001790518</v>
      </c>
      <c r="H169" s="4">
        <f t="shared" si="42"/>
        <v>0.5</v>
      </c>
      <c r="I169" s="1">
        <f t="shared" si="48"/>
        <v>8985985.0227347817</v>
      </c>
      <c r="J169" s="9">
        <f t="shared" si="43"/>
        <v>0.29740533127896807</v>
      </c>
      <c r="K169" s="2">
        <f t="shared" si="49"/>
        <v>5344959.7051085662</v>
      </c>
      <c r="L169" s="9">
        <f t="shared" si="44"/>
        <v>0.27979337034036955</v>
      </c>
      <c r="M169" s="2">
        <f t="shared" si="50"/>
        <v>5028438.0706780935</v>
      </c>
      <c r="N169" s="34">
        <f>+VLOOKUP(A169,Diabetes!$G$1:$S$206,12,0)/100000</f>
        <v>7.2547112458230006E-2</v>
      </c>
      <c r="O169">
        <f t="shared" si="45"/>
        <v>0.39974943697452503</v>
      </c>
      <c r="P169" s="16">
        <v>5.5833428333333331E-2</v>
      </c>
      <c r="Q169">
        <v>0.437713618406598</v>
      </c>
      <c r="R169">
        <v>0.20983203774998599</v>
      </c>
      <c r="S169" s="35">
        <v>6.93684239403414E-2</v>
      </c>
      <c r="T169" s="40">
        <f>IFERROR(VLOOKUP(A169,HTN_targets!$R$9:$X$203,6,0),L169)</f>
        <v>0.24974943697452551</v>
      </c>
      <c r="U169">
        <f t="shared" si="51"/>
        <v>1</v>
      </c>
      <c r="V169" s="15">
        <f t="shared" si="46"/>
        <v>521199.12508005626</v>
      </c>
      <c r="W169" s="15">
        <f t="shared" si="47"/>
        <v>1043051.6255876971</v>
      </c>
    </row>
    <row r="170" spans="1:23" x14ac:dyDescent="0.3">
      <c r="A170" t="s">
        <v>163</v>
      </c>
      <c r="B170" s="33">
        <f>IFERROR(VLOOKUP(A170,HTN_targets!$D$1:$M$195,3,0),Q170)</f>
        <v>0.29883262999999999</v>
      </c>
      <c r="C170" s="33">
        <f>IFERROR(VLOOKUP(A170,HTN_targets!$D$1:$M$195,10,0),R170)</f>
        <v>0.13102115690708099</v>
      </c>
      <c r="D170" s="35">
        <v>8.2785286913711204E-2</v>
      </c>
      <c r="E170" s="1">
        <v>6295651.5</v>
      </c>
      <c r="F170" s="1">
        <f t="shared" ref="F170:F200" si="52">+B170*E170</f>
        <v>1881346.0953084449</v>
      </c>
      <c r="G170" s="1">
        <f t="shared" ref="G170:G200" si="53">+F170*C170</f>
        <v>246496.14194993192</v>
      </c>
      <c r="H170" s="4">
        <f t="shared" ref="H170:H200" si="54">+IF(C170&gt;0.5,C170,0.5)</f>
        <v>0.5</v>
      </c>
      <c r="I170" s="1">
        <f t="shared" si="48"/>
        <v>940673.04765422246</v>
      </c>
      <c r="J170" s="9">
        <f t="shared" ref="J170:J200" si="55">C170+($K$5-$G$5)</f>
        <v>0.17867705121152408</v>
      </c>
      <c r="K170" s="2">
        <f t="shared" si="49"/>
        <v>336153.3726180279</v>
      </c>
      <c r="L170" s="9">
        <f t="shared" ref="L170:L200" si="56">C170+($M$5-$G$5)</f>
        <v>0.16106509027292557</v>
      </c>
      <c r="M170" s="2">
        <f t="shared" si="50"/>
        <v>303019.1786754707</v>
      </c>
      <c r="N170" s="34">
        <f>+VLOOKUP(A170,Diabetes!$G$1:$S$206,12,0)/100000</f>
        <v>1.8116536818142501E-2</v>
      </c>
      <c r="O170">
        <f t="shared" ref="O170:O200" si="57">+C170+0.15</f>
        <v>0.28102115690708096</v>
      </c>
      <c r="P170" s="16">
        <v>5.5833428333333331E-2</v>
      </c>
      <c r="Q170">
        <v>0.32339141182362802</v>
      </c>
      <c r="R170">
        <v>0.106418188828878</v>
      </c>
      <c r="S170" s="35">
        <v>8.2785286913711204E-2</v>
      </c>
      <c r="T170" s="40">
        <f>IFERROR(VLOOKUP(A170,HTN_targets!$R$9:$X$203,6,0),L170)</f>
        <v>0.1310211569070816</v>
      </c>
      <c r="U170">
        <f t="shared" si="51"/>
        <v>1</v>
      </c>
      <c r="V170" s="15">
        <f t="shared" ref="V170:V200" si="58">+E170*B170*N170*O170</f>
        <v>9578.1778016646313</v>
      </c>
      <c r="W170" s="15">
        <f t="shared" ref="W170:W200" si="59">+E170*B170*N170*0.8</f>
        <v>27266.780642659258</v>
      </c>
    </row>
    <row r="171" spans="1:23" x14ac:dyDescent="0.3">
      <c r="A171" t="s">
        <v>164</v>
      </c>
      <c r="B171" s="33">
        <f>IFERROR(VLOOKUP(A171,HTN_targets!$D$1:$M$195,3,0),Q171)</f>
        <v>0.32252093999999998</v>
      </c>
      <c r="C171" s="33">
        <f>IFERROR(VLOOKUP(A171,HTN_targets!$D$1:$M$195,10,0),R171)</f>
        <v>0.36730554699897699</v>
      </c>
      <c r="D171" s="35">
        <v>4.28095751585904E-2</v>
      </c>
      <c r="E171" s="1">
        <v>39784002</v>
      </c>
      <c r="F171" s="1">
        <f t="shared" si="52"/>
        <v>12831173.722001879</v>
      </c>
      <c r="G171" s="1">
        <f t="shared" si="53"/>
        <v>4712961.2825988</v>
      </c>
      <c r="H171" s="4">
        <f t="shared" si="54"/>
        <v>0.5</v>
      </c>
      <c r="I171" s="1">
        <f t="shared" si="48"/>
        <v>6415586.8610009393</v>
      </c>
      <c r="J171" s="9">
        <f t="shared" si="55"/>
        <v>0.41496144130342005</v>
      </c>
      <c r="K171" s="2">
        <f t="shared" si="49"/>
        <v>5324442.3412964679</v>
      </c>
      <c r="L171" s="9">
        <f t="shared" si="56"/>
        <v>0.39734948036482154</v>
      </c>
      <c r="M171" s="2">
        <f t="shared" si="50"/>
        <v>5098460.2109081997</v>
      </c>
      <c r="N171" s="34">
        <f>+VLOOKUP(A171,Diabetes!$G$1:$S$206,12,0)/100000</f>
        <v>9.82035361868622E-2</v>
      </c>
      <c r="O171">
        <f t="shared" si="57"/>
        <v>0.51730554699897702</v>
      </c>
      <c r="P171" s="16">
        <v>4.5780519999999998E-2</v>
      </c>
      <c r="Q171">
        <v>0.335215675946478</v>
      </c>
      <c r="R171">
        <v>0.301531040053097</v>
      </c>
      <c r="S171" s="35">
        <v>4.28095751585904E-2</v>
      </c>
      <c r="T171" s="40">
        <f>IFERROR(VLOOKUP(A171,HTN_targets!$R$9:$X$203,6,0),L171)</f>
        <v>0.36730554699897772</v>
      </c>
      <c r="U171">
        <f t="shared" si="51"/>
        <v>1</v>
      </c>
      <c r="V171" s="15">
        <f t="shared" si="58"/>
        <v>651839.45880225068</v>
      </c>
      <c r="W171" s="15">
        <f t="shared" si="59"/>
        <v>1008053.3063428215</v>
      </c>
    </row>
    <row r="172" spans="1:23" x14ac:dyDescent="0.3">
      <c r="A172" t="s">
        <v>165</v>
      </c>
      <c r="B172" s="33">
        <f>IFERROR(VLOOKUP(A172,HTN_targets!$D$1:$M$195,3,0),Q172)</f>
        <v>0.40255099999999999</v>
      </c>
      <c r="C172" s="33">
        <f>IFERROR(VLOOKUP(A172,HTN_targets!$D$1:$M$195,10,0),R172)</f>
        <v>0.18705499172210599</v>
      </c>
      <c r="D172" s="35">
        <v>5.0775982059294303E-2</v>
      </c>
      <c r="E172" s="1">
        <v>16742988</v>
      </c>
      <c r="F172" s="1">
        <f t="shared" si="52"/>
        <v>6739906.5623880001</v>
      </c>
      <c r="G172" s="1">
        <f t="shared" si="53"/>
        <v>1260733.1662352551</v>
      </c>
      <c r="H172" s="4">
        <f t="shared" si="54"/>
        <v>0.5</v>
      </c>
      <c r="I172" s="1">
        <f t="shared" si="48"/>
        <v>3369953.281194</v>
      </c>
      <c r="J172" s="9">
        <f t="shared" si="55"/>
        <v>0.23471088602654908</v>
      </c>
      <c r="K172" s="2">
        <f t="shared" si="49"/>
        <v>1581929.4409942401</v>
      </c>
      <c r="L172" s="9">
        <f t="shared" si="56"/>
        <v>0.21709892508795056</v>
      </c>
      <c r="M172" s="2">
        <f t="shared" si="50"/>
        <v>1463226.4698876587</v>
      </c>
      <c r="N172" s="34">
        <f>+VLOOKUP(A172,Diabetes!$G$1:$S$206,12,0)/100000</f>
        <v>0.107344432245475</v>
      </c>
      <c r="O172">
        <f t="shared" si="57"/>
        <v>0.33705499172210596</v>
      </c>
      <c r="P172" s="16">
        <v>5.5833428333333331E-2</v>
      </c>
      <c r="Q172">
        <v>0.34424458214639803</v>
      </c>
      <c r="R172">
        <v>0.14322124547725701</v>
      </c>
      <c r="S172" s="35">
        <v>5.0775982059294303E-2</v>
      </c>
      <c r="T172" s="40">
        <f>IFERROR(VLOOKUP(A172,HTN_targets!$R$9:$X$203,6,0),L172)</f>
        <v>0.18705499172210691</v>
      </c>
      <c r="U172">
        <f t="shared" si="51"/>
        <v>1</v>
      </c>
      <c r="V172" s="15">
        <f t="shared" si="58"/>
        <v>243856.40244162717</v>
      </c>
      <c r="W172" s="15">
        <f t="shared" si="59"/>
        <v>578793.15466167289</v>
      </c>
    </row>
    <row r="173" spans="1:23" x14ac:dyDescent="0.3">
      <c r="A173" t="s">
        <v>166</v>
      </c>
      <c r="B173" s="33">
        <f>IFERROR(VLOOKUP(A173,HTN_targets!$D$1:$M$195,3,0),Q173)</f>
        <v>0.38080292999999998</v>
      </c>
      <c r="C173" s="33">
        <f>IFERROR(VLOOKUP(A173,HTN_targets!$D$1:$M$195,10,0),R173)</f>
        <v>9.4772569835186005E-2</v>
      </c>
      <c r="D173" s="35">
        <v>8.3138256537012498E-2</v>
      </c>
      <c r="E173" s="1">
        <v>26402928</v>
      </c>
      <c r="F173" s="1">
        <f t="shared" si="52"/>
        <v>10054312.34297904</v>
      </c>
      <c r="G173" s="1">
        <f t="shared" si="53"/>
        <v>952873.01866975368</v>
      </c>
      <c r="H173" s="4">
        <f t="shared" si="54"/>
        <v>0.5</v>
      </c>
      <c r="I173" s="1">
        <f t="shared" si="48"/>
        <v>5027156.17148952</v>
      </c>
      <c r="J173" s="9">
        <f t="shared" si="55"/>
        <v>0.14242846413962909</v>
      </c>
      <c r="K173" s="2">
        <f t="shared" si="49"/>
        <v>1432020.2649906203</v>
      </c>
      <c r="L173" s="9">
        <f t="shared" si="56"/>
        <v>0.12481650320103058</v>
      </c>
      <c r="M173" s="2">
        <f t="shared" si="50"/>
        <v>1254944.1087416045</v>
      </c>
      <c r="N173" s="34">
        <f>+VLOOKUP(A173,Diabetes!$G$1:$S$206,12,0)/100000</f>
        <v>7.2891512161954192E-2</v>
      </c>
      <c r="O173">
        <f t="shared" si="57"/>
        <v>0.244772569835186</v>
      </c>
      <c r="P173" s="16">
        <v>4.6786389999999997E-2</v>
      </c>
      <c r="Q173">
        <v>0.38045577998091901</v>
      </c>
      <c r="R173">
        <v>7.5297942135875304E-2</v>
      </c>
      <c r="S173" s="35">
        <v>8.3138256537012498E-2</v>
      </c>
      <c r="T173" s="40">
        <f>IFERROR(VLOOKUP(A173,HTN_targets!$R$9:$X$203,6,0),L173)</f>
        <v>9.4772569835186005E-2</v>
      </c>
      <c r="U173">
        <f t="shared" si="51"/>
        <v>0</v>
      </c>
      <c r="V173" s="15">
        <f t="shared" si="58"/>
        <v>179387.45979341579</v>
      </c>
      <c r="W173" s="15">
        <f t="shared" si="59"/>
        <v>586299.22434267437</v>
      </c>
    </row>
    <row r="174" spans="1:23" x14ac:dyDescent="0.3">
      <c r="A174" t="s">
        <v>167</v>
      </c>
      <c r="B174" s="33">
        <f>IFERROR(VLOOKUP(A174,HTN_targets!$D$1:$M$195,3,0),Q174)</f>
        <v>0.44231775000000001</v>
      </c>
      <c r="C174" s="33">
        <f>IFERROR(VLOOKUP(A174,HTN_targets!$D$1:$M$195,10,0),R174)</f>
        <v>0.22914698719978299</v>
      </c>
      <c r="D174" s="35">
        <v>5.2878165683129502E-2</v>
      </c>
      <c r="E174" s="1">
        <v>433877.5</v>
      </c>
      <c r="F174" s="1">
        <f t="shared" si="52"/>
        <v>191911.719575625</v>
      </c>
      <c r="G174" s="1">
        <f t="shared" si="53"/>
        <v>43975.992349084088</v>
      </c>
      <c r="H174" s="4">
        <f t="shared" si="54"/>
        <v>0.5</v>
      </c>
      <c r="I174" s="1">
        <f t="shared" si="48"/>
        <v>95955.8597878125</v>
      </c>
      <c r="J174" s="9">
        <f t="shared" si="55"/>
        <v>0.27680288150422605</v>
      </c>
      <c r="K174" s="2">
        <f t="shared" si="49"/>
        <v>53121.716972963986</v>
      </c>
      <c r="L174" s="9">
        <f t="shared" si="56"/>
        <v>0.25919092056562754</v>
      </c>
      <c r="M174" s="2">
        <f t="shared" si="50"/>
        <v>49741.775264138807</v>
      </c>
      <c r="N174" s="34">
        <f>+VLOOKUP(A174,Diabetes!$G$1:$S$206,12,0)/100000</f>
        <v>0.139022945712406</v>
      </c>
      <c r="O174">
        <f t="shared" si="57"/>
        <v>0.37914698719978301</v>
      </c>
      <c r="P174" s="16">
        <v>6.2916589999999994E-2</v>
      </c>
      <c r="Q174">
        <v>0.42420119490146402</v>
      </c>
      <c r="R174">
        <v>0.19451079358709999</v>
      </c>
      <c r="S174" s="35">
        <v>5.2878165683129502E-2</v>
      </c>
      <c r="T174" s="40">
        <f>IFERROR(VLOOKUP(A174,HTN_targets!$R$9:$X$203,6,0),L174)</f>
        <v>0.2291469871997833</v>
      </c>
      <c r="U174">
        <f t="shared" si="51"/>
        <v>0</v>
      </c>
      <c r="V174" s="15">
        <f t="shared" si="58"/>
        <v>10115.691882816389</v>
      </c>
      <c r="W174" s="15">
        <f t="shared" si="59"/>
        <v>21344.106057709279</v>
      </c>
    </row>
    <row r="175" spans="1:23" x14ac:dyDescent="0.3">
      <c r="A175" t="s">
        <v>168</v>
      </c>
      <c r="B175" s="33">
        <f>IFERROR(VLOOKUP(A175,HTN_targets!$D$1:$M$195,3,0),Q175)</f>
        <v>0.34259500999999998</v>
      </c>
      <c r="C175" s="33">
        <f>IFERROR(VLOOKUP(A175,HTN_targets!$D$1:$M$195,10,0),R175)</f>
        <v>0.24914838373661</v>
      </c>
      <c r="D175" s="35">
        <v>4.5051990520303099E-2</v>
      </c>
      <c r="E175" s="1">
        <v>8366571</v>
      </c>
      <c r="F175" s="1">
        <f t="shared" si="52"/>
        <v>2866345.4754107096</v>
      </c>
      <c r="G175" s="1">
        <f t="shared" si="53"/>
        <v>714145.34242932324</v>
      </c>
      <c r="H175" s="4">
        <f t="shared" si="54"/>
        <v>0.5</v>
      </c>
      <c r="I175" s="1">
        <f t="shared" si="48"/>
        <v>1433172.7377053548</v>
      </c>
      <c r="J175" s="9">
        <f t="shared" si="55"/>
        <v>0.29680427804105308</v>
      </c>
      <c r="K175" s="2">
        <f t="shared" si="49"/>
        <v>850743.59944551473</v>
      </c>
      <c r="L175" s="9">
        <f t="shared" si="56"/>
        <v>0.27919231710245457</v>
      </c>
      <c r="M175" s="2">
        <f t="shared" si="50"/>
        <v>800261.63489605277</v>
      </c>
      <c r="N175" s="34">
        <f>+VLOOKUP(A175,Diabetes!$G$1:$S$206,12,0)/100000</f>
        <v>8.4768296157112705E-2</v>
      </c>
      <c r="O175">
        <f t="shared" si="57"/>
        <v>0.39914838373660999</v>
      </c>
      <c r="P175" s="16">
        <v>5.1870090000000001E-2</v>
      </c>
      <c r="Q175">
        <v>0.35602839490767701</v>
      </c>
      <c r="R175">
        <v>0.20337102887393499</v>
      </c>
      <c r="S175" s="35">
        <v>4.5051990520303099E-2</v>
      </c>
      <c r="T175" s="40">
        <f>IFERROR(VLOOKUP(A175,HTN_targets!$R$9:$X$203,6,0),L175)</f>
        <v>0.24914838373661041</v>
      </c>
      <c r="U175">
        <f t="shared" si="51"/>
        <v>0</v>
      </c>
      <c r="V175" s="15">
        <f t="shared" si="58"/>
        <v>96983.167208503801</v>
      </c>
      <c r="W175" s="15">
        <f t="shared" si="59"/>
        <v>194380.17771857206</v>
      </c>
    </row>
    <row r="176" spans="1:23" x14ac:dyDescent="0.3">
      <c r="A176" t="s">
        <v>169</v>
      </c>
      <c r="B176" s="33">
        <f>IFERROR(VLOOKUP(A176,HTN_targets!$D$1:$M$195,3,0),Q176)</f>
        <v>0.26088445999999998</v>
      </c>
      <c r="C176" s="33">
        <f>IFERROR(VLOOKUP(A176,HTN_targets!$D$1:$M$195,10,0),R176)</f>
        <v>0.414385616779327</v>
      </c>
      <c r="D176" s="35">
        <v>4.0337661054352901E-2</v>
      </c>
      <c r="E176" s="1">
        <v>7276353</v>
      </c>
      <c r="F176" s="1">
        <f t="shared" si="52"/>
        <v>1898287.4231743799</v>
      </c>
      <c r="G176" s="1">
        <f t="shared" si="53"/>
        <v>786623.0046765547</v>
      </c>
      <c r="H176" s="4">
        <f t="shared" si="54"/>
        <v>0.5</v>
      </c>
      <c r="I176" s="1">
        <f t="shared" si="48"/>
        <v>949143.71158718993</v>
      </c>
      <c r="J176" s="9">
        <f t="shared" si="55"/>
        <v>0.46204151108377012</v>
      </c>
      <c r="K176" s="2">
        <f t="shared" si="49"/>
        <v>877087.58947480668</v>
      </c>
      <c r="L176" s="9">
        <f t="shared" si="56"/>
        <v>0.4444295501451716</v>
      </c>
      <c r="M176" s="2">
        <f t="shared" si="50"/>
        <v>843655.02552762663</v>
      </c>
      <c r="N176" s="34">
        <f>+VLOOKUP(A176,Diabetes!$G$1:$S$206,12,0)/100000</f>
        <v>6.3154724775127097E-2</v>
      </c>
      <c r="O176">
        <f t="shared" si="57"/>
        <v>0.56438561677932697</v>
      </c>
      <c r="P176" s="16">
        <v>5.6387180000000002E-2</v>
      </c>
      <c r="Q176">
        <v>0.26424014784482702</v>
      </c>
      <c r="R176">
        <v>0.35724097742008198</v>
      </c>
      <c r="S176" s="35">
        <v>4.0337661054352901E-2</v>
      </c>
      <c r="T176" s="40">
        <f>IFERROR(VLOOKUP(A176,HTN_targets!$R$9:$X$203,6,0),L176)</f>
        <v>0.41438561677932739</v>
      </c>
      <c r="U176">
        <f t="shared" si="51"/>
        <v>0</v>
      </c>
      <c r="V176" s="15">
        <f t="shared" si="58"/>
        <v>67661.832325330804</v>
      </c>
      <c r="W176" s="15">
        <f t="shared" si="59"/>
        <v>95908.655803730551</v>
      </c>
    </row>
    <row r="177" spans="1:23" x14ac:dyDescent="0.3">
      <c r="A177" t="s">
        <v>170</v>
      </c>
      <c r="B177" s="33">
        <f>IFERROR(VLOOKUP(A177,HTN_targets!$D$1:$M$195,3,0),Q177)</f>
        <v>0.36172944000000001</v>
      </c>
      <c r="C177" s="33">
        <f>IFERROR(VLOOKUP(A177,HTN_targets!$D$1:$M$195,10,0),R177)</f>
        <v>0.212728261947631</v>
      </c>
      <c r="D177" s="35">
        <v>5.9314747280178902E-2</v>
      </c>
      <c r="E177" s="1">
        <v>15944764</v>
      </c>
      <c r="F177" s="1">
        <f t="shared" si="52"/>
        <v>5767690.5526521606</v>
      </c>
      <c r="G177" s="1">
        <f t="shared" si="53"/>
        <v>1226950.7867174654</v>
      </c>
      <c r="H177" s="4">
        <f t="shared" si="54"/>
        <v>0.5</v>
      </c>
      <c r="I177" s="1">
        <f t="shared" si="48"/>
        <v>2883845.2763260803</v>
      </c>
      <c r="J177" s="9">
        <f t="shared" si="55"/>
        <v>0.26038415625207412</v>
      </c>
      <c r="K177" s="2">
        <f t="shared" si="49"/>
        <v>1501815.2380753919</v>
      </c>
      <c r="L177" s="9">
        <f t="shared" si="56"/>
        <v>0.24277219531347558</v>
      </c>
      <c r="M177" s="2">
        <f t="shared" si="50"/>
        <v>1400234.8973561581</v>
      </c>
      <c r="N177" s="34">
        <f>+VLOOKUP(A177,Diabetes!$G$1:$S$206,12,0)/100000</f>
        <v>0.13543233713228101</v>
      </c>
      <c r="O177">
        <f t="shared" si="57"/>
        <v>0.36272826194763097</v>
      </c>
      <c r="P177" s="16">
        <v>5.5833428333333331E-2</v>
      </c>
      <c r="Q177">
        <v>0.42384158618248702</v>
      </c>
      <c r="R177">
        <v>0.18883709427201001</v>
      </c>
      <c r="S177" s="35">
        <v>5.9314747280178902E-2</v>
      </c>
      <c r="T177" s="40">
        <f>IFERROR(VLOOKUP(A177,HTN_targets!$R$9:$X$203,6,0),L177)</f>
        <v>0.21272826194763181</v>
      </c>
      <c r="U177">
        <f t="shared" si="51"/>
        <v>1</v>
      </c>
      <c r="V177" s="15">
        <f t="shared" si="58"/>
        <v>283338.58430165611</v>
      </c>
      <c r="W177" s="15">
        <f t="shared" si="59"/>
        <v>624905.44912116777</v>
      </c>
    </row>
    <row r="178" spans="1:23" x14ac:dyDescent="0.3">
      <c r="A178" t="s">
        <v>171</v>
      </c>
      <c r="B178" s="33">
        <f>IFERROR(VLOOKUP(A178,HTN_targets!$D$1:$M$195,3,0),Q178)</f>
        <v>0.38</v>
      </c>
      <c r="C178" s="33">
        <f>IFERROR(VLOOKUP(A178,HTN_targets!$D$1:$M$195,10,0),R178)</f>
        <v>0.38351230969736599</v>
      </c>
      <c r="D178" s="35">
        <v>3.4712266284154698E-2</v>
      </c>
      <c r="E178" s="1">
        <v>19675447</v>
      </c>
      <c r="F178" s="1">
        <f t="shared" si="52"/>
        <v>7476669.8600000003</v>
      </c>
      <c r="G178" s="1">
        <f t="shared" si="53"/>
        <v>2867394.9268532824</v>
      </c>
      <c r="H178" s="4">
        <f t="shared" si="54"/>
        <v>0.5</v>
      </c>
      <c r="I178" s="1">
        <f t="shared" si="48"/>
        <v>3738334.93</v>
      </c>
      <c r="J178" s="9">
        <f t="shared" si="55"/>
        <v>0.43116820400180911</v>
      </c>
      <c r="K178" s="2">
        <f t="shared" si="49"/>
        <v>3223702.3154506576</v>
      </c>
      <c r="L178" s="9">
        <f t="shared" si="56"/>
        <v>0.41355624306321059</v>
      </c>
      <c r="M178" s="2">
        <f t="shared" si="50"/>
        <v>3092023.4979255409</v>
      </c>
      <c r="N178" s="34">
        <f>+VLOOKUP(A178,Diabetes!$G$1:$S$206,12,0)/100000</f>
        <v>0.106075440678374</v>
      </c>
      <c r="O178">
        <f t="shared" si="57"/>
        <v>0.53351230969736596</v>
      </c>
      <c r="P178" s="16">
        <v>5.5833428333333331E-2</v>
      </c>
      <c r="Q178">
        <v>0.38</v>
      </c>
      <c r="R178">
        <v>0.38351230969736599</v>
      </c>
      <c r="S178" s="35">
        <v>3.4712266284154698E-2</v>
      </c>
      <c r="T178" s="40">
        <f>IFERROR(VLOOKUP(A178,HTN_targets!$R$9:$X$203,6,0),L178)</f>
        <v>0.41355624306321059</v>
      </c>
      <c r="U178">
        <f t="shared" si="51"/>
        <v>1</v>
      </c>
      <c r="V178" s="15">
        <f t="shared" si="58"/>
        <v>423123.83799582836</v>
      </c>
      <c r="W178" s="15">
        <f t="shared" si="59"/>
        <v>634472.84016497352</v>
      </c>
    </row>
    <row r="179" spans="1:23" x14ac:dyDescent="0.3">
      <c r="A179" t="s">
        <v>172</v>
      </c>
      <c r="B179" s="33">
        <f>IFERROR(VLOOKUP(A179,HTN_targets!$D$1:$M$195,3,0),Q179)</f>
        <v>0.44119257000000001</v>
      </c>
      <c r="C179" s="33">
        <f>IFERROR(VLOOKUP(A179,HTN_targets!$D$1:$M$195,10,0),R179)</f>
        <v>7.8876771032810197E-2</v>
      </c>
      <c r="D179" s="35">
        <v>6.5195712482826906E-2</v>
      </c>
      <c r="E179" s="1">
        <v>6106333</v>
      </c>
      <c r="F179" s="1">
        <f t="shared" si="52"/>
        <v>2694068.7495458098</v>
      </c>
      <c r="G179" s="1">
        <f t="shared" si="53"/>
        <v>212499.44390457412</v>
      </c>
      <c r="H179" s="4">
        <f t="shared" si="54"/>
        <v>0.5</v>
      </c>
      <c r="I179" s="1">
        <f t="shared" si="48"/>
        <v>1347034.3747729049</v>
      </c>
      <c r="J179" s="9">
        <f t="shared" si="55"/>
        <v>0.12653266533725327</v>
      </c>
      <c r="K179" s="2">
        <f t="shared" si="49"/>
        <v>340887.69948183233</v>
      </c>
      <c r="L179" s="9">
        <f t="shared" si="56"/>
        <v>0.10892070439865477</v>
      </c>
      <c r="M179" s="2">
        <f t="shared" si="50"/>
        <v>293439.86589893262</v>
      </c>
      <c r="N179" s="34">
        <f>+VLOOKUP(A179,Diabetes!$G$1:$S$206,12,0)/100000</f>
        <v>4.2901772791771098E-2</v>
      </c>
      <c r="O179">
        <f t="shared" si="57"/>
        <v>0.22887677103281018</v>
      </c>
      <c r="P179" s="16">
        <v>4.7248949999999998E-2</v>
      </c>
      <c r="Q179">
        <v>0.50925209147802597</v>
      </c>
      <c r="R179">
        <v>6.7468137663810504E-2</v>
      </c>
      <c r="S179" s="35">
        <v>6.5195712482826906E-2</v>
      </c>
      <c r="T179" s="40">
        <f>IFERROR(VLOOKUP(A179,HTN_targets!$R$9:$X$203,6,0),L179)</f>
        <v>7.8876771032810211E-2</v>
      </c>
      <c r="U179">
        <f t="shared" si="51"/>
        <v>0</v>
      </c>
      <c r="V179" s="15">
        <f t="shared" si="58"/>
        <v>26453.651667535523</v>
      </c>
      <c r="W179" s="15">
        <f t="shared" si="59"/>
        <v>92464.260302740164</v>
      </c>
    </row>
    <row r="180" spans="1:23" x14ac:dyDescent="0.3">
      <c r="A180" t="s">
        <v>173</v>
      </c>
      <c r="B180" s="33">
        <f>IFERROR(VLOOKUP(A180,HTN_targets!$D$1:$M$195,3,0),Q180)</f>
        <v>0.27577358000000002</v>
      </c>
      <c r="C180" s="33">
        <f>IFERROR(VLOOKUP(A180,HTN_targets!$D$1:$M$195,10,0),R180)</f>
        <v>8.6555384099483504E-2</v>
      </c>
      <c r="D180" s="35">
        <v>6.9888794239593197E-2</v>
      </c>
      <c r="E180" s="1">
        <v>34518098.5</v>
      </c>
      <c r="F180" s="1">
        <f t="shared" si="52"/>
        <v>9519179.5981376301</v>
      </c>
      <c r="G180" s="1">
        <f t="shared" si="53"/>
        <v>823936.24642876955</v>
      </c>
      <c r="H180" s="4">
        <f t="shared" si="54"/>
        <v>0.5</v>
      </c>
      <c r="I180" s="1">
        <f t="shared" si="48"/>
        <v>4759589.7990688151</v>
      </c>
      <c r="J180" s="9">
        <f t="shared" si="55"/>
        <v>0.1342112784039266</v>
      </c>
      <c r="K180" s="2">
        <f t="shared" si="49"/>
        <v>1277581.2632226276</v>
      </c>
      <c r="L180" s="9">
        <f t="shared" si="56"/>
        <v>0.11659931746532808</v>
      </c>
      <c r="M180" s="2">
        <f t="shared" si="50"/>
        <v>1109929.8439727237</v>
      </c>
      <c r="N180" s="34">
        <f>+VLOOKUP(A180,Diabetes!$G$1:$S$206,12,0)/100000</f>
        <v>1.7874373660073401E-2</v>
      </c>
      <c r="O180">
        <f t="shared" si="57"/>
        <v>0.23655538409948351</v>
      </c>
      <c r="P180" s="16">
        <v>4.6054299999999999E-2</v>
      </c>
      <c r="Q180">
        <v>0.30910263276342098</v>
      </c>
      <c r="R180">
        <v>6.7335328291581495E-2</v>
      </c>
      <c r="S180" s="35">
        <v>6.9888794239593197E-2</v>
      </c>
      <c r="T180" s="40">
        <f>IFERROR(VLOOKUP(A180,HTN_targets!$R$9:$X$203,6,0),L180)</f>
        <v>8.655538409948349E-2</v>
      </c>
      <c r="U180">
        <f t="shared" si="51"/>
        <v>0</v>
      </c>
      <c r="V180" s="15">
        <f t="shared" si="58"/>
        <v>40249.750301915046</v>
      </c>
      <c r="W180" s="15">
        <f t="shared" si="59"/>
        <v>136119.49845956749</v>
      </c>
    </row>
    <row r="181" spans="1:23" x14ac:dyDescent="0.3">
      <c r="A181" t="s">
        <v>174</v>
      </c>
      <c r="B181" s="33">
        <f>IFERROR(VLOOKUP(A181,HTN_targets!$D$1:$M$195,3,0),Q181)</f>
        <v>0.34924128999999998</v>
      </c>
      <c r="C181" s="33">
        <f>IFERROR(VLOOKUP(A181,HTN_targets!$D$1:$M$195,10,0),R181)</f>
        <v>0.31092074513435303</v>
      </c>
      <c r="D181" s="35">
        <v>5.2922028270935999E-2</v>
      </c>
      <c r="E181" s="1">
        <v>57933810</v>
      </c>
      <c r="F181" s="1">
        <f t="shared" si="52"/>
        <v>20232878.539014898</v>
      </c>
      <c r="G181" s="1">
        <f t="shared" si="53"/>
        <v>6290821.671563372</v>
      </c>
      <c r="H181" s="4">
        <f t="shared" si="54"/>
        <v>0.5</v>
      </c>
      <c r="I181" s="1">
        <f t="shared" si="48"/>
        <v>10116439.269507449</v>
      </c>
      <c r="J181" s="9">
        <f t="shared" si="55"/>
        <v>0.35857663943879614</v>
      </c>
      <c r="K181" s="2">
        <f t="shared" si="49"/>
        <v>7255037.5926933018</v>
      </c>
      <c r="L181" s="9">
        <f t="shared" si="56"/>
        <v>0.34096467850019763</v>
      </c>
      <c r="M181" s="2">
        <f t="shared" si="50"/>
        <v>6898696.9261887632</v>
      </c>
      <c r="N181" s="34">
        <f>+VLOOKUP(A181,Diabetes!$G$1:$S$206,12,0)/100000</f>
        <v>8.920129339701191E-2</v>
      </c>
      <c r="O181">
        <f t="shared" si="57"/>
        <v>0.46092074513435299</v>
      </c>
      <c r="P181" s="16">
        <v>5.8509140000000001E-2</v>
      </c>
      <c r="Q181">
        <v>0.29117122777474702</v>
      </c>
      <c r="R181">
        <v>0.240983894078172</v>
      </c>
      <c r="S181" s="35">
        <v>5.2922028270935999E-2</v>
      </c>
      <c r="T181" s="40">
        <f>IFERROR(VLOOKUP(A181,HTN_targets!$R$9:$X$203,6,0),L181)</f>
        <v>0.31092074513435358</v>
      </c>
      <c r="U181">
        <f t="shared" si="51"/>
        <v>1</v>
      </c>
      <c r="V181" s="15">
        <f t="shared" si="58"/>
        <v>831869.26985712117</v>
      </c>
      <c r="W181" s="15">
        <f t="shared" si="59"/>
        <v>1443839.147859819</v>
      </c>
    </row>
    <row r="182" spans="1:23" x14ac:dyDescent="0.3">
      <c r="A182" t="s">
        <v>175</v>
      </c>
      <c r="B182" s="33">
        <f>IFERROR(VLOOKUP(A182,HTN_targets!$D$1:$M$195,3,0),Q182)</f>
        <v>0.34818357</v>
      </c>
      <c r="C182" s="33">
        <f>IFERROR(VLOOKUP(A182,HTN_targets!$D$1:$M$195,10,0),R182)</f>
        <v>0.123034454882144</v>
      </c>
      <c r="D182" s="35">
        <v>7.19636134408254E-2</v>
      </c>
      <c r="E182" s="1">
        <v>825397</v>
      </c>
      <c r="F182" s="1">
        <f t="shared" si="52"/>
        <v>287389.67412729003</v>
      </c>
      <c r="G182" s="1">
        <f t="shared" si="53"/>
        <v>35358.83189500813</v>
      </c>
      <c r="H182" s="4">
        <f t="shared" si="54"/>
        <v>0.5</v>
      </c>
      <c r="I182" s="1">
        <f t="shared" si="48"/>
        <v>143694.83706364501</v>
      </c>
      <c r="J182" s="9">
        <f t="shared" si="55"/>
        <v>0.1706903491865871</v>
      </c>
      <c r="K182" s="2">
        <f t="shared" si="49"/>
        <v>49054.64382940661</v>
      </c>
      <c r="L182" s="9">
        <f t="shared" si="56"/>
        <v>0.15307838824798858</v>
      </c>
      <c r="M182" s="2">
        <f t="shared" si="50"/>
        <v>43993.14811452022</v>
      </c>
      <c r="N182" s="34">
        <f>+VLOOKUP(A182,Diabetes!$G$1:$S$206,12,0)/100000</f>
        <v>2.8992775515346101E-2</v>
      </c>
      <c r="O182">
        <f t="shared" si="57"/>
        <v>0.27303445488214401</v>
      </c>
      <c r="P182" s="16">
        <v>6.5974889999999994E-2</v>
      </c>
      <c r="Q182">
        <v>0.33840587231792202</v>
      </c>
      <c r="R182">
        <v>0.11449178189891</v>
      </c>
      <c r="S182" s="35">
        <v>7.19636134408254E-2</v>
      </c>
      <c r="T182" s="40">
        <f>IFERROR(VLOOKUP(A182,HTN_targets!$R$9:$X$203,6,0),L182)</f>
        <v>0.1230344548821449</v>
      </c>
      <c r="U182">
        <f t="shared" si="51"/>
        <v>1</v>
      </c>
      <c r="V182" s="15">
        <f t="shared" si="58"/>
        <v>2274.984321726979</v>
      </c>
      <c r="W182" s="15">
        <f t="shared" si="59"/>
        <v>6665.7794459207917</v>
      </c>
    </row>
    <row r="183" spans="1:23" x14ac:dyDescent="0.3">
      <c r="A183" t="s">
        <v>176</v>
      </c>
      <c r="B183" s="33">
        <f>IFERROR(VLOOKUP(A183,HTN_targets!$D$1:$M$195,3,0),Q183)</f>
        <v>0.32265918999999998</v>
      </c>
      <c r="C183" s="33">
        <f>IFERROR(VLOOKUP(A183,HTN_targets!$D$1:$M$195,10,0),R183)</f>
        <v>0.110656484961509</v>
      </c>
      <c r="D183" s="35">
        <v>7.6883333550563399E-2</v>
      </c>
      <c r="E183" s="1">
        <v>5064289</v>
      </c>
      <c r="F183" s="1">
        <f t="shared" si="52"/>
        <v>1634039.38666591</v>
      </c>
      <c r="G183" s="1">
        <f t="shared" si="53"/>
        <v>180817.05481710966</v>
      </c>
      <c r="H183" s="4">
        <f t="shared" si="54"/>
        <v>0.5</v>
      </c>
      <c r="I183" s="1">
        <f t="shared" si="48"/>
        <v>817019.69333295501</v>
      </c>
      <c r="J183" s="9">
        <f t="shared" si="55"/>
        <v>0.1583123792659521</v>
      </c>
      <c r="K183" s="2">
        <f t="shared" si="49"/>
        <v>258688.6631173573</v>
      </c>
      <c r="L183" s="9">
        <f t="shared" si="56"/>
        <v>0.14070041832735358</v>
      </c>
      <c r="M183" s="2">
        <f t="shared" si="50"/>
        <v>229910.02526726582</v>
      </c>
      <c r="N183" s="34">
        <f>+VLOOKUP(A183,Diabetes!$G$1:$S$206,12,0)/100000</f>
        <v>2.6605905515539697E-2</v>
      </c>
      <c r="O183">
        <f t="shared" si="57"/>
        <v>0.26065648496150901</v>
      </c>
      <c r="P183" s="16">
        <v>5.4009399999999999E-2</v>
      </c>
      <c r="Q183">
        <v>0.34263391116439701</v>
      </c>
      <c r="R183">
        <v>7.9256635965126804E-2</v>
      </c>
      <c r="S183" s="35">
        <v>7.6883333550563399E-2</v>
      </c>
      <c r="T183" s="40">
        <f>IFERROR(VLOOKUP(A183,HTN_targets!$R$9:$X$203,6,0),L183)</f>
        <v>0.1106564849615097</v>
      </c>
      <c r="U183">
        <f t="shared" si="51"/>
        <v>1</v>
      </c>
      <c r="V183" s="15">
        <f t="shared" si="58"/>
        <v>11332.066105607728</v>
      </c>
      <c r="W183" s="15">
        <f t="shared" si="59"/>
        <v>34780.07802424291</v>
      </c>
    </row>
    <row r="184" spans="1:23" x14ac:dyDescent="0.3">
      <c r="A184" t="s">
        <v>177</v>
      </c>
      <c r="B184" s="33">
        <f>IFERROR(VLOOKUP(A184,HTN_targets!$D$1:$M$195,3,0),Q184)</f>
        <v>0.45915103000000002</v>
      </c>
      <c r="C184" s="33">
        <f>IFERROR(VLOOKUP(A184,HTN_targets!$D$1:$M$195,10,0),R184)</f>
        <v>0.238254159688949</v>
      </c>
      <c r="D184" s="35">
        <v>6.6178429864863594E-2</v>
      </c>
      <c r="E184" s="1">
        <v>1170672.5</v>
      </c>
      <c r="F184" s="1">
        <f t="shared" si="52"/>
        <v>537515.48416767502</v>
      </c>
      <c r="G184" s="1">
        <f t="shared" si="53"/>
        <v>128065.30000016799</v>
      </c>
      <c r="H184" s="4">
        <f t="shared" si="54"/>
        <v>0.5</v>
      </c>
      <c r="I184" s="1">
        <f t="shared" si="48"/>
        <v>268757.74208383751</v>
      </c>
      <c r="J184" s="9">
        <f t="shared" si="55"/>
        <v>0.28591005399339209</v>
      </c>
      <c r="K184" s="2">
        <f t="shared" si="49"/>
        <v>153681.08110066425</v>
      </c>
      <c r="L184" s="9">
        <f t="shared" si="56"/>
        <v>0.26829809305479357</v>
      </c>
      <c r="M184" s="2">
        <f t="shared" si="50"/>
        <v>144214.37938961131</v>
      </c>
      <c r="N184" s="34">
        <f>+VLOOKUP(A184,Diabetes!$G$1:$S$206,12,0)/100000</f>
        <v>0.21959568363777501</v>
      </c>
      <c r="O184">
        <f t="shared" si="57"/>
        <v>0.388254159688949</v>
      </c>
      <c r="P184" s="16">
        <v>5.5833428333333331E-2</v>
      </c>
      <c r="Q184">
        <v>0.43191177650554802</v>
      </c>
      <c r="R184">
        <v>0.19321770091520801</v>
      </c>
      <c r="S184" s="35">
        <v>6.6178429864863594E-2</v>
      </c>
      <c r="T184" s="40">
        <f>IFERROR(VLOOKUP(A184,HTN_targets!$R$9:$X$203,6,0),L184)</f>
        <v>0.23825415968894961</v>
      </c>
      <c r="U184">
        <f t="shared" si="51"/>
        <v>1</v>
      </c>
      <c r="V184" s="15">
        <f t="shared" si="58"/>
        <v>45827.999135567174</v>
      </c>
      <c r="W184" s="15">
        <f t="shared" si="59"/>
        <v>94428.864169352193</v>
      </c>
    </row>
    <row r="185" spans="1:23" x14ac:dyDescent="0.3">
      <c r="A185" t="s">
        <v>178</v>
      </c>
      <c r="B185" s="33">
        <f>IFERROR(VLOOKUP(A185,HTN_targets!$D$1:$M$195,3,0),Q185)</f>
        <v>0.36348087000000001</v>
      </c>
      <c r="C185" s="33">
        <f>IFERROR(VLOOKUP(A185,HTN_targets!$D$1:$M$195,10,0),R185)</f>
        <v>0.16484181582927701</v>
      </c>
      <c r="D185" s="35">
        <v>5.4222946922526299E-2</v>
      </c>
      <c r="E185" s="1">
        <v>8693723.5</v>
      </c>
      <c r="F185" s="1">
        <f t="shared" si="52"/>
        <v>3160002.1813194449</v>
      </c>
      <c r="G185" s="1">
        <f t="shared" si="53"/>
        <v>520900.49759317358</v>
      </c>
      <c r="H185" s="4">
        <f t="shared" si="54"/>
        <v>0.5</v>
      </c>
      <c r="I185" s="1">
        <f t="shared" si="48"/>
        <v>1580001.0906597225</v>
      </c>
      <c r="J185" s="9">
        <f t="shared" si="55"/>
        <v>0.2124977101337201</v>
      </c>
      <c r="K185" s="2">
        <f t="shared" si="49"/>
        <v>671493.22754794266</v>
      </c>
      <c r="L185" s="9">
        <f t="shared" si="56"/>
        <v>0.19488574919512158</v>
      </c>
      <c r="M185" s="2">
        <f t="shared" si="50"/>
        <v>615839.39256465842</v>
      </c>
      <c r="N185" s="34">
        <f>+VLOOKUP(A185,Diabetes!$G$1:$S$206,12,0)/100000</f>
        <v>0.13419730953894898</v>
      </c>
      <c r="O185">
        <f t="shared" si="57"/>
        <v>0.31484181582927701</v>
      </c>
      <c r="P185" s="16">
        <v>4.9423549999999997E-2</v>
      </c>
      <c r="Q185">
        <v>0.34467665273738102</v>
      </c>
      <c r="R185">
        <v>0.127275025409127</v>
      </c>
      <c r="S185" s="35">
        <v>5.4222946922526299E-2</v>
      </c>
      <c r="T185" s="40">
        <f>IFERROR(VLOOKUP(A185,HTN_targets!$R$9:$X$203,6,0),L185)</f>
        <v>0.16484181582927701</v>
      </c>
      <c r="U185">
        <f t="shared" si="51"/>
        <v>0</v>
      </c>
      <c r="V185" s="15">
        <f t="shared" si="58"/>
        <v>133513.01394504559</v>
      </c>
      <c r="W185" s="15">
        <f t="shared" si="59"/>
        <v>339251.03269622364</v>
      </c>
    </row>
    <row r="186" spans="1:23" x14ac:dyDescent="0.3">
      <c r="A186" t="s">
        <v>179</v>
      </c>
      <c r="B186" s="33">
        <f>IFERROR(VLOOKUP(A186,HTN_targets!$D$1:$M$195,3,0),Q186)</f>
        <v>0.33188286</v>
      </c>
      <c r="C186" s="33">
        <f>IFERROR(VLOOKUP(A186,HTN_targets!$D$1:$M$195,10,0),R186)</f>
        <v>0.352343589067459</v>
      </c>
      <c r="D186" s="35">
        <v>4.3415359819388197E-2</v>
      </c>
      <c r="E186" s="1">
        <v>64149506</v>
      </c>
      <c r="F186" s="1">
        <f t="shared" si="52"/>
        <v>21290121.518867161</v>
      </c>
      <c r="G186" s="1">
        <f t="shared" si="53"/>
        <v>7501437.827639997</v>
      </c>
      <c r="H186" s="4">
        <f t="shared" si="54"/>
        <v>0.5</v>
      </c>
      <c r="I186" s="1">
        <f t="shared" si="48"/>
        <v>10645060.759433581</v>
      </c>
      <c r="J186" s="9">
        <f t="shared" si="55"/>
        <v>0.39999948337190205</v>
      </c>
      <c r="K186" s="2">
        <f t="shared" si="49"/>
        <v>8516037.6084718797</v>
      </c>
      <c r="L186" s="9">
        <f t="shared" si="56"/>
        <v>0.38238752243330354</v>
      </c>
      <c r="M186" s="2">
        <f t="shared" si="50"/>
        <v>8141076.8199035749</v>
      </c>
      <c r="N186" s="34">
        <f>+VLOOKUP(A186,Diabetes!$G$1:$S$206,12,0)/100000</f>
        <v>0.111777628553304</v>
      </c>
      <c r="O186">
        <f t="shared" si="57"/>
        <v>0.50234358906745902</v>
      </c>
      <c r="P186" s="16">
        <v>4.7686470000000002E-2</v>
      </c>
      <c r="Q186">
        <v>0.30847836217135299</v>
      </c>
      <c r="R186">
        <v>0.30413498313132298</v>
      </c>
      <c r="S186" s="35">
        <v>4.3415359819388197E-2</v>
      </c>
      <c r="T186" s="40">
        <f>IFERROR(VLOOKUP(A186,HTN_targets!$R$9:$X$203,6,0),L186)</f>
        <v>0.35234358906745911</v>
      </c>
      <c r="U186">
        <f t="shared" si="51"/>
        <v>0</v>
      </c>
      <c r="V186" s="15">
        <f t="shared" si="58"/>
        <v>1195456.825362243</v>
      </c>
      <c r="W186" s="15">
        <f t="shared" si="59"/>
        <v>1903807.4359925103</v>
      </c>
    </row>
    <row r="187" spans="1:23" x14ac:dyDescent="0.3">
      <c r="A187" t="s">
        <v>180</v>
      </c>
      <c r="B187" s="33">
        <f>IFERROR(VLOOKUP(A187,HTN_targets!$D$1:$M$195,3,0),Q187)</f>
        <v>0.37049860000000001</v>
      </c>
      <c r="C187" s="33">
        <f>IFERROR(VLOOKUP(A187,HTN_targets!$D$1:$M$195,10,0),R187)</f>
        <v>0.119715027511119</v>
      </c>
      <c r="D187" s="35">
        <v>6.2143963122113899E-2</v>
      </c>
      <c r="E187" s="1">
        <v>4759909.5</v>
      </c>
      <c r="F187" s="1">
        <f t="shared" si="52"/>
        <v>1763539.8058767</v>
      </c>
      <c r="G187" s="1">
        <f t="shared" si="53"/>
        <v>211122.2163774826</v>
      </c>
      <c r="H187" s="4">
        <f t="shared" si="54"/>
        <v>0.5</v>
      </c>
      <c r="I187" s="1">
        <f t="shared" si="48"/>
        <v>881769.90293834999</v>
      </c>
      <c r="J187" s="9">
        <f t="shared" si="55"/>
        <v>0.16737092181556207</v>
      </c>
      <c r="K187" s="2">
        <f t="shared" si="49"/>
        <v>295165.28296802065</v>
      </c>
      <c r="L187" s="9">
        <f t="shared" si="56"/>
        <v>0.14975896087696355</v>
      </c>
      <c r="M187" s="2">
        <f t="shared" si="50"/>
        <v>264105.8887932566</v>
      </c>
      <c r="N187" s="34">
        <f>+VLOOKUP(A187,Diabetes!$G$1:$S$206,12,0)/100000</f>
        <v>4.5897115110313497E-2</v>
      </c>
      <c r="O187">
        <f t="shared" si="57"/>
        <v>0.26971502751111898</v>
      </c>
      <c r="P187" s="16">
        <v>5.0727069999999999E-2</v>
      </c>
      <c r="Q187">
        <v>0.37647538612429099</v>
      </c>
      <c r="R187">
        <v>0.10178448184760799</v>
      </c>
      <c r="S187" s="35">
        <v>6.2143963122113899E-2</v>
      </c>
      <c r="T187" s="40">
        <f>IFERROR(VLOOKUP(A187,HTN_targets!$R$9:$X$203,6,0),L187)</f>
        <v>0.1197150275111198</v>
      </c>
      <c r="U187">
        <f t="shared" si="51"/>
        <v>1</v>
      </c>
      <c r="V187" s="15">
        <f t="shared" si="58"/>
        <v>21831.109088213252</v>
      </c>
      <c r="W187" s="15">
        <f t="shared" si="59"/>
        <v>64753.111577554257</v>
      </c>
    </row>
    <row r="188" spans="1:23" x14ac:dyDescent="0.3">
      <c r="A188" t="s">
        <v>181</v>
      </c>
      <c r="B188" s="33">
        <f>IFERROR(VLOOKUP(A188,HTN_targets!$D$1:$M$195,3,0),Q188)</f>
        <v>0.28250501</v>
      </c>
      <c r="C188" s="33">
        <f>IFERROR(VLOOKUP(A188,HTN_targets!$D$1:$M$195,10,0),R188)</f>
        <v>8.9106097817421001E-2</v>
      </c>
      <c r="D188" s="35">
        <v>7.1132887275707504E-2</v>
      </c>
      <c r="E188" s="1">
        <v>24425779.5</v>
      </c>
      <c r="F188" s="1">
        <f t="shared" si="52"/>
        <v>6900405.0819052951</v>
      </c>
      <c r="G188" s="1">
        <f t="shared" si="53"/>
        <v>614868.17020808219</v>
      </c>
      <c r="H188" s="4">
        <f t="shared" si="54"/>
        <v>0.5</v>
      </c>
      <c r="I188" s="1">
        <f t="shared" si="48"/>
        <v>3450202.5409526476</v>
      </c>
      <c r="J188" s="9">
        <f t="shared" si="55"/>
        <v>0.13676199212186407</v>
      </c>
      <c r="K188" s="2">
        <f t="shared" si="49"/>
        <v>943713.14544920274</v>
      </c>
      <c r="L188" s="9">
        <f t="shared" si="56"/>
        <v>0.11915003118326557</v>
      </c>
      <c r="M188" s="2">
        <f t="shared" si="50"/>
        <v>822183.48068618018</v>
      </c>
      <c r="N188" s="34">
        <f>+VLOOKUP(A188,Diabetes!$G$1:$S$206,12,0)/100000</f>
        <v>2.0768916041117001E-2</v>
      </c>
      <c r="O188">
        <f t="shared" si="57"/>
        <v>0.23910609781742098</v>
      </c>
      <c r="P188" s="16">
        <v>4.9784710000000003E-2</v>
      </c>
      <c r="Q188">
        <v>0.30850194361566202</v>
      </c>
      <c r="R188">
        <v>7.2489598488212306E-2</v>
      </c>
      <c r="S188" s="35">
        <v>7.1132887275707504E-2</v>
      </c>
      <c r="T188" s="40">
        <f>IFERROR(VLOOKUP(A188,HTN_targets!$R$9:$X$203,6,0),L188)</f>
        <v>8.9106097817420959E-2</v>
      </c>
      <c r="U188">
        <f t="shared" si="51"/>
        <v>0</v>
      </c>
      <c r="V188" s="15">
        <f t="shared" si="58"/>
        <v>34267.235472775115</v>
      </c>
      <c r="W188" s="15">
        <f t="shared" si="59"/>
        <v>114651.14703663053</v>
      </c>
    </row>
    <row r="189" spans="1:23" x14ac:dyDescent="0.3">
      <c r="A189" t="s">
        <v>182</v>
      </c>
      <c r="B189" s="33">
        <f>IFERROR(VLOOKUP(A189,HTN_targets!$D$1:$M$195,3,0),Q189)</f>
        <v>0.45714155000000001</v>
      </c>
      <c r="C189" s="33">
        <f>IFERROR(VLOOKUP(A189,HTN_targets!$D$1:$M$195,10,0),R189)</f>
        <v>0.16543975472450201</v>
      </c>
      <c r="D189" s="35">
        <v>7.1666926805283804E-2</v>
      </c>
      <c r="E189" s="1">
        <v>31853378</v>
      </c>
      <c r="F189" s="1">
        <f t="shared" si="52"/>
        <v>14561502.591655901</v>
      </c>
      <c r="G189" s="1">
        <f t="shared" si="53"/>
        <v>2409051.4171837526</v>
      </c>
      <c r="H189" s="4">
        <f t="shared" si="54"/>
        <v>0.5</v>
      </c>
      <c r="I189" s="1">
        <f t="shared" si="48"/>
        <v>7280751.2958279504</v>
      </c>
      <c r="J189" s="9">
        <f t="shared" si="55"/>
        <v>0.21309564902894509</v>
      </c>
      <c r="K189" s="2">
        <f t="shared" si="49"/>
        <v>3102992.8456055801</v>
      </c>
      <c r="L189" s="9">
        <f t="shared" si="56"/>
        <v>0.19548368809034658</v>
      </c>
      <c r="M189" s="2">
        <f t="shared" si="50"/>
        <v>2846536.2307540355</v>
      </c>
      <c r="N189" s="34">
        <f>+VLOOKUP(A189,Diabetes!$G$1:$S$206,12,0)/100000</f>
        <v>5.6835576139817101E-2</v>
      </c>
      <c r="O189">
        <f t="shared" si="57"/>
        <v>0.31543975472450203</v>
      </c>
      <c r="P189" s="16">
        <v>4.2464130000000003E-2</v>
      </c>
      <c r="Q189">
        <v>0.44541580540277798</v>
      </c>
      <c r="R189">
        <v>0.11706922779885801</v>
      </c>
      <c r="S189" s="35">
        <v>7.1666926805283804E-2</v>
      </c>
      <c r="T189" s="40">
        <f>IFERROR(VLOOKUP(A189,HTN_targets!$R$9:$X$203,6,0),L189)</f>
        <v>0.16543975472450259</v>
      </c>
      <c r="U189">
        <f t="shared" si="51"/>
        <v>1</v>
      </c>
      <c r="V189" s="15">
        <f t="shared" si="58"/>
        <v>261061.53363481193</v>
      </c>
      <c r="W189" s="15">
        <f t="shared" si="59"/>
        <v>662089.11140656238</v>
      </c>
    </row>
    <row r="190" spans="1:23" x14ac:dyDescent="0.3">
      <c r="A190" t="s">
        <v>183</v>
      </c>
      <c r="B190" s="33">
        <f>IFERROR(VLOOKUP(A190,HTN_targets!$D$1:$M$195,3,0),Q190)</f>
        <v>0.35143727000000002</v>
      </c>
      <c r="C190" s="33">
        <f>IFERROR(VLOOKUP(A190,HTN_targets!$D$1:$M$195,10,0),R190)</f>
        <v>0.17644099891185699</v>
      </c>
      <c r="D190" s="35">
        <v>5.4274671256754101E-2</v>
      </c>
      <c r="E190" s="1">
        <v>9143386</v>
      </c>
      <c r="F190" s="1">
        <f t="shared" si="52"/>
        <v>3213326.6143962201</v>
      </c>
      <c r="G190" s="1">
        <f t="shared" si="53"/>
        <v>566962.5576741246</v>
      </c>
      <c r="H190" s="4">
        <f t="shared" si="54"/>
        <v>0.5</v>
      </c>
      <c r="I190" s="1">
        <f t="shared" si="48"/>
        <v>1606663.30719811</v>
      </c>
      <c r="J190" s="9">
        <f t="shared" si="55"/>
        <v>0.22409689321630008</v>
      </c>
      <c r="K190" s="2">
        <f t="shared" si="49"/>
        <v>720096.51117544482</v>
      </c>
      <c r="L190" s="9">
        <f t="shared" si="56"/>
        <v>0.20648493227770157</v>
      </c>
      <c r="M190" s="2">
        <f t="shared" si="50"/>
        <v>663503.52835973958</v>
      </c>
      <c r="N190" s="34">
        <f>+VLOOKUP(A190,Diabetes!$G$1:$S$206,12,0)/100000</f>
        <v>0.225354035638097</v>
      </c>
      <c r="O190">
        <f t="shared" si="57"/>
        <v>0.32644099891185696</v>
      </c>
      <c r="P190" s="16">
        <v>5.5833428333333331E-2</v>
      </c>
      <c r="Q190">
        <v>0.43872310449431701</v>
      </c>
      <c r="R190">
        <v>0.190833098265249</v>
      </c>
      <c r="S190" s="35">
        <v>5.4274671256754101E-2</v>
      </c>
      <c r="T190" s="40">
        <f>IFERROR(VLOOKUP(A190,HTN_targets!$R$9:$X$203,6,0),L190)</f>
        <v>0.1764409989118576</v>
      </c>
      <c r="U190">
        <f t="shared" si="51"/>
        <v>1</v>
      </c>
      <c r="V190" s="15">
        <f t="shared" si="58"/>
        <v>236387.71848418497</v>
      </c>
      <c r="W190" s="15">
        <f t="shared" si="59"/>
        <v>579308.89630199305</v>
      </c>
    </row>
    <row r="191" spans="1:23" x14ac:dyDescent="0.3">
      <c r="A191" t="s">
        <v>184</v>
      </c>
      <c r="B191" s="33">
        <f>IFERROR(VLOOKUP(A191,HTN_targets!$D$1:$M$195,3,0),Q191)</f>
        <v>0.30505395000000002</v>
      </c>
      <c r="C191" s="33">
        <f>IFERROR(VLOOKUP(A191,HTN_targets!$D$1:$M$195,10,0),R191)</f>
        <v>0.35307422280311501</v>
      </c>
      <c r="D191" s="35">
        <v>3.0872730345950599E-2</v>
      </c>
      <c r="E191" s="1">
        <v>54361027.5</v>
      </c>
      <c r="F191" s="1">
        <f t="shared" si="52"/>
        <v>16583046.164933626</v>
      </c>
      <c r="G191" s="1">
        <f t="shared" si="53"/>
        <v>5855046.1363921165</v>
      </c>
      <c r="H191" s="4">
        <f t="shared" si="54"/>
        <v>0.5</v>
      </c>
      <c r="I191" s="1">
        <f t="shared" si="48"/>
        <v>8291523.0824668128</v>
      </c>
      <c r="J191" s="9">
        <f t="shared" si="55"/>
        <v>0.40073011710755813</v>
      </c>
      <c r="K191" s="2">
        <f t="shared" si="49"/>
        <v>6645326.0316738943</v>
      </c>
      <c r="L191" s="9">
        <f t="shared" si="56"/>
        <v>0.38311815616895961</v>
      </c>
      <c r="M191" s="2">
        <f t="shared" si="50"/>
        <v>6353266.0703741079</v>
      </c>
      <c r="N191" s="34">
        <f>+VLOOKUP(A191,Diabetes!$G$1:$S$206,12,0)/100000</f>
        <v>8.9468634843375999E-2</v>
      </c>
      <c r="O191">
        <f t="shared" si="57"/>
        <v>0.50307422280311498</v>
      </c>
      <c r="P191" s="16">
        <v>5.5833428333333331E-2</v>
      </c>
      <c r="Q191">
        <v>0.29891163285643901</v>
      </c>
      <c r="R191">
        <v>0.30459848560633501</v>
      </c>
      <c r="S191" s="35">
        <v>3.0872730345950599E-2</v>
      </c>
      <c r="T191" s="40">
        <f>IFERROR(VLOOKUP(A191,HTN_targets!$R$9:$X$203,6,0),L191)</f>
        <v>0.35307422280311579</v>
      </c>
      <c r="U191">
        <f t="shared" si="51"/>
        <v>1</v>
      </c>
      <c r="V191" s="15">
        <f t="shared" si="58"/>
        <v>746392.36005617969</v>
      </c>
      <c r="W191" s="15">
        <f t="shared" si="59"/>
        <v>1186930.0015370348</v>
      </c>
    </row>
    <row r="192" spans="1:23" x14ac:dyDescent="0.3">
      <c r="A192" t="s">
        <v>185</v>
      </c>
      <c r="B192" s="33">
        <f>IFERROR(VLOOKUP(A192,HTN_targets!$D$1:$M$195,3,0),Q192)</f>
        <v>0.37340953999999998</v>
      </c>
      <c r="C192" s="33">
        <f>IFERROR(VLOOKUP(A192,HTN_targets!$D$1:$M$195,10,0),R192)</f>
        <v>0.49491772055625899</v>
      </c>
      <c r="D192" s="35">
        <v>2.4155147569980901E-2</v>
      </c>
      <c r="E192" s="1">
        <v>269710426</v>
      </c>
      <c r="F192" s="1">
        <f t="shared" si="52"/>
        <v>100712446.10586403</v>
      </c>
      <c r="G192" s="1">
        <f t="shared" si="53"/>
        <v>49844374.258359313</v>
      </c>
      <c r="H192" s="4">
        <f t="shared" si="54"/>
        <v>0.5</v>
      </c>
      <c r="I192" s="1">
        <f t="shared" si="48"/>
        <v>50356223.052932017</v>
      </c>
      <c r="J192" s="9">
        <f t="shared" si="55"/>
        <v>0.5425736148607021</v>
      </c>
      <c r="K192" s="2">
        <f t="shared" si="49"/>
        <v>54643915.945122287</v>
      </c>
      <c r="L192" s="9">
        <f t="shared" si="56"/>
        <v>0.52496165392210359</v>
      </c>
      <c r="M192" s="2">
        <f t="shared" si="50"/>
        <v>52870172.278275102</v>
      </c>
      <c r="N192" s="34">
        <f>+VLOOKUP(A192,Diabetes!$G$1:$S$206,12,0)/100000</f>
        <v>0.12848451454263501</v>
      </c>
      <c r="O192">
        <f t="shared" si="57"/>
        <v>0.64491772055625896</v>
      </c>
      <c r="P192" s="16">
        <v>5.5833428333333331E-2</v>
      </c>
      <c r="Q192">
        <v>0.38</v>
      </c>
      <c r="R192">
        <v>0.45591214413644499</v>
      </c>
      <c r="S192" s="35">
        <v>2.4155147569980901E-2</v>
      </c>
      <c r="T192" s="40">
        <f>IFERROR(VLOOKUP(A192,HTN_targets!$R$9:$X$203,6,0),L192)</f>
        <v>0.49491772055625921</v>
      </c>
      <c r="U192">
        <f t="shared" si="51"/>
        <v>0</v>
      </c>
      <c r="V192" s="15">
        <f t="shared" si="58"/>
        <v>8345228.6912136935</v>
      </c>
      <c r="W192" s="15">
        <f t="shared" si="59"/>
        <v>10351991.797050588</v>
      </c>
    </row>
    <row r="193" spans="1:23" x14ac:dyDescent="0.3">
      <c r="A193" t="s">
        <v>186</v>
      </c>
      <c r="B193" s="33">
        <f>IFERROR(VLOOKUP(A193,HTN_targets!$D$1:$M$195,3,0),Q193)</f>
        <v>0.46944752000000001</v>
      </c>
      <c r="C193" s="33">
        <f>IFERROR(VLOOKUP(A193,HTN_targets!$D$1:$M$195,10,0),R193)</f>
        <v>0.33550763130187899</v>
      </c>
      <c r="D193" s="35">
        <v>4.7907784643626501E-2</v>
      </c>
      <c r="E193" s="1">
        <v>2593116.5</v>
      </c>
      <c r="F193" s="1">
        <f t="shared" si="52"/>
        <v>1217332.1099960799</v>
      </c>
      <c r="G193" s="1">
        <f t="shared" si="53"/>
        <v>408424.21273250319</v>
      </c>
      <c r="H193" s="4">
        <f t="shared" si="54"/>
        <v>0.5</v>
      </c>
      <c r="I193" s="1">
        <f t="shared" si="48"/>
        <v>608666.05499803997</v>
      </c>
      <c r="J193" s="9">
        <f t="shared" si="55"/>
        <v>0.38316352560632205</v>
      </c>
      <c r="K193" s="2">
        <f t="shared" si="49"/>
        <v>466437.26309988101</v>
      </c>
      <c r="L193" s="9">
        <f t="shared" si="56"/>
        <v>0.36555156466772354</v>
      </c>
      <c r="M193" s="2">
        <f t="shared" si="50"/>
        <v>444997.65752932837</v>
      </c>
      <c r="N193" s="34">
        <f>+VLOOKUP(A193,Diabetes!$G$1:$S$206,12,0)/100000</f>
        <v>5.6351627096751199E-2</v>
      </c>
      <c r="O193">
        <f t="shared" si="57"/>
        <v>0.48550763130187902</v>
      </c>
      <c r="P193" s="16">
        <v>4.0974910000000003E-2</v>
      </c>
      <c r="Q193">
        <v>0.45980285109805302</v>
      </c>
      <c r="R193">
        <v>0.26435313218546203</v>
      </c>
      <c r="S193" s="35">
        <v>4.7907784643626501E-2</v>
      </c>
      <c r="T193" s="40">
        <f>IFERROR(VLOOKUP(A193,HTN_targets!$R$9:$X$203,6,0),L193)</f>
        <v>0.33550763130187988</v>
      </c>
      <c r="U193">
        <f t="shared" si="51"/>
        <v>1</v>
      </c>
      <c r="V193" s="15">
        <f t="shared" si="58"/>
        <v>33305.165700496262</v>
      </c>
      <c r="W193" s="15">
        <f t="shared" si="59"/>
        <v>54878.916092320324</v>
      </c>
    </row>
    <row r="194" spans="1:23" x14ac:dyDescent="0.3">
      <c r="A194" t="s">
        <v>187</v>
      </c>
      <c r="B194" s="33">
        <f>IFERROR(VLOOKUP(A194,HTN_targets!$D$1:$M$195,3,0),Q194)</f>
        <v>0.47450261999999999</v>
      </c>
      <c r="C194" s="33">
        <f>IFERROR(VLOOKUP(A194,HTN_targets!$D$1:$M$195,10,0),R194)</f>
        <v>0.17816337943077001</v>
      </c>
      <c r="D194" s="35">
        <v>6.3099006481210099E-2</v>
      </c>
      <c r="E194" s="1">
        <v>23084319.5</v>
      </c>
      <c r="F194" s="1">
        <f t="shared" si="52"/>
        <v>10953570.08366709</v>
      </c>
      <c r="G194" s="1">
        <f t="shared" si="53"/>
        <v>1951525.0629379111</v>
      </c>
      <c r="H194" s="4">
        <f t="shared" si="54"/>
        <v>0.5</v>
      </c>
      <c r="I194" s="1">
        <f t="shared" si="48"/>
        <v>5476785.0418335451</v>
      </c>
      <c r="J194" s="9">
        <f t="shared" si="55"/>
        <v>0.2258192737352131</v>
      </c>
      <c r="K194" s="2">
        <f t="shared" si="49"/>
        <v>2473527.2411014596</v>
      </c>
      <c r="L194" s="9">
        <f t="shared" si="56"/>
        <v>0.20820731279661459</v>
      </c>
      <c r="M194" s="2">
        <f t="shared" si="50"/>
        <v>2280613.3926497134</v>
      </c>
      <c r="N194" s="34">
        <f>+VLOOKUP(A194,Diabetes!$G$1:$S$206,12,0)/100000</f>
        <v>4.8049653820183801E-2</v>
      </c>
      <c r="O194">
        <f t="shared" si="57"/>
        <v>0.32816337943077001</v>
      </c>
      <c r="P194" s="16">
        <v>5.0000559999999999E-2</v>
      </c>
      <c r="Q194">
        <v>0.46703457364378098</v>
      </c>
      <c r="R194">
        <v>0.14242895448374901</v>
      </c>
      <c r="S194" s="35">
        <v>6.3099006481210099E-2</v>
      </c>
      <c r="T194" s="40">
        <f>IFERROR(VLOOKUP(A194,HTN_targets!$R$9:$X$203,6,0),L194)</f>
        <v>0.1781633794307709</v>
      </c>
      <c r="U194">
        <f t="shared" si="51"/>
        <v>1</v>
      </c>
      <c r="V194" s="15">
        <f t="shared" si="58"/>
        <v>172717.39128787784</v>
      </c>
      <c r="W194" s="15">
        <f t="shared" si="59"/>
        <v>421052.20049226034</v>
      </c>
    </row>
    <row r="195" spans="1:23" x14ac:dyDescent="0.3">
      <c r="A195" t="s">
        <v>188</v>
      </c>
      <c r="B195" s="33">
        <f>IFERROR(VLOOKUP(A195,HTN_targets!$D$1:$M$195,3,0),Q195)</f>
        <v>0.38129783</v>
      </c>
      <c r="C195" s="33">
        <f>IFERROR(VLOOKUP(A195,HTN_targets!$D$1:$M$195,10,0),R195)</f>
        <v>5.7803940027952201E-2</v>
      </c>
      <c r="D195" s="35">
        <v>5.8843770837955903E-2</v>
      </c>
      <c r="E195" s="1">
        <v>180815</v>
      </c>
      <c r="F195" s="1">
        <f t="shared" si="52"/>
        <v>68944.367131449995</v>
      </c>
      <c r="G195" s="1">
        <f t="shared" si="53"/>
        <v>3985.2560629314544</v>
      </c>
      <c r="H195" s="4">
        <f t="shared" si="54"/>
        <v>0.5</v>
      </c>
      <c r="I195" s="1">
        <f t="shared" si="48"/>
        <v>34472.183565724998</v>
      </c>
      <c r="J195" s="9">
        <f t="shared" si="55"/>
        <v>0.10545983433239528</v>
      </c>
      <c r="K195" s="2">
        <f t="shared" si="49"/>
        <v>7270.8615358345551</v>
      </c>
      <c r="L195" s="9">
        <f t="shared" si="56"/>
        <v>8.7847873393796766E-2</v>
      </c>
      <c r="M195" s="2">
        <f t="shared" si="50"/>
        <v>6056.6160349790625</v>
      </c>
      <c r="N195" s="34">
        <f>+VLOOKUP(A195,Diabetes!$G$1:$S$206,12,0)/100000</f>
        <v>7.6613213295939203E-2</v>
      </c>
      <c r="O195">
        <f t="shared" si="57"/>
        <v>0.20780394002795219</v>
      </c>
      <c r="P195" s="16">
        <v>9.8896890000000001E-2</v>
      </c>
      <c r="Q195">
        <v>0.37433459208503</v>
      </c>
      <c r="R195">
        <v>4.4031158515397302E-2</v>
      </c>
      <c r="S195" s="35">
        <v>5.8843770837955903E-2</v>
      </c>
      <c r="T195" s="40">
        <f>IFERROR(VLOOKUP(A195,HTN_targets!$R$9:$X$203,6,0),L195)</f>
        <v>5.7803940027952187E-2</v>
      </c>
      <c r="U195">
        <f t="shared" si="51"/>
        <v>0</v>
      </c>
      <c r="V195" s="15">
        <f t="shared" si="58"/>
        <v>1097.6306984776002</v>
      </c>
      <c r="W195" s="15">
        <f t="shared" si="59"/>
        <v>4225.6396036762553</v>
      </c>
    </row>
    <row r="196" spans="1:23" x14ac:dyDescent="0.3">
      <c r="A196" t="s">
        <v>189</v>
      </c>
      <c r="B196" s="33">
        <f>IFERROR(VLOOKUP(A196,HTN_targets!$D$1:$M$195,3,0),Q196)</f>
        <v>0.40358033999999998</v>
      </c>
      <c r="C196" s="33">
        <f>IFERROR(VLOOKUP(A196,HTN_targets!$D$1:$M$195,10,0),R196)</f>
        <v>0.36493313312530501</v>
      </c>
      <c r="D196" s="35">
        <v>4.0745806451223401E-2</v>
      </c>
      <c r="E196" s="1">
        <v>19211489.5</v>
      </c>
      <c r="F196" s="1">
        <f t="shared" si="52"/>
        <v>7753379.4643164296</v>
      </c>
      <c r="G196" s="1">
        <f t="shared" si="53"/>
        <v>2829465.0602223938</v>
      </c>
      <c r="H196" s="4">
        <f t="shared" si="54"/>
        <v>0.5</v>
      </c>
      <c r="I196" s="1">
        <f t="shared" si="48"/>
        <v>3876689.7321582148</v>
      </c>
      <c r="J196" s="9">
        <f t="shared" si="55"/>
        <v>0.41258902742974812</v>
      </c>
      <c r="K196" s="2">
        <f t="shared" si="49"/>
        <v>3198959.2924760971</v>
      </c>
      <c r="L196" s="9">
        <f t="shared" si="56"/>
        <v>0.39497706649114961</v>
      </c>
      <c r="M196" s="2">
        <f t="shared" si="50"/>
        <v>3062407.0762084243</v>
      </c>
      <c r="N196" s="34">
        <f>+VLOOKUP(A196,Diabetes!$G$1:$S$206,12,0)/100000</f>
        <v>9.2792860331494503E-2</v>
      </c>
      <c r="O196">
        <f t="shared" si="57"/>
        <v>0.51493313312530498</v>
      </c>
      <c r="P196" s="16">
        <v>5.5833428333333331E-2</v>
      </c>
      <c r="Q196">
        <v>0.38</v>
      </c>
      <c r="R196">
        <v>0.27880852089435099</v>
      </c>
      <c r="S196" s="35">
        <v>4.0745806451223401E-2</v>
      </c>
      <c r="T196" s="40">
        <f>IFERROR(VLOOKUP(A196,HTN_targets!$R$9:$X$203,6,0),L196)</f>
        <v>0.36493313312530518</v>
      </c>
      <c r="U196">
        <f t="shared" si="51"/>
        <v>0</v>
      </c>
      <c r="V196" s="15">
        <f t="shared" si="58"/>
        <v>370472.89480546908</v>
      </c>
      <c r="W196" s="15">
        <f t="shared" si="59"/>
        <v>575566.60618351377</v>
      </c>
    </row>
    <row r="197" spans="1:23" x14ac:dyDescent="0.3">
      <c r="A197" t="s">
        <v>190</v>
      </c>
      <c r="B197" s="33">
        <f>IFERROR(VLOOKUP(A197,HTN_targets!$D$1:$M$195,3,0),Q197)</f>
        <v>0.30527936999999999</v>
      </c>
      <c r="C197" s="33">
        <f>IFERROR(VLOOKUP(A197,HTN_targets!$D$1:$M$195,10,0),R197)</f>
        <v>0.151987195014953</v>
      </c>
      <c r="D197" s="35">
        <v>5.4170784445091699E-2</v>
      </c>
      <c r="E197" s="1">
        <v>72319325.5</v>
      </c>
      <c r="F197" s="1">
        <f t="shared" si="52"/>
        <v>22077598.127464935</v>
      </c>
      <c r="G197" s="1">
        <f t="shared" si="53"/>
        <v>3355512.2120607742</v>
      </c>
      <c r="H197" s="4">
        <f t="shared" si="54"/>
        <v>0.5</v>
      </c>
      <c r="I197" s="1">
        <f t="shared" si="48"/>
        <v>11038799.063732468</v>
      </c>
      <c r="J197" s="9">
        <f t="shared" si="55"/>
        <v>0.19964308931939609</v>
      </c>
      <c r="K197" s="2">
        <f t="shared" si="49"/>
        <v>4407639.8949192138</v>
      </c>
      <c r="L197" s="9">
        <f t="shared" si="56"/>
        <v>0.18203112838079757</v>
      </c>
      <c r="M197" s="2">
        <f t="shared" si="50"/>
        <v>4018810.0990802259</v>
      </c>
      <c r="N197" s="34">
        <f>+VLOOKUP(A197,Diabetes!$G$1:$S$206,12,0)/100000</f>
        <v>4.6039163588510901E-2</v>
      </c>
      <c r="O197">
        <f t="shared" si="57"/>
        <v>0.30198719501495297</v>
      </c>
      <c r="P197" s="16">
        <v>5.5833428333333331E-2</v>
      </c>
      <c r="Q197">
        <v>0.32925527864263898</v>
      </c>
      <c r="R197">
        <v>0.11822399077401199</v>
      </c>
      <c r="S197" s="35">
        <v>5.4170784445091699E-2</v>
      </c>
      <c r="T197" s="40">
        <f>IFERROR(VLOOKUP(A197,HTN_targets!$R$9:$X$203,6,0),L197)</f>
        <v>0.15198719501495361</v>
      </c>
      <c r="U197">
        <f t="shared" si="51"/>
        <v>1</v>
      </c>
      <c r="V197" s="15">
        <f t="shared" si="58"/>
        <v>306950.09842907602</v>
      </c>
      <c r="W197" s="15">
        <f t="shared" si="59"/>
        <v>813147.32146540808</v>
      </c>
    </row>
    <row r="198" spans="1:23" x14ac:dyDescent="0.3">
      <c r="A198" t="s">
        <v>191</v>
      </c>
      <c r="B198" s="33">
        <f>IFERROR(VLOOKUP(A198,HTN_targets!$D$1:$M$195,3,0),Q198)</f>
        <v>0.25201576999999997</v>
      </c>
      <c r="C198" s="33">
        <f>IFERROR(VLOOKUP(A198,HTN_targets!$D$1:$M$195,10,0),R198)</f>
        <v>0.18032722175121299</v>
      </c>
      <c r="D198" s="35">
        <v>8.5771351221585704E-2</v>
      </c>
      <c r="E198" s="1">
        <v>21178557</v>
      </c>
      <c r="F198" s="1">
        <f t="shared" si="52"/>
        <v>5337330.3498438895</v>
      </c>
      <c r="G198" s="1">
        <f t="shared" si="53"/>
        <v>962465.95355577825</v>
      </c>
      <c r="H198" s="4">
        <f t="shared" si="54"/>
        <v>0.5</v>
      </c>
      <c r="I198" s="1">
        <f t="shared" si="48"/>
        <v>2668665.1749219447</v>
      </c>
      <c r="J198" s="9">
        <f t="shared" si="55"/>
        <v>0.22798311605565608</v>
      </c>
      <c r="K198" s="2">
        <f t="shared" si="49"/>
        <v>1216821.2045758348</v>
      </c>
      <c r="L198" s="9">
        <f t="shared" si="56"/>
        <v>0.21037115511705756</v>
      </c>
      <c r="M198" s="2">
        <f t="shared" si="50"/>
        <v>1122820.3509379879</v>
      </c>
      <c r="N198" s="34">
        <f>+VLOOKUP(A198,Diabetes!$G$1:$S$206,12,0)/100000</f>
        <v>4.8812508612995596E-2</v>
      </c>
      <c r="O198">
        <f t="shared" si="57"/>
        <v>0.33032722175121298</v>
      </c>
      <c r="P198" s="16">
        <v>4.2223080000000003E-2</v>
      </c>
      <c r="Q198">
        <v>0.29051410352144402</v>
      </c>
      <c r="R198">
        <v>0.155591246612448</v>
      </c>
      <c r="S198" s="35">
        <v>8.5771351221585704E-2</v>
      </c>
      <c r="T198" s="40">
        <f>IFERROR(VLOOKUP(A198,HTN_targets!$R$9:$X$203,6,0),L198)</f>
        <v>0.1803272217512131</v>
      </c>
      <c r="U198">
        <f t="shared" si="51"/>
        <v>0</v>
      </c>
      <c r="V198" s="15">
        <f t="shared" si="58"/>
        <v>86059.6501984801</v>
      </c>
      <c r="W198" s="15">
        <f t="shared" si="59"/>
        <v>208422.78693772614</v>
      </c>
    </row>
    <row r="199" spans="1:23" x14ac:dyDescent="0.3">
      <c r="A199" t="s">
        <v>192</v>
      </c>
      <c r="B199" s="33">
        <f>IFERROR(VLOOKUP(A199,HTN_targets!$D$1:$M$195,3,0),Q199)</f>
        <v>0.25263169000000002</v>
      </c>
      <c r="C199" s="33">
        <f>IFERROR(VLOOKUP(A199,HTN_targets!$D$1:$M$195,10,0),R199)</f>
        <v>0.109389267861843</v>
      </c>
      <c r="D199" s="35">
        <v>6.9396743616929601E-2</v>
      </c>
      <c r="E199" s="1">
        <v>10926237.5</v>
      </c>
      <c r="F199" s="1">
        <f t="shared" si="52"/>
        <v>2760313.8449663753</v>
      </c>
      <c r="G199" s="1">
        <f t="shared" si="53"/>
        <v>301948.71056978061</v>
      </c>
      <c r="H199" s="4">
        <f t="shared" si="54"/>
        <v>0.5</v>
      </c>
      <c r="I199" s="1">
        <f t="shared" si="48"/>
        <v>1380156.9224831876</v>
      </c>
      <c r="J199" s="9">
        <f t="shared" si="55"/>
        <v>0.15704516216628608</v>
      </c>
      <c r="K199" s="2">
        <f t="shared" si="49"/>
        <v>433493.93541258905</v>
      </c>
      <c r="L199" s="9">
        <f t="shared" si="56"/>
        <v>0.13943320122768757</v>
      </c>
      <c r="M199" s="2">
        <f t="shared" si="50"/>
        <v>384879.3957967686</v>
      </c>
      <c r="N199" s="34">
        <f>+VLOOKUP(A199,Diabetes!$G$1:$S$206,12,0)/100000</f>
        <v>2.7278887527740599E-2</v>
      </c>
      <c r="O199">
        <f t="shared" si="57"/>
        <v>0.25938926786184302</v>
      </c>
      <c r="P199" s="16">
        <v>5.16391E-2</v>
      </c>
      <c r="Q199">
        <v>0.303038590215507</v>
      </c>
      <c r="R199">
        <v>8.2878300900688998E-2</v>
      </c>
      <c r="S199" s="35">
        <v>6.9396743616929601E-2</v>
      </c>
      <c r="T199" s="40">
        <f>IFERROR(VLOOKUP(A199,HTN_targets!$R$9:$X$203,6,0),L199)</f>
        <v>0.1093892678618431</v>
      </c>
      <c r="U199">
        <f t="shared" si="51"/>
        <v>0</v>
      </c>
      <c r="V199" s="15">
        <f t="shared" si="58"/>
        <v>19531.568552494788</v>
      </c>
      <c r="W199" s="15">
        <f t="shared" si="59"/>
        <v>60238.632734482366</v>
      </c>
    </row>
    <row r="200" spans="1:23" x14ac:dyDescent="0.3">
      <c r="A200" t="s">
        <v>193</v>
      </c>
      <c r="B200" s="33">
        <f>IFERROR(VLOOKUP(A200,HTN_targets!$D$1:$M$195,3,0),Q200)</f>
        <v>0.37768167000000002</v>
      </c>
      <c r="C200" s="33">
        <f>IFERROR(VLOOKUP(A200,HTN_targets!$D$1:$M$195,10,0),R200)</f>
        <v>0.17734418809413899</v>
      </c>
      <c r="D200" s="35">
        <v>7.1455299498752595E-2</v>
      </c>
      <c r="E200" s="1">
        <v>8524822.5</v>
      </c>
      <c r="F200" s="1">
        <f t="shared" si="52"/>
        <v>3219669.1982535752</v>
      </c>
      <c r="G200" s="1">
        <f t="shared" si="53"/>
        <v>570989.61989598768</v>
      </c>
      <c r="H200" s="4">
        <f t="shared" si="54"/>
        <v>0.5</v>
      </c>
      <c r="I200" s="1">
        <f t="shared" si="48"/>
        <v>1609834.5991267876</v>
      </c>
      <c r="J200" s="9">
        <f t="shared" si="55"/>
        <v>0.22500008239858207</v>
      </c>
      <c r="K200" s="2">
        <f t="shared" si="49"/>
        <v>724425.83490323112</v>
      </c>
      <c r="L200" s="9">
        <f t="shared" si="56"/>
        <v>0.20738812145998356</v>
      </c>
      <c r="M200" s="2">
        <f t="shared" si="50"/>
        <v>667721.14674838039</v>
      </c>
      <c r="N200" s="34">
        <f>+VLOOKUP(A200,Diabetes!$G$1:$S$206,12,0)/100000</f>
        <v>2.8570120638871099E-2</v>
      </c>
      <c r="O200">
        <f t="shared" si="57"/>
        <v>0.32734418809413901</v>
      </c>
      <c r="P200" s="16">
        <v>6.8192870000000003E-2</v>
      </c>
      <c r="Q200">
        <v>0.36861001935293602</v>
      </c>
      <c r="R200">
        <v>0.15091337657248</v>
      </c>
      <c r="S200" s="35">
        <v>7.1455299498752595E-2</v>
      </c>
      <c r="T200" s="40">
        <f>IFERROR(VLOOKUP(A200,HTN_targets!$R$9:$X$203,6,0),L200)</f>
        <v>0.1773441880941391</v>
      </c>
      <c r="U200">
        <f t="shared" si="51"/>
        <v>0</v>
      </c>
      <c r="V200" s="15">
        <f t="shared" si="58"/>
        <v>30111.19293567583</v>
      </c>
      <c r="W200" s="15">
        <f t="shared" si="59"/>
        <v>73589.06992908963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3F75-E881-4EF8-9CE4-0D24676BE329}">
  <dimension ref="A1:S206"/>
  <sheetViews>
    <sheetView topLeftCell="A40" workbookViewId="0">
      <selection activeCell="G1" sqref="G1"/>
    </sheetView>
  </sheetViews>
  <sheetFormatPr defaultRowHeight="14.4" x14ac:dyDescent="0.3"/>
  <cols>
    <col min="7" max="7" width="17.33203125" customWidth="1"/>
    <col min="13" max="13" width="14.88671875" bestFit="1" customWidth="1"/>
  </cols>
  <sheetData>
    <row r="1" spans="1:19" x14ac:dyDescent="0.3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s="17" t="s">
        <v>257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</row>
    <row r="2" spans="1:19" x14ac:dyDescent="0.3">
      <c r="A2">
        <v>1</v>
      </c>
      <c r="B2" t="s">
        <v>230</v>
      </c>
      <c r="C2">
        <v>5</v>
      </c>
      <c r="D2" t="s">
        <v>231</v>
      </c>
      <c r="E2">
        <v>160</v>
      </c>
      <c r="F2" t="s">
        <v>3</v>
      </c>
      <c r="G2" t="s">
        <v>3</v>
      </c>
      <c r="H2">
        <v>3</v>
      </c>
      <c r="I2" t="s">
        <v>232</v>
      </c>
      <c r="J2">
        <v>22</v>
      </c>
      <c r="K2" t="s">
        <v>233</v>
      </c>
      <c r="L2">
        <v>587</v>
      </c>
      <c r="M2" t="s">
        <v>234</v>
      </c>
      <c r="N2">
        <v>3</v>
      </c>
      <c r="O2" t="s">
        <v>235</v>
      </c>
      <c r="P2">
        <v>2023</v>
      </c>
      <c r="Q2">
        <v>5613.1562816116602</v>
      </c>
      <c r="R2">
        <v>6156.9095988658</v>
      </c>
      <c r="S2">
        <v>5122.2725904079798</v>
      </c>
    </row>
    <row r="3" spans="1:19" x14ac:dyDescent="0.3">
      <c r="A3">
        <v>1</v>
      </c>
      <c r="B3" t="s">
        <v>230</v>
      </c>
      <c r="C3">
        <v>5</v>
      </c>
      <c r="D3" t="s">
        <v>231</v>
      </c>
      <c r="E3">
        <v>43</v>
      </c>
      <c r="F3" t="s">
        <v>4</v>
      </c>
      <c r="G3" t="s">
        <v>4</v>
      </c>
      <c r="H3">
        <v>3</v>
      </c>
      <c r="I3" t="s">
        <v>232</v>
      </c>
      <c r="J3">
        <v>22</v>
      </c>
      <c r="K3" t="s">
        <v>233</v>
      </c>
      <c r="L3">
        <v>587</v>
      </c>
      <c r="M3" t="s">
        <v>234</v>
      </c>
      <c r="N3">
        <v>3</v>
      </c>
      <c r="O3" t="s">
        <v>235</v>
      </c>
      <c r="P3">
        <v>2023</v>
      </c>
      <c r="Q3">
        <v>5458.1353536976403</v>
      </c>
      <c r="R3">
        <v>6105.0695008231796</v>
      </c>
      <c r="S3">
        <v>4945.4140992389403</v>
      </c>
    </row>
    <row r="4" spans="1:19" x14ac:dyDescent="0.3">
      <c r="A4">
        <v>1</v>
      </c>
      <c r="B4" t="s">
        <v>230</v>
      </c>
      <c r="C4">
        <v>5</v>
      </c>
      <c r="D4" t="s">
        <v>231</v>
      </c>
      <c r="E4">
        <v>139</v>
      </c>
      <c r="F4" t="s">
        <v>5</v>
      </c>
      <c r="G4" t="s">
        <v>5</v>
      </c>
      <c r="H4">
        <v>3</v>
      </c>
      <c r="I4" t="s">
        <v>232</v>
      </c>
      <c r="J4">
        <v>22</v>
      </c>
      <c r="K4" t="s">
        <v>233</v>
      </c>
      <c r="L4">
        <v>587</v>
      </c>
      <c r="M4" t="s">
        <v>234</v>
      </c>
      <c r="N4">
        <v>3</v>
      </c>
      <c r="O4" t="s">
        <v>235</v>
      </c>
      <c r="P4">
        <v>2023</v>
      </c>
      <c r="Q4">
        <v>11003.902742914501</v>
      </c>
      <c r="R4">
        <v>11948.1623840348</v>
      </c>
      <c r="S4">
        <v>10156.5804188165</v>
      </c>
    </row>
    <row r="5" spans="1:19" x14ac:dyDescent="0.3">
      <c r="A5">
        <v>1</v>
      </c>
      <c r="B5" t="s">
        <v>230</v>
      </c>
      <c r="C5">
        <v>5</v>
      </c>
      <c r="D5" t="s">
        <v>231</v>
      </c>
      <c r="E5">
        <v>298</v>
      </c>
      <c r="F5" t="s">
        <v>6</v>
      </c>
      <c r="G5" t="s">
        <v>6</v>
      </c>
      <c r="H5">
        <v>3</v>
      </c>
      <c r="I5" t="s">
        <v>232</v>
      </c>
      <c r="J5">
        <v>22</v>
      </c>
      <c r="K5" t="s">
        <v>233</v>
      </c>
      <c r="L5">
        <v>587</v>
      </c>
      <c r="M5" t="s">
        <v>234</v>
      </c>
      <c r="N5">
        <v>3</v>
      </c>
      <c r="O5" t="s">
        <v>235</v>
      </c>
      <c r="P5">
        <v>2023</v>
      </c>
      <c r="Q5">
        <v>17340.534347301498</v>
      </c>
      <c r="R5">
        <v>18703.0251409458</v>
      </c>
      <c r="S5">
        <v>16005.8106411266</v>
      </c>
    </row>
    <row r="6" spans="1:19" x14ac:dyDescent="0.3">
      <c r="A6">
        <v>1</v>
      </c>
      <c r="B6" t="s">
        <v>230</v>
      </c>
      <c r="C6">
        <v>5</v>
      </c>
      <c r="D6" t="s">
        <v>231</v>
      </c>
      <c r="E6">
        <v>74</v>
      </c>
      <c r="F6" t="s">
        <v>7</v>
      </c>
      <c r="G6" t="s">
        <v>7</v>
      </c>
      <c r="H6">
        <v>3</v>
      </c>
      <c r="I6" t="s">
        <v>232</v>
      </c>
      <c r="J6">
        <v>22</v>
      </c>
      <c r="K6" t="s">
        <v>233</v>
      </c>
      <c r="L6">
        <v>587</v>
      </c>
      <c r="M6" t="s">
        <v>234</v>
      </c>
      <c r="N6">
        <v>3</v>
      </c>
      <c r="O6" t="s">
        <v>235</v>
      </c>
      <c r="P6">
        <v>2023</v>
      </c>
      <c r="Q6">
        <v>5277.0906753336403</v>
      </c>
      <c r="R6">
        <v>5864.3140168872196</v>
      </c>
      <c r="S6">
        <v>4771.9099496996396</v>
      </c>
    </row>
    <row r="7" spans="1:19" x14ac:dyDescent="0.3">
      <c r="A7">
        <v>1</v>
      </c>
      <c r="B7" t="s">
        <v>230</v>
      </c>
      <c r="C7">
        <v>5</v>
      </c>
      <c r="D7" t="s">
        <v>231</v>
      </c>
      <c r="E7">
        <v>168</v>
      </c>
      <c r="F7" t="s">
        <v>8</v>
      </c>
      <c r="G7" t="s">
        <v>8</v>
      </c>
      <c r="H7">
        <v>3</v>
      </c>
      <c r="I7" t="s">
        <v>232</v>
      </c>
      <c r="J7">
        <v>22</v>
      </c>
      <c r="K7" t="s">
        <v>233</v>
      </c>
      <c r="L7">
        <v>587</v>
      </c>
      <c r="M7" t="s">
        <v>234</v>
      </c>
      <c r="N7">
        <v>3</v>
      </c>
      <c r="O7" t="s">
        <v>235</v>
      </c>
      <c r="P7">
        <v>2023</v>
      </c>
      <c r="Q7">
        <v>4053.7300482386599</v>
      </c>
      <c r="R7">
        <v>4454.50084697692</v>
      </c>
      <c r="S7">
        <v>3668.5738457171901</v>
      </c>
    </row>
    <row r="8" spans="1:19" x14ac:dyDescent="0.3">
      <c r="A8">
        <v>1</v>
      </c>
      <c r="B8" t="s">
        <v>230</v>
      </c>
      <c r="C8">
        <v>5</v>
      </c>
      <c r="D8" t="s">
        <v>231</v>
      </c>
      <c r="E8">
        <v>105</v>
      </c>
      <c r="F8" t="s">
        <v>9</v>
      </c>
      <c r="G8" t="s">
        <v>9</v>
      </c>
      <c r="H8">
        <v>3</v>
      </c>
      <c r="I8" t="s">
        <v>232</v>
      </c>
      <c r="J8">
        <v>22</v>
      </c>
      <c r="K8" t="s">
        <v>233</v>
      </c>
      <c r="L8">
        <v>587</v>
      </c>
      <c r="M8" t="s">
        <v>234</v>
      </c>
      <c r="N8">
        <v>3</v>
      </c>
      <c r="O8" t="s">
        <v>235</v>
      </c>
      <c r="P8">
        <v>2023</v>
      </c>
      <c r="Q8">
        <v>11343.178588384801</v>
      </c>
      <c r="R8">
        <v>12481.961002722001</v>
      </c>
      <c r="S8">
        <v>10591.149926989799</v>
      </c>
    </row>
    <row r="9" spans="1:19" x14ac:dyDescent="0.3">
      <c r="A9">
        <v>1</v>
      </c>
      <c r="B9" t="s">
        <v>230</v>
      </c>
      <c r="C9">
        <v>5</v>
      </c>
      <c r="D9" t="s">
        <v>231</v>
      </c>
      <c r="E9">
        <v>97</v>
      </c>
      <c r="F9" t="s">
        <v>10</v>
      </c>
      <c r="G9" t="s">
        <v>10</v>
      </c>
      <c r="H9">
        <v>3</v>
      </c>
      <c r="I9" t="s">
        <v>232</v>
      </c>
      <c r="J9">
        <v>22</v>
      </c>
      <c r="K9" t="s">
        <v>233</v>
      </c>
      <c r="L9">
        <v>587</v>
      </c>
      <c r="M9" t="s">
        <v>234</v>
      </c>
      <c r="N9">
        <v>3</v>
      </c>
      <c r="O9" t="s">
        <v>235</v>
      </c>
      <c r="P9">
        <v>2023</v>
      </c>
      <c r="Q9">
        <v>4739.8296922270001</v>
      </c>
      <c r="R9">
        <v>5130.7119474561396</v>
      </c>
      <c r="S9">
        <v>4309.4575332697405</v>
      </c>
    </row>
    <row r="10" spans="1:19" x14ac:dyDescent="0.3">
      <c r="A10">
        <v>1</v>
      </c>
      <c r="B10" t="s">
        <v>230</v>
      </c>
      <c r="C10">
        <v>5</v>
      </c>
      <c r="D10" t="s">
        <v>231</v>
      </c>
      <c r="E10">
        <v>33</v>
      </c>
      <c r="F10" t="s">
        <v>11</v>
      </c>
      <c r="G10" t="s">
        <v>11</v>
      </c>
      <c r="H10">
        <v>3</v>
      </c>
      <c r="I10" t="s">
        <v>232</v>
      </c>
      <c r="J10">
        <v>22</v>
      </c>
      <c r="K10" t="s">
        <v>233</v>
      </c>
      <c r="L10">
        <v>587</v>
      </c>
      <c r="M10" t="s">
        <v>234</v>
      </c>
      <c r="N10">
        <v>3</v>
      </c>
      <c r="O10" t="s">
        <v>235</v>
      </c>
      <c r="P10">
        <v>2023</v>
      </c>
      <c r="Q10">
        <v>6572.0767024884999</v>
      </c>
      <c r="R10">
        <v>7285.4139721639804</v>
      </c>
      <c r="S10">
        <v>6130.0255974018801</v>
      </c>
    </row>
    <row r="11" spans="1:19" x14ac:dyDescent="0.3">
      <c r="A11">
        <v>1</v>
      </c>
      <c r="B11" t="s">
        <v>230</v>
      </c>
      <c r="C11">
        <v>5</v>
      </c>
      <c r="D11" t="s">
        <v>231</v>
      </c>
      <c r="E11">
        <v>71</v>
      </c>
      <c r="F11" t="s">
        <v>12</v>
      </c>
      <c r="G11" t="s">
        <v>12</v>
      </c>
      <c r="H11">
        <v>3</v>
      </c>
      <c r="I11" t="s">
        <v>232</v>
      </c>
      <c r="J11">
        <v>22</v>
      </c>
      <c r="K11" t="s">
        <v>233</v>
      </c>
      <c r="L11">
        <v>587</v>
      </c>
      <c r="M11" t="s">
        <v>234</v>
      </c>
      <c r="N11">
        <v>3</v>
      </c>
      <c r="O11" t="s">
        <v>235</v>
      </c>
      <c r="P11">
        <v>2023</v>
      </c>
      <c r="Q11">
        <v>4191.0436625757802</v>
      </c>
      <c r="R11">
        <v>4528.8840276403798</v>
      </c>
      <c r="S11">
        <v>3845.0388999090501</v>
      </c>
    </row>
    <row r="12" spans="1:19" x14ac:dyDescent="0.3">
      <c r="A12">
        <v>1</v>
      </c>
      <c r="B12" t="s">
        <v>230</v>
      </c>
      <c r="C12">
        <v>5</v>
      </c>
      <c r="D12" t="s">
        <v>231</v>
      </c>
      <c r="E12">
        <v>75</v>
      </c>
      <c r="F12" t="s">
        <v>13</v>
      </c>
      <c r="G12" t="s">
        <v>13</v>
      </c>
      <c r="H12">
        <v>3</v>
      </c>
      <c r="I12" t="s">
        <v>232</v>
      </c>
      <c r="J12">
        <v>22</v>
      </c>
      <c r="K12" t="s">
        <v>233</v>
      </c>
      <c r="L12">
        <v>587</v>
      </c>
      <c r="M12" t="s">
        <v>234</v>
      </c>
      <c r="N12">
        <v>3</v>
      </c>
      <c r="O12" t="s">
        <v>235</v>
      </c>
      <c r="P12">
        <v>2023</v>
      </c>
      <c r="Q12">
        <v>4777.8120828443898</v>
      </c>
      <c r="R12">
        <v>5166.7703462107002</v>
      </c>
      <c r="S12">
        <v>4452.95198791658</v>
      </c>
    </row>
    <row r="13" spans="1:19" x14ac:dyDescent="0.3">
      <c r="A13">
        <v>1</v>
      </c>
      <c r="B13" t="s">
        <v>230</v>
      </c>
      <c r="C13">
        <v>5</v>
      </c>
      <c r="D13" t="s">
        <v>231</v>
      </c>
      <c r="E13">
        <v>34</v>
      </c>
      <c r="F13" t="s">
        <v>14</v>
      </c>
      <c r="G13" t="s">
        <v>14</v>
      </c>
      <c r="H13">
        <v>3</v>
      </c>
      <c r="I13" t="s">
        <v>232</v>
      </c>
      <c r="J13">
        <v>22</v>
      </c>
      <c r="K13" t="s">
        <v>233</v>
      </c>
      <c r="L13">
        <v>587</v>
      </c>
      <c r="M13" t="s">
        <v>234</v>
      </c>
      <c r="N13">
        <v>3</v>
      </c>
      <c r="O13" t="s">
        <v>235</v>
      </c>
      <c r="P13">
        <v>2023</v>
      </c>
      <c r="Q13">
        <v>6137.5203640252003</v>
      </c>
      <c r="R13">
        <v>6764.4852413161098</v>
      </c>
      <c r="S13">
        <v>5602.7726380121603</v>
      </c>
    </row>
    <row r="14" spans="1:19" x14ac:dyDescent="0.3">
      <c r="A14">
        <v>1</v>
      </c>
      <c r="B14" t="s">
        <v>230</v>
      </c>
      <c r="C14">
        <v>5</v>
      </c>
      <c r="D14" t="s">
        <v>231</v>
      </c>
      <c r="E14">
        <v>106</v>
      </c>
      <c r="F14" t="s">
        <v>15</v>
      </c>
      <c r="G14" t="s">
        <v>15</v>
      </c>
      <c r="H14">
        <v>3</v>
      </c>
      <c r="I14" t="s">
        <v>232</v>
      </c>
      <c r="J14">
        <v>22</v>
      </c>
      <c r="K14" t="s">
        <v>233</v>
      </c>
      <c r="L14">
        <v>587</v>
      </c>
      <c r="M14" t="s">
        <v>234</v>
      </c>
      <c r="N14">
        <v>3</v>
      </c>
      <c r="O14" t="s">
        <v>235</v>
      </c>
      <c r="P14">
        <v>2023</v>
      </c>
      <c r="Q14">
        <v>10087.0906422843</v>
      </c>
      <c r="R14">
        <v>11177.2456491702</v>
      </c>
      <c r="S14">
        <v>9218.6227206697604</v>
      </c>
    </row>
    <row r="15" spans="1:19" x14ac:dyDescent="0.3">
      <c r="A15">
        <v>1</v>
      </c>
      <c r="B15" t="s">
        <v>230</v>
      </c>
      <c r="C15">
        <v>5</v>
      </c>
      <c r="D15" t="s">
        <v>231</v>
      </c>
      <c r="E15">
        <v>140</v>
      </c>
      <c r="F15" t="s">
        <v>16</v>
      </c>
      <c r="G15" t="s">
        <v>16</v>
      </c>
      <c r="H15">
        <v>3</v>
      </c>
      <c r="I15" t="s">
        <v>232</v>
      </c>
      <c r="J15">
        <v>22</v>
      </c>
      <c r="K15" t="s">
        <v>233</v>
      </c>
      <c r="L15">
        <v>587</v>
      </c>
      <c r="M15" t="s">
        <v>234</v>
      </c>
      <c r="N15">
        <v>3</v>
      </c>
      <c r="O15" t="s">
        <v>235</v>
      </c>
      <c r="P15">
        <v>2023</v>
      </c>
      <c r="Q15">
        <v>19593.507813804601</v>
      </c>
      <c r="R15">
        <v>21294.375543612401</v>
      </c>
      <c r="S15">
        <v>17946.738234805802</v>
      </c>
    </row>
    <row r="16" spans="1:19" x14ac:dyDescent="0.3">
      <c r="A16">
        <v>1</v>
      </c>
      <c r="B16" t="s">
        <v>230</v>
      </c>
      <c r="C16">
        <v>5</v>
      </c>
      <c r="D16" t="s">
        <v>231</v>
      </c>
      <c r="E16">
        <v>161</v>
      </c>
      <c r="F16" t="s">
        <v>17</v>
      </c>
      <c r="G16" t="s">
        <v>17</v>
      </c>
      <c r="H16">
        <v>3</v>
      </c>
      <c r="I16" t="s">
        <v>232</v>
      </c>
      <c r="J16">
        <v>22</v>
      </c>
      <c r="K16" t="s">
        <v>233</v>
      </c>
      <c r="L16">
        <v>587</v>
      </c>
      <c r="M16" t="s">
        <v>234</v>
      </c>
      <c r="N16">
        <v>3</v>
      </c>
      <c r="O16" t="s">
        <v>235</v>
      </c>
      <c r="P16">
        <v>2023</v>
      </c>
      <c r="Q16">
        <v>5970.1357926113596</v>
      </c>
      <c r="R16">
        <v>6480.3578145428401</v>
      </c>
      <c r="S16">
        <v>5529.5170998768099</v>
      </c>
    </row>
    <row r="17" spans="1:19" x14ac:dyDescent="0.3">
      <c r="A17">
        <v>1</v>
      </c>
      <c r="B17" t="s">
        <v>230</v>
      </c>
      <c r="C17">
        <v>5</v>
      </c>
      <c r="D17" t="s">
        <v>231</v>
      </c>
      <c r="E17">
        <v>107</v>
      </c>
      <c r="F17" t="s">
        <v>18</v>
      </c>
      <c r="G17" t="s">
        <v>18</v>
      </c>
      <c r="H17">
        <v>3</v>
      </c>
      <c r="I17" t="s">
        <v>232</v>
      </c>
      <c r="J17">
        <v>22</v>
      </c>
      <c r="K17" t="s">
        <v>233</v>
      </c>
      <c r="L17">
        <v>587</v>
      </c>
      <c r="M17" t="s">
        <v>234</v>
      </c>
      <c r="N17">
        <v>3</v>
      </c>
      <c r="O17" t="s">
        <v>235</v>
      </c>
      <c r="P17">
        <v>2023</v>
      </c>
      <c r="Q17">
        <v>16894.6409659616</v>
      </c>
      <c r="R17">
        <v>18393.577000314399</v>
      </c>
      <c r="S17">
        <v>15664.5531594977</v>
      </c>
    </row>
    <row r="18" spans="1:19" x14ac:dyDescent="0.3">
      <c r="A18">
        <v>1</v>
      </c>
      <c r="B18" t="s">
        <v>230</v>
      </c>
      <c r="C18">
        <v>5</v>
      </c>
      <c r="D18" t="s">
        <v>231</v>
      </c>
      <c r="E18">
        <v>57</v>
      </c>
      <c r="F18" t="s">
        <v>19</v>
      </c>
      <c r="G18" t="s">
        <v>19</v>
      </c>
      <c r="H18">
        <v>3</v>
      </c>
      <c r="I18" t="s">
        <v>232</v>
      </c>
      <c r="J18">
        <v>22</v>
      </c>
      <c r="K18" t="s">
        <v>233</v>
      </c>
      <c r="L18">
        <v>587</v>
      </c>
      <c r="M18" t="s">
        <v>234</v>
      </c>
      <c r="N18">
        <v>3</v>
      </c>
      <c r="O18" t="s">
        <v>235</v>
      </c>
      <c r="P18">
        <v>2023</v>
      </c>
      <c r="Q18">
        <v>6458.04837796214</v>
      </c>
      <c r="R18">
        <v>7096.0966216287097</v>
      </c>
      <c r="S18">
        <v>5903.5056604941501</v>
      </c>
    </row>
    <row r="19" spans="1:19" x14ac:dyDescent="0.3">
      <c r="A19">
        <v>1</v>
      </c>
      <c r="B19" t="s">
        <v>230</v>
      </c>
      <c r="C19">
        <v>5</v>
      </c>
      <c r="D19" t="s">
        <v>231</v>
      </c>
      <c r="E19">
        <v>76</v>
      </c>
      <c r="F19" t="s">
        <v>20</v>
      </c>
      <c r="G19" t="s">
        <v>20</v>
      </c>
      <c r="H19">
        <v>3</v>
      </c>
      <c r="I19" t="s">
        <v>232</v>
      </c>
      <c r="J19">
        <v>22</v>
      </c>
      <c r="K19" t="s">
        <v>233</v>
      </c>
      <c r="L19">
        <v>587</v>
      </c>
      <c r="M19" t="s">
        <v>234</v>
      </c>
      <c r="N19">
        <v>3</v>
      </c>
      <c r="O19" t="s">
        <v>235</v>
      </c>
      <c r="P19">
        <v>2023</v>
      </c>
      <c r="Q19">
        <v>5797.0680760169198</v>
      </c>
      <c r="R19">
        <v>6351.9506233740103</v>
      </c>
      <c r="S19">
        <v>5361.3713110898098</v>
      </c>
    </row>
    <row r="20" spans="1:19" x14ac:dyDescent="0.3">
      <c r="A20">
        <v>1</v>
      </c>
      <c r="B20" t="s">
        <v>230</v>
      </c>
      <c r="C20">
        <v>5</v>
      </c>
      <c r="D20" t="s">
        <v>231</v>
      </c>
      <c r="E20">
        <v>108</v>
      </c>
      <c r="F20" t="s">
        <v>21</v>
      </c>
      <c r="G20" t="s">
        <v>21</v>
      </c>
      <c r="H20">
        <v>3</v>
      </c>
      <c r="I20" t="s">
        <v>232</v>
      </c>
      <c r="J20">
        <v>22</v>
      </c>
      <c r="K20" t="s">
        <v>233</v>
      </c>
      <c r="L20">
        <v>587</v>
      </c>
      <c r="M20" t="s">
        <v>234</v>
      </c>
      <c r="N20">
        <v>3</v>
      </c>
      <c r="O20" t="s">
        <v>235</v>
      </c>
      <c r="P20">
        <v>2023</v>
      </c>
      <c r="Q20">
        <v>8844.1927406069099</v>
      </c>
      <c r="R20">
        <v>9476.2519512879499</v>
      </c>
      <c r="S20">
        <v>8262.2164918774197</v>
      </c>
    </row>
    <row r="21" spans="1:19" x14ac:dyDescent="0.3">
      <c r="A21">
        <v>1</v>
      </c>
      <c r="B21" t="s">
        <v>230</v>
      </c>
      <c r="C21">
        <v>5</v>
      </c>
      <c r="D21" t="s">
        <v>231</v>
      </c>
      <c r="E21">
        <v>200</v>
      </c>
      <c r="F21" t="s">
        <v>22</v>
      </c>
      <c r="G21" t="s">
        <v>22</v>
      </c>
      <c r="H21">
        <v>3</v>
      </c>
      <c r="I21" t="s">
        <v>232</v>
      </c>
      <c r="J21">
        <v>22</v>
      </c>
      <c r="K21" t="s">
        <v>233</v>
      </c>
      <c r="L21">
        <v>587</v>
      </c>
      <c r="M21" t="s">
        <v>234</v>
      </c>
      <c r="N21">
        <v>3</v>
      </c>
      <c r="O21" t="s">
        <v>235</v>
      </c>
      <c r="P21">
        <v>2023</v>
      </c>
      <c r="Q21">
        <v>2650.19978864617</v>
      </c>
      <c r="R21">
        <v>2884.2594379886</v>
      </c>
      <c r="S21">
        <v>2424.6814993491498</v>
      </c>
    </row>
    <row r="22" spans="1:19" x14ac:dyDescent="0.3">
      <c r="A22">
        <v>1</v>
      </c>
      <c r="B22" t="s">
        <v>230</v>
      </c>
      <c r="C22">
        <v>5</v>
      </c>
      <c r="D22" t="s">
        <v>231</v>
      </c>
      <c r="E22">
        <v>305</v>
      </c>
      <c r="F22" t="s">
        <v>23</v>
      </c>
      <c r="G22" t="s">
        <v>23</v>
      </c>
      <c r="H22">
        <v>3</v>
      </c>
      <c r="I22" t="s">
        <v>232</v>
      </c>
      <c r="J22">
        <v>22</v>
      </c>
      <c r="K22" t="s">
        <v>233</v>
      </c>
      <c r="L22">
        <v>587</v>
      </c>
      <c r="M22" t="s">
        <v>234</v>
      </c>
      <c r="N22">
        <v>3</v>
      </c>
      <c r="O22" t="s">
        <v>235</v>
      </c>
      <c r="P22">
        <v>2023</v>
      </c>
      <c r="Q22">
        <v>9894.9902448468602</v>
      </c>
      <c r="R22">
        <v>10871.430142479699</v>
      </c>
      <c r="S22">
        <v>8957.8947420221793</v>
      </c>
    </row>
    <row r="23" spans="1:19" x14ac:dyDescent="0.3">
      <c r="A23">
        <v>1</v>
      </c>
      <c r="B23" t="s">
        <v>230</v>
      </c>
      <c r="C23">
        <v>5</v>
      </c>
      <c r="D23" t="s">
        <v>231</v>
      </c>
      <c r="E23">
        <v>162</v>
      </c>
      <c r="F23" t="s">
        <v>24</v>
      </c>
      <c r="G23" t="s">
        <v>24</v>
      </c>
      <c r="H23">
        <v>3</v>
      </c>
      <c r="I23" t="s">
        <v>232</v>
      </c>
      <c r="J23">
        <v>22</v>
      </c>
      <c r="K23" t="s">
        <v>233</v>
      </c>
      <c r="L23">
        <v>587</v>
      </c>
      <c r="M23" t="s">
        <v>234</v>
      </c>
      <c r="N23">
        <v>3</v>
      </c>
      <c r="O23" t="s">
        <v>235</v>
      </c>
      <c r="P23">
        <v>2023</v>
      </c>
      <c r="Q23">
        <v>5073.0497573675402</v>
      </c>
      <c r="R23">
        <v>5585.9535666145803</v>
      </c>
      <c r="S23">
        <v>4638.2799649115696</v>
      </c>
    </row>
    <row r="24" spans="1:19" x14ac:dyDescent="0.3">
      <c r="A24">
        <v>1</v>
      </c>
      <c r="B24" t="s">
        <v>230</v>
      </c>
      <c r="C24">
        <v>5</v>
      </c>
      <c r="D24" t="s">
        <v>231</v>
      </c>
      <c r="E24">
        <v>121</v>
      </c>
      <c r="F24" t="s">
        <v>248</v>
      </c>
      <c r="G24" t="s">
        <v>25</v>
      </c>
      <c r="H24">
        <v>3</v>
      </c>
      <c r="I24" t="s">
        <v>232</v>
      </c>
      <c r="J24">
        <v>22</v>
      </c>
      <c r="K24" t="s">
        <v>233</v>
      </c>
      <c r="L24">
        <v>587</v>
      </c>
      <c r="M24" t="s">
        <v>234</v>
      </c>
      <c r="N24">
        <v>3</v>
      </c>
      <c r="O24" t="s">
        <v>235</v>
      </c>
      <c r="P24">
        <v>2023</v>
      </c>
      <c r="Q24">
        <v>4756.7740736249098</v>
      </c>
      <c r="R24">
        <v>5239.4093773273498</v>
      </c>
      <c r="S24">
        <v>4350.0908435663896</v>
      </c>
    </row>
    <row r="25" spans="1:19" x14ac:dyDescent="0.3">
      <c r="A25">
        <v>1</v>
      </c>
      <c r="B25" t="s">
        <v>230</v>
      </c>
      <c r="C25">
        <v>5</v>
      </c>
      <c r="D25" t="s">
        <v>231</v>
      </c>
      <c r="E25">
        <v>44</v>
      </c>
      <c r="F25" t="s">
        <v>26</v>
      </c>
      <c r="G25" t="s">
        <v>26</v>
      </c>
      <c r="H25">
        <v>3</v>
      </c>
      <c r="I25" t="s">
        <v>232</v>
      </c>
      <c r="J25">
        <v>22</v>
      </c>
      <c r="K25" t="s">
        <v>233</v>
      </c>
      <c r="L25">
        <v>587</v>
      </c>
      <c r="M25" t="s">
        <v>234</v>
      </c>
      <c r="N25">
        <v>3</v>
      </c>
      <c r="O25" t="s">
        <v>235</v>
      </c>
      <c r="P25">
        <v>2023</v>
      </c>
      <c r="Q25">
        <v>10554.464574724199</v>
      </c>
      <c r="R25">
        <v>11606.1684650713</v>
      </c>
      <c r="S25">
        <v>9348.5924091976703</v>
      </c>
    </row>
    <row r="26" spans="1:19" x14ac:dyDescent="0.3">
      <c r="A26">
        <v>1</v>
      </c>
      <c r="B26" t="s">
        <v>230</v>
      </c>
      <c r="C26">
        <v>5</v>
      </c>
      <c r="D26" t="s">
        <v>231</v>
      </c>
      <c r="E26">
        <v>193</v>
      </c>
      <c r="F26" t="s">
        <v>27</v>
      </c>
      <c r="G26" t="s">
        <v>27</v>
      </c>
      <c r="H26">
        <v>3</v>
      </c>
      <c r="I26" t="s">
        <v>232</v>
      </c>
      <c r="J26">
        <v>22</v>
      </c>
      <c r="K26" t="s">
        <v>233</v>
      </c>
      <c r="L26">
        <v>587</v>
      </c>
      <c r="M26" t="s">
        <v>234</v>
      </c>
      <c r="N26">
        <v>3</v>
      </c>
      <c r="O26" t="s">
        <v>235</v>
      </c>
      <c r="P26">
        <v>2023</v>
      </c>
      <c r="Q26">
        <v>3741.0533845341902</v>
      </c>
      <c r="R26">
        <v>4091.5365297205499</v>
      </c>
      <c r="S26">
        <v>3435.6376563548001</v>
      </c>
    </row>
    <row r="27" spans="1:19" x14ac:dyDescent="0.3">
      <c r="A27">
        <v>1</v>
      </c>
      <c r="B27" t="s">
        <v>230</v>
      </c>
      <c r="C27">
        <v>5</v>
      </c>
      <c r="D27" t="s">
        <v>231</v>
      </c>
      <c r="E27">
        <v>135</v>
      </c>
      <c r="F27" t="s">
        <v>28</v>
      </c>
      <c r="G27" t="s">
        <v>28</v>
      </c>
      <c r="H27">
        <v>3</v>
      </c>
      <c r="I27" t="s">
        <v>232</v>
      </c>
      <c r="J27">
        <v>22</v>
      </c>
      <c r="K27" t="s">
        <v>233</v>
      </c>
      <c r="L27">
        <v>587</v>
      </c>
      <c r="M27" t="s">
        <v>234</v>
      </c>
      <c r="N27">
        <v>3</v>
      </c>
      <c r="O27" t="s">
        <v>235</v>
      </c>
      <c r="P27">
        <v>2023</v>
      </c>
      <c r="Q27">
        <v>6674.3815197147696</v>
      </c>
      <c r="R27">
        <v>7300.5110760756797</v>
      </c>
      <c r="S27">
        <v>5994.0392737275897</v>
      </c>
    </row>
    <row r="28" spans="1:19" x14ac:dyDescent="0.3">
      <c r="A28">
        <v>1</v>
      </c>
      <c r="B28" t="s">
        <v>230</v>
      </c>
      <c r="C28">
        <v>5</v>
      </c>
      <c r="D28" t="s">
        <v>231</v>
      </c>
      <c r="E28">
        <v>66</v>
      </c>
      <c r="F28" t="s">
        <v>29</v>
      </c>
      <c r="G28" t="s">
        <v>29</v>
      </c>
      <c r="H28">
        <v>3</v>
      </c>
      <c r="I28" t="s">
        <v>232</v>
      </c>
      <c r="J28">
        <v>22</v>
      </c>
      <c r="K28" t="s">
        <v>233</v>
      </c>
      <c r="L28">
        <v>587</v>
      </c>
      <c r="M28" t="s">
        <v>234</v>
      </c>
      <c r="N28">
        <v>3</v>
      </c>
      <c r="O28" t="s">
        <v>235</v>
      </c>
      <c r="P28">
        <v>2023</v>
      </c>
      <c r="Q28">
        <v>8592.5866554827899</v>
      </c>
      <c r="R28">
        <v>9289.7628793314798</v>
      </c>
      <c r="S28">
        <v>7873.4125523696603</v>
      </c>
    </row>
    <row r="29" spans="1:19" x14ac:dyDescent="0.3">
      <c r="A29">
        <v>1</v>
      </c>
      <c r="B29" t="s">
        <v>230</v>
      </c>
      <c r="C29">
        <v>5</v>
      </c>
      <c r="D29" t="s">
        <v>231</v>
      </c>
      <c r="E29">
        <v>45</v>
      </c>
      <c r="F29" t="s">
        <v>30</v>
      </c>
      <c r="G29" t="s">
        <v>30</v>
      </c>
      <c r="H29">
        <v>3</v>
      </c>
      <c r="I29" t="s">
        <v>232</v>
      </c>
      <c r="J29">
        <v>22</v>
      </c>
      <c r="K29" t="s">
        <v>233</v>
      </c>
      <c r="L29">
        <v>587</v>
      </c>
      <c r="M29" t="s">
        <v>234</v>
      </c>
      <c r="N29">
        <v>3</v>
      </c>
      <c r="O29" t="s">
        <v>235</v>
      </c>
      <c r="P29">
        <v>2023</v>
      </c>
      <c r="Q29">
        <v>8628.6188955627094</v>
      </c>
      <c r="R29">
        <v>9287.93047469872</v>
      </c>
      <c r="S29">
        <v>8056.3137086796696</v>
      </c>
    </row>
    <row r="30" spans="1:19" x14ac:dyDescent="0.3">
      <c r="A30">
        <v>1</v>
      </c>
      <c r="B30" t="s">
        <v>230</v>
      </c>
      <c r="C30">
        <v>5</v>
      </c>
      <c r="D30" t="s">
        <v>231</v>
      </c>
      <c r="E30">
        <v>201</v>
      </c>
      <c r="F30" t="s">
        <v>31</v>
      </c>
      <c r="G30" t="s">
        <v>31</v>
      </c>
      <c r="H30">
        <v>3</v>
      </c>
      <c r="I30" t="s">
        <v>232</v>
      </c>
      <c r="J30">
        <v>22</v>
      </c>
      <c r="K30" t="s">
        <v>233</v>
      </c>
      <c r="L30">
        <v>587</v>
      </c>
      <c r="M30" t="s">
        <v>234</v>
      </c>
      <c r="N30">
        <v>3</v>
      </c>
      <c r="O30" t="s">
        <v>235</v>
      </c>
      <c r="P30">
        <v>2023</v>
      </c>
      <c r="Q30">
        <v>1393.3167619912799</v>
      </c>
      <c r="R30">
        <v>1522.96060557599</v>
      </c>
      <c r="S30">
        <v>1279.15057743531</v>
      </c>
    </row>
    <row r="31" spans="1:19" x14ac:dyDescent="0.3">
      <c r="A31">
        <v>1</v>
      </c>
      <c r="B31" t="s">
        <v>230</v>
      </c>
      <c r="C31">
        <v>5</v>
      </c>
      <c r="D31" t="s">
        <v>231</v>
      </c>
      <c r="E31">
        <v>175</v>
      </c>
      <c r="F31" t="s">
        <v>32</v>
      </c>
      <c r="G31" t="s">
        <v>32</v>
      </c>
      <c r="H31">
        <v>3</v>
      </c>
      <c r="I31" t="s">
        <v>232</v>
      </c>
      <c r="J31">
        <v>22</v>
      </c>
      <c r="K31" t="s">
        <v>233</v>
      </c>
      <c r="L31">
        <v>587</v>
      </c>
      <c r="M31" t="s">
        <v>234</v>
      </c>
      <c r="N31">
        <v>3</v>
      </c>
      <c r="O31" t="s">
        <v>235</v>
      </c>
      <c r="P31">
        <v>2023</v>
      </c>
      <c r="Q31">
        <v>1571.9607741070599</v>
      </c>
      <c r="R31">
        <v>1726.7219640946601</v>
      </c>
      <c r="S31">
        <v>1407.9018805666799</v>
      </c>
    </row>
    <row r="32" spans="1:19" x14ac:dyDescent="0.3">
      <c r="A32">
        <v>1</v>
      </c>
      <c r="B32" t="s">
        <v>230</v>
      </c>
      <c r="C32">
        <v>5</v>
      </c>
      <c r="D32" t="s">
        <v>231</v>
      </c>
      <c r="E32">
        <v>205</v>
      </c>
      <c r="F32" t="s">
        <v>250</v>
      </c>
      <c r="G32" t="s">
        <v>89</v>
      </c>
      <c r="H32">
        <v>3</v>
      </c>
      <c r="I32" t="s">
        <v>232</v>
      </c>
      <c r="J32">
        <v>22</v>
      </c>
      <c r="K32" t="s">
        <v>233</v>
      </c>
      <c r="L32">
        <v>587</v>
      </c>
      <c r="M32" t="s">
        <v>234</v>
      </c>
      <c r="N32">
        <v>3</v>
      </c>
      <c r="O32" t="s">
        <v>235</v>
      </c>
      <c r="P32">
        <v>2023</v>
      </c>
      <c r="Q32">
        <v>2966.5857997051799</v>
      </c>
      <c r="R32">
        <v>3287.9403743358398</v>
      </c>
      <c r="S32">
        <v>2670.8419012639001</v>
      </c>
    </row>
    <row r="33" spans="1:19" x14ac:dyDescent="0.3">
      <c r="A33">
        <v>1</v>
      </c>
      <c r="B33" t="s">
        <v>230</v>
      </c>
      <c r="C33">
        <v>5</v>
      </c>
      <c r="D33" t="s">
        <v>231</v>
      </c>
      <c r="E33">
        <v>203</v>
      </c>
      <c r="F33" t="s">
        <v>33</v>
      </c>
      <c r="G33" t="s">
        <v>33</v>
      </c>
      <c r="H33">
        <v>3</v>
      </c>
      <c r="I33" t="s">
        <v>232</v>
      </c>
      <c r="J33">
        <v>22</v>
      </c>
      <c r="K33" t="s">
        <v>233</v>
      </c>
      <c r="L33">
        <v>587</v>
      </c>
      <c r="M33" t="s">
        <v>234</v>
      </c>
      <c r="N33">
        <v>3</v>
      </c>
      <c r="O33" t="s">
        <v>235</v>
      </c>
      <c r="P33">
        <v>2023</v>
      </c>
      <c r="Q33">
        <v>5342.9100711518604</v>
      </c>
      <c r="R33">
        <v>5835.2530110401503</v>
      </c>
      <c r="S33">
        <v>4799.9449772510698</v>
      </c>
    </row>
    <row r="34" spans="1:19" x14ac:dyDescent="0.3">
      <c r="A34">
        <v>1</v>
      </c>
      <c r="B34" t="s">
        <v>230</v>
      </c>
      <c r="C34">
        <v>5</v>
      </c>
      <c r="D34" t="s">
        <v>231</v>
      </c>
      <c r="E34">
        <v>10</v>
      </c>
      <c r="F34" t="s">
        <v>34</v>
      </c>
      <c r="G34" t="s">
        <v>34</v>
      </c>
      <c r="H34">
        <v>3</v>
      </c>
      <c r="I34" t="s">
        <v>232</v>
      </c>
      <c r="J34">
        <v>22</v>
      </c>
      <c r="K34" t="s">
        <v>233</v>
      </c>
      <c r="L34">
        <v>587</v>
      </c>
      <c r="M34" t="s">
        <v>234</v>
      </c>
      <c r="N34">
        <v>3</v>
      </c>
      <c r="O34" t="s">
        <v>235</v>
      </c>
      <c r="P34">
        <v>2023</v>
      </c>
      <c r="Q34">
        <v>3250.95216690077</v>
      </c>
      <c r="R34">
        <v>3537.2405873954899</v>
      </c>
      <c r="S34">
        <v>2944.5277831365702</v>
      </c>
    </row>
    <row r="35" spans="1:19" x14ac:dyDescent="0.3">
      <c r="A35">
        <v>1</v>
      </c>
      <c r="B35" t="s">
        <v>230</v>
      </c>
      <c r="C35">
        <v>5</v>
      </c>
      <c r="D35" t="s">
        <v>231</v>
      </c>
      <c r="E35">
        <v>202</v>
      </c>
      <c r="F35" t="s">
        <v>35</v>
      </c>
      <c r="G35" t="s">
        <v>35</v>
      </c>
      <c r="H35">
        <v>3</v>
      </c>
      <c r="I35" t="s">
        <v>232</v>
      </c>
      <c r="J35">
        <v>22</v>
      </c>
      <c r="K35" t="s">
        <v>233</v>
      </c>
      <c r="L35">
        <v>587</v>
      </c>
      <c r="M35" t="s">
        <v>234</v>
      </c>
      <c r="N35">
        <v>3</v>
      </c>
      <c r="O35" t="s">
        <v>235</v>
      </c>
      <c r="P35">
        <v>2023</v>
      </c>
      <c r="Q35">
        <v>2824.3873320524199</v>
      </c>
      <c r="R35">
        <v>3096.4377949371801</v>
      </c>
      <c r="S35">
        <v>2539.4592661878401</v>
      </c>
    </row>
    <row r="36" spans="1:19" x14ac:dyDescent="0.3">
      <c r="A36">
        <v>1</v>
      </c>
      <c r="B36" t="s">
        <v>230</v>
      </c>
      <c r="C36">
        <v>5</v>
      </c>
      <c r="D36" t="s">
        <v>231</v>
      </c>
      <c r="E36">
        <v>101</v>
      </c>
      <c r="F36" t="s">
        <v>36</v>
      </c>
      <c r="G36" t="s">
        <v>36</v>
      </c>
      <c r="H36">
        <v>3</v>
      </c>
      <c r="I36" t="s">
        <v>232</v>
      </c>
      <c r="J36">
        <v>22</v>
      </c>
      <c r="K36" t="s">
        <v>233</v>
      </c>
      <c r="L36">
        <v>587</v>
      </c>
      <c r="M36" t="s">
        <v>234</v>
      </c>
      <c r="N36">
        <v>3</v>
      </c>
      <c r="O36" t="s">
        <v>235</v>
      </c>
      <c r="P36">
        <v>2023</v>
      </c>
      <c r="Q36">
        <v>6335.2919982212197</v>
      </c>
      <c r="R36">
        <v>6826.8913126928001</v>
      </c>
      <c r="S36">
        <v>5863.7408113686797</v>
      </c>
    </row>
    <row r="37" spans="1:19" x14ac:dyDescent="0.3">
      <c r="A37">
        <v>1</v>
      </c>
      <c r="B37" t="s">
        <v>230</v>
      </c>
      <c r="C37">
        <v>5</v>
      </c>
      <c r="D37" t="s">
        <v>231</v>
      </c>
      <c r="E37">
        <v>169</v>
      </c>
      <c r="F37" t="s">
        <v>37</v>
      </c>
      <c r="G37" t="s">
        <v>37</v>
      </c>
      <c r="H37">
        <v>3</v>
      </c>
      <c r="I37" t="s">
        <v>232</v>
      </c>
      <c r="J37">
        <v>22</v>
      </c>
      <c r="K37" t="s">
        <v>233</v>
      </c>
      <c r="L37">
        <v>587</v>
      </c>
      <c r="M37" t="s">
        <v>234</v>
      </c>
      <c r="N37">
        <v>3</v>
      </c>
      <c r="O37" t="s">
        <v>235</v>
      </c>
      <c r="P37">
        <v>2023</v>
      </c>
      <c r="Q37">
        <v>3615.7811499473801</v>
      </c>
      <c r="R37">
        <v>3945.1189345131402</v>
      </c>
      <c r="S37">
        <v>3286.3904774197699</v>
      </c>
    </row>
    <row r="38" spans="1:19" x14ac:dyDescent="0.3">
      <c r="A38">
        <v>1</v>
      </c>
      <c r="B38" t="s">
        <v>230</v>
      </c>
      <c r="C38">
        <v>5</v>
      </c>
      <c r="D38" t="s">
        <v>231</v>
      </c>
      <c r="E38">
        <v>204</v>
      </c>
      <c r="F38" t="s">
        <v>38</v>
      </c>
      <c r="G38" t="s">
        <v>38</v>
      </c>
      <c r="H38">
        <v>3</v>
      </c>
      <c r="I38" t="s">
        <v>232</v>
      </c>
      <c r="J38">
        <v>22</v>
      </c>
      <c r="K38" t="s">
        <v>233</v>
      </c>
      <c r="L38">
        <v>587</v>
      </c>
      <c r="M38" t="s">
        <v>234</v>
      </c>
      <c r="N38">
        <v>3</v>
      </c>
      <c r="O38" t="s">
        <v>235</v>
      </c>
      <c r="P38">
        <v>2023</v>
      </c>
      <c r="Q38">
        <v>1965.19508074851</v>
      </c>
      <c r="R38">
        <v>2163.1008485259199</v>
      </c>
      <c r="S38">
        <v>1771.1749058313201</v>
      </c>
    </row>
    <row r="39" spans="1:19" x14ac:dyDescent="0.3">
      <c r="A39">
        <v>1</v>
      </c>
      <c r="B39" t="s">
        <v>230</v>
      </c>
      <c r="C39">
        <v>5</v>
      </c>
      <c r="D39" t="s">
        <v>231</v>
      </c>
      <c r="E39">
        <v>98</v>
      </c>
      <c r="F39" t="s">
        <v>39</v>
      </c>
      <c r="G39" t="s">
        <v>39</v>
      </c>
      <c r="H39">
        <v>3</v>
      </c>
      <c r="I39" t="s">
        <v>232</v>
      </c>
      <c r="J39">
        <v>22</v>
      </c>
      <c r="K39" t="s">
        <v>233</v>
      </c>
      <c r="L39">
        <v>587</v>
      </c>
      <c r="M39" t="s">
        <v>234</v>
      </c>
      <c r="N39">
        <v>3</v>
      </c>
      <c r="O39" t="s">
        <v>235</v>
      </c>
      <c r="P39">
        <v>2023</v>
      </c>
      <c r="Q39">
        <v>3435.4942677908002</v>
      </c>
      <c r="R39">
        <v>3719.7471892714302</v>
      </c>
      <c r="S39">
        <v>3156.4625958326901</v>
      </c>
    </row>
    <row r="40" spans="1:19" x14ac:dyDescent="0.3">
      <c r="A40">
        <v>1</v>
      </c>
      <c r="B40" t="s">
        <v>230</v>
      </c>
      <c r="C40">
        <v>5</v>
      </c>
      <c r="D40" t="s">
        <v>231</v>
      </c>
      <c r="E40">
        <v>6</v>
      </c>
      <c r="F40" t="s">
        <v>40</v>
      </c>
      <c r="G40" t="s">
        <v>40</v>
      </c>
      <c r="H40">
        <v>3</v>
      </c>
      <c r="I40" t="s">
        <v>232</v>
      </c>
      <c r="J40">
        <v>22</v>
      </c>
      <c r="K40" t="s">
        <v>233</v>
      </c>
      <c r="L40">
        <v>587</v>
      </c>
      <c r="M40" t="s">
        <v>234</v>
      </c>
      <c r="N40">
        <v>3</v>
      </c>
      <c r="O40" t="s">
        <v>235</v>
      </c>
      <c r="P40">
        <v>2023</v>
      </c>
      <c r="Q40">
        <v>7649.262225859</v>
      </c>
      <c r="R40">
        <v>8389.5242861977204</v>
      </c>
      <c r="S40">
        <v>7004.6876843402997</v>
      </c>
    </row>
    <row r="41" spans="1:19" x14ac:dyDescent="0.3">
      <c r="A41">
        <v>1</v>
      </c>
      <c r="B41" t="s">
        <v>230</v>
      </c>
      <c r="C41">
        <v>5</v>
      </c>
      <c r="D41" t="s">
        <v>231</v>
      </c>
      <c r="E41">
        <v>125</v>
      </c>
      <c r="F41" t="s">
        <v>41</v>
      </c>
      <c r="G41" t="s">
        <v>41</v>
      </c>
      <c r="H41">
        <v>3</v>
      </c>
      <c r="I41" t="s">
        <v>232</v>
      </c>
      <c r="J41">
        <v>22</v>
      </c>
      <c r="K41" t="s">
        <v>233</v>
      </c>
      <c r="L41">
        <v>587</v>
      </c>
      <c r="M41" t="s">
        <v>234</v>
      </c>
      <c r="N41">
        <v>3</v>
      </c>
      <c r="O41" t="s">
        <v>235</v>
      </c>
      <c r="P41">
        <v>2023</v>
      </c>
      <c r="Q41">
        <v>6526.9691278463797</v>
      </c>
      <c r="R41">
        <v>7103.3428153225004</v>
      </c>
      <c r="S41">
        <v>5927.3110380247199</v>
      </c>
    </row>
    <row r="42" spans="1:19" x14ac:dyDescent="0.3">
      <c r="A42">
        <v>1</v>
      </c>
      <c r="B42" t="s">
        <v>230</v>
      </c>
      <c r="C42">
        <v>5</v>
      </c>
      <c r="D42" t="s">
        <v>231</v>
      </c>
      <c r="E42">
        <v>176</v>
      </c>
      <c r="F42" t="s">
        <v>42</v>
      </c>
      <c r="G42" t="s">
        <v>42</v>
      </c>
      <c r="H42">
        <v>3</v>
      </c>
      <c r="I42" t="s">
        <v>232</v>
      </c>
      <c r="J42">
        <v>22</v>
      </c>
      <c r="K42" t="s">
        <v>233</v>
      </c>
      <c r="L42">
        <v>587</v>
      </c>
      <c r="M42" t="s">
        <v>234</v>
      </c>
      <c r="N42">
        <v>3</v>
      </c>
      <c r="O42" t="s">
        <v>235</v>
      </c>
      <c r="P42">
        <v>2023</v>
      </c>
      <c r="Q42">
        <v>2943.1927913571099</v>
      </c>
      <c r="R42">
        <v>3201.9018799146802</v>
      </c>
      <c r="S42">
        <v>2689.9011332960599</v>
      </c>
    </row>
    <row r="43" spans="1:19" x14ac:dyDescent="0.3">
      <c r="A43">
        <v>1</v>
      </c>
      <c r="B43" t="s">
        <v>230</v>
      </c>
      <c r="C43">
        <v>5</v>
      </c>
      <c r="D43" t="s">
        <v>231</v>
      </c>
      <c r="E43">
        <v>170</v>
      </c>
      <c r="F43" t="s">
        <v>43</v>
      </c>
      <c r="G43" t="s">
        <v>43</v>
      </c>
      <c r="H43">
        <v>3</v>
      </c>
      <c r="I43" t="s">
        <v>232</v>
      </c>
      <c r="J43">
        <v>22</v>
      </c>
      <c r="K43" t="s">
        <v>233</v>
      </c>
      <c r="L43">
        <v>587</v>
      </c>
      <c r="M43" t="s">
        <v>234</v>
      </c>
      <c r="N43">
        <v>3</v>
      </c>
      <c r="O43" t="s">
        <v>235</v>
      </c>
      <c r="P43">
        <v>2023</v>
      </c>
      <c r="Q43">
        <v>4440.5401990017499</v>
      </c>
      <c r="R43">
        <v>4862.3056903623701</v>
      </c>
      <c r="S43">
        <v>3990.79732579658</v>
      </c>
    </row>
    <row r="44" spans="1:19" x14ac:dyDescent="0.3">
      <c r="A44">
        <v>1</v>
      </c>
      <c r="B44" t="s">
        <v>230</v>
      </c>
      <c r="C44">
        <v>5</v>
      </c>
      <c r="D44" t="s">
        <v>231</v>
      </c>
      <c r="E44">
        <v>320</v>
      </c>
      <c r="F44" t="s">
        <v>237</v>
      </c>
      <c r="G44" t="s">
        <v>237</v>
      </c>
      <c r="H44">
        <v>3</v>
      </c>
      <c r="I44" t="s">
        <v>232</v>
      </c>
      <c r="J44">
        <v>22</v>
      </c>
      <c r="K44" t="s">
        <v>233</v>
      </c>
      <c r="L44">
        <v>587</v>
      </c>
      <c r="M44" t="s">
        <v>234</v>
      </c>
      <c r="N44">
        <v>3</v>
      </c>
      <c r="O44" t="s">
        <v>235</v>
      </c>
      <c r="P44">
        <v>2023</v>
      </c>
      <c r="Q44">
        <v>19156.822894045901</v>
      </c>
      <c r="R44">
        <v>20684.516869524399</v>
      </c>
      <c r="S44">
        <v>17747.449013565401</v>
      </c>
    </row>
    <row r="45" spans="1:19" x14ac:dyDescent="0.3">
      <c r="A45">
        <v>1</v>
      </c>
      <c r="B45" t="s">
        <v>230</v>
      </c>
      <c r="C45">
        <v>5</v>
      </c>
      <c r="D45" t="s">
        <v>231</v>
      </c>
      <c r="E45">
        <v>126</v>
      </c>
      <c r="F45" t="s">
        <v>44</v>
      </c>
      <c r="G45" t="s">
        <v>44</v>
      </c>
      <c r="H45">
        <v>3</v>
      </c>
      <c r="I45" t="s">
        <v>232</v>
      </c>
      <c r="J45">
        <v>22</v>
      </c>
      <c r="K45" t="s">
        <v>233</v>
      </c>
      <c r="L45">
        <v>587</v>
      </c>
      <c r="M45" t="s">
        <v>234</v>
      </c>
      <c r="N45">
        <v>3</v>
      </c>
      <c r="O45" t="s">
        <v>235</v>
      </c>
      <c r="P45">
        <v>2023</v>
      </c>
      <c r="Q45">
        <v>9796.0973647456594</v>
      </c>
      <c r="R45">
        <v>10938.5964557437</v>
      </c>
      <c r="S45">
        <v>8970.3892336168501</v>
      </c>
    </row>
    <row r="46" spans="1:19" x14ac:dyDescent="0.3">
      <c r="A46">
        <v>1</v>
      </c>
      <c r="B46" t="s">
        <v>230</v>
      </c>
      <c r="C46">
        <v>5</v>
      </c>
      <c r="D46" t="s">
        <v>231</v>
      </c>
      <c r="E46">
        <v>46</v>
      </c>
      <c r="F46" t="s">
        <v>45</v>
      </c>
      <c r="G46" t="s">
        <v>45</v>
      </c>
      <c r="H46">
        <v>3</v>
      </c>
      <c r="I46" t="s">
        <v>232</v>
      </c>
      <c r="J46">
        <v>22</v>
      </c>
      <c r="K46" t="s">
        <v>233</v>
      </c>
      <c r="L46">
        <v>587</v>
      </c>
      <c r="M46" t="s">
        <v>234</v>
      </c>
      <c r="N46">
        <v>3</v>
      </c>
      <c r="O46" t="s">
        <v>235</v>
      </c>
      <c r="P46">
        <v>2023</v>
      </c>
      <c r="Q46">
        <v>12110.610008695199</v>
      </c>
      <c r="R46">
        <v>12955.388152179699</v>
      </c>
      <c r="S46">
        <v>11202.4596255507</v>
      </c>
    </row>
    <row r="47" spans="1:19" x14ac:dyDescent="0.3">
      <c r="A47">
        <v>1</v>
      </c>
      <c r="B47" t="s">
        <v>230</v>
      </c>
      <c r="C47">
        <v>5</v>
      </c>
      <c r="D47" t="s">
        <v>231</v>
      </c>
      <c r="E47">
        <v>109</v>
      </c>
      <c r="F47" t="s">
        <v>46</v>
      </c>
      <c r="G47" t="s">
        <v>46</v>
      </c>
      <c r="H47">
        <v>3</v>
      </c>
      <c r="I47" t="s">
        <v>232</v>
      </c>
      <c r="J47">
        <v>22</v>
      </c>
      <c r="K47" t="s">
        <v>233</v>
      </c>
      <c r="L47">
        <v>587</v>
      </c>
      <c r="M47" t="s">
        <v>234</v>
      </c>
      <c r="N47">
        <v>3</v>
      </c>
      <c r="O47" t="s">
        <v>235</v>
      </c>
      <c r="P47">
        <v>2023</v>
      </c>
      <c r="Q47">
        <v>7051.0203699325302</v>
      </c>
      <c r="R47">
        <v>7789.0776602260503</v>
      </c>
      <c r="S47">
        <v>6411.8493330906304</v>
      </c>
    </row>
    <row r="48" spans="1:19" x14ac:dyDescent="0.3">
      <c r="A48">
        <v>1</v>
      </c>
      <c r="B48" t="s">
        <v>230</v>
      </c>
      <c r="C48">
        <v>5</v>
      </c>
      <c r="D48" t="s">
        <v>231</v>
      </c>
      <c r="E48">
        <v>77</v>
      </c>
      <c r="F48" t="s">
        <v>47</v>
      </c>
      <c r="G48" t="s">
        <v>47</v>
      </c>
      <c r="H48">
        <v>3</v>
      </c>
      <c r="I48" t="s">
        <v>232</v>
      </c>
      <c r="J48">
        <v>22</v>
      </c>
      <c r="K48" t="s">
        <v>233</v>
      </c>
      <c r="L48">
        <v>587</v>
      </c>
      <c r="M48" t="s">
        <v>234</v>
      </c>
      <c r="N48">
        <v>3</v>
      </c>
      <c r="O48" t="s">
        <v>235</v>
      </c>
      <c r="P48">
        <v>2023</v>
      </c>
      <c r="Q48">
        <v>7142.72670875733</v>
      </c>
      <c r="R48">
        <v>7840.1569363723502</v>
      </c>
      <c r="S48">
        <v>6474.0788308769097</v>
      </c>
    </row>
    <row r="49" spans="1:19" x14ac:dyDescent="0.3">
      <c r="A49">
        <v>1</v>
      </c>
      <c r="B49" t="s">
        <v>230</v>
      </c>
      <c r="C49">
        <v>5</v>
      </c>
      <c r="D49" t="s">
        <v>231</v>
      </c>
      <c r="E49">
        <v>47</v>
      </c>
      <c r="F49" t="s">
        <v>48</v>
      </c>
      <c r="G49" t="s">
        <v>48</v>
      </c>
      <c r="H49">
        <v>3</v>
      </c>
      <c r="I49" t="s">
        <v>232</v>
      </c>
      <c r="J49">
        <v>22</v>
      </c>
      <c r="K49" t="s">
        <v>233</v>
      </c>
      <c r="L49">
        <v>587</v>
      </c>
      <c r="M49" t="s">
        <v>234</v>
      </c>
      <c r="N49">
        <v>3</v>
      </c>
      <c r="O49" t="s">
        <v>235</v>
      </c>
      <c r="P49">
        <v>2023</v>
      </c>
      <c r="Q49">
        <v>9020.75172408658</v>
      </c>
      <c r="R49">
        <v>9843.6608561820594</v>
      </c>
      <c r="S49">
        <v>8257.9277049823195</v>
      </c>
    </row>
    <row r="50" spans="1:19" x14ac:dyDescent="0.3">
      <c r="A50">
        <v>1</v>
      </c>
      <c r="B50" t="s">
        <v>230</v>
      </c>
      <c r="C50">
        <v>5</v>
      </c>
      <c r="D50" t="s">
        <v>231</v>
      </c>
      <c r="E50">
        <v>7</v>
      </c>
      <c r="F50" t="s">
        <v>49</v>
      </c>
      <c r="G50" t="s">
        <v>49</v>
      </c>
      <c r="H50">
        <v>3</v>
      </c>
      <c r="I50" t="s">
        <v>232</v>
      </c>
      <c r="J50">
        <v>22</v>
      </c>
      <c r="K50" t="s">
        <v>233</v>
      </c>
      <c r="L50">
        <v>587</v>
      </c>
      <c r="M50" t="s">
        <v>234</v>
      </c>
      <c r="N50">
        <v>3</v>
      </c>
      <c r="O50" t="s">
        <v>235</v>
      </c>
      <c r="P50">
        <v>2023</v>
      </c>
      <c r="Q50">
        <v>6629.5163282184003</v>
      </c>
      <c r="R50">
        <v>7347.7511740377804</v>
      </c>
      <c r="S50">
        <v>5895.2456078635496</v>
      </c>
    </row>
    <row r="51" spans="1:19" x14ac:dyDescent="0.3">
      <c r="A51">
        <v>1</v>
      </c>
      <c r="B51" t="s">
        <v>230</v>
      </c>
      <c r="C51">
        <v>5</v>
      </c>
      <c r="D51" t="s">
        <v>231</v>
      </c>
      <c r="E51">
        <v>171</v>
      </c>
      <c r="F51" t="s">
        <v>50</v>
      </c>
      <c r="G51" t="s">
        <v>50</v>
      </c>
      <c r="H51">
        <v>3</v>
      </c>
      <c r="I51" t="s">
        <v>232</v>
      </c>
      <c r="J51">
        <v>22</v>
      </c>
      <c r="K51" t="s">
        <v>233</v>
      </c>
      <c r="L51">
        <v>587</v>
      </c>
      <c r="M51" t="s">
        <v>234</v>
      </c>
      <c r="N51">
        <v>3</v>
      </c>
      <c r="O51" t="s">
        <v>235</v>
      </c>
      <c r="P51">
        <v>2023</v>
      </c>
      <c r="Q51">
        <v>3376.5056760419002</v>
      </c>
      <c r="R51">
        <v>3693.3108715538001</v>
      </c>
      <c r="S51">
        <v>3059.3623068464399</v>
      </c>
    </row>
    <row r="52" spans="1:19" x14ac:dyDescent="0.3">
      <c r="A52">
        <v>1</v>
      </c>
      <c r="B52" t="s">
        <v>230</v>
      </c>
      <c r="C52">
        <v>5</v>
      </c>
      <c r="D52" t="s">
        <v>231</v>
      </c>
      <c r="E52">
        <v>78</v>
      </c>
      <c r="F52" t="s">
        <v>51</v>
      </c>
      <c r="G52" t="s">
        <v>51</v>
      </c>
      <c r="H52">
        <v>3</v>
      </c>
      <c r="I52" t="s">
        <v>232</v>
      </c>
      <c r="J52">
        <v>22</v>
      </c>
      <c r="K52" t="s">
        <v>233</v>
      </c>
      <c r="L52">
        <v>587</v>
      </c>
      <c r="M52" t="s">
        <v>234</v>
      </c>
      <c r="N52">
        <v>3</v>
      </c>
      <c r="O52" t="s">
        <v>235</v>
      </c>
      <c r="P52">
        <v>2023</v>
      </c>
      <c r="Q52">
        <v>5789.7457327946104</v>
      </c>
      <c r="R52">
        <v>6243.3118502339703</v>
      </c>
      <c r="S52">
        <v>5213.4620370926395</v>
      </c>
    </row>
    <row r="53" spans="1:19" x14ac:dyDescent="0.3">
      <c r="A53">
        <v>1</v>
      </c>
      <c r="B53" t="s">
        <v>230</v>
      </c>
      <c r="C53">
        <v>5</v>
      </c>
      <c r="D53" t="s">
        <v>231</v>
      </c>
      <c r="E53">
        <v>177</v>
      </c>
      <c r="F53" t="s">
        <v>52</v>
      </c>
      <c r="G53" t="s">
        <v>52</v>
      </c>
      <c r="H53">
        <v>3</v>
      </c>
      <c r="I53" t="s">
        <v>232</v>
      </c>
      <c r="J53">
        <v>22</v>
      </c>
      <c r="K53" t="s">
        <v>233</v>
      </c>
      <c r="L53">
        <v>587</v>
      </c>
      <c r="M53" t="s">
        <v>234</v>
      </c>
      <c r="N53">
        <v>3</v>
      </c>
      <c r="O53" t="s">
        <v>235</v>
      </c>
      <c r="P53">
        <v>2023</v>
      </c>
      <c r="Q53">
        <v>2255.04118987635</v>
      </c>
      <c r="R53">
        <v>2454.9787109776198</v>
      </c>
      <c r="S53">
        <v>2063.4486236778398</v>
      </c>
    </row>
    <row r="54" spans="1:19" x14ac:dyDescent="0.3">
      <c r="A54">
        <v>1</v>
      </c>
      <c r="B54" t="s">
        <v>230</v>
      </c>
      <c r="C54">
        <v>5</v>
      </c>
      <c r="D54" t="s">
        <v>231</v>
      </c>
      <c r="E54">
        <v>110</v>
      </c>
      <c r="F54" t="s">
        <v>53</v>
      </c>
      <c r="G54" t="s">
        <v>53</v>
      </c>
      <c r="H54">
        <v>3</v>
      </c>
      <c r="I54" t="s">
        <v>232</v>
      </c>
      <c r="J54">
        <v>22</v>
      </c>
      <c r="K54" t="s">
        <v>233</v>
      </c>
      <c r="L54">
        <v>587</v>
      </c>
      <c r="M54" t="s">
        <v>234</v>
      </c>
      <c r="N54">
        <v>3</v>
      </c>
      <c r="O54" t="s">
        <v>235</v>
      </c>
      <c r="P54">
        <v>2023</v>
      </c>
      <c r="Q54">
        <v>13953.991957185001</v>
      </c>
      <c r="R54">
        <v>15231.8983188442</v>
      </c>
      <c r="S54">
        <v>12780.547809645701</v>
      </c>
    </row>
    <row r="55" spans="1:19" x14ac:dyDescent="0.3">
      <c r="A55">
        <v>1</v>
      </c>
      <c r="B55" t="s">
        <v>230</v>
      </c>
      <c r="C55">
        <v>5</v>
      </c>
      <c r="D55" t="s">
        <v>231</v>
      </c>
      <c r="E55">
        <v>111</v>
      </c>
      <c r="F55" t="s">
        <v>54</v>
      </c>
      <c r="G55" t="s">
        <v>54</v>
      </c>
      <c r="H55">
        <v>3</v>
      </c>
      <c r="I55" t="s">
        <v>232</v>
      </c>
      <c r="J55">
        <v>22</v>
      </c>
      <c r="K55" t="s">
        <v>233</v>
      </c>
      <c r="L55">
        <v>587</v>
      </c>
      <c r="M55" t="s">
        <v>234</v>
      </c>
      <c r="N55">
        <v>3</v>
      </c>
      <c r="O55" t="s">
        <v>235</v>
      </c>
      <c r="P55">
        <v>2023</v>
      </c>
      <c r="Q55">
        <v>7721.9635746236499</v>
      </c>
      <c r="R55">
        <v>8473.0541523837892</v>
      </c>
      <c r="S55">
        <v>7089.8186058085803</v>
      </c>
    </row>
    <row r="56" spans="1:19" x14ac:dyDescent="0.3">
      <c r="A56">
        <v>1</v>
      </c>
      <c r="B56" t="s">
        <v>230</v>
      </c>
      <c r="C56">
        <v>5</v>
      </c>
      <c r="D56" t="s">
        <v>231</v>
      </c>
      <c r="E56">
        <v>122</v>
      </c>
      <c r="F56" t="s">
        <v>55</v>
      </c>
      <c r="G56" t="s">
        <v>55</v>
      </c>
      <c r="H56">
        <v>3</v>
      </c>
      <c r="I56" t="s">
        <v>232</v>
      </c>
      <c r="J56">
        <v>22</v>
      </c>
      <c r="K56" t="s">
        <v>233</v>
      </c>
      <c r="L56">
        <v>587</v>
      </c>
      <c r="M56" t="s">
        <v>234</v>
      </c>
      <c r="N56">
        <v>3</v>
      </c>
      <c r="O56" t="s">
        <v>235</v>
      </c>
      <c r="P56">
        <v>2023</v>
      </c>
      <c r="Q56">
        <v>6220.5140058618899</v>
      </c>
      <c r="R56">
        <v>6597.11789328753</v>
      </c>
      <c r="S56">
        <v>5786.8164484783001</v>
      </c>
    </row>
    <row r="57" spans="1:19" x14ac:dyDescent="0.3">
      <c r="A57">
        <v>1</v>
      </c>
      <c r="B57" t="s">
        <v>230</v>
      </c>
      <c r="C57">
        <v>5</v>
      </c>
      <c r="D57" t="s">
        <v>231</v>
      </c>
      <c r="E57">
        <v>141</v>
      </c>
      <c r="F57" t="s">
        <v>56</v>
      </c>
      <c r="G57" t="s">
        <v>56</v>
      </c>
      <c r="H57">
        <v>3</v>
      </c>
      <c r="I57" t="s">
        <v>232</v>
      </c>
      <c r="J57">
        <v>22</v>
      </c>
      <c r="K57" t="s">
        <v>233</v>
      </c>
      <c r="L57">
        <v>587</v>
      </c>
      <c r="M57" t="s">
        <v>234</v>
      </c>
      <c r="N57">
        <v>3</v>
      </c>
      <c r="O57" t="s">
        <v>235</v>
      </c>
      <c r="P57">
        <v>2023</v>
      </c>
      <c r="Q57">
        <v>11128.3040212915</v>
      </c>
      <c r="R57">
        <v>12062.493317058599</v>
      </c>
      <c r="S57">
        <v>10261.2558466302</v>
      </c>
    </row>
    <row r="58" spans="1:19" x14ac:dyDescent="0.3">
      <c r="A58">
        <v>1</v>
      </c>
      <c r="B58" t="s">
        <v>230</v>
      </c>
      <c r="C58">
        <v>5</v>
      </c>
      <c r="D58" t="s">
        <v>231</v>
      </c>
      <c r="E58">
        <v>127</v>
      </c>
      <c r="F58" t="s">
        <v>57</v>
      </c>
      <c r="G58" t="s">
        <v>57</v>
      </c>
      <c r="H58">
        <v>3</v>
      </c>
      <c r="I58" t="s">
        <v>232</v>
      </c>
      <c r="J58">
        <v>22</v>
      </c>
      <c r="K58" t="s">
        <v>233</v>
      </c>
      <c r="L58">
        <v>587</v>
      </c>
      <c r="M58" t="s">
        <v>234</v>
      </c>
      <c r="N58">
        <v>3</v>
      </c>
      <c r="O58" t="s">
        <v>235</v>
      </c>
      <c r="P58">
        <v>2023</v>
      </c>
      <c r="Q58">
        <v>7343.7545704714603</v>
      </c>
      <c r="R58">
        <v>8011.0442659722003</v>
      </c>
      <c r="S58">
        <v>6761.4439268023798</v>
      </c>
    </row>
    <row r="59" spans="1:19" x14ac:dyDescent="0.3">
      <c r="A59">
        <v>1</v>
      </c>
      <c r="B59" t="s">
        <v>230</v>
      </c>
      <c r="C59">
        <v>5</v>
      </c>
      <c r="D59" t="s">
        <v>231</v>
      </c>
      <c r="E59">
        <v>172</v>
      </c>
      <c r="F59" t="s">
        <v>58</v>
      </c>
      <c r="G59" t="s">
        <v>58</v>
      </c>
      <c r="H59">
        <v>3</v>
      </c>
      <c r="I59" t="s">
        <v>232</v>
      </c>
      <c r="J59">
        <v>22</v>
      </c>
      <c r="K59" t="s">
        <v>233</v>
      </c>
      <c r="L59">
        <v>587</v>
      </c>
      <c r="M59" t="s">
        <v>234</v>
      </c>
      <c r="N59">
        <v>3</v>
      </c>
      <c r="O59" t="s">
        <v>235</v>
      </c>
      <c r="P59">
        <v>2023</v>
      </c>
      <c r="Q59">
        <v>3944.9174183275099</v>
      </c>
      <c r="R59">
        <v>4407.0401042648</v>
      </c>
      <c r="S59">
        <v>3550.9853430380499</v>
      </c>
    </row>
    <row r="60" spans="1:19" x14ac:dyDescent="0.3">
      <c r="A60">
        <v>1</v>
      </c>
      <c r="B60" t="s">
        <v>230</v>
      </c>
      <c r="C60">
        <v>5</v>
      </c>
      <c r="D60" t="s">
        <v>231</v>
      </c>
      <c r="E60">
        <v>178</v>
      </c>
      <c r="F60" t="s">
        <v>59</v>
      </c>
      <c r="G60" t="s">
        <v>59</v>
      </c>
      <c r="H60">
        <v>3</v>
      </c>
      <c r="I60" t="s">
        <v>232</v>
      </c>
      <c r="J60">
        <v>22</v>
      </c>
      <c r="K60" t="s">
        <v>233</v>
      </c>
      <c r="L60">
        <v>587</v>
      </c>
      <c r="M60" t="s">
        <v>234</v>
      </c>
      <c r="N60">
        <v>3</v>
      </c>
      <c r="O60" t="s">
        <v>235</v>
      </c>
      <c r="P60">
        <v>2023</v>
      </c>
      <c r="Q60">
        <v>2112.1285800012902</v>
      </c>
      <c r="R60">
        <v>2307.4662619317201</v>
      </c>
      <c r="S60">
        <v>1916.2707151270699</v>
      </c>
    </row>
    <row r="61" spans="1:19" x14ac:dyDescent="0.3">
      <c r="A61">
        <v>1</v>
      </c>
      <c r="B61" t="s">
        <v>230</v>
      </c>
      <c r="C61">
        <v>5</v>
      </c>
      <c r="D61" t="s">
        <v>231</v>
      </c>
      <c r="E61">
        <v>58</v>
      </c>
      <c r="F61" t="s">
        <v>60</v>
      </c>
      <c r="G61" t="s">
        <v>60</v>
      </c>
      <c r="H61">
        <v>3</v>
      </c>
      <c r="I61" t="s">
        <v>232</v>
      </c>
      <c r="J61">
        <v>22</v>
      </c>
      <c r="K61" t="s">
        <v>233</v>
      </c>
      <c r="L61">
        <v>587</v>
      </c>
      <c r="M61" t="s">
        <v>234</v>
      </c>
      <c r="N61">
        <v>3</v>
      </c>
      <c r="O61" t="s">
        <v>235</v>
      </c>
      <c r="P61">
        <v>2023</v>
      </c>
      <c r="Q61">
        <v>7595.1165047691002</v>
      </c>
      <c r="R61">
        <v>8305.9325873245307</v>
      </c>
      <c r="S61">
        <v>6884.3503469740899</v>
      </c>
    </row>
    <row r="62" spans="1:19" x14ac:dyDescent="0.3">
      <c r="A62">
        <v>1</v>
      </c>
      <c r="B62" t="s">
        <v>230</v>
      </c>
      <c r="C62">
        <v>5</v>
      </c>
      <c r="D62" t="s">
        <v>231</v>
      </c>
      <c r="E62">
        <v>197</v>
      </c>
      <c r="F62" t="s">
        <v>61</v>
      </c>
      <c r="G62" t="s">
        <v>61</v>
      </c>
      <c r="H62">
        <v>3</v>
      </c>
      <c r="I62" t="s">
        <v>232</v>
      </c>
      <c r="J62">
        <v>22</v>
      </c>
      <c r="K62" t="s">
        <v>233</v>
      </c>
      <c r="L62">
        <v>587</v>
      </c>
      <c r="M62" t="s">
        <v>234</v>
      </c>
      <c r="N62">
        <v>3</v>
      </c>
      <c r="O62" t="s">
        <v>235</v>
      </c>
      <c r="P62">
        <v>2023</v>
      </c>
      <c r="Q62">
        <v>4538.9762429787397</v>
      </c>
      <c r="R62">
        <v>4911.8470008118602</v>
      </c>
      <c r="S62">
        <v>4130.1276282342797</v>
      </c>
    </row>
    <row r="63" spans="1:19" x14ac:dyDescent="0.3">
      <c r="A63">
        <v>1</v>
      </c>
      <c r="B63" t="s">
        <v>230</v>
      </c>
      <c r="C63">
        <v>5</v>
      </c>
      <c r="D63" t="s">
        <v>231</v>
      </c>
      <c r="E63">
        <v>179</v>
      </c>
      <c r="F63" t="s">
        <v>62</v>
      </c>
      <c r="G63" t="s">
        <v>62</v>
      </c>
      <c r="H63">
        <v>3</v>
      </c>
      <c r="I63" t="s">
        <v>232</v>
      </c>
      <c r="J63">
        <v>22</v>
      </c>
      <c r="K63" t="s">
        <v>233</v>
      </c>
      <c r="L63">
        <v>587</v>
      </c>
      <c r="M63" t="s">
        <v>234</v>
      </c>
      <c r="N63">
        <v>3</v>
      </c>
      <c r="O63" t="s">
        <v>235</v>
      </c>
      <c r="P63">
        <v>2023</v>
      </c>
      <c r="Q63">
        <v>1679.30726923218</v>
      </c>
      <c r="R63">
        <v>1840.1417368413199</v>
      </c>
      <c r="S63">
        <v>1507.36357356399</v>
      </c>
    </row>
    <row r="64" spans="1:19" x14ac:dyDescent="0.3">
      <c r="A64">
        <v>1</v>
      </c>
      <c r="B64" t="s">
        <v>230</v>
      </c>
      <c r="C64">
        <v>5</v>
      </c>
      <c r="D64" t="s">
        <v>231</v>
      </c>
      <c r="E64">
        <v>22</v>
      </c>
      <c r="F64" t="s">
        <v>63</v>
      </c>
      <c r="G64" t="s">
        <v>63</v>
      </c>
      <c r="H64">
        <v>3</v>
      </c>
      <c r="I64" t="s">
        <v>232</v>
      </c>
      <c r="J64">
        <v>22</v>
      </c>
      <c r="K64" t="s">
        <v>233</v>
      </c>
      <c r="L64">
        <v>587</v>
      </c>
      <c r="M64" t="s">
        <v>234</v>
      </c>
      <c r="N64">
        <v>3</v>
      </c>
      <c r="O64" t="s">
        <v>235</v>
      </c>
      <c r="P64">
        <v>2023</v>
      </c>
      <c r="Q64">
        <v>16911.393288130701</v>
      </c>
      <c r="R64">
        <v>18006.432652357202</v>
      </c>
      <c r="S64">
        <v>15713.5151613664</v>
      </c>
    </row>
    <row r="65" spans="1:19" x14ac:dyDescent="0.3">
      <c r="A65">
        <v>1</v>
      </c>
      <c r="B65" t="s">
        <v>230</v>
      </c>
      <c r="C65">
        <v>5</v>
      </c>
      <c r="D65" t="s">
        <v>231</v>
      </c>
      <c r="E65">
        <v>79</v>
      </c>
      <c r="F65" t="s">
        <v>64</v>
      </c>
      <c r="G65" t="s">
        <v>64</v>
      </c>
      <c r="H65">
        <v>3</v>
      </c>
      <c r="I65" t="s">
        <v>232</v>
      </c>
      <c r="J65">
        <v>22</v>
      </c>
      <c r="K65" t="s">
        <v>233</v>
      </c>
      <c r="L65">
        <v>587</v>
      </c>
      <c r="M65" t="s">
        <v>234</v>
      </c>
      <c r="N65">
        <v>3</v>
      </c>
      <c r="O65" t="s">
        <v>235</v>
      </c>
      <c r="P65">
        <v>2023</v>
      </c>
      <c r="Q65">
        <v>10324.381380831301</v>
      </c>
      <c r="R65">
        <v>11325.329070918</v>
      </c>
      <c r="S65">
        <v>9455.1210070158195</v>
      </c>
    </row>
    <row r="66" spans="1:19" x14ac:dyDescent="0.3">
      <c r="A66">
        <v>1</v>
      </c>
      <c r="B66" t="s">
        <v>230</v>
      </c>
      <c r="C66">
        <v>5</v>
      </c>
      <c r="D66" t="s">
        <v>231</v>
      </c>
      <c r="E66">
        <v>80</v>
      </c>
      <c r="F66" t="s">
        <v>65</v>
      </c>
      <c r="G66" t="s">
        <v>65</v>
      </c>
      <c r="H66">
        <v>3</v>
      </c>
      <c r="I66" t="s">
        <v>232</v>
      </c>
      <c r="J66">
        <v>22</v>
      </c>
      <c r="K66" t="s">
        <v>233</v>
      </c>
      <c r="L66">
        <v>587</v>
      </c>
      <c r="M66" t="s">
        <v>234</v>
      </c>
      <c r="N66">
        <v>3</v>
      </c>
      <c r="O66" t="s">
        <v>235</v>
      </c>
      <c r="P66">
        <v>2023</v>
      </c>
      <c r="Q66">
        <v>6377.5144386289303</v>
      </c>
      <c r="R66">
        <v>6928.6423015066102</v>
      </c>
      <c r="S66">
        <v>5871.9135560566501</v>
      </c>
    </row>
    <row r="67" spans="1:19" x14ac:dyDescent="0.3">
      <c r="A67">
        <v>1</v>
      </c>
      <c r="B67" t="s">
        <v>230</v>
      </c>
      <c r="C67">
        <v>5</v>
      </c>
      <c r="D67" t="s">
        <v>231</v>
      </c>
      <c r="E67">
        <v>173</v>
      </c>
      <c r="F67" t="s">
        <v>66</v>
      </c>
      <c r="G67" t="s">
        <v>66</v>
      </c>
      <c r="H67">
        <v>3</v>
      </c>
      <c r="I67" t="s">
        <v>232</v>
      </c>
      <c r="J67">
        <v>22</v>
      </c>
      <c r="K67" t="s">
        <v>233</v>
      </c>
      <c r="L67">
        <v>587</v>
      </c>
      <c r="M67" t="s">
        <v>234</v>
      </c>
      <c r="N67">
        <v>3</v>
      </c>
      <c r="O67" t="s">
        <v>235</v>
      </c>
      <c r="P67">
        <v>2023</v>
      </c>
      <c r="Q67">
        <v>5856.5269862079003</v>
      </c>
      <c r="R67">
        <v>6394.71837165121</v>
      </c>
      <c r="S67">
        <v>5337.3857701267798</v>
      </c>
    </row>
    <row r="68" spans="1:19" x14ac:dyDescent="0.3">
      <c r="A68">
        <v>1</v>
      </c>
      <c r="B68" t="s">
        <v>230</v>
      </c>
      <c r="C68">
        <v>5</v>
      </c>
      <c r="D68" t="s">
        <v>231</v>
      </c>
      <c r="E68">
        <v>206</v>
      </c>
      <c r="F68" t="s">
        <v>67</v>
      </c>
      <c r="G68" t="s">
        <v>67</v>
      </c>
      <c r="H68">
        <v>3</v>
      </c>
      <c r="I68" t="s">
        <v>232</v>
      </c>
      <c r="J68">
        <v>22</v>
      </c>
      <c r="K68" t="s">
        <v>233</v>
      </c>
      <c r="L68">
        <v>587</v>
      </c>
      <c r="M68" t="s">
        <v>234</v>
      </c>
      <c r="N68">
        <v>3</v>
      </c>
      <c r="O68" t="s">
        <v>235</v>
      </c>
      <c r="P68">
        <v>2023</v>
      </c>
      <c r="Q68">
        <v>3758.5398658792101</v>
      </c>
      <c r="R68">
        <v>4129.3983982500104</v>
      </c>
      <c r="S68">
        <v>3368.1070994684101</v>
      </c>
    </row>
    <row r="69" spans="1:19" x14ac:dyDescent="0.3">
      <c r="A69">
        <v>1</v>
      </c>
      <c r="B69" t="s">
        <v>230</v>
      </c>
      <c r="C69">
        <v>5</v>
      </c>
      <c r="D69" t="s">
        <v>231</v>
      </c>
      <c r="E69">
        <v>35</v>
      </c>
      <c r="F69" t="s">
        <v>68</v>
      </c>
      <c r="G69" t="s">
        <v>68</v>
      </c>
      <c r="H69">
        <v>3</v>
      </c>
      <c r="I69" t="s">
        <v>232</v>
      </c>
      <c r="J69">
        <v>22</v>
      </c>
      <c r="K69" t="s">
        <v>233</v>
      </c>
      <c r="L69">
        <v>587</v>
      </c>
      <c r="M69" t="s">
        <v>234</v>
      </c>
      <c r="N69">
        <v>3</v>
      </c>
      <c r="O69" t="s">
        <v>235</v>
      </c>
      <c r="P69">
        <v>2023</v>
      </c>
      <c r="Q69">
        <v>6550.9338859544596</v>
      </c>
      <c r="R69">
        <v>7145.1046271934501</v>
      </c>
      <c r="S69">
        <v>6058.8138359074201</v>
      </c>
    </row>
    <row r="70" spans="1:19" x14ac:dyDescent="0.3">
      <c r="A70">
        <v>1</v>
      </c>
      <c r="B70" t="s">
        <v>230</v>
      </c>
      <c r="C70">
        <v>5</v>
      </c>
      <c r="D70" t="s">
        <v>231</v>
      </c>
      <c r="E70">
        <v>81</v>
      </c>
      <c r="F70" t="s">
        <v>69</v>
      </c>
      <c r="G70" t="s">
        <v>69</v>
      </c>
      <c r="H70">
        <v>3</v>
      </c>
      <c r="I70" t="s">
        <v>232</v>
      </c>
      <c r="J70">
        <v>22</v>
      </c>
      <c r="K70" t="s">
        <v>233</v>
      </c>
      <c r="L70">
        <v>587</v>
      </c>
      <c r="M70" t="s">
        <v>234</v>
      </c>
      <c r="N70">
        <v>3</v>
      </c>
      <c r="O70" t="s">
        <v>235</v>
      </c>
      <c r="P70">
        <v>2023</v>
      </c>
      <c r="Q70">
        <v>8225.56228404992</v>
      </c>
      <c r="R70">
        <v>8899.4864391487099</v>
      </c>
      <c r="S70">
        <v>7593.6540484851503</v>
      </c>
    </row>
    <row r="71" spans="1:19" x14ac:dyDescent="0.3">
      <c r="A71">
        <v>1</v>
      </c>
      <c r="B71" t="s">
        <v>230</v>
      </c>
      <c r="C71">
        <v>5</v>
      </c>
      <c r="D71" t="s">
        <v>231</v>
      </c>
      <c r="E71">
        <v>207</v>
      </c>
      <c r="F71" t="s">
        <v>70</v>
      </c>
      <c r="G71" t="s">
        <v>70</v>
      </c>
      <c r="H71">
        <v>3</v>
      </c>
      <c r="I71" t="s">
        <v>232</v>
      </c>
      <c r="J71">
        <v>22</v>
      </c>
      <c r="K71" t="s">
        <v>233</v>
      </c>
      <c r="L71">
        <v>587</v>
      </c>
      <c r="M71" t="s">
        <v>234</v>
      </c>
      <c r="N71">
        <v>3</v>
      </c>
      <c r="O71" t="s">
        <v>235</v>
      </c>
      <c r="P71">
        <v>2023</v>
      </c>
      <c r="Q71">
        <v>3618.3510977617598</v>
      </c>
      <c r="R71">
        <v>3965.2236597215401</v>
      </c>
      <c r="S71">
        <v>3291.16055105132</v>
      </c>
    </row>
    <row r="72" spans="1:19" x14ac:dyDescent="0.3">
      <c r="A72">
        <v>1</v>
      </c>
      <c r="B72" t="s">
        <v>230</v>
      </c>
      <c r="C72">
        <v>5</v>
      </c>
      <c r="D72" t="s">
        <v>231</v>
      </c>
      <c r="E72">
        <v>1</v>
      </c>
      <c r="F72" t="s">
        <v>242</v>
      </c>
      <c r="G72" t="s">
        <v>242</v>
      </c>
      <c r="H72">
        <v>3</v>
      </c>
      <c r="I72" t="s">
        <v>232</v>
      </c>
      <c r="J72">
        <v>22</v>
      </c>
      <c r="K72" t="s">
        <v>233</v>
      </c>
      <c r="L72">
        <v>587</v>
      </c>
      <c r="M72" t="s">
        <v>234</v>
      </c>
      <c r="N72">
        <v>3</v>
      </c>
      <c r="O72" t="s">
        <v>235</v>
      </c>
      <c r="P72">
        <v>2023</v>
      </c>
      <c r="Q72">
        <v>6952.0461008339198</v>
      </c>
      <c r="R72">
        <v>7487.6232680185103</v>
      </c>
      <c r="S72">
        <v>6418.2198014204896</v>
      </c>
    </row>
    <row r="73" spans="1:19" x14ac:dyDescent="0.3">
      <c r="A73">
        <v>1</v>
      </c>
      <c r="B73" t="s">
        <v>230</v>
      </c>
      <c r="C73">
        <v>5</v>
      </c>
      <c r="D73" t="s">
        <v>231</v>
      </c>
      <c r="E73">
        <v>82</v>
      </c>
      <c r="F73" t="s">
        <v>71</v>
      </c>
      <c r="G73" t="s">
        <v>71</v>
      </c>
      <c r="H73">
        <v>3</v>
      </c>
      <c r="I73" t="s">
        <v>232</v>
      </c>
      <c r="J73">
        <v>22</v>
      </c>
      <c r="K73" t="s">
        <v>233</v>
      </c>
      <c r="L73">
        <v>587</v>
      </c>
      <c r="M73" t="s">
        <v>234</v>
      </c>
      <c r="N73">
        <v>3</v>
      </c>
      <c r="O73" t="s">
        <v>235</v>
      </c>
      <c r="P73">
        <v>2023</v>
      </c>
      <c r="Q73">
        <v>6871.4924037536803</v>
      </c>
      <c r="R73">
        <v>7502.3914748166499</v>
      </c>
      <c r="S73">
        <v>6307.2535154526004</v>
      </c>
    </row>
    <row r="74" spans="1:19" x14ac:dyDescent="0.3">
      <c r="A74">
        <v>1</v>
      </c>
      <c r="B74" t="s">
        <v>230</v>
      </c>
      <c r="C74">
        <v>5</v>
      </c>
      <c r="D74" t="s">
        <v>231</v>
      </c>
      <c r="E74">
        <v>349</v>
      </c>
      <c r="F74" t="s">
        <v>72</v>
      </c>
      <c r="G74" t="s">
        <v>72</v>
      </c>
      <c r="H74">
        <v>3</v>
      </c>
      <c r="I74" t="s">
        <v>232</v>
      </c>
      <c r="J74">
        <v>22</v>
      </c>
      <c r="K74" t="s">
        <v>233</v>
      </c>
      <c r="L74">
        <v>587</v>
      </c>
      <c r="M74" t="s">
        <v>234</v>
      </c>
      <c r="N74">
        <v>3</v>
      </c>
      <c r="O74" t="s">
        <v>235</v>
      </c>
      <c r="P74">
        <v>2023</v>
      </c>
      <c r="Q74">
        <v>4323.6012202190695</v>
      </c>
      <c r="R74">
        <v>4851.2623789638301</v>
      </c>
      <c r="S74">
        <v>3937.1558109941898</v>
      </c>
    </row>
    <row r="75" spans="1:19" x14ac:dyDescent="0.3">
      <c r="A75">
        <v>1</v>
      </c>
      <c r="B75" t="s">
        <v>230</v>
      </c>
      <c r="C75">
        <v>5</v>
      </c>
      <c r="D75" t="s">
        <v>231</v>
      </c>
      <c r="E75">
        <v>112</v>
      </c>
      <c r="F75" t="s">
        <v>73</v>
      </c>
      <c r="G75" t="s">
        <v>73</v>
      </c>
      <c r="H75">
        <v>3</v>
      </c>
      <c r="I75" t="s">
        <v>232</v>
      </c>
      <c r="J75">
        <v>22</v>
      </c>
      <c r="K75" t="s">
        <v>233</v>
      </c>
      <c r="L75">
        <v>587</v>
      </c>
      <c r="M75" t="s">
        <v>234</v>
      </c>
      <c r="N75">
        <v>3</v>
      </c>
      <c r="O75" t="s">
        <v>235</v>
      </c>
      <c r="P75">
        <v>2023</v>
      </c>
      <c r="Q75">
        <v>14286.7623726244</v>
      </c>
      <c r="R75">
        <v>15189.8478157668</v>
      </c>
      <c r="S75">
        <v>13376.546968151</v>
      </c>
    </row>
    <row r="76" spans="1:19" x14ac:dyDescent="0.3">
      <c r="A76">
        <v>1</v>
      </c>
      <c r="B76" t="s">
        <v>230</v>
      </c>
      <c r="C76">
        <v>5</v>
      </c>
      <c r="D76" t="s">
        <v>231</v>
      </c>
      <c r="E76">
        <v>351</v>
      </c>
      <c r="F76" t="s">
        <v>240</v>
      </c>
      <c r="G76" t="s">
        <v>240</v>
      </c>
      <c r="H76">
        <v>3</v>
      </c>
      <c r="I76" t="s">
        <v>232</v>
      </c>
      <c r="J76">
        <v>22</v>
      </c>
      <c r="K76" t="s">
        <v>233</v>
      </c>
      <c r="L76">
        <v>587</v>
      </c>
      <c r="M76" t="s">
        <v>234</v>
      </c>
      <c r="N76">
        <v>3</v>
      </c>
      <c r="O76" t="s">
        <v>235</v>
      </c>
      <c r="P76">
        <v>2023</v>
      </c>
      <c r="Q76">
        <v>8945.8990062201701</v>
      </c>
      <c r="R76">
        <v>9752.1027757134198</v>
      </c>
      <c r="S76">
        <v>8178.0431872791596</v>
      </c>
    </row>
    <row r="77" spans="1:19" x14ac:dyDescent="0.3">
      <c r="A77">
        <v>1</v>
      </c>
      <c r="B77" t="s">
        <v>230</v>
      </c>
      <c r="C77">
        <v>5</v>
      </c>
      <c r="D77" t="s">
        <v>231</v>
      </c>
      <c r="E77">
        <v>128</v>
      </c>
      <c r="F77" t="s">
        <v>74</v>
      </c>
      <c r="G77" t="s">
        <v>74</v>
      </c>
      <c r="H77">
        <v>3</v>
      </c>
      <c r="I77" t="s">
        <v>232</v>
      </c>
      <c r="J77">
        <v>22</v>
      </c>
      <c r="K77" t="s">
        <v>233</v>
      </c>
      <c r="L77">
        <v>587</v>
      </c>
      <c r="M77" t="s">
        <v>234</v>
      </c>
      <c r="N77">
        <v>3</v>
      </c>
      <c r="O77" t="s">
        <v>235</v>
      </c>
      <c r="P77">
        <v>2023</v>
      </c>
      <c r="Q77">
        <v>7729.92028034342</v>
      </c>
      <c r="R77">
        <v>8398.7293822209595</v>
      </c>
      <c r="S77">
        <v>7236.0222866835602</v>
      </c>
    </row>
    <row r="78" spans="1:19" x14ac:dyDescent="0.3">
      <c r="A78">
        <v>1</v>
      </c>
      <c r="B78" t="s">
        <v>230</v>
      </c>
      <c r="C78">
        <v>5</v>
      </c>
      <c r="D78" t="s">
        <v>231</v>
      </c>
      <c r="E78">
        <v>208</v>
      </c>
      <c r="F78" t="s">
        <v>75</v>
      </c>
      <c r="G78" t="s">
        <v>75</v>
      </c>
      <c r="H78">
        <v>3</v>
      </c>
      <c r="I78" t="s">
        <v>232</v>
      </c>
      <c r="J78">
        <v>22</v>
      </c>
      <c r="K78" t="s">
        <v>233</v>
      </c>
      <c r="L78">
        <v>587</v>
      </c>
      <c r="M78" t="s">
        <v>234</v>
      </c>
      <c r="N78">
        <v>3</v>
      </c>
      <c r="O78" t="s">
        <v>235</v>
      </c>
      <c r="P78">
        <v>2023</v>
      </c>
      <c r="Q78">
        <v>2258.9343206891099</v>
      </c>
      <c r="R78">
        <v>2484.25791451848</v>
      </c>
      <c r="S78">
        <v>2034.5632955527301</v>
      </c>
    </row>
    <row r="79" spans="1:19" x14ac:dyDescent="0.3">
      <c r="A79">
        <v>1</v>
      </c>
      <c r="B79" t="s">
        <v>230</v>
      </c>
      <c r="C79">
        <v>5</v>
      </c>
      <c r="D79" t="s">
        <v>231</v>
      </c>
      <c r="E79">
        <v>209</v>
      </c>
      <c r="F79" t="s">
        <v>76</v>
      </c>
      <c r="G79" t="s">
        <v>76</v>
      </c>
      <c r="H79">
        <v>3</v>
      </c>
      <c r="I79" t="s">
        <v>232</v>
      </c>
      <c r="J79">
        <v>22</v>
      </c>
      <c r="K79" t="s">
        <v>233</v>
      </c>
      <c r="L79">
        <v>587</v>
      </c>
      <c r="M79" t="s">
        <v>234</v>
      </c>
      <c r="N79">
        <v>3</v>
      </c>
      <c r="O79" t="s">
        <v>235</v>
      </c>
      <c r="P79">
        <v>2023</v>
      </c>
      <c r="Q79">
        <v>2965.7090430917601</v>
      </c>
      <c r="R79">
        <v>3281.7641020873898</v>
      </c>
      <c r="S79">
        <v>2658.7525947926201</v>
      </c>
    </row>
    <row r="80" spans="1:19" x14ac:dyDescent="0.3">
      <c r="A80">
        <v>1</v>
      </c>
      <c r="B80" t="s">
        <v>230</v>
      </c>
      <c r="C80">
        <v>5</v>
      </c>
      <c r="D80" t="s">
        <v>231</v>
      </c>
      <c r="E80">
        <v>113</v>
      </c>
      <c r="F80" t="s">
        <v>77</v>
      </c>
      <c r="G80" t="s">
        <v>77</v>
      </c>
      <c r="H80">
        <v>3</v>
      </c>
      <c r="I80" t="s">
        <v>232</v>
      </c>
      <c r="J80">
        <v>22</v>
      </c>
      <c r="K80" t="s">
        <v>233</v>
      </c>
      <c r="L80">
        <v>587</v>
      </c>
      <c r="M80" t="s">
        <v>234</v>
      </c>
      <c r="N80">
        <v>3</v>
      </c>
      <c r="O80" t="s">
        <v>235</v>
      </c>
      <c r="P80">
        <v>2023</v>
      </c>
      <c r="Q80">
        <v>9903.3754556538806</v>
      </c>
      <c r="R80">
        <v>10956.7807968581</v>
      </c>
      <c r="S80">
        <v>9188.6625577185805</v>
      </c>
    </row>
    <row r="81" spans="1:19" x14ac:dyDescent="0.3">
      <c r="A81">
        <v>1</v>
      </c>
      <c r="B81" t="s">
        <v>230</v>
      </c>
      <c r="C81">
        <v>5</v>
      </c>
      <c r="D81" t="s">
        <v>231</v>
      </c>
      <c r="E81">
        <v>114</v>
      </c>
      <c r="F81" t="s">
        <v>78</v>
      </c>
      <c r="G81" t="s">
        <v>78</v>
      </c>
      <c r="H81">
        <v>3</v>
      </c>
      <c r="I81" t="s">
        <v>232</v>
      </c>
      <c r="J81">
        <v>22</v>
      </c>
      <c r="K81" t="s">
        <v>233</v>
      </c>
      <c r="L81">
        <v>587</v>
      </c>
      <c r="M81" t="s">
        <v>234</v>
      </c>
      <c r="N81">
        <v>3</v>
      </c>
      <c r="O81" t="s">
        <v>235</v>
      </c>
      <c r="P81">
        <v>2023</v>
      </c>
      <c r="Q81">
        <v>4707.9417116029899</v>
      </c>
      <c r="R81">
        <v>5142.5141934455696</v>
      </c>
      <c r="S81">
        <v>4235.0191479190098</v>
      </c>
    </row>
    <row r="82" spans="1:19" x14ac:dyDescent="0.3">
      <c r="A82">
        <v>1</v>
      </c>
      <c r="B82" t="s">
        <v>230</v>
      </c>
      <c r="C82">
        <v>5</v>
      </c>
      <c r="D82" t="s">
        <v>231</v>
      </c>
      <c r="E82">
        <v>129</v>
      </c>
      <c r="F82" t="s">
        <v>79</v>
      </c>
      <c r="G82" t="s">
        <v>79</v>
      </c>
      <c r="H82">
        <v>3</v>
      </c>
      <c r="I82" t="s">
        <v>232</v>
      </c>
      <c r="J82">
        <v>22</v>
      </c>
      <c r="K82" t="s">
        <v>233</v>
      </c>
      <c r="L82">
        <v>587</v>
      </c>
      <c r="M82" t="s">
        <v>234</v>
      </c>
      <c r="N82">
        <v>3</v>
      </c>
      <c r="O82" t="s">
        <v>235</v>
      </c>
      <c r="P82">
        <v>2023</v>
      </c>
      <c r="Q82">
        <v>4369.0621794763501</v>
      </c>
      <c r="R82">
        <v>4821.6051998441299</v>
      </c>
      <c r="S82">
        <v>3970.3874736564499</v>
      </c>
    </row>
    <row r="83" spans="1:19" x14ac:dyDescent="0.3">
      <c r="A83">
        <v>1</v>
      </c>
      <c r="B83" t="s">
        <v>230</v>
      </c>
      <c r="C83">
        <v>5</v>
      </c>
      <c r="D83" t="s">
        <v>231</v>
      </c>
      <c r="E83">
        <v>48</v>
      </c>
      <c r="F83" t="s">
        <v>80</v>
      </c>
      <c r="G83" t="s">
        <v>80</v>
      </c>
      <c r="H83">
        <v>3</v>
      </c>
      <c r="I83" t="s">
        <v>232</v>
      </c>
      <c r="J83">
        <v>22</v>
      </c>
      <c r="K83" t="s">
        <v>233</v>
      </c>
      <c r="L83">
        <v>587</v>
      </c>
      <c r="M83" t="s">
        <v>234</v>
      </c>
      <c r="N83">
        <v>3</v>
      </c>
      <c r="O83" t="s">
        <v>235</v>
      </c>
      <c r="P83">
        <v>2023</v>
      </c>
      <c r="Q83">
        <v>7122.0287635043596</v>
      </c>
      <c r="R83">
        <v>7793.7341984361601</v>
      </c>
      <c r="S83">
        <v>6244.6991179200304</v>
      </c>
    </row>
    <row r="84" spans="1:19" x14ac:dyDescent="0.3">
      <c r="A84">
        <v>1</v>
      </c>
      <c r="B84" t="s">
        <v>230</v>
      </c>
      <c r="C84">
        <v>5</v>
      </c>
      <c r="D84" t="s">
        <v>231</v>
      </c>
      <c r="E84">
        <v>83</v>
      </c>
      <c r="F84" t="s">
        <v>81</v>
      </c>
      <c r="G84" t="s">
        <v>81</v>
      </c>
      <c r="H84">
        <v>3</v>
      </c>
      <c r="I84" t="s">
        <v>232</v>
      </c>
      <c r="J84">
        <v>22</v>
      </c>
      <c r="K84" t="s">
        <v>233</v>
      </c>
      <c r="L84">
        <v>587</v>
      </c>
      <c r="M84" t="s">
        <v>234</v>
      </c>
      <c r="N84">
        <v>3</v>
      </c>
      <c r="O84" t="s">
        <v>235</v>
      </c>
      <c r="P84">
        <v>2023</v>
      </c>
      <c r="Q84">
        <v>5076.4968226804003</v>
      </c>
      <c r="R84">
        <v>5574.5932774768999</v>
      </c>
      <c r="S84">
        <v>4632.9398751644303</v>
      </c>
    </row>
    <row r="85" spans="1:19" x14ac:dyDescent="0.3">
      <c r="A85">
        <v>1</v>
      </c>
      <c r="B85" t="s">
        <v>230</v>
      </c>
      <c r="C85">
        <v>5</v>
      </c>
      <c r="D85" t="s">
        <v>231</v>
      </c>
      <c r="E85">
        <v>163</v>
      </c>
      <c r="F85" t="s">
        <v>82</v>
      </c>
      <c r="G85" t="s">
        <v>82</v>
      </c>
      <c r="H85">
        <v>3</v>
      </c>
      <c r="I85" t="s">
        <v>232</v>
      </c>
      <c r="J85">
        <v>22</v>
      </c>
      <c r="K85" t="s">
        <v>233</v>
      </c>
      <c r="L85">
        <v>587</v>
      </c>
      <c r="M85" t="s">
        <v>234</v>
      </c>
      <c r="N85">
        <v>3</v>
      </c>
      <c r="O85" t="s">
        <v>235</v>
      </c>
      <c r="P85">
        <v>2023</v>
      </c>
      <c r="Q85">
        <v>7389.3103853757502</v>
      </c>
      <c r="R85">
        <v>8070.5400863115001</v>
      </c>
      <c r="S85">
        <v>6692.7899682141697</v>
      </c>
    </row>
    <row r="86" spans="1:19" x14ac:dyDescent="0.3">
      <c r="A86">
        <v>1</v>
      </c>
      <c r="B86" t="s">
        <v>230</v>
      </c>
      <c r="C86">
        <v>5</v>
      </c>
      <c r="D86" t="s">
        <v>231</v>
      </c>
      <c r="E86">
        <v>11</v>
      </c>
      <c r="F86" t="s">
        <v>83</v>
      </c>
      <c r="G86" t="s">
        <v>83</v>
      </c>
      <c r="H86">
        <v>3</v>
      </c>
      <c r="I86" t="s">
        <v>232</v>
      </c>
      <c r="J86">
        <v>22</v>
      </c>
      <c r="K86" t="s">
        <v>233</v>
      </c>
      <c r="L86">
        <v>587</v>
      </c>
      <c r="M86" t="s">
        <v>234</v>
      </c>
      <c r="N86">
        <v>3</v>
      </c>
      <c r="O86" t="s">
        <v>235</v>
      </c>
      <c r="P86">
        <v>2023</v>
      </c>
      <c r="Q86">
        <v>5188.8791050827704</v>
      </c>
      <c r="R86">
        <v>5790.0559477531897</v>
      </c>
      <c r="S86">
        <v>4630.3391458420601</v>
      </c>
    </row>
    <row r="87" spans="1:19" x14ac:dyDescent="0.3">
      <c r="A87">
        <v>1</v>
      </c>
      <c r="B87" t="s">
        <v>230</v>
      </c>
      <c r="C87">
        <v>5</v>
      </c>
      <c r="D87" t="s">
        <v>231</v>
      </c>
      <c r="E87">
        <v>142</v>
      </c>
      <c r="F87" t="s">
        <v>84</v>
      </c>
      <c r="G87" t="s">
        <v>84</v>
      </c>
      <c r="H87">
        <v>3</v>
      </c>
      <c r="I87" t="s">
        <v>232</v>
      </c>
      <c r="J87">
        <v>22</v>
      </c>
      <c r="K87" t="s">
        <v>233</v>
      </c>
      <c r="L87">
        <v>587</v>
      </c>
      <c r="M87" t="s">
        <v>234</v>
      </c>
      <c r="N87">
        <v>3</v>
      </c>
      <c r="O87" t="s">
        <v>235</v>
      </c>
      <c r="P87">
        <v>2023</v>
      </c>
      <c r="Q87">
        <v>8977.6730772371302</v>
      </c>
      <c r="R87">
        <v>9951.8193866745005</v>
      </c>
      <c r="S87">
        <v>8034.7864310594096</v>
      </c>
    </row>
    <row r="88" spans="1:19" x14ac:dyDescent="0.3">
      <c r="A88">
        <v>1</v>
      </c>
      <c r="B88" t="s">
        <v>230</v>
      </c>
      <c r="C88">
        <v>5</v>
      </c>
      <c r="D88" t="s">
        <v>231</v>
      </c>
      <c r="E88">
        <v>143</v>
      </c>
      <c r="F88" t="s">
        <v>85</v>
      </c>
      <c r="G88" t="s">
        <v>85</v>
      </c>
      <c r="H88">
        <v>3</v>
      </c>
      <c r="I88" t="s">
        <v>232</v>
      </c>
      <c r="J88">
        <v>22</v>
      </c>
      <c r="K88" t="s">
        <v>233</v>
      </c>
      <c r="L88">
        <v>587</v>
      </c>
      <c r="M88" t="s">
        <v>234</v>
      </c>
      <c r="N88">
        <v>3</v>
      </c>
      <c r="O88" t="s">
        <v>235</v>
      </c>
      <c r="P88">
        <v>2023</v>
      </c>
      <c r="Q88">
        <v>10178.1316672865</v>
      </c>
      <c r="R88">
        <v>11048.077020184601</v>
      </c>
      <c r="S88">
        <v>9239.7422150933398</v>
      </c>
    </row>
    <row r="89" spans="1:19" x14ac:dyDescent="0.3">
      <c r="A89">
        <v>1</v>
      </c>
      <c r="B89" t="s">
        <v>230</v>
      </c>
      <c r="C89">
        <v>5</v>
      </c>
      <c r="D89" t="s">
        <v>231</v>
      </c>
      <c r="E89">
        <v>84</v>
      </c>
      <c r="F89" t="s">
        <v>86</v>
      </c>
      <c r="G89" t="s">
        <v>86</v>
      </c>
      <c r="H89">
        <v>3</v>
      </c>
      <c r="I89" t="s">
        <v>232</v>
      </c>
      <c r="J89">
        <v>22</v>
      </c>
      <c r="K89" t="s">
        <v>233</v>
      </c>
      <c r="L89">
        <v>587</v>
      </c>
      <c r="M89" t="s">
        <v>234</v>
      </c>
      <c r="N89">
        <v>3</v>
      </c>
      <c r="O89" t="s">
        <v>235</v>
      </c>
      <c r="P89">
        <v>2023</v>
      </c>
      <c r="Q89">
        <v>4692.2705652886298</v>
      </c>
      <c r="R89">
        <v>5201.8983762165399</v>
      </c>
      <c r="S89">
        <v>4271.6351659206102</v>
      </c>
    </row>
    <row r="90" spans="1:19" x14ac:dyDescent="0.3">
      <c r="A90">
        <v>1</v>
      </c>
      <c r="B90" t="s">
        <v>230</v>
      </c>
      <c r="C90">
        <v>5</v>
      </c>
      <c r="D90" t="s">
        <v>231</v>
      </c>
      <c r="E90">
        <v>85</v>
      </c>
      <c r="F90" t="s">
        <v>87</v>
      </c>
      <c r="G90" t="s">
        <v>87</v>
      </c>
      <c r="H90">
        <v>3</v>
      </c>
      <c r="I90" t="s">
        <v>232</v>
      </c>
      <c r="J90">
        <v>22</v>
      </c>
      <c r="K90" t="s">
        <v>233</v>
      </c>
      <c r="L90">
        <v>587</v>
      </c>
      <c r="M90" t="s">
        <v>234</v>
      </c>
      <c r="N90">
        <v>3</v>
      </c>
      <c r="O90" t="s">
        <v>235</v>
      </c>
      <c r="P90">
        <v>2023</v>
      </c>
      <c r="Q90">
        <v>4392.7477202043201</v>
      </c>
      <c r="R90">
        <v>4682.8987192104596</v>
      </c>
      <c r="S90">
        <v>4108.4546232868097</v>
      </c>
    </row>
    <row r="91" spans="1:19" x14ac:dyDescent="0.3">
      <c r="A91">
        <v>1</v>
      </c>
      <c r="B91" t="s">
        <v>230</v>
      </c>
      <c r="C91">
        <v>5</v>
      </c>
      <c r="D91" t="s">
        <v>231</v>
      </c>
      <c r="E91">
        <v>86</v>
      </c>
      <c r="F91" t="s">
        <v>88</v>
      </c>
      <c r="G91" t="s">
        <v>88</v>
      </c>
      <c r="H91">
        <v>3</v>
      </c>
      <c r="I91" t="s">
        <v>232</v>
      </c>
      <c r="J91">
        <v>22</v>
      </c>
      <c r="K91" t="s">
        <v>233</v>
      </c>
      <c r="L91">
        <v>587</v>
      </c>
      <c r="M91" t="s">
        <v>234</v>
      </c>
      <c r="N91">
        <v>3</v>
      </c>
      <c r="O91" t="s">
        <v>235</v>
      </c>
      <c r="P91">
        <v>2023</v>
      </c>
      <c r="Q91">
        <v>7423.0375361862698</v>
      </c>
      <c r="R91">
        <v>8224.4835786214007</v>
      </c>
      <c r="S91">
        <v>6618.3464191987696</v>
      </c>
    </row>
    <row r="92" spans="1:19" x14ac:dyDescent="0.3">
      <c r="A92">
        <v>1</v>
      </c>
      <c r="B92" t="s">
        <v>230</v>
      </c>
      <c r="C92">
        <v>5</v>
      </c>
      <c r="D92" t="s">
        <v>231</v>
      </c>
      <c r="E92">
        <v>115</v>
      </c>
      <c r="F92" t="s">
        <v>90</v>
      </c>
      <c r="G92" t="s">
        <v>90</v>
      </c>
      <c r="H92">
        <v>3</v>
      </c>
      <c r="I92" t="s">
        <v>232</v>
      </c>
      <c r="J92">
        <v>22</v>
      </c>
      <c r="K92" t="s">
        <v>233</v>
      </c>
      <c r="L92">
        <v>587</v>
      </c>
      <c r="M92" t="s">
        <v>234</v>
      </c>
      <c r="N92">
        <v>3</v>
      </c>
      <c r="O92" t="s">
        <v>235</v>
      </c>
      <c r="P92">
        <v>2023</v>
      </c>
      <c r="Q92">
        <v>9908.9241552195108</v>
      </c>
      <c r="R92">
        <v>10683.525183453599</v>
      </c>
      <c r="S92">
        <v>9190.1031863381795</v>
      </c>
    </row>
    <row r="93" spans="1:19" x14ac:dyDescent="0.3">
      <c r="A93">
        <v>1</v>
      </c>
      <c r="B93" t="s">
        <v>230</v>
      </c>
      <c r="C93">
        <v>5</v>
      </c>
      <c r="D93" t="s">
        <v>231</v>
      </c>
      <c r="E93">
        <v>67</v>
      </c>
      <c r="F93" t="s">
        <v>91</v>
      </c>
      <c r="G93" t="s">
        <v>91</v>
      </c>
      <c r="H93">
        <v>3</v>
      </c>
      <c r="I93" t="s">
        <v>232</v>
      </c>
      <c r="J93">
        <v>22</v>
      </c>
      <c r="K93" t="s">
        <v>233</v>
      </c>
      <c r="L93">
        <v>587</v>
      </c>
      <c r="M93" t="s">
        <v>234</v>
      </c>
      <c r="N93">
        <v>3</v>
      </c>
      <c r="O93" t="s">
        <v>235</v>
      </c>
      <c r="P93">
        <v>2023</v>
      </c>
      <c r="Q93">
        <v>11115.533041389301</v>
      </c>
      <c r="R93">
        <v>12346.4747800841</v>
      </c>
      <c r="S93">
        <v>10034.8607951577</v>
      </c>
    </row>
    <row r="94" spans="1:19" x14ac:dyDescent="0.3">
      <c r="A94">
        <v>1</v>
      </c>
      <c r="B94" t="s">
        <v>230</v>
      </c>
      <c r="C94">
        <v>5</v>
      </c>
      <c r="D94" t="s">
        <v>231</v>
      </c>
      <c r="E94">
        <v>144</v>
      </c>
      <c r="F94" t="s">
        <v>92</v>
      </c>
      <c r="G94" t="s">
        <v>92</v>
      </c>
      <c r="H94">
        <v>3</v>
      </c>
      <c r="I94" t="s">
        <v>232</v>
      </c>
      <c r="J94">
        <v>22</v>
      </c>
      <c r="K94" t="s">
        <v>233</v>
      </c>
      <c r="L94">
        <v>587</v>
      </c>
      <c r="M94" t="s">
        <v>234</v>
      </c>
      <c r="N94">
        <v>3</v>
      </c>
      <c r="O94" t="s">
        <v>235</v>
      </c>
      <c r="P94">
        <v>2023</v>
      </c>
      <c r="Q94">
        <v>10675.646611735199</v>
      </c>
      <c r="R94">
        <v>11480.014356740099</v>
      </c>
      <c r="S94">
        <v>9889.8823645459997</v>
      </c>
    </row>
    <row r="95" spans="1:19" x14ac:dyDescent="0.3">
      <c r="A95">
        <v>1</v>
      </c>
      <c r="B95" t="s">
        <v>230</v>
      </c>
      <c r="C95">
        <v>5</v>
      </c>
      <c r="D95" t="s">
        <v>231</v>
      </c>
      <c r="E95">
        <v>36</v>
      </c>
      <c r="F95" t="s">
        <v>93</v>
      </c>
      <c r="G95" t="s">
        <v>93</v>
      </c>
      <c r="H95">
        <v>3</v>
      </c>
      <c r="I95" t="s">
        <v>232</v>
      </c>
      <c r="J95">
        <v>22</v>
      </c>
      <c r="K95" t="s">
        <v>233</v>
      </c>
      <c r="L95">
        <v>587</v>
      </c>
      <c r="M95" t="s">
        <v>234</v>
      </c>
      <c r="N95">
        <v>3</v>
      </c>
      <c r="O95" t="s">
        <v>235</v>
      </c>
      <c r="P95">
        <v>2023</v>
      </c>
      <c r="Q95">
        <v>5535.0595286718999</v>
      </c>
      <c r="R95">
        <v>5990.1174860554502</v>
      </c>
      <c r="S95">
        <v>5047.4658385368402</v>
      </c>
    </row>
    <row r="96" spans="1:19" x14ac:dyDescent="0.3">
      <c r="A96">
        <v>1</v>
      </c>
      <c r="B96" t="s">
        <v>230</v>
      </c>
      <c r="C96">
        <v>5</v>
      </c>
      <c r="D96" t="s">
        <v>231</v>
      </c>
      <c r="E96">
        <v>180</v>
      </c>
      <c r="F96" t="s">
        <v>94</v>
      </c>
      <c r="G96" t="s">
        <v>94</v>
      </c>
      <c r="H96">
        <v>3</v>
      </c>
      <c r="I96" t="s">
        <v>232</v>
      </c>
      <c r="J96">
        <v>22</v>
      </c>
      <c r="K96" t="s">
        <v>233</v>
      </c>
      <c r="L96">
        <v>587</v>
      </c>
      <c r="M96" t="s">
        <v>234</v>
      </c>
      <c r="N96">
        <v>3</v>
      </c>
      <c r="O96" t="s">
        <v>235</v>
      </c>
      <c r="P96">
        <v>2023</v>
      </c>
      <c r="Q96">
        <v>2224.7381209928599</v>
      </c>
      <c r="R96">
        <v>2446.2319933785502</v>
      </c>
      <c r="S96">
        <v>2003.46910090693</v>
      </c>
    </row>
    <row r="97" spans="1:19" x14ac:dyDescent="0.3">
      <c r="A97">
        <v>1</v>
      </c>
      <c r="B97" t="s">
        <v>230</v>
      </c>
      <c r="C97">
        <v>5</v>
      </c>
      <c r="D97" t="s">
        <v>231</v>
      </c>
      <c r="E97">
        <v>23</v>
      </c>
      <c r="F97" t="s">
        <v>95</v>
      </c>
      <c r="G97" t="s">
        <v>95</v>
      </c>
      <c r="H97">
        <v>3</v>
      </c>
      <c r="I97" t="s">
        <v>232</v>
      </c>
      <c r="J97">
        <v>22</v>
      </c>
      <c r="K97" t="s">
        <v>233</v>
      </c>
      <c r="L97">
        <v>587</v>
      </c>
      <c r="M97" t="s">
        <v>234</v>
      </c>
      <c r="N97">
        <v>3</v>
      </c>
      <c r="O97" t="s">
        <v>235</v>
      </c>
      <c r="P97">
        <v>2023</v>
      </c>
      <c r="Q97">
        <v>11444.700668015401</v>
      </c>
      <c r="R97">
        <v>12337.870140974899</v>
      </c>
      <c r="S97">
        <v>10507.0099335344</v>
      </c>
    </row>
    <row r="98" spans="1:19" x14ac:dyDescent="0.3">
      <c r="A98">
        <v>1</v>
      </c>
      <c r="B98" t="s">
        <v>230</v>
      </c>
      <c r="C98">
        <v>5</v>
      </c>
      <c r="D98" t="s">
        <v>231</v>
      </c>
      <c r="E98">
        <v>145</v>
      </c>
      <c r="F98" t="s">
        <v>96</v>
      </c>
      <c r="G98" t="s">
        <v>96</v>
      </c>
      <c r="H98">
        <v>3</v>
      </c>
      <c r="I98" t="s">
        <v>232</v>
      </c>
      <c r="J98">
        <v>22</v>
      </c>
      <c r="K98" t="s">
        <v>233</v>
      </c>
      <c r="L98">
        <v>587</v>
      </c>
      <c r="M98" t="s">
        <v>234</v>
      </c>
      <c r="N98">
        <v>3</v>
      </c>
      <c r="O98" t="s">
        <v>235</v>
      </c>
      <c r="P98">
        <v>2023</v>
      </c>
      <c r="Q98">
        <v>19859.903173334202</v>
      </c>
      <c r="R98">
        <v>21749.823168215298</v>
      </c>
      <c r="S98">
        <v>18228.715046229601</v>
      </c>
    </row>
    <row r="99" spans="1:19" x14ac:dyDescent="0.3">
      <c r="A99">
        <v>1</v>
      </c>
      <c r="B99" t="s">
        <v>230</v>
      </c>
      <c r="C99">
        <v>5</v>
      </c>
      <c r="D99" t="s">
        <v>231</v>
      </c>
      <c r="E99">
        <v>37</v>
      </c>
      <c r="F99" t="s">
        <v>97</v>
      </c>
      <c r="G99" t="s">
        <v>97</v>
      </c>
      <c r="H99">
        <v>3</v>
      </c>
      <c r="I99" t="s">
        <v>232</v>
      </c>
      <c r="J99">
        <v>22</v>
      </c>
      <c r="K99" t="s">
        <v>233</v>
      </c>
      <c r="L99">
        <v>587</v>
      </c>
      <c r="M99" t="s">
        <v>234</v>
      </c>
      <c r="N99">
        <v>3</v>
      </c>
      <c r="O99" t="s">
        <v>235</v>
      </c>
      <c r="P99">
        <v>2023</v>
      </c>
      <c r="Q99">
        <v>3525.2660293736999</v>
      </c>
      <c r="R99">
        <v>3870.5286824576801</v>
      </c>
      <c r="S99">
        <v>3211.7223816075498</v>
      </c>
    </row>
    <row r="100" spans="1:19" x14ac:dyDescent="0.3">
      <c r="A100">
        <v>1</v>
      </c>
      <c r="B100" t="s">
        <v>230</v>
      </c>
      <c r="C100">
        <v>5</v>
      </c>
      <c r="D100" t="s">
        <v>231</v>
      </c>
      <c r="E100">
        <v>12</v>
      </c>
      <c r="F100" t="s">
        <v>98</v>
      </c>
      <c r="G100" t="s">
        <v>98</v>
      </c>
      <c r="H100">
        <v>3</v>
      </c>
      <c r="I100" t="s">
        <v>232</v>
      </c>
      <c r="J100">
        <v>22</v>
      </c>
      <c r="K100" t="s">
        <v>233</v>
      </c>
      <c r="L100">
        <v>587</v>
      </c>
      <c r="M100" t="s">
        <v>234</v>
      </c>
      <c r="N100">
        <v>3</v>
      </c>
      <c r="O100" t="s">
        <v>235</v>
      </c>
      <c r="P100">
        <v>2023</v>
      </c>
      <c r="Q100">
        <v>4035.8071938990702</v>
      </c>
      <c r="R100">
        <v>4423.6006971082097</v>
      </c>
      <c r="S100">
        <v>3666.3641189169598</v>
      </c>
    </row>
    <row r="101" spans="1:19" x14ac:dyDescent="0.3">
      <c r="A101">
        <v>1</v>
      </c>
      <c r="B101" t="s">
        <v>230</v>
      </c>
      <c r="C101">
        <v>5</v>
      </c>
      <c r="D101" t="s">
        <v>231</v>
      </c>
      <c r="E101">
        <v>59</v>
      </c>
      <c r="F101" t="s">
        <v>99</v>
      </c>
      <c r="G101" t="s">
        <v>99</v>
      </c>
      <c r="H101">
        <v>3</v>
      </c>
      <c r="I101" t="s">
        <v>232</v>
      </c>
      <c r="J101">
        <v>22</v>
      </c>
      <c r="K101" t="s">
        <v>233</v>
      </c>
      <c r="L101">
        <v>587</v>
      </c>
      <c r="M101" t="s">
        <v>234</v>
      </c>
      <c r="N101">
        <v>3</v>
      </c>
      <c r="O101" t="s">
        <v>235</v>
      </c>
      <c r="P101">
        <v>2023</v>
      </c>
      <c r="Q101">
        <v>8952.1907574607994</v>
      </c>
      <c r="R101">
        <v>9631.4179924306009</v>
      </c>
      <c r="S101">
        <v>8258.6534266322906</v>
      </c>
    </row>
    <row r="102" spans="1:19" x14ac:dyDescent="0.3">
      <c r="A102">
        <v>1</v>
      </c>
      <c r="B102" t="s">
        <v>230</v>
      </c>
      <c r="C102">
        <v>5</v>
      </c>
      <c r="D102" t="s">
        <v>231</v>
      </c>
      <c r="E102">
        <v>146</v>
      </c>
      <c r="F102" t="s">
        <v>100</v>
      </c>
      <c r="G102" t="s">
        <v>100</v>
      </c>
      <c r="H102">
        <v>3</v>
      </c>
      <c r="I102" t="s">
        <v>232</v>
      </c>
      <c r="J102">
        <v>22</v>
      </c>
      <c r="K102" t="s">
        <v>233</v>
      </c>
      <c r="L102">
        <v>587</v>
      </c>
      <c r="M102" t="s">
        <v>234</v>
      </c>
      <c r="N102">
        <v>3</v>
      </c>
      <c r="O102" t="s">
        <v>235</v>
      </c>
      <c r="P102">
        <v>2023</v>
      </c>
      <c r="Q102">
        <v>13109.604366985899</v>
      </c>
      <c r="R102">
        <v>14177.0380625444</v>
      </c>
      <c r="S102">
        <v>12033.3384116655</v>
      </c>
    </row>
    <row r="103" spans="1:19" x14ac:dyDescent="0.3">
      <c r="A103">
        <v>1</v>
      </c>
      <c r="B103" t="s">
        <v>230</v>
      </c>
      <c r="C103">
        <v>5</v>
      </c>
      <c r="D103" t="s">
        <v>231</v>
      </c>
      <c r="E103">
        <v>194</v>
      </c>
      <c r="F103" t="s">
        <v>101</v>
      </c>
      <c r="G103" t="s">
        <v>101</v>
      </c>
      <c r="H103">
        <v>3</v>
      </c>
      <c r="I103" t="s">
        <v>232</v>
      </c>
      <c r="J103">
        <v>22</v>
      </c>
      <c r="K103" t="s">
        <v>233</v>
      </c>
      <c r="L103">
        <v>587</v>
      </c>
      <c r="M103" t="s">
        <v>234</v>
      </c>
      <c r="N103">
        <v>3</v>
      </c>
      <c r="O103" t="s">
        <v>235</v>
      </c>
      <c r="P103">
        <v>2023</v>
      </c>
      <c r="Q103">
        <v>3173.8734235759098</v>
      </c>
      <c r="R103">
        <v>3446.1028859237299</v>
      </c>
      <c r="S103">
        <v>2908.9266731836101</v>
      </c>
    </row>
    <row r="104" spans="1:19" x14ac:dyDescent="0.3">
      <c r="A104">
        <v>1</v>
      </c>
      <c r="B104" t="s">
        <v>230</v>
      </c>
      <c r="C104">
        <v>5</v>
      </c>
      <c r="D104" t="s">
        <v>231</v>
      </c>
      <c r="E104">
        <v>210</v>
      </c>
      <c r="F104" t="s">
        <v>102</v>
      </c>
      <c r="G104" t="s">
        <v>102</v>
      </c>
      <c r="H104">
        <v>3</v>
      </c>
      <c r="I104" t="s">
        <v>232</v>
      </c>
      <c r="J104">
        <v>22</v>
      </c>
      <c r="K104" t="s">
        <v>233</v>
      </c>
      <c r="L104">
        <v>587</v>
      </c>
      <c r="M104" t="s">
        <v>234</v>
      </c>
      <c r="N104">
        <v>3</v>
      </c>
      <c r="O104" t="s">
        <v>235</v>
      </c>
      <c r="P104">
        <v>2023</v>
      </c>
      <c r="Q104">
        <v>3414.7473876804302</v>
      </c>
      <c r="R104">
        <v>3773.0228394475098</v>
      </c>
      <c r="S104">
        <v>3100.16138284094</v>
      </c>
    </row>
    <row r="105" spans="1:19" x14ac:dyDescent="0.3">
      <c r="A105">
        <v>1</v>
      </c>
      <c r="B105" t="s">
        <v>230</v>
      </c>
      <c r="C105">
        <v>5</v>
      </c>
      <c r="D105" t="s">
        <v>231</v>
      </c>
      <c r="E105">
        <v>147</v>
      </c>
      <c r="F105" t="s">
        <v>103</v>
      </c>
      <c r="G105" t="s">
        <v>103</v>
      </c>
      <c r="H105">
        <v>3</v>
      </c>
      <c r="I105" t="s">
        <v>232</v>
      </c>
      <c r="J105">
        <v>22</v>
      </c>
      <c r="K105" t="s">
        <v>233</v>
      </c>
      <c r="L105">
        <v>587</v>
      </c>
      <c r="M105" t="s">
        <v>234</v>
      </c>
      <c r="N105">
        <v>3</v>
      </c>
      <c r="O105" t="s">
        <v>235</v>
      </c>
      <c r="P105">
        <v>2023</v>
      </c>
      <c r="Q105">
        <v>13893.955604687</v>
      </c>
      <c r="R105">
        <v>15329.1427398551</v>
      </c>
      <c r="S105">
        <v>12627.131411692901</v>
      </c>
    </row>
    <row r="106" spans="1:19" x14ac:dyDescent="0.3">
      <c r="A106">
        <v>1</v>
      </c>
      <c r="B106" t="s">
        <v>230</v>
      </c>
      <c r="C106">
        <v>5</v>
      </c>
      <c r="D106" t="s">
        <v>231</v>
      </c>
      <c r="E106">
        <v>60</v>
      </c>
      <c r="F106" t="s">
        <v>104</v>
      </c>
      <c r="G106" t="s">
        <v>104</v>
      </c>
      <c r="H106">
        <v>3</v>
      </c>
      <c r="I106" t="s">
        <v>232</v>
      </c>
      <c r="J106">
        <v>22</v>
      </c>
      <c r="K106" t="s">
        <v>233</v>
      </c>
      <c r="L106">
        <v>587</v>
      </c>
      <c r="M106" t="s">
        <v>234</v>
      </c>
      <c r="N106">
        <v>3</v>
      </c>
      <c r="O106" t="s">
        <v>235</v>
      </c>
      <c r="P106">
        <v>2023</v>
      </c>
      <c r="Q106">
        <v>7438.1269234010497</v>
      </c>
      <c r="R106">
        <v>8036.1002355541405</v>
      </c>
      <c r="S106">
        <v>6667.1344593968897</v>
      </c>
    </row>
    <row r="107" spans="1:19" x14ac:dyDescent="0.3">
      <c r="A107">
        <v>1</v>
      </c>
      <c r="B107" t="s">
        <v>230</v>
      </c>
      <c r="C107">
        <v>5</v>
      </c>
      <c r="D107" t="s">
        <v>231</v>
      </c>
      <c r="E107">
        <v>87</v>
      </c>
      <c r="F107" t="s">
        <v>105</v>
      </c>
      <c r="G107" t="s">
        <v>105</v>
      </c>
      <c r="H107">
        <v>3</v>
      </c>
      <c r="I107" t="s">
        <v>232</v>
      </c>
      <c r="J107">
        <v>22</v>
      </c>
      <c r="K107" t="s">
        <v>233</v>
      </c>
      <c r="L107">
        <v>587</v>
      </c>
      <c r="M107" t="s">
        <v>234</v>
      </c>
      <c r="N107">
        <v>3</v>
      </c>
      <c r="O107" t="s">
        <v>235</v>
      </c>
      <c r="P107">
        <v>2023</v>
      </c>
      <c r="Q107">
        <v>5010.2974748078896</v>
      </c>
      <c r="R107">
        <v>5516.2733291416098</v>
      </c>
      <c r="S107">
        <v>4597.0527384296402</v>
      </c>
    </row>
    <row r="108" spans="1:19" x14ac:dyDescent="0.3">
      <c r="A108">
        <v>1</v>
      </c>
      <c r="B108" t="s">
        <v>230</v>
      </c>
      <c r="C108">
        <v>5</v>
      </c>
      <c r="D108" t="s">
        <v>231</v>
      </c>
      <c r="E108">
        <v>181</v>
      </c>
      <c r="F108" t="s">
        <v>106</v>
      </c>
      <c r="G108" t="s">
        <v>106</v>
      </c>
      <c r="H108">
        <v>3</v>
      </c>
      <c r="I108" t="s">
        <v>232</v>
      </c>
      <c r="J108">
        <v>22</v>
      </c>
      <c r="K108" t="s">
        <v>233</v>
      </c>
      <c r="L108">
        <v>587</v>
      </c>
      <c r="M108" t="s">
        <v>234</v>
      </c>
      <c r="N108">
        <v>3</v>
      </c>
      <c r="O108" t="s">
        <v>235</v>
      </c>
      <c r="P108">
        <v>2023</v>
      </c>
      <c r="Q108">
        <v>1636.52205012881</v>
      </c>
      <c r="R108">
        <v>1787.07737671116</v>
      </c>
      <c r="S108">
        <v>1468.9078514962</v>
      </c>
    </row>
    <row r="109" spans="1:19" x14ac:dyDescent="0.3">
      <c r="A109">
        <v>1</v>
      </c>
      <c r="B109" t="s">
        <v>230</v>
      </c>
      <c r="C109">
        <v>5</v>
      </c>
      <c r="D109" t="s">
        <v>231</v>
      </c>
      <c r="E109">
        <v>182</v>
      </c>
      <c r="F109" t="s">
        <v>107</v>
      </c>
      <c r="G109" t="s">
        <v>107</v>
      </c>
      <c r="H109">
        <v>3</v>
      </c>
      <c r="I109" t="s">
        <v>232</v>
      </c>
      <c r="J109">
        <v>22</v>
      </c>
      <c r="K109" t="s">
        <v>233</v>
      </c>
      <c r="L109">
        <v>587</v>
      </c>
      <c r="M109" t="s">
        <v>234</v>
      </c>
      <c r="N109">
        <v>3</v>
      </c>
      <c r="O109" t="s">
        <v>235</v>
      </c>
      <c r="P109">
        <v>2023</v>
      </c>
      <c r="Q109">
        <v>1326.2524376341601</v>
      </c>
      <c r="R109">
        <v>1441.7798728488101</v>
      </c>
      <c r="S109">
        <v>1215.66397159242</v>
      </c>
    </row>
    <row r="110" spans="1:19" x14ac:dyDescent="0.3">
      <c r="A110">
        <v>1</v>
      </c>
      <c r="B110" t="s">
        <v>230</v>
      </c>
      <c r="C110">
        <v>5</v>
      </c>
      <c r="D110" t="s">
        <v>231</v>
      </c>
      <c r="E110">
        <v>13</v>
      </c>
      <c r="F110" t="s">
        <v>108</v>
      </c>
      <c r="G110" t="s">
        <v>108</v>
      </c>
      <c r="H110">
        <v>3</v>
      </c>
      <c r="I110" t="s">
        <v>232</v>
      </c>
      <c r="J110">
        <v>22</v>
      </c>
      <c r="K110" t="s">
        <v>233</v>
      </c>
      <c r="L110">
        <v>587</v>
      </c>
      <c r="M110" t="s">
        <v>234</v>
      </c>
      <c r="N110">
        <v>3</v>
      </c>
      <c r="O110" t="s">
        <v>235</v>
      </c>
      <c r="P110">
        <v>2023</v>
      </c>
      <c r="Q110">
        <v>7818.2095135566296</v>
      </c>
      <c r="R110">
        <v>8571.0956759025994</v>
      </c>
      <c r="S110">
        <v>7144.58535597839</v>
      </c>
    </row>
    <row r="111" spans="1:19" x14ac:dyDescent="0.3">
      <c r="A111">
        <v>1</v>
      </c>
      <c r="B111" t="s">
        <v>230</v>
      </c>
      <c r="C111">
        <v>5</v>
      </c>
      <c r="D111" t="s">
        <v>231</v>
      </c>
      <c r="E111">
        <v>14</v>
      </c>
      <c r="F111" t="s">
        <v>109</v>
      </c>
      <c r="G111" t="s">
        <v>109</v>
      </c>
      <c r="H111">
        <v>3</v>
      </c>
      <c r="I111" t="s">
        <v>232</v>
      </c>
      <c r="J111">
        <v>22</v>
      </c>
      <c r="K111" t="s">
        <v>233</v>
      </c>
      <c r="L111">
        <v>587</v>
      </c>
      <c r="M111" t="s">
        <v>234</v>
      </c>
      <c r="N111">
        <v>3</v>
      </c>
      <c r="O111" t="s">
        <v>235</v>
      </c>
      <c r="P111">
        <v>2023</v>
      </c>
      <c r="Q111">
        <v>4487.5407734747996</v>
      </c>
      <c r="R111">
        <v>4986.3793272884104</v>
      </c>
      <c r="S111">
        <v>4049.3361789761402</v>
      </c>
    </row>
    <row r="112" spans="1:19" x14ac:dyDescent="0.3">
      <c r="A112">
        <v>1</v>
      </c>
      <c r="B112" t="s">
        <v>230</v>
      </c>
      <c r="C112">
        <v>5</v>
      </c>
      <c r="D112" t="s">
        <v>231</v>
      </c>
      <c r="E112">
        <v>211</v>
      </c>
      <c r="F112" t="s">
        <v>110</v>
      </c>
      <c r="G112" t="s">
        <v>110</v>
      </c>
      <c r="H112">
        <v>3</v>
      </c>
      <c r="I112" t="s">
        <v>232</v>
      </c>
      <c r="J112">
        <v>22</v>
      </c>
      <c r="K112" t="s">
        <v>233</v>
      </c>
      <c r="L112">
        <v>587</v>
      </c>
      <c r="M112" t="s">
        <v>234</v>
      </c>
      <c r="N112">
        <v>3</v>
      </c>
      <c r="O112" t="s">
        <v>235</v>
      </c>
      <c r="P112">
        <v>2023</v>
      </c>
      <c r="Q112">
        <v>4232.0220247175303</v>
      </c>
      <c r="R112">
        <v>4657.1517015672598</v>
      </c>
      <c r="S112">
        <v>3813.2693217415799</v>
      </c>
    </row>
    <row r="113" spans="1:19" x14ac:dyDescent="0.3">
      <c r="A113">
        <v>1</v>
      </c>
      <c r="B113" t="s">
        <v>230</v>
      </c>
      <c r="C113">
        <v>5</v>
      </c>
      <c r="D113" t="s">
        <v>231</v>
      </c>
      <c r="E113">
        <v>88</v>
      </c>
      <c r="F113" t="s">
        <v>111</v>
      </c>
      <c r="G113" t="s">
        <v>111</v>
      </c>
      <c r="H113">
        <v>3</v>
      </c>
      <c r="I113" t="s">
        <v>232</v>
      </c>
      <c r="J113">
        <v>22</v>
      </c>
      <c r="K113" t="s">
        <v>233</v>
      </c>
      <c r="L113">
        <v>587</v>
      </c>
      <c r="M113" t="s">
        <v>234</v>
      </c>
      <c r="N113">
        <v>3</v>
      </c>
      <c r="O113" t="s">
        <v>235</v>
      </c>
      <c r="P113">
        <v>2023</v>
      </c>
      <c r="Q113">
        <v>6518.59171796399</v>
      </c>
      <c r="R113">
        <v>7003.8839059532702</v>
      </c>
      <c r="S113">
        <v>6079.4326847244702</v>
      </c>
    </row>
    <row r="114" spans="1:19" x14ac:dyDescent="0.3">
      <c r="A114">
        <v>1</v>
      </c>
      <c r="B114" t="s">
        <v>230</v>
      </c>
      <c r="C114">
        <v>5</v>
      </c>
      <c r="D114" t="s">
        <v>231</v>
      </c>
      <c r="E114">
        <v>24</v>
      </c>
      <c r="F114" t="s">
        <v>112</v>
      </c>
      <c r="G114" t="s">
        <v>112</v>
      </c>
      <c r="H114">
        <v>3</v>
      </c>
      <c r="I114" t="s">
        <v>232</v>
      </c>
      <c r="J114">
        <v>22</v>
      </c>
      <c r="K114" t="s">
        <v>233</v>
      </c>
      <c r="L114">
        <v>587</v>
      </c>
      <c r="M114" t="s">
        <v>234</v>
      </c>
      <c r="N114">
        <v>3</v>
      </c>
      <c r="O114" t="s">
        <v>235</v>
      </c>
      <c r="P114">
        <v>2023</v>
      </c>
      <c r="Q114">
        <v>14621.153998556099</v>
      </c>
      <c r="R114">
        <v>15908.052861440299</v>
      </c>
      <c r="S114">
        <v>13312.2793827315</v>
      </c>
    </row>
    <row r="115" spans="1:19" x14ac:dyDescent="0.3">
      <c r="A115">
        <v>1</v>
      </c>
      <c r="B115" t="s">
        <v>230</v>
      </c>
      <c r="C115">
        <v>5</v>
      </c>
      <c r="D115" t="s">
        <v>231</v>
      </c>
      <c r="E115">
        <v>212</v>
      </c>
      <c r="F115" t="s">
        <v>113</v>
      </c>
      <c r="G115" t="s">
        <v>113</v>
      </c>
      <c r="H115">
        <v>3</v>
      </c>
      <c r="I115" t="s">
        <v>232</v>
      </c>
      <c r="J115">
        <v>22</v>
      </c>
      <c r="K115" t="s">
        <v>233</v>
      </c>
      <c r="L115">
        <v>587</v>
      </c>
      <c r="M115" t="s">
        <v>234</v>
      </c>
      <c r="N115">
        <v>3</v>
      </c>
      <c r="O115" t="s">
        <v>235</v>
      </c>
      <c r="P115">
        <v>2023</v>
      </c>
      <c r="Q115">
        <v>3787.8701798420402</v>
      </c>
      <c r="R115">
        <v>4151.1499641393502</v>
      </c>
      <c r="S115">
        <v>3408.1111180544799</v>
      </c>
    </row>
    <row r="116" spans="1:19" x14ac:dyDescent="0.3">
      <c r="A116">
        <v>1</v>
      </c>
      <c r="B116" t="s">
        <v>230</v>
      </c>
      <c r="C116">
        <v>5</v>
      </c>
      <c r="D116" t="s">
        <v>231</v>
      </c>
      <c r="E116">
        <v>183</v>
      </c>
      <c r="F116" t="s">
        <v>114</v>
      </c>
      <c r="G116" t="s">
        <v>114</v>
      </c>
      <c r="H116">
        <v>3</v>
      </c>
      <c r="I116" t="s">
        <v>232</v>
      </c>
      <c r="J116">
        <v>22</v>
      </c>
      <c r="K116" t="s">
        <v>233</v>
      </c>
      <c r="L116">
        <v>587</v>
      </c>
      <c r="M116" t="s">
        <v>234</v>
      </c>
      <c r="N116">
        <v>3</v>
      </c>
      <c r="O116" t="s">
        <v>235</v>
      </c>
      <c r="P116">
        <v>2023</v>
      </c>
      <c r="Q116">
        <v>18674.6695534229</v>
      </c>
      <c r="R116">
        <v>19897.802459795901</v>
      </c>
      <c r="S116">
        <v>17678.534003410001</v>
      </c>
    </row>
    <row r="117" spans="1:19" x14ac:dyDescent="0.3">
      <c r="A117">
        <v>1</v>
      </c>
      <c r="B117" t="s">
        <v>230</v>
      </c>
      <c r="C117">
        <v>5</v>
      </c>
      <c r="D117" t="s">
        <v>231</v>
      </c>
      <c r="E117">
        <v>130</v>
      </c>
      <c r="F117" t="s">
        <v>115</v>
      </c>
      <c r="G117" t="s">
        <v>115</v>
      </c>
      <c r="H117">
        <v>3</v>
      </c>
      <c r="I117" t="s">
        <v>232</v>
      </c>
      <c r="J117">
        <v>22</v>
      </c>
      <c r="K117" t="s">
        <v>233</v>
      </c>
      <c r="L117">
        <v>587</v>
      </c>
      <c r="M117" t="s">
        <v>234</v>
      </c>
      <c r="N117">
        <v>3</v>
      </c>
      <c r="O117" t="s">
        <v>235</v>
      </c>
      <c r="P117">
        <v>2023</v>
      </c>
      <c r="Q117">
        <v>12508.8707643612</v>
      </c>
      <c r="R117">
        <v>13631.138787588299</v>
      </c>
      <c r="S117">
        <v>11295.8656431446</v>
      </c>
    </row>
    <row r="118" spans="1:19" x14ac:dyDescent="0.3">
      <c r="A118">
        <v>1</v>
      </c>
      <c r="B118" t="s">
        <v>230</v>
      </c>
      <c r="C118">
        <v>5</v>
      </c>
      <c r="D118" t="s">
        <v>231</v>
      </c>
      <c r="E118">
        <v>25</v>
      </c>
      <c r="F118" t="s">
        <v>116</v>
      </c>
      <c r="G118" t="s">
        <v>116</v>
      </c>
      <c r="H118">
        <v>3</v>
      </c>
      <c r="I118" t="s">
        <v>232</v>
      </c>
      <c r="J118">
        <v>22</v>
      </c>
      <c r="K118" t="s">
        <v>233</v>
      </c>
      <c r="L118">
        <v>587</v>
      </c>
      <c r="M118" t="s">
        <v>234</v>
      </c>
      <c r="N118">
        <v>3</v>
      </c>
      <c r="O118" t="s">
        <v>235</v>
      </c>
      <c r="P118">
        <v>2023</v>
      </c>
      <c r="Q118">
        <v>17483.294920369601</v>
      </c>
      <c r="R118">
        <v>18564.371051169899</v>
      </c>
      <c r="S118">
        <v>16449.670791137502</v>
      </c>
    </row>
    <row r="119" spans="1:19" x14ac:dyDescent="0.3">
      <c r="A119">
        <v>1</v>
      </c>
      <c r="B119" t="s">
        <v>230</v>
      </c>
      <c r="C119">
        <v>5</v>
      </c>
      <c r="D119" t="s">
        <v>231</v>
      </c>
      <c r="E119">
        <v>367</v>
      </c>
      <c r="F119" t="s">
        <v>253</v>
      </c>
      <c r="G119" t="s">
        <v>253</v>
      </c>
      <c r="H119">
        <v>3</v>
      </c>
      <c r="I119" t="s">
        <v>232</v>
      </c>
      <c r="J119">
        <v>22</v>
      </c>
      <c r="K119" t="s">
        <v>233</v>
      </c>
      <c r="L119">
        <v>587</v>
      </c>
      <c r="M119" t="s">
        <v>234</v>
      </c>
      <c r="N119">
        <v>3</v>
      </c>
      <c r="O119" t="s">
        <v>235</v>
      </c>
      <c r="P119">
        <v>2023</v>
      </c>
      <c r="Q119">
        <v>7246.3345650812598</v>
      </c>
      <c r="R119">
        <v>8058.0509623153002</v>
      </c>
      <c r="S119">
        <v>6544.68496537383</v>
      </c>
    </row>
    <row r="120" spans="1:19" x14ac:dyDescent="0.3">
      <c r="A120">
        <v>1</v>
      </c>
      <c r="B120" t="s">
        <v>230</v>
      </c>
      <c r="C120">
        <v>5</v>
      </c>
      <c r="D120" t="s">
        <v>231</v>
      </c>
      <c r="E120">
        <v>38</v>
      </c>
      <c r="F120" t="s">
        <v>117</v>
      </c>
      <c r="G120" t="s">
        <v>117</v>
      </c>
      <c r="H120">
        <v>3</v>
      </c>
      <c r="I120" t="s">
        <v>232</v>
      </c>
      <c r="J120">
        <v>22</v>
      </c>
      <c r="K120" t="s">
        <v>233</v>
      </c>
      <c r="L120">
        <v>587</v>
      </c>
      <c r="M120" t="s">
        <v>234</v>
      </c>
      <c r="N120">
        <v>3</v>
      </c>
      <c r="O120" t="s">
        <v>235</v>
      </c>
      <c r="P120">
        <v>2023</v>
      </c>
      <c r="Q120">
        <v>3874.95752875779</v>
      </c>
      <c r="R120">
        <v>4253.58420676486</v>
      </c>
      <c r="S120">
        <v>3491.1667987072301</v>
      </c>
    </row>
    <row r="121" spans="1:19" x14ac:dyDescent="0.3">
      <c r="A121">
        <v>1</v>
      </c>
      <c r="B121" t="s">
        <v>230</v>
      </c>
      <c r="C121">
        <v>5</v>
      </c>
      <c r="D121" t="s">
        <v>231</v>
      </c>
      <c r="E121">
        <v>50</v>
      </c>
      <c r="F121" t="s">
        <v>118</v>
      </c>
      <c r="G121" t="s">
        <v>118</v>
      </c>
      <c r="H121">
        <v>3</v>
      </c>
      <c r="I121" t="s">
        <v>232</v>
      </c>
      <c r="J121">
        <v>22</v>
      </c>
      <c r="K121" t="s">
        <v>233</v>
      </c>
      <c r="L121">
        <v>587</v>
      </c>
      <c r="M121" t="s">
        <v>234</v>
      </c>
      <c r="N121">
        <v>3</v>
      </c>
      <c r="O121" t="s">
        <v>235</v>
      </c>
      <c r="P121">
        <v>2023</v>
      </c>
      <c r="Q121">
        <v>10577.9766816068</v>
      </c>
      <c r="R121">
        <v>11859.499735080801</v>
      </c>
      <c r="S121">
        <v>9584.9259291307499</v>
      </c>
    </row>
    <row r="122" spans="1:19" x14ac:dyDescent="0.3">
      <c r="A122">
        <v>1</v>
      </c>
      <c r="B122" t="s">
        <v>230</v>
      </c>
      <c r="C122">
        <v>5</v>
      </c>
      <c r="D122" t="s">
        <v>231</v>
      </c>
      <c r="E122">
        <v>148</v>
      </c>
      <c r="F122" t="s">
        <v>119</v>
      </c>
      <c r="G122" t="s">
        <v>119</v>
      </c>
      <c r="H122">
        <v>3</v>
      </c>
      <c r="I122" t="s">
        <v>232</v>
      </c>
      <c r="J122">
        <v>22</v>
      </c>
      <c r="K122" t="s">
        <v>233</v>
      </c>
      <c r="L122">
        <v>587</v>
      </c>
      <c r="M122" t="s">
        <v>234</v>
      </c>
      <c r="N122">
        <v>3</v>
      </c>
      <c r="O122" t="s">
        <v>235</v>
      </c>
      <c r="P122">
        <v>2023</v>
      </c>
      <c r="Q122">
        <v>10636.8233559497</v>
      </c>
      <c r="R122">
        <v>11463.3497835034</v>
      </c>
      <c r="S122">
        <v>9790.1012555849993</v>
      </c>
    </row>
    <row r="123" spans="1:19" x14ac:dyDescent="0.3">
      <c r="A123">
        <v>1</v>
      </c>
      <c r="B123" t="s">
        <v>230</v>
      </c>
      <c r="C123">
        <v>5</v>
      </c>
      <c r="D123" t="s">
        <v>231</v>
      </c>
      <c r="E123">
        <v>184</v>
      </c>
      <c r="F123" t="s">
        <v>120</v>
      </c>
      <c r="G123" t="s">
        <v>120</v>
      </c>
      <c r="H123">
        <v>3</v>
      </c>
      <c r="I123" t="s">
        <v>232</v>
      </c>
      <c r="J123">
        <v>22</v>
      </c>
      <c r="K123" t="s">
        <v>233</v>
      </c>
      <c r="L123">
        <v>587</v>
      </c>
      <c r="M123" t="s">
        <v>234</v>
      </c>
      <c r="N123">
        <v>3</v>
      </c>
      <c r="O123" t="s">
        <v>235</v>
      </c>
      <c r="P123">
        <v>2023</v>
      </c>
      <c r="Q123">
        <v>1362.52173965108</v>
      </c>
      <c r="R123">
        <v>1482.7046248805</v>
      </c>
      <c r="S123">
        <v>1245.98548155443</v>
      </c>
    </row>
    <row r="124" spans="1:19" x14ac:dyDescent="0.3">
      <c r="A124">
        <v>1</v>
      </c>
      <c r="B124" t="s">
        <v>230</v>
      </c>
      <c r="C124">
        <v>5</v>
      </c>
      <c r="D124" t="s">
        <v>231</v>
      </c>
      <c r="E124">
        <v>15</v>
      </c>
      <c r="F124" t="s">
        <v>121</v>
      </c>
      <c r="G124" t="s">
        <v>121</v>
      </c>
      <c r="H124">
        <v>3</v>
      </c>
      <c r="I124" t="s">
        <v>232</v>
      </c>
      <c r="J124">
        <v>22</v>
      </c>
      <c r="K124" t="s">
        <v>233</v>
      </c>
      <c r="L124">
        <v>587</v>
      </c>
      <c r="M124" t="s">
        <v>234</v>
      </c>
      <c r="N124">
        <v>3</v>
      </c>
      <c r="O124" t="s">
        <v>235</v>
      </c>
      <c r="P124">
        <v>2023</v>
      </c>
      <c r="Q124">
        <v>5941.3148132257502</v>
      </c>
      <c r="R124">
        <v>6429.3311148354096</v>
      </c>
      <c r="S124">
        <v>5474.8144086148304</v>
      </c>
    </row>
    <row r="125" spans="1:19" x14ac:dyDescent="0.3">
      <c r="A125">
        <v>1</v>
      </c>
      <c r="B125" t="s">
        <v>230</v>
      </c>
      <c r="C125">
        <v>5</v>
      </c>
      <c r="D125" t="s">
        <v>231</v>
      </c>
      <c r="E125">
        <v>195</v>
      </c>
      <c r="F125" t="s">
        <v>122</v>
      </c>
      <c r="G125" t="s">
        <v>122</v>
      </c>
      <c r="H125">
        <v>3</v>
      </c>
      <c r="I125" t="s">
        <v>232</v>
      </c>
      <c r="J125">
        <v>22</v>
      </c>
      <c r="K125" t="s">
        <v>233</v>
      </c>
      <c r="L125">
        <v>587</v>
      </c>
      <c r="M125" t="s">
        <v>234</v>
      </c>
      <c r="N125">
        <v>3</v>
      </c>
      <c r="O125" t="s">
        <v>235</v>
      </c>
      <c r="P125">
        <v>2023</v>
      </c>
      <c r="Q125">
        <v>3460.7007300311898</v>
      </c>
      <c r="R125">
        <v>3765.8403748394198</v>
      </c>
      <c r="S125">
        <v>3185.12536489577</v>
      </c>
    </row>
    <row r="126" spans="1:19" x14ac:dyDescent="0.3">
      <c r="A126">
        <v>1</v>
      </c>
      <c r="B126" t="s">
        <v>230</v>
      </c>
      <c r="C126">
        <v>5</v>
      </c>
      <c r="D126" t="s">
        <v>231</v>
      </c>
      <c r="E126">
        <v>369</v>
      </c>
      <c r="F126" t="s">
        <v>236</v>
      </c>
      <c r="G126" t="s">
        <v>236</v>
      </c>
      <c r="H126">
        <v>3</v>
      </c>
      <c r="I126" t="s">
        <v>232</v>
      </c>
      <c r="J126">
        <v>22</v>
      </c>
      <c r="K126" t="s">
        <v>233</v>
      </c>
      <c r="L126">
        <v>587</v>
      </c>
      <c r="M126" t="s">
        <v>234</v>
      </c>
      <c r="N126">
        <v>3</v>
      </c>
      <c r="O126" t="s">
        <v>235</v>
      </c>
      <c r="P126">
        <v>2023</v>
      </c>
      <c r="Q126">
        <v>10854.016362062801</v>
      </c>
      <c r="R126">
        <v>11685.497548192199</v>
      </c>
      <c r="S126">
        <v>9992.2568259188902</v>
      </c>
    </row>
    <row r="127" spans="1:19" x14ac:dyDescent="0.3">
      <c r="A127">
        <v>1</v>
      </c>
      <c r="B127" t="s">
        <v>230</v>
      </c>
      <c r="C127">
        <v>5</v>
      </c>
      <c r="D127" t="s">
        <v>231</v>
      </c>
      <c r="E127">
        <v>164</v>
      </c>
      <c r="F127" t="s">
        <v>123</v>
      </c>
      <c r="G127" t="s">
        <v>123</v>
      </c>
      <c r="H127">
        <v>3</v>
      </c>
      <c r="I127" t="s">
        <v>232</v>
      </c>
      <c r="J127">
        <v>22</v>
      </c>
      <c r="K127" t="s">
        <v>233</v>
      </c>
      <c r="L127">
        <v>587</v>
      </c>
      <c r="M127" t="s">
        <v>234</v>
      </c>
      <c r="N127">
        <v>3</v>
      </c>
      <c r="O127" t="s">
        <v>235</v>
      </c>
      <c r="P127">
        <v>2023</v>
      </c>
      <c r="Q127">
        <v>5674.23304126317</v>
      </c>
      <c r="R127">
        <v>6173.2967888733501</v>
      </c>
      <c r="S127">
        <v>5238.2792991387296</v>
      </c>
    </row>
    <row r="128" spans="1:19" x14ac:dyDescent="0.3">
      <c r="A128">
        <v>1</v>
      </c>
      <c r="B128" t="s">
        <v>230</v>
      </c>
      <c r="C128">
        <v>5</v>
      </c>
      <c r="D128" t="s">
        <v>231</v>
      </c>
      <c r="E128">
        <v>89</v>
      </c>
      <c r="F128" t="s">
        <v>124</v>
      </c>
      <c r="G128" t="s">
        <v>124</v>
      </c>
      <c r="H128">
        <v>3</v>
      </c>
      <c r="I128" t="s">
        <v>232</v>
      </c>
      <c r="J128">
        <v>22</v>
      </c>
      <c r="K128" t="s">
        <v>233</v>
      </c>
      <c r="L128">
        <v>587</v>
      </c>
      <c r="M128" t="s">
        <v>234</v>
      </c>
      <c r="N128">
        <v>3</v>
      </c>
      <c r="O128" t="s">
        <v>235</v>
      </c>
      <c r="P128">
        <v>2023</v>
      </c>
      <c r="Q128">
        <v>5406.6448288893698</v>
      </c>
      <c r="R128">
        <v>5823.6698204510803</v>
      </c>
      <c r="S128">
        <v>5046.8872028813403</v>
      </c>
    </row>
    <row r="129" spans="1:19" x14ac:dyDescent="0.3">
      <c r="A129">
        <v>1</v>
      </c>
      <c r="B129" t="s">
        <v>230</v>
      </c>
      <c r="C129">
        <v>5</v>
      </c>
      <c r="D129" t="s">
        <v>231</v>
      </c>
      <c r="E129">
        <v>72</v>
      </c>
      <c r="F129" t="s">
        <v>125</v>
      </c>
      <c r="G129" t="s">
        <v>125</v>
      </c>
      <c r="H129">
        <v>3</v>
      </c>
      <c r="I129" t="s">
        <v>232</v>
      </c>
      <c r="J129">
        <v>22</v>
      </c>
      <c r="K129" t="s">
        <v>233</v>
      </c>
      <c r="L129">
        <v>587</v>
      </c>
      <c r="M129" t="s">
        <v>234</v>
      </c>
      <c r="N129">
        <v>3</v>
      </c>
      <c r="O129" t="s">
        <v>235</v>
      </c>
      <c r="P129">
        <v>2023</v>
      </c>
      <c r="Q129">
        <v>6534.1458955812004</v>
      </c>
      <c r="R129">
        <v>6905.7091969428002</v>
      </c>
      <c r="S129">
        <v>6143.0193236653804</v>
      </c>
    </row>
    <row r="130" spans="1:19" x14ac:dyDescent="0.3">
      <c r="A130">
        <v>1</v>
      </c>
      <c r="B130" t="s">
        <v>230</v>
      </c>
      <c r="C130">
        <v>5</v>
      </c>
      <c r="D130" t="s">
        <v>231</v>
      </c>
      <c r="E130">
        <v>131</v>
      </c>
      <c r="F130" t="s">
        <v>126</v>
      </c>
      <c r="G130" t="s">
        <v>126</v>
      </c>
      <c r="H130">
        <v>3</v>
      </c>
      <c r="I130" t="s">
        <v>232</v>
      </c>
      <c r="J130">
        <v>22</v>
      </c>
      <c r="K130" t="s">
        <v>233</v>
      </c>
      <c r="L130">
        <v>587</v>
      </c>
      <c r="M130" t="s">
        <v>234</v>
      </c>
      <c r="N130">
        <v>3</v>
      </c>
      <c r="O130" t="s">
        <v>235</v>
      </c>
      <c r="P130">
        <v>2023</v>
      </c>
      <c r="Q130">
        <v>4784.0992508494701</v>
      </c>
      <c r="R130">
        <v>5127.6966135805296</v>
      </c>
      <c r="S130">
        <v>4336.8288554377204</v>
      </c>
    </row>
    <row r="131" spans="1:19" x14ac:dyDescent="0.3">
      <c r="A131">
        <v>1</v>
      </c>
      <c r="B131" t="s">
        <v>230</v>
      </c>
      <c r="C131">
        <v>5</v>
      </c>
      <c r="D131" t="s">
        <v>231</v>
      </c>
      <c r="E131">
        <v>213</v>
      </c>
      <c r="F131" t="s">
        <v>127</v>
      </c>
      <c r="G131" t="s">
        <v>127</v>
      </c>
      <c r="H131">
        <v>3</v>
      </c>
      <c r="I131" t="s">
        <v>232</v>
      </c>
      <c r="J131">
        <v>22</v>
      </c>
      <c r="K131" t="s">
        <v>233</v>
      </c>
      <c r="L131">
        <v>587</v>
      </c>
      <c r="M131" t="s">
        <v>234</v>
      </c>
      <c r="N131">
        <v>3</v>
      </c>
      <c r="O131" t="s">
        <v>235</v>
      </c>
      <c r="P131">
        <v>2023</v>
      </c>
      <c r="Q131">
        <v>2029.48907147463</v>
      </c>
      <c r="R131">
        <v>2218.9461482426</v>
      </c>
      <c r="S131">
        <v>1841.8584713109101</v>
      </c>
    </row>
    <row r="132" spans="1:19" x14ac:dyDescent="0.3">
      <c r="A132">
        <v>1</v>
      </c>
      <c r="B132" t="s">
        <v>230</v>
      </c>
      <c r="C132">
        <v>5</v>
      </c>
      <c r="D132" t="s">
        <v>231</v>
      </c>
      <c r="E132">
        <v>214</v>
      </c>
      <c r="F132" t="s">
        <v>128</v>
      </c>
      <c r="G132" t="s">
        <v>128</v>
      </c>
      <c r="H132">
        <v>3</v>
      </c>
      <c r="I132" t="s">
        <v>232</v>
      </c>
      <c r="J132">
        <v>22</v>
      </c>
      <c r="K132" t="s">
        <v>233</v>
      </c>
      <c r="L132">
        <v>587</v>
      </c>
      <c r="M132" t="s">
        <v>234</v>
      </c>
      <c r="N132">
        <v>3</v>
      </c>
      <c r="O132" t="s">
        <v>235</v>
      </c>
      <c r="P132">
        <v>2023</v>
      </c>
      <c r="Q132">
        <v>2264.6843167550401</v>
      </c>
      <c r="R132">
        <v>2491.3052380824402</v>
      </c>
      <c r="S132">
        <v>2035.6570857230699</v>
      </c>
    </row>
    <row r="133" spans="1:19" x14ac:dyDescent="0.3">
      <c r="A133">
        <v>1</v>
      </c>
      <c r="B133" t="s">
        <v>230</v>
      </c>
      <c r="C133">
        <v>5</v>
      </c>
      <c r="D133" t="s">
        <v>231</v>
      </c>
      <c r="E133">
        <v>374</v>
      </c>
      <c r="F133" t="s">
        <v>254</v>
      </c>
      <c r="G133" t="s">
        <v>254</v>
      </c>
      <c r="H133">
        <v>3</v>
      </c>
      <c r="I133" t="s">
        <v>232</v>
      </c>
      <c r="J133">
        <v>22</v>
      </c>
      <c r="K133" t="s">
        <v>233</v>
      </c>
      <c r="L133">
        <v>587</v>
      </c>
      <c r="M133" t="s">
        <v>234</v>
      </c>
      <c r="N133">
        <v>3</v>
      </c>
      <c r="O133" t="s">
        <v>235</v>
      </c>
      <c r="P133">
        <v>2023</v>
      </c>
      <c r="Q133">
        <v>19664.741254971399</v>
      </c>
      <c r="R133">
        <v>21364.1132115277</v>
      </c>
      <c r="S133">
        <v>18090.011997379799</v>
      </c>
    </row>
    <row r="134" spans="1:19" x14ac:dyDescent="0.3">
      <c r="A134">
        <v>1</v>
      </c>
      <c r="B134" t="s">
        <v>230</v>
      </c>
      <c r="C134">
        <v>5</v>
      </c>
      <c r="D134" t="s">
        <v>231</v>
      </c>
      <c r="E134">
        <v>49</v>
      </c>
      <c r="F134" t="s">
        <v>129</v>
      </c>
      <c r="G134" t="s">
        <v>129</v>
      </c>
      <c r="H134">
        <v>3</v>
      </c>
      <c r="I134" t="s">
        <v>232</v>
      </c>
      <c r="J134">
        <v>22</v>
      </c>
      <c r="K134" t="s">
        <v>233</v>
      </c>
      <c r="L134">
        <v>587</v>
      </c>
      <c r="M134" t="s">
        <v>234</v>
      </c>
      <c r="N134">
        <v>3</v>
      </c>
      <c r="O134" t="s">
        <v>235</v>
      </c>
      <c r="P134">
        <v>2023</v>
      </c>
      <c r="Q134">
        <v>10956.156172410499</v>
      </c>
      <c r="R134">
        <v>12253.407038653701</v>
      </c>
      <c r="S134">
        <v>9909.9772781210995</v>
      </c>
    </row>
    <row r="135" spans="1:19" x14ac:dyDescent="0.3">
      <c r="A135">
        <v>1</v>
      </c>
      <c r="B135" t="s">
        <v>230</v>
      </c>
      <c r="C135">
        <v>5</v>
      </c>
      <c r="D135" t="s">
        <v>231</v>
      </c>
      <c r="E135">
        <v>376</v>
      </c>
      <c r="F135" t="s">
        <v>244</v>
      </c>
      <c r="G135" t="s">
        <v>244</v>
      </c>
      <c r="H135">
        <v>3</v>
      </c>
      <c r="I135" t="s">
        <v>232</v>
      </c>
      <c r="J135">
        <v>22</v>
      </c>
      <c r="K135" t="s">
        <v>233</v>
      </c>
      <c r="L135">
        <v>587</v>
      </c>
      <c r="M135" t="s">
        <v>234</v>
      </c>
      <c r="N135">
        <v>3</v>
      </c>
      <c r="O135" t="s">
        <v>235</v>
      </c>
      <c r="P135">
        <v>2023</v>
      </c>
      <c r="Q135">
        <v>13266.0606553534</v>
      </c>
      <c r="R135">
        <v>14387.163831920099</v>
      </c>
      <c r="S135">
        <v>12170.592874592599</v>
      </c>
    </row>
    <row r="136" spans="1:19" x14ac:dyDescent="0.3">
      <c r="A136">
        <v>1</v>
      </c>
      <c r="B136" t="s">
        <v>230</v>
      </c>
      <c r="C136">
        <v>5</v>
      </c>
      <c r="D136" t="s">
        <v>231</v>
      </c>
      <c r="E136">
        <v>90</v>
      </c>
      <c r="F136" t="s">
        <v>130</v>
      </c>
      <c r="G136" t="s">
        <v>130</v>
      </c>
      <c r="H136">
        <v>3</v>
      </c>
      <c r="I136" t="s">
        <v>232</v>
      </c>
      <c r="J136">
        <v>22</v>
      </c>
      <c r="K136" t="s">
        <v>233</v>
      </c>
      <c r="L136">
        <v>587</v>
      </c>
      <c r="M136" t="s">
        <v>234</v>
      </c>
      <c r="N136">
        <v>3</v>
      </c>
      <c r="O136" t="s">
        <v>235</v>
      </c>
      <c r="P136">
        <v>2023</v>
      </c>
      <c r="Q136">
        <v>6916.9725884657501</v>
      </c>
      <c r="R136">
        <v>7697.76998725458</v>
      </c>
      <c r="S136">
        <v>6188.6266756801497</v>
      </c>
    </row>
    <row r="137" spans="1:19" x14ac:dyDescent="0.3">
      <c r="A137">
        <v>1</v>
      </c>
      <c r="B137" t="s">
        <v>230</v>
      </c>
      <c r="C137">
        <v>5</v>
      </c>
      <c r="D137" t="s">
        <v>231</v>
      </c>
      <c r="E137">
        <v>150</v>
      </c>
      <c r="F137" t="s">
        <v>131</v>
      </c>
      <c r="G137" t="s">
        <v>131</v>
      </c>
      <c r="H137">
        <v>3</v>
      </c>
      <c r="I137" t="s">
        <v>232</v>
      </c>
      <c r="J137">
        <v>22</v>
      </c>
      <c r="K137" t="s">
        <v>233</v>
      </c>
      <c r="L137">
        <v>587</v>
      </c>
      <c r="M137" t="s">
        <v>234</v>
      </c>
      <c r="N137">
        <v>3</v>
      </c>
      <c r="O137" t="s">
        <v>235</v>
      </c>
      <c r="P137">
        <v>2023</v>
      </c>
      <c r="Q137">
        <v>9341.63471382219</v>
      </c>
      <c r="R137">
        <v>10215.112101819401</v>
      </c>
      <c r="S137">
        <v>8415.9311281745595</v>
      </c>
    </row>
    <row r="138" spans="1:19" x14ac:dyDescent="0.3">
      <c r="A138">
        <v>1</v>
      </c>
      <c r="B138" t="s">
        <v>230</v>
      </c>
      <c r="C138">
        <v>5</v>
      </c>
      <c r="D138" t="s">
        <v>231</v>
      </c>
      <c r="E138">
        <v>165</v>
      </c>
      <c r="F138" t="s">
        <v>132</v>
      </c>
      <c r="G138" t="s">
        <v>132</v>
      </c>
      <c r="H138">
        <v>3</v>
      </c>
      <c r="I138" t="s">
        <v>232</v>
      </c>
      <c r="J138">
        <v>22</v>
      </c>
      <c r="K138" t="s">
        <v>233</v>
      </c>
      <c r="L138">
        <v>587</v>
      </c>
      <c r="M138" t="s">
        <v>234</v>
      </c>
      <c r="N138">
        <v>3</v>
      </c>
      <c r="O138" t="s">
        <v>235</v>
      </c>
      <c r="P138">
        <v>2023</v>
      </c>
      <c r="Q138">
        <v>5691.0444033367503</v>
      </c>
      <c r="R138">
        <v>6276.9452800994004</v>
      </c>
      <c r="S138">
        <v>5116.2665846832997</v>
      </c>
    </row>
    <row r="139" spans="1:19" x14ac:dyDescent="0.3">
      <c r="A139">
        <v>1</v>
      </c>
      <c r="B139" t="s">
        <v>230</v>
      </c>
      <c r="C139">
        <v>5</v>
      </c>
      <c r="D139" t="s">
        <v>231</v>
      </c>
      <c r="E139">
        <v>380</v>
      </c>
      <c r="F139" t="s">
        <v>255</v>
      </c>
      <c r="G139" t="s">
        <v>255</v>
      </c>
      <c r="H139">
        <v>3</v>
      </c>
      <c r="I139" t="s">
        <v>232</v>
      </c>
      <c r="J139">
        <v>22</v>
      </c>
      <c r="K139" t="s">
        <v>233</v>
      </c>
      <c r="L139">
        <v>587</v>
      </c>
      <c r="M139" t="s">
        <v>234</v>
      </c>
      <c r="N139">
        <v>3</v>
      </c>
      <c r="O139" t="s">
        <v>235</v>
      </c>
      <c r="P139">
        <v>2023</v>
      </c>
      <c r="Q139">
        <v>16429.093609770302</v>
      </c>
      <c r="R139">
        <v>17561.553280831798</v>
      </c>
      <c r="S139">
        <v>15103.786407031699</v>
      </c>
    </row>
    <row r="140" spans="1:19" x14ac:dyDescent="0.3">
      <c r="A140">
        <v>1</v>
      </c>
      <c r="B140" t="s">
        <v>230</v>
      </c>
      <c r="C140">
        <v>5</v>
      </c>
      <c r="D140" t="s">
        <v>231</v>
      </c>
      <c r="E140">
        <v>149</v>
      </c>
      <c r="F140" t="s">
        <v>133</v>
      </c>
      <c r="G140" t="s">
        <v>133</v>
      </c>
      <c r="H140">
        <v>3</v>
      </c>
      <c r="I140" t="s">
        <v>232</v>
      </c>
      <c r="J140">
        <v>22</v>
      </c>
      <c r="K140" t="s">
        <v>233</v>
      </c>
      <c r="L140">
        <v>587</v>
      </c>
      <c r="M140" t="s">
        <v>234</v>
      </c>
      <c r="N140">
        <v>3</v>
      </c>
      <c r="O140" t="s">
        <v>235</v>
      </c>
      <c r="P140">
        <v>2023</v>
      </c>
      <c r="Q140">
        <v>8739.2676671394602</v>
      </c>
      <c r="R140">
        <v>9612.9564764305196</v>
      </c>
      <c r="S140">
        <v>7936.98624173599</v>
      </c>
    </row>
    <row r="141" spans="1:19" x14ac:dyDescent="0.3">
      <c r="A141">
        <v>1</v>
      </c>
      <c r="B141" t="s">
        <v>230</v>
      </c>
      <c r="C141">
        <v>5</v>
      </c>
      <c r="D141" t="s">
        <v>231</v>
      </c>
      <c r="E141">
        <v>132</v>
      </c>
      <c r="F141" t="s">
        <v>134</v>
      </c>
      <c r="G141" t="s">
        <v>134</v>
      </c>
      <c r="H141">
        <v>3</v>
      </c>
      <c r="I141" t="s">
        <v>232</v>
      </c>
      <c r="J141">
        <v>22</v>
      </c>
      <c r="K141" t="s">
        <v>233</v>
      </c>
      <c r="L141">
        <v>587</v>
      </c>
      <c r="M141" t="s">
        <v>234</v>
      </c>
      <c r="N141">
        <v>3</v>
      </c>
      <c r="O141" t="s">
        <v>235</v>
      </c>
      <c r="P141">
        <v>2023</v>
      </c>
      <c r="Q141">
        <v>7951.67933662624</v>
      </c>
      <c r="R141">
        <v>8555.3186506352395</v>
      </c>
      <c r="S141">
        <v>7387.4881718935503</v>
      </c>
    </row>
    <row r="142" spans="1:19" x14ac:dyDescent="0.3">
      <c r="A142">
        <v>1</v>
      </c>
      <c r="B142" t="s">
        <v>230</v>
      </c>
      <c r="C142">
        <v>5</v>
      </c>
      <c r="D142" t="s">
        <v>231</v>
      </c>
      <c r="E142">
        <v>26</v>
      </c>
      <c r="F142" t="s">
        <v>135</v>
      </c>
      <c r="G142" t="s">
        <v>135</v>
      </c>
      <c r="H142">
        <v>3</v>
      </c>
      <c r="I142" t="s">
        <v>232</v>
      </c>
      <c r="J142">
        <v>22</v>
      </c>
      <c r="K142" t="s">
        <v>233</v>
      </c>
      <c r="L142">
        <v>587</v>
      </c>
      <c r="M142" t="s">
        <v>234</v>
      </c>
      <c r="N142">
        <v>3</v>
      </c>
      <c r="O142" t="s">
        <v>235</v>
      </c>
      <c r="P142">
        <v>2023</v>
      </c>
      <c r="Q142">
        <v>5679.2014995324798</v>
      </c>
      <c r="R142">
        <v>6219.5332390042304</v>
      </c>
      <c r="S142">
        <v>5222.4865992738296</v>
      </c>
    </row>
    <row r="143" spans="1:19" x14ac:dyDescent="0.3">
      <c r="A143">
        <v>1</v>
      </c>
      <c r="B143" t="s">
        <v>230</v>
      </c>
      <c r="C143">
        <v>5</v>
      </c>
      <c r="D143" t="s">
        <v>231</v>
      </c>
      <c r="E143">
        <v>136</v>
      </c>
      <c r="F143" t="s">
        <v>136</v>
      </c>
      <c r="G143" t="s">
        <v>136</v>
      </c>
      <c r="H143">
        <v>3</v>
      </c>
      <c r="I143" t="s">
        <v>232</v>
      </c>
      <c r="J143">
        <v>22</v>
      </c>
      <c r="K143" t="s">
        <v>233</v>
      </c>
      <c r="L143">
        <v>587</v>
      </c>
      <c r="M143" t="s">
        <v>234</v>
      </c>
      <c r="N143">
        <v>3</v>
      </c>
      <c r="O143" t="s">
        <v>235</v>
      </c>
      <c r="P143">
        <v>2023</v>
      </c>
      <c r="Q143">
        <v>7395.8909901881498</v>
      </c>
      <c r="R143">
        <v>7954.0922425118897</v>
      </c>
      <c r="S143">
        <v>6824.2762459700498</v>
      </c>
    </row>
    <row r="144" spans="1:19" x14ac:dyDescent="0.3">
      <c r="A144">
        <v>1</v>
      </c>
      <c r="B144" t="s">
        <v>230</v>
      </c>
      <c r="C144">
        <v>5</v>
      </c>
      <c r="D144" t="s">
        <v>231</v>
      </c>
      <c r="E144">
        <v>123</v>
      </c>
      <c r="F144" t="s">
        <v>137</v>
      </c>
      <c r="G144" t="s">
        <v>137</v>
      </c>
      <c r="H144">
        <v>3</v>
      </c>
      <c r="I144" t="s">
        <v>232</v>
      </c>
      <c r="J144">
        <v>22</v>
      </c>
      <c r="K144" t="s">
        <v>233</v>
      </c>
      <c r="L144">
        <v>587</v>
      </c>
      <c r="M144" t="s">
        <v>234</v>
      </c>
      <c r="N144">
        <v>3</v>
      </c>
      <c r="O144" t="s">
        <v>235</v>
      </c>
      <c r="P144">
        <v>2023</v>
      </c>
      <c r="Q144">
        <v>3631.85474412435</v>
      </c>
      <c r="R144">
        <v>3968.2922504875901</v>
      </c>
      <c r="S144">
        <v>3342.04210756366</v>
      </c>
    </row>
    <row r="145" spans="1:19" x14ac:dyDescent="0.3">
      <c r="A145">
        <v>1</v>
      </c>
      <c r="B145" t="s">
        <v>230</v>
      </c>
      <c r="C145">
        <v>5</v>
      </c>
      <c r="D145" t="s">
        <v>231</v>
      </c>
      <c r="E145">
        <v>16</v>
      </c>
      <c r="F145" t="s">
        <v>138</v>
      </c>
      <c r="G145" t="s">
        <v>138</v>
      </c>
      <c r="H145">
        <v>3</v>
      </c>
      <c r="I145" t="s">
        <v>232</v>
      </c>
      <c r="J145">
        <v>22</v>
      </c>
      <c r="K145" t="s">
        <v>233</v>
      </c>
      <c r="L145">
        <v>587</v>
      </c>
      <c r="M145" t="s">
        <v>234</v>
      </c>
      <c r="N145">
        <v>3</v>
      </c>
      <c r="O145" t="s">
        <v>235</v>
      </c>
      <c r="P145">
        <v>2023</v>
      </c>
      <c r="Q145">
        <v>4923.45624753631</v>
      </c>
      <c r="R145">
        <v>5376.5246694192901</v>
      </c>
      <c r="S145">
        <v>4455.3699998144803</v>
      </c>
    </row>
    <row r="146" spans="1:19" x14ac:dyDescent="0.3">
      <c r="A146">
        <v>1</v>
      </c>
      <c r="B146" t="s">
        <v>230</v>
      </c>
      <c r="C146">
        <v>5</v>
      </c>
      <c r="D146" t="s">
        <v>231</v>
      </c>
      <c r="E146">
        <v>51</v>
      </c>
      <c r="F146" t="s">
        <v>139</v>
      </c>
      <c r="G146" t="s">
        <v>139</v>
      </c>
      <c r="H146">
        <v>3</v>
      </c>
      <c r="I146" t="s">
        <v>232</v>
      </c>
      <c r="J146">
        <v>22</v>
      </c>
      <c r="K146" t="s">
        <v>233</v>
      </c>
      <c r="L146">
        <v>587</v>
      </c>
      <c r="M146" t="s">
        <v>234</v>
      </c>
      <c r="N146">
        <v>3</v>
      </c>
      <c r="O146" t="s">
        <v>235</v>
      </c>
      <c r="P146">
        <v>2023</v>
      </c>
      <c r="Q146">
        <v>11919.568283127701</v>
      </c>
      <c r="R146">
        <v>12734.156034621699</v>
      </c>
      <c r="S146">
        <v>11139.828269587801</v>
      </c>
    </row>
    <row r="147" spans="1:19" x14ac:dyDescent="0.3">
      <c r="A147">
        <v>1</v>
      </c>
      <c r="B147" t="s">
        <v>230</v>
      </c>
      <c r="C147">
        <v>5</v>
      </c>
      <c r="D147" t="s">
        <v>231</v>
      </c>
      <c r="E147">
        <v>91</v>
      </c>
      <c r="F147" t="s">
        <v>140</v>
      </c>
      <c r="G147" t="s">
        <v>140</v>
      </c>
      <c r="H147">
        <v>3</v>
      </c>
      <c r="I147" t="s">
        <v>232</v>
      </c>
      <c r="J147">
        <v>22</v>
      </c>
      <c r="K147" t="s">
        <v>233</v>
      </c>
      <c r="L147">
        <v>587</v>
      </c>
      <c r="M147" t="s">
        <v>234</v>
      </c>
      <c r="N147">
        <v>3</v>
      </c>
      <c r="O147" t="s">
        <v>235</v>
      </c>
      <c r="P147">
        <v>2023</v>
      </c>
      <c r="Q147">
        <v>8981.2253538160094</v>
      </c>
      <c r="R147">
        <v>9639.8776176890806</v>
      </c>
      <c r="S147">
        <v>8372.9743863233198</v>
      </c>
    </row>
    <row r="148" spans="1:19" x14ac:dyDescent="0.3">
      <c r="A148">
        <v>1</v>
      </c>
      <c r="B148" t="s">
        <v>230</v>
      </c>
      <c r="C148">
        <v>5</v>
      </c>
      <c r="D148" t="s">
        <v>231</v>
      </c>
      <c r="E148">
        <v>385</v>
      </c>
      <c r="F148" t="s">
        <v>141</v>
      </c>
      <c r="G148" t="s">
        <v>141</v>
      </c>
      <c r="H148">
        <v>3</v>
      </c>
      <c r="I148" t="s">
        <v>232</v>
      </c>
      <c r="J148">
        <v>22</v>
      </c>
      <c r="K148" t="s">
        <v>233</v>
      </c>
      <c r="L148">
        <v>587</v>
      </c>
      <c r="M148" t="s">
        <v>234</v>
      </c>
      <c r="N148">
        <v>3</v>
      </c>
      <c r="O148" t="s">
        <v>235</v>
      </c>
      <c r="P148">
        <v>2023</v>
      </c>
      <c r="Q148">
        <v>15193.535276177799</v>
      </c>
      <c r="R148">
        <v>16338.7906565753</v>
      </c>
      <c r="S148">
        <v>13967.601162143101</v>
      </c>
    </row>
    <row r="149" spans="1:19" x14ac:dyDescent="0.3">
      <c r="A149">
        <v>1</v>
      </c>
      <c r="B149" t="s">
        <v>230</v>
      </c>
      <c r="C149">
        <v>5</v>
      </c>
      <c r="D149" t="s">
        <v>231</v>
      </c>
      <c r="E149">
        <v>151</v>
      </c>
      <c r="F149" t="s">
        <v>142</v>
      </c>
      <c r="G149" t="s">
        <v>142</v>
      </c>
      <c r="H149">
        <v>3</v>
      </c>
      <c r="I149" t="s">
        <v>232</v>
      </c>
      <c r="J149">
        <v>22</v>
      </c>
      <c r="K149" t="s">
        <v>233</v>
      </c>
      <c r="L149">
        <v>587</v>
      </c>
      <c r="M149" t="s">
        <v>234</v>
      </c>
      <c r="N149">
        <v>3</v>
      </c>
      <c r="O149" t="s">
        <v>235</v>
      </c>
      <c r="P149">
        <v>2023</v>
      </c>
      <c r="Q149">
        <v>14574.380567476701</v>
      </c>
      <c r="R149">
        <v>16107.387953588999</v>
      </c>
      <c r="S149">
        <v>13085.2307612888</v>
      </c>
    </row>
    <row r="150" spans="1:19" x14ac:dyDescent="0.3">
      <c r="A150">
        <v>1</v>
      </c>
      <c r="B150" t="s">
        <v>230</v>
      </c>
      <c r="C150">
        <v>5</v>
      </c>
      <c r="D150" t="s">
        <v>231</v>
      </c>
      <c r="E150">
        <v>68</v>
      </c>
      <c r="F150" t="s">
        <v>143</v>
      </c>
      <c r="G150" t="s">
        <v>143</v>
      </c>
      <c r="H150">
        <v>3</v>
      </c>
      <c r="I150" t="s">
        <v>232</v>
      </c>
      <c r="J150">
        <v>22</v>
      </c>
      <c r="K150" t="s">
        <v>233</v>
      </c>
      <c r="L150">
        <v>587</v>
      </c>
      <c r="M150" t="s">
        <v>234</v>
      </c>
      <c r="N150">
        <v>3</v>
      </c>
      <c r="O150" t="s">
        <v>235</v>
      </c>
      <c r="P150">
        <v>2023</v>
      </c>
      <c r="Q150">
        <v>9888.2300944718099</v>
      </c>
      <c r="R150">
        <v>10193.8831504262</v>
      </c>
      <c r="S150">
        <v>9565.9043606942905</v>
      </c>
    </row>
    <row r="151" spans="1:19" x14ac:dyDescent="0.3">
      <c r="A151">
        <v>1</v>
      </c>
      <c r="B151" t="s">
        <v>230</v>
      </c>
      <c r="C151">
        <v>5</v>
      </c>
      <c r="D151" t="s">
        <v>231</v>
      </c>
      <c r="E151">
        <v>61</v>
      </c>
      <c r="F151" t="s">
        <v>144</v>
      </c>
      <c r="G151" t="s">
        <v>144</v>
      </c>
      <c r="H151">
        <v>3</v>
      </c>
      <c r="I151" t="s">
        <v>232</v>
      </c>
      <c r="J151">
        <v>22</v>
      </c>
      <c r="K151" t="s">
        <v>233</v>
      </c>
      <c r="L151">
        <v>587</v>
      </c>
      <c r="M151" t="s">
        <v>234</v>
      </c>
      <c r="N151">
        <v>3</v>
      </c>
      <c r="O151" t="s">
        <v>235</v>
      </c>
      <c r="P151">
        <v>2023</v>
      </c>
      <c r="Q151">
        <v>8137.6999702329704</v>
      </c>
      <c r="R151">
        <v>8808.50324308569</v>
      </c>
      <c r="S151">
        <v>7361.4498507629396</v>
      </c>
    </row>
    <row r="152" spans="1:19" x14ac:dyDescent="0.3">
      <c r="A152">
        <v>1</v>
      </c>
      <c r="B152" t="s">
        <v>230</v>
      </c>
      <c r="C152">
        <v>5</v>
      </c>
      <c r="D152" t="s">
        <v>231</v>
      </c>
      <c r="E152">
        <v>52</v>
      </c>
      <c r="F152" t="s">
        <v>145</v>
      </c>
      <c r="G152" t="s">
        <v>145</v>
      </c>
      <c r="H152">
        <v>3</v>
      </c>
      <c r="I152" t="s">
        <v>232</v>
      </c>
      <c r="J152">
        <v>22</v>
      </c>
      <c r="K152" t="s">
        <v>233</v>
      </c>
      <c r="L152">
        <v>587</v>
      </c>
      <c r="M152" t="s">
        <v>234</v>
      </c>
      <c r="N152">
        <v>3</v>
      </c>
      <c r="O152" t="s">
        <v>235</v>
      </c>
      <c r="P152">
        <v>2023</v>
      </c>
      <c r="Q152">
        <v>5926.62127291868</v>
      </c>
      <c r="R152">
        <v>6405.8665604117195</v>
      </c>
      <c r="S152">
        <v>5367.6025581355498</v>
      </c>
    </row>
    <row r="153" spans="1:19" x14ac:dyDescent="0.3">
      <c r="A153">
        <v>1</v>
      </c>
      <c r="B153" t="s">
        <v>230</v>
      </c>
      <c r="C153">
        <v>5</v>
      </c>
      <c r="D153" t="s">
        <v>231</v>
      </c>
      <c r="E153">
        <v>62</v>
      </c>
      <c r="F153" t="s">
        <v>146</v>
      </c>
      <c r="G153" t="s">
        <v>146</v>
      </c>
      <c r="H153">
        <v>3</v>
      </c>
      <c r="I153" t="s">
        <v>232</v>
      </c>
      <c r="J153">
        <v>22</v>
      </c>
      <c r="K153" t="s">
        <v>233</v>
      </c>
      <c r="L153">
        <v>587</v>
      </c>
      <c r="M153" t="s">
        <v>234</v>
      </c>
      <c r="N153">
        <v>3</v>
      </c>
      <c r="O153" t="s">
        <v>235</v>
      </c>
      <c r="P153">
        <v>2023</v>
      </c>
      <c r="Q153">
        <v>6414.8488594395103</v>
      </c>
      <c r="R153">
        <v>7131.32963008359</v>
      </c>
      <c r="S153">
        <v>5785.1658153806802</v>
      </c>
    </row>
    <row r="154" spans="1:19" x14ac:dyDescent="0.3">
      <c r="A154">
        <v>1</v>
      </c>
      <c r="B154" t="s">
        <v>230</v>
      </c>
      <c r="C154">
        <v>5</v>
      </c>
      <c r="D154" t="s">
        <v>231</v>
      </c>
      <c r="E154">
        <v>185</v>
      </c>
      <c r="F154" t="s">
        <v>147</v>
      </c>
      <c r="G154" t="s">
        <v>147</v>
      </c>
      <c r="H154">
        <v>3</v>
      </c>
      <c r="I154" t="s">
        <v>232</v>
      </c>
      <c r="J154">
        <v>22</v>
      </c>
      <c r="K154" t="s">
        <v>233</v>
      </c>
      <c r="L154">
        <v>587</v>
      </c>
      <c r="M154" t="s">
        <v>234</v>
      </c>
      <c r="N154">
        <v>3</v>
      </c>
      <c r="O154" t="s">
        <v>235</v>
      </c>
      <c r="P154">
        <v>2023</v>
      </c>
      <c r="Q154">
        <v>1675.5227943949001</v>
      </c>
      <c r="R154">
        <v>1824.9076334640599</v>
      </c>
      <c r="S154">
        <v>1548.33591514617</v>
      </c>
    </row>
    <row r="155" spans="1:19" x14ac:dyDescent="0.3">
      <c r="A155">
        <v>1</v>
      </c>
      <c r="B155" t="s">
        <v>230</v>
      </c>
      <c r="C155">
        <v>5</v>
      </c>
      <c r="D155" t="s">
        <v>231</v>
      </c>
      <c r="E155">
        <v>393</v>
      </c>
      <c r="F155" t="s">
        <v>238</v>
      </c>
      <c r="G155" t="s">
        <v>238</v>
      </c>
      <c r="H155">
        <v>3</v>
      </c>
      <c r="I155" t="s">
        <v>232</v>
      </c>
      <c r="J155">
        <v>22</v>
      </c>
      <c r="K155" t="s">
        <v>233</v>
      </c>
      <c r="L155">
        <v>587</v>
      </c>
      <c r="M155" t="s">
        <v>234</v>
      </c>
      <c r="N155">
        <v>3</v>
      </c>
      <c r="O155" t="s">
        <v>235</v>
      </c>
      <c r="P155">
        <v>2023</v>
      </c>
      <c r="Q155">
        <v>11430.642442833199</v>
      </c>
      <c r="R155">
        <v>12491.463507324301</v>
      </c>
      <c r="S155">
        <v>10567.381064646601</v>
      </c>
    </row>
    <row r="156" spans="1:19" x14ac:dyDescent="0.3">
      <c r="A156">
        <v>1</v>
      </c>
      <c r="B156" t="s">
        <v>230</v>
      </c>
      <c r="C156">
        <v>5</v>
      </c>
      <c r="D156" t="s">
        <v>231</v>
      </c>
      <c r="E156">
        <v>116</v>
      </c>
      <c r="F156" t="s">
        <v>148</v>
      </c>
      <c r="G156" t="s">
        <v>148</v>
      </c>
      <c r="H156">
        <v>3</v>
      </c>
      <c r="I156" t="s">
        <v>232</v>
      </c>
      <c r="J156">
        <v>22</v>
      </c>
      <c r="K156" t="s">
        <v>233</v>
      </c>
      <c r="L156">
        <v>587</v>
      </c>
      <c r="M156" t="s">
        <v>234</v>
      </c>
      <c r="N156">
        <v>3</v>
      </c>
      <c r="O156" t="s">
        <v>235</v>
      </c>
      <c r="P156">
        <v>2023</v>
      </c>
      <c r="Q156">
        <v>14276.5498859773</v>
      </c>
      <c r="R156">
        <v>15278.2822686736</v>
      </c>
      <c r="S156">
        <v>12943.5510723642</v>
      </c>
    </row>
    <row r="157" spans="1:19" x14ac:dyDescent="0.3">
      <c r="A157">
        <v>1</v>
      </c>
      <c r="B157" t="s">
        <v>230</v>
      </c>
      <c r="C157">
        <v>5</v>
      </c>
      <c r="D157" t="s">
        <v>231</v>
      </c>
      <c r="E157">
        <v>117</v>
      </c>
      <c r="F157" t="s">
        <v>149</v>
      </c>
      <c r="G157" t="s">
        <v>149</v>
      </c>
      <c r="H157">
        <v>3</v>
      </c>
      <c r="I157" t="s">
        <v>232</v>
      </c>
      <c r="J157">
        <v>22</v>
      </c>
      <c r="K157" t="s">
        <v>233</v>
      </c>
      <c r="L157">
        <v>587</v>
      </c>
      <c r="M157" t="s">
        <v>234</v>
      </c>
      <c r="N157">
        <v>3</v>
      </c>
      <c r="O157" t="s">
        <v>235</v>
      </c>
      <c r="P157">
        <v>2023</v>
      </c>
      <c r="Q157">
        <v>13996.585337127101</v>
      </c>
      <c r="R157">
        <v>14908.6912321072</v>
      </c>
      <c r="S157">
        <v>13003.3954709873</v>
      </c>
    </row>
    <row r="158" spans="1:19" x14ac:dyDescent="0.3">
      <c r="A158">
        <v>1</v>
      </c>
      <c r="B158" t="s">
        <v>230</v>
      </c>
      <c r="C158">
        <v>5</v>
      </c>
      <c r="D158" t="s">
        <v>231</v>
      </c>
      <c r="E158">
        <v>27</v>
      </c>
      <c r="F158" t="s">
        <v>150</v>
      </c>
      <c r="G158" t="s">
        <v>150</v>
      </c>
      <c r="H158">
        <v>3</v>
      </c>
      <c r="I158" t="s">
        <v>232</v>
      </c>
      <c r="J158">
        <v>22</v>
      </c>
      <c r="K158" t="s">
        <v>233</v>
      </c>
      <c r="L158">
        <v>587</v>
      </c>
      <c r="M158" t="s">
        <v>234</v>
      </c>
      <c r="N158">
        <v>3</v>
      </c>
      <c r="O158" t="s">
        <v>235</v>
      </c>
      <c r="P158">
        <v>2023</v>
      </c>
      <c r="Q158">
        <v>11221.0442494368</v>
      </c>
      <c r="R158">
        <v>12188.2596108583</v>
      </c>
      <c r="S158">
        <v>10362.5692517551</v>
      </c>
    </row>
    <row r="159" spans="1:19" x14ac:dyDescent="0.3">
      <c r="A159">
        <v>1</v>
      </c>
      <c r="B159" t="s">
        <v>230</v>
      </c>
      <c r="C159">
        <v>5</v>
      </c>
      <c r="D159" t="s">
        <v>231</v>
      </c>
      <c r="E159">
        <v>396</v>
      </c>
      <c r="F159" t="s">
        <v>251</v>
      </c>
      <c r="G159" t="s">
        <v>251</v>
      </c>
      <c r="H159">
        <v>3</v>
      </c>
      <c r="I159" t="s">
        <v>232</v>
      </c>
      <c r="J159">
        <v>22</v>
      </c>
      <c r="K159" t="s">
        <v>233</v>
      </c>
      <c r="L159">
        <v>587</v>
      </c>
      <c r="M159" t="s">
        <v>234</v>
      </c>
      <c r="N159">
        <v>3</v>
      </c>
      <c r="O159" t="s">
        <v>235</v>
      </c>
      <c r="P159">
        <v>2023</v>
      </c>
      <c r="Q159">
        <v>7491.1520095412197</v>
      </c>
      <c r="R159">
        <v>8325.9824354458597</v>
      </c>
      <c r="S159">
        <v>6781.6159447231103</v>
      </c>
    </row>
    <row r="160" spans="1:19" x14ac:dyDescent="0.3">
      <c r="A160">
        <v>1</v>
      </c>
      <c r="B160" t="s">
        <v>230</v>
      </c>
      <c r="C160">
        <v>5</v>
      </c>
      <c r="D160" t="s">
        <v>231</v>
      </c>
      <c r="E160">
        <v>215</v>
      </c>
      <c r="F160" t="s">
        <v>151</v>
      </c>
      <c r="G160" t="s">
        <v>151</v>
      </c>
      <c r="H160">
        <v>3</v>
      </c>
      <c r="I160" t="s">
        <v>232</v>
      </c>
      <c r="J160">
        <v>22</v>
      </c>
      <c r="K160" t="s">
        <v>233</v>
      </c>
      <c r="L160">
        <v>587</v>
      </c>
      <c r="M160" t="s">
        <v>234</v>
      </c>
      <c r="N160">
        <v>3</v>
      </c>
      <c r="O160" t="s">
        <v>235</v>
      </c>
      <c r="P160">
        <v>2023</v>
      </c>
      <c r="Q160">
        <v>4512.3098900274199</v>
      </c>
      <c r="R160">
        <v>5045.04100847889</v>
      </c>
      <c r="S160">
        <v>4026.9875242630801</v>
      </c>
    </row>
    <row r="161" spans="1:19" x14ac:dyDescent="0.3">
      <c r="A161">
        <v>1</v>
      </c>
      <c r="B161" t="s">
        <v>230</v>
      </c>
      <c r="C161">
        <v>5</v>
      </c>
      <c r="D161" t="s">
        <v>231</v>
      </c>
      <c r="E161">
        <v>152</v>
      </c>
      <c r="F161" t="s">
        <v>152</v>
      </c>
      <c r="G161" t="s">
        <v>152</v>
      </c>
      <c r="H161">
        <v>3</v>
      </c>
      <c r="I161" t="s">
        <v>232</v>
      </c>
      <c r="J161">
        <v>22</v>
      </c>
      <c r="K161" t="s">
        <v>233</v>
      </c>
      <c r="L161">
        <v>587</v>
      </c>
      <c r="M161" t="s">
        <v>234</v>
      </c>
      <c r="N161">
        <v>3</v>
      </c>
      <c r="O161" t="s">
        <v>235</v>
      </c>
      <c r="P161">
        <v>2023</v>
      </c>
      <c r="Q161">
        <v>20149.000462965199</v>
      </c>
      <c r="R161">
        <v>22034.2228160878</v>
      </c>
      <c r="S161">
        <v>18406.863382535201</v>
      </c>
    </row>
    <row r="162" spans="1:19" x14ac:dyDescent="0.3">
      <c r="A162">
        <v>1</v>
      </c>
      <c r="B162" t="s">
        <v>230</v>
      </c>
      <c r="C162">
        <v>5</v>
      </c>
      <c r="D162" t="s">
        <v>231</v>
      </c>
      <c r="E162">
        <v>216</v>
      </c>
      <c r="F162" t="s">
        <v>153</v>
      </c>
      <c r="G162" t="s">
        <v>153</v>
      </c>
      <c r="H162">
        <v>3</v>
      </c>
      <c r="I162" t="s">
        <v>232</v>
      </c>
      <c r="J162">
        <v>22</v>
      </c>
      <c r="K162" t="s">
        <v>233</v>
      </c>
      <c r="L162">
        <v>587</v>
      </c>
      <c r="M162" t="s">
        <v>234</v>
      </c>
      <c r="N162">
        <v>3</v>
      </c>
      <c r="O162" t="s">
        <v>235</v>
      </c>
      <c r="P162">
        <v>2023</v>
      </c>
      <c r="Q162">
        <v>4533.2905874357302</v>
      </c>
      <c r="R162">
        <v>4987.5764066306701</v>
      </c>
      <c r="S162">
        <v>4064.7692188466599</v>
      </c>
    </row>
    <row r="163" spans="1:19" x14ac:dyDescent="0.3">
      <c r="A163">
        <v>1</v>
      </c>
      <c r="B163" t="s">
        <v>230</v>
      </c>
      <c r="C163">
        <v>5</v>
      </c>
      <c r="D163" t="s">
        <v>231</v>
      </c>
      <c r="E163">
        <v>53</v>
      </c>
      <c r="F163" t="s">
        <v>154</v>
      </c>
      <c r="G163" t="s">
        <v>154</v>
      </c>
      <c r="H163">
        <v>3</v>
      </c>
      <c r="I163" t="s">
        <v>232</v>
      </c>
      <c r="J163">
        <v>22</v>
      </c>
      <c r="K163" t="s">
        <v>233</v>
      </c>
      <c r="L163">
        <v>587</v>
      </c>
      <c r="M163" t="s">
        <v>234</v>
      </c>
      <c r="N163">
        <v>3</v>
      </c>
      <c r="O163" t="s">
        <v>235</v>
      </c>
      <c r="P163">
        <v>2023</v>
      </c>
      <c r="Q163">
        <v>8285.5890764790202</v>
      </c>
      <c r="R163">
        <v>9188.5717952975301</v>
      </c>
      <c r="S163">
        <v>7611.6748053040801</v>
      </c>
    </row>
    <row r="164" spans="1:19" x14ac:dyDescent="0.3">
      <c r="A164">
        <v>1</v>
      </c>
      <c r="B164" t="s">
        <v>230</v>
      </c>
      <c r="C164">
        <v>5</v>
      </c>
      <c r="D164" t="s">
        <v>231</v>
      </c>
      <c r="E164">
        <v>186</v>
      </c>
      <c r="F164" t="s">
        <v>155</v>
      </c>
      <c r="G164" t="s">
        <v>155</v>
      </c>
      <c r="H164">
        <v>3</v>
      </c>
      <c r="I164" t="s">
        <v>232</v>
      </c>
      <c r="J164">
        <v>22</v>
      </c>
      <c r="K164" t="s">
        <v>233</v>
      </c>
      <c r="L164">
        <v>587</v>
      </c>
      <c r="M164" t="s">
        <v>234</v>
      </c>
      <c r="N164">
        <v>3</v>
      </c>
      <c r="O164" t="s">
        <v>235</v>
      </c>
      <c r="P164">
        <v>2023</v>
      </c>
      <c r="Q164">
        <v>10414.696129616699</v>
      </c>
      <c r="R164">
        <v>11470.100772502999</v>
      </c>
      <c r="S164">
        <v>9529.9878722150097</v>
      </c>
    </row>
    <row r="165" spans="1:19" x14ac:dyDescent="0.3">
      <c r="A165">
        <v>1</v>
      </c>
      <c r="B165" t="s">
        <v>230</v>
      </c>
      <c r="C165">
        <v>5</v>
      </c>
      <c r="D165" t="s">
        <v>231</v>
      </c>
      <c r="E165">
        <v>217</v>
      </c>
      <c r="F165" t="s">
        <v>156</v>
      </c>
      <c r="G165" t="s">
        <v>156</v>
      </c>
      <c r="H165">
        <v>3</v>
      </c>
      <c r="I165" t="s">
        <v>232</v>
      </c>
      <c r="J165">
        <v>22</v>
      </c>
      <c r="K165" t="s">
        <v>233</v>
      </c>
      <c r="L165">
        <v>587</v>
      </c>
      <c r="M165" t="s">
        <v>234</v>
      </c>
      <c r="N165">
        <v>3</v>
      </c>
      <c r="O165" t="s">
        <v>235</v>
      </c>
      <c r="P165">
        <v>2023</v>
      </c>
      <c r="Q165">
        <v>2991.5305932790502</v>
      </c>
      <c r="R165">
        <v>3281.5732098364201</v>
      </c>
      <c r="S165">
        <v>2710.73090112316</v>
      </c>
    </row>
    <row r="166" spans="1:19" x14ac:dyDescent="0.3">
      <c r="A166">
        <v>1</v>
      </c>
      <c r="B166" t="s">
        <v>230</v>
      </c>
      <c r="C166">
        <v>5</v>
      </c>
      <c r="D166" t="s">
        <v>231</v>
      </c>
      <c r="E166">
        <v>69</v>
      </c>
      <c r="F166" t="s">
        <v>157</v>
      </c>
      <c r="G166" t="s">
        <v>157</v>
      </c>
      <c r="H166">
        <v>3</v>
      </c>
      <c r="I166" t="s">
        <v>232</v>
      </c>
      <c r="J166">
        <v>22</v>
      </c>
      <c r="K166" t="s">
        <v>233</v>
      </c>
      <c r="L166">
        <v>587</v>
      </c>
      <c r="M166" t="s">
        <v>234</v>
      </c>
      <c r="N166">
        <v>3</v>
      </c>
      <c r="O166" t="s">
        <v>235</v>
      </c>
      <c r="P166">
        <v>2023</v>
      </c>
      <c r="Q166">
        <v>6557.9578787061</v>
      </c>
      <c r="R166">
        <v>7333.09760130627</v>
      </c>
      <c r="S166">
        <v>5971.5769962941504</v>
      </c>
    </row>
    <row r="167" spans="1:19" x14ac:dyDescent="0.3">
      <c r="A167">
        <v>1</v>
      </c>
      <c r="B167" t="s">
        <v>230</v>
      </c>
      <c r="C167">
        <v>5</v>
      </c>
      <c r="D167" t="s">
        <v>231</v>
      </c>
      <c r="E167">
        <v>54</v>
      </c>
      <c r="F167" t="s">
        <v>158</v>
      </c>
      <c r="G167" t="s">
        <v>158</v>
      </c>
      <c r="H167">
        <v>3</v>
      </c>
      <c r="I167" t="s">
        <v>232</v>
      </c>
      <c r="J167">
        <v>22</v>
      </c>
      <c r="K167" t="s">
        <v>233</v>
      </c>
      <c r="L167">
        <v>587</v>
      </c>
      <c r="M167" t="s">
        <v>234</v>
      </c>
      <c r="N167">
        <v>3</v>
      </c>
      <c r="O167" t="s">
        <v>235</v>
      </c>
      <c r="P167">
        <v>2023</v>
      </c>
      <c r="Q167">
        <v>5966.4427574283</v>
      </c>
      <c r="R167">
        <v>6528.2092923331902</v>
      </c>
      <c r="S167">
        <v>5450.49848215981</v>
      </c>
    </row>
    <row r="168" spans="1:19" x14ac:dyDescent="0.3">
      <c r="A168">
        <v>1</v>
      </c>
      <c r="B168" t="s">
        <v>230</v>
      </c>
      <c r="C168">
        <v>5</v>
      </c>
      <c r="D168" t="s">
        <v>231</v>
      </c>
      <c r="E168">
        <v>55</v>
      </c>
      <c r="F168" t="s">
        <v>159</v>
      </c>
      <c r="G168" t="s">
        <v>159</v>
      </c>
      <c r="H168">
        <v>3</v>
      </c>
      <c r="I168" t="s">
        <v>232</v>
      </c>
      <c r="J168">
        <v>22</v>
      </c>
      <c r="K168" t="s">
        <v>233</v>
      </c>
      <c r="L168">
        <v>587</v>
      </c>
      <c r="M168" t="s">
        <v>234</v>
      </c>
      <c r="N168">
        <v>3</v>
      </c>
      <c r="O168" t="s">
        <v>235</v>
      </c>
      <c r="P168">
        <v>2023</v>
      </c>
      <c r="Q168">
        <v>8324.6680097986991</v>
      </c>
      <c r="R168">
        <v>9041.8242630933291</v>
      </c>
      <c r="S168">
        <v>7536.4578586704702</v>
      </c>
    </row>
    <row r="169" spans="1:19" x14ac:dyDescent="0.3">
      <c r="A169">
        <v>1</v>
      </c>
      <c r="B169" t="s">
        <v>230</v>
      </c>
      <c r="C169">
        <v>5</v>
      </c>
      <c r="D169" t="s">
        <v>231</v>
      </c>
      <c r="E169">
        <v>28</v>
      </c>
      <c r="F169" t="s">
        <v>160</v>
      </c>
      <c r="G169" t="s">
        <v>160</v>
      </c>
      <c r="H169">
        <v>3</v>
      </c>
      <c r="I169" t="s">
        <v>232</v>
      </c>
      <c r="J169">
        <v>22</v>
      </c>
      <c r="K169" t="s">
        <v>233</v>
      </c>
      <c r="L169">
        <v>587</v>
      </c>
      <c r="M169" t="s">
        <v>234</v>
      </c>
      <c r="N169">
        <v>3</v>
      </c>
      <c r="O169" t="s">
        <v>235</v>
      </c>
      <c r="P169">
        <v>2023</v>
      </c>
      <c r="Q169">
        <v>6562.6471601221701</v>
      </c>
      <c r="R169">
        <v>7210.5778406720301</v>
      </c>
      <c r="S169">
        <v>5974.9035823033601</v>
      </c>
    </row>
    <row r="170" spans="1:19" x14ac:dyDescent="0.3">
      <c r="A170">
        <v>1</v>
      </c>
      <c r="B170" t="s">
        <v>230</v>
      </c>
      <c r="C170">
        <v>5</v>
      </c>
      <c r="D170" t="s">
        <v>231</v>
      </c>
      <c r="E170">
        <v>187</v>
      </c>
      <c r="F170" t="s">
        <v>161</v>
      </c>
      <c r="G170" t="s">
        <v>161</v>
      </c>
      <c r="H170">
        <v>3</v>
      </c>
      <c r="I170" t="s">
        <v>232</v>
      </c>
      <c r="J170">
        <v>22</v>
      </c>
      <c r="K170" t="s">
        <v>233</v>
      </c>
      <c r="L170">
        <v>587</v>
      </c>
      <c r="M170" t="s">
        <v>234</v>
      </c>
      <c r="N170">
        <v>3</v>
      </c>
      <c r="O170" t="s">
        <v>235</v>
      </c>
      <c r="P170">
        <v>2023</v>
      </c>
      <c r="Q170">
        <v>1642.9212776060499</v>
      </c>
      <c r="R170">
        <v>1795.3761434191599</v>
      </c>
      <c r="S170">
        <v>1498.97953343976</v>
      </c>
    </row>
    <row r="171" spans="1:19" x14ac:dyDescent="0.3">
      <c r="A171">
        <v>1</v>
      </c>
      <c r="B171" t="s">
        <v>230</v>
      </c>
      <c r="C171">
        <v>5</v>
      </c>
      <c r="D171" t="s">
        <v>231</v>
      </c>
      <c r="E171">
        <v>196</v>
      </c>
      <c r="F171" t="s">
        <v>162</v>
      </c>
      <c r="G171" t="s">
        <v>162</v>
      </c>
      <c r="H171">
        <v>3</v>
      </c>
      <c r="I171" t="s">
        <v>232</v>
      </c>
      <c r="J171">
        <v>22</v>
      </c>
      <c r="K171" t="s">
        <v>233</v>
      </c>
      <c r="L171">
        <v>587</v>
      </c>
      <c r="M171" t="s">
        <v>234</v>
      </c>
      <c r="N171">
        <v>3</v>
      </c>
      <c r="O171" t="s">
        <v>235</v>
      </c>
      <c r="P171">
        <v>2023</v>
      </c>
      <c r="Q171">
        <v>6635.54463216362</v>
      </c>
      <c r="R171">
        <v>7254.7112458230004</v>
      </c>
      <c r="S171">
        <v>5976.9566657708901</v>
      </c>
    </row>
    <row r="172" spans="1:19" x14ac:dyDescent="0.3">
      <c r="A172">
        <v>1</v>
      </c>
      <c r="B172" t="s">
        <v>230</v>
      </c>
      <c r="C172">
        <v>5</v>
      </c>
      <c r="D172" t="s">
        <v>231</v>
      </c>
      <c r="E172">
        <v>435</v>
      </c>
      <c r="F172" t="s">
        <v>163</v>
      </c>
      <c r="G172" t="s">
        <v>163</v>
      </c>
      <c r="H172">
        <v>3</v>
      </c>
      <c r="I172" t="s">
        <v>232</v>
      </c>
      <c r="J172">
        <v>22</v>
      </c>
      <c r="K172" t="s">
        <v>233</v>
      </c>
      <c r="L172">
        <v>587</v>
      </c>
      <c r="M172" t="s">
        <v>234</v>
      </c>
      <c r="N172">
        <v>3</v>
      </c>
      <c r="O172" t="s">
        <v>235</v>
      </c>
      <c r="P172">
        <v>2023</v>
      </c>
      <c r="Q172">
        <v>1658.0710711731199</v>
      </c>
      <c r="R172">
        <v>1811.6536818142499</v>
      </c>
      <c r="S172">
        <v>1508.2848491288601</v>
      </c>
    </row>
    <row r="173" spans="1:19" x14ac:dyDescent="0.3">
      <c r="A173">
        <v>1</v>
      </c>
      <c r="B173" t="s">
        <v>230</v>
      </c>
      <c r="C173">
        <v>5</v>
      </c>
      <c r="D173" t="s">
        <v>231</v>
      </c>
      <c r="E173">
        <v>92</v>
      </c>
      <c r="F173" t="s">
        <v>164</v>
      </c>
      <c r="G173" t="s">
        <v>164</v>
      </c>
      <c r="H173">
        <v>3</v>
      </c>
      <c r="I173" t="s">
        <v>232</v>
      </c>
      <c r="J173">
        <v>22</v>
      </c>
      <c r="K173" t="s">
        <v>233</v>
      </c>
      <c r="L173">
        <v>587</v>
      </c>
      <c r="M173" t="s">
        <v>234</v>
      </c>
      <c r="N173">
        <v>3</v>
      </c>
      <c r="O173" t="s">
        <v>235</v>
      </c>
      <c r="P173">
        <v>2023</v>
      </c>
      <c r="Q173">
        <v>8960.1141333876894</v>
      </c>
      <c r="R173">
        <v>9820.3536186862202</v>
      </c>
      <c r="S173">
        <v>8193.0812442770493</v>
      </c>
    </row>
    <row r="174" spans="1:19" x14ac:dyDescent="0.3">
      <c r="A174">
        <v>1</v>
      </c>
      <c r="B174" t="s">
        <v>230</v>
      </c>
      <c r="C174">
        <v>5</v>
      </c>
      <c r="D174" t="s">
        <v>231</v>
      </c>
      <c r="E174">
        <v>17</v>
      </c>
      <c r="F174" t="s">
        <v>165</v>
      </c>
      <c r="G174" t="s">
        <v>165</v>
      </c>
      <c r="H174">
        <v>3</v>
      </c>
      <c r="I174" t="s">
        <v>232</v>
      </c>
      <c r="J174">
        <v>22</v>
      </c>
      <c r="K174" t="s">
        <v>233</v>
      </c>
      <c r="L174">
        <v>587</v>
      </c>
      <c r="M174" t="s">
        <v>234</v>
      </c>
      <c r="N174">
        <v>3</v>
      </c>
      <c r="O174" t="s">
        <v>235</v>
      </c>
      <c r="P174">
        <v>2023</v>
      </c>
      <c r="Q174">
        <v>9984.5411057708097</v>
      </c>
      <c r="R174">
        <v>10734.4432245475</v>
      </c>
      <c r="S174">
        <v>9273.5937857852496</v>
      </c>
    </row>
    <row r="175" spans="1:19" x14ac:dyDescent="0.3">
      <c r="A175">
        <v>1</v>
      </c>
      <c r="B175" t="s">
        <v>230</v>
      </c>
      <c r="C175">
        <v>5</v>
      </c>
      <c r="D175" t="s">
        <v>231</v>
      </c>
      <c r="E175">
        <v>522</v>
      </c>
      <c r="F175" t="s">
        <v>166</v>
      </c>
      <c r="G175" t="s">
        <v>166</v>
      </c>
      <c r="H175">
        <v>3</v>
      </c>
      <c r="I175" t="s">
        <v>232</v>
      </c>
      <c r="J175">
        <v>22</v>
      </c>
      <c r="K175" t="s">
        <v>233</v>
      </c>
      <c r="L175">
        <v>587</v>
      </c>
      <c r="M175" t="s">
        <v>234</v>
      </c>
      <c r="N175">
        <v>3</v>
      </c>
      <c r="O175" t="s">
        <v>235</v>
      </c>
      <c r="P175">
        <v>2023</v>
      </c>
      <c r="Q175">
        <v>6633.8978598195199</v>
      </c>
      <c r="R175">
        <v>7289.1512161954197</v>
      </c>
      <c r="S175">
        <v>6105.5038996229496</v>
      </c>
    </row>
    <row r="176" spans="1:19" x14ac:dyDescent="0.3">
      <c r="A176">
        <v>1</v>
      </c>
      <c r="B176" t="s">
        <v>230</v>
      </c>
      <c r="C176">
        <v>5</v>
      </c>
      <c r="D176" t="s">
        <v>231</v>
      </c>
      <c r="E176">
        <v>118</v>
      </c>
      <c r="F176" t="s">
        <v>167</v>
      </c>
      <c r="G176" t="s">
        <v>167</v>
      </c>
      <c r="H176">
        <v>3</v>
      </c>
      <c r="I176" t="s">
        <v>232</v>
      </c>
      <c r="J176">
        <v>22</v>
      </c>
      <c r="K176" t="s">
        <v>233</v>
      </c>
      <c r="L176">
        <v>587</v>
      </c>
      <c r="M176" t="s">
        <v>234</v>
      </c>
      <c r="N176">
        <v>3</v>
      </c>
      <c r="O176" t="s">
        <v>235</v>
      </c>
      <c r="P176">
        <v>2023</v>
      </c>
      <c r="Q176">
        <v>12767.169917953701</v>
      </c>
      <c r="R176">
        <v>13902.2945712406</v>
      </c>
      <c r="S176">
        <v>11716.665177662901</v>
      </c>
    </row>
    <row r="177" spans="1:19" x14ac:dyDescent="0.3">
      <c r="A177">
        <v>1</v>
      </c>
      <c r="B177" t="s">
        <v>230</v>
      </c>
      <c r="C177">
        <v>5</v>
      </c>
      <c r="D177" t="s">
        <v>231</v>
      </c>
      <c r="E177">
        <v>93</v>
      </c>
      <c r="F177" t="s">
        <v>168</v>
      </c>
      <c r="G177" t="s">
        <v>168</v>
      </c>
      <c r="H177">
        <v>3</v>
      </c>
      <c r="I177" t="s">
        <v>232</v>
      </c>
      <c r="J177">
        <v>22</v>
      </c>
      <c r="K177" t="s">
        <v>233</v>
      </c>
      <c r="L177">
        <v>587</v>
      </c>
      <c r="M177" t="s">
        <v>234</v>
      </c>
      <c r="N177">
        <v>3</v>
      </c>
      <c r="O177" t="s">
        <v>235</v>
      </c>
      <c r="P177">
        <v>2023</v>
      </c>
      <c r="Q177">
        <v>7909.8290629918301</v>
      </c>
      <c r="R177">
        <v>8476.8296157112709</v>
      </c>
      <c r="S177">
        <v>7431.2373792870203</v>
      </c>
    </row>
    <row r="178" spans="1:19" x14ac:dyDescent="0.3">
      <c r="A178">
        <v>1</v>
      </c>
      <c r="B178" t="s">
        <v>230</v>
      </c>
      <c r="C178">
        <v>5</v>
      </c>
      <c r="D178" t="s">
        <v>231</v>
      </c>
      <c r="E178">
        <v>94</v>
      </c>
      <c r="F178" t="s">
        <v>169</v>
      </c>
      <c r="G178" t="s">
        <v>169</v>
      </c>
      <c r="H178">
        <v>3</v>
      </c>
      <c r="I178" t="s">
        <v>232</v>
      </c>
      <c r="J178">
        <v>22</v>
      </c>
      <c r="K178" t="s">
        <v>233</v>
      </c>
      <c r="L178">
        <v>587</v>
      </c>
      <c r="M178" t="s">
        <v>234</v>
      </c>
      <c r="N178">
        <v>3</v>
      </c>
      <c r="O178" t="s">
        <v>235</v>
      </c>
      <c r="P178">
        <v>2023</v>
      </c>
      <c r="Q178">
        <v>5753.3716125601004</v>
      </c>
      <c r="R178">
        <v>6315.4724775127097</v>
      </c>
      <c r="S178">
        <v>5242.7315991638197</v>
      </c>
    </row>
    <row r="179" spans="1:19" x14ac:dyDescent="0.3">
      <c r="A179">
        <v>1</v>
      </c>
      <c r="B179" t="s">
        <v>230</v>
      </c>
      <c r="C179">
        <v>5</v>
      </c>
      <c r="D179" t="s">
        <v>231</v>
      </c>
      <c r="E179">
        <v>153</v>
      </c>
      <c r="F179" t="s">
        <v>170</v>
      </c>
      <c r="G179" t="s">
        <v>170</v>
      </c>
      <c r="H179">
        <v>3</v>
      </c>
      <c r="I179" t="s">
        <v>232</v>
      </c>
      <c r="J179">
        <v>22</v>
      </c>
      <c r="K179" t="s">
        <v>233</v>
      </c>
      <c r="L179">
        <v>587</v>
      </c>
      <c r="M179" t="s">
        <v>234</v>
      </c>
      <c r="N179">
        <v>3</v>
      </c>
      <c r="O179" t="s">
        <v>235</v>
      </c>
      <c r="P179">
        <v>2023</v>
      </c>
      <c r="Q179">
        <v>12354.9445295353</v>
      </c>
      <c r="R179">
        <v>13543.233713228101</v>
      </c>
      <c r="S179">
        <v>11243.9691252106</v>
      </c>
    </row>
    <row r="180" spans="1:19" x14ac:dyDescent="0.3">
      <c r="A180">
        <v>1</v>
      </c>
      <c r="B180" t="s">
        <v>230</v>
      </c>
      <c r="C180">
        <v>5</v>
      </c>
      <c r="D180" t="s">
        <v>231</v>
      </c>
      <c r="E180">
        <v>155</v>
      </c>
      <c r="F180" t="s">
        <v>249</v>
      </c>
      <c r="G180" t="s">
        <v>179</v>
      </c>
      <c r="H180">
        <v>3</v>
      </c>
      <c r="I180" t="s">
        <v>232</v>
      </c>
      <c r="J180">
        <v>22</v>
      </c>
      <c r="K180" t="s">
        <v>233</v>
      </c>
      <c r="L180">
        <v>587</v>
      </c>
      <c r="M180" t="s">
        <v>234</v>
      </c>
      <c r="N180">
        <v>3</v>
      </c>
      <c r="O180" t="s">
        <v>235</v>
      </c>
      <c r="P180">
        <v>2023</v>
      </c>
      <c r="Q180">
        <v>10195.174782132601</v>
      </c>
      <c r="R180">
        <v>11177.7628553304</v>
      </c>
      <c r="S180">
        <v>9267.9823974292703</v>
      </c>
    </row>
    <row r="181" spans="1:19" x14ac:dyDescent="0.3">
      <c r="A181">
        <v>1</v>
      </c>
      <c r="B181" t="s">
        <v>230</v>
      </c>
      <c r="C181">
        <v>5</v>
      </c>
      <c r="D181" t="s">
        <v>231</v>
      </c>
      <c r="E181">
        <v>8</v>
      </c>
      <c r="F181" t="s">
        <v>247</v>
      </c>
      <c r="G181" t="s">
        <v>171</v>
      </c>
      <c r="H181">
        <v>3</v>
      </c>
      <c r="I181" t="s">
        <v>232</v>
      </c>
      <c r="J181">
        <v>22</v>
      </c>
      <c r="K181" t="s">
        <v>233</v>
      </c>
      <c r="L181">
        <v>587</v>
      </c>
      <c r="M181" t="s">
        <v>234</v>
      </c>
      <c r="N181">
        <v>3</v>
      </c>
      <c r="O181" t="s">
        <v>235</v>
      </c>
      <c r="P181">
        <v>2023</v>
      </c>
      <c r="Q181">
        <v>9823.9052418855008</v>
      </c>
      <c r="R181">
        <v>10607.5440678374</v>
      </c>
      <c r="S181">
        <v>9089.5656424097597</v>
      </c>
    </row>
    <row r="182" spans="1:19" x14ac:dyDescent="0.3">
      <c r="A182">
        <v>1</v>
      </c>
      <c r="B182" t="s">
        <v>230</v>
      </c>
      <c r="C182">
        <v>5</v>
      </c>
      <c r="D182" t="s">
        <v>231</v>
      </c>
      <c r="E182">
        <v>39</v>
      </c>
      <c r="F182" t="s">
        <v>172</v>
      </c>
      <c r="G182" t="s">
        <v>172</v>
      </c>
      <c r="H182">
        <v>3</v>
      </c>
      <c r="I182" t="s">
        <v>232</v>
      </c>
      <c r="J182">
        <v>22</v>
      </c>
      <c r="K182" t="s">
        <v>233</v>
      </c>
      <c r="L182">
        <v>587</v>
      </c>
      <c r="M182" t="s">
        <v>234</v>
      </c>
      <c r="N182">
        <v>3</v>
      </c>
      <c r="O182" t="s">
        <v>235</v>
      </c>
      <c r="P182">
        <v>2023</v>
      </c>
      <c r="Q182">
        <v>3943.39278904096</v>
      </c>
      <c r="R182">
        <v>4290.17727917711</v>
      </c>
      <c r="S182">
        <v>3633.85086276017</v>
      </c>
    </row>
    <row r="183" spans="1:19" x14ac:dyDescent="0.3">
      <c r="A183">
        <v>1</v>
      </c>
      <c r="B183" t="s">
        <v>230</v>
      </c>
      <c r="C183">
        <v>5</v>
      </c>
      <c r="D183" t="s">
        <v>231</v>
      </c>
      <c r="E183">
        <v>18</v>
      </c>
      <c r="F183" t="s">
        <v>174</v>
      </c>
      <c r="G183" t="s">
        <v>174</v>
      </c>
      <c r="H183">
        <v>3</v>
      </c>
      <c r="I183" t="s">
        <v>232</v>
      </c>
      <c r="J183">
        <v>22</v>
      </c>
      <c r="K183" t="s">
        <v>233</v>
      </c>
      <c r="L183">
        <v>587</v>
      </c>
      <c r="M183" t="s">
        <v>234</v>
      </c>
      <c r="N183">
        <v>3</v>
      </c>
      <c r="O183" t="s">
        <v>235</v>
      </c>
      <c r="P183">
        <v>2023</v>
      </c>
      <c r="Q183">
        <v>8133.9203794437199</v>
      </c>
      <c r="R183">
        <v>8920.1293397011905</v>
      </c>
      <c r="S183">
        <v>7434.9655430162602</v>
      </c>
    </row>
    <row r="184" spans="1:19" x14ac:dyDescent="0.3">
      <c r="A184">
        <v>1</v>
      </c>
      <c r="B184" t="s">
        <v>230</v>
      </c>
      <c r="C184">
        <v>5</v>
      </c>
      <c r="D184" t="s">
        <v>231</v>
      </c>
      <c r="E184">
        <v>19</v>
      </c>
      <c r="F184" t="s">
        <v>175</v>
      </c>
      <c r="G184" t="s">
        <v>175</v>
      </c>
      <c r="H184">
        <v>3</v>
      </c>
      <c r="I184" t="s">
        <v>232</v>
      </c>
      <c r="J184">
        <v>22</v>
      </c>
      <c r="K184" t="s">
        <v>233</v>
      </c>
      <c r="L184">
        <v>587</v>
      </c>
      <c r="M184" t="s">
        <v>234</v>
      </c>
      <c r="N184">
        <v>3</v>
      </c>
      <c r="O184" t="s">
        <v>235</v>
      </c>
      <c r="P184">
        <v>2023</v>
      </c>
      <c r="Q184">
        <v>2623.5490386437</v>
      </c>
      <c r="R184">
        <v>2899.2775515346102</v>
      </c>
      <c r="S184">
        <v>2374.82226256594</v>
      </c>
    </row>
    <row r="185" spans="1:19" x14ac:dyDescent="0.3">
      <c r="A185">
        <v>1</v>
      </c>
      <c r="B185" t="s">
        <v>230</v>
      </c>
      <c r="C185">
        <v>5</v>
      </c>
      <c r="D185" t="s">
        <v>231</v>
      </c>
      <c r="E185">
        <v>218</v>
      </c>
      <c r="F185" t="s">
        <v>176</v>
      </c>
      <c r="G185" t="s">
        <v>176</v>
      </c>
      <c r="H185">
        <v>3</v>
      </c>
      <c r="I185" t="s">
        <v>232</v>
      </c>
      <c r="J185">
        <v>22</v>
      </c>
      <c r="K185" t="s">
        <v>233</v>
      </c>
      <c r="L185">
        <v>587</v>
      </c>
      <c r="M185" t="s">
        <v>234</v>
      </c>
      <c r="N185">
        <v>3</v>
      </c>
      <c r="O185" t="s">
        <v>235</v>
      </c>
      <c r="P185">
        <v>2023</v>
      </c>
      <c r="Q185">
        <v>2427.31461785499</v>
      </c>
      <c r="R185">
        <v>2660.5905515539698</v>
      </c>
      <c r="S185">
        <v>2198.48938549077</v>
      </c>
    </row>
    <row r="186" spans="1:19" x14ac:dyDescent="0.3">
      <c r="A186">
        <v>1</v>
      </c>
      <c r="B186" t="s">
        <v>230</v>
      </c>
      <c r="C186">
        <v>5</v>
      </c>
      <c r="D186" t="s">
        <v>231</v>
      </c>
      <c r="E186">
        <v>413</v>
      </c>
      <c r="F186" t="s">
        <v>239</v>
      </c>
      <c r="G186" t="s">
        <v>239</v>
      </c>
      <c r="H186">
        <v>3</v>
      </c>
      <c r="I186" t="s">
        <v>232</v>
      </c>
      <c r="J186">
        <v>22</v>
      </c>
      <c r="K186" t="s">
        <v>233</v>
      </c>
      <c r="L186">
        <v>587</v>
      </c>
      <c r="M186" t="s">
        <v>234</v>
      </c>
      <c r="N186">
        <v>3</v>
      </c>
      <c r="O186" t="s">
        <v>235</v>
      </c>
      <c r="P186">
        <v>2023</v>
      </c>
      <c r="Q186">
        <v>17736.8420951144</v>
      </c>
      <c r="R186">
        <v>19123.588563342499</v>
      </c>
      <c r="S186">
        <v>16171.2902488499</v>
      </c>
    </row>
    <row r="187" spans="1:19" x14ac:dyDescent="0.3">
      <c r="A187">
        <v>1</v>
      </c>
      <c r="B187" t="s">
        <v>230</v>
      </c>
      <c r="C187">
        <v>5</v>
      </c>
      <c r="D187" t="s">
        <v>231</v>
      </c>
      <c r="E187">
        <v>29</v>
      </c>
      <c r="F187" t="s">
        <v>246</v>
      </c>
      <c r="G187" t="s">
        <v>246</v>
      </c>
      <c r="H187">
        <v>3</v>
      </c>
      <c r="I187" t="s">
        <v>232</v>
      </c>
      <c r="J187">
        <v>22</v>
      </c>
      <c r="K187" t="s">
        <v>233</v>
      </c>
      <c r="L187">
        <v>587</v>
      </c>
      <c r="M187" t="s">
        <v>234</v>
      </c>
      <c r="N187">
        <v>3</v>
      </c>
      <c r="O187" t="s">
        <v>235</v>
      </c>
      <c r="P187">
        <v>2023</v>
      </c>
      <c r="Q187">
        <v>11826.826419752</v>
      </c>
      <c r="R187">
        <v>12704.896962835601</v>
      </c>
      <c r="S187">
        <v>10896.9842822555</v>
      </c>
    </row>
    <row r="188" spans="1:19" x14ac:dyDescent="0.3">
      <c r="A188">
        <v>1</v>
      </c>
      <c r="B188" t="s">
        <v>230</v>
      </c>
      <c r="C188">
        <v>5</v>
      </c>
      <c r="D188" t="s">
        <v>231</v>
      </c>
      <c r="E188">
        <v>119</v>
      </c>
      <c r="F188" t="s">
        <v>177</v>
      </c>
      <c r="G188" t="s">
        <v>177</v>
      </c>
      <c r="H188">
        <v>3</v>
      </c>
      <c r="I188" t="s">
        <v>232</v>
      </c>
      <c r="J188">
        <v>22</v>
      </c>
      <c r="K188" t="s">
        <v>233</v>
      </c>
      <c r="L188">
        <v>587</v>
      </c>
      <c r="M188" t="s">
        <v>234</v>
      </c>
      <c r="N188">
        <v>3</v>
      </c>
      <c r="O188" t="s">
        <v>235</v>
      </c>
      <c r="P188">
        <v>2023</v>
      </c>
      <c r="Q188">
        <v>20751.3602413316</v>
      </c>
      <c r="R188">
        <v>21959.5683637775</v>
      </c>
      <c r="S188">
        <v>19388.648785662201</v>
      </c>
    </row>
    <row r="189" spans="1:19" x14ac:dyDescent="0.3">
      <c r="A189">
        <v>1</v>
      </c>
      <c r="B189" t="s">
        <v>230</v>
      </c>
      <c r="C189">
        <v>5</v>
      </c>
      <c r="D189" t="s">
        <v>231</v>
      </c>
      <c r="E189">
        <v>154</v>
      </c>
      <c r="F189" t="s">
        <v>178</v>
      </c>
      <c r="G189" t="s">
        <v>178</v>
      </c>
      <c r="H189">
        <v>3</v>
      </c>
      <c r="I189" t="s">
        <v>232</v>
      </c>
      <c r="J189">
        <v>22</v>
      </c>
      <c r="K189" t="s">
        <v>233</v>
      </c>
      <c r="L189">
        <v>587</v>
      </c>
      <c r="M189" t="s">
        <v>234</v>
      </c>
      <c r="N189">
        <v>3</v>
      </c>
      <c r="O189" t="s">
        <v>235</v>
      </c>
      <c r="P189">
        <v>2023</v>
      </c>
      <c r="Q189">
        <v>12362.0760487923</v>
      </c>
      <c r="R189">
        <v>13419.730953894899</v>
      </c>
      <c r="S189">
        <v>11362.3143779197</v>
      </c>
    </row>
    <row r="190" spans="1:19" x14ac:dyDescent="0.3">
      <c r="A190">
        <v>1</v>
      </c>
      <c r="B190" t="s">
        <v>230</v>
      </c>
      <c r="C190">
        <v>5</v>
      </c>
      <c r="D190" t="s">
        <v>231</v>
      </c>
      <c r="E190">
        <v>40</v>
      </c>
      <c r="F190" t="s">
        <v>180</v>
      </c>
      <c r="G190" t="s">
        <v>180</v>
      </c>
      <c r="H190">
        <v>3</v>
      </c>
      <c r="I190" t="s">
        <v>232</v>
      </c>
      <c r="J190">
        <v>22</v>
      </c>
      <c r="K190" t="s">
        <v>233</v>
      </c>
      <c r="L190">
        <v>587</v>
      </c>
      <c r="M190" t="s">
        <v>234</v>
      </c>
      <c r="N190">
        <v>3</v>
      </c>
      <c r="O190" t="s">
        <v>235</v>
      </c>
      <c r="P190">
        <v>2023</v>
      </c>
      <c r="Q190">
        <v>4273.1723257516196</v>
      </c>
      <c r="R190">
        <v>4589.7115110313498</v>
      </c>
      <c r="S190">
        <v>3955.0365240573101</v>
      </c>
    </row>
    <row r="191" spans="1:19" x14ac:dyDescent="0.3">
      <c r="A191">
        <v>1</v>
      </c>
      <c r="B191" t="s">
        <v>230</v>
      </c>
      <c r="C191">
        <v>5</v>
      </c>
      <c r="D191" t="s">
        <v>231</v>
      </c>
      <c r="E191">
        <v>416</v>
      </c>
      <c r="F191" t="s">
        <v>252</v>
      </c>
      <c r="G191" t="s">
        <v>252</v>
      </c>
      <c r="H191">
        <v>3</v>
      </c>
      <c r="I191" t="s">
        <v>232</v>
      </c>
      <c r="J191">
        <v>22</v>
      </c>
      <c r="K191" t="s">
        <v>233</v>
      </c>
      <c r="L191">
        <v>587</v>
      </c>
      <c r="M191" t="s">
        <v>234</v>
      </c>
      <c r="N191">
        <v>3</v>
      </c>
      <c r="O191" t="s">
        <v>235</v>
      </c>
      <c r="P191">
        <v>2023</v>
      </c>
      <c r="Q191">
        <v>10593.025050398501</v>
      </c>
      <c r="R191">
        <v>11417.067409544399</v>
      </c>
      <c r="S191">
        <v>9712.2730951085705</v>
      </c>
    </row>
    <row r="192" spans="1:19" x14ac:dyDescent="0.3">
      <c r="A192">
        <v>1</v>
      </c>
      <c r="B192" t="s">
        <v>230</v>
      </c>
      <c r="C192">
        <v>5</v>
      </c>
      <c r="D192" t="s">
        <v>231</v>
      </c>
      <c r="E192">
        <v>190</v>
      </c>
      <c r="F192" t="s">
        <v>181</v>
      </c>
      <c r="G192" t="s">
        <v>181</v>
      </c>
      <c r="H192">
        <v>3</v>
      </c>
      <c r="I192" t="s">
        <v>232</v>
      </c>
      <c r="J192">
        <v>22</v>
      </c>
      <c r="K192" t="s">
        <v>233</v>
      </c>
      <c r="L192">
        <v>587</v>
      </c>
      <c r="M192" t="s">
        <v>234</v>
      </c>
      <c r="N192">
        <v>3</v>
      </c>
      <c r="O192" t="s">
        <v>235</v>
      </c>
      <c r="P192">
        <v>2023</v>
      </c>
      <c r="Q192">
        <v>1901.67718396597</v>
      </c>
      <c r="R192">
        <v>2076.8916041117</v>
      </c>
      <c r="S192">
        <v>1723.7381495848799</v>
      </c>
    </row>
    <row r="193" spans="1:19" x14ac:dyDescent="0.3">
      <c r="A193">
        <v>1</v>
      </c>
      <c r="B193" t="s">
        <v>230</v>
      </c>
      <c r="C193">
        <v>5</v>
      </c>
      <c r="D193" t="s">
        <v>231</v>
      </c>
      <c r="E193">
        <v>63</v>
      </c>
      <c r="F193" t="s">
        <v>182</v>
      </c>
      <c r="G193" t="s">
        <v>182</v>
      </c>
      <c r="H193">
        <v>3</v>
      </c>
      <c r="I193" t="s">
        <v>232</v>
      </c>
      <c r="J193">
        <v>22</v>
      </c>
      <c r="K193" t="s">
        <v>233</v>
      </c>
      <c r="L193">
        <v>587</v>
      </c>
      <c r="M193" t="s">
        <v>234</v>
      </c>
      <c r="N193">
        <v>3</v>
      </c>
      <c r="O193" t="s">
        <v>235</v>
      </c>
      <c r="P193">
        <v>2023</v>
      </c>
      <c r="Q193">
        <v>5082.8707105359899</v>
      </c>
      <c r="R193">
        <v>5683.5576139817103</v>
      </c>
      <c r="S193">
        <v>4603.1230483216004</v>
      </c>
    </row>
    <row r="194" spans="1:19" x14ac:dyDescent="0.3">
      <c r="A194">
        <v>1</v>
      </c>
      <c r="B194" t="s">
        <v>230</v>
      </c>
      <c r="C194">
        <v>5</v>
      </c>
      <c r="D194" t="s">
        <v>231</v>
      </c>
      <c r="E194">
        <v>156</v>
      </c>
      <c r="F194" t="s">
        <v>183</v>
      </c>
      <c r="G194" t="s">
        <v>183</v>
      </c>
      <c r="H194">
        <v>3</v>
      </c>
      <c r="I194" t="s">
        <v>232</v>
      </c>
      <c r="J194">
        <v>22</v>
      </c>
      <c r="K194" t="s">
        <v>233</v>
      </c>
      <c r="L194">
        <v>587</v>
      </c>
      <c r="M194" t="s">
        <v>234</v>
      </c>
      <c r="N194">
        <v>3</v>
      </c>
      <c r="O194" t="s">
        <v>235</v>
      </c>
      <c r="P194">
        <v>2023</v>
      </c>
      <c r="Q194">
        <v>20563.104105155799</v>
      </c>
      <c r="R194">
        <v>22535.403563809701</v>
      </c>
      <c r="S194">
        <v>18529.4540274301</v>
      </c>
    </row>
    <row r="195" spans="1:19" x14ac:dyDescent="0.3">
      <c r="A195">
        <v>1</v>
      </c>
      <c r="B195" t="s">
        <v>230</v>
      </c>
      <c r="C195">
        <v>5</v>
      </c>
      <c r="D195" t="s">
        <v>231</v>
      </c>
      <c r="E195">
        <v>95</v>
      </c>
      <c r="F195" t="s">
        <v>184</v>
      </c>
      <c r="G195" t="s">
        <v>184</v>
      </c>
      <c r="H195">
        <v>3</v>
      </c>
      <c r="I195" t="s">
        <v>232</v>
      </c>
      <c r="J195">
        <v>22</v>
      </c>
      <c r="K195" t="s">
        <v>233</v>
      </c>
      <c r="L195">
        <v>587</v>
      </c>
      <c r="M195" t="s">
        <v>234</v>
      </c>
      <c r="N195">
        <v>3</v>
      </c>
      <c r="O195" t="s">
        <v>235</v>
      </c>
      <c r="P195">
        <v>2023</v>
      </c>
      <c r="Q195">
        <v>8274.0422966109509</v>
      </c>
      <c r="R195">
        <v>8946.8634843376003</v>
      </c>
      <c r="S195">
        <v>7518.41395263102</v>
      </c>
    </row>
    <row r="196" spans="1:19" x14ac:dyDescent="0.3">
      <c r="A196">
        <v>1</v>
      </c>
      <c r="B196" t="s">
        <v>230</v>
      </c>
      <c r="C196">
        <v>5</v>
      </c>
      <c r="D196" t="s">
        <v>231</v>
      </c>
      <c r="E196">
        <v>189</v>
      </c>
      <c r="F196" t="s">
        <v>241</v>
      </c>
      <c r="G196" t="s">
        <v>173</v>
      </c>
      <c r="H196">
        <v>3</v>
      </c>
      <c r="I196" t="s">
        <v>232</v>
      </c>
      <c r="J196">
        <v>22</v>
      </c>
      <c r="K196" t="s">
        <v>233</v>
      </c>
      <c r="L196">
        <v>587</v>
      </c>
      <c r="M196" t="s">
        <v>234</v>
      </c>
      <c r="N196">
        <v>3</v>
      </c>
      <c r="O196" t="s">
        <v>235</v>
      </c>
      <c r="P196">
        <v>2023</v>
      </c>
      <c r="Q196">
        <v>1649.4885311988401</v>
      </c>
      <c r="R196">
        <v>1787.43736600734</v>
      </c>
      <c r="S196">
        <v>1509.0061308423999</v>
      </c>
    </row>
    <row r="197" spans="1:19" x14ac:dyDescent="0.3">
      <c r="A197">
        <v>1</v>
      </c>
      <c r="B197" t="s">
        <v>230</v>
      </c>
      <c r="C197">
        <v>5</v>
      </c>
      <c r="D197" t="s">
        <v>231</v>
      </c>
      <c r="E197">
        <v>102</v>
      </c>
      <c r="F197" t="s">
        <v>245</v>
      </c>
      <c r="G197" t="s">
        <v>185</v>
      </c>
      <c r="H197">
        <v>3</v>
      </c>
      <c r="I197" t="s">
        <v>232</v>
      </c>
      <c r="J197">
        <v>22</v>
      </c>
      <c r="K197" t="s">
        <v>233</v>
      </c>
      <c r="L197">
        <v>587</v>
      </c>
      <c r="M197" t="s">
        <v>234</v>
      </c>
      <c r="N197">
        <v>3</v>
      </c>
      <c r="O197" t="s">
        <v>235</v>
      </c>
      <c r="P197">
        <v>2023</v>
      </c>
      <c r="Q197">
        <v>12071.9286187168</v>
      </c>
      <c r="R197">
        <v>12848.451454263501</v>
      </c>
      <c r="S197">
        <v>11329.858502989</v>
      </c>
    </row>
    <row r="198" spans="1:19" x14ac:dyDescent="0.3">
      <c r="A198">
        <v>1</v>
      </c>
      <c r="B198" t="s">
        <v>230</v>
      </c>
      <c r="C198">
        <v>5</v>
      </c>
      <c r="D198" t="s">
        <v>231</v>
      </c>
      <c r="E198">
        <v>422</v>
      </c>
      <c r="F198" t="s">
        <v>243</v>
      </c>
      <c r="G198" t="s">
        <v>243</v>
      </c>
      <c r="H198">
        <v>3</v>
      </c>
      <c r="I198" t="s">
        <v>232</v>
      </c>
      <c r="J198">
        <v>22</v>
      </c>
      <c r="K198" t="s">
        <v>233</v>
      </c>
      <c r="L198">
        <v>587</v>
      </c>
      <c r="M198" t="s">
        <v>234</v>
      </c>
      <c r="N198">
        <v>3</v>
      </c>
      <c r="O198" t="s">
        <v>235</v>
      </c>
      <c r="P198">
        <v>2023</v>
      </c>
      <c r="Q198">
        <v>14281.033791517</v>
      </c>
      <c r="R198">
        <v>15723.023107246499</v>
      </c>
      <c r="S198">
        <v>12984.984125188599</v>
      </c>
    </row>
    <row r="199" spans="1:19" x14ac:dyDescent="0.3">
      <c r="A199">
        <v>1</v>
      </c>
      <c r="B199" t="s">
        <v>230</v>
      </c>
      <c r="C199">
        <v>5</v>
      </c>
      <c r="D199" t="s">
        <v>231</v>
      </c>
      <c r="E199">
        <v>99</v>
      </c>
      <c r="F199" t="s">
        <v>186</v>
      </c>
      <c r="G199" t="s">
        <v>186</v>
      </c>
      <c r="H199">
        <v>3</v>
      </c>
      <c r="I199" t="s">
        <v>232</v>
      </c>
      <c r="J199">
        <v>22</v>
      </c>
      <c r="K199" t="s">
        <v>233</v>
      </c>
      <c r="L199">
        <v>587</v>
      </c>
      <c r="M199" t="s">
        <v>234</v>
      </c>
      <c r="N199">
        <v>3</v>
      </c>
      <c r="O199" t="s">
        <v>235</v>
      </c>
      <c r="P199">
        <v>2023</v>
      </c>
      <c r="Q199">
        <v>5257.0719576210804</v>
      </c>
      <c r="R199">
        <v>5635.1627096751199</v>
      </c>
      <c r="S199">
        <v>4818.9408575307598</v>
      </c>
    </row>
    <row r="200" spans="1:19" x14ac:dyDescent="0.3">
      <c r="A200">
        <v>1</v>
      </c>
      <c r="B200" t="s">
        <v>230</v>
      </c>
      <c r="C200">
        <v>5</v>
      </c>
      <c r="D200" t="s">
        <v>231</v>
      </c>
      <c r="E200">
        <v>41</v>
      </c>
      <c r="F200" t="s">
        <v>187</v>
      </c>
      <c r="G200" t="s">
        <v>187</v>
      </c>
      <c r="H200">
        <v>3</v>
      </c>
      <c r="I200" t="s">
        <v>232</v>
      </c>
      <c r="J200">
        <v>22</v>
      </c>
      <c r="K200" t="s">
        <v>233</v>
      </c>
      <c r="L200">
        <v>587</v>
      </c>
      <c r="M200" t="s">
        <v>234</v>
      </c>
      <c r="N200">
        <v>3</v>
      </c>
      <c r="O200" t="s">
        <v>235</v>
      </c>
      <c r="P200">
        <v>2023</v>
      </c>
      <c r="Q200">
        <v>4362.0068902783396</v>
      </c>
      <c r="R200">
        <v>4804.9653820183803</v>
      </c>
      <c r="S200">
        <v>4043.4172003417202</v>
      </c>
    </row>
    <row r="201" spans="1:19" x14ac:dyDescent="0.3">
      <c r="A201">
        <v>1</v>
      </c>
      <c r="B201" t="s">
        <v>230</v>
      </c>
      <c r="C201">
        <v>5</v>
      </c>
      <c r="D201" t="s">
        <v>231</v>
      </c>
      <c r="E201">
        <v>30</v>
      </c>
      <c r="F201" t="s">
        <v>188</v>
      </c>
      <c r="G201" t="s">
        <v>188</v>
      </c>
      <c r="H201">
        <v>3</v>
      </c>
      <c r="I201" t="s">
        <v>232</v>
      </c>
      <c r="J201">
        <v>22</v>
      </c>
      <c r="K201" t="s">
        <v>233</v>
      </c>
      <c r="L201">
        <v>587</v>
      </c>
      <c r="M201" t="s">
        <v>234</v>
      </c>
      <c r="N201">
        <v>3</v>
      </c>
      <c r="O201" t="s">
        <v>235</v>
      </c>
      <c r="P201">
        <v>2023</v>
      </c>
      <c r="Q201">
        <v>6997.62468258837</v>
      </c>
      <c r="R201">
        <v>7661.3213295939204</v>
      </c>
      <c r="S201">
        <v>6390.6457537573697</v>
      </c>
    </row>
    <row r="202" spans="1:19" x14ac:dyDescent="0.3">
      <c r="A202">
        <v>1</v>
      </c>
      <c r="B202" t="s">
        <v>230</v>
      </c>
      <c r="C202">
        <v>5</v>
      </c>
      <c r="D202" t="s">
        <v>231</v>
      </c>
      <c r="E202">
        <v>133</v>
      </c>
      <c r="F202" t="s">
        <v>189</v>
      </c>
      <c r="G202" t="s">
        <v>189</v>
      </c>
      <c r="H202">
        <v>3</v>
      </c>
      <c r="I202" t="s">
        <v>232</v>
      </c>
      <c r="J202">
        <v>22</v>
      </c>
      <c r="K202" t="s">
        <v>233</v>
      </c>
      <c r="L202">
        <v>587</v>
      </c>
      <c r="M202" t="s">
        <v>234</v>
      </c>
      <c r="N202">
        <v>3</v>
      </c>
      <c r="O202" t="s">
        <v>235</v>
      </c>
      <c r="P202">
        <v>2023</v>
      </c>
      <c r="Q202">
        <v>8540.9448125131694</v>
      </c>
      <c r="R202">
        <v>9279.2860331494503</v>
      </c>
      <c r="S202">
        <v>7828.4065890729698</v>
      </c>
    </row>
    <row r="203" spans="1:19" x14ac:dyDescent="0.3">
      <c r="A203">
        <v>1</v>
      </c>
      <c r="B203" t="s">
        <v>230</v>
      </c>
      <c r="C203">
        <v>5</v>
      </c>
      <c r="D203" t="s">
        <v>231</v>
      </c>
      <c r="E203">
        <v>20</v>
      </c>
      <c r="F203" t="s">
        <v>190</v>
      </c>
      <c r="G203" t="s">
        <v>190</v>
      </c>
      <c r="H203">
        <v>3</v>
      </c>
      <c r="I203" t="s">
        <v>232</v>
      </c>
      <c r="J203">
        <v>22</v>
      </c>
      <c r="K203" t="s">
        <v>233</v>
      </c>
      <c r="L203">
        <v>587</v>
      </c>
      <c r="M203" t="s">
        <v>234</v>
      </c>
      <c r="N203">
        <v>3</v>
      </c>
      <c r="O203" t="s">
        <v>235</v>
      </c>
      <c r="P203">
        <v>2023</v>
      </c>
      <c r="Q203">
        <v>4220.1570748599997</v>
      </c>
      <c r="R203">
        <v>4603.9163588510901</v>
      </c>
      <c r="S203">
        <v>3872.40216308865</v>
      </c>
    </row>
    <row r="204" spans="1:19" x14ac:dyDescent="0.3">
      <c r="A204">
        <v>1</v>
      </c>
      <c r="B204" t="s">
        <v>230</v>
      </c>
      <c r="C204">
        <v>5</v>
      </c>
      <c r="D204" t="s">
        <v>231</v>
      </c>
      <c r="E204">
        <v>157</v>
      </c>
      <c r="F204" t="s">
        <v>191</v>
      </c>
      <c r="G204" t="s">
        <v>191</v>
      </c>
      <c r="H204">
        <v>3</v>
      </c>
      <c r="I204" t="s">
        <v>232</v>
      </c>
      <c r="J204">
        <v>22</v>
      </c>
      <c r="K204" t="s">
        <v>233</v>
      </c>
      <c r="L204">
        <v>587</v>
      </c>
      <c r="M204" t="s">
        <v>234</v>
      </c>
      <c r="N204">
        <v>3</v>
      </c>
      <c r="O204" t="s">
        <v>235</v>
      </c>
      <c r="P204">
        <v>2023</v>
      </c>
      <c r="Q204">
        <v>4452.5657087511599</v>
      </c>
      <c r="R204">
        <v>4881.2508612995598</v>
      </c>
      <c r="S204">
        <v>3975.5675590170399</v>
      </c>
    </row>
    <row r="205" spans="1:19" x14ac:dyDescent="0.3">
      <c r="A205">
        <v>1</v>
      </c>
      <c r="B205" t="s">
        <v>230</v>
      </c>
      <c r="C205">
        <v>5</v>
      </c>
      <c r="D205" t="s">
        <v>231</v>
      </c>
      <c r="E205">
        <v>191</v>
      </c>
      <c r="F205" t="s">
        <v>192</v>
      </c>
      <c r="G205" t="s">
        <v>192</v>
      </c>
      <c r="H205">
        <v>3</v>
      </c>
      <c r="I205" t="s">
        <v>232</v>
      </c>
      <c r="J205">
        <v>22</v>
      </c>
      <c r="K205" t="s">
        <v>233</v>
      </c>
      <c r="L205">
        <v>587</v>
      </c>
      <c r="M205" t="s">
        <v>234</v>
      </c>
      <c r="N205">
        <v>3</v>
      </c>
      <c r="O205" t="s">
        <v>235</v>
      </c>
      <c r="P205">
        <v>2023</v>
      </c>
      <c r="Q205">
        <v>2500.6528730721402</v>
      </c>
      <c r="R205">
        <v>2727.8887527740599</v>
      </c>
      <c r="S205">
        <v>2276.7447666683202</v>
      </c>
    </row>
    <row r="206" spans="1:19" x14ac:dyDescent="0.3">
      <c r="A206">
        <v>1</v>
      </c>
      <c r="B206" t="s">
        <v>230</v>
      </c>
      <c r="C206">
        <v>5</v>
      </c>
      <c r="D206" t="s">
        <v>231</v>
      </c>
      <c r="E206">
        <v>198</v>
      </c>
      <c r="F206" t="s">
        <v>193</v>
      </c>
      <c r="G206" t="s">
        <v>193</v>
      </c>
      <c r="H206">
        <v>3</v>
      </c>
      <c r="I206" t="s">
        <v>232</v>
      </c>
      <c r="J206">
        <v>22</v>
      </c>
      <c r="K206" t="s">
        <v>233</v>
      </c>
      <c r="L206">
        <v>587</v>
      </c>
      <c r="M206" t="s">
        <v>234</v>
      </c>
      <c r="N206">
        <v>3</v>
      </c>
      <c r="O206" t="s">
        <v>235</v>
      </c>
      <c r="P206">
        <v>2023</v>
      </c>
      <c r="Q206">
        <v>2611.0335377113402</v>
      </c>
      <c r="R206">
        <v>2857.0120638871099</v>
      </c>
      <c r="S206">
        <v>2384.7868152578499</v>
      </c>
    </row>
  </sheetData>
  <autoFilter ref="A1:S206" xr:uid="{5BFA3F75-E881-4EF8-9CE4-0D24676BE329}">
    <sortState xmlns:xlrd2="http://schemas.microsoft.com/office/spreadsheetml/2017/richdata2" ref="A2:S206">
      <sortCondition ref="G1:G2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AEBD-6BCA-4ED5-8997-8608D8386315}">
  <dimension ref="A1:Y405"/>
  <sheetViews>
    <sheetView workbookViewId="0"/>
  </sheetViews>
  <sheetFormatPr defaultRowHeight="14.4" x14ac:dyDescent="0.3"/>
  <cols>
    <col min="4" max="4" width="35.5546875" customWidth="1"/>
    <col min="6" max="6" width="11.21875" bestFit="1" customWidth="1"/>
    <col min="10" max="10" width="24.6640625" bestFit="1" customWidth="1"/>
    <col min="11" max="11" width="12.33203125" bestFit="1" customWidth="1"/>
    <col min="12" max="12" width="12.21875" bestFit="1" customWidth="1"/>
    <col min="13" max="13" width="32.77734375" customWidth="1"/>
    <col min="18" max="18" width="56.5546875" customWidth="1"/>
    <col min="21" max="21" width="6.6640625" bestFit="1" customWidth="1"/>
    <col min="22" max="22" width="14.77734375" bestFit="1" customWidth="1"/>
    <col min="23" max="23" width="19.5546875" customWidth="1"/>
    <col min="24" max="24" width="21.21875" customWidth="1"/>
  </cols>
  <sheetData>
    <row r="1" spans="1:25" x14ac:dyDescent="0.3">
      <c r="A1" s="18" t="s">
        <v>258</v>
      </c>
      <c r="B1" s="18" t="s">
        <v>259</v>
      </c>
      <c r="C1" s="19" t="s">
        <v>260</v>
      </c>
      <c r="D1" s="36" t="s">
        <v>908</v>
      </c>
      <c r="E1" s="19" t="s">
        <v>261</v>
      </c>
      <c r="F1" s="20" t="s">
        <v>262</v>
      </c>
      <c r="G1" s="20" t="s">
        <v>263</v>
      </c>
      <c r="H1" s="20" t="s">
        <v>264</v>
      </c>
      <c r="I1" s="21" t="s">
        <v>265</v>
      </c>
      <c r="J1" s="22" t="s">
        <v>266</v>
      </c>
      <c r="K1" s="23" t="s">
        <v>267</v>
      </c>
      <c r="L1" s="23" t="s">
        <v>268</v>
      </c>
      <c r="M1" s="23" t="s">
        <v>269</v>
      </c>
      <c r="Q1" t="s">
        <v>911</v>
      </c>
      <c r="R1" t="s">
        <v>912</v>
      </c>
      <c r="S1" t="s">
        <v>913</v>
      </c>
      <c r="T1" t="s">
        <v>914</v>
      </c>
      <c r="U1" t="s">
        <v>915</v>
      </c>
      <c r="V1" t="s">
        <v>916</v>
      </c>
      <c r="W1">
        <v>2024</v>
      </c>
      <c r="X1">
        <v>2030</v>
      </c>
      <c r="Y1" t="s">
        <v>925</v>
      </c>
    </row>
    <row r="2" spans="1:25" x14ac:dyDescent="0.3">
      <c r="A2" s="24" t="s">
        <v>270</v>
      </c>
      <c r="B2" s="24" t="s">
        <v>271</v>
      </c>
      <c r="C2" t="s">
        <v>3</v>
      </c>
      <c r="D2" t="s">
        <v>3</v>
      </c>
      <c r="E2" s="25" t="s">
        <v>272</v>
      </c>
      <c r="F2" s="26">
        <v>0.37955967000000002</v>
      </c>
      <c r="G2" s="26">
        <v>0.31803738999999998</v>
      </c>
      <c r="H2" s="26">
        <v>0.44444644</v>
      </c>
      <c r="I2" s="27" t="s">
        <v>273</v>
      </c>
      <c r="J2" s="27" t="s">
        <v>274</v>
      </c>
      <c r="K2" s="28">
        <v>0.57773250341415405</v>
      </c>
      <c r="L2" s="28">
        <v>0.46509423851966802</v>
      </c>
      <c r="M2" s="29">
        <v>0.1596070677042</v>
      </c>
      <c r="Q2" t="s">
        <v>917</v>
      </c>
      <c r="R2" t="s">
        <v>917</v>
      </c>
      <c r="S2" s="37">
        <v>3</v>
      </c>
      <c r="T2" t="s">
        <v>918</v>
      </c>
      <c r="U2" t="s">
        <v>919</v>
      </c>
      <c r="V2" s="37">
        <v>70250136</v>
      </c>
      <c r="W2" s="38">
        <v>0.30056452751159668</v>
      </c>
      <c r="X2" s="38">
        <v>0.15780575573444369</v>
      </c>
    </row>
    <row r="3" spans="1:25" x14ac:dyDescent="0.3">
      <c r="A3" s="24" t="s">
        <v>280</v>
      </c>
      <c r="B3" s="24" t="s">
        <v>281</v>
      </c>
      <c r="C3" t="s">
        <v>4</v>
      </c>
      <c r="D3" t="s">
        <v>4</v>
      </c>
      <c r="E3" s="25" t="s">
        <v>282</v>
      </c>
      <c r="F3" s="26">
        <v>0.47361237</v>
      </c>
      <c r="G3" s="26">
        <v>0.46132031000000001</v>
      </c>
      <c r="H3" s="26">
        <v>0.48597532999999998</v>
      </c>
      <c r="I3" s="27" t="s">
        <v>283</v>
      </c>
      <c r="J3" s="27" t="s">
        <v>284</v>
      </c>
      <c r="K3" s="28">
        <v>0.48518428206443698</v>
      </c>
      <c r="L3" s="28">
        <v>0.38384258747100802</v>
      </c>
      <c r="M3" s="29">
        <v>0.107542820274829</v>
      </c>
      <c r="Q3" t="s">
        <v>917</v>
      </c>
      <c r="R3" t="s">
        <v>917</v>
      </c>
      <c r="S3" s="37">
        <v>3</v>
      </c>
      <c r="T3" t="s">
        <v>918</v>
      </c>
      <c r="U3" t="s">
        <v>919</v>
      </c>
      <c r="V3" s="37">
        <v>48921100</v>
      </c>
      <c r="W3" s="38">
        <v>0.17899610102176669</v>
      </c>
      <c r="X3" s="38">
        <v>0.18765148520469671</v>
      </c>
    </row>
    <row r="4" spans="1:25" x14ac:dyDescent="0.3">
      <c r="A4" s="24" t="s">
        <v>456</v>
      </c>
      <c r="B4" s="24" t="s">
        <v>276</v>
      </c>
      <c r="C4" t="s">
        <v>5</v>
      </c>
      <c r="D4" t="s">
        <v>5</v>
      </c>
      <c r="E4" s="25" t="s">
        <v>457</v>
      </c>
      <c r="F4" s="26">
        <v>0.34410548000000002</v>
      </c>
      <c r="G4" s="26">
        <v>0.33866921</v>
      </c>
      <c r="H4" s="26">
        <v>0.34956970999999998</v>
      </c>
      <c r="I4" s="27" t="s">
        <v>407</v>
      </c>
      <c r="J4" s="27" t="s">
        <v>458</v>
      </c>
      <c r="K4" s="28">
        <v>0.51837742328643799</v>
      </c>
      <c r="L4" s="28">
        <v>0.399002164602279</v>
      </c>
      <c r="M4" s="29">
        <v>0.17358428239822299</v>
      </c>
      <c r="Q4" t="s">
        <v>917</v>
      </c>
      <c r="R4" t="s">
        <v>917</v>
      </c>
      <c r="S4" s="37">
        <v>3</v>
      </c>
      <c r="T4" t="s">
        <v>918</v>
      </c>
      <c r="U4" t="s">
        <v>919</v>
      </c>
      <c r="V4" s="37">
        <v>85146072</v>
      </c>
      <c r="W4" s="38">
        <v>0.39468935132026672</v>
      </c>
      <c r="X4" s="38">
        <v>0.2117680907249451</v>
      </c>
    </row>
    <row r="5" spans="1:25" x14ac:dyDescent="0.3">
      <c r="A5" s="24" t="s">
        <v>285</v>
      </c>
      <c r="B5" s="24" t="s">
        <v>281</v>
      </c>
      <c r="C5" t="s">
        <v>7</v>
      </c>
      <c r="D5" t="s">
        <v>7</v>
      </c>
      <c r="E5" s="25" t="s">
        <v>286</v>
      </c>
      <c r="F5" s="26">
        <v>0.36730590000000002</v>
      </c>
      <c r="G5" s="26">
        <v>0.41399397999999998</v>
      </c>
      <c r="H5" s="26">
        <v>0.31916377000000001</v>
      </c>
      <c r="I5" s="27" t="s">
        <v>287</v>
      </c>
      <c r="J5" s="30" t="s">
        <v>288</v>
      </c>
      <c r="K5" s="28">
        <v>0.70797389745712203</v>
      </c>
      <c r="L5" s="28">
        <v>0.61257421970367398</v>
      </c>
      <c r="M5" s="28">
        <v>0.37682920694351202</v>
      </c>
      <c r="Q5" t="s">
        <v>917</v>
      </c>
      <c r="R5" t="s">
        <v>917</v>
      </c>
      <c r="S5" s="37">
        <v>3</v>
      </c>
      <c r="T5" t="s">
        <v>918</v>
      </c>
      <c r="U5" t="s">
        <v>919</v>
      </c>
      <c r="V5" s="37">
        <v>324145888</v>
      </c>
      <c r="W5" s="38">
        <v>0.23210214078426361</v>
      </c>
      <c r="X5" s="38">
        <v>0.41985520720481873</v>
      </c>
    </row>
    <row r="6" spans="1:25" x14ac:dyDescent="0.3">
      <c r="A6" s="24" t="s">
        <v>275</v>
      </c>
      <c r="B6" s="24" t="s">
        <v>276</v>
      </c>
      <c r="C6" t="s">
        <v>8</v>
      </c>
      <c r="D6" t="s">
        <v>8</v>
      </c>
      <c r="E6" s="25" t="s">
        <v>277</v>
      </c>
      <c r="F6" s="26">
        <v>0.34542890999999998</v>
      </c>
      <c r="G6" s="26">
        <v>0.31410879000000003</v>
      </c>
      <c r="H6" s="26">
        <v>0.37451719999999999</v>
      </c>
      <c r="I6" s="27" t="s">
        <v>278</v>
      </c>
      <c r="J6" s="27" t="s">
        <v>279</v>
      </c>
      <c r="K6" s="28">
        <v>0.49009206891059798</v>
      </c>
      <c r="L6" s="28">
        <v>0.26209637522697399</v>
      </c>
      <c r="M6" s="29">
        <v>0.13649408519268</v>
      </c>
      <c r="Q6" t="s">
        <v>917</v>
      </c>
      <c r="R6" t="s">
        <v>917</v>
      </c>
      <c r="S6" s="37">
        <v>3</v>
      </c>
      <c r="T6" t="s">
        <v>918</v>
      </c>
      <c r="U6" t="s">
        <v>919</v>
      </c>
      <c r="V6" s="37">
        <v>82420056</v>
      </c>
      <c r="W6" s="38">
        <v>0.19155691564083099</v>
      </c>
      <c r="X6" s="38">
        <v>0.21478646993637079</v>
      </c>
    </row>
    <row r="7" spans="1:25" x14ac:dyDescent="0.3">
      <c r="A7" s="24" t="s">
        <v>302</v>
      </c>
      <c r="B7" s="24" t="s">
        <v>294</v>
      </c>
      <c r="C7" t="s">
        <v>9</v>
      </c>
      <c r="D7" t="s">
        <v>9</v>
      </c>
      <c r="E7" s="25" t="s">
        <v>303</v>
      </c>
      <c r="F7" s="26">
        <v>0.45622262000000002</v>
      </c>
      <c r="G7" s="26">
        <v>0.44210528999999998</v>
      </c>
      <c r="H7" s="26">
        <v>0.46860047999999999</v>
      </c>
      <c r="I7" s="27" t="s">
        <v>304</v>
      </c>
      <c r="J7" s="30" t="s">
        <v>287</v>
      </c>
      <c r="K7" s="28">
        <v>0.66413545608520497</v>
      </c>
      <c r="L7" s="28">
        <v>0.53119254112243597</v>
      </c>
      <c r="M7" s="29">
        <v>0.25480821728706299</v>
      </c>
      <c r="Q7" t="s">
        <v>917</v>
      </c>
      <c r="R7" t="s">
        <v>917</v>
      </c>
      <c r="S7" s="37">
        <v>3</v>
      </c>
      <c r="T7" t="s">
        <v>918</v>
      </c>
      <c r="U7" t="s">
        <v>919</v>
      </c>
      <c r="V7" s="37">
        <v>15995896</v>
      </c>
      <c r="W7" s="38">
        <v>0.13101665675640109</v>
      </c>
      <c r="X7" s="38">
        <v>0.333251953125</v>
      </c>
    </row>
    <row r="8" spans="1:25" x14ac:dyDescent="0.3">
      <c r="A8" s="24" t="s">
        <v>293</v>
      </c>
      <c r="B8" s="24" t="s">
        <v>294</v>
      </c>
      <c r="C8" t="s">
        <v>10</v>
      </c>
      <c r="D8" t="s">
        <v>10</v>
      </c>
      <c r="E8" s="25" t="s">
        <v>295</v>
      </c>
      <c r="F8" s="26">
        <v>0.50844467000000004</v>
      </c>
      <c r="G8" s="26">
        <v>0.57147323999999999</v>
      </c>
      <c r="H8" s="26">
        <v>0.45054114000000001</v>
      </c>
      <c r="I8" s="27" t="s">
        <v>296</v>
      </c>
      <c r="J8" s="27" t="s">
        <v>297</v>
      </c>
      <c r="K8" s="28">
        <v>0.61383199691772405</v>
      </c>
      <c r="L8" s="28">
        <v>0.44066473841667098</v>
      </c>
      <c r="M8" s="29">
        <v>0.162830635905265</v>
      </c>
      <c r="Q8" t="s">
        <v>917</v>
      </c>
      <c r="R8" t="s">
        <v>917</v>
      </c>
      <c r="S8" s="37">
        <v>3</v>
      </c>
      <c r="T8" t="s">
        <v>918</v>
      </c>
      <c r="U8" t="s">
        <v>919</v>
      </c>
      <c r="V8" s="37">
        <v>19279208</v>
      </c>
      <c r="W8" s="38">
        <v>0.16505324840545649</v>
      </c>
      <c r="X8" s="38">
        <v>0.25671267509460449</v>
      </c>
    </row>
    <row r="9" spans="1:25" x14ac:dyDescent="0.3">
      <c r="A9" s="24" t="s">
        <v>298</v>
      </c>
      <c r="B9" s="24" t="s">
        <v>281</v>
      </c>
      <c r="C9" t="s">
        <v>11</v>
      </c>
      <c r="D9" t="s">
        <v>11</v>
      </c>
      <c r="E9" s="25" t="s">
        <v>299</v>
      </c>
      <c r="F9" s="26">
        <v>0.50704086000000004</v>
      </c>
      <c r="G9" s="26">
        <v>0.51112436999999999</v>
      </c>
      <c r="H9" s="26">
        <v>0.50383942999999998</v>
      </c>
      <c r="I9" s="27" t="s">
        <v>300</v>
      </c>
      <c r="J9" s="27" t="s">
        <v>301</v>
      </c>
      <c r="K9" s="28">
        <v>0.44418495893478299</v>
      </c>
      <c r="L9" s="28">
        <v>0.318002790212631</v>
      </c>
      <c r="M9" s="29">
        <v>0.102147184312343</v>
      </c>
      <c r="Q9" t="s">
        <v>270</v>
      </c>
      <c r="R9" t="s">
        <v>3</v>
      </c>
      <c r="S9" s="37">
        <v>3</v>
      </c>
      <c r="T9" t="s">
        <v>918</v>
      </c>
      <c r="U9" t="s">
        <v>919</v>
      </c>
      <c r="V9" s="37">
        <v>766402.1875</v>
      </c>
      <c r="W9" s="38">
        <v>0.15960706770420069</v>
      </c>
      <c r="X9" s="38">
        <v>0.1831996142864227</v>
      </c>
      <c r="Y9" s="39">
        <f>+X9-W9</f>
        <v>2.3592546582222013E-2</v>
      </c>
    </row>
    <row r="10" spans="1:25" x14ac:dyDescent="0.3">
      <c r="A10" s="24" t="s">
        <v>305</v>
      </c>
      <c r="B10" s="24" t="s">
        <v>306</v>
      </c>
      <c r="C10" t="s">
        <v>12</v>
      </c>
      <c r="D10" t="s">
        <v>12</v>
      </c>
      <c r="E10" s="25" t="s">
        <v>307</v>
      </c>
      <c r="F10" s="26">
        <v>0.34051824000000003</v>
      </c>
      <c r="G10" s="26">
        <v>0.36329149999999999</v>
      </c>
      <c r="H10" s="26">
        <v>0.31826233999999998</v>
      </c>
      <c r="I10" s="27" t="s">
        <v>308</v>
      </c>
      <c r="J10" s="27" t="s">
        <v>309</v>
      </c>
      <c r="K10" s="28">
        <v>0.62795227766036898</v>
      </c>
      <c r="L10" s="28">
        <v>0.51991534233093195</v>
      </c>
      <c r="M10" s="29">
        <v>0.28334492444991999</v>
      </c>
      <c r="Q10" t="s">
        <v>275</v>
      </c>
      <c r="R10" t="s">
        <v>8</v>
      </c>
      <c r="S10" s="37">
        <v>3</v>
      </c>
      <c r="T10" t="s">
        <v>918</v>
      </c>
      <c r="U10" t="s">
        <v>919</v>
      </c>
      <c r="V10" s="37">
        <v>474403.1875</v>
      </c>
      <c r="W10" s="38">
        <v>0.13649408519268039</v>
      </c>
      <c r="X10" s="38">
        <v>0.16322888433933261</v>
      </c>
      <c r="Y10" s="39">
        <f t="shared" ref="Y10:Y73" si="0">+X10-W10</f>
        <v>2.6734799146652222E-2</v>
      </c>
    </row>
    <row r="11" spans="1:25" x14ac:dyDescent="0.3">
      <c r="A11" s="24" t="s">
        <v>310</v>
      </c>
      <c r="B11" s="24" t="s">
        <v>281</v>
      </c>
      <c r="C11" t="s">
        <v>13</v>
      </c>
      <c r="D11" t="s">
        <v>13</v>
      </c>
      <c r="E11" s="25" t="s">
        <v>311</v>
      </c>
      <c r="F11" s="26">
        <v>0.37721261</v>
      </c>
      <c r="G11" s="26">
        <v>0.40785557</v>
      </c>
      <c r="H11" s="26">
        <v>0.34733573000000001</v>
      </c>
      <c r="I11" s="27" t="s">
        <v>312</v>
      </c>
      <c r="J11" s="27" t="s">
        <v>313</v>
      </c>
      <c r="K11" s="28">
        <v>0.69541156291961603</v>
      </c>
      <c r="L11" s="28">
        <v>0.61251521110534601</v>
      </c>
      <c r="M11" s="29">
        <v>0.31397420167922901</v>
      </c>
      <c r="Q11" t="s">
        <v>280</v>
      </c>
      <c r="R11" t="s">
        <v>4</v>
      </c>
      <c r="S11" s="37">
        <v>3</v>
      </c>
      <c r="T11" t="s">
        <v>918</v>
      </c>
      <c r="U11" t="s">
        <v>919</v>
      </c>
      <c r="V11" s="37">
        <v>85705.9375</v>
      </c>
      <c r="W11" s="38">
        <v>0.10754282027482991</v>
      </c>
      <c r="X11" s="38">
        <v>0.1257221847772598</v>
      </c>
      <c r="Y11" s="39">
        <f t="shared" si="0"/>
        <v>1.8179364502429893E-2</v>
      </c>
    </row>
    <row r="12" spans="1:25" x14ac:dyDescent="0.3">
      <c r="A12" s="24" t="s">
        <v>314</v>
      </c>
      <c r="B12" s="24" t="s">
        <v>281</v>
      </c>
      <c r="C12" t="s">
        <v>14</v>
      </c>
      <c r="D12" t="s">
        <v>14</v>
      </c>
      <c r="E12" s="25" t="s">
        <v>315</v>
      </c>
      <c r="F12" s="26">
        <v>0.42041825999999999</v>
      </c>
      <c r="G12" s="26">
        <v>0.40530421999999999</v>
      </c>
      <c r="H12" s="26">
        <v>0.43439779000000001</v>
      </c>
      <c r="I12" s="27" t="s">
        <v>316</v>
      </c>
      <c r="J12" s="27" t="s">
        <v>291</v>
      </c>
      <c r="K12" s="28">
        <v>0.57690876722335804</v>
      </c>
      <c r="L12" s="28">
        <v>0.43712997436523399</v>
      </c>
      <c r="M12" s="29">
        <v>0.148302167654037</v>
      </c>
      <c r="Q12" t="s">
        <v>285</v>
      </c>
      <c r="R12" t="s">
        <v>7</v>
      </c>
      <c r="S12" s="37">
        <v>3</v>
      </c>
      <c r="T12" t="s">
        <v>918</v>
      </c>
      <c r="U12" t="s">
        <v>919</v>
      </c>
      <c r="V12" s="37">
        <v>7284.74072265625</v>
      </c>
      <c r="W12" s="38">
        <v>0.37682920694351202</v>
      </c>
      <c r="X12" s="38">
        <v>0.42159512639045721</v>
      </c>
      <c r="Y12" s="39">
        <f t="shared" si="0"/>
        <v>4.476591944694519E-2</v>
      </c>
    </row>
    <row r="13" spans="1:25" x14ac:dyDescent="0.3">
      <c r="A13" s="24" t="s">
        <v>342</v>
      </c>
      <c r="B13" s="24" t="s">
        <v>294</v>
      </c>
      <c r="C13" t="s">
        <v>15</v>
      </c>
      <c r="D13" t="s">
        <v>15</v>
      </c>
      <c r="E13" s="25" t="s">
        <v>343</v>
      </c>
      <c r="F13" s="26">
        <v>0.46812569999999998</v>
      </c>
      <c r="G13" s="26">
        <v>0.46547452</v>
      </c>
      <c r="H13" s="26">
        <v>0.47050741000000001</v>
      </c>
      <c r="I13" s="27" t="s">
        <v>344</v>
      </c>
      <c r="J13" s="27" t="s">
        <v>345</v>
      </c>
      <c r="K13" s="28">
        <v>0.68526411056518499</v>
      </c>
      <c r="L13" s="28">
        <v>0.55655050277709905</v>
      </c>
      <c r="M13" s="28">
        <v>0.24749425053596499</v>
      </c>
      <c r="Q13" t="s">
        <v>289</v>
      </c>
      <c r="R13" t="s">
        <v>183</v>
      </c>
      <c r="S13" s="37">
        <v>3</v>
      </c>
      <c r="T13" t="s">
        <v>918</v>
      </c>
      <c r="U13" t="s">
        <v>919</v>
      </c>
      <c r="V13" s="37">
        <v>376436.53125</v>
      </c>
      <c r="W13" s="38">
        <v>0.1764409989118576</v>
      </c>
      <c r="X13" s="38">
        <v>0.22513946890830991</v>
      </c>
      <c r="Y13" s="39">
        <f t="shared" si="0"/>
        <v>4.8698469996452304E-2</v>
      </c>
    </row>
    <row r="14" spans="1:25" x14ac:dyDescent="0.3">
      <c r="A14" s="24" t="s">
        <v>338</v>
      </c>
      <c r="B14" s="24" t="s">
        <v>271</v>
      </c>
      <c r="C14" t="s">
        <v>16</v>
      </c>
      <c r="D14" t="s">
        <v>16</v>
      </c>
      <c r="E14" s="25" t="s">
        <v>339</v>
      </c>
      <c r="F14" s="26">
        <v>0.31960893000000001</v>
      </c>
      <c r="G14" s="26">
        <v>0.33140814000000002</v>
      </c>
      <c r="H14" s="26">
        <v>0.29303738000000001</v>
      </c>
      <c r="I14" s="27" t="s">
        <v>340</v>
      </c>
      <c r="J14" s="27" t="s">
        <v>341</v>
      </c>
      <c r="K14" s="28">
        <v>0.46902307868003801</v>
      </c>
      <c r="L14" s="28">
        <v>0.36816838383674599</v>
      </c>
      <c r="M14" s="29">
        <v>0.182648450136184</v>
      </c>
      <c r="Q14" t="s">
        <v>293</v>
      </c>
      <c r="R14" t="s">
        <v>10</v>
      </c>
      <c r="S14" s="37">
        <v>3</v>
      </c>
      <c r="T14" t="s">
        <v>918</v>
      </c>
      <c r="U14" t="s">
        <v>919</v>
      </c>
      <c r="V14" s="37">
        <v>1969649</v>
      </c>
      <c r="W14" s="38">
        <v>0.16283063590526581</v>
      </c>
      <c r="X14" s="38">
        <v>0.1737176924943924</v>
      </c>
      <c r="Y14" s="39">
        <f t="shared" si="0"/>
        <v>1.0887056589126587E-2</v>
      </c>
    </row>
    <row r="15" spans="1:25" x14ac:dyDescent="0.3">
      <c r="A15" s="24" t="s">
        <v>330</v>
      </c>
      <c r="B15" s="24" t="s">
        <v>331</v>
      </c>
      <c r="C15" t="s">
        <v>17</v>
      </c>
      <c r="D15" t="s">
        <v>17</v>
      </c>
      <c r="E15" s="25" t="s">
        <v>332</v>
      </c>
      <c r="F15" s="26">
        <v>0.28281882000000003</v>
      </c>
      <c r="G15" s="26">
        <v>0.22130005</v>
      </c>
      <c r="H15" s="26">
        <v>0.34449816</v>
      </c>
      <c r="I15" s="27" t="s">
        <v>333</v>
      </c>
      <c r="J15" s="27" t="s">
        <v>334</v>
      </c>
      <c r="K15" s="28">
        <v>0.51564139127731301</v>
      </c>
      <c r="L15" s="28">
        <v>0.39203113317489602</v>
      </c>
      <c r="M15" s="28">
        <v>0.15759722888469699</v>
      </c>
      <c r="Q15" t="s">
        <v>298</v>
      </c>
      <c r="R15" t="s">
        <v>11</v>
      </c>
      <c r="S15" s="37">
        <v>3</v>
      </c>
      <c r="T15" t="s">
        <v>918</v>
      </c>
      <c r="U15" t="s">
        <v>919</v>
      </c>
      <c r="V15" s="37">
        <v>91326.8125</v>
      </c>
      <c r="W15" s="38">
        <v>0.1021471843123436</v>
      </c>
      <c r="X15" s="38">
        <v>0.1155618354678154</v>
      </c>
      <c r="Y15" s="39">
        <f t="shared" si="0"/>
        <v>1.3414651155471802E-2</v>
      </c>
    </row>
    <row r="16" spans="1:25" x14ac:dyDescent="0.3">
      <c r="A16" s="24" t="s">
        <v>363</v>
      </c>
      <c r="B16" s="24" t="s">
        <v>294</v>
      </c>
      <c r="C16" t="s">
        <v>18</v>
      </c>
      <c r="D16" t="s">
        <v>18</v>
      </c>
      <c r="E16" s="25" t="s">
        <v>364</v>
      </c>
      <c r="F16" s="26">
        <v>0.49306573999999997</v>
      </c>
      <c r="G16" s="26">
        <v>0.45915464</v>
      </c>
      <c r="H16" s="26">
        <v>0.52397305000000005</v>
      </c>
      <c r="I16" s="27" t="s">
        <v>365</v>
      </c>
      <c r="J16" s="27" t="s">
        <v>356</v>
      </c>
      <c r="K16" s="28">
        <v>0.75866687297821001</v>
      </c>
      <c r="L16" s="28">
        <v>0.66573458909988403</v>
      </c>
      <c r="M16" s="29">
        <v>0.37836894392967202</v>
      </c>
      <c r="Q16" t="s">
        <v>302</v>
      </c>
      <c r="R16" t="s">
        <v>9</v>
      </c>
      <c r="S16" s="37">
        <v>3</v>
      </c>
      <c r="T16" t="s">
        <v>918</v>
      </c>
      <c r="U16" t="s">
        <v>919</v>
      </c>
      <c r="V16" s="37">
        <v>6507.28564453125</v>
      </c>
      <c r="W16" s="38">
        <v>0.2548082172870636</v>
      </c>
      <c r="X16" s="38">
        <v>0.28175312280654907</v>
      </c>
      <c r="Y16" s="39">
        <f t="shared" si="0"/>
        <v>2.6944905519485474E-2</v>
      </c>
    </row>
    <row r="17" spans="1:25" x14ac:dyDescent="0.3">
      <c r="A17" s="24" t="s">
        <v>349</v>
      </c>
      <c r="B17" s="24" t="s">
        <v>281</v>
      </c>
      <c r="C17" t="s">
        <v>19</v>
      </c>
      <c r="D17" t="s">
        <v>19</v>
      </c>
      <c r="E17" s="25" t="s">
        <v>350</v>
      </c>
      <c r="F17" s="26">
        <v>0.53998493999999997</v>
      </c>
      <c r="G17" s="26">
        <v>0.52885287999999997</v>
      </c>
      <c r="H17" s="26">
        <v>0.54939574000000002</v>
      </c>
      <c r="I17" s="27" t="s">
        <v>351</v>
      </c>
      <c r="J17" s="27" t="s">
        <v>352</v>
      </c>
      <c r="K17" s="28">
        <v>0.74592500925063998</v>
      </c>
      <c r="L17" s="28">
        <v>0.537397980690002</v>
      </c>
      <c r="M17" s="29">
        <v>0.121919550001621</v>
      </c>
      <c r="Q17" t="s">
        <v>305</v>
      </c>
      <c r="R17" t="s">
        <v>12</v>
      </c>
      <c r="S17" s="37">
        <v>3</v>
      </c>
      <c r="T17" t="s">
        <v>918</v>
      </c>
      <c r="U17" t="s">
        <v>919</v>
      </c>
      <c r="V17" s="37">
        <v>1485276.375</v>
      </c>
      <c r="W17" s="38">
        <v>0.28334492444992071</v>
      </c>
      <c r="X17" s="38">
        <v>0.28700792789459229</v>
      </c>
      <c r="Y17" s="39">
        <f t="shared" si="0"/>
        <v>3.6630034446715753E-3</v>
      </c>
    </row>
    <row r="18" spans="1:25" x14ac:dyDescent="0.3">
      <c r="A18" s="24" t="s">
        <v>321</v>
      </c>
      <c r="B18" s="24" t="s">
        <v>281</v>
      </c>
      <c r="C18" t="s">
        <v>20</v>
      </c>
      <c r="D18" t="s">
        <v>20</v>
      </c>
      <c r="E18" s="25" t="s">
        <v>322</v>
      </c>
      <c r="F18" s="26">
        <v>0.35070905000000002</v>
      </c>
      <c r="G18" s="26">
        <v>0.37575898000000002</v>
      </c>
      <c r="H18" s="26">
        <v>0.32591387999999999</v>
      </c>
      <c r="I18" s="27" t="s">
        <v>316</v>
      </c>
      <c r="J18" s="27" t="s">
        <v>323</v>
      </c>
      <c r="K18" s="28">
        <v>0.73141914606094305</v>
      </c>
      <c r="L18" s="28">
        <v>0.66941213607787997</v>
      </c>
      <c r="M18" s="29">
        <v>0.42824572324752802</v>
      </c>
      <c r="Q18" t="s">
        <v>310</v>
      </c>
      <c r="R18" t="s">
        <v>13</v>
      </c>
      <c r="S18" s="37">
        <v>3</v>
      </c>
      <c r="T18" t="s">
        <v>918</v>
      </c>
      <c r="U18" t="s">
        <v>919</v>
      </c>
      <c r="V18" s="37">
        <v>681557.6875</v>
      </c>
      <c r="W18" s="38">
        <v>0.31397420167922968</v>
      </c>
      <c r="X18" s="38">
        <v>0.35090956091880798</v>
      </c>
      <c r="Y18" s="39">
        <f t="shared" si="0"/>
        <v>3.6935359239578303E-2</v>
      </c>
    </row>
    <row r="19" spans="1:25" x14ac:dyDescent="0.3">
      <c r="A19" s="24" t="s">
        <v>353</v>
      </c>
      <c r="B19" s="24" t="s">
        <v>294</v>
      </c>
      <c r="C19" t="s">
        <v>21</v>
      </c>
      <c r="D19" t="s">
        <v>21</v>
      </c>
      <c r="E19" s="25" t="s">
        <v>354</v>
      </c>
      <c r="F19" s="26">
        <v>0.37030411000000002</v>
      </c>
      <c r="G19" s="26">
        <v>0.36937997</v>
      </c>
      <c r="H19" s="26">
        <v>0.37117913000000002</v>
      </c>
      <c r="I19" s="27" t="s">
        <v>355</v>
      </c>
      <c r="J19" s="27" t="s">
        <v>356</v>
      </c>
      <c r="K19" s="28">
        <v>0.60574972629547097</v>
      </c>
      <c r="L19" s="28">
        <v>0.45353037118911699</v>
      </c>
      <c r="M19" s="29">
        <v>0.22931204736232699</v>
      </c>
      <c r="Q19" t="s">
        <v>314</v>
      </c>
      <c r="R19" t="s">
        <v>14</v>
      </c>
      <c r="S19" s="37">
        <v>3</v>
      </c>
      <c r="T19" t="s">
        <v>918</v>
      </c>
      <c r="U19" t="s">
        <v>919</v>
      </c>
      <c r="V19" s="37">
        <v>364597.3125</v>
      </c>
      <c r="W19" s="38">
        <v>0.1483021676540375</v>
      </c>
      <c r="X19" s="38">
        <v>0.16252245008945471</v>
      </c>
      <c r="Y19" s="39">
        <f t="shared" si="0"/>
        <v>1.4220282435417203E-2</v>
      </c>
    </row>
    <row r="20" spans="1:25" x14ac:dyDescent="0.3">
      <c r="A20" s="24" t="s">
        <v>324</v>
      </c>
      <c r="B20" s="24" t="s">
        <v>276</v>
      </c>
      <c r="C20" t="s">
        <v>22</v>
      </c>
      <c r="D20" t="s">
        <v>22</v>
      </c>
      <c r="E20" s="25" t="s">
        <v>325</v>
      </c>
      <c r="F20" s="26">
        <v>0.25899791999999999</v>
      </c>
      <c r="G20" s="26">
        <v>0.23451242999999999</v>
      </c>
      <c r="H20" s="26">
        <v>0.28232104000000002</v>
      </c>
      <c r="I20" s="27" t="s">
        <v>319</v>
      </c>
      <c r="J20" s="27" t="s">
        <v>326</v>
      </c>
      <c r="K20" s="28">
        <v>0.415510594844818</v>
      </c>
      <c r="L20" s="28">
        <v>0.26470875740051197</v>
      </c>
      <c r="M20" s="29">
        <v>0.109309799969196</v>
      </c>
      <c r="Q20" t="s">
        <v>317</v>
      </c>
      <c r="R20" t="s">
        <v>32</v>
      </c>
      <c r="S20" s="37">
        <v>3</v>
      </c>
      <c r="T20" t="s">
        <v>918</v>
      </c>
      <c r="U20" t="s">
        <v>919</v>
      </c>
      <c r="V20" s="37">
        <v>132457.46875</v>
      </c>
      <c r="W20" s="38">
        <v>0.1254567354917526</v>
      </c>
      <c r="X20" s="38">
        <v>0.1545491814613342</v>
      </c>
      <c r="Y20" s="39">
        <f t="shared" si="0"/>
        <v>2.9092445969581604E-2</v>
      </c>
    </row>
    <row r="21" spans="1:25" x14ac:dyDescent="0.3">
      <c r="A21" s="24" t="s">
        <v>370</v>
      </c>
      <c r="B21" s="24" t="s">
        <v>331</v>
      </c>
      <c r="C21" t="s">
        <v>24</v>
      </c>
      <c r="D21" t="s">
        <v>24</v>
      </c>
      <c r="E21" s="25" t="s">
        <v>371</v>
      </c>
      <c r="F21" s="26">
        <v>0.42446773999999998</v>
      </c>
      <c r="G21" s="26">
        <v>0.43544011999999999</v>
      </c>
      <c r="H21" s="26">
        <v>0.41128703999999999</v>
      </c>
      <c r="I21" s="27" t="s">
        <v>372</v>
      </c>
      <c r="J21" s="27" t="s">
        <v>373</v>
      </c>
      <c r="K21" s="28">
        <v>0.47410425543785101</v>
      </c>
      <c r="L21" s="28">
        <v>0.25146266818046498</v>
      </c>
      <c r="M21" s="28">
        <v>9.12657231092453E-2</v>
      </c>
      <c r="Q21" t="s">
        <v>321</v>
      </c>
      <c r="R21" t="s">
        <v>20</v>
      </c>
      <c r="S21" s="37">
        <v>3</v>
      </c>
      <c r="T21" t="s">
        <v>918</v>
      </c>
      <c r="U21" t="s">
        <v>919</v>
      </c>
      <c r="V21" s="37">
        <v>1066037.125</v>
      </c>
      <c r="W21" s="38">
        <v>0.42824572324752808</v>
      </c>
      <c r="X21" s="38">
        <v>0.4623858630657196</v>
      </c>
      <c r="Y21" s="39">
        <f t="shared" si="0"/>
        <v>3.4140139818191528E-2</v>
      </c>
    </row>
    <row r="22" spans="1:25" x14ac:dyDescent="0.3">
      <c r="A22" s="24" t="s">
        <v>357</v>
      </c>
      <c r="B22" s="24" t="s">
        <v>294</v>
      </c>
      <c r="C22" t="s">
        <v>248</v>
      </c>
      <c r="D22" t="s">
        <v>25</v>
      </c>
      <c r="E22" s="25" t="s">
        <v>358</v>
      </c>
      <c r="F22" s="26">
        <v>0.28441849000000002</v>
      </c>
      <c r="G22" s="26">
        <v>0.29954109000000001</v>
      </c>
      <c r="H22" s="26">
        <v>0.26965043</v>
      </c>
      <c r="I22" s="27" t="s">
        <v>313</v>
      </c>
      <c r="J22" s="27" t="s">
        <v>319</v>
      </c>
      <c r="K22" s="28">
        <v>0.61534988880157404</v>
      </c>
      <c r="L22" s="28">
        <v>0.50508612394332797</v>
      </c>
      <c r="M22" s="29">
        <v>0.28512787818908603</v>
      </c>
      <c r="Q22" t="s">
        <v>324</v>
      </c>
      <c r="R22" t="s">
        <v>22</v>
      </c>
      <c r="S22" s="37">
        <v>3</v>
      </c>
      <c r="T22" t="s">
        <v>918</v>
      </c>
      <c r="U22" t="s">
        <v>919</v>
      </c>
      <c r="V22" s="37">
        <v>117466.90625</v>
      </c>
      <c r="W22" s="38">
        <v>0.10930979996919631</v>
      </c>
      <c r="X22" s="38">
        <v>0.1331216245889664</v>
      </c>
      <c r="Y22" s="39">
        <f t="shared" si="0"/>
        <v>2.3811824619770092E-2</v>
      </c>
    </row>
    <row r="23" spans="1:25" x14ac:dyDescent="0.3">
      <c r="A23" s="24" t="s">
        <v>346</v>
      </c>
      <c r="B23" s="24" t="s">
        <v>281</v>
      </c>
      <c r="C23" t="s">
        <v>26</v>
      </c>
      <c r="D23" t="s">
        <v>26</v>
      </c>
      <c r="E23" s="25" t="s">
        <v>347</v>
      </c>
      <c r="F23" s="26">
        <v>0.52827018000000003</v>
      </c>
      <c r="G23" s="26">
        <v>0.54457915000000001</v>
      </c>
      <c r="H23" s="26">
        <v>0.51283776999999997</v>
      </c>
      <c r="I23" s="27" t="s">
        <v>319</v>
      </c>
      <c r="J23" s="27" t="s">
        <v>348</v>
      </c>
      <c r="K23" s="28">
        <v>0.64715707302093495</v>
      </c>
      <c r="L23" s="28">
        <v>0.57902216911315896</v>
      </c>
      <c r="M23" s="29">
        <v>0.20487739145755701</v>
      </c>
      <c r="Q23" t="s">
        <v>327</v>
      </c>
      <c r="R23" t="s">
        <v>31</v>
      </c>
      <c r="S23" s="37">
        <v>3</v>
      </c>
      <c r="T23" t="s">
        <v>918</v>
      </c>
      <c r="U23" t="s">
        <v>919</v>
      </c>
      <c r="V23" s="37">
        <v>171833.390625</v>
      </c>
      <c r="W23" s="38">
        <v>0.10004622489213939</v>
      </c>
      <c r="X23" s="38">
        <v>0.1231330409646034</v>
      </c>
      <c r="Y23" s="39">
        <f t="shared" si="0"/>
        <v>2.3086816072464003E-2</v>
      </c>
    </row>
    <row r="24" spans="1:25" x14ac:dyDescent="0.3">
      <c r="A24" s="24" t="s">
        <v>374</v>
      </c>
      <c r="B24" s="24" t="s">
        <v>276</v>
      </c>
      <c r="C24" t="s">
        <v>27</v>
      </c>
      <c r="D24" t="s">
        <v>27</v>
      </c>
      <c r="E24" s="25" t="s">
        <v>375</v>
      </c>
      <c r="F24" s="26">
        <v>0.40864330999999998</v>
      </c>
      <c r="G24" s="26">
        <v>0.37107959000000001</v>
      </c>
      <c r="H24" s="26">
        <v>0.44073203</v>
      </c>
      <c r="I24" s="27" t="s">
        <v>376</v>
      </c>
      <c r="J24" s="27" t="s">
        <v>377</v>
      </c>
      <c r="K24" s="28">
        <v>0.60620611906051602</v>
      </c>
      <c r="L24" s="28">
        <v>0.42007428407669001</v>
      </c>
      <c r="M24" s="29">
        <v>0.20350369811058</v>
      </c>
      <c r="Q24" t="s">
        <v>330</v>
      </c>
      <c r="R24" t="s">
        <v>17</v>
      </c>
      <c r="S24" s="37">
        <v>3</v>
      </c>
      <c r="T24" t="s">
        <v>918</v>
      </c>
      <c r="U24" t="s">
        <v>919</v>
      </c>
      <c r="V24" s="37">
        <v>3599127.25</v>
      </c>
      <c r="W24" s="38">
        <v>0.15759722888469699</v>
      </c>
      <c r="X24" s="38">
        <v>0.17439776659011841</v>
      </c>
      <c r="Y24" s="39">
        <f t="shared" si="0"/>
        <v>1.680053770542142E-2</v>
      </c>
    </row>
    <row r="25" spans="1:25" x14ac:dyDescent="0.3">
      <c r="A25" s="24" t="s">
        <v>359</v>
      </c>
      <c r="B25" s="24" t="s">
        <v>294</v>
      </c>
      <c r="C25" t="s">
        <v>28</v>
      </c>
      <c r="D25" t="s">
        <v>28</v>
      </c>
      <c r="E25" s="25" t="s">
        <v>360</v>
      </c>
      <c r="F25" s="26">
        <v>0.45856829999999998</v>
      </c>
      <c r="G25" s="26">
        <v>0.48977305999999998</v>
      </c>
      <c r="H25" s="26">
        <v>0.42957684000000002</v>
      </c>
      <c r="I25" s="27" t="s">
        <v>361</v>
      </c>
      <c r="J25" s="27" t="s">
        <v>362</v>
      </c>
      <c r="K25" s="28">
        <v>0.71079295873641901</v>
      </c>
      <c r="L25" s="28">
        <v>0.66327357292175204</v>
      </c>
      <c r="M25" s="28">
        <v>0.38068264722824102</v>
      </c>
      <c r="Q25" t="s">
        <v>335</v>
      </c>
      <c r="R25" t="s">
        <v>30</v>
      </c>
      <c r="S25" s="37">
        <v>3</v>
      </c>
      <c r="T25" t="s">
        <v>918</v>
      </c>
      <c r="U25" t="s">
        <v>919</v>
      </c>
      <c r="V25" s="37">
        <v>644434.4375</v>
      </c>
      <c r="W25" s="38">
        <v>0.27120903134346008</v>
      </c>
      <c r="X25" s="38">
        <v>0.30655002593994141</v>
      </c>
      <c r="Y25" s="39">
        <f t="shared" si="0"/>
        <v>3.5340994596481323E-2</v>
      </c>
    </row>
    <row r="26" spans="1:25" x14ac:dyDescent="0.3">
      <c r="A26" s="24" t="s">
        <v>366</v>
      </c>
      <c r="B26" s="24" t="s">
        <v>306</v>
      </c>
      <c r="C26" t="s">
        <v>29</v>
      </c>
      <c r="D26" t="s">
        <v>29</v>
      </c>
      <c r="E26" s="25" t="s">
        <v>367</v>
      </c>
      <c r="F26" s="26">
        <v>0.47441769</v>
      </c>
      <c r="G26" s="26">
        <v>0.47571370000000002</v>
      </c>
      <c r="H26" s="26">
        <v>0.47301876999999998</v>
      </c>
      <c r="I26" s="27" t="s">
        <v>368</v>
      </c>
      <c r="J26" s="27" t="s">
        <v>369</v>
      </c>
      <c r="K26" s="28">
        <v>0.68065148591995195</v>
      </c>
      <c r="L26" s="28">
        <v>0.58887171745300204</v>
      </c>
      <c r="M26" s="29">
        <v>0.32365250587463301</v>
      </c>
      <c r="Q26" t="s">
        <v>338</v>
      </c>
      <c r="R26" t="s">
        <v>16</v>
      </c>
      <c r="S26" s="37">
        <v>3</v>
      </c>
      <c r="T26" t="s">
        <v>918</v>
      </c>
      <c r="U26" t="s">
        <v>919</v>
      </c>
      <c r="V26" s="37">
        <v>63324.96484375</v>
      </c>
      <c r="W26" s="38">
        <v>0.18264845013618469</v>
      </c>
      <c r="X26" s="38">
        <v>0.2201029360294342</v>
      </c>
      <c r="Y26" s="39">
        <f t="shared" si="0"/>
        <v>3.7454485893249512E-2</v>
      </c>
    </row>
    <row r="27" spans="1:25" x14ac:dyDescent="0.3">
      <c r="A27" s="24" t="s">
        <v>335</v>
      </c>
      <c r="B27" s="24" t="s">
        <v>281</v>
      </c>
      <c r="C27" t="s">
        <v>30</v>
      </c>
      <c r="D27" t="s">
        <v>30</v>
      </c>
      <c r="E27" s="25" t="s">
        <v>336</v>
      </c>
      <c r="F27" s="26">
        <v>0.53080976000000002</v>
      </c>
      <c r="G27" s="26">
        <v>0.55389255000000004</v>
      </c>
      <c r="H27" s="26">
        <v>0.50923795000000005</v>
      </c>
      <c r="I27" s="27" t="s">
        <v>337</v>
      </c>
      <c r="J27" s="27" t="s">
        <v>329</v>
      </c>
      <c r="K27" s="28">
        <v>0.70498234033584495</v>
      </c>
      <c r="L27" s="28">
        <v>0.59594017267227095</v>
      </c>
      <c r="M27" s="29">
        <v>0.27120903134346003</v>
      </c>
      <c r="Q27" t="s">
        <v>342</v>
      </c>
      <c r="R27" t="s">
        <v>15</v>
      </c>
      <c r="S27" s="37">
        <v>3</v>
      </c>
      <c r="T27" t="s">
        <v>918</v>
      </c>
      <c r="U27" t="s">
        <v>919</v>
      </c>
      <c r="V27" s="37">
        <v>25492.67578125</v>
      </c>
      <c r="W27" s="38">
        <v>0.24749425053596499</v>
      </c>
      <c r="X27" s="38">
        <v>0.27409246563911438</v>
      </c>
      <c r="Y27" s="39">
        <f t="shared" si="0"/>
        <v>2.6598215103149386E-2</v>
      </c>
    </row>
    <row r="28" spans="1:25" x14ac:dyDescent="0.3">
      <c r="A28" s="24" t="s">
        <v>327</v>
      </c>
      <c r="B28" s="24" t="s">
        <v>276</v>
      </c>
      <c r="C28" t="s">
        <v>31</v>
      </c>
      <c r="D28" t="s">
        <v>31</v>
      </c>
      <c r="E28" s="25" t="s">
        <v>328</v>
      </c>
      <c r="F28" s="26">
        <v>0.25911397000000003</v>
      </c>
      <c r="G28" s="26">
        <v>0.23435341000000001</v>
      </c>
      <c r="H28" s="26">
        <v>0.28216334999999998</v>
      </c>
      <c r="I28" s="27" t="s">
        <v>329</v>
      </c>
      <c r="J28" s="27" t="s">
        <v>313</v>
      </c>
      <c r="K28" s="28">
        <v>0.38593536615371699</v>
      </c>
      <c r="L28" s="28">
        <v>0.20788763463497101</v>
      </c>
      <c r="M28" s="29">
        <v>0.100046224892139</v>
      </c>
      <c r="Q28" t="s">
        <v>346</v>
      </c>
      <c r="R28" t="s">
        <v>26</v>
      </c>
      <c r="S28" s="37">
        <v>3</v>
      </c>
      <c r="T28" t="s">
        <v>918</v>
      </c>
      <c r="U28" t="s">
        <v>919</v>
      </c>
      <c r="V28" s="37">
        <v>227429.65625</v>
      </c>
      <c r="W28" s="38">
        <v>0.20487739145755771</v>
      </c>
      <c r="X28" s="38">
        <v>0.23679971694946289</v>
      </c>
      <c r="Y28" s="39">
        <f t="shared" si="0"/>
        <v>3.1922325491905185E-2</v>
      </c>
    </row>
    <row r="29" spans="1:25" x14ac:dyDescent="0.3">
      <c r="A29" s="24" t="s">
        <v>317</v>
      </c>
      <c r="B29" s="24" t="s">
        <v>276</v>
      </c>
      <c r="C29" t="s">
        <v>32</v>
      </c>
      <c r="D29" t="s">
        <v>32</v>
      </c>
      <c r="E29" s="25" t="s">
        <v>318</v>
      </c>
      <c r="F29" s="26">
        <v>0.27613598</v>
      </c>
      <c r="G29" s="26">
        <v>0.25886139000000002</v>
      </c>
      <c r="H29" s="26">
        <v>0.29236117</v>
      </c>
      <c r="I29" s="27" t="s">
        <v>319</v>
      </c>
      <c r="J29" s="27" t="s">
        <v>320</v>
      </c>
      <c r="K29" s="28">
        <v>0.40992891788482599</v>
      </c>
      <c r="L29" s="28">
        <v>0.24649865925312001</v>
      </c>
      <c r="M29" s="29">
        <v>0.12545673549175199</v>
      </c>
      <c r="Q29" t="s">
        <v>349</v>
      </c>
      <c r="R29" t="s">
        <v>19</v>
      </c>
      <c r="S29" s="37">
        <v>3</v>
      </c>
      <c r="T29" t="s">
        <v>918</v>
      </c>
      <c r="U29" t="s">
        <v>919</v>
      </c>
      <c r="V29" s="37">
        <v>395613.5</v>
      </c>
      <c r="W29" s="38">
        <v>0.1219195500016212</v>
      </c>
      <c r="X29" s="38">
        <v>0.13843508064746859</v>
      </c>
      <c r="Y29" s="39">
        <f t="shared" si="0"/>
        <v>1.651553064584739E-2</v>
      </c>
    </row>
    <row r="30" spans="1:25" x14ac:dyDescent="0.3">
      <c r="A30" s="24" t="s">
        <v>421</v>
      </c>
      <c r="B30" s="24" t="s">
        <v>276</v>
      </c>
      <c r="C30" t="s">
        <v>33</v>
      </c>
      <c r="D30" t="s">
        <v>33</v>
      </c>
      <c r="E30" s="25" t="s">
        <v>422</v>
      </c>
      <c r="F30" s="26">
        <v>0.39212993000000002</v>
      </c>
      <c r="G30" s="26">
        <v>0.40800284999999997</v>
      </c>
      <c r="H30" s="26">
        <v>0.37610789999999999</v>
      </c>
      <c r="I30" s="27" t="s">
        <v>423</v>
      </c>
      <c r="J30" s="27" t="s">
        <v>424</v>
      </c>
      <c r="K30" s="28">
        <v>0.54309308528900102</v>
      </c>
      <c r="L30" s="28">
        <v>0.362748652696609</v>
      </c>
      <c r="M30" s="29">
        <v>0.14735746383666901</v>
      </c>
      <c r="Q30" t="s">
        <v>353</v>
      </c>
      <c r="R30" t="s">
        <v>21</v>
      </c>
      <c r="S30" s="37">
        <v>3</v>
      </c>
      <c r="T30" t="s">
        <v>918</v>
      </c>
      <c r="U30" t="s">
        <v>919</v>
      </c>
      <c r="V30" s="37">
        <v>15684.0908203125</v>
      </c>
      <c r="W30" s="38">
        <v>0.2293120473623276</v>
      </c>
      <c r="X30" s="38">
        <v>0.2543637752532959</v>
      </c>
      <c r="Y30" s="39">
        <f t="shared" si="0"/>
        <v>2.5051727890968295E-2</v>
      </c>
    </row>
    <row r="31" spans="1:25" x14ac:dyDescent="0.3">
      <c r="A31" s="24" t="s">
        <v>590</v>
      </c>
      <c r="B31" s="24" t="s">
        <v>306</v>
      </c>
      <c r="C31" t="s">
        <v>34</v>
      </c>
      <c r="D31" t="s">
        <v>34</v>
      </c>
      <c r="E31" s="25" t="s">
        <v>591</v>
      </c>
      <c r="F31" s="26">
        <v>0.25184318</v>
      </c>
      <c r="G31" s="26">
        <v>0.24219184999999999</v>
      </c>
      <c r="H31" s="26">
        <v>0.26029363</v>
      </c>
      <c r="I31" s="27" t="s">
        <v>592</v>
      </c>
      <c r="J31" s="27" t="s">
        <v>313</v>
      </c>
      <c r="K31" s="28">
        <v>0.51494133472442605</v>
      </c>
      <c r="L31" s="28">
        <v>0.37297520041465698</v>
      </c>
      <c r="M31" s="29">
        <v>0.23679199814796401</v>
      </c>
      <c r="Q31" t="s">
        <v>357</v>
      </c>
      <c r="R31" t="s">
        <v>25</v>
      </c>
      <c r="S31" s="37">
        <v>3</v>
      </c>
      <c r="T31" t="s">
        <v>918</v>
      </c>
      <c r="U31" t="s">
        <v>919</v>
      </c>
      <c r="V31" s="37">
        <v>424890.46875</v>
      </c>
      <c r="W31" s="38">
        <v>0.28512787818908691</v>
      </c>
      <c r="X31" s="38">
        <v>0.31189683079719538</v>
      </c>
      <c r="Y31" s="39">
        <f t="shared" si="0"/>
        <v>2.6768952608108465E-2</v>
      </c>
    </row>
    <row r="32" spans="1:25" x14ac:dyDescent="0.3">
      <c r="A32" s="24" t="s">
        <v>401</v>
      </c>
      <c r="B32" s="24" t="s">
        <v>276</v>
      </c>
      <c r="C32" t="s">
        <v>35</v>
      </c>
      <c r="D32" t="s">
        <v>35</v>
      </c>
      <c r="E32" s="25" t="s">
        <v>402</v>
      </c>
      <c r="F32" s="26">
        <v>0.32458699000000002</v>
      </c>
      <c r="G32" s="26">
        <v>0.2940779</v>
      </c>
      <c r="H32" s="26">
        <v>0.35442068999999998</v>
      </c>
      <c r="I32" s="27" t="s">
        <v>400</v>
      </c>
      <c r="J32" s="27" t="s">
        <v>403</v>
      </c>
      <c r="K32" s="28">
        <v>0.374643594026565</v>
      </c>
      <c r="L32" s="28">
        <v>0.19073578715324399</v>
      </c>
      <c r="M32" s="28">
        <v>8.2777984440326705E-2</v>
      </c>
      <c r="Q32" t="s">
        <v>359</v>
      </c>
      <c r="R32" t="s">
        <v>28</v>
      </c>
      <c r="S32" s="37">
        <v>3</v>
      </c>
      <c r="T32" t="s">
        <v>918</v>
      </c>
      <c r="U32" t="s">
        <v>919</v>
      </c>
      <c r="V32" s="37">
        <v>21186448</v>
      </c>
      <c r="W32" s="38">
        <v>0.38068264722824102</v>
      </c>
      <c r="X32" s="38">
        <v>0.43351870775222778</v>
      </c>
      <c r="Y32" s="39">
        <f t="shared" si="0"/>
        <v>5.2836060523986761E-2</v>
      </c>
    </row>
    <row r="33" spans="1:25" x14ac:dyDescent="0.3">
      <c r="A33" s="24" t="s">
        <v>382</v>
      </c>
      <c r="B33" s="24" t="s">
        <v>294</v>
      </c>
      <c r="C33" t="s">
        <v>36</v>
      </c>
      <c r="D33" t="s">
        <v>36</v>
      </c>
      <c r="E33" s="25" t="s">
        <v>383</v>
      </c>
      <c r="F33" s="26">
        <v>0.27066103000000002</v>
      </c>
      <c r="G33" s="26">
        <v>0.29651502000000002</v>
      </c>
      <c r="H33" s="26">
        <v>0.24520984000000001</v>
      </c>
      <c r="I33" s="27" t="s">
        <v>384</v>
      </c>
      <c r="J33" s="27" t="s">
        <v>385</v>
      </c>
      <c r="K33" s="28">
        <v>0.81198358535766602</v>
      </c>
      <c r="L33" s="28">
        <v>0.78165358304977395</v>
      </c>
      <c r="M33" s="29">
        <v>0.65052527189254705</v>
      </c>
      <c r="Q33" t="s">
        <v>363</v>
      </c>
      <c r="R33" t="s">
        <v>18</v>
      </c>
      <c r="S33" s="37">
        <v>3</v>
      </c>
      <c r="T33" t="s">
        <v>918</v>
      </c>
      <c r="U33" t="s">
        <v>919</v>
      </c>
      <c r="V33" s="37">
        <v>32375.0078125</v>
      </c>
      <c r="W33" s="38">
        <v>0.37836894392967219</v>
      </c>
      <c r="X33" s="38">
        <v>0.41130197048187261</v>
      </c>
      <c r="Y33" s="39">
        <f t="shared" si="0"/>
        <v>3.2933026552200428E-2</v>
      </c>
    </row>
    <row r="34" spans="1:25" x14ac:dyDescent="0.3">
      <c r="A34" s="24" t="s">
        <v>378</v>
      </c>
      <c r="B34" s="24" t="s">
        <v>276</v>
      </c>
      <c r="C34" t="s">
        <v>37</v>
      </c>
      <c r="D34" t="s">
        <v>37</v>
      </c>
      <c r="E34" s="25" t="s">
        <v>379</v>
      </c>
      <c r="F34" s="26">
        <v>0.36484464999999999</v>
      </c>
      <c r="G34" s="26">
        <v>0.33051058999999999</v>
      </c>
      <c r="H34" s="26">
        <v>0.39675134000000001</v>
      </c>
      <c r="I34" s="27" t="s">
        <v>380</v>
      </c>
      <c r="J34" s="27" t="s">
        <v>381</v>
      </c>
      <c r="K34" s="28">
        <v>0.34586438536643899</v>
      </c>
      <c r="L34" s="28">
        <v>0.19180527329444799</v>
      </c>
      <c r="M34" s="28">
        <v>6.9991245865821797E-2</v>
      </c>
      <c r="Q34" t="s">
        <v>366</v>
      </c>
      <c r="R34" t="s">
        <v>29</v>
      </c>
      <c r="S34" s="37">
        <v>3</v>
      </c>
      <c r="T34" t="s">
        <v>918</v>
      </c>
      <c r="U34" t="s">
        <v>919</v>
      </c>
      <c r="V34" s="37">
        <v>38658.39453125</v>
      </c>
      <c r="W34" s="38">
        <v>0.32365250587463379</v>
      </c>
      <c r="X34" s="38">
        <v>0.37091162800788879</v>
      </c>
      <c r="Y34" s="39">
        <f t="shared" si="0"/>
        <v>4.7259122133255005E-2</v>
      </c>
    </row>
    <row r="35" spans="1:25" x14ac:dyDescent="0.3">
      <c r="A35" s="24" t="s">
        <v>825</v>
      </c>
      <c r="B35" s="24" t="s">
        <v>276</v>
      </c>
      <c r="C35" t="s">
        <v>38</v>
      </c>
      <c r="D35" t="s">
        <v>38</v>
      </c>
      <c r="E35" s="25" t="s">
        <v>826</v>
      </c>
      <c r="F35" s="26">
        <v>0.33015946000000002</v>
      </c>
      <c r="G35" s="26">
        <v>0.29362494</v>
      </c>
      <c r="H35" s="26">
        <v>0.36573851000000002</v>
      </c>
      <c r="I35" s="27" t="s">
        <v>524</v>
      </c>
      <c r="J35" s="27" t="s">
        <v>323</v>
      </c>
      <c r="K35" s="28">
        <v>0.41835147142410201</v>
      </c>
      <c r="L35" s="28">
        <v>0.25201535224914501</v>
      </c>
      <c r="M35" s="29">
        <v>0.12725257873535101</v>
      </c>
      <c r="Q35" t="s">
        <v>370</v>
      </c>
      <c r="R35" t="s">
        <v>24</v>
      </c>
      <c r="S35" s="37">
        <v>3</v>
      </c>
      <c r="T35" t="s">
        <v>918</v>
      </c>
      <c r="U35" t="s">
        <v>919</v>
      </c>
      <c r="V35" s="37">
        <v>15134.61328125</v>
      </c>
      <c r="W35" s="38">
        <v>9.12657231092453E-2</v>
      </c>
      <c r="X35" s="38">
        <v>0.10375823080539701</v>
      </c>
      <c r="Y35" s="39">
        <f t="shared" si="0"/>
        <v>1.2492507696151706E-2</v>
      </c>
    </row>
    <row r="36" spans="1:25" x14ac:dyDescent="0.3">
      <c r="A36" s="24" t="s">
        <v>389</v>
      </c>
      <c r="B36" s="24" t="s">
        <v>294</v>
      </c>
      <c r="C36" t="s">
        <v>39</v>
      </c>
      <c r="D36" t="s">
        <v>39</v>
      </c>
      <c r="E36" s="25" t="s">
        <v>390</v>
      </c>
      <c r="F36" s="26">
        <v>0.37814652999999998</v>
      </c>
      <c r="G36" s="26">
        <v>0.39874113</v>
      </c>
      <c r="H36" s="26">
        <v>0.35836901999999998</v>
      </c>
      <c r="I36" s="27" t="s">
        <v>391</v>
      </c>
      <c r="J36" s="27" t="s">
        <v>392</v>
      </c>
      <c r="K36" s="28">
        <v>0.74654412269592196</v>
      </c>
      <c r="L36" s="28">
        <v>0.63495194911956698</v>
      </c>
      <c r="M36" s="28">
        <v>0.37391304969787598</v>
      </c>
      <c r="Q36" t="s">
        <v>374</v>
      </c>
      <c r="R36" t="s">
        <v>27</v>
      </c>
      <c r="S36" s="37">
        <v>3</v>
      </c>
      <c r="T36" t="s">
        <v>918</v>
      </c>
      <c r="U36" t="s">
        <v>919</v>
      </c>
      <c r="V36" s="37">
        <v>86406.7578125</v>
      </c>
      <c r="W36" s="38">
        <v>0.20350369811058039</v>
      </c>
      <c r="X36" s="38">
        <v>0.23971234261989591</v>
      </c>
      <c r="Y36" s="39">
        <f t="shared" si="0"/>
        <v>3.6208644509315518E-2</v>
      </c>
    </row>
    <row r="37" spans="1:25" x14ac:dyDescent="0.3">
      <c r="A37" s="24" t="s">
        <v>393</v>
      </c>
      <c r="B37" s="24" t="s">
        <v>306</v>
      </c>
      <c r="C37" t="s">
        <v>40</v>
      </c>
      <c r="D37" t="s">
        <v>40</v>
      </c>
      <c r="E37" s="25" t="s">
        <v>394</v>
      </c>
      <c r="F37" s="26">
        <v>0.29272151000000002</v>
      </c>
      <c r="G37" s="26">
        <v>0.32163644000000002</v>
      </c>
      <c r="H37" s="26">
        <v>0.26328558000000002</v>
      </c>
      <c r="I37" s="27" t="s">
        <v>395</v>
      </c>
      <c r="J37" s="27" t="s">
        <v>396</v>
      </c>
      <c r="K37" s="28">
        <v>0.56708860397338801</v>
      </c>
      <c r="L37" s="28">
        <v>0.43351870775222701</v>
      </c>
      <c r="M37" s="28">
        <v>0.18453387916088099</v>
      </c>
      <c r="Q37" t="s">
        <v>378</v>
      </c>
      <c r="R37" t="s">
        <v>37</v>
      </c>
      <c r="S37" s="37">
        <v>3</v>
      </c>
      <c r="T37" t="s">
        <v>918</v>
      </c>
      <c r="U37" t="s">
        <v>919</v>
      </c>
      <c r="V37" s="37">
        <v>35735.92578125</v>
      </c>
      <c r="W37" s="38">
        <v>6.9991245865821838E-2</v>
      </c>
      <c r="X37" s="38">
        <v>8.6714752018451691E-2</v>
      </c>
      <c r="Y37" s="39">
        <f t="shared" si="0"/>
        <v>1.6723506152629852E-2</v>
      </c>
    </row>
    <row r="38" spans="1:25" x14ac:dyDescent="0.3">
      <c r="A38" s="24" t="s">
        <v>414</v>
      </c>
      <c r="B38" s="24" t="s">
        <v>294</v>
      </c>
      <c r="C38" t="s">
        <v>41</v>
      </c>
      <c r="D38" t="s">
        <v>41</v>
      </c>
      <c r="E38" s="25" t="s">
        <v>415</v>
      </c>
      <c r="F38" s="26">
        <v>0.31996226</v>
      </c>
      <c r="G38" s="26">
        <v>0.31141754999999999</v>
      </c>
      <c r="H38" s="26">
        <v>0.32777869999999998</v>
      </c>
      <c r="I38" s="27" t="s">
        <v>406</v>
      </c>
      <c r="J38" s="27" t="s">
        <v>416</v>
      </c>
      <c r="K38" s="28">
        <v>0.72974002361297596</v>
      </c>
      <c r="L38" s="28">
        <v>0.59588426351547197</v>
      </c>
      <c r="M38" s="29">
        <v>0.36969074606895402</v>
      </c>
      <c r="Q38" t="s">
        <v>382</v>
      </c>
      <c r="R38" t="s">
        <v>36</v>
      </c>
      <c r="S38" s="37">
        <v>3</v>
      </c>
      <c r="T38" t="s">
        <v>918</v>
      </c>
      <c r="U38" t="s">
        <v>919</v>
      </c>
      <c r="V38" s="37">
        <v>4254977</v>
      </c>
      <c r="W38" s="38">
        <v>0.65052527189254761</v>
      </c>
      <c r="X38" s="38">
        <v>0.68062418699264526</v>
      </c>
      <c r="Y38" s="39">
        <f t="shared" si="0"/>
        <v>3.0098915100097656E-2</v>
      </c>
    </row>
    <row r="39" spans="1:25" x14ac:dyDescent="0.3">
      <c r="A39" s="24" t="s">
        <v>417</v>
      </c>
      <c r="B39" s="24" t="s">
        <v>276</v>
      </c>
      <c r="C39" t="s">
        <v>42</v>
      </c>
      <c r="D39" t="s">
        <v>42</v>
      </c>
      <c r="E39" s="25" t="s">
        <v>418</v>
      </c>
      <c r="F39" s="26">
        <v>0.28347686</v>
      </c>
      <c r="G39" s="26">
        <v>0.24747172000000001</v>
      </c>
      <c r="H39" s="26">
        <v>0.3191736</v>
      </c>
      <c r="I39" s="27" t="s">
        <v>419</v>
      </c>
      <c r="J39" s="27" t="s">
        <v>420</v>
      </c>
      <c r="K39" s="28">
        <v>0.42865207791328402</v>
      </c>
      <c r="L39" s="28">
        <v>0.25743496417999201</v>
      </c>
      <c r="M39" s="29">
        <v>0.13255193829536399</v>
      </c>
      <c r="Q39" t="s">
        <v>386</v>
      </c>
      <c r="R39" t="s">
        <v>169</v>
      </c>
      <c r="S39" s="37">
        <v>3</v>
      </c>
      <c r="T39" t="s">
        <v>918</v>
      </c>
      <c r="U39" t="s">
        <v>919</v>
      </c>
      <c r="V39" s="37">
        <v>605211.5625</v>
      </c>
      <c r="W39" s="38">
        <v>0.41438561677932739</v>
      </c>
      <c r="X39" s="38">
        <v>0.4587782621383667</v>
      </c>
      <c r="Y39" s="39">
        <f t="shared" si="0"/>
        <v>4.4392645359039307E-2</v>
      </c>
    </row>
    <row r="40" spans="1:25" x14ac:dyDescent="0.3">
      <c r="A40" s="24" t="s">
        <v>408</v>
      </c>
      <c r="B40" s="24" t="s">
        <v>276</v>
      </c>
      <c r="C40" t="s">
        <v>43</v>
      </c>
      <c r="D40" t="s">
        <v>43</v>
      </c>
      <c r="E40" s="25" t="s">
        <v>409</v>
      </c>
      <c r="F40" s="26">
        <v>0.36222741000000003</v>
      </c>
      <c r="G40" s="26">
        <v>0.33715700999999998</v>
      </c>
      <c r="H40" s="26">
        <v>0.38662389000000003</v>
      </c>
      <c r="I40" s="27" t="s">
        <v>410</v>
      </c>
      <c r="J40" s="27" t="s">
        <v>411</v>
      </c>
      <c r="K40" s="28">
        <v>0.39301407337188698</v>
      </c>
      <c r="L40" s="28">
        <v>0.24371908605098699</v>
      </c>
      <c r="M40" s="29">
        <v>0.112826623022556</v>
      </c>
      <c r="Q40" t="s">
        <v>389</v>
      </c>
      <c r="R40" t="s">
        <v>39</v>
      </c>
      <c r="S40" s="37">
        <v>3</v>
      </c>
      <c r="T40" t="s">
        <v>918</v>
      </c>
      <c r="U40" t="s">
        <v>919</v>
      </c>
      <c r="V40" s="37">
        <v>1581763.25</v>
      </c>
      <c r="W40" s="38">
        <v>0.37391304969787598</v>
      </c>
      <c r="X40" s="38">
        <v>0.41236633062362671</v>
      </c>
      <c r="Y40" s="39">
        <f t="shared" si="0"/>
        <v>3.8453280925750732E-2</v>
      </c>
    </row>
    <row r="41" spans="1:25" x14ac:dyDescent="0.3">
      <c r="A41" s="24" t="s">
        <v>412</v>
      </c>
      <c r="B41" s="24" t="s">
        <v>306</v>
      </c>
      <c r="C41" t="s">
        <v>237</v>
      </c>
      <c r="D41" t="s">
        <v>237</v>
      </c>
      <c r="E41" s="25" t="s">
        <v>413</v>
      </c>
      <c r="F41" s="26">
        <v>0.48986830999999997</v>
      </c>
      <c r="G41" s="26">
        <v>0.50044089999999997</v>
      </c>
      <c r="H41" s="26">
        <v>0.48043373</v>
      </c>
      <c r="I41" s="30">
        <v>4800</v>
      </c>
      <c r="J41" s="30">
        <v>3900</v>
      </c>
      <c r="K41" s="28">
        <v>0.62803769111633301</v>
      </c>
      <c r="L41" s="28">
        <v>0.47930693626403797</v>
      </c>
      <c r="M41" s="29">
        <v>0.19560955464839899</v>
      </c>
      <c r="Q41" t="s">
        <v>393</v>
      </c>
      <c r="R41" t="s">
        <v>40</v>
      </c>
      <c r="S41" s="37">
        <v>3</v>
      </c>
      <c r="T41" t="s">
        <v>918</v>
      </c>
      <c r="U41" t="s">
        <v>919</v>
      </c>
      <c r="V41" s="37">
        <v>50096176</v>
      </c>
      <c r="W41" s="38">
        <v>0.18453387916088099</v>
      </c>
      <c r="X41" s="38">
        <v>0.21288836002349851</v>
      </c>
      <c r="Y41" s="39">
        <f t="shared" si="0"/>
        <v>2.835448086261752E-2</v>
      </c>
    </row>
    <row r="42" spans="1:25" x14ac:dyDescent="0.3">
      <c r="A42" s="24" t="s">
        <v>425</v>
      </c>
      <c r="B42" s="24" t="s">
        <v>294</v>
      </c>
      <c r="C42" t="s">
        <v>44</v>
      </c>
      <c r="D42" t="s">
        <v>44</v>
      </c>
      <c r="E42" s="25" t="s">
        <v>426</v>
      </c>
      <c r="F42" s="26">
        <v>0.39033651000000003</v>
      </c>
      <c r="G42" s="26">
        <v>0.36990809000000002</v>
      </c>
      <c r="H42" s="26">
        <v>0.41026783</v>
      </c>
      <c r="I42" s="27" t="s">
        <v>427</v>
      </c>
      <c r="J42" s="27" t="s">
        <v>428</v>
      </c>
      <c r="K42" s="28">
        <v>0.81704622507095304</v>
      </c>
      <c r="L42" s="28">
        <v>0.75665318965911799</v>
      </c>
      <c r="M42" s="29">
        <v>0.55520486831664995</v>
      </c>
      <c r="Q42" t="s">
        <v>397</v>
      </c>
      <c r="R42" t="s">
        <v>89</v>
      </c>
      <c r="S42" s="37">
        <v>3</v>
      </c>
      <c r="T42" t="s">
        <v>918</v>
      </c>
      <c r="U42" t="s">
        <v>919</v>
      </c>
      <c r="V42" s="37">
        <v>293737.25</v>
      </c>
      <c r="W42" s="38">
        <v>0.10228873789310459</v>
      </c>
      <c r="X42" s="38">
        <v>0.12691950798034671</v>
      </c>
      <c r="Y42" s="39">
        <f t="shared" si="0"/>
        <v>2.4630770087242113E-2</v>
      </c>
    </row>
    <row r="43" spans="1:25" x14ac:dyDescent="0.3">
      <c r="A43" s="24" t="s">
        <v>538</v>
      </c>
      <c r="B43" s="24" t="s">
        <v>281</v>
      </c>
      <c r="C43" t="s">
        <v>45</v>
      </c>
      <c r="D43" t="s">
        <v>45</v>
      </c>
      <c r="E43" s="25" t="s">
        <v>539</v>
      </c>
      <c r="F43" s="26">
        <v>0.57912576000000004</v>
      </c>
      <c r="G43" s="26">
        <v>0.59248656</v>
      </c>
      <c r="H43" s="26">
        <v>0.56662953000000005</v>
      </c>
      <c r="I43" s="27" t="s">
        <v>313</v>
      </c>
      <c r="J43" s="27" t="s">
        <v>319</v>
      </c>
      <c r="K43" s="28">
        <v>0.80653643608093195</v>
      </c>
      <c r="L43" s="28">
        <v>0.61884409189224199</v>
      </c>
      <c r="M43" s="29">
        <v>0.23284405469894401</v>
      </c>
      <c r="Q43" t="s">
        <v>401</v>
      </c>
      <c r="R43" t="s">
        <v>35</v>
      </c>
      <c r="S43" s="37">
        <v>3</v>
      </c>
      <c r="T43" t="s">
        <v>918</v>
      </c>
      <c r="U43" t="s">
        <v>919</v>
      </c>
      <c r="V43" s="37">
        <v>242755.359375</v>
      </c>
      <c r="W43" s="38">
        <v>8.2777984440326691E-2</v>
      </c>
      <c r="X43" s="38">
        <v>0.100551649928093</v>
      </c>
      <c r="Y43" s="39">
        <f t="shared" si="0"/>
        <v>1.7773665487766308E-2</v>
      </c>
    </row>
    <row r="44" spans="1:25" x14ac:dyDescent="0.3">
      <c r="A44" s="24" t="s">
        <v>429</v>
      </c>
      <c r="B44" s="24" t="s">
        <v>294</v>
      </c>
      <c r="C44" t="s">
        <v>46</v>
      </c>
      <c r="D44" t="s">
        <v>46</v>
      </c>
      <c r="E44" s="25" t="s">
        <v>430</v>
      </c>
      <c r="F44" s="26">
        <v>0.46425917999999999</v>
      </c>
      <c r="G44" s="26">
        <v>0.44801572000000001</v>
      </c>
      <c r="H44" s="26">
        <v>0.47999120000000001</v>
      </c>
      <c r="I44" s="27" t="s">
        <v>431</v>
      </c>
      <c r="J44" s="27" t="s">
        <v>291</v>
      </c>
      <c r="K44" s="28">
        <v>0.74902379512786799</v>
      </c>
      <c r="L44" s="28">
        <v>0.65900528430938698</v>
      </c>
      <c r="M44" s="29">
        <v>0.36515340209007202</v>
      </c>
      <c r="Q44" t="s">
        <v>404</v>
      </c>
      <c r="R44" t="s">
        <v>50</v>
      </c>
      <c r="S44" s="37">
        <v>3</v>
      </c>
      <c r="T44" t="s">
        <v>918</v>
      </c>
      <c r="U44" t="s">
        <v>919</v>
      </c>
      <c r="V44" s="37">
        <v>1167100.25</v>
      </c>
      <c r="W44" s="38">
        <v>0.13204482197761541</v>
      </c>
      <c r="X44" s="38">
        <v>0.15802669525146479</v>
      </c>
      <c r="Y44" s="39">
        <f t="shared" si="0"/>
        <v>2.5981873273849376E-2</v>
      </c>
    </row>
    <row r="45" spans="1:25" x14ac:dyDescent="0.3">
      <c r="A45" s="24" t="s">
        <v>432</v>
      </c>
      <c r="B45" s="24" t="s">
        <v>281</v>
      </c>
      <c r="C45" t="s">
        <v>47</v>
      </c>
      <c r="D45" t="s">
        <v>47</v>
      </c>
      <c r="E45" s="25" t="s">
        <v>433</v>
      </c>
      <c r="F45" s="26">
        <v>0.33332318</v>
      </c>
      <c r="G45" s="26">
        <v>0.37557802000000001</v>
      </c>
      <c r="H45" s="26">
        <v>0.29221283999999997</v>
      </c>
      <c r="I45" s="27" t="s">
        <v>434</v>
      </c>
      <c r="J45" s="27" t="s">
        <v>435</v>
      </c>
      <c r="K45" s="28">
        <v>0.69599270820617598</v>
      </c>
      <c r="L45" s="28">
        <v>0.60275644063949496</v>
      </c>
      <c r="M45" s="29">
        <v>0.37542125582695002</v>
      </c>
      <c r="Q45" t="s">
        <v>408</v>
      </c>
      <c r="R45" t="s">
        <v>43</v>
      </c>
      <c r="S45" s="37">
        <v>3</v>
      </c>
      <c r="T45" t="s">
        <v>918</v>
      </c>
      <c r="U45" t="s">
        <v>919</v>
      </c>
      <c r="V45" s="37">
        <v>80932.796875</v>
      </c>
      <c r="W45" s="38">
        <v>0.1128266230225563</v>
      </c>
      <c r="X45" s="38">
        <v>0.1386275440454483</v>
      </c>
      <c r="Y45" s="39">
        <f t="shared" si="0"/>
        <v>2.5800921022891998E-2</v>
      </c>
    </row>
    <row r="46" spans="1:25" x14ac:dyDescent="0.3">
      <c r="A46" s="24" t="s">
        <v>436</v>
      </c>
      <c r="B46" s="24" t="s">
        <v>281</v>
      </c>
      <c r="C46" t="s">
        <v>48</v>
      </c>
      <c r="D46" t="s">
        <v>48</v>
      </c>
      <c r="E46" s="25" t="s">
        <v>437</v>
      </c>
      <c r="F46" s="26">
        <v>0.48972061</v>
      </c>
      <c r="G46" s="26">
        <v>0.55697083000000003</v>
      </c>
      <c r="H46" s="26">
        <v>0.42415976999999999</v>
      </c>
      <c r="I46" s="27" t="s">
        <v>438</v>
      </c>
      <c r="J46" s="27" t="s">
        <v>439</v>
      </c>
      <c r="K46" s="28">
        <v>0.79615408182144098</v>
      </c>
      <c r="L46" s="28">
        <v>0.70163840055465698</v>
      </c>
      <c r="M46" s="29">
        <v>0.41031807661056502</v>
      </c>
      <c r="Q46" t="s">
        <v>412</v>
      </c>
      <c r="R46" t="s">
        <v>237</v>
      </c>
      <c r="S46" s="37">
        <v>3</v>
      </c>
      <c r="T46" t="s">
        <v>918</v>
      </c>
      <c r="U46" t="s">
        <v>919</v>
      </c>
      <c r="V46" s="37">
        <v>938.39385986328125</v>
      </c>
      <c r="W46" s="38">
        <v>0.19560955464839941</v>
      </c>
      <c r="X46" s="38">
        <v>0.2153955549001694</v>
      </c>
      <c r="Y46" s="39">
        <f t="shared" si="0"/>
        <v>1.9786000251769992E-2</v>
      </c>
    </row>
    <row r="47" spans="1:25" x14ac:dyDescent="0.3">
      <c r="A47" s="24" t="s">
        <v>748</v>
      </c>
      <c r="B47" s="24" t="s">
        <v>331</v>
      </c>
      <c r="C47" t="s">
        <v>749</v>
      </c>
      <c r="D47" t="s">
        <v>49</v>
      </c>
      <c r="E47" s="25" t="s">
        <v>750</v>
      </c>
      <c r="F47" s="26">
        <v>0.28730633999999999</v>
      </c>
      <c r="G47" s="26">
        <v>0.29475932999999999</v>
      </c>
      <c r="H47" s="26">
        <v>0.28034049</v>
      </c>
      <c r="I47" s="27" t="s">
        <v>584</v>
      </c>
      <c r="J47" s="27" t="s">
        <v>351</v>
      </c>
      <c r="K47" s="28">
        <v>0.57315534353256203</v>
      </c>
      <c r="L47" s="28">
        <v>0.467669397592544</v>
      </c>
      <c r="M47" s="29">
        <v>0.256013244390487</v>
      </c>
      <c r="Q47" t="s">
        <v>414</v>
      </c>
      <c r="R47" t="s">
        <v>41</v>
      </c>
      <c r="S47" s="37">
        <v>3</v>
      </c>
      <c r="T47" t="s">
        <v>918</v>
      </c>
      <c r="U47" t="s">
        <v>919</v>
      </c>
      <c r="V47" s="37">
        <v>3245294.25</v>
      </c>
      <c r="W47" s="38">
        <v>0.36969074606895452</v>
      </c>
      <c r="X47" s="38">
        <v>0.4195365309715271</v>
      </c>
      <c r="Y47" s="39">
        <f t="shared" si="0"/>
        <v>4.9845784902572576E-2</v>
      </c>
    </row>
    <row r="48" spans="1:25" x14ac:dyDescent="0.3">
      <c r="A48" s="24" t="s">
        <v>404</v>
      </c>
      <c r="B48" s="24" t="s">
        <v>276</v>
      </c>
      <c r="C48" t="s">
        <v>50</v>
      </c>
      <c r="D48" t="s">
        <v>50</v>
      </c>
      <c r="E48" s="25" t="s">
        <v>405</v>
      </c>
      <c r="F48" s="26">
        <v>0.31483629000000002</v>
      </c>
      <c r="G48" s="26">
        <v>0.28822213000000002</v>
      </c>
      <c r="H48" s="26">
        <v>0.34049582</v>
      </c>
      <c r="I48" s="27" t="s">
        <v>406</v>
      </c>
      <c r="J48" s="27" t="s">
        <v>407</v>
      </c>
      <c r="K48" s="28">
        <v>0.40641772747039701</v>
      </c>
      <c r="L48" s="28">
        <v>0.27249935269355702</v>
      </c>
      <c r="M48" s="29">
        <v>0.132044821977615</v>
      </c>
      <c r="Q48" t="s">
        <v>417</v>
      </c>
      <c r="R48" t="s">
        <v>42</v>
      </c>
      <c r="S48" s="37">
        <v>3</v>
      </c>
      <c r="T48" t="s">
        <v>918</v>
      </c>
      <c r="U48" t="s">
        <v>919</v>
      </c>
      <c r="V48" s="37">
        <v>12171.087890625</v>
      </c>
      <c r="W48" s="38">
        <v>0.13255193829536441</v>
      </c>
      <c r="X48" s="38">
        <v>0.16538861393928531</v>
      </c>
      <c r="Y48" s="39">
        <f t="shared" si="0"/>
        <v>3.2836675643920898E-2</v>
      </c>
    </row>
    <row r="49" spans="1:25" x14ac:dyDescent="0.3">
      <c r="A49" s="24" t="s">
        <v>452</v>
      </c>
      <c r="B49" s="24" t="s">
        <v>281</v>
      </c>
      <c r="C49" t="s">
        <v>51</v>
      </c>
      <c r="D49" t="s">
        <v>51</v>
      </c>
      <c r="E49" s="25" t="s">
        <v>453</v>
      </c>
      <c r="F49" s="26">
        <v>0.40491634999999998</v>
      </c>
      <c r="G49" s="26">
        <v>0.47492266</v>
      </c>
      <c r="H49" s="26">
        <v>0.33594590000000002</v>
      </c>
      <c r="I49" s="27" t="s">
        <v>323</v>
      </c>
      <c r="J49" s="27" t="s">
        <v>427</v>
      </c>
      <c r="K49" s="28">
        <v>0.64058214426040605</v>
      </c>
      <c r="L49" s="28">
        <v>0.33866566419601402</v>
      </c>
      <c r="M49" s="29">
        <v>0.127151429653167</v>
      </c>
      <c r="Q49" t="s">
        <v>421</v>
      </c>
      <c r="R49" t="s">
        <v>33</v>
      </c>
      <c r="S49" s="37">
        <v>3</v>
      </c>
      <c r="T49" t="s">
        <v>918</v>
      </c>
      <c r="U49" t="s">
        <v>919</v>
      </c>
      <c r="V49" s="37">
        <v>16192.4912109375</v>
      </c>
      <c r="W49" s="38">
        <v>0.14735746383666989</v>
      </c>
      <c r="X49" s="38">
        <v>0.18327707052230829</v>
      </c>
      <c r="Y49" s="39">
        <f t="shared" si="0"/>
        <v>3.59196066856384E-2</v>
      </c>
    </row>
    <row r="50" spans="1:25" x14ac:dyDescent="0.3">
      <c r="A50" s="24" t="s">
        <v>444</v>
      </c>
      <c r="B50" s="24" t="s">
        <v>271</v>
      </c>
      <c r="C50" t="s">
        <v>52</v>
      </c>
      <c r="D50" t="s">
        <v>52</v>
      </c>
      <c r="E50" s="25" t="s">
        <v>445</v>
      </c>
      <c r="F50" s="26">
        <v>0.30559807999999999</v>
      </c>
      <c r="G50" s="26">
        <v>0.28575978000000002</v>
      </c>
      <c r="H50" s="26">
        <v>0.32714915</v>
      </c>
      <c r="I50" s="27" t="s">
        <v>446</v>
      </c>
      <c r="J50" s="27" t="s">
        <v>447</v>
      </c>
      <c r="K50" s="28">
        <v>0.419670760631561</v>
      </c>
      <c r="L50" s="28">
        <v>0.25681254267692499</v>
      </c>
      <c r="M50" s="29">
        <v>0.13089178502559601</v>
      </c>
      <c r="Q50" t="s">
        <v>425</v>
      </c>
      <c r="R50" t="s">
        <v>44</v>
      </c>
      <c r="S50" s="37">
        <v>3</v>
      </c>
      <c r="T50" t="s">
        <v>918</v>
      </c>
      <c r="U50" t="s">
        <v>919</v>
      </c>
      <c r="V50" s="37">
        <v>639530.4375</v>
      </c>
      <c r="W50" s="38">
        <v>0.55520486831665039</v>
      </c>
      <c r="X50" s="38">
        <v>0.61629021167755127</v>
      </c>
      <c r="Y50" s="39">
        <f t="shared" si="0"/>
        <v>6.1085343360900879E-2</v>
      </c>
    </row>
    <row r="51" spans="1:25" x14ac:dyDescent="0.3">
      <c r="A51" s="24" t="s">
        <v>448</v>
      </c>
      <c r="B51" s="24" t="s">
        <v>294</v>
      </c>
      <c r="C51" t="s">
        <v>53</v>
      </c>
      <c r="D51" t="s">
        <v>53</v>
      </c>
      <c r="E51" s="25" t="s">
        <v>449</v>
      </c>
      <c r="F51" s="26">
        <v>0.48730233000000001</v>
      </c>
      <c r="G51" s="26">
        <v>0.45953852000000001</v>
      </c>
      <c r="H51" s="26">
        <v>0.51573860999999999</v>
      </c>
      <c r="I51" s="27" t="s">
        <v>450</v>
      </c>
      <c r="J51" s="30" t="s">
        <v>451</v>
      </c>
      <c r="K51" s="28">
        <v>0.61533623933792103</v>
      </c>
      <c r="L51" s="28">
        <v>0.48715180158615101</v>
      </c>
      <c r="M51" s="29">
        <v>0.201271101832389</v>
      </c>
      <c r="Q51" t="s">
        <v>429</v>
      </c>
      <c r="R51" t="s">
        <v>46</v>
      </c>
      <c r="S51" s="37">
        <v>3</v>
      </c>
      <c r="T51" t="s">
        <v>918</v>
      </c>
      <c r="U51" t="s">
        <v>919</v>
      </c>
      <c r="V51" s="37">
        <v>1202905</v>
      </c>
      <c r="W51" s="38">
        <v>0.36515340209007258</v>
      </c>
      <c r="X51" s="38">
        <v>0.39527875185012817</v>
      </c>
      <c r="Y51" s="39">
        <f t="shared" si="0"/>
        <v>3.0125349760055598E-2</v>
      </c>
    </row>
    <row r="52" spans="1:25" x14ac:dyDescent="0.3">
      <c r="A52" s="24" t="s">
        <v>454</v>
      </c>
      <c r="B52" s="24" t="s">
        <v>294</v>
      </c>
      <c r="C52" t="s">
        <v>54</v>
      </c>
      <c r="D52" t="s">
        <v>54</v>
      </c>
      <c r="E52" s="25" t="s">
        <v>455</v>
      </c>
      <c r="F52" s="26">
        <v>0.49723640000000002</v>
      </c>
      <c r="G52" s="26">
        <v>0.49285846999999999</v>
      </c>
      <c r="H52" s="26">
        <v>0.50143718999999998</v>
      </c>
      <c r="I52" s="27" t="s">
        <v>392</v>
      </c>
      <c r="J52" s="27" t="s">
        <v>439</v>
      </c>
      <c r="K52" s="28">
        <v>0.69677644968032804</v>
      </c>
      <c r="L52" s="28">
        <v>0.55091512203216497</v>
      </c>
      <c r="M52" s="29">
        <v>0.23310354351997301</v>
      </c>
      <c r="Q52" t="s">
        <v>432</v>
      </c>
      <c r="R52" t="s">
        <v>47</v>
      </c>
      <c r="S52" s="37">
        <v>3</v>
      </c>
      <c r="T52" t="s">
        <v>918</v>
      </c>
      <c r="U52" t="s">
        <v>919</v>
      </c>
      <c r="V52" s="37">
        <v>93191.234375</v>
      </c>
      <c r="W52" s="38">
        <v>0.37542125582695007</v>
      </c>
      <c r="X52" s="38">
        <v>0.41337829828262329</v>
      </c>
      <c r="Y52" s="39">
        <f t="shared" si="0"/>
        <v>3.7957042455673218E-2</v>
      </c>
    </row>
    <row r="53" spans="1:25" x14ac:dyDescent="0.3">
      <c r="A53" s="24" t="s">
        <v>459</v>
      </c>
      <c r="B53" s="24" t="s">
        <v>294</v>
      </c>
      <c r="C53" t="s">
        <v>55</v>
      </c>
      <c r="D53" t="s">
        <v>55</v>
      </c>
      <c r="E53" s="25" t="s">
        <v>460</v>
      </c>
      <c r="F53" s="26">
        <v>0.28060457</v>
      </c>
      <c r="G53" s="26">
        <v>0.31355696999999999</v>
      </c>
      <c r="H53" s="26">
        <v>0.24870723</v>
      </c>
      <c r="I53" s="27" t="s">
        <v>337</v>
      </c>
      <c r="J53" s="27" t="s">
        <v>329</v>
      </c>
      <c r="K53" s="28">
        <v>0.62635242938995295</v>
      </c>
      <c r="L53" s="28">
        <v>0.50727069377899103</v>
      </c>
      <c r="M53" s="28">
        <v>0.30289757251739502</v>
      </c>
      <c r="Q53" t="s">
        <v>436</v>
      </c>
      <c r="R53" t="s">
        <v>48</v>
      </c>
      <c r="S53" s="37">
        <v>3</v>
      </c>
      <c r="T53" t="s">
        <v>918</v>
      </c>
      <c r="U53" t="s">
        <v>919</v>
      </c>
      <c r="V53" s="37">
        <v>1408145.25</v>
      </c>
      <c r="W53" s="38">
        <v>0.41031807661056519</v>
      </c>
      <c r="X53" s="38">
        <v>0.45508971810340881</v>
      </c>
      <c r="Y53" s="39">
        <f t="shared" si="0"/>
        <v>4.4771641492843628E-2</v>
      </c>
    </row>
    <row r="54" spans="1:25" x14ac:dyDescent="0.3">
      <c r="A54" s="24" t="s">
        <v>461</v>
      </c>
      <c r="B54" s="24" t="s">
        <v>271</v>
      </c>
      <c r="C54" t="s">
        <v>56</v>
      </c>
      <c r="D54" t="s">
        <v>56</v>
      </c>
      <c r="E54" s="25" t="s">
        <v>462</v>
      </c>
      <c r="F54" s="26">
        <v>0.36629695000000001</v>
      </c>
      <c r="G54" s="26">
        <v>0.34579157999999999</v>
      </c>
      <c r="H54" s="26">
        <v>0.38642752000000002</v>
      </c>
      <c r="I54" s="27" t="s">
        <v>463</v>
      </c>
      <c r="J54" s="27" t="s">
        <v>464</v>
      </c>
      <c r="K54" s="28">
        <v>0.529588222503662</v>
      </c>
      <c r="L54" s="28">
        <v>0.44383975863456698</v>
      </c>
      <c r="M54" s="29">
        <v>0.202165693044662</v>
      </c>
      <c r="Q54" t="s">
        <v>440</v>
      </c>
      <c r="R54" t="s">
        <v>69</v>
      </c>
      <c r="S54" s="37">
        <v>3</v>
      </c>
      <c r="T54" t="s">
        <v>918</v>
      </c>
      <c r="U54" t="s">
        <v>919</v>
      </c>
      <c r="V54" s="37">
        <v>9743008</v>
      </c>
      <c r="W54" s="38">
        <v>0.51199030876159668</v>
      </c>
      <c r="X54" s="38">
        <v>0.55637443065643311</v>
      </c>
      <c r="Y54" s="39">
        <f t="shared" si="0"/>
        <v>4.4384121894836426E-2</v>
      </c>
    </row>
    <row r="55" spans="1:25" x14ac:dyDescent="0.3">
      <c r="A55" s="24" t="s">
        <v>788</v>
      </c>
      <c r="B55" s="24" t="s">
        <v>294</v>
      </c>
      <c r="C55" t="s">
        <v>57</v>
      </c>
      <c r="D55" t="s">
        <v>57</v>
      </c>
      <c r="E55" s="25" t="s">
        <v>789</v>
      </c>
      <c r="F55" s="26">
        <v>0.33587720999999998</v>
      </c>
      <c r="G55" s="26">
        <v>0.31375173000000001</v>
      </c>
      <c r="H55" s="26">
        <v>0.35267067000000002</v>
      </c>
      <c r="I55" s="27" t="s">
        <v>722</v>
      </c>
      <c r="J55" s="27" t="s">
        <v>790</v>
      </c>
      <c r="K55" s="28">
        <v>0.76365637779235795</v>
      </c>
      <c r="L55" s="28">
        <v>0.65687841176986606</v>
      </c>
      <c r="M55" s="29">
        <v>0.424793720245361</v>
      </c>
      <c r="Q55" t="s">
        <v>444</v>
      </c>
      <c r="R55" t="s">
        <v>52</v>
      </c>
      <c r="S55" s="37">
        <v>3</v>
      </c>
      <c r="T55" t="s">
        <v>918</v>
      </c>
      <c r="U55" t="s">
        <v>919</v>
      </c>
      <c r="V55" s="37">
        <v>19003.4921875</v>
      </c>
      <c r="W55" s="38">
        <v>0.13089178502559659</v>
      </c>
      <c r="X55" s="38">
        <v>0.1631644666194916</v>
      </c>
      <c r="Y55" s="39">
        <f t="shared" si="0"/>
        <v>3.2272681593895014E-2</v>
      </c>
    </row>
    <row r="56" spans="1:25" x14ac:dyDescent="0.3">
      <c r="A56" s="24" t="s">
        <v>518</v>
      </c>
      <c r="B56" s="24" t="s">
        <v>276</v>
      </c>
      <c r="C56" t="s">
        <v>58</v>
      </c>
      <c r="D56" t="s">
        <v>58</v>
      </c>
      <c r="E56" s="25" t="s">
        <v>519</v>
      </c>
      <c r="F56" s="26">
        <v>0.30097061000000003</v>
      </c>
      <c r="G56" s="26">
        <v>0.27241464999999998</v>
      </c>
      <c r="H56" s="26">
        <v>0.34358218000000001</v>
      </c>
      <c r="I56" s="27" t="s">
        <v>520</v>
      </c>
      <c r="J56" s="27" t="s">
        <v>521</v>
      </c>
      <c r="K56" s="28">
        <v>0.38547980785369801</v>
      </c>
      <c r="L56" s="28">
        <v>0.24707894027233099</v>
      </c>
      <c r="M56" s="29">
        <v>0.123957186937332</v>
      </c>
      <c r="Q56" t="s">
        <v>448</v>
      </c>
      <c r="R56" t="s">
        <v>53</v>
      </c>
      <c r="S56" s="37">
        <v>3</v>
      </c>
      <c r="T56" t="s">
        <v>918</v>
      </c>
      <c r="U56" t="s">
        <v>919</v>
      </c>
      <c r="V56" s="37">
        <v>4032.84814453125</v>
      </c>
      <c r="W56" s="38">
        <v>0.2012711018323898</v>
      </c>
      <c r="X56" s="38">
        <v>0.22634044289588931</v>
      </c>
      <c r="Y56" s="39">
        <f t="shared" si="0"/>
        <v>2.5069341063499506E-2</v>
      </c>
    </row>
    <row r="57" spans="1:25" x14ac:dyDescent="0.3">
      <c r="A57" s="24" t="s">
        <v>465</v>
      </c>
      <c r="B57" s="24" t="s">
        <v>276</v>
      </c>
      <c r="C57" t="s">
        <v>59</v>
      </c>
      <c r="D57" t="s">
        <v>59</v>
      </c>
      <c r="E57" s="25" t="s">
        <v>466</v>
      </c>
      <c r="F57" s="26">
        <v>0.20556279999999999</v>
      </c>
      <c r="G57" s="26">
        <v>0.18936732000000001</v>
      </c>
      <c r="H57" s="26">
        <v>0.22103486999999999</v>
      </c>
      <c r="I57" s="27" t="s">
        <v>467</v>
      </c>
      <c r="J57" s="27" t="s">
        <v>468</v>
      </c>
      <c r="K57" s="28">
        <v>0.41193214058875999</v>
      </c>
      <c r="L57" s="28">
        <v>0.25977006554603499</v>
      </c>
      <c r="M57" s="29">
        <v>0.15142787992954199</v>
      </c>
      <c r="Q57" t="s">
        <v>452</v>
      </c>
      <c r="R57" t="s">
        <v>51</v>
      </c>
      <c r="S57" s="37">
        <v>3</v>
      </c>
      <c r="T57" t="s">
        <v>918</v>
      </c>
      <c r="U57" t="s">
        <v>919</v>
      </c>
      <c r="V57" s="37">
        <v>181632.203125</v>
      </c>
      <c r="W57" s="38">
        <v>0.1271514296531677</v>
      </c>
      <c r="X57" s="38">
        <v>0.14255791902542109</v>
      </c>
      <c r="Y57" s="39">
        <f t="shared" si="0"/>
        <v>1.540648937225339E-2</v>
      </c>
    </row>
    <row r="58" spans="1:25" x14ac:dyDescent="0.3">
      <c r="A58" s="24" t="s">
        <v>473</v>
      </c>
      <c r="B58" s="24" t="s">
        <v>281</v>
      </c>
      <c r="C58" t="s">
        <v>60</v>
      </c>
      <c r="D58" t="s">
        <v>60</v>
      </c>
      <c r="E58" s="25" t="s">
        <v>474</v>
      </c>
      <c r="F58" s="26">
        <v>0.44218117000000001</v>
      </c>
      <c r="G58" s="26">
        <v>0.46772364</v>
      </c>
      <c r="H58" s="26">
        <v>0.41873303000000001</v>
      </c>
      <c r="I58" s="27" t="s">
        <v>475</v>
      </c>
      <c r="J58" s="27" t="s">
        <v>476</v>
      </c>
      <c r="K58" s="28">
        <v>0.55757588148116999</v>
      </c>
      <c r="L58" s="28">
        <v>0.42053458094596802</v>
      </c>
      <c r="M58" s="29">
        <v>0.179140985012054</v>
      </c>
      <c r="Q58" t="s">
        <v>454</v>
      </c>
      <c r="R58" t="s">
        <v>54</v>
      </c>
      <c r="S58" s="37">
        <v>3</v>
      </c>
      <c r="T58" t="s">
        <v>918</v>
      </c>
      <c r="U58" t="s">
        <v>919</v>
      </c>
      <c r="V58" s="37">
        <v>613237.9375</v>
      </c>
      <c r="W58" s="38">
        <v>0.23310354351997381</v>
      </c>
      <c r="X58" s="38">
        <v>0.25855565071105963</v>
      </c>
      <c r="Y58" s="39">
        <f t="shared" si="0"/>
        <v>2.5452107191085815E-2</v>
      </c>
    </row>
    <row r="59" spans="1:25" x14ac:dyDescent="0.3">
      <c r="A59" s="24" t="s">
        <v>816</v>
      </c>
      <c r="B59" s="24" t="s">
        <v>276</v>
      </c>
      <c r="C59" t="s">
        <v>61</v>
      </c>
      <c r="D59" t="s">
        <v>61</v>
      </c>
      <c r="E59" s="25" t="s">
        <v>817</v>
      </c>
      <c r="F59" s="26">
        <v>0.36737113999999998</v>
      </c>
      <c r="G59" s="26">
        <v>0.32134664000000002</v>
      </c>
      <c r="H59" s="26">
        <v>0.40875371999999999</v>
      </c>
      <c r="I59" s="27" t="s">
        <v>435</v>
      </c>
      <c r="J59" s="27" t="s">
        <v>818</v>
      </c>
      <c r="K59" s="28">
        <v>0.50779724121093694</v>
      </c>
      <c r="L59" s="28">
        <v>0.33804619312286299</v>
      </c>
      <c r="M59" s="29">
        <v>0.135177552700042</v>
      </c>
      <c r="Q59" t="s">
        <v>456</v>
      </c>
      <c r="R59" t="s">
        <v>5</v>
      </c>
      <c r="S59" s="37">
        <v>3</v>
      </c>
      <c r="T59" t="s">
        <v>918</v>
      </c>
      <c r="U59" t="s">
        <v>919</v>
      </c>
      <c r="V59" s="37">
        <v>1334902.75</v>
      </c>
      <c r="W59" s="38">
        <v>0.1735842823982239</v>
      </c>
      <c r="X59" s="38">
        <v>0.20465412735939029</v>
      </c>
      <c r="Y59" s="39">
        <f t="shared" si="0"/>
        <v>3.1069844961166382E-2</v>
      </c>
    </row>
    <row r="60" spans="1:25" x14ac:dyDescent="0.3">
      <c r="A60" s="24" t="s">
        <v>477</v>
      </c>
      <c r="B60" s="24" t="s">
        <v>276</v>
      </c>
      <c r="C60" t="s">
        <v>62</v>
      </c>
      <c r="D60" t="s">
        <v>62</v>
      </c>
      <c r="E60" s="25" t="s">
        <v>478</v>
      </c>
      <c r="F60" s="26">
        <v>0.24664509000000001</v>
      </c>
      <c r="G60" s="26">
        <v>0.20533894</v>
      </c>
      <c r="H60" s="26">
        <v>0.28639113999999999</v>
      </c>
      <c r="I60" s="27" t="s">
        <v>471</v>
      </c>
      <c r="J60" s="27" t="s">
        <v>479</v>
      </c>
      <c r="K60" s="28">
        <v>0.348272055387496</v>
      </c>
      <c r="L60" s="28">
        <v>0.157884836196899</v>
      </c>
      <c r="M60" s="28">
        <v>7.0711955428123502E-2</v>
      </c>
      <c r="Q60" t="s">
        <v>459</v>
      </c>
      <c r="R60" t="s">
        <v>55</v>
      </c>
      <c r="S60" s="37">
        <v>3</v>
      </c>
      <c r="T60" t="s">
        <v>918</v>
      </c>
      <c r="U60" t="s">
        <v>919</v>
      </c>
      <c r="V60" s="37">
        <v>736317.5625</v>
      </c>
      <c r="W60" s="38">
        <v>0.30289757251739502</v>
      </c>
      <c r="X60" s="38">
        <v>0.32784166932106018</v>
      </c>
      <c r="Y60" s="39">
        <f t="shared" si="0"/>
        <v>2.4944096803665161E-2</v>
      </c>
    </row>
    <row r="61" spans="1:25" x14ac:dyDescent="0.3">
      <c r="A61" s="24" t="s">
        <v>483</v>
      </c>
      <c r="B61" s="24" t="s">
        <v>306</v>
      </c>
      <c r="C61" t="s">
        <v>63</v>
      </c>
      <c r="D61" t="s">
        <v>63</v>
      </c>
      <c r="E61" s="25" t="s">
        <v>484</v>
      </c>
      <c r="F61" s="26">
        <v>0.40293922999999998</v>
      </c>
      <c r="G61" s="26">
        <v>0.37877807000000002</v>
      </c>
      <c r="H61" s="26">
        <v>0.42715745999999999</v>
      </c>
      <c r="I61" s="27" t="s">
        <v>485</v>
      </c>
      <c r="J61" s="27" t="s">
        <v>486</v>
      </c>
      <c r="K61" s="28">
        <v>0.55569326877593905</v>
      </c>
      <c r="L61" s="28">
        <v>0.35699272155761702</v>
      </c>
      <c r="M61" s="28">
        <v>0.13492198288440699</v>
      </c>
      <c r="Q61" t="s">
        <v>461</v>
      </c>
      <c r="R61" t="s">
        <v>56</v>
      </c>
      <c r="S61" s="37">
        <v>3</v>
      </c>
      <c r="T61" t="s">
        <v>918</v>
      </c>
      <c r="U61" t="s">
        <v>919</v>
      </c>
      <c r="V61" s="37">
        <v>3391185.5</v>
      </c>
      <c r="W61" s="38">
        <v>0.2021656930446625</v>
      </c>
      <c r="X61" s="38">
        <v>0.22551615536212921</v>
      </c>
      <c r="Y61" s="39">
        <f t="shared" si="0"/>
        <v>2.3350462317466708E-2</v>
      </c>
    </row>
    <row r="62" spans="1:25" x14ac:dyDescent="0.3">
      <c r="A62" s="24" t="s">
        <v>480</v>
      </c>
      <c r="B62" s="24" t="s">
        <v>281</v>
      </c>
      <c r="C62" t="s">
        <v>64</v>
      </c>
      <c r="D62" t="s">
        <v>64</v>
      </c>
      <c r="E62" s="25" t="s">
        <v>481</v>
      </c>
      <c r="F62" s="26">
        <v>0.43111413999999998</v>
      </c>
      <c r="G62" s="26">
        <v>0.4647271</v>
      </c>
      <c r="H62" s="26">
        <v>0.39811984</v>
      </c>
      <c r="I62" s="27" t="s">
        <v>313</v>
      </c>
      <c r="J62" s="27" t="s">
        <v>482</v>
      </c>
      <c r="K62" s="28">
        <v>0.74893426895141602</v>
      </c>
      <c r="L62" s="28">
        <v>0.59848451614379805</v>
      </c>
      <c r="M62" s="29">
        <v>0.32593759894370999</v>
      </c>
      <c r="Q62" t="s">
        <v>465</v>
      </c>
      <c r="R62" t="s">
        <v>59</v>
      </c>
      <c r="S62" s="37">
        <v>3</v>
      </c>
      <c r="T62" t="s">
        <v>918</v>
      </c>
      <c r="U62" t="s">
        <v>919</v>
      </c>
      <c r="V62" s="37">
        <v>38750.61328125</v>
      </c>
      <c r="W62" s="38">
        <v>0.15142787992954251</v>
      </c>
      <c r="X62" s="38">
        <v>0.1857436001300812</v>
      </c>
      <c r="Y62" s="39">
        <f t="shared" si="0"/>
        <v>3.4315720200538691E-2</v>
      </c>
    </row>
    <row r="63" spans="1:25" x14ac:dyDescent="0.3">
      <c r="A63" s="24" t="s">
        <v>487</v>
      </c>
      <c r="B63" s="24" t="s">
        <v>281</v>
      </c>
      <c r="C63" t="s">
        <v>65</v>
      </c>
      <c r="D63" t="s">
        <v>65</v>
      </c>
      <c r="E63" s="25" t="s">
        <v>488</v>
      </c>
      <c r="F63" s="26">
        <v>0.37063381000000001</v>
      </c>
      <c r="G63" s="26">
        <v>0.41956851000000001</v>
      </c>
      <c r="H63" s="26">
        <v>0.32516332999999997</v>
      </c>
      <c r="I63" s="27" t="s">
        <v>489</v>
      </c>
      <c r="J63" s="27" t="s">
        <v>471</v>
      </c>
      <c r="K63" s="28">
        <v>0.72108650207519498</v>
      </c>
      <c r="L63" s="28">
        <v>0.60392266511917103</v>
      </c>
      <c r="M63" s="29">
        <v>0.326923698186874</v>
      </c>
      <c r="Q63" t="s">
        <v>469</v>
      </c>
      <c r="R63" t="s">
        <v>164</v>
      </c>
      <c r="S63" s="37">
        <v>3</v>
      </c>
      <c r="T63" t="s">
        <v>918</v>
      </c>
      <c r="U63" t="s">
        <v>919</v>
      </c>
      <c r="V63" s="37">
        <v>3584420.25</v>
      </c>
      <c r="W63" s="38">
        <v>0.36730554699897772</v>
      </c>
      <c r="X63" s="38">
        <v>0.41589254140853882</v>
      </c>
      <c r="Y63" s="39">
        <f t="shared" si="0"/>
        <v>4.8586994409561102E-2</v>
      </c>
    </row>
    <row r="64" spans="1:25" x14ac:dyDescent="0.3">
      <c r="A64" s="24" t="s">
        <v>493</v>
      </c>
      <c r="B64" s="24" t="s">
        <v>276</v>
      </c>
      <c r="C64" t="s">
        <v>66</v>
      </c>
      <c r="D64" t="s">
        <v>66</v>
      </c>
      <c r="E64" s="25" t="s">
        <v>494</v>
      </c>
      <c r="F64" s="26">
        <v>0.33283338000000001</v>
      </c>
      <c r="G64" s="26">
        <v>0.31368667</v>
      </c>
      <c r="H64" s="26">
        <v>0.35328722000000001</v>
      </c>
      <c r="I64" s="27" t="s">
        <v>495</v>
      </c>
      <c r="J64" s="27" t="s">
        <v>496</v>
      </c>
      <c r="K64" s="28">
        <v>0.41999927163124001</v>
      </c>
      <c r="L64" s="28">
        <v>0.29030105471611001</v>
      </c>
      <c r="M64" s="29">
        <v>0.14246760308742501</v>
      </c>
      <c r="Q64" t="s">
        <v>473</v>
      </c>
      <c r="R64" t="s">
        <v>60</v>
      </c>
      <c r="S64" s="37">
        <v>3</v>
      </c>
      <c r="T64" t="s">
        <v>918</v>
      </c>
      <c r="U64" t="s">
        <v>919</v>
      </c>
      <c r="V64" s="37">
        <v>65081.76953125</v>
      </c>
      <c r="W64" s="38">
        <v>0.17914098501205439</v>
      </c>
      <c r="X64" s="38">
        <v>0.20145660638809201</v>
      </c>
      <c r="Y64" s="39">
        <f t="shared" si="0"/>
        <v>2.2315621376037625E-2</v>
      </c>
    </row>
    <row r="65" spans="1:25" x14ac:dyDescent="0.3">
      <c r="A65" s="24" t="s">
        <v>510</v>
      </c>
      <c r="B65" s="24" t="s">
        <v>276</v>
      </c>
      <c r="C65" t="s">
        <v>67</v>
      </c>
      <c r="D65" t="s">
        <v>67</v>
      </c>
      <c r="E65" s="25" t="s">
        <v>511</v>
      </c>
      <c r="F65" s="26">
        <v>0.32432663</v>
      </c>
      <c r="G65" s="26">
        <v>0.29118070000000001</v>
      </c>
      <c r="H65" s="26">
        <v>0.35513049000000002</v>
      </c>
      <c r="I65" s="27" t="s">
        <v>512</v>
      </c>
      <c r="J65" s="27" t="s">
        <v>513</v>
      </c>
      <c r="K65" s="28">
        <v>0.46249568462371798</v>
      </c>
      <c r="L65" s="28">
        <v>0.27866807579994202</v>
      </c>
      <c r="M65" s="29">
        <v>0.10821831971406901</v>
      </c>
      <c r="Q65" t="s">
        <v>477</v>
      </c>
      <c r="R65" t="s">
        <v>62</v>
      </c>
      <c r="S65" s="37">
        <v>3</v>
      </c>
      <c r="T65" t="s">
        <v>918</v>
      </c>
      <c r="U65" t="s">
        <v>919</v>
      </c>
      <c r="V65" s="37">
        <v>691887.5</v>
      </c>
      <c r="W65" s="38">
        <v>7.0711955428123474E-2</v>
      </c>
      <c r="X65" s="38">
        <v>8.7684385478496552E-2</v>
      </c>
      <c r="Y65" s="39">
        <f t="shared" si="0"/>
        <v>1.6972430050373077E-2</v>
      </c>
    </row>
    <row r="66" spans="1:25" x14ac:dyDescent="0.3">
      <c r="A66" s="24" t="s">
        <v>502</v>
      </c>
      <c r="B66" s="24" t="s">
        <v>281</v>
      </c>
      <c r="C66" t="s">
        <v>68</v>
      </c>
      <c r="D66" t="s">
        <v>68</v>
      </c>
      <c r="E66" s="25" t="s">
        <v>503</v>
      </c>
      <c r="F66" s="26">
        <v>0.50276595000000002</v>
      </c>
      <c r="G66" s="26">
        <v>0.50383449000000002</v>
      </c>
      <c r="H66" s="26">
        <v>0.50186288000000001</v>
      </c>
      <c r="I66" s="27" t="s">
        <v>427</v>
      </c>
      <c r="J66" s="27" t="s">
        <v>504</v>
      </c>
      <c r="K66" s="28">
        <v>0.69268763065338101</v>
      </c>
      <c r="L66" s="28">
        <v>0.53908795118331898</v>
      </c>
      <c r="M66" s="29">
        <v>0.19897511601448001</v>
      </c>
      <c r="Q66" t="s">
        <v>480</v>
      </c>
      <c r="R66" t="s">
        <v>64</v>
      </c>
      <c r="S66" s="37">
        <v>3</v>
      </c>
      <c r="T66" t="s">
        <v>918</v>
      </c>
      <c r="U66" t="s">
        <v>919</v>
      </c>
      <c r="V66" s="37">
        <v>482984.0625</v>
      </c>
      <c r="W66" s="38">
        <v>0.32593759894371033</v>
      </c>
      <c r="X66" s="38">
        <v>0.35246729850769037</v>
      </c>
      <c r="Y66" s="39">
        <f t="shared" si="0"/>
        <v>2.6529699563980047E-2</v>
      </c>
    </row>
    <row r="67" spans="1:25" x14ac:dyDescent="0.3">
      <c r="A67" s="24" t="s">
        <v>440</v>
      </c>
      <c r="B67" s="24" t="s">
        <v>281</v>
      </c>
      <c r="C67" t="s">
        <v>69</v>
      </c>
      <c r="D67" t="s">
        <v>69</v>
      </c>
      <c r="E67" s="25" t="s">
        <v>441</v>
      </c>
      <c r="F67" s="26">
        <v>0.36105427000000001</v>
      </c>
      <c r="G67" s="26">
        <v>0.39759597000000002</v>
      </c>
      <c r="H67" s="26">
        <v>0.32507353999999999</v>
      </c>
      <c r="I67" s="27" t="s">
        <v>442</v>
      </c>
      <c r="J67" s="27" t="s">
        <v>443</v>
      </c>
      <c r="K67" s="28">
        <v>0.77236306667327803</v>
      </c>
      <c r="L67" s="28">
        <v>0.70049589872360196</v>
      </c>
      <c r="M67" s="29">
        <v>0.51199030876159601</v>
      </c>
      <c r="Q67" t="s">
        <v>483</v>
      </c>
      <c r="R67" t="s">
        <v>63</v>
      </c>
      <c r="S67" s="37">
        <v>3</v>
      </c>
      <c r="T67" t="s">
        <v>918</v>
      </c>
      <c r="U67" t="s">
        <v>919</v>
      </c>
      <c r="V67" s="37">
        <v>23679.810546875</v>
      </c>
      <c r="W67" s="38">
        <v>0.13492198288440699</v>
      </c>
      <c r="X67" s="38">
        <v>0.15099591016769409</v>
      </c>
      <c r="Y67" s="39">
        <f t="shared" si="0"/>
        <v>1.6073927283287104E-2</v>
      </c>
    </row>
    <row r="68" spans="1:25" x14ac:dyDescent="0.3">
      <c r="A68" s="24" t="s">
        <v>505</v>
      </c>
      <c r="B68" s="24" t="s">
        <v>276</v>
      </c>
      <c r="C68" t="s">
        <v>70</v>
      </c>
      <c r="D68" t="s">
        <v>70</v>
      </c>
      <c r="E68" s="25" t="s">
        <v>506</v>
      </c>
      <c r="F68" s="26">
        <v>0.29175356000000002</v>
      </c>
      <c r="G68" s="26">
        <v>0.26237919999999998</v>
      </c>
      <c r="H68" s="26">
        <v>0.3212738</v>
      </c>
      <c r="I68" s="27" t="s">
        <v>507</v>
      </c>
      <c r="J68" s="27" t="s">
        <v>352</v>
      </c>
      <c r="K68" s="28">
        <v>0.51966512203216497</v>
      </c>
      <c r="L68" s="28">
        <v>0.38223490118980402</v>
      </c>
      <c r="M68" s="29">
        <v>0.212050780653953</v>
      </c>
      <c r="Q68" t="s">
        <v>487</v>
      </c>
      <c r="R68" t="s">
        <v>65</v>
      </c>
      <c r="S68" s="37">
        <v>3</v>
      </c>
      <c r="T68" t="s">
        <v>918</v>
      </c>
      <c r="U68" t="s">
        <v>919</v>
      </c>
      <c r="V68" s="37">
        <v>4742417.5</v>
      </c>
      <c r="W68" s="38">
        <v>0.32692369818687439</v>
      </c>
      <c r="X68" s="38">
        <v>0.35880619287490839</v>
      </c>
      <c r="Y68" s="39">
        <f t="shared" si="0"/>
        <v>3.1882494688034002E-2</v>
      </c>
    </row>
    <row r="69" spans="1:25" x14ac:dyDescent="0.3">
      <c r="A69" s="24" t="s">
        <v>522</v>
      </c>
      <c r="B69" s="24" t="s">
        <v>281</v>
      </c>
      <c r="C69" t="s">
        <v>71</v>
      </c>
      <c r="D69" t="s">
        <v>71</v>
      </c>
      <c r="E69" s="25" t="s">
        <v>523</v>
      </c>
      <c r="F69" s="26">
        <v>0.38737716999999999</v>
      </c>
      <c r="G69" s="26">
        <v>0.42753413000000001</v>
      </c>
      <c r="H69" s="26">
        <v>0.34886092000000002</v>
      </c>
      <c r="I69" s="27" t="s">
        <v>316</v>
      </c>
      <c r="J69" s="27" t="s">
        <v>524</v>
      </c>
      <c r="K69" s="28">
        <v>0.72780901193618697</v>
      </c>
      <c r="L69" s="28">
        <v>0.69641298055648804</v>
      </c>
      <c r="M69" s="29">
        <v>0.38871151208877502</v>
      </c>
      <c r="Q69" t="s">
        <v>490</v>
      </c>
      <c r="R69" t="s">
        <v>116</v>
      </c>
      <c r="S69" s="37">
        <v>3</v>
      </c>
      <c r="T69" t="s">
        <v>918</v>
      </c>
      <c r="U69" t="s">
        <v>919</v>
      </c>
      <c r="V69" s="37">
        <v>2478.357666015625</v>
      </c>
      <c r="W69" s="38">
        <v>0.1528633534908295</v>
      </c>
      <c r="X69" s="38">
        <v>0.16993515193462369</v>
      </c>
      <c r="Y69" s="39">
        <f t="shared" si="0"/>
        <v>1.7071798443794195E-2</v>
      </c>
    </row>
    <row r="70" spans="1:25" x14ac:dyDescent="0.3">
      <c r="A70" s="24" t="s">
        <v>525</v>
      </c>
      <c r="B70" s="24" t="s">
        <v>294</v>
      </c>
      <c r="C70" t="s">
        <v>73</v>
      </c>
      <c r="D70" t="s">
        <v>73</v>
      </c>
      <c r="E70" s="25" t="s">
        <v>526</v>
      </c>
      <c r="F70" s="26">
        <v>0.48165825000000001</v>
      </c>
      <c r="G70" s="26">
        <v>0.48665642999999997</v>
      </c>
      <c r="H70" s="26">
        <v>0.47663936000000001</v>
      </c>
      <c r="I70" s="27" t="s">
        <v>527</v>
      </c>
      <c r="J70" s="30" t="s">
        <v>528</v>
      </c>
      <c r="K70" s="28">
        <v>0.65816187858581499</v>
      </c>
      <c r="L70" s="28">
        <v>0.49878934025764399</v>
      </c>
      <c r="M70" s="29">
        <v>0.21419972181320099</v>
      </c>
      <c r="Q70" t="s">
        <v>493</v>
      </c>
      <c r="R70" t="s">
        <v>66</v>
      </c>
      <c r="S70" s="37">
        <v>3</v>
      </c>
      <c r="T70" t="s">
        <v>918</v>
      </c>
      <c r="U70" t="s">
        <v>919</v>
      </c>
      <c r="V70" s="37">
        <v>44263.06640625</v>
      </c>
      <c r="W70" s="38">
        <v>0.1424676030874252</v>
      </c>
      <c r="X70" s="38">
        <v>0.17261472344398501</v>
      </c>
      <c r="Y70" s="39">
        <f t="shared" si="0"/>
        <v>3.0147120356559809E-2</v>
      </c>
    </row>
    <row r="71" spans="1:25" x14ac:dyDescent="0.3">
      <c r="A71" s="24" t="s">
        <v>529</v>
      </c>
      <c r="B71" s="24" t="s">
        <v>294</v>
      </c>
      <c r="C71" t="s">
        <v>74</v>
      </c>
      <c r="D71" t="s">
        <v>74</v>
      </c>
      <c r="E71" s="25" t="s">
        <v>530</v>
      </c>
      <c r="F71" s="26">
        <v>0.29927989999999999</v>
      </c>
      <c r="G71" s="26">
        <v>0.28929704000000001</v>
      </c>
      <c r="H71" s="26">
        <v>0.30812444999999999</v>
      </c>
      <c r="I71" s="27" t="s">
        <v>312</v>
      </c>
      <c r="J71" s="27" t="s">
        <v>329</v>
      </c>
      <c r="K71" s="28">
        <v>0.57355695962905795</v>
      </c>
      <c r="L71" s="28">
        <v>0.370118618011474</v>
      </c>
      <c r="M71" s="29">
        <v>0.21666623651981301</v>
      </c>
      <c r="Q71" t="s">
        <v>497</v>
      </c>
      <c r="R71" t="s">
        <v>184</v>
      </c>
      <c r="S71" s="37">
        <v>3</v>
      </c>
      <c r="T71" t="s">
        <v>918</v>
      </c>
      <c r="U71" t="s">
        <v>919</v>
      </c>
      <c r="V71" s="37">
        <v>4437423.5</v>
      </c>
      <c r="W71" s="38">
        <v>0.35307422280311579</v>
      </c>
      <c r="X71" s="38">
        <v>0.38131636381149292</v>
      </c>
      <c r="Y71" s="39">
        <f t="shared" si="0"/>
        <v>2.8242141008377131E-2</v>
      </c>
    </row>
    <row r="72" spans="1:25" x14ac:dyDescent="0.3">
      <c r="A72" s="24" t="s">
        <v>508</v>
      </c>
      <c r="B72" s="24" t="s">
        <v>276</v>
      </c>
      <c r="C72" t="s">
        <v>75</v>
      </c>
      <c r="D72" t="s">
        <v>75</v>
      </c>
      <c r="E72" s="25" t="s">
        <v>509</v>
      </c>
      <c r="F72" s="26">
        <v>0.35600906999999998</v>
      </c>
      <c r="G72" s="26">
        <v>0.31920915999999999</v>
      </c>
      <c r="H72" s="26">
        <v>0.38554223999999998</v>
      </c>
      <c r="I72" s="27" t="s">
        <v>313</v>
      </c>
      <c r="J72" s="27" t="s">
        <v>323</v>
      </c>
      <c r="K72" s="28">
        <v>0.45274370908737099</v>
      </c>
      <c r="L72" s="28">
        <v>0.23665082454681399</v>
      </c>
      <c r="M72" s="28">
        <v>8.4529228508472401E-2</v>
      </c>
      <c r="Q72" t="s">
        <v>502</v>
      </c>
      <c r="R72" t="s">
        <v>68</v>
      </c>
      <c r="S72" s="37">
        <v>3</v>
      </c>
      <c r="T72" t="s">
        <v>918</v>
      </c>
      <c r="U72" t="s">
        <v>919</v>
      </c>
      <c r="V72" s="37">
        <v>232923.28125</v>
      </c>
      <c r="W72" s="38">
        <v>0.19897511601448059</v>
      </c>
      <c r="X72" s="38">
        <v>0.22416262328624731</v>
      </c>
      <c r="Y72" s="39">
        <f t="shared" si="0"/>
        <v>2.5187507271766718E-2</v>
      </c>
    </row>
    <row r="73" spans="1:25" x14ac:dyDescent="0.3">
      <c r="A73" s="24" t="s">
        <v>514</v>
      </c>
      <c r="B73" s="24" t="s">
        <v>276</v>
      </c>
      <c r="C73" t="s">
        <v>76</v>
      </c>
      <c r="D73" t="s">
        <v>76</v>
      </c>
      <c r="E73" s="25" t="s">
        <v>515</v>
      </c>
      <c r="F73" s="26">
        <v>0.32706164999999998</v>
      </c>
      <c r="G73" s="26">
        <v>0.30171948999999998</v>
      </c>
      <c r="H73" s="26">
        <v>0.34935680000000002</v>
      </c>
      <c r="I73" s="27" t="s">
        <v>516</v>
      </c>
      <c r="J73" s="27" t="s">
        <v>517</v>
      </c>
      <c r="K73" s="28">
        <v>0.43938702344894398</v>
      </c>
      <c r="L73" s="28">
        <v>0.26926857233047402</v>
      </c>
      <c r="M73" s="29">
        <v>0.126316398382186</v>
      </c>
      <c r="Q73" t="s">
        <v>505</v>
      </c>
      <c r="R73" t="s">
        <v>70</v>
      </c>
      <c r="S73" s="37">
        <v>3</v>
      </c>
      <c r="T73" t="s">
        <v>918</v>
      </c>
      <c r="U73" t="s">
        <v>919</v>
      </c>
      <c r="V73" s="37">
        <v>758034.25</v>
      </c>
      <c r="W73" s="38">
        <v>0.21205078065395361</v>
      </c>
      <c r="X73" s="38">
        <v>0.25922483205795288</v>
      </c>
      <c r="Y73" s="39">
        <f t="shared" si="0"/>
        <v>4.7174051403999273E-2</v>
      </c>
    </row>
    <row r="74" spans="1:25" x14ac:dyDescent="0.3">
      <c r="A74" s="24" t="s">
        <v>531</v>
      </c>
      <c r="B74" s="24" t="s">
        <v>294</v>
      </c>
      <c r="C74" t="s">
        <v>77</v>
      </c>
      <c r="D74" t="s">
        <v>77</v>
      </c>
      <c r="E74" s="25" t="s">
        <v>532</v>
      </c>
      <c r="F74" s="26">
        <v>0.41704929000000002</v>
      </c>
      <c r="G74" s="26">
        <v>0.38848435999999997</v>
      </c>
      <c r="H74" s="26">
        <v>0.44491607</v>
      </c>
      <c r="I74" s="27" t="s">
        <v>373</v>
      </c>
      <c r="J74" s="27" t="s">
        <v>533</v>
      </c>
      <c r="K74" s="28">
        <v>0.66401863098144498</v>
      </c>
      <c r="L74" s="28">
        <v>0.50046831369400002</v>
      </c>
      <c r="M74" s="29">
        <v>0.22445517778396601</v>
      </c>
      <c r="Q74" t="s">
        <v>508</v>
      </c>
      <c r="R74" t="s">
        <v>75</v>
      </c>
      <c r="S74" s="37">
        <v>3</v>
      </c>
      <c r="T74" t="s">
        <v>918</v>
      </c>
      <c r="U74" t="s">
        <v>919</v>
      </c>
      <c r="V74" s="37">
        <v>124944.859375</v>
      </c>
      <c r="W74" s="38">
        <v>8.4529228508472443E-2</v>
      </c>
      <c r="X74" s="38">
        <v>0.10417803376913071</v>
      </c>
      <c r="Y74" s="39">
        <f t="shared" ref="Y74:Y137" si="1">+X74-W74</f>
        <v>1.9648805260658264E-2</v>
      </c>
    </row>
    <row r="75" spans="1:25" x14ac:dyDescent="0.3">
      <c r="A75" s="24" t="s">
        <v>540</v>
      </c>
      <c r="B75" s="24" t="s">
        <v>294</v>
      </c>
      <c r="C75" t="s">
        <v>78</v>
      </c>
      <c r="D75" t="s">
        <v>78</v>
      </c>
      <c r="E75" s="25" t="s">
        <v>541</v>
      </c>
      <c r="F75" s="26">
        <v>0.41168344000000001</v>
      </c>
      <c r="G75" s="26">
        <v>0.34507220999999999</v>
      </c>
      <c r="H75" s="26">
        <v>0.47308391</v>
      </c>
      <c r="I75" s="27" t="s">
        <v>439</v>
      </c>
      <c r="J75" s="27" t="s">
        <v>292</v>
      </c>
      <c r="K75" s="28">
        <v>0.56903165578842096</v>
      </c>
      <c r="L75" s="28">
        <v>0.27923414111137301</v>
      </c>
      <c r="M75" s="28">
        <v>8.0827489495277405E-2</v>
      </c>
      <c r="Q75" t="s">
        <v>510</v>
      </c>
      <c r="R75" t="s">
        <v>67</v>
      </c>
      <c r="S75" s="37">
        <v>3</v>
      </c>
      <c r="T75" t="s">
        <v>918</v>
      </c>
      <c r="U75" t="s">
        <v>919</v>
      </c>
      <c r="V75" s="37">
        <v>27045.28515625</v>
      </c>
      <c r="W75" s="38">
        <v>0.10821831971406939</v>
      </c>
      <c r="X75" s="38">
        <v>0.1326311528682709</v>
      </c>
      <c r="Y75" s="39">
        <f t="shared" si="1"/>
        <v>2.4412833154201508E-2</v>
      </c>
    </row>
    <row r="76" spans="1:25" x14ac:dyDescent="0.3">
      <c r="A76" s="24" t="s">
        <v>534</v>
      </c>
      <c r="B76" s="24" t="s">
        <v>294</v>
      </c>
      <c r="C76" t="s">
        <v>79</v>
      </c>
      <c r="D76" t="s">
        <v>79</v>
      </c>
      <c r="E76" s="25" t="s">
        <v>535</v>
      </c>
      <c r="F76" s="26">
        <v>0.30957510999999999</v>
      </c>
      <c r="G76" s="26">
        <v>0.30372705999999999</v>
      </c>
      <c r="H76" s="26">
        <v>0.31515247000000002</v>
      </c>
      <c r="I76" s="27" t="s">
        <v>536</v>
      </c>
      <c r="J76" s="27" t="s">
        <v>537</v>
      </c>
      <c r="K76" s="28">
        <v>0.66776555776596003</v>
      </c>
      <c r="L76" s="28">
        <v>0.59261888265609697</v>
      </c>
      <c r="M76" s="28">
        <v>0.35146033763885498</v>
      </c>
      <c r="Q76" t="s">
        <v>514</v>
      </c>
      <c r="R76" t="s">
        <v>76</v>
      </c>
      <c r="S76" s="37">
        <v>3</v>
      </c>
      <c r="T76" t="s">
        <v>918</v>
      </c>
      <c r="U76" t="s">
        <v>919</v>
      </c>
      <c r="V76" s="37">
        <v>27665.00390625</v>
      </c>
      <c r="W76" s="38">
        <v>0.12631639838218689</v>
      </c>
      <c r="X76" s="38">
        <v>0.152496337890625</v>
      </c>
      <c r="Y76" s="39">
        <f t="shared" si="1"/>
        <v>2.617993950843811E-2</v>
      </c>
    </row>
    <row r="77" spans="1:25" x14ac:dyDescent="0.3">
      <c r="A77" s="24" t="s">
        <v>542</v>
      </c>
      <c r="B77" s="24" t="s">
        <v>281</v>
      </c>
      <c r="C77" t="s">
        <v>80</v>
      </c>
      <c r="D77" t="s">
        <v>80</v>
      </c>
      <c r="E77" s="25" t="s">
        <v>543</v>
      </c>
      <c r="F77" s="26">
        <v>0.54810554</v>
      </c>
      <c r="G77" s="26">
        <v>0.59816860999999999</v>
      </c>
      <c r="H77" s="26">
        <v>0.50307071000000003</v>
      </c>
      <c r="I77" s="27" t="s">
        <v>438</v>
      </c>
      <c r="J77" s="27" t="s">
        <v>316</v>
      </c>
      <c r="K77" s="28">
        <v>0.68001681566238403</v>
      </c>
      <c r="L77" s="28">
        <v>0.59923273324966397</v>
      </c>
      <c r="M77" s="28">
        <v>0.273018479347229</v>
      </c>
      <c r="Q77" t="s">
        <v>518</v>
      </c>
      <c r="R77" t="s">
        <v>58</v>
      </c>
      <c r="S77" s="37">
        <v>3</v>
      </c>
      <c r="T77" t="s">
        <v>918</v>
      </c>
      <c r="U77" t="s">
        <v>919</v>
      </c>
      <c r="V77" s="37">
        <v>20025.455078125</v>
      </c>
      <c r="W77" s="38">
        <v>0.12395718693733219</v>
      </c>
      <c r="X77" s="38">
        <v>0.14736129343509671</v>
      </c>
      <c r="Y77" s="39">
        <f t="shared" si="1"/>
        <v>2.3404106497764518E-2</v>
      </c>
    </row>
    <row r="78" spans="1:25" x14ac:dyDescent="0.3">
      <c r="A78" s="24" t="s">
        <v>562</v>
      </c>
      <c r="B78" s="24" t="s">
        <v>281</v>
      </c>
      <c r="C78" t="s">
        <v>81</v>
      </c>
      <c r="D78" t="s">
        <v>81</v>
      </c>
      <c r="E78" s="25" t="s">
        <v>563</v>
      </c>
      <c r="F78" s="26">
        <v>0.31696184999999999</v>
      </c>
      <c r="G78" s="26">
        <v>0.34813433999999999</v>
      </c>
      <c r="H78" s="26">
        <v>0.28549038999999998</v>
      </c>
      <c r="I78" s="27" t="s">
        <v>564</v>
      </c>
      <c r="J78" s="27" t="s">
        <v>527</v>
      </c>
      <c r="K78" s="28">
        <v>0.86610662937164296</v>
      </c>
      <c r="L78" s="28">
        <v>0.77058762311935403</v>
      </c>
      <c r="M78" s="29">
        <v>0.55418646335601796</v>
      </c>
      <c r="Q78" t="s">
        <v>522</v>
      </c>
      <c r="R78" t="s">
        <v>71</v>
      </c>
      <c r="S78" s="37">
        <v>3</v>
      </c>
      <c r="T78" t="s">
        <v>918</v>
      </c>
      <c r="U78" t="s">
        <v>919</v>
      </c>
      <c r="V78" s="37">
        <v>990183.6875</v>
      </c>
      <c r="W78" s="38">
        <v>0.38871151208877558</v>
      </c>
      <c r="X78" s="38">
        <v>0.42776486277580261</v>
      </c>
      <c r="Y78" s="39">
        <f t="shared" si="1"/>
        <v>3.9053350687027033E-2</v>
      </c>
    </row>
    <row r="79" spans="1:25" x14ac:dyDescent="0.3">
      <c r="A79" s="24" t="s">
        <v>548</v>
      </c>
      <c r="B79" s="24" t="s">
        <v>331</v>
      </c>
      <c r="C79" t="s">
        <v>82</v>
      </c>
      <c r="D79" t="s">
        <v>82</v>
      </c>
      <c r="E79" s="25" t="s">
        <v>549</v>
      </c>
      <c r="F79" s="26">
        <v>0.30298522</v>
      </c>
      <c r="G79" s="26">
        <v>0.31048789999999998</v>
      </c>
      <c r="H79" s="26">
        <v>0.29506260000000001</v>
      </c>
      <c r="I79" s="27" t="s">
        <v>550</v>
      </c>
      <c r="J79" s="27" t="s">
        <v>551</v>
      </c>
      <c r="K79" s="28">
        <v>0.39111831784248302</v>
      </c>
      <c r="L79" s="28">
        <v>0.32580792903900102</v>
      </c>
      <c r="M79" s="29">
        <v>0.17267854511737801</v>
      </c>
      <c r="Q79" t="s">
        <v>525</v>
      </c>
      <c r="R79" t="s">
        <v>73</v>
      </c>
      <c r="S79" s="37">
        <v>3</v>
      </c>
      <c r="T79" t="s">
        <v>918</v>
      </c>
      <c r="U79" t="s">
        <v>919</v>
      </c>
      <c r="V79" s="37">
        <v>6286.83154296875</v>
      </c>
      <c r="W79" s="38">
        <v>0.2141997218132019</v>
      </c>
      <c r="X79" s="38">
        <v>0.23900520801544189</v>
      </c>
      <c r="Y79" s="39">
        <f t="shared" si="1"/>
        <v>2.480548620223999E-2</v>
      </c>
    </row>
    <row r="80" spans="1:25" x14ac:dyDescent="0.3">
      <c r="A80" s="24" t="s">
        <v>544</v>
      </c>
      <c r="B80" s="24" t="s">
        <v>306</v>
      </c>
      <c r="C80" t="s">
        <v>83</v>
      </c>
      <c r="D80" t="s">
        <v>83</v>
      </c>
      <c r="E80" s="25" t="s">
        <v>545</v>
      </c>
      <c r="F80" s="26">
        <v>0.43196145000000002</v>
      </c>
      <c r="G80" s="26">
        <v>0.37315837000000002</v>
      </c>
      <c r="H80" s="26">
        <v>0.48993096000000003</v>
      </c>
      <c r="I80" s="27" t="s">
        <v>546</v>
      </c>
      <c r="J80" s="27" t="s">
        <v>547</v>
      </c>
      <c r="K80" s="28">
        <v>0.37492975592613198</v>
      </c>
      <c r="L80" s="28">
        <v>0.20756892859935699</v>
      </c>
      <c r="M80" s="28">
        <v>4.9966223537921899E-2</v>
      </c>
      <c r="Q80" t="s">
        <v>529</v>
      </c>
      <c r="R80" t="s">
        <v>74</v>
      </c>
      <c r="S80" s="37">
        <v>3</v>
      </c>
      <c r="T80" t="s">
        <v>918</v>
      </c>
      <c r="U80" t="s">
        <v>919</v>
      </c>
      <c r="V80" s="37">
        <v>476664.46875</v>
      </c>
      <c r="W80" s="38">
        <v>0.21666623651981351</v>
      </c>
      <c r="X80" s="38">
        <v>0.25471803545951838</v>
      </c>
      <c r="Y80" s="39">
        <f t="shared" si="1"/>
        <v>3.8051798939704867E-2</v>
      </c>
    </row>
    <row r="81" spans="1:25" x14ac:dyDescent="0.3">
      <c r="A81" s="24" t="s">
        <v>555</v>
      </c>
      <c r="B81" s="24" t="s">
        <v>271</v>
      </c>
      <c r="C81" t="s">
        <v>84</v>
      </c>
      <c r="D81" t="s">
        <v>84</v>
      </c>
      <c r="E81" s="25" t="s">
        <v>556</v>
      </c>
      <c r="F81" s="26">
        <v>0.21842091</v>
      </c>
      <c r="G81" s="26">
        <v>0.23586926999999999</v>
      </c>
      <c r="H81" s="26">
        <v>0.20108435999999999</v>
      </c>
      <c r="I81" s="27" t="s">
        <v>557</v>
      </c>
      <c r="J81" s="27" t="s">
        <v>407</v>
      </c>
      <c r="K81" s="28">
        <v>0.61427956819534302</v>
      </c>
      <c r="L81" s="28">
        <v>0.49414286017417902</v>
      </c>
      <c r="M81" s="28">
        <v>0.26847335696220398</v>
      </c>
      <c r="Q81" t="s">
        <v>531</v>
      </c>
      <c r="R81" t="s">
        <v>77</v>
      </c>
      <c r="S81" s="37">
        <v>3</v>
      </c>
      <c r="T81" t="s">
        <v>918</v>
      </c>
      <c r="U81" t="s">
        <v>919</v>
      </c>
      <c r="V81" s="37">
        <v>33792.0546875</v>
      </c>
      <c r="W81" s="38">
        <v>0.22445517778396609</v>
      </c>
      <c r="X81" s="38">
        <v>0.24669857323169711</v>
      </c>
      <c r="Y81" s="39">
        <f t="shared" si="1"/>
        <v>2.2243395447731018E-2</v>
      </c>
    </row>
    <row r="82" spans="1:25" x14ac:dyDescent="0.3">
      <c r="A82" s="24" t="s">
        <v>558</v>
      </c>
      <c r="B82" s="24" t="s">
        <v>271</v>
      </c>
      <c r="C82" t="s">
        <v>85</v>
      </c>
      <c r="D82" t="s">
        <v>85</v>
      </c>
      <c r="E82" s="25" t="s">
        <v>559</v>
      </c>
      <c r="F82" s="26">
        <v>0.44321975000000002</v>
      </c>
      <c r="G82" s="26">
        <v>0.45052722000000001</v>
      </c>
      <c r="H82" s="26">
        <v>0.43602746999999997</v>
      </c>
      <c r="I82" s="27" t="s">
        <v>560</v>
      </c>
      <c r="J82" s="27" t="s">
        <v>561</v>
      </c>
      <c r="K82" s="28">
        <v>0.61118793487548795</v>
      </c>
      <c r="L82" s="28">
        <v>0.418785840272903</v>
      </c>
      <c r="M82" s="29">
        <v>0.13758186995983099</v>
      </c>
      <c r="Q82" t="s">
        <v>534</v>
      </c>
      <c r="R82" t="s">
        <v>79</v>
      </c>
      <c r="S82" s="37">
        <v>3</v>
      </c>
      <c r="T82" t="s">
        <v>918</v>
      </c>
      <c r="U82" t="s">
        <v>919</v>
      </c>
      <c r="V82" s="37">
        <v>473630.90625</v>
      </c>
      <c r="W82" s="38">
        <v>0.35146033763885498</v>
      </c>
      <c r="X82" s="38">
        <v>0.39090505242347717</v>
      </c>
      <c r="Y82" s="39">
        <f t="shared" si="1"/>
        <v>3.9444714784622192E-2</v>
      </c>
    </row>
    <row r="83" spans="1:25" x14ac:dyDescent="0.3">
      <c r="A83" s="24" t="s">
        <v>552</v>
      </c>
      <c r="B83" s="24" t="s">
        <v>281</v>
      </c>
      <c r="C83" t="s">
        <v>86</v>
      </c>
      <c r="D83" t="s">
        <v>86</v>
      </c>
      <c r="E83" s="25" t="s">
        <v>553</v>
      </c>
      <c r="F83" s="26">
        <v>0.35641727000000001</v>
      </c>
      <c r="G83" s="26">
        <v>0.41284174000000001</v>
      </c>
      <c r="H83" s="26">
        <v>0.30184579</v>
      </c>
      <c r="I83" s="27" t="s">
        <v>319</v>
      </c>
      <c r="J83" s="27" t="s">
        <v>554</v>
      </c>
      <c r="K83" s="28">
        <v>0.55267947912216098</v>
      </c>
      <c r="L83" s="28">
        <v>0.45649898052215498</v>
      </c>
      <c r="M83" s="29">
        <v>0.283101767301559</v>
      </c>
      <c r="Q83" t="s">
        <v>538</v>
      </c>
      <c r="R83" t="s">
        <v>45</v>
      </c>
      <c r="S83" s="37">
        <v>3</v>
      </c>
      <c r="T83" t="s">
        <v>918</v>
      </c>
      <c r="U83" t="s">
        <v>919</v>
      </c>
      <c r="V83" s="37">
        <v>347628.53125</v>
      </c>
      <c r="W83" s="38">
        <v>0.23284405469894409</v>
      </c>
      <c r="X83" s="38">
        <v>0.26143839955329901</v>
      </c>
      <c r="Y83" s="39">
        <f t="shared" si="1"/>
        <v>2.8594344854354914E-2</v>
      </c>
    </row>
    <row r="84" spans="1:25" x14ac:dyDescent="0.3">
      <c r="A84" s="24" t="s">
        <v>565</v>
      </c>
      <c r="B84" s="24" t="s">
        <v>281</v>
      </c>
      <c r="C84" t="s">
        <v>87</v>
      </c>
      <c r="D84" t="s">
        <v>87</v>
      </c>
      <c r="E84" s="25" t="s">
        <v>566</v>
      </c>
      <c r="F84" s="26">
        <v>0.32015428000000001</v>
      </c>
      <c r="G84" s="26">
        <v>0.34763017000000002</v>
      </c>
      <c r="H84" s="26">
        <v>0.29369074000000001</v>
      </c>
      <c r="I84" s="27" t="s">
        <v>323</v>
      </c>
      <c r="J84" s="27" t="s">
        <v>567</v>
      </c>
      <c r="K84" s="28">
        <v>0.67655688524246205</v>
      </c>
      <c r="L84" s="28">
        <v>0.57381308078765803</v>
      </c>
      <c r="M84" s="29">
        <v>0.30664113163947998</v>
      </c>
      <c r="Q84" t="s">
        <v>540</v>
      </c>
      <c r="R84" t="s">
        <v>78</v>
      </c>
      <c r="S84" s="37">
        <v>3</v>
      </c>
      <c r="T84" t="s">
        <v>918</v>
      </c>
      <c r="U84" t="s">
        <v>919</v>
      </c>
      <c r="V84" s="37">
        <v>161764.328125</v>
      </c>
      <c r="W84" s="38">
        <v>8.0827489495277405E-2</v>
      </c>
      <c r="X84" s="38">
        <v>8.4859766066074371E-2</v>
      </c>
      <c r="Y84" s="39">
        <f t="shared" si="1"/>
        <v>4.0322765707969666E-3</v>
      </c>
    </row>
    <row r="85" spans="1:25" x14ac:dyDescent="0.3">
      <c r="A85" s="24" t="s">
        <v>568</v>
      </c>
      <c r="B85" s="24" t="s">
        <v>281</v>
      </c>
      <c r="C85" t="s">
        <v>88</v>
      </c>
      <c r="D85" t="s">
        <v>88</v>
      </c>
      <c r="E85" s="25" t="s">
        <v>569</v>
      </c>
      <c r="F85" s="26">
        <v>0.41847511999999998</v>
      </c>
      <c r="G85" s="26">
        <v>0.45611163999999998</v>
      </c>
      <c r="H85" s="26">
        <v>0.38241597999999999</v>
      </c>
      <c r="I85" s="27" t="s">
        <v>570</v>
      </c>
      <c r="J85" s="27" t="s">
        <v>571</v>
      </c>
      <c r="K85" s="28">
        <v>0.69903814792633001</v>
      </c>
      <c r="L85" s="28">
        <v>0.63528800010681097</v>
      </c>
      <c r="M85" s="29">
        <v>0.33429947495460499</v>
      </c>
      <c r="Q85" t="s">
        <v>542</v>
      </c>
      <c r="R85" t="s">
        <v>80</v>
      </c>
      <c r="S85" s="37">
        <v>3</v>
      </c>
      <c r="T85" t="s">
        <v>918</v>
      </c>
      <c r="U85" t="s">
        <v>919</v>
      </c>
      <c r="V85" s="37">
        <v>924612.9375</v>
      </c>
      <c r="W85" s="38">
        <v>0.273018479347229</v>
      </c>
      <c r="X85" s="38">
        <v>0.3089655339717865</v>
      </c>
      <c r="Y85" s="39">
        <f t="shared" si="1"/>
        <v>3.5947054624557495E-2</v>
      </c>
    </row>
    <row r="86" spans="1:25" x14ac:dyDescent="0.3">
      <c r="A86" s="24" t="s">
        <v>397</v>
      </c>
      <c r="B86" s="24" t="s">
        <v>276</v>
      </c>
      <c r="C86" t="s">
        <v>398</v>
      </c>
      <c r="D86" t="s">
        <v>89</v>
      </c>
      <c r="E86" s="25" t="s">
        <v>399</v>
      </c>
      <c r="F86" s="26">
        <v>0.32494592999999999</v>
      </c>
      <c r="G86" s="26">
        <v>0.31380092999999998</v>
      </c>
      <c r="H86" s="26">
        <v>0.33641014000000002</v>
      </c>
      <c r="I86" s="27" t="s">
        <v>400</v>
      </c>
      <c r="J86" s="27" t="s">
        <v>392</v>
      </c>
      <c r="K86" s="28">
        <v>0.39666306972503601</v>
      </c>
      <c r="L86" s="28">
        <v>0.24104920029640201</v>
      </c>
      <c r="M86" s="29">
        <v>0.102288737893104</v>
      </c>
      <c r="Q86" t="s">
        <v>544</v>
      </c>
      <c r="R86" t="s">
        <v>83</v>
      </c>
      <c r="S86" s="37">
        <v>3</v>
      </c>
      <c r="T86" t="s">
        <v>918</v>
      </c>
      <c r="U86" t="s">
        <v>919</v>
      </c>
      <c r="V86" s="37">
        <v>3074217</v>
      </c>
      <c r="W86" s="38">
        <v>4.9966223537921912E-2</v>
      </c>
      <c r="X86" s="38">
        <v>5.7170424610376358E-2</v>
      </c>
      <c r="Y86" s="39">
        <f t="shared" si="1"/>
        <v>7.2042010724544456E-3</v>
      </c>
    </row>
    <row r="87" spans="1:25" x14ac:dyDescent="0.3">
      <c r="A87" s="24" t="s">
        <v>572</v>
      </c>
      <c r="B87" s="24" t="s">
        <v>294</v>
      </c>
      <c r="C87" t="s">
        <v>90</v>
      </c>
      <c r="D87" t="s">
        <v>90</v>
      </c>
      <c r="E87" s="25" t="s">
        <v>573</v>
      </c>
      <c r="F87" s="26">
        <v>0.48735157000000001</v>
      </c>
      <c r="G87" s="26">
        <v>0.46447283</v>
      </c>
      <c r="H87" s="26">
        <v>0.50878190999999995</v>
      </c>
      <c r="I87" s="27" t="s">
        <v>554</v>
      </c>
      <c r="J87" s="27" t="s">
        <v>574</v>
      </c>
      <c r="K87" s="28">
        <v>0.672737896442413</v>
      </c>
      <c r="L87" s="28">
        <v>0.53648298978805498</v>
      </c>
      <c r="M87" s="29">
        <v>0.20727556943893399</v>
      </c>
      <c r="Q87" t="s">
        <v>548</v>
      </c>
      <c r="R87" t="s">
        <v>82</v>
      </c>
      <c r="S87" s="37">
        <v>3</v>
      </c>
      <c r="T87" t="s">
        <v>918</v>
      </c>
      <c r="U87" t="s">
        <v>919</v>
      </c>
      <c r="V87" s="37">
        <v>36297488</v>
      </c>
      <c r="W87" s="38">
        <v>0.17267854511737821</v>
      </c>
      <c r="X87" s="38">
        <v>0.20797426998615259</v>
      </c>
      <c r="Y87" s="39">
        <f t="shared" si="1"/>
        <v>3.5295724868774386E-2</v>
      </c>
    </row>
    <row r="88" spans="1:25" x14ac:dyDescent="0.3">
      <c r="A88" s="24" t="s">
        <v>578</v>
      </c>
      <c r="B88" s="24" t="s">
        <v>306</v>
      </c>
      <c r="C88" t="s">
        <v>91</v>
      </c>
      <c r="D88" t="s">
        <v>91</v>
      </c>
      <c r="E88" s="25" t="s">
        <v>579</v>
      </c>
      <c r="F88" s="26">
        <v>0.40733092999999998</v>
      </c>
      <c r="G88" s="26">
        <v>0.49899929999999998</v>
      </c>
      <c r="H88" s="26">
        <v>0.31691786999999999</v>
      </c>
      <c r="I88" s="27" t="s">
        <v>580</v>
      </c>
      <c r="J88" s="27" t="s">
        <v>581</v>
      </c>
      <c r="K88" s="28">
        <v>0.75853240489959695</v>
      </c>
      <c r="L88" s="28">
        <v>0.59145748615264804</v>
      </c>
      <c r="M88" s="29">
        <v>0.35889208316802901</v>
      </c>
      <c r="Q88" t="s">
        <v>552</v>
      </c>
      <c r="R88" t="s">
        <v>86</v>
      </c>
      <c r="S88" s="37">
        <v>3</v>
      </c>
      <c r="T88" t="s">
        <v>918</v>
      </c>
      <c r="U88" t="s">
        <v>919</v>
      </c>
      <c r="V88" s="37">
        <v>298369.46875</v>
      </c>
      <c r="W88" s="38">
        <v>0.28310176730155939</v>
      </c>
      <c r="X88" s="38">
        <v>0.3178347647190094</v>
      </c>
      <c r="Y88" s="39">
        <f t="shared" si="1"/>
        <v>3.4732997417450007E-2</v>
      </c>
    </row>
    <row r="89" spans="1:25" x14ac:dyDescent="0.3">
      <c r="A89" s="24" t="s">
        <v>575</v>
      </c>
      <c r="B89" s="24" t="s">
        <v>271</v>
      </c>
      <c r="C89" t="s">
        <v>92</v>
      </c>
      <c r="D89" t="s">
        <v>92</v>
      </c>
      <c r="E89" s="25" t="s">
        <v>576</v>
      </c>
      <c r="F89" s="26">
        <v>0.3400493</v>
      </c>
      <c r="G89" s="26">
        <v>0.36480129</v>
      </c>
      <c r="H89" s="26">
        <v>0.31466758</v>
      </c>
      <c r="I89" s="27" t="s">
        <v>323</v>
      </c>
      <c r="J89" s="27" t="s">
        <v>577</v>
      </c>
      <c r="K89" s="28">
        <v>0.648487567901611</v>
      </c>
      <c r="L89" s="28">
        <v>0.56987273693084695</v>
      </c>
      <c r="M89" s="29">
        <v>0.33786627650260898</v>
      </c>
      <c r="Q89" t="s">
        <v>555</v>
      </c>
      <c r="R89" t="s">
        <v>84</v>
      </c>
      <c r="S89" s="37">
        <v>3</v>
      </c>
      <c r="T89" t="s">
        <v>918</v>
      </c>
      <c r="U89" t="s">
        <v>919</v>
      </c>
      <c r="V89" s="37">
        <v>2835018.5</v>
      </c>
      <c r="W89" s="38">
        <v>0.26847335696220398</v>
      </c>
      <c r="X89" s="38">
        <v>0.31868898868560791</v>
      </c>
      <c r="Y89" s="39">
        <f t="shared" si="1"/>
        <v>5.0215631723403931E-2</v>
      </c>
    </row>
    <row r="90" spans="1:25" x14ac:dyDescent="0.3">
      <c r="A90" s="24" t="s">
        <v>582</v>
      </c>
      <c r="B90" s="24" t="s">
        <v>281</v>
      </c>
      <c r="C90" t="s">
        <v>93</v>
      </c>
      <c r="D90" t="s">
        <v>93</v>
      </c>
      <c r="E90" s="25" t="s">
        <v>583</v>
      </c>
      <c r="F90" s="26">
        <v>0.42748782000000002</v>
      </c>
      <c r="G90" s="26">
        <v>0.40362125999999998</v>
      </c>
      <c r="H90" s="26">
        <v>0.44837880000000002</v>
      </c>
      <c r="I90" s="27" t="s">
        <v>584</v>
      </c>
      <c r="J90" s="27" t="s">
        <v>352</v>
      </c>
      <c r="K90" s="28">
        <v>0.86494147777557295</v>
      </c>
      <c r="L90" s="28">
        <v>0.73817336559295599</v>
      </c>
      <c r="M90" s="29">
        <v>0.34111183881759599</v>
      </c>
      <c r="Q90" t="s">
        <v>558</v>
      </c>
      <c r="R90" t="s">
        <v>85</v>
      </c>
      <c r="S90" s="37">
        <v>3</v>
      </c>
      <c r="T90" t="s">
        <v>918</v>
      </c>
      <c r="U90" t="s">
        <v>919</v>
      </c>
      <c r="V90" s="37">
        <v>951533</v>
      </c>
      <c r="W90" s="38">
        <v>0.13758186995983121</v>
      </c>
      <c r="X90" s="38">
        <v>0.15918552875518799</v>
      </c>
      <c r="Y90" s="39">
        <f t="shared" si="1"/>
        <v>2.1603658795356778E-2</v>
      </c>
    </row>
    <row r="91" spans="1:25" x14ac:dyDescent="0.3">
      <c r="A91" s="24" t="s">
        <v>585</v>
      </c>
      <c r="B91" s="24" t="s">
        <v>276</v>
      </c>
      <c r="C91" t="s">
        <v>94</v>
      </c>
      <c r="D91" t="s">
        <v>94</v>
      </c>
      <c r="E91" s="25" t="s">
        <v>586</v>
      </c>
      <c r="F91" s="26">
        <v>0.27645322999999999</v>
      </c>
      <c r="G91" s="26">
        <v>0.26144635999999999</v>
      </c>
      <c r="H91" s="26">
        <v>0.29064648999999998</v>
      </c>
      <c r="I91" s="27" t="s">
        <v>416</v>
      </c>
      <c r="J91" s="27" t="s">
        <v>587</v>
      </c>
      <c r="K91" s="28">
        <v>0.404608935117721</v>
      </c>
      <c r="L91" s="28">
        <v>0.15553113818168601</v>
      </c>
      <c r="M91" s="28">
        <v>6.9425940513610798E-2</v>
      </c>
      <c r="Q91" t="s">
        <v>562</v>
      </c>
      <c r="R91" t="s">
        <v>81</v>
      </c>
      <c r="S91" s="37">
        <v>3</v>
      </c>
      <c r="T91" t="s">
        <v>918</v>
      </c>
      <c r="U91" t="s">
        <v>919</v>
      </c>
      <c r="V91" s="37">
        <v>35698.2109375</v>
      </c>
      <c r="W91" s="38">
        <v>0.55418646335601807</v>
      </c>
      <c r="X91" s="38">
        <v>0.59197807312011719</v>
      </c>
      <c r="Y91" s="39">
        <f t="shared" si="1"/>
        <v>3.7791609764099121E-2</v>
      </c>
    </row>
    <row r="92" spans="1:25" x14ac:dyDescent="0.3">
      <c r="A92" s="24" t="s">
        <v>593</v>
      </c>
      <c r="B92" s="24" t="s">
        <v>306</v>
      </c>
      <c r="C92" t="s">
        <v>95</v>
      </c>
      <c r="D92" t="s">
        <v>95</v>
      </c>
      <c r="E92" s="25" t="s">
        <v>594</v>
      </c>
      <c r="F92" s="26">
        <v>0.45543658999999997</v>
      </c>
      <c r="G92" s="26">
        <v>0.41425568000000002</v>
      </c>
      <c r="H92" s="26">
        <v>0.49155339999999997</v>
      </c>
      <c r="I92" s="27" t="s">
        <v>528</v>
      </c>
      <c r="J92" s="30" t="s">
        <v>595</v>
      </c>
      <c r="K92" s="28">
        <v>0.34311830997467002</v>
      </c>
      <c r="L92" s="28">
        <v>0.14561077952384899</v>
      </c>
      <c r="M92" s="28">
        <v>6.3903622329235105E-2</v>
      </c>
      <c r="Q92" t="s">
        <v>565</v>
      </c>
      <c r="R92" t="s">
        <v>87</v>
      </c>
      <c r="S92" s="37">
        <v>3</v>
      </c>
      <c r="T92" t="s">
        <v>918</v>
      </c>
      <c r="U92" t="s">
        <v>919</v>
      </c>
      <c r="V92" s="37">
        <v>431138.71875</v>
      </c>
      <c r="W92" s="38">
        <v>0.30664113163948059</v>
      </c>
      <c r="X92" s="38">
        <v>0.33189699053764338</v>
      </c>
      <c r="Y92" s="39">
        <f t="shared" si="1"/>
        <v>2.5255858898162786E-2</v>
      </c>
    </row>
    <row r="93" spans="1:25" x14ac:dyDescent="0.3">
      <c r="A93" s="24" t="s">
        <v>604</v>
      </c>
      <c r="B93" s="24" t="s">
        <v>271</v>
      </c>
      <c r="C93" t="s">
        <v>96</v>
      </c>
      <c r="D93" t="s">
        <v>96</v>
      </c>
      <c r="E93" s="25" t="s">
        <v>605</v>
      </c>
      <c r="F93" s="26">
        <v>0.39285653999999998</v>
      </c>
      <c r="G93" s="26">
        <v>0.43603066000000001</v>
      </c>
      <c r="H93" s="26">
        <v>0.31505880000000003</v>
      </c>
      <c r="I93" s="27" t="s">
        <v>319</v>
      </c>
      <c r="J93" s="27" t="s">
        <v>284</v>
      </c>
      <c r="K93" s="28">
        <v>0.640206098556518</v>
      </c>
      <c r="L93" s="28">
        <v>0.56432789564132602</v>
      </c>
      <c r="M93" s="29">
        <v>0.32743576169013899</v>
      </c>
      <c r="Q93" t="s">
        <v>568</v>
      </c>
      <c r="R93" t="s">
        <v>88</v>
      </c>
      <c r="S93" s="37">
        <v>3</v>
      </c>
      <c r="T93" t="s">
        <v>918</v>
      </c>
      <c r="U93" t="s">
        <v>919</v>
      </c>
      <c r="V93" s="37">
        <v>5467364</v>
      </c>
      <c r="W93" s="38">
        <v>0.3342994749546051</v>
      </c>
      <c r="X93" s="38">
        <v>0.37874090671539312</v>
      </c>
      <c r="Y93" s="39">
        <f t="shared" si="1"/>
        <v>4.4441431760788019E-2</v>
      </c>
    </row>
    <row r="94" spans="1:25" x14ac:dyDescent="0.3">
      <c r="A94" s="24" t="s">
        <v>588</v>
      </c>
      <c r="B94" s="24" t="s">
        <v>281</v>
      </c>
      <c r="C94" t="s">
        <v>97</v>
      </c>
      <c r="D94" t="s">
        <v>97</v>
      </c>
      <c r="E94" s="25" t="s">
        <v>589</v>
      </c>
      <c r="F94" s="26">
        <v>0.39847758</v>
      </c>
      <c r="G94" s="26">
        <v>0.36661233999999998</v>
      </c>
      <c r="H94" s="26">
        <v>0.42763775999999998</v>
      </c>
      <c r="I94" s="27" t="s">
        <v>427</v>
      </c>
      <c r="J94" s="27" t="s">
        <v>319</v>
      </c>
      <c r="K94" s="28">
        <v>0.54959970712661699</v>
      </c>
      <c r="L94" s="28">
        <v>0.41224169731140098</v>
      </c>
      <c r="M94" s="28">
        <v>0.115118570625782</v>
      </c>
      <c r="Q94" t="s">
        <v>572</v>
      </c>
      <c r="R94" t="s">
        <v>90</v>
      </c>
      <c r="S94" s="37">
        <v>3</v>
      </c>
      <c r="T94" t="s">
        <v>918</v>
      </c>
      <c r="U94" t="s">
        <v>919</v>
      </c>
      <c r="V94" s="37">
        <v>156766.25</v>
      </c>
      <c r="W94" s="38">
        <v>0.2072755694389343</v>
      </c>
      <c r="X94" s="38">
        <v>0.22575624287128451</v>
      </c>
      <c r="Y94" s="39">
        <f t="shared" si="1"/>
        <v>1.8480673432350214E-2</v>
      </c>
    </row>
    <row r="95" spans="1:25" x14ac:dyDescent="0.3">
      <c r="A95" s="24" t="s">
        <v>606</v>
      </c>
      <c r="B95" s="24" t="s">
        <v>306</v>
      </c>
      <c r="C95" t="s">
        <v>607</v>
      </c>
      <c r="D95" t="s">
        <v>98</v>
      </c>
      <c r="E95" s="25" t="s">
        <v>608</v>
      </c>
      <c r="F95" s="26">
        <v>0.26745561000000001</v>
      </c>
      <c r="G95" s="26">
        <v>0.22929452</v>
      </c>
      <c r="H95" s="26">
        <v>0.30497091999999998</v>
      </c>
      <c r="I95" s="27" t="s">
        <v>609</v>
      </c>
      <c r="J95" s="27" t="s">
        <v>610</v>
      </c>
      <c r="K95" s="28">
        <v>0.46186277270317</v>
      </c>
      <c r="L95" s="28">
        <v>0.32863876223564098</v>
      </c>
      <c r="M95" s="29">
        <v>0.15808849036693501</v>
      </c>
      <c r="Q95" t="s">
        <v>575</v>
      </c>
      <c r="R95" t="s">
        <v>92</v>
      </c>
      <c r="S95" s="37">
        <v>3</v>
      </c>
      <c r="T95" t="s">
        <v>918</v>
      </c>
      <c r="U95" t="s">
        <v>919</v>
      </c>
      <c r="V95" s="37">
        <v>488585.25</v>
      </c>
      <c r="W95" s="38">
        <v>0.33786627650260931</v>
      </c>
      <c r="X95" s="38">
        <v>0.38722720742225653</v>
      </c>
      <c r="Y95" s="39">
        <f t="shared" si="1"/>
        <v>4.9360930919647217E-2</v>
      </c>
    </row>
    <row r="96" spans="1:25" x14ac:dyDescent="0.3">
      <c r="A96" s="24" t="s">
        <v>639</v>
      </c>
      <c r="B96" s="24" t="s">
        <v>281</v>
      </c>
      <c r="C96" t="s">
        <v>99</v>
      </c>
      <c r="D96" t="s">
        <v>99</v>
      </c>
      <c r="E96" s="25" t="s">
        <v>640</v>
      </c>
      <c r="F96" s="26">
        <v>0.49505848000000002</v>
      </c>
      <c r="G96" s="26">
        <v>0.51025628999999995</v>
      </c>
      <c r="H96" s="26">
        <v>0.48222788999999999</v>
      </c>
      <c r="I96" s="27" t="s">
        <v>641</v>
      </c>
      <c r="J96" s="27" t="s">
        <v>642</v>
      </c>
      <c r="K96" s="28">
        <v>0.74840706586837702</v>
      </c>
      <c r="L96" s="28">
        <v>0.57572746276855402</v>
      </c>
      <c r="M96" s="29">
        <v>0.20700784027576399</v>
      </c>
      <c r="Q96" t="s">
        <v>578</v>
      </c>
      <c r="R96" t="s">
        <v>91</v>
      </c>
      <c r="S96" s="37">
        <v>3</v>
      </c>
      <c r="T96" t="s">
        <v>918</v>
      </c>
      <c r="U96" t="s">
        <v>919</v>
      </c>
      <c r="V96" s="37">
        <v>11638082</v>
      </c>
      <c r="W96" s="38">
        <v>0.35889208316802979</v>
      </c>
      <c r="X96" s="38">
        <v>0.40335181355476379</v>
      </c>
      <c r="Y96" s="39">
        <f t="shared" si="1"/>
        <v>4.4459730386734009E-2</v>
      </c>
    </row>
    <row r="97" spans="1:25" x14ac:dyDescent="0.3">
      <c r="A97" s="24" t="s">
        <v>611</v>
      </c>
      <c r="B97" s="24" t="s">
        <v>271</v>
      </c>
      <c r="C97" t="s">
        <v>100</v>
      </c>
      <c r="D97" t="s">
        <v>100</v>
      </c>
      <c r="E97" s="25" t="s">
        <v>612</v>
      </c>
      <c r="F97" s="26">
        <v>0.38412979000000003</v>
      </c>
      <c r="G97" s="26">
        <v>0.43467966000000002</v>
      </c>
      <c r="H97" s="26">
        <v>0.33363035000000002</v>
      </c>
      <c r="I97" s="27" t="s">
        <v>536</v>
      </c>
      <c r="J97" s="27" t="s">
        <v>613</v>
      </c>
      <c r="K97" s="28">
        <v>0.57590055465698198</v>
      </c>
      <c r="L97" s="28">
        <v>0.515416979789733</v>
      </c>
      <c r="M97" s="29">
        <v>0.29990574717521601</v>
      </c>
      <c r="Q97" t="s">
        <v>582</v>
      </c>
      <c r="R97" t="s">
        <v>93</v>
      </c>
      <c r="S97" s="37">
        <v>3</v>
      </c>
      <c r="T97" t="s">
        <v>918</v>
      </c>
      <c r="U97" t="s">
        <v>919</v>
      </c>
      <c r="V97" s="37">
        <v>1454200</v>
      </c>
      <c r="W97" s="38">
        <v>0.34111183881759638</v>
      </c>
      <c r="X97" s="38">
        <v>0.38039436936378479</v>
      </c>
      <c r="Y97" s="39">
        <f t="shared" si="1"/>
        <v>3.928253054618841E-2</v>
      </c>
    </row>
    <row r="98" spans="1:25" x14ac:dyDescent="0.3">
      <c r="A98" s="24" t="s">
        <v>627</v>
      </c>
      <c r="B98" s="24" t="s">
        <v>276</v>
      </c>
      <c r="C98" t="s">
        <v>101</v>
      </c>
      <c r="D98" t="s">
        <v>101</v>
      </c>
      <c r="E98" s="25" t="s">
        <v>628</v>
      </c>
      <c r="F98" s="26">
        <v>0.36805295999999998</v>
      </c>
      <c r="G98" s="26">
        <v>0.27918079000000001</v>
      </c>
      <c r="H98" s="26">
        <v>0.45289758000000002</v>
      </c>
      <c r="I98" s="27" t="s">
        <v>629</v>
      </c>
      <c r="J98" s="27" t="s">
        <v>630</v>
      </c>
      <c r="K98" s="28">
        <v>0.55902045965194702</v>
      </c>
      <c r="L98" s="28">
        <v>0.44920039176940901</v>
      </c>
      <c r="M98" s="29">
        <v>0.20699279010295801</v>
      </c>
      <c r="Q98" t="s">
        <v>585</v>
      </c>
      <c r="R98" t="s">
        <v>94</v>
      </c>
      <c r="S98" s="37">
        <v>3</v>
      </c>
      <c r="T98" t="s">
        <v>918</v>
      </c>
      <c r="U98" t="s">
        <v>919</v>
      </c>
      <c r="V98" s="37">
        <v>380492.375</v>
      </c>
      <c r="W98" s="38">
        <v>6.942594051361084E-2</v>
      </c>
      <c r="X98" s="38">
        <v>8.8876552879810333E-2</v>
      </c>
      <c r="Y98" s="39">
        <f t="shared" si="1"/>
        <v>1.9450612366199493E-2</v>
      </c>
    </row>
    <row r="99" spans="1:25" x14ac:dyDescent="0.3">
      <c r="A99" s="24" t="s">
        <v>614</v>
      </c>
      <c r="B99" s="24" t="s">
        <v>276</v>
      </c>
      <c r="C99" t="s">
        <v>102</v>
      </c>
      <c r="D99" t="s">
        <v>102</v>
      </c>
      <c r="E99" s="25" t="s">
        <v>615</v>
      </c>
      <c r="F99" s="26">
        <v>0.35361913</v>
      </c>
      <c r="G99" s="26">
        <v>0.31926527999999998</v>
      </c>
      <c r="H99" s="26">
        <v>0.38704091000000002</v>
      </c>
      <c r="I99" s="27" t="s">
        <v>616</v>
      </c>
      <c r="J99" s="27" t="s">
        <v>617</v>
      </c>
      <c r="K99" s="28">
        <v>0.44059005379676802</v>
      </c>
      <c r="L99" s="28">
        <v>0.28012546896934498</v>
      </c>
      <c r="M99" s="29">
        <v>0.100597366690635</v>
      </c>
      <c r="Q99" t="s">
        <v>588</v>
      </c>
      <c r="R99" t="s">
        <v>97</v>
      </c>
      <c r="S99" s="37">
        <v>3</v>
      </c>
      <c r="T99" t="s">
        <v>918</v>
      </c>
      <c r="U99" t="s">
        <v>919</v>
      </c>
      <c r="V99" s="37">
        <v>140882.796875</v>
      </c>
      <c r="W99" s="38">
        <v>0.115118570625782</v>
      </c>
      <c r="X99" s="38">
        <v>0.12861634790897369</v>
      </c>
      <c r="Y99" s="39">
        <f t="shared" si="1"/>
        <v>1.3497777283191695E-2</v>
      </c>
    </row>
    <row r="100" spans="1:25" x14ac:dyDescent="0.3">
      <c r="A100" s="24" t="s">
        <v>618</v>
      </c>
      <c r="B100" s="24" t="s">
        <v>271</v>
      </c>
      <c r="C100" t="s">
        <v>103</v>
      </c>
      <c r="D100" t="s">
        <v>103</v>
      </c>
      <c r="E100" s="25" t="s">
        <v>619</v>
      </c>
      <c r="F100" s="26">
        <v>0.39092252</v>
      </c>
      <c r="G100" s="26">
        <v>0.4321585</v>
      </c>
      <c r="H100" s="26">
        <v>0.3500683</v>
      </c>
      <c r="I100" s="27" t="s">
        <v>323</v>
      </c>
      <c r="J100" s="27" t="s">
        <v>427</v>
      </c>
      <c r="K100" s="28">
        <v>0.46989604830741799</v>
      </c>
      <c r="L100" s="28">
        <v>0.33483561873435902</v>
      </c>
      <c r="M100" s="29">
        <v>0.118205279111862</v>
      </c>
      <c r="Q100" t="s">
        <v>590</v>
      </c>
      <c r="R100" t="s">
        <v>34</v>
      </c>
      <c r="S100" s="37">
        <v>3</v>
      </c>
      <c r="T100" t="s">
        <v>918</v>
      </c>
      <c r="U100" t="s">
        <v>919</v>
      </c>
      <c r="V100" s="37">
        <v>460641.25</v>
      </c>
      <c r="W100" s="38">
        <v>0.23679199814796451</v>
      </c>
      <c r="X100" s="38">
        <v>0.26611900329589838</v>
      </c>
      <c r="Y100" s="39">
        <f t="shared" si="1"/>
        <v>2.9327005147933877E-2</v>
      </c>
    </row>
    <row r="101" spans="1:25" x14ac:dyDescent="0.3">
      <c r="A101" s="24" t="s">
        <v>631</v>
      </c>
      <c r="B101" s="24" t="s">
        <v>281</v>
      </c>
      <c r="C101" t="s">
        <v>104</v>
      </c>
      <c r="D101" t="s">
        <v>104</v>
      </c>
      <c r="E101" s="25" t="s">
        <v>632</v>
      </c>
      <c r="F101" s="26">
        <v>0.54154329999999995</v>
      </c>
      <c r="G101" s="26">
        <v>0.56227671999999995</v>
      </c>
      <c r="H101" s="26">
        <v>0.52400488000000001</v>
      </c>
      <c r="I101" s="27" t="s">
        <v>633</v>
      </c>
      <c r="J101" s="27" t="s">
        <v>634</v>
      </c>
      <c r="K101" s="28">
        <v>0.75475472211837702</v>
      </c>
      <c r="L101" s="28">
        <v>0.52992218732833796</v>
      </c>
      <c r="M101" s="29">
        <v>0.16224068403243999</v>
      </c>
      <c r="Q101" t="s">
        <v>593</v>
      </c>
      <c r="R101" t="s">
        <v>95</v>
      </c>
      <c r="S101" s="37">
        <v>3</v>
      </c>
      <c r="T101" t="s">
        <v>918</v>
      </c>
      <c r="U101" t="s">
        <v>919</v>
      </c>
      <c r="V101" s="37">
        <v>1447.780883789063</v>
      </c>
      <c r="W101" s="38">
        <v>6.3903622329235077E-2</v>
      </c>
      <c r="X101" s="38">
        <v>6.5860740840435028E-2</v>
      </c>
      <c r="Y101" s="39">
        <f t="shared" si="1"/>
        <v>1.9571185111999512E-3</v>
      </c>
    </row>
    <row r="102" spans="1:25" x14ac:dyDescent="0.3">
      <c r="A102" s="24" t="s">
        <v>635</v>
      </c>
      <c r="B102" s="24" t="s">
        <v>281</v>
      </c>
      <c r="C102" t="s">
        <v>105</v>
      </c>
      <c r="D102" t="s">
        <v>105</v>
      </c>
      <c r="E102" s="25" t="s">
        <v>636</v>
      </c>
      <c r="F102" s="26">
        <v>0.31190825</v>
      </c>
      <c r="G102" s="26">
        <v>0.36968016999999997</v>
      </c>
      <c r="H102" s="26">
        <v>0.25187838000000001</v>
      </c>
      <c r="I102" s="27" t="s">
        <v>637</v>
      </c>
      <c r="J102" s="27" t="s">
        <v>638</v>
      </c>
      <c r="K102" s="28">
        <v>0.65541839599609297</v>
      </c>
      <c r="L102" s="28">
        <v>0.57494395971298196</v>
      </c>
      <c r="M102" s="29">
        <v>0.34325638413429199</v>
      </c>
      <c r="Q102" t="s">
        <v>596</v>
      </c>
      <c r="R102" t="s">
        <v>238</v>
      </c>
      <c r="S102" s="37">
        <v>3</v>
      </c>
      <c r="T102" t="s">
        <v>918</v>
      </c>
      <c r="U102" t="s">
        <v>919</v>
      </c>
      <c r="V102" s="37">
        <v>3702.35693359375</v>
      </c>
      <c r="W102" s="38">
        <v>0.24368996918201449</v>
      </c>
      <c r="X102" s="38">
        <v>0.27336010336875921</v>
      </c>
      <c r="Y102" s="39">
        <f t="shared" si="1"/>
        <v>2.9670134186744718E-2</v>
      </c>
    </row>
    <row r="103" spans="1:25" x14ac:dyDescent="0.3">
      <c r="A103" s="24" t="s">
        <v>651</v>
      </c>
      <c r="B103" s="24" t="s">
        <v>276</v>
      </c>
      <c r="C103" t="s">
        <v>106</v>
      </c>
      <c r="D103" t="s">
        <v>106</v>
      </c>
      <c r="E103" s="25" t="s">
        <v>652</v>
      </c>
      <c r="F103" s="26">
        <v>0.32510453</v>
      </c>
      <c r="G103" s="26">
        <v>0.30129739999999999</v>
      </c>
      <c r="H103" s="26">
        <v>0.34811219999999998</v>
      </c>
      <c r="I103" s="27" t="s">
        <v>351</v>
      </c>
      <c r="J103" s="27" t="s">
        <v>279</v>
      </c>
      <c r="K103" s="28">
        <v>0.35639777779579102</v>
      </c>
      <c r="L103" s="28">
        <v>0.16844359040260301</v>
      </c>
      <c r="M103" s="28">
        <v>7.8177966177463504E-2</v>
      </c>
      <c r="Q103" t="s">
        <v>600</v>
      </c>
      <c r="R103" t="s">
        <v>143</v>
      </c>
      <c r="S103" s="37">
        <v>3</v>
      </c>
      <c r="T103" t="s">
        <v>918</v>
      </c>
      <c r="U103" t="s">
        <v>919</v>
      </c>
      <c r="V103" s="37">
        <v>6915596.5</v>
      </c>
      <c r="W103" s="38">
        <v>0.613178551197052</v>
      </c>
      <c r="X103" s="38">
        <v>0.68215548992156982</v>
      </c>
      <c r="Y103" s="39">
        <f t="shared" si="1"/>
        <v>6.8976938724517822E-2</v>
      </c>
    </row>
    <row r="104" spans="1:25" x14ac:dyDescent="0.3">
      <c r="A104" s="24" t="s">
        <v>692</v>
      </c>
      <c r="B104" s="24" t="s">
        <v>276</v>
      </c>
      <c r="C104" t="s">
        <v>107</v>
      </c>
      <c r="D104" t="s">
        <v>107</v>
      </c>
      <c r="E104" s="25" t="s">
        <v>693</v>
      </c>
      <c r="F104" s="26">
        <v>0.21258215999999999</v>
      </c>
      <c r="G104" s="26">
        <v>0.18528928</v>
      </c>
      <c r="H104" s="26">
        <v>0.23724144999999999</v>
      </c>
      <c r="I104" s="27" t="s">
        <v>536</v>
      </c>
      <c r="J104" s="27" t="s">
        <v>427</v>
      </c>
      <c r="K104" s="28">
        <v>0.37423738837242099</v>
      </c>
      <c r="L104" s="28">
        <v>0.23685957491397799</v>
      </c>
      <c r="M104" s="29">
        <v>0.121794283390045</v>
      </c>
      <c r="Q104" t="s">
        <v>604</v>
      </c>
      <c r="R104" t="s">
        <v>96</v>
      </c>
      <c r="S104" s="37">
        <v>3</v>
      </c>
      <c r="T104" t="s">
        <v>918</v>
      </c>
      <c r="U104" t="s">
        <v>919</v>
      </c>
      <c r="V104" s="37">
        <v>346125.25</v>
      </c>
      <c r="W104" s="38">
        <v>0.32743576169013983</v>
      </c>
      <c r="X104" s="38">
        <v>0.39102467894554138</v>
      </c>
      <c r="Y104" s="39">
        <f t="shared" si="1"/>
        <v>6.3588917255401556E-2</v>
      </c>
    </row>
    <row r="105" spans="1:25" x14ac:dyDescent="0.3">
      <c r="A105" s="24" t="s">
        <v>694</v>
      </c>
      <c r="B105" s="24" t="s">
        <v>306</v>
      </c>
      <c r="C105" t="s">
        <v>108</v>
      </c>
      <c r="D105" t="s">
        <v>108</v>
      </c>
      <c r="E105" s="25" t="s">
        <v>695</v>
      </c>
      <c r="F105" s="26">
        <v>0.39396252999999998</v>
      </c>
      <c r="G105" s="26">
        <v>0.38907935999999999</v>
      </c>
      <c r="H105" s="26">
        <v>0.39908062999999999</v>
      </c>
      <c r="I105" s="27" t="s">
        <v>560</v>
      </c>
      <c r="J105" s="27" t="s">
        <v>416</v>
      </c>
      <c r="K105" s="28">
        <v>0.51341474056243896</v>
      </c>
      <c r="L105" s="28">
        <v>0.44152817130088801</v>
      </c>
      <c r="M105" s="29">
        <v>0.212423935532569</v>
      </c>
      <c r="Q105" t="s">
        <v>606</v>
      </c>
      <c r="R105" t="s">
        <v>98</v>
      </c>
      <c r="S105" s="37">
        <v>3</v>
      </c>
      <c r="T105" t="s">
        <v>918</v>
      </c>
      <c r="U105" t="s">
        <v>919</v>
      </c>
      <c r="V105" s="37">
        <v>135697.8125</v>
      </c>
      <c r="W105" s="38">
        <v>0.1580884903669357</v>
      </c>
      <c r="X105" s="38">
        <v>0.1817905604839325</v>
      </c>
      <c r="Y105" s="39">
        <f t="shared" si="1"/>
        <v>2.3702070116996793E-2</v>
      </c>
    </row>
    <row r="106" spans="1:25" x14ac:dyDescent="0.3">
      <c r="A106" s="24" t="s">
        <v>653</v>
      </c>
      <c r="B106" s="24" t="s">
        <v>331</v>
      </c>
      <c r="C106" t="s">
        <v>109</v>
      </c>
      <c r="D106" t="s">
        <v>109</v>
      </c>
      <c r="E106" s="25" t="s">
        <v>654</v>
      </c>
      <c r="F106" s="26">
        <v>0.27364992999999999</v>
      </c>
      <c r="G106" s="26">
        <v>0.24853981</v>
      </c>
      <c r="H106" s="26">
        <v>0.31792384000000001</v>
      </c>
      <c r="I106" s="27" t="s">
        <v>638</v>
      </c>
      <c r="J106" s="27" t="s">
        <v>655</v>
      </c>
      <c r="K106" s="28">
        <v>0.40566405653953502</v>
      </c>
      <c r="L106" s="28">
        <v>0.27448680996894798</v>
      </c>
      <c r="M106" s="29">
        <v>0.14872345328330899</v>
      </c>
      <c r="Q106" t="s">
        <v>611</v>
      </c>
      <c r="R106" t="s">
        <v>100</v>
      </c>
      <c r="S106" s="37">
        <v>3</v>
      </c>
      <c r="T106" t="s">
        <v>918</v>
      </c>
      <c r="U106" t="s">
        <v>919</v>
      </c>
      <c r="V106" s="37">
        <v>385800.25</v>
      </c>
      <c r="W106" s="38">
        <v>0.29990574717521667</v>
      </c>
      <c r="X106" s="38">
        <v>0.34356465935707092</v>
      </c>
      <c r="Y106" s="39">
        <f t="shared" si="1"/>
        <v>4.3658912181854248E-2</v>
      </c>
    </row>
    <row r="107" spans="1:25" x14ac:dyDescent="0.3">
      <c r="A107" s="24" t="s">
        <v>666</v>
      </c>
      <c r="B107" s="24" t="s">
        <v>276</v>
      </c>
      <c r="C107" t="s">
        <v>110</v>
      </c>
      <c r="D107" t="s">
        <v>110</v>
      </c>
      <c r="E107" s="25" t="s">
        <v>667</v>
      </c>
      <c r="F107" s="26">
        <v>0.30016437000000001</v>
      </c>
      <c r="G107" s="26">
        <v>0.25142407</v>
      </c>
      <c r="H107" s="26">
        <v>0.34629919999999997</v>
      </c>
      <c r="I107" s="27" t="s">
        <v>292</v>
      </c>
      <c r="J107" s="27" t="s">
        <v>313</v>
      </c>
      <c r="K107" s="28">
        <v>0.54026019573211603</v>
      </c>
      <c r="L107" s="28">
        <v>0.36138486862182601</v>
      </c>
      <c r="M107" s="29">
        <v>0.16306416690349501</v>
      </c>
      <c r="Q107" t="s">
        <v>614</v>
      </c>
      <c r="R107" t="s">
        <v>102</v>
      </c>
      <c r="S107" s="37">
        <v>3</v>
      </c>
      <c r="T107" t="s">
        <v>918</v>
      </c>
      <c r="U107" t="s">
        <v>919</v>
      </c>
      <c r="V107" s="37">
        <v>63871.73828125</v>
      </c>
      <c r="W107" s="38">
        <v>0.1005973666906357</v>
      </c>
      <c r="X107" s="38">
        <v>0.1244082748889923</v>
      </c>
      <c r="Y107" s="39">
        <f t="shared" si="1"/>
        <v>2.3810908198356601E-2</v>
      </c>
    </row>
    <row r="108" spans="1:25" x14ac:dyDescent="0.3">
      <c r="A108" s="24" t="s">
        <v>668</v>
      </c>
      <c r="B108" s="24" t="s">
        <v>281</v>
      </c>
      <c r="C108" t="s">
        <v>111</v>
      </c>
      <c r="D108" t="s">
        <v>111</v>
      </c>
      <c r="E108" s="25" t="s">
        <v>669</v>
      </c>
      <c r="F108" s="26">
        <v>0.35987327000000002</v>
      </c>
      <c r="G108" s="26">
        <v>0.39461650999999998</v>
      </c>
      <c r="H108" s="26">
        <v>0.32437146</v>
      </c>
      <c r="I108" s="27" t="s">
        <v>670</v>
      </c>
      <c r="J108" s="27" t="s">
        <v>671</v>
      </c>
      <c r="K108" s="28">
        <v>0.78118973970413197</v>
      </c>
      <c r="L108" s="28">
        <v>0.74064409732818604</v>
      </c>
      <c r="M108" s="29">
        <v>0.50733453035354603</v>
      </c>
      <c r="Q108" t="s">
        <v>618</v>
      </c>
      <c r="R108" t="s">
        <v>103</v>
      </c>
      <c r="S108" s="37">
        <v>3</v>
      </c>
      <c r="T108" t="s">
        <v>918</v>
      </c>
      <c r="U108" t="s">
        <v>919</v>
      </c>
      <c r="V108" s="37">
        <v>164192.40625</v>
      </c>
      <c r="W108" s="38">
        <v>0.1182052791118622</v>
      </c>
      <c r="X108" s="38">
        <v>0.14812113344669339</v>
      </c>
      <c r="Y108" s="39">
        <f t="shared" si="1"/>
        <v>2.9915854334831196E-2</v>
      </c>
    </row>
    <row r="109" spans="1:25" x14ac:dyDescent="0.3">
      <c r="A109" s="24" t="s">
        <v>660</v>
      </c>
      <c r="B109" s="24" t="s">
        <v>306</v>
      </c>
      <c r="C109" t="s">
        <v>112</v>
      </c>
      <c r="D109" t="s">
        <v>112</v>
      </c>
      <c r="E109" s="25" t="s">
        <v>661</v>
      </c>
      <c r="F109" s="26">
        <v>0.32036024000000002</v>
      </c>
      <c r="G109" s="26">
        <v>0.30718675000000001</v>
      </c>
      <c r="H109" s="26">
        <v>0.33393057999999998</v>
      </c>
      <c r="I109" s="30">
        <v>6800</v>
      </c>
      <c r="J109" s="30">
        <v>5800</v>
      </c>
      <c r="K109" s="28">
        <v>0.47130408883094699</v>
      </c>
      <c r="L109" s="28">
        <v>0.30182242393493602</v>
      </c>
      <c r="M109" s="29">
        <v>0.15117688477039301</v>
      </c>
      <c r="Q109" t="s">
        <v>620</v>
      </c>
      <c r="R109" t="s">
        <v>148</v>
      </c>
      <c r="S109" s="37">
        <v>3</v>
      </c>
      <c r="T109" t="s">
        <v>918</v>
      </c>
      <c r="U109" t="s">
        <v>919</v>
      </c>
      <c r="V109" s="37">
        <v>10812.0400390625</v>
      </c>
      <c r="W109" s="38">
        <v>0.23869432508945471</v>
      </c>
      <c r="X109" s="38">
        <v>0.26192453503608698</v>
      </c>
      <c r="Y109" s="39">
        <f t="shared" si="1"/>
        <v>2.3230209946632274E-2</v>
      </c>
    </row>
    <row r="110" spans="1:25" x14ac:dyDescent="0.3">
      <c r="A110" s="24" t="s">
        <v>685</v>
      </c>
      <c r="B110" s="24" t="s">
        <v>276</v>
      </c>
      <c r="C110" t="s">
        <v>113</v>
      </c>
      <c r="D110" t="s">
        <v>113</v>
      </c>
      <c r="E110" s="25" t="s">
        <v>686</v>
      </c>
      <c r="F110" s="26">
        <v>0.33440322</v>
      </c>
      <c r="G110" s="26">
        <v>0.30474409000000002</v>
      </c>
      <c r="H110" s="26">
        <v>0.36348212000000002</v>
      </c>
      <c r="I110" s="27" t="s">
        <v>687</v>
      </c>
      <c r="J110" s="27" t="s">
        <v>380</v>
      </c>
      <c r="K110" s="28">
        <v>0.45083874464035001</v>
      </c>
      <c r="L110" s="28">
        <v>0.27045395970344499</v>
      </c>
      <c r="M110" s="29">
        <v>0.125087410211563</v>
      </c>
      <c r="Q110" t="s">
        <v>624</v>
      </c>
      <c r="R110" t="s">
        <v>165</v>
      </c>
      <c r="S110" s="37">
        <v>3</v>
      </c>
      <c r="T110" t="s">
        <v>918</v>
      </c>
      <c r="U110" t="s">
        <v>919</v>
      </c>
      <c r="V110" s="37">
        <v>884961.75</v>
      </c>
      <c r="W110" s="38">
        <v>0.18705499172210691</v>
      </c>
      <c r="X110" s="38">
        <v>0.2147132009267807</v>
      </c>
      <c r="Y110" s="39">
        <f t="shared" si="1"/>
        <v>2.7658209204673795E-2</v>
      </c>
    </row>
    <row r="111" spans="1:25" x14ac:dyDescent="0.3">
      <c r="A111" s="24" t="s">
        <v>688</v>
      </c>
      <c r="B111" s="24" t="s">
        <v>276</v>
      </c>
      <c r="C111" t="s">
        <v>114</v>
      </c>
      <c r="D111" t="s">
        <v>114</v>
      </c>
      <c r="E111" s="25" t="s">
        <v>689</v>
      </c>
      <c r="F111" s="26">
        <v>0.35714119999999999</v>
      </c>
      <c r="G111" s="26">
        <v>0.35939005000000002</v>
      </c>
      <c r="H111" s="26">
        <v>0.35500040999999999</v>
      </c>
      <c r="I111" s="27" t="s">
        <v>690</v>
      </c>
      <c r="J111" s="27" t="s">
        <v>691</v>
      </c>
      <c r="K111" s="28">
        <v>0.73490518331527699</v>
      </c>
      <c r="L111" s="28">
        <v>0.67747133970260598</v>
      </c>
      <c r="M111" s="29">
        <v>0.41019770503044101</v>
      </c>
      <c r="Q111" t="s">
        <v>627</v>
      </c>
      <c r="R111" t="s">
        <v>101</v>
      </c>
      <c r="S111" s="37">
        <v>3</v>
      </c>
      <c r="T111" t="s">
        <v>918</v>
      </c>
      <c r="U111" t="s">
        <v>919</v>
      </c>
      <c r="V111" s="37">
        <v>68039.296875</v>
      </c>
      <c r="W111" s="38">
        <v>0.20699279010295871</v>
      </c>
      <c r="X111" s="38">
        <v>0.2404428422451019</v>
      </c>
      <c r="Y111" s="39">
        <f t="shared" si="1"/>
        <v>3.3450052142143194E-2</v>
      </c>
    </row>
    <row r="112" spans="1:25" x14ac:dyDescent="0.3">
      <c r="A112" s="24" t="s">
        <v>656</v>
      </c>
      <c r="B112" s="24" t="s">
        <v>294</v>
      </c>
      <c r="C112" t="s">
        <v>115</v>
      </c>
      <c r="D112" t="s">
        <v>115</v>
      </c>
      <c r="E112" s="25" t="s">
        <v>657</v>
      </c>
      <c r="F112" s="26">
        <v>0.30612275</v>
      </c>
      <c r="G112" s="26">
        <v>0.30934816999999998</v>
      </c>
      <c r="H112" s="26">
        <v>0.30323619000000002</v>
      </c>
      <c r="I112" s="27" t="s">
        <v>658</v>
      </c>
      <c r="J112" s="27" t="s">
        <v>659</v>
      </c>
      <c r="K112" s="28">
        <v>0.62017583847045898</v>
      </c>
      <c r="L112" s="28">
        <v>0.53877329826354903</v>
      </c>
      <c r="M112" s="29">
        <v>0.31790950894355702</v>
      </c>
      <c r="Q112" t="s">
        <v>631</v>
      </c>
      <c r="R112" t="s">
        <v>104</v>
      </c>
      <c r="S112" s="37">
        <v>3</v>
      </c>
      <c r="T112" t="s">
        <v>918</v>
      </c>
      <c r="U112" t="s">
        <v>919</v>
      </c>
      <c r="V112" s="37">
        <v>144791.234375</v>
      </c>
      <c r="W112" s="38">
        <v>0.16224068403244021</v>
      </c>
      <c r="X112" s="38">
        <v>0.19076238572597501</v>
      </c>
      <c r="Y112" s="39">
        <f t="shared" si="1"/>
        <v>2.8521701693534796E-2</v>
      </c>
    </row>
    <row r="113" spans="1:25" x14ac:dyDescent="0.3">
      <c r="A113" s="24" t="s">
        <v>490</v>
      </c>
      <c r="B113" s="24" t="s">
        <v>306</v>
      </c>
      <c r="C113" t="s">
        <v>116</v>
      </c>
      <c r="D113" t="s">
        <v>116</v>
      </c>
      <c r="E113" s="25" t="s">
        <v>491</v>
      </c>
      <c r="F113" s="26">
        <v>0.32580224000000002</v>
      </c>
      <c r="G113" s="26">
        <v>0.29700014000000002</v>
      </c>
      <c r="H113" s="26">
        <v>0.35478895999999999</v>
      </c>
      <c r="I113" s="27" t="s">
        <v>451</v>
      </c>
      <c r="J113" s="30" t="s">
        <v>492</v>
      </c>
      <c r="K113" s="28">
        <v>0.53184872865676802</v>
      </c>
      <c r="L113" s="28">
        <v>0.29146832227706898</v>
      </c>
      <c r="M113" s="29">
        <v>0.152863353490829</v>
      </c>
      <c r="Q113" t="s">
        <v>635</v>
      </c>
      <c r="R113" t="s">
        <v>105</v>
      </c>
      <c r="S113" s="37">
        <v>3</v>
      </c>
      <c r="T113" t="s">
        <v>918</v>
      </c>
      <c r="U113" t="s">
        <v>919</v>
      </c>
      <c r="V113" s="37">
        <v>43558.12109375</v>
      </c>
      <c r="W113" s="38">
        <v>0.3432563841342926</v>
      </c>
      <c r="X113" s="38">
        <v>0.39746332168579102</v>
      </c>
      <c r="Y113" s="39">
        <f t="shared" si="1"/>
        <v>5.4206937551498413E-2</v>
      </c>
    </row>
    <row r="114" spans="1:25" x14ac:dyDescent="0.3">
      <c r="A114" s="24" t="s">
        <v>646</v>
      </c>
      <c r="B114" s="24" t="s">
        <v>281</v>
      </c>
      <c r="C114" t="s">
        <v>253</v>
      </c>
      <c r="D114" t="s">
        <v>253</v>
      </c>
      <c r="E114" s="25" t="s">
        <v>647</v>
      </c>
      <c r="F114" s="26" t="s">
        <v>648</v>
      </c>
      <c r="G114" s="26" t="s">
        <v>648</v>
      </c>
      <c r="H114" s="26" t="s">
        <v>648</v>
      </c>
      <c r="I114" s="31" t="s">
        <v>648</v>
      </c>
      <c r="J114" s="27" t="s">
        <v>648</v>
      </c>
      <c r="K114" s="31" t="s">
        <v>648</v>
      </c>
      <c r="L114" s="31" t="s">
        <v>648</v>
      </c>
      <c r="M114" s="31" t="s">
        <v>648</v>
      </c>
      <c r="Q114" t="s">
        <v>639</v>
      </c>
      <c r="R114" t="s">
        <v>99</v>
      </c>
      <c r="S114" s="37">
        <v>3</v>
      </c>
      <c r="T114" t="s">
        <v>918</v>
      </c>
      <c r="U114" t="s">
        <v>919</v>
      </c>
      <c r="V114" s="37">
        <v>118320.4453125</v>
      </c>
      <c r="W114" s="38">
        <v>0.20700784027576449</v>
      </c>
      <c r="X114" s="38">
        <v>0.23692990839481351</v>
      </c>
      <c r="Y114" s="39">
        <f t="shared" si="1"/>
        <v>2.9922068119049017E-2</v>
      </c>
    </row>
    <row r="115" spans="1:25" x14ac:dyDescent="0.3">
      <c r="A115" s="24" t="s">
        <v>679</v>
      </c>
      <c r="B115" s="24" t="s">
        <v>306</v>
      </c>
      <c r="C115" t="s">
        <v>117</v>
      </c>
      <c r="D115" t="s">
        <v>117</v>
      </c>
      <c r="E115" s="25" t="s">
        <v>680</v>
      </c>
      <c r="F115" s="26">
        <v>0.38901550000000001</v>
      </c>
      <c r="G115" s="26">
        <v>0.40938479</v>
      </c>
      <c r="H115" s="26">
        <v>0.37032588999999999</v>
      </c>
      <c r="I115" s="27" t="s">
        <v>681</v>
      </c>
      <c r="J115" s="27" t="s">
        <v>682</v>
      </c>
      <c r="K115" s="28">
        <v>0.709336817264556</v>
      </c>
      <c r="L115" s="28">
        <v>0.54767882823944003</v>
      </c>
      <c r="M115" s="29">
        <v>0.28361913561820901</v>
      </c>
      <c r="Q115" t="s">
        <v>643</v>
      </c>
      <c r="R115" t="s">
        <v>119</v>
      </c>
      <c r="S115" s="37">
        <v>3</v>
      </c>
      <c r="T115" t="s">
        <v>918</v>
      </c>
      <c r="U115" t="s">
        <v>919</v>
      </c>
      <c r="V115" s="37">
        <v>768221.625</v>
      </c>
      <c r="W115" s="38">
        <v>0.1132258921861649</v>
      </c>
      <c r="X115" s="38">
        <v>0.12911245226860049</v>
      </c>
      <c r="Y115" s="39">
        <f t="shared" si="1"/>
        <v>1.5886560082435594E-2</v>
      </c>
    </row>
    <row r="116" spans="1:25" x14ac:dyDescent="0.3">
      <c r="A116" s="24" t="s">
        <v>676</v>
      </c>
      <c r="B116" s="24" t="s">
        <v>281</v>
      </c>
      <c r="C116" t="s">
        <v>118</v>
      </c>
      <c r="D116" t="s">
        <v>118</v>
      </c>
      <c r="E116" s="25" t="s">
        <v>677</v>
      </c>
      <c r="F116" s="26">
        <v>0.51402223000000002</v>
      </c>
      <c r="G116" s="26">
        <v>0.54240781000000005</v>
      </c>
      <c r="H116" s="26">
        <v>0.48713231000000001</v>
      </c>
      <c r="I116" s="27" t="s">
        <v>678</v>
      </c>
      <c r="J116" s="27" t="s">
        <v>521</v>
      </c>
      <c r="K116" s="28">
        <v>0.70327061414718595</v>
      </c>
      <c r="L116" s="28">
        <v>0.59616476297378496</v>
      </c>
      <c r="M116" s="28">
        <v>0.269651859998703</v>
      </c>
      <c r="Q116" t="s">
        <v>649</v>
      </c>
      <c r="R116" t="s">
        <v>144</v>
      </c>
      <c r="S116" s="37">
        <v>3</v>
      </c>
      <c r="T116" t="s">
        <v>918</v>
      </c>
      <c r="U116" t="s">
        <v>919</v>
      </c>
      <c r="V116" s="37">
        <v>128115.9296875</v>
      </c>
      <c r="W116" s="38">
        <v>9.991782158613205E-2</v>
      </c>
      <c r="X116" s="38">
        <v>0.1169535741209984</v>
      </c>
      <c r="Y116" s="39">
        <f t="shared" si="1"/>
        <v>1.7035752534866347E-2</v>
      </c>
    </row>
    <row r="117" spans="1:25" x14ac:dyDescent="0.3">
      <c r="A117" s="24" t="s">
        <v>643</v>
      </c>
      <c r="B117" s="24" t="s">
        <v>271</v>
      </c>
      <c r="C117" t="s">
        <v>119</v>
      </c>
      <c r="D117" t="s">
        <v>119</v>
      </c>
      <c r="E117" s="25" t="s">
        <v>644</v>
      </c>
      <c r="F117" s="26">
        <v>0.35162964000000002</v>
      </c>
      <c r="G117" s="26">
        <v>0.35401832999999999</v>
      </c>
      <c r="H117" s="26">
        <v>0.34937644000000001</v>
      </c>
      <c r="I117" s="27" t="s">
        <v>645</v>
      </c>
      <c r="J117" s="27" t="s">
        <v>561</v>
      </c>
      <c r="K117" s="28">
        <v>0.45404085516929599</v>
      </c>
      <c r="L117" s="28">
        <v>0.30653306841850197</v>
      </c>
      <c r="M117" s="29">
        <v>0.113225892186164</v>
      </c>
      <c r="Q117" t="s">
        <v>651</v>
      </c>
      <c r="R117" t="s">
        <v>106</v>
      </c>
      <c r="S117" s="37">
        <v>3</v>
      </c>
      <c r="T117" t="s">
        <v>918</v>
      </c>
      <c r="U117" t="s">
        <v>919</v>
      </c>
      <c r="V117" s="37">
        <v>250370.078125</v>
      </c>
      <c r="W117" s="38">
        <v>7.8177966177463531E-2</v>
      </c>
      <c r="X117" s="38">
        <v>0.1012996137142181</v>
      </c>
      <c r="Y117" s="39">
        <f t="shared" si="1"/>
        <v>2.3121647536754567E-2</v>
      </c>
    </row>
    <row r="118" spans="1:25" x14ac:dyDescent="0.3">
      <c r="A118" s="24" t="s">
        <v>683</v>
      </c>
      <c r="B118" s="24" t="s">
        <v>276</v>
      </c>
      <c r="C118" t="s">
        <v>120</v>
      </c>
      <c r="D118" t="s">
        <v>120</v>
      </c>
      <c r="E118" s="25" t="s">
        <v>684</v>
      </c>
      <c r="F118" s="26">
        <v>0.34137255</v>
      </c>
      <c r="G118" s="26">
        <v>0.29273727999999999</v>
      </c>
      <c r="H118" s="26">
        <v>0.38244992</v>
      </c>
      <c r="I118" s="27" t="s">
        <v>431</v>
      </c>
      <c r="J118" s="27" t="s">
        <v>279</v>
      </c>
      <c r="K118" s="28">
        <v>0.31380164623260498</v>
      </c>
      <c r="L118" s="28">
        <v>0.160749852657318</v>
      </c>
      <c r="M118" s="28">
        <v>8.9297428727150005E-2</v>
      </c>
      <c r="Q118" t="s">
        <v>653</v>
      </c>
      <c r="R118" t="s">
        <v>109</v>
      </c>
      <c r="S118" s="37">
        <v>3</v>
      </c>
      <c r="T118" t="s">
        <v>918</v>
      </c>
      <c r="U118" t="s">
        <v>919</v>
      </c>
      <c r="V118" s="37">
        <v>12374.8466796875</v>
      </c>
      <c r="W118" s="38">
        <v>0.14872345328330991</v>
      </c>
      <c r="X118" s="38">
        <v>0.1831594854593277</v>
      </c>
      <c r="Y118" s="39">
        <f t="shared" si="1"/>
        <v>3.4436032176017789E-2</v>
      </c>
    </row>
    <row r="119" spans="1:25" x14ac:dyDescent="0.3">
      <c r="A119" s="24" t="s">
        <v>672</v>
      </c>
      <c r="B119" s="24" t="s">
        <v>331</v>
      </c>
      <c r="C119" t="s">
        <v>121</v>
      </c>
      <c r="D119" t="s">
        <v>121</v>
      </c>
      <c r="E119" s="25" t="s">
        <v>673</v>
      </c>
      <c r="F119" s="26">
        <v>0.38963616000000001</v>
      </c>
      <c r="G119" s="26">
        <v>0.34808995999999998</v>
      </c>
      <c r="H119" s="26">
        <v>0.42573096999999999</v>
      </c>
      <c r="I119" s="27" t="s">
        <v>674</v>
      </c>
      <c r="J119" s="27" t="s">
        <v>675</v>
      </c>
      <c r="K119" s="28">
        <v>0.60089588165283203</v>
      </c>
      <c r="L119" s="28">
        <v>0.36346697807312001</v>
      </c>
      <c r="M119" s="29">
        <v>0.17044502496719299</v>
      </c>
      <c r="Q119" t="s">
        <v>656</v>
      </c>
      <c r="R119" t="s">
        <v>115</v>
      </c>
      <c r="S119" s="37">
        <v>3</v>
      </c>
      <c r="T119" t="s">
        <v>918</v>
      </c>
      <c r="U119" t="s">
        <v>919</v>
      </c>
      <c r="V119" s="37">
        <v>6407849</v>
      </c>
      <c r="W119" s="38">
        <v>0.31790950894355768</v>
      </c>
      <c r="X119" s="38">
        <v>0.36906290054321289</v>
      </c>
      <c r="Y119" s="39">
        <f t="shared" si="1"/>
        <v>5.1153391599655207E-2</v>
      </c>
    </row>
    <row r="120" spans="1:25" x14ac:dyDescent="0.3">
      <c r="A120" s="24" t="s">
        <v>696</v>
      </c>
      <c r="B120" s="24" t="s">
        <v>276</v>
      </c>
      <c r="C120" t="s">
        <v>122</v>
      </c>
      <c r="D120" t="s">
        <v>122</v>
      </c>
      <c r="E120" s="25" t="s">
        <v>697</v>
      </c>
      <c r="F120" s="26">
        <v>0.39701143</v>
      </c>
      <c r="G120" s="26">
        <v>0.37507391000000001</v>
      </c>
      <c r="H120" s="26">
        <v>0.41611894999999999</v>
      </c>
      <c r="I120" s="27" t="s">
        <v>698</v>
      </c>
      <c r="J120" s="27" t="s">
        <v>699</v>
      </c>
      <c r="K120" s="28">
        <v>0.52205866575241</v>
      </c>
      <c r="L120" s="28">
        <v>0.43448725342750499</v>
      </c>
      <c r="M120" s="29">
        <v>0.22223711013793901</v>
      </c>
      <c r="Q120" t="s">
        <v>660</v>
      </c>
      <c r="R120" t="s">
        <v>112</v>
      </c>
      <c r="S120" s="37">
        <v>3</v>
      </c>
      <c r="T120" t="s">
        <v>918</v>
      </c>
      <c r="U120" t="s">
        <v>919</v>
      </c>
      <c r="V120" s="37">
        <v>1031.387939453125</v>
      </c>
      <c r="W120" s="38">
        <v>0.1511768847703934</v>
      </c>
      <c r="X120" s="38">
        <v>0.1555537283420563</v>
      </c>
      <c r="Y120" s="39">
        <f t="shared" si="1"/>
        <v>4.3768435716629028E-3</v>
      </c>
    </row>
    <row r="121" spans="1:25" x14ac:dyDescent="0.3">
      <c r="A121" s="24" t="s">
        <v>718</v>
      </c>
      <c r="B121" s="24" t="s">
        <v>306</v>
      </c>
      <c r="C121" t="s">
        <v>236</v>
      </c>
      <c r="D121" t="s">
        <v>236</v>
      </c>
      <c r="E121" s="25" t="s">
        <v>719</v>
      </c>
      <c r="F121" s="26">
        <v>0.41802925000000002</v>
      </c>
      <c r="G121" s="26">
        <v>0.42659372000000001</v>
      </c>
      <c r="H121" s="26">
        <v>0.41024368999999999</v>
      </c>
      <c r="I121" s="30">
        <v>1800</v>
      </c>
      <c r="J121" s="30">
        <v>1500</v>
      </c>
      <c r="K121" s="28">
        <v>0.54691034555435103</v>
      </c>
      <c r="L121" s="28">
        <v>0.28290039300918501</v>
      </c>
      <c r="M121" s="29">
        <v>0.15788078308105399</v>
      </c>
      <c r="Q121" t="s">
        <v>662</v>
      </c>
      <c r="R121" t="s">
        <v>129</v>
      </c>
      <c r="S121" s="37">
        <v>3</v>
      </c>
      <c r="T121" t="s">
        <v>918</v>
      </c>
      <c r="U121" t="s">
        <v>919</v>
      </c>
      <c r="V121" s="37">
        <v>172375.109375</v>
      </c>
      <c r="W121" s="38">
        <v>0.26312333345413208</v>
      </c>
      <c r="X121" s="38">
        <v>0.29750010371208191</v>
      </c>
      <c r="Y121" s="39">
        <f t="shared" si="1"/>
        <v>3.4376770257949829E-2</v>
      </c>
    </row>
    <row r="122" spans="1:25" x14ac:dyDescent="0.3">
      <c r="A122" s="24" t="s">
        <v>716</v>
      </c>
      <c r="B122" s="24" t="s">
        <v>331</v>
      </c>
      <c r="C122" t="s">
        <v>123</v>
      </c>
      <c r="D122" t="s">
        <v>123</v>
      </c>
      <c r="E122" s="25" t="s">
        <v>717</v>
      </c>
      <c r="F122" s="26">
        <v>0.35468172999999997</v>
      </c>
      <c r="G122" s="26">
        <v>0.39462375999999999</v>
      </c>
      <c r="H122" s="26">
        <v>0.32344535000000002</v>
      </c>
      <c r="I122" s="27" t="s">
        <v>273</v>
      </c>
      <c r="J122" s="27" t="s">
        <v>603</v>
      </c>
      <c r="K122" s="28">
        <v>0.35717254877090399</v>
      </c>
      <c r="L122" s="28">
        <v>0.19649109244346599</v>
      </c>
      <c r="M122" s="28">
        <v>8.6650639772415203E-2</v>
      </c>
      <c r="Q122" t="s">
        <v>666</v>
      </c>
      <c r="R122" t="s">
        <v>110</v>
      </c>
      <c r="S122" s="37">
        <v>3</v>
      </c>
      <c r="T122" t="s">
        <v>918</v>
      </c>
      <c r="U122" t="s">
        <v>919</v>
      </c>
      <c r="V122" s="37">
        <v>290881.15625</v>
      </c>
      <c r="W122" s="38">
        <v>0.16306416690349579</v>
      </c>
      <c r="X122" s="38">
        <v>0.19250898063182831</v>
      </c>
      <c r="Y122" s="39">
        <f t="shared" si="1"/>
        <v>2.944481372833252E-2</v>
      </c>
    </row>
    <row r="123" spans="1:25" x14ac:dyDescent="0.3">
      <c r="A123" s="24" t="s">
        <v>709</v>
      </c>
      <c r="B123" s="24" t="s">
        <v>281</v>
      </c>
      <c r="C123" t="s">
        <v>710</v>
      </c>
      <c r="D123" t="s">
        <v>124</v>
      </c>
      <c r="E123" s="25" t="s">
        <v>711</v>
      </c>
      <c r="F123" s="26">
        <v>0.36902073000000002</v>
      </c>
      <c r="G123" s="26">
        <v>0.42885166000000002</v>
      </c>
      <c r="H123" s="26">
        <v>0.30960321000000002</v>
      </c>
      <c r="I123" s="27" t="s">
        <v>712</v>
      </c>
      <c r="J123" s="27" t="s">
        <v>352</v>
      </c>
      <c r="K123" s="28">
        <v>0.59498560428619296</v>
      </c>
      <c r="L123" s="28">
        <v>0.50949299335479703</v>
      </c>
      <c r="M123" s="29">
        <v>0.27686405181884699</v>
      </c>
      <c r="Q123" t="s">
        <v>668</v>
      </c>
      <c r="R123" t="s">
        <v>111</v>
      </c>
      <c r="S123" s="37">
        <v>3</v>
      </c>
      <c r="T123" t="s">
        <v>918</v>
      </c>
      <c r="U123" t="s">
        <v>919</v>
      </c>
      <c r="V123" s="37">
        <v>52514.37109375</v>
      </c>
      <c r="W123" s="38">
        <v>0.50733453035354614</v>
      </c>
      <c r="X123" s="38">
        <v>0.55042076110839844</v>
      </c>
      <c r="Y123" s="39">
        <f t="shared" si="1"/>
        <v>4.3086230754852295E-2</v>
      </c>
    </row>
    <row r="124" spans="1:25" x14ac:dyDescent="0.3">
      <c r="A124" s="24" t="s">
        <v>720</v>
      </c>
      <c r="B124" s="24" t="s">
        <v>306</v>
      </c>
      <c r="C124" t="s">
        <v>125</v>
      </c>
      <c r="D124" t="s">
        <v>125</v>
      </c>
      <c r="E124" s="25" t="s">
        <v>721</v>
      </c>
      <c r="F124" s="26">
        <v>0.35598537000000002</v>
      </c>
      <c r="G124" s="26">
        <v>0.38853272999999999</v>
      </c>
      <c r="H124" s="26">
        <v>0.32557327000000003</v>
      </c>
      <c r="I124" s="27" t="s">
        <v>722</v>
      </c>
      <c r="J124" s="27" t="s">
        <v>723</v>
      </c>
      <c r="K124" s="28">
        <v>0.68721550703048695</v>
      </c>
      <c r="L124" s="28">
        <v>0.56195569038391102</v>
      </c>
      <c r="M124" s="29">
        <v>0.32048472762107799</v>
      </c>
      <c r="Q124" t="s">
        <v>672</v>
      </c>
      <c r="R124" t="s">
        <v>121</v>
      </c>
      <c r="S124" s="37">
        <v>3</v>
      </c>
      <c r="T124" t="s">
        <v>918</v>
      </c>
      <c r="U124" t="s">
        <v>919</v>
      </c>
      <c r="V124" s="37">
        <v>1837914.625</v>
      </c>
      <c r="W124" s="38">
        <v>0.1704450249671936</v>
      </c>
      <c r="X124" s="38">
        <v>0.1950538903474808</v>
      </c>
      <c r="Y124" s="39">
        <f t="shared" si="1"/>
        <v>2.4608865380287198E-2</v>
      </c>
    </row>
    <row r="125" spans="1:25" x14ac:dyDescent="0.3">
      <c r="A125" s="24" t="s">
        <v>706</v>
      </c>
      <c r="B125" s="24" t="s">
        <v>294</v>
      </c>
      <c r="C125" t="s">
        <v>126</v>
      </c>
      <c r="D125" t="s">
        <v>126</v>
      </c>
      <c r="E125" s="25" t="s">
        <v>707</v>
      </c>
      <c r="F125" s="26">
        <v>0.33557236000000001</v>
      </c>
      <c r="G125" s="26">
        <v>0.31737459000000001</v>
      </c>
      <c r="H125" s="26">
        <v>0.35179073</v>
      </c>
      <c r="I125" s="27" t="s">
        <v>319</v>
      </c>
      <c r="J125" s="27" t="s">
        <v>664</v>
      </c>
      <c r="K125" s="28">
        <v>0.69100791215896595</v>
      </c>
      <c r="L125" s="28">
        <v>0.62034410238265902</v>
      </c>
      <c r="M125" s="29">
        <v>0.377360939979553</v>
      </c>
      <c r="Q125" t="s">
        <v>676</v>
      </c>
      <c r="R125" t="s">
        <v>118</v>
      </c>
      <c r="S125" s="37">
        <v>3</v>
      </c>
      <c r="T125" t="s">
        <v>918</v>
      </c>
      <c r="U125" t="s">
        <v>919</v>
      </c>
      <c r="V125" s="37">
        <v>52262.76171875</v>
      </c>
      <c r="W125" s="38">
        <v>0.269651859998703</v>
      </c>
      <c r="X125" s="38">
        <v>0.3032524585723877</v>
      </c>
      <c r="Y125" s="39">
        <f t="shared" si="1"/>
        <v>3.3600598573684692E-2</v>
      </c>
    </row>
    <row r="126" spans="1:25" x14ac:dyDescent="0.3">
      <c r="A126" s="24" t="s">
        <v>700</v>
      </c>
      <c r="B126" s="24" t="s">
        <v>276</v>
      </c>
      <c r="C126" t="s">
        <v>127</v>
      </c>
      <c r="D126" t="s">
        <v>127</v>
      </c>
      <c r="E126" s="25" t="s">
        <v>701</v>
      </c>
      <c r="F126" s="26">
        <v>0.37277797000000001</v>
      </c>
      <c r="G126" s="26">
        <v>0.35617127999999998</v>
      </c>
      <c r="H126" s="26">
        <v>0.38855705000000001</v>
      </c>
      <c r="I126" s="27" t="s">
        <v>316</v>
      </c>
      <c r="J126" s="27" t="s">
        <v>385</v>
      </c>
      <c r="K126" s="28">
        <v>0.28537166118621798</v>
      </c>
      <c r="L126" s="28">
        <v>0.148403584957122</v>
      </c>
      <c r="M126" s="28">
        <v>7.3106981813907596E-2</v>
      </c>
      <c r="Q126" t="s">
        <v>679</v>
      </c>
      <c r="R126" t="s">
        <v>117</v>
      </c>
      <c r="S126" s="37">
        <v>3</v>
      </c>
      <c r="T126" t="s">
        <v>918</v>
      </c>
      <c r="U126" t="s">
        <v>919</v>
      </c>
      <c r="V126" s="37">
        <v>182867.515625</v>
      </c>
      <c r="W126" s="38">
        <v>0.28361913561820978</v>
      </c>
      <c r="X126" s="38">
        <v>0.32588660717010498</v>
      </c>
      <c r="Y126" s="39">
        <f t="shared" si="1"/>
        <v>4.2267471551895197E-2</v>
      </c>
    </row>
    <row r="127" spans="1:25" x14ac:dyDescent="0.3">
      <c r="A127" s="24" t="s">
        <v>702</v>
      </c>
      <c r="B127" s="24" t="s">
        <v>276</v>
      </c>
      <c r="C127" t="s">
        <v>128</v>
      </c>
      <c r="D127" t="s">
        <v>128</v>
      </c>
      <c r="E127" s="25" t="s">
        <v>703</v>
      </c>
      <c r="F127" s="26">
        <v>0.32426875999999999</v>
      </c>
      <c r="G127" s="26">
        <v>0.28414610000000001</v>
      </c>
      <c r="H127" s="26">
        <v>0.36436844000000002</v>
      </c>
      <c r="I127" s="27" t="s">
        <v>704</v>
      </c>
      <c r="J127" s="27" t="s">
        <v>705</v>
      </c>
      <c r="K127" s="28">
        <v>0.49923518300056402</v>
      </c>
      <c r="L127" s="28">
        <v>0.31657662987709001</v>
      </c>
      <c r="M127" s="29">
        <v>0.13356940448284099</v>
      </c>
      <c r="Q127" t="s">
        <v>683</v>
      </c>
      <c r="R127" t="s">
        <v>120</v>
      </c>
      <c r="S127" s="37">
        <v>3</v>
      </c>
      <c r="T127" t="s">
        <v>918</v>
      </c>
      <c r="U127" t="s">
        <v>919</v>
      </c>
      <c r="V127" s="37">
        <v>297708.59375</v>
      </c>
      <c r="W127" s="38">
        <v>8.9297428727149963E-2</v>
      </c>
      <c r="X127" s="38">
        <v>0.1104135885834694</v>
      </c>
      <c r="Y127" s="39">
        <f t="shared" si="1"/>
        <v>2.1116159856319441E-2</v>
      </c>
    </row>
    <row r="128" spans="1:25" x14ac:dyDescent="0.3">
      <c r="A128" s="24" t="s">
        <v>708</v>
      </c>
      <c r="B128" s="24" t="s">
        <v>306</v>
      </c>
      <c r="C128" t="s">
        <v>254</v>
      </c>
      <c r="D128" t="s">
        <v>254</v>
      </c>
      <c r="E128" s="32">
        <v>1820</v>
      </c>
      <c r="F128" s="26">
        <v>0.43737548999999998</v>
      </c>
      <c r="G128" s="26">
        <v>0.41488498000000001</v>
      </c>
      <c r="H128" s="26">
        <v>0.46029034000000002</v>
      </c>
      <c r="I128" s="27">
        <v>370</v>
      </c>
      <c r="J128" s="27">
        <v>300</v>
      </c>
      <c r="K128" s="28">
        <v>0.58161997795104903</v>
      </c>
      <c r="L128" s="28">
        <v>0.45492622256278897</v>
      </c>
      <c r="M128" s="29">
        <v>0.207335785031318</v>
      </c>
      <c r="Q128" t="s">
        <v>685</v>
      </c>
      <c r="R128" t="s">
        <v>113</v>
      </c>
      <c r="S128" s="37">
        <v>3</v>
      </c>
      <c r="T128" t="s">
        <v>918</v>
      </c>
      <c r="U128" t="s">
        <v>919</v>
      </c>
      <c r="V128" s="37">
        <v>73077.953125</v>
      </c>
      <c r="W128" s="38">
        <v>0.12508741021156311</v>
      </c>
      <c r="X128" s="38">
        <v>0.15217652916908261</v>
      </c>
      <c r="Y128" s="39">
        <f t="shared" si="1"/>
        <v>2.7089118957519503E-2</v>
      </c>
    </row>
    <row r="129" spans="1:25" x14ac:dyDescent="0.3">
      <c r="A129" s="24" t="s">
        <v>662</v>
      </c>
      <c r="B129" s="24" t="s">
        <v>281</v>
      </c>
      <c r="C129" t="s">
        <v>129</v>
      </c>
      <c r="D129" t="s">
        <v>129</v>
      </c>
      <c r="E129" s="25" t="s">
        <v>663</v>
      </c>
      <c r="F129" s="26">
        <v>0.49655122000000002</v>
      </c>
      <c r="G129" s="26">
        <v>0.52910787000000004</v>
      </c>
      <c r="H129" s="26">
        <v>0.46450483999999997</v>
      </c>
      <c r="I129" s="27" t="s">
        <v>664</v>
      </c>
      <c r="J129" s="27" t="s">
        <v>665</v>
      </c>
      <c r="K129" s="28">
        <v>0.69719189405441195</v>
      </c>
      <c r="L129" s="28">
        <v>0.57901984453201205</v>
      </c>
      <c r="M129" s="29">
        <v>0.26312333345413202</v>
      </c>
      <c r="Q129" t="s">
        <v>688</v>
      </c>
      <c r="R129" t="s">
        <v>114</v>
      </c>
      <c r="S129" s="37">
        <v>3</v>
      </c>
      <c r="T129" t="s">
        <v>918</v>
      </c>
      <c r="U129" t="s">
        <v>919</v>
      </c>
      <c r="V129" s="37">
        <v>113319.078125</v>
      </c>
      <c r="W129" s="38">
        <v>0.41019770503044128</v>
      </c>
      <c r="X129" s="38">
        <v>0.47126844525337219</v>
      </c>
      <c r="Y129" s="39">
        <f t="shared" si="1"/>
        <v>6.1070740222930908E-2</v>
      </c>
    </row>
    <row r="130" spans="1:25" x14ac:dyDescent="0.3">
      <c r="A130" s="24" t="s">
        <v>713</v>
      </c>
      <c r="B130" s="24" t="s">
        <v>281</v>
      </c>
      <c r="C130" t="s">
        <v>130</v>
      </c>
      <c r="D130" t="s">
        <v>130</v>
      </c>
      <c r="E130" s="25" t="s">
        <v>714</v>
      </c>
      <c r="F130" s="26">
        <v>0.35149090999999999</v>
      </c>
      <c r="G130" s="26">
        <v>0.39350623000000001</v>
      </c>
      <c r="H130" s="26">
        <v>0.30787154999999999</v>
      </c>
      <c r="I130" s="27" t="s">
        <v>427</v>
      </c>
      <c r="J130" s="27" t="s">
        <v>715</v>
      </c>
      <c r="K130" s="28">
        <v>0.702367663383483</v>
      </c>
      <c r="L130" s="28">
        <v>0.52978837490081698</v>
      </c>
      <c r="M130" s="29">
        <v>0.329262435436248</v>
      </c>
      <c r="Q130" t="s">
        <v>692</v>
      </c>
      <c r="R130" t="s">
        <v>107</v>
      </c>
      <c r="S130" s="37">
        <v>3</v>
      </c>
      <c r="T130" t="s">
        <v>918</v>
      </c>
      <c r="U130" t="s">
        <v>919</v>
      </c>
      <c r="V130" s="37">
        <v>159573.359375</v>
      </c>
      <c r="W130" s="38">
        <v>0.12179428339004519</v>
      </c>
      <c r="X130" s="38">
        <v>0.1583698242902756</v>
      </c>
      <c r="Y130" s="39">
        <f t="shared" si="1"/>
        <v>3.6575540900230408E-2</v>
      </c>
    </row>
    <row r="131" spans="1:25" x14ac:dyDescent="0.3">
      <c r="A131" s="24" t="s">
        <v>724</v>
      </c>
      <c r="B131" s="24" t="s">
        <v>271</v>
      </c>
      <c r="C131" t="s">
        <v>131</v>
      </c>
      <c r="D131" t="s">
        <v>131</v>
      </c>
      <c r="E131" s="25" t="s">
        <v>725</v>
      </c>
      <c r="F131" s="26">
        <v>0.37208386999999998</v>
      </c>
      <c r="G131" s="26">
        <v>0.40004795999999998</v>
      </c>
      <c r="H131" s="26">
        <v>0.30035475</v>
      </c>
      <c r="I131" s="27" t="s">
        <v>319</v>
      </c>
      <c r="J131" s="27" t="s">
        <v>722</v>
      </c>
      <c r="K131" s="28">
        <v>0.32107496261596602</v>
      </c>
      <c r="L131" s="28">
        <v>0.26863187551498402</v>
      </c>
      <c r="M131" s="29">
        <v>0.10827616602182299</v>
      </c>
      <c r="Q131" t="s">
        <v>694</v>
      </c>
      <c r="R131" t="s">
        <v>108</v>
      </c>
      <c r="S131" s="37">
        <v>3</v>
      </c>
      <c r="T131" t="s">
        <v>918</v>
      </c>
      <c r="U131" t="s">
        <v>919</v>
      </c>
      <c r="V131" s="37">
        <v>1473618.25</v>
      </c>
      <c r="W131" s="38">
        <v>0.21242393553256991</v>
      </c>
      <c r="X131" s="38">
        <v>0.2446586936712265</v>
      </c>
      <c r="Y131" s="39">
        <f t="shared" si="1"/>
        <v>3.2234758138656588E-2</v>
      </c>
    </row>
    <row r="132" spans="1:25" x14ac:dyDescent="0.3">
      <c r="A132" s="24" t="s">
        <v>726</v>
      </c>
      <c r="B132" s="24" t="s">
        <v>271</v>
      </c>
      <c r="C132" t="s">
        <v>132</v>
      </c>
      <c r="D132" t="s">
        <v>132</v>
      </c>
      <c r="E132" s="25" t="s">
        <v>727</v>
      </c>
      <c r="F132" s="26">
        <v>0.42341184999999998</v>
      </c>
      <c r="G132" s="26">
        <v>0.40936940999999999</v>
      </c>
      <c r="H132" s="26">
        <v>0.43791899000000001</v>
      </c>
      <c r="I132" s="27" t="s">
        <v>728</v>
      </c>
      <c r="J132" s="27" t="s">
        <v>729</v>
      </c>
      <c r="K132" s="28">
        <v>0.44345745444297702</v>
      </c>
      <c r="L132" s="28">
        <v>0.34059959650039601</v>
      </c>
      <c r="M132" s="29">
        <v>0.11989610642194699</v>
      </c>
      <c r="Q132" t="s">
        <v>696</v>
      </c>
      <c r="R132" t="s">
        <v>122</v>
      </c>
      <c r="S132" s="37">
        <v>3</v>
      </c>
      <c r="T132" t="s">
        <v>918</v>
      </c>
      <c r="U132" t="s">
        <v>919</v>
      </c>
      <c r="V132" s="37">
        <v>86993.1484375</v>
      </c>
      <c r="W132" s="38">
        <v>0.22223711013793951</v>
      </c>
      <c r="X132" s="38">
        <v>0.25744283199310303</v>
      </c>
      <c r="Y132" s="39">
        <f t="shared" si="1"/>
        <v>3.5205721855163519E-2</v>
      </c>
    </row>
    <row r="133" spans="1:25" x14ac:dyDescent="0.3">
      <c r="A133" s="24" t="s">
        <v>739</v>
      </c>
      <c r="B133" s="24" t="s">
        <v>306</v>
      </c>
      <c r="C133" t="s">
        <v>255</v>
      </c>
      <c r="D133" t="s">
        <v>255</v>
      </c>
      <c r="E133" s="25" t="s">
        <v>740</v>
      </c>
      <c r="F133" s="26">
        <v>0.48205313</v>
      </c>
      <c r="G133" s="26">
        <v>0.47247124000000001</v>
      </c>
      <c r="H133" s="26">
        <v>0.49335092000000003</v>
      </c>
      <c r="I133" s="30">
        <v>5300</v>
      </c>
      <c r="J133" s="30">
        <v>4400</v>
      </c>
      <c r="K133" s="28">
        <v>0.59488922357559204</v>
      </c>
      <c r="L133" s="28">
        <v>0.41366395354270902</v>
      </c>
      <c r="M133" s="29">
        <v>0.169907227158546</v>
      </c>
      <c r="Q133" t="s">
        <v>700</v>
      </c>
      <c r="R133" t="s">
        <v>127</v>
      </c>
      <c r="S133" s="37">
        <v>3</v>
      </c>
      <c r="T133" t="s">
        <v>918</v>
      </c>
      <c r="U133" t="s">
        <v>919</v>
      </c>
      <c r="V133" s="37">
        <v>182117.515625</v>
      </c>
      <c r="W133" s="38">
        <v>7.3106981813907623E-2</v>
      </c>
      <c r="X133" s="38">
        <v>9.1838181018829346E-2</v>
      </c>
      <c r="Y133" s="39">
        <f t="shared" si="1"/>
        <v>1.8731199204921722E-2</v>
      </c>
    </row>
    <row r="134" spans="1:25" x14ac:dyDescent="0.3">
      <c r="A134" s="24" t="s">
        <v>730</v>
      </c>
      <c r="B134" s="24" t="s">
        <v>294</v>
      </c>
      <c r="C134" t="s">
        <v>134</v>
      </c>
      <c r="D134" t="s">
        <v>134</v>
      </c>
      <c r="E134" s="25" t="s">
        <v>731</v>
      </c>
      <c r="F134" s="26">
        <v>0.36880480999999998</v>
      </c>
      <c r="G134" s="26">
        <v>0.37005314</v>
      </c>
      <c r="H134" s="26">
        <v>0.36758565999999998</v>
      </c>
      <c r="I134" s="27" t="s">
        <v>732</v>
      </c>
      <c r="J134" s="27" t="s">
        <v>733</v>
      </c>
      <c r="K134" s="28">
        <v>0.70917785167694003</v>
      </c>
      <c r="L134" s="28">
        <v>0.58756691217422397</v>
      </c>
      <c r="M134" s="29">
        <v>0.32051819562911898</v>
      </c>
      <c r="Q134" t="s">
        <v>702</v>
      </c>
      <c r="R134" t="s">
        <v>128</v>
      </c>
      <c r="S134" s="37">
        <v>3</v>
      </c>
      <c r="T134" t="s">
        <v>918</v>
      </c>
      <c r="U134" t="s">
        <v>919</v>
      </c>
      <c r="V134" s="37">
        <v>2944626.75</v>
      </c>
      <c r="W134" s="38">
        <v>0.13356940448284149</v>
      </c>
      <c r="X134" s="38">
        <v>0.1676471084356308</v>
      </c>
      <c r="Y134" s="39">
        <f t="shared" si="1"/>
        <v>3.4077703952789307E-2</v>
      </c>
    </row>
    <row r="135" spans="1:25" x14ac:dyDescent="0.3">
      <c r="A135" s="24" t="s">
        <v>741</v>
      </c>
      <c r="B135" s="24" t="s">
        <v>306</v>
      </c>
      <c r="C135" t="s">
        <v>135</v>
      </c>
      <c r="D135" t="s">
        <v>135</v>
      </c>
      <c r="E135" s="25" t="s">
        <v>742</v>
      </c>
      <c r="F135" s="26">
        <v>0.28449887000000001</v>
      </c>
      <c r="G135" s="26">
        <v>0.25453973000000002</v>
      </c>
      <c r="H135" s="26">
        <v>0.31479826999999999</v>
      </c>
      <c r="I135" s="27" t="s">
        <v>722</v>
      </c>
      <c r="J135" s="27" t="s">
        <v>743</v>
      </c>
      <c r="K135" s="28">
        <v>0.33732762932777399</v>
      </c>
      <c r="L135" s="28">
        <v>0.18975673615932401</v>
      </c>
      <c r="M135" s="29">
        <v>0.11395077407360001</v>
      </c>
      <c r="Q135" t="s">
        <v>706</v>
      </c>
      <c r="R135" t="s">
        <v>126</v>
      </c>
      <c r="S135" s="37">
        <v>3</v>
      </c>
      <c r="T135" t="s">
        <v>918</v>
      </c>
      <c r="U135" t="s">
        <v>919</v>
      </c>
      <c r="V135" s="37">
        <v>397243.53125</v>
      </c>
      <c r="W135" s="38">
        <v>0.37736093997955322</v>
      </c>
      <c r="X135" s="38">
        <v>0.41704824566841131</v>
      </c>
      <c r="Y135" s="39">
        <f t="shared" si="1"/>
        <v>3.9687305688858088E-2</v>
      </c>
    </row>
    <row r="136" spans="1:25" x14ac:dyDescent="0.3">
      <c r="A136" s="24" t="s">
        <v>753</v>
      </c>
      <c r="B136" s="24" t="s">
        <v>294</v>
      </c>
      <c r="C136" t="s">
        <v>136</v>
      </c>
      <c r="D136" t="s">
        <v>136</v>
      </c>
      <c r="E136" s="25" t="s">
        <v>754</v>
      </c>
      <c r="F136" s="26">
        <v>0.54570996999999999</v>
      </c>
      <c r="G136" s="26">
        <v>0.60656023000000003</v>
      </c>
      <c r="H136" s="26">
        <v>0.48344851</v>
      </c>
      <c r="I136" s="27" t="s">
        <v>292</v>
      </c>
      <c r="J136" s="27" t="s">
        <v>524</v>
      </c>
      <c r="K136" s="28">
        <v>0.55791431665420499</v>
      </c>
      <c r="L136" s="28">
        <v>0.379826068878173</v>
      </c>
      <c r="M136" s="29">
        <v>0.13947245478629999</v>
      </c>
      <c r="Q136" t="s">
        <v>708</v>
      </c>
      <c r="R136" t="s">
        <v>254</v>
      </c>
      <c r="S136" s="37">
        <v>3</v>
      </c>
      <c r="T136" t="s">
        <v>918</v>
      </c>
      <c r="U136" t="s">
        <v>919</v>
      </c>
      <c r="V136" s="37">
        <v>77.625152587890625</v>
      </c>
      <c r="W136" s="38">
        <v>0.20733578503131869</v>
      </c>
      <c r="X136" s="38">
        <v>0.2240385115146637</v>
      </c>
      <c r="Y136" s="39">
        <f t="shared" si="1"/>
        <v>1.6702726483345004E-2</v>
      </c>
    </row>
    <row r="137" spans="1:25" x14ac:dyDescent="0.3">
      <c r="A137" s="24" t="s">
        <v>734</v>
      </c>
      <c r="B137" s="24" t="s">
        <v>294</v>
      </c>
      <c r="C137" t="s">
        <v>137</v>
      </c>
      <c r="D137" t="s">
        <v>137</v>
      </c>
      <c r="E137" s="25" t="s">
        <v>735</v>
      </c>
      <c r="F137" s="26">
        <v>0.2158062</v>
      </c>
      <c r="G137" s="26">
        <v>0.24272021999999999</v>
      </c>
      <c r="H137" s="26">
        <v>0.18867601000000001</v>
      </c>
      <c r="I137" s="27" t="s">
        <v>309</v>
      </c>
      <c r="J137" s="27" t="s">
        <v>400</v>
      </c>
      <c r="K137" s="28">
        <v>0.467210263013839</v>
      </c>
      <c r="L137" s="28">
        <v>0.414306759834289</v>
      </c>
      <c r="M137" s="29">
        <v>0.23009750247001601</v>
      </c>
      <c r="Q137" t="s">
        <v>709</v>
      </c>
      <c r="R137" t="s">
        <v>124</v>
      </c>
      <c r="S137" s="37">
        <v>3</v>
      </c>
      <c r="T137" t="s">
        <v>918</v>
      </c>
      <c r="U137" t="s">
        <v>919</v>
      </c>
      <c r="V137" s="37">
        <v>1089846.25</v>
      </c>
      <c r="W137" s="38">
        <v>0.27686405181884771</v>
      </c>
      <c r="X137" s="38">
        <v>0.32117581367492681</v>
      </c>
      <c r="Y137" s="39">
        <f t="shared" si="1"/>
        <v>4.4311761856079102E-2</v>
      </c>
    </row>
    <row r="138" spans="1:25" x14ac:dyDescent="0.3">
      <c r="A138" s="24" t="s">
        <v>736</v>
      </c>
      <c r="B138" s="24" t="s">
        <v>306</v>
      </c>
      <c r="C138" t="s">
        <v>138</v>
      </c>
      <c r="D138" t="s">
        <v>138</v>
      </c>
      <c r="E138" s="25" t="s">
        <v>737</v>
      </c>
      <c r="F138" s="26">
        <v>0.33302461999999999</v>
      </c>
      <c r="G138" s="26">
        <v>0.33690676000000003</v>
      </c>
      <c r="H138" s="26">
        <v>0.32929357999999997</v>
      </c>
      <c r="I138" s="27" t="s">
        <v>463</v>
      </c>
      <c r="J138" s="27" t="s">
        <v>738</v>
      </c>
      <c r="K138" s="28">
        <v>0.541831314563751</v>
      </c>
      <c r="L138" s="28">
        <v>0.36889985203742898</v>
      </c>
      <c r="M138" s="29">
        <v>0.18982307612895899</v>
      </c>
      <c r="Q138" t="s">
        <v>713</v>
      </c>
      <c r="R138" t="s">
        <v>130</v>
      </c>
      <c r="S138" s="37">
        <v>3</v>
      </c>
      <c r="T138" t="s">
        <v>918</v>
      </c>
      <c r="U138" t="s">
        <v>919</v>
      </c>
      <c r="V138" s="37">
        <v>387323.0625</v>
      </c>
      <c r="W138" s="38">
        <v>0.32926243543624878</v>
      </c>
      <c r="X138" s="38">
        <v>0.36744031310081482</v>
      </c>
      <c r="Y138" s="39">
        <f t="shared" ref="Y138:Y201" si="2">+X138-W138</f>
        <v>3.817787766456604E-2</v>
      </c>
    </row>
    <row r="139" spans="1:25" x14ac:dyDescent="0.3">
      <c r="A139" s="24" t="s">
        <v>744</v>
      </c>
      <c r="B139" s="24" t="s">
        <v>281</v>
      </c>
      <c r="C139" t="s">
        <v>139</v>
      </c>
      <c r="D139" t="s">
        <v>139</v>
      </c>
      <c r="E139" s="25" t="s">
        <v>745</v>
      </c>
      <c r="F139" s="26">
        <v>0.56630862000000004</v>
      </c>
      <c r="G139" s="26">
        <v>0.60734533999999996</v>
      </c>
      <c r="H139" s="26">
        <v>0.52777010000000002</v>
      </c>
      <c r="I139" s="27" t="s">
        <v>746</v>
      </c>
      <c r="J139" s="27" t="s">
        <v>747</v>
      </c>
      <c r="K139" s="28">
        <v>0.76063263416290205</v>
      </c>
      <c r="L139" s="28">
        <v>0.69865196943283003</v>
      </c>
      <c r="M139" s="29">
        <v>0.38524171710014299</v>
      </c>
      <c r="Q139" t="s">
        <v>716</v>
      </c>
      <c r="R139" t="s">
        <v>123</v>
      </c>
      <c r="S139" s="37">
        <v>3</v>
      </c>
      <c r="T139" t="s">
        <v>918</v>
      </c>
      <c r="U139" t="s">
        <v>919</v>
      </c>
      <c r="V139" s="37">
        <v>416291.5</v>
      </c>
      <c r="W139" s="38">
        <v>8.6650639772415161E-2</v>
      </c>
      <c r="X139" s="38">
        <v>0.1049977764487267</v>
      </c>
      <c r="Y139" s="39">
        <f t="shared" si="2"/>
        <v>1.8347136676311535E-2</v>
      </c>
    </row>
    <row r="140" spans="1:25" x14ac:dyDescent="0.3">
      <c r="A140" s="24" t="s">
        <v>751</v>
      </c>
      <c r="B140" s="24" t="s">
        <v>281</v>
      </c>
      <c r="C140" t="s">
        <v>140</v>
      </c>
      <c r="D140" t="s">
        <v>140</v>
      </c>
      <c r="E140" s="25" t="s">
        <v>752</v>
      </c>
      <c r="F140" s="26">
        <v>0.40506198999999998</v>
      </c>
      <c r="G140" s="26">
        <v>0.43970947999999999</v>
      </c>
      <c r="H140" s="26">
        <v>0.37431848000000001</v>
      </c>
      <c r="I140" s="27" t="s">
        <v>392</v>
      </c>
      <c r="J140" s="27" t="s">
        <v>536</v>
      </c>
      <c r="K140" s="28">
        <v>0.76998209953308105</v>
      </c>
      <c r="L140" s="28">
        <v>0.72453343868255604</v>
      </c>
      <c r="M140" s="29">
        <v>0.52177703380584695</v>
      </c>
      <c r="Q140" t="s">
        <v>718</v>
      </c>
      <c r="R140" t="s">
        <v>236</v>
      </c>
      <c r="S140" s="37">
        <v>3</v>
      </c>
      <c r="T140" t="s">
        <v>918</v>
      </c>
      <c r="U140" t="s">
        <v>919</v>
      </c>
      <c r="V140" s="37">
        <v>282.60678100585938</v>
      </c>
      <c r="W140" s="38">
        <v>0.15788078308105469</v>
      </c>
      <c r="X140" s="38">
        <v>0.17625775933265689</v>
      </c>
      <c r="Y140" s="39">
        <f t="shared" si="2"/>
        <v>1.8376976251602201E-2</v>
      </c>
    </row>
    <row r="141" spans="1:25" x14ac:dyDescent="0.3">
      <c r="A141" s="24" t="s">
        <v>755</v>
      </c>
      <c r="B141" s="24" t="s">
        <v>271</v>
      </c>
      <c r="C141" t="s">
        <v>142</v>
      </c>
      <c r="D141" t="s">
        <v>142</v>
      </c>
      <c r="E141" s="25" t="s">
        <v>756</v>
      </c>
      <c r="F141" s="26">
        <v>0.32172455999999999</v>
      </c>
      <c r="G141" s="26">
        <v>0.33769935000000001</v>
      </c>
      <c r="H141" s="26">
        <v>0.26177814999999999</v>
      </c>
      <c r="I141" s="27" t="s">
        <v>757</v>
      </c>
      <c r="J141" s="27" t="s">
        <v>758</v>
      </c>
      <c r="K141" s="28">
        <v>0.51421582698821999</v>
      </c>
      <c r="L141" s="28">
        <v>0.43599861860275202</v>
      </c>
      <c r="M141" s="29">
        <v>0.22954466938972401</v>
      </c>
      <c r="Q141" t="s">
        <v>720</v>
      </c>
      <c r="R141" t="s">
        <v>125</v>
      </c>
      <c r="S141" s="37">
        <v>3</v>
      </c>
      <c r="T141" t="s">
        <v>918</v>
      </c>
      <c r="U141" t="s">
        <v>919</v>
      </c>
      <c r="V141" s="37">
        <v>325888.25</v>
      </c>
      <c r="W141" s="38">
        <v>0.32048472762107849</v>
      </c>
      <c r="X141" s="38">
        <v>0.33990710973739618</v>
      </c>
      <c r="Y141" s="39">
        <f t="shared" si="2"/>
        <v>1.9422382116317694E-2</v>
      </c>
    </row>
    <row r="142" spans="1:25" x14ac:dyDescent="0.3">
      <c r="A142" s="24" t="s">
        <v>600</v>
      </c>
      <c r="B142" s="24" t="s">
        <v>306</v>
      </c>
      <c r="C142" t="s">
        <v>143</v>
      </c>
      <c r="D142" t="s">
        <v>143</v>
      </c>
      <c r="E142" s="25" t="s">
        <v>601</v>
      </c>
      <c r="F142" s="26">
        <v>0.32405036999999998</v>
      </c>
      <c r="G142" s="26">
        <v>0.36932029999999999</v>
      </c>
      <c r="H142" s="26">
        <v>0.27831808000000002</v>
      </c>
      <c r="I142" s="27" t="s">
        <v>602</v>
      </c>
      <c r="J142" s="27" t="s">
        <v>603</v>
      </c>
      <c r="K142" s="28">
        <v>0.80589967966079701</v>
      </c>
      <c r="L142" s="28">
        <v>0.805558681488037</v>
      </c>
      <c r="M142" s="28">
        <v>0.613178551197052</v>
      </c>
      <c r="Q142" t="s">
        <v>724</v>
      </c>
      <c r="R142" t="s">
        <v>131</v>
      </c>
      <c r="S142" s="37">
        <v>3</v>
      </c>
      <c r="T142" t="s">
        <v>918</v>
      </c>
      <c r="U142" t="s">
        <v>919</v>
      </c>
      <c r="V142" s="37">
        <v>121715.7265625</v>
      </c>
      <c r="W142" s="38">
        <v>0.1082761660218239</v>
      </c>
      <c r="X142" s="38">
        <v>0.1431484520435333</v>
      </c>
      <c r="Y142" s="39">
        <f t="shared" si="2"/>
        <v>3.4872286021709401E-2</v>
      </c>
    </row>
    <row r="143" spans="1:25" x14ac:dyDescent="0.3">
      <c r="A143" s="24" t="s">
        <v>649</v>
      </c>
      <c r="B143" s="24" t="s">
        <v>281</v>
      </c>
      <c r="C143" t="s">
        <v>144</v>
      </c>
      <c r="D143" t="s">
        <v>144</v>
      </c>
      <c r="E143" s="25" t="s">
        <v>650</v>
      </c>
      <c r="F143" s="26">
        <v>0.49117055999999998</v>
      </c>
      <c r="G143" s="26">
        <v>0.48152080000000003</v>
      </c>
      <c r="H143" s="26">
        <v>0.49963635000000001</v>
      </c>
      <c r="I143" s="27" t="s">
        <v>536</v>
      </c>
      <c r="J143" s="27" t="s">
        <v>427</v>
      </c>
      <c r="K143" s="28">
        <v>0.64127743244171098</v>
      </c>
      <c r="L143" s="28">
        <v>0.411740332841873</v>
      </c>
      <c r="M143" s="28">
        <v>9.9917821586131994E-2</v>
      </c>
      <c r="Q143" t="s">
        <v>726</v>
      </c>
      <c r="R143" t="s">
        <v>132</v>
      </c>
      <c r="S143" s="37">
        <v>3</v>
      </c>
      <c r="T143" t="s">
        <v>918</v>
      </c>
      <c r="U143" t="s">
        <v>919</v>
      </c>
      <c r="V143" s="37">
        <v>4624166</v>
      </c>
      <c r="W143" s="38">
        <v>0.11989610642194749</v>
      </c>
      <c r="X143" s="38">
        <v>0.13086503744125369</v>
      </c>
      <c r="Y143" s="39">
        <f t="shared" si="2"/>
        <v>1.0968931019306197E-2</v>
      </c>
    </row>
    <row r="144" spans="1:25" x14ac:dyDescent="0.3">
      <c r="A144" s="24" t="s">
        <v>759</v>
      </c>
      <c r="B144" s="24" t="s">
        <v>281</v>
      </c>
      <c r="C144" t="s">
        <v>145</v>
      </c>
      <c r="D144" t="s">
        <v>145</v>
      </c>
      <c r="E144" s="25" t="s">
        <v>760</v>
      </c>
      <c r="F144" s="26">
        <v>0.55706233000000005</v>
      </c>
      <c r="G144" s="26">
        <v>0.58236860999999995</v>
      </c>
      <c r="H144" s="26">
        <v>0.53342014999999998</v>
      </c>
      <c r="I144" s="27" t="s">
        <v>761</v>
      </c>
      <c r="J144" s="27" t="s">
        <v>762</v>
      </c>
      <c r="K144" s="28">
        <v>0.73663711547851496</v>
      </c>
      <c r="L144" s="28">
        <v>0.65302431583404497</v>
      </c>
      <c r="M144" s="29">
        <v>0.32518625259399397</v>
      </c>
      <c r="Q144" t="s">
        <v>730</v>
      </c>
      <c r="R144" t="s">
        <v>134</v>
      </c>
      <c r="S144" s="37">
        <v>3</v>
      </c>
      <c r="T144" t="s">
        <v>918</v>
      </c>
      <c r="U144" t="s">
        <v>919</v>
      </c>
      <c r="V144" s="37">
        <v>263171.9375</v>
      </c>
      <c r="W144" s="38">
        <v>0.32051819562911987</v>
      </c>
      <c r="X144" s="38">
        <v>0.36226138472557068</v>
      </c>
      <c r="Y144" s="39">
        <f t="shared" si="2"/>
        <v>4.1743189096450806E-2</v>
      </c>
    </row>
    <row r="145" spans="1:25" x14ac:dyDescent="0.3">
      <c r="A145" s="24" t="s">
        <v>763</v>
      </c>
      <c r="B145" s="24" t="s">
        <v>281</v>
      </c>
      <c r="C145" t="s">
        <v>146</v>
      </c>
      <c r="D145" t="s">
        <v>146</v>
      </c>
      <c r="E145" s="25" t="s">
        <v>764</v>
      </c>
      <c r="F145" s="26">
        <v>0.46653857999999998</v>
      </c>
      <c r="G145" s="26">
        <v>0.47242925000000002</v>
      </c>
      <c r="H145" s="26">
        <v>0.46169951999999997</v>
      </c>
      <c r="I145" s="27" t="s">
        <v>765</v>
      </c>
      <c r="J145" s="27" t="s">
        <v>766</v>
      </c>
      <c r="K145" s="28">
        <v>0.78701394796371404</v>
      </c>
      <c r="L145" s="28">
        <v>0.54474556446075395</v>
      </c>
      <c r="M145" s="29">
        <v>0.20034222304821001</v>
      </c>
      <c r="Q145" t="s">
        <v>734</v>
      </c>
      <c r="R145" t="s">
        <v>137</v>
      </c>
      <c r="S145" s="37">
        <v>3</v>
      </c>
      <c r="T145" t="s">
        <v>918</v>
      </c>
      <c r="U145" t="s">
        <v>919</v>
      </c>
      <c r="V145" s="37">
        <v>877700.375</v>
      </c>
      <c r="W145" s="38">
        <v>0.23009750247001651</v>
      </c>
      <c r="X145" s="38">
        <v>0.249559685587883</v>
      </c>
      <c r="Y145" s="39">
        <f t="shared" si="2"/>
        <v>1.9462183117866488E-2</v>
      </c>
    </row>
    <row r="146" spans="1:25" x14ac:dyDescent="0.3">
      <c r="A146" s="24" t="s">
        <v>767</v>
      </c>
      <c r="B146" s="24" t="s">
        <v>276</v>
      </c>
      <c r="C146" t="s">
        <v>147</v>
      </c>
      <c r="D146" t="s">
        <v>147</v>
      </c>
      <c r="E146" s="25" t="s">
        <v>768</v>
      </c>
      <c r="F146" s="26">
        <v>0.25440397999999997</v>
      </c>
      <c r="G146" s="26">
        <v>0.24056999000000001</v>
      </c>
      <c r="H146" s="26">
        <v>0.26708931000000002</v>
      </c>
      <c r="I146" s="27" t="s">
        <v>427</v>
      </c>
      <c r="J146" s="27" t="s">
        <v>319</v>
      </c>
      <c r="K146" s="28">
        <v>0.247996240854263</v>
      </c>
      <c r="L146" s="28">
        <v>0.110223308205604</v>
      </c>
      <c r="M146" s="28">
        <v>6.9748483598232297E-2</v>
      </c>
      <c r="Q146" t="s">
        <v>736</v>
      </c>
      <c r="R146" t="s">
        <v>138</v>
      </c>
      <c r="S146" s="37">
        <v>3</v>
      </c>
      <c r="T146" t="s">
        <v>918</v>
      </c>
      <c r="U146" t="s">
        <v>919</v>
      </c>
      <c r="V146" s="37">
        <v>3196707.25</v>
      </c>
      <c r="W146" s="38">
        <v>0.18982307612895971</v>
      </c>
      <c r="X146" s="38">
        <v>0.21897552907466891</v>
      </c>
      <c r="Y146" s="39">
        <f t="shared" si="2"/>
        <v>2.9152452945709201E-2</v>
      </c>
    </row>
    <row r="147" spans="1:25" x14ac:dyDescent="0.3">
      <c r="A147" s="24" t="s">
        <v>596</v>
      </c>
      <c r="B147" s="24" t="s">
        <v>294</v>
      </c>
      <c r="C147" t="s">
        <v>238</v>
      </c>
      <c r="D147" t="s">
        <v>238</v>
      </c>
      <c r="E147" s="25" t="s">
        <v>597</v>
      </c>
      <c r="F147" s="26">
        <v>0.47366792000000002</v>
      </c>
      <c r="G147" s="26">
        <v>0.46129909000000002</v>
      </c>
      <c r="H147" s="26">
        <v>0.48572531000000002</v>
      </c>
      <c r="I147" s="27" t="s">
        <v>598</v>
      </c>
      <c r="J147" s="30" t="s">
        <v>599</v>
      </c>
      <c r="K147" s="28">
        <v>0.638125360012054</v>
      </c>
      <c r="L147" s="28">
        <v>0.51996278762817305</v>
      </c>
      <c r="M147" s="28">
        <v>0.24368996918201399</v>
      </c>
      <c r="Q147" t="s">
        <v>739</v>
      </c>
      <c r="R147" t="s">
        <v>255</v>
      </c>
      <c r="S147" s="37">
        <v>3</v>
      </c>
      <c r="T147" t="s">
        <v>918</v>
      </c>
      <c r="U147" t="s">
        <v>919</v>
      </c>
      <c r="V147" s="37">
        <v>905.943603515625</v>
      </c>
      <c r="W147" s="38">
        <v>0.16990722715854639</v>
      </c>
      <c r="X147" s="38">
        <v>0.20046073198318479</v>
      </c>
      <c r="Y147" s="39">
        <f t="shared" si="2"/>
        <v>3.0553504824638394E-2</v>
      </c>
    </row>
    <row r="148" spans="1:25" x14ac:dyDescent="0.3">
      <c r="A148" s="24" t="s">
        <v>620</v>
      </c>
      <c r="B148" s="24" t="s">
        <v>294</v>
      </c>
      <c r="C148" t="s">
        <v>148</v>
      </c>
      <c r="D148" t="s">
        <v>148</v>
      </c>
      <c r="E148" s="25" t="s">
        <v>621</v>
      </c>
      <c r="F148" s="26">
        <v>0.41897838999999998</v>
      </c>
      <c r="G148" s="26">
        <v>0.40190595000000001</v>
      </c>
      <c r="H148" s="26">
        <v>0.43500501000000003</v>
      </c>
      <c r="I148" s="27" t="s">
        <v>622</v>
      </c>
      <c r="J148" s="27" t="s">
        <v>623</v>
      </c>
      <c r="K148" s="28">
        <v>0.71956539154052701</v>
      </c>
      <c r="L148" s="28">
        <v>0.55459690093994096</v>
      </c>
      <c r="M148" s="29">
        <v>0.23869432508945401</v>
      </c>
      <c r="Q148" t="s">
        <v>741</v>
      </c>
      <c r="R148" t="s">
        <v>135</v>
      </c>
      <c r="S148" s="37">
        <v>3</v>
      </c>
      <c r="T148" t="s">
        <v>918</v>
      </c>
      <c r="U148" t="s">
        <v>919</v>
      </c>
      <c r="V148" s="37">
        <v>118498.4140625</v>
      </c>
      <c r="W148" s="38">
        <v>0.1139507740736008</v>
      </c>
      <c r="X148" s="38">
        <v>0.13122834265232089</v>
      </c>
      <c r="Y148" s="39">
        <f t="shared" si="2"/>
        <v>1.7277568578720093E-2</v>
      </c>
    </row>
    <row r="149" spans="1:25" x14ac:dyDescent="0.3">
      <c r="A149" s="24" t="s">
        <v>878</v>
      </c>
      <c r="B149" s="24" t="s">
        <v>294</v>
      </c>
      <c r="C149" t="s">
        <v>149</v>
      </c>
      <c r="D149" t="s">
        <v>149</v>
      </c>
      <c r="E149" s="25" t="s">
        <v>879</v>
      </c>
      <c r="F149" s="26">
        <v>0.42489009999999999</v>
      </c>
      <c r="G149" s="26">
        <v>0.39507529000000002</v>
      </c>
      <c r="H149" s="26">
        <v>0.45509416000000003</v>
      </c>
      <c r="I149" s="27" t="s">
        <v>821</v>
      </c>
      <c r="J149" s="30" t="s">
        <v>450</v>
      </c>
      <c r="K149" s="28">
        <v>0.64866393804550104</v>
      </c>
      <c r="L149" s="28">
        <v>0.48995250463485701</v>
      </c>
      <c r="M149" s="29">
        <v>0.23237210512161199</v>
      </c>
      <c r="Q149" t="s">
        <v>744</v>
      </c>
      <c r="R149" t="s">
        <v>139</v>
      </c>
      <c r="S149" s="37">
        <v>3</v>
      </c>
      <c r="T149" t="s">
        <v>918</v>
      </c>
      <c r="U149" t="s">
        <v>919</v>
      </c>
      <c r="V149" s="37">
        <v>5360298.5</v>
      </c>
      <c r="W149" s="38">
        <v>0.38524171710014338</v>
      </c>
      <c r="X149" s="38">
        <v>0.43835785984992981</v>
      </c>
      <c r="Y149" s="39">
        <f t="shared" si="2"/>
        <v>5.3116142749786432E-2</v>
      </c>
    </row>
    <row r="150" spans="1:25" x14ac:dyDescent="0.3">
      <c r="A150" s="24" t="s">
        <v>890</v>
      </c>
      <c r="B150" s="24" t="s">
        <v>306</v>
      </c>
      <c r="C150" t="s">
        <v>150</v>
      </c>
      <c r="D150" t="s">
        <v>150</v>
      </c>
      <c r="E150" s="25" t="s">
        <v>891</v>
      </c>
      <c r="F150" s="26">
        <v>0.40781662000000002</v>
      </c>
      <c r="G150" s="26">
        <v>0.39918819</v>
      </c>
      <c r="H150" s="26">
        <v>0.41697847999999998</v>
      </c>
      <c r="I150" s="27" t="s">
        <v>892</v>
      </c>
      <c r="J150" s="30" t="s">
        <v>893</v>
      </c>
      <c r="K150" s="28">
        <v>0.37230548262596103</v>
      </c>
      <c r="L150" s="28">
        <v>0.219757691025733</v>
      </c>
      <c r="M150" s="29">
        <v>0.11078102141618699</v>
      </c>
      <c r="Q150" t="s">
        <v>920</v>
      </c>
      <c r="R150" t="s">
        <v>141</v>
      </c>
      <c r="S150" s="37">
        <v>3</v>
      </c>
      <c r="T150" t="s">
        <v>918</v>
      </c>
      <c r="U150" t="s">
        <v>919</v>
      </c>
      <c r="V150" s="37">
        <v>239307.640625</v>
      </c>
      <c r="W150" s="38">
        <v>0.263377845287323</v>
      </c>
      <c r="X150" s="38">
        <v>0.28839081525802612</v>
      </c>
      <c r="Y150" s="39">
        <f t="shared" si="2"/>
        <v>2.5012969970703125E-2</v>
      </c>
    </row>
    <row r="151" spans="1:25" x14ac:dyDescent="0.3">
      <c r="A151" s="24" t="s">
        <v>791</v>
      </c>
      <c r="B151" s="24" t="s">
        <v>281</v>
      </c>
      <c r="C151" t="s">
        <v>251</v>
      </c>
      <c r="D151" t="s">
        <v>251</v>
      </c>
      <c r="E151" s="25" t="s">
        <v>792</v>
      </c>
      <c r="F151" s="26" t="s">
        <v>648</v>
      </c>
      <c r="G151" s="26" t="s">
        <v>648</v>
      </c>
      <c r="H151" s="26" t="s">
        <v>648</v>
      </c>
      <c r="I151" s="31" t="s">
        <v>648</v>
      </c>
      <c r="J151" s="27" t="s">
        <v>648</v>
      </c>
      <c r="K151" s="31" t="s">
        <v>648</v>
      </c>
      <c r="L151" s="31" t="s">
        <v>648</v>
      </c>
      <c r="M151" s="31" t="s">
        <v>648</v>
      </c>
      <c r="Q151" t="s">
        <v>748</v>
      </c>
      <c r="R151" t="s">
        <v>49</v>
      </c>
      <c r="S151" s="37">
        <v>3</v>
      </c>
      <c r="T151" t="s">
        <v>918</v>
      </c>
      <c r="U151" t="s">
        <v>919</v>
      </c>
      <c r="V151" s="37">
        <v>1099940.625</v>
      </c>
      <c r="W151" s="38">
        <v>0.25601324439048773</v>
      </c>
      <c r="X151" s="38">
        <v>0.28630203008651728</v>
      </c>
      <c r="Y151" s="39">
        <f t="shared" si="2"/>
        <v>3.0288785696029552E-2</v>
      </c>
    </row>
    <row r="152" spans="1:25" x14ac:dyDescent="0.3">
      <c r="A152" s="24" t="s">
        <v>800</v>
      </c>
      <c r="B152" s="24" t="s">
        <v>276</v>
      </c>
      <c r="C152" t="s">
        <v>151</v>
      </c>
      <c r="D152" t="s">
        <v>151</v>
      </c>
      <c r="E152" s="25" t="s">
        <v>801</v>
      </c>
      <c r="F152" s="26">
        <v>0.41181925000000003</v>
      </c>
      <c r="G152" s="26">
        <v>0.36556750999999998</v>
      </c>
      <c r="H152" s="26">
        <v>0.45650997999999998</v>
      </c>
      <c r="I152" s="27" t="s">
        <v>802</v>
      </c>
      <c r="J152" s="30" t="s">
        <v>803</v>
      </c>
      <c r="K152" s="28">
        <v>0.53298687934875399</v>
      </c>
      <c r="L152" s="28">
        <v>0.30503410100936801</v>
      </c>
      <c r="M152" s="29">
        <v>0.111149907112121</v>
      </c>
      <c r="Q152" t="s">
        <v>751</v>
      </c>
      <c r="R152" t="s">
        <v>140</v>
      </c>
      <c r="S152" s="37">
        <v>3</v>
      </c>
      <c r="T152" t="s">
        <v>918</v>
      </c>
      <c r="U152" t="s">
        <v>919</v>
      </c>
      <c r="V152" s="37">
        <v>1378911</v>
      </c>
      <c r="W152" s="38">
        <v>0.52177703380584717</v>
      </c>
      <c r="X152" s="38">
        <v>0.57759714126586914</v>
      </c>
      <c r="Y152" s="39">
        <f t="shared" si="2"/>
        <v>5.5820107460021973E-2</v>
      </c>
    </row>
    <row r="153" spans="1:25" x14ac:dyDescent="0.3">
      <c r="A153" s="24" t="s">
        <v>769</v>
      </c>
      <c r="B153" s="24" t="s">
        <v>271</v>
      </c>
      <c r="C153" t="s">
        <v>152</v>
      </c>
      <c r="D153" t="s">
        <v>152</v>
      </c>
      <c r="E153" s="25" t="s">
        <v>770</v>
      </c>
      <c r="F153" s="26">
        <v>0.30026403000000002</v>
      </c>
      <c r="G153" s="26">
        <v>0.33850816</v>
      </c>
      <c r="H153" s="26">
        <v>0.23802519999999999</v>
      </c>
      <c r="I153" s="27" t="s">
        <v>771</v>
      </c>
      <c r="J153" s="27" t="s">
        <v>626</v>
      </c>
      <c r="K153" s="28">
        <v>0.49427324533462502</v>
      </c>
      <c r="L153" s="28">
        <v>0.39192503690719599</v>
      </c>
      <c r="M153" s="29">
        <v>0.21793961524963301</v>
      </c>
      <c r="Q153" t="s">
        <v>753</v>
      </c>
      <c r="R153" t="s">
        <v>136</v>
      </c>
      <c r="S153" s="37">
        <v>3</v>
      </c>
      <c r="T153" t="s">
        <v>918</v>
      </c>
      <c r="U153" t="s">
        <v>919</v>
      </c>
      <c r="V153" s="37">
        <v>252256.984375</v>
      </c>
      <c r="W153" s="38">
        <v>0.13947245478630069</v>
      </c>
      <c r="X153" s="38">
        <v>0.16069053113460541</v>
      </c>
      <c r="Y153" s="39">
        <f t="shared" si="2"/>
        <v>2.1218076348304721E-2</v>
      </c>
    </row>
    <row r="154" spans="1:25" x14ac:dyDescent="0.3">
      <c r="A154" s="24" t="s">
        <v>775</v>
      </c>
      <c r="B154" s="24" t="s">
        <v>276</v>
      </c>
      <c r="C154" t="s">
        <v>153</v>
      </c>
      <c r="D154" t="s">
        <v>153</v>
      </c>
      <c r="E154" s="25" t="s">
        <v>776</v>
      </c>
      <c r="F154" s="26">
        <v>0.35949620999999998</v>
      </c>
      <c r="G154" s="26">
        <v>0.31580724999999998</v>
      </c>
      <c r="H154" s="26">
        <v>0.39605017999999997</v>
      </c>
      <c r="I154" s="27" t="s">
        <v>439</v>
      </c>
      <c r="J154" s="27" t="s">
        <v>292</v>
      </c>
      <c r="K154" s="28">
        <v>0.402468562126159</v>
      </c>
      <c r="L154" s="28">
        <v>0.22425490617752</v>
      </c>
      <c r="M154" s="29">
        <v>0.111164346337318</v>
      </c>
      <c r="Q154" t="s">
        <v>921</v>
      </c>
      <c r="R154" t="s">
        <v>922</v>
      </c>
      <c r="S154" s="37">
        <v>3</v>
      </c>
      <c r="T154" t="s">
        <v>918</v>
      </c>
      <c r="U154" t="s">
        <v>919</v>
      </c>
      <c r="V154" s="37">
        <v>133484.828125</v>
      </c>
      <c r="W154" s="38">
        <v>0.20559161901473999</v>
      </c>
      <c r="X154" s="38">
        <v>0.24222204089164731</v>
      </c>
      <c r="Y154" s="39">
        <f t="shared" si="2"/>
        <v>3.6630421876907321E-2</v>
      </c>
    </row>
    <row r="155" spans="1:25" x14ac:dyDescent="0.3">
      <c r="A155" s="24" t="s">
        <v>795</v>
      </c>
      <c r="B155" s="24" t="s">
        <v>281</v>
      </c>
      <c r="C155" t="s">
        <v>154</v>
      </c>
      <c r="D155" t="s">
        <v>154</v>
      </c>
      <c r="E155" s="25" t="s">
        <v>796</v>
      </c>
      <c r="F155" s="26">
        <v>0.53329073999999999</v>
      </c>
      <c r="G155" s="26">
        <v>0.55067748000000005</v>
      </c>
      <c r="H155" s="26">
        <v>0.51706099999999999</v>
      </c>
      <c r="I155" s="27" t="s">
        <v>400</v>
      </c>
      <c r="J155" s="27" t="s">
        <v>439</v>
      </c>
      <c r="K155" s="28">
        <v>0.73394304513931197</v>
      </c>
      <c r="L155" s="28">
        <v>0.66037231683731001</v>
      </c>
      <c r="M155" s="29">
        <v>0.29544198513031</v>
      </c>
      <c r="Q155" t="s">
        <v>923</v>
      </c>
      <c r="R155" t="s">
        <v>924</v>
      </c>
      <c r="S155" s="37">
        <v>3</v>
      </c>
      <c r="T155" t="s">
        <v>918</v>
      </c>
      <c r="U155" t="s">
        <v>919</v>
      </c>
      <c r="V155" s="37">
        <v>10327.31640625</v>
      </c>
      <c r="W155" s="38">
        <v>0.1401143670082092</v>
      </c>
      <c r="X155" s="38">
        <v>0.15975840389728549</v>
      </c>
      <c r="Y155" s="39">
        <f t="shared" si="2"/>
        <v>1.9644036889076288E-2</v>
      </c>
    </row>
    <row r="156" spans="1:25" x14ac:dyDescent="0.3">
      <c r="A156" s="24" t="s">
        <v>819</v>
      </c>
      <c r="B156" s="24" t="s">
        <v>276</v>
      </c>
      <c r="C156" t="s">
        <v>155</v>
      </c>
      <c r="D156" t="s">
        <v>155</v>
      </c>
      <c r="E156" s="25" t="s">
        <v>820</v>
      </c>
      <c r="F156" s="26">
        <v>0.44280037</v>
      </c>
      <c r="G156" s="26">
        <v>0.44051158000000001</v>
      </c>
      <c r="H156" s="26">
        <v>0.44523679999999999</v>
      </c>
      <c r="I156" s="27" t="s">
        <v>821</v>
      </c>
      <c r="J156" s="30" t="s">
        <v>822</v>
      </c>
      <c r="K156" s="28">
        <v>0.70202374458312899</v>
      </c>
      <c r="L156" s="28">
        <v>0.60176581144332797</v>
      </c>
      <c r="M156" s="29">
        <v>0.30696725845336897</v>
      </c>
      <c r="Q156" t="s">
        <v>755</v>
      </c>
      <c r="R156" t="s">
        <v>142</v>
      </c>
      <c r="S156" s="37">
        <v>3</v>
      </c>
      <c r="T156" t="s">
        <v>918</v>
      </c>
      <c r="U156" t="s">
        <v>919</v>
      </c>
      <c r="V156" s="37">
        <v>138171.5</v>
      </c>
      <c r="W156" s="38">
        <v>0.2295446693897247</v>
      </c>
      <c r="X156" s="38">
        <v>0.2808775007724762</v>
      </c>
      <c r="Y156" s="39">
        <f t="shared" si="2"/>
        <v>5.1332831382751493E-2</v>
      </c>
    </row>
    <row r="157" spans="1:25" x14ac:dyDescent="0.3">
      <c r="A157" s="24" t="s">
        <v>784</v>
      </c>
      <c r="B157" s="24" t="s">
        <v>276</v>
      </c>
      <c r="C157" t="s">
        <v>156</v>
      </c>
      <c r="D157" t="s">
        <v>156</v>
      </c>
      <c r="E157" s="25" t="s">
        <v>785</v>
      </c>
      <c r="F157" s="26">
        <v>0.35933652999999999</v>
      </c>
      <c r="G157" s="26">
        <v>0.31883191999999999</v>
      </c>
      <c r="H157" s="26">
        <v>0.39917108000000001</v>
      </c>
      <c r="I157" s="27" t="s">
        <v>786</v>
      </c>
      <c r="J157" s="27" t="s">
        <v>787</v>
      </c>
      <c r="K157" s="28">
        <v>0.39991810917854298</v>
      </c>
      <c r="L157" s="28">
        <v>0.209075197577476</v>
      </c>
      <c r="M157" s="29">
        <v>0.101970054209232</v>
      </c>
      <c r="Q157" t="s">
        <v>759</v>
      </c>
      <c r="R157" t="s">
        <v>145</v>
      </c>
      <c r="S157" s="37">
        <v>3</v>
      </c>
      <c r="T157" t="s">
        <v>918</v>
      </c>
      <c r="U157" t="s">
        <v>919</v>
      </c>
      <c r="V157" s="37">
        <v>2194774.5</v>
      </c>
      <c r="W157" s="38">
        <v>0.32518625259399409</v>
      </c>
      <c r="X157" s="38">
        <v>0.36556032299995422</v>
      </c>
      <c r="Y157" s="39">
        <f t="shared" si="2"/>
        <v>4.0374070405960139E-2</v>
      </c>
    </row>
    <row r="158" spans="1:25" x14ac:dyDescent="0.3">
      <c r="A158" s="24" t="s">
        <v>777</v>
      </c>
      <c r="B158" s="24" t="s">
        <v>306</v>
      </c>
      <c r="C158" t="s">
        <v>157</v>
      </c>
      <c r="D158" t="s">
        <v>157</v>
      </c>
      <c r="E158" s="25" t="s">
        <v>778</v>
      </c>
      <c r="F158" s="26">
        <v>0.36287150000000001</v>
      </c>
      <c r="G158" s="26">
        <v>0.40483566999999998</v>
      </c>
      <c r="H158" s="26">
        <v>0.31624150000000001</v>
      </c>
      <c r="I158" s="27" t="s">
        <v>313</v>
      </c>
      <c r="J158" s="27" t="s">
        <v>779</v>
      </c>
      <c r="K158" s="28">
        <v>0.72503465414047197</v>
      </c>
      <c r="L158" s="28">
        <v>0.67561149597167902</v>
      </c>
      <c r="M158" s="29">
        <v>0.432348102331161</v>
      </c>
      <c r="Q158" t="s">
        <v>763</v>
      </c>
      <c r="R158" t="s">
        <v>146</v>
      </c>
      <c r="S158" s="37">
        <v>3</v>
      </c>
      <c r="T158" t="s">
        <v>918</v>
      </c>
      <c r="U158" t="s">
        <v>919</v>
      </c>
      <c r="V158" s="37">
        <v>8540295</v>
      </c>
      <c r="W158" s="38">
        <v>0.20034222304821009</v>
      </c>
      <c r="X158" s="38">
        <v>0.2271483242511749</v>
      </c>
      <c r="Y158" s="39">
        <f t="shared" si="2"/>
        <v>2.680610120296481E-2</v>
      </c>
    </row>
    <row r="159" spans="1:25" x14ac:dyDescent="0.3">
      <c r="A159" s="24" t="s">
        <v>808</v>
      </c>
      <c r="B159" s="24" t="s">
        <v>281</v>
      </c>
      <c r="C159" t="s">
        <v>158</v>
      </c>
      <c r="D159" t="s">
        <v>158</v>
      </c>
      <c r="E159" s="25" t="s">
        <v>809</v>
      </c>
      <c r="F159" s="26">
        <v>0.48888978</v>
      </c>
      <c r="G159" s="26">
        <v>0.51880263999999998</v>
      </c>
      <c r="H159" s="26">
        <v>0.46075000999999999</v>
      </c>
      <c r="I159" s="27" t="s">
        <v>329</v>
      </c>
      <c r="J159" s="27" t="s">
        <v>319</v>
      </c>
      <c r="K159" s="28">
        <v>0.77765977382659901</v>
      </c>
      <c r="L159" s="28">
        <v>0.698464035987854</v>
      </c>
      <c r="M159" s="29">
        <v>0.39605045318603499</v>
      </c>
      <c r="Q159" t="s">
        <v>767</v>
      </c>
      <c r="R159" t="s">
        <v>147</v>
      </c>
      <c r="S159" s="37">
        <v>3</v>
      </c>
      <c r="T159" t="s">
        <v>918</v>
      </c>
      <c r="U159" t="s">
        <v>919</v>
      </c>
      <c r="V159" s="37">
        <v>85629.515625</v>
      </c>
      <c r="W159" s="38">
        <v>6.9748483598232269E-2</v>
      </c>
      <c r="X159" s="38">
        <v>8.9914038777351379E-2</v>
      </c>
      <c r="Y159" s="39">
        <f t="shared" si="2"/>
        <v>2.016555517911911E-2</v>
      </c>
    </row>
    <row r="160" spans="1:25" x14ac:dyDescent="0.3">
      <c r="A160" s="24" t="s">
        <v>810</v>
      </c>
      <c r="B160" s="24" t="s">
        <v>281</v>
      </c>
      <c r="C160" t="s">
        <v>159</v>
      </c>
      <c r="D160" t="s">
        <v>159</v>
      </c>
      <c r="E160" s="25" t="s">
        <v>811</v>
      </c>
      <c r="F160" s="26">
        <v>0.53297943000000003</v>
      </c>
      <c r="G160" s="26">
        <v>0.56306582999999999</v>
      </c>
      <c r="H160" s="26">
        <v>0.50231278000000001</v>
      </c>
      <c r="I160" s="27" t="s">
        <v>812</v>
      </c>
      <c r="J160" s="27" t="s">
        <v>813</v>
      </c>
      <c r="K160" s="28">
        <v>0.70845627784729004</v>
      </c>
      <c r="L160" s="28">
        <v>0.59789806604385298</v>
      </c>
      <c r="M160" s="29">
        <v>0.27423569560050898</v>
      </c>
      <c r="Q160" t="s">
        <v>769</v>
      </c>
      <c r="R160" t="s">
        <v>152</v>
      </c>
      <c r="S160" s="37">
        <v>3</v>
      </c>
      <c r="T160" t="s">
        <v>918</v>
      </c>
      <c r="U160" t="s">
        <v>919</v>
      </c>
      <c r="V160" s="37">
        <v>1322529</v>
      </c>
      <c r="W160" s="38">
        <v>0.21793961524963379</v>
      </c>
      <c r="X160" s="38">
        <v>0.26405736804008478</v>
      </c>
      <c r="Y160" s="39">
        <f t="shared" si="2"/>
        <v>4.6117752790450994E-2</v>
      </c>
    </row>
    <row r="161" spans="1:25" x14ac:dyDescent="0.3">
      <c r="A161" s="24" t="s">
        <v>780</v>
      </c>
      <c r="B161" s="24" t="s">
        <v>306</v>
      </c>
      <c r="C161" t="s">
        <v>160</v>
      </c>
      <c r="D161" t="s">
        <v>160</v>
      </c>
      <c r="E161" s="25" t="s">
        <v>781</v>
      </c>
      <c r="F161" s="26">
        <v>0.29862323000000002</v>
      </c>
      <c r="G161" s="26">
        <v>0.2427018</v>
      </c>
      <c r="H161" s="26">
        <v>0.35320646</v>
      </c>
      <c r="I161" s="27" t="s">
        <v>782</v>
      </c>
      <c r="J161" s="30" t="s">
        <v>783</v>
      </c>
      <c r="K161" s="28">
        <v>0.36122766137123102</v>
      </c>
      <c r="L161" s="28">
        <v>0.14637568593025199</v>
      </c>
      <c r="M161" s="28">
        <v>7.5273454189300495E-2</v>
      </c>
      <c r="Q161" t="s">
        <v>772</v>
      </c>
      <c r="R161" t="s">
        <v>166</v>
      </c>
      <c r="S161" s="37">
        <v>3</v>
      </c>
      <c r="T161" t="s">
        <v>918</v>
      </c>
      <c r="U161" t="s">
        <v>919</v>
      </c>
      <c r="V161" s="37">
        <v>564180.75</v>
      </c>
      <c r="W161" s="38">
        <v>9.4772569835186005E-2</v>
      </c>
      <c r="X161" s="38">
        <v>0.1171276047825813</v>
      </c>
      <c r="Y161" s="39">
        <f t="shared" si="2"/>
        <v>2.2355034947395297E-2</v>
      </c>
    </row>
    <row r="162" spans="1:25" x14ac:dyDescent="0.3">
      <c r="A162" s="24" t="s">
        <v>793</v>
      </c>
      <c r="B162" s="24" t="s">
        <v>271</v>
      </c>
      <c r="C162" t="s">
        <v>161</v>
      </c>
      <c r="D162" t="s">
        <v>161</v>
      </c>
      <c r="E162" s="25" t="s">
        <v>794</v>
      </c>
      <c r="F162" s="26">
        <v>0.32047966</v>
      </c>
      <c r="G162" s="26">
        <v>0.29350290000000001</v>
      </c>
      <c r="H162" s="26">
        <v>0.34616005</v>
      </c>
      <c r="I162" s="27" t="s">
        <v>313</v>
      </c>
      <c r="J162" s="27" t="s">
        <v>536</v>
      </c>
      <c r="K162" s="28">
        <v>0.41517534852027799</v>
      </c>
      <c r="L162" s="28">
        <v>0.274300307035446</v>
      </c>
      <c r="M162" s="29">
        <v>0.11249116808176</v>
      </c>
      <c r="Q162" t="s">
        <v>775</v>
      </c>
      <c r="R162" t="s">
        <v>153</v>
      </c>
      <c r="S162" s="37">
        <v>3</v>
      </c>
      <c r="T162" t="s">
        <v>918</v>
      </c>
      <c r="U162" t="s">
        <v>919</v>
      </c>
      <c r="V162" s="37">
        <v>227486.578125</v>
      </c>
      <c r="W162" s="38">
        <v>0.11116434633731841</v>
      </c>
      <c r="X162" s="38">
        <v>0.13575161993503571</v>
      </c>
      <c r="Y162" s="39">
        <f t="shared" si="2"/>
        <v>2.4587273597717299E-2</v>
      </c>
    </row>
    <row r="163" spans="1:25" x14ac:dyDescent="0.3">
      <c r="A163" s="24" t="s">
        <v>896</v>
      </c>
      <c r="B163" s="24" t="s">
        <v>276</v>
      </c>
      <c r="C163" t="s">
        <v>162</v>
      </c>
      <c r="D163" t="s">
        <v>162</v>
      </c>
      <c r="E163" s="25" t="s">
        <v>897</v>
      </c>
      <c r="F163" s="26">
        <v>0.41096212999999998</v>
      </c>
      <c r="G163" s="26">
        <v>0.40897699999999998</v>
      </c>
      <c r="H163" s="26">
        <v>0.41280037000000003</v>
      </c>
      <c r="I163" s="27" t="s">
        <v>898</v>
      </c>
      <c r="J163" s="27" t="s">
        <v>899</v>
      </c>
      <c r="K163" s="28">
        <v>0.54274815320968595</v>
      </c>
      <c r="L163" s="28">
        <v>0.47634387016296298</v>
      </c>
      <c r="M163" s="29">
        <v>0.24974943697452501</v>
      </c>
      <c r="Q163" t="s">
        <v>777</v>
      </c>
      <c r="R163" t="s">
        <v>157</v>
      </c>
      <c r="S163" s="37">
        <v>3</v>
      </c>
      <c r="T163" t="s">
        <v>918</v>
      </c>
      <c r="U163" t="s">
        <v>919</v>
      </c>
      <c r="V163" s="37">
        <v>650215.3125</v>
      </c>
      <c r="W163" s="38">
        <v>0.4323481023311615</v>
      </c>
      <c r="X163" s="38">
        <v>0.48414310812950129</v>
      </c>
      <c r="Y163" s="39">
        <f t="shared" si="2"/>
        <v>5.1795005798339788E-2</v>
      </c>
    </row>
    <row r="164" spans="1:25" x14ac:dyDescent="0.3">
      <c r="A164" s="24" t="s">
        <v>797</v>
      </c>
      <c r="B164" s="24" t="s">
        <v>276</v>
      </c>
      <c r="C164" t="s">
        <v>163</v>
      </c>
      <c r="D164" t="s">
        <v>163</v>
      </c>
      <c r="E164" s="25" t="s">
        <v>798</v>
      </c>
      <c r="F164" s="26">
        <v>0.29883262999999999</v>
      </c>
      <c r="G164" s="26">
        <v>0.27755350000000001</v>
      </c>
      <c r="H164" s="26">
        <v>0.31943401999999999</v>
      </c>
      <c r="I164" s="27" t="s">
        <v>319</v>
      </c>
      <c r="J164" s="27" t="s">
        <v>799</v>
      </c>
      <c r="K164" s="28">
        <v>0.41904199123382502</v>
      </c>
      <c r="L164" s="28">
        <v>0.25902822613716098</v>
      </c>
      <c r="M164" s="29">
        <v>0.13102115690708099</v>
      </c>
      <c r="Q164" t="s">
        <v>780</v>
      </c>
      <c r="R164" t="s">
        <v>160</v>
      </c>
      <c r="S164" s="37">
        <v>3</v>
      </c>
      <c r="T164" t="s">
        <v>918</v>
      </c>
      <c r="U164" t="s">
        <v>919</v>
      </c>
      <c r="V164" s="37">
        <v>5690.90185546875</v>
      </c>
      <c r="W164" s="38">
        <v>7.5273454189300537E-2</v>
      </c>
      <c r="X164" s="38">
        <v>9.0053923428058624E-2</v>
      </c>
      <c r="Y164" s="39">
        <f t="shared" si="2"/>
        <v>1.4780469238758087E-2</v>
      </c>
    </row>
    <row r="165" spans="1:25" x14ac:dyDescent="0.3">
      <c r="A165" s="24" t="s">
        <v>469</v>
      </c>
      <c r="B165" s="24" t="s">
        <v>281</v>
      </c>
      <c r="C165" t="s">
        <v>164</v>
      </c>
      <c r="D165" t="s">
        <v>164</v>
      </c>
      <c r="E165" s="25" t="s">
        <v>470</v>
      </c>
      <c r="F165" s="26">
        <v>0.32252093999999998</v>
      </c>
      <c r="G165" s="26">
        <v>0.38333201</v>
      </c>
      <c r="H165" s="26">
        <v>0.26337414999999997</v>
      </c>
      <c r="I165" s="27" t="s">
        <v>471</v>
      </c>
      <c r="J165" s="27" t="s">
        <v>472</v>
      </c>
      <c r="K165" s="28">
        <v>0.72947639226913397</v>
      </c>
      <c r="L165" s="28">
        <v>0.61152690649032504</v>
      </c>
      <c r="M165" s="29">
        <v>0.36730554699897699</v>
      </c>
      <c r="Q165" t="s">
        <v>784</v>
      </c>
      <c r="R165" t="s">
        <v>156</v>
      </c>
      <c r="S165" s="37">
        <v>3</v>
      </c>
      <c r="T165" t="s">
        <v>918</v>
      </c>
      <c r="U165" t="s">
        <v>919</v>
      </c>
      <c r="V165" s="37">
        <v>101101.0390625</v>
      </c>
      <c r="W165" s="38">
        <v>0.1019700542092323</v>
      </c>
      <c r="X165" s="38">
        <v>0.12616464495658869</v>
      </c>
      <c r="Y165" s="39">
        <f t="shared" si="2"/>
        <v>2.4194590747356387E-2</v>
      </c>
    </row>
    <row r="166" spans="1:25" x14ac:dyDescent="0.3">
      <c r="A166" s="24" t="s">
        <v>624</v>
      </c>
      <c r="B166" s="24" t="s">
        <v>331</v>
      </c>
      <c r="C166" t="s">
        <v>165</v>
      </c>
      <c r="D166" t="s">
        <v>165</v>
      </c>
      <c r="E166" s="25" t="s">
        <v>625</v>
      </c>
      <c r="F166" s="26">
        <v>0.40255099999999999</v>
      </c>
      <c r="G166" s="26">
        <v>0.37331384000000001</v>
      </c>
      <c r="H166" s="26">
        <v>0.42778706999999999</v>
      </c>
      <c r="I166" s="27" t="s">
        <v>626</v>
      </c>
      <c r="J166" s="27" t="s">
        <v>309</v>
      </c>
      <c r="K166" s="28">
        <v>0.51887446641921997</v>
      </c>
      <c r="L166" s="28">
        <v>0.40799590945243802</v>
      </c>
      <c r="M166" s="29">
        <v>0.18705499172210599</v>
      </c>
      <c r="Q166" t="s">
        <v>788</v>
      </c>
      <c r="R166" t="s">
        <v>57</v>
      </c>
      <c r="S166" s="37">
        <v>3</v>
      </c>
      <c r="T166" t="s">
        <v>918</v>
      </c>
      <c r="U166" t="s">
        <v>919</v>
      </c>
      <c r="V166" s="37">
        <v>435682</v>
      </c>
      <c r="W166" s="38">
        <v>0.42479372024536127</v>
      </c>
      <c r="X166" s="38">
        <v>0.46181699633598328</v>
      </c>
      <c r="Y166" s="39">
        <f t="shared" si="2"/>
        <v>3.7023276090622004E-2</v>
      </c>
    </row>
    <row r="167" spans="1:25" x14ac:dyDescent="0.3">
      <c r="A167" s="24" t="s">
        <v>772</v>
      </c>
      <c r="B167" s="24" t="s">
        <v>271</v>
      </c>
      <c r="C167" t="s">
        <v>166</v>
      </c>
      <c r="D167" t="s">
        <v>166</v>
      </c>
      <c r="E167" s="25" t="s">
        <v>773</v>
      </c>
      <c r="F167" s="26">
        <v>0.38080292999999998</v>
      </c>
      <c r="G167" s="26">
        <v>0.34519997000000002</v>
      </c>
      <c r="H167" s="26">
        <v>0.41468057000000003</v>
      </c>
      <c r="I167" s="27" t="s">
        <v>561</v>
      </c>
      <c r="J167" s="27" t="s">
        <v>774</v>
      </c>
      <c r="K167" s="28">
        <v>0.33954232931137002</v>
      </c>
      <c r="L167" s="28">
        <v>0.22978526353836001</v>
      </c>
      <c r="M167" s="28">
        <v>9.4772569835186005E-2</v>
      </c>
      <c r="Q167" t="s">
        <v>793</v>
      </c>
      <c r="R167" t="s">
        <v>161</v>
      </c>
      <c r="S167" s="37">
        <v>3</v>
      </c>
      <c r="T167" t="s">
        <v>918</v>
      </c>
      <c r="U167" t="s">
        <v>919</v>
      </c>
      <c r="V167" s="37">
        <v>163679.859375</v>
      </c>
      <c r="W167" s="38">
        <v>0.11249116808176041</v>
      </c>
      <c r="X167" s="38">
        <v>0.13622951507568359</v>
      </c>
      <c r="Y167" s="39">
        <f t="shared" si="2"/>
        <v>2.3738346993923187E-2</v>
      </c>
    </row>
    <row r="168" spans="1:25" x14ac:dyDescent="0.3">
      <c r="A168" s="24" t="s">
        <v>804</v>
      </c>
      <c r="B168" s="24" t="s">
        <v>294</v>
      </c>
      <c r="C168" t="s">
        <v>167</v>
      </c>
      <c r="D168" t="s">
        <v>167</v>
      </c>
      <c r="E168" s="25" t="s">
        <v>805</v>
      </c>
      <c r="F168" s="26">
        <v>0.44231775000000001</v>
      </c>
      <c r="G168" s="26">
        <v>0.42587522</v>
      </c>
      <c r="H168" s="26">
        <v>0.45814115</v>
      </c>
      <c r="I168" s="27" t="s">
        <v>806</v>
      </c>
      <c r="J168" s="27" t="s">
        <v>807</v>
      </c>
      <c r="K168" s="28">
        <v>0.66530001163482599</v>
      </c>
      <c r="L168" s="28">
        <v>0.51882439851760798</v>
      </c>
      <c r="M168" s="29">
        <v>0.22914698719978299</v>
      </c>
      <c r="Q168" t="s">
        <v>795</v>
      </c>
      <c r="R168" t="s">
        <v>154</v>
      </c>
      <c r="S168" s="37">
        <v>3</v>
      </c>
      <c r="T168" t="s">
        <v>918</v>
      </c>
      <c r="U168" t="s">
        <v>919</v>
      </c>
      <c r="V168" s="37">
        <v>857891.5</v>
      </c>
      <c r="W168" s="38">
        <v>0.29544198513031011</v>
      </c>
      <c r="X168" s="38">
        <v>0.33510720729827881</v>
      </c>
      <c r="Y168" s="39">
        <f t="shared" si="2"/>
        <v>3.9665222167968694E-2</v>
      </c>
    </row>
    <row r="169" spans="1:25" x14ac:dyDescent="0.3">
      <c r="A169" s="24" t="s">
        <v>814</v>
      </c>
      <c r="B169" s="24" t="s">
        <v>281</v>
      </c>
      <c r="C169" t="s">
        <v>168</v>
      </c>
      <c r="D169" t="s">
        <v>168</v>
      </c>
      <c r="E169" s="25" t="s">
        <v>815</v>
      </c>
      <c r="F169" s="26">
        <v>0.34259500999999998</v>
      </c>
      <c r="G169" s="26">
        <v>0.39140296000000002</v>
      </c>
      <c r="H169" s="26">
        <v>0.29324633</v>
      </c>
      <c r="I169" s="27" t="s">
        <v>291</v>
      </c>
      <c r="J169" s="27" t="s">
        <v>524</v>
      </c>
      <c r="K169" s="28">
        <v>0.61885601282119695</v>
      </c>
      <c r="L169" s="28">
        <v>0.47650378942489602</v>
      </c>
      <c r="M169" s="29">
        <v>0.24914838373661</v>
      </c>
      <c r="Q169" t="s">
        <v>797</v>
      </c>
      <c r="R169" t="s">
        <v>163</v>
      </c>
      <c r="S169" s="37">
        <v>3</v>
      </c>
      <c r="T169" t="s">
        <v>918</v>
      </c>
      <c r="U169" t="s">
        <v>919</v>
      </c>
      <c r="V169" s="37">
        <v>147265.28125</v>
      </c>
      <c r="W169" s="38">
        <v>0.1310211569070816</v>
      </c>
      <c r="X169" s="38">
        <v>0.1595890074968338</v>
      </c>
      <c r="Y169" s="39">
        <f t="shared" si="2"/>
        <v>2.8567850589752197E-2</v>
      </c>
    </row>
    <row r="170" spans="1:25" x14ac:dyDescent="0.3">
      <c r="A170" s="24" t="s">
        <v>386</v>
      </c>
      <c r="B170" s="24" t="s">
        <v>281</v>
      </c>
      <c r="C170" t="s">
        <v>169</v>
      </c>
      <c r="D170" t="s">
        <v>169</v>
      </c>
      <c r="E170" s="25" t="s">
        <v>387</v>
      </c>
      <c r="F170" s="26">
        <v>0.26088445999999998</v>
      </c>
      <c r="G170" s="26">
        <v>0.31286501999999999</v>
      </c>
      <c r="H170" s="26">
        <v>0.20917925000000001</v>
      </c>
      <c r="I170" s="27" t="s">
        <v>313</v>
      </c>
      <c r="J170" s="27" t="s">
        <v>388</v>
      </c>
      <c r="K170" s="28">
        <v>0.78382009267806996</v>
      </c>
      <c r="L170" s="28">
        <v>0.62623620033264105</v>
      </c>
      <c r="M170" s="29">
        <v>0.414385616779327</v>
      </c>
      <c r="Q170" t="s">
        <v>800</v>
      </c>
      <c r="R170" t="s">
        <v>151</v>
      </c>
      <c r="S170" s="37">
        <v>3</v>
      </c>
      <c r="T170" t="s">
        <v>918</v>
      </c>
      <c r="U170" t="s">
        <v>919</v>
      </c>
      <c r="V170" s="37">
        <v>3408.032958984375</v>
      </c>
      <c r="W170" s="38">
        <v>0.1111499071121216</v>
      </c>
      <c r="X170" s="38">
        <v>0.13603618741035459</v>
      </c>
      <c r="Y170" s="39">
        <f t="shared" si="2"/>
        <v>2.4886280298232991E-2</v>
      </c>
    </row>
    <row r="171" spans="1:25" x14ac:dyDescent="0.3">
      <c r="A171" s="24" t="s">
        <v>823</v>
      </c>
      <c r="B171" s="24" t="s">
        <v>271</v>
      </c>
      <c r="C171" t="s">
        <v>170</v>
      </c>
      <c r="D171" t="s">
        <v>170</v>
      </c>
      <c r="E171" s="25" t="s">
        <v>824</v>
      </c>
      <c r="F171" s="26">
        <v>0.36172944000000001</v>
      </c>
      <c r="G171" s="26">
        <v>0.38589644000000001</v>
      </c>
      <c r="H171" s="26">
        <v>0.33854187000000002</v>
      </c>
      <c r="I171" s="27" t="s">
        <v>507</v>
      </c>
      <c r="J171" s="27" t="s">
        <v>352</v>
      </c>
      <c r="K171" s="28">
        <v>0.52960723638534501</v>
      </c>
      <c r="L171" s="28">
        <v>0.42877519130706698</v>
      </c>
      <c r="M171" s="29">
        <v>0.212728261947631</v>
      </c>
      <c r="Q171" t="s">
        <v>804</v>
      </c>
      <c r="R171" t="s">
        <v>167</v>
      </c>
      <c r="S171" s="37">
        <v>3</v>
      </c>
      <c r="T171" t="s">
        <v>918</v>
      </c>
      <c r="U171" t="s">
        <v>919</v>
      </c>
      <c r="V171" s="37">
        <v>29843.3984375</v>
      </c>
      <c r="W171" s="38">
        <v>0.2291469871997833</v>
      </c>
      <c r="X171" s="38">
        <v>0.25448000431060791</v>
      </c>
      <c r="Y171" s="39">
        <f t="shared" si="2"/>
        <v>2.5333017110824613E-2</v>
      </c>
    </row>
    <row r="172" spans="1:25" x14ac:dyDescent="0.3">
      <c r="A172" s="24" t="s">
        <v>835</v>
      </c>
      <c r="B172" s="24" t="s">
        <v>281</v>
      </c>
      <c r="C172" t="s">
        <v>172</v>
      </c>
      <c r="D172" t="s">
        <v>172</v>
      </c>
      <c r="E172" s="25" t="s">
        <v>836</v>
      </c>
      <c r="F172" s="26">
        <v>0.44119257000000001</v>
      </c>
      <c r="G172" s="26">
        <v>0.49460631999999999</v>
      </c>
      <c r="H172" s="26">
        <v>0.39003547999999999</v>
      </c>
      <c r="I172" s="27" t="s">
        <v>329</v>
      </c>
      <c r="J172" s="27" t="s">
        <v>524</v>
      </c>
      <c r="K172" s="28">
        <v>0.46549612283706598</v>
      </c>
      <c r="L172" s="28">
        <v>0.31538328528404203</v>
      </c>
      <c r="M172" s="28">
        <v>7.8876771032810197E-2</v>
      </c>
      <c r="Q172" t="s">
        <v>808</v>
      </c>
      <c r="R172" t="s">
        <v>158</v>
      </c>
      <c r="S172" s="37">
        <v>3</v>
      </c>
      <c r="T172" t="s">
        <v>918</v>
      </c>
      <c r="U172" t="s">
        <v>919</v>
      </c>
      <c r="V172" s="37">
        <v>690667.25</v>
      </c>
      <c r="W172" s="38">
        <v>0.39605045318603521</v>
      </c>
      <c r="X172" s="38">
        <v>0.43870493769645691</v>
      </c>
      <c r="Y172" s="39">
        <f t="shared" si="2"/>
        <v>4.2654484510421697E-2</v>
      </c>
    </row>
    <row r="173" spans="1:25" x14ac:dyDescent="0.3">
      <c r="A173" s="24" t="s">
        <v>831</v>
      </c>
      <c r="B173" s="24" t="s">
        <v>331</v>
      </c>
      <c r="C173" t="s">
        <v>174</v>
      </c>
      <c r="D173" t="s">
        <v>174</v>
      </c>
      <c r="E173" s="25" t="s">
        <v>832</v>
      </c>
      <c r="F173" s="26">
        <v>0.34924128999999998</v>
      </c>
      <c r="G173" s="26">
        <v>0.32962582000000001</v>
      </c>
      <c r="H173" s="26">
        <v>0.36700969999999999</v>
      </c>
      <c r="I173" s="27" t="s">
        <v>833</v>
      </c>
      <c r="J173" s="27" t="s">
        <v>834</v>
      </c>
      <c r="K173" s="28">
        <v>0.59363198280334395</v>
      </c>
      <c r="L173" s="28">
        <v>0.50784170627593905</v>
      </c>
      <c r="M173" s="29">
        <v>0.31092074513435303</v>
      </c>
      <c r="Q173" t="s">
        <v>810</v>
      </c>
      <c r="R173" t="s">
        <v>159</v>
      </c>
      <c r="S173" s="37">
        <v>3</v>
      </c>
      <c r="T173" t="s">
        <v>918</v>
      </c>
      <c r="U173" t="s">
        <v>919</v>
      </c>
      <c r="V173" s="37">
        <v>196977.390625</v>
      </c>
      <c r="W173" s="38">
        <v>0.27423569560050959</v>
      </c>
      <c r="X173" s="38">
        <v>0.31052109599113459</v>
      </c>
      <c r="Y173" s="39">
        <f t="shared" si="2"/>
        <v>3.6285400390625E-2</v>
      </c>
    </row>
    <row r="174" spans="1:25" x14ac:dyDescent="0.3">
      <c r="A174" s="24" t="s">
        <v>840</v>
      </c>
      <c r="B174" s="24" t="s">
        <v>331</v>
      </c>
      <c r="C174" t="s">
        <v>175</v>
      </c>
      <c r="D174" t="s">
        <v>175</v>
      </c>
      <c r="E174" s="25" t="s">
        <v>841</v>
      </c>
      <c r="F174" s="26">
        <v>0.34818357</v>
      </c>
      <c r="G174" s="26">
        <v>0.32750604</v>
      </c>
      <c r="H174" s="26">
        <v>0.36896655</v>
      </c>
      <c r="I174" s="27" t="s">
        <v>842</v>
      </c>
      <c r="J174" s="27" t="s">
        <v>843</v>
      </c>
      <c r="K174" s="28">
        <v>0.38171759247779802</v>
      </c>
      <c r="L174" s="28">
        <v>0.24759548902511599</v>
      </c>
      <c r="M174" s="29">
        <v>0.123034454882144</v>
      </c>
      <c r="Q174" t="s">
        <v>814</v>
      </c>
      <c r="R174" t="s">
        <v>168</v>
      </c>
      <c r="S174" s="37">
        <v>3</v>
      </c>
      <c r="T174" t="s">
        <v>918</v>
      </c>
      <c r="U174" t="s">
        <v>919</v>
      </c>
      <c r="V174" s="37">
        <v>525754.3125</v>
      </c>
      <c r="W174" s="38">
        <v>0.24914838373661041</v>
      </c>
      <c r="X174" s="38">
        <v>0.28769692778587341</v>
      </c>
      <c r="Y174" s="39">
        <f t="shared" si="2"/>
        <v>3.8548544049263E-2</v>
      </c>
    </row>
    <row r="175" spans="1:25" x14ac:dyDescent="0.3">
      <c r="A175" s="24" t="s">
        <v>827</v>
      </c>
      <c r="B175" s="24" t="s">
        <v>276</v>
      </c>
      <c r="C175" t="s">
        <v>176</v>
      </c>
      <c r="D175" t="s">
        <v>176</v>
      </c>
      <c r="E175" s="25" t="s">
        <v>828</v>
      </c>
      <c r="F175" s="26">
        <v>0.32265918999999998</v>
      </c>
      <c r="G175" s="26">
        <v>0.29681212000000001</v>
      </c>
      <c r="H175" s="26">
        <v>0.34757441</v>
      </c>
      <c r="I175" s="27" t="s">
        <v>829</v>
      </c>
      <c r="J175" s="27" t="s">
        <v>830</v>
      </c>
      <c r="K175" s="28">
        <v>0.43761581182479797</v>
      </c>
      <c r="L175" s="28">
        <v>0.21512924134731201</v>
      </c>
      <c r="M175" s="29">
        <v>0.110656484961509</v>
      </c>
      <c r="Q175" t="s">
        <v>816</v>
      </c>
      <c r="R175" t="s">
        <v>61</v>
      </c>
      <c r="S175" s="37">
        <v>3</v>
      </c>
      <c r="T175" t="s">
        <v>918</v>
      </c>
      <c r="U175" t="s">
        <v>919</v>
      </c>
      <c r="V175" s="37">
        <v>20901.33984375</v>
      </c>
      <c r="W175" s="38">
        <v>0.1351775527000427</v>
      </c>
      <c r="X175" s="38">
        <v>0.16034859418869021</v>
      </c>
      <c r="Y175" s="39">
        <f t="shared" si="2"/>
        <v>2.5171041488647516E-2</v>
      </c>
    </row>
    <row r="176" spans="1:25" x14ac:dyDescent="0.3">
      <c r="A176" s="24" t="s">
        <v>844</v>
      </c>
      <c r="B176" s="24" t="s">
        <v>306</v>
      </c>
      <c r="C176" t="s">
        <v>246</v>
      </c>
      <c r="D176" t="s">
        <v>246</v>
      </c>
      <c r="E176" s="25" t="s">
        <v>845</v>
      </c>
      <c r="F176" s="26">
        <v>0.47416404000000001</v>
      </c>
      <c r="G176" s="26">
        <v>0.41930094000000001</v>
      </c>
      <c r="H176" s="26">
        <v>0.52338719</v>
      </c>
      <c r="I176" s="27" t="s">
        <v>450</v>
      </c>
      <c r="J176" s="30" t="s">
        <v>822</v>
      </c>
      <c r="K176" s="28">
        <v>0.39672377705574002</v>
      </c>
      <c r="L176" s="28">
        <v>0.27599686384201</v>
      </c>
      <c r="M176" s="29">
        <v>0.10494979470968201</v>
      </c>
      <c r="Q176" t="s">
        <v>819</v>
      </c>
      <c r="R176" t="s">
        <v>155</v>
      </c>
      <c r="S176" s="37">
        <v>3</v>
      </c>
      <c r="T176" t="s">
        <v>918</v>
      </c>
      <c r="U176" t="s">
        <v>919</v>
      </c>
      <c r="V176" s="37">
        <v>7559.34521484375</v>
      </c>
      <c r="W176" s="38">
        <v>0.30696725845336909</v>
      </c>
      <c r="X176" s="38">
        <v>0.35899209976196289</v>
      </c>
      <c r="Y176" s="39">
        <f t="shared" si="2"/>
        <v>5.2024841308593806E-2</v>
      </c>
    </row>
    <row r="177" spans="1:25" x14ac:dyDescent="0.3">
      <c r="A177" s="24" t="s">
        <v>846</v>
      </c>
      <c r="B177" s="24" t="s">
        <v>294</v>
      </c>
      <c r="C177" t="s">
        <v>177</v>
      </c>
      <c r="D177" t="s">
        <v>177</v>
      </c>
      <c r="E177" s="25" t="s">
        <v>847</v>
      </c>
      <c r="F177" s="26">
        <v>0.45915103000000002</v>
      </c>
      <c r="G177" s="26">
        <v>0.45476033999999999</v>
      </c>
      <c r="H177" s="26">
        <v>0.46333345999999997</v>
      </c>
      <c r="I177" s="27" t="s">
        <v>848</v>
      </c>
      <c r="J177" s="27" t="s">
        <v>849</v>
      </c>
      <c r="K177" s="28">
        <v>0.64337068796157804</v>
      </c>
      <c r="L177" s="28">
        <v>0.50708329677581698</v>
      </c>
      <c r="M177" s="29">
        <v>0.238254159688949</v>
      </c>
      <c r="Q177" t="s">
        <v>823</v>
      </c>
      <c r="R177" t="s">
        <v>170</v>
      </c>
      <c r="S177" s="37">
        <v>3</v>
      </c>
      <c r="T177" t="s">
        <v>918</v>
      </c>
      <c r="U177" t="s">
        <v>919</v>
      </c>
      <c r="V177" s="37">
        <v>760870.3125</v>
      </c>
      <c r="W177" s="38">
        <v>0.21272826194763181</v>
      </c>
      <c r="X177" s="38">
        <v>0.24507485330104831</v>
      </c>
      <c r="Y177" s="39">
        <f t="shared" si="2"/>
        <v>3.2346591353416498E-2</v>
      </c>
    </row>
    <row r="178" spans="1:25" x14ac:dyDescent="0.3">
      <c r="A178" s="24" t="s">
        <v>850</v>
      </c>
      <c r="B178" s="24" t="s">
        <v>271</v>
      </c>
      <c r="C178" t="s">
        <v>178</v>
      </c>
      <c r="D178" t="s">
        <v>178</v>
      </c>
      <c r="E178" s="25" t="s">
        <v>851</v>
      </c>
      <c r="F178" s="26">
        <v>0.36348087000000001</v>
      </c>
      <c r="G178" s="26">
        <v>0.36326863999999998</v>
      </c>
      <c r="H178" s="26">
        <v>0.36367935000000001</v>
      </c>
      <c r="I178" s="27" t="s">
        <v>337</v>
      </c>
      <c r="J178" s="27" t="s">
        <v>439</v>
      </c>
      <c r="K178" s="28">
        <v>0.48953500390052801</v>
      </c>
      <c r="L178" s="28">
        <v>0.39784964919090199</v>
      </c>
      <c r="M178" s="28">
        <v>0.16484181582927701</v>
      </c>
      <c r="Q178" t="s">
        <v>825</v>
      </c>
      <c r="R178" t="s">
        <v>38</v>
      </c>
      <c r="S178" s="37">
        <v>3</v>
      </c>
      <c r="T178" t="s">
        <v>918</v>
      </c>
      <c r="U178" t="s">
        <v>919</v>
      </c>
      <c r="V178" s="37">
        <v>199538.375</v>
      </c>
      <c r="W178" s="38">
        <v>0.12725257873535159</v>
      </c>
      <c r="X178" s="38">
        <v>0.15332357585430151</v>
      </c>
      <c r="Y178" s="39">
        <f t="shared" si="2"/>
        <v>2.6070997118949918E-2</v>
      </c>
    </row>
    <row r="179" spans="1:25" x14ac:dyDescent="0.3">
      <c r="A179" s="24" t="s">
        <v>852</v>
      </c>
      <c r="B179" s="24" t="s">
        <v>281</v>
      </c>
      <c r="C179" t="s">
        <v>853</v>
      </c>
      <c r="D179" t="s">
        <v>179</v>
      </c>
      <c r="E179" s="25" t="s">
        <v>854</v>
      </c>
      <c r="F179" s="26">
        <v>0.33188286</v>
      </c>
      <c r="G179" s="26">
        <v>0.31193696999999998</v>
      </c>
      <c r="H179" s="26">
        <v>0.35052477999999998</v>
      </c>
      <c r="I179" s="27" t="s">
        <v>855</v>
      </c>
      <c r="J179" s="27" t="s">
        <v>856</v>
      </c>
      <c r="K179" s="28">
        <v>0.64345341920852595</v>
      </c>
      <c r="L179" s="28">
        <v>0.60515117645263605</v>
      </c>
      <c r="M179" s="29">
        <v>0.352343589067459</v>
      </c>
      <c r="Q179" t="s">
        <v>827</v>
      </c>
      <c r="R179" t="s">
        <v>176</v>
      </c>
      <c r="S179" s="37">
        <v>3</v>
      </c>
      <c r="T179" t="s">
        <v>918</v>
      </c>
      <c r="U179" t="s">
        <v>919</v>
      </c>
      <c r="V179" s="37">
        <v>105577.6015625</v>
      </c>
      <c r="W179" s="38">
        <v>0.1106564849615097</v>
      </c>
      <c r="X179" s="38">
        <v>0.13630181550979609</v>
      </c>
      <c r="Y179" s="39">
        <f t="shared" si="2"/>
        <v>2.5645330548286382E-2</v>
      </c>
    </row>
    <row r="180" spans="1:25" x14ac:dyDescent="0.3">
      <c r="A180" s="24" t="s">
        <v>837</v>
      </c>
      <c r="B180" s="24" t="s">
        <v>281</v>
      </c>
      <c r="C180" t="s">
        <v>180</v>
      </c>
      <c r="D180" t="s">
        <v>180</v>
      </c>
      <c r="E180" s="25" t="s">
        <v>838</v>
      </c>
      <c r="F180" s="26">
        <v>0.37049860000000001</v>
      </c>
      <c r="G180" s="26">
        <v>0.35183810999999998</v>
      </c>
      <c r="H180" s="26">
        <v>0.38756522999999998</v>
      </c>
      <c r="I180" s="27" t="s">
        <v>319</v>
      </c>
      <c r="J180" s="27" t="s">
        <v>839</v>
      </c>
      <c r="K180" s="28">
        <v>0.58857661485671997</v>
      </c>
      <c r="L180" s="28">
        <v>0.45762798190116799</v>
      </c>
      <c r="M180" s="29">
        <v>0.119715027511119</v>
      </c>
      <c r="Q180" t="s">
        <v>831</v>
      </c>
      <c r="R180" t="s">
        <v>174</v>
      </c>
      <c r="S180" s="37">
        <v>3</v>
      </c>
      <c r="T180" t="s">
        <v>918</v>
      </c>
      <c r="U180" t="s">
        <v>919</v>
      </c>
      <c r="V180" s="37">
        <v>4737147.5</v>
      </c>
      <c r="W180" s="38">
        <v>0.31092074513435358</v>
      </c>
      <c r="X180" s="38">
        <v>0.35422199964523321</v>
      </c>
      <c r="Y180" s="39">
        <f t="shared" si="2"/>
        <v>4.3301254510879628E-2</v>
      </c>
    </row>
    <row r="181" spans="1:25" x14ac:dyDescent="0.3">
      <c r="A181" s="24" t="s">
        <v>857</v>
      </c>
      <c r="B181" s="24" t="s">
        <v>306</v>
      </c>
      <c r="C181" t="s">
        <v>252</v>
      </c>
      <c r="D181" t="s">
        <v>252</v>
      </c>
      <c r="E181" s="32">
        <v>9650</v>
      </c>
      <c r="F181" s="26">
        <v>0.52959084999999995</v>
      </c>
      <c r="G181" s="26">
        <v>0.50363575999999999</v>
      </c>
      <c r="H181" s="26">
        <v>0.55147838999999998</v>
      </c>
      <c r="I181" s="30">
        <v>2600</v>
      </c>
      <c r="J181" s="30">
        <v>2500</v>
      </c>
      <c r="K181" s="28">
        <v>0.34741282463073703</v>
      </c>
      <c r="L181" s="28">
        <v>0.20570679008960699</v>
      </c>
      <c r="M181" s="28">
        <v>6.3214749097824097E-2</v>
      </c>
      <c r="Q181" t="s">
        <v>835</v>
      </c>
      <c r="R181" t="s">
        <v>172</v>
      </c>
      <c r="S181" s="37">
        <v>3</v>
      </c>
      <c r="T181" t="s">
        <v>918</v>
      </c>
      <c r="U181" t="s">
        <v>919</v>
      </c>
      <c r="V181" s="37">
        <v>137606.84375</v>
      </c>
      <c r="W181" s="38">
        <v>7.8876771032810211E-2</v>
      </c>
      <c r="X181" s="38">
        <v>8.5647821426391602E-2</v>
      </c>
      <c r="Y181" s="39">
        <f t="shared" si="2"/>
        <v>6.7710503935813904E-3</v>
      </c>
    </row>
    <row r="182" spans="1:25" x14ac:dyDescent="0.3">
      <c r="A182" s="24" t="s">
        <v>861</v>
      </c>
      <c r="B182" s="24" t="s">
        <v>276</v>
      </c>
      <c r="C182" t="s">
        <v>181</v>
      </c>
      <c r="D182" t="s">
        <v>181</v>
      </c>
      <c r="E182" s="25" t="s">
        <v>862</v>
      </c>
      <c r="F182" s="26">
        <v>0.28250501</v>
      </c>
      <c r="G182" s="26">
        <v>0.26233634</v>
      </c>
      <c r="H182" s="26">
        <v>0.30062478999999998</v>
      </c>
      <c r="I182" s="27" t="s">
        <v>309</v>
      </c>
      <c r="J182" s="27" t="s">
        <v>278</v>
      </c>
      <c r="K182" s="28">
        <v>0.34708565473556502</v>
      </c>
      <c r="L182" s="28">
        <v>0.18405620753765101</v>
      </c>
      <c r="M182" s="28">
        <v>8.9106097817421001E-2</v>
      </c>
      <c r="Q182" t="s">
        <v>837</v>
      </c>
      <c r="R182" t="s">
        <v>180</v>
      </c>
      <c r="S182" s="37">
        <v>3</v>
      </c>
      <c r="T182" t="s">
        <v>918</v>
      </c>
      <c r="U182" t="s">
        <v>919</v>
      </c>
      <c r="V182" s="37">
        <v>129894.7890625</v>
      </c>
      <c r="W182" s="38">
        <v>0.1197150275111198</v>
      </c>
      <c r="X182" s="38">
        <v>0.131015345454216</v>
      </c>
      <c r="Y182" s="39">
        <f t="shared" si="2"/>
        <v>1.1300317943096203E-2</v>
      </c>
    </row>
    <row r="183" spans="1:25" x14ac:dyDescent="0.3">
      <c r="A183" s="24" t="s">
        <v>863</v>
      </c>
      <c r="B183" s="24" t="s">
        <v>281</v>
      </c>
      <c r="C183" t="s">
        <v>182</v>
      </c>
      <c r="D183" t="s">
        <v>182</v>
      </c>
      <c r="E183" s="25" t="s">
        <v>864</v>
      </c>
      <c r="F183" s="26">
        <v>0.45714155000000001</v>
      </c>
      <c r="G183" s="26">
        <v>0.44252226</v>
      </c>
      <c r="H183" s="26">
        <v>0.46924555000000001</v>
      </c>
      <c r="I183" s="27" t="s">
        <v>865</v>
      </c>
      <c r="J183" s="27" t="s">
        <v>557</v>
      </c>
      <c r="K183" s="28">
        <v>0.70907121896743697</v>
      </c>
      <c r="L183" s="28">
        <v>0.54157680273055997</v>
      </c>
      <c r="M183" s="29">
        <v>0.16543975472450201</v>
      </c>
      <c r="Q183" t="s">
        <v>840</v>
      </c>
      <c r="R183" t="s">
        <v>175</v>
      </c>
      <c r="S183" s="37">
        <v>3</v>
      </c>
      <c r="T183" t="s">
        <v>918</v>
      </c>
      <c r="U183" t="s">
        <v>919</v>
      </c>
      <c r="V183" s="37">
        <v>20714.765625</v>
      </c>
      <c r="W183" s="38">
        <v>0.1230344548821449</v>
      </c>
      <c r="X183" s="38">
        <v>0.13867814838886261</v>
      </c>
      <c r="Y183" s="39">
        <f t="shared" si="2"/>
        <v>1.564369350671771E-2</v>
      </c>
    </row>
    <row r="184" spans="1:25" x14ac:dyDescent="0.3">
      <c r="A184" s="24" t="s">
        <v>289</v>
      </c>
      <c r="B184" s="24" t="s">
        <v>271</v>
      </c>
      <c r="C184" t="s">
        <v>183</v>
      </c>
      <c r="D184" t="s">
        <v>183</v>
      </c>
      <c r="E184" s="25" t="s">
        <v>290</v>
      </c>
      <c r="F184" s="26">
        <v>0.35143727000000002</v>
      </c>
      <c r="G184" s="26">
        <v>0.39076813999999999</v>
      </c>
      <c r="H184" s="26">
        <v>0.24772512999999999</v>
      </c>
      <c r="I184" s="27" t="s">
        <v>291</v>
      </c>
      <c r="J184" s="27" t="s">
        <v>292</v>
      </c>
      <c r="K184" s="28">
        <v>0.37486702203750599</v>
      </c>
      <c r="L184" s="28">
        <v>0.31140449643134999</v>
      </c>
      <c r="M184" s="29">
        <v>0.17644099891185699</v>
      </c>
      <c r="Q184" t="s">
        <v>844</v>
      </c>
      <c r="R184" t="s">
        <v>246</v>
      </c>
      <c r="S184" s="37">
        <v>3</v>
      </c>
      <c r="T184" t="s">
        <v>918</v>
      </c>
      <c r="U184" t="s">
        <v>919</v>
      </c>
      <c r="V184" s="37">
        <v>2049.854736328125</v>
      </c>
      <c r="W184" s="38">
        <v>0.10494979470968251</v>
      </c>
      <c r="X184" s="38">
        <v>0.11718163639307019</v>
      </c>
      <c r="Y184" s="39">
        <f t="shared" si="2"/>
        <v>1.2231841683387687E-2</v>
      </c>
    </row>
    <row r="185" spans="1:25" x14ac:dyDescent="0.3">
      <c r="A185" s="24" t="s">
        <v>497</v>
      </c>
      <c r="B185" s="24" t="s">
        <v>281</v>
      </c>
      <c r="C185" t="s">
        <v>498</v>
      </c>
      <c r="D185" t="s">
        <v>184</v>
      </c>
      <c r="E185" s="25" t="s">
        <v>499</v>
      </c>
      <c r="F185" s="26">
        <v>0.30505395000000002</v>
      </c>
      <c r="G185" s="26">
        <v>0.33545023000000002</v>
      </c>
      <c r="H185" s="26">
        <v>0.27556118000000002</v>
      </c>
      <c r="I185" s="27" t="s">
        <v>500</v>
      </c>
      <c r="J185" s="27" t="s">
        <v>501</v>
      </c>
      <c r="K185" s="28">
        <v>0.64641129970550504</v>
      </c>
      <c r="L185" s="28">
        <v>0.54507923126220703</v>
      </c>
      <c r="M185" s="29">
        <v>0.35307422280311501</v>
      </c>
      <c r="Q185" t="s">
        <v>846</v>
      </c>
      <c r="R185" t="s">
        <v>177</v>
      </c>
      <c r="S185" s="37">
        <v>3</v>
      </c>
      <c r="T185" t="s">
        <v>918</v>
      </c>
      <c r="U185" t="s">
        <v>919</v>
      </c>
      <c r="V185" s="37">
        <v>92230.6171875</v>
      </c>
      <c r="W185" s="38">
        <v>0.23825415968894961</v>
      </c>
      <c r="X185" s="38">
        <v>0.26789620518684393</v>
      </c>
      <c r="Y185" s="39">
        <f t="shared" si="2"/>
        <v>2.9642045497894315E-2</v>
      </c>
    </row>
    <row r="186" spans="1:25" x14ac:dyDescent="0.3">
      <c r="A186" s="24" t="s">
        <v>858</v>
      </c>
      <c r="B186" s="24" t="s">
        <v>276</v>
      </c>
      <c r="C186" t="s">
        <v>241</v>
      </c>
      <c r="D186" t="s">
        <v>173</v>
      </c>
      <c r="E186" s="25" t="s">
        <v>859</v>
      </c>
      <c r="F186" s="26">
        <v>0.27577358000000002</v>
      </c>
      <c r="G186" s="26">
        <v>0.25289249000000003</v>
      </c>
      <c r="H186" s="26">
        <v>0.29783725999999999</v>
      </c>
      <c r="I186" s="27" t="s">
        <v>416</v>
      </c>
      <c r="J186" s="27" t="s">
        <v>860</v>
      </c>
      <c r="K186" s="28">
        <v>0.34102925658226002</v>
      </c>
      <c r="L186" s="28">
        <v>0.15751411020755701</v>
      </c>
      <c r="M186" s="28">
        <v>8.6555384099483504E-2</v>
      </c>
      <c r="Q186" t="s">
        <v>850</v>
      </c>
      <c r="R186" t="s">
        <v>178</v>
      </c>
      <c r="S186" s="37">
        <v>3</v>
      </c>
      <c r="T186" t="s">
        <v>918</v>
      </c>
      <c r="U186" t="s">
        <v>919</v>
      </c>
      <c r="V186" s="37">
        <v>398740.1875</v>
      </c>
      <c r="W186" s="38">
        <v>0.16484181582927701</v>
      </c>
      <c r="X186" s="38">
        <v>0.19334244728088379</v>
      </c>
      <c r="Y186" s="39">
        <f t="shared" si="2"/>
        <v>2.8500631451606778E-2</v>
      </c>
    </row>
    <row r="187" spans="1:25" x14ac:dyDescent="0.3">
      <c r="A187" s="24" t="s">
        <v>870</v>
      </c>
      <c r="B187" s="24" t="s">
        <v>294</v>
      </c>
      <c r="C187" t="s">
        <v>245</v>
      </c>
      <c r="D187" t="s">
        <v>185</v>
      </c>
      <c r="E187" s="25" t="s">
        <v>871</v>
      </c>
      <c r="F187" s="26">
        <v>0.37340953999999998</v>
      </c>
      <c r="G187" s="26">
        <v>0.39404410000000001</v>
      </c>
      <c r="H187" s="26">
        <v>0.35344281999999999</v>
      </c>
      <c r="I187" s="27" t="s">
        <v>872</v>
      </c>
      <c r="J187" s="27" t="s">
        <v>873</v>
      </c>
      <c r="K187" s="28">
        <v>0.82822048664092995</v>
      </c>
      <c r="L187" s="28">
        <v>0.72537750005722001</v>
      </c>
      <c r="M187" s="29">
        <v>0.49491772055625899</v>
      </c>
      <c r="Q187" t="s">
        <v>852</v>
      </c>
      <c r="R187" t="s">
        <v>179</v>
      </c>
      <c r="S187" s="37">
        <v>3</v>
      </c>
      <c r="T187" t="s">
        <v>918</v>
      </c>
      <c r="U187" t="s">
        <v>919</v>
      </c>
      <c r="V187" s="37">
        <v>5280594</v>
      </c>
      <c r="W187" s="38">
        <v>0.35234358906745911</v>
      </c>
      <c r="X187" s="38">
        <v>0.38555800914764399</v>
      </c>
      <c r="Y187" s="39">
        <f t="shared" si="2"/>
        <v>3.3214420080184881E-2</v>
      </c>
    </row>
    <row r="188" spans="1:25" x14ac:dyDescent="0.3">
      <c r="A188" s="24" t="s">
        <v>866</v>
      </c>
      <c r="B188" s="24" t="s">
        <v>294</v>
      </c>
      <c r="C188" t="s">
        <v>186</v>
      </c>
      <c r="D188" t="s">
        <v>186</v>
      </c>
      <c r="E188" s="25" t="s">
        <v>867</v>
      </c>
      <c r="F188" s="26">
        <v>0.46944752000000001</v>
      </c>
      <c r="G188" s="26">
        <v>0.49437761000000002</v>
      </c>
      <c r="H188" s="26">
        <v>0.44641324999999998</v>
      </c>
      <c r="I188" s="27" t="s">
        <v>868</v>
      </c>
      <c r="J188" s="27" t="s">
        <v>869</v>
      </c>
      <c r="K188" s="28">
        <v>0.71553063392639105</v>
      </c>
      <c r="L188" s="28">
        <v>0.60749024152755704</v>
      </c>
      <c r="M188" s="29">
        <v>0.33550763130187899</v>
      </c>
      <c r="Q188" t="s">
        <v>857</v>
      </c>
      <c r="R188" t="s">
        <v>252</v>
      </c>
      <c r="S188" s="37">
        <v>3</v>
      </c>
      <c r="T188" t="s">
        <v>918</v>
      </c>
      <c r="U188" t="s">
        <v>919</v>
      </c>
      <c r="V188" s="37">
        <v>165.38108825683591</v>
      </c>
      <c r="W188" s="38">
        <v>6.3214749097824097E-2</v>
      </c>
      <c r="X188" s="38">
        <v>6.8252377212047577E-2</v>
      </c>
      <c r="Y188" s="39">
        <f t="shared" si="2"/>
        <v>5.0376281142234802E-3</v>
      </c>
    </row>
    <row r="189" spans="1:25" x14ac:dyDescent="0.3">
      <c r="A189" s="24" t="s">
        <v>874</v>
      </c>
      <c r="B189" s="24" t="s">
        <v>281</v>
      </c>
      <c r="C189" t="s">
        <v>187</v>
      </c>
      <c r="D189" t="s">
        <v>187</v>
      </c>
      <c r="E189" s="25" t="s">
        <v>875</v>
      </c>
      <c r="F189" s="26">
        <v>0.47450261999999999</v>
      </c>
      <c r="G189" s="26">
        <v>0.49105232999999998</v>
      </c>
      <c r="H189" s="26">
        <v>0.4588353</v>
      </c>
      <c r="I189" s="27" t="s">
        <v>876</v>
      </c>
      <c r="J189" s="27" t="s">
        <v>877</v>
      </c>
      <c r="K189" s="28">
        <v>0.52665674686431796</v>
      </c>
      <c r="L189" s="28">
        <v>0.42529839277267401</v>
      </c>
      <c r="M189" s="29">
        <v>0.17816337943077001</v>
      </c>
      <c r="Q189" t="s">
        <v>858</v>
      </c>
      <c r="R189" t="s">
        <v>173</v>
      </c>
      <c r="S189" s="37">
        <v>3</v>
      </c>
      <c r="T189" t="s">
        <v>918</v>
      </c>
      <c r="U189" t="s">
        <v>919</v>
      </c>
      <c r="V189" s="37">
        <v>475187.5</v>
      </c>
      <c r="W189" s="38">
        <v>8.655538409948349E-2</v>
      </c>
      <c r="X189" s="38">
        <v>0.11208893358707429</v>
      </c>
      <c r="Y189" s="39">
        <f t="shared" si="2"/>
        <v>2.5533549487590804E-2</v>
      </c>
    </row>
    <row r="190" spans="1:25" x14ac:dyDescent="0.3">
      <c r="A190" s="24" t="s">
        <v>886</v>
      </c>
      <c r="B190" s="24" t="s">
        <v>306</v>
      </c>
      <c r="C190" t="s">
        <v>188</v>
      </c>
      <c r="D190" t="s">
        <v>188</v>
      </c>
      <c r="E190" s="25" t="s">
        <v>887</v>
      </c>
      <c r="F190" s="26">
        <v>0.38129783</v>
      </c>
      <c r="G190" s="26">
        <v>0.36436656000000001</v>
      </c>
      <c r="H190" s="26">
        <v>0.39765662000000002</v>
      </c>
      <c r="I190" s="27" t="s">
        <v>888</v>
      </c>
      <c r="J190" s="30" t="s">
        <v>889</v>
      </c>
      <c r="K190" s="28">
        <v>0.30643498897552401</v>
      </c>
      <c r="L190" s="28">
        <v>0.13582980632781899</v>
      </c>
      <c r="M190" s="28">
        <v>5.7803940027952201E-2</v>
      </c>
      <c r="Q190" t="s">
        <v>861</v>
      </c>
      <c r="R190" t="s">
        <v>181</v>
      </c>
      <c r="S190" s="37">
        <v>3</v>
      </c>
      <c r="T190" t="s">
        <v>918</v>
      </c>
      <c r="U190" t="s">
        <v>919</v>
      </c>
      <c r="V190" s="37">
        <v>339287.71875</v>
      </c>
      <c r="W190" s="38">
        <v>8.9106097817420959E-2</v>
      </c>
      <c r="X190" s="38">
        <v>0.1107240691781044</v>
      </c>
      <c r="Y190" s="39">
        <f t="shared" si="2"/>
        <v>2.1617971360683441E-2</v>
      </c>
    </row>
    <row r="191" spans="1:25" x14ac:dyDescent="0.3">
      <c r="A191" s="24" t="s">
        <v>880</v>
      </c>
      <c r="B191" s="24" t="s">
        <v>294</v>
      </c>
      <c r="C191" t="s">
        <v>189</v>
      </c>
      <c r="D191" t="s">
        <v>189</v>
      </c>
      <c r="E191" s="25" t="s">
        <v>881</v>
      </c>
      <c r="F191" s="26">
        <v>0.40358033999999998</v>
      </c>
      <c r="G191" s="26">
        <v>0.39534384</v>
      </c>
      <c r="H191" s="26">
        <v>0.41120946000000003</v>
      </c>
      <c r="I191" s="27" t="s">
        <v>771</v>
      </c>
      <c r="J191" s="27" t="s">
        <v>712</v>
      </c>
      <c r="K191" s="28">
        <v>0.765156209468841</v>
      </c>
      <c r="L191" s="28">
        <v>0.67511010169982899</v>
      </c>
      <c r="M191" s="29">
        <v>0.36493313312530501</v>
      </c>
      <c r="Q191" t="s">
        <v>863</v>
      </c>
      <c r="R191" t="s">
        <v>182</v>
      </c>
      <c r="S191" s="37">
        <v>3</v>
      </c>
      <c r="T191" t="s">
        <v>918</v>
      </c>
      <c r="U191" t="s">
        <v>919</v>
      </c>
      <c r="V191" s="37">
        <v>2107080</v>
      </c>
      <c r="W191" s="38">
        <v>0.16543975472450259</v>
      </c>
      <c r="X191" s="38">
        <v>0.1914476603269577</v>
      </c>
      <c r="Y191" s="39">
        <f t="shared" si="2"/>
        <v>2.6007905602455111E-2</v>
      </c>
    </row>
    <row r="192" spans="1:25" x14ac:dyDescent="0.3">
      <c r="A192" s="24" t="s">
        <v>882</v>
      </c>
      <c r="B192" s="24" t="s">
        <v>306</v>
      </c>
      <c r="C192" t="s">
        <v>190</v>
      </c>
      <c r="D192" t="s">
        <v>190</v>
      </c>
      <c r="E192" s="25" t="s">
        <v>883</v>
      </c>
      <c r="F192" s="26">
        <v>0.30527936999999999</v>
      </c>
      <c r="G192" s="26">
        <v>0.32710426999999997</v>
      </c>
      <c r="H192" s="26">
        <v>0.28450581000000003</v>
      </c>
      <c r="I192" s="27" t="s">
        <v>884</v>
      </c>
      <c r="J192" s="27" t="s">
        <v>885</v>
      </c>
      <c r="K192" s="28">
        <v>0.51014888286590498</v>
      </c>
      <c r="L192" s="28">
        <v>0.322722107172012</v>
      </c>
      <c r="M192" s="29">
        <v>0.151987195014953</v>
      </c>
      <c r="Q192" t="s">
        <v>866</v>
      </c>
      <c r="R192" t="s">
        <v>186</v>
      </c>
      <c r="S192" s="37">
        <v>3</v>
      </c>
      <c r="T192" t="s">
        <v>918</v>
      </c>
      <c r="U192" t="s">
        <v>919</v>
      </c>
      <c r="V192" s="37">
        <v>302494.25</v>
      </c>
      <c r="W192" s="38">
        <v>0.33550763130187988</v>
      </c>
      <c r="X192" s="38">
        <v>0.37242507934570313</v>
      </c>
      <c r="Y192" s="39">
        <f t="shared" si="2"/>
        <v>3.6917448043823242E-2</v>
      </c>
    </row>
    <row r="193" spans="1:25" x14ac:dyDescent="0.3">
      <c r="A193" s="24" t="s">
        <v>894</v>
      </c>
      <c r="B193" s="24" t="s">
        <v>271</v>
      </c>
      <c r="C193" t="s">
        <v>191</v>
      </c>
      <c r="D193" t="s">
        <v>191</v>
      </c>
      <c r="E193" s="25" t="s">
        <v>895</v>
      </c>
      <c r="F193" s="26">
        <v>0.25201576999999997</v>
      </c>
      <c r="G193" s="26">
        <v>0.24936073</v>
      </c>
      <c r="H193" s="26">
        <v>0.25461592999999999</v>
      </c>
      <c r="I193" s="27" t="s">
        <v>403</v>
      </c>
      <c r="J193" s="27" t="s">
        <v>385</v>
      </c>
      <c r="K193" s="28">
        <v>0.43797636032104398</v>
      </c>
      <c r="L193" s="28">
        <v>0.350988209247589</v>
      </c>
      <c r="M193" s="29">
        <v>0.18032722175121299</v>
      </c>
      <c r="Q193" t="s">
        <v>870</v>
      </c>
      <c r="R193" t="s">
        <v>185</v>
      </c>
      <c r="S193" s="37">
        <v>3</v>
      </c>
      <c r="T193" t="s">
        <v>918</v>
      </c>
      <c r="U193" t="s">
        <v>919</v>
      </c>
      <c r="V193" s="37">
        <v>36357076</v>
      </c>
      <c r="W193" s="38">
        <v>0.49491772055625921</v>
      </c>
      <c r="X193" s="38">
        <v>0.49782294034957891</v>
      </c>
      <c r="Y193" s="39">
        <f t="shared" si="2"/>
        <v>2.9052197933197021E-3</v>
      </c>
    </row>
    <row r="194" spans="1:25" x14ac:dyDescent="0.3">
      <c r="A194" s="24" t="s">
        <v>900</v>
      </c>
      <c r="B194" s="24" t="s">
        <v>276</v>
      </c>
      <c r="C194" t="s">
        <v>192</v>
      </c>
      <c r="D194" t="s">
        <v>192</v>
      </c>
      <c r="E194" s="25" t="s">
        <v>901</v>
      </c>
      <c r="F194" s="26">
        <v>0.25263169000000002</v>
      </c>
      <c r="G194" s="26">
        <v>0.24034949</v>
      </c>
      <c r="H194" s="26">
        <v>0.26393959</v>
      </c>
      <c r="I194" s="27" t="s">
        <v>313</v>
      </c>
      <c r="J194" s="27" t="s">
        <v>536</v>
      </c>
      <c r="K194" s="28">
        <v>0.43767532706260598</v>
      </c>
      <c r="L194" s="28">
        <v>0.23424586653709401</v>
      </c>
      <c r="M194" s="29">
        <v>0.109389267861843</v>
      </c>
      <c r="Q194" t="s">
        <v>874</v>
      </c>
      <c r="R194" t="s">
        <v>187</v>
      </c>
      <c r="S194" s="37">
        <v>3</v>
      </c>
      <c r="T194" t="s">
        <v>918</v>
      </c>
      <c r="U194" t="s">
        <v>919</v>
      </c>
      <c r="V194" s="37">
        <v>1429779.25</v>
      </c>
      <c r="W194" s="38">
        <v>0.1781633794307709</v>
      </c>
      <c r="X194" s="38">
        <v>0.18831221759319311</v>
      </c>
      <c r="Y194" s="39">
        <f t="shared" si="2"/>
        <v>1.0148838162422208E-2</v>
      </c>
    </row>
    <row r="195" spans="1:25" x14ac:dyDescent="0.3">
      <c r="A195" s="24" t="s">
        <v>902</v>
      </c>
      <c r="B195" s="24" t="s">
        <v>276</v>
      </c>
      <c r="C195" t="s">
        <v>193</v>
      </c>
      <c r="D195" t="s">
        <v>193</v>
      </c>
      <c r="E195" s="25" t="s">
        <v>903</v>
      </c>
      <c r="F195" s="26">
        <v>0.37768167000000002</v>
      </c>
      <c r="G195" s="26">
        <v>0.32396975</v>
      </c>
      <c r="H195" s="26">
        <v>0.41969028000000003</v>
      </c>
      <c r="I195" s="27" t="s">
        <v>592</v>
      </c>
      <c r="J195" s="27" t="s">
        <v>313</v>
      </c>
      <c r="K195" s="28">
        <v>0.48506385087966902</v>
      </c>
      <c r="L195" s="28">
        <v>0.35828009247779802</v>
      </c>
      <c r="M195" s="29">
        <v>0.17734418809413899</v>
      </c>
      <c r="Q195" t="s">
        <v>878</v>
      </c>
      <c r="R195" t="s">
        <v>149</v>
      </c>
      <c r="S195" s="37">
        <v>3</v>
      </c>
      <c r="T195" t="s">
        <v>918</v>
      </c>
      <c r="U195" t="s">
        <v>919</v>
      </c>
      <c r="V195" s="37">
        <v>5906.57958984375</v>
      </c>
      <c r="W195" s="38">
        <v>0.23237210512161249</v>
      </c>
      <c r="X195" s="38">
        <v>0.25971180200576782</v>
      </c>
      <c r="Y195" s="39">
        <f t="shared" si="2"/>
        <v>2.7339696884155329E-2</v>
      </c>
    </row>
    <row r="196" spans="1:25" x14ac:dyDescent="0.3">
      <c r="Q196" t="s">
        <v>880</v>
      </c>
      <c r="R196" t="s">
        <v>189</v>
      </c>
      <c r="S196" s="37">
        <v>3</v>
      </c>
      <c r="T196" t="s">
        <v>918</v>
      </c>
      <c r="U196" t="s">
        <v>919</v>
      </c>
      <c r="V196" s="37">
        <v>2222784.25</v>
      </c>
      <c r="W196" s="38">
        <v>0.36493313312530518</v>
      </c>
      <c r="X196" s="38">
        <v>0.41117748618125921</v>
      </c>
      <c r="Y196" s="39">
        <f t="shared" si="2"/>
        <v>4.6244353055954035E-2</v>
      </c>
    </row>
    <row r="197" spans="1:25" x14ac:dyDescent="0.3">
      <c r="Q197" t="s">
        <v>882</v>
      </c>
      <c r="R197" t="s">
        <v>190</v>
      </c>
      <c r="S197" s="37">
        <v>3</v>
      </c>
      <c r="T197" t="s">
        <v>918</v>
      </c>
      <c r="U197" t="s">
        <v>919</v>
      </c>
      <c r="V197" s="37">
        <v>2572638.25</v>
      </c>
      <c r="W197" s="38">
        <v>0.15198719501495361</v>
      </c>
      <c r="X197" s="38">
        <v>0.19023638963699341</v>
      </c>
      <c r="Y197" s="39">
        <f t="shared" si="2"/>
        <v>3.8249194622039795E-2</v>
      </c>
    </row>
    <row r="198" spans="1:25" x14ac:dyDescent="0.3">
      <c r="Q198" t="s">
        <v>886</v>
      </c>
      <c r="R198" t="s">
        <v>188</v>
      </c>
      <c r="S198" s="37">
        <v>3</v>
      </c>
      <c r="T198" t="s">
        <v>918</v>
      </c>
      <c r="U198" t="s">
        <v>919</v>
      </c>
      <c r="V198" s="37">
        <v>2681.405029296875</v>
      </c>
      <c r="W198" s="38">
        <v>5.7803940027952187E-2</v>
      </c>
      <c r="X198" s="38">
        <v>6.9890275597572327E-2</v>
      </c>
      <c r="Y198" s="39">
        <f t="shared" si="2"/>
        <v>1.2086335569620139E-2</v>
      </c>
    </row>
    <row r="199" spans="1:25" x14ac:dyDescent="0.3">
      <c r="Q199" t="s">
        <v>890</v>
      </c>
      <c r="R199" t="s">
        <v>150</v>
      </c>
      <c r="S199" s="37">
        <v>3</v>
      </c>
      <c r="T199" t="s">
        <v>918</v>
      </c>
      <c r="U199" t="s">
        <v>919</v>
      </c>
      <c r="V199" s="37">
        <v>3519.392822265625</v>
      </c>
      <c r="W199" s="38">
        <v>0.1107810214161873</v>
      </c>
      <c r="X199" s="38">
        <v>0.1231329292058945</v>
      </c>
      <c r="Y199" s="39">
        <f t="shared" si="2"/>
        <v>1.2351907789707198E-2</v>
      </c>
    </row>
    <row r="200" spans="1:25" x14ac:dyDescent="0.3">
      <c r="Q200" t="s">
        <v>894</v>
      </c>
      <c r="R200" t="s">
        <v>191</v>
      </c>
      <c r="S200" s="37">
        <v>3</v>
      </c>
      <c r="T200" t="s">
        <v>918</v>
      </c>
      <c r="U200" t="s">
        <v>919</v>
      </c>
      <c r="V200" s="37">
        <v>495839.4375</v>
      </c>
      <c r="W200" s="38">
        <v>0.1803272217512131</v>
      </c>
      <c r="X200" s="38">
        <v>0.20709595084190369</v>
      </c>
      <c r="Y200" s="39">
        <f t="shared" si="2"/>
        <v>2.6768729090690585E-2</v>
      </c>
    </row>
    <row r="201" spans="1:25" x14ac:dyDescent="0.3">
      <c r="Q201" t="s">
        <v>896</v>
      </c>
      <c r="R201" t="s">
        <v>162</v>
      </c>
      <c r="S201" s="37">
        <v>3</v>
      </c>
      <c r="T201" t="s">
        <v>918</v>
      </c>
      <c r="U201" t="s">
        <v>919</v>
      </c>
      <c r="V201" s="37">
        <v>2985466.5</v>
      </c>
      <c r="W201" s="38">
        <v>0.24974943697452551</v>
      </c>
      <c r="X201" s="38">
        <v>0.29050531983375549</v>
      </c>
      <c r="Y201" s="39">
        <f t="shared" si="2"/>
        <v>4.0755882859229986E-2</v>
      </c>
    </row>
    <row r="202" spans="1:25" x14ac:dyDescent="0.3">
      <c r="Q202" t="s">
        <v>900</v>
      </c>
      <c r="R202" t="s">
        <v>192</v>
      </c>
      <c r="S202" s="37">
        <v>3</v>
      </c>
      <c r="T202" t="s">
        <v>918</v>
      </c>
      <c r="U202" t="s">
        <v>919</v>
      </c>
      <c r="V202" s="37">
        <v>159443.203125</v>
      </c>
      <c r="W202" s="38">
        <v>0.1093892678618431</v>
      </c>
      <c r="X202" s="38">
        <v>0.14087669551372531</v>
      </c>
      <c r="Y202" s="39">
        <f t="shared" ref="Y202:Y203" si="3">+X202-W202</f>
        <v>3.1487427651882213E-2</v>
      </c>
    </row>
    <row r="203" spans="1:25" x14ac:dyDescent="0.3">
      <c r="Q203" t="s">
        <v>902</v>
      </c>
      <c r="R203" t="s">
        <v>193</v>
      </c>
      <c r="S203" s="37">
        <v>3</v>
      </c>
      <c r="T203" t="s">
        <v>918</v>
      </c>
      <c r="U203" t="s">
        <v>919</v>
      </c>
      <c r="V203" s="37">
        <v>328261.21875</v>
      </c>
      <c r="W203" s="38">
        <v>0.1773441880941391</v>
      </c>
      <c r="X203" s="38">
        <v>0.20614442229270941</v>
      </c>
      <c r="Y203" s="39">
        <f t="shared" si="3"/>
        <v>2.8800234198570307E-2</v>
      </c>
    </row>
    <row r="204" spans="1:25" x14ac:dyDescent="0.3">
      <c r="S204" s="37"/>
      <c r="V204" s="37"/>
      <c r="W204" s="38"/>
    </row>
    <row r="205" spans="1:25" x14ac:dyDescent="0.3">
      <c r="S205" s="37"/>
      <c r="V205" s="37"/>
      <c r="W205" s="38"/>
    </row>
    <row r="206" spans="1:25" x14ac:dyDescent="0.3">
      <c r="S206" s="37"/>
      <c r="V206" s="37"/>
      <c r="W206" s="38"/>
    </row>
    <row r="207" spans="1:25" x14ac:dyDescent="0.3">
      <c r="S207" s="37"/>
      <c r="V207" s="37"/>
      <c r="W207" s="38"/>
    </row>
    <row r="208" spans="1:25" x14ac:dyDescent="0.3">
      <c r="S208" s="37"/>
      <c r="V208" s="37"/>
      <c r="W208" s="38"/>
    </row>
    <row r="209" spans="19:23" x14ac:dyDescent="0.3">
      <c r="S209" s="37"/>
      <c r="V209" s="37"/>
      <c r="W209" s="38"/>
    </row>
    <row r="210" spans="19:23" x14ac:dyDescent="0.3">
      <c r="S210" s="37"/>
      <c r="V210" s="37"/>
      <c r="W210" s="38"/>
    </row>
    <row r="211" spans="19:23" x14ac:dyDescent="0.3">
      <c r="S211" s="37"/>
      <c r="V211" s="37"/>
      <c r="W211" s="38"/>
    </row>
    <row r="212" spans="19:23" x14ac:dyDescent="0.3">
      <c r="S212" s="37"/>
      <c r="V212" s="37"/>
      <c r="W212" s="38"/>
    </row>
    <row r="213" spans="19:23" x14ac:dyDescent="0.3">
      <c r="S213" s="37"/>
      <c r="V213" s="37"/>
      <c r="W213" s="38"/>
    </row>
    <row r="214" spans="19:23" x14ac:dyDescent="0.3">
      <c r="S214" s="37"/>
      <c r="V214" s="37"/>
      <c r="W214" s="38"/>
    </row>
    <row r="215" spans="19:23" x14ac:dyDescent="0.3">
      <c r="S215" s="37"/>
      <c r="V215" s="37"/>
      <c r="W215" s="38"/>
    </row>
    <row r="216" spans="19:23" x14ac:dyDescent="0.3">
      <c r="S216" s="37"/>
      <c r="V216" s="37"/>
      <c r="W216" s="38"/>
    </row>
    <row r="217" spans="19:23" x14ac:dyDescent="0.3">
      <c r="S217" s="37"/>
      <c r="V217" s="37"/>
      <c r="W217" s="38"/>
    </row>
    <row r="218" spans="19:23" x14ac:dyDescent="0.3">
      <c r="S218" s="37"/>
      <c r="V218" s="37"/>
      <c r="W218" s="38"/>
    </row>
    <row r="219" spans="19:23" x14ac:dyDescent="0.3">
      <c r="S219" s="37"/>
      <c r="V219" s="37"/>
      <c r="W219" s="38"/>
    </row>
    <row r="220" spans="19:23" x14ac:dyDescent="0.3">
      <c r="S220" s="37"/>
      <c r="V220" s="37"/>
      <c r="W220" s="38"/>
    </row>
    <row r="221" spans="19:23" x14ac:dyDescent="0.3">
      <c r="S221" s="37"/>
      <c r="V221" s="37"/>
      <c r="W221" s="38"/>
    </row>
    <row r="222" spans="19:23" x14ac:dyDescent="0.3">
      <c r="S222" s="37"/>
      <c r="V222" s="37"/>
      <c r="W222" s="38"/>
    </row>
    <row r="223" spans="19:23" x14ac:dyDescent="0.3">
      <c r="S223" s="37"/>
      <c r="V223" s="37"/>
      <c r="W223" s="38"/>
    </row>
    <row r="224" spans="19:23" x14ac:dyDescent="0.3">
      <c r="S224" s="37"/>
      <c r="V224" s="37"/>
      <c r="W224" s="38"/>
    </row>
    <row r="225" spans="19:23" x14ac:dyDescent="0.3">
      <c r="S225" s="37"/>
      <c r="V225" s="37"/>
      <c r="W225" s="38"/>
    </row>
    <row r="226" spans="19:23" x14ac:dyDescent="0.3">
      <c r="S226" s="37"/>
      <c r="V226" s="37"/>
      <c r="W226" s="38"/>
    </row>
    <row r="227" spans="19:23" x14ac:dyDescent="0.3">
      <c r="S227" s="37"/>
      <c r="V227" s="37"/>
      <c r="W227" s="38"/>
    </row>
    <row r="228" spans="19:23" x14ac:dyDescent="0.3">
      <c r="S228" s="37"/>
      <c r="V228" s="37"/>
      <c r="W228" s="38"/>
    </row>
    <row r="229" spans="19:23" x14ac:dyDescent="0.3">
      <c r="S229" s="37"/>
      <c r="V229" s="37"/>
      <c r="W229" s="38"/>
    </row>
    <row r="230" spans="19:23" x14ac:dyDescent="0.3">
      <c r="S230" s="37"/>
      <c r="V230" s="37"/>
      <c r="W230" s="38"/>
    </row>
    <row r="231" spans="19:23" x14ac:dyDescent="0.3">
      <c r="S231" s="37"/>
      <c r="V231" s="37"/>
      <c r="W231" s="38"/>
    </row>
    <row r="232" spans="19:23" x14ac:dyDescent="0.3">
      <c r="S232" s="37"/>
      <c r="V232" s="37"/>
      <c r="W232" s="38"/>
    </row>
    <row r="233" spans="19:23" x14ac:dyDescent="0.3">
      <c r="S233" s="37"/>
      <c r="V233" s="37"/>
      <c r="W233" s="38"/>
    </row>
    <row r="234" spans="19:23" x14ac:dyDescent="0.3">
      <c r="S234" s="37"/>
      <c r="V234" s="37"/>
      <c r="W234" s="38"/>
    </row>
    <row r="235" spans="19:23" x14ac:dyDescent="0.3">
      <c r="S235" s="37"/>
      <c r="V235" s="37"/>
      <c r="W235" s="38"/>
    </row>
    <row r="236" spans="19:23" x14ac:dyDescent="0.3">
      <c r="S236" s="37"/>
      <c r="V236" s="37"/>
      <c r="W236" s="38"/>
    </row>
    <row r="237" spans="19:23" x14ac:dyDescent="0.3">
      <c r="S237" s="37"/>
      <c r="V237" s="37"/>
      <c r="W237" s="38"/>
    </row>
    <row r="238" spans="19:23" x14ac:dyDescent="0.3">
      <c r="S238" s="37"/>
      <c r="V238" s="37"/>
      <c r="W238" s="38"/>
    </row>
    <row r="239" spans="19:23" x14ac:dyDescent="0.3">
      <c r="S239" s="37"/>
      <c r="V239" s="37"/>
      <c r="W239" s="38"/>
    </row>
    <row r="240" spans="19:23" x14ac:dyDescent="0.3">
      <c r="S240" s="37"/>
      <c r="V240" s="37"/>
      <c r="W240" s="38"/>
    </row>
    <row r="241" spans="19:23" x14ac:dyDescent="0.3">
      <c r="S241" s="37"/>
      <c r="V241" s="37"/>
      <c r="W241" s="38"/>
    </row>
    <row r="242" spans="19:23" x14ac:dyDescent="0.3">
      <c r="S242" s="37"/>
      <c r="V242" s="37"/>
      <c r="W242" s="38"/>
    </row>
    <row r="243" spans="19:23" x14ac:dyDescent="0.3">
      <c r="S243" s="37"/>
      <c r="V243" s="37"/>
      <c r="W243" s="38"/>
    </row>
    <row r="244" spans="19:23" x14ac:dyDescent="0.3">
      <c r="S244" s="37"/>
      <c r="V244" s="37"/>
      <c r="W244" s="38"/>
    </row>
    <row r="245" spans="19:23" x14ac:dyDescent="0.3">
      <c r="S245" s="37"/>
      <c r="V245" s="37"/>
      <c r="W245" s="38"/>
    </row>
    <row r="246" spans="19:23" x14ac:dyDescent="0.3">
      <c r="S246" s="37"/>
      <c r="V246" s="37"/>
      <c r="W246" s="38"/>
    </row>
    <row r="247" spans="19:23" x14ac:dyDescent="0.3">
      <c r="S247" s="37"/>
      <c r="V247" s="37"/>
      <c r="W247" s="38"/>
    </row>
    <row r="248" spans="19:23" x14ac:dyDescent="0.3">
      <c r="S248" s="37"/>
      <c r="V248" s="37"/>
      <c r="W248" s="38"/>
    </row>
    <row r="249" spans="19:23" x14ac:dyDescent="0.3">
      <c r="S249" s="37"/>
      <c r="V249" s="37"/>
      <c r="W249" s="38"/>
    </row>
    <row r="250" spans="19:23" x14ac:dyDescent="0.3">
      <c r="S250" s="37"/>
      <c r="V250" s="37"/>
      <c r="W250" s="38"/>
    </row>
    <row r="251" spans="19:23" x14ac:dyDescent="0.3">
      <c r="S251" s="37"/>
      <c r="V251" s="37"/>
      <c r="W251" s="38"/>
    </row>
    <row r="252" spans="19:23" x14ac:dyDescent="0.3">
      <c r="S252" s="37"/>
      <c r="V252" s="37"/>
      <c r="W252" s="38"/>
    </row>
    <row r="253" spans="19:23" x14ac:dyDescent="0.3">
      <c r="S253" s="37"/>
      <c r="V253" s="37"/>
      <c r="W253" s="38"/>
    </row>
    <row r="254" spans="19:23" x14ac:dyDescent="0.3">
      <c r="S254" s="37"/>
      <c r="V254" s="37"/>
      <c r="W254" s="38"/>
    </row>
    <row r="255" spans="19:23" x14ac:dyDescent="0.3">
      <c r="S255" s="37"/>
      <c r="V255" s="37"/>
      <c r="W255" s="38"/>
    </row>
    <row r="256" spans="19:23" x14ac:dyDescent="0.3">
      <c r="S256" s="37"/>
      <c r="V256" s="37"/>
      <c r="W256" s="38"/>
    </row>
    <row r="257" spans="19:23" x14ac:dyDescent="0.3">
      <c r="S257" s="37"/>
      <c r="V257" s="37"/>
      <c r="W257" s="38"/>
    </row>
    <row r="258" spans="19:23" x14ac:dyDescent="0.3">
      <c r="S258" s="37"/>
      <c r="V258" s="37"/>
      <c r="W258" s="38"/>
    </row>
    <row r="259" spans="19:23" x14ac:dyDescent="0.3">
      <c r="S259" s="37"/>
      <c r="V259" s="37"/>
      <c r="W259" s="38"/>
    </row>
    <row r="260" spans="19:23" x14ac:dyDescent="0.3">
      <c r="S260" s="37"/>
      <c r="V260" s="37"/>
      <c r="W260" s="38"/>
    </row>
    <row r="261" spans="19:23" x14ac:dyDescent="0.3">
      <c r="S261" s="37"/>
      <c r="V261" s="37"/>
      <c r="W261" s="38"/>
    </row>
    <row r="262" spans="19:23" x14ac:dyDescent="0.3">
      <c r="S262" s="37"/>
      <c r="V262" s="37"/>
      <c r="W262" s="38"/>
    </row>
    <row r="263" spans="19:23" x14ac:dyDescent="0.3">
      <c r="S263" s="37"/>
      <c r="V263" s="37"/>
      <c r="W263" s="38"/>
    </row>
    <row r="264" spans="19:23" x14ac:dyDescent="0.3">
      <c r="S264" s="37"/>
      <c r="V264" s="37"/>
      <c r="W264" s="38"/>
    </row>
    <row r="265" spans="19:23" x14ac:dyDescent="0.3">
      <c r="S265" s="37"/>
      <c r="V265" s="37"/>
      <c r="W265" s="38"/>
    </row>
    <row r="266" spans="19:23" x14ac:dyDescent="0.3">
      <c r="S266" s="37"/>
      <c r="V266" s="37"/>
      <c r="W266" s="38"/>
    </row>
    <row r="267" spans="19:23" x14ac:dyDescent="0.3">
      <c r="S267" s="37"/>
      <c r="V267" s="37"/>
      <c r="W267" s="38"/>
    </row>
    <row r="268" spans="19:23" x14ac:dyDescent="0.3">
      <c r="S268" s="37"/>
      <c r="V268" s="37"/>
      <c r="W268" s="38"/>
    </row>
    <row r="269" spans="19:23" x14ac:dyDescent="0.3">
      <c r="S269" s="37"/>
      <c r="V269" s="37"/>
      <c r="W269" s="38"/>
    </row>
    <row r="270" spans="19:23" x14ac:dyDescent="0.3">
      <c r="S270" s="37"/>
      <c r="V270" s="37"/>
      <c r="W270" s="38"/>
    </row>
    <row r="271" spans="19:23" x14ac:dyDescent="0.3">
      <c r="S271" s="37"/>
      <c r="V271" s="37"/>
      <c r="W271" s="38"/>
    </row>
    <row r="272" spans="19:23" x14ac:dyDescent="0.3">
      <c r="S272" s="37"/>
      <c r="V272" s="37"/>
      <c r="W272" s="38"/>
    </row>
    <row r="273" spans="19:23" x14ac:dyDescent="0.3">
      <c r="S273" s="37"/>
      <c r="V273" s="37"/>
      <c r="W273" s="38"/>
    </row>
    <row r="274" spans="19:23" x14ac:dyDescent="0.3">
      <c r="S274" s="37"/>
      <c r="V274" s="37"/>
      <c r="W274" s="38"/>
    </row>
    <row r="275" spans="19:23" x14ac:dyDescent="0.3">
      <c r="S275" s="37"/>
      <c r="V275" s="37"/>
      <c r="W275" s="38"/>
    </row>
    <row r="276" spans="19:23" x14ac:dyDescent="0.3">
      <c r="S276" s="37"/>
      <c r="V276" s="37"/>
      <c r="W276" s="38"/>
    </row>
    <row r="277" spans="19:23" x14ac:dyDescent="0.3">
      <c r="S277" s="37"/>
      <c r="V277" s="37"/>
      <c r="W277" s="38"/>
    </row>
    <row r="278" spans="19:23" x14ac:dyDescent="0.3">
      <c r="S278" s="37"/>
      <c r="V278" s="37"/>
      <c r="W278" s="38"/>
    </row>
    <row r="279" spans="19:23" x14ac:dyDescent="0.3">
      <c r="S279" s="37"/>
      <c r="V279" s="37"/>
      <c r="W279" s="38"/>
    </row>
    <row r="280" spans="19:23" x14ac:dyDescent="0.3">
      <c r="S280" s="37"/>
      <c r="V280" s="37"/>
      <c r="W280" s="38"/>
    </row>
    <row r="281" spans="19:23" x14ac:dyDescent="0.3">
      <c r="S281" s="37"/>
      <c r="V281" s="37"/>
      <c r="W281" s="38"/>
    </row>
    <row r="282" spans="19:23" x14ac:dyDescent="0.3">
      <c r="S282" s="37"/>
      <c r="V282" s="37"/>
      <c r="W282" s="38"/>
    </row>
    <row r="283" spans="19:23" x14ac:dyDescent="0.3">
      <c r="S283" s="37"/>
      <c r="V283" s="37"/>
      <c r="W283" s="38"/>
    </row>
    <row r="284" spans="19:23" x14ac:dyDescent="0.3">
      <c r="S284" s="37"/>
      <c r="V284" s="37"/>
      <c r="W284" s="38"/>
    </row>
    <row r="285" spans="19:23" x14ac:dyDescent="0.3">
      <c r="S285" s="37"/>
      <c r="V285" s="37"/>
      <c r="W285" s="38"/>
    </row>
    <row r="286" spans="19:23" x14ac:dyDescent="0.3">
      <c r="S286" s="37"/>
      <c r="V286" s="37"/>
      <c r="W286" s="38"/>
    </row>
    <row r="287" spans="19:23" x14ac:dyDescent="0.3">
      <c r="S287" s="37"/>
      <c r="V287" s="37"/>
      <c r="W287" s="38"/>
    </row>
    <row r="288" spans="19:23" x14ac:dyDescent="0.3">
      <c r="S288" s="37"/>
      <c r="V288" s="37"/>
      <c r="W288" s="38"/>
    </row>
    <row r="289" spans="19:23" x14ac:dyDescent="0.3">
      <c r="S289" s="37"/>
      <c r="V289" s="37"/>
      <c r="W289" s="38"/>
    </row>
    <row r="290" spans="19:23" x14ac:dyDescent="0.3">
      <c r="S290" s="37"/>
      <c r="V290" s="37"/>
      <c r="W290" s="38"/>
    </row>
    <row r="291" spans="19:23" x14ac:dyDescent="0.3">
      <c r="S291" s="37"/>
      <c r="V291" s="37"/>
      <c r="W291" s="38"/>
    </row>
    <row r="292" spans="19:23" x14ac:dyDescent="0.3">
      <c r="S292" s="37"/>
      <c r="V292" s="37"/>
      <c r="W292" s="38"/>
    </row>
    <row r="293" spans="19:23" x14ac:dyDescent="0.3">
      <c r="S293" s="37"/>
      <c r="V293" s="37"/>
      <c r="W293" s="38"/>
    </row>
    <row r="294" spans="19:23" x14ac:dyDescent="0.3">
      <c r="S294" s="37"/>
      <c r="V294" s="37"/>
      <c r="W294" s="38"/>
    </row>
    <row r="295" spans="19:23" x14ac:dyDescent="0.3">
      <c r="S295" s="37"/>
      <c r="V295" s="37"/>
      <c r="W295" s="38"/>
    </row>
    <row r="296" spans="19:23" x14ac:dyDescent="0.3">
      <c r="S296" s="37"/>
      <c r="V296" s="37"/>
      <c r="W296" s="38"/>
    </row>
    <row r="297" spans="19:23" x14ac:dyDescent="0.3">
      <c r="S297" s="37"/>
      <c r="V297" s="37"/>
      <c r="W297" s="38"/>
    </row>
    <row r="298" spans="19:23" x14ac:dyDescent="0.3">
      <c r="S298" s="37"/>
      <c r="V298" s="37"/>
      <c r="W298" s="38"/>
    </row>
    <row r="299" spans="19:23" x14ac:dyDescent="0.3">
      <c r="S299" s="37"/>
      <c r="V299" s="37"/>
      <c r="W299" s="38"/>
    </row>
    <row r="300" spans="19:23" x14ac:dyDescent="0.3">
      <c r="S300" s="37"/>
      <c r="V300" s="37"/>
      <c r="W300" s="38"/>
    </row>
    <row r="301" spans="19:23" x14ac:dyDescent="0.3">
      <c r="S301" s="37"/>
      <c r="V301" s="37"/>
      <c r="W301" s="38"/>
    </row>
    <row r="302" spans="19:23" x14ac:dyDescent="0.3">
      <c r="S302" s="37"/>
      <c r="V302" s="37"/>
      <c r="W302" s="38"/>
    </row>
    <row r="303" spans="19:23" x14ac:dyDescent="0.3">
      <c r="S303" s="37"/>
      <c r="V303" s="37"/>
      <c r="W303" s="38"/>
    </row>
    <row r="304" spans="19:23" x14ac:dyDescent="0.3">
      <c r="S304" s="37"/>
      <c r="V304" s="37"/>
      <c r="W304" s="38"/>
    </row>
    <row r="305" spans="19:23" x14ac:dyDescent="0.3">
      <c r="S305" s="37"/>
      <c r="V305" s="37"/>
      <c r="W305" s="38"/>
    </row>
    <row r="306" spans="19:23" x14ac:dyDescent="0.3">
      <c r="S306" s="37"/>
      <c r="V306" s="37"/>
      <c r="W306" s="38"/>
    </row>
    <row r="307" spans="19:23" x14ac:dyDescent="0.3">
      <c r="S307" s="37"/>
      <c r="V307" s="37"/>
      <c r="W307" s="38"/>
    </row>
    <row r="308" spans="19:23" x14ac:dyDescent="0.3">
      <c r="S308" s="37"/>
      <c r="V308" s="37"/>
      <c r="W308" s="38"/>
    </row>
    <row r="309" spans="19:23" x14ac:dyDescent="0.3">
      <c r="S309" s="37"/>
      <c r="V309" s="37"/>
      <c r="W309" s="38"/>
    </row>
    <row r="310" spans="19:23" x14ac:dyDescent="0.3">
      <c r="S310" s="37"/>
      <c r="V310" s="37"/>
      <c r="W310" s="38"/>
    </row>
    <row r="311" spans="19:23" x14ac:dyDescent="0.3">
      <c r="S311" s="37"/>
      <c r="V311" s="37"/>
      <c r="W311" s="38"/>
    </row>
    <row r="312" spans="19:23" x14ac:dyDescent="0.3">
      <c r="S312" s="37"/>
      <c r="V312" s="37"/>
      <c r="W312" s="38"/>
    </row>
    <row r="313" spans="19:23" x14ac:dyDescent="0.3">
      <c r="S313" s="37"/>
      <c r="V313" s="37"/>
      <c r="W313" s="38"/>
    </row>
    <row r="314" spans="19:23" x14ac:dyDescent="0.3">
      <c r="S314" s="37"/>
      <c r="V314" s="37"/>
      <c r="W314" s="38"/>
    </row>
    <row r="315" spans="19:23" x14ac:dyDescent="0.3">
      <c r="S315" s="37"/>
      <c r="V315" s="37"/>
      <c r="W315" s="38"/>
    </row>
    <row r="316" spans="19:23" x14ac:dyDescent="0.3">
      <c r="S316" s="37"/>
      <c r="V316" s="37"/>
      <c r="W316" s="38"/>
    </row>
    <row r="317" spans="19:23" x14ac:dyDescent="0.3">
      <c r="S317" s="37"/>
      <c r="V317" s="37"/>
      <c r="W317" s="38"/>
    </row>
    <row r="318" spans="19:23" x14ac:dyDescent="0.3">
      <c r="S318" s="37"/>
      <c r="V318" s="37"/>
      <c r="W318" s="38"/>
    </row>
    <row r="319" spans="19:23" x14ac:dyDescent="0.3">
      <c r="S319" s="37"/>
      <c r="V319" s="37"/>
      <c r="W319" s="38"/>
    </row>
    <row r="320" spans="19:23" x14ac:dyDescent="0.3">
      <c r="S320" s="37"/>
      <c r="V320" s="37"/>
      <c r="W320" s="38"/>
    </row>
    <row r="321" spans="19:23" x14ac:dyDescent="0.3">
      <c r="S321" s="37"/>
      <c r="V321" s="37"/>
      <c r="W321" s="38"/>
    </row>
    <row r="322" spans="19:23" x14ac:dyDescent="0.3">
      <c r="S322" s="37"/>
      <c r="V322" s="37"/>
      <c r="W322" s="38"/>
    </row>
    <row r="323" spans="19:23" x14ac:dyDescent="0.3">
      <c r="S323" s="37"/>
      <c r="V323" s="37"/>
      <c r="W323" s="38"/>
    </row>
    <row r="324" spans="19:23" x14ac:dyDescent="0.3">
      <c r="S324" s="37"/>
      <c r="V324" s="37"/>
      <c r="W324" s="38"/>
    </row>
    <row r="325" spans="19:23" x14ac:dyDescent="0.3">
      <c r="S325" s="37"/>
      <c r="V325" s="37"/>
      <c r="W325" s="38"/>
    </row>
    <row r="326" spans="19:23" x14ac:dyDescent="0.3">
      <c r="S326" s="37"/>
      <c r="V326" s="37"/>
      <c r="W326" s="38"/>
    </row>
    <row r="327" spans="19:23" x14ac:dyDescent="0.3">
      <c r="S327" s="37"/>
      <c r="V327" s="37"/>
      <c r="W327" s="38"/>
    </row>
    <row r="328" spans="19:23" x14ac:dyDescent="0.3">
      <c r="S328" s="37"/>
      <c r="V328" s="37"/>
      <c r="W328" s="38"/>
    </row>
    <row r="329" spans="19:23" x14ac:dyDescent="0.3">
      <c r="S329" s="37"/>
      <c r="V329" s="37"/>
      <c r="W329" s="38"/>
    </row>
    <row r="330" spans="19:23" x14ac:dyDescent="0.3">
      <c r="S330" s="37"/>
      <c r="V330" s="37"/>
      <c r="W330" s="38"/>
    </row>
    <row r="331" spans="19:23" x14ac:dyDescent="0.3">
      <c r="S331" s="37"/>
      <c r="V331" s="37"/>
      <c r="W331" s="38"/>
    </row>
    <row r="332" spans="19:23" x14ac:dyDescent="0.3">
      <c r="S332" s="37"/>
      <c r="V332" s="37"/>
      <c r="W332" s="38"/>
    </row>
    <row r="333" spans="19:23" x14ac:dyDescent="0.3">
      <c r="S333" s="37"/>
      <c r="V333" s="37"/>
      <c r="W333" s="38"/>
    </row>
    <row r="334" spans="19:23" x14ac:dyDescent="0.3">
      <c r="S334" s="37"/>
      <c r="V334" s="37"/>
      <c r="W334" s="38"/>
    </row>
    <row r="335" spans="19:23" x14ac:dyDescent="0.3">
      <c r="S335" s="37"/>
      <c r="V335" s="37"/>
      <c r="W335" s="38"/>
    </row>
    <row r="336" spans="19:23" x14ac:dyDescent="0.3">
      <c r="S336" s="37"/>
      <c r="V336" s="37"/>
      <c r="W336" s="38"/>
    </row>
    <row r="337" spans="19:23" x14ac:dyDescent="0.3">
      <c r="S337" s="37"/>
      <c r="V337" s="37"/>
      <c r="W337" s="38"/>
    </row>
    <row r="338" spans="19:23" x14ac:dyDescent="0.3">
      <c r="S338" s="37"/>
      <c r="V338" s="37"/>
      <c r="W338" s="38"/>
    </row>
    <row r="339" spans="19:23" x14ac:dyDescent="0.3">
      <c r="S339" s="37"/>
      <c r="V339" s="37"/>
      <c r="W339" s="38"/>
    </row>
    <row r="340" spans="19:23" x14ac:dyDescent="0.3">
      <c r="S340" s="37"/>
      <c r="V340" s="37"/>
      <c r="W340" s="38"/>
    </row>
    <row r="341" spans="19:23" x14ac:dyDescent="0.3">
      <c r="S341" s="37"/>
      <c r="V341" s="37"/>
      <c r="W341" s="38"/>
    </row>
    <row r="342" spans="19:23" x14ac:dyDescent="0.3">
      <c r="S342" s="37"/>
      <c r="V342" s="37"/>
      <c r="W342" s="38"/>
    </row>
    <row r="343" spans="19:23" x14ac:dyDescent="0.3">
      <c r="S343" s="37"/>
      <c r="V343" s="37"/>
      <c r="W343" s="38"/>
    </row>
    <row r="344" spans="19:23" x14ac:dyDescent="0.3">
      <c r="S344" s="37"/>
      <c r="V344" s="37"/>
      <c r="W344" s="38"/>
    </row>
    <row r="345" spans="19:23" x14ac:dyDescent="0.3">
      <c r="S345" s="37"/>
      <c r="V345" s="37"/>
      <c r="W345" s="38"/>
    </row>
    <row r="346" spans="19:23" x14ac:dyDescent="0.3">
      <c r="S346" s="37"/>
      <c r="V346" s="37"/>
      <c r="W346" s="38"/>
    </row>
    <row r="347" spans="19:23" x14ac:dyDescent="0.3">
      <c r="S347" s="37"/>
      <c r="V347" s="37"/>
      <c r="W347" s="38"/>
    </row>
    <row r="348" spans="19:23" x14ac:dyDescent="0.3">
      <c r="S348" s="37"/>
      <c r="V348" s="37"/>
      <c r="W348" s="38"/>
    </row>
    <row r="349" spans="19:23" x14ac:dyDescent="0.3">
      <c r="S349" s="37"/>
      <c r="V349" s="37"/>
      <c r="W349" s="38"/>
    </row>
    <row r="350" spans="19:23" x14ac:dyDescent="0.3">
      <c r="S350" s="37"/>
      <c r="V350" s="37"/>
      <c r="W350" s="38"/>
    </row>
    <row r="351" spans="19:23" x14ac:dyDescent="0.3">
      <c r="S351" s="37"/>
      <c r="V351" s="37"/>
      <c r="W351" s="38"/>
    </row>
    <row r="352" spans="19:23" x14ac:dyDescent="0.3">
      <c r="S352" s="37"/>
      <c r="V352" s="37"/>
      <c r="W352" s="38"/>
    </row>
    <row r="353" spans="19:23" x14ac:dyDescent="0.3">
      <c r="S353" s="37"/>
      <c r="V353" s="37"/>
      <c r="W353" s="38"/>
    </row>
    <row r="354" spans="19:23" x14ac:dyDescent="0.3">
      <c r="S354" s="37"/>
      <c r="V354" s="37"/>
      <c r="W354" s="38"/>
    </row>
    <row r="355" spans="19:23" x14ac:dyDescent="0.3">
      <c r="S355" s="37"/>
      <c r="V355" s="37"/>
      <c r="W355" s="38"/>
    </row>
    <row r="356" spans="19:23" x14ac:dyDescent="0.3">
      <c r="S356" s="37"/>
      <c r="V356" s="37"/>
      <c r="W356" s="38"/>
    </row>
    <row r="357" spans="19:23" x14ac:dyDescent="0.3">
      <c r="S357" s="37"/>
      <c r="V357" s="37"/>
      <c r="W357" s="38"/>
    </row>
    <row r="358" spans="19:23" x14ac:dyDescent="0.3">
      <c r="S358" s="37"/>
      <c r="V358" s="37"/>
      <c r="W358" s="38"/>
    </row>
    <row r="359" spans="19:23" x14ac:dyDescent="0.3">
      <c r="S359" s="37"/>
      <c r="V359" s="37"/>
      <c r="W359" s="38"/>
    </row>
    <row r="360" spans="19:23" x14ac:dyDescent="0.3">
      <c r="S360" s="37"/>
      <c r="V360" s="37"/>
      <c r="W360" s="38"/>
    </row>
    <row r="361" spans="19:23" x14ac:dyDescent="0.3">
      <c r="S361" s="37"/>
      <c r="V361" s="37"/>
      <c r="W361" s="38"/>
    </row>
    <row r="362" spans="19:23" x14ac:dyDescent="0.3">
      <c r="S362" s="37"/>
      <c r="V362" s="37"/>
      <c r="W362" s="38"/>
    </row>
    <row r="363" spans="19:23" x14ac:dyDescent="0.3">
      <c r="S363" s="37"/>
      <c r="V363" s="37"/>
      <c r="W363" s="38"/>
    </row>
    <row r="364" spans="19:23" x14ac:dyDescent="0.3">
      <c r="S364" s="37"/>
      <c r="V364" s="37"/>
      <c r="W364" s="38"/>
    </row>
    <row r="365" spans="19:23" x14ac:dyDescent="0.3">
      <c r="S365" s="37"/>
      <c r="V365" s="37"/>
      <c r="W365" s="38"/>
    </row>
    <row r="366" spans="19:23" x14ac:dyDescent="0.3">
      <c r="S366" s="37"/>
      <c r="V366" s="37"/>
      <c r="W366" s="38"/>
    </row>
    <row r="367" spans="19:23" x14ac:dyDescent="0.3">
      <c r="S367" s="37"/>
      <c r="V367" s="37"/>
      <c r="W367" s="38"/>
    </row>
    <row r="368" spans="19:23" x14ac:dyDescent="0.3">
      <c r="S368" s="37"/>
      <c r="V368" s="37"/>
      <c r="W368" s="38"/>
    </row>
    <row r="369" spans="19:23" x14ac:dyDescent="0.3">
      <c r="S369" s="37"/>
      <c r="V369" s="37"/>
      <c r="W369" s="38"/>
    </row>
    <row r="370" spans="19:23" x14ac:dyDescent="0.3">
      <c r="S370" s="37"/>
      <c r="V370" s="37"/>
      <c r="W370" s="38"/>
    </row>
    <row r="371" spans="19:23" x14ac:dyDescent="0.3">
      <c r="S371" s="37"/>
      <c r="V371" s="37"/>
      <c r="W371" s="38"/>
    </row>
    <row r="372" spans="19:23" x14ac:dyDescent="0.3">
      <c r="S372" s="37"/>
      <c r="V372" s="37"/>
      <c r="W372" s="38"/>
    </row>
    <row r="373" spans="19:23" x14ac:dyDescent="0.3">
      <c r="S373" s="37"/>
      <c r="V373" s="37"/>
      <c r="W373" s="38"/>
    </row>
    <row r="374" spans="19:23" x14ac:dyDescent="0.3">
      <c r="S374" s="37"/>
      <c r="V374" s="37"/>
      <c r="W374" s="38"/>
    </row>
    <row r="375" spans="19:23" x14ac:dyDescent="0.3">
      <c r="S375" s="37"/>
      <c r="V375" s="37"/>
      <c r="W375" s="38"/>
    </row>
    <row r="376" spans="19:23" x14ac:dyDescent="0.3">
      <c r="S376" s="37"/>
      <c r="V376" s="37"/>
      <c r="W376" s="38"/>
    </row>
    <row r="377" spans="19:23" x14ac:dyDescent="0.3">
      <c r="S377" s="37"/>
      <c r="V377" s="37"/>
      <c r="W377" s="38"/>
    </row>
    <row r="378" spans="19:23" x14ac:dyDescent="0.3">
      <c r="S378" s="37"/>
      <c r="V378" s="37"/>
      <c r="W378" s="38"/>
    </row>
    <row r="379" spans="19:23" x14ac:dyDescent="0.3">
      <c r="S379" s="37"/>
      <c r="V379" s="37"/>
      <c r="W379" s="38"/>
    </row>
    <row r="380" spans="19:23" x14ac:dyDescent="0.3">
      <c r="S380" s="37"/>
      <c r="V380" s="37"/>
      <c r="W380" s="38"/>
    </row>
    <row r="381" spans="19:23" x14ac:dyDescent="0.3">
      <c r="S381" s="37"/>
      <c r="V381" s="37"/>
      <c r="W381" s="38"/>
    </row>
    <row r="382" spans="19:23" x14ac:dyDescent="0.3">
      <c r="S382" s="37"/>
      <c r="V382" s="37"/>
      <c r="W382" s="38"/>
    </row>
    <row r="383" spans="19:23" x14ac:dyDescent="0.3">
      <c r="S383" s="37"/>
      <c r="V383" s="37"/>
      <c r="W383" s="38"/>
    </row>
    <row r="384" spans="19:23" x14ac:dyDescent="0.3">
      <c r="S384" s="37"/>
      <c r="V384" s="37"/>
      <c r="W384" s="38"/>
    </row>
    <row r="385" spans="19:23" x14ac:dyDescent="0.3">
      <c r="S385" s="37"/>
      <c r="V385" s="37"/>
      <c r="W385" s="38"/>
    </row>
    <row r="386" spans="19:23" x14ac:dyDescent="0.3">
      <c r="S386" s="37"/>
      <c r="V386" s="37"/>
      <c r="W386" s="38"/>
    </row>
    <row r="387" spans="19:23" x14ac:dyDescent="0.3">
      <c r="S387" s="37"/>
      <c r="V387" s="37"/>
      <c r="W387" s="38"/>
    </row>
    <row r="388" spans="19:23" x14ac:dyDescent="0.3">
      <c r="S388" s="37"/>
      <c r="V388" s="37"/>
      <c r="W388" s="38"/>
    </row>
    <row r="389" spans="19:23" x14ac:dyDescent="0.3">
      <c r="S389" s="37"/>
      <c r="V389" s="37"/>
      <c r="W389" s="38"/>
    </row>
    <row r="390" spans="19:23" x14ac:dyDescent="0.3">
      <c r="S390" s="37"/>
      <c r="V390" s="37"/>
      <c r="W390" s="38"/>
    </row>
    <row r="391" spans="19:23" x14ac:dyDescent="0.3">
      <c r="S391" s="37"/>
      <c r="V391" s="37"/>
      <c r="W391" s="38"/>
    </row>
    <row r="392" spans="19:23" x14ac:dyDescent="0.3">
      <c r="S392" s="37"/>
      <c r="V392" s="37"/>
      <c r="W392" s="38"/>
    </row>
    <row r="393" spans="19:23" x14ac:dyDescent="0.3">
      <c r="S393" s="37"/>
      <c r="V393" s="37"/>
      <c r="W393" s="38"/>
    </row>
    <row r="394" spans="19:23" x14ac:dyDescent="0.3">
      <c r="S394" s="37"/>
      <c r="V394" s="37"/>
      <c r="W394" s="38"/>
    </row>
    <row r="395" spans="19:23" x14ac:dyDescent="0.3">
      <c r="S395" s="37"/>
      <c r="V395" s="37"/>
      <c r="W395" s="38"/>
    </row>
    <row r="396" spans="19:23" x14ac:dyDescent="0.3">
      <c r="S396" s="37"/>
      <c r="V396" s="37"/>
      <c r="W396" s="38"/>
    </row>
    <row r="397" spans="19:23" x14ac:dyDescent="0.3">
      <c r="S397" s="37"/>
      <c r="V397" s="37"/>
      <c r="W397" s="38"/>
    </row>
    <row r="398" spans="19:23" x14ac:dyDescent="0.3">
      <c r="S398" s="37"/>
      <c r="V398" s="37"/>
      <c r="W398" s="38"/>
    </row>
    <row r="399" spans="19:23" x14ac:dyDescent="0.3">
      <c r="S399" s="37"/>
      <c r="V399" s="37"/>
      <c r="W399" s="38"/>
    </row>
    <row r="400" spans="19:23" x14ac:dyDescent="0.3">
      <c r="S400" s="37"/>
      <c r="V400" s="37"/>
      <c r="W400" s="38"/>
    </row>
    <row r="401" spans="19:23" x14ac:dyDescent="0.3">
      <c r="S401" s="37"/>
      <c r="V401" s="37"/>
      <c r="W401" s="38"/>
    </row>
    <row r="402" spans="19:23" x14ac:dyDescent="0.3">
      <c r="S402" s="37"/>
      <c r="V402" s="37"/>
      <c r="W402" s="38"/>
    </row>
    <row r="403" spans="19:23" x14ac:dyDescent="0.3">
      <c r="S403" s="37"/>
      <c r="V403" s="37"/>
      <c r="W403" s="38"/>
    </row>
    <row r="404" spans="19:23" x14ac:dyDescent="0.3">
      <c r="S404" s="37"/>
      <c r="V404" s="37"/>
      <c r="W404" s="38"/>
    </row>
    <row r="405" spans="19:23" x14ac:dyDescent="0.3">
      <c r="S405" s="37"/>
      <c r="V405" s="37"/>
      <c r="W405" s="38"/>
    </row>
  </sheetData>
  <autoFilter ref="Q1:X203" xr:uid="{C957AEBD-6BCA-4ED5-8997-8608D8386315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Diabetes</vt:lpstr>
      <vt:lpstr>HTN_targets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 Garcia</dc:creator>
  <cp:lastModifiedBy>William R Garcia</cp:lastModifiedBy>
  <dcterms:created xsi:type="dcterms:W3CDTF">2026-02-20T19:34:34Z</dcterms:created>
  <dcterms:modified xsi:type="dcterms:W3CDTF">2026-04-03T23:09:23Z</dcterms:modified>
</cp:coreProperties>
</file>