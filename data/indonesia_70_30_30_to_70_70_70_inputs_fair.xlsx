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11" documentId="11_45FC9D71EE02F86B2CBB03E3CFF2921217A26A96" xr6:coauthVersionLast="47" xr6:coauthVersionMax="47" xr10:uidLastSave="{3F9EC956-EAFB-4B50-ABFB-AD65352A59B3}"/>
  <bookViews>
    <workbookView xWindow="28680" yWindow="-120" windowWidth="29040" windowHeight="15720" firstSheet="6" activeTab="7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Effect_Sizes" sheetId="5" r:id="rId5"/>
    <sheet name="Coverage" sheetId="6" r:id="rId6"/>
    <sheet name="Coverage_Trajectory" sheetId="7" r:id="rId7"/>
    <sheet name="Cost_Components" sheetId="8" r:id="rId8"/>
    <sheet name="Model_Input_View" sheetId="9" r:id="rId9"/>
    <sheet name="FairChoices_Methods" sheetId="10" r:id="rId10"/>
    <sheet name="Raw_NCDRisC" sheetId="11" r:id="rId11"/>
    <sheet name="Provincial_Framework" sheetId="12" r:id="rId12"/>
    <sheet name="Scope_and_Sources" sheetId="13" r:id="rId13"/>
    <sheet name="QA_Checks" sheetId="14" r:id="rId14"/>
    <sheet name="ChangesLog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8" l="1"/>
  <c r="S7" i="8"/>
  <c r="D12" i="14"/>
  <c r="E12" i="14" s="1"/>
  <c r="E11" i="14"/>
  <c r="D11" i="14"/>
  <c r="G38" i="12"/>
  <c r="H37" i="12"/>
  <c r="G30" i="12"/>
  <c r="H29" i="12"/>
  <c r="G22" i="12"/>
  <c r="H21" i="12"/>
  <c r="G14" i="12"/>
  <c r="H13" i="12"/>
  <c r="G6" i="12"/>
  <c r="H5" i="12"/>
  <c r="AB8" i="8"/>
  <c r="AC8" i="8" s="1"/>
  <c r="AA8" i="8"/>
  <c r="AB7" i="8"/>
  <c r="AA7" i="8"/>
  <c r="AB6" i="8"/>
  <c r="AA6" i="8"/>
  <c r="AB5" i="8"/>
  <c r="AC5" i="8" s="1"/>
  <c r="AA5" i="8"/>
  <c r="AB4" i="8"/>
  <c r="AA4" i="8"/>
  <c r="AB3" i="8"/>
  <c r="AA3" i="8"/>
  <c r="AB2" i="8"/>
  <c r="AA2" i="8"/>
  <c r="N19" i="6"/>
  <c r="J19" i="6"/>
  <c r="I19" i="6"/>
  <c r="H19" i="6"/>
  <c r="G19" i="6"/>
  <c r="K19" i="6" s="1"/>
  <c r="N18" i="6"/>
  <c r="J18" i="6"/>
  <c r="I18" i="6"/>
  <c r="H18" i="6"/>
  <c r="G18" i="6"/>
  <c r="K18" i="6" s="1"/>
  <c r="L18" i="6" s="1"/>
  <c r="N17" i="6"/>
  <c r="I17" i="6"/>
  <c r="H17" i="6"/>
  <c r="G17" i="6"/>
  <c r="N16" i="6"/>
  <c r="K16" i="6"/>
  <c r="I16" i="6"/>
  <c r="H16" i="6"/>
  <c r="G16" i="6"/>
  <c r="N15" i="6"/>
  <c r="K15" i="6"/>
  <c r="L15" i="6" s="1"/>
  <c r="M15" i="6" s="1"/>
  <c r="J15" i="6"/>
  <c r="I15" i="6"/>
  <c r="H15" i="6"/>
  <c r="G15" i="6"/>
  <c r="N14" i="6"/>
  <c r="J14" i="6"/>
  <c r="I14" i="6"/>
  <c r="H14" i="6"/>
  <c r="N13" i="6"/>
  <c r="J13" i="6"/>
  <c r="I13" i="6"/>
  <c r="H13" i="6"/>
  <c r="G13" i="6"/>
  <c r="N12" i="6"/>
  <c r="I12" i="6"/>
  <c r="H12" i="6"/>
  <c r="G12" i="6"/>
  <c r="N11" i="6"/>
  <c r="K11" i="6"/>
  <c r="J11" i="6"/>
  <c r="I11" i="6"/>
  <c r="H11" i="6"/>
  <c r="G11" i="6"/>
  <c r="N10" i="6"/>
  <c r="M10" i="6"/>
  <c r="K10" i="6"/>
  <c r="J10" i="6"/>
  <c r="I10" i="6"/>
  <c r="L10" i="6" s="1"/>
  <c r="H10" i="6"/>
  <c r="G10" i="6"/>
  <c r="N9" i="6"/>
  <c r="I9" i="6"/>
  <c r="H9" i="6"/>
  <c r="G9" i="6"/>
  <c r="K9" i="6" s="1"/>
  <c r="N8" i="6"/>
  <c r="L8" i="6"/>
  <c r="K8" i="6"/>
  <c r="J8" i="6"/>
  <c r="I8" i="6"/>
  <c r="H8" i="6"/>
  <c r="G8" i="6"/>
  <c r="N7" i="6"/>
  <c r="I7" i="6"/>
  <c r="H7" i="6"/>
  <c r="G7" i="6"/>
  <c r="N6" i="6"/>
  <c r="I6" i="6"/>
  <c r="H6" i="6"/>
  <c r="G6" i="6"/>
  <c r="K6" i="6" s="1"/>
  <c r="N5" i="6"/>
  <c r="M5" i="6"/>
  <c r="L5" i="6"/>
  <c r="K5" i="6"/>
  <c r="I5" i="6"/>
  <c r="H5" i="6"/>
  <c r="G5" i="6"/>
  <c r="J5" i="6" s="1"/>
  <c r="N4" i="6"/>
  <c r="I4" i="6"/>
  <c r="H4" i="6"/>
  <c r="G4" i="6"/>
  <c r="N3" i="6"/>
  <c r="J3" i="6"/>
  <c r="I3" i="6"/>
  <c r="H3" i="6"/>
  <c r="G3" i="6"/>
  <c r="K3" i="6" s="1"/>
  <c r="N2" i="6"/>
  <c r="J2" i="6"/>
  <c r="I2" i="6"/>
  <c r="H2" i="6"/>
  <c r="G2" i="6"/>
  <c r="G14" i="6" s="1"/>
  <c r="K14" i="6" s="1"/>
  <c r="S7" i="5"/>
  <c r="T7" i="5" s="1"/>
  <c r="S6" i="5"/>
  <c r="T6" i="5" s="1"/>
  <c r="S5" i="5"/>
  <c r="T5" i="5" s="1"/>
  <c r="S4" i="5"/>
  <c r="T4" i="5" s="1"/>
  <c r="S3" i="5"/>
  <c r="T3" i="5" s="1"/>
  <c r="T2" i="5"/>
  <c r="S2" i="5"/>
  <c r="B13" i="2"/>
  <c r="H36" i="12" s="1"/>
  <c r="B12" i="2"/>
  <c r="G36" i="12" s="1"/>
  <c r="G6" i="1"/>
  <c r="E6" i="1"/>
  <c r="C6" i="1"/>
  <c r="L313" i="9"/>
  <c r="K313" i="9"/>
  <c r="L312" i="9"/>
  <c r="K312" i="9"/>
  <c r="L311" i="9"/>
  <c r="K311" i="9"/>
  <c r="L310" i="9"/>
  <c r="K310" i="9"/>
  <c r="L309" i="9"/>
  <c r="K309" i="9"/>
  <c r="L308" i="9"/>
  <c r="K308" i="9"/>
  <c r="L307" i="9"/>
  <c r="K307" i="9"/>
  <c r="L306" i="9"/>
  <c r="K306" i="9"/>
  <c r="L305" i="9"/>
  <c r="K305" i="9"/>
  <c r="L304" i="9"/>
  <c r="K304" i="9"/>
  <c r="L303" i="9"/>
  <c r="K303" i="9"/>
  <c r="L302" i="9"/>
  <c r="K302" i="9"/>
  <c r="L301" i="9"/>
  <c r="K301" i="9"/>
  <c r="L300" i="9"/>
  <c r="K300" i="9"/>
  <c r="L299" i="9"/>
  <c r="K299" i="9"/>
  <c r="L298" i="9"/>
  <c r="K298" i="9"/>
  <c r="L297" i="9"/>
  <c r="K297" i="9"/>
  <c r="L296" i="9"/>
  <c r="K296" i="9"/>
  <c r="L295" i="9"/>
  <c r="K295" i="9"/>
  <c r="L294" i="9"/>
  <c r="K294" i="9"/>
  <c r="L293" i="9"/>
  <c r="K293" i="9"/>
  <c r="L292" i="9"/>
  <c r="K292" i="9"/>
  <c r="L291" i="9"/>
  <c r="K291" i="9"/>
  <c r="L290" i="9"/>
  <c r="K290" i="9"/>
  <c r="L289" i="9"/>
  <c r="K289" i="9"/>
  <c r="L288" i="9"/>
  <c r="K288" i="9"/>
  <c r="L287" i="9"/>
  <c r="K287" i="9"/>
  <c r="L286" i="9"/>
  <c r="K286" i="9"/>
  <c r="L285" i="9"/>
  <c r="K285" i="9"/>
  <c r="L284" i="9"/>
  <c r="K284" i="9"/>
  <c r="L283" i="9"/>
  <c r="K283" i="9"/>
  <c r="L282" i="9"/>
  <c r="K282" i="9"/>
  <c r="L281" i="9"/>
  <c r="K281" i="9"/>
  <c r="L280" i="9"/>
  <c r="K280" i="9"/>
  <c r="L279" i="9"/>
  <c r="K279" i="9"/>
  <c r="L278" i="9"/>
  <c r="K278" i="9"/>
  <c r="L277" i="9"/>
  <c r="K277" i="9"/>
  <c r="L276" i="9"/>
  <c r="K276" i="9"/>
  <c r="L275" i="9"/>
  <c r="K275" i="9"/>
  <c r="L274" i="9"/>
  <c r="K274" i="9"/>
  <c r="L273" i="9"/>
  <c r="K273" i="9"/>
  <c r="L272" i="9"/>
  <c r="K272" i="9"/>
  <c r="L271" i="9"/>
  <c r="K271" i="9"/>
  <c r="L270" i="9"/>
  <c r="K270" i="9"/>
  <c r="L269" i="9"/>
  <c r="K269" i="9"/>
  <c r="L268" i="9"/>
  <c r="K268" i="9"/>
  <c r="L267" i="9"/>
  <c r="K267" i="9"/>
  <c r="L266" i="9"/>
  <c r="K266" i="9"/>
  <c r="L265" i="9"/>
  <c r="K265" i="9"/>
  <c r="L264" i="9"/>
  <c r="K264" i="9"/>
  <c r="L263" i="9"/>
  <c r="K263" i="9"/>
  <c r="L262" i="9"/>
  <c r="K262" i="9"/>
  <c r="L261" i="9"/>
  <c r="K261" i="9"/>
  <c r="L260" i="9"/>
  <c r="K260" i="9"/>
  <c r="L259" i="9"/>
  <c r="K259" i="9"/>
  <c r="L258" i="9"/>
  <c r="K258" i="9"/>
  <c r="L257" i="9"/>
  <c r="K257" i="9"/>
  <c r="L256" i="9"/>
  <c r="K256" i="9"/>
  <c r="L255" i="9"/>
  <c r="K255" i="9"/>
  <c r="L254" i="9"/>
  <c r="K254" i="9"/>
  <c r="L253" i="9"/>
  <c r="K253" i="9"/>
  <c r="L252" i="9"/>
  <c r="K252" i="9"/>
  <c r="L251" i="9"/>
  <c r="K251" i="9"/>
  <c r="L250" i="9"/>
  <c r="K250" i="9"/>
  <c r="L249" i="9"/>
  <c r="K249" i="9"/>
  <c r="L248" i="9"/>
  <c r="K248" i="9"/>
  <c r="L247" i="9"/>
  <c r="K247" i="9"/>
  <c r="L246" i="9"/>
  <c r="K246" i="9"/>
  <c r="L245" i="9"/>
  <c r="K245" i="9"/>
  <c r="L244" i="9"/>
  <c r="K244" i="9"/>
  <c r="L243" i="9"/>
  <c r="K243" i="9"/>
  <c r="L242" i="9"/>
  <c r="K242" i="9"/>
  <c r="L241" i="9"/>
  <c r="K241" i="9"/>
  <c r="L240" i="9"/>
  <c r="K240" i="9"/>
  <c r="L239" i="9"/>
  <c r="K239" i="9"/>
  <c r="L238" i="9"/>
  <c r="K238" i="9"/>
  <c r="L237" i="9"/>
  <c r="K237" i="9"/>
  <c r="L236" i="9"/>
  <c r="K236" i="9"/>
  <c r="L235" i="9"/>
  <c r="K235" i="9"/>
  <c r="L234" i="9"/>
  <c r="K234" i="9"/>
  <c r="L233" i="9"/>
  <c r="K233" i="9"/>
  <c r="L232" i="9"/>
  <c r="K232" i="9"/>
  <c r="L231" i="9"/>
  <c r="K231" i="9"/>
  <c r="L230" i="9"/>
  <c r="K230" i="9"/>
  <c r="L229" i="9"/>
  <c r="K229" i="9"/>
  <c r="L228" i="9"/>
  <c r="K228" i="9"/>
  <c r="L227" i="9"/>
  <c r="K227" i="9"/>
  <c r="L226" i="9"/>
  <c r="K226" i="9"/>
  <c r="L225" i="9"/>
  <c r="K225" i="9"/>
  <c r="L224" i="9"/>
  <c r="K224" i="9"/>
  <c r="L223" i="9"/>
  <c r="K223" i="9"/>
  <c r="L222" i="9"/>
  <c r="K222" i="9"/>
  <c r="L221" i="9"/>
  <c r="K221" i="9"/>
  <c r="L220" i="9"/>
  <c r="K220" i="9"/>
  <c r="L219" i="9"/>
  <c r="K219" i="9"/>
  <c r="L218" i="9"/>
  <c r="K218" i="9"/>
  <c r="L217" i="9"/>
  <c r="K217" i="9"/>
  <c r="L216" i="9"/>
  <c r="K216" i="9"/>
  <c r="L215" i="9"/>
  <c r="K215" i="9"/>
  <c r="L214" i="9"/>
  <c r="K214" i="9"/>
  <c r="L213" i="9"/>
  <c r="K213" i="9"/>
  <c r="L212" i="9"/>
  <c r="K212" i="9"/>
  <c r="L211" i="9"/>
  <c r="K211" i="9"/>
  <c r="L210" i="9"/>
  <c r="K210" i="9"/>
  <c r="L209" i="9"/>
  <c r="K209" i="9"/>
  <c r="L208" i="9"/>
  <c r="K208" i="9"/>
  <c r="L207" i="9"/>
  <c r="K207" i="9"/>
  <c r="L206" i="9"/>
  <c r="K206" i="9"/>
  <c r="L205" i="9"/>
  <c r="K205" i="9"/>
  <c r="L204" i="9"/>
  <c r="K204" i="9"/>
  <c r="L203" i="9"/>
  <c r="K203" i="9"/>
  <c r="L202" i="9"/>
  <c r="K202" i="9"/>
  <c r="L201" i="9"/>
  <c r="K201" i="9"/>
  <c r="L200" i="9"/>
  <c r="K200" i="9"/>
  <c r="L199" i="9"/>
  <c r="K199" i="9"/>
  <c r="L198" i="9"/>
  <c r="K198" i="9"/>
  <c r="L197" i="9"/>
  <c r="K197" i="9"/>
  <c r="L196" i="9"/>
  <c r="K196" i="9"/>
  <c r="L195" i="9"/>
  <c r="K195" i="9"/>
  <c r="L194" i="9"/>
  <c r="K194" i="9"/>
  <c r="L193" i="9"/>
  <c r="K193" i="9"/>
  <c r="L192" i="9"/>
  <c r="K192" i="9"/>
  <c r="L191" i="9"/>
  <c r="K191" i="9"/>
  <c r="L190" i="9"/>
  <c r="K190" i="9"/>
  <c r="L189" i="9"/>
  <c r="K189" i="9"/>
  <c r="L188" i="9"/>
  <c r="K188" i="9"/>
  <c r="L187" i="9"/>
  <c r="K187" i="9"/>
  <c r="L186" i="9"/>
  <c r="K186" i="9"/>
  <c r="L185" i="9"/>
  <c r="K185" i="9"/>
  <c r="L184" i="9"/>
  <c r="K184" i="9"/>
  <c r="L183" i="9"/>
  <c r="K183" i="9"/>
  <c r="L182" i="9"/>
  <c r="K182" i="9"/>
  <c r="L181" i="9"/>
  <c r="K181" i="9"/>
  <c r="L180" i="9"/>
  <c r="K180" i="9"/>
  <c r="L179" i="9"/>
  <c r="K179" i="9"/>
  <c r="L178" i="9"/>
  <c r="K178" i="9"/>
  <c r="L177" i="9"/>
  <c r="K177" i="9"/>
  <c r="L176" i="9"/>
  <c r="K176" i="9"/>
  <c r="L175" i="9"/>
  <c r="K175" i="9"/>
  <c r="L174" i="9"/>
  <c r="K174" i="9"/>
  <c r="L173" i="9"/>
  <c r="K173" i="9"/>
  <c r="L172" i="9"/>
  <c r="K172" i="9"/>
  <c r="L171" i="9"/>
  <c r="K171" i="9"/>
  <c r="L170" i="9"/>
  <c r="K170" i="9"/>
  <c r="L169" i="9"/>
  <c r="K169" i="9"/>
  <c r="L168" i="9"/>
  <c r="K168" i="9"/>
  <c r="L167" i="9"/>
  <c r="K167" i="9"/>
  <c r="L166" i="9"/>
  <c r="K166" i="9"/>
  <c r="L165" i="9"/>
  <c r="K165" i="9"/>
  <c r="L164" i="9"/>
  <c r="K164" i="9"/>
  <c r="L163" i="9"/>
  <c r="K163" i="9"/>
  <c r="L162" i="9"/>
  <c r="K162" i="9"/>
  <c r="L161" i="9"/>
  <c r="K161" i="9"/>
  <c r="L160" i="9"/>
  <c r="K160" i="9"/>
  <c r="L159" i="9"/>
  <c r="K159" i="9"/>
  <c r="L158" i="9"/>
  <c r="K158" i="9"/>
  <c r="L157" i="9"/>
  <c r="K157" i="9"/>
  <c r="L156" i="9"/>
  <c r="K156" i="9"/>
  <c r="L155" i="9"/>
  <c r="K155" i="9"/>
  <c r="L154" i="9"/>
  <c r="K154" i="9"/>
  <c r="L153" i="9"/>
  <c r="K153" i="9"/>
  <c r="L152" i="9"/>
  <c r="K152" i="9"/>
  <c r="L151" i="9"/>
  <c r="K151" i="9"/>
  <c r="L150" i="9"/>
  <c r="K150" i="9"/>
  <c r="L149" i="9"/>
  <c r="K149" i="9"/>
  <c r="L148" i="9"/>
  <c r="K148" i="9"/>
  <c r="L147" i="9"/>
  <c r="K147" i="9"/>
  <c r="L146" i="9"/>
  <c r="K146" i="9"/>
  <c r="L145" i="9"/>
  <c r="K145" i="9"/>
  <c r="L144" i="9"/>
  <c r="K144" i="9"/>
  <c r="L143" i="9"/>
  <c r="K143" i="9"/>
  <c r="L142" i="9"/>
  <c r="K142" i="9"/>
  <c r="L141" i="9"/>
  <c r="K141" i="9"/>
  <c r="L140" i="9"/>
  <c r="K140" i="9"/>
  <c r="L139" i="9"/>
  <c r="K139" i="9"/>
  <c r="L138" i="9"/>
  <c r="K138" i="9"/>
  <c r="L137" i="9"/>
  <c r="K137" i="9"/>
  <c r="L136" i="9"/>
  <c r="K136" i="9"/>
  <c r="L135" i="9"/>
  <c r="K135" i="9"/>
  <c r="L134" i="9"/>
  <c r="K134" i="9"/>
  <c r="L133" i="9"/>
  <c r="K133" i="9"/>
  <c r="L132" i="9"/>
  <c r="K132" i="9"/>
  <c r="L131" i="9"/>
  <c r="K131" i="9"/>
  <c r="L130" i="9"/>
  <c r="K130" i="9"/>
  <c r="L129" i="9"/>
  <c r="K129" i="9"/>
  <c r="L128" i="9"/>
  <c r="K128" i="9"/>
  <c r="L127" i="9"/>
  <c r="K127" i="9"/>
  <c r="L126" i="9"/>
  <c r="K126" i="9"/>
  <c r="L125" i="9"/>
  <c r="K125" i="9"/>
  <c r="L124" i="9"/>
  <c r="K124" i="9"/>
  <c r="L123" i="9"/>
  <c r="K123" i="9"/>
  <c r="L122" i="9"/>
  <c r="K122" i="9"/>
  <c r="L121" i="9"/>
  <c r="K121" i="9"/>
  <c r="L120" i="9"/>
  <c r="K120" i="9"/>
  <c r="L119" i="9"/>
  <c r="K119" i="9"/>
  <c r="L118" i="9"/>
  <c r="K118" i="9"/>
  <c r="L117" i="9"/>
  <c r="K117" i="9"/>
  <c r="L116" i="9"/>
  <c r="K116" i="9"/>
  <c r="L115" i="9"/>
  <c r="K115" i="9"/>
  <c r="L114" i="9"/>
  <c r="K114" i="9"/>
  <c r="L113" i="9"/>
  <c r="K113" i="9"/>
  <c r="L112" i="9"/>
  <c r="K112" i="9"/>
  <c r="L111" i="9"/>
  <c r="K111" i="9"/>
  <c r="L110" i="9"/>
  <c r="K110" i="9"/>
  <c r="L109" i="9"/>
  <c r="K109" i="9"/>
  <c r="L108" i="9"/>
  <c r="K108" i="9"/>
  <c r="L107" i="9"/>
  <c r="K107" i="9"/>
  <c r="L106" i="9"/>
  <c r="K106" i="9"/>
  <c r="L105" i="9"/>
  <c r="K105" i="9"/>
  <c r="L104" i="9"/>
  <c r="K104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81" i="9"/>
  <c r="K81" i="9"/>
  <c r="L80" i="9"/>
  <c r="K80" i="9"/>
  <c r="L79" i="9"/>
  <c r="K79" i="9"/>
  <c r="L78" i="9"/>
  <c r="K78" i="9"/>
  <c r="L77" i="9"/>
  <c r="K77" i="9"/>
  <c r="L76" i="9"/>
  <c r="K76" i="9"/>
  <c r="L75" i="9"/>
  <c r="K75" i="9"/>
  <c r="L74" i="9"/>
  <c r="K74" i="9"/>
  <c r="L73" i="9"/>
  <c r="K73" i="9"/>
  <c r="L72" i="9"/>
  <c r="K72" i="9"/>
  <c r="L71" i="9"/>
  <c r="K71" i="9"/>
  <c r="L70" i="9"/>
  <c r="K70" i="9"/>
  <c r="L69" i="9"/>
  <c r="K69" i="9"/>
  <c r="L68" i="9"/>
  <c r="K68" i="9"/>
  <c r="L67" i="9"/>
  <c r="K67" i="9"/>
  <c r="L66" i="9"/>
  <c r="K66" i="9"/>
  <c r="L65" i="9"/>
  <c r="K65" i="9"/>
  <c r="L64" i="9"/>
  <c r="K64" i="9"/>
  <c r="L63" i="9"/>
  <c r="K63" i="9"/>
  <c r="L62" i="9"/>
  <c r="K62" i="9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AC2" i="8" l="1"/>
  <c r="D10" i="14" s="1"/>
  <c r="E10" i="14" s="1"/>
  <c r="AC3" i="8"/>
  <c r="AC4" i="8"/>
  <c r="AC6" i="8"/>
  <c r="AC7" i="8"/>
  <c r="L16" i="6"/>
  <c r="L19" i="6"/>
  <c r="O5" i="6"/>
  <c r="Q5" i="6" s="1"/>
  <c r="M8" i="6"/>
  <c r="O8" i="6" s="1"/>
  <c r="Q8" i="6" s="1"/>
  <c r="L3" i="6"/>
  <c r="M3" i="6" s="1"/>
  <c r="L6" i="6"/>
  <c r="L9" i="6"/>
  <c r="L11" i="6"/>
  <c r="D9" i="14"/>
  <c r="E9" i="14" s="1"/>
  <c r="K12" i="6"/>
  <c r="J12" i="6"/>
  <c r="K4" i="6"/>
  <c r="J4" i="6"/>
  <c r="K7" i="6"/>
  <c r="J7" i="6"/>
  <c r="O18" i="6"/>
  <c r="Q18" i="6" s="1"/>
  <c r="T18" i="6" s="1"/>
  <c r="T10" i="6"/>
  <c r="O10" i="6"/>
  <c r="Q10" i="6" s="1"/>
  <c r="L14" i="6"/>
  <c r="M18" i="6"/>
  <c r="D14" i="14"/>
  <c r="E14" i="14" s="1"/>
  <c r="A6" i="1" s="1"/>
  <c r="O15" i="6"/>
  <c r="Q15" i="6" s="1"/>
  <c r="T15" i="6" s="1"/>
  <c r="G5" i="12"/>
  <c r="G13" i="12"/>
  <c r="G21" i="12"/>
  <c r="G29" i="12"/>
  <c r="G37" i="12"/>
  <c r="J17" i="6"/>
  <c r="H6" i="12"/>
  <c r="H14" i="12"/>
  <c r="H22" i="12"/>
  <c r="H30" i="12"/>
  <c r="H38" i="12"/>
  <c r="K17" i="6"/>
  <c r="G7" i="12"/>
  <c r="G15" i="12"/>
  <c r="G23" i="12"/>
  <c r="G31" i="12"/>
  <c r="G39" i="12"/>
  <c r="H7" i="12"/>
  <c r="H15" i="12"/>
  <c r="H23" i="12"/>
  <c r="H31" i="12"/>
  <c r="H39" i="12"/>
  <c r="G8" i="12"/>
  <c r="G16" i="12"/>
  <c r="G24" i="12"/>
  <c r="G32" i="12"/>
  <c r="H8" i="12"/>
  <c r="H16" i="12"/>
  <c r="H24" i="12"/>
  <c r="H32" i="12"/>
  <c r="K13" i="6"/>
  <c r="J16" i="6"/>
  <c r="G9" i="12"/>
  <c r="G17" i="12"/>
  <c r="G25" i="12"/>
  <c r="G33" i="12"/>
  <c r="H9" i="12"/>
  <c r="H17" i="12"/>
  <c r="H25" i="12"/>
  <c r="H33" i="12"/>
  <c r="J6" i="6"/>
  <c r="G2" i="12"/>
  <c r="G10" i="12"/>
  <c r="G18" i="12"/>
  <c r="G26" i="12"/>
  <c r="G34" i="12"/>
  <c r="J9" i="6"/>
  <c r="H2" i="12"/>
  <c r="H10" i="12"/>
  <c r="H18" i="12"/>
  <c r="H26" i="12"/>
  <c r="H34" i="12"/>
  <c r="G3" i="12"/>
  <c r="G11" i="12"/>
  <c r="G19" i="12"/>
  <c r="G27" i="12"/>
  <c r="G35" i="12"/>
  <c r="H3" i="12"/>
  <c r="H11" i="12"/>
  <c r="H19" i="12"/>
  <c r="H27" i="12"/>
  <c r="H35" i="12"/>
  <c r="G4" i="12"/>
  <c r="G12" i="12"/>
  <c r="G20" i="12"/>
  <c r="G28" i="12"/>
  <c r="K2" i="6"/>
  <c r="H4" i="12"/>
  <c r="H12" i="12"/>
  <c r="H20" i="12"/>
  <c r="H28" i="12"/>
  <c r="H73" i="7" l="1"/>
  <c r="H57" i="7"/>
  <c r="H66" i="7"/>
  <c r="H75" i="7"/>
  <c r="H59" i="7"/>
  <c r="H68" i="7"/>
  <c r="H77" i="7"/>
  <c r="H61" i="7"/>
  <c r="H54" i="7"/>
  <c r="H70" i="7"/>
  <c r="H79" i="7"/>
  <c r="H63" i="7"/>
  <c r="H72" i="7"/>
  <c r="H56" i="7"/>
  <c r="H65" i="7"/>
  <c r="H74" i="7"/>
  <c r="H58" i="7"/>
  <c r="H67" i="7"/>
  <c r="H76" i="7"/>
  <c r="H60" i="7"/>
  <c r="H69" i="7"/>
  <c r="H64" i="7"/>
  <c r="H62" i="7"/>
  <c r="H78" i="7"/>
  <c r="H71" i="7"/>
  <c r="H55" i="7"/>
  <c r="T8" i="6"/>
  <c r="O6" i="6"/>
  <c r="Q6" i="6" s="1"/>
  <c r="T6" i="6" s="1"/>
  <c r="L7" i="6"/>
  <c r="M7" i="6" s="1"/>
  <c r="L4" i="6"/>
  <c r="H50" i="7"/>
  <c r="H34" i="7"/>
  <c r="H43" i="7"/>
  <c r="H52" i="7"/>
  <c r="H36" i="7"/>
  <c r="H45" i="7"/>
  <c r="H29" i="7"/>
  <c r="H38" i="7"/>
  <c r="H47" i="7"/>
  <c r="H31" i="7"/>
  <c r="H40" i="7"/>
  <c r="H49" i="7"/>
  <c r="H33" i="7"/>
  <c r="H42" i="7"/>
  <c r="H51" i="7"/>
  <c r="H35" i="7"/>
  <c r="H28" i="7"/>
  <c r="H44" i="7"/>
  <c r="H53" i="7"/>
  <c r="H37" i="7"/>
  <c r="H46" i="7"/>
  <c r="H30" i="7"/>
  <c r="H41" i="7"/>
  <c r="H32" i="7"/>
  <c r="H48" i="7"/>
  <c r="H39" i="7"/>
  <c r="M9" i="6"/>
  <c r="O9" i="6" s="1"/>
  <c r="Q9" i="6" s="1"/>
  <c r="T9" i="6" s="1"/>
  <c r="L13" i="6"/>
  <c r="M13" i="6" s="1"/>
  <c r="M19" i="6"/>
  <c r="O19" i="6" s="1"/>
  <c r="Q19" i="6" s="1"/>
  <c r="T19" i="6" s="1"/>
  <c r="L12" i="6"/>
  <c r="O3" i="6"/>
  <c r="T5" i="6"/>
  <c r="L2" i="6"/>
  <c r="M2" i="6"/>
  <c r="M6" i="6"/>
  <c r="M14" i="6"/>
  <c r="O14" i="6" s="1"/>
  <c r="Q14" i="6" s="1"/>
  <c r="T14" i="6" s="1"/>
  <c r="M11" i="6"/>
  <c r="O11" i="6" s="1"/>
  <c r="Q11" i="6" s="1"/>
  <c r="M16" i="6"/>
  <c r="O16" i="6" s="1"/>
  <c r="Q16" i="6" s="1"/>
  <c r="T16" i="6" s="1"/>
  <c r="L17" i="6"/>
  <c r="H96" i="7" l="1"/>
  <c r="H105" i="7"/>
  <c r="H89" i="7"/>
  <c r="H98" i="7"/>
  <c r="H82" i="7"/>
  <c r="H91" i="7"/>
  <c r="H100" i="7"/>
  <c r="H84" i="7"/>
  <c r="H93" i="7"/>
  <c r="H102" i="7"/>
  <c r="H86" i="7"/>
  <c r="H95" i="7"/>
  <c r="H104" i="7"/>
  <c r="H88" i="7"/>
  <c r="H97" i="7"/>
  <c r="H81" i="7"/>
  <c r="H90" i="7"/>
  <c r="H99" i="7"/>
  <c r="H83" i="7"/>
  <c r="H92" i="7"/>
  <c r="H103" i="7"/>
  <c r="H87" i="7"/>
  <c r="H80" i="7"/>
  <c r="H85" i="7"/>
  <c r="H101" i="7"/>
  <c r="H94" i="7"/>
  <c r="T11" i="6"/>
  <c r="L42" i="7"/>
  <c r="J42" i="7"/>
  <c r="I42" i="7"/>
  <c r="K42" i="7" s="1"/>
  <c r="M146" i="9"/>
  <c r="M198" i="9"/>
  <c r="M94" i="9"/>
  <c r="M42" i="9"/>
  <c r="L32" i="7"/>
  <c r="J32" i="7"/>
  <c r="M188" i="9"/>
  <c r="M136" i="9"/>
  <c r="I32" i="7"/>
  <c r="K32" i="7" s="1"/>
  <c r="M32" i="9"/>
  <c r="M84" i="9"/>
  <c r="L79" i="7"/>
  <c r="J79" i="7"/>
  <c r="K79" i="7" s="1"/>
  <c r="I79" i="7"/>
  <c r="M287" i="9"/>
  <c r="M235" i="9"/>
  <c r="L61" i="7"/>
  <c r="J61" i="7"/>
  <c r="I61" i="7"/>
  <c r="M217" i="9"/>
  <c r="M269" i="9"/>
  <c r="M4" i="6"/>
  <c r="O4" i="6" s="1"/>
  <c r="M17" i="6"/>
  <c r="O17" i="6" s="1"/>
  <c r="Q17" i="6" s="1"/>
  <c r="T17" i="6" s="1"/>
  <c r="L40" i="7"/>
  <c r="J40" i="7"/>
  <c r="I40" i="7"/>
  <c r="M196" i="9"/>
  <c r="M92" i="9"/>
  <c r="M40" i="9"/>
  <c r="M144" i="9"/>
  <c r="L39" i="7"/>
  <c r="I39" i="7"/>
  <c r="M195" i="9"/>
  <c r="M143" i="9"/>
  <c r="M39" i="9"/>
  <c r="M91" i="9"/>
  <c r="L55" i="7"/>
  <c r="J55" i="7"/>
  <c r="M263" i="9"/>
  <c r="M211" i="9"/>
  <c r="I55" i="7"/>
  <c r="K55" i="7" s="1"/>
  <c r="L77" i="7"/>
  <c r="J77" i="7"/>
  <c r="K77" i="7" s="1"/>
  <c r="I77" i="7"/>
  <c r="M285" i="9"/>
  <c r="M233" i="9"/>
  <c r="O13" i="6"/>
  <c r="Q13" i="6" s="1"/>
  <c r="T13" i="6" s="1"/>
  <c r="L65" i="7"/>
  <c r="M273" i="9"/>
  <c r="J65" i="7"/>
  <c r="I65" i="7"/>
  <c r="K65" i="7" s="1"/>
  <c r="M221" i="9"/>
  <c r="L72" i="7"/>
  <c r="J72" i="7"/>
  <c r="K72" i="7" s="1"/>
  <c r="I72" i="7"/>
  <c r="M280" i="9"/>
  <c r="M228" i="9"/>
  <c r="L31" i="7"/>
  <c r="K31" i="7"/>
  <c r="J31" i="7"/>
  <c r="I31" i="7"/>
  <c r="M187" i="9"/>
  <c r="M135" i="9"/>
  <c r="M83" i="9"/>
  <c r="M31" i="9"/>
  <c r="L54" i="7"/>
  <c r="J54" i="7"/>
  <c r="I54" i="7"/>
  <c r="K54" i="7" s="1"/>
  <c r="M210" i="9"/>
  <c r="M262" i="9"/>
  <c r="J68" i="7"/>
  <c r="I68" i="7"/>
  <c r="K68" i="7" s="1"/>
  <c r="L68" i="7"/>
  <c r="M276" i="9"/>
  <c r="M224" i="9"/>
  <c r="L33" i="7"/>
  <c r="J33" i="7"/>
  <c r="I33" i="7"/>
  <c r="K33" i="7" s="1"/>
  <c r="M85" i="9"/>
  <c r="M137" i="9"/>
  <c r="M33" i="9"/>
  <c r="M189" i="9"/>
  <c r="L48" i="7"/>
  <c r="J48" i="7"/>
  <c r="K48" i="7" s="1"/>
  <c r="I48" i="7"/>
  <c r="M204" i="9"/>
  <c r="M152" i="9"/>
  <c r="M48" i="9"/>
  <c r="M100" i="9"/>
  <c r="L41" i="7"/>
  <c r="M197" i="9"/>
  <c r="I41" i="7"/>
  <c r="M145" i="9"/>
  <c r="M41" i="9"/>
  <c r="M93" i="9"/>
  <c r="O2" i="6"/>
  <c r="Q2" i="6" s="1"/>
  <c r="J59" i="7"/>
  <c r="I59" i="7"/>
  <c r="K59" i="7" s="1"/>
  <c r="M267" i="9"/>
  <c r="M215" i="9"/>
  <c r="L59" i="7"/>
  <c r="L51" i="7"/>
  <c r="J51" i="7"/>
  <c r="K51" i="7" s="1"/>
  <c r="I51" i="7"/>
  <c r="M155" i="9"/>
  <c r="M103" i="9"/>
  <c r="M207" i="9"/>
  <c r="M51" i="9"/>
  <c r="O7" i="6"/>
  <c r="Q7" i="6" s="1"/>
  <c r="T7" i="6" s="1"/>
  <c r="L49" i="7"/>
  <c r="J49" i="7"/>
  <c r="K49" i="7" s="1"/>
  <c r="I49" i="7"/>
  <c r="M101" i="9"/>
  <c r="M49" i="9"/>
  <c r="M205" i="9"/>
  <c r="M153" i="9"/>
  <c r="L63" i="7"/>
  <c r="J63" i="7"/>
  <c r="I63" i="7"/>
  <c r="K63" i="7" s="1"/>
  <c r="M219" i="9"/>
  <c r="M271" i="9"/>
  <c r="L47" i="7"/>
  <c r="J47" i="7"/>
  <c r="K47" i="7" s="1"/>
  <c r="I47" i="7"/>
  <c r="M203" i="9"/>
  <c r="M99" i="9"/>
  <c r="M151" i="9"/>
  <c r="M47" i="9"/>
  <c r="L38" i="7"/>
  <c r="J38" i="7"/>
  <c r="I38" i="7"/>
  <c r="K38" i="7" s="1"/>
  <c r="M194" i="9"/>
  <c r="M90" i="9"/>
  <c r="M142" i="9"/>
  <c r="M38" i="9"/>
  <c r="M286" i="9"/>
  <c r="L78" i="7"/>
  <c r="J78" i="7"/>
  <c r="K78" i="7" s="1"/>
  <c r="I78" i="7"/>
  <c r="M234" i="9"/>
  <c r="L64" i="7"/>
  <c r="J64" i="7"/>
  <c r="I64" i="7"/>
  <c r="K64" i="7" s="1"/>
  <c r="M220" i="9"/>
  <c r="M272" i="9"/>
  <c r="L37" i="7"/>
  <c r="J37" i="7"/>
  <c r="I37" i="7"/>
  <c r="M193" i="9"/>
  <c r="M37" i="9"/>
  <c r="M141" i="9"/>
  <c r="M89" i="9"/>
  <c r="L53" i="7"/>
  <c r="J53" i="7"/>
  <c r="K53" i="7" s="1"/>
  <c r="I53" i="7"/>
  <c r="M209" i="9"/>
  <c r="M53" i="9"/>
  <c r="M157" i="9"/>
  <c r="M105" i="9"/>
  <c r="I43" i="7"/>
  <c r="J43" i="7"/>
  <c r="M199" i="9"/>
  <c r="L43" i="7"/>
  <c r="M147" i="9"/>
  <c r="M95" i="9"/>
  <c r="M43" i="9"/>
  <c r="J75" i="7"/>
  <c r="K75" i="7" s="1"/>
  <c r="I75" i="7"/>
  <c r="M283" i="9"/>
  <c r="M231" i="9"/>
  <c r="L75" i="7"/>
  <c r="M282" i="9"/>
  <c r="L74" i="7"/>
  <c r="J74" i="7"/>
  <c r="K74" i="7" s="1"/>
  <c r="I74" i="7"/>
  <c r="M230" i="9"/>
  <c r="L70" i="7"/>
  <c r="J70" i="7"/>
  <c r="K70" i="7" s="1"/>
  <c r="I70" i="7"/>
  <c r="M226" i="9"/>
  <c r="M278" i="9"/>
  <c r="J45" i="7"/>
  <c r="K45" i="7" s="1"/>
  <c r="I45" i="7"/>
  <c r="L45" i="7"/>
  <c r="M201" i="9"/>
  <c r="M149" i="9"/>
  <c r="M97" i="9"/>
  <c r="M45" i="9"/>
  <c r="L46" i="7"/>
  <c r="J46" i="7"/>
  <c r="K46" i="7" s="1"/>
  <c r="I46" i="7"/>
  <c r="M202" i="9"/>
  <c r="M46" i="9"/>
  <c r="M150" i="9"/>
  <c r="M98" i="9"/>
  <c r="J52" i="7"/>
  <c r="K52" i="7" s="1"/>
  <c r="I52" i="7"/>
  <c r="M208" i="9"/>
  <c r="M156" i="9"/>
  <c r="L52" i="7"/>
  <c r="M104" i="9"/>
  <c r="M52" i="9"/>
  <c r="L44" i="7"/>
  <c r="J44" i="7"/>
  <c r="K44" i="7" s="1"/>
  <c r="I44" i="7"/>
  <c r="M200" i="9"/>
  <c r="M96" i="9"/>
  <c r="M44" i="9"/>
  <c r="M148" i="9"/>
  <c r="L34" i="7"/>
  <c r="I34" i="7"/>
  <c r="K34" i="7" s="1"/>
  <c r="M190" i="9"/>
  <c r="M138" i="9"/>
  <c r="J34" i="7"/>
  <c r="M86" i="9"/>
  <c r="M34" i="9"/>
  <c r="M284" i="9"/>
  <c r="L76" i="7"/>
  <c r="J76" i="7"/>
  <c r="K76" i="7" s="1"/>
  <c r="I76" i="7"/>
  <c r="M232" i="9"/>
  <c r="I66" i="7"/>
  <c r="J66" i="7"/>
  <c r="L66" i="7"/>
  <c r="M222" i="9"/>
  <c r="M274" i="9"/>
  <c r="J29" i="7"/>
  <c r="I29" i="7"/>
  <c r="K29" i="7" s="1"/>
  <c r="L29" i="7"/>
  <c r="M185" i="9"/>
  <c r="M133" i="9"/>
  <c r="M81" i="9"/>
  <c r="M29" i="9"/>
  <c r="L30" i="7"/>
  <c r="K30" i="7"/>
  <c r="J30" i="7"/>
  <c r="I30" i="7"/>
  <c r="M186" i="9"/>
  <c r="M30" i="9"/>
  <c r="M134" i="9"/>
  <c r="M82" i="9"/>
  <c r="L62" i="7"/>
  <c r="J62" i="7"/>
  <c r="I62" i="7"/>
  <c r="K62" i="7" s="1"/>
  <c r="M218" i="9"/>
  <c r="M270" i="9"/>
  <c r="J36" i="7"/>
  <c r="I36" i="7"/>
  <c r="K36" i="7" s="1"/>
  <c r="M192" i="9"/>
  <c r="M140" i="9"/>
  <c r="L36" i="7"/>
  <c r="M88" i="9"/>
  <c r="M36" i="9"/>
  <c r="L69" i="7"/>
  <c r="J69" i="7"/>
  <c r="I69" i="7"/>
  <c r="K69" i="7" s="1"/>
  <c r="M277" i="9"/>
  <c r="M225" i="9"/>
  <c r="L28" i="7"/>
  <c r="J28" i="7"/>
  <c r="I28" i="7"/>
  <c r="K28" i="7" s="1"/>
  <c r="M184" i="9"/>
  <c r="M80" i="9"/>
  <c r="M28" i="9"/>
  <c r="M132" i="9"/>
  <c r="M275" i="9"/>
  <c r="L67" i="7"/>
  <c r="J67" i="7"/>
  <c r="I67" i="7"/>
  <c r="K67" i="7" s="1"/>
  <c r="M223" i="9"/>
  <c r="L57" i="7"/>
  <c r="I57" i="7"/>
  <c r="M265" i="9"/>
  <c r="M213" i="9"/>
  <c r="K57" i="7"/>
  <c r="J57" i="7"/>
  <c r="L56" i="7"/>
  <c r="K56" i="7"/>
  <c r="J56" i="7"/>
  <c r="I56" i="7"/>
  <c r="M264" i="9"/>
  <c r="M212" i="9"/>
  <c r="L71" i="7"/>
  <c r="J71" i="7"/>
  <c r="K71" i="7" s="1"/>
  <c r="M227" i="9"/>
  <c r="I71" i="7"/>
  <c r="M279" i="9"/>
  <c r="L60" i="7"/>
  <c r="J60" i="7"/>
  <c r="I60" i="7"/>
  <c r="M216" i="9"/>
  <c r="M268" i="9"/>
  <c r="Q3" i="6"/>
  <c r="D2" i="14"/>
  <c r="E2" i="14" s="1"/>
  <c r="O12" i="6"/>
  <c r="Q12" i="6" s="1"/>
  <c r="T12" i="6" s="1"/>
  <c r="L50" i="7"/>
  <c r="I50" i="7"/>
  <c r="J50" i="7"/>
  <c r="K50" i="7" s="1"/>
  <c r="M206" i="9"/>
  <c r="M154" i="9"/>
  <c r="M102" i="9"/>
  <c r="M50" i="9"/>
  <c r="M12" i="6"/>
  <c r="L35" i="7"/>
  <c r="J35" i="7"/>
  <c r="I35" i="7"/>
  <c r="M139" i="9"/>
  <c r="M87" i="9"/>
  <c r="M191" i="9"/>
  <c r="M35" i="9"/>
  <c r="L58" i="7"/>
  <c r="J58" i="7"/>
  <c r="I58" i="7"/>
  <c r="K58" i="7" s="1"/>
  <c r="M214" i="9"/>
  <c r="M266" i="9"/>
  <c r="L73" i="7"/>
  <c r="I73" i="7"/>
  <c r="M281" i="9"/>
  <c r="M229" i="9"/>
  <c r="J73" i="7"/>
  <c r="K73" i="7" s="1"/>
  <c r="N267" i="9" l="1"/>
  <c r="O267" i="9" s="1"/>
  <c r="P267" i="9" s="1"/>
  <c r="Q267" i="9" s="1"/>
  <c r="R267" i="9" s="1"/>
  <c r="T267" i="9" s="1"/>
  <c r="N215" i="9"/>
  <c r="O215" i="9" s="1"/>
  <c r="P215" i="9" s="1"/>
  <c r="Q215" i="9" s="1"/>
  <c r="R215" i="9" s="1"/>
  <c r="T215" i="9" s="1"/>
  <c r="M59" i="7"/>
  <c r="P59" i="7" s="1"/>
  <c r="M55" i="7"/>
  <c r="P55" i="7" s="1"/>
  <c r="N263" i="9"/>
  <c r="O263" i="9" s="1"/>
  <c r="P263" i="9" s="1"/>
  <c r="Q263" i="9" s="1"/>
  <c r="R263" i="9" s="1"/>
  <c r="T263" i="9" s="1"/>
  <c r="N211" i="9"/>
  <c r="O211" i="9" s="1"/>
  <c r="P211" i="9" s="1"/>
  <c r="Q211" i="9" s="1"/>
  <c r="R211" i="9" s="1"/>
  <c r="T211" i="9" s="1"/>
  <c r="M32" i="7"/>
  <c r="P32" i="7" s="1"/>
  <c r="N188" i="9"/>
  <c r="O188" i="9" s="1"/>
  <c r="P188" i="9" s="1"/>
  <c r="Q188" i="9" s="1"/>
  <c r="R188" i="9" s="1"/>
  <c r="T188" i="9" s="1"/>
  <c r="N136" i="9"/>
  <c r="O136" i="9" s="1"/>
  <c r="P136" i="9" s="1"/>
  <c r="Q136" i="9" s="1"/>
  <c r="R136" i="9" s="1"/>
  <c r="T136" i="9" s="1"/>
  <c r="N32" i="9"/>
  <c r="O32" i="9" s="1"/>
  <c r="P32" i="9" s="1"/>
  <c r="Q32" i="9" s="1"/>
  <c r="R32" i="9" s="1"/>
  <c r="T32" i="9" s="1"/>
  <c r="N84" i="9"/>
  <c r="O84" i="9" s="1"/>
  <c r="P84" i="9" s="1"/>
  <c r="Q84" i="9" s="1"/>
  <c r="R84" i="9" s="1"/>
  <c r="T84" i="9" s="1"/>
  <c r="P33" i="7"/>
  <c r="M33" i="7"/>
  <c r="N137" i="9"/>
  <c r="O137" i="9" s="1"/>
  <c r="P137" i="9" s="1"/>
  <c r="Q137" i="9" s="1"/>
  <c r="R137" i="9" s="1"/>
  <c r="T137" i="9" s="1"/>
  <c r="N189" i="9"/>
  <c r="O189" i="9" s="1"/>
  <c r="P189" i="9" s="1"/>
  <c r="Q189" i="9" s="1"/>
  <c r="R189" i="9" s="1"/>
  <c r="T189" i="9" s="1"/>
  <c r="N33" i="9"/>
  <c r="O33" i="9" s="1"/>
  <c r="P33" i="9" s="1"/>
  <c r="Q33" i="9" s="1"/>
  <c r="R33" i="9" s="1"/>
  <c r="T33" i="9" s="1"/>
  <c r="N85" i="9"/>
  <c r="O85" i="9" s="1"/>
  <c r="P85" i="9" s="1"/>
  <c r="Q85" i="9" s="1"/>
  <c r="R85" i="9" s="1"/>
  <c r="T85" i="9" s="1"/>
  <c r="D4" i="14"/>
  <c r="E4" i="14" s="1"/>
  <c r="Q4" i="6"/>
  <c r="P54" i="7"/>
  <c r="N210" i="9"/>
  <c r="O210" i="9" s="1"/>
  <c r="P210" i="9" s="1"/>
  <c r="Q210" i="9" s="1"/>
  <c r="R210" i="9" s="1"/>
  <c r="T210" i="9" s="1"/>
  <c r="N262" i="9"/>
  <c r="O262" i="9" s="1"/>
  <c r="P262" i="9" s="1"/>
  <c r="Q262" i="9" s="1"/>
  <c r="R262" i="9" s="1"/>
  <c r="T262" i="9" s="1"/>
  <c r="N266" i="9"/>
  <c r="O266" i="9" s="1"/>
  <c r="P266" i="9" s="1"/>
  <c r="Q266" i="9" s="1"/>
  <c r="R266" i="9" s="1"/>
  <c r="T266" i="9" s="1"/>
  <c r="M58" i="7"/>
  <c r="P58" i="7" s="1"/>
  <c r="N214" i="9"/>
  <c r="O214" i="9" s="1"/>
  <c r="P214" i="9" s="1"/>
  <c r="Q214" i="9" s="1"/>
  <c r="R214" i="9" s="1"/>
  <c r="T214" i="9" s="1"/>
  <c r="P28" i="7"/>
  <c r="N184" i="9"/>
  <c r="O184" i="9" s="1"/>
  <c r="P184" i="9" s="1"/>
  <c r="Q184" i="9" s="1"/>
  <c r="R184" i="9" s="1"/>
  <c r="T184" i="9" s="1"/>
  <c r="N28" i="9"/>
  <c r="O28" i="9" s="1"/>
  <c r="P28" i="9" s="1"/>
  <c r="Q28" i="9" s="1"/>
  <c r="R28" i="9" s="1"/>
  <c r="T28" i="9" s="1"/>
  <c r="N132" i="9"/>
  <c r="O132" i="9" s="1"/>
  <c r="P132" i="9" s="1"/>
  <c r="Q132" i="9" s="1"/>
  <c r="R132" i="9" s="1"/>
  <c r="T132" i="9" s="1"/>
  <c r="N80" i="9"/>
  <c r="O80" i="9" s="1"/>
  <c r="P80" i="9" s="1"/>
  <c r="Q80" i="9" s="1"/>
  <c r="R80" i="9" s="1"/>
  <c r="T80" i="9" s="1"/>
  <c r="N185" i="9"/>
  <c r="O185" i="9" s="1"/>
  <c r="P185" i="9" s="1"/>
  <c r="Q185" i="9" s="1"/>
  <c r="R185" i="9" s="1"/>
  <c r="T185" i="9" s="1"/>
  <c r="M29" i="7"/>
  <c r="P29" i="7" s="1"/>
  <c r="N81" i="9"/>
  <c r="O81" i="9" s="1"/>
  <c r="P81" i="9" s="1"/>
  <c r="Q81" i="9" s="1"/>
  <c r="R81" i="9" s="1"/>
  <c r="T81" i="9" s="1"/>
  <c r="N29" i="9"/>
  <c r="O29" i="9" s="1"/>
  <c r="P29" i="9" s="1"/>
  <c r="Q29" i="9" s="1"/>
  <c r="R29" i="9" s="1"/>
  <c r="T29" i="9" s="1"/>
  <c r="N133" i="9"/>
  <c r="O133" i="9" s="1"/>
  <c r="P133" i="9" s="1"/>
  <c r="Q133" i="9" s="1"/>
  <c r="R133" i="9" s="1"/>
  <c r="T133" i="9" s="1"/>
  <c r="N192" i="9"/>
  <c r="O192" i="9" s="1"/>
  <c r="P192" i="9" s="1"/>
  <c r="Q192" i="9" s="1"/>
  <c r="R192" i="9" s="1"/>
  <c r="T192" i="9" s="1"/>
  <c r="N140" i="9"/>
  <c r="O140" i="9" s="1"/>
  <c r="P140" i="9" s="1"/>
  <c r="Q140" i="9" s="1"/>
  <c r="R140" i="9" s="1"/>
  <c r="T140" i="9" s="1"/>
  <c r="N88" i="9"/>
  <c r="O88" i="9" s="1"/>
  <c r="P88" i="9" s="1"/>
  <c r="Q88" i="9" s="1"/>
  <c r="R88" i="9" s="1"/>
  <c r="T88" i="9" s="1"/>
  <c r="N36" i="9"/>
  <c r="O36" i="9" s="1"/>
  <c r="P36" i="9" s="1"/>
  <c r="Q36" i="9" s="1"/>
  <c r="R36" i="9" s="1"/>
  <c r="T36" i="9" s="1"/>
  <c r="L81" i="7"/>
  <c r="M289" i="9"/>
  <c r="J81" i="7"/>
  <c r="I81" i="7"/>
  <c r="K81" i="7" s="1"/>
  <c r="M237" i="9"/>
  <c r="M56" i="7"/>
  <c r="P56" i="7" s="1"/>
  <c r="N264" i="9"/>
  <c r="O264" i="9" s="1"/>
  <c r="P264" i="9" s="1"/>
  <c r="Q264" i="9" s="1"/>
  <c r="R264" i="9" s="1"/>
  <c r="T264" i="9" s="1"/>
  <c r="N212" i="9"/>
  <c r="O212" i="9" s="1"/>
  <c r="P212" i="9" s="1"/>
  <c r="Q212" i="9" s="1"/>
  <c r="R212" i="9" s="1"/>
  <c r="T212" i="9" s="1"/>
  <c r="L97" i="7"/>
  <c r="M305" i="9"/>
  <c r="J97" i="7"/>
  <c r="K97" i="7" s="1"/>
  <c r="I97" i="7"/>
  <c r="M253" i="9"/>
  <c r="L88" i="7"/>
  <c r="J88" i="7"/>
  <c r="I88" i="7"/>
  <c r="M296" i="9"/>
  <c r="M244" i="9"/>
  <c r="N146" i="9"/>
  <c r="O146" i="9" s="1"/>
  <c r="P146" i="9" s="1"/>
  <c r="Q146" i="9" s="1"/>
  <c r="R146" i="9" s="1"/>
  <c r="T146" i="9" s="1"/>
  <c r="N94" i="9"/>
  <c r="O94" i="9" s="1"/>
  <c r="P94" i="9" s="1"/>
  <c r="Q94" i="9" s="1"/>
  <c r="R94" i="9" s="1"/>
  <c r="T94" i="9" s="1"/>
  <c r="N42" i="9"/>
  <c r="O42" i="9" s="1"/>
  <c r="P42" i="9" s="1"/>
  <c r="Q42" i="9" s="1"/>
  <c r="R42" i="9" s="1"/>
  <c r="T42" i="9" s="1"/>
  <c r="N198" i="9"/>
  <c r="O198" i="9" s="1"/>
  <c r="P198" i="9" s="1"/>
  <c r="Q198" i="9" s="1"/>
  <c r="R198" i="9" s="1"/>
  <c r="T198" i="9" s="1"/>
  <c r="N201" i="9"/>
  <c r="O201" i="9" s="1"/>
  <c r="P201" i="9" s="1"/>
  <c r="Q201" i="9" s="1"/>
  <c r="R201" i="9" s="1"/>
  <c r="T201" i="9" s="1"/>
  <c r="P45" i="7"/>
  <c r="M45" i="7"/>
  <c r="N149" i="9"/>
  <c r="O149" i="9" s="1"/>
  <c r="P149" i="9" s="1"/>
  <c r="Q149" i="9" s="1"/>
  <c r="R149" i="9" s="1"/>
  <c r="T149" i="9" s="1"/>
  <c r="N97" i="9"/>
  <c r="O97" i="9" s="1"/>
  <c r="P97" i="9" s="1"/>
  <c r="Q97" i="9" s="1"/>
  <c r="R97" i="9" s="1"/>
  <c r="T97" i="9" s="1"/>
  <c r="N45" i="9"/>
  <c r="O45" i="9" s="1"/>
  <c r="P45" i="9" s="1"/>
  <c r="Q45" i="9" s="1"/>
  <c r="R45" i="9" s="1"/>
  <c r="T45" i="9" s="1"/>
  <c r="P79" i="7"/>
  <c r="M79" i="7"/>
  <c r="N287" i="9"/>
  <c r="O287" i="9" s="1"/>
  <c r="P287" i="9" s="1"/>
  <c r="Q287" i="9" s="1"/>
  <c r="R287" i="9" s="1"/>
  <c r="T287" i="9" s="1"/>
  <c r="N235" i="9"/>
  <c r="O235" i="9" s="1"/>
  <c r="P235" i="9" s="1"/>
  <c r="Q235" i="9" s="1"/>
  <c r="R235" i="9" s="1"/>
  <c r="T235" i="9" s="1"/>
  <c r="L104" i="7"/>
  <c r="J104" i="7"/>
  <c r="K104" i="7" s="1"/>
  <c r="I104" i="7"/>
  <c r="M312" i="9"/>
  <c r="M260" i="9"/>
  <c r="M77" i="7"/>
  <c r="N233" i="9"/>
  <c r="O233" i="9" s="1"/>
  <c r="P233" i="9" s="1"/>
  <c r="Q233" i="9" s="1"/>
  <c r="R233" i="9" s="1"/>
  <c r="T233" i="9" s="1"/>
  <c r="P77" i="7"/>
  <c r="N285" i="9"/>
  <c r="O285" i="9" s="1"/>
  <c r="P285" i="9" s="1"/>
  <c r="Q285" i="9" s="1"/>
  <c r="R285" i="9" s="1"/>
  <c r="T285" i="9" s="1"/>
  <c r="M68" i="7"/>
  <c r="N224" i="9"/>
  <c r="O224" i="9" s="1"/>
  <c r="P224" i="9" s="1"/>
  <c r="Q224" i="9" s="1"/>
  <c r="R224" i="9" s="1"/>
  <c r="T224" i="9" s="1"/>
  <c r="P68" i="7"/>
  <c r="N276" i="9"/>
  <c r="O276" i="9" s="1"/>
  <c r="P276" i="9" s="1"/>
  <c r="Q276" i="9" s="1"/>
  <c r="R276" i="9" s="1"/>
  <c r="T276" i="9" s="1"/>
  <c r="L95" i="7"/>
  <c r="J95" i="7"/>
  <c r="I95" i="7"/>
  <c r="M303" i="9"/>
  <c r="M251" i="9"/>
  <c r="M51" i="7"/>
  <c r="P51" i="7" s="1"/>
  <c r="N207" i="9"/>
  <c r="O207" i="9" s="1"/>
  <c r="P207" i="9" s="1"/>
  <c r="Q207" i="9" s="1"/>
  <c r="R207" i="9" s="1"/>
  <c r="T207" i="9" s="1"/>
  <c r="N103" i="9"/>
  <c r="O103" i="9" s="1"/>
  <c r="P103" i="9" s="1"/>
  <c r="Q103" i="9" s="1"/>
  <c r="R103" i="9" s="1"/>
  <c r="T103" i="9" s="1"/>
  <c r="N155" i="9"/>
  <c r="O155" i="9" s="1"/>
  <c r="P155" i="9" s="1"/>
  <c r="Q155" i="9" s="1"/>
  <c r="R155" i="9" s="1"/>
  <c r="T155" i="9" s="1"/>
  <c r="N51" i="9"/>
  <c r="O51" i="9" s="1"/>
  <c r="P51" i="9" s="1"/>
  <c r="Q51" i="9" s="1"/>
  <c r="R51" i="9" s="1"/>
  <c r="T51" i="9" s="1"/>
  <c r="N218" i="9"/>
  <c r="O218" i="9" s="1"/>
  <c r="P218" i="9" s="1"/>
  <c r="Q218" i="9" s="1"/>
  <c r="R218" i="9" s="1"/>
  <c r="T218" i="9" s="1"/>
  <c r="N270" i="9"/>
  <c r="O270" i="9" s="1"/>
  <c r="P270" i="9" s="1"/>
  <c r="Q270" i="9" s="1"/>
  <c r="R270" i="9" s="1"/>
  <c r="T270" i="9" s="1"/>
  <c r="K35" i="7"/>
  <c r="K60" i="7"/>
  <c r="N208" i="9"/>
  <c r="O208" i="9" s="1"/>
  <c r="P208" i="9" s="1"/>
  <c r="Q208" i="9" s="1"/>
  <c r="R208" i="9" s="1"/>
  <c r="T208" i="9" s="1"/>
  <c r="N156" i="9"/>
  <c r="O156" i="9" s="1"/>
  <c r="P156" i="9" s="1"/>
  <c r="Q156" i="9" s="1"/>
  <c r="R156" i="9" s="1"/>
  <c r="T156" i="9" s="1"/>
  <c r="M52" i="7"/>
  <c r="P52" i="7" s="1"/>
  <c r="N104" i="9"/>
  <c r="O104" i="9" s="1"/>
  <c r="P104" i="9" s="1"/>
  <c r="Q104" i="9" s="1"/>
  <c r="R104" i="9" s="1"/>
  <c r="T104" i="9" s="1"/>
  <c r="N52" i="9"/>
  <c r="O52" i="9" s="1"/>
  <c r="P52" i="9" s="1"/>
  <c r="Q52" i="9" s="1"/>
  <c r="R52" i="9" s="1"/>
  <c r="T52" i="9" s="1"/>
  <c r="K37" i="7"/>
  <c r="K40" i="7"/>
  <c r="L86" i="7"/>
  <c r="J86" i="7"/>
  <c r="I86" i="7"/>
  <c r="K86" i="7" s="1"/>
  <c r="M294" i="9"/>
  <c r="M242" i="9"/>
  <c r="D3" i="14"/>
  <c r="E3" i="14" s="1"/>
  <c r="T3" i="6"/>
  <c r="M73" i="7"/>
  <c r="P73" i="7" s="1"/>
  <c r="N281" i="9"/>
  <c r="O281" i="9" s="1"/>
  <c r="P281" i="9" s="1"/>
  <c r="Q281" i="9" s="1"/>
  <c r="R281" i="9" s="1"/>
  <c r="T281" i="9" s="1"/>
  <c r="N229" i="9"/>
  <c r="O229" i="9" s="1"/>
  <c r="P229" i="9" s="1"/>
  <c r="Q229" i="9" s="1"/>
  <c r="R229" i="9" s="1"/>
  <c r="T229" i="9" s="1"/>
  <c r="N194" i="9"/>
  <c r="O194" i="9" s="1"/>
  <c r="P194" i="9" s="1"/>
  <c r="Q194" i="9" s="1"/>
  <c r="R194" i="9" s="1"/>
  <c r="T194" i="9" s="1"/>
  <c r="N90" i="9"/>
  <c r="O90" i="9" s="1"/>
  <c r="P90" i="9" s="1"/>
  <c r="Q90" i="9" s="1"/>
  <c r="R90" i="9" s="1"/>
  <c r="T90" i="9" s="1"/>
  <c r="N142" i="9"/>
  <c r="O142" i="9" s="1"/>
  <c r="P142" i="9" s="1"/>
  <c r="Q142" i="9" s="1"/>
  <c r="R142" i="9" s="1"/>
  <c r="T142" i="9" s="1"/>
  <c r="N38" i="9"/>
  <c r="O38" i="9" s="1"/>
  <c r="P38" i="9" s="1"/>
  <c r="Q38" i="9" s="1"/>
  <c r="R38" i="9" s="1"/>
  <c r="T38" i="9" s="1"/>
  <c r="M302" i="9"/>
  <c r="L94" i="7"/>
  <c r="J94" i="7"/>
  <c r="I94" i="7"/>
  <c r="M250" i="9"/>
  <c r="L102" i="7"/>
  <c r="J102" i="7"/>
  <c r="K102" i="7" s="1"/>
  <c r="I102" i="7"/>
  <c r="M310" i="9"/>
  <c r="M258" i="9"/>
  <c r="M48" i="7"/>
  <c r="P48" i="7" s="1"/>
  <c r="N204" i="9"/>
  <c r="O204" i="9" s="1"/>
  <c r="P204" i="9" s="1"/>
  <c r="Q204" i="9" s="1"/>
  <c r="R204" i="9" s="1"/>
  <c r="T204" i="9" s="1"/>
  <c r="N152" i="9"/>
  <c r="O152" i="9" s="1"/>
  <c r="P152" i="9" s="1"/>
  <c r="Q152" i="9" s="1"/>
  <c r="R152" i="9" s="1"/>
  <c r="T152" i="9" s="1"/>
  <c r="N48" i="9"/>
  <c r="O48" i="9" s="1"/>
  <c r="P48" i="9" s="1"/>
  <c r="Q48" i="9" s="1"/>
  <c r="R48" i="9" s="1"/>
  <c r="T48" i="9" s="1"/>
  <c r="N100" i="9"/>
  <c r="O100" i="9" s="1"/>
  <c r="P100" i="9" s="1"/>
  <c r="Q100" i="9" s="1"/>
  <c r="R100" i="9" s="1"/>
  <c r="T100" i="9" s="1"/>
  <c r="M72" i="7"/>
  <c r="P72" i="7" s="1"/>
  <c r="N280" i="9"/>
  <c r="O280" i="9" s="1"/>
  <c r="P280" i="9" s="1"/>
  <c r="Q280" i="9" s="1"/>
  <c r="R280" i="9" s="1"/>
  <c r="T280" i="9" s="1"/>
  <c r="N228" i="9"/>
  <c r="O228" i="9" s="1"/>
  <c r="P228" i="9" s="1"/>
  <c r="Q228" i="9" s="1"/>
  <c r="R228" i="9" s="1"/>
  <c r="T228" i="9" s="1"/>
  <c r="M309" i="9"/>
  <c r="L101" i="7"/>
  <c r="J101" i="7"/>
  <c r="K101" i="7" s="1"/>
  <c r="I101" i="7"/>
  <c r="M257" i="9"/>
  <c r="L93" i="7"/>
  <c r="J93" i="7"/>
  <c r="I93" i="7"/>
  <c r="K93" i="7" s="1"/>
  <c r="M301" i="9"/>
  <c r="M249" i="9"/>
  <c r="M293" i="9"/>
  <c r="L85" i="7"/>
  <c r="J85" i="7"/>
  <c r="I85" i="7"/>
  <c r="K85" i="7" s="1"/>
  <c r="M241" i="9"/>
  <c r="L84" i="7"/>
  <c r="K84" i="7"/>
  <c r="J84" i="7"/>
  <c r="I84" i="7"/>
  <c r="M240" i="9"/>
  <c r="M292" i="9"/>
  <c r="K43" i="7"/>
  <c r="L80" i="7"/>
  <c r="J80" i="7"/>
  <c r="I80" i="7"/>
  <c r="K80" i="7" s="1"/>
  <c r="M236" i="9"/>
  <c r="M288" i="9"/>
  <c r="L100" i="7"/>
  <c r="J100" i="7"/>
  <c r="K100" i="7" s="1"/>
  <c r="I100" i="7"/>
  <c r="M308" i="9"/>
  <c r="M256" i="9"/>
  <c r="M49" i="7"/>
  <c r="P49" i="7" s="1"/>
  <c r="N153" i="9"/>
  <c r="O153" i="9" s="1"/>
  <c r="P153" i="9" s="1"/>
  <c r="Q153" i="9" s="1"/>
  <c r="R153" i="9" s="1"/>
  <c r="T153" i="9" s="1"/>
  <c r="N205" i="9"/>
  <c r="O205" i="9" s="1"/>
  <c r="P205" i="9" s="1"/>
  <c r="Q205" i="9" s="1"/>
  <c r="R205" i="9" s="1"/>
  <c r="T205" i="9" s="1"/>
  <c r="N101" i="9"/>
  <c r="O101" i="9" s="1"/>
  <c r="P101" i="9" s="1"/>
  <c r="Q101" i="9" s="1"/>
  <c r="R101" i="9" s="1"/>
  <c r="T101" i="9" s="1"/>
  <c r="N49" i="9"/>
  <c r="O49" i="9" s="1"/>
  <c r="P49" i="9" s="1"/>
  <c r="Q49" i="9" s="1"/>
  <c r="R49" i="9" s="1"/>
  <c r="T49" i="9" s="1"/>
  <c r="H27" i="7"/>
  <c r="H11" i="7"/>
  <c r="H20" i="7"/>
  <c r="H4" i="7"/>
  <c r="H13" i="7"/>
  <c r="H22" i="7"/>
  <c r="H6" i="7"/>
  <c r="H15" i="7"/>
  <c r="H24" i="7"/>
  <c r="H8" i="7"/>
  <c r="H17" i="7"/>
  <c r="H26" i="7"/>
  <c r="H10" i="7"/>
  <c r="H19" i="7"/>
  <c r="H3" i="7"/>
  <c r="H12" i="7"/>
  <c r="H21" i="7"/>
  <c r="H5" i="7"/>
  <c r="T2" i="6"/>
  <c r="H14" i="7"/>
  <c r="H23" i="7"/>
  <c r="H7" i="7"/>
  <c r="H18" i="7"/>
  <c r="H9" i="7"/>
  <c r="H25" i="7"/>
  <c r="H2" i="7"/>
  <c r="H16" i="7"/>
  <c r="M65" i="7"/>
  <c r="P65" i="7" s="1"/>
  <c r="N273" i="9"/>
  <c r="O273" i="9" s="1"/>
  <c r="P273" i="9" s="1"/>
  <c r="Q273" i="9" s="1"/>
  <c r="R273" i="9" s="1"/>
  <c r="T273" i="9" s="1"/>
  <c r="N221" i="9"/>
  <c r="O221" i="9" s="1"/>
  <c r="P221" i="9" s="1"/>
  <c r="Q221" i="9" s="1"/>
  <c r="R221" i="9" s="1"/>
  <c r="T221" i="9" s="1"/>
  <c r="L87" i="7"/>
  <c r="I87" i="7"/>
  <c r="M243" i="9"/>
  <c r="M295" i="9"/>
  <c r="J87" i="7"/>
  <c r="J91" i="7"/>
  <c r="I91" i="7"/>
  <c r="K91" i="7" s="1"/>
  <c r="M299" i="9"/>
  <c r="L91" i="7"/>
  <c r="M247" i="9"/>
  <c r="P75" i="7"/>
  <c r="N231" i="9"/>
  <c r="O231" i="9" s="1"/>
  <c r="P231" i="9" s="1"/>
  <c r="Q231" i="9" s="1"/>
  <c r="R231" i="9" s="1"/>
  <c r="T231" i="9" s="1"/>
  <c r="N283" i="9"/>
  <c r="O283" i="9" s="1"/>
  <c r="P283" i="9" s="1"/>
  <c r="Q283" i="9" s="1"/>
  <c r="R283" i="9" s="1"/>
  <c r="T283" i="9" s="1"/>
  <c r="M75" i="7"/>
  <c r="N277" i="9"/>
  <c r="O277" i="9" s="1"/>
  <c r="P277" i="9" s="1"/>
  <c r="Q277" i="9" s="1"/>
  <c r="R277" i="9" s="1"/>
  <c r="T277" i="9" s="1"/>
  <c r="M69" i="7"/>
  <c r="P69" i="7" s="1"/>
  <c r="N225" i="9"/>
  <c r="O225" i="9" s="1"/>
  <c r="P225" i="9" s="1"/>
  <c r="Q225" i="9" s="1"/>
  <c r="R225" i="9" s="1"/>
  <c r="T225" i="9" s="1"/>
  <c r="N275" i="9"/>
  <c r="O275" i="9" s="1"/>
  <c r="P275" i="9" s="1"/>
  <c r="Q275" i="9" s="1"/>
  <c r="R275" i="9" s="1"/>
  <c r="T275" i="9" s="1"/>
  <c r="N223" i="9"/>
  <c r="O223" i="9" s="1"/>
  <c r="P223" i="9" s="1"/>
  <c r="Q223" i="9" s="1"/>
  <c r="R223" i="9" s="1"/>
  <c r="T223" i="9" s="1"/>
  <c r="K66" i="7"/>
  <c r="M46" i="7"/>
  <c r="P46" i="7" s="1"/>
  <c r="N202" i="9"/>
  <c r="O202" i="9" s="1"/>
  <c r="P202" i="9" s="1"/>
  <c r="Q202" i="9" s="1"/>
  <c r="R202" i="9" s="1"/>
  <c r="T202" i="9" s="1"/>
  <c r="N46" i="9"/>
  <c r="O46" i="9" s="1"/>
  <c r="P46" i="9" s="1"/>
  <c r="Q46" i="9" s="1"/>
  <c r="R46" i="9" s="1"/>
  <c r="T46" i="9" s="1"/>
  <c r="N150" i="9"/>
  <c r="O150" i="9" s="1"/>
  <c r="P150" i="9" s="1"/>
  <c r="Q150" i="9" s="1"/>
  <c r="R150" i="9" s="1"/>
  <c r="T150" i="9" s="1"/>
  <c r="N98" i="9"/>
  <c r="O98" i="9" s="1"/>
  <c r="P98" i="9" s="1"/>
  <c r="Q98" i="9" s="1"/>
  <c r="R98" i="9" s="1"/>
  <c r="T98" i="9" s="1"/>
  <c r="N282" i="9"/>
  <c r="O282" i="9" s="1"/>
  <c r="P282" i="9" s="1"/>
  <c r="Q282" i="9" s="1"/>
  <c r="R282" i="9" s="1"/>
  <c r="T282" i="9" s="1"/>
  <c r="M74" i="7"/>
  <c r="P74" i="7" s="1"/>
  <c r="N230" i="9"/>
  <c r="O230" i="9" s="1"/>
  <c r="P230" i="9" s="1"/>
  <c r="Q230" i="9" s="1"/>
  <c r="R230" i="9" s="1"/>
  <c r="T230" i="9" s="1"/>
  <c r="L103" i="7"/>
  <c r="M311" i="9"/>
  <c r="J103" i="7"/>
  <c r="K103" i="7" s="1"/>
  <c r="I103" i="7"/>
  <c r="M259" i="9"/>
  <c r="J82" i="7"/>
  <c r="I82" i="7"/>
  <c r="M290" i="9"/>
  <c r="K82" i="7"/>
  <c r="L82" i="7"/>
  <c r="M238" i="9"/>
  <c r="M70" i="7"/>
  <c r="P70" i="7" s="1"/>
  <c r="N226" i="9"/>
  <c r="O226" i="9" s="1"/>
  <c r="P226" i="9" s="1"/>
  <c r="Q226" i="9" s="1"/>
  <c r="R226" i="9" s="1"/>
  <c r="T226" i="9" s="1"/>
  <c r="N278" i="9"/>
  <c r="O278" i="9" s="1"/>
  <c r="P278" i="9" s="1"/>
  <c r="Q278" i="9" s="1"/>
  <c r="R278" i="9" s="1"/>
  <c r="T278" i="9" s="1"/>
  <c r="P64" i="7"/>
  <c r="M64" i="7"/>
  <c r="N220" i="9"/>
  <c r="O220" i="9" s="1"/>
  <c r="P220" i="9" s="1"/>
  <c r="Q220" i="9" s="1"/>
  <c r="R220" i="9" s="1"/>
  <c r="T220" i="9" s="1"/>
  <c r="N272" i="9"/>
  <c r="O272" i="9" s="1"/>
  <c r="P272" i="9" s="1"/>
  <c r="Q272" i="9" s="1"/>
  <c r="R272" i="9" s="1"/>
  <c r="T272" i="9" s="1"/>
  <c r="M300" i="9"/>
  <c r="L92" i="7"/>
  <c r="J92" i="7"/>
  <c r="I92" i="7"/>
  <c r="M248" i="9"/>
  <c r="J98" i="7"/>
  <c r="K98" i="7" s="1"/>
  <c r="I98" i="7"/>
  <c r="M306" i="9"/>
  <c r="M254" i="9"/>
  <c r="L98" i="7"/>
  <c r="M31" i="7"/>
  <c r="P31" i="7" s="1"/>
  <c r="N187" i="9"/>
  <c r="O187" i="9" s="1"/>
  <c r="P187" i="9" s="1"/>
  <c r="Q187" i="9" s="1"/>
  <c r="R187" i="9" s="1"/>
  <c r="T187" i="9" s="1"/>
  <c r="N135" i="9"/>
  <c r="O135" i="9" s="1"/>
  <c r="P135" i="9" s="1"/>
  <c r="Q135" i="9" s="1"/>
  <c r="R135" i="9" s="1"/>
  <c r="T135" i="9" s="1"/>
  <c r="N83" i="9"/>
  <c r="O83" i="9" s="1"/>
  <c r="P83" i="9" s="1"/>
  <c r="Q83" i="9" s="1"/>
  <c r="R83" i="9" s="1"/>
  <c r="T83" i="9" s="1"/>
  <c r="N31" i="9"/>
  <c r="O31" i="9" s="1"/>
  <c r="P31" i="9" s="1"/>
  <c r="Q31" i="9" s="1"/>
  <c r="R31" i="9" s="1"/>
  <c r="T31" i="9" s="1"/>
  <c r="M44" i="7"/>
  <c r="P44" i="7" s="1"/>
  <c r="N200" i="9"/>
  <c r="O200" i="9" s="1"/>
  <c r="P200" i="9" s="1"/>
  <c r="Q200" i="9" s="1"/>
  <c r="R200" i="9" s="1"/>
  <c r="T200" i="9" s="1"/>
  <c r="N44" i="9"/>
  <c r="O44" i="9" s="1"/>
  <c r="P44" i="9" s="1"/>
  <c r="Q44" i="9" s="1"/>
  <c r="R44" i="9" s="1"/>
  <c r="T44" i="9" s="1"/>
  <c r="N148" i="9"/>
  <c r="O148" i="9" s="1"/>
  <c r="P148" i="9" s="1"/>
  <c r="Q148" i="9" s="1"/>
  <c r="R148" i="9" s="1"/>
  <c r="T148" i="9" s="1"/>
  <c r="N96" i="9"/>
  <c r="O96" i="9" s="1"/>
  <c r="P96" i="9" s="1"/>
  <c r="Q96" i="9" s="1"/>
  <c r="R96" i="9" s="1"/>
  <c r="T96" i="9" s="1"/>
  <c r="K61" i="7"/>
  <c r="M291" i="9"/>
  <c r="L83" i="7"/>
  <c r="J83" i="7"/>
  <c r="I83" i="7"/>
  <c r="K83" i="7" s="1"/>
  <c r="M239" i="9"/>
  <c r="I89" i="7"/>
  <c r="K89" i="7" s="1"/>
  <c r="J89" i="7"/>
  <c r="M297" i="9"/>
  <c r="M245" i="9"/>
  <c r="L89" i="7"/>
  <c r="P34" i="7"/>
  <c r="M34" i="7"/>
  <c r="N190" i="9"/>
  <c r="O190" i="9" s="1"/>
  <c r="P190" i="9" s="1"/>
  <c r="Q190" i="9" s="1"/>
  <c r="R190" i="9" s="1"/>
  <c r="T190" i="9" s="1"/>
  <c r="N138" i="9"/>
  <c r="O138" i="9" s="1"/>
  <c r="P138" i="9" s="1"/>
  <c r="Q138" i="9" s="1"/>
  <c r="R138" i="9" s="1"/>
  <c r="T138" i="9" s="1"/>
  <c r="N86" i="9"/>
  <c r="O86" i="9" s="1"/>
  <c r="P86" i="9" s="1"/>
  <c r="Q86" i="9" s="1"/>
  <c r="R86" i="9" s="1"/>
  <c r="T86" i="9" s="1"/>
  <c r="N34" i="9"/>
  <c r="O34" i="9" s="1"/>
  <c r="P34" i="9" s="1"/>
  <c r="Q34" i="9" s="1"/>
  <c r="R34" i="9" s="1"/>
  <c r="T34" i="9" s="1"/>
  <c r="P71" i="7"/>
  <c r="M71" i="7"/>
  <c r="N227" i="9"/>
  <c r="O227" i="9" s="1"/>
  <c r="P227" i="9" s="1"/>
  <c r="Q227" i="9" s="1"/>
  <c r="R227" i="9" s="1"/>
  <c r="T227" i="9" s="1"/>
  <c r="N279" i="9"/>
  <c r="O279" i="9" s="1"/>
  <c r="P279" i="9" s="1"/>
  <c r="Q279" i="9" s="1"/>
  <c r="R279" i="9" s="1"/>
  <c r="T279" i="9" s="1"/>
  <c r="P50" i="7"/>
  <c r="M50" i="7"/>
  <c r="N206" i="9"/>
  <c r="O206" i="9" s="1"/>
  <c r="P206" i="9" s="1"/>
  <c r="Q206" i="9" s="1"/>
  <c r="R206" i="9" s="1"/>
  <c r="T206" i="9" s="1"/>
  <c r="N154" i="9"/>
  <c r="O154" i="9" s="1"/>
  <c r="P154" i="9" s="1"/>
  <c r="Q154" i="9" s="1"/>
  <c r="R154" i="9" s="1"/>
  <c r="T154" i="9" s="1"/>
  <c r="N102" i="9"/>
  <c r="O102" i="9" s="1"/>
  <c r="P102" i="9" s="1"/>
  <c r="Q102" i="9" s="1"/>
  <c r="R102" i="9" s="1"/>
  <c r="T102" i="9" s="1"/>
  <c r="N50" i="9"/>
  <c r="O50" i="9" s="1"/>
  <c r="P50" i="9" s="1"/>
  <c r="Q50" i="9" s="1"/>
  <c r="R50" i="9" s="1"/>
  <c r="T50" i="9" s="1"/>
  <c r="N284" i="9"/>
  <c r="O284" i="9" s="1"/>
  <c r="P284" i="9" s="1"/>
  <c r="Q284" i="9" s="1"/>
  <c r="R284" i="9" s="1"/>
  <c r="T284" i="9" s="1"/>
  <c r="M76" i="7"/>
  <c r="P76" i="7" s="1"/>
  <c r="N232" i="9"/>
  <c r="O232" i="9" s="1"/>
  <c r="P232" i="9" s="1"/>
  <c r="Q232" i="9" s="1"/>
  <c r="R232" i="9" s="1"/>
  <c r="T232" i="9" s="1"/>
  <c r="M47" i="7"/>
  <c r="P47" i="7" s="1"/>
  <c r="N203" i="9"/>
  <c r="O203" i="9" s="1"/>
  <c r="P203" i="9" s="1"/>
  <c r="Q203" i="9" s="1"/>
  <c r="R203" i="9" s="1"/>
  <c r="T203" i="9" s="1"/>
  <c r="N99" i="9"/>
  <c r="O99" i="9" s="1"/>
  <c r="P99" i="9" s="1"/>
  <c r="Q99" i="9" s="1"/>
  <c r="R99" i="9" s="1"/>
  <c r="T99" i="9" s="1"/>
  <c r="N151" i="9"/>
  <c r="O151" i="9" s="1"/>
  <c r="P151" i="9" s="1"/>
  <c r="Q151" i="9" s="1"/>
  <c r="R151" i="9" s="1"/>
  <c r="T151" i="9" s="1"/>
  <c r="N47" i="9"/>
  <c r="O47" i="9" s="1"/>
  <c r="P47" i="9" s="1"/>
  <c r="Q47" i="9" s="1"/>
  <c r="R47" i="9" s="1"/>
  <c r="T47" i="9" s="1"/>
  <c r="K41" i="7"/>
  <c r="M42" i="7" s="1"/>
  <c r="P42" i="7" s="1"/>
  <c r="M307" i="9"/>
  <c r="L99" i="7"/>
  <c r="J99" i="7"/>
  <c r="K99" i="7" s="1"/>
  <c r="I99" i="7"/>
  <c r="M255" i="9"/>
  <c r="I105" i="7"/>
  <c r="J105" i="7"/>
  <c r="K105" i="7" s="1"/>
  <c r="M313" i="9"/>
  <c r="M261" i="9"/>
  <c r="L105" i="7"/>
  <c r="P63" i="7"/>
  <c r="M63" i="7"/>
  <c r="N271" i="9"/>
  <c r="O271" i="9" s="1"/>
  <c r="P271" i="9" s="1"/>
  <c r="Q271" i="9" s="1"/>
  <c r="R271" i="9" s="1"/>
  <c r="T271" i="9" s="1"/>
  <c r="N219" i="9"/>
  <c r="O219" i="9" s="1"/>
  <c r="P219" i="9" s="1"/>
  <c r="Q219" i="9" s="1"/>
  <c r="R219" i="9" s="1"/>
  <c r="T219" i="9" s="1"/>
  <c r="P57" i="7"/>
  <c r="M57" i="7"/>
  <c r="N265" i="9"/>
  <c r="O265" i="9" s="1"/>
  <c r="P265" i="9" s="1"/>
  <c r="Q265" i="9" s="1"/>
  <c r="R265" i="9" s="1"/>
  <c r="T265" i="9" s="1"/>
  <c r="N213" i="9"/>
  <c r="O213" i="9" s="1"/>
  <c r="P213" i="9" s="1"/>
  <c r="Q213" i="9" s="1"/>
  <c r="R213" i="9" s="1"/>
  <c r="T213" i="9" s="1"/>
  <c r="P30" i="7"/>
  <c r="M30" i="7"/>
  <c r="N186" i="9"/>
  <c r="O186" i="9" s="1"/>
  <c r="P186" i="9" s="1"/>
  <c r="Q186" i="9" s="1"/>
  <c r="R186" i="9" s="1"/>
  <c r="T186" i="9" s="1"/>
  <c r="N30" i="9"/>
  <c r="O30" i="9" s="1"/>
  <c r="P30" i="9" s="1"/>
  <c r="Q30" i="9" s="1"/>
  <c r="R30" i="9" s="1"/>
  <c r="T30" i="9" s="1"/>
  <c r="N134" i="9"/>
  <c r="O134" i="9" s="1"/>
  <c r="P134" i="9" s="1"/>
  <c r="Q134" i="9" s="1"/>
  <c r="R134" i="9" s="1"/>
  <c r="T134" i="9" s="1"/>
  <c r="N82" i="9"/>
  <c r="O82" i="9" s="1"/>
  <c r="P82" i="9" s="1"/>
  <c r="Q82" i="9" s="1"/>
  <c r="R82" i="9" s="1"/>
  <c r="T82" i="9" s="1"/>
  <c r="P53" i="7"/>
  <c r="M53" i="7"/>
  <c r="N209" i="9"/>
  <c r="O209" i="9" s="1"/>
  <c r="P209" i="9" s="1"/>
  <c r="Q209" i="9" s="1"/>
  <c r="R209" i="9" s="1"/>
  <c r="T209" i="9" s="1"/>
  <c r="N157" i="9"/>
  <c r="O157" i="9" s="1"/>
  <c r="P157" i="9" s="1"/>
  <c r="Q157" i="9" s="1"/>
  <c r="R157" i="9" s="1"/>
  <c r="T157" i="9" s="1"/>
  <c r="N53" i="9"/>
  <c r="O53" i="9" s="1"/>
  <c r="P53" i="9" s="1"/>
  <c r="Q53" i="9" s="1"/>
  <c r="R53" i="9" s="1"/>
  <c r="T53" i="9" s="1"/>
  <c r="N105" i="9"/>
  <c r="O105" i="9" s="1"/>
  <c r="P105" i="9" s="1"/>
  <c r="Q105" i="9" s="1"/>
  <c r="R105" i="9" s="1"/>
  <c r="T105" i="9" s="1"/>
  <c r="P78" i="7"/>
  <c r="M78" i="7"/>
  <c r="N286" i="9"/>
  <c r="O286" i="9" s="1"/>
  <c r="P286" i="9" s="1"/>
  <c r="Q286" i="9" s="1"/>
  <c r="R286" i="9" s="1"/>
  <c r="T286" i="9" s="1"/>
  <c r="N234" i="9"/>
  <c r="O234" i="9" s="1"/>
  <c r="P234" i="9" s="1"/>
  <c r="Q234" i="9" s="1"/>
  <c r="R234" i="9" s="1"/>
  <c r="T234" i="9" s="1"/>
  <c r="J41" i="7"/>
  <c r="J39" i="7"/>
  <c r="K39" i="7" s="1"/>
  <c r="M298" i="9"/>
  <c r="L90" i="7"/>
  <c r="J90" i="7"/>
  <c r="I90" i="7"/>
  <c r="K90" i="7" s="1"/>
  <c r="M246" i="9"/>
  <c r="L96" i="7"/>
  <c r="I96" i="7"/>
  <c r="M304" i="9"/>
  <c r="M252" i="9"/>
  <c r="J96" i="7"/>
  <c r="K96" i="7" s="1"/>
  <c r="M81" i="7" l="1"/>
  <c r="P81" i="7" s="1"/>
  <c r="N289" i="9"/>
  <c r="O289" i="9" s="1"/>
  <c r="P289" i="9" s="1"/>
  <c r="Q289" i="9" s="1"/>
  <c r="R289" i="9" s="1"/>
  <c r="T289" i="9" s="1"/>
  <c r="N237" i="9"/>
  <c r="O237" i="9" s="1"/>
  <c r="P237" i="9" s="1"/>
  <c r="Q237" i="9" s="1"/>
  <c r="R237" i="9" s="1"/>
  <c r="T237" i="9" s="1"/>
  <c r="N293" i="9"/>
  <c r="O293" i="9" s="1"/>
  <c r="P293" i="9" s="1"/>
  <c r="Q293" i="9" s="1"/>
  <c r="R293" i="9" s="1"/>
  <c r="T293" i="9" s="1"/>
  <c r="M85" i="7"/>
  <c r="P85" i="7" s="1"/>
  <c r="N241" i="9"/>
  <c r="O241" i="9" s="1"/>
  <c r="P241" i="9" s="1"/>
  <c r="Q241" i="9" s="1"/>
  <c r="R241" i="9" s="1"/>
  <c r="T241" i="9" s="1"/>
  <c r="M39" i="7"/>
  <c r="P39" i="7" s="1"/>
  <c r="N195" i="9"/>
  <c r="O195" i="9" s="1"/>
  <c r="P195" i="9" s="1"/>
  <c r="Q195" i="9" s="1"/>
  <c r="R195" i="9" s="1"/>
  <c r="T195" i="9" s="1"/>
  <c r="N143" i="9"/>
  <c r="O143" i="9" s="1"/>
  <c r="P143" i="9" s="1"/>
  <c r="Q143" i="9" s="1"/>
  <c r="R143" i="9" s="1"/>
  <c r="T143" i="9" s="1"/>
  <c r="N39" i="9"/>
  <c r="O39" i="9" s="1"/>
  <c r="P39" i="9" s="1"/>
  <c r="Q39" i="9" s="1"/>
  <c r="R39" i="9" s="1"/>
  <c r="T39" i="9" s="1"/>
  <c r="N91" i="9"/>
  <c r="O91" i="9" s="1"/>
  <c r="P91" i="9" s="1"/>
  <c r="Q91" i="9" s="1"/>
  <c r="R91" i="9" s="1"/>
  <c r="T91" i="9" s="1"/>
  <c r="N291" i="9"/>
  <c r="O291" i="9" s="1"/>
  <c r="P291" i="9" s="1"/>
  <c r="Q291" i="9" s="1"/>
  <c r="R291" i="9" s="1"/>
  <c r="T291" i="9" s="1"/>
  <c r="P83" i="7"/>
  <c r="M83" i="7"/>
  <c r="N239" i="9"/>
  <c r="O239" i="9" s="1"/>
  <c r="P239" i="9" s="1"/>
  <c r="Q239" i="9" s="1"/>
  <c r="R239" i="9" s="1"/>
  <c r="T239" i="9" s="1"/>
  <c r="P80" i="7"/>
  <c r="N236" i="9"/>
  <c r="O236" i="9" s="1"/>
  <c r="P236" i="9" s="1"/>
  <c r="Q236" i="9" s="1"/>
  <c r="R236" i="9" s="1"/>
  <c r="T236" i="9" s="1"/>
  <c r="N288" i="9"/>
  <c r="O288" i="9" s="1"/>
  <c r="P288" i="9" s="1"/>
  <c r="Q288" i="9" s="1"/>
  <c r="R288" i="9" s="1"/>
  <c r="T288" i="9" s="1"/>
  <c r="L25" i="7"/>
  <c r="J25" i="7"/>
  <c r="K25" i="7" s="1"/>
  <c r="I25" i="7"/>
  <c r="M181" i="9"/>
  <c r="M129" i="9"/>
  <c r="M25" i="9"/>
  <c r="M77" i="9"/>
  <c r="M61" i="7"/>
  <c r="P61" i="7" s="1"/>
  <c r="N217" i="9"/>
  <c r="O217" i="9" s="1"/>
  <c r="P217" i="9" s="1"/>
  <c r="Q217" i="9" s="1"/>
  <c r="R217" i="9" s="1"/>
  <c r="T217" i="9" s="1"/>
  <c r="N269" i="9"/>
  <c r="O269" i="9" s="1"/>
  <c r="P269" i="9" s="1"/>
  <c r="Q269" i="9" s="1"/>
  <c r="R269" i="9" s="1"/>
  <c r="T269" i="9" s="1"/>
  <c r="L2" i="7"/>
  <c r="J2" i="7"/>
  <c r="I2" i="7"/>
  <c r="K2" i="7" s="1"/>
  <c r="M158" i="9"/>
  <c r="M106" i="9"/>
  <c r="M54" i="9"/>
  <c r="M2" i="9"/>
  <c r="L8" i="7"/>
  <c r="J8" i="7"/>
  <c r="I8" i="7"/>
  <c r="K8" i="7" s="1"/>
  <c r="M164" i="9"/>
  <c r="M112" i="9"/>
  <c r="M60" i="9"/>
  <c r="M8" i="9"/>
  <c r="N292" i="9"/>
  <c r="O292" i="9" s="1"/>
  <c r="P292" i="9" s="1"/>
  <c r="Q292" i="9" s="1"/>
  <c r="R292" i="9" s="1"/>
  <c r="T292" i="9" s="1"/>
  <c r="M84" i="7"/>
  <c r="P84" i="7"/>
  <c r="N240" i="9"/>
  <c r="O240" i="9" s="1"/>
  <c r="P240" i="9" s="1"/>
  <c r="Q240" i="9" s="1"/>
  <c r="R240" i="9" s="1"/>
  <c r="T240" i="9" s="1"/>
  <c r="M35" i="7"/>
  <c r="P35" i="7" s="1"/>
  <c r="N191" i="9"/>
  <c r="O191" i="9" s="1"/>
  <c r="P191" i="9" s="1"/>
  <c r="Q191" i="9" s="1"/>
  <c r="R191" i="9" s="1"/>
  <c r="T191" i="9" s="1"/>
  <c r="N87" i="9"/>
  <c r="O87" i="9" s="1"/>
  <c r="P87" i="9" s="1"/>
  <c r="Q87" i="9" s="1"/>
  <c r="R87" i="9" s="1"/>
  <c r="T87" i="9" s="1"/>
  <c r="N35" i="9"/>
  <c r="O35" i="9" s="1"/>
  <c r="P35" i="9" s="1"/>
  <c r="Q35" i="9" s="1"/>
  <c r="R35" i="9" s="1"/>
  <c r="T35" i="9" s="1"/>
  <c r="N139" i="9"/>
  <c r="O139" i="9" s="1"/>
  <c r="P139" i="9" s="1"/>
  <c r="Q139" i="9" s="1"/>
  <c r="R139" i="9" s="1"/>
  <c r="T139" i="9" s="1"/>
  <c r="N306" i="9"/>
  <c r="O306" i="9" s="1"/>
  <c r="P306" i="9" s="1"/>
  <c r="Q306" i="9" s="1"/>
  <c r="R306" i="9" s="1"/>
  <c r="T306" i="9" s="1"/>
  <c r="N254" i="9"/>
  <c r="O254" i="9" s="1"/>
  <c r="P254" i="9" s="1"/>
  <c r="Q254" i="9" s="1"/>
  <c r="R254" i="9" s="1"/>
  <c r="T254" i="9" s="1"/>
  <c r="M98" i="7"/>
  <c r="P98" i="7" s="1"/>
  <c r="P105" i="7"/>
  <c r="M105" i="7"/>
  <c r="N313" i="9"/>
  <c r="O313" i="9" s="1"/>
  <c r="P313" i="9" s="1"/>
  <c r="Q313" i="9" s="1"/>
  <c r="R313" i="9" s="1"/>
  <c r="T313" i="9" s="1"/>
  <c r="N261" i="9"/>
  <c r="O261" i="9" s="1"/>
  <c r="P261" i="9" s="1"/>
  <c r="Q261" i="9" s="1"/>
  <c r="R261" i="9" s="1"/>
  <c r="T261" i="9" s="1"/>
  <c r="L9" i="7"/>
  <c r="J9" i="7"/>
  <c r="I9" i="7"/>
  <c r="K9" i="7" s="1"/>
  <c r="M165" i="9"/>
  <c r="M113" i="9"/>
  <c r="M9" i="9"/>
  <c r="M61" i="9"/>
  <c r="L15" i="7"/>
  <c r="J15" i="7"/>
  <c r="I15" i="7"/>
  <c r="M171" i="9"/>
  <c r="M119" i="9"/>
  <c r="M67" i="9"/>
  <c r="M15" i="9"/>
  <c r="K94" i="7"/>
  <c r="L24" i="7"/>
  <c r="J24" i="7"/>
  <c r="K24" i="7" s="1"/>
  <c r="I24" i="7"/>
  <c r="M180" i="9"/>
  <c r="M128" i="9"/>
  <c r="M76" i="9"/>
  <c r="M24" i="9"/>
  <c r="K92" i="7"/>
  <c r="L18" i="7"/>
  <c r="J18" i="7"/>
  <c r="K18" i="7" s="1"/>
  <c r="I18" i="7"/>
  <c r="M70" i="9"/>
  <c r="M174" i="9"/>
  <c r="M18" i="9"/>
  <c r="M122" i="9"/>
  <c r="K6" i="7"/>
  <c r="J6" i="7"/>
  <c r="I6" i="7"/>
  <c r="L6" i="7"/>
  <c r="M162" i="9"/>
  <c r="M110" i="9"/>
  <c r="M58" i="9"/>
  <c r="M6" i="9"/>
  <c r="N308" i="9"/>
  <c r="O308" i="9" s="1"/>
  <c r="P308" i="9" s="1"/>
  <c r="Q308" i="9" s="1"/>
  <c r="R308" i="9" s="1"/>
  <c r="T308" i="9" s="1"/>
  <c r="M100" i="7"/>
  <c r="N256" i="9"/>
  <c r="O256" i="9" s="1"/>
  <c r="P256" i="9" s="1"/>
  <c r="Q256" i="9" s="1"/>
  <c r="R256" i="9" s="1"/>
  <c r="T256" i="9" s="1"/>
  <c r="P100" i="7"/>
  <c r="M62" i="7"/>
  <c r="P62" i="7" s="1"/>
  <c r="M97" i="7"/>
  <c r="P97" i="7" s="1"/>
  <c r="N305" i="9"/>
  <c r="O305" i="9" s="1"/>
  <c r="P305" i="9" s="1"/>
  <c r="Q305" i="9" s="1"/>
  <c r="R305" i="9" s="1"/>
  <c r="T305" i="9" s="1"/>
  <c r="N253" i="9"/>
  <c r="O253" i="9" s="1"/>
  <c r="P253" i="9" s="1"/>
  <c r="Q253" i="9" s="1"/>
  <c r="R253" i="9" s="1"/>
  <c r="T253" i="9" s="1"/>
  <c r="M36" i="7"/>
  <c r="P36" i="7" s="1"/>
  <c r="N247" i="9"/>
  <c r="O247" i="9" s="1"/>
  <c r="P247" i="9" s="1"/>
  <c r="Q247" i="9" s="1"/>
  <c r="R247" i="9" s="1"/>
  <c r="T247" i="9" s="1"/>
  <c r="N299" i="9"/>
  <c r="O299" i="9" s="1"/>
  <c r="P299" i="9" s="1"/>
  <c r="Q299" i="9" s="1"/>
  <c r="R299" i="9" s="1"/>
  <c r="T299" i="9" s="1"/>
  <c r="M91" i="7"/>
  <c r="P91" i="7" s="1"/>
  <c r="L7" i="7"/>
  <c r="J7" i="7"/>
  <c r="I7" i="7"/>
  <c r="K7" i="7" s="1"/>
  <c r="M163" i="9"/>
  <c r="M7" i="9"/>
  <c r="M111" i="9"/>
  <c r="M59" i="9"/>
  <c r="L23" i="7"/>
  <c r="J23" i="7"/>
  <c r="K23" i="7" s="1"/>
  <c r="I23" i="7"/>
  <c r="M179" i="9"/>
  <c r="M23" i="9"/>
  <c r="M127" i="9"/>
  <c r="M75" i="9"/>
  <c r="J13" i="7"/>
  <c r="I13" i="7"/>
  <c r="L13" i="7"/>
  <c r="M169" i="9"/>
  <c r="M117" i="9"/>
  <c r="M65" i="9"/>
  <c r="M13" i="9"/>
  <c r="N274" i="9"/>
  <c r="O274" i="9" s="1"/>
  <c r="P274" i="9" s="1"/>
  <c r="Q274" i="9" s="1"/>
  <c r="R274" i="9" s="1"/>
  <c r="T274" i="9" s="1"/>
  <c r="M66" i="7"/>
  <c r="P66" i="7" s="1"/>
  <c r="N222" i="9"/>
  <c r="O222" i="9" s="1"/>
  <c r="P222" i="9" s="1"/>
  <c r="Q222" i="9" s="1"/>
  <c r="R222" i="9" s="1"/>
  <c r="T222" i="9" s="1"/>
  <c r="J22" i="7"/>
  <c r="K22" i="7" s="1"/>
  <c r="I22" i="7"/>
  <c r="L22" i="7"/>
  <c r="M178" i="9"/>
  <c r="M74" i="9"/>
  <c r="M22" i="9"/>
  <c r="M126" i="9"/>
  <c r="M86" i="7"/>
  <c r="P86" i="7" s="1"/>
  <c r="N294" i="9"/>
  <c r="O294" i="9" s="1"/>
  <c r="P294" i="9" s="1"/>
  <c r="Q294" i="9" s="1"/>
  <c r="R294" i="9" s="1"/>
  <c r="T294" i="9" s="1"/>
  <c r="N242" i="9"/>
  <c r="O242" i="9" s="1"/>
  <c r="P242" i="9" s="1"/>
  <c r="Q242" i="9" s="1"/>
  <c r="R242" i="9" s="1"/>
  <c r="T242" i="9" s="1"/>
  <c r="N307" i="9"/>
  <c r="O307" i="9" s="1"/>
  <c r="P307" i="9" s="1"/>
  <c r="Q307" i="9" s="1"/>
  <c r="R307" i="9" s="1"/>
  <c r="T307" i="9" s="1"/>
  <c r="P99" i="7"/>
  <c r="M99" i="7"/>
  <c r="N255" i="9"/>
  <c r="O255" i="9" s="1"/>
  <c r="P255" i="9" s="1"/>
  <c r="Q255" i="9" s="1"/>
  <c r="R255" i="9" s="1"/>
  <c r="T255" i="9" s="1"/>
  <c r="M67" i="7"/>
  <c r="P67" i="7" s="1"/>
  <c r="L14" i="7"/>
  <c r="J14" i="7"/>
  <c r="I14" i="7"/>
  <c r="M170" i="9"/>
  <c r="M14" i="9"/>
  <c r="M118" i="9"/>
  <c r="M66" i="9"/>
  <c r="I4" i="7"/>
  <c r="J4" i="7"/>
  <c r="L4" i="7"/>
  <c r="K4" i="7"/>
  <c r="M108" i="9"/>
  <c r="M160" i="9"/>
  <c r="M56" i="9"/>
  <c r="M4" i="9"/>
  <c r="N298" i="9"/>
  <c r="O298" i="9" s="1"/>
  <c r="P298" i="9" s="1"/>
  <c r="Q298" i="9" s="1"/>
  <c r="R298" i="9" s="1"/>
  <c r="T298" i="9" s="1"/>
  <c r="P90" i="7"/>
  <c r="M90" i="7"/>
  <c r="N246" i="9"/>
  <c r="O246" i="9" s="1"/>
  <c r="P246" i="9" s="1"/>
  <c r="Q246" i="9" s="1"/>
  <c r="R246" i="9" s="1"/>
  <c r="T246" i="9" s="1"/>
  <c r="M40" i="7"/>
  <c r="P40" i="7" s="1"/>
  <c r="N92" i="9"/>
  <c r="O92" i="9" s="1"/>
  <c r="P92" i="9" s="1"/>
  <c r="Q92" i="9" s="1"/>
  <c r="R92" i="9" s="1"/>
  <c r="T92" i="9" s="1"/>
  <c r="N196" i="9"/>
  <c r="O196" i="9" s="1"/>
  <c r="P196" i="9" s="1"/>
  <c r="Q196" i="9" s="1"/>
  <c r="R196" i="9" s="1"/>
  <c r="T196" i="9" s="1"/>
  <c r="N40" i="9"/>
  <c r="O40" i="9" s="1"/>
  <c r="P40" i="9" s="1"/>
  <c r="Q40" i="9" s="1"/>
  <c r="R40" i="9" s="1"/>
  <c r="T40" i="9" s="1"/>
  <c r="N144" i="9"/>
  <c r="O144" i="9" s="1"/>
  <c r="P144" i="9" s="1"/>
  <c r="Q144" i="9" s="1"/>
  <c r="R144" i="9" s="1"/>
  <c r="T144" i="9" s="1"/>
  <c r="D6" i="14"/>
  <c r="E6" i="14" s="1"/>
  <c r="L5" i="7"/>
  <c r="J5" i="7"/>
  <c r="I5" i="7"/>
  <c r="K5" i="7" s="1"/>
  <c r="M161" i="9"/>
  <c r="M5" i="9"/>
  <c r="M57" i="9"/>
  <c r="M109" i="9"/>
  <c r="L11" i="7"/>
  <c r="I11" i="7"/>
  <c r="J11" i="7"/>
  <c r="M115" i="9"/>
  <c r="M167" i="9"/>
  <c r="M63" i="9"/>
  <c r="M11" i="9"/>
  <c r="P37" i="7"/>
  <c r="M37" i="7"/>
  <c r="N193" i="9"/>
  <c r="O193" i="9" s="1"/>
  <c r="P193" i="9" s="1"/>
  <c r="Q193" i="9" s="1"/>
  <c r="R193" i="9" s="1"/>
  <c r="T193" i="9" s="1"/>
  <c r="N37" i="9"/>
  <c r="O37" i="9" s="1"/>
  <c r="P37" i="9" s="1"/>
  <c r="Q37" i="9" s="1"/>
  <c r="R37" i="9" s="1"/>
  <c r="T37" i="9" s="1"/>
  <c r="N89" i="9"/>
  <c r="O89" i="9" s="1"/>
  <c r="P89" i="9" s="1"/>
  <c r="Q89" i="9" s="1"/>
  <c r="R89" i="9" s="1"/>
  <c r="T89" i="9" s="1"/>
  <c r="N141" i="9"/>
  <c r="O141" i="9" s="1"/>
  <c r="P141" i="9" s="1"/>
  <c r="Q141" i="9" s="1"/>
  <c r="R141" i="9" s="1"/>
  <c r="T141" i="9" s="1"/>
  <c r="I20" i="7"/>
  <c r="J20" i="7"/>
  <c r="K20" i="7" s="1"/>
  <c r="M176" i="9"/>
  <c r="M124" i="9"/>
  <c r="L20" i="7"/>
  <c r="M72" i="9"/>
  <c r="M20" i="9"/>
  <c r="N297" i="9"/>
  <c r="O297" i="9" s="1"/>
  <c r="P297" i="9" s="1"/>
  <c r="Q297" i="9" s="1"/>
  <c r="R297" i="9" s="1"/>
  <c r="T297" i="9" s="1"/>
  <c r="N245" i="9"/>
  <c r="O245" i="9" s="1"/>
  <c r="P245" i="9" s="1"/>
  <c r="Q245" i="9" s="1"/>
  <c r="R245" i="9" s="1"/>
  <c r="T245" i="9" s="1"/>
  <c r="K87" i="7"/>
  <c r="L21" i="7"/>
  <c r="J21" i="7"/>
  <c r="K21" i="7" s="1"/>
  <c r="I21" i="7"/>
  <c r="M177" i="9"/>
  <c r="M21" i="9"/>
  <c r="M125" i="9"/>
  <c r="M73" i="9"/>
  <c r="L27" i="7"/>
  <c r="I27" i="7"/>
  <c r="J27" i="7"/>
  <c r="K27" i="7" s="1"/>
  <c r="M131" i="9"/>
  <c r="M79" i="9"/>
  <c r="M183" i="9"/>
  <c r="M27" i="9"/>
  <c r="L12" i="7"/>
  <c r="J12" i="7"/>
  <c r="I12" i="7"/>
  <c r="K12" i="7" s="1"/>
  <c r="M168" i="9"/>
  <c r="M64" i="9"/>
  <c r="M12" i="9"/>
  <c r="M116" i="9"/>
  <c r="N301" i="9"/>
  <c r="O301" i="9" s="1"/>
  <c r="P301" i="9" s="1"/>
  <c r="Q301" i="9" s="1"/>
  <c r="R301" i="9" s="1"/>
  <c r="T301" i="9" s="1"/>
  <c r="N249" i="9"/>
  <c r="O249" i="9" s="1"/>
  <c r="P249" i="9" s="1"/>
  <c r="Q249" i="9" s="1"/>
  <c r="R249" i="9" s="1"/>
  <c r="T249" i="9" s="1"/>
  <c r="D5" i="14"/>
  <c r="E5" i="14" s="1"/>
  <c r="T4" i="6"/>
  <c r="N304" i="9"/>
  <c r="O304" i="9" s="1"/>
  <c r="P304" i="9" s="1"/>
  <c r="Q304" i="9" s="1"/>
  <c r="R304" i="9" s="1"/>
  <c r="T304" i="9" s="1"/>
  <c r="N252" i="9"/>
  <c r="O252" i="9" s="1"/>
  <c r="P252" i="9" s="1"/>
  <c r="Q252" i="9" s="1"/>
  <c r="R252" i="9" s="1"/>
  <c r="T252" i="9" s="1"/>
  <c r="L3" i="7"/>
  <c r="J3" i="7"/>
  <c r="I3" i="7"/>
  <c r="K3" i="7" s="1"/>
  <c r="M55" i="9"/>
  <c r="M3" i="9"/>
  <c r="M159" i="9"/>
  <c r="M107" i="9"/>
  <c r="M43" i="7"/>
  <c r="P43" i="7" s="1"/>
  <c r="N199" i="9"/>
  <c r="O199" i="9" s="1"/>
  <c r="P199" i="9" s="1"/>
  <c r="Q199" i="9" s="1"/>
  <c r="R199" i="9" s="1"/>
  <c r="T199" i="9" s="1"/>
  <c r="N147" i="9"/>
  <c r="O147" i="9" s="1"/>
  <c r="P147" i="9" s="1"/>
  <c r="Q147" i="9" s="1"/>
  <c r="R147" i="9" s="1"/>
  <c r="T147" i="9" s="1"/>
  <c r="N95" i="9"/>
  <c r="O95" i="9" s="1"/>
  <c r="P95" i="9" s="1"/>
  <c r="Q95" i="9" s="1"/>
  <c r="R95" i="9" s="1"/>
  <c r="T95" i="9" s="1"/>
  <c r="N43" i="9"/>
  <c r="O43" i="9" s="1"/>
  <c r="P43" i="9" s="1"/>
  <c r="Q43" i="9" s="1"/>
  <c r="R43" i="9" s="1"/>
  <c r="T43" i="9" s="1"/>
  <c r="M38" i="7"/>
  <c r="P38" i="7" s="1"/>
  <c r="P104" i="7"/>
  <c r="M104" i="7"/>
  <c r="N312" i="9"/>
  <c r="O312" i="9" s="1"/>
  <c r="P312" i="9" s="1"/>
  <c r="Q312" i="9" s="1"/>
  <c r="R312" i="9" s="1"/>
  <c r="T312" i="9" s="1"/>
  <c r="N260" i="9"/>
  <c r="O260" i="9" s="1"/>
  <c r="P260" i="9" s="1"/>
  <c r="Q260" i="9" s="1"/>
  <c r="R260" i="9" s="1"/>
  <c r="T260" i="9" s="1"/>
  <c r="N290" i="9"/>
  <c r="O290" i="9" s="1"/>
  <c r="P290" i="9" s="1"/>
  <c r="Q290" i="9" s="1"/>
  <c r="R290" i="9" s="1"/>
  <c r="T290" i="9" s="1"/>
  <c r="M82" i="7"/>
  <c r="P82" i="7" s="1"/>
  <c r="N238" i="9"/>
  <c r="O238" i="9" s="1"/>
  <c r="P238" i="9" s="1"/>
  <c r="Q238" i="9" s="1"/>
  <c r="R238" i="9" s="1"/>
  <c r="T238" i="9" s="1"/>
  <c r="M41" i="7"/>
  <c r="P41" i="7" s="1"/>
  <c r="N197" i="9"/>
  <c r="O197" i="9" s="1"/>
  <c r="P197" i="9" s="1"/>
  <c r="Q197" i="9" s="1"/>
  <c r="R197" i="9" s="1"/>
  <c r="T197" i="9" s="1"/>
  <c r="N145" i="9"/>
  <c r="O145" i="9" s="1"/>
  <c r="P145" i="9" s="1"/>
  <c r="Q145" i="9" s="1"/>
  <c r="R145" i="9" s="1"/>
  <c r="T145" i="9" s="1"/>
  <c r="N93" i="9"/>
  <c r="O93" i="9" s="1"/>
  <c r="P93" i="9" s="1"/>
  <c r="Q93" i="9" s="1"/>
  <c r="R93" i="9" s="1"/>
  <c r="T93" i="9" s="1"/>
  <c r="N41" i="9"/>
  <c r="O41" i="9" s="1"/>
  <c r="P41" i="9" s="1"/>
  <c r="Q41" i="9" s="1"/>
  <c r="R41" i="9" s="1"/>
  <c r="T41" i="9" s="1"/>
  <c r="L19" i="7"/>
  <c r="J19" i="7"/>
  <c r="K19" i="7" s="1"/>
  <c r="I19" i="7"/>
  <c r="M123" i="9"/>
  <c r="M71" i="9"/>
  <c r="M19" i="9"/>
  <c r="M175" i="9"/>
  <c r="M103" i="7"/>
  <c r="P103" i="7" s="1"/>
  <c r="N311" i="9"/>
  <c r="O311" i="9" s="1"/>
  <c r="P311" i="9" s="1"/>
  <c r="Q311" i="9" s="1"/>
  <c r="R311" i="9" s="1"/>
  <c r="T311" i="9" s="1"/>
  <c r="N259" i="9"/>
  <c r="O259" i="9" s="1"/>
  <c r="P259" i="9" s="1"/>
  <c r="Q259" i="9" s="1"/>
  <c r="R259" i="9" s="1"/>
  <c r="T259" i="9" s="1"/>
  <c r="L10" i="7"/>
  <c r="J10" i="7"/>
  <c r="I10" i="7"/>
  <c r="K10" i="7" s="1"/>
  <c r="M166" i="9"/>
  <c r="M62" i="9"/>
  <c r="M10" i="9"/>
  <c r="M114" i="9"/>
  <c r="K95" i="7"/>
  <c r="L26" i="7"/>
  <c r="J26" i="7"/>
  <c r="K26" i="7" s="1"/>
  <c r="I26" i="7"/>
  <c r="M182" i="9"/>
  <c r="M26" i="9"/>
  <c r="M78" i="9"/>
  <c r="M130" i="9"/>
  <c r="L16" i="7"/>
  <c r="J16" i="7"/>
  <c r="I16" i="7"/>
  <c r="K16" i="7" s="1"/>
  <c r="M172" i="9"/>
  <c r="M16" i="9"/>
  <c r="M68" i="9"/>
  <c r="M120" i="9"/>
  <c r="L17" i="7"/>
  <c r="J17" i="7"/>
  <c r="I17" i="7"/>
  <c r="K17" i="7" s="1"/>
  <c r="M173" i="9"/>
  <c r="M69" i="9"/>
  <c r="M17" i="9"/>
  <c r="M121" i="9"/>
  <c r="N309" i="9"/>
  <c r="O309" i="9" s="1"/>
  <c r="P309" i="9" s="1"/>
  <c r="Q309" i="9" s="1"/>
  <c r="R309" i="9" s="1"/>
  <c r="T309" i="9" s="1"/>
  <c r="M101" i="7"/>
  <c r="P101" i="7" s="1"/>
  <c r="N257" i="9"/>
  <c r="O257" i="9" s="1"/>
  <c r="P257" i="9" s="1"/>
  <c r="Q257" i="9" s="1"/>
  <c r="R257" i="9" s="1"/>
  <c r="T257" i="9" s="1"/>
  <c r="M102" i="7"/>
  <c r="P102" i="7" s="1"/>
  <c r="N310" i="9"/>
  <c r="O310" i="9" s="1"/>
  <c r="P310" i="9" s="1"/>
  <c r="Q310" i="9" s="1"/>
  <c r="R310" i="9" s="1"/>
  <c r="T310" i="9" s="1"/>
  <c r="N258" i="9"/>
  <c r="O258" i="9" s="1"/>
  <c r="P258" i="9" s="1"/>
  <c r="Q258" i="9" s="1"/>
  <c r="R258" i="9" s="1"/>
  <c r="T258" i="9" s="1"/>
  <c r="M60" i="7"/>
  <c r="P60" i="7" s="1"/>
  <c r="N216" i="9"/>
  <c r="O216" i="9" s="1"/>
  <c r="P216" i="9" s="1"/>
  <c r="Q216" i="9" s="1"/>
  <c r="R216" i="9" s="1"/>
  <c r="T216" i="9" s="1"/>
  <c r="N268" i="9"/>
  <c r="O268" i="9" s="1"/>
  <c r="P268" i="9" s="1"/>
  <c r="Q268" i="9" s="1"/>
  <c r="R268" i="9" s="1"/>
  <c r="T268" i="9" s="1"/>
  <c r="K88" i="7"/>
  <c r="M89" i="7" s="1"/>
  <c r="P89" i="7" s="1"/>
  <c r="M5" i="7" l="1"/>
  <c r="P5" i="7" s="1"/>
  <c r="N161" i="9"/>
  <c r="O161" i="9" s="1"/>
  <c r="P161" i="9" s="1"/>
  <c r="Q161" i="9" s="1"/>
  <c r="R161" i="9" s="1"/>
  <c r="T161" i="9" s="1"/>
  <c r="N5" i="9"/>
  <c r="O5" i="9" s="1"/>
  <c r="P5" i="9" s="1"/>
  <c r="Q5" i="9" s="1"/>
  <c r="R5" i="9" s="1"/>
  <c r="T5" i="9" s="1"/>
  <c r="N109" i="9"/>
  <c r="O109" i="9" s="1"/>
  <c r="P109" i="9" s="1"/>
  <c r="Q109" i="9" s="1"/>
  <c r="R109" i="9" s="1"/>
  <c r="T109" i="9" s="1"/>
  <c r="N57" i="9"/>
  <c r="O57" i="9" s="1"/>
  <c r="P57" i="9" s="1"/>
  <c r="Q57" i="9" s="1"/>
  <c r="R57" i="9" s="1"/>
  <c r="T57" i="9" s="1"/>
  <c r="M3" i="7"/>
  <c r="P3" i="7" s="1"/>
  <c r="N159" i="9"/>
  <c r="O159" i="9" s="1"/>
  <c r="P159" i="9" s="1"/>
  <c r="Q159" i="9" s="1"/>
  <c r="R159" i="9" s="1"/>
  <c r="T159" i="9" s="1"/>
  <c r="N55" i="9"/>
  <c r="O55" i="9" s="1"/>
  <c r="P55" i="9" s="1"/>
  <c r="Q55" i="9" s="1"/>
  <c r="R55" i="9" s="1"/>
  <c r="T55" i="9" s="1"/>
  <c r="N3" i="9"/>
  <c r="O3" i="9" s="1"/>
  <c r="P3" i="9" s="1"/>
  <c r="Q3" i="9" s="1"/>
  <c r="R3" i="9" s="1"/>
  <c r="T3" i="9" s="1"/>
  <c r="N107" i="9"/>
  <c r="O107" i="9" s="1"/>
  <c r="P107" i="9" s="1"/>
  <c r="Q107" i="9" s="1"/>
  <c r="R107" i="9" s="1"/>
  <c r="T107" i="9" s="1"/>
  <c r="P2" i="7"/>
  <c r="N158" i="9"/>
  <c r="O158" i="9" s="1"/>
  <c r="P158" i="9" s="1"/>
  <c r="Q158" i="9" s="1"/>
  <c r="R158" i="9" s="1"/>
  <c r="T158" i="9" s="1"/>
  <c r="N106" i="9"/>
  <c r="O106" i="9" s="1"/>
  <c r="P106" i="9" s="1"/>
  <c r="Q106" i="9" s="1"/>
  <c r="R106" i="9" s="1"/>
  <c r="T106" i="9" s="1"/>
  <c r="N54" i="9"/>
  <c r="O54" i="9" s="1"/>
  <c r="P54" i="9" s="1"/>
  <c r="Q54" i="9" s="1"/>
  <c r="R54" i="9" s="1"/>
  <c r="T54" i="9" s="1"/>
  <c r="N2" i="9"/>
  <c r="O2" i="9" s="1"/>
  <c r="P2" i="9" s="1"/>
  <c r="Q2" i="9" s="1"/>
  <c r="R2" i="9" s="1"/>
  <c r="T2" i="9" s="1"/>
  <c r="P7" i="7"/>
  <c r="M7" i="7"/>
  <c r="N163" i="9"/>
  <c r="O163" i="9" s="1"/>
  <c r="P163" i="9" s="1"/>
  <c r="Q163" i="9" s="1"/>
  <c r="R163" i="9" s="1"/>
  <c r="T163" i="9" s="1"/>
  <c r="N7" i="9"/>
  <c r="O7" i="9" s="1"/>
  <c r="P7" i="9" s="1"/>
  <c r="Q7" i="9" s="1"/>
  <c r="R7" i="9" s="1"/>
  <c r="T7" i="9" s="1"/>
  <c r="N111" i="9"/>
  <c r="O111" i="9" s="1"/>
  <c r="P111" i="9" s="1"/>
  <c r="Q111" i="9" s="1"/>
  <c r="R111" i="9" s="1"/>
  <c r="T111" i="9" s="1"/>
  <c r="N59" i="9"/>
  <c r="O59" i="9" s="1"/>
  <c r="P59" i="9" s="1"/>
  <c r="Q59" i="9" s="1"/>
  <c r="R59" i="9" s="1"/>
  <c r="T59" i="9" s="1"/>
  <c r="P23" i="7"/>
  <c r="M23" i="7"/>
  <c r="N179" i="9"/>
  <c r="O179" i="9" s="1"/>
  <c r="P179" i="9" s="1"/>
  <c r="Q179" i="9" s="1"/>
  <c r="R179" i="9" s="1"/>
  <c r="T179" i="9" s="1"/>
  <c r="N23" i="9"/>
  <c r="O23" i="9" s="1"/>
  <c r="P23" i="9" s="1"/>
  <c r="Q23" i="9" s="1"/>
  <c r="R23" i="9" s="1"/>
  <c r="T23" i="9" s="1"/>
  <c r="N127" i="9"/>
  <c r="O127" i="9" s="1"/>
  <c r="P127" i="9" s="1"/>
  <c r="Q127" i="9" s="1"/>
  <c r="R127" i="9" s="1"/>
  <c r="T127" i="9" s="1"/>
  <c r="N75" i="9"/>
  <c r="O75" i="9" s="1"/>
  <c r="P75" i="9" s="1"/>
  <c r="Q75" i="9" s="1"/>
  <c r="R75" i="9" s="1"/>
  <c r="T75" i="9" s="1"/>
  <c r="P21" i="7"/>
  <c r="M21" i="7"/>
  <c r="N177" i="9"/>
  <c r="O177" i="9" s="1"/>
  <c r="P177" i="9" s="1"/>
  <c r="Q177" i="9" s="1"/>
  <c r="R177" i="9" s="1"/>
  <c r="T177" i="9" s="1"/>
  <c r="N21" i="9"/>
  <c r="O21" i="9" s="1"/>
  <c r="P21" i="9" s="1"/>
  <c r="Q21" i="9" s="1"/>
  <c r="R21" i="9" s="1"/>
  <c r="T21" i="9" s="1"/>
  <c r="N125" i="9"/>
  <c r="O125" i="9" s="1"/>
  <c r="P125" i="9" s="1"/>
  <c r="Q125" i="9" s="1"/>
  <c r="R125" i="9" s="1"/>
  <c r="T125" i="9" s="1"/>
  <c r="N73" i="9"/>
  <c r="O73" i="9" s="1"/>
  <c r="P73" i="9" s="1"/>
  <c r="Q73" i="9" s="1"/>
  <c r="R73" i="9" s="1"/>
  <c r="T73" i="9" s="1"/>
  <c r="K15" i="7"/>
  <c r="M8" i="7"/>
  <c r="P8" i="7" s="1"/>
  <c r="N60" i="9"/>
  <c r="O60" i="9" s="1"/>
  <c r="P60" i="9" s="1"/>
  <c r="Q60" i="9" s="1"/>
  <c r="R60" i="9" s="1"/>
  <c r="T60" i="9" s="1"/>
  <c r="N164" i="9"/>
  <c r="O164" i="9" s="1"/>
  <c r="P164" i="9" s="1"/>
  <c r="Q164" i="9" s="1"/>
  <c r="R164" i="9" s="1"/>
  <c r="T164" i="9" s="1"/>
  <c r="N8" i="9"/>
  <c r="O8" i="9" s="1"/>
  <c r="P8" i="9" s="1"/>
  <c r="Q8" i="9" s="1"/>
  <c r="R8" i="9" s="1"/>
  <c r="T8" i="9" s="1"/>
  <c r="N112" i="9"/>
  <c r="O112" i="9" s="1"/>
  <c r="P112" i="9" s="1"/>
  <c r="Q112" i="9" s="1"/>
  <c r="R112" i="9" s="1"/>
  <c r="T112" i="9" s="1"/>
  <c r="M87" i="7"/>
  <c r="P87" i="7" s="1"/>
  <c r="N243" i="9"/>
  <c r="O243" i="9" s="1"/>
  <c r="P243" i="9" s="1"/>
  <c r="Q243" i="9" s="1"/>
  <c r="R243" i="9" s="1"/>
  <c r="T243" i="9" s="1"/>
  <c r="N295" i="9"/>
  <c r="O295" i="9" s="1"/>
  <c r="P295" i="9" s="1"/>
  <c r="Q295" i="9" s="1"/>
  <c r="R295" i="9" s="1"/>
  <c r="T295" i="9" s="1"/>
  <c r="P4" i="7"/>
  <c r="M4" i="7"/>
  <c r="N108" i="9"/>
  <c r="O108" i="9" s="1"/>
  <c r="P108" i="9" s="1"/>
  <c r="Q108" i="9" s="1"/>
  <c r="R108" i="9" s="1"/>
  <c r="T108" i="9" s="1"/>
  <c r="N160" i="9"/>
  <c r="O160" i="9" s="1"/>
  <c r="P160" i="9" s="1"/>
  <c r="Q160" i="9" s="1"/>
  <c r="R160" i="9" s="1"/>
  <c r="T160" i="9" s="1"/>
  <c r="N56" i="9"/>
  <c r="O56" i="9" s="1"/>
  <c r="P56" i="9" s="1"/>
  <c r="Q56" i="9" s="1"/>
  <c r="R56" i="9" s="1"/>
  <c r="T56" i="9" s="1"/>
  <c r="N4" i="9"/>
  <c r="O4" i="9" s="1"/>
  <c r="P4" i="9" s="1"/>
  <c r="Q4" i="9" s="1"/>
  <c r="R4" i="9" s="1"/>
  <c r="T4" i="9" s="1"/>
  <c r="P18" i="7"/>
  <c r="M18" i="7"/>
  <c r="N122" i="9"/>
  <c r="O122" i="9" s="1"/>
  <c r="P122" i="9" s="1"/>
  <c r="Q122" i="9" s="1"/>
  <c r="R122" i="9" s="1"/>
  <c r="T122" i="9" s="1"/>
  <c r="N70" i="9"/>
  <c r="O70" i="9" s="1"/>
  <c r="P70" i="9" s="1"/>
  <c r="Q70" i="9" s="1"/>
  <c r="R70" i="9" s="1"/>
  <c r="T70" i="9" s="1"/>
  <c r="N174" i="9"/>
  <c r="O174" i="9" s="1"/>
  <c r="P174" i="9" s="1"/>
  <c r="Q174" i="9" s="1"/>
  <c r="R174" i="9" s="1"/>
  <c r="T174" i="9" s="1"/>
  <c r="N18" i="9"/>
  <c r="O18" i="9" s="1"/>
  <c r="P18" i="9" s="1"/>
  <c r="Q18" i="9" s="1"/>
  <c r="R18" i="9" s="1"/>
  <c r="T18" i="9" s="1"/>
  <c r="M95" i="7"/>
  <c r="P95" i="7" s="1"/>
  <c r="N303" i="9"/>
  <c r="O303" i="9" s="1"/>
  <c r="P303" i="9" s="1"/>
  <c r="Q303" i="9" s="1"/>
  <c r="R303" i="9" s="1"/>
  <c r="T303" i="9" s="1"/>
  <c r="N251" i="9"/>
  <c r="O251" i="9" s="1"/>
  <c r="P251" i="9" s="1"/>
  <c r="Q251" i="9" s="1"/>
  <c r="R251" i="9" s="1"/>
  <c r="T251" i="9" s="1"/>
  <c r="N300" i="9"/>
  <c r="O300" i="9" s="1"/>
  <c r="P300" i="9" s="1"/>
  <c r="Q300" i="9" s="1"/>
  <c r="R300" i="9" s="1"/>
  <c r="T300" i="9" s="1"/>
  <c r="M92" i="7"/>
  <c r="P92" i="7" s="1"/>
  <c r="N248" i="9"/>
  <c r="O248" i="9" s="1"/>
  <c r="P248" i="9" s="1"/>
  <c r="Q248" i="9" s="1"/>
  <c r="R248" i="9" s="1"/>
  <c r="T248" i="9" s="1"/>
  <c r="M17" i="7"/>
  <c r="P17" i="7" s="1"/>
  <c r="N173" i="9"/>
  <c r="O173" i="9" s="1"/>
  <c r="P173" i="9" s="1"/>
  <c r="Q173" i="9" s="1"/>
  <c r="R173" i="9" s="1"/>
  <c r="T173" i="9" s="1"/>
  <c r="N69" i="9"/>
  <c r="O69" i="9" s="1"/>
  <c r="P69" i="9" s="1"/>
  <c r="Q69" i="9" s="1"/>
  <c r="R69" i="9" s="1"/>
  <c r="T69" i="9" s="1"/>
  <c r="N121" i="9"/>
  <c r="O121" i="9" s="1"/>
  <c r="P121" i="9" s="1"/>
  <c r="Q121" i="9" s="1"/>
  <c r="R121" i="9" s="1"/>
  <c r="T121" i="9" s="1"/>
  <c r="N17" i="9"/>
  <c r="O17" i="9" s="1"/>
  <c r="P17" i="9" s="1"/>
  <c r="Q17" i="9" s="1"/>
  <c r="R17" i="9" s="1"/>
  <c r="T17" i="9" s="1"/>
  <c r="M96" i="7"/>
  <c r="P96" i="7" s="1"/>
  <c r="P25" i="7"/>
  <c r="M25" i="7"/>
  <c r="N129" i="9"/>
  <c r="O129" i="9" s="1"/>
  <c r="P129" i="9" s="1"/>
  <c r="Q129" i="9" s="1"/>
  <c r="R129" i="9" s="1"/>
  <c r="T129" i="9" s="1"/>
  <c r="N181" i="9"/>
  <c r="O181" i="9" s="1"/>
  <c r="P181" i="9" s="1"/>
  <c r="Q181" i="9" s="1"/>
  <c r="R181" i="9" s="1"/>
  <c r="T181" i="9" s="1"/>
  <c r="N77" i="9"/>
  <c r="O77" i="9" s="1"/>
  <c r="P77" i="9" s="1"/>
  <c r="Q77" i="9" s="1"/>
  <c r="R77" i="9" s="1"/>
  <c r="T77" i="9" s="1"/>
  <c r="N25" i="9"/>
  <c r="O25" i="9" s="1"/>
  <c r="P25" i="9" s="1"/>
  <c r="Q25" i="9" s="1"/>
  <c r="R25" i="9" s="1"/>
  <c r="T25" i="9" s="1"/>
  <c r="M88" i="7"/>
  <c r="P88" i="7" s="1"/>
  <c r="N296" i="9"/>
  <c r="O296" i="9" s="1"/>
  <c r="P296" i="9" s="1"/>
  <c r="Q296" i="9" s="1"/>
  <c r="R296" i="9" s="1"/>
  <c r="T296" i="9" s="1"/>
  <c r="N244" i="9"/>
  <c r="O244" i="9" s="1"/>
  <c r="P244" i="9" s="1"/>
  <c r="Q244" i="9" s="1"/>
  <c r="R244" i="9" s="1"/>
  <c r="T244" i="9" s="1"/>
  <c r="N168" i="9"/>
  <c r="O168" i="9" s="1"/>
  <c r="P168" i="9" s="1"/>
  <c r="Q168" i="9" s="1"/>
  <c r="R168" i="9" s="1"/>
  <c r="T168" i="9" s="1"/>
  <c r="N12" i="9"/>
  <c r="O12" i="9" s="1"/>
  <c r="P12" i="9" s="1"/>
  <c r="Q12" i="9" s="1"/>
  <c r="R12" i="9" s="1"/>
  <c r="T12" i="9" s="1"/>
  <c r="N64" i="9"/>
  <c r="O64" i="9" s="1"/>
  <c r="P64" i="9" s="1"/>
  <c r="Q64" i="9" s="1"/>
  <c r="R64" i="9" s="1"/>
  <c r="T64" i="9" s="1"/>
  <c r="N116" i="9"/>
  <c r="O116" i="9" s="1"/>
  <c r="P116" i="9" s="1"/>
  <c r="Q116" i="9" s="1"/>
  <c r="R116" i="9" s="1"/>
  <c r="T116" i="9" s="1"/>
  <c r="K13" i="7"/>
  <c r="M19" i="7"/>
  <c r="P19" i="7" s="1"/>
  <c r="N175" i="9"/>
  <c r="O175" i="9" s="1"/>
  <c r="P175" i="9" s="1"/>
  <c r="Q175" i="9" s="1"/>
  <c r="R175" i="9" s="1"/>
  <c r="T175" i="9" s="1"/>
  <c r="N71" i="9"/>
  <c r="O71" i="9" s="1"/>
  <c r="P71" i="9" s="1"/>
  <c r="Q71" i="9" s="1"/>
  <c r="R71" i="9" s="1"/>
  <c r="T71" i="9" s="1"/>
  <c r="N19" i="9"/>
  <c r="O19" i="9" s="1"/>
  <c r="P19" i="9" s="1"/>
  <c r="Q19" i="9" s="1"/>
  <c r="R19" i="9" s="1"/>
  <c r="T19" i="9" s="1"/>
  <c r="N123" i="9"/>
  <c r="O123" i="9" s="1"/>
  <c r="P123" i="9" s="1"/>
  <c r="Q123" i="9" s="1"/>
  <c r="R123" i="9" s="1"/>
  <c r="T123" i="9" s="1"/>
  <c r="M9" i="7"/>
  <c r="P9" i="7" s="1"/>
  <c r="N165" i="9"/>
  <c r="O165" i="9" s="1"/>
  <c r="P165" i="9" s="1"/>
  <c r="Q165" i="9" s="1"/>
  <c r="R165" i="9" s="1"/>
  <c r="T165" i="9" s="1"/>
  <c r="N113" i="9"/>
  <c r="O113" i="9" s="1"/>
  <c r="P113" i="9" s="1"/>
  <c r="Q113" i="9" s="1"/>
  <c r="R113" i="9" s="1"/>
  <c r="T113" i="9" s="1"/>
  <c r="N61" i="9"/>
  <c r="O61" i="9" s="1"/>
  <c r="P61" i="9" s="1"/>
  <c r="Q61" i="9" s="1"/>
  <c r="R61" i="9" s="1"/>
  <c r="T61" i="9" s="1"/>
  <c r="N9" i="9"/>
  <c r="O9" i="9" s="1"/>
  <c r="P9" i="9" s="1"/>
  <c r="Q9" i="9" s="1"/>
  <c r="R9" i="9" s="1"/>
  <c r="T9" i="9" s="1"/>
  <c r="M16" i="7"/>
  <c r="P16" i="7" s="1"/>
  <c r="N172" i="9"/>
  <c r="O172" i="9" s="1"/>
  <c r="P172" i="9" s="1"/>
  <c r="Q172" i="9" s="1"/>
  <c r="R172" i="9" s="1"/>
  <c r="T172" i="9" s="1"/>
  <c r="N120" i="9"/>
  <c r="O120" i="9" s="1"/>
  <c r="P120" i="9" s="1"/>
  <c r="Q120" i="9" s="1"/>
  <c r="R120" i="9" s="1"/>
  <c r="T120" i="9" s="1"/>
  <c r="N16" i="9"/>
  <c r="O16" i="9" s="1"/>
  <c r="P16" i="9" s="1"/>
  <c r="Q16" i="9" s="1"/>
  <c r="R16" i="9" s="1"/>
  <c r="T16" i="9" s="1"/>
  <c r="N68" i="9"/>
  <c r="O68" i="9" s="1"/>
  <c r="P68" i="9" s="1"/>
  <c r="Q68" i="9" s="1"/>
  <c r="R68" i="9" s="1"/>
  <c r="T68" i="9" s="1"/>
  <c r="K11" i="7"/>
  <c r="P10" i="7"/>
  <c r="M10" i="7"/>
  <c r="N62" i="9"/>
  <c r="O62" i="9" s="1"/>
  <c r="P62" i="9" s="1"/>
  <c r="Q62" i="9" s="1"/>
  <c r="R62" i="9" s="1"/>
  <c r="T62" i="9" s="1"/>
  <c r="N10" i="9"/>
  <c r="O10" i="9" s="1"/>
  <c r="P10" i="9" s="1"/>
  <c r="Q10" i="9" s="1"/>
  <c r="R10" i="9" s="1"/>
  <c r="T10" i="9" s="1"/>
  <c r="N114" i="9"/>
  <c r="O114" i="9" s="1"/>
  <c r="P114" i="9" s="1"/>
  <c r="Q114" i="9" s="1"/>
  <c r="R114" i="9" s="1"/>
  <c r="T114" i="9" s="1"/>
  <c r="N166" i="9"/>
  <c r="O166" i="9" s="1"/>
  <c r="P166" i="9" s="1"/>
  <c r="Q166" i="9" s="1"/>
  <c r="R166" i="9" s="1"/>
  <c r="T166" i="9" s="1"/>
  <c r="K14" i="7"/>
  <c r="M24" i="7"/>
  <c r="P24" i="7"/>
  <c r="N76" i="9"/>
  <c r="O76" i="9" s="1"/>
  <c r="P76" i="9" s="1"/>
  <c r="Q76" i="9" s="1"/>
  <c r="R76" i="9" s="1"/>
  <c r="T76" i="9" s="1"/>
  <c r="N24" i="9"/>
  <c r="O24" i="9" s="1"/>
  <c r="P24" i="9" s="1"/>
  <c r="Q24" i="9" s="1"/>
  <c r="R24" i="9" s="1"/>
  <c r="T24" i="9" s="1"/>
  <c r="N180" i="9"/>
  <c r="O180" i="9" s="1"/>
  <c r="P180" i="9" s="1"/>
  <c r="Q180" i="9" s="1"/>
  <c r="R180" i="9" s="1"/>
  <c r="T180" i="9" s="1"/>
  <c r="N128" i="9"/>
  <c r="O128" i="9" s="1"/>
  <c r="P128" i="9" s="1"/>
  <c r="Q128" i="9" s="1"/>
  <c r="R128" i="9" s="1"/>
  <c r="T128" i="9" s="1"/>
  <c r="M26" i="7"/>
  <c r="P26" i="7" s="1"/>
  <c r="N130" i="9"/>
  <c r="O130" i="9" s="1"/>
  <c r="P130" i="9" s="1"/>
  <c r="Q130" i="9" s="1"/>
  <c r="R130" i="9" s="1"/>
  <c r="T130" i="9" s="1"/>
  <c r="N182" i="9"/>
  <c r="O182" i="9" s="1"/>
  <c r="P182" i="9" s="1"/>
  <c r="Q182" i="9" s="1"/>
  <c r="R182" i="9" s="1"/>
  <c r="T182" i="9" s="1"/>
  <c r="N78" i="9"/>
  <c r="O78" i="9" s="1"/>
  <c r="P78" i="9" s="1"/>
  <c r="Q78" i="9" s="1"/>
  <c r="R78" i="9" s="1"/>
  <c r="T78" i="9" s="1"/>
  <c r="N26" i="9"/>
  <c r="O26" i="9" s="1"/>
  <c r="P26" i="9" s="1"/>
  <c r="Q26" i="9" s="1"/>
  <c r="R26" i="9" s="1"/>
  <c r="T26" i="9" s="1"/>
  <c r="M27" i="7"/>
  <c r="P27" i="7" s="1"/>
  <c r="N183" i="9"/>
  <c r="O183" i="9" s="1"/>
  <c r="P183" i="9" s="1"/>
  <c r="Q183" i="9" s="1"/>
  <c r="R183" i="9" s="1"/>
  <c r="T183" i="9" s="1"/>
  <c r="N131" i="9"/>
  <c r="O131" i="9" s="1"/>
  <c r="P131" i="9" s="1"/>
  <c r="Q131" i="9" s="1"/>
  <c r="R131" i="9" s="1"/>
  <c r="T131" i="9" s="1"/>
  <c r="N79" i="9"/>
  <c r="O79" i="9" s="1"/>
  <c r="P79" i="9" s="1"/>
  <c r="Q79" i="9" s="1"/>
  <c r="R79" i="9" s="1"/>
  <c r="T79" i="9" s="1"/>
  <c r="N27" i="9"/>
  <c r="O27" i="9" s="1"/>
  <c r="P27" i="9" s="1"/>
  <c r="Q27" i="9" s="1"/>
  <c r="R27" i="9" s="1"/>
  <c r="T27" i="9" s="1"/>
  <c r="M93" i="7"/>
  <c r="P93" i="7" s="1"/>
  <c r="M20" i="7"/>
  <c r="P20" i="7" s="1"/>
  <c r="N176" i="9"/>
  <c r="O176" i="9" s="1"/>
  <c r="P176" i="9" s="1"/>
  <c r="Q176" i="9" s="1"/>
  <c r="R176" i="9" s="1"/>
  <c r="T176" i="9" s="1"/>
  <c r="N124" i="9"/>
  <c r="O124" i="9" s="1"/>
  <c r="P124" i="9" s="1"/>
  <c r="Q124" i="9" s="1"/>
  <c r="R124" i="9" s="1"/>
  <c r="T124" i="9" s="1"/>
  <c r="N72" i="9"/>
  <c r="O72" i="9" s="1"/>
  <c r="P72" i="9" s="1"/>
  <c r="Q72" i="9" s="1"/>
  <c r="R72" i="9" s="1"/>
  <c r="T72" i="9" s="1"/>
  <c r="N20" i="9"/>
  <c r="O20" i="9" s="1"/>
  <c r="P20" i="9" s="1"/>
  <c r="Q20" i="9" s="1"/>
  <c r="R20" i="9" s="1"/>
  <c r="T20" i="9" s="1"/>
  <c r="N178" i="9"/>
  <c r="O178" i="9" s="1"/>
  <c r="P178" i="9" s="1"/>
  <c r="Q178" i="9" s="1"/>
  <c r="R178" i="9" s="1"/>
  <c r="T178" i="9" s="1"/>
  <c r="P22" i="7"/>
  <c r="M22" i="7"/>
  <c r="N74" i="9"/>
  <c r="O74" i="9" s="1"/>
  <c r="P74" i="9" s="1"/>
  <c r="Q74" i="9" s="1"/>
  <c r="R74" i="9" s="1"/>
  <c r="T74" i="9" s="1"/>
  <c r="N22" i="9"/>
  <c r="O22" i="9" s="1"/>
  <c r="P22" i="9" s="1"/>
  <c r="Q22" i="9" s="1"/>
  <c r="R22" i="9" s="1"/>
  <c r="T22" i="9" s="1"/>
  <c r="N126" i="9"/>
  <c r="O126" i="9" s="1"/>
  <c r="P126" i="9" s="1"/>
  <c r="Q126" i="9" s="1"/>
  <c r="R126" i="9" s="1"/>
  <c r="T126" i="9" s="1"/>
  <c r="N162" i="9"/>
  <c r="O162" i="9" s="1"/>
  <c r="P162" i="9" s="1"/>
  <c r="Q162" i="9" s="1"/>
  <c r="R162" i="9" s="1"/>
  <c r="T162" i="9" s="1"/>
  <c r="M6" i="7"/>
  <c r="P6" i="7" s="1"/>
  <c r="N110" i="9"/>
  <c r="O110" i="9" s="1"/>
  <c r="P110" i="9" s="1"/>
  <c r="Q110" i="9" s="1"/>
  <c r="R110" i="9" s="1"/>
  <c r="T110" i="9" s="1"/>
  <c r="N58" i="9"/>
  <c r="O58" i="9" s="1"/>
  <c r="P58" i="9" s="1"/>
  <c r="Q58" i="9" s="1"/>
  <c r="R58" i="9" s="1"/>
  <c r="T58" i="9" s="1"/>
  <c r="N6" i="9"/>
  <c r="O6" i="9" s="1"/>
  <c r="P6" i="9" s="1"/>
  <c r="Q6" i="9" s="1"/>
  <c r="R6" i="9" s="1"/>
  <c r="T6" i="9" s="1"/>
  <c r="P94" i="7"/>
  <c r="M94" i="7"/>
  <c r="N250" i="9"/>
  <c r="O250" i="9" s="1"/>
  <c r="P250" i="9" s="1"/>
  <c r="Q250" i="9" s="1"/>
  <c r="R250" i="9" s="1"/>
  <c r="T250" i="9" s="1"/>
  <c r="N302" i="9"/>
  <c r="O302" i="9" s="1"/>
  <c r="P302" i="9" s="1"/>
  <c r="Q302" i="9" s="1"/>
  <c r="R302" i="9" s="1"/>
  <c r="T302" i="9" s="1"/>
  <c r="M11" i="7" l="1"/>
  <c r="P11" i="7" s="1"/>
  <c r="D7" i="14" s="1"/>
  <c r="E7" i="14" s="1"/>
  <c r="N167" i="9"/>
  <c r="O167" i="9" s="1"/>
  <c r="P167" i="9" s="1"/>
  <c r="Q167" i="9" s="1"/>
  <c r="R167" i="9" s="1"/>
  <c r="T167" i="9" s="1"/>
  <c r="N115" i="9"/>
  <c r="O115" i="9" s="1"/>
  <c r="P115" i="9" s="1"/>
  <c r="Q115" i="9" s="1"/>
  <c r="R115" i="9" s="1"/>
  <c r="T115" i="9" s="1"/>
  <c r="N63" i="9"/>
  <c r="O63" i="9" s="1"/>
  <c r="P63" i="9" s="1"/>
  <c r="Q63" i="9" s="1"/>
  <c r="R63" i="9" s="1"/>
  <c r="T63" i="9" s="1"/>
  <c r="N11" i="9"/>
  <c r="O11" i="9" s="1"/>
  <c r="P11" i="9" s="1"/>
  <c r="Q11" i="9" s="1"/>
  <c r="R11" i="9" s="1"/>
  <c r="T11" i="9" s="1"/>
  <c r="N169" i="9"/>
  <c r="O169" i="9" s="1"/>
  <c r="P169" i="9" s="1"/>
  <c r="Q169" i="9" s="1"/>
  <c r="R169" i="9" s="1"/>
  <c r="T169" i="9" s="1"/>
  <c r="M13" i="7"/>
  <c r="P13" i="7" s="1"/>
  <c r="N117" i="9"/>
  <c r="O117" i="9" s="1"/>
  <c r="P117" i="9" s="1"/>
  <c r="Q117" i="9" s="1"/>
  <c r="R117" i="9" s="1"/>
  <c r="T117" i="9" s="1"/>
  <c r="N65" i="9"/>
  <c r="O65" i="9" s="1"/>
  <c r="P65" i="9" s="1"/>
  <c r="Q65" i="9" s="1"/>
  <c r="R65" i="9" s="1"/>
  <c r="T65" i="9" s="1"/>
  <c r="N13" i="9"/>
  <c r="O13" i="9" s="1"/>
  <c r="P13" i="9" s="1"/>
  <c r="Q13" i="9" s="1"/>
  <c r="R13" i="9" s="1"/>
  <c r="T13" i="9" s="1"/>
  <c r="D8" i="14" s="1"/>
  <c r="E8" i="14" s="1"/>
  <c r="D13" i="14" s="1"/>
  <c r="E13" i="14" s="1"/>
  <c r="M12" i="7"/>
  <c r="P12" i="7" s="1"/>
  <c r="P14" i="7"/>
  <c r="M14" i="7"/>
  <c r="N170" i="9"/>
  <c r="O170" i="9" s="1"/>
  <c r="P170" i="9" s="1"/>
  <c r="Q170" i="9" s="1"/>
  <c r="R170" i="9" s="1"/>
  <c r="T170" i="9" s="1"/>
  <c r="N14" i="9"/>
  <c r="O14" i="9" s="1"/>
  <c r="P14" i="9" s="1"/>
  <c r="Q14" i="9" s="1"/>
  <c r="R14" i="9" s="1"/>
  <c r="T14" i="9" s="1"/>
  <c r="N118" i="9"/>
  <c r="O118" i="9" s="1"/>
  <c r="P118" i="9" s="1"/>
  <c r="Q118" i="9" s="1"/>
  <c r="R118" i="9" s="1"/>
  <c r="T118" i="9" s="1"/>
  <c r="N66" i="9"/>
  <c r="O66" i="9" s="1"/>
  <c r="P66" i="9" s="1"/>
  <c r="Q66" i="9" s="1"/>
  <c r="R66" i="9" s="1"/>
  <c r="T66" i="9" s="1"/>
  <c r="M15" i="7"/>
  <c r="N171" i="9"/>
  <c r="O171" i="9" s="1"/>
  <c r="P171" i="9" s="1"/>
  <c r="Q171" i="9" s="1"/>
  <c r="R171" i="9" s="1"/>
  <c r="T171" i="9" s="1"/>
  <c r="N119" i="9"/>
  <c r="O119" i="9" s="1"/>
  <c r="P119" i="9" s="1"/>
  <c r="Q119" i="9" s="1"/>
  <c r="R119" i="9" s="1"/>
  <c r="T119" i="9" s="1"/>
  <c r="N67" i="9"/>
  <c r="O67" i="9" s="1"/>
  <c r="P67" i="9" s="1"/>
  <c r="Q67" i="9" s="1"/>
  <c r="R67" i="9" s="1"/>
  <c r="T67" i="9" s="1"/>
  <c r="P15" i="7"/>
  <c r="N15" i="9"/>
  <c r="O15" i="9" s="1"/>
  <c r="P15" i="9" s="1"/>
  <c r="Q15" i="9" s="1"/>
  <c r="R15" i="9" s="1"/>
  <c r="T1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tc={663CABAC-0061-65D0-87FF-805BA76F2B07}</author>
    <author>tc={8E0C28F8-9947-00D6-B856-EC7F48F21E3C}</author>
    <author>tc={0C30D031-853B-739A-888E-ABA136FA2CD3}</author>
  </authors>
  <commentList>
    <comment ref="B12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Exact 70-30-30 arithmetic: 6.3% controlled + half of 14.7% treated-uncontrolled = 13.65%.</t>
      </text>
    </comment>
    <comment ref="B13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Exact 70-70-70 arithmetic: 34.3% controlled + half of 14.7% treated-uncontrolled = 41.65%.</t>
      </text>
    </comment>
    <comment ref="B14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Editable base case: 6.5% controlled divided by 19.0% treated in the 2023 national cascade = 34.210526% controlled among treated. The peer-reviewed national HbA1c&lt;7 estimate is 32.0%.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tc={FB1AFA0F-BFE4-43CE-ABA3-70B42F20C6F6}</author>
    <author>tc={D57EB27C-FCD9-4655-B4CE-35749D41E75F}</author>
  </authors>
  <commentList>
    <comment ref="L6" authorId="0" shapeId="0" xr:uid="{FB1AFA0F-BFE4-43CE-ABA3-70B42F20C6F6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from 20% because CVD screening would incorporate DM screening</t>
      </text>
    </comment>
    <comment ref="S7" authorId="1" shapeId="0" xr:uid="{D57EB27C-FCD9-4655-B4CE-35749D41E75F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Downscaled to about placeholder$200 dollars per year on average</t>
      </text>
    </comment>
  </commentList>
</comments>
</file>

<file path=xl/sharedStrings.xml><?xml version="1.0" encoding="utf-8"?>
<sst xmlns="http://schemas.openxmlformats.org/spreadsheetml/2006/main" count="5279" uniqueCount="1114">
  <si>
    <t>Indonesia 70-30-30 to 70-70-70 — stand-alone input workbook</t>
  </si>
  <si>
    <t>Formula-driven cascade inputs • NCD-RisC hypertension and diabetes • cholesterol coverage follows hypertension</t>
  </si>
  <si>
    <t>Readiness</t>
  </si>
  <si>
    <t>Interventions</t>
  </si>
  <si>
    <t>Model causes</t>
  </si>
  <si>
    <t>Intervention-cause links</t>
  </si>
  <si>
    <t>How to use the workbook</t>
  </si>
  <si>
    <t>Edit yellow cells only; light-blue cells are formulas or derived values.</t>
  </si>
  <si>
    <t>Review Coverage to audit baseline and target cascade arithmetic; 13.65% and 41.65% are used exactly.</t>
  </si>
  <si>
    <t>Use Coverage_Trajectory for annual intervention coverage and Model_Input_View for model-ready transition multipliers.</t>
  </si>
  <si>
    <t>Run the accompanying R script to create CSV/RDS handoff files; it recomputes formulas from raw inputs.</t>
  </si>
  <si>
    <t>Health outcomes require the calibrated Markov baseline and scenario runner; national cost formulae are supplied in the companion results workbook.</t>
  </si>
  <si>
    <t>Key review items retained explicitly</t>
  </si>
  <si>
    <t>Missing</t>
  </si>
  <si>
    <t>Calibrated national Markov baseline RDS and scenario runner were not supplied; deaths, cases, and life-years cannot yet be recalculated.</t>
  </si>
  <si>
    <t>Review</t>
  </si>
  <si>
    <t>Diabetes control is an editable 34.21% among-treated baseline derived from the 2023 national care cascade and cross-checked against a peer-reviewed 32.0% estimate.</t>
  </si>
  <si>
    <t>Ready</t>
  </si>
  <si>
    <t>Exact effective coverage is 13.65% in 2030 and 41.65% in 2040; no rounded override is applied.</t>
  </si>
  <si>
    <t>Provincial cascade and calibrated disease-burden inputs are absent; the provincial sheet is illustrative only.</t>
  </si>
  <si>
    <t>Updated diabetes screening, non-insulin management, and insulin-management costs are Indonesia-adjusted 2023 USD inputs.</t>
  </si>
  <si>
    <t>Color legend: yellow = editable input • light blue = formula/derived • green = valid • orange/red = review or missing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</si>
  <si>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</si>
  <si>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</si>
  <si>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</si>
  <si>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</si>
  <si>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</si>
  <si>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</si>
  <si>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</si>
  <si>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</si>
  <si>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</si>
  <si>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</si>
  <si>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</si>
  <si>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Agreed analysis horizon</t>
  </si>
  <si>
    <t>analysis_end_year</t>
  </si>
  <si>
    <t>Last modeled year</t>
  </si>
  <si>
    <t>first_target_year</t>
  </si>
  <si>
    <t>Year to achieve 70-30-30</t>
  </si>
  <si>
    <t>World Bank/UW request, 27 Aug 2026</t>
  </si>
  <si>
    <t>final_target_year</t>
  </si>
  <si>
    <t>Year to achieve 70-70-70</t>
  </si>
  <si>
    <t>target_diagnosis_share</t>
  </si>
  <si>
    <t>proportion</t>
  </si>
  <si>
    <t>Diagnosis step for both targets</t>
  </si>
  <si>
    <t>World Bank/UW request</t>
  </si>
  <si>
    <t>first_target_treatment_conditional</t>
  </si>
  <si>
    <t>Treated among diagnosed in 2030</t>
  </si>
  <si>
    <t>70-30-30 definition</t>
  </si>
  <si>
    <t>first_target_control_conditional</t>
  </si>
  <si>
    <t>Controlled among treated in 2030</t>
  </si>
  <si>
    <t>final_target_treatment_conditional</t>
  </si>
  <si>
    <t>Treated among diagnosed in 2040</t>
  </si>
  <si>
    <t>70-70-70 definition</t>
  </si>
  <si>
    <t>final_target_control_conditional</t>
  </si>
  <si>
    <t>Controlled among treated in 2040</t>
  </si>
  <si>
    <t>treated_uncontrolled_effect_fraction</t>
  </si>
  <si>
    <t>share of full effect</t>
  </si>
  <si>
    <t>Effect received when treated but uncontrolled</t>
  </si>
  <si>
    <t>first_target_effective_coverage_exact</t>
  </si>
  <si>
    <t>Exact 70-30-30 effective coverage; no rounding override</t>
  </si>
  <si>
    <t>World Bank/UW cascade specification</t>
  </si>
  <si>
    <t>final_target_effective_coverage_exact</t>
  </si>
  <si>
    <t>Exact 70-70-70 effective coverage; no rounding override</t>
  </si>
  <si>
    <t>diabetes_baseline_control_among_treated</t>
  </si>
  <si>
    <t>Derived as 6.5% controlled / 19.0% treated in the 2023 national diabetes cascade; editable</t>
  </si>
  <si>
    <t>Muharram et al. medRxiv 2026; peer-reviewed national estimate 32.0% HbA1c&lt;7%</t>
  </si>
  <si>
    <t>diabetes_baseline_diagnosis_conditioning</t>
  </si>
  <si>
    <t>Conditions directly on all people with diabetes so reported treatment is reproduced</t>
  </si>
  <si>
    <t>Explicit modeling assumption</t>
  </si>
  <si>
    <t>cholesterol_coverage_proxy</t>
  </si>
  <si>
    <t>hypertension</t>
  </si>
  <si>
    <t>text</t>
  </si>
  <si>
    <t>Cholesterol coverage follows hypertension coverage</t>
  </si>
  <si>
    <t>scale_up_shape</t>
  </si>
  <si>
    <t>piecewise_linear</t>
  </si>
  <si>
    <t>Linear to 2030, then linear to 2040</t>
  </si>
  <si>
    <t>post_target_rule</t>
  </si>
  <si>
    <t>hold</t>
  </si>
  <si>
    <t>Maintain achieved level after 2040</t>
  </si>
  <si>
    <t>prevent_coverage_backsliding</t>
  </si>
  <si>
    <t>0/1</t>
  </si>
  <si>
    <t>When a measured baseline already exceeds a milestone, retain baseline rather than scale down</t>
  </si>
  <si>
    <t>Scale-up interpretation</t>
  </si>
  <si>
    <t>scenario_id</t>
  </si>
  <si>
    <t>S_70_30_30_TO_70_70_70</t>
  </si>
  <si>
    <t>Stable scenario identifier</t>
  </si>
  <si>
    <t>This analysis</t>
  </si>
  <si>
    <t>model_baseline_rds</t>
  </si>
  <si>
    <t>path</t>
  </si>
  <si>
    <t>Calibrated national baseline RDS; required for health outcomes</t>
  </si>
  <si>
    <t>Not supplied</t>
  </si>
  <si>
    <t>model_runner_script</t>
  </si>
  <si>
    <t>Existing Markov scenario runner; required for health outcomes</t>
  </si>
  <si>
    <t>model_output_directory</t>
  </si>
  <si>
    <t>output/70_30_30_to_70_70_70</t>
  </si>
  <si>
    <t>Dedicated output directory</t>
  </si>
  <si>
    <t>cost_discount_rate</t>
  </si>
  <si>
    <t>proportion/year</t>
  </si>
  <si>
    <t>Annual cost discount rate</t>
  </si>
  <si>
    <t>Supplied Indonesia input workbook</t>
  </si>
  <si>
    <t>health_discount_rate</t>
  </si>
  <si>
    <t>Annual health discount rate</t>
  </si>
  <si>
    <t>cost_price_year</t>
  </si>
  <si>
    <t>USD year</t>
  </si>
  <si>
    <t>Reporting price year</t>
  </si>
  <si>
    <t>currency</t>
  </si>
  <si>
    <t>USD</t>
  </si>
  <si>
    <t>Reporting currency</t>
  </si>
  <si>
    <t>intervention_id</t>
  </si>
  <si>
    <t>intervention_name</t>
  </si>
  <si>
    <t>package_group</t>
  </si>
  <si>
    <t>definition</t>
  </si>
  <si>
    <t>cause_id</t>
  </si>
  <si>
    <t>cause_name</t>
  </si>
  <si>
    <t>model_name</t>
  </si>
  <si>
    <t>is_model_cause</t>
  </si>
  <si>
    <t>I_CVD_PRIMARY</t>
  </si>
  <si>
    <t>Primary prevention of CVD</t>
  </si>
  <si>
    <t>Primary CVD prevention</t>
  </si>
  <si>
    <t>Hypertension treatment plus statin coverage, using the agreed cascade</t>
  </si>
  <si>
    <t>C_IHD</t>
  </si>
  <si>
    <t>Ischemic heart disease</t>
  </si>
  <si>
    <t>I_T2D_TREATMENT</t>
  </si>
  <si>
    <t>Longitudinal treatment of type 2 diabetes</t>
  </si>
  <si>
    <t>Diabetes treatment</t>
  </si>
  <si>
    <t>Treatment affects direct diabetes deaths and IHD attributable to high blood glucose</t>
  </si>
  <si>
    <t>C_IS</t>
  </si>
  <si>
    <t>Ischemic stroke</t>
  </si>
  <si>
    <t>C_ICH</t>
  </si>
  <si>
    <t>Intracerebral hemorrhage</t>
  </si>
  <si>
    <t>C_HHD</t>
  </si>
  <si>
    <t>Hypertensive heart disease</t>
  </si>
  <si>
    <t>C_T2D</t>
  </si>
  <si>
    <t>Diabetes mellitus type 2</t>
  </si>
  <si>
    <t>Type 2 diabetes</t>
  </si>
  <si>
    <t>C_SHARED</t>
  </si>
  <si>
    <t>Shared intervention cost</t>
  </si>
  <si>
    <t>Not a disease model</t>
  </si>
  <si>
    <t>intervention_cause_key</t>
  </si>
  <si>
    <t>transition_from</t>
  </si>
  <si>
    <t>transition_to</t>
  </si>
  <si>
    <t>effect_key</t>
  </si>
  <si>
    <t>cost_join_key</t>
  </si>
  <si>
    <t>cost_scope</t>
  </si>
  <si>
    <t>include_flag</t>
  </si>
  <si>
    <t>notes</t>
  </si>
  <si>
    <t>I_CVD_PRIMARY__C_IHD</t>
  </si>
  <si>
    <t>well</t>
  </si>
  <si>
    <t>sick</t>
  </si>
  <si>
    <t>I_CVD_PRIMARY__C_SHARED</t>
  </si>
  <si>
    <t>shared-count-once</t>
  </si>
  <si>
    <t>Hypertension and statin coverage follow the same cascade</t>
  </si>
  <si>
    <t>I_CVD_PRIMARY__C_IS</t>
  </si>
  <si>
    <t>I_CVD_PRIMARY__C_ICH</t>
  </si>
  <si>
    <t>I_CVD_PRIMARY__C_HHD</t>
  </si>
  <si>
    <t>Hypertension coverage drives this link</t>
  </si>
  <si>
    <t>I_T2D_TREATMENT__C_T2D</t>
  </si>
  <si>
    <t>dead_t2d</t>
  </si>
  <si>
    <t>cause-specific</t>
  </si>
  <si>
    <t>Direct diabetes mortality effect</t>
  </si>
  <si>
    <t>I_T2D_TREATMENT__C_IHD</t>
  </si>
  <si>
    <t>IHD attributable to high blood glucose</t>
  </si>
  <si>
    <t>dead_ihd</t>
  </si>
  <si>
    <t>Count diabetes treatment cost once</t>
  </si>
  <si>
    <t>effect_id</t>
  </si>
  <si>
    <t>effect_measure</t>
  </si>
  <si>
    <t>effect_value</t>
  </si>
  <si>
    <t>affected_fraction</t>
  </si>
  <si>
    <t>age_start</t>
  </si>
  <si>
    <t>age_stop</t>
  </si>
  <si>
    <t>sex</t>
  </si>
  <si>
    <t>source_file</t>
  </si>
  <si>
    <t>source_row</t>
  </si>
  <si>
    <t>review_status</t>
  </si>
  <si>
    <t>map_match_count</t>
  </si>
  <si>
    <t>qa_status</t>
  </si>
  <si>
    <t>E_PRIMARY_IHD</t>
  </si>
  <si>
    <t>relative_risk_reduction</t>
  </si>
  <si>
    <t>Both</t>
  </si>
  <si>
    <t>taxonomy_effect_size.xlsx</t>
  </si>
  <si>
    <t>Sheet 1, row 136</t>
  </si>
  <si>
    <t>Provisional</t>
  </si>
  <si>
    <t>Average Fair Choices hypertension/statin effect</t>
  </si>
  <si>
    <t>E_PRIMARY_IS</t>
  </si>
  <si>
    <t>Sheet 1, row 133</t>
  </si>
  <si>
    <t>E_PRIMARY_ICH</t>
  </si>
  <si>
    <t>Sheet 1, row 134</t>
  </si>
  <si>
    <t>E_PRIMARY_HHD</t>
  </si>
  <si>
    <t>Sheet 1, row 135</t>
  </si>
  <si>
    <t>E_T2D_DIRECT</t>
  </si>
  <si>
    <t>Sheet 1, row 173</t>
  </si>
  <si>
    <t>E_T2D_IHD_HBG</t>
  </si>
  <si>
    <t>Sheet 1, row 174</t>
  </si>
  <si>
    <t>Confirm attributable-fraction implementation</t>
  </si>
  <si>
    <t>coverage_id</t>
  </si>
  <si>
    <t>risk_factor_id</t>
  </si>
  <si>
    <t>risk_factor_name</t>
  </si>
  <si>
    <t>milestone</t>
  </si>
  <si>
    <t>diagnosis_step</t>
  </si>
  <si>
    <t>treatment_step_conditional</t>
  </si>
  <si>
    <t>control_step_conditional</t>
  </si>
  <si>
    <t>diagnosed_share_all_condition</t>
  </si>
  <si>
    <t>treated_share_all_condition</t>
  </si>
  <si>
    <t>controlled_share_all_condition</t>
  </si>
  <si>
    <t>treated_uncontrolled_share</t>
  </si>
  <si>
    <t>partial_effect_fraction</t>
  </si>
  <si>
    <t>exact_effective_coverage</t>
  </si>
  <si>
    <t>policy_effective_coverage_override</t>
  </si>
  <si>
    <t>model_effective_coverage</t>
  </si>
  <si>
    <t>assumption_note</t>
  </si>
  <si>
    <t>CVG_RF_HTN_Men_BASE</t>
  </si>
  <si>
    <t>RF_HTN</t>
  </si>
  <si>
    <t>Hypertension</t>
  </si>
  <si>
    <t>Men</t>
  </si>
  <si>
    <t>Baseline</t>
  </si>
  <si>
    <t>NCD-RisC 2019 hypertension cascade</t>
  </si>
  <si>
    <t>Observed diagnosed, treated, and controlled shares.</t>
  </si>
  <si>
    <t>CVG_RF_HTN_Men_2030</t>
  </si>
  <si>
    <t>70-30-30</t>
  </si>
  <si>
    <t>World Bank/UW policy target</t>
  </si>
  <si>
    <t>Exact cascade arithmetic is used without a rounded override.</t>
  </si>
  <si>
    <t>CVG_RF_HTN_Men_2040</t>
  </si>
  <si>
    <t>70-70-70</t>
  </si>
  <si>
    <t>CVG_RF_HTN_Women_BASE</t>
  </si>
  <si>
    <t>Women</t>
  </si>
  <si>
    <t>CVG_RF_HTN_Women_2030</t>
  </si>
  <si>
    <t>CVG_RF_HTN_Women_2040</t>
  </si>
  <si>
    <t>CVG_RF_T2D_Men_BASE</t>
  </si>
  <si>
    <t>RF_T2D</t>
  </si>
  <si>
    <t>NCD-RisC 2022 diabetes treatment</t>
  </si>
  <si>
    <t>Control among treated is the editable national baseline in Assumptions; NCD-RisC supplies treatment.</t>
  </si>
  <si>
    <t>CVG_RF_T2D_Men_2030</t>
  </si>
  <si>
    <t>CVG_RF_T2D_Men_2040</t>
  </si>
  <si>
    <t>CVG_RF_T2D_Women_BASE</t>
  </si>
  <si>
    <t>CVG_RF_T2D_Women_2030</t>
  </si>
  <si>
    <t>CVG_RF_T2D_Women_2040</t>
  </si>
  <si>
    <t>CVG_RF_CHOL_Men_BASE</t>
  </si>
  <si>
    <t>RF_CHOL</t>
  </si>
  <si>
    <t>Cholesterol</t>
  </si>
  <si>
    <t>Proxy from hypertension coverage</t>
  </si>
  <si>
    <t>Cholesterol treatment coverage follows hypertension coverage.</t>
  </si>
  <si>
    <t>CVG_RF_CHOL_Men_2030</t>
  </si>
  <si>
    <t>CVG_RF_CHOL_Men_2040</t>
  </si>
  <si>
    <t>CVG_RF_CHOL_Women_BASE</t>
  </si>
  <si>
    <t>CVG_RF_CHOL_Women_2030</t>
  </si>
  <si>
    <t>CVG_RF_CHOL_Women_2040</t>
  </si>
  <si>
    <t>trajectory_id</t>
  </si>
  <si>
    <t>baseline_effective_coverage</t>
  </si>
  <si>
    <t>target_2030</t>
  </si>
  <si>
    <t>target_2040</t>
  </si>
  <si>
    <t>scenario_effective_coverage</t>
  </si>
  <si>
    <t>status_quo_effective_coverage</t>
  </si>
  <si>
    <t>annual_change</t>
  </si>
  <si>
    <t>phase</t>
  </si>
  <si>
    <t>source_note</t>
  </si>
  <si>
    <t>I_CVD_PRIMARY_Men_2025</t>
  </si>
  <si>
    <t>Scale to 70-30-30</t>
  </si>
  <si>
    <t>Piecewise linear scale-up; hold after 2040</t>
  </si>
  <si>
    <t>I_CVD_PRIMARY_Men_2026</t>
  </si>
  <si>
    <t>I_CVD_PRIMARY_Men_2027</t>
  </si>
  <si>
    <t>I_CVD_PRIMARY_Men_2028</t>
  </si>
  <si>
    <t>I_CVD_PRIMARY_Men_2029</t>
  </si>
  <si>
    <t>I_CVD_PRIMARY_Men_2030</t>
  </si>
  <si>
    <t>I_CVD_PRIMARY_Men_2031</t>
  </si>
  <si>
    <t>Scale to 70-70-70</t>
  </si>
  <si>
    <t>I_CVD_PRIMARY_Men_2032</t>
  </si>
  <si>
    <t>I_CVD_PRIMARY_Men_2033</t>
  </si>
  <si>
    <t>I_CVD_PRIMARY_Men_2034</t>
  </si>
  <si>
    <t>I_CVD_PRIMARY_Men_2035</t>
  </si>
  <si>
    <t>I_CVD_PRIMARY_Men_2036</t>
  </si>
  <si>
    <t>I_CVD_PRIMARY_Men_2037</t>
  </si>
  <si>
    <t>I_CVD_PRIMARY_Men_2038</t>
  </si>
  <si>
    <t>I_CVD_PRIMARY_Men_2039</t>
  </si>
  <si>
    <t>I_CVD_PRIMARY_Men_2040</t>
  </si>
  <si>
    <t>I_CVD_PRIMARY_Men_2041</t>
  </si>
  <si>
    <t>Maintain 70-70-70</t>
  </si>
  <si>
    <t>I_CVD_PRIMARY_Men_2042</t>
  </si>
  <si>
    <t>I_CVD_PRIMARY_Men_2043</t>
  </si>
  <si>
    <t>I_CVD_PRIMARY_Men_2044</t>
  </si>
  <si>
    <t>I_CVD_PRIMARY_Men_2045</t>
  </si>
  <si>
    <t>I_CVD_PRIMARY_Men_2046</t>
  </si>
  <si>
    <t>I_CVD_PRIMARY_Men_2047</t>
  </si>
  <si>
    <t>I_CVD_PRIMARY_Men_2048</t>
  </si>
  <si>
    <t>I_CVD_PRIMARY_Men_2049</t>
  </si>
  <si>
    <t>I_CVD_PRIMARY_Men_2050</t>
  </si>
  <si>
    <t>I_CVD_PRIMARY_Women_2025</t>
  </si>
  <si>
    <t>I_CVD_PRIMARY_Women_2026</t>
  </si>
  <si>
    <t>I_CVD_PRIMARY_Women_2027</t>
  </si>
  <si>
    <t>I_CVD_PRIMARY_Women_2028</t>
  </si>
  <si>
    <t>I_CVD_PRIMARY_Women_2029</t>
  </si>
  <si>
    <t>I_CVD_PRIMARY_Women_2030</t>
  </si>
  <si>
    <t>I_CVD_PRIMARY_Women_2031</t>
  </si>
  <si>
    <t>I_CVD_PRIMARY_Women_2032</t>
  </si>
  <si>
    <t>I_CVD_PRIMARY_Women_2033</t>
  </si>
  <si>
    <t>I_CVD_PRIMARY_Women_2034</t>
  </si>
  <si>
    <t>I_CVD_PRIMARY_Women_2035</t>
  </si>
  <si>
    <t>I_CVD_PRIMARY_Women_2036</t>
  </si>
  <si>
    <t>I_CVD_PRIMARY_Women_2037</t>
  </si>
  <si>
    <t>I_CVD_PRIMARY_Women_2038</t>
  </si>
  <si>
    <t>I_CVD_PRIMARY_Women_2039</t>
  </si>
  <si>
    <t>I_CVD_PRIMARY_Women_2040</t>
  </si>
  <si>
    <t>I_CVD_PRIMARY_Women_2041</t>
  </si>
  <si>
    <t>I_CVD_PRIMARY_Women_2042</t>
  </si>
  <si>
    <t>I_CVD_PRIMARY_Women_2043</t>
  </si>
  <si>
    <t>I_CVD_PRIMARY_Women_2044</t>
  </si>
  <si>
    <t>I_CVD_PRIMARY_Women_2045</t>
  </si>
  <si>
    <t>I_CVD_PRIMARY_Women_2046</t>
  </si>
  <si>
    <t>I_CVD_PRIMARY_Women_2047</t>
  </si>
  <si>
    <t>I_CVD_PRIMARY_Women_2048</t>
  </si>
  <si>
    <t>I_CVD_PRIMARY_Women_2049</t>
  </si>
  <si>
    <t>I_CVD_PRIMARY_Women_2050</t>
  </si>
  <si>
    <t>I_T2D_TREATMENT_Men_2025</t>
  </si>
  <si>
    <t>I_T2D_TREATMENT_Men_2026</t>
  </si>
  <si>
    <t>I_T2D_TREATMENT_Men_2027</t>
  </si>
  <si>
    <t>I_T2D_TREATMENT_Men_2028</t>
  </si>
  <si>
    <t>I_T2D_TREATMENT_Men_2029</t>
  </si>
  <si>
    <t>I_T2D_TREATMENT_Men_2030</t>
  </si>
  <si>
    <t>I_T2D_TREATMENT_Men_2031</t>
  </si>
  <si>
    <t>I_T2D_TREATMENT_Men_2032</t>
  </si>
  <si>
    <t>I_T2D_TREATMENT_Men_2033</t>
  </si>
  <si>
    <t>I_T2D_TREATMENT_Men_2034</t>
  </si>
  <si>
    <t>I_T2D_TREATMENT_Men_2035</t>
  </si>
  <si>
    <t>I_T2D_TREATMENT_Men_2036</t>
  </si>
  <si>
    <t>I_T2D_TREATMENT_Men_2037</t>
  </si>
  <si>
    <t>I_T2D_TREATMENT_Men_2038</t>
  </si>
  <si>
    <t>I_T2D_TREATMENT_Men_2039</t>
  </si>
  <si>
    <t>I_T2D_TREATMENT_Men_2040</t>
  </si>
  <si>
    <t>I_T2D_TREATMENT_Men_2041</t>
  </si>
  <si>
    <t>I_T2D_TREATMENT_Men_2042</t>
  </si>
  <si>
    <t>I_T2D_TREATMENT_Men_2043</t>
  </si>
  <si>
    <t>I_T2D_TREATMENT_Men_2044</t>
  </si>
  <si>
    <t>I_T2D_TREATMENT_Men_2045</t>
  </si>
  <si>
    <t>I_T2D_TREATMENT_Men_2046</t>
  </si>
  <si>
    <t>I_T2D_TREATMENT_Men_2047</t>
  </si>
  <si>
    <t>I_T2D_TREATMENT_Men_2048</t>
  </si>
  <si>
    <t>I_T2D_TREATMENT_Men_2049</t>
  </si>
  <si>
    <t>I_T2D_TREATMENT_Men_2050</t>
  </si>
  <si>
    <t>I_T2D_TREATMENT_Women_2025</t>
  </si>
  <si>
    <t>I_T2D_TREATMENT_Women_2026</t>
  </si>
  <si>
    <t>I_T2D_TREATMENT_Women_2027</t>
  </si>
  <si>
    <t>I_T2D_TREATMENT_Women_2028</t>
  </si>
  <si>
    <t>I_T2D_TREATMENT_Women_2029</t>
  </si>
  <si>
    <t>I_T2D_TREATMENT_Women_2030</t>
  </si>
  <si>
    <t>I_T2D_TREATMENT_Women_2031</t>
  </si>
  <si>
    <t>I_T2D_TREATMENT_Women_2032</t>
  </si>
  <si>
    <t>I_T2D_TREATMENT_Women_2033</t>
  </si>
  <si>
    <t>I_T2D_TREATMENT_Women_2034</t>
  </si>
  <si>
    <t>I_T2D_TREATMENT_Women_2035</t>
  </si>
  <si>
    <t>I_T2D_TREATMENT_Women_2036</t>
  </si>
  <si>
    <t>I_T2D_TREATMENT_Women_2037</t>
  </si>
  <si>
    <t>I_T2D_TREATMENT_Women_2038</t>
  </si>
  <si>
    <t>I_T2D_TREATMENT_Women_2039</t>
  </si>
  <si>
    <t>I_T2D_TREATMENT_Women_2040</t>
  </si>
  <si>
    <t>I_T2D_TREATMENT_Women_2041</t>
  </si>
  <si>
    <t>I_T2D_TREATMENT_Women_2042</t>
  </si>
  <si>
    <t>I_T2D_TREATMENT_Women_2043</t>
  </si>
  <si>
    <t>I_T2D_TREATMENT_Women_2044</t>
  </si>
  <si>
    <t>I_T2D_TREATMENT_Women_2045</t>
  </si>
  <si>
    <t>I_T2D_TREATMENT_Women_2046</t>
  </si>
  <si>
    <t>I_T2D_TREATMENT_Women_2047</t>
  </si>
  <si>
    <t>I_T2D_TREATMENT_Women_2048</t>
  </si>
  <si>
    <t>I_T2D_TREATMENT_Women_2049</t>
  </si>
  <si>
    <t>I_T2D_TREATMENT_Women_2050</t>
  </si>
  <si>
    <t>cost_record_id</t>
  </si>
  <si>
    <t>cost_component_key</t>
  </si>
  <si>
    <t>cost_option</t>
  </si>
  <si>
    <t>selected_for_base_case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</si>
  <si>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</si>
  <si>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</si>
  <si>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</si>
  <si>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</si>
  <si>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</si>
  <si>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</si>
  <si>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</si>
  <si>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</si>
  <si>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</si>
  <si>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</si>
  <si>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selection_count</t>
  </si>
  <si>
    <t>COST_PRIMARY_SCREEN_A</t>
  </si>
  <si>
    <t>CC_PRIMARY_SCREENING</t>
  </si>
  <si>
    <t>Option A (selected)</t>
  </si>
  <si>
    <t>Shared primary CVD cost</t>
  </si>
  <si>
    <t>CVD targeted screening</t>
  </si>
  <si>
    <t>all</t>
  </si>
  <si>
    <t>USD per eligible person-year</t>
  </si>
  <si>
    <t>Health center</t>
  </si>
  <si>
    <t>Tanzania</t>
  </si>
  <si>
    <t>indonesia_model_inputs(7).xlsx</t>
  </si>
  <si>
    <t>Cost_Components row 4</t>
  </si>
  <si>
    <t>Lower salary-adjustment option; confirm selection</t>
  </si>
  <si>
    <t>COST_PRIMARY_SCREEN_B</t>
  </si>
  <si>
    <t>Option B</t>
  </si>
  <si>
    <t>Cost_Components row 5</t>
  </si>
  <si>
    <t>Alternative</t>
  </si>
  <si>
    <t>Alternative salary-adjustment option</t>
  </si>
  <si>
    <t>COST_PRIMARY_TX_A</t>
  </si>
  <si>
    <t>CC_PRIMARY_HTN_STATIN</t>
  </si>
  <si>
    <t>Antihypertensives and statins for absolute CVD risk &gt;20%</t>
  </si>
  <si>
    <t>Cost_Components row 6</t>
  </si>
  <si>
    <t>COST_PRIMARY_TX_B</t>
  </si>
  <si>
    <t>Cost_Components row 7</t>
  </si>
  <si>
    <t>COST_T2D_SCREEN</t>
  </si>
  <si>
    <t>CC_T2D_SCREENING</t>
  </si>
  <si>
    <t>Base</t>
  </si>
  <si>
    <t>Shared diabetes cost</t>
  </si>
  <si>
    <t>Diabetes opportunistic screening</t>
  </si>
  <si>
    <t>2023 USD per eligible person-year</t>
  </si>
  <si>
    <t>India adjusted to Indonesia</t>
  </si>
  <si>
    <t>cvd_unit_cost_indonesia_1_dm(1).xlsx</t>
  </si>
  <si>
    <t>cvd_unit_cost_indonesia row 50</t>
  </si>
  <si>
    <t>Matched to the all-population diabetes screening row in the updated PIN file</t>
  </si>
  <si>
    <t>COST_T2D_NONINSULIN</t>
  </si>
  <si>
    <t>CC_T2D_NONINSULIN</t>
  </si>
  <si>
    <t>Diabetes management, non insulin dependent</t>
  </si>
  <si>
    <t>prevalence</t>
  </si>
  <si>
    <t>2023 USD per patient-year</t>
  </si>
  <si>
    <t>Bangladesh adjusted to Indonesia</t>
  </si>
  <si>
    <t>cvd_unit_cost_indonesia row 51</t>
  </si>
  <si>
    <t>Matched by treated population and cost magnitude to the non-insulin component in the updated PIN file</t>
  </si>
  <si>
    <t>COST_T2D_INSULIN</t>
  </si>
  <si>
    <t>CC_T2D_INSULIN</t>
  </si>
  <si>
    <t>Diabetes management, insulin dependent</t>
  </si>
  <si>
    <t>cvd_unit_cost_indonesia row 52</t>
  </si>
  <si>
    <t>Matched by treated population and cost magnitude to the insulin component in the updated PIN file</t>
  </si>
  <si>
    <t>effect_run_id</t>
  </si>
  <si>
    <t>coverage_increase</t>
  </si>
  <si>
    <t>fairchoices_adjusted_effect</t>
  </si>
  <si>
    <t>adjusted_effect_on_transition</t>
  </si>
  <si>
    <t>transition_multiplier</t>
  </si>
  <si>
    <t>I_CVD_PRIMARY__C_IHD_Men_2025</t>
  </si>
  <si>
    <t>taxonomy_effect_size.xlsx, Sheet 1, row 136</t>
  </si>
  <si>
    <t>I_CVD_PRIMARY__C_IHD_Men_2026</t>
  </si>
  <si>
    <t>I_CVD_PRIMARY__C_IHD_Men_2027</t>
  </si>
  <si>
    <t>I_CVD_PRIMARY__C_IHD_Men_2028</t>
  </si>
  <si>
    <t>I_CVD_PRIMARY__C_IHD_Men_2029</t>
  </si>
  <si>
    <t>I_CVD_PRIMARY__C_IHD_Men_2030</t>
  </si>
  <si>
    <t>I_CVD_PRIMARY__C_IHD_Men_2031</t>
  </si>
  <si>
    <t>I_CVD_PRIMARY__C_IHD_Men_2032</t>
  </si>
  <si>
    <t>I_CVD_PRIMARY__C_IHD_Men_2033</t>
  </si>
  <si>
    <t>I_CVD_PRIMARY__C_IHD_Men_2034</t>
  </si>
  <si>
    <t>I_CVD_PRIMARY__C_IHD_Men_2035</t>
  </si>
  <si>
    <t>I_CVD_PRIMARY__C_IHD_Men_2036</t>
  </si>
  <si>
    <t>I_CVD_PRIMARY__C_IHD_Men_2037</t>
  </si>
  <si>
    <t>I_CVD_PRIMARY__C_IHD_Men_2038</t>
  </si>
  <si>
    <t>I_CVD_PRIMARY__C_IHD_Men_2039</t>
  </si>
  <si>
    <t>I_CVD_PRIMARY__C_IHD_Men_2040</t>
  </si>
  <si>
    <t>I_CVD_PRIMARY__C_IHD_Men_2041</t>
  </si>
  <si>
    <t>I_CVD_PRIMARY__C_IHD_Men_2042</t>
  </si>
  <si>
    <t>I_CVD_PRIMARY__C_IHD_Men_2043</t>
  </si>
  <si>
    <t>I_CVD_PRIMARY__C_IHD_Men_2044</t>
  </si>
  <si>
    <t>I_CVD_PRIMARY__C_IHD_Men_2045</t>
  </si>
  <si>
    <t>I_CVD_PRIMARY__C_IHD_Men_2046</t>
  </si>
  <si>
    <t>I_CVD_PRIMARY__C_IHD_Men_2047</t>
  </si>
  <si>
    <t>I_CVD_PRIMARY__C_IHD_Men_2048</t>
  </si>
  <si>
    <t>I_CVD_PRIMARY__C_IHD_Men_2049</t>
  </si>
  <si>
    <t>I_CVD_PRIMARY__C_IHD_Men_2050</t>
  </si>
  <si>
    <t>I_CVD_PRIMARY__C_IHD_Women_2025</t>
  </si>
  <si>
    <t>I_CVD_PRIMARY__C_IHD_Women_2026</t>
  </si>
  <si>
    <t>I_CVD_PRIMARY__C_IHD_Women_2027</t>
  </si>
  <si>
    <t>I_CVD_PRIMARY__C_IHD_Women_2028</t>
  </si>
  <si>
    <t>I_CVD_PRIMARY__C_IHD_Women_2029</t>
  </si>
  <si>
    <t>I_CVD_PRIMARY__C_IHD_Women_2030</t>
  </si>
  <si>
    <t>I_CVD_PRIMARY__C_IHD_Women_2031</t>
  </si>
  <si>
    <t>I_CVD_PRIMARY__C_IHD_Women_2032</t>
  </si>
  <si>
    <t>I_CVD_PRIMARY__C_IHD_Women_2033</t>
  </si>
  <si>
    <t>I_CVD_PRIMARY__C_IHD_Women_2034</t>
  </si>
  <si>
    <t>I_CVD_PRIMARY__C_IHD_Women_2035</t>
  </si>
  <si>
    <t>I_CVD_PRIMARY__C_IHD_Women_2036</t>
  </si>
  <si>
    <t>I_CVD_PRIMARY__C_IHD_Women_2037</t>
  </si>
  <si>
    <t>I_CVD_PRIMARY__C_IHD_Women_2038</t>
  </si>
  <si>
    <t>I_CVD_PRIMARY__C_IHD_Women_2039</t>
  </si>
  <si>
    <t>I_CVD_PRIMARY__C_IHD_Women_2040</t>
  </si>
  <si>
    <t>I_CVD_PRIMARY__C_IHD_Women_2041</t>
  </si>
  <si>
    <t>I_CVD_PRIMARY__C_IHD_Women_2042</t>
  </si>
  <si>
    <t>I_CVD_PRIMARY__C_IHD_Women_2043</t>
  </si>
  <si>
    <t>I_CVD_PRIMARY__C_IHD_Women_2044</t>
  </si>
  <si>
    <t>I_CVD_PRIMARY__C_IHD_Women_2045</t>
  </si>
  <si>
    <t>I_CVD_PRIMARY__C_IHD_Women_2046</t>
  </si>
  <si>
    <t>I_CVD_PRIMARY__C_IHD_Women_2047</t>
  </si>
  <si>
    <t>I_CVD_PRIMARY__C_IHD_Women_2048</t>
  </si>
  <si>
    <t>I_CVD_PRIMARY__C_IHD_Women_2049</t>
  </si>
  <si>
    <t>I_CVD_PRIMARY__C_IHD_Women_2050</t>
  </si>
  <si>
    <t>I_CVD_PRIMARY__C_IS_Men_2025</t>
  </si>
  <si>
    <t>taxonomy_effect_size.xlsx, Sheet 1, row 133</t>
  </si>
  <si>
    <t>I_CVD_PRIMARY__C_IS_Men_2026</t>
  </si>
  <si>
    <t>I_CVD_PRIMARY__C_IS_Men_2027</t>
  </si>
  <si>
    <t>I_CVD_PRIMARY__C_IS_Men_2028</t>
  </si>
  <si>
    <t>I_CVD_PRIMARY__C_IS_Men_2029</t>
  </si>
  <si>
    <t>I_CVD_PRIMARY__C_IS_Men_2030</t>
  </si>
  <si>
    <t>I_CVD_PRIMARY__C_IS_Men_2031</t>
  </si>
  <si>
    <t>I_CVD_PRIMARY__C_IS_Men_2032</t>
  </si>
  <si>
    <t>I_CVD_PRIMARY__C_IS_Men_2033</t>
  </si>
  <si>
    <t>I_CVD_PRIMARY__C_IS_Men_2034</t>
  </si>
  <si>
    <t>I_CVD_PRIMARY__C_IS_Men_2035</t>
  </si>
  <si>
    <t>I_CVD_PRIMARY__C_IS_Men_2036</t>
  </si>
  <si>
    <t>I_CVD_PRIMARY__C_IS_Men_2037</t>
  </si>
  <si>
    <t>I_CVD_PRIMARY__C_IS_Men_2038</t>
  </si>
  <si>
    <t>I_CVD_PRIMARY__C_IS_Men_2039</t>
  </si>
  <si>
    <t>I_CVD_PRIMARY__C_IS_Men_2040</t>
  </si>
  <si>
    <t>I_CVD_PRIMARY__C_IS_Men_2041</t>
  </si>
  <si>
    <t>I_CVD_PRIMARY__C_IS_Men_2042</t>
  </si>
  <si>
    <t>I_CVD_PRIMARY__C_IS_Men_2043</t>
  </si>
  <si>
    <t>I_CVD_PRIMARY__C_IS_Men_2044</t>
  </si>
  <si>
    <t>I_CVD_PRIMARY__C_IS_Men_2045</t>
  </si>
  <si>
    <t>I_CVD_PRIMARY__C_IS_Men_2046</t>
  </si>
  <si>
    <t>I_CVD_PRIMARY__C_IS_Men_2047</t>
  </si>
  <si>
    <t>I_CVD_PRIMARY__C_IS_Men_2048</t>
  </si>
  <si>
    <t>I_CVD_PRIMARY__C_IS_Men_2049</t>
  </si>
  <si>
    <t>I_CVD_PRIMARY__C_IS_Men_2050</t>
  </si>
  <si>
    <t>I_CVD_PRIMARY__C_IS_Women_2025</t>
  </si>
  <si>
    <t>I_CVD_PRIMARY__C_IS_Women_2026</t>
  </si>
  <si>
    <t>I_CVD_PRIMARY__C_IS_Women_2027</t>
  </si>
  <si>
    <t>I_CVD_PRIMARY__C_IS_Women_2028</t>
  </si>
  <si>
    <t>I_CVD_PRIMARY__C_IS_Women_2029</t>
  </si>
  <si>
    <t>I_CVD_PRIMARY__C_IS_Women_2030</t>
  </si>
  <si>
    <t>I_CVD_PRIMARY__C_IS_Women_2031</t>
  </si>
  <si>
    <t>I_CVD_PRIMARY__C_IS_Women_2032</t>
  </si>
  <si>
    <t>I_CVD_PRIMARY__C_IS_Women_2033</t>
  </si>
  <si>
    <t>I_CVD_PRIMARY__C_IS_Women_2034</t>
  </si>
  <si>
    <t>I_CVD_PRIMARY__C_IS_Women_2035</t>
  </si>
  <si>
    <t>I_CVD_PRIMARY__C_IS_Women_2036</t>
  </si>
  <si>
    <t>I_CVD_PRIMARY__C_IS_Women_2037</t>
  </si>
  <si>
    <t>I_CVD_PRIMARY__C_IS_Women_2038</t>
  </si>
  <si>
    <t>I_CVD_PRIMARY__C_IS_Women_2039</t>
  </si>
  <si>
    <t>I_CVD_PRIMARY__C_IS_Women_2040</t>
  </si>
  <si>
    <t>I_CVD_PRIMARY__C_IS_Women_2041</t>
  </si>
  <si>
    <t>I_CVD_PRIMARY__C_IS_Women_2042</t>
  </si>
  <si>
    <t>I_CVD_PRIMARY__C_IS_Women_2043</t>
  </si>
  <si>
    <t>I_CVD_PRIMARY__C_IS_Women_2044</t>
  </si>
  <si>
    <t>I_CVD_PRIMARY__C_IS_Women_2045</t>
  </si>
  <si>
    <t>I_CVD_PRIMARY__C_IS_Women_2046</t>
  </si>
  <si>
    <t>I_CVD_PRIMARY__C_IS_Women_2047</t>
  </si>
  <si>
    <t>I_CVD_PRIMARY__C_IS_Women_2048</t>
  </si>
  <si>
    <t>I_CVD_PRIMARY__C_IS_Women_2049</t>
  </si>
  <si>
    <t>I_CVD_PRIMARY__C_IS_Women_2050</t>
  </si>
  <si>
    <t>I_CVD_PRIMARY__C_ICH_Men_2025</t>
  </si>
  <si>
    <t>taxonomy_effect_size.xlsx, Sheet 1, row 134</t>
  </si>
  <si>
    <t>I_CVD_PRIMARY__C_ICH_Men_2026</t>
  </si>
  <si>
    <t>I_CVD_PRIMARY__C_ICH_Men_2027</t>
  </si>
  <si>
    <t>I_CVD_PRIMARY__C_ICH_Men_2028</t>
  </si>
  <si>
    <t>I_CVD_PRIMARY__C_ICH_Men_2029</t>
  </si>
  <si>
    <t>I_CVD_PRIMARY__C_ICH_Men_2030</t>
  </si>
  <si>
    <t>I_CVD_PRIMARY__C_ICH_Men_2031</t>
  </si>
  <si>
    <t>I_CVD_PRIMARY__C_ICH_Men_2032</t>
  </si>
  <si>
    <t>I_CVD_PRIMARY__C_ICH_Men_2033</t>
  </si>
  <si>
    <t>I_CVD_PRIMARY__C_ICH_Men_2034</t>
  </si>
  <si>
    <t>I_CVD_PRIMARY__C_ICH_Men_2035</t>
  </si>
  <si>
    <t>I_CVD_PRIMARY__C_ICH_Men_2036</t>
  </si>
  <si>
    <t>I_CVD_PRIMARY__C_ICH_Men_2037</t>
  </si>
  <si>
    <t>I_CVD_PRIMARY__C_ICH_Men_2038</t>
  </si>
  <si>
    <t>I_CVD_PRIMARY__C_ICH_Men_2039</t>
  </si>
  <si>
    <t>I_CVD_PRIMARY__C_ICH_Men_2040</t>
  </si>
  <si>
    <t>I_CVD_PRIMARY__C_ICH_Men_2041</t>
  </si>
  <si>
    <t>I_CVD_PRIMARY__C_ICH_Men_2042</t>
  </si>
  <si>
    <t>I_CVD_PRIMARY__C_ICH_Men_2043</t>
  </si>
  <si>
    <t>I_CVD_PRIMARY__C_ICH_Men_2044</t>
  </si>
  <si>
    <t>I_CVD_PRIMARY__C_ICH_Men_2045</t>
  </si>
  <si>
    <t>I_CVD_PRIMARY__C_ICH_Men_2046</t>
  </si>
  <si>
    <t>I_CVD_PRIMARY__C_ICH_Men_2047</t>
  </si>
  <si>
    <t>I_CVD_PRIMARY__C_ICH_Men_2048</t>
  </si>
  <si>
    <t>I_CVD_PRIMARY__C_ICH_Men_2049</t>
  </si>
  <si>
    <t>I_CVD_PRIMARY__C_ICH_Men_2050</t>
  </si>
  <si>
    <t>I_CVD_PRIMARY__C_ICH_Women_2025</t>
  </si>
  <si>
    <t>I_CVD_PRIMARY__C_ICH_Women_2026</t>
  </si>
  <si>
    <t>I_CVD_PRIMARY__C_ICH_Women_2027</t>
  </si>
  <si>
    <t>I_CVD_PRIMARY__C_ICH_Women_2028</t>
  </si>
  <si>
    <t>I_CVD_PRIMARY__C_ICH_Women_2029</t>
  </si>
  <si>
    <t>I_CVD_PRIMARY__C_ICH_Women_2030</t>
  </si>
  <si>
    <t>I_CVD_PRIMARY__C_ICH_Women_2031</t>
  </si>
  <si>
    <t>I_CVD_PRIMARY__C_ICH_Women_2032</t>
  </si>
  <si>
    <t>I_CVD_PRIMARY__C_ICH_Women_2033</t>
  </si>
  <si>
    <t>I_CVD_PRIMARY__C_ICH_Women_2034</t>
  </si>
  <si>
    <t>I_CVD_PRIMARY__C_ICH_Women_2035</t>
  </si>
  <si>
    <t>I_CVD_PRIMARY__C_ICH_Women_2036</t>
  </si>
  <si>
    <t>I_CVD_PRIMARY__C_ICH_Women_2037</t>
  </si>
  <si>
    <t>I_CVD_PRIMARY__C_ICH_Women_2038</t>
  </si>
  <si>
    <t>I_CVD_PRIMARY__C_ICH_Women_2039</t>
  </si>
  <si>
    <t>I_CVD_PRIMARY__C_ICH_Women_2040</t>
  </si>
  <si>
    <t>I_CVD_PRIMARY__C_ICH_Women_2041</t>
  </si>
  <si>
    <t>I_CVD_PRIMARY__C_ICH_Women_2042</t>
  </si>
  <si>
    <t>I_CVD_PRIMARY__C_ICH_Women_2043</t>
  </si>
  <si>
    <t>I_CVD_PRIMARY__C_ICH_Women_2044</t>
  </si>
  <si>
    <t>I_CVD_PRIMARY__C_ICH_Women_2045</t>
  </si>
  <si>
    <t>I_CVD_PRIMARY__C_ICH_Women_2046</t>
  </si>
  <si>
    <t>I_CVD_PRIMARY__C_ICH_Women_2047</t>
  </si>
  <si>
    <t>I_CVD_PRIMARY__C_ICH_Women_2048</t>
  </si>
  <si>
    <t>I_CVD_PRIMARY__C_ICH_Women_2049</t>
  </si>
  <si>
    <t>I_CVD_PRIMARY__C_ICH_Women_2050</t>
  </si>
  <si>
    <t>I_CVD_PRIMARY__C_HHD_Men_2025</t>
  </si>
  <si>
    <t>taxonomy_effect_size.xlsx, Sheet 1, row 135</t>
  </si>
  <si>
    <t>I_CVD_PRIMARY__C_HHD_Men_2026</t>
  </si>
  <si>
    <t>I_CVD_PRIMARY__C_HHD_Men_2027</t>
  </si>
  <si>
    <t>I_CVD_PRIMARY__C_HHD_Men_2028</t>
  </si>
  <si>
    <t>I_CVD_PRIMARY__C_HHD_Men_2029</t>
  </si>
  <si>
    <t>I_CVD_PRIMARY__C_HHD_Men_2030</t>
  </si>
  <si>
    <t>I_CVD_PRIMARY__C_HHD_Men_2031</t>
  </si>
  <si>
    <t>I_CVD_PRIMARY__C_HHD_Men_2032</t>
  </si>
  <si>
    <t>I_CVD_PRIMARY__C_HHD_Men_2033</t>
  </si>
  <si>
    <t>I_CVD_PRIMARY__C_HHD_Men_2034</t>
  </si>
  <si>
    <t>I_CVD_PRIMARY__C_HHD_Men_2035</t>
  </si>
  <si>
    <t>I_CVD_PRIMARY__C_HHD_Men_2036</t>
  </si>
  <si>
    <t>I_CVD_PRIMARY__C_HHD_Men_2037</t>
  </si>
  <si>
    <t>I_CVD_PRIMARY__C_HHD_Men_2038</t>
  </si>
  <si>
    <t>I_CVD_PRIMARY__C_HHD_Men_2039</t>
  </si>
  <si>
    <t>I_CVD_PRIMARY__C_HHD_Men_2040</t>
  </si>
  <si>
    <t>I_CVD_PRIMARY__C_HHD_Men_2041</t>
  </si>
  <si>
    <t>I_CVD_PRIMARY__C_HHD_Men_2042</t>
  </si>
  <si>
    <t>I_CVD_PRIMARY__C_HHD_Men_2043</t>
  </si>
  <si>
    <t>I_CVD_PRIMARY__C_HHD_Men_2044</t>
  </si>
  <si>
    <t>I_CVD_PRIMARY__C_HHD_Men_2045</t>
  </si>
  <si>
    <t>I_CVD_PRIMARY__C_HHD_Men_2046</t>
  </si>
  <si>
    <t>I_CVD_PRIMARY__C_HHD_Men_2047</t>
  </si>
  <si>
    <t>I_CVD_PRIMARY__C_HHD_Men_2048</t>
  </si>
  <si>
    <t>I_CVD_PRIMARY__C_HHD_Men_2049</t>
  </si>
  <si>
    <t>I_CVD_PRIMARY__C_HHD_Men_2050</t>
  </si>
  <si>
    <t>I_CVD_PRIMARY__C_HHD_Women_2025</t>
  </si>
  <si>
    <t>I_CVD_PRIMARY__C_HHD_Women_2026</t>
  </si>
  <si>
    <t>I_CVD_PRIMARY__C_HHD_Women_2027</t>
  </si>
  <si>
    <t>I_CVD_PRIMARY__C_HHD_Women_2028</t>
  </si>
  <si>
    <t>I_CVD_PRIMARY__C_HHD_Women_2029</t>
  </si>
  <si>
    <t>I_CVD_PRIMARY__C_HHD_Women_2030</t>
  </si>
  <si>
    <t>I_CVD_PRIMARY__C_HHD_Women_2031</t>
  </si>
  <si>
    <t>I_CVD_PRIMARY__C_HHD_Women_2032</t>
  </si>
  <si>
    <t>I_CVD_PRIMARY__C_HHD_Women_2033</t>
  </si>
  <si>
    <t>I_CVD_PRIMARY__C_HHD_Women_2034</t>
  </si>
  <si>
    <t>I_CVD_PRIMARY__C_HHD_Women_2035</t>
  </si>
  <si>
    <t>I_CVD_PRIMARY__C_HHD_Women_2036</t>
  </si>
  <si>
    <t>I_CVD_PRIMARY__C_HHD_Women_2037</t>
  </si>
  <si>
    <t>I_CVD_PRIMARY__C_HHD_Women_2038</t>
  </si>
  <si>
    <t>I_CVD_PRIMARY__C_HHD_Women_2039</t>
  </si>
  <si>
    <t>I_CVD_PRIMARY__C_HHD_Women_2040</t>
  </si>
  <si>
    <t>I_CVD_PRIMARY__C_HHD_Women_2041</t>
  </si>
  <si>
    <t>I_CVD_PRIMARY__C_HHD_Women_2042</t>
  </si>
  <si>
    <t>I_CVD_PRIMARY__C_HHD_Women_2043</t>
  </si>
  <si>
    <t>I_CVD_PRIMARY__C_HHD_Women_2044</t>
  </si>
  <si>
    <t>I_CVD_PRIMARY__C_HHD_Women_2045</t>
  </si>
  <si>
    <t>I_CVD_PRIMARY__C_HHD_Women_2046</t>
  </si>
  <si>
    <t>I_CVD_PRIMARY__C_HHD_Women_2047</t>
  </si>
  <si>
    <t>I_CVD_PRIMARY__C_HHD_Women_2048</t>
  </si>
  <si>
    <t>I_CVD_PRIMARY__C_HHD_Women_2049</t>
  </si>
  <si>
    <t>I_CVD_PRIMARY__C_HHD_Women_2050</t>
  </si>
  <si>
    <t>I_T2D_TREATMENT__C_T2D_Men_2025</t>
  </si>
  <si>
    <t>taxonomy_effect_size.xlsx, Sheet 1, row 173</t>
  </si>
  <si>
    <t>I_T2D_TREATMENT__C_T2D_Men_2026</t>
  </si>
  <si>
    <t>I_T2D_TREATMENT__C_T2D_Men_2027</t>
  </si>
  <si>
    <t>I_T2D_TREATMENT__C_T2D_Men_2028</t>
  </si>
  <si>
    <t>I_T2D_TREATMENT__C_T2D_Men_2029</t>
  </si>
  <si>
    <t>I_T2D_TREATMENT__C_T2D_Men_2030</t>
  </si>
  <si>
    <t>I_T2D_TREATMENT__C_T2D_Men_2031</t>
  </si>
  <si>
    <t>I_T2D_TREATMENT__C_T2D_Men_2032</t>
  </si>
  <si>
    <t>I_T2D_TREATMENT__C_T2D_Men_2033</t>
  </si>
  <si>
    <t>I_T2D_TREATMENT__C_T2D_Men_2034</t>
  </si>
  <si>
    <t>I_T2D_TREATMENT__C_T2D_Men_2035</t>
  </si>
  <si>
    <t>I_T2D_TREATMENT__C_T2D_Men_2036</t>
  </si>
  <si>
    <t>I_T2D_TREATMENT__C_T2D_Men_2037</t>
  </si>
  <si>
    <t>I_T2D_TREATMENT__C_T2D_Men_2038</t>
  </si>
  <si>
    <t>I_T2D_TREATMENT__C_T2D_Men_2039</t>
  </si>
  <si>
    <t>I_T2D_TREATMENT__C_T2D_Men_2040</t>
  </si>
  <si>
    <t>I_T2D_TREATMENT__C_T2D_Men_2041</t>
  </si>
  <si>
    <t>I_T2D_TREATMENT__C_T2D_Men_2042</t>
  </si>
  <si>
    <t>I_T2D_TREATMENT__C_T2D_Men_2043</t>
  </si>
  <si>
    <t>I_T2D_TREATMENT__C_T2D_Men_2044</t>
  </si>
  <si>
    <t>I_T2D_TREATMENT__C_T2D_Men_2045</t>
  </si>
  <si>
    <t>I_T2D_TREATMENT__C_T2D_Men_2046</t>
  </si>
  <si>
    <t>I_T2D_TREATMENT__C_T2D_Men_2047</t>
  </si>
  <si>
    <t>I_T2D_TREATMENT__C_T2D_Men_2048</t>
  </si>
  <si>
    <t>I_T2D_TREATMENT__C_T2D_Men_2049</t>
  </si>
  <si>
    <t>I_T2D_TREATMENT__C_T2D_Men_2050</t>
  </si>
  <si>
    <t>I_T2D_TREATMENT__C_T2D_Women_2025</t>
  </si>
  <si>
    <t>I_T2D_TREATMENT__C_T2D_Women_2026</t>
  </si>
  <si>
    <t>I_T2D_TREATMENT__C_T2D_Women_2027</t>
  </si>
  <si>
    <t>I_T2D_TREATMENT__C_T2D_Women_2028</t>
  </si>
  <si>
    <t>I_T2D_TREATMENT__C_T2D_Women_2029</t>
  </si>
  <si>
    <t>I_T2D_TREATMENT__C_T2D_Women_2030</t>
  </si>
  <si>
    <t>I_T2D_TREATMENT__C_T2D_Women_2031</t>
  </si>
  <si>
    <t>I_T2D_TREATMENT__C_T2D_Women_2032</t>
  </si>
  <si>
    <t>I_T2D_TREATMENT__C_T2D_Women_2033</t>
  </si>
  <si>
    <t>I_T2D_TREATMENT__C_T2D_Women_2034</t>
  </si>
  <si>
    <t>I_T2D_TREATMENT__C_T2D_Women_2035</t>
  </si>
  <si>
    <t>I_T2D_TREATMENT__C_T2D_Women_2036</t>
  </si>
  <si>
    <t>I_T2D_TREATMENT__C_T2D_Women_2037</t>
  </si>
  <si>
    <t>I_T2D_TREATMENT__C_T2D_Women_2038</t>
  </si>
  <si>
    <t>I_T2D_TREATMENT__C_T2D_Women_2039</t>
  </si>
  <si>
    <t>I_T2D_TREATMENT__C_T2D_Women_2040</t>
  </si>
  <si>
    <t>I_T2D_TREATMENT__C_T2D_Women_2041</t>
  </si>
  <si>
    <t>I_T2D_TREATMENT__C_T2D_Women_2042</t>
  </si>
  <si>
    <t>I_T2D_TREATMENT__C_T2D_Women_2043</t>
  </si>
  <si>
    <t>I_T2D_TREATMENT__C_T2D_Women_2044</t>
  </si>
  <si>
    <t>I_T2D_TREATMENT__C_T2D_Women_2045</t>
  </si>
  <si>
    <t>I_T2D_TREATMENT__C_T2D_Women_2046</t>
  </si>
  <si>
    <t>I_T2D_TREATMENT__C_T2D_Women_2047</t>
  </si>
  <si>
    <t>I_T2D_TREATMENT__C_T2D_Women_2048</t>
  </si>
  <si>
    <t>I_T2D_TREATMENT__C_T2D_Women_2049</t>
  </si>
  <si>
    <t>I_T2D_TREATMENT__C_T2D_Women_2050</t>
  </si>
  <si>
    <t>I_T2D_TREATMENT__C_IHD_Men_2025</t>
  </si>
  <si>
    <t>taxonomy_effect_size.xlsx, Sheet 1, row 174</t>
  </si>
  <si>
    <t>I_T2D_TREATMENT__C_IHD_Men_2026</t>
  </si>
  <si>
    <t>I_T2D_TREATMENT__C_IHD_Men_2027</t>
  </si>
  <si>
    <t>I_T2D_TREATMENT__C_IHD_Men_2028</t>
  </si>
  <si>
    <t>I_T2D_TREATMENT__C_IHD_Men_2029</t>
  </si>
  <si>
    <t>I_T2D_TREATMENT__C_IHD_Men_2030</t>
  </si>
  <si>
    <t>I_T2D_TREATMENT__C_IHD_Men_2031</t>
  </si>
  <si>
    <t>I_T2D_TREATMENT__C_IHD_Men_2032</t>
  </si>
  <si>
    <t>I_T2D_TREATMENT__C_IHD_Men_2033</t>
  </si>
  <si>
    <t>I_T2D_TREATMENT__C_IHD_Men_2034</t>
  </si>
  <si>
    <t>I_T2D_TREATMENT__C_IHD_Men_2035</t>
  </si>
  <si>
    <t>I_T2D_TREATMENT__C_IHD_Men_2036</t>
  </si>
  <si>
    <t>I_T2D_TREATMENT__C_IHD_Men_2037</t>
  </si>
  <si>
    <t>I_T2D_TREATMENT__C_IHD_Men_2038</t>
  </si>
  <si>
    <t>I_T2D_TREATMENT__C_IHD_Men_2039</t>
  </si>
  <si>
    <t>I_T2D_TREATMENT__C_IHD_Men_2040</t>
  </si>
  <si>
    <t>I_T2D_TREATMENT__C_IHD_Men_2041</t>
  </si>
  <si>
    <t>I_T2D_TREATMENT__C_IHD_Men_2042</t>
  </si>
  <si>
    <t>I_T2D_TREATMENT__C_IHD_Men_2043</t>
  </si>
  <si>
    <t>I_T2D_TREATMENT__C_IHD_Men_2044</t>
  </si>
  <si>
    <t>I_T2D_TREATMENT__C_IHD_Men_2045</t>
  </si>
  <si>
    <t>I_T2D_TREATMENT__C_IHD_Men_2046</t>
  </si>
  <si>
    <t>I_T2D_TREATMENT__C_IHD_Men_2047</t>
  </si>
  <si>
    <t>I_T2D_TREATMENT__C_IHD_Men_2048</t>
  </si>
  <si>
    <t>I_T2D_TREATMENT__C_IHD_Men_2049</t>
  </si>
  <si>
    <t>I_T2D_TREATMENT__C_IHD_Men_2050</t>
  </si>
  <si>
    <t>I_T2D_TREATMENT__C_IHD_Women_2025</t>
  </si>
  <si>
    <t>I_T2D_TREATMENT__C_IHD_Women_2026</t>
  </si>
  <si>
    <t>I_T2D_TREATMENT__C_IHD_Women_2027</t>
  </si>
  <si>
    <t>I_T2D_TREATMENT__C_IHD_Women_2028</t>
  </si>
  <si>
    <t>I_T2D_TREATMENT__C_IHD_Women_2029</t>
  </si>
  <si>
    <t>I_T2D_TREATMENT__C_IHD_Women_2030</t>
  </si>
  <si>
    <t>I_T2D_TREATMENT__C_IHD_Women_2031</t>
  </si>
  <si>
    <t>I_T2D_TREATMENT__C_IHD_Women_2032</t>
  </si>
  <si>
    <t>I_T2D_TREATMENT__C_IHD_Women_2033</t>
  </si>
  <si>
    <t>I_T2D_TREATMENT__C_IHD_Women_2034</t>
  </si>
  <si>
    <t>I_T2D_TREATMENT__C_IHD_Women_2035</t>
  </si>
  <si>
    <t>I_T2D_TREATMENT__C_IHD_Women_2036</t>
  </si>
  <si>
    <t>I_T2D_TREATMENT__C_IHD_Women_2037</t>
  </si>
  <si>
    <t>I_T2D_TREATMENT__C_IHD_Women_2038</t>
  </si>
  <si>
    <t>I_T2D_TREATMENT__C_IHD_Women_2039</t>
  </si>
  <si>
    <t>I_T2D_TREATMENT__C_IHD_Women_2040</t>
  </si>
  <si>
    <t>I_T2D_TREATMENT__C_IHD_Women_2041</t>
  </si>
  <si>
    <t>I_T2D_TREATMENT__C_IHD_Women_2042</t>
  </si>
  <si>
    <t>I_T2D_TREATMENT__C_IHD_Women_2043</t>
  </si>
  <si>
    <t>I_T2D_TREATMENT__C_IHD_Women_2044</t>
  </si>
  <si>
    <t>I_T2D_TREATMENT__C_IHD_Women_2045</t>
  </si>
  <si>
    <t>I_T2D_TREATMENT__C_IHD_Women_2046</t>
  </si>
  <si>
    <t>I_T2D_TREATMENT__C_IHD_Women_2047</t>
  </si>
  <si>
    <t>I_T2D_TREATMENT__C_IHD_Women_2048</t>
  </si>
  <si>
    <t>I_T2D_TREATMENT__C_IHD_Women_2049</t>
  </si>
  <si>
    <t>I_T2D_TREATMENT__C_IHD_Women_2050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</si>
  <si>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</si>
  <si>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</si>
  <si>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</si>
  <si>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</si>
  <si>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</si>
  <si>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</si>
  <si>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</si>
  <si>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Target cascade</t>
  </si>
  <si>
    <t>treated = diagnosis × conditional treatment; controlled = treated × conditional control</t>
  </si>
  <si>
    <t>Coverage</t>
  </si>
  <si>
    <t>risk_factor_id + sex + milestone</t>
  </si>
  <si>
    <t>Uses conditional cascade steps.</t>
  </si>
  <si>
    <t>M02</t>
  </si>
  <si>
    <t>Treated but uncontrolled</t>
  </si>
  <si>
    <t>treated_uncontrolled = treated - controlled</t>
  </si>
  <si>
    <t>14.7% under both policy targets.</t>
  </si>
  <si>
    <t>M03</t>
  </si>
  <si>
    <t>Effective coverage</t>
  </si>
  <si>
    <t>effective = controlled + partial_effect × treated_uncontrolled</t>
  </si>
  <si>
    <t>Partial effect is 50%.</t>
  </si>
  <si>
    <t>M04</t>
  </si>
  <si>
    <t>Exact policy coverage</t>
  </si>
  <si>
    <t>model_coverage = exact effective coverage</t>
  </si>
  <si>
    <t>Uses 13.65% and 41.65% without rounded overrides.</t>
  </si>
  <si>
    <t>M05</t>
  </si>
  <si>
    <t>Baseline hypertension</t>
  </si>
  <si>
    <t>effective = controlled + 0.5 × (treated - controlled)</t>
  </si>
  <si>
    <t>NCD-RisC 2019.</t>
  </si>
  <si>
    <t>M06</t>
  </si>
  <si>
    <t>Baseline diabetes</t>
  </si>
  <si>
    <t>effective = controlled + 0.5 × (treated - controlled); controlled = treated × control_among_treated</t>
  </si>
  <si>
    <t>Control among treated is editable; base case 34.210526%.</t>
  </si>
  <si>
    <t>M07</t>
  </si>
  <si>
    <t>Cholesterol proxy</t>
  </si>
  <si>
    <t>coverage_cholesterol = coverage_hypertension</t>
  </si>
  <si>
    <t>Requested assumption.</t>
  </si>
  <si>
    <t>M08</t>
  </si>
  <si>
    <t>Piecewise scale-up</t>
  </si>
  <si>
    <t>linear baseline→2030; linear 2030→2040; hold after 2040</t>
  </si>
  <si>
    <t>Coverage_Trajectory</t>
  </si>
  <si>
    <t>intervention_id + sex + year</t>
  </si>
  <si>
    <t>Targets are maintained through 2050.</t>
  </si>
  <si>
    <t>M09</t>
  </si>
  <si>
    <t>Fair Choices effect</t>
  </si>
  <si>
    <t>e_adj = e_crude × delta_coverage / (1 - e_crude × baseline_coverage)</t>
  </si>
  <si>
    <t>Model_Input_View</t>
  </si>
  <si>
    <t>intervention_cause_key + sex + year</t>
  </si>
  <si>
    <t>Same convention as current Indonesia workbook.</t>
  </si>
  <si>
    <t>M10</t>
  </si>
  <si>
    <t>Transition multiplier</t>
  </si>
  <si>
    <t>multiplier = 1 - e_adj × affected_fraction</t>
  </si>
  <si>
    <t>Multiply the named baseline transition before each annual cycle.</t>
  </si>
  <si>
    <t>data_id</t>
  </si>
  <si>
    <t>source_year</t>
  </si>
  <si>
    <t>age_scope</t>
  </si>
  <si>
    <t>diagnosed_among_condition</t>
  </si>
  <si>
    <t>treated_among_condition</t>
  </si>
  <si>
    <t>controlled_among_condition</t>
  </si>
  <si>
    <t>mean_total_cholesterol_mmol_l</t>
  </si>
  <si>
    <t>mean_non_hdl_cholesterol_mmol_l</t>
  </si>
  <si>
    <t>mean_hdl_cholesterol_mmol_l</t>
  </si>
  <si>
    <t>source_url</t>
  </si>
  <si>
    <t>NCDR_HTN_M</t>
  </si>
  <si>
    <t>Age-standardised, 30-79 years</t>
  </si>
  <si>
    <t>NCDRisk Indonesia age standarized.xlsx</t>
  </si>
  <si>
    <t>rows 15-16</t>
  </si>
  <si>
    <t>https://ncdrisc.org/data-downloads-hypertension.html</t>
  </si>
  <si>
    <t>Proportions are among people with hypertension.</t>
  </si>
  <si>
    <t>NCDR_HTN_W</t>
  </si>
  <si>
    <t>rows 15-17</t>
  </si>
  <si>
    <t>NCDR_T2D_M</t>
  </si>
  <si>
    <t>Age-standardised; prevalence 18+, treatment 30+</t>
  </si>
  <si>
    <t>rows 9-10</t>
  </si>
  <si>
    <t>https://doi.org/10.1016/S0140-6736(24)02317-1</t>
  </si>
  <si>
    <t>Attached extract reports treatment but not glycemic control.</t>
  </si>
  <si>
    <t>NCDR_T2D_W</t>
  </si>
  <si>
    <t>rows 9-11</t>
  </si>
  <si>
    <t>NCDR_CHOL_M</t>
  </si>
  <si>
    <t>Age-standardised</t>
  </si>
  <si>
    <t>rows 3-4</t>
  </si>
  <si>
    <t>https://www.ncdrisc.org/data-downloads-base.html</t>
  </si>
  <si>
    <t>Concentrations retained for provenance; treatment coverage follows hypertension.</t>
  </si>
  <si>
    <t>NCDR_CHOL_W</t>
  </si>
  <si>
    <t>rows 3-5</t>
  </si>
  <si>
    <t>province_code</t>
  </si>
  <si>
    <t>province_name</t>
  </si>
  <si>
    <t>baseline_primary_effective_coverage</t>
  </si>
  <si>
    <t>baseline_diabetes_effective_coverage</t>
  </si>
  <si>
    <t>baseline_source</t>
  </si>
  <si>
    <t>capacity_multiplier</t>
  </si>
  <si>
    <t>illustrative_target_2030</t>
  </si>
  <si>
    <t>illustrative_target_2040</t>
  </si>
  <si>
    <t>status</t>
  </si>
  <si>
    <t>caveat</t>
  </si>
  <si>
    <t>11</t>
  </si>
  <si>
    <t>Aceh</t>
  </si>
  <si>
    <t>Local cascade data required</t>
  </si>
  <si>
    <t>Illustrative only</t>
  </si>
  <si>
    <t>PLACEHOLDER - NOT AN EMPIRICAL RESULT</t>
  </si>
  <si>
    <t>12</t>
  </si>
  <si>
    <t>North Sumatra</t>
  </si>
  <si>
    <t>13</t>
  </si>
  <si>
    <t>West Sumatra</t>
  </si>
  <si>
    <t>14</t>
  </si>
  <si>
    <t>Riau</t>
  </si>
  <si>
    <t>15</t>
  </si>
  <si>
    <t>Jambi</t>
  </si>
  <si>
    <t>16</t>
  </si>
  <si>
    <t>South Sumatra</t>
  </si>
  <si>
    <t>17</t>
  </si>
  <si>
    <t>Bengkulu</t>
  </si>
  <si>
    <t>18</t>
  </si>
  <si>
    <t>Lampung</t>
  </si>
  <si>
    <t>19</t>
  </si>
  <si>
    <t>Bangka Belitung Islands</t>
  </si>
  <si>
    <t>21</t>
  </si>
  <si>
    <t>Riau Islands</t>
  </si>
  <si>
    <t>31</t>
  </si>
  <si>
    <t>DKI Jakarta</t>
  </si>
  <si>
    <t>32</t>
  </si>
  <si>
    <t>West Java</t>
  </si>
  <si>
    <t>33</t>
  </si>
  <si>
    <t>Central Java</t>
  </si>
  <si>
    <t>34</t>
  </si>
  <si>
    <t>DI Yogyakarta</t>
  </si>
  <si>
    <t>35</t>
  </si>
  <si>
    <t>East Java</t>
  </si>
  <si>
    <t>36</t>
  </si>
  <si>
    <t>Banten</t>
  </si>
  <si>
    <t>51</t>
  </si>
  <si>
    <t>Bali</t>
  </si>
  <si>
    <t>52</t>
  </si>
  <si>
    <t>West Nusa Tenggara</t>
  </si>
  <si>
    <t>53</t>
  </si>
  <si>
    <t>East Nusa Tenggara</t>
  </si>
  <si>
    <t>61</t>
  </si>
  <si>
    <t>West Kalimantan</t>
  </si>
  <si>
    <t>62</t>
  </si>
  <si>
    <t>Central Kalimantan</t>
  </si>
  <si>
    <t>63</t>
  </si>
  <si>
    <t>South Kalimantan</t>
  </si>
  <si>
    <t>64</t>
  </si>
  <si>
    <t>East Kalimantan</t>
  </si>
  <si>
    <t>65</t>
  </si>
  <si>
    <t>North Kalimantan</t>
  </si>
  <si>
    <t>71</t>
  </si>
  <si>
    <t>North Sulawesi</t>
  </si>
  <si>
    <t>72</t>
  </si>
  <si>
    <t>Central Sulawesi</t>
  </si>
  <si>
    <t>73</t>
  </si>
  <si>
    <t>South Sulawesi</t>
  </si>
  <si>
    <t>74</t>
  </si>
  <si>
    <t>Southeast Sulawesi</t>
  </si>
  <si>
    <t>75</t>
  </si>
  <si>
    <t>Gorontalo</t>
  </si>
  <si>
    <t>76</t>
  </si>
  <si>
    <t>West Sulawesi</t>
  </si>
  <si>
    <t>81</t>
  </si>
  <si>
    <t>Maluku</t>
  </si>
  <si>
    <t>82</t>
  </si>
  <si>
    <t>North Maluku</t>
  </si>
  <si>
    <t>91</t>
  </si>
  <si>
    <t>Papua</t>
  </si>
  <si>
    <t>92</t>
  </si>
  <si>
    <t>West Papua</t>
  </si>
  <si>
    <t>93</t>
  </si>
  <si>
    <t>South Papua</t>
  </si>
  <si>
    <t>94</t>
  </si>
  <si>
    <t>Central Papua</t>
  </si>
  <si>
    <t>95</t>
  </si>
  <si>
    <t>Highland Papua</t>
  </si>
  <si>
    <t>96</t>
  </si>
  <si>
    <t>Southwest Papua</t>
  </si>
  <si>
    <t>source_or_item</t>
  </si>
  <si>
    <t>use</t>
  </si>
  <si>
    <t>location</t>
  </si>
  <si>
    <t>url</t>
  </si>
  <si>
    <t>NCD-RisC hypertension</t>
  </si>
  <si>
    <t>Baseline hypertension prevalence, diagnosis, treatment, and control by sex</t>
  </si>
  <si>
    <t>2019; age-standardised 30-79 years</t>
  </si>
  <si>
    <t>NCD-RisC diabetes</t>
  </si>
  <si>
    <t>Baseline diabetes prevalence and treatment by sex</t>
  </si>
  <si>
    <t>2022; control not supplied</t>
  </si>
  <si>
    <t>Indonesia diabetes cascade</t>
  </si>
  <si>
    <t>Editable baseline glycemic control among treated</t>
  </si>
  <si>
    <t>Muharram et al. 2026 medRxiv</t>
  </si>
  <si>
    <t>https://doi.org/10.64898/2026.07.29.26359228</t>
  </si>
  <si>
    <t>2023 national survey: 19.0% treated and 6.5% controlled among all diabetes; ratio = 34.210526%</t>
  </si>
  <si>
    <t>Indonesia diabetes care performance</t>
  </si>
  <si>
    <t>Peer-reviewed control-rate cross-check</t>
  </si>
  <si>
    <t>Lancet Regional Health - Western Pacific 2025</t>
  </si>
  <si>
    <t>https://doi.org/10.1016/j.lanwpc.2025.101759</t>
  </si>
  <si>
    <t>2023 national survey: 32.0% (95% CI 27.6-36.3) had HbA1c &lt;7%</t>
  </si>
  <si>
    <t>NCD-RisC cholesterol</t>
  </si>
  <si>
    <t>Mean cholesterol concentrations; coverage proxy provenance</t>
  </si>
  <si>
    <t>2018; coverage follows hypertension</t>
  </si>
  <si>
    <t>Indonesia model inputs</t>
  </si>
  <si>
    <t>Effect sizes, affected fractions, cost structure, color and naming conventions</t>
  </si>
  <si>
    <t>Supplied reference workbook</t>
  </si>
  <si>
    <t>Updated diabetes PIN</t>
  </si>
  <si>
    <t>Diabetes screening and treatment population-in-need fractions</t>
  </si>
  <si>
    <t>cvd_input_file_PIN_dm(1).csv</t>
  </si>
  <si>
    <t>Screening 20%; non-insulin management 60%; insulin management 20%</t>
  </si>
  <si>
    <t>Updated unit costs</t>
  </si>
  <si>
    <t>Indonesia-adjusted diabetes unit costs in 2023 USD</t>
  </si>
  <si>
    <t>Rows 50-52; adjustment_2_salary_usd / unit cost + ancillary</t>
  </si>
  <si>
    <t>70-30-30 by 2030; 70-70-70 by 2040; half effect if treated but uncontrolled</t>
  </si>
  <si>
    <t>Inbox - William R Garcia - Outlook- DCP slides(1).pdf</t>
  </si>
  <si>
    <t>27 Aug 2026</t>
  </si>
  <si>
    <t>Technical plan</t>
  </si>
  <si>
    <t>Primary-prevention cascade and provincial framework</t>
  </si>
  <si>
    <t>UW Technical plan for DCP-Indonesia May-Aug 2026 (2)(1).docx</t>
  </si>
  <si>
    <t>Analysis 1</t>
  </si>
  <si>
    <t>Limitation</t>
  </si>
  <si>
    <t>National health and cost outcomes</t>
  </si>
  <si>
    <t>Not available</t>
  </si>
  <si>
    <t>Calibrated Markov baseline and runner were not supplied</t>
  </si>
  <si>
    <t>Provincial results</t>
  </si>
  <si>
    <t>Province-level cascade and calibrated burden were not supplied</t>
  </si>
  <si>
    <t>check_id</t>
  </si>
  <si>
    <t>check</t>
  </si>
  <si>
    <t>expected</t>
  </si>
  <si>
    <t>actual</t>
  </si>
  <si>
    <t>interpretation</t>
  </si>
  <si>
    <t>QA01</t>
  </si>
  <si>
    <t>Exact 70-30-30 effective coverage</t>
  </si>
  <si>
    <t>70% × 30% × 30%, with half effect for treated-uncontrolled</t>
  </si>
  <si>
    <t>QA02</t>
  </si>
  <si>
    <t>Model uses exact 70-30-30 coverage</t>
  </si>
  <si>
    <t>No rounded override</t>
  </si>
  <si>
    <t>QA03</t>
  </si>
  <si>
    <t>Exact 70-70-70 effective coverage</t>
  </si>
  <si>
    <t>70% × 70% × 70%, with half effect for treated-uncontrolled</t>
  </si>
  <si>
    <t>QA04</t>
  </si>
  <si>
    <t>Model uses exact 70-70-70 coverage</t>
  </si>
  <si>
    <t>QA05</t>
  </si>
  <si>
    <t>Coverage rows with bad values</t>
  </si>
  <si>
    <t>All probabilities remain within 0-100%</t>
  </si>
  <si>
    <t>QA06</t>
  </si>
  <si>
    <t>Trajectory rows with bad or decreasing coverage</t>
  </si>
  <si>
    <t>Scale-up is monotonic</t>
  </si>
  <si>
    <t>QA07</t>
  </si>
  <si>
    <t>Model input rows with invalid multipliers</t>
  </si>
  <si>
    <t>Transition multipliers remain in 0-1</t>
  </si>
  <si>
    <t>QA08</t>
  </si>
  <si>
    <t>Included links missing effect rows</t>
  </si>
  <si>
    <t>Every included link has one effect</t>
  </si>
  <si>
    <t>QA09</t>
  </si>
  <si>
    <t>Selected cost rows requiring review</t>
  </si>
  <si>
    <t>All selected diabetes costs are Indonesia-adjusted 2023 USD</t>
  </si>
  <si>
    <t>QA10</t>
  </si>
  <si>
    <t>Baseline model path supplied</t>
  </si>
  <si>
    <t>Required for deaths and cases</t>
  </si>
  <si>
    <t>QA11</t>
  </si>
  <si>
    <t>Model runner path supplied</t>
  </si>
  <si>
    <t>Required for national health outcomes</t>
  </si>
  <si>
    <t>QA12</t>
  </si>
  <si>
    <t>Formula and structure checks</t>
  </si>
  <si>
    <t>Core cascade calculations only</t>
  </si>
  <si>
    <t>QA13</t>
  </si>
  <si>
    <t>Overall readiness</t>
  </si>
  <si>
    <t>MODEL INTEGRATION REQUIRED</t>
  </si>
  <si>
    <t>No mortality result is created without the model</t>
  </si>
  <si>
    <t>date</t>
  </si>
  <si>
    <t>area</t>
  </si>
  <si>
    <t>source_or_reason</t>
  </si>
  <si>
    <t>2026-08-27</t>
  </si>
  <si>
    <t>Scope</t>
  </si>
  <si>
    <t>Created stand-alone 70-30-30 to 70-70-70 analysis package</t>
  </si>
  <si>
    <t>New analysis</t>
  </si>
  <si>
    <t>Removed rounded overrides; model uses exact 13.65% and 41.65% effective coverage</t>
  </si>
  <si>
    <t>Replaced generic 31% proxy with sex-specific NCD-RisC cascade values</t>
  </si>
  <si>
    <t>NCD-RisC</t>
  </si>
  <si>
    <t>Diabetes</t>
  </si>
  <si>
    <t>Added editable 34.210526% control-among-treated baseline from the 2023 national care cascade</t>
  </si>
  <si>
    <t>Muharram et al. 2026</t>
  </si>
  <si>
    <t>Costs</t>
  </si>
  <si>
    <t>Added updated diabetes screening, non-insulin, and insulin-management PIN and Indonesia-adjusted 2023 USD costs</t>
  </si>
  <si>
    <t>Updated DM PIN and unit-cost files</t>
  </si>
  <si>
    <t>Set treatment coverage equal to hypertension coverage</t>
  </si>
  <si>
    <t>Requested assumption</t>
  </si>
  <si>
    <t>Provincial</t>
  </si>
  <si>
    <t>Added clearly labeled illustrative 38-province framework</t>
  </si>
  <si>
    <t>Local data pending</t>
  </si>
  <si>
    <t>downstream_cost_offsets</t>
  </si>
  <si>
    <t>0</t>
  </si>
  <si>
    <t>0/1 flag</t>
  </si>
  <si>
    <t>1</t>
  </si>
  <si>
    <t>Include downstream disease-cost offsets</t>
  </si>
  <si>
    <t>input_file.xlsx</t>
  </si>
  <si>
    <t>economic_perspective</t>
  </si>
  <si>
    <t>health_system</t>
  </si>
  <si>
    <t>text</t>
  </si>
  <si>
    <t>societal</t>
  </si>
  <si>
    <t>Economic evaluation perspective</t>
  </si>
  <si>
    <t>Working assumption</t>
  </si>
  <si>
    <t>bca_base_year</t>
  </si>
  <si>
    <t>2025</t>
  </si>
  <si>
    <t>year</t>
  </si>
  <si>
    <t>2026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</si>
  <si>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</si>
  <si>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</si>
  <si>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</si>
  <si>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0.03</t>
  </si>
  <si>
    <t>proportion/year</t>
  </si>
  <si>
    <t>0.05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</si>
  <si>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</si>
  <si>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</si>
  <si>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</si>
  <si>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</si>
  <si>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</si>
  <si>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</si>
  <si>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0.08</t>
  </si>
  <si>
    <t>0.06</t>
  </si>
  <si>
    <t>0.1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</si>
  <si>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</si>
  <si>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</si>
  <si>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</si>
  <si>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160</t>
  </si>
  <si>
    <t>ratio (VSL/GNI per capita)</t>
  </si>
  <si>
    <t>100</t>
  </si>
  <si>
    <t>230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</si>
  <si>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</si>
  <si>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</si>
  <si>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</si>
  <si>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1.5</t>
  </si>
  <si>
    <t>elasticity</t>
  </si>
  <si>
    <t>Income elasticity of VSL for LMIC extrapolation (preferred / reference case)</t>
  </si>
  <si>
    <t>vsl_floor_gni_multiple</t>
  </si>
  <si>
    <t>20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</si>
  <si>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</si>
  <si>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</si>
  <si>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</si>
  <si>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</si>
  <si>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</si>
  <si>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</si>
  <si>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15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</si>
  <si>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</si>
  <si>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</si>
  <si>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</si>
  <si>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</si>
  <si>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64</t>
  </si>
  <si>
    <t>95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</si>
  <si>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</si>
  <si>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</si>
  <si>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</si>
  <si>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</si>
  <si>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Common monetary basis for BCA benefits and costs; VSL is transferred using GNI per capita at PPP</t>
  </si>
  <si>
    <t>bca_price_year</t>
  </si>
  <si>
    <t>2023</t>
  </si>
  <si>
    <t>2020</t>
  </si>
  <si>
    <t>2024</t>
  </si>
  <si>
    <t>Real price year for BCA benefits and costs (must match the cost price year)</t>
  </si>
  <si>
    <t>= cost_price_year / reporting_price_year</t>
  </si>
  <si>
    <t>cost_to_bca_currency_factor</t>
  </si>
  <si>
    <t>3</t>
  </si>
  <si>
    <t>int$ per market US$</t>
  </si>
  <si>
    <t>2.7</t>
  </si>
  <si>
    <t>3.3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</si>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</sst>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11">
    <font>
      <sz val="11"/>
      <name val="Carlito"/>
    </font>
    <font>
      <b/>
      <sz val="11"/>
      <color rgb="FFFFFFFF"/>
      <name val="Carlito"/>
    </font>
    <font>
      <b/>
      <sz val="22"/>
      <color rgb="FFFFFFFF"/>
      <name val="Arial"/>
    </font>
    <font>
      <i/>
      <sz val="10"/>
      <color rgb="FF1F1F1F"/>
      <name val="Arial"/>
    </font>
    <font>
      <b/>
      <sz val="17"/>
      <color rgb="FF1F4E78"/>
      <name val="Carlito"/>
    </font>
    <font>
      <b/>
      <sz val="11"/>
      <color rgb="FF9C5700"/>
      <name val="Carlito"/>
    </font>
    <font>
      <sz val="11"/>
      <color rgb="FF000000"/>
      <name val="Carlito"/>
    </font>
    <font>
      <i/>
      <sz val="9"/>
      <color rgb="FF1F1F1F"/>
      <name val="Carlito"/>
    </font>
    <font>
      <sz val="9"/>
      <color rgb="FF1F1F1F"/>
      <name val="Arial"/>
    </font>
    <font>
      <b/>
      <sz val="9"/>
      <color rgb="FF1F1F1F"/>
      <name val="Arial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F6F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0" fontId="8" fillId="6" borderId="1" xfId="0" applyNumberFormat="1" applyFont="1" applyFill="1" applyBorder="1"/>
    <xf numFmtId="0" fontId="9" fillId="3" borderId="2" xfId="0" applyFont="1" applyFill="1" applyBorder="1" applyAlignment="1">
      <alignment vertical="center" wrapText="1"/>
    </xf>
    <xf numFmtId="0" fontId="8" fillId="4" borderId="1" xfId="0" applyFont="1" applyFill="1" applyBorder="1"/>
    <xf numFmtId="0" fontId="8" fillId="6" borderId="1" xfId="0" applyFont="1" applyFill="1" applyBorder="1"/>
    <xf numFmtId="164" fontId="8" fillId="6" borderId="1" xfId="0" applyNumberFormat="1" applyFont="1" applyFill="1" applyBorder="1"/>
    <xf numFmtId="164" fontId="8" fillId="4" borderId="1" xfId="0" applyNumberFormat="1" applyFont="1" applyFill="1" applyBorder="1"/>
    <xf numFmtId="10" fontId="8" fillId="4" borderId="1" xfId="0" applyNumberFormat="1" applyFont="1" applyFill="1" applyBorder="1"/>
    <xf numFmtId="0" fontId="8" fillId="0" borderId="1" xfId="0" applyFont="1" applyBorder="1"/>
    <xf numFmtId="165" fontId="8" fillId="6" borderId="1" xfId="0" applyNumberFormat="1" applyFont="1" applyFill="1" applyBorder="1"/>
    <xf numFmtId="10" fontId="8" fillId="0" borderId="1" xfId="0" applyNumberFormat="1" applyFont="1" applyBorder="1"/>
    <xf numFmtId="2" fontId="8" fillId="4" borderId="1" xfId="0" applyNumberFormat="1" applyFont="1" applyFill="1" applyBorder="1"/>
    <xf numFmtId="2" fontId="8" fillId="0" borderId="1" xfId="0" applyNumberFormat="1" applyFont="1" applyBorder="1"/>
    <xf numFmtId="2" fontId="8" fillId="6" borderId="1" xfId="0" applyNumberFormat="1" applyFont="1" applyFill="1" applyBorder="1"/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1" fillId="3" borderId="0" xfId="0" applyFont="1" applyFill="1"/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wrapText="1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42</xdr:row>
      <xdr:rowOff>53340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E432131-E01E-2E49-B00C-61116C2F957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</xdr:col>
      <xdr:colOff>129540</xdr:colOff>
      <xdr:row>13</xdr:row>
      <xdr:rowOff>7620</xdr:rowOff>
    </xdr:from>
    <xdr:to>
      <xdr:col>6</xdr:col>
      <xdr:colOff>129540</xdr:colOff>
      <xdr:row>33</xdr:row>
      <xdr:rowOff>7620</xdr:rowOff>
    </xdr:to>
    <xdr:sp macro="" textlink="">
      <xdr:nvSpPr>
        <xdr:cNvPr id="1030" name="AutoShape 6" hidden="1">
          <a:extLst>
            <a:ext uri="{FF2B5EF4-FFF2-40B4-BE49-F238E27FC236}">
              <a16:creationId xmlns:a16="http://schemas.microsoft.com/office/drawing/2014/main" id="{DB91CB29-1DFB-84EE-59A3-D22A394A547C}"/>
            </a:ext>
          </a:extLst>
        </xdr:cNvPr>
        <xdr:cNvSpPr>
          <a:spLocks noChangeArrowheads="1"/>
        </xdr:cNvSpPr>
      </xdr:nvSpPr>
      <xdr:spPr bwMode="auto">
        <a:xfrm>
          <a:off x="2720340" y="2491740"/>
          <a:ext cx="7924800" cy="3505200"/>
        </a:xfrm>
        <a:custGeom>
          <a:avLst/>
          <a:gdLst/>
          <a:ahLst/>
          <a:cxnLst/>
          <a:rect l="0" t="0" r="r" b="b"/>
          <a:pathLst/>
        </a:cu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round/>
          <a:headEnd/>
          <a:tailEnd/>
        </a:ln>
        <a:effectLst>
          <a:outerShdw dist="35921" dir="2700000" algn="ctr" rotWithShape="0">
            <a:srgbClr val="51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129540</xdr:colOff>
      <xdr:row>11</xdr:row>
      <xdr:rowOff>7620</xdr:rowOff>
    </xdr:from>
    <xdr:to>
      <xdr:col>6</xdr:col>
      <xdr:colOff>129540</xdr:colOff>
      <xdr:row>31</xdr:row>
      <xdr:rowOff>7620</xdr:rowOff>
    </xdr:to>
    <xdr:sp macro="" textlink="">
      <xdr:nvSpPr>
        <xdr:cNvPr id="1029" name="AutoShape 5" hidden="1">
          <a:extLst>
            <a:ext uri="{FF2B5EF4-FFF2-40B4-BE49-F238E27FC236}">
              <a16:creationId xmlns:a16="http://schemas.microsoft.com/office/drawing/2014/main" id="{A335CE29-B7A0-230E-86D2-E26D1638E649}"/>
            </a:ext>
          </a:extLst>
        </xdr:cNvPr>
        <xdr:cNvSpPr>
          <a:spLocks noChangeArrowheads="1"/>
        </xdr:cNvSpPr>
      </xdr:nvSpPr>
      <xdr:spPr bwMode="auto">
        <a:xfrm>
          <a:off x="2720340" y="2141220"/>
          <a:ext cx="7924800" cy="3505200"/>
        </a:xfrm>
        <a:custGeom>
          <a:avLst/>
          <a:gdLst/>
          <a:ahLst/>
          <a:cxnLst/>
          <a:rect l="0" t="0" r="r" b="b"/>
          <a:pathLst/>
        </a:cu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round/>
          <a:headEnd/>
          <a:tailEnd/>
        </a:ln>
        <a:effectLst>
          <a:outerShdw dist="35921" dir="2700000" algn="ctr" rotWithShape="0">
            <a:srgbClr val="51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1676400</xdr:colOff>
      <xdr:row>42</xdr:row>
      <xdr:rowOff>53340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C758B20B-A796-CAFB-327D-C9B1ECB3C1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129540</xdr:colOff>
      <xdr:row>12</xdr:row>
      <xdr:rowOff>7620</xdr:rowOff>
    </xdr:from>
    <xdr:to>
      <xdr:col>6</xdr:col>
      <xdr:colOff>129540</xdr:colOff>
      <xdr:row>32</xdr:row>
      <xdr:rowOff>7620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038CE275-6AE5-DE9A-CE0F-BF89DBB967C5}"/>
            </a:ext>
          </a:extLst>
        </xdr:cNvPr>
        <xdr:cNvSpPr>
          <a:spLocks noChangeArrowheads="1"/>
        </xdr:cNvSpPr>
      </xdr:nvSpPr>
      <xdr:spPr bwMode="auto">
        <a:xfrm>
          <a:off x="2720340" y="2316480"/>
          <a:ext cx="7924800" cy="3505200"/>
        </a:xfrm>
        <a:custGeom>
          <a:avLst/>
          <a:gdLst/>
          <a:ahLst/>
          <a:cxnLst/>
          <a:rect l="0" t="0" r="r" b="b"/>
          <a:pathLst/>
        </a:cu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round/>
          <a:headEnd/>
          <a:tailEnd/>
        </a:ln>
        <a:effectLst>
          <a:outerShdw dist="35921" dir="2700000" algn="ctr" rotWithShape="0">
            <a:srgbClr val="51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Garcia" id="{7A6A2429-04B0-43D3-84E0-180A434CE6FF}" userId="" providerId=""/>
  <person displayName="William R Garcia" id="{929508BC-FD88-46F2-87E6-62B94CF34955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ssumptionsTable" displayName="AssumptionsTable" ref="A1:H2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ictionariesTable" displayName="DictionariesTable" ref="A1:H7" totalsRowShown="0">
  <tableColumns count="8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  <tableColumn id="5" xr3:uid="{00000000-0010-0000-0100-000005000000}" name="cause_id"/>
    <tableColumn id="6" xr3:uid="{00000000-0010-0000-0100-000006000000}" name="cause_name"/>
    <tableColumn id="7" xr3:uid="{00000000-0010-0000-0100-000007000000}" name="model_name"/>
    <tableColumn id="8" xr3:uid="{00000000-0010-0000-0100-000008000000}" name="is_model_ca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MapTable" displayName="MapTable" ref="A1:M7" totalsRowShown="0">
  <tableColumns count="13">
    <tableColumn id="1" xr3:uid="{00000000-0010-0000-0200-000001000000}" name="intervention_cause_key"/>
    <tableColumn id="2" xr3:uid="{00000000-0010-0000-0200-000002000000}" name="intervention_id"/>
    <tableColumn id="3" xr3:uid="{00000000-0010-0000-0200-000003000000}" name="intervention_name"/>
    <tableColumn id="4" xr3:uid="{00000000-0010-0000-0200-000004000000}" name="cause_id"/>
    <tableColumn id="5" xr3:uid="{00000000-0010-0000-0200-000005000000}" name="cause_name"/>
    <tableColumn id="6" xr3:uid="{00000000-0010-0000-0200-000006000000}" name="model_name"/>
    <tableColumn id="7" xr3:uid="{00000000-0010-0000-0200-000007000000}" name="transition_from"/>
    <tableColumn id="8" xr3:uid="{00000000-0010-0000-0200-000008000000}" name="transition_to"/>
    <tableColumn id="9" xr3:uid="{00000000-0010-0000-0200-000009000000}" name="effect_key"/>
    <tableColumn id="10" xr3:uid="{00000000-0010-0000-0200-00000A000000}" name="cost_join_key"/>
    <tableColumn id="11" xr3:uid="{00000000-0010-0000-0200-00000B000000}" name="cost_scope"/>
    <tableColumn id="12" xr3:uid="{00000000-0010-0000-0200-00000C000000}" name="include_flag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EffectTable" displayName="EffectTable" ref="A1:T7" totalsRowShown="0">
  <tableColumns count="20">
    <tableColumn id="1" xr3:uid="{00000000-0010-0000-0300-000001000000}" name="effect_id"/>
    <tableColumn id="2" xr3:uid="{00000000-0010-0000-0300-000002000000}" name="intervention_cause_key"/>
    <tableColumn id="3" xr3:uid="{00000000-0010-0000-0300-000003000000}" name="intervention_id"/>
    <tableColumn id="4" xr3:uid="{00000000-0010-0000-0300-000004000000}" name="cause_id"/>
    <tableColumn id="5" xr3:uid="{00000000-0010-0000-0300-000005000000}" name="intervention_name"/>
    <tableColumn id="6" xr3:uid="{00000000-0010-0000-0300-000006000000}" name="cause_name"/>
    <tableColumn id="7" xr3:uid="{00000000-0010-0000-0300-000007000000}" name="transition_from"/>
    <tableColumn id="8" xr3:uid="{00000000-0010-0000-0300-000008000000}" name="transition_to"/>
    <tableColumn id="9" xr3:uid="{00000000-0010-0000-0300-000009000000}" name="effect_measure"/>
    <tableColumn id="10" xr3:uid="{00000000-0010-0000-0300-00000A000000}" name="effect_value"/>
    <tableColumn id="11" xr3:uid="{00000000-0010-0000-0300-00000B000000}" name="affected_fraction"/>
    <tableColumn id="12" xr3:uid="{00000000-0010-0000-0300-00000C000000}" name="age_start"/>
    <tableColumn id="13" xr3:uid="{00000000-0010-0000-0300-00000D000000}" name="age_stop"/>
    <tableColumn id="14" xr3:uid="{00000000-0010-0000-0300-00000E000000}" name="sex"/>
    <tableColumn id="15" xr3:uid="{00000000-0010-0000-0300-00000F000000}" name="source_file"/>
    <tableColumn id="16" xr3:uid="{00000000-0010-0000-0300-000010000000}" name="source_row"/>
    <tableColumn id="17" xr3:uid="{00000000-0010-0000-0300-000011000000}" name="review_status"/>
    <tableColumn id="18" xr3:uid="{00000000-0010-0000-0300-000012000000}" name="notes"/>
    <tableColumn id="19" xr3:uid="{00000000-0010-0000-0300-000013000000}" name="map_match_count"/>
    <tableColumn id="20" xr3:uid="{00000000-0010-0000-0300-000014000000}" name="qa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overageTable" displayName="CoverageTable" ref="A1:T19" totalsRowShown="0">
  <tableColumns count="20">
    <tableColumn id="1" xr3:uid="{00000000-0010-0000-0400-000001000000}" name="coverage_id"/>
    <tableColumn id="2" xr3:uid="{00000000-0010-0000-0400-000002000000}" name="risk_factor_id"/>
    <tableColumn id="3" xr3:uid="{00000000-0010-0000-0400-000003000000}" name="risk_factor_name"/>
    <tableColumn id="4" xr3:uid="{00000000-0010-0000-0400-000004000000}" name="sex"/>
    <tableColumn id="5" xr3:uid="{00000000-0010-0000-0400-000005000000}" name="milestone"/>
    <tableColumn id="6" xr3:uid="{00000000-0010-0000-0400-000006000000}" name="year"/>
    <tableColumn id="7" xr3:uid="{00000000-0010-0000-0400-000007000000}" name="diagnosis_step"/>
    <tableColumn id="8" xr3:uid="{00000000-0010-0000-0400-000008000000}" name="treatment_step_conditional"/>
    <tableColumn id="9" xr3:uid="{00000000-0010-0000-0400-000009000000}" name="control_step_conditional"/>
    <tableColumn id="10" xr3:uid="{00000000-0010-0000-0400-00000A000000}" name="diagnosed_share_all_condition"/>
    <tableColumn id="11" xr3:uid="{00000000-0010-0000-0400-00000B000000}" name="treated_share_all_condition"/>
    <tableColumn id="12" xr3:uid="{00000000-0010-0000-0400-00000C000000}" name="controlled_share_all_condition"/>
    <tableColumn id="13" xr3:uid="{00000000-0010-0000-0400-00000D000000}" name="treated_uncontrolled_share"/>
    <tableColumn id="14" xr3:uid="{00000000-0010-0000-0400-00000E000000}" name="partial_effect_fraction"/>
    <tableColumn id="15" xr3:uid="{00000000-0010-0000-0400-00000F000000}" name="exact_effective_coverage"/>
    <tableColumn id="16" xr3:uid="{00000000-0010-0000-0400-000010000000}" name="policy_effective_coverage_override"/>
    <tableColumn id="17" xr3:uid="{00000000-0010-0000-0400-000011000000}" name="model_effective_coverage"/>
    <tableColumn id="18" xr3:uid="{00000000-0010-0000-0400-000012000000}" name="source"/>
    <tableColumn id="19" xr3:uid="{00000000-0010-0000-0400-000013000000}" name="assumption_note"/>
    <tableColumn id="20" xr3:uid="{00000000-0010-0000-0400-000014000000}" name="qa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rajectoryTable" displayName="TrajectoryTable" ref="A1:P105" totalsRowShown="0">
  <tableColumns count="16">
    <tableColumn id="1" xr3:uid="{00000000-0010-0000-0500-000001000000}" name="trajectory_id"/>
    <tableColumn id="2" xr3:uid="{00000000-0010-0000-0500-000002000000}" name="scenario_id"/>
    <tableColumn id="3" xr3:uid="{00000000-0010-0000-0500-000003000000}" name="intervention_id"/>
    <tableColumn id="4" xr3:uid="{00000000-0010-0000-0500-000004000000}" name="intervention_name"/>
    <tableColumn id="5" xr3:uid="{00000000-0010-0000-0500-000005000000}" name="risk_factor_id"/>
    <tableColumn id="6" xr3:uid="{00000000-0010-0000-0500-000006000000}" name="sex"/>
    <tableColumn id="7" xr3:uid="{00000000-0010-0000-0500-000007000000}" name="year"/>
    <tableColumn id="8" xr3:uid="{00000000-0010-0000-0500-000008000000}" name="baseline_effective_coverage"/>
    <tableColumn id="9" xr3:uid="{00000000-0010-0000-0500-000009000000}" name="target_2030"/>
    <tableColumn id="10" xr3:uid="{00000000-0010-0000-0500-00000A000000}" name="target_2040"/>
    <tableColumn id="11" xr3:uid="{00000000-0010-0000-0500-00000B000000}" name="scenario_effective_coverage"/>
    <tableColumn id="12" xr3:uid="{00000000-0010-0000-0500-00000C000000}" name="status_quo_effective_coverage"/>
    <tableColumn id="13" xr3:uid="{00000000-0010-0000-0500-00000D000000}" name="annual_change"/>
    <tableColumn id="14" xr3:uid="{00000000-0010-0000-0500-00000E000000}" name="phase"/>
    <tableColumn id="15" xr3:uid="{00000000-0010-0000-0500-00000F000000}" name="source_note"/>
    <tableColumn id="16" xr3:uid="{00000000-0010-0000-0500-000010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CostTable" displayName="CostTable" ref="A1:AC8" totalsRowShown="0">
  <tableColumns count="29">
    <tableColumn id="1" xr3:uid="{00000000-0010-0000-0600-000001000000}" name="cost_record_id"/>
    <tableColumn id="2" xr3:uid="{00000000-0010-0000-0600-000002000000}" name="cost_component_key"/>
    <tableColumn id="3" xr3:uid="{00000000-0010-0000-0600-000003000000}" name="cost_option"/>
    <tableColumn id="4" xr3:uid="{00000000-0010-0000-0600-000004000000}" name="selected_for_base_case"/>
    <tableColumn id="5" xr3:uid="{00000000-0010-0000-0600-000005000000}" name="intervention_id"/>
    <tableColumn id="6" xr3:uid="{00000000-0010-0000-0600-000006000000}" name="cause_id"/>
    <tableColumn id="7" xr3:uid="{00000000-0010-0000-0600-000007000000}" name="cost_join_key"/>
    <tableColumn id="8" xr3:uid="{00000000-0010-0000-0600-000008000000}" name="intervention_name"/>
    <tableColumn id="9" xr3:uid="{00000000-0010-0000-0600-000009000000}" name="cause_name"/>
    <tableColumn id="10" xr3:uid="{00000000-0010-0000-0600-00000A000000}" name="cost_component"/>
    <tableColumn id="11" xr3:uid="{00000000-0010-0000-0600-00000B000000}" name="population_in_need_measure"/>
    <tableColumn id="12" xr3:uid="{00000000-0010-0000-0600-00000C000000}" name="population_in_need_fraction"/>
    <tableColumn id="13" xr3:uid="{00000000-0010-0000-0600-00000D000000}" name="cost_unit"/>
    <tableColumn id="14" xr3:uid="{00000000-0010-0000-0600-00000E000000}" name="frequency_per_year"/>
    <tableColumn id="15" xr3:uid="{00000000-0010-0000-0600-00000F000000}" name="age_start"/>
    <tableColumn id="16" xr3:uid="{00000000-0010-0000-0600-000010000000}" name="age_stop"/>
    <tableColumn id="17" xr3:uid="{00000000-0010-0000-0600-000011000000}" name="sex"/>
    <tableColumn id="18" xr3:uid="{00000000-0010-0000-0600-000012000000}" name="platform"/>
    <tableColumn id="19" xr3:uid="{00000000-0010-0000-0600-000013000000}" name="unit_cost_usd"/>
    <tableColumn id="20" xr3:uid="{00000000-0010-0000-0600-000014000000}" name="price_year"/>
    <tableColumn id="21" xr3:uid="{00000000-0010-0000-0600-000015000000}" name="indonesia_adjusted_flag"/>
    <tableColumn id="22" xr3:uid="{00000000-0010-0000-0600-000016000000}" name="source_country"/>
    <tableColumn id="23" xr3:uid="{00000000-0010-0000-0600-000017000000}" name="source_file"/>
    <tableColumn id="24" xr3:uid="{00000000-0010-0000-0600-000018000000}" name="source_row"/>
    <tableColumn id="25" xr3:uid="{00000000-0010-0000-0600-000019000000}" name="review_status"/>
    <tableColumn id="26" xr3:uid="{00000000-0010-0000-0600-00001A000000}" name="notes"/>
    <tableColumn id="27" xr3:uid="{00000000-0010-0000-0600-00001B000000}" name="map_match_count"/>
    <tableColumn id="28" xr3:uid="{00000000-0010-0000-0600-00001C000000}" name="selection_count"/>
    <tableColumn id="29" xr3:uid="{00000000-0010-0000-0600-00001D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ModelInputTable" displayName="ModelInputTable" ref="A1:T313" totalsRowShown="0">
  <tableColumns count="20">
    <tableColumn id="1" xr3:uid="{00000000-0010-0000-0700-000001000000}" name="effect_run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intervention_name"/>
    <tableColumn id="5" xr3:uid="{00000000-0010-0000-0700-000005000000}" name="cause_id"/>
    <tableColumn id="6" xr3:uid="{00000000-0010-0000-0700-000006000000}" name="cause_name"/>
    <tableColumn id="7" xr3:uid="{00000000-0010-0000-0700-000007000000}" name="sex"/>
    <tableColumn id="8" xr3:uid="{00000000-0010-0000-0700-000008000000}" name="year"/>
    <tableColumn id="9" xr3:uid="{00000000-0010-0000-0700-000009000000}" name="transition_from"/>
    <tableColumn id="10" xr3:uid="{00000000-0010-0000-0700-00000A000000}" name="transition_to"/>
    <tableColumn id="11" xr3:uid="{00000000-0010-0000-0700-00000B000000}" name="effect_value"/>
    <tableColumn id="12" xr3:uid="{00000000-0010-0000-0700-00000C000000}" name="affected_fraction"/>
    <tableColumn id="13" xr3:uid="{00000000-0010-0000-0700-00000D000000}" name="baseline_effective_coverage"/>
    <tableColumn id="14" xr3:uid="{00000000-0010-0000-0700-00000E000000}" name="scenario_effective_coverage"/>
    <tableColumn id="15" xr3:uid="{00000000-0010-0000-0700-00000F000000}" name="coverage_increase"/>
    <tableColumn id="16" xr3:uid="{00000000-0010-0000-0700-000010000000}" name="fairchoices_adjusted_effect"/>
    <tableColumn id="17" xr3:uid="{00000000-0010-0000-0700-000011000000}" name="adjusted_effect_on_transition"/>
    <tableColumn id="18" xr3:uid="{00000000-0010-0000-0700-000012000000}" name="transition_multiplier"/>
    <tableColumn id="19" xr3:uid="{00000000-0010-0000-0700-000013000000}" name="source"/>
    <tableColumn id="20" xr3:uid="{00000000-0010-0000-0700-000014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MethodsTable" displayName="MethodsTable" ref="A1:F11" totalsRowShown="0">
  <tableColumns count="6">
    <tableColumn id="1" xr3:uid="{00000000-0010-0000-0800-000001000000}" name="method_id"/>
    <tableColumn id="2" xr3:uid="{00000000-0010-0000-0800-000002000000}" name="concept"/>
    <tableColumn id="3" xr3:uid="{00000000-0010-0000-0800-000003000000}" name="formula_or_rule"/>
    <tableColumn id="4" xr3:uid="{00000000-0010-0000-0800-000004000000}" name="implemented_in"/>
    <tableColumn id="5" xr3:uid="{00000000-0010-0000-0800-000005000000}" name="linkage_key"/>
    <tableColumn id="6" xr3:uid="{00000000-0010-0000-0800-000006000000}" name="Indonesia 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RawNCDRisCTable" displayName="RawNCDRisCTable" ref="A1:Q7" totalsRowShown="0">
  <tableColumns count="17">
    <tableColumn id="1" xr3:uid="{00000000-0010-0000-0900-000001000000}" name="data_id"/>
    <tableColumn id="2" xr3:uid="{00000000-0010-0000-0900-000002000000}" name="risk_factor_id"/>
    <tableColumn id="3" xr3:uid="{00000000-0010-0000-0900-000003000000}" name="risk_factor_name"/>
    <tableColumn id="4" xr3:uid="{00000000-0010-0000-0900-000004000000}" name="sex"/>
    <tableColumn id="5" xr3:uid="{00000000-0010-0000-0900-000005000000}" name="source_year"/>
    <tableColumn id="6" xr3:uid="{00000000-0010-0000-0900-000006000000}" name="age_scope"/>
    <tableColumn id="7" xr3:uid="{00000000-0010-0000-0900-000007000000}" name="prevalence"/>
    <tableColumn id="8" xr3:uid="{00000000-0010-0000-0900-000008000000}" name="diagnosed_among_condition"/>
    <tableColumn id="9" xr3:uid="{00000000-0010-0000-0900-000009000000}" name="treated_among_condition"/>
    <tableColumn id="10" xr3:uid="{00000000-0010-0000-0900-00000A000000}" name="controlled_among_condition"/>
    <tableColumn id="11" xr3:uid="{00000000-0010-0000-0900-00000B000000}" name="mean_total_cholesterol_mmol_l"/>
    <tableColumn id="12" xr3:uid="{00000000-0010-0000-0900-00000C000000}" name="mean_non_hdl_cholesterol_mmol_l"/>
    <tableColumn id="13" xr3:uid="{00000000-0010-0000-0900-00000D000000}" name="mean_hdl_cholesterol_mmol_l"/>
    <tableColumn id="14" xr3:uid="{00000000-0010-0000-0900-00000E000000}" name="source_file"/>
    <tableColumn id="15" xr3:uid="{00000000-0010-0000-0900-00000F000000}" name="source_row"/>
    <tableColumn id="16" xr3:uid="{00000000-0010-0000-0900-000010000000}" name="source_url"/>
    <tableColumn id="17" xr3:uid="{00000000-0010-0000-0900-000011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ProvinceTable" displayName="ProvinceTable" ref="A1:J39" totalsRowShown="0">
  <tableColumns count="10">
    <tableColumn id="1" xr3:uid="{00000000-0010-0000-0A00-000001000000}" name="province_code"/>
    <tableColumn id="2" xr3:uid="{00000000-0010-0000-0A00-000002000000}" name="province_name"/>
    <tableColumn id="3" xr3:uid="{00000000-0010-0000-0A00-000003000000}" name="baseline_primary_effective_coverage"/>
    <tableColumn id="4" xr3:uid="{00000000-0010-0000-0A00-000004000000}" name="baseline_diabetes_effective_coverage"/>
    <tableColumn id="5" xr3:uid="{00000000-0010-0000-0A00-000005000000}" name="baseline_source"/>
    <tableColumn id="6" xr3:uid="{00000000-0010-0000-0A00-000006000000}" name="capacity_multiplier"/>
    <tableColumn id="7" xr3:uid="{00000000-0010-0000-0A00-000007000000}" name="illustrative_target_2030"/>
    <tableColumn id="8" xr3:uid="{00000000-0010-0000-0A00-000008000000}" name="illustrative_target_2040"/>
    <tableColumn id="9" xr3:uid="{00000000-0010-0000-0A00-000009000000}" name="status"/>
    <tableColumn id="10" xr3:uid="{00000000-0010-0000-0A00-00000A000000}" name="cave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SourcesTable" displayName="SourcesTable" ref="A1:E13" totalsRowShown="0">
  <tableColumns count="5">
    <tableColumn id="1" xr3:uid="{00000000-0010-0000-0B00-000001000000}" name="source_or_item"/>
    <tableColumn id="2" xr3:uid="{00000000-0010-0000-0B00-000002000000}" name="use"/>
    <tableColumn id="3" xr3:uid="{00000000-0010-0000-0B00-000003000000}" name="location"/>
    <tableColumn id="4" xr3:uid="{00000000-0010-0000-0B00-000004000000}" name="url"/>
    <tableColumn id="5" xr3:uid="{00000000-0010-0000-0B00-000005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QATable" displayName="QATable" ref="A1:F14" totalsRowShown="0">
  <tableColumns count="6">
    <tableColumn id="1" xr3:uid="{00000000-0010-0000-0C00-000001000000}" name="check_id"/>
    <tableColumn id="2" xr3:uid="{00000000-0010-0000-0C00-000002000000}" name="check"/>
    <tableColumn id="3" xr3:uid="{00000000-0010-0000-0C00-000003000000}" name="expected"/>
    <tableColumn id="4" xr3:uid="{00000000-0010-0000-0C00-000004000000}" name="actual"/>
    <tableColumn id="5" xr3:uid="{00000000-0010-0000-0C00-000005000000}" name="status"/>
    <tableColumn id="6" xr3:uid="{00000000-0010-0000-0C00-000006000000}" name="interpret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ChangesTable" displayName="ChangesTable" ref="A1:D8" totalsRowShown="0">
  <tableColumns count="4">
    <tableColumn id="1" xr3:uid="{00000000-0010-0000-0D00-000001000000}" name="date"/>
    <tableColumn id="2" xr3:uid="{00000000-0010-0000-0D00-000002000000}" name="area"/>
    <tableColumn id="3" xr3:uid="{00000000-0010-0000-0D00-000003000000}" name="description"/>
    <tableColumn id="4" xr3:uid="{00000000-0010-0000-0D00-000004000000}" name="source_or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6-08-27T23:57:45.02" personId="{7A6A2429-04B0-43D3-84E0-180A434CE6FF}" id="{663CABAC-0061-65D0-87FF-805BA76F2B07}">
    <text>Exact 70-30-30 arithmetic: 6.3% controlled + half of 14.7% treated-uncontrolled = 13.65%.</text>
  </threadedComment>
  <threadedComment ref="B13" dT="2026-08-27T23:57:45.02" personId="{7A6A2429-04B0-43D3-84E0-180A434CE6FF}" id="{8E0C28F8-9947-00D6-B856-EC7F48F21E3C}">
    <text>Exact 70-70-70 arithmetic: 34.3% controlled + half of 14.7% treated-uncontrolled = 41.65%.</text>
  </threadedComment>
  <threadedComment ref="B14" dT="2026-08-27T23:57:45.02" personId="{7A6A2429-04B0-43D3-84E0-180A434CE6FF}" id="{0C30D031-853B-739A-888E-ABA136FA2CD3}">
    <text>Editable base case: 6.5% controlled divided by 19.0% treated in the 2023 national cascade = 34.210526% controlled among treated. The peer-reviewed national HbA1c&lt;7 estimate is 32.0%.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6-08-29T15:11:17.78" personId="{929508BC-FD88-46F2-87E6-62B94CF34955}" id="{FB1AFA0F-BFE4-43CE-ABA3-70B42F20C6F6}">
    <text>Shifted from 20% because CVD screening would incorporate DM screening</text>
  </threadedComment>
  <threadedComment ref="S7" dT="2026-08-31T18:58:30.30" personId="{929508BC-FD88-46F2-87E6-62B94CF34955}" id="{D57EB27C-FCD9-4655-B4CE-35749D41E75F}">
    <text>Downscaled to about placeholder$200 dollars per year on average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13" workbookViewId="0">
      <selection sqref="A1:H2"/>
    </sheetView>
  </sheetViews>
  <sheetFormatPr defaultColWidth="11.19921875" defaultRowHeight="13.8"/>
  <cols>
    <col min="1" max="1" width="14" customWidth="1"/>
    <col min="2" max="2" width="28" customWidth="1"/>
    <col min="3" max="3" width="18" customWidth="1"/>
    <col min="4" max="4" width="28" customWidth="1"/>
    <col min="5" max="5" width="18" customWidth="1"/>
    <col min="6" max="6" width="28" customWidth="1"/>
    <col min="7" max="7" width="18" customWidth="1"/>
    <col min="8" max="8" width="28" customWidth="1"/>
  </cols>
  <sheetData>
    <row r="1" spans="1:8" ht="27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27" customHeight="1">
      <c r="A2" s="16"/>
      <c r="B2" s="16"/>
      <c r="C2" s="16"/>
      <c r="D2" s="16"/>
      <c r="E2" s="16"/>
      <c r="F2" s="16"/>
      <c r="G2" s="16"/>
      <c r="H2" s="16"/>
    </row>
    <row r="3" spans="1:8" ht="21" customHeight="1">
      <c r="A3" s="17" t="s">
        <v>1</v>
      </c>
      <c r="B3" s="17"/>
      <c r="C3" s="17"/>
      <c r="D3" s="17"/>
      <c r="E3" s="17"/>
      <c r="F3" s="17"/>
      <c r="G3" s="17"/>
      <c r="H3" s="17"/>
    </row>
    <row r="5" spans="1:8">
      <c r="A5" s="18" t="s">
        <v>2</v>
      </c>
      <c r="B5" s="18"/>
      <c r="C5" s="18" t="s">
        <v>3</v>
      </c>
      <c r="D5" s="18"/>
      <c r="E5" s="18" t="s">
        <v>4</v>
      </c>
      <c r="F5" s="18"/>
      <c r="G5" s="18" t="s">
        <v>5</v>
      </c>
      <c r="H5" s="18"/>
    </row>
    <row r="6" spans="1:8">
      <c r="A6" s="19" t="str">
        <f>QA_Checks!E14</f>
        <v>MODEL INTEGRATION REQUIRED</v>
      </c>
      <c r="B6" s="19"/>
      <c r="C6" s="19">
        <f>COUNTA(Dictionaries!A2:A3)</f>
        <v>2</v>
      </c>
      <c r="D6" s="19"/>
      <c r="E6" s="19">
        <f>COUNTIF(Dictionaries!H2:H6,1)</f>
        <v>5</v>
      </c>
      <c r="F6" s="19"/>
      <c r="G6" s="19">
        <f>COUNTA(Intervention_Cause_Map!A2:A7)</f>
        <v>6</v>
      </c>
      <c r="H6" s="19"/>
    </row>
    <row r="7" spans="1:8">
      <c r="A7" s="19"/>
      <c r="B7" s="19"/>
      <c r="C7" s="19"/>
      <c r="D7" s="19"/>
      <c r="E7" s="19"/>
      <c r="F7" s="19"/>
      <c r="G7" s="19"/>
      <c r="H7" s="19"/>
    </row>
    <row r="9" spans="1:8">
      <c r="A9" s="20" t="s">
        <v>6</v>
      </c>
      <c r="B9" s="20"/>
      <c r="C9" s="20"/>
      <c r="D9" s="20"/>
      <c r="E9" s="20"/>
      <c r="F9" s="20"/>
      <c r="G9" s="20"/>
      <c r="H9" s="20"/>
    </row>
    <row r="10" spans="1:8" ht="25.05" customHeight="1">
      <c r="A10" s="1">
        <v>1</v>
      </c>
      <c r="B10" s="21" t="s">
        <v>7</v>
      </c>
      <c r="C10" s="21"/>
      <c r="D10" s="21"/>
      <c r="E10" s="21"/>
      <c r="F10" s="21"/>
      <c r="G10" s="21"/>
      <c r="H10" s="21"/>
    </row>
    <row r="11" spans="1:8" ht="25.05" customHeight="1">
      <c r="A11" s="1">
        <v>2</v>
      </c>
      <c r="B11" s="21" t="s">
        <v>8</v>
      </c>
      <c r="C11" s="21"/>
      <c r="D11" s="21"/>
      <c r="E11" s="21"/>
      <c r="F11" s="21"/>
      <c r="G11" s="21"/>
      <c r="H11" s="21"/>
    </row>
    <row r="12" spans="1:8" ht="25.05" customHeight="1">
      <c r="A12" s="1">
        <v>3</v>
      </c>
      <c r="B12" s="21" t="s">
        <v>9</v>
      </c>
      <c r="C12" s="21"/>
      <c r="D12" s="21"/>
      <c r="E12" s="21"/>
      <c r="F12" s="21"/>
      <c r="G12" s="21"/>
      <c r="H12" s="21"/>
    </row>
    <row r="13" spans="1:8" ht="25.05" customHeight="1">
      <c r="A13" s="1">
        <v>4</v>
      </c>
      <c r="B13" s="21" t="s">
        <v>10</v>
      </c>
      <c r="C13" s="21"/>
      <c r="D13" s="21"/>
      <c r="E13" s="21"/>
      <c r="F13" s="21"/>
      <c r="G13" s="21"/>
      <c r="H13" s="21"/>
    </row>
    <row r="14" spans="1:8" ht="25.05" customHeight="1">
      <c r="A14" s="1">
        <v>5</v>
      </c>
      <c r="B14" s="21" t="s">
        <v>11</v>
      </c>
      <c r="C14" s="21"/>
      <c r="D14" s="21"/>
      <c r="E14" s="21"/>
      <c r="F14" s="21"/>
      <c r="G14" s="21"/>
      <c r="H14" s="21"/>
    </row>
    <row r="16" spans="1:8">
      <c r="A16" s="20" t="s">
        <v>12</v>
      </c>
      <c r="B16" s="20"/>
      <c r="C16" s="20"/>
      <c r="D16" s="20"/>
      <c r="E16" s="20"/>
      <c r="F16" s="20"/>
      <c r="G16" s="20"/>
      <c r="H16" s="20"/>
    </row>
    <row r="17" spans="1:8" ht="27" customHeight="1">
      <c r="A17" s="2" t="s">
        <v>13</v>
      </c>
      <c r="B17" s="22" t="s">
        <v>14</v>
      </c>
      <c r="C17" s="22"/>
      <c r="D17" s="22"/>
      <c r="E17" s="22"/>
      <c r="F17" s="22"/>
      <c r="G17" s="22"/>
      <c r="H17" s="22"/>
    </row>
    <row r="18" spans="1:8" ht="27" customHeight="1">
      <c r="A18" s="2" t="s">
        <v>15</v>
      </c>
      <c r="B18" s="22" t="s">
        <v>16</v>
      </c>
      <c r="C18" s="22"/>
      <c r="D18" s="22"/>
      <c r="E18" s="22"/>
      <c r="F18" s="22"/>
      <c r="G18" s="22"/>
      <c r="H18" s="22"/>
    </row>
    <row r="19" spans="1:8" ht="27" customHeight="1">
      <c r="A19" s="2" t="s">
        <v>17</v>
      </c>
      <c r="B19" s="22" t="s">
        <v>18</v>
      </c>
      <c r="C19" s="22"/>
      <c r="D19" s="22"/>
      <c r="E19" s="22"/>
      <c r="F19" s="22"/>
      <c r="G19" s="22"/>
      <c r="H19" s="22"/>
    </row>
    <row r="20" spans="1:8" ht="27" customHeight="1">
      <c r="A20" s="2" t="s">
        <v>13</v>
      </c>
      <c r="B20" s="22" t="s">
        <v>19</v>
      </c>
      <c r="C20" s="22"/>
      <c r="D20" s="22"/>
      <c r="E20" s="22"/>
      <c r="F20" s="22"/>
      <c r="G20" s="22"/>
      <c r="H20" s="22"/>
    </row>
    <row r="21" spans="1:8" ht="27" customHeight="1">
      <c r="A21" s="2" t="s">
        <v>17</v>
      </c>
      <c r="B21" s="22" t="s">
        <v>20</v>
      </c>
      <c r="C21" s="22"/>
      <c r="D21" s="22"/>
      <c r="E21" s="22"/>
      <c r="F21" s="22"/>
      <c r="G21" s="22"/>
      <c r="H21" s="22"/>
    </row>
    <row r="23" spans="1:8">
      <c r="A23" s="23" t="s">
        <v>21</v>
      </c>
      <c r="B23" s="23"/>
      <c r="C23" s="23"/>
      <c r="D23" s="23"/>
      <c r="E23" s="23"/>
      <c r="F23" s="23"/>
      <c r="G23" s="23"/>
      <c r="H23" s="23"/>
    </row>
  </sheetData>
  <mergeCells count="23">
    <mergeCell ref="B21:H21"/>
    <mergeCell ref="A23:H23"/>
    <mergeCell ref="A16:H16"/>
    <mergeCell ref="B17:H17"/>
    <mergeCell ref="B18:H18"/>
    <mergeCell ref="B19:H19"/>
    <mergeCell ref="B20:H20"/>
    <mergeCell ref="B10:H10"/>
    <mergeCell ref="B11:H11"/>
    <mergeCell ref="B12:H12"/>
    <mergeCell ref="B13:H13"/>
    <mergeCell ref="B14:H14"/>
    <mergeCell ref="A6:B7"/>
    <mergeCell ref="C6:D7"/>
    <mergeCell ref="E6:F7"/>
    <mergeCell ref="G6:H7"/>
    <mergeCell ref="A9:H9"/>
    <mergeCell ref="A1:H2"/>
    <mergeCell ref="A3:H3"/>
    <mergeCell ref="A5:B5"/>
    <mergeCell ref="C5:D5"/>
    <mergeCell ref="E5:F5"/>
    <mergeCell ref="G5:H5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workbookViewId="0"/>
  </sheetViews>
  <sheetFormatPr defaultColWidth="11.19921875" defaultRowHeight="13.8"/>
  <cols>
    <col min="1" max="1" width="34" customWidth="1"/>
    <col min="2" max="2" width="24" customWidth="1"/>
    <col min="3" max="3" width="20" customWidth="1"/>
    <col min="4" max="4" width="24" customWidth="1"/>
    <col min="5" max="6" width="18" customWidth="1"/>
    <col min="7" max="7" width="54" customWidth="1"/>
    <col min="8" max="8" width="42" customWidth="1"/>
  </cols>
  <sheetData>
    <row r="1" spans="1:8" ht="30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spans="1:8">
      <c r="A2" s="5" t="s">
        <v>30</v>
      </c>
      <c r="B2" s="6">
        <v>2025</v>
      </c>
      <c r="C2" s="5" t="s">
        <v>31</v>
      </c>
      <c r="D2" s="5">
        <v>2025</v>
      </c>
      <c r="E2" s="5">
        <v>2025</v>
      </c>
      <c r="F2" s="5">
        <v>2025</v>
      </c>
      <c r="G2" s="5" t="s">
        <v>32</v>
      </c>
      <c r="H2" s="5" t="s">
        <v>33</v>
      </c>
    </row>
    <row r="3" spans="1:8">
      <c r="A3" s="5" t="s">
        <v>34</v>
      </c>
      <c r="B3" s="6">
        <v>2050</v>
      </c>
      <c r="C3" s="5" t="s">
        <v>31</v>
      </c>
      <c r="D3" s="5">
        <v>2050</v>
      </c>
      <c r="E3" s="5">
        <v>2050</v>
      </c>
      <c r="F3" s="5">
        <v>2050</v>
      </c>
      <c r="G3" s="5" t="s">
        <v>35</v>
      </c>
      <c r="H3" s="5" t="s">
        <v>33</v>
      </c>
    </row>
    <row r="4" spans="1:8">
      <c r="A4" s="5" t="s">
        <v>36</v>
      </c>
      <c r="B4" s="6">
        <v>2030</v>
      </c>
      <c r="C4" s="5" t="s">
        <v>31</v>
      </c>
      <c r="D4" s="5">
        <v>2030</v>
      </c>
      <c r="E4" s="5">
        <v>2030</v>
      </c>
      <c r="F4" s="5">
        <v>2030</v>
      </c>
      <c r="G4" s="5" t="s">
        <v>37</v>
      </c>
      <c r="H4" s="5" t="s">
        <v>38</v>
      </c>
    </row>
    <row r="5" spans="1:8">
      <c r="A5" s="5" t="s">
        <v>39</v>
      </c>
      <c r="B5" s="6">
        <v>2040</v>
      </c>
      <c r="C5" s="5" t="s">
        <v>31</v>
      </c>
      <c r="D5" s="5">
        <v>2040</v>
      </c>
      <c r="E5" s="5">
        <v>2040</v>
      </c>
      <c r="F5" s="5">
        <v>2040</v>
      </c>
      <c r="G5" s="5" t="s">
        <v>40</v>
      </c>
      <c r="H5" s="5" t="s">
        <v>38</v>
      </c>
    </row>
    <row r="6" spans="1:8">
      <c r="A6" s="5" t="s">
        <v>41</v>
      </c>
      <c r="B6" s="3">
        <v>0.7</v>
      </c>
      <c r="C6" s="9" t="s">
        <v>42</v>
      </c>
      <c r="D6" s="9">
        <v>0.7</v>
      </c>
      <c r="E6" s="9">
        <v>0.7</v>
      </c>
      <c r="F6" s="9">
        <v>0.7</v>
      </c>
      <c r="G6" s="5" t="s">
        <v>43</v>
      </c>
      <c r="H6" s="5" t="s">
        <v>44</v>
      </c>
    </row>
    <row r="7" spans="1:8">
      <c r="A7" s="5" t="s">
        <v>45</v>
      </c>
      <c r="B7" s="3">
        <v>0.3</v>
      </c>
      <c r="C7" s="9" t="s">
        <v>42</v>
      </c>
      <c r="D7" s="9">
        <v>0.3</v>
      </c>
      <c r="E7" s="9">
        <v>0.3</v>
      </c>
      <c r="F7" s="9">
        <v>0.3</v>
      </c>
      <c r="G7" s="5" t="s">
        <v>46</v>
      </c>
      <c r="H7" s="5" t="s">
        <v>47</v>
      </c>
    </row>
    <row r="8" spans="1:8">
      <c r="A8" s="5" t="s">
        <v>48</v>
      </c>
      <c r="B8" s="3">
        <v>0.3</v>
      </c>
      <c r="C8" s="9" t="s">
        <v>42</v>
      </c>
      <c r="D8" s="9">
        <v>0.3</v>
      </c>
      <c r="E8" s="9">
        <v>0.3</v>
      </c>
      <c r="F8" s="9">
        <v>0.3</v>
      </c>
      <c r="G8" s="5" t="s">
        <v>49</v>
      </c>
      <c r="H8" s="5" t="s">
        <v>47</v>
      </c>
    </row>
    <row r="9" spans="1:8">
      <c r="A9" s="5" t="s">
        <v>50</v>
      </c>
      <c r="B9" s="3">
        <v>0.7</v>
      </c>
      <c r="C9" s="9" t="s">
        <v>42</v>
      </c>
      <c r="D9" s="9">
        <v>0.7</v>
      </c>
      <c r="E9" s="9">
        <v>0.7</v>
      </c>
      <c r="F9" s="9">
        <v>0.7</v>
      </c>
      <c r="G9" s="5" t="s">
        <v>51</v>
      </c>
      <c r="H9" s="5" t="s">
        <v>52</v>
      </c>
    </row>
    <row r="10" spans="1:8">
      <c r="A10" s="5" t="s">
        <v>53</v>
      </c>
      <c r="B10" s="3">
        <v>0.7</v>
      </c>
      <c r="C10" s="9" t="s">
        <v>42</v>
      </c>
      <c r="D10" s="9">
        <v>0.7</v>
      </c>
      <c r="E10" s="9">
        <v>0.7</v>
      </c>
      <c r="F10" s="9">
        <v>0.7</v>
      </c>
      <c r="G10" s="5" t="s">
        <v>54</v>
      </c>
      <c r="H10" s="5" t="s">
        <v>52</v>
      </c>
    </row>
    <row r="11" spans="1:8">
      <c r="A11" s="5" t="s">
        <v>55</v>
      </c>
      <c r="B11" s="3">
        <v>0.5</v>
      </c>
      <c r="C11" s="9" t="s">
        <v>56</v>
      </c>
      <c r="D11" s="9">
        <v>0.5</v>
      </c>
      <c r="E11" s="9">
        <v>0.5</v>
      </c>
      <c r="F11" s="9">
        <v>0.5</v>
      </c>
      <c r="G11" s="5" t="s">
        <v>57</v>
      </c>
      <c r="H11" s="5" t="s">
        <v>44</v>
      </c>
    </row>
    <row r="12" spans="1:8">
      <c r="A12" s="5" t="s">
        <v>58</v>
      </c>
      <c r="B12" s="9">
        <f>B6*B7*(B8+(1-B8)*B11)</f>
        <v>0.13649999999999998</v>
      </c>
      <c r="C12" s="9" t="s">
        <v>42</v>
      </c>
      <c r="D12" s="9">
        <v>0.13650000000000001</v>
      </c>
      <c r="E12" s="9">
        <v>0.13650000000000001</v>
      </c>
      <c r="F12" s="9">
        <v>0.13650000000000001</v>
      </c>
      <c r="G12" s="5" t="s">
        <v>59</v>
      </c>
      <c r="H12" s="5" t="s">
        <v>60</v>
      </c>
    </row>
    <row r="13" spans="1:8">
      <c r="A13" s="5" t="s">
        <v>61</v>
      </c>
      <c r="B13" s="9">
        <f>B6*B9*(B10+(1-B10)*B11)</f>
        <v>0.41649999999999993</v>
      </c>
      <c r="C13" s="9" t="s">
        <v>42</v>
      </c>
      <c r="D13" s="9">
        <v>0.41649999999999998</v>
      </c>
      <c r="E13" s="9">
        <v>0.41649999999999998</v>
      </c>
      <c r="F13" s="9">
        <v>0.41649999999999998</v>
      </c>
      <c r="G13" s="5" t="s">
        <v>62</v>
      </c>
      <c r="H13" s="5" t="s">
        <v>60</v>
      </c>
    </row>
    <row r="14" spans="1:8">
      <c r="A14" s="5" t="s">
        <v>63</v>
      </c>
      <c r="B14" s="3">
        <v>0.34210526315789502</v>
      </c>
      <c r="C14" s="9" t="s">
        <v>42</v>
      </c>
      <c r="D14" s="9">
        <v>0.34210526315789502</v>
      </c>
      <c r="E14" s="9">
        <v>0.32</v>
      </c>
      <c r="F14" s="9">
        <v>0.36299999999999999</v>
      </c>
      <c r="G14" s="5" t="s">
        <v>64</v>
      </c>
      <c r="H14" s="5" t="s">
        <v>65</v>
      </c>
    </row>
    <row r="15" spans="1:8">
      <c r="A15" s="5" t="s">
        <v>66</v>
      </c>
      <c r="B15" s="6">
        <v>1</v>
      </c>
      <c r="C15" s="5" t="s">
        <v>42</v>
      </c>
      <c r="D15" s="5">
        <v>1</v>
      </c>
      <c r="E15" s="5">
        <v>1</v>
      </c>
      <c r="F15" s="5">
        <v>1</v>
      </c>
      <c r="G15" s="5" t="s">
        <v>67</v>
      </c>
      <c r="H15" s="5" t="s">
        <v>68</v>
      </c>
    </row>
    <row r="16" spans="1:8">
      <c r="A16" s="5" t="s">
        <v>69</v>
      </c>
      <c r="B16" s="6" t="s">
        <v>70</v>
      </c>
      <c r="C16" s="5" t="s">
        <v>71</v>
      </c>
      <c r="D16" s="5" t="s">
        <v>70</v>
      </c>
      <c r="E16" s="5" t="s">
        <v>70</v>
      </c>
      <c r="F16" s="5" t="s">
        <v>70</v>
      </c>
      <c r="G16" s="5" t="s">
        <v>72</v>
      </c>
      <c r="H16" s="5" t="s">
        <v>44</v>
      </c>
    </row>
    <row r="17" spans="1:8">
      <c r="A17" s="5" t="s">
        <v>73</v>
      </c>
      <c r="B17" s="6" t="s">
        <v>74</v>
      </c>
      <c r="C17" s="5" t="s">
        <v>71</v>
      </c>
      <c r="D17" s="5" t="s">
        <v>74</v>
      </c>
      <c r="E17" s="5" t="s">
        <v>74</v>
      </c>
      <c r="F17" s="5" t="s">
        <v>74</v>
      </c>
      <c r="G17" s="5" t="s">
        <v>75</v>
      </c>
      <c r="H17" s="5" t="s">
        <v>44</v>
      </c>
    </row>
    <row r="18" spans="1:8">
      <c r="A18" s="5" t="s">
        <v>76</v>
      </c>
      <c r="B18" s="6" t="s">
        <v>77</v>
      </c>
      <c r="C18" s="5" t="s">
        <v>71</v>
      </c>
      <c r="D18" s="5" t="s">
        <v>77</v>
      </c>
      <c r="E18" s="5" t="s">
        <v>77</v>
      </c>
      <c r="F18" s="5" t="s">
        <v>77</v>
      </c>
      <c r="G18" s="5" t="s">
        <v>78</v>
      </c>
      <c r="H18" s="5" t="s">
        <v>44</v>
      </c>
    </row>
    <row r="19" spans="1:8">
      <c r="A19" s="5" t="s">
        <v>79</v>
      </c>
      <c r="B19" s="6">
        <v>1</v>
      </c>
      <c r="C19" s="5" t="s">
        <v>80</v>
      </c>
      <c r="D19" s="5">
        <v>1</v>
      </c>
      <c r="E19" s="5">
        <v>0</v>
      </c>
      <c r="F19" s="5">
        <v>1</v>
      </c>
      <c r="G19" s="5" t="s">
        <v>81</v>
      </c>
      <c r="H19" s="5" t="s">
        <v>82</v>
      </c>
    </row>
    <row r="20" spans="1:8">
      <c r="A20" s="5" t="s">
        <v>83</v>
      </c>
      <c r="B20" s="6" t="s">
        <v>84</v>
      </c>
      <c r="C20" s="5" t="s">
        <v>71</v>
      </c>
      <c r="D20" s="5" t="s">
        <v>84</v>
      </c>
      <c r="E20" s="5"/>
      <c r="F20" s="5"/>
      <c r="G20" s="5" t="s">
        <v>85</v>
      </c>
      <c r="H20" s="5" t="s">
        <v>86</v>
      </c>
    </row>
    <row r="21" spans="1:8">
      <c r="A21" s="5" t="s">
        <v>87</v>
      </c>
      <c r="B21" s="6"/>
      <c r="C21" s="5" t="s">
        <v>88</v>
      </c>
      <c r="D21" s="5"/>
      <c r="E21" s="5"/>
      <c r="F21" s="5"/>
      <c r="G21" s="5" t="s">
        <v>89</v>
      </c>
      <c r="H21" s="5" t="s">
        <v>90</v>
      </c>
    </row>
    <row r="22" spans="1:8">
      <c r="A22" s="5" t="s">
        <v>91</v>
      </c>
      <c r="B22" s="6"/>
      <c r="C22" s="5" t="s">
        <v>88</v>
      </c>
      <c r="D22" s="5"/>
      <c r="E22" s="5"/>
      <c r="F22" s="5"/>
      <c r="G22" s="5" t="s">
        <v>92</v>
      </c>
      <c r="H22" s="5" t="s">
        <v>90</v>
      </c>
    </row>
    <row r="23" spans="1:8">
      <c r="A23" s="5" t="s">
        <v>93</v>
      </c>
      <c r="B23" s="6" t="s">
        <v>94</v>
      </c>
      <c r="C23" s="5" t="s">
        <v>88</v>
      </c>
      <c r="D23" s="5" t="s">
        <v>94</v>
      </c>
      <c r="E23" s="5"/>
      <c r="F23" s="5"/>
      <c r="G23" s="5" t="s">
        <v>95</v>
      </c>
      <c r="H23" s="5" t="s">
        <v>86</v>
      </c>
    </row>
    <row r="24" spans="1:8">
      <c r="A24" s="5" t="s">
        <v>96</v>
      </c>
      <c r="B24" s="7">
        <v>0.03</v>
      </c>
      <c r="C24" s="5" t="s">
        <v>97</v>
      </c>
      <c r="D24" s="8">
        <v>0.03</v>
      </c>
      <c r="E24" s="8">
        <v>0</v>
      </c>
      <c r="F24" s="8">
        <v>0.05</v>
      </c>
      <c r="G24" s="5" t="s">
        <v>98</v>
      </c>
      <c r="H24" s="5" t="s">
        <v>99</v>
      </c>
    </row>
    <row r="25" spans="1:8">
      <c r="A25" s="5" t="s">
        <v>100</v>
      </c>
      <c r="B25" s="7">
        <v>0.03</v>
      </c>
      <c r="C25" s="5" t="s">
        <v>97</v>
      </c>
      <c r="D25" s="8">
        <v>0.03</v>
      </c>
      <c r="E25" s="8">
        <v>0</v>
      </c>
      <c r="F25" s="8">
        <v>0.05</v>
      </c>
      <c r="G25" s="5" t="s">
        <v>101</v>
      </c>
      <c r="H25" s="5" t="s">
        <v>99</v>
      </c>
    </row>
    <row r="26" spans="1:8">
      <c r="A26" s="5" t="s">
        <v>102</v>
      </c>
      <c r="B26" s="6">
        <v>2023</v>
      </c>
      <c r="C26" s="5" t="s">
        <v>103</v>
      </c>
      <c r="D26" s="5">
        <v>2023</v>
      </c>
      <c r="E26" s="5">
        <v>2023</v>
      </c>
      <c r="F26" s="5">
        <v>2023</v>
      </c>
      <c r="G26" s="5" t="s">
        <v>104</v>
      </c>
      <c r="H26" s="5" t="s">
        <v>99</v>
      </c>
    </row>
    <row r="27" spans="1:8">
      <c r="A27" s="5" t="s">
        <v>105</v>
      </c>
      <c r="B27" s="6" t="s">
        <v>106</v>
      </c>
      <c r="C27" s="5" t="s">
        <v>105</v>
      </c>
      <c r="D27" s="5" t="s">
        <v>106</v>
      </c>
      <c r="E27" s="5" t="s">
        <v>106</v>
      </c>
      <c r="F27" s="5" t="s">
        <v>106</v>
      </c>
      <c r="G27" s="5" t="s">
        <v>107</v>
      </c>
      <c r="H27" s="5" t="s">
        <v>99</v>
      </c>
    </row>
    <row r="28" spans="1:8">
      <c r="A28" t="s">
        <v>1031</v>
      </c>
      <c r="B28" t="s">
        <v>1032</v>
      </c>
      <c r="C28" t="s">
        <v>1033</v>
      </c>
      <c r="D28" t="s">
        <v>1032</v>
      </c>
      <c r="E28" t="s">
        <v>1032</v>
      </c>
      <c r="F28" t="s">
        <v>1034</v>
      </c>
      <c r="G28" t="s">
        <v>1035</v>
      </c>
      <c r="H28" t="s">
        <v>1036</v>
      </c>
    </row>
    <row r="29" spans="1:8">
      <c r="A29" t="s">
        <v>1037</v>
      </c>
      <c r="B29" t="s">
        <v>1038</v>
      </c>
      <c r="C29" t="s">
        <v>1039</v>
      </c>
      <c r="D29" t="s">
        <v>1038</v>
      </c>
      <c r="E29" t="s">
        <v>1038</v>
      </c>
      <c r="F29" t="s">
        <v>1040</v>
      </c>
      <c r="G29" t="s">
        <v>1041</v>
      </c>
      <c r="H29" t="s">
        <v>1042</v>
      </c>
    </row>
    <row r="30" spans="1:8">
      <c r="A30" t="s">
        <v>1043</v>
      </c>
      <c r="B30" t="s">
        <v>1044</v>
      </c>
      <c r="C30" t="s">
        <v>1045</v>
      </c>
      <c r="D30" t="s">
        <v>1044</v>
      </c>
      <c r="E30" t="s">
        <v>1044</v>
      </c>
      <c r="F30" t="s">
        <v>1046</v>
      </c>
      <c r="G30" t="s">
        <v>1047</v>
      </c>
      <c r="H30" t="s">
        <v>1048</v>
      </c>
    </row>
    <row r="31" spans="1:8">
      <c r="A31" t="s">
        <v>1049</v>
      </c>
      <c r="B31" t="s">
        <v>1050</v>
      </c>
      <c r="C31" t="s">
        <v>1051</v>
      </c>
      <c r="D31" t="s">
        <v>1050</v>
      </c>
      <c r="E31" t="s">
        <v>1050</v>
      </c>
      <c r="F31" t="s">
        <v>1052</v>
      </c>
      <c r="G31" t="s">
        <v>1053</v>
      </c>
      <c r="H31" t="s">
        <v>1054</v>
      </c>
    </row>
    <row r="32" spans="1:8">
      <c r="A32" t="s">
        <v>1055</v>
      </c>
      <c r="B32" t="s">
        <v>1050</v>
      </c>
      <c r="C32" t="s">
        <v>1051</v>
      </c>
      <c r="D32" t="s">
        <v>1050</v>
      </c>
      <c r="E32" t="s">
        <v>1050</v>
      </c>
      <c r="F32" t="s">
        <v>1050</v>
      </c>
      <c r="G32" t="s">
        <v>1056</v>
      </c>
      <c r="H32" t="s">
        <v>1057</v>
      </c>
    </row>
    <row r="33" spans="1:8">
      <c r="A33" t="s">
        <v>1058</v>
      </c>
      <c r="B33" t="s">
        <v>1059</v>
      </c>
      <c r="C33" t="s">
        <v>1051</v>
      </c>
      <c r="D33" t="s">
        <v>1059</v>
      </c>
      <c r="E33" t="s">
        <v>1060</v>
      </c>
      <c r="F33" t="s">
        <v>1061</v>
      </c>
      <c r="G33" t="s">
        <v>1062</v>
      </c>
      <c r="H33" t="s">
        <v>1063</v>
      </c>
    </row>
    <row r="34" spans="1:8">
      <c r="A34" t="s">
        <v>1064</v>
      </c>
      <c r="B34" t="s">
        <v>1065</v>
      </c>
      <c r="C34" t="s">
        <v>1066</v>
      </c>
      <c r="D34" t="s">
        <v>1065</v>
      </c>
      <c r="E34" t="s">
        <v>1067</v>
      </c>
      <c r="F34" t="s">
        <v>1068</v>
      </c>
      <c r="G34" t="s">
        <v>1069</v>
      </c>
      <c r="H34" t="s">
        <v>1070</v>
      </c>
    </row>
    <row r="35" spans="1:8">
      <c r="A35" t="s">
        <v>1071</v>
      </c>
      <c r="B35" t="s">
        <v>1072</v>
      </c>
      <c r="C35" t="s">
        <v>1073</v>
      </c>
      <c r="D35" t="s">
        <v>1072</v>
      </c>
      <c r="E35" t="s">
        <v>1034</v>
      </c>
      <c r="F35" t="s">
        <v>1072</v>
      </c>
      <c r="G35" t="s">
        <v>1074</v>
      </c>
      <c r="H35" t="s">
        <v>1070</v>
      </c>
    </row>
    <row r="36" spans="1:8">
      <c r="A36" t="s">
        <v>1075</v>
      </c>
      <c r="B36" t="s">
        <v>1076</v>
      </c>
      <c r="C36" t="s">
        <v>1066</v>
      </c>
      <c r="D36" t="s">
        <v>1076</v>
      </c>
      <c r="E36" t="s">
        <v>1076</v>
      </c>
      <c r="F36" t="s">
        <v>1076</v>
      </c>
      <c r="G36" t="s">
        <v>1077</v>
      </c>
      <c r="H36" t="s">
        <v>1070</v>
      </c>
    </row>
    <row r="37" spans="1:8">
      <c r="A37" t="s">
        <v>1078</v>
      </c>
      <c r="B37" t="s">
        <v>1067</v>
      </c>
      <c r="C37" t="s">
        <v>1066</v>
      </c>
      <c r="D37" t="s">
        <v>1067</v>
      </c>
      <c r="E37" t="s">
        <v>1067</v>
      </c>
      <c r="F37" t="s">
        <v>1067</v>
      </c>
      <c r="G37" t="s">
        <v>1079</v>
      </c>
      <c r="H37" t="s">
        <v>1070</v>
      </c>
    </row>
    <row r="38" spans="1:8">
      <c r="A38" t="s">
        <v>1080</v>
      </c>
      <c r="B38" t="s">
        <v>1065</v>
      </c>
      <c r="C38" t="s">
        <v>1066</v>
      </c>
      <c r="D38" t="s">
        <v>1065</v>
      </c>
      <c r="E38" t="s">
        <v>1065</v>
      </c>
      <c r="F38" t="s">
        <v>1065</v>
      </c>
      <c r="G38" t="s">
        <v>1081</v>
      </c>
      <c r="H38" t="s">
        <v>1070</v>
      </c>
    </row>
    <row r="39" spans="1:8">
      <c r="A39" t="s">
        <v>1082</v>
      </c>
      <c r="B39" t="s">
        <v>1083</v>
      </c>
      <c r="C39" t="s">
        <v>1084</v>
      </c>
      <c r="D39" t="s">
        <v>1083</v>
      </c>
      <c r="E39" t="s">
        <v>1083</v>
      </c>
      <c r="F39" t="s">
        <v>1076</v>
      </c>
      <c r="G39" t="s">
        <v>1085</v>
      </c>
      <c r="H39" t="s">
        <v>1086</v>
      </c>
    </row>
    <row r="40" spans="1:8">
      <c r="A40" t="s">
        <v>1087</v>
      </c>
      <c r="B40" t="s">
        <v>1088</v>
      </c>
      <c r="C40" t="s">
        <v>1084</v>
      </c>
      <c r="D40" t="s">
        <v>1088</v>
      </c>
      <c r="E40" t="s">
        <v>1088</v>
      </c>
      <c r="F40" t="s">
        <v>1089</v>
      </c>
      <c r="G40" t="s">
        <v>1090</v>
      </c>
      <c r="H40" t="s">
        <v>1091</v>
      </c>
    </row>
    <row r="41" spans="1:8">
      <c r="A41" t="s">
        <v>1092</v>
      </c>
      <c r="B41" t="s">
        <v>1093</v>
      </c>
      <c r="C41" t="s">
        <v>1039</v>
      </c>
      <c r="D41" t="s">
        <v>1093</v>
      </c>
      <c r="G41" t="s">
        <v>1094</v>
      </c>
      <c r="H41" t="s">
        <v>1070</v>
      </c>
    </row>
    <row r="42" spans="1:8">
      <c r="A42" t="s">
        <v>1095</v>
      </c>
      <c r="B42" t="s">
        <v>1096</v>
      </c>
      <c r="C42" t="s">
        <v>1045</v>
      </c>
      <c r="D42" t="s">
        <v>1096</v>
      </c>
      <c r="E42" t="s">
        <v>1097</v>
      </c>
      <c r="F42" t="s">
        <v>1098</v>
      </c>
      <c r="G42" t="s">
        <v>1099</v>
      </c>
      <c r="H42" t="s">
        <v>1100</v>
      </c>
    </row>
    <row r="43" spans="1:8">
      <c r="A43" t="s">
        <v>1101</v>
      </c>
      <c r="B43" t="s">
        <v>1102</v>
      </c>
      <c r="C43" t="s">
        <v>1103</v>
      </c>
      <c r="D43" t="s">
        <v>1102</v>
      </c>
      <c r="E43" t="s">
        <v>1104</v>
      </c>
      <c r="F43" t="s">
        <v>1105</v>
      </c>
      <c r="G43" t="s">
        <v>1106</v>
      </c>
      <c r="H43" t="s">
        <v>1107</v>
      </c>
    </row>
    <row r="44" spans="1:8">
      <c r="A44" t="s">
        <v>1108</v>
      </c>
      <c r="B44" t="s">
        <v>1040</v>
      </c>
      <c r="C44" t="s">
        <v>1039</v>
      </c>
      <c r="D44" t="s">
        <v>1040</v>
      </c>
      <c r="G44" t="s">
        <v>1109</v>
      </c>
      <c r="H44" t="s">
        <v>1070</v>
      </c>
    </row>
    <row r="45" spans="1:8">
      <c r="A45" t="s">
        <v>1110</v>
      </c>
      <c r="B45" t="s">
        <v>1111</v>
      </c>
      <c r="C45" t="s">
        <v>1039</v>
      </c>
      <c r="D45" t="s">
        <v>1111</v>
      </c>
      <c r="G45" t="s">
        <v>1112</v>
      </c>
      <c r="H45" t="s">
        <v>1113</v>
      </c>
    </row>
  </sheetData>
  <pageMargins left="0.7" right="0.7" top="0.75" bottom="0.75" header="0.3" footer="0.3"/>
  <pageSetup paperSize="9" orientation="portrait" horizontalDpi="300" verticalDpi="300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workbookViewId="0"/>
  </sheetViews>
  <sheetFormatPr defaultColWidth="11.19921875" defaultRowHeight="13.8"/>
  <cols>
    <col min="1" max="1" width="24" customWidth="1"/>
    <col min="2" max="2" width="40" customWidth="1"/>
    <col min="3" max="3" width="28" customWidth="1"/>
    <col min="4" max="4" width="60" customWidth="1"/>
    <col min="5" max="5" width="16" customWidth="1"/>
    <col min="6" max="7" width="34" customWidth="1"/>
    <col min="8" max="8" width="16" customWidth="1"/>
  </cols>
  <sheetData>
    <row r="1" spans="1:8" ht="30" customHeight="1">
      <c r="A1" s="4" t="s">
        <v>108</v>
      </c>
      <c r="B1" s="4" t="s">
        <v>109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</row>
    <row r="2" spans="1:8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  <c r="G2" s="5" t="s">
        <v>121</v>
      </c>
      <c r="H2" s="5">
        <v>1</v>
      </c>
    </row>
    <row r="3" spans="1:8">
      <c r="A3" s="10" t="s">
        <v>122</v>
      </c>
      <c r="B3" s="10" t="s">
        <v>123</v>
      </c>
      <c r="C3" s="10" t="s">
        <v>124</v>
      </c>
      <c r="D3" s="10" t="s">
        <v>125</v>
      </c>
      <c r="E3" s="10" t="s">
        <v>126</v>
      </c>
      <c r="F3" s="10" t="s">
        <v>127</v>
      </c>
      <c r="G3" s="10" t="s">
        <v>127</v>
      </c>
      <c r="H3" s="10">
        <v>1</v>
      </c>
    </row>
    <row r="4" spans="1:8">
      <c r="A4" s="5"/>
      <c r="B4" s="5"/>
      <c r="C4" s="5"/>
      <c r="D4" s="5"/>
      <c r="E4" s="5" t="s">
        <v>128</v>
      </c>
      <c r="F4" s="5" t="s">
        <v>129</v>
      </c>
      <c r="G4" s="5" t="s">
        <v>129</v>
      </c>
      <c r="H4" s="5">
        <v>1</v>
      </c>
    </row>
    <row r="5" spans="1:8">
      <c r="A5" s="10"/>
      <c r="B5" s="10"/>
      <c r="C5" s="10"/>
      <c r="D5" s="10"/>
      <c r="E5" s="10" t="s">
        <v>130</v>
      </c>
      <c r="F5" s="10" t="s">
        <v>131</v>
      </c>
      <c r="G5" s="10" t="s">
        <v>131</v>
      </c>
      <c r="H5" s="10">
        <v>1</v>
      </c>
    </row>
    <row r="6" spans="1:8">
      <c r="A6" s="5"/>
      <c r="B6" s="5"/>
      <c r="C6" s="5"/>
      <c r="D6" s="5"/>
      <c r="E6" s="5" t="s">
        <v>132</v>
      </c>
      <c r="F6" s="5" t="s">
        <v>133</v>
      </c>
      <c r="G6" s="5" t="s">
        <v>134</v>
      </c>
      <c r="H6" s="5">
        <v>1</v>
      </c>
    </row>
    <row r="7" spans="1:8">
      <c r="A7" s="10"/>
      <c r="B7" s="10"/>
      <c r="C7" s="10"/>
      <c r="D7" s="10"/>
      <c r="E7" s="10" t="s">
        <v>135</v>
      </c>
      <c r="F7" s="10" t="s">
        <v>136</v>
      </c>
      <c r="G7" s="10" t="s">
        <v>137</v>
      </c>
      <c r="H7" s="10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showGridLines="0" workbookViewId="0"/>
  </sheetViews>
  <sheetFormatPr defaultColWidth="11.19921875" defaultRowHeight="13.8"/>
  <cols>
    <col min="1" max="1" width="32" customWidth="1"/>
    <col min="2" max="2" width="24" customWidth="1"/>
    <col min="3" max="3" width="40" customWidth="1"/>
    <col min="4" max="4" width="14" customWidth="1"/>
    <col min="5" max="5" width="36" customWidth="1"/>
    <col min="6" max="6" width="32" customWidth="1"/>
    <col min="7" max="8" width="18" customWidth="1"/>
    <col min="9" max="10" width="32" customWidth="1"/>
    <col min="11" max="11" width="20" customWidth="1"/>
    <col min="12" max="12" width="14" customWidth="1"/>
    <col min="13" max="13" width="54" customWidth="1"/>
  </cols>
  <sheetData>
    <row r="1" spans="1:13" ht="30" customHeight="1">
      <c r="A1" s="4" t="s">
        <v>138</v>
      </c>
      <c r="B1" s="4" t="s">
        <v>108</v>
      </c>
      <c r="C1" s="4" t="s">
        <v>109</v>
      </c>
      <c r="D1" s="4" t="s">
        <v>112</v>
      </c>
      <c r="E1" s="4" t="s">
        <v>113</v>
      </c>
      <c r="F1" s="4" t="s">
        <v>114</v>
      </c>
      <c r="G1" s="4" t="s">
        <v>139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144</v>
      </c>
      <c r="M1" s="4" t="s">
        <v>145</v>
      </c>
    </row>
    <row r="2" spans="1:13">
      <c r="A2" s="5" t="s">
        <v>146</v>
      </c>
      <c r="B2" s="5" t="s">
        <v>116</v>
      </c>
      <c r="C2" s="5" t="s">
        <v>117</v>
      </c>
      <c r="D2" s="5" t="s">
        <v>120</v>
      </c>
      <c r="E2" s="5" t="s">
        <v>121</v>
      </c>
      <c r="F2" s="5" t="s">
        <v>121</v>
      </c>
      <c r="G2" s="5" t="s">
        <v>147</v>
      </c>
      <c r="H2" s="5" t="s">
        <v>148</v>
      </c>
      <c r="I2" s="5" t="s">
        <v>146</v>
      </c>
      <c r="J2" s="5" t="s">
        <v>149</v>
      </c>
      <c r="K2" s="5" t="s">
        <v>150</v>
      </c>
      <c r="L2" s="6">
        <v>1</v>
      </c>
      <c r="M2" s="5" t="s">
        <v>151</v>
      </c>
    </row>
    <row r="3" spans="1:13">
      <c r="A3" s="10" t="s">
        <v>152</v>
      </c>
      <c r="B3" s="10" t="s">
        <v>116</v>
      </c>
      <c r="C3" s="10" t="s">
        <v>117</v>
      </c>
      <c r="D3" s="10" t="s">
        <v>126</v>
      </c>
      <c r="E3" s="10" t="s">
        <v>127</v>
      </c>
      <c r="F3" s="10" t="s">
        <v>127</v>
      </c>
      <c r="G3" s="10" t="s">
        <v>147</v>
      </c>
      <c r="H3" s="10" t="s">
        <v>148</v>
      </c>
      <c r="I3" s="10" t="s">
        <v>152</v>
      </c>
      <c r="J3" s="10" t="s">
        <v>149</v>
      </c>
      <c r="K3" s="10" t="s">
        <v>150</v>
      </c>
      <c r="L3" s="6">
        <v>1</v>
      </c>
      <c r="M3" s="10" t="s">
        <v>151</v>
      </c>
    </row>
    <row r="4" spans="1:13">
      <c r="A4" s="5" t="s">
        <v>153</v>
      </c>
      <c r="B4" s="5" t="s">
        <v>116</v>
      </c>
      <c r="C4" s="5" t="s">
        <v>117</v>
      </c>
      <c r="D4" s="5" t="s">
        <v>128</v>
      </c>
      <c r="E4" s="5" t="s">
        <v>129</v>
      </c>
      <c r="F4" s="5" t="s">
        <v>129</v>
      </c>
      <c r="G4" s="5" t="s">
        <v>147</v>
      </c>
      <c r="H4" s="5" t="s">
        <v>148</v>
      </c>
      <c r="I4" s="5" t="s">
        <v>153</v>
      </c>
      <c r="J4" s="5" t="s">
        <v>149</v>
      </c>
      <c r="K4" s="5" t="s">
        <v>150</v>
      </c>
      <c r="L4" s="6">
        <v>1</v>
      </c>
      <c r="M4" s="5" t="s">
        <v>151</v>
      </c>
    </row>
    <row r="5" spans="1:13">
      <c r="A5" s="10" t="s">
        <v>154</v>
      </c>
      <c r="B5" s="10" t="s">
        <v>116</v>
      </c>
      <c r="C5" s="10" t="s">
        <v>117</v>
      </c>
      <c r="D5" s="10" t="s">
        <v>130</v>
      </c>
      <c r="E5" s="10" t="s">
        <v>131</v>
      </c>
      <c r="F5" s="10" t="s">
        <v>131</v>
      </c>
      <c r="G5" s="10" t="s">
        <v>147</v>
      </c>
      <c r="H5" s="10" t="s">
        <v>148</v>
      </c>
      <c r="I5" s="10" t="s">
        <v>154</v>
      </c>
      <c r="J5" s="10" t="s">
        <v>149</v>
      </c>
      <c r="K5" s="10" t="s">
        <v>150</v>
      </c>
      <c r="L5" s="6">
        <v>1</v>
      </c>
      <c r="M5" s="10" t="s">
        <v>155</v>
      </c>
    </row>
    <row r="6" spans="1:13">
      <c r="A6" s="5" t="s">
        <v>156</v>
      </c>
      <c r="B6" s="5" t="s">
        <v>122</v>
      </c>
      <c r="C6" s="5" t="s">
        <v>123</v>
      </c>
      <c r="D6" s="5" t="s">
        <v>132</v>
      </c>
      <c r="E6" s="5" t="s">
        <v>133</v>
      </c>
      <c r="F6" s="5" t="s">
        <v>134</v>
      </c>
      <c r="G6" s="5" t="s">
        <v>148</v>
      </c>
      <c r="H6" s="5" t="s">
        <v>157</v>
      </c>
      <c r="I6" s="5" t="s">
        <v>156</v>
      </c>
      <c r="J6" s="5" t="s">
        <v>156</v>
      </c>
      <c r="K6" s="5" t="s">
        <v>158</v>
      </c>
      <c r="L6" s="6">
        <v>1</v>
      </c>
      <c r="M6" s="5" t="s">
        <v>159</v>
      </c>
    </row>
    <row r="7" spans="1:13">
      <c r="A7" s="10" t="s">
        <v>160</v>
      </c>
      <c r="B7" s="10" t="s">
        <v>122</v>
      </c>
      <c r="C7" s="10" t="s">
        <v>123</v>
      </c>
      <c r="D7" s="10" t="s">
        <v>120</v>
      </c>
      <c r="E7" s="10" t="s">
        <v>161</v>
      </c>
      <c r="F7" s="10" t="s">
        <v>121</v>
      </c>
      <c r="G7" s="10" t="s">
        <v>148</v>
      </c>
      <c r="H7" s="10" t="s">
        <v>162</v>
      </c>
      <c r="I7" s="10" t="s">
        <v>160</v>
      </c>
      <c r="J7" s="10" t="s">
        <v>156</v>
      </c>
      <c r="K7" s="10" t="s">
        <v>150</v>
      </c>
      <c r="L7" s="6">
        <v>1</v>
      </c>
      <c r="M7" s="10" t="s">
        <v>163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showGridLines="0" workbookViewId="0"/>
  </sheetViews>
  <sheetFormatPr defaultColWidth="11.19921875" defaultRowHeight="13.8"/>
  <cols>
    <col min="1" max="1" width="22" customWidth="1"/>
    <col min="2" max="2" width="32" customWidth="1"/>
    <col min="3" max="3" width="24" customWidth="1"/>
    <col min="4" max="4" width="14" customWidth="1"/>
    <col min="5" max="5" width="40" customWidth="1"/>
    <col min="6" max="6" width="38" customWidth="1"/>
    <col min="7" max="8" width="18" customWidth="1"/>
    <col min="9" max="9" width="24" customWidth="1"/>
    <col min="10" max="11" width="16" customWidth="1"/>
    <col min="12" max="14" width="12" customWidth="1"/>
    <col min="15" max="15" width="30" customWidth="1"/>
    <col min="16" max="16" width="22" customWidth="1"/>
    <col min="17" max="17" width="16" customWidth="1"/>
    <col min="18" max="18" width="50" customWidth="1"/>
    <col min="19" max="19" width="16" customWidth="1"/>
    <col min="20" max="20" width="14" customWidth="1"/>
  </cols>
  <sheetData>
    <row r="1" spans="1:20" ht="30" customHeight="1">
      <c r="A1" s="4" t="s">
        <v>164</v>
      </c>
      <c r="B1" s="4" t="s">
        <v>138</v>
      </c>
      <c r="C1" s="4" t="s">
        <v>108</v>
      </c>
      <c r="D1" s="4" t="s">
        <v>112</v>
      </c>
      <c r="E1" s="4" t="s">
        <v>109</v>
      </c>
      <c r="F1" s="4" t="s">
        <v>113</v>
      </c>
      <c r="G1" s="4" t="s">
        <v>139</v>
      </c>
      <c r="H1" s="4" t="s">
        <v>140</v>
      </c>
      <c r="I1" s="4" t="s">
        <v>165</v>
      </c>
      <c r="J1" s="4" t="s">
        <v>166</v>
      </c>
      <c r="K1" s="4" t="s">
        <v>167</v>
      </c>
      <c r="L1" s="4" t="s">
        <v>168</v>
      </c>
      <c r="M1" s="4" t="s">
        <v>169</v>
      </c>
      <c r="N1" s="4" t="s">
        <v>170</v>
      </c>
      <c r="O1" s="4" t="s">
        <v>171</v>
      </c>
      <c r="P1" s="4" t="s">
        <v>172</v>
      </c>
      <c r="Q1" s="4" t="s">
        <v>173</v>
      </c>
      <c r="R1" s="4" t="s">
        <v>145</v>
      </c>
      <c r="S1" s="4" t="s">
        <v>174</v>
      </c>
      <c r="T1" s="4" t="s">
        <v>175</v>
      </c>
    </row>
    <row r="2" spans="1:20">
      <c r="A2" s="5" t="s">
        <v>176</v>
      </c>
      <c r="B2" s="5" t="s">
        <v>146</v>
      </c>
      <c r="C2" s="5" t="s">
        <v>116</v>
      </c>
      <c r="D2" s="5" t="s">
        <v>120</v>
      </c>
      <c r="E2" s="5" t="s">
        <v>117</v>
      </c>
      <c r="F2" s="5" t="s">
        <v>121</v>
      </c>
      <c r="G2" s="5" t="s">
        <v>147</v>
      </c>
      <c r="H2" s="5" t="s">
        <v>148</v>
      </c>
      <c r="I2" s="5" t="s">
        <v>177</v>
      </c>
      <c r="J2" s="7">
        <v>0.57999999999999996</v>
      </c>
      <c r="K2" s="7">
        <v>0.8</v>
      </c>
      <c r="L2" s="5">
        <v>30</v>
      </c>
      <c r="M2" s="5">
        <v>80</v>
      </c>
      <c r="N2" s="5" t="s">
        <v>178</v>
      </c>
      <c r="O2" s="5" t="s">
        <v>179</v>
      </c>
      <c r="P2" s="5" t="s">
        <v>180</v>
      </c>
      <c r="Q2" s="5" t="s">
        <v>181</v>
      </c>
      <c r="R2" s="5" t="s">
        <v>182</v>
      </c>
      <c r="S2" s="5">
        <f>COUNTIF(Intervention_Cause_Map!$A$2:$A$7,B2)</f>
        <v>1</v>
      </c>
      <c r="T2" s="5" t="str">
        <f t="shared" ref="T2:T7" si="0">IF(S2&lt;&gt;1,"BAD KEY",IF(OR(J2&lt;0,J2&gt;1,K2&lt;0,K2&gt;1),"BAD VALUE","OK"))</f>
        <v>OK</v>
      </c>
    </row>
    <row r="3" spans="1:20">
      <c r="A3" s="10" t="s">
        <v>183</v>
      </c>
      <c r="B3" s="10" t="s">
        <v>152</v>
      </c>
      <c r="C3" s="10" t="s">
        <v>116</v>
      </c>
      <c r="D3" s="10" t="s">
        <v>126</v>
      </c>
      <c r="E3" s="10" t="s">
        <v>117</v>
      </c>
      <c r="F3" s="10" t="s">
        <v>127</v>
      </c>
      <c r="G3" s="10" t="s">
        <v>147</v>
      </c>
      <c r="H3" s="10" t="s">
        <v>148</v>
      </c>
      <c r="I3" s="10" t="s">
        <v>177</v>
      </c>
      <c r="J3" s="7">
        <v>0.54</v>
      </c>
      <c r="K3" s="7">
        <v>0.8</v>
      </c>
      <c r="L3" s="10">
        <v>30</v>
      </c>
      <c r="M3" s="10">
        <v>80</v>
      </c>
      <c r="N3" s="10" t="s">
        <v>178</v>
      </c>
      <c r="O3" s="10" t="s">
        <v>179</v>
      </c>
      <c r="P3" s="10" t="s">
        <v>184</v>
      </c>
      <c r="Q3" s="10" t="s">
        <v>181</v>
      </c>
      <c r="R3" s="10" t="s">
        <v>182</v>
      </c>
      <c r="S3" s="5">
        <f>COUNTIF(Intervention_Cause_Map!$A$2:$A$7,B3)</f>
        <v>1</v>
      </c>
      <c r="T3" s="5" t="str">
        <f t="shared" si="0"/>
        <v>OK</v>
      </c>
    </row>
    <row r="4" spans="1:20">
      <c r="A4" s="5" t="s">
        <v>185</v>
      </c>
      <c r="B4" s="5" t="s">
        <v>153</v>
      </c>
      <c r="C4" s="5" t="s">
        <v>116</v>
      </c>
      <c r="D4" s="5" t="s">
        <v>128</v>
      </c>
      <c r="E4" s="5" t="s">
        <v>117</v>
      </c>
      <c r="F4" s="5" t="s">
        <v>129</v>
      </c>
      <c r="G4" s="5" t="s">
        <v>147</v>
      </c>
      <c r="H4" s="5" t="s">
        <v>148</v>
      </c>
      <c r="I4" s="5" t="s">
        <v>177</v>
      </c>
      <c r="J4" s="7">
        <v>0.49</v>
      </c>
      <c r="K4" s="7">
        <v>0.8</v>
      </c>
      <c r="L4" s="5">
        <v>30</v>
      </c>
      <c r="M4" s="5">
        <v>80</v>
      </c>
      <c r="N4" s="5" t="s">
        <v>178</v>
      </c>
      <c r="O4" s="5" t="s">
        <v>179</v>
      </c>
      <c r="P4" s="5" t="s">
        <v>186</v>
      </c>
      <c r="Q4" s="5" t="s">
        <v>181</v>
      </c>
      <c r="R4" s="5" t="s">
        <v>182</v>
      </c>
      <c r="S4" s="5">
        <f>COUNTIF(Intervention_Cause_Map!$A$2:$A$7,B4)</f>
        <v>1</v>
      </c>
      <c r="T4" s="5" t="str">
        <f t="shared" si="0"/>
        <v>OK</v>
      </c>
    </row>
    <row r="5" spans="1:20">
      <c r="A5" s="10" t="s">
        <v>187</v>
      </c>
      <c r="B5" s="10" t="s">
        <v>154</v>
      </c>
      <c r="C5" s="10" t="s">
        <v>116</v>
      </c>
      <c r="D5" s="10" t="s">
        <v>130</v>
      </c>
      <c r="E5" s="10" t="s">
        <v>117</v>
      </c>
      <c r="F5" s="10" t="s">
        <v>131</v>
      </c>
      <c r="G5" s="10" t="s">
        <v>147</v>
      </c>
      <c r="H5" s="10" t="s">
        <v>148</v>
      </c>
      <c r="I5" s="10" t="s">
        <v>177</v>
      </c>
      <c r="J5" s="7">
        <v>0.47</v>
      </c>
      <c r="K5" s="7">
        <v>1</v>
      </c>
      <c r="L5" s="10">
        <v>30</v>
      </c>
      <c r="M5" s="10">
        <v>80</v>
      </c>
      <c r="N5" s="10" t="s">
        <v>178</v>
      </c>
      <c r="O5" s="10" t="s">
        <v>179</v>
      </c>
      <c r="P5" s="10" t="s">
        <v>188</v>
      </c>
      <c r="Q5" s="10" t="s">
        <v>181</v>
      </c>
      <c r="R5" s="10" t="s">
        <v>182</v>
      </c>
      <c r="S5" s="5">
        <f>COUNTIF(Intervention_Cause_Map!$A$2:$A$7,B5)</f>
        <v>1</v>
      </c>
      <c r="T5" s="5" t="str">
        <f t="shared" si="0"/>
        <v>OK</v>
      </c>
    </row>
    <row r="6" spans="1:20">
      <c r="A6" s="5" t="s">
        <v>189</v>
      </c>
      <c r="B6" s="5" t="s">
        <v>156</v>
      </c>
      <c r="C6" s="5" t="s">
        <v>122</v>
      </c>
      <c r="D6" s="5" t="s">
        <v>132</v>
      </c>
      <c r="E6" s="5" t="s">
        <v>123</v>
      </c>
      <c r="F6" s="5" t="s">
        <v>133</v>
      </c>
      <c r="G6" s="5" t="s">
        <v>148</v>
      </c>
      <c r="H6" s="5" t="s">
        <v>157</v>
      </c>
      <c r="I6" s="5" t="s">
        <v>177</v>
      </c>
      <c r="J6" s="7">
        <v>0.28000000000000003</v>
      </c>
      <c r="K6" s="7">
        <v>1</v>
      </c>
      <c r="L6" s="5">
        <v>0</v>
      </c>
      <c r="M6" s="5">
        <v>95</v>
      </c>
      <c r="N6" s="5" t="s">
        <v>178</v>
      </c>
      <c r="O6" s="5" t="s">
        <v>179</v>
      </c>
      <c r="P6" s="5" t="s">
        <v>190</v>
      </c>
      <c r="Q6" s="5" t="s">
        <v>181</v>
      </c>
      <c r="R6" s="5" t="s">
        <v>159</v>
      </c>
      <c r="S6" s="5">
        <f>COUNTIF(Intervention_Cause_Map!$A$2:$A$7,B6)</f>
        <v>1</v>
      </c>
      <c r="T6" s="5" t="str">
        <f t="shared" si="0"/>
        <v>OK</v>
      </c>
    </row>
    <row r="7" spans="1:20">
      <c r="A7" s="10" t="s">
        <v>191</v>
      </c>
      <c r="B7" s="10" t="s">
        <v>160</v>
      </c>
      <c r="C7" s="10" t="s">
        <v>122</v>
      </c>
      <c r="D7" s="10" t="s">
        <v>120</v>
      </c>
      <c r="E7" s="10" t="s">
        <v>123</v>
      </c>
      <c r="F7" s="10" t="s">
        <v>161</v>
      </c>
      <c r="G7" s="10" t="s">
        <v>148</v>
      </c>
      <c r="H7" s="10" t="s">
        <v>162</v>
      </c>
      <c r="I7" s="10" t="s">
        <v>177</v>
      </c>
      <c r="J7" s="7">
        <v>0.15</v>
      </c>
      <c r="K7" s="7">
        <v>0.15</v>
      </c>
      <c r="L7" s="10">
        <v>0</v>
      </c>
      <c r="M7" s="10">
        <v>95</v>
      </c>
      <c r="N7" s="10" t="s">
        <v>178</v>
      </c>
      <c r="O7" s="10" t="s">
        <v>179</v>
      </c>
      <c r="P7" s="10" t="s">
        <v>192</v>
      </c>
      <c r="Q7" s="10" t="s">
        <v>15</v>
      </c>
      <c r="R7" s="10" t="s">
        <v>193</v>
      </c>
      <c r="S7" s="5">
        <f>COUNTIF(Intervention_Cause_Map!$A$2:$A$7,B7)</f>
        <v>1</v>
      </c>
      <c r="T7" s="5" t="str">
        <f t="shared" si="0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showGridLines="0" workbookViewId="0"/>
  </sheetViews>
  <sheetFormatPr defaultColWidth="11.19921875" defaultRowHeight="13.8"/>
  <cols>
    <col min="1" max="1" width="30" customWidth="1"/>
    <col min="2" max="2" width="18" customWidth="1"/>
    <col min="3" max="3" width="24" customWidth="1"/>
    <col min="4" max="4" width="12" customWidth="1"/>
    <col min="5" max="5" width="16" customWidth="1"/>
    <col min="6" max="6" width="12" customWidth="1"/>
    <col min="7" max="7" width="18" customWidth="1"/>
    <col min="8" max="8" width="21" customWidth="1"/>
    <col min="9" max="9" width="20" customWidth="1"/>
    <col min="10" max="11" width="21" customWidth="1"/>
    <col min="12" max="13" width="22" customWidth="1"/>
    <col min="14" max="14" width="18" customWidth="1"/>
    <col min="15" max="15" width="21" customWidth="1"/>
    <col min="16" max="16" width="24" customWidth="1"/>
    <col min="17" max="17" width="21" customWidth="1"/>
    <col min="18" max="18" width="34" customWidth="1"/>
    <col min="19" max="19" width="62" customWidth="1"/>
    <col min="20" max="20" width="14" customWidth="1"/>
  </cols>
  <sheetData>
    <row r="1" spans="1:20" ht="30" customHeight="1">
      <c r="A1" s="4" t="s">
        <v>194</v>
      </c>
      <c r="B1" s="4" t="s">
        <v>195</v>
      </c>
      <c r="C1" s="4" t="s">
        <v>196</v>
      </c>
      <c r="D1" s="4" t="s">
        <v>170</v>
      </c>
      <c r="E1" s="4" t="s">
        <v>197</v>
      </c>
      <c r="F1" s="4" t="s">
        <v>31</v>
      </c>
      <c r="G1" s="4" t="s">
        <v>198</v>
      </c>
      <c r="H1" s="4" t="s">
        <v>199</v>
      </c>
      <c r="I1" s="4" t="s">
        <v>200</v>
      </c>
      <c r="J1" s="4" t="s">
        <v>201</v>
      </c>
      <c r="K1" s="4" t="s">
        <v>202</v>
      </c>
      <c r="L1" s="4" t="s">
        <v>203</v>
      </c>
      <c r="M1" s="4" t="s">
        <v>204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29</v>
      </c>
      <c r="S1" s="4" t="s">
        <v>209</v>
      </c>
      <c r="T1" s="4" t="s">
        <v>175</v>
      </c>
    </row>
    <row r="2" spans="1:20">
      <c r="A2" s="5" t="s">
        <v>210</v>
      </c>
      <c r="B2" s="5" t="s">
        <v>211</v>
      </c>
      <c r="C2" s="5" t="s">
        <v>212</v>
      </c>
      <c r="D2" s="5" t="s">
        <v>213</v>
      </c>
      <c r="E2" s="5" t="s">
        <v>214</v>
      </c>
      <c r="F2" s="5">
        <v>2025</v>
      </c>
      <c r="G2" s="9">
        <f>Raw_NCDRisC!H2</f>
        <v>0.290111043006541</v>
      </c>
      <c r="H2" s="9">
        <f>Raw_NCDRisC!I2/Raw_NCDRisC!H2</f>
        <v>0.53038726613310172</v>
      </c>
      <c r="I2" s="9">
        <f>Raw_NCDRisC!J2/Raw_NCDRisC!I2</f>
        <v>0.23288796047622687</v>
      </c>
      <c r="J2" s="9">
        <f t="shared" ref="J2:J19" si="0">G2</f>
        <v>0.290111043006541</v>
      </c>
      <c r="K2" s="9">
        <f t="shared" ref="K2:K19" si="1">G2*H2</f>
        <v>0.15387120297526199</v>
      </c>
      <c r="L2" s="9">
        <f t="shared" ref="L2:L19" si="2">K2*I2</f>
        <v>3.5834750636932297E-2</v>
      </c>
      <c r="M2" s="9">
        <f t="shared" ref="M2:M19" si="3">K2-L2</f>
        <v>0.1180364523383297</v>
      </c>
      <c r="N2" s="9">
        <f>Assumptions!$B$11</f>
        <v>0.5</v>
      </c>
      <c r="O2" s="9">
        <f t="shared" ref="O2:O19" si="4">L2+N2*M2</f>
        <v>9.4852976806097139E-2</v>
      </c>
      <c r="P2" s="9"/>
      <c r="Q2" s="9">
        <f>IF(P2="",O2,P2)</f>
        <v>9.4852976806097139E-2</v>
      </c>
      <c r="R2" s="5" t="s">
        <v>215</v>
      </c>
      <c r="S2" s="5" t="s">
        <v>216</v>
      </c>
      <c r="T2" s="5" t="str">
        <f t="shared" ref="T2:T19" si="5">IF(OR(G2&lt;0,G2&gt;1,H2&lt;0,H2&gt;1,I2&lt;0,I2&gt;1,Q2&lt;0,Q2&gt;1),"BAD","OK")</f>
        <v>OK</v>
      </c>
    </row>
    <row r="3" spans="1:20">
      <c r="A3" s="10" t="s">
        <v>217</v>
      </c>
      <c r="B3" s="10" t="s">
        <v>211</v>
      </c>
      <c r="C3" s="10" t="s">
        <v>212</v>
      </c>
      <c r="D3" s="10" t="s">
        <v>213</v>
      </c>
      <c r="E3" s="10" t="s">
        <v>218</v>
      </c>
      <c r="F3" s="10">
        <v>2030</v>
      </c>
      <c r="G3" s="9">
        <f>Assumptions!$B$6</f>
        <v>0.7</v>
      </c>
      <c r="H3" s="9">
        <f>Assumptions!$B$7</f>
        <v>0.3</v>
      </c>
      <c r="I3" s="9">
        <f>Assumptions!$B$8</f>
        <v>0.3</v>
      </c>
      <c r="J3" s="9">
        <f t="shared" si="0"/>
        <v>0.7</v>
      </c>
      <c r="K3" s="9">
        <f t="shared" si="1"/>
        <v>0.21</v>
      </c>
      <c r="L3" s="9">
        <f t="shared" si="2"/>
        <v>6.3E-2</v>
      </c>
      <c r="M3" s="9">
        <f t="shared" si="3"/>
        <v>0.14699999999999999</v>
      </c>
      <c r="N3" s="9">
        <f>Assumptions!$B$11</f>
        <v>0.5</v>
      </c>
      <c r="O3" s="9">
        <f t="shared" si="4"/>
        <v>0.13650000000000001</v>
      </c>
      <c r="P3" s="9"/>
      <c r="Q3" s="9">
        <f>O3</f>
        <v>0.13650000000000001</v>
      </c>
      <c r="R3" s="10" t="s">
        <v>219</v>
      </c>
      <c r="S3" s="10" t="s">
        <v>220</v>
      </c>
      <c r="T3" s="5" t="str">
        <f t="shared" si="5"/>
        <v>OK</v>
      </c>
    </row>
    <row r="4" spans="1:20">
      <c r="A4" s="5" t="s">
        <v>221</v>
      </c>
      <c r="B4" s="5" t="s">
        <v>211</v>
      </c>
      <c r="C4" s="5" t="s">
        <v>212</v>
      </c>
      <c r="D4" s="5" t="s">
        <v>213</v>
      </c>
      <c r="E4" s="5" t="s">
        <v>222</v>
      </c>
      <c r="F4" s="5">
        <v>2040</v>
      </c>
      <c r="G4" s="9">
        <f>Assumptions!$B$6</f>
        <v>0.7</v>
      </c>
      <c r="H4" s="9">
        <f>Assumptions!$B$9</f>
        <v>0.7</v>
      </c>
      <c r="I4" s="9">
        <f>Assumptions!$B$10</f>
        <v>0.7</v>
      </c>
      <c r="J4" s="9">
        <f t="shared" si="0"/>
        <v>0.7</v>
      </c>
      <c r="K4" s="9">
        <f t="shared" si="1"/>
        <v>0.48999999999999994</v>
      </c>
      <c r="L4" s="9">
        <f t="shared" si="2"/>
        <v>0.34299999999999992</v>
      </c>
      <c r="M4" s="9">
        <f t="shared" si="3"/>
        <v>0.14700000000000002</v>
      </c>
      <c r="N4" s="9">
        <f>Assumptions!$B$11</f>
        <v>0.5</v>
      </c>
      <c r="O4" s="9">
        <f t="shared" si="4"/>
        <v>0.41649999999999993</v>
      </c>
      <c r="P4" s="9"/>
      <c r="Q4" s="9">
        <f>O4</f>
        <v>0.41649999999999993</v>
      </c>
      <c r="R4" s="5" t="s">
        <v>219</v>
      </c>
      <c r="S4" s="5" t="s">
        <v>220</v>
      </c>
      <c r="T4" s="5" t="str">
        <f t="shared" si="5"/>
        <v>OK</v>
      </c>
    </row>
    <row r="5" spans="1:20">
      <c r="A5" s="10" t="s">
        <v>223</v>
      </c>
      <c r="B5" s="10" t="s">
        <v>211</v>
      </c>
      <c r="C5" s="10" t="s">
        <v>212</v>
      </c>
      <c r="D5" s="10" t="s">
        <v>224</v>
      </c>
      <c r="E5" s="10" t="s">
        <v>214</v>
      </c>
      <c r="F5" s="10">
        <v>2025</v>
      </c>
      <c r="G5" s="9">
        <f>Raw_NCDRisC!H3</f>
        <v>0.409589430470506</v>
      </c>
      <c r="H5" s="9">
        <f>Raw_NCDRisC!I3/Raw_NCDRisC!H3</f>
        <v>0.52283351590481641</v>
      </c>
      <c r="I5" s="9">
        <f>Raw_NCDRisC!J3/Raw_NCDRisC!I3</f>
        <v>0.23915522634396813</v>
      </c>
      <c r="J5" s="9">
        <f t="shared" si="0"/>
        <v>0.409589430470506</v>
      </c>
      <c r="K5" s="9">
        <f t="shared" si="1"/>
        <v>0.21414708201034599</v>
      </c>
      <c r="L5" s="9">
        <f t="shared" si="2"/>
        <v>5.12143938690846E-2</v>
      </c>
      <c r="M5" s="9">
        <f t="shared" si="3"/>
        <v>0.16293268814126138</v>
      </c>
      <c r="N5" s="9">
        <f>Assumptions!$B$11</f>
        <v>0.5</v>
      </c>
      <c r="O5" s="9">
        <f t="shared" si="4"/>
        <v>0.1326807379397153</v>
      </c>
      <c r="P5" s="9"/>
      <c r="Q5" s="9">
        <f>IF(P5="",O5,P5)</f>
        <v>0.1326807379397153</v>
      </c>
      <c r="R5" s="10" t="s">
        <v>215</v>
      </c>
      <c r="S5" s="10" t="s">
        <v>216</v>
      </c>
      <c r="T5" s="5" t="str">
        <f t="shared" si="5"/>
        <v>OK</v>
      </c>
    </row>
    <row r="6" spans="1:20">
      <c r="A6" s="5" t="s">
        <v>225</v>
      </c>
      <c r="B6" s="5" t="s">
        <v>211</v>
      </c>
      <c r="C6" s="5" t="s">
        <v>212</v>
      </c>
      <c r="D6" s="5" t="s">
        <v>224</v>
      </c>
      <c r="E6" s="5" t="s">
        <v>218</v>
      </c>
      <c r="F6" s="5">
        <v>2030</v>
      </c>
      <c r="G6" s="9">
        <f>Assumptions!$B$6</f>
        <v>0.7</v>
      </c>
      <c r="H6" s="9">
        <f>Assumptions!$B$7</f>
        <v>0.3</v>
      </c>
      <c r="I6" s="9">
        <f>Assumptions!$B$8</f>
        <v>0.3</v>
      </c>
      <c r="J6" s="9">
        <f t="shared" si="0"/>
        <v>0.7</v>
      </c>
      <c r="K6" s="9">
        <f t="shared" si="1"/>
        <v>0.21</v>
      </c>
      <c r="L6" s="9">
        <f t="shared" si="2"/>
        <v>6.3E-2</v>
      </c>
      <c r="M6" s="9">
        <f t="shared" si="3"/>
        <v>0.14699999999999999</v>
      </c>
      <c r="N6" s="9">
        <f>Assumptions!$B$11</f>
        <v>0.5</v>
      </c>
      <c r="O6" s="9">
        <f t="shared" si="4"/>
        <v>0.13650000000000001</v>
      </c>
      <c r="P6" s="9"/>
      <c r="Q6" s="9">
        <f>O6</f>
        <v>0.13650000000000001</v>
      </c>
      <c r="R6" s="5" t="s">
        <v>219</v>
      </c>
      <c r="S6" s="5" t="s">
        <v>220</v>
      </c>
      <c r="T6" s="5" t="str">
        <f t="shared" si="5"/>
        <v>OK</v>
      </c>
    </row>
    <row r="7" spans="1:20">
      <c r="A7" s="10" t="s">
        <v>226</v>
      </c>
      <c r="B7" s="10" t="s">
        <v>211</v>
      </c>
      <c r="C7" s="10" t="s">
        <v>212</v>
      </c>
      <c r="D7" s="10" t="s">
        <v>224</v>
      </c>
      <c r="E7" s="10" t="s">
        <v>222</v>
      </c>
      <c r="F7" s="10">
        <v>2040</v>
      </c>
      <c r="G7" s="9">
        <f>Assumptions!$B$6</f>
        <v>0.7</v>
      </c>
      <c r="H7" s="9">
        <f>Assumptions!$B$9</f>
        <v>0.7</v>
      </c>
      <c r="I7" s="9">
        <f>Assumptions!$B$10</f>
        <v>0.7</v>
      </c>
      <c r="J7" s="9">
        <f t="shared" si="0"/>
        <v>0.7</v>
      </c>
      <c r="K7" s="9">
        <f t="shared" si="1"/>
        <v>0.48999999999999994</v>
      </c>
      <c r="L7" s="9">
        <f t="shared" si="2"/>
        <v>0.34299999999999992</v>
      </c>
      <c r="M7" s="9">
        <f t="shared" si="3"/>
        <v>0.14700000000000002</v>
      </c>
      <c r="N7" s="9">
        <f>Assumptions!$B$11</f>
        <v>0.5</v>
      </c>
      <c r="O7" s="9">
        <f t="shared" si="4"/>
        <v>0.41649999999999993</v>
      </c>
      <c r="P7" s="9"/>
      <c r="Q7" s="9">
        <f>O7</f>
        <v>0.41649999999999993</v>
      </c>
      <c r="R7" s="10" t="s">
        <v>219</v>
      </c>
      <c r="S7" s="10" t="s">
        <v>220</v>
      </c>
      <c r="T7" s="5" t="str">
        <f t="shared" si="5"/>
        <v>OK</v>
      </c>
    </row>
    <row r="8" spans="1:20">
      <c r="A8" s="5" t="s">
        <v>227</v>
      </c>
      <c r="B8" s="5" t="s">
        <v>228</v>
      </c>
      <c r="C8" s="5" t="s">
        <v>134</v>
      </c>
      <c r="D8" s="5" t="s">
        <v>213</v>
      </c>
      <c r="E8" s="5" t="s">
        <v>214</v>
      </c>
      <c r="F8" s="5">
        <v>2025</v>
      </c>
      <c r="G8" s="9">
        <f>Assumptions!$B$15</f>
        <v>1</v>
      </c>
      <c r="H8" s="9">
        <f>Raw_NCDRisC!I4</f>
        <v>0.194189727664976</v>
      </c>
      <c r="I8" s="9">
        <f>Assumptions!$B$14</f>
        <v>0.34210526315789502</v>
      </c>
      <c r="J8" s="9">
        <f t="shared" si="0"/>
        <v>1</v>
      </c>
      <c r="K8" s="9">
        <f t="shared" si="1"/>
        <v>0.194189727664976</v>
      </c>
      <c r="L8" s="9">
        <f t="shared" si="2"/>
        <v>6.6433327885386584E-2</v>
      </c>
      <c r="M8" s="9">
        <f t="shared" si="3"/>
        <v>0.12775639977958941</v>
      </c>
      <c r="N8" s="9">
        <f>Assumptions!$B$11</f>
        <v>0.5</v>
      </c>
      <c r="O8" s="9">
        <f t="shared" si="4"/>
        <v>0.13031152777518129</v>
      </c>
      <c r="P8" s="9"/>
      <c r="Q8" s="9">
        <f>IF(P8="",O8,P8)</f>
        <v>0.13031152777518129</v>
      </c>
      <c r="R8" s="5" t="s">
        <v>229</v>
      </c>
      <c r="S8" s="5" t="s">
        <v>230</v>
      </c>
      <c r="T8" s="5" t="str">
        <f t="shared" si="5"/>
        <v>OK</v>
      </c>
    </row>
    <row r="9" spans="1:20">
      <c r="A9" s="10" t="s">
        <v>231</v>
      </c>
      <c r="B9" s="10" t="s">
        <v>228</v>
      </c>
      <c r="C9" s="10" t="s">
        <v>134</v>
      </c>
      <c r="D9" s="10" t="s">
        <v>213</v>
      </c>
      <c r="E9" s="10" t="s">
        <v>218</v>
      </c>
      <c r="F9" s="10">
        <v>2030</v>
      </c>
      <c r="G9" s="9">
        <f>Assumptions!$B$6</f>
        <v>0.7</v>
      </c>
      <c r="H9" s="9">
        <f>Assumptions!$B$7</f>
        <v>0.3</v>
      </c>
      <c r="I9" s="9">
        <f>Assumptions!$B$8</f>
        <v>0.3</v>
      </c>
      <c r="J9" s="9">
        <f t="shared" si="0"/>
        <v>0.7</v>
      </c>
      <c r="K9" s="9">
        <f t="shared" si="1"/>
        <v>0.21</v>
      </c>
      <c r="L9" s="9">
        <f t="shared" si="2"/>
        <v>6.3E-2</v>
      </c>
      <c r="M9" s="9">
        <f t="shared" si="3"/>
        <v>0.14699999999999999</v>
      </c>
      <c r="N9" s="9">
        <f>Assumptions!$B$11</f>
        <v>0.5</v>
      </c>
      <c r="O9" s="9">
        <f t="shared" si="4"/>
        <v>0.13650000000000001</v>
      </c>
      <c r="P9" s="9"/>
      <c r="Q9" s="9">
        <f>O9</f>
        <v>0.13650000000000001</v>
      </c>
      <c r="R9" s="10" t="s">
        <v>219</v>
      </c>
      <c r="S9" s="10" t="s">
        <v>220</v>
      </c>
      <c r="T9" s="5" t="str">
        <f t="shared" si="5"/>
        <v>OK</v>
      </c>
    </row>
    <row r="10" spans="1:20">
      <c r="A10" s="5" t="s">
        <v>232</v>
      </c>
      <c r="B10" s="5" t="s">
        <v>228</v>
      </c>
      <c r="C10" s="5" t="s">
        <v>134</v>
      </c>
      <c r="D10" s="5" t="s">
        <v>213</v>
      </c>
      <c r="E10" s="5" t="s">
        <v>222</v>
      </c>
      <c r="F10" s="5">
        <v>2040</v>
      </c>
      <c r="G10" s="9">
        <f>Assumptions!$B$6</f>
        <v>0.7</v>
      </c>
      <c r="H10" s="9">
        <f>Assumptions!$B$9</f>
        <v>0.7</v>
      </c>
      <c r="I10" s="9">
        <f>Assumptions!$B$10</f>
        <v>0.7</v>
      </c>
      <c r="J10" s="9">
        <f t="shared" si="0"/>
        <v>0.7</v>
      </c>
      <c r="K10" s="9">
        <f t="shared" si="1"/>
        <v>0.48999999999999994</v>
      </c>
      <c r="L10" s="9">
        <f t="shared" si="2"/>
        <v>0.34299999999999992</v>
      </c>
      <c r="M10" s="9">
        <f t="shared" si="3"/>
        <v>0.14700000000000002</v>
      </c>
      <c r="N10" s="9">
        <f>Assumptions!$B$11</f>
        <v>0.5</v>
      </c>
      <c r="O10" s="9">
        <f t="shared" si="4"/>
        <v>0.41649999999999993</v>
      </c>
      <c r="P10" s="9"/>
      <c r="Q10" s="9">
        <f>O10</f>
        <v>0.41649999999999993</v>
      </c>
      <c r="R10" s="5" t="s">
        <v>219</v>
      </c>
      <c r="S10" s="5" t="s">
        <v>220</v>
      </c>
      <c r="T10" s="5" t="str">
        <f t="shared" si="5"/>
        <v>OK</v>
      </c>
    </row>
    <row r="11" spans="1:20">
      <c r="A11" s="10" t="s">
        <v>233</v>
      </c>
      <c r="B11" s="10" t="s">
        <v>228</v>
      </c>
      <c r="C11" s="10" t="s">
        <v>134</v>
      </c>
      <c r="D11" s="10" t="s">
        <v>224</v>
      </c>
      <c r="E11" s="10" t="s">
        <v>214</v>
      </c>
      <c r="F11" s="10">
        <v>2025</v>
      </c>
      <c r="G11" s="9">
        <f>Assumptions!$B$15</f>
        <v>1</v>
      </c>
      <c r="H11" s="9">
        <f>Raw_NCDRisC!I5</f>
        <v>0.24665382355279</v>
      </c>
      <c r="I11" s="9">
        <f>Assumptions!$B$14</f>
        <v>0.34210526315789502</v>
      </c>
      <c r="J11" s="9">
        <f t="shared" si="0"/>
        <v>1</v>
      </c>
      <c r="K11" s="9">
        <f t="shared" si="1"/>
        <v>0.24665382355279</v>
      </c>
      <c r="L11" s="9">
        <f t="shared" si="2"/>
        <v>8.4381571215428233E-2</v>
      </c>
      <c r="M11" s="9">
        <f t="shared" si="3"/>
        <v>0.16227225233736176</v>
      </c>
      <c r="N11" s="9">
        <f>Assumptions!$B$11</f>
        <v>0.5</v>
      </c>
      <c r="O11" s="9">
        <f t="shared" si="4"/>
        <v>0.1655176973841091</v>
      </c>
      <c r="P11" s="9"/>
      <c r="Q11" s="9">
        <f>IF(P11="",O11,P11)</f>
        <v>0.1655176973841091</v>
      </c>
      <c r="R11" s="10" t="s">
        <v>229</v>
      </c>
      <c r="S11" s="10" t="s">
        <v>230</v>
      </c>
      <c r="T11" s="5" t="str">
        <f t="shared" si="5"/>
        <v>OK</v>
      </c>
    </row>
    <row r="12" spans="1:20">
      <c r="A12" s="5" t="s">
        <v>234</v>
      </c>
      <c r="B12" s="5" t="s">
        <v>228</v>
      </c>
      <c r="C12" s="5" t="s">
        <v>134</v>
      </c>
      <c r="D12" s="5" t="s">
        <v>224</v>
      </c>
      <c r="E12" s="5" t="s">
        <v>218</v>
      </c>
      <c r="F12" s="5">
        <v>2030</v>
      </c>
      <c r="G12" s="9">
        <f>Assumptions!$B$6</f>
        <v>0.7</v>
      </c>
      <c r="H12" s="9">
        <f>Assumptions!$B$7</f>
        <v>0.3</v>
      </c>
      <c r="I12" s="9">
        <f>Assumptions!$B$8</f>
        <v>0.3</v>
      </c>
      <c r="J12" s="9">
        <f t="shared" si="0"/>
        <v>0.7</v>
      </c>
      <c r="K12" s="9">
        <f t="shared" si="1"/>
        <v>0.21</v>
      </c>
      <c r="L12" s="9">
        <f t="shared" si="2"/>
        <v>6.3E-2</v>
      </c>
      <c r="M12" s="9">
        <f t="shared" si="3"/>
        <v>0.14699999999999999</v>
      </c>
      <c r="N12" s="9">
        <f>Assumptions!$B$11</f>
        <v>0.5</v>
      </c>
      <c r="O12" s="9">
        <f t="shared" si="4"/>
        <v>0.13650000000000001</v>
      </c>
      <c r="P12" s="9"/>
      <c r="Q12" s="9">
        <f>O12</f>
        <v>0.13650000000000001</v>
      </c>
      <c r="R12" s="5" t="s">
        <v>219</v>
      </c>
      <c r="S12" s="5" t="s">
        <v>220</v>
      </c>
      <c r="T12" s="5" t="str">
        <f t="shared" si="5"/>
        <v>OK</v>
      </c>
    </row>
    <row r="13" spans="1:20">
      <c r="A13" s="10" t="s">
        <v>235</v>
      </c>
      <c r="B13" s="10" t="s">
        <v>228</v>
      </c>
      <c r="C13" s="10" t="s">
        <v>134</v>
      </c>
      <c r="D13" s="10" t="s">
        <v>224</v>
      </c>
      <c r="E13" s="10" t="s">
        <v>222</v>
      </c>
      <c r="F13" s="10">
        <v>2040</v>
      </c>
      <c r="G13" s="9">
        <f>Assumptions!$B$6</f>
        <v>0.7</v>
      </c>
      <c r="H13" s="9">
        <f>Assumptions!$B$9</f>
        <v>0.7</v>
      </c>
      <c r="I13" s="9">
        <f>Assumptions!$B$10</f>
        <v>0.7</v>
      </c>
      <c r="J13" s="9">
        <f t="shared" si="0"/>
        <v>0.7</v>
      </c>
      <c r="K13" s="9">
        <f t="shared" si="1"/>
        <v>0.48999999999999994</v>
      </c>
      <c r="L13" s="9">
        <f t="shared" si="2"/>
        <v>0.34299999999999992</v>
      </c>
      <c r="M13" s="9">
        <f t="shared" si="3"/>
        <v>0.14700000000000002</v>
      </c>
      <c r="N13" s="9">
        <f>Assumptions!$B$11</f>
        <v>0.5</v>
      </c>
      <c r="O13" s="9">
        <f t="shared" si="4"/>
        <v>0.41649999999999993</v>
      </c>
      <c r="P13" s="9"/>
      <c r="Q13" s="9">
        <f>O13</f>
        <v>0.41649999999999993</v>
      </c>
      <c r="R13" s="10" t="s">
        <v>219</v>
      </c>
      <c r="S13" s="10" t="s">
        <v>220</v>
      </c>
      <c r="T13" s="5" t="str">
        <f t="shared" si="5"/>
        <v>OK</v>
      </c>
    </row>
    <row r="14" spans="1:20">
      <c r="A14" s="5" t="s">
        <v>236</v>
      </c>
      <c r="B14" s="5" t="s">
        <v>237</v>
      </c>
      <c r="C14" s="5" t="s">
        <v>238</v>
      </c>
      <c r="D14" s="5" t="s">
        <v>213</v>
      </c>
      <c r="E14" s="5" t="s">
        <v>214</v>
      </c>
      <c r="F14" s="5">
        <v>2025</v>
      </c>
      <c r="G14" s="9">
        <f>G2</f>
        <v>0.290111043006541</v>
      </c>
      <c r="H14" s="9">
        <f>H2</f>
        <v>0.53038726613310172</v>
      </c>
      <c r="I14" s="9">
        <f>I2</f>
        <v>0.23288796047622687</v>
      </c>
      <c r="J14" s="9">
        <f t="shared" si="0"/>
        <v>0.290111043006541</v>
      </c>
      <c r="K14" s="9">
        <f t="shared" si="1"/>
        <v>0.15387120297526199</v>
      </c>
      <c r="L14" s="9">
        <f t="shared" si="2"/>
        <v>3.5834750636932297E-2</v>
      </c>
      <c r="M14" s="9">
        <f t="shared" si="3"/>
        <v>0.1180364523383297</v>
      </c>
      <c r="N14" s="9">
        <f>Assumptions!$B$11</f>
        <v>0.5</v>
      </c>
      <c r="O14" s="9">
        <f t="shared" si="4"/>
        <v>9.4852976806097139E-2</v>
      </c>
      <c r="P14" s="9"/>
      <c r="Q14" s="9">
        <f>IF(P14="",O14,P14)</f>
        <v>9.4852976806097139E-2</v>
      </c>
      <c r="R14" s="5" t="s">
        <v>239</v>
      </c>
      <c r="S14" s="5" t="s">
        <v>240</v>
      </c>
      <c r="T14" s="5" t="str">
        <f t="shared" si="5"/>
        <v>OK</v>
      </c>
    </row>
    <row r="15" spans="1:20">
      <c r="A15" s="10" t="s">
        <v>241</v>
      </c>
      <c r="B15" s="10" t="s">
        <v>237</v>
      </c>
      <c r="C15" s="10" t="s">
        <v>238</v>
      </c>
      <c r="D15" s="10" t="s">
        <v>213</v>
      </c>
      <c r="E15" s="10" t="s">
        <v>218</v>
      </c>
      <c r="F15" s="10">
        <v>2030</v>
      </c>
      <c r="G15" s="9">
        <f>Assumptions!$B$6</f>
        <v>0.7</v>
      </c>
      <c r="H15" s="9">
        <f>Assumptions!$B$7</f>
        <v>0.3</v>
      </c>
      <c r="I15" s="9">
        <f>Assumptions!$B$8</f>
        <v>0.3</v>
      </c>
      <c r="J15" s="9">
        <f t="shared" si="0"/>
        <v>0.7</v>
      </c>
      <c r="K15" s="9">
        <f t="shared" si="1"/>
        <v>0.21</v>
      </c>
      <c r="L15" s="9">
        <f t="shared" si="2"/>
        <v>6.3E-2</v>
      </c>
      <c r="M15" s="9">
        <f t="shared" si="3"/>
        <v>0.14699999999999999</v>
      </c>
      <c r="N15" s="9">
        <f>Assumptions!$B$11</f>
        <v>0.5</v>
      </c>
      <c r="O15" s="9">
        <f t="shared" si="4"/>
        <v>0.13650000000000001</v>
      </c>
      <c r="P15" s="9"/>
      <c r="Q15" s="9">
        <f>O15</f>
        <v>0.13650000000000001</v>
      </c>
      <c r="R15" s="10" t="s">
        <v>219</v>
      </c>
      <c r="S15" s="10" t="s">
        <v>220</v>
      </c>
      <c r="T15" s="5" t="str">
        <f t="shared" si="5"/>
        <v>OK</v>
      </c>
    </row>
    <row r="16" spans="1:20">
      <c r="A16" s="5" t="s">
        <v>242</v>
      </c>
      <c r="B16" s="5" t="s">
        <v>237</v>
      </c>
      <c r="C16" s="5" t="s">
        <v>238</v>
      </c>
      <c r="D16" s="5" t="s">
        <v>213</v>
      </c>
      <c r="E16" s="5" t="s">
        <v>222</v>
      </c>
      <c r="F16" s="5">
        <v>2040</v>
      </c>
      <c r="G16" s="9">
        <f>Assumptions!$B$6</f>
        <v>0.7</v>
      </c>
      <c r="H16" s="9">
        <f>Assumptions!$B$9</f>
        <v>0.7</v>
      </c>
      <c r="I16" s="9">
        <f>Assumptions!$B$10</f>
        <v>0.7</v>
      </c>
      <c r="J16" s="9">
        <f t="shared" si="0"/>
        <v>0.7</v>
      </c>
      <c r="K16" s="9">
        <f t="shared" si="1"/>
        <v>0.48999999999999994</v>
      </c>
      <c r="L16" s="9">
        <f t="shared" si="2"/>
        <v>0.34299999999999992</v>
      </c>
      <c r="M16" s="9">
        <f t="shared" si="3"/>
        <v>0.14700000000000002</v>
      </c>
      <c r="N16" s="9">
        <f>Assumptions!$B$11</f>
        <v>0.5</v>
      </c>
      <c r="O16" s="9">
        <f t="shared" si="4"/>
        <v>0.41649999999999993</v>
      </c>
      <c r="P16" s="9"/>
      <c r="Q16" s="9">
        <f>O16</f>
        <v>0.41649999999999993</v>
      </c>
      <c r="R16" s="5" t="s">
        <v>219</v>
      </c>
      <c r="S16" s="5" t="s">
        <v>220</v>
      </c>
      <c r="T16" s="5" t="str">
        <f t="shared" si="5"/>
        <v>OK</v>
      </c>
    </row>
    <row r="17" spans="1:20">
      <c r="A17" s="10" t="s">
        <v>243</v>
      </c>
      <c r="B17" s="10" t="s">
        <v>237</v>
      </c>
      <c r="C17" s="10" t="s">
        <v>238</v>
      </c>
      <c r="D17" s="10" t="s">
        <v>224</v>
      </c>
      <c r="E17" s="10" t="s">
        <v>214</v>
      </c>
      <c r="F17" s="10">
        <v>2025</v>
      </c>
      <c r="G17" s="9">
        <f>G5</f>
        <v>0.409589430470506</v>
      </c>
      <c r="H17" s="9">
        <f>H5</f>
        <v>0.52283351590481641</v>
      </c>
      <c r="I17" s="9">
        <f>I5</f>
        <v>0.23915522634396813</v>
      </c>
      <c r="J17" s="9">
        <f t="shared" si="0"/>
        <v>0.409589430470506</v>
      </c>
      <c r="K17" s="9">
        <f t="shared" si="1"/>
        <v>0.21414708201034599</v>
      </c>
      <c r="L17" s="9">
        <f t="shared" si="2"/>
        <v>5.12143938690846E-2</v>
      </c>
      <c r="M17" s="9">
        <f t="shared" si="3"/>
        <v>0.16293268814126138</v>
      </c>
      <c r="N17" s="9">
        <f>Assumptions!$B$11</f>
        <v>0.5</v>
      </c>
      <c r="O17" s="9">
        <f t="shared" si="4"/>
        <v>0.1326807379397153</v>
      </c>
      <c r="P17" s="9"/>
      <c r="Q17" s="9">
        <f>IF(P17="",O17,P17)</f>
        <v>0.1326807379397153</v>
      </c>
      <c r="R17" s="10" t="s">
        <v>239</v>
      </c>
      <c r="S17" s="10" t="s">
        <v>240</v>
      </c>
      <c r="T17" s="5" t="str">
        <f t="shared" si="5"/>
        <v>OK</v>
      </c>
    </row>
    <row r="18" spans="1:20">
      <c r="A18" s="5" t="s">
        <v>244</v>
      </c>
      <c r="B18" s="5" t="s">
        <v>237</v>
      </c>
      <c r="C18" s="5" t="s">
        <v>238</v>
      </c>
      <c r="D18" s="5" t="s">
        <v>224</v>
      </c>
      <c r="E18" s="5" t="s">
        <v>218</v>
      </c>
      <c r="F18" s="5">
        <v>2030</v>
      </c>
      <c r="G18" s="9">
        <f>Assumptions!$B$6</f>
        <v>0.7</v>
      </c>
      <c r="H18" s="9">
        <f>Assumptions!$B$7</f>
        <v>0.3</v>
      </c>
      <c r="I18" s="9">
        <f>Assumptions!$B$8</f>
        <v>0.3</v>
      </c>
      <c r="J18" s="9">
        <f t="shared" si="0"/>
        <v>0.7</v>
      </c>
      <c r="K18" s="9">
        <f t="shared" si="1"/>
        <v>0.21</v>
      </c>
      <c r="L18" s="9">
        <f t="shared" si="2"/>
        <v>6.3E-2</v>
      </c>
      <c r="M18" s="9">
        <f t="shared" si="3"/>
        <v>0.14699999999999999</v>
      </c>
      <c r="N18" s="9">
        <f>Assumptions!$B$11</f>
        <v>0.5</v>
      </c>
      <c r="O18" s="9">
        <f t="shared" si="4"/>
        <v>0.13650000000000001</v>
      </c>
      <c r="P18" s="9"/>
      <c r="Q18" s="9">
        <f>O18</f>
        <v>0.13650000000000001</v>
      </c>
      <c r="R18" s="5" t="s">
        <v>219</v>
      </c>
      <c r="S18" s="5" t="s">
        <v>220</v>
      </c>
      <c r="T18" s="5" t="str">
        <f t="shared" si="5"/>
        <v>OK</v>
      </c>
    </row>
    <row r="19" spans="1:20">
      <c r="A19" s="10" t="s">
        <v>245</v>
      </c>
      <c r="B19" s="10" t="s">
        <v>237</v>
      </c>
      <c r="C19" s="10" t="s">
        <v>238</v>
      </c>
      <c r="D19" s="10" t="s">
        <v>224</v>
      </c>
      <c r="E19" s="10" t="s">
        <v>222</v>
      </c>
      <c r="F19" s="10">
        <v>2040</v>
      </c>
      <c r="G19" s="9">
        <f>Assumptions!$B$6</f>
        <v>0.7</v>
      </c>
      <c r="H19" s="9">
        <f>Assumptions!$B$9</f>
        <v>0.7</v>
      </c>
      <c r="I19" s="9">
        <f>Assumptions!$B$10</f>
        <v>0.7</v>
      </c>
      <c r="J19" s="9">
        <f t="shared" si="0"/>
        <v>0.7</v>
      </c>
      <c r="K19" s="9">
        <f t="shared" si="1"/>
        <v>0.48999999999999994</v>
      </c>
      <c r="L19" s="9">
        <f t="shared" si="2"/>
        <v>0.34299999999999992</v>
      </c>
      <c r="M19" s="9">
        <f t="shared" si="3"/>
        <v>0.14700000000000002</v>
      </c>
      <c r="N19" s="9">
        <f>Assumptions!$B$11</f>
        <v>0.5</v>
      </c>
      <c r="O19" s="9">
        <f t="shared" si="4"/>
        <v>0.41649999999999993</v>
      </c>
      <c r="P19" s="9"/>
      <c r="Q19" s="9">
        <f>O19</f>
        <v>0.41649999999999993</v>
      </c>
      <c r="R19" s="10" t="s">
        <v>219</v>
      </c>
      <c r="S19" s="10" t="s">
        <v>220</v>
      </c>
      <c r="T19" s="5" t="str">
        <f t="shared" si="5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5"/>
  <sheetViews>
    <sheetView showGridLines="0" workbookViewId="0"/>
  </sheetViews>
  <sheetFormatPr defaultColWidth="11.19921875" defaultRowHeight="13.8"/>
  <cols>
    <col min="1" max="1" width="32" customWidth="1"/>
    <col min="2" max="2" width="30" customWidth="1"/>
    <col min="3" max="3" width="24" customWidth="1"/>
    <col min="4" max="4" width="42" customWidth="1"/>
    <col min="5" max="5" width="18" customWidth="1"/>
    <col min="6" max="7" width="12" customWidth="1"/>
    <col min="8" max="8" width="22" customWidth="1"/>
    <col min="9" max="10" width="16" customWidth="1"/>
    <col min="11" max="12" width="24" customWidth="1"/>
    <col min="13" max="13" width="16" customWidth="1"/>
    <col min="14" max="14" width="24" customWidth="1"/>
    <col min="15" max="15" width="48" customWidth="1"/>
    <col min="16" max="16" width="14" customWidth="1"/>
  </cols>
  <sheetData>
    <row r="1" spans="1:16" ht="30" customHeight="1">
      <c r="A1" s="4" t="s">
        <v>246</v>
      </c>
      <c r="B1" s="4" t="s">
        <v>83</v>
      </c>
      <c r="C1" s="4" t="s">
        <v>108</v>
      </c>
      <c r="D1" s="4" t="s">
        <v>109</v>
      </c>
      <c r="E1" s="4" t="s">
        <v>195</v>
      </c>
      <c r="F1" s="4" t="s">
        <v>170</v>
      </c>
      <c r="G1" s="4" t="s">
        <v>31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  <c r="M1" s="4" t="s">
        <v>252</v>
      </c>
      <c r="N1" s="4" t="s">
        <v>253</v>
      </c>
      <c r="O1" s="4" t="s">
        <v>254</v>
      </c>
      <c r="P1" s="4" t="s">
        <v>175</v>
      </c>
    </row>
    <row r="2" spans="1:16">
      <c r="A2" s="5" t="s">
        <v>255</v>
      </c>
      <c r="B2" s="5" t="s">
        <v>84</v>
      </c>
      <c r="C2" s="5" t="s">
        <v>116</v>
      </c>
      <c r="D2" s="5" t="s">
        <v>117</v>
      </c>
      <c r="E2" s="5" t="s">
        <v>211</v>
      </c>
      <c r="F2" s="5" t="s">
        <v>213</v>
      </c>
      <c r="G2" s="5">
        <v>2025</v>
      </c>
      <c r="H2" s="9">
        <f>Coverage!Q2</f>
        <v>9.4852976806097139E-2</v>
      </c>
      <c r="I2" s="9">
        <f>IF(Assumptions!$B$19=1,MAX(H2,Coverage!Q3),Coverage!Q3)</f>
        <v>0.13650000000000001</v>
      </c>
      <c r="J2" s="9">
        <f>IF(Assumptions!$B$19=1,MAX(H2,Coverage!Q4),Coverage!Q4)</f>
        <v>0.41649999999999993</v>
      </c>
      <c r="K2" s="9">
        <f>IF(G2&lt;=Assumptions!$B$4,H2+(I2-H2)*(G2-Assumptions!$B$2)/(Assumptions!$B$4-Assumptions!$B$2),IF(G2&lt;=Assumptions!$B$5,I2+(J2-I2)*(G2-Assumptions!$B$4)/(Assumptions!$B$5-Assumptions!$B$4),J2))</f>
        <v>9.4852976806097139E-2</v>
      </c>
      <c r="L2" s="9">
        <f t="shared" ref="L2:L33" si="0">H2</f>
        <v>9.4852976806097139E-2</v>
      </c>
      <c r="M2" s="9">
        <v>0</v>
      </c>
      <c r="N2" s="5" t="s">
        <v>256</v>
      </c>
      <c r="O2" s="5" t="s">
        <v>257</v>
      </c>
      <c r="P2" s="5" t="str">
        <f t="shared" ref="P2:P33" si="1">IF(OR(K2&lt;0,K2&gt;1,M2&lt;0),"BAD","OK")</f>
        <v>OK</v>
      </c>
    </row>
    <row r="3" spans="1:16">
      <c r="A3" s="10" t="s">
        <v>258</v>
      </c>
      <c r="B3" s="10" t="s">
        <v>84</v>
      </c>
      <c r="C3" s="10" t="s">
        <v>116</v>
      </c>
      <c r="D3" s="10" t="s">
        <v>117</v>
      </c>
      <c r="E3" s="10" t="s">
        <v>211</v>
      </c>
      <c r="F3" s="10" t="s">
        <v>213</v>
      </c>
      <c r="G3" s="10">
        <v>2026</v>
      </c>
      <c r="H3" s="9">
        <f>Coverage!Q2</f>
        <v>9.4852976806097139E-2</v>
      </c>
      <c r="I3" s="9">
        <f>IF(Assumptions!$B$19=1,MAX(H3,Coverage!Q3),Coverage!Q3)</f>
        <v>0.13650000000000001</v>
      </c>
      <c r="J3" s="9">
        <f>IF(Assumptions!$B$19=1,MAX(H3,Coverage!Q4),Coverage!Q4)</f>
        <v>0.41649999999999993</v>
      </c>
      <c r="K3" s="9">
        <f>IF(G3&lt;=Assumptions!$B$4,H3+(I3-H3)*(G3-Assumptions!$B$2)/(Assumptions!$B$4-Assumptions!$B$2),IF(G3&lt;=Assumptions!$B$5,I3+(J3-I3)*(G3-Assumptions!$B$4)/(Assumptions!$B$5-Assumptions!$B$4),J3))</f>
        <v>0.10318238144487771</v>
      </c>
      <c r="L3" s="9">
        <f t="shared" si="0"/>
        <v>9.4852976806097139E-2</v>
      </c>
      <c r="M3" s="9">
        <f t="shared" ref="M3:M27" si="2">K3-K2</f>
        <v>8.3294046387805687E-3</v>
      </c>
      <c r="N3" s="10" t="s">
        <v>256</v>
      </c>
      <c r="O3" s="10" t="s">
        <v>257</v>
      </c>
      <c r="P3" s="5" t="str">
        <f t="shared" si="1"/>
        <v>OK</v>
      </c>
    </row>
    <row r="4" spans="1:16">
      <c r="A4" s="5" t="s">
        <v>259</v>
      </c>
      <c r="B4" s="5" t="s">
        <v>84</v>
      </c>
      <c r="C4" s="5" t="s">
        <v>116</v>
      </c>
      <c r="D4" s="5" t="s">
        <v>117</v>
      </c>
      <c r="E4" s="5" t="s">
        <v>211</v>
      </c>
      <c r="F4" s="5" t="s">
        <v>213</v>
      </c>
      <c r="G4" s="5">
        <v>2027</v>
      </c>
      <c r="H4" s="9">
        <f>Coverage!Q2</f>
        <v>9.4852976806097139E-2</v>
      </c>
      <c r="I4" s="9">
        <f>IF(Assumptions!$B$19=1,MAX(H4,Coverage!Q3),Coverage!Q3)</f>
        <v>0.13650000000000001</v>
      </c>
      <c r="J4" s="9">
        <f>IF(Assumptions!$B$19=1,MAX(H4,Coverage!Q4),Coverage!Q4)</f>
        <v>0.41649999999999993</v>
      </c>
      <c r="K4" s="9">
        <f>IF(G4&lt;=Assumptions!$B$4,H4+(I4-H4)*(G4-Assumptions!$B$2)/(Assumptions!$B$4-Assumptions!$B$2),IF(G4&lt;=Assumptions!$B$5,I4+(J4-I4)*(G4-Assumptions!$B$4)/(Assumptions!$B$5-Assumptions!$B$4),J4))</f>
        <v>0.11151178608365829</v>
      </c>
      <c r="L4" s="9">
        <f t="shared" si="0"/>
        <v>9.4852976806097139E-2</v>
      </c>
      <c r="M4" s="9">
        <f t="shared" si="2"/>
        <v>8.3294046387805826E-3</v>
      </c>
      <c r="N4" s="5" t="s">
        <v>256</v>
      </c>
      <c r="O4" s="5" t="s">
        <v>257</v>
      </c>
      <c r="P4" s="5" t="str">
        <f t="shared" si="1"/>
        <v>OK</v>
      </c>
    </row>
    <row r="5" spans="1:16">
      <c r="A5" s="10" t="s">
        <v>260</v>
      </c>
      <c r="B5" s="10" t="s">
        <v>84</v>
      </c>
      <c r="C5" s="10" t="s">
        <v>116</v>
      </c>
      <c r="D5" s="10" t="s">
        <v>117</v>
      </c>
      <c r="E5" s="10" t="s">
        <v>211</v>
      </c>
      <c r="F5" s="10" t="s">
        <v>213</v>
      </c>
      <c r="G5" s="10">
        <v>2028</v>
      </c>
      <c r="H5" s="9">
        <f>Coverage!Q2</f>
        <v>9.4852976806097139E-2</v>
      </c>
      <c r="I5" s="9">
        <f>IF(Assumptions!$B$19=1,MAX(H5,Coverage!Q3),Coverage!Q3)</f>
        <v>0.13650000000000001</v>
      </c>
      <c r="J5" s="9">
        <f>IF(Assumptions!$B$19=1,MAX(H5,Coverage!Q4),Coverage!Q4)</f>
        <v>0.41649999999999993</v>
      </c>
      <c r="K5" s="9">
        <f>IF(G5&lt;=Assumptions!$B$4,H5+(I5-H5)*(G5-Assumptions!$B$2)/(Assumptions!$B$4-Assumptions!$B$2),IF(G5&lt;=Assumptions!$B$5,I5+(J5-I5)*(G5-Assumptions!$B$4)/(Assumptions!$B$5-Assumptions!$B$4),J5))</f>
        <v>0.11984119072243886</v>
      </c>
      <c r="L5" s="9">
        <f t="shared" si="0"/>
        <v>9.4852976806097139E-2</v>
      </c>
      <c r="M5" s="9">
        <f t="shared" si="2"/>
        <v>8.3294046387805687E-3</v>
      </c>
      <c r="N5" s="10" t="s">
        <v>256</v>
      </c>
      <c r="O5" s="10" t="s">
        <v>257</v>
      </c>
      <c r="P5" s="5" t="str">
        <f t="shared" si="1"/>
        <v>OK</v>
      </c>
    </row>
    <row r="6" spans="1:16">
      <c r="A6" s="5" t="s">
        <v>261</v>
      </c>
      <c r="B6" s="5" t="s">
        <v>84</v>
      </c>
      <c r="C6" s="5" t="s">
        <v>116</v>
      </c>
      <c r="D6" s="5" t="s">
        <v>117</v>
      </c>
      <c r="E6" s="5" t="s">
        <v>211</v>
      </c>
      <c r="F6" s="5" t="s">
        <v>213</v>
      </c>
      <c r="G6" s="5">
        <v>2029</v>
      </c>
      <c r="H6" s="9">
        <f>Coverage!Q2</f>
        <v>9.4852976806097139E-2</v>
      </c>
      <c r="I6" s="9">
        <f>IF(Assumptions!$B$19=1,MAX(H6,Coverage!Q3),Coverage!Q3)</f>
        <v>0.13650000000000001</v>
      </c>
      <c r="J6" s="9">
        <f>IF(Assumptions!$B$19=1,MAX(H6,Coverage!Q4),Coverage!Q4)</f>
        <v>0.41649999999999993</v>
      </c>
      <c r="K6" s="9">
        <f>IF(G6&lt;=Assumptions!$B$4,H6+(I6-H6)*(G6-Assumptions!$B$2)/(Assumptions!$B$4-Assumptions!$B$2),IF(G6&lt;=Assumptions!$B$5,I6+(J6-I6)*(G6-Assumptions!$B$4)/(Assumptions!$B$5-Assumptions!$B$4),J6))</f>
        <v>0.12817059536121944</v>
      </c>
      <c r="L6" s="9">
        <f t="shared" si="0"/>
        <v>9.4852976806097139E-2</v>
      </c>
      <c r="M6" s="9">
        <f t="shared" si="2"/>
        <v>8.3294046387805826E-3</v>
      </c>
      <c r="N6" s="5" t="s">
        <v>256</v>
      </c>
      <c r="O6" s="5" t="s">
        <v>257</v>
      </c>
      <c r="P6" s="5" t="str">
        <f t="shared" si="1"/>
        <v>OK</v>
      </c>
    </row>
    <row r="7" spans="1:16">
      <c r="A7" s="10" t="s">
        <v>262</v>
      </c>
      <c r="B7" s="10" t="s">
        <v>84</v>
      </c>
      <c r="C7" s="10" t="s">
        <v>116</v>
      </c>
      <c r="D7" s="10" t="s">
        <v>117</v>
      </c>
      <c r="E7" s="10" t="s">
        <v>211</v>
      </c>
      <c r="F7" s="10" t="s">
        <v>213</v>
      </c>
      <c r="G7" s="10">
        <v>2030</v>
      </c>
      <c r="H7" s="9">
        <f>Coverage!Q2</f>
        <v>9.4852976806097139E-2</v>
      </c>
      <c r="I7" s="9">
        <f>IF(Assumptions!$B$19=1,MAX(H7,Coverage!Q3),Coverage!Q3)</f>
        <v>0.13650000000000001</v>
      </c>
      <c r="J7" s="9">
        <f>IF(Assumptions!$B$19=1,MAX(H7,Coverage!Q4),Coverage!Q4)</f>
        <v>0.41649999999999993</v>
      </c>
      <c r="K7" s="9">
        <f>IF(G7&lt;=Assumptions!$B$4,H7+(I7-H7)*(G7-Assumptions!$B$2)/(Assumptions!$B$4-Assumptions!$B$2),IF(G7&lt;=Assumptions!$B$5,I7+(J7-I7)*(G7-Assumptions!$B$4)/(Assumptions!$B$5-Assumptions!$B$4),J7))</f>
        <v>0.13650000000000001</v>
      </c>
      <c r="L7" s="9">
        <f t="shared" si="0"/>
        <v>9.4852976806097139E-2</v>
      </c>
      <c r="M7" s="9">
        <f t="shared" si="2"/>
        <v>8.3294046387805687E-3</v>
      </c>
      <c r="N7" s="10" t="s">
        <v>256</v>
      </c>
      <c r="O7" s="10" t="s">
        <v>257</v>
      </c>
      <c r="P7" s="5" t="str">
        <f t="shared" si="1"/>
        <v>OK</v>
      </c>
    </row>
    <row r="8" spans="1:16">
      <c r="A8" s="5" t="s">
        <v>263</v>
      </c>
      <c r="B8" s="5" t="s">
        <v>84</v>
      </c>
      <c r="C8" s="5" t="s">
        <v>116</v>
      </c>
      <c r="D8" s="5" t="s">
        <v>117</v>
      </c>
      <c r="E8" s="5" t="s">
        <v>211</v>
      </c>
      <c r="F8" s="5" t="s">
        <v>213</v>
      </c>
      <c r="G8" s="5">
        <v>2031</v>
      </c>
      <c r="H8" s="9">
        <f>Coverage!Q2</f>
        <v>9.4852976806097139E-2</v>
      </c>
      <c r="I8" s="9">
        <f>IF(Assumptions!$B$19=1,MAX(H8,Coverage!Q3),Coverage!Q3)</f>
        <v>0.13650000000000001</v>
      </c>
      <c r="J8" s="9">
        <f>IF(Assumptions!$B$19=1,MAX(H8,Coverage!Q4),Coverage!Q4)</f>
        <v>0.41649999999999993</v>
      </c>
      <c r="K8" s="9">
        <f>IF(G8&lt;=Assumptions!$B$4,H8+(I8-H8)*(G8-Assumptions!$B$2)/(Assumptions!$B$4-Assumptions!$B$2),IF(G8&lt;=Assumptions!$B$5,I8+(J8-I8)*(G8-Assumptions!$B$4)/(Assumptions!$B$5-Assumptions!$B$4),J8))</f>
        <v>0.16450000000000001</v>
      </c>
      <c r="L8" s="9">
        <f t="shared" si="0"/>
        <v>9.4852976806097139E-2</v>
      </c>
      <c r="M8" s="9">
        <f t="shared" si="2"/>
        <v>2.7999999999999997E-2</v>
      </c>
      <c r="N8" s="5" t="s">
        <v>264</v>
      </c>
      <c r="O8" s="5" t="s">
        <v>257</v>
      </c>
      <c r="P8" s="5" t="str">
        <f t="shared" si="1"/>
        <v>OK</v>
      </c>
    </row>
    <row r="9" spans="1:16">
      <c r="A9" s="10" t="s">
        <v>265</v>
      </c>
      <c r="B9" s="10" t="s">
        <v>84</v>
      </c>
      <c r="C9" s="10" t="s">
        <v>116</v>
      </c>
      <c r="D9" s="10" t="s">
        <v>117</v>
      </c>
      <c r="E9" s="10" t="s">
        <v>211</v>
      </c>
      <c r="F9" s="10" t="s">
        <v>213</v>
      </c>
      <c r="G9" s="10">
        <v>2032</v>
      </c>
      <c r="H9" s="9">
        <f>Coverage!Q2</f>
        <v>9.4852976806097139E-2</v>
      </c>
      <c r="I9" s="9">
        <f>IF(Assumptions!$B$19=1,MAX(H9,Coverage!Q3),Coverage!Q3)</f>
        <v>0.13650000000000001</v>
      </c>
      <c r="J9" s="9">
        <f>IF(Assumptions!$B$19=1,MAX(H9,Coverage!Q4),Coverage!Q4)</f>
        <v>0.41649999999999993</v>
      </c>
      <c r="K9" s="9">
        <f>IF(G9&lt;=Assumptions!$B$4,H9+(I9-H9)*(G9-Assumptions!$B$2)/(Assumptions!$B$4-Assumptions!$B$2),IF(G9&lt;=Assumptions!$B$5,I9+(J9-I9)*(G9-Assumptions!$B$4)/(Assumptions!$B$5-Assumptions!$B$4),J9))</f>
        <v>0.1925</v>
      </c>
      <c r="L9" s="9">
        <f t="shared" si="0"/>
        <v>9.4852976806097139E-2</v>
      </c>
      <c r="M9" s="9">
        <f t="shared" si="2"/>
        <v>2.7999999999999997E-2</v>
      </c>
      <c r="N9" s="10" t="s">
        <v>264</v>
      </c>
      <c r="O9" s="10" t="s">
        <v>257</v>
      </c>
      <c r="P9" s="5" t="str">
        <f t="shared" si="1"/>
        <v>OK</v>
      </c>
    </row>
    <row r="10" spans="1:16">
      <c r="A10" s="5" t="s">
        <v>266</v>
      </c>
      <c r="B10" s="5" t="s">
        <v>84</v>
      </c>
      <c r="C10" s="5" t="s">
        <v>116</v>
      </c>
      <c r="D10" s="5" t="s">
        <v>117</v>
      </c>
      <c r="E10" s="5" t="s">
        <v>211</v>
      </c>
      <c r="F10" s="5" t="s">
        <v>213</v>
      </c>
      <c r="G10" s="5">
        <v>2033</v>
      </c>
      <c r="H10" s="9">
        <f>Coverage!Q2</f>
        <v>9.4852976806097139E-2</v>
      </c>
      <c r="I10" s="9">
        <f>IF(Assumptions!$B$19=1,MAX(H10,Coverage!Q3),Coverage!Q3)</f>
        <v>0.13650000000000001</v>
      </c>
      <c r="J10" s="9">
        <f>IF(Assumptions!$B$19=1,MAX(H10,Coverage!Q4),Coverage!Q4)</f>
        <v>0.41649999999999993</v>
      </c>
      <c r="K10" s="9">
        <f>IF(G10&lt;=Assumptions!$B$4,H10+(I10-H10)*(G10-Assumptions!$B$2)/(Assumptions!$B$4-Assumptions!$B$2),IF(G10&lt;=Assumptions!$B$5,I10+(J10-I10)*(G10-Assumptions!$B$4)/(Assumptions!$B$5-Assumptions!$B$4),J10))</f>
        <v>0.22049999999999997</v>
      </c>
      <c r="L10" s="9">
        <f t="shared" si="0"/>
        <v>9.4852976806097139E-2</v>
      </c>
      <c r="M10" s="9">
        <f t="shared" si="2"/>
        <v>2.7999999999999969E-2</v>
      </c>
      <c r="N10" s="5" t="s">
        <v>264</v>
      </c>
      <c r="O10" s="5" t="s">
        <v>257</v>
      </c>
      <c r="P10" s="5" t="str">
        <f t="shared" si="1"/>
        <v>OK</v>
      </c>
    </row>
    <row r="11" spans="1:16">
      <c r="A11" s="10" t="s">
        <v>267</v>
      </c>
      <c r="B11" s="10" t="s">
        <v>84</v>
      </c>
      <c r="C11" s="10" t="s">
        <v>116</v>
      </c>
      <c r="D11" s="10" t="s">
        <v>117</v>
      </c>
      <c r="E11" s="10" t="s">
        <v>211</v>
      </c>
      <c r="F11" s="10" t="s">
        <v>213</v>
      </c>
      <c r="G11" s="10">
        <v>2034</v>
      </c>
      <c r="H11" s="9">
        <f>Coverage!Q2</f>
        <v>9.4852976806097139E-2</v>
      </c>
      <c r="I11" s="9">
        <f>IF(Assumptions!$B$19=1,MAX(H11,Coverage!Q3),Coverage!Q3)</f>
        <v>0.13650000000000001</v>
      </c>
      <c r="J11" s="9">
        <f>IF(Assumptions!$B$19=1,MAX(H11,Coverage!Q4),Coverage!Q4)</f>
        <v>0.41649999999999993</v>
      </c>
      <c r="K11" s="9">
        <f>IF(G11&lt;=Assumptions!$B$4,H11+(I11-H11)*(G11-Assumptions!$B$2)/(Assumptions!$B$4-Assumptions!$B$2),IF(G11&lt;=Assumptions!$B$5,I11+(J11-I11)*(G11-Assumptions!$B$4)/(Assumptions!$B$5-Assumptions!$B$4),J11))</f>
        <v>0.24849999999999997</v>
      </c>
      <c r="L11" s="9">
        <f t="shared" si="0"/>
        <v>9.4852976806097139E-2</v>
      </c>
      <c r="M11" s="9">
        <f t="shared" si="2"/>
        <v>2.7999999999999997E-2</v>
      </c>
      <c r="N11" s="10" t="s">
        <v>264</v>
      </c>
      <c r="O11" s="10" t="s">
        <v>257</v>
      </c>
      <c r="P11" s="5" t="str">
        <f t="shared" si="1"/>
        <v>OK</v>
      </c>
    </row>
    <row r="12" spans="1:16">
      <c r="A12" s="5" t="s">
        <v>268</v>
      </c>
      <c r="B12" s="5" t="s">
        <v>84</v>
      </c>
      <c r="C12" s="5" t="s">
        <v>116</v>
      </c>
      <c r="D12" s="5" t="s">
        <v>117</v>
      </c>
      <c r="E12" s="5" t="s">
        <v>211</v>
      </c>
      <c r="F12" s="5" t="s">
        <v>213</v>
      </c>
      <c r="G12" s="5">
        <v>2035</v>
      </c>
      <c r="H12" s="9">
        <f>Coverage!Q2</f>
        <v>9.4852976806097139E-2</v>
      </c>
      <c r="I12" s="9">
        <f>IF(Assumptions!$B$19=1,MAX(H12,Coverage!Q3),Coverage!Q3)</f>
        <v>0.13650000000000001</v>
      </c>
      <c r="J12" s="9">
        <f>IF(Assumptions!$B$19=1,MAX(H12,Coverage!Q4),Coverage!Q4)</f>
        <v>0.41649999999999993</v>
      </c>
      <c r="K12" s="9">
        <f>IF(G12&lt;=Assumptions!$B$4,H12+(I12-H12)*(G12-Assumptions!$B$2)/(Assumptions!$B$4-Assumptions!$B$2),IF(G12&lt;=Assumptions!$B$5,I12+(J12-I12)*(G12-Assumptions!$B$4)/(Assumptions!$B$5-Assumptions!$B$4),J12))</f>
        <v>0.27649999999999997</v>
      </c>
      <c r="L12" s="9">
        <f t="shared" si="0"/>
        <v>9.4852976806097139E-2</v>
      </c>
      <c r="M12" s="9">
        <f t="shared" si="2"/>
        <v>2.7999999999999997E-2</v>
      </c>
      <c r="N12" s="5" t="s">
        <v>264</v>
      </c>
      <c r="O12" s="5" t="s">
        <v>257</v>
      </c>
      <c r="P12" s="5" t="str">
        <f t="shared" si="1"/>
        <v>OK</v>
      </c>
    </row>
    <row r="13" spans="1:16">
      <c r="A13" s="10" t="s">
        <v>269</v>
      </c>
      <c r="B13" s="10" t="s">
        <v>84</v>
      </c>
      <c r="C13" s="10" t="s">
        <v>116</v>
      </c>
      <c r="D13" s="10" t="s">
        <v>117</v>
      </c>
      <c r="E13" s="10" t="s">
        <v>211</v>
      </c>
      <c r="F13" s="10" t="s">
        <v>213</v>
      </c>
      <c r="G13" s="10">
        <v>2036</v>
      </c>
      <c r="H13" s="9">
        <f>Coverage!Q2</f>
        <v>9.4852976806097139E-2</v>
      </c>
      <c r="I13" s="9">
        <f>IF(Assumptions!$B$19=1,MAX(H13,Coverage!Q3),Coverage!Q3)</f>
        <v>0.13650000000000001</v>
      </c>
      <c r="J13" s="9">
        <f>IF(Assumptions!$B$19=1,MAX(H13,Coverage!Q4),Coverage!Q4)</f>
        <v>0.41649999999999993</v>
      </c>
      <c r="K13" s="9">
        <f>IF(G13&lt;=Assumptions!$B$4,H13+(I13-H13)*(G13-Assumptions!$B$2)/(Assumptions!$B$4-Assumptions!$B$2),IF(G13&lt;=Assumptions!$B$5,I13+(J13-I13)*(G13-Assumptions!$B$4)/(Assumptions!$B$5-Assumptions!$B$4),J13))</f>
        <v>0.30449999999999999</v>
      </c>
      <c r="L13" s="9">
        <f t="shared" si="0"/>
        <v>9.4852976806097139E-2</v>
      </c>
      <c r="M13" s="9">
        <f t="shared" si="2"/>
        <v>2.8000000000000025E-2</v>
      </c>
      <c r="N13" s="10" t="s">
        <v>264</v>
      </c>
      <c r="O13" s="10" t="s">
        <v>257</v>
      </c>
      <c r="P13" s="5" t="str">
        <f t="shared" si="1"/>
        <v>OK</v>
      </c>
    </row>
    <row r="14" spans="1:16">
      <c r="A14" s="5" t="s">
        <v>270</v>
      </c>
      <c r="B14" s="5" t="s">
        <v>84</v>
      </c>
      <c r="C14" s="5" t="s">
        <v>116</v>
      </c>
      <c r="D14" s="5" t="s">
        <v>117</v>
      </c>
      <c r="E14" s="5" t="s">
        <v>211</v>
      </c>
      <c r="F14" s="5" t="s">
        <v>213</v>
      </c>
      <c r="G14" s="5">
        <v>2037</v>
      </c>
      <c r="H14" s="9">
        <f>Coverage!Q2</f>
        <v>9.4852976806097139E-2</v>
      </c>
      <c r="I14" s="9">
        <f>IF(Assumptions!$B$19=1,MAX(H14,Coverage!Q3),Coverage!Q3)</f>
        <v>0.13650000000000001</v>
      </c>
      <c r="J14" s="9">
        <f>IF(Assumptions!$B$19=1,MAX(H14,Coverage!Q4),Coverage!Q4)</f>
        <v>0.41649999999999993</v>
      </c>
      <c r="K14" s="9">
        <f>IF(G14&lt;=Assumptions!$B$4,H14+(I14-H14)*(G14-Assumptions!$B$2)/(Assumptions!$B$4-Assumptions!$B$2),IF(G14&lt;=Assumptions!$B$5,I14+(J14-I14)*(G14-Assumptions!$B$4)/(Assumptions!$B$5-Assumptions!$B$4),J14))</f>
        <v>0.33249999999999996</v>
      </c>
      <c r="L14" s="9">
        <f t="shared" si="0"/>
        <v>9.4852976806097139E-2</v>
      </c>
      <c r="M14" s="9">
        <f t="shared" si="2"/>
        <v>2.7999999999999969E-2</v>
      </c>
      <c r="N14" s="5" t="s">
        <v>264</v>
      </c>
      <c r="O14" s="5" t="s">
        <v>257</v>
      </c>
      <c r="P14" s="5" t="str">
        <f t="shared" si="1"/>
        <v>OK</v>
      </c>
    </row>
    <row r="15" spans="1:16">
      <c r="A15" s="10" t="s">
        <v>271</v>
      </c>
      <c r="B15" s="10" t="s">
        <v>84</v>
      </c>
      <c r="C15" s="10" t="s">
        <v>116</v>
      </c>
      <c r="D15" s="10" t="s">
        <v>117</v>
      </c>
      <c r="E15" s="10" t="s">
        <v>211</v>
      </c>
      <c r="F15" s="10" t="s">
        <v>213</v>
      </c>
      <c r="G15" s="10">
        <v>2038</v>
      </c>
      <c r="H15" s="9">
        <f>Coverage!Q2</f>
        <v>9.4852976806097139E-2</v>
      </c>
      <c r="I15" s="9">
        <f>IF(Assumptions!$B$19=1,MAX(H15,Coverage!Q3),Coverage!Q3)</f>
        <v>0.13650000000000001</v>
      </c>
      <c r="J15" s="9">
        <f>IF(Assumptions!$B$19=1,MAX(H15,Coverage!Q4),Coverage!Q4)</f>
        <v>0.41649999999999993</v>
      </c>
      <c r="K15" s="9">
        <f>IF(G15&lt;=Assumptions!$B$4,H15+(I15-H15)*(G15-Assumptions!$B$2)/(Assumptions!$B$4-Assumptions!$B$2),IF(G15&lt;=Assumptions!$B$5,I15+(J15-I15)*(G15-Assumptions!$B$4)/(Assumptions!$B$5-Assumptions!$B$4),J15))</f>
        <v>0.36049999999999993</v>
      </c>
      <c r="L15" s="9">
        <f t="shared" si="0"/>
        <v>9.4852976806097139E-2</v>
      </c>
      <c r="M15" s="9">
        <f t="shared" si="2"/>
        <v>2.7999999999999969E-2</v>
      </c>
      <c r="N15" s="10" t="s">
        <v>264</v>
      </c>
      <c r="O15" s="10" t="s">
        <v>257</v>
      </c>
      <c r="P15" s="5" t="str">
        <f t="shared" si="1"/>
        <v>OK</v>
      </c>
    </row>
    <row r="16" spans="1:16">
      <c r="A16" s="5" t="s">
        <v>272</v>
      </c>
      <c r="B16" s="5" t="s">
        <v>84</v>
      </c>
      <c r="C16" s="5" t="s">
        <v>116</v>
      </c>
      <c r="D16" s="5" t="s">
        <v>117</v>
      </c>
      <c r="E16" s="5" t="s">
        <v>211</v>
      </c>
      <c r="F16" s="5" t="s">
        <v>213</v>
      </c>
      <c r="G16" s="5">
        <v>2039</v>
      </c>
      <c r="H16" s="9">
        <f>Coverage!Q2</f>
        <v>9.4852976806097139E-2</v>
      </c>
      <c r="I16" s="9">
        <f>IF(Assumptions!$B$19=1,MAX(H16,Coverage!Q3),Coverage!Q3)</f>
        <v>0.13650000000000001</v>
      </c>
      <c r="J16" s="9">
        <f>IF(Assumptions!$B$19=1,MAX(H16,Coverage!Q4),Coverage!Q4)</f>
        <v>0.41649999999999993</v>
      </c>
      <c r="K16" s="9">
        <f>IF(G16&lt;=Assumptions!$B$4,H16+(I16-H16)*(G16-Assumptions!$B$2)/(Assumptions!$B$4-Assumptions!$B$2),IF(G16&lt;=Assumptions!$B$5,I16+(J16-I16)*(G16-Assumptions!$B$4)/(Assumptions!$B$5-Assumptions!$B$4),J16))</f>
        <v>0.3884999999999999</v>
      </c>
      <c r="L16" s="9">
        <f t="shared" si="0"/>
        <v>9.4852976806097139E-2</v>
      </c>
      <c r="M16" s="9">
        <f t="shared" si="2"/>
        <v>2.7999999999999969E-2</v>
      </c>
      <c r="N16" s="5" t="s">
        <v>264</v>
      </c>
      <c r="O16" s="5" t="s">
        <v>257</v>
      </c>
      <c r="P16" s="5" t="str">
        <f t="shared" si="1"/>
        <v>OK</v>
      </c>
    </row>
    <row r="17" spans="1:16">
      <c r="A17" s="10" t="s">
        <v>273</v>
      </c>
      <c r="B17" s="10" t="s">
        <v>84</v>
      </c>
      <c r="C17" s="10" t="s">
        <v>116</v>
      </c>
      <c r="D17" s="10" t="s">
        <v>117</v>
      </c>
      <c r="E17" s="10" t="s">
        <v>211</v>
      </c>
      <c r="F17" s="10" t="s">
        <v>213</v>
      </c>
      <c r="G17" s="10">
        <v>2040</v>
      </c>
      <c r="H17" s="9">
        <f>Coverage!Q2</f>
        <v>9.4852976806097139E-2</v>
      </c>
      <c r="I17" s="9">
        <f>IF(Assumptions!$B$19=1,MAX(H17,Coverage!Q3),Coverage!Q3)</f>
        <v>0.13650000000000001</v>
      </c>
      <c r="J17" s="9">
        <f>IF(Assumptions!$B$19=1,MAX(H17,Coverage!Q4),Coverage!Q4)</f>
        <v>0.41649999999999993</v>
      </c>
      <c r="K17" s="9">
        <f>IF(G17&lt;=Assumptions!$B$4,H17+(I17-H17)*(G17-Assumptions!$B$2)/(Assumptions!$B$4-Assumptions!$B$2),IF(G17&lt;=Assumptions!$B$5,I17+(J17-I17)*(G17-Assumptions!$B$4)/(Assumptions!$B$5-Assumptions!$B$4),J17))</f>
        <v>0.41649999999999993</v>
      </c>
      <c r="L17" s="9">
        <f t="shared" si="0"/>
        <v>9.4852976806097139E-2</v>
      </c>
      <c r="M17" s="9">
        <f t="shared" si="2"/>
        <v>2.8000000000000025E-2</v>
      </c>
      <c r="N17" s="10" t="s">
        <v>264</v>
      </c>
      <c r="O17" s="10" t="s">
        <v>257</v>
      </c>
      <c r="P17" s="5" t="str">
        <f t="shared" si="1"/>
        <v>OK</v>
      </c>
    </row>
    <row r="18" spans="1:16">
      <c r="A18" s="5" t="s">
        <v>274</v>
      </c>
      <c r="B18" s="5" t="s">
        <v>84</v>
      </c>
      <c r="C18" s="5" t="s">
        <v>116</v>
      </c>
      <c r="D18" s="5" t="s">
        <v>117</v>
      </c>
      <c r="E18" s="5" t="s">
        <v>211</v>
      </c>
      <c r="F18" s="5" t="s">
        <v>213</v>
      </c>
      <c r="G18" s="5">
        <v>2041</v>
      </c>
      <c r="H18" s="9">
        <f>Coverage!Q2</f>
        <v>9.4852976806097139E-2</v>
      </c>
      <c r="I18" s="9">
        <f>IF(Assumptions!$B$19=1,MAX(H18,Coverage!Q3),Coverage!Q3)</f>
        <v>0.13650000000000001</v>
      </c>
      <c r="J18" s="9">
        <f>IF(Assumptions!$B$19=1,MAX(H18,Coverage!Q4),Coverage!Q4)</f>
        <v>0.41649999999999993</v>
      </c>
      <c r="K18" s="9">
        <f>IF(G18&lt;=Assumptions!$B$4,H18+(I18-H18)*(G18-Assumptions!$B$2)/(Assumptions!$B$4-Assumptions!$B$2),IF(G18&lt;=Assumptions!$B$5,I18+(J18-I18)*(G18-Assumptions!$B$4)/(Assumptions!$B$5-Assumptions!$B$4),J18))</f>
        <v>0.41649999999999993</v>
      </c>
      <c r="L18" s="9">
        <f t="shared" si="0"/>
        <v>9.4852976806097139E-2</v>
      </c>
      <c r="M18" s="9">
        <f t="shared" si="2"/>
        <v>0</v>
      </c>
      <c r="N18" s="5" t="s">
        <v>275</v>
      </c>
      <c r="O18" s="5" t="s">
        <v>257</v>
      </c>
      <c r="P18" s="5" t="str">
        <f t="shared" si="1"/>
        <v>OK</v>
      </c>
    </row>
    <row r="19" spans="1:16">
      <c r="A19" s="10" t="s">
        <v>276</v>
      </c>
      <c r="B19" s="10" t="s">
        <v>84</v>
      </c>
      <c r="C19" s="10" t="s">
        <v>116</v>
      </c>
      <c r="D19" s="10" t="s">
        <v>117</v>
      </c>
      <c r="E19" s="10" t="s">
        <v>211</v>
      </c>
      <c r="F19" s="10" t="s">
        <v>213</v>
      </c>
      <c r="G19" s="10">
        <v>2042</v>
      </c>
      <c r="H19" s="9">
        <f>Coverage!Q2</f>
        <v>9.4852976806097139E-2</v>
      </c>
      <c r="I19" s="9">
        <f>IF(Assumptions!$B$19=1,MAX(H19,Coverage!Q3),Coverage!Q3)</f>
        <v>0.13650000000000001</v>
      </c>
      <c r="J19" s="9">
        <f>IF(Assumptions!$B$19=1,MAX(H19,Coverage!Q4),Coverage!Q4)</f>
        <v>0.41649999999999993</v>
      </c>
      <c r="K19" s="9">
        <f>IF(G19&lt;=Assumptions!$B$4,H19+(I19-H19)*(G19-Assumptions!$B$2)/(Assumptions!$B$4-Assumptions!$B$2),IF(G19&lt;=Assumptions!$B$5,I19+(J19-I19)*(G19-Assumptions!$B$4)/(Assumptions!$B$5-Assumptions!$B$4),J19))</f>
        <v>0.41649999999999993</v>
      </c>
      <c r="L19" s="9">
        <f t="shared" si="0"/>
        <v>9.4852976806097139E-2</v>
      </c>
      <c r="M19" s="9">
        <f t="shared" si="2"/>
        <v>0</v>
      </c>
      <c r="N19" s="10" t="s">
        <v>275</v>
      </c>
      <c r="O19" s="10" t="s">
        <v>257</v>
      </c>
      <c r="P19" s="5" t="str">
        <f t="shared" si="1"/>
        <v>OK</v>
      </c>
    </row>
    <row r="20" spans="1:16">
      <c r="A20" s="5" t="s">
        <v>277</v>
      </c>
      <c r="B20" s="5" t="s">
        <v>84</v>
      </c>
      <c r="C20" s="5" t="s">
        <v>116</v>
      </c>
      <c r="D20" s="5" t="s">
        <v>117</v>
      </c>
      <c r="E20" s="5" t="s">
        <v>211</v>
      </c>
      <c r="F20" s="5" t="s">
        <v>213</v>
      </c>
      <c r="G20" s="5">
        <v>2043</v>
      </c>
      <c r="H20" s="9">
        <f>Coverage!Q2</f>
        <v>9.4852976806097139E-2</v>
      </c>
      <c r="I20" s="9">
        <f>IF(Assumptions!$B$19=1,MAX(H20,Coverage!Q3),Coverage!Q3)</f>
        <v>0.13650000000000001</v>
      </c>
      <c r="J20" s="9">
        <f>IF(Assumptions!$B$19=1,MAX(H20,Coverage!Q4),Coverage!Q4)</f>
        <v>0.41649999999999993</v>
      </c>
      <c r="K20" s="9">
        <f>IF(G20&lt;=Assumptions!$B$4,H20+(I20-H20)*(G20-Assumptions!$B$2)/(Assumptions!$B$4-Assumptions!$B$2),IF(G20&lt;=Assumptions!$B$5,I20+(J20-I20)*(G20-Assumptions!$B$4)/(Assumptions!$B$5-Assumptions!$B$4),J20))</f>
        <v>0.41649999999999993</v>
      </c>
      <c r="L20" s="9">
        <f t="shared" si="0"/>
        <v>9.4852976806097139E-2</v>
      </c>
      <c r="M20" s="9">
        <f t="shared" si="2"/>
        <v>0</v>
      </c>
      <c r="N20" s="5" t="s">
        <v>275</v>
      </c>
      <c r="O20" s="5" t="s">
        <v>257</v>
      </c>
      <c r="P20" s="5" t="str">
        <f t="shared" si="1"/>
        <v>OK</v>
      </c>
    </row>
    <row r="21" spans="1:16">
      <c r="A21" s="10" t="s">
        <v>278</v>
      </c>
      <c r="B21" s="10" t="s">
        <v>84</v>
      </c>
      <c r="C21" s="10" t="s">
        <v>116</v>
      </c>
      <c r="D21" s="10" t="s">
        <v>117</v>
      </c>
      <c r="E21" s="10" t="s">
        <v>211</v>
      </c>
      <c r="F21" s="10" t="s">
        <v>213</v>
      </c>
      <c r="G21" s="10">
        <v>2044</v>
      </c>
      <c r="H21" s="9">
        <f>Coverage!Q2</f>
        <v>9.4852976806097139E-2</v>
      </c>
      <c r="I21" s="9">
        <f>IF(Assumptions!$B$19=1,MAX(H21,Coverage!Q3),Coverage!Q3)</f>
        <v>0.13650000000000001</v>
      </c>
      <c r="J21" s="9">
        <f>IF(Assumptions!$B$19=1,MAX(H21,Coverage!Q4),Coverage!Q4)</f>
        <v>0.41649999999999993</v>
      </c>
      <c r="K21" s="9">
        <f>IF(G21&lt;=Assumptions!$B$4,H21+(I21-H21)*(G21-Assumptions!$B$2)/(Assumptions!$B$4-Assumptions!$B$2),IF(G21&lt;=Assumptions!$B$5,I21+(J21-I21)*(G21-Assumptions!$B$4)/(Assumptions!$B$5-Assumptions!$B$4),J21))</f>
        <v>0.41649999999999993</v>
      </c>
      <c r="L21" s="9">
        <f t="shared" si="0"/>
        <v>9.4852976806097139E-2</v>
      </c>
      <c r="M21" s="9">
        <f t="shared" si="2"/>
        <v>0</v>
      </c>
      <c r="N21" s="10" t="s">
        <v>275</v>
      </c>
      <c r="O21" s="10" t="s">
        <v>257</v>
      </c>
      <c r="P21" s="5" t="str">
        <f t="shared" si="1"/>
        <v>OK</v>
      </c>
    </row>
    <row r="22" spans="1:16">
      <c r="A22" s="5" t="s">
        <v>279</v>
      </c>
      <c r="B22" s="5" t="s">
        <v>84</v>
      </c>
      <c r="C22" s="5" t="s">
        <v>116</v>
      </c>
      <c r="D22" s="5" t="s">
        <v>117</v>
      </c>
      <c r="E22" s="5" t="s">
        <v>211</v>
      </c>
      <c r="F22" s="5" t="s">
        <v>213</v>
      </c>
      <c r="G22" s="5">
        <v>2045</v>
      </c>
      <c r="H22" s="9">
        <f>Coverage!Q2</f>
        <v>9.4852976806097139E-2</v>
      </c>
      <c r="I22" s="9">
        <f>IF(Assumptions!$B$19=1,MAX(H22,Coverage!Q3),Coverage!Q3)</f>
        <v>0.13650000000000001</v>
      </c>
      <c r="J22" s="9">
        <f>IF(Assumptions!$B$19=1,MAX(H22,Coverage!Q4),Coverage!Q4)</f>
        <v>0.41649999999999993</v>
      </c>
      <c r="K22" s="9">
        <f>IF(G22&lt;=Assumptions!$B$4,H22+(I22-H22)*(G22-Assumptions!$B$2)/(Assumptions!$B$4-Assumptions!$B$2),IF(G22&lt;=Assumptions!$B$5,I22+(J22-I22)*(G22-Assumptions!$B$4)/(Assumptions!$B$5-Assumptions!$B$4),J22))</f>
        <v>0.41649999999999993</v>
      </c>
      <c r="L22" s="9">
        <f t="shared" si="0"/>
        <v>9.4852976806097139E-2</v>
      </c>
      <c r="M22" s="9">
        <f t="shared" si="2"/>
        <v>0</v>
      </c>
      <c r="N22" s="5" t="s">
        <v>275</v>
      </c>
      <c r="O22" s="5" t="s">
        <v>257</v>
      </c>
      <c r="P22" s="5" t="str">
        <f t="shared" si="1"/>
        <v>OK</v>
      </c>
    </row>
    <row r="23" spans="1:16">
      <c r="A23" s="10" t="s">
        <v>280</v>
      </c>
      <c r="B23" s="10" t="s">
        <v>84</v>
      </c>
      <c r="C23" s="10" t="s">
        <v>116</v>
      </c>
      <c r="D23" s="10" t="s">
        <v>117</v>
      </c>
      <c r="E23" s="10" t="s">
        <v>211</v>
      </c>
      <c r="F23" s="10" t="s">
        <v>213</v>
      </c>
      <c r="G23" s="10">
        <v>2046</v>
      </c>
      <c r="H23" s="9">
        <f>Coverage!Q2</f>
        <v>9.4852976806097139E-2</v>
      </c>
      <c r="I23" s="9">
        <f>IF(Assumptions!$B$19=1,MAX(H23,Coverage!Q3),Coverage!Q3)</f>
        <v>0.13650000000000001</v>
      </c>
      <c r="J23" s="9">
        <f>IF(Assumptions!$B$19=1,MAX(H23,Coverage!Q4),Coverage!Q4)</f>
        <v>0.41649999999999993</v>
      </c>
      <c r="K23" s="9">
        <f>IF(G23&lt;=Assumptions!$B$4,H23+(I23-H23)*(G23-Assumptions!$B$2)/(Assumptions!$B$4-Assumptions!$B$2),IF(G23&lt;=Assumptions!$B$5,I23+(J23-I23)*(G23-Assumptions!$B$4)/(Assumptions!$B$5-Assumptions!$B$4),J23))</f>
        <v>0.41649999999999993</v>
      </c>
      <c r="L23" s="9">
        <f t="shared" si="0"/>
        <v>9.4852976806097139E-2</v>
      </c>
      <c r="M23" s="9">
        <f t="shared" si="2"/>
        <v>0</v>
      </c>
      <c r="N23" s="10" t="s">
        <v>275</v>
      </c>
      <c r="O23" s="10" t="s">
        <v>257</v>
      </c>
      <c r="P23" s="5" t="str">
        <f t="shared" si="1"/>
        <v>OK</v>
      </c>
    </row>
    <row r="24" spans="1:16">
      <c r="A24" s="5" t="s">
        <v>281</v>
      </c>
      <c r="B24" s="5" t="s">
        <v>84</v>
      </c>
      <c r="C24" s="5" t="s">
        <v>116</v>
      </c>
      <c r="D24" s="5" t="s">
        <v>117</v>
      </c>
      <c r="E24" s="5" t="s">
        <v>211</v>
      </c>
      <c r="F24" s="5" t="s">
        <v>213</v>
      </c>
      <c r="G24" s="5">
        <v>2047</v>
      </c>
      <c r="H24" s="9">
        <f>Coverage!Q2</f>
        <v>9.4852976806097139E-2</v>
      </c>
      <c r="I24" s="9">
        <f>IF(Assumptions!$B$19=1,MAX(H24,Coverage!Q3),Coverage!Q3)</f>
        <v>0.13650000000000001</v>
      </c>
      <c r="J24" s="9">
        <f>IF(Assumptions!$B$19=1,MAX(H24,Coverage!Q4),Coverage!Q4)</f>
        <v>0.41649999999999993</v>
      </c>
      <c r="K24" s="9">
        <f>IF(G24&lt;=Assumptions!$B$4,H24+(I24-H24)*(G24-Assumptions!$B$2)/(Assumptions!$B$4-Assumptions!$B$2),IF(G24&lt;=Assumptions!$B$5,I24+(J24-I24)*(G24-Assumptions!$B$4)/(Assumptions!$B$5-Assumptions!$B$4),J24))</f>
        <v>0.41649999999999993</v>
      </c>
      <c r="L24" s="9">
        <f t="shared" si="0"/>
        <v>9.4852976806097139E-2</v>
      </c>
      <c r="M24" s="9">
        <f t="shared" si="2"/>
        <v>0</v>
      </c>
      <c r="N24" s="5" t="s">
        <v>275</v>
      </c>
      <c r="O24" s="5" t="s">
        <v>257</v>
      </c>
      <c r="P24" s="5" t="str">
        <f t="shared" si="1"/>
        <v>OK</v>
      </c>
    </row>
    <row r="25" spans="1:16">
      <c r="A25" s="10" t="s">
        <v>282</v>
      </c>
      <c r="B25" s="10" t="s">
        <v>84</v>
      </c>
      <c r="C25" s="10" t="s">
        <v>116</v>
      </c>
      <c r="D25" s="10" t="s">
        <v>117</v>
      </c>
      <c r="E25" s="10" t="s">
        <v>211</v>
      </c>
      <c r="F25" s="10" t="s">
        <v>213</v>
      </c>
      <c r="G25" s="10">
        <v>2048</v>
      </c>
      <c r="H25" s="9">
        <f>Coverage!Q2</f>
        <v>9.4852976806097139E-2</v>
      </c>
      <c r="I25" s="9">
        <f>IF(Assumptions!$B$19=1,MAX(H25,Coverage!Q3),Coverage!Q3)</f>
        <v>0.13650000000000001</v>
      </c>
      <c r="J25" s="9">
        <f>IF(Assumptions!$B$19=1,MAX(H25,Coverage!Q4),Coverage!Q4)</f>
        <v>0.41649999999999993</v>
      </c>
      <c r="K25" s="9">
        <f>IF(G25&lt;=Assumptions!$B$4,H25+(I25-H25)*(G25-Assumptions!$B$2)/(Assumptions!$B$4-Assumptions!$B$2),IF(G25&lt;=Assumptions!$B$5,I25+(J25-I25)*(G25-Assumptions!$B$4)/(Assumptions!$B$5-Assumptions!$B$4),J25))</f>
        <v>0.41649999999999993</v>
      </c>
      <c r="L25" s="9">
        <f t="shared" si="0"/>
        <v>9.4852976806097139E-2</v>
      </c>
      <c r="M25" s="9">
        <f t="shared" si="2"/>
        <v>0</v>
      </c>
      <c r="N25" s="10" t="s">
        <v>275</v>
      </c>
      <c r="O25" s="10" t="s">
        <v>257</v>
      </c>
      <c r="P25" s="5" t="str">
        <f t="shared" si="1"/>
        <v>OK</v>
      </c>
    </row>
    <row r="26" spans="1:16">
      <c r="A26" s="5" t="s">
        <v>283</v>
      </c>
      <c r="B26" s="5" t="s">
        <v>84</v>
      </c>
      <c r="C26" s="5" t="s">
        <v>116</v>
      </c>
      <c r="D26" s="5" t="s">
        <v>117</v>
      </c>
      <c r="E26" s="5" t="s">
        <v>211</v>
      </c>
      <c r="F26" s="5" t="s">
        <v>213</v>
      </c>
      <c r="G26" s="5">
        <v>2049</v>
      </c>
      <c r="H26" s="9">
        <f>Coverage!Q2</f>
        <v>9.4852976806097139E-2</v>
      </c>
      <c r="I26" s="9">
        <f>IF(Assumptions!$B$19=1,MAX(H26,Coverage!Q3),Coverage!Q3)</f>
        <v>0.13650000000000001</v>
      </c>
      <c r="J26" s="9">
        <f>IF(Assumptions!$B$19=1,MAX(H26,Coverage!Q4),Coverage!Q4)</f>
        <v>0.41649999999999993</v>
      </c>
      <c r="K26" s="9">
        <f>IF(G26&lt;=Assumptions!$B$4,H26+(I26-H26)*(G26-Assumptions!$B$2)/(Assumptions!$B$4-Assumptions!$B$2),IF(G26&lt;=Assumptions!$B$5,I26+(J26-I26)*(G26-Assumptions!$B$4)/(Assumptions!$B$5-Assumptions!$B$4),J26))</f>
        <v>0.41649999999999993</v>
      </c>
      <c r="L26" s="9">
        <f t="shared" si="0"/>
        <v>9.4852976806097139E-2</v>
      </c>
      <c r="M26" s="9">
        <f t="shared" si="2"/>
        <v>0</v>
      </c>
      <c r="N26" s="5" t="s">
        <v>275</v>
      </c>
      <c r="O26" s="5" t="s">
        <v>257</v>
      </c>
      <c r="P26" s="5" t="str">
        <f t="shared" si="1"/>
        <v>OK</v>
      </c>
    </row>
    <row r="27" spans="1:16">
      <c r="A27" s="10" t="s">
        <v>284</v>
      </c>
      <c r="B27" s="10" t="s">
        <v>84</v>
      </c>
      <c r="C27" s="10" t="s">
        <v>116</v>
      </c>
      <c r="D27" s="10" t="s">
        <v>117</v>
      </c>
      <c r="E27" s="10" t="s">
        <v>211</v>
      </c>
      <c r="F27" s="10" t="s">
        <v>213</v>
      </c>
      <c r="G27" s="10">
        <v>2050</v>
      </c>
      <c r="H27" s="9">
        <f>Coverage!Q2</f>
        <v>9.4852976806097139E-2</v>
      </c>
      <c r="I27" s="9">
        <f>IF(Assumptions!$B$19=1,MAX(H27,Coverage!Q3),Coverage!Q3)</f>
        <v>0.13650000000000001</v>
      </c>
      <c r="J27" s="9">
        <f>IF(Assumptions!$B$19=1,MAX(H27,Coverage!Q4),Coverage!Q4)</f>
        <v>0.41649999999999993</v>
      </c>
      <c r="K27" s="9">
        <f>IF(G27&lt;=Assumptions!$B$4,H27+(I27-H27)*(G27-Assumptions!$B$2)/(Assumptions!$B$4-Assumptions!$B$2),IF(G27&lt;=Assumptions!$B$5,I27+(J27-I27)*(G27-Assumptions!$B$4)/(Assumptions!$B$5-Assumptions!$B$4),J27))</f>
        <v>0.41649999999999993</v>
      </c>
      <c r="L27" s="9">
        <f t="shared" si="0"/>
        <v>9.4852976806097139E-2</v>
      </c>
      <c r="M27" s="9">
        <f t="shared" si="2"/>
        <v>0</v>
      </c>
      <c r="N27" s="10" t="s">
        <v>275</v>
      </c>
      <c r="O27" s="10" t="s">
        <v>257</v>
      </c>
      <c r="P27" s="5" t="str">
        <f t="shared" si="1"/>
        <v>OK</v>
      </c>
    </row>
    <row r="28" spans="1:16">
      <c r="A28" s="5" t="s">
        <v>285</v>
      </c>
      <c r="B28" s="5" t="s">
        <v>84</v>
      </c>
      <c r="C28" s="5" t="s">
        <v>116</v>
      </c>
      <c r="D28" s="5" t="s">
        <v>117</v>
      </c>
      <c r="E28" s="5" t="s">
        <v>211</v>
      </c>
      <c r="F28" s="5" t="s">
        <v>224</v>
      </c>
      <c r="G28" s="5">
        <v>2025</v>
      </c>
      <c r="H28" s="9">
        <f>Coverage!Q5</f>
        <v>0.1326807379397153</v>
      </c>
      <c r="I28" s="9">
        <f>IF(Assumptions!$B$19=1,MAX(H28,Coverage!Q6),Coverage!Q6)</f>
        <v>0.13650000000000001</v>
      </c>
      <c r="J28" s="9">
        <f>IF(Assumptions!$B$19=1,MAX(H28,Coverage!Q7),Coverage!Q7)</f>
        <v>0.41649999999999993</v>
      </c>
      <c r="K28" s="9">
        <f>IF(G28&lt;=Assumptions!$B$4,H28+(I28-H28)*(G28-Assumptions!$B$2)/(Assumptions!$B$4-Assumptions!$B$2),IF(G28&lt;=Assumptions!$B$5,I28+(J28-I28)*(G28-Assumptions!$B$4)/(Assumptions!$B$5-Assumptions!$B$4),J28))</f>
        <v>0.1326807379397153</v>
      </c>
      <c r="L28" s="9">
        <f t="shared" si="0"/>
        <v>0.1326807379397153</v>
      </c>
      <c r="M28" s="9">
        <v>0</v>
      </c>
      <c r="N28" s="5" t="s">
        <v>256</v>
      </c>
      <c r="O28" s="5" t="s">
        <v>257</v>
      </c>
      <c r="P28" s="5" t="str">
        <f t="shared" si="1"/>
        <v>OK</v>
      </c>
    </row>
    <row r="29" spans="1:16">
      <c r="A29" s="10" t="s">
        <v>286</v>
      </c>
      <c r="B29" s="10" t="s">
        <v>84</v>
      </c>
      <c r="C29" s="10" t="s">
        <v>116</v>
      </c>
      <c r="D29" s="10" t="s">
        <v>117</v>
      </c>
      <c r="E29" s="10" t="s">
        <v>211</v>
      </c>
      <c r="F29" s="10" t="s">
        <v>224</v>
      </c>
      <c r="G29" s="10">
        <v>2026</v>
      </c>
      <c r="H29" s="9">
        <f>Coverage!Q5</f>
        <v>0.1326807379397153</v>
      </c>
      <c r="I29" s="9">
        <f>IF(Assumptions!$B$19=1,MAX(H29,Coverage!Q6),Coverage!Q6)</f>
        <v>0.13650000000000001</v>
      </c>
      <c r="J29" s="9">
        <f>IF(Assumptions!$B$19=1,MAX(H29,Coverage!Q7),Coverage!Q7)</f>
        <v>0.41649999999999993</v>
      </c>
      <c r="K29" s="9">
        <f>IF(G29&lt;=Assumptions!$B$4,H29+(I29-H29)*(G29-Assumptions!$B$2)/(Assumptions!$B$4-Assumptions!$B$2),IF(G29&lt;=Assumptions!$B$5,I29+(J29-I29)*(G29-Assumptions!$B$4)/(Assumptions!$B$5-Assumptions!$B$4),J29))</f>
        <v>0.13344459035177225</v>
      </c>
      <c r="L29" s="9">
        <f t="shared" si="0"/>
        <v>0.1326807379397153</v>
      </c>
      <c r="M29" s="9">
        <f t="shared" ref="M29:M53" si="3">K29-K28</f>
        <v>7.6385241205695342E-4</v>
      </c>
      <c r="N29" s="10" t="s">
        <v>256</v>
      </c>
      <c r="O29" s="10" t="s">
        <v>257</v>
      </c>
      <c r="P29" s="5" t="str">
        <f t="shared" si="1"/>
        <v>OK</v>
      </c>
    </row>
    <row r="30" spans="1:16">
      <c r="A30" s="5" t="s">
        <v>287</v>
      </c>
      <c r="B30" s="5" t="s">
        <v>84</v>
      </c>
      <c r="C30" s="5" t="s">
        <v>116</v>
      </c>
      <c r="D30" s="5" t="s">
        <v>117</v>
      </c>
      <c r="E30" s="5" t="s">
        <v>211</v>
      </c>
      <c r="F30" s="5" t="s">
        <v>224</v>
      </c>
      <c r="G30" s="5">
        <v>2027</v>
      </c>
      <c r="H30" s="9">
        <f>Coverage!Q5</f>
        <v>0.1326807379397153</v>
      </c>
      <c r="I30" s="9">
        <f>IF(Assumptions!$B$19=1,MAX(H30,Coverage!Q6),Coverage!Q6)</f>
        <v>0.13650000000000001</v>
      </c>
      <c r="J30" s="9">
        <f>IF(Assumptions!$B$19=1,MAX(H30,Coverage!Q7),Coverage!Q7)</f>
        <v>0.41649999999999993</v>
      </c>
      <c r="K30" s="9">
        <f>IF(G30&lt;=Assumptions!$B$4,H30+(I30-H30)*(G30-Assumptions!$B$2)/(Assumptions!$B$4-Assumptions!$B$2),IF(G30&lt;=Assumptions!$B$5,I30+(J30-I30)*(G30-Assumptions!$B$4)/(Assumptions!$B$5-Assumptions!$B$4),J30))</f>
        <v>0.13420844276382918</v>
      </c>
      <c r="L30" s="9">
        <f t="shared" si="0"/>
        <v>0.1326807379397153</v>
      </c>
      <c r="M30" s="9">
        <f t="shared" si="3"/>
        <v>7.6385241205692567E-4</v>
      </c>
      <c r="N30" s="5" t="s">
        <v>256</v>
      </c>
      <c r="O30" s="5" t="s">
        <v>257</v>
      </c>
      <c r="P30" s="5" t="str">
        <f t="shared" si="1"/>
        <v>OK</v>
      </c>
    </row>
    <row r="31" spans="1:16">
      <c r="A31" s="10" t="s">
        <v>288</v>
      </c>
      <c r="B31" s="10" t="s">
        <v>84</v>
      </c>
      <c r="C31" s="10" t="s">
        <v>116</v>
      </c>
      <c r="D31" s="10" t="s">
        <v>117</v>
      </c>
      <c r="E31" s="10" t="s">
        <v>211</v>
      </c>
      <c r="F31" s="10" t="s">
        <v>224</v>
      </c>
      <c r="G31" s="10">
        <v>2028</v>
      </c>
      <c r="H31" s="9">
        <f>Coverage!Q5</f>
        <v>0.1326807379397153</v>
      </c>
      <c r="I31" s="9">
        <f>IF(Assumptions!$B$19=1,MAX(H31,Coverage!Q6),Coverage!Q6)</f>
        <v>0.13650000000000001</v>
      </c>
      <c r="J31" s="9">
        <f>IF(Assumptions!$B$19=1,MAX(H31,Coverage!Q7),Coverage!Q7)</f>
        <v>0.41649999999999993</v>
      </c>
      <c r="K31" s="9">
        <f>IF(G31&lt;=Assumptions!$B$4,H31+(I31-H31)*(G31-Assumptions!$B$2)/(Assumptions!$B$4-Assumptions!$B$2),IF(G31&lt;=Assumptions!$B$5,I31+(J31-I31)*(G31-Assumptions!$B$4)/(Assumptions!$B$5-Assumptions!$B$4),J31))</f>
        <v>0.13497229517588613</v>
      </c>
      <c r="L31" s="9">
        <f t="shared" si="0"/>
        <v>0.1326807379397153</v>
      </c>
      <c r="M31" s="9">
        <f t="shared" si="3"/>
        <v>7.6385241205695342E-4</v>
      </c>
      <c r="N31" s="10" t="s">
        <v>256</v>
      </c>
      <c r="O31" s="10" t="s">
        <v>257</v>
      </c>
      <c r="P31" s="5" t="str">
        <f t="shared" si="1"/>
        <v>OK</v>
      </c>
    </row>
    <row r="32" spans="1:16">
      <c r="A32" s="5" t="s">
        <v>289</v>
      </c>
      <c r="B32" s="5" t="s">
        <v>84</v>
      </c>
      <c r="C32" s="5" t="s">
        <v>116</v>
      </c>
      <c r="D32" s="5" t="s">
        <v>117</v>
      </c>
      <c r="E32" s="5" t="s">
        <v>211</v>
      </c>
      <c r="F32" s="5" t="s">
        <v>224</v>
      </c>
      <c r="G32" s="5">
        <v>2029</v>
      </c>
      <c r="H32" s="9">
        <f>Coverage!Q5</f>
        <v>0.1326807379397153</v>
      </c>
      <c r="I32" s="9">
        <f>IF(Assumptions!$B$19=1,MAX(H32,Coverage!Q6),Coverage!Q6)</f>
        <v>0.13650000000000001</v>
      </c>
      <c r="J32" s="9">
        <f>IF(Assumptions!$B$19=1,MAX(H32,Coverage!Q7),Coverage!Q7)</f>
        <v>0.41649999999999993</v>
      </c>
      <c r="K32" s="9">
        <f>IF(G32&lt;=Assumptions!$B$4,H32+(I32-H32)*(G32-Assumptions!$B$2)/(Assumptions!$B$4-Assumptions!$B$2),IF(G32&lt;=Assumptions!$B$5,I32+(J32-I32)*(G32-Assumptions!$B$4)/(Assumptions!$B$5-Assumptions!$B$4),J32))</f>
        <v>0.13573614758794306</v>
      </c>
      <c r="L32" s="9">
        <f t="shared" si="0"/>
        <v>0.1326807379397153</v>
      </c>
      <c r="M32" s="9">
        <f t="shared" si="3"/>
        <v>7.6385241205692567E-4</v>
      </c>
      <c r="N32" s="5" t="s">
        <v>256</v>
      </c>
      <c r="O32" s="5" t="s">
        <v>257</v>
      </c>
      <c r="P32" s="5" t="str">
        <f t="shared" si="1"/>
        <v>OK</v>
      </c>
    </row>
    <row r="33" spans="1:16">
      <c r="A33" s="10" t="s">
        <v>290</v>
      </c>
      <c r="B33" s="10" t="s">
        <v>84</v>
      </c>
      <c r="C33" s="10" t="s">
        <v>116</v>
      </c>
      <c r="D33" s="10" t="s">
        <v>117</v>
      </c>
      <c r="E33" s="10" t="s">
        <v>211</v>
      </c>
      <c r="F33" s="10" t="s">
        <v>224</v>
      </c>
      <c r="G33" s="10">
        <v>2030</v>
      </c>
      <c r="H33" s="9">
        <f>Coverage!Q5</f>
        <v>0.1326807379397153</v>
      </c>
      <c r="I33" s="9">
        <f>IF(Assumptions!$B$19=1,MAX(H33,Coverage!Q6),Coverage!Q6)</f>
        <v>0.13650000000000001</v>
      </c>
      <c r="J33" s="9">
        <f>IF(Assumptions!$B$19=1,MAX(H33,Coverage!Q7),Coverage!Q7)</f>
        <v>0.41649999999999993</v>
      </c>
      <c r="K33" s="9">
        <f>IF(G33&lt;=Assumptions!$B$4,H33+(I33-H33)*(G33-Assumptions!$B$2)/(Assumptions!$B$4-Assumptions!$B$2),IF(G33&lt;=Assumptions!$B$5,I33+(J33-I33)*(G33-Assumptions!$B$4)/(Assumptions!$B$5-Assumptions!$B$4),J33))</f>
        <v>0.13650000000000001</v>
      </c>
      <c r="L33" s="9">
        <f t="shared" si="0"/>
        <v>0.1326807379397153</v>
      </c>
      <c r="M33" s="9">
        <f t="shared" si="3"/>
        <v>7.6385241205695342E-4</v>
      </c>
      <c r="N33" s="10" t="s">
        <v>256</v>
      </c>
      <c r="O33" s="10" t="s">
        <v>257</v>
      </c>
      <c r="P33" s="5" t="str">
        <f t="shared" si="1"/>
        <v>OK</v>
      </c>
    </row>
    <row r="34" spans="1:16">
      <c r="A34" s="5" t="s">
        <v>291</v>
      </c>
      <c r="B34" s="5" t="s">
        <v>84</v>
      </c>
      <c r="C34" s="5" t="s">
        <v>116</v>
      </c>
      <c r="D34" s="5" t="s">
        <v>117</v>
      </c>
      <c r="E34" s="5" t="s">
        <v>211</v>
      </c>
      <c r="F34" s="5" t="s">
        <v>224</v>
      </c>
      <c r="G34" s="5">
        <v>2031</v>
      </c>
      <c r="H34" s="9">
        <f>Coverage!Q5</f>
        <v>0.1326807379397153</v>
      </c>
      <c r="I34" s="9">
        <f>IF(Assumptions!$B$19=1,MAX(H34,Coverage!Q6),Coverage!Q6)</f>
        <v>0.13650000000000001</v>
      </c>
      <c r="J34" s="9">
        <f>IF(Assumptions!$B$19=1,MAX(H34,Coverage!Q7),Coverage!Q7)</f>
        <v>0.41649999999999993</v>
      </c>
      <c r="K34" s="9">
        <f>IF(G34&lt;=Assumptions!$B$4,H34+(I34-H34)*(G34-Assumptions!$B$2)/(Assumptions!$B$4-Assumptions!$B$2),IF(G34&lt;=Assumptions!$B$5,I34+(J34-I34)*(G34-Assumptions!$B$4)/(Assumptions!$B$5-Assumptions!$B$4),J34))</f>
        <v>0.16450000000000001</v>
      </c>
      <c r="L34" s="9">
        <f t="shared" ref="L34:L65" si="4">H34</f>
        <v>0.1326807379397153</v>
      </c>
      <c r="M34" s="9">
        <f t="shared" si="3"/>
        <v>2.7999999999999997E-2</v>
      </c>
      <c r="N34" s="5" t="s">
        <v>264</v>
      </c>
      <c r="O34" s="5" t="s">
        <v>257</v>
      </c>
      <c r="P34" s="5" t="str">
        <f t="shared" ref="P34:P65" si="5">IF(OR(K34&lt;0,K34&gt;1,M34&lt;0),"BAD","OK")</f>
        <v>OK</v>
      </c>
    </row>
    <row r="35" spans="1:16">
      <c r="A35" s="10" t="s">
        <v>292</v>
      </c>
      <c r="B35" s="10" t="s">
        <v>84</v>
      </c>
      <c r="C35" s="10" t="s">
        <v>116</v>
      </c>
      <c r="D35" s="10" t="s">
        <v>117</v>
      </c>
      <c r="E35" s="10" t="s">
        <v>211</v>
      </c>
      <c r="F35" s="10" t="s">
        <v>224</v>
      </c>
      <c r="G35" s="10">
        <v>2032</v>
      </c>
      <c r="H35" s="9">
        <f>Coverage!Q5</f>
        <v>0.1326807379397153</v>
      </c>
      <c r="I35" s="9">
        <f>IF(Assumptions!$B$19=1,MAX(H35,Coverage!Q6),Coverage!Q6)</f>
        <v>0.13650000000000001</v>
      </c>
      <c r="J35" s="9">
        <f>IF(Assumptions!$B$19=1,MAX(H35,Coverage!Q7),Coverage!Q7)</f>
        <v>0.41649999999999993</v>
      </c>
      <c r="K35" s="9">
        <f>IF(G35&lt;=Assumptions!$B$4,H35+(I35-H35)*(G35-Assumptions!$B$2)/(Assumptions!$B$4-Assumptions!$B$2),IF(G35&lt;=Assumptions!$B$5,I35+(J35-I35)*(G35-Assumptions!$B$4)/(Assumptions!$B$5-Assumptions!$B$4),J35))</f>
        <v>0.1925</v>
      </c>
      <c r="L35" s="9">
        <f t="shared" si="4"/>
        <v>0.1326807379397153</v>
      </c>
      <c r="M35" s="9">
        <f t="shared" si="3"/>
        <v>2.7999999999999997E-2</v>
      </c>
      <c r="N35" s="10" t="s">
        <v>264</v>
      </c>
      <c r="O35" s="10" t="s">
        <v>257</v>
      </c>
      <c r="P35" s="5" t="str">
        <f t="shared" si="5"/>
        <v>OK</v>
      </c>
    </row>
    <row r="36" spans="1:16">
      <c r="A36" s="5" t="s">
        <v>293</v>
      </c>
      <c r="B36" s="5" t="s">
        <v>84</v>
      </c>
      <c r="C36" s="5" t="s">
        <v>116</v>
      </c>
      <c r="D36" s="5" t="s">
        <v>117</v>
      </c>
      <c r="E36" s="5" t="s">
        <v>211</v>
      </c>
      <c r="F36" s="5" t="s">
        <v>224</v>
      </c>
      <c r="G36" s="5">
        <v>2033</v>
      </c>
      <c r="H36" s="9">
        <f>Coverage!Q5</f>
        <v>0.1326807379397153</v>
      </c>
      <c r="I36" s="9">
        <f>IF(Assumptions!$B$19=1,MAX(H36,Coverage!Q6),Coverage!Q6)</f>
        <v>0.13650000000000001</v>
      </c>
      <c r="J36" s="9">
        <f>IF(Assumptions!$B$19=1,MAX(H36,Coverage!Q7),Coverage!Q7)</f>
        <v>0.41649999999999993</v>
      </c>
      <c r="K36" s="9">
        <f>IF(G36&lt;=Assumptions!$B$4,H36+(I36-H36)*(G36-Assumptions!$B$2)/(Assumptions!$B$4-Assumptions!$B$2),IF(G36&lt;=Assumptions!$B$5,I36+(J36-I36)*(G36-Assumptions!$B$4)/(Assumptions!$B$5-Assumptions!$B$4),J36))</f>
        <v>0.22049999999999997</v>
      </c>
      <c r="L36" s="9">
        <f t="shared" si="4"/>
        <v>0.1326807379397153</v>
      </c>
      <c r="M36" s="9">
        <f t="shared" si="3"/>
        <v>2.7999999999999969E-2</v>
      </c>
      <c r="N36" s="5" t="s">
        <v>264</v>
      </c>
      <c r="O36" s="5" t="s">
        <v>257</v>
      </c>
      <c r="P36" s="5" t="str">
        <f t="shared" si="5"/>
        <v>OK</v>
      </c>
    </row>
    <row r="37" spans="1:16">
      <c r="A37" s="10" t="s">
        <v>294</v>
      </c>
      <c r="B37" s="10" t="s">
        <v>84</v>
      </c>
      <c r="C37" s="10" t="s">
        <v>116</v>
      </c>
      <c r="D37" s="10" t="s">
        <v>117</v>
      </c>
      <c r="E37" s="10" t="s">
        <v>211</v>
      </c>
      <c r="F37" s="10" t="s">
        <v>224</v>
      </c>
      <c r="G37" s="10">
        <v>2034</v>
      </c>
      <c r="H37" s="9">
        <f>Coverage!Q5</f>
        <v>0.1326807379397153</v>
      </c>
      <c r="I37" s="9">
        <f>IF(Assumptions!$B$19=1,MAX(H37,Coverage!Q6),Coverage!Q6)</f>
        <v>0.13650000000000001</v>
      </c>
      <c r="J37" s="9">
        <f>IF(Assumptions!$B$19=1,MAX(H37,Coverage!Q7),Coverage!Q7)</f>
        <v>0.41649999999999993</v>
      </c>
      <c r="K37" s="9">
        <f>IF(G37&lt;=Assumptions!$B$4,H37+(I37-H37)*(G37-Assumptions!$B$2)/(Assumptions!$B$4-Assumptions!$B$2),IF(G37&lt;=Assumptions!$B$5,I37+(J37-I37)*(G37-Assumptions!$B$4)/(Assumptions!$B$5-Assumptions!$B$4),J37))</f>
        <v>0.24849999999999997</v>
      </c>
      <c r="L37" s="9">
        <f t="shared" si="4"/>
        <v>0.1326807379397153</v>
      </c>
      <c r="M37" s="9">
        <f t="shared" si="3"/>
        <v>2.7999999999999997E-2</v>
      </c>
      <c r="N37" s="10" t="s">
        <v>264</v>
      </c>
      <c r="O37" s="10" t="s">
        <v>257</v>
      </c>
      <c r="P37" s="5" t="str">
        <f t="shared" si="5"/>
        <v>OK</v>
      </c>
    </row>
    <row r="38" spans="1:16">
      <c r="A38" s="5" t="s">
        <v>295</v>
      </c>
      <c r="B38" s="5" t="s">
        <v>84</v>
      </c>
      <c r="C38" s="5" t="s">
        <v>116</v>
      </c>
      <c r="D38" s="5" t="s">
        <v>117</v>
      </c>
      <c r="E38" s="5" t="s">
        <v>211</v>
      </c>
      <c r="F38" s="5" t="s">
        <v>224</v>
      </c>
      <c r="G38" s="5">
        <v>2035</v>
      </c>
      <c r="H38" s="9">
        <f>Coverage!Q5</f>
        <v>0.1326807379397153</v>
      </c>
      <c r="I38" s="9">
        <f>IF(Assumptions!$B$19=1,MAX(H38,Coverage!Q6),Coverage!Q6)</f>
        <v>0.13650000000000001</v>
      </c>
      <c r="J38" s="9">
        <f>IF(Assumptions!$B$19=1,MAX(H38,Coverage!Q7),Coverage!Q7)</f>
        <v>0.41649999999999993</v>
      </c>
      <c r="K38" s="9">
        <f>IF(G38&lt;=Assumptions!$B$4,H38+(I38-H38)*(G38-Assumptions!$B$2)/(Assumptions!$B$4-Assumptions!$B$2),IF(G38&lt;=Assumptions!$B$5,I38+(J38-I38)*(G38-Assumptions!$B$4)/(Assumptions!$B$5-Assumptions!$B$4),J38))</f>
        <v>0.27649999999999997</v>
      </c>
      <c r="L38" s="9">
        <f t="shared" si="4"/>
        <v>0.1326807379397153</v>
      </c>
      <c r="M38" s="9">
        <f t="shared" si="3"/>
        <v>2.7999999999999997E-2</v>
      </c>
      <c r="N38" s="5" t="s">
        <v>264</v>
      </c>
      <c r="O38" s="5" t="s">
        <v>257</v>
      </c>
      <c r="P38" s="5" t="str">
        <f t="shared" si="5"/>
        <v>OK</v>
      </c>
    </row>
    <row r="39" spans="1:16">
      <c r="A39" s="10" t="s">
        <v>296</v>
      </c>
      <c r="B39" s="10" t="s">
        <v>84</v>
      </c>
      <c r="C39" s="10" t="s">
        <v>116</v>
      </c>
      <c r="D39" s="10" t="s">
        <v>117</v>
      </c>
      <c r="E39" s="10" t="s">
        <v>211</v>
      </c>
      <c r="F39" s="10" t="s">
        <v>224</v>
      </c>
      <c r="G39" s="10">
        <v>2036</v>
      </c>
      <c r="H39" s="9">
        <f>Coverage!Q5</f>
        <v>0.1326807379397153</v>
      </c>
      <c r="I39" s="9">
        <f>IF(Assumptions!$B$19=1,MAX(H39,Coverage!Q6),Coverage!Q6)</f>
        <v>0.13650000000000001</v>
      </c>
      <c r="J39" s="9">
        <f>IF(Assumptions!$B$19=1,MAX(H39,Coverage!Q7),Coverage!Q7)</f>
        <v>0.41649999999999993</v>
      </c>
      <c r="K39" s="9">
        <f>IF(G39&lt;=Assumptions!$B$4,H39+(I39-H39)*(G39-Assumptions!$B$2)/(Assumptions!$B$4-Assumptions!$B$2),IF(G39&lt;=Assumptions!$B$5,I39+(J39-I39)*(G39-Assumptions!$B$4)/(Assumptions!$B$5-Assumptions!$B$4),J39))</f>
        <v>0.30449999999999999</v>
      </c>
      <c r="L39" s="9">
        <f t="shared" si="4"/>
        <v>0.1326807379397153</v>
      </c>
      <c r="M39" s="9">
        <f t="shared" si="3"/>
        <v>2.8000000000000025E-2</v>
      </c>
      <c r="N39" s="10" t="s">
        <v>264</v>
      </c>
      <c r="O39" s="10" t="s">
        <v>257</v>
      </c>
      <c r="P39" s="5" t="str">
        <f t="shared" si="5"/>
        <v>OK</v>
      </c>
    </row>
    <row r="40" spans="1:16">
      <c r="A40" s="5" t="s">
        <v>297</v>
      </c>
      <c r="B40" s="5" t="s">
        <v>84</v>
      </c>
      <c r="C40" s="5" t="s">
        <v>116</v>
      </c>
      <c r="D40" s="5" t="s">
        <v>117</v>
      </c>
      <c r="E40" s="5" t="s">
        <v>211</v>
      </c>
      <c r="F40" s="5" t="s">
        <v>224</v>
      </c>
      <c r="G40" s="5">
        <v>2037</v>
      </c>
      <c r="H40" s="9">
        <f>Coverage!Q5</f>
        <v>0.1326807379397153</v>
      </c>
      <c r="I40" s="9">
        <f>IF(Assumptions!$B$19=1,MAX(H40,Coverage!Q6),Coverage!Q6)</f>
        <v>0.13650000000000001</v>
      </c>
      <c r="J40" s="9">
        <f>IF(Assumptions!$B$19=1,MAX(H40,Coverage!Q7),Coverage!Q7)</f>
        <v>0.41649999999999993</v>
      </c>
      <c r="K40" s="9">
        <f>IF(G40&lt;=Assumptions!$B$4,H40+(I40-H40)*(G40-Assumptions!$B$2)/(Assumptions!$B$4-Assumptions!$B$2),IF(G40&lt;=Assumptions!$B$5,I40+(J40-I40)*(G40-Assumptions!$B$4)/(Assumptions!$B$5-Assumptions!$B$4),J40))</f>
        <v>0.33249999999999996</v>
      </c>
      <c r="L40" s="9">
        <f t="shared" si="4"/>
        <v>0.1326807379397153</v>
      </c>
      <c r="M40" s="9">
        <f t="shared" si="3"/>
        <v>2.7999999999999969E-2</v>
      </c>
      <c r="N40" s="5" t="s">
        <v>264</v>
      </c>
      <c r="O40" s="5" t="s">
        <v>257</v>
      </c>
      <c r="P40" s="5" t="str">
        <f t="shared" si="5"/>
        <v>OK</v>
      </c>
    </row>
    <row r="41" spans="1:16">
      <c r="A41" s="10" t="s">
        <v>298</v>
      </c>
      <c r="B41" s="10" t="s">
        <v>84</v>
      </c>
      <c r="C41" s="10" t="s">
        <v>116</v>
      </c>
      <c r="D41" s="10" t="s">
        <v>117</v>
      </c>
      <c r="E41" s="10" t="s">
        <v>211</v>
      </c>
      <c r="F41" s="10" t="s">
        <v>224</v>
      </c>
      <c r="G41" s="10">
        <v>2038</v>
      </c>
      <c r="H41" s="9">
        <f>Coverage!Q5</f>
        <v>0.1326807379397153</v>
      </c>
      <c r="I41" s="9">
        <f>IF(Assumptions!$B$19=1,MAX(H41,Coverage!Q6),Coverage!Q6)</f>
        <v>0.13650000000000001</v>
      </c>
      <c r="J41" s="9">
        <f>IF(Assumptions!$B$19=1,MAX(H41,Coverage!Q7),Coverage!Q7)</f>
        <v>0.41649999999999993</v>
      </c>
      <c r="K41" s="9">
        <f>IF(G41&lt;=Assumptions!$B$4,H41+(I41-H41)*(G41-Assumptions!$B$2)/(Assumptions!$B$4-Assumptions!$B$2),IF(G41&lt;=Assumptions!$B$5,I41+(J41-I41)*(G41-Assumptions!$B$4)/(Assumptions!$B$5-Assumptions!$B$4),J41))</f>
        <v>0.36049999999999993</v>
      </c>
      <c r="L41" s="9">
        <f t="shared" si="4"/>
        <v>0.1326807379397153</v>
      </c>
      <c r="M41" s="9">
        <f t="shared" si="3"/>
        <v>2.7999999999999969E-2</v>
      </c>
      <c r="N41" s="10" t="s">
        <v>264</v>
      </c>
      <c r="O41" s="10" t="s">
        <v>257</v>
      </c>
      <c r="P41" s="5" t="str">
        <f t="shared" si="5"/>
        <v>OK</v>
      </c>
    </row>
    <row r="42" spans="1:16">
      <c r="A42" s="5" t="s">
        <v>299</v>
      </c>
      <c r="B42" s="5" t="s">
        <v>84</v>
      </c>
      <c r="C42" s="5" t="s">
        <v>116</v>
      </c>
      <c r="D42" s="5" t="s">
        <v>117</v>
      </c>
      <c r="E42" s="5" t="s">
        <v>211</v>
      </c>
      <c r="F42" s="5" t="s">
        <v>224</v>
      </c>
      <c r="G42" s="5">
        <v>2039</v>
      </c>
      <c r="H42" s="9">
        <f>Coverage!Q5</f>
        <v>0.1326807379397153</v>
      </c>
      <c r="I42" s="9">
        <f>IF(Assumptions!$B$19=1,MAX(H42,Coverage!Q6),Coverage!Q6)</f>
        <v>0.13650000000000001</v>
      </c>
      <c r="J42" s="9">
        <f>IF(Assumptions!$B$19=1,MAX(H42,Coverage!Q7),Coverage!Q7)</f>
        <v>0.41649999999999993</v>
      </c>
      <c r="K42" s="9">
        <f>IF(G42&lt;=Assumptions!$B$4,H42+(I42-H42)*(G42-Assumptions!$B$2)/(Assumptions!$B$4-Assumptions!$B$2),IF(G42&lt;=Assumptions!$B$5,I42+(J42-I42)*(G42-Assumptions!$B$4)/(Assumptions!$B$5-Assumptions!$B$4),J42))</f>
        <v>0.3884999999999999</v>
      </c>
      <c r="L42" s="9">
        <f t="shared" si="4"/>
        <v>0.1326807379397153</v>
      </c>
      <c r="M42" s="9">
        <f t="shared" si="3"/>
        <v>2.7999999999999969E-2</v>
      </c>
      <c r="N42" s="5" t="s">
        <v>264</v>
      </c>
      <c r="O42" s="5" t="s">
        <v>257</v>
      </c>
      <c r="P42" s="5" t="str">
        <f t="shared" si="5"/>
        <v>OK</v>
      </c>
    </row>
    <row r="43" spans="1:16">
      <c r="A43" s="10" t="s">
        <v>300</v>
      </c>
      <c r="B43" s="10" t="s">
        <v>84</v>
      </c>
      <c r="C43" s="10" t="s">
        <v>116</v>
      </c>
      <c r="D43" s="10" t="s">
        <v>117</v>
      </c>
      <c r="E43" s="10" t="s">
        <v>211</v>
      </c>
      <c r="F43" s="10" t="s">
        <v>224</v>
      </c>
      <c r="G43" s="10">
        <v>2040</v>
      </c>
      <c r="H43" s="9">
        <f>Coverage!Q5</f>
        <v>0.1326807379397153</v>
      </c>
      <c r="I43" s="9">
        <f>IF(Assumptions!$B$19=1,MAX(H43,Coverage!Q6),Coverage!Q6)</f>
        <v>0.13650000000000001</v>
      </c>
      <c r="J43" s="9">
        <f>IF(Assumptions!$B$19=1,MAX(H43,Coverage!Q7),Coverage!Q7)</f>
        <v>0.41649999999999993</v>
      </c>
      <c r="K43" s="9">
        <f>IF(G43&lt;=Assumptions!$B$4,H43+(I43-H43)*(G43-Assumptions!$B$2)/(Assumptions!$B$4-Assumptions!$B$2),IF(G43&lt;=Assumptions!$B$5,I43+(J43-I43)*(G43-Assumptions!$B$4)/(Assumptions!$B$5-Assumptions!$B$4),J43))</f>
        <v>0.41649999999999993</v>
      </c>
      <c r="L43" s="9">
        <f t="shared" si="4"/>
        <v>0.1326807379397153</v>
      </c>
      <c r="M43" s="9">
        <f t="shared" si="3"/>
        <v>2.8000000000000025E-2</v>
      </c>
      <c r="N43" s="10" t="s">
        <v>264</v>
      </c>
      <c r="O43" s="10" t="s">
        <v>257</v>
      </c>
      <c r="P43" s="5" t="str">
        <f t="shared" si="5"/>
        <v>OK</v>
      </c>
    </row>
    <row r="44" spans="1:16">
      <c r="A44" s="5" t="s">
        <v>301</v>
      </c>
      <c r="B44" s="5" t="s">
        <v>84</v>
      </c>
      <c r="C44" s="5" t="s">
        <v>116</v>
      </c>
      <c r="D44" s="5" t="s">
        <v>117</v>
      </c>
      <c r="E44" s="5" t="s">
        <v>211</v>
      </c>
      <c r="F44" s="5" t="s">
        <v>224</v>
      </c>
      <c r="G44" s="5">
        <v>2041</v>
      </c>
      <c r="H44" s="9">
        <f>Coverage!Q5</f>
        <v>0.1326807379397153</v>
      </c>
      <c r="I44" s="9">
        <f>IF(Assumptions!$B$19=1,MAX(H44,Coverage!Q6),Coverage!Q6)</f>
        <v>0.13650000000000001</v>
      </c>
      <c r="J44" s="9">
        <f>IF(Assumptions!$B$19=1,MAX(H44,Coverage!Q7),Coverage!Q7)</f>
        <v>0.41649999999999993</v>
      </c>
      <c r="K44" s="9">
        <f>IF(G44&lt;=Assumptions!$B$4,H44+(I44-H44)*(G44-Assumptions!$B$2)/(Assumptions!$B$4-Assumptions!$B$2),IF(G44&lt;=Assumptions!$B$5,I44+(J44-I44)*(G44-Assumptions!$B$4)/(Assumptions!$B$5-Assumptions!$B$4),J44))</f>
        <v>0.41649999999999993</v>
      </c>
      <c r="L44" s="9">
        <f t="shared" si="4"/>
        <v>0.1326807379397153</v>
      </c>
      <c r="M44" s="9">
        <f t="shared" si="3"/>
        <v>0</v>
      </c>
      <c r="N44" s="5" t="s">
        <v>275</v>
      </c>
      <c r="O44" s="5" t="s">
        <v>257</v>
      </c>
      <c r="P44" s="5" t="str">
        <f t="shared" si="5"/>
        <v>OK</v>
      </c>
    </row>
    <row r="45" spans="1:16">
      <c r="A45" s="10" t="s">
        <v>302</v>
      </c>
      <c r="B45" s="10" t="s">
        <v>84</v>
      </c>
      <c r="C45" s="10" t="s">
        <v>116</v>
      </c>
      <c r="D45" s="10" t="s">
        <v>117</v>
      </c>
      <c r="E45" s="10" t="s">
        <v>211</v>
      </c>
      <c r="F45" s="10" t="s">
        <v>224</v>
      </c>
      <c r="G45" s="10">
        <v>2042</v>
      </c>
      <c r="H45" s="9">
        <f>Coverage!Q5</f>
        <v>0.1326807379397153</v>
      </c>
      <c r="I45" s="9">
        <f>IF(Assumptions!$B$19=1,MAX(H45,Coverage!Q6),Coverage!Q6)</f>
        <v>0.13650000000000001</v>
      </c>
      <c r="J45" s="9">
        <f>IF(Assumptions!$B$19=1,MAX(H45,Coverage!Q7),Coverage!Q7)</f>
        <v>0.41649999999999993</v>
      </c>
      <c r="K45" s="9">
        <f>IF(G45&lt;=Assumptions!$B$4,H45+(I45-H45)*(G45-Assumptions!$B$2)/(Assumptions!$B$4-Assumptions!$B$2),IF(G45&lt;=Assumptions!$B$5,I45+(J45-I45)*(G45-Assumptions!$B$4)/(Assumptions!$B$5-Assumptions!$B$4),J45))</f>
        <v>0.41649999999999993</v>
      </c>
      <c r="L45" s="9">
        <f t="shared" si="4"/>
        <v>0.1326807379397153</v>
      </c>
      <c r="M45" s="9">
        <f t="shared" si="3"/>
        <v>0</v>
      </c>
      <c r="N45" s="10" t="s">
        <v>275</v>
      </c>
      <c r="O45" s="10" t="s">
        <v>257</v>
      </c>
      <c r="P45" s="5" t="str">
        <f t="shared" si="5"/>
        <v>OK</v>
      </c>
    </row>
    <row r="46" spans="1:16">
      <c r="A46" s="5" t="s">
        <v>303</v>
      </c>
      <c r="B46" s="5" t="s">
        <v>84</v>
      </c>
      <c r="C46" s="5" t="s">
        <v>116</v>
      </c>
      <c r="D46" s="5" t="s">
        <v>117</v>
      </c>
      <c r="E46" s="5" t="s">
        <v>211</v>
      </c>
      <c r="F46" s="5" t="s">
        <v>224</v>
      </c>
      <c r="G46" s="5">
        <v>2043</v>
      </c>
      <c r="H46" s="9">
        <f>Coverage!Q5</f>
        <v>0.1326807379397153</v>
      </c>
      <c r="I46" s="9">
        <f>IF(Assumptions!$B$19=1,MAX(H46,Coverage!Q6),Coverage!Q6)</f>
        <v>0.13650000000000001</v>
      </c>
      <c r="J46" s="9">
        <f>IF(Assumptions!$B$19=1,MAX(H46,Coverage!Q7),Coverage!Q7)</f>
        <v>0.41649999999999993</v>
      </c>
      <c r="K46" s="9">
        <f>IF(G46&lt;=Assumptions!$B$4,H46+(I46-H46)*(G46-Assumptions!$B$2)/(Assumptions!$B$4-Assumptions!$B$2),IF(G46&lt;=Assumptions!$B$5,I46+(J46-I46)*(G46-Assumptions!$B$4)/(Assumptions!$B$5-Assumptions!$B$4),J46))</f>
        <v>0.41649999999999993</v>
      </c>
      <c r="L46" s="9">
        <f t="shared" si="4"/>
        <v>0.1326807379397153</v>
      </c>
      <c r="M46" s="9">
        <f t="shared" si="3"/>
        <v>0</v>
      </c>
      <c r="N46" s="5" t="s">
        <v>275</v>
      </c>
      <c r="O46" s="5" t="s">
        <v>257</v>
      </c>
      <c r="P46" s="5" t="str">
        <f t="shared" si="5"/>
        <v>OK</v>
      </c>
    </row>
    <row r="47" spans="1:16">
      <c r="A47" s="10" t="s">
        <v>304</v>
      </c>
      <c r="B47" s="10" t="s">
        <v>84</v>
      </c>
      <c r="C47" s="10" t="s">
        <v>116</v>
      </c>
      <c r="D47" s="10" t="s">
        <v>117</v>
      </c>
      <c r="E47" s="10" t="s">
        <v>211</v>
      </c>
      <c r="F47" s="10" t="s">
        <v>224</v>
      </c>
      <c r="G47" s="10">
        <v>2044</v>
      </c>
      <c r="H47" s="9">
        <f>Coverage!Q5</f>
        <v>0.1326807379397153</v>
      </c>
      <c r="I47" s="9">
        <f>IF(Assumptions!$B$19=1,MAX(H47,Coverage!Q6),Coverage!Q6)</f>
        <v>0.13650000000000001</v>
      </c>
      <c r="J47" s="9">
        <f>IF(Assumptions!$B$19=1,MAX(H47,Coverage!Q7),Coverage!Q7)</f>
        <v>0.41649999999999993</v>
      </c>
      <c r="K47" s="9">
        <f>IF(G47&lt;=Assumptions!$B$4,H47+(I47-H47)*(G47-Assumptions!$B$2)/(Assumptions!$B$4-Assumptions!$B$2),IF(G47&lt;=Assumptions!$B$5,I47+(J47-I47)*(G47-Assumptions!$B$4)/(Assumptions!$B$5-Assumptions!$B$4),J47))</f>
        <v>0.41649999999999993</v>
      </c>
      <c r="L47" s="9">
        <f t="shared" si="4"/>
        <v>0.1326807379397153</v>
      </c>
      <c r="M47" s="9">
        <f t="shared" si="3"/>
        <v>0</v>
      </c>
      <c r="N47" s="10" t="s">
        <v>275</v>
      </c>
      <c r="O47" s="10" t="s">
        <v>257</v>
      </c>
      <c r="P47" s="5" t="str">
        <f t="shared" si="5"/>
        <v>OK</v>
      </c>
    </row>
    <row r="48" spans="1:16">
      <c r="A48" s="5" t="s">
        <v>305</v>
      </c>
      <c r="B48" s="5" t="s">
        <v>84</v>
      </c>
      <c r="C48" s="5" t="s">
        <v>116</v>
      </c>
      <c r="D48" s="5" t="s">
        <v>117</v>
      </c>
      <c r="E48" s="5" t="s">
        <v>211</v>
      </c>
      <c r="F48" s="5" t="s">
        <v>224</v>
      </c>
      <c r="G48" s="5">
        <v>2045</v>
      </c>
      <c r="H48" s="9">
        <f>Coverage!Q5</f>
        <v>0.1326807379397153</v>
      </c>
      <c r="I48" s="9">
        <f>IF(Assumptions!$B$19=1,MAX(H48,Coverage!Q6),Coverage!Q6)</f>
        <v>0.13650000000000001</v>
      </c>
      <c r="J48" s="9">
        <f>IF(Assumptions!$B$19=1,MAX(H48,Coverage!Q7),Coverage!Q7)</f>
        <v>0.41649999999999993</v>
      </c>
      <c r="K48" s="9">
        <f>IF(G48&lt;=Assumptions!$B$4,H48+(I48-H48)*(G48-Assumptions!$B$2)/(Assumptions!$B$4-Assumptions!$B$2),IF(G48&lt;=Assumptions!$B$5,I48+(J48-I48)*(G48-Assumptions!$B$4)/(Assumptions!$B$5-Assumptions!$B$4),J48))</f>
        <v>0.41649999999999993</v>
      </c>
      <c r="L48" s="9">
        <f t="shared" si="4"/>
        <v>0.1326807379397153</v>
      </c>
      <c r="M48" s="9">
        <f t="shared" si="3"/>
        <v>0</v>
      </c>
      <c r="N48" s="5" t="s">
        <v>275</v>
      </c>
      <c r="O48" s="5" t="s">
        <v>257</v>
      </c>
      <c r="P48" s="5" t="str">
        <f t="shared" si="5"/>
        <v>OK</v>
      </c>
    </row>
    <row r="49" spans="1:16">
      <c r="A49" s="10" t="s">
        <v>306</v>
      </c>
      <c r="B49" s="10" t="s">
        <v>84</v>
      </c>
      <c r="C49" s="10" t="s">
        <v>116</v>
      </c>
      <c r="D49" s="10" t="s">
        <v>117</v>
      </c>
      <c r="E49" s="10" t="s">
        <v>211</v>
      </c>
      <c r="F49" s="10" t="s">
        <v>224</v>
      </c>
      <c r="G49" s="10">
        <v>2046</v>
      </c>
      <c r="H49" s="9">
        <f>Coverage!Q5</f>
        <v>0.1326807379397153</v>
      </c>
      <c r="I49" s="9">
        <f>IF(Assumptions!$B$19=1,MAX(H49,Coverage!Q6),Coverage!Q6)</f>
        <v>0.13650000000000001</v>
      </c>
      <c r="J49" s="9">
        <f>IF(Assumptions!$B$19=1,MAX(H49,Coverage!Q7),Coverage!Q7)</f>
        <v>0.41649999999999993</v>
      </c>
      <c r="K49" s="9">
        <f>IF(G49&lt;=Assumptions!$B$4,H49+(I49-H49)*(G49-Assumptions!$B$2)/(Assumptions!$B$4-Assumptions!$B$2),IF(G49&lt;=Assumptions!$B$5,I49+(J49-I49)*(G49-Assumptions!$B$4)/(Assumptions!$B$5-Assumptions!$B$4),J49))</f>
        <v>0.41649999999999993</v>
      </c>
      <c r="L49" s="9">
        <f t="shared" si="4"/>
        <v>0.1326807379397153</v>
      </c>
      <c r="M49" s="9">
        <f t="shared" si="3"/>
        <v>0</v>
      </c>
      <c r="N49" s="10" t="s">
        <v>275</v>
      </c>
      <c r="O49" s="10" t="s">
        <v>257</v>
      </c>
      <c r="P49" s="5" t="str">
        <f t="shared" si="5"/>
        <v>OK</v>
      </c>
    </row>
    <row r="50" spans="1:16">
      <c r="A50" s="5" t="s">
        <v>307</v>
      </c>
      <c r="B50" s="5" t="s">
        <v>84</v>
      </c>
      <c r="C50" s="5" t="s">
        <v>116</v>
      </c>
      <c r="D50" s="5" t="s">
        <v>117</v>
      </c>
      <c r="E50" s="5" t="s">
        <v>211</v>
      </c>
      <c r="F50" s="5" t="s">
        <v>224</v>
      </c>
      <c r="G50" s="5">
        <v>2047</v>
      </c>
      <c r="H50" s="9">
        <f>Coverage!Q5</f>
        <v>0.1326807379397153</v>
      </c>
      <c r="I50" s="9">
        <f>IF(Assumptions!$B$19=1,MAX(H50,Coverage!Q6),Coverage!Q6)</f>
        <v>0.13650000000000001</v>
      </c>
      <c r="J50" s="9">
        <f>IF(Assumptions!$B$19=1,MAX(H50,Coverage!Q7),Coverage!Q7)</f>
        <v>0.41649999999999993</v>
      </c>
      <c r="K50" s="9">
        <f>IF(G50&lt;=Assumptions!$B$4,H50+(I50-H50)*(G50-Assumptions!$B$2)/(Assumptions!$B$4-Assumptions!$B$2),IF(G50&lt;=Assumptions!$B$5,I50+(J50-I50)*(G50-Assumptions!$B$4)/(Assumptions!$B$5-Assumptions!$B$4),J50))</f>
        <v>0.41649999999999993</v>
      </c>
      <c r="L50" s="9">
        <f t="shared" si="4"/>
        <v>0.1326807379397153</v>
      </c>
      <c r="M50" s="9">
        <f t="shared" si="3"/>
        <v>0</v>
      </c>
      <c r="N50" s="5" t="s">
        <v>275</v>
      </c>
      <c r="O50" s="5" t="s">
        <v>257</v>
      </c>
      <c r="P50" s="5" t="str">
        <f t="shared" si="5"/>
        <v>OK</v>
      </c>
    </row>
    <row r="51" spans="1:16">
      <c r="A51" s="10" t="s">
        <v>308</v>
      </c>
      <c r="B51" s="10" t="s">
        <v>84</v>
      </c>
      <c r="C51" s="10" t="s">
        <v>116</v>
      </c>
      <c r="D51" s="10" t="s">
        <v>117</v>
      </c>
      <c r="E51" s="10" t="s">
        <v>211</v>
      </c>
      <c r="F51" s="10" t="s">
        <v>224</v>
      </c>
      <c r="G51" s="10">
        <v>2048</v>
      </c>
      <c r="H51" s="9">
        <f>Coverage!Q5</f>
        <v>0.1326807379397153</v>
      </c>
      <c r="I51" s="9">
        <f>IF(Assumptions!$B$19=1,MAX(H51,Coverage!Q6),Coverage!Q6)</f>
        <v>0.13650000000000001</v>
      </c>
      <c r="J51" s="9">
        <f>IF(Assumptions!$B$19=1,MAX(H51,Coverage!Q7),Coverage!Q7)</f>
        <v>0.41649999999999993</v>
      </c>
      <c r="K51" s="9">
        <f>IF(G51&lt;=Assumptions!$B$4,H51+(I51-H51)*(G51-Assumptions!$B$2)/(Assumptions!$B$4-Assumptions!$B$2),IF(G51&lt;=Assumptions!$B$5,I51+(J51-I51)*(G51-Assumptions!$B$4)/(Assumptions!$B$5-Assumptions!$B$4),J51))</f>
        <v>0.41649999999999993</v>
      </c>
      <c r="L51" s="9">
        <f t="shared" si="4"/>
        <v>0.1326807379397153</v>
      </c>
      <c r="M51" s="9">
        <f t="shared" si="3"/>
        <v>0</v>
      </c>
      <c r="N51" s="10" t="s">
        <v>275</v>
      </c>
      <c r="O51" s="10" t="s">
        <v>257</v>
      </c>
      <c r="P51" s="5" t="str">
        <f t="shared" si="5"/>
        <v>OK</v>
      </c>
    </row>
    <row r="52" spans="1:16">
      <c r="A52" s="5" t="s">
        <v>309</v>
      </c>
      <c r="B52" s="5" t="s">
        <v>84</v>
      </c>
      <c r="C52" s="5" t="s">
        <v>116</v>
      </c>
      <c r="D52" s="5" t="s">
        <v>117</v>
      </c>
      <c r="E52" s="5" t="s">
        <v>211</v>
      </c>
      <c r="F52" s="5" t="s">
        <v>224</v>
      </c>
      <c r="G52" s="5">
        <v>2049</v>
      </c>
      <c r="H52" s="9">
        <f>Coverage!Q5</f>
        <v>0.1326807379397153</v>
      </c>
      <c r="I52" s="9">
        <f>IF(Assumptions!$B$19=1,MAX(H52,Coverage!Q6),Coverage!Q6)</f>
        <v>0.13650000000000001</v>
      </c>
      <c r="J52" s="9">
        <f>IF(Assumptions!$B$19=1,MAX(H52,Coverage!Q7),Coverage!Q7)</f>
        <v>0.41649999999999993</v>
      </c>
      <c r="K52" s="9">
        <f>IF(G52&lt;=Assumptions!$B$4,H52+(I52-H52)*(G52-Assumptions!$B$2)/(Assumptions!$B$4-Assumptions!$B$2),IF(G52&lt;=Assumptions!$B$5,I52+(J52-I52)*(G52-Assumptions!$B$4)/(Assumptions!$B$5-Assumptions!$B$4),J52))</f>
        <v>0.41649999999999993</v>
      </c>
      <c r="L52" s="9">
        <f t="shared" si="4"/>
        <v>0.1326807379397153</v>
      </c>
      <c r="M52" s="9">
        <f t="shared" si="3"/>
        <v>0</v>
      </c>
      <c r="N52" s="5" t="s">
        <v>275</v>
      </c>
      <c r="O52" s="5" t="s">
        <v>257</v>
      </c>
      <c r="P52" s="5" t="str">
        <f t="shared" si="5"/>
        <v>OK</v>
      </c>
    </row>
    <row r="53" spans="1:16">
      <c r="A53" s="10" t="s">
        <v>310</v>
      </c>
      <c r="B53" s="10" t="s">
        <v>84</v>
      </c>
      <c r="C53" s="10" t="s">
        <v>116</v>
      </c>
      <c r="D53" s="10" t="s">
        <v>117</v>
      </c>
      <c r="E53" s="10" t="s">
        <v>211</v>
      </c>
      <c r="F53" s="10" t="s">
        <v>224</v>
      </c>
      <c r="G53" s="10">
        <v>2050</v>
      </c>
      <c r="H53" s="9">
        <f>Coverage!Q5</f>
        <v>0.1326807379397153</v>
      </c>
      <c r="I53" s="9">
        <f>IF(Assumptions!$B$19=1,MAX(H53,Coverage!Q6),Coverage!Q6)</f>
        <v>0.13650000000000001</v>
      </c>
      <c r="J53" s="9">
        <f>IF(Assumptions!$B$19=1,MAX(H53,Coverage!Q7),Coverage!Q7)</f>
        <v>0.41649999999999993</v>
      </c>
      <c r="K53" s="9">
        <f>IF(G53&lt;=Assumptions!$B$4,H53+(I53-H53)*(G53-Assumptions!$B$2)/(Assumptions!$B$4-Assumptions!$B$2),IF(G53&lt;=Assumptions!$B$5,I53+(J53-I53)*(G53-Assumptions!$B$4)/(Assumptions!$B$5-Assumptions!$B$4),J53))</f>
        <v>0.41649999999999993</v>
      </c>
      <c r="L53" s="9">
        <f t="shared" si="4"/>
        <v>0.1326807379397153</v>
      </c>
      <c r="M53" s="9">
        <f t="shared" si="3"/>
        <v>0</v>
      </c>
      <c r="N53" s="10" t="s">
        <v>275</v>
      </c>
      <c r="O53" s="10" t="s">
        <v>257</v>
      </c>
      <c r="P53" s="5" t="str">
        <f t="shared" si="5"/>
        <v>OK</v>
      </c>
    </row>
    <row r="54" spans="1:16">
      <c r="A54" s="5" t="s">
        <v>311</v>
      </c>
      <c r="B54" s="5" t="s">
        <v>84</v>
      </c>
      <c r="C54" s="5" t="s">
        <v>122</v>
      </c>
      <c r="D54" s="5" t="s">
        <v>123</v>
      </c>
      <c r="E54" s="5" t="s">
        <v>228</v>
      </c>
      <c r="F54" s="5" t="s">
        <v>213</v>
      </c>
      <c r="G54" s="5">
        <v>2025</v>
      </c>
      <c r="H54" s="9">
        <f>Coverage!Q8</f>
        <v>0.13031152777518129</v>
      </c>
      <c r="I54" s="9">
        <f>IF(Assumptions!$B$19=1,MAX(H54,Coverage!Q9),Coverage!Q9)</f>
        <v>0.13650000000000001</v>
      </c>
      <c r="J54" s="9">
        <f>IF(Assumptions!$B$19=1,MAX(H54,Coverage!Q10),Coverage!Q10)</f>
        <v>0.41649999999999993</v>
      </c>
      <c r="K54" s="9">
        <f>IF(G54&lt;=Assumptions!$B$4,H54+(I54-H54)*(G54-Assumptions!$B$2)/(Assumptions!$B$4-Assumptions!$B$2),IF(G54&lt;=Assumptions!$B$5,I54+(J54-I54)*(G54-Assumptions!$B$4)/(Assumptions!$B$5-Assumptions!$B$4),J54))</f>
        <v>0.13031152777518129</v>
      </c>
      <c r="L54" s="9">
        <f t="shared" si="4"/>
        <v>0.13031152777518129</v>
      </c>
      <c r="M54" s="9">
        <v>0</v>
      </c>
      <c r="N54" s="5" t="s">
        <v>256</v>
      </c>
      <c r="O54" s="5" t="s">
        <v>257</v>
      </c>
      <c r="P54" s="5" t="str">
        <f t="shared" si="5"/>
        <v>OK</v>
      </c>
    </row>
    <row r="55" spans="1:16">
      <c r="A55" s="10" t="s">
        <v>312</v>
      </c>
      <c r="B55" s="10" t="s">
        <v>84</v>
      </c>
      <c r="C55" s="10" t="s">
        <v>122</v>
      </c>
      <c r="D55" s="10" t="s">
        <v>123</v>
      </c>
      <c r="E55" s="10" t="s">
        <v>228</v>
      </c>
      <c r="F55" s="10" t="s">
        <v>213</v>
      </c>
      <c r="G55" s="10">
        <v>2026</v>
      </c>
      <c r="H55" s="9">
        <f>Coverage!Q8</f>
        <v>0.13031152777518129</v>
      </c>
      <c r="I55" s="9">
        <f>IF(Assumptions!$B$19=1,MAX(H55,Coverage!Q9),Coverage!Q9)</f>
        <v>0.13650000000000001</v>
      </c>
      <c r="J55" s="9">
        <f>IF(Assumptions!$B$19=1,MAX(H55,Coverage!Q10),Coverage!Q10)</f>
        <v>0.41649999999999993</v>
      </c>
      <c r="K55" s="9">
        <f>IF(G55&lt;=Assumptions!$B$4,H55+(I55-H55)*(G55-Assumptions!$B$2)/(Assumptions!$B$4-Assumptions!$B$2),IF(G55&lt;=Assumptions!$B$5,I55+(J55-I55)*(G55-Assumptions!$B$4)/(Assumptions!$B$5-Assumptions!$B$4),J55))</f>
        <v>0.13154922222014503</v>
      </c>
      <c r="L55" s="9">
        <f t="shared" si="4"/>
        <v>0.13031152777518129</v>
      </c>
      <c r="M55" s="9">
        <f t="shared" ref="M55:M79" si="6">K55-K54</f>
        <v>1.2376944449637439E-3</v>
      </c>
      <c r="N55" s="10" t="s">
        <v>256</v>
      </c>
      <c r="O55" s="10" t="s">
        <v>257</v>
      </c>
      <c r="P55" s="5" t="str">
        <f t="shared" si="5"/>
        <v>OK</v>
      </c>
    </row>
    <row r="56" spans="1:16">
      <c r="A56" s="5" t="s">
        <v>313</v>
      </c>
      <c r="B56" s="5" t="s">
        <v>84</v>
      </c>
      <c r="C56" s="5" t="s">
        <v>122</v>
      </c>
      <c r="D56" s="5" t="s">
        <v>123</v>
      </c>
      <c r="E56" s="5" t="s">
        <v>228</v>
      </c>
      <c r="F56" s="5" t="s">
        <v>213</v>
      </c>
      <c r="G56" s="5">
        <v>2027</v>
      </c>
      <c r="H56" s="9">
        <f>Coverage!Q8</f>
        <v>0.13031152777518129</v>
      </c>
      <c r="I56" s="9">
        <f>IF(Assumptions!$B$19=1,MAX(H56,Coverage!Q9),Coverage!Q9)</f>
        <v>0.13650000000000001</v>
      </c>
      <c r="J56" s="9">
        <f>IF(Assumptions!$B$19=1,MAX(H56,Coverage!Q10),Coverage!Q10)</f>
        <v>0.41649999999999993</v>
      </c>
      <c r="K56" s="9">
        <f>IF(G56&lt;=Assumptions!$B$4,H56+(I56-H56)*(G56-Assumptions!$B$2)/(Assumptions!$B$4-Assumptions!$B$2),IF(G56&lt;=Assumptions!$B$5,I56+(J56-I56)*(G56-Assumptions!$B$4)/(Assumptions!$B$5-Assumptions!$B$4),J56))</f>
        <v>0.13278691666510878</v>
      </c>
      <c r="L56" s="9">
        <f t="shared" si="4"/>
        <v>0.13031152777518129</v>
      </c>
      <c r="M56" s="9">
        <f t="shared" si="6"/>
        <v>1.2376944449637439E-3</v>
      </c>
      <c r="N56" s="5" t="s">
        <v>256</v>
      </c>
      <c r="O56" s="5" t="s">
        <v>257</v>
      </c>
      <c r="P56" s="5" t="str">
        <f t="shared" si="5"/>
        <v>OK</v>
      </c>
    </row>
    <row r="57" spans="1:16">
      <c r="A57" s="10" t="s">
        <v>314</v>
      </c>
      <c r="B57" s="10" t="s">
        <v>84</v>
      </c>
      <c r="C57" s="10" t="s">
        <v>122</v>
      </c>
      <c r="D57" s="10" t="s">
        <v>123</v>
      </c>
      <c r="E57" s="10" t="s">
        <v>228</v>
      </c>
      <c r="F57" s="10" t="s">
        <v>213</v>
      </c>
      <c r="G57" s="10">
        <v>2028</v>
      </c>
      <c r="H57" s="9">
        <f>Coverage!Q8</f>
        <v>0.13031152777518129</v>
      </c>
      <c r="I57" s="9">
        <f>IF(Assumptions!$B$19=1,MAX(H57,Coverage!Q9),Coverage!Q9)</f>
        <v>0.13650000000000001</v>
      </c>
      <c r="J57" s="9">
        <f>IF(Assumptions!$B$19=1,MAX(H57,Coverage!Q10),Coverage!Q10)</f>
        <v>0.41649999999999993</v>
      </c>
      <c r="K57" s="9">
        <f>IF(G57&lt;=Assumptions!$B$4,H57+(I57-H57)*(G57-Assumptions!$B$2)/(Assumptions!$B$4-Assumptions!$B$2),IF(G57&lt;=Assumptions!$B$5,I57+(J57-I57)*(G57-Assumptions!$B$4)/(Assumptions!$B$5-Assumptions!$B$4),J57))</f>
        <v>0.13402461111007252</v>
      </c>
      <c r="L57" s="9">
        <f t="shared" si="4"/>
        <v>0.13031152777518129</v>
      </c>
      <c r="M57" s="9">
        <f t="shared" si="6"/>
        <v>1.2376944449637439E-3</v>
      </c>
      <c r="N57" s="10" t="s">
        <v>256</v>
      </c>
      <c r="O57" s="10" t="s">
        <v>257</v>
      </c>
      <c r="P57" s="5" t="str">
        <f t="shared" si="5"/>
        <v>OK</v>
      </c>
    </row>
    <row r="58" spans="1:16">
      <c r="A58" s="5" t="s">
        <v>315</v>
      </c>
      <c r="B58" s="5" t="s">
        <v>84</v>
      </c>
      <c r="C58" s="5" t="s">
        <v>122</v>
      </c>
      <c r="D58" s="5" t="s">
        <v>123</v>
      </c>
      <c r="E58" s="5" t="s">
        <v>228</v>
      </c>
      <c r="F58" s="5" t="s">
        <v>213</v>
      </c>
      <c r="G58" s="5">
        <v>2029</v>
      </c>
      <c r="H58" s="9">
        <f>Coverage!Q8</f>
        <v>0.13031152777518129</v>
      </c>
      <c r="I58" s="9">
        <f>IF(Assumptions!$B$19=1,MAX(H58,Coverage!Q9),Coverage!Q9)</f>
        <v>0.13650000000000001</v>
      </c>
      <c r="J58" s="9">
        <f>IF(Assumptions!$B$19=1,MAX(H58,Coverage!Q10),Coverage!Q10)</f>
        <v>0.41649999999999993</v>
      </c>
      <c r="K58" s="9">
        <f>IF(G58&lt;=Assumptions!$B$4,H58+(I58-H58)*(G58-Assumptions!$B$2)/(Assumptions!$B$4-Assumptions!$B$2),IF(G58&lt;=Assumptions!$B$5,I58+(J58-I58)*(G58-Assumptions!$B$4)/(Assumptions!$B$5-Assumptions!$B$4),J58))</f>
        <v>0.13526230555503627</v>
      </c>
      <c r="L58" s="9">
        <f t="shared" si="4"/>
        <v>0.13031152777518129</v>
      </c>
      <c r="M58" s="9">
        <f t="shared" si="6"/>
        <v>1.2376944449637439E-3</v>
      </c>
      <c r="N58" s="5" t="s">
        <v>256</v>
      </c>
      <c r="O58" s="5" t="s">
        <v>257</v>
      </c>
      <c r="P58" s="5" t="str">
        <f t="shared" si="5"/>
        <v>OK</v>
      </c>
    </row>
    <row r="59" spans="1:16">
      <c r="A59" s="10" t="s">
        <v>316</v>
      </c>
      <c r="B59" s="10" t="s">
        <v>84</v>
      </c>
      <c r="C59" s="10" t="s">
        <v>122</v>
      </c>
      <c r="D59" s="10" t="s">
        <v>123</v>
      </c>
      <c r="E59" s="10" t="s">
        <v>228</v>
      </c>
      <c r="F59" s="10" t="s">
        <v>213</v>
      </c>
      <c r="G59" s="10">
        <v>2030</v>
      </c>
      <c r="H59" s="9">
        <f>Coverage!Q8</f>
        <v>0.13031152777518129</v>
      </c>
      <c r="I59" s="9">
        <f>IF(Assumptions!$B$19=1,MAX(H59,Coverage!Q9),Coverage!Q9)</f>
        <v>0.13650000000000001</v>
      </c>
      <c r="J59" s="9">
        <f>IF(Assumptions!$B$19=1,MAX(H59,Coverage!Q10),Coverage!Q10)</f>
        <v>0.41649999999999993</v>
      </c>
      <c r="K59" s="9">
        <f>IF(G59&lt;=Assumptions!$B$4,H59+(I59-H59)*(G59-Assumptions!$B$2)/(Assumptions!$B$4-Assumptions!$B$2),IF(G59&lt;=Assumptions!$B$5,I59+(J59-I59)*(G59-Assumptions!$B$4)/(Assumptions!$B$5-Assumptions!$B$4),J59))</f>
        <v>0.13650000000000001</v>
      </c>
      <c r="L59" s="9">
        <f t="shared" si="4"/>
        <v>0.13031152777518129</v>
      </c>
      <c r="M59" s="9">
        <f t="shared" si="6"/>
        <v>1.2376944449637439E-3</v>
      </c>
      <c r="N59" s="10" t="s">
        <v>256</v>
      </c>
      <c r="O59" s="10" t="s">
        <v>257</v>
      </c>
      <c r="P59" s="5" t="str">
        <f t="shared" si="5"/>
        <v>OK</v>
      </c>
    </row>
    <row r="60" spans="1:16">
      <c r="A60" s="5" t="s">
        <v>317</v>
      </c>
      <c r="B60" s="5" t="s">
        <v>84</v>
      </c>
      <c r="C60" s="5" t="s">
        <v>122</v>
      </c>
      <c r="D60" s="5" t="s">
        <v>123</v>
      </c>
      <c r="E60" s="5" t="s">
        <v>228</v>
      </c>
      <c r="F60" s="5" t="s">
        <v>213</v>
      </c>
      <c r="G60" s="5">
        <v>2031</v>
      </c>
      <c r="H60" s="9">
        <f>Coverage!Q8</f>
        <v>0.13031152777518129</v>
      </c>
      <c r="I60" s="9">
        <f>IF(Assumptions!$B$19=1,MAX(H60,Coverage!Q9),Coverage!Q9)</f>
        <v>0.13650000000000001</v>
      </c>
      <c r="J60" s="9">
        <f>IF(Assumptions!$B$19=1,MAX(H60,Coverage!Q10),Coverage!Q10)</f>
        <v>0.41649999999999993</v>
      </c>
      <c r="K60" s="9">
        <f>IF(G60&lt;=Assumptions!$B$4,H60+(I60-H60)*(G60-Assumptions!$B$2)/(Assumptions!$B$4-Assumptions!$B$2),IF(G60&lt;=Assumptions!$B$5,I60+(J60-I60)*(G60-Assumptions!$B$4)/(Assumptions!$B$5-Assumptions!$B$4),J60))</f>
        <v>0.16450000000000001</v>
      </c>
      <c r="L60" s="9">
        <f t="shared" si="4"/>
        <v>0.13031152777518129</v>
      </c>
      <c r="M60" s="9">
        <f t="shared" si="6"/>
        <v>2.7999999999999997E-2</v>
      </c>
      <c r="N60" s="5" t="s">
        <v>264</v>
      </c>
      <c r="O60" s="5" t="s">
        <v>257</v>
      </c>
      <c r="P60" s="5" t="str">
        <f t="shared" si="5"/>
        <v>OK</v>
      </c>
    </row>
    <row r="61" spans="1:16">
      <c r="A61" s="10" t="s">
        <v>318</v>
      </c>
      <c r="B61" s="10" t="s">
        <v>84</v>
      </c>
      <c r="C61" s="10" t="s">
        <v>122</v>
      </c>
      <c r="D61" s="10" t="s">
        <v>123</v>
      </c>
      <c r="E61" s="10" t="s">
        <v>228</v>
      </c>
      <c r="F61" s="10" t="s">
        <v>213</v>
      </c>
      <c r="G61" s="10">
        <v>2032</v>
      </c>
      <c r="H61" s="9">
        <f>Coverage!Q8</f>
        <v>0.13031152777518129</v>
      </c>
      <c r="I61" s="9">
        <f>IF(Assumptions!$B$19=1,MAX(H61,Coverage!Q9),Coverage!Q9)</f>
        <v>0.13650000000000001</v>
      </c>
      <c r="J61" s="9">
        <f>IF(Assumptions!$B$19=1,MAX(H61,Coverage!Q10),Coverage!Q10)</f>
        <v>0.41649999999999993</v>
      </c>
      <c r="K61" s="9">
        <f>IF(G61&lt;=Assumptions!$B$4,H61+(I61-H61)*(G61-Assumptions!$B$2)/(Assumptions!$B$4-Assumptions!$B$2),IF(G61&lt;=Assumptions!$B$5,I61+(J61-I61)*(G61-Assumptions!$B$4)/(Assumptions!$B$5-Assumptions!$B$4),J61))</f>
        <v>0.1925</v>
      </c>
      <c r="L61" s="9">
        <f t="shared" si="4"/>
        <v>0.13031152777518129</v>
      </c>
      <c r="M61" s="9">
        <f t="shared" si="6"/>
        <v>2.7999999999999997E-2</v>
      </c>
      <c r="N61" s="10" t="s">
        <v>264</v>
      </c>
      <c r="O61" s="10" t="s">
        <v>257</v>
      </c>
      <c r="P61" s="5" t="str">
        <f t="shared" si="5"/>
        <v>OK</v>
      </c>
    </row>
    <row r="62" spans="1:16">
      <c r="A62" s="5" t="s">
        <v>319</v>
      </c>
      <c r="B62" s="5" t="s">
        <v>84</v>
      </c>
      <c r="C62" s="5" t="s">
        <v>122</v>
      </c>
      <c r="D62" s="5" t="s">
        <v>123</v>
      </c>
      <c r="E62" s="5" t="s">
        <v>228</v>
      </c>
      <c r="F62" s="5" t="s">
        <v>213</v>
      </c>
      <c r="G62" s="5">
        <v>2033</v>
      </c>
      <c r="H62" s="9">
        <f>Coverage!Q8</f>
        <v>0.13031152777518129</v>
      </c>
      <c r="I62" s="9">
        <f>IF(Assumptions!$B$19=1,MAX(H62,Coverage!Q9),Coverage!Q9)</f>
        <v>0.13650000000000001</v>
      </c>
      <c r="J62" s="9">
        <f>IF(Assumptions!$B$19=1,MAX(H62,Coverage!Q10),Coverage!Q10)</f>
        <v>0.41649999999999993</v>
      </c>
      <c r="K62" s="9">
        <f>IF(G62&lt;=Assumptions!$B$4,H62+(I62-H62)*(G62-Assumptions!$B$2)/(Assumptions!$B$4-Assumptions!$B$2),IF(G62&lt;=Assumptions!$B$5,I62+(J62-I62)*(G62-Assumptions!$B$4)/(Assumptions!$B$5-Assumptions!$B$4),J62))</f>
        <v>0.22049999999999997</v>
      </c>
      <c r="L62" s="9">
        <f t="shared" si="4"/>
        <v>0.13031152777518129</v>
      </c>
      <c r="M62" s="9">
        <f t="shared" si="6"/>
        <v>2.7999999999999969E-2</v>
      </c>
      <c r="N62" s="5" t="s">
        <v>264</v>
      </c>
      <c r="O62" s="5" t="s">
        <v>257</v>
      </c>
      <c r="P62" s="5" t="str">
        <f t="shared" si="5"/>
        <v>OK</v>
      </c>
    </row>
    <row r="63" spans="1:16">
      <c r="A63" s="10" t="s">
        <v>320</v>
      </c>
      <c r="B63" s="10" t="s">
        <v>84</v>
      </c>
      <c r="C63" s="10" t="s">
        <v>122</v>
      </c>
      <c r="D63" s="10" t="s">
        <v>123</v>
      </c>
      <c r="E63" s="10" t="s">
        <v>228</v>
      </c>
      <c r="F63" s="10" t="s">
        <v>213</v>
      </c>
      <c r="G63" s="10">
        <v>2034</v>
      </c>
      <c r="H63" s="9">
        <f>Coverage!Q8</f>
        <v>0.13031152777518129</v>
      </c>
      <c r="I63" s="9">
        <f>IF(Assumptions!$B$19=1,MAX(H63,Coverage!Q9),Coverage!Q9)</f>
        <v>0.13650000000000001</v>
      </c>
      <c r="J63" s="9">
        <f>IF(Assumptions!$B$19=1,MAX(H63,Coverage!Q10),Coverage!Q10)</f>
        <v>0.41649999999999993</v>
      </c>
      <c r="K63" s="9">
        <f>IF(G63&lt;=Assumptions!$B$4,H63+(I63-H63)*(G63-Assumptions!$B$2)/(Assumptions!$B$4-Assumptions!$B$2),IF(G63&lt;=Assumptions!$B$5,I63+(J63-I63)*(G63-Assumptions!$B$4)/(Assumptions!$B$5-Assumptions!$B$4),J63))</f>
        <v>0.24849999999999997</v>
      </c>
      <c r="L63" s="9">
        <f t="shared" si="4"/>
        <v>0.13031152777518129</v>
      </c>
      <c r="M63" s="9">
        <f t="shared" si="6"/>
        <v>2.7999999999999997E-2</v>
      </c>
      <c r="N63" s="10" t="s">
        <v>264</v>
      </c>
      <c r="O63" s="10" t="s">
        <v>257</v>
      </c>
      <c r="P63" s="5" t="str">
        <f t="shared" si="5"/>
        <v>OK</v>
      </c>
    </row>
    <row r="64" spans="1:16">
      <c r="A64" s="5" t="s">
        <v>321</v>
      </c>
      <c r="B64" s="5" t="s">
        <v>84</v>
      </c>
      <c r="C64" s="5" t="s">
        <v>122</v>
      </c>
      <c r="D64" s="5" t="s">
        <v>123</v>
      </c>
      <c r="E64" s="5" t="s">
        <v>228</v>
      </c>
      <c r="F64" s="5" t="s">
        <v>213</v>
      </c>
      <c r="G64" s="5">
        <v>2035</v>
      </c>
      <c r="H64" s="9">
        <f>Coverage!Q8</f>
        <v>0.13031152777518129</v>
      </c>
      <c r="I64" s="9">
        <f>IF(Assumptions!$B$19=1,MAX(H64,Coverage!Q9),Coverage!Q9)</f>
        <v>0.13650000000000001</v>
      </c>
      <c r="J64" s="9">
        <f>IF(Assumptions!$B$19=1,MAX(H64,Coverage!Q10),Coverage!Q10)</f>
        <v>0.41649999999999993</v>
      </c>
      <c r="K64" s="9">
        <f>IF(G64&lt;=Assumptions!$B$4,H64+(I64-H64)*(G64-Assumptions!$B$2)/(Assumptions!$B$4-Assumptions!$B$2),IF(G64&lt;=Assumptions!$B$5,I64+(J64-I64)*(G64-Assumptions!$B$4)/(Assumptions!$B$5-Assumptions!$B$4),J64))</f>
        <v>0.27649999999999997</v>
      </c>
      <c r="L64" s="9">
        <f t="shared" si="4"/>
        <v>0.13031152777518129</v>
      </c>
      <c r="M64" s="9">
        <f t="shared" si="6"/>
        <v>2.7999999999999997E-2</v>
      </c>
      <c r="N64" s="5" t="s">
        <v>264</v>
      </c>
      <c r="O64" s="5" t="s">
        <v>257</v>
      </c>
      <c r="P64" s="5" t="str">
        <f t="shared" si="5"/>
        <v>OK</v>
      </c>
    </row>
    <row r="65" spans="1:16">
      <c r="A65" s="10" t="s">
        <v>322</v>
      </c>
      <c r="B65" s="10" t="s">
        <v>84</v>
      </c>
      <c r="C65" s="10" t="s">
        <v>122</v>
      </c>
      <c r="D65" s="10" t="s">
        <v>123</v>
      </c>
      <c r="E65" s="10" t="s">
        <v>228</v>
      </c>
      <c r="F65" s="10" t="s">
        <v>213</v>
      </c>
      <c r="G65" s="10">
        <v>2036</v>
      </c>
      <c r="H65" s="9">
        <f>Coverage!Q8</f>
        <v>0.13031152777518129</v>
      </c>
      <c r="I65" s="9">
        <f>IF(Assumptions!$B$19=1,MAX(H65,Coverage!Q9),Coverage!Q9)</f>
        <v>0.13650000000000001</v>
      </c>
      <c r="J65" s="9">
        <f>IF(Assumptions!$B$19=1,MAX(H65,Coverage!Q10),Coverage!Q10)</f>
        <v>0.41649999999999993</v>
      </c>
      <c r="K65" s="9">
        <f>IF(G65&lt;=Assumptions!$B$4,H65+(I65-H65)*(G65-Assumptions!$B$2)/(Assumptions!$B$4-Assumptions!$B$2),IF(G65&lt;=Assumptions!$B$5,I65+(J65-I65)*(G65-Assumptions!$B$4)/(Assumptions!$B$5-Assumptions!$B$4),J65))</f>
        <v>0.30449999999999999</v>
      </c>
      <c r="L65" s="9">
        <f t="shared" si="4"/>
        <v>0.13031152777518129</v>
      </c>
      <c r="M65" s="9">
        <f t="shared" si="6"/>
        <v>2.8000000000000025E-2</v>
      </c>
      <c r="N65" s="10" t="s">
        <v>264</v>
      </c>
      <c r="O65" s="10" t="s">
        <v>257</v>
      </c>
      <c r="P65" s="5" t="str">
        <f t="shared" si="5"/>
        <v>OK</v>
      </c>
    </row>
    <row r="66" spans="1:16">
      <c r="A66" s="5" t="s">
        <v>323</v>
      </c>
      <c r="B66" s="5" t="s">
        <v>84</v>
      </c>
      <c r="C66" s="5" t="s">
        <v>122</v>
      </c>
      <c r="D66" s="5" t="s">
        <v>123</v>
      </c>
      <c r="E66" s="5" t="s">
        <v>228</v>
      </c>
      <c r="F66" s="5" t="s">
        <v>213</v>
      </c>
      <c r="G66" s="5">
        <v>2037</v>
      </c>
      <c r="H66" s="9">
        <f>Coverage!Q8</f>
        <v>0.13031152777518129</v>
      </c>
      <c r="I66" s="9">
        <f>IF(Assumptions!$B$19=1,MAX(H66,Coverage!Q9),Coverage!Q9)</f>
        <v>0.13650000000000001</v>
      </c>
      <c r="J66" s="9">
        <f>IF(Assumptions!$B$19=1,MAX(H66,Coverage!Q10),Coverage!Q10)</f>
        <v>0.41649999999999993</v>
      </c>
      <c r="K66" s="9">
        <f>IF(G66&lt;=Assumptions!$B$4,H66+(I66-H66)*(G66-Assumptions!$B$2)/(Assumptions!$B$4-Assumptions!$B$2),IF(G66&lt;=Assumptions!$B$5,I66+(J66-I66)*(G66-Assumptions!$B$4)/(Assumptions!$B$5-Assumptions!$B$4),J66))</f>
        <v>0.33249999999999996</v>
      </c>
      <c r="L66" s="9">
        <f t="shared" ref="L66:L97" si="7">H66</f>
        <v>0.13031152777518129</v>
      </c>
      <c r="M66" s="9">
        <f t="shared" si="6"/>
        <v>2.7999999999999969E-2</v>
      </c>
      <c r="N66" s="5" t="s">
        <v>264</v>
      </c>
      <c r="O66" s="5" t="s">
        <v>257</v>
      </c>
      <c r="P66" s="5" t="str">
        <f t="shared" ref="P66:P97" si="8">IF(OR(K66&lt;0,K66&gt;1,M66&lt;0),"BAD","OK")</f>
        <v>OK</v>
      </c>
    </row>
    <row r="67" spans="1:16">
      <c r="A67" s="10" t="s">
        <v>324</v>
      </c>
      <c r="B67" s="10" t="s">
        <v>84</v>
      </c>
      <c r="C67" s="10" t="s">
        <v>122</v>
      </c>
      <c r="D67" s="10" t="s">
        <v>123</v>
      </c>
      <c r="E67" s="10" t="s">
        <v>228</v>
      </c>
      <c r="F67" s="10" t="s">
        <v>213</v>
      </c>
      <c r="G67" s="10">
        <v>2038</v>
      </c>
      <c r="H67" s="9">
        <f>Coverage!Q8</f>
        <v>0.13031152777518129</v>
      </c>
      <c r="I67" s="9">
        <f>IF(Assumptions!$B$19=1,MAX(H67,Coverage!Q9),Coverage!Q9)</f>
        <v>0.13650000000000001</v>
      </c>
      <c r="J67" s="9">
        <f>IF(Assumptions!$B$19=1,MAX(H67,Coverage!Q10),Coverage!Q10)</f>
        <v>0.41649999999999993</v>
      </c>
      <c r="K67" s="9">
        <f>IF(G67&lt;=Assumptions!$B$4,H67+(I67-H67)*(G67-Assumptions!$B$2)/(Assumptions!$B$4-Assumptions!$B$2),IF(G67&lt;=Assumptions!$B$5,I67+(J67-I67)*(G67-Assumptions!$B$4)/(Assumptions!$B$5-Assumptions!$B$4),J67))</f>
        <v>0.36049999999999993</v>
      </c>
      <c r="L67" s="9">
        <f t="shared" si="7"/>
        <v>0.13031152777518129</v>
      </c>
      <c r="M67" s="9">
        <f t="shared" si="6"/>
        <v>2.7999999999999969E-2</v>
      </c>
      <c r="N67" s="10" t="s">
        <v>264</v>
      </c>
      <c r="O67" s="10" t="s">
        <v>257</v>
      </c>
      <c r="P67" s="5" t="str">
        <f t="shared" si="8"/>
        <v>OK</v>
      </c>
    </row>
    <row r="68" spans="1:16">
      <c r="A68" s="5" t="s">
        <v>325</v>
      </c>
      <c r="B68" s="5" t="s">
        <v>84</v>
      </c>
      <c r="C68" s="5" t="s">
        <v>122</v>
      </c>
      <c r="D68" s="5" t="s">
        <v>123</v>
      </c>
      <c r="E68" s="5" t="s">
        <v>228</v>
      </c>
      <c r="F68" s="5" t="s">
        <v>213</v>
      </c>
      <c r="G68" s="5">
        <v>2039</v>
      </c>
      <c r="H68" s="9">
        <f>Coverage!Q8</f>
        <v>0.13031152777518129</v>
      </c>
      <c r="I68" s="9">
        <f>IF(Assumptions!$B$19=1,MAX(H68,Coverage!Q9),Coverage!Q9)</f>
        <v>0.13650000000000001</v>
      </c>
      <c r="J68" s="9">
        <f>IF(Assumptions!$B$19=1,MAX(H68,Coverage!Q10),Coverage!Q10)</f>
        <v>0.41649999999999993</v>
      </c>
      <c r="K68" s="9">
        <f>IF(G68&lt;=Assumptions!$B$4,H68+(I68-H68)*(G68-Assumptions!$B$2)/(Assumptions!$B$4-Assumptions!$B$2),IF(G68&lt;=Assumptions!$B$5,I68+(J68-I68)*(G68-Assumptions!$B$4)/(Assumptions!$B$5-Assumptions!$B$4),J68))</f>
        <v>0.3884999999999999</v>
      </c>
      <c r="L68" s="9">
        <f t="shared" si="7"/>
        <v>0.13031152777518129</v>
      </c>
      <c r="M68" s="9">
        <f t="shared" si="6"/>
        <v>2.7999999999999969E-2</v>
      </c>
      <c r="N68" s="5" t="s">
        <v>264</v>
      </c>
      <c r="O68" s="5" t="s">
        <v>257</v>
      </c>
      <c r="P68" s="5" t="str">
        <f t="shared" si="8"/>
        <v>OK</v>
      </c>
    </row>
    <row r="69" spans="1:16">
      <c r="A69" s="10" t="s">
        <v>326</v>
      </c>
      <c r="B69" s="10" t="s">
        <v>84</v>
      </c>
      <c r="C69" s="10" t="s">
        <v>122</v>
      </c>
      <c r="D69" s="10" t="s">
        <v>123</v>
      </c>
      <c r="E69" s="10" t="s">
        <v>228</v>
      </c>
      <c r="F69" s="10" t="s">
        <v>213</v>
      </c>
      <c r="G69" s="10">
        <v>2040</v>
      </c>
      <c r="H69" s="9">
        <f>Coverage!Q8</f>
        <v>0.13031152777518129</v>
      </c>
      <c r="I69" s="9">
        <f>IF(Assumptions!$B$19=1,MAX(H69,Coverage!Q9),Coverage!Q9)</f>
        <v>0.13650000000000001</v>
      </c>
      <c r="J69" s="9">
        <f>IF(Assumptions!$B$19=1,MAX(H69,Coverage!Q10),Coverage!Q10)</f>
        <v>0.41649999999999993</v>
      </c>
      <c r="K69" s="9">
        <f>IF(G69&lt;=Assumptions!$B$4,H69+(I69-H69)*(G69-Assumptions!$B$2)/(Assumptions!$B$4-Assumptions!$B$2),IF(G69&lt;=Assumptions!$B$5,I69+(J69-I69)*(G69-Assumptions!$B$4)/(Assumptions!$B$5-Assumptions!$B$4),J69))</f>
        <v>0.41649999999999993</v>
      </c>
      <c r="L69" s="9">
        <f t="shared" si="7"/>
        <v>0.13031152777518129</v>
      </c>
      <c r="M69" s="9">
        <f t="shared" si="6"/>
        <v>2.8000000000000025E-2</v>
      </c>
      <c r="N69" s="10" t="s">
        <v>264</v>
      </c>
      <c r="O69" s="10" t="s">
        <v>257</v>
      </c>
      <c r="P69" s="5" t="str">
        <f t="shared" si="8"/>
        <v>OK</v>
      </c>
    </row>
    <row r="70" spans="1:16">
      <c r="A70" s="5" t="s">
        <v>327</v>
      </c>
      <c r="B70" s="5" t="s">
        <v>84</v>
      </c>
      <c r="C70" s="5" t="s">
        <v>122</v>
      </c>
      <c r="D70" s="5" t="s">
        <v>123</v>
      </c>
      <c r="E70" s="5" t="s">
        <v>228</v>
      </c>
      <c r="F70" s="5" t="s">
        <v>213</v>
      </c>
      <c r="G70" s="5">
        <v>2041</v>
      </c>
      <c r="H70" s="9">
        <f>Coverage!Q8</f>
        <v>0.13031152777518129</v>
      </c>
      <c r="I70" s="9">
        <f>IF(Assumptions!$B$19=1,MAX(H70,Coverage!Q9),Coverage!Q9)</f>
        <v>0.13650000000000001</v>
      </c>
      <c r="J70" s="9">
        <f>IF(Assumptions!$B$19=1,MAX(H70,Coverage!Q10),Coverage!Q10)</f>
        <v>0.41649999999999993</v>
      </c>
      <c r="K70" s="9">
        <f>IF(G70&lt;=Assumptions!$B$4,H70+(I70-H70)*(G70-Assumptions!$B$2)/(Assumptions!$B$4-Assumptions!$B$2),IF(G70&lt;=Assumptions!$B$5,I70+(J70-I70)*(G70-Assumptions!$B$4)/(Assumptions!$B$5-Assumptions!$B$4),J70))</f>
        <v>0.41649999999999993</v>
      </c>
      <c r="L70" s="9">
        <f t="shared" si="7"/>
        <v>0.13031152777518129</v>
      </c>
      <c r="M70" s="9">
        <f t="shared" si="6"/>
        <v>0</v>
      </c>
      <c r="N70" s="5" t="s">
        <v>275</v>
      </c>
      <c r="O70" s="5" t="s">
        <v>257</v>
      </c>
      <c r="P70" s="5" t="str">
        <f t="shared" si="8"/>
        <v>OK</v>
      </c>
    </row>
    <row r="71" spans="1:16">
      <c r="A71" s="10" t="s">
        <v>328</v>
      </c>
      <c r="B71" s="10" t="s">
        <v>84</v>
      </c>
      <c r="C71" s="10" t="s">
        <v>122</v>
      </c>
      <c r="D71" s="10" t="s">
        <v>123</v>
      </c>
      <c r="E71" s="10" t="s">
        <v>228</v>
      </c>
      <c r="F71" s="10" t="s">
        <v>213</v>
      </c>
      <c r="G71" s="10">
        <v>2042</v>
      </c>
      <c r="H71" s="9">
        <f>Coverage!Q8</f>
        <v>0.13031152777518129</v>
      </c>
      <c r="I71" s="9">
        <f>IF(Assumptions!$B$19=1,MAX(H71,Coverage!Q9),Coverage!Q9)</f>
        <v>0.13650000000000001</v>
      </c>
      <c r="J71" s="9">
        <f>IF(Assumptions!$B$19=1,MAX(H71,Coverage!Q10),Coverage!Q10)</f>
        <v>0.41649999999999993</v>
      </c>
      <c r="K71" s="9">
        <f>IF(G71&lt;=Assumptions!$B$4,H71+(I71-H71)*(G71-Assumptions!$B$2)/(Assumptions!$B$4-Assumptions!$B$2),IF(G71&lt;=Assumptions!$B$5,I71+(J71-I71)*(G71-Assumptions!$B$4)/(Assumptions!$B$5-Assumptions!$B$4),J71))</f>
        <v>0.41649999999999993</v>
      </c>
      <c r="L71" s="9">
        <f t="shared" si="7"/>
        <v>0.13031152777518129</v>
      </c>
      <c r="M71" s="9">
        <f t="shared" si="6"/>
        <v>0</v>
      </c>
      <c r="N71" s="10" t="s">
        <v>275</v>
      </c>
      <c r="O71" s="10" t="s">
        <v>257</v>
      </c>
      <c r="P71" s="5" t="str">
        <f t="shared" si="8"/>
        <v>OK</v>
      </c>
    </row>
    <row r="72" spans="1:16">
      <c r="A72" s="5" t="s">
        <v>329</v>
      </c>
      <c r="B72" s="5" t="s">
        <v>84</v>
      </c>
      <c r="C72" s="5" t="s">
        <v>122</v>
      </c>
      <c r="D72" s="5" t="s">
        <v>123</v>
      </c>
      <c r="E72" s="5" t="s">
        <v>228</v>
      </c>
      <c r="F72" s="5" t="s">
        <v>213</v>
      </c>
      <c r="G72" s="5">
        <v>2043</v>
      </c>
      <c r="H72" s="9">
        <f>Coverage!Q8</f>
        <v>0.13031152777518129</v>
      </c>
      <c r="I72" s="9">
        <f>IF(Assumptions!$B$19=1,MAX(H72,Coverage!Q9),Coverage!Q9)</f>
        <v>0.13650000000000001</v>
      </c>
      <c r="J72" s="9">
        <f>IF(Assumptions!$B$19=1,MAX(H72,Coverage!Q10),Coverage!Q10)</f>
        <v>0.41649999999999993</v>
      </c>
      <c r="K72" s="9">
        <f>IF(G72&lt;=Assumptions!$B$4,H72+(I72-H72)*(G72-Assumptions!$B$2)/(Assumptions!$B$4-Assumptions!$B$2),IF(G72&lt;=Assumptions!$B$5,I72+(J72-I72)*(G72-Assumptions!$B$4)/(Assumptions!$B$5-Assumptions!$B$4),J72))</f>
        <v>0.41649999999999993</v>
      </c>
      <c r="L72" s="9">
        <f t="shared" si="7"/>
        <v>0.13031152777518129</v>
      </c>
      <c r="M72" s="9">
        <f t="shared" si="6"/>
        <v>0</v>
      </c>
      <c r="N72" s="5" t="s">
        <v>275</v>
      </c>
      <c r="O72" s="5" t="s">
        <v>257</v>
      </c>
      <c r="P72" s="5" t="str">
        <f t="shared" si="8"/>
        <v>OK</v>
      </c>
    </row>
    <row r="73" spans="1:16">
      <c r="A73" s="10" t="s">
        <v>330</v>
      </c>
      <c r="B73" s="10" t="s">
        <v>84</v>
      </c>
      <c r="C73" s="10" t="s">
        <v>122</v>
      </c>
      <c r="D73" s="10" t="s">
        <v>123</v>
      </c>
      <c r="E73" s="10" t="s">
        <v>228</v>
      </c>
      <c r="F73" s="10" t="s">
        <v>213</v>
      </c>
      <c r="G73" s="10">
        <v>2044</v>
      </c>
      <c r="H73" s="9">
        <f>Coverage!Q8</f>
        <v>0.13031152777518129</v>
      </c>
      <c r="I73" s="9">
        <f>IF(Assumptions!$B$19=1,MAX(H73,Coverage!Q9),Coverage!Q9)</f>
        <v>0.13650000000000001</v>
      </c>
      <c r="J73" s="9">
        <f>IF(Assumptions!$B$19=1,MAX(H73,Coverage!Q10),Coverage!Q10)</f>
        <v>0.41649999999999993</v>
      </c>
      <c r="K73" s="9">
        <f>IF(G73&lt;=Assumptions!$B$4,H73+(I73-H73)*(G73-Assumptions!$B$2)/(Assumptions!$B$4-Assumptions!$B$2),IF(G73&lt;=Assumptions!$B$5,I73+(J73-I73)*(G73-Assumptions!$B$4)/(Assumptions!$B$5-Assumptions!$B$4),J73))</f>
        <v>0.41649999999999993</v>
      </c>
      <c r="L73" s="9">
        <f t="shared" si="7"/>
        <v>0.13031152777518129</v>
      </c>
      <c r="M73" s="9">
        <f t="shared" si="6"/>
        <v>0</v>
      </c>
      <c r="N73" s="10" t="s">
        <v>275</v>
      </c>
      <c r="O73" s="10" t="s">
        <v>257</v>
      </c>
      <c r="P73" s="5" t="str">
        <f t="shared" si="8"/>
        <v>OK</v>
      </c>
    </row>
    <row r="74" spans="1:16">
      <c r="A74" s="5" t="s">
        <v>331</v>
      </c>
      <c r="B74" s="5" t="s">
        <v>84</v>
      </c>
      <c r="C74" s="5" t="s">
        <v>122</v>
      </c>
      <c r="D74" s="5" t="s">
        <v>123</v>
      </c>
      <c r="E74" s="5" t="s">
        <v>228</v>
      </c>
      <c r="F74" s="5" t="s">
        <v>213</v>
      </c>
      <c r="G74" s="5">
        <v>2045</v>
      </c>
      <c r="H74" s="9">
        <f>Coverage!Q8</f>
        <v>0.13031152777518129</v>
      </c>
      <c r="I74" s="9">
        <f>IF(Assumptions!$B$19=1,MAX(H74,Coverage!Q9),Coverage!Q9)</f>
        <v>0.13650000000000001</v>
      </c>
      <c r="J74" s="9">
        <f>IF(Assumptions!$B$19=1,MAX(H74,Coverage!Q10),Coverage!Q10)</f>
        <v>0.41649999999999993</v>
      </c>
      <c r="K74" s="9">
        <f>IF(G74&lt;=Assumptions!$B$4,H74+(I74-H74)*(G74-Assumptions!$B$2)/(Assumptions!$B$4-Assumptions!$B$2),IF(G74&lt;=Assumptions!$B$5,I74+(J74-I74)*(G74-Assumptions!$B$4)/(Assumptions!$B$5-Assumptions!$B$4),J74))</f>
        <v>0.41649999999999993</v>
      </c>
      <c r="L74" s="9">
        <f t="shared" si="7"/>
        <v>0.13031152777518129</v>
      </c>
      <c r="M74" s="9">
        <f t="shared" si="6"/>
        <v>0</v>
      </c>
      <c r="N74" s="5" t="s">
        <v>275</v>
      </c>
      <c r="O74" s="5" t="s">
        <v>257</v>
      </c>
      <c r="P74" s="5" t="str">
        <f t="shared" si="8"/>
        <v>OK</v>
      </c>
    </row>
    <row r="75" spans="1:16">
      <c r="A75" s="10" t="s">
        <v>332</v>
      </c>
      <c r="B75" s="10" t="s">
        <v>84</v>
      </c>
      <c r="C75" s="10" t="s">
        <v>122</v>
      </c>
      <c r="D75" s="10" t="s">
        <v>123</v>
      </c>
      <c r="E75" s="10" t="s">
        <v>228</v>
      </c>
      <c r="F75" s="10" t="s">
        <v>213</v>
      </c>
      <c r="G75" s="10">
        <v>2046</v>
      </c>
      <c r="H75" s="9">
        <f>Coverage!Q8</f>
        <v>0.13031152777518129</v>
      </c>
      <c r="I75" s="9">
        <f>IF(Assumptions!$B$19=1,MAX(H75,Coverage!Q9),Coverage!Q9)</f>
        <v>0.13650000000000001</v>
      </c>
      <c r="J75" s="9">
        <f>IF(Assumptions!$B$19=1,MAX(H75,Coverage!Q10),Coverage!Q10)</f>
        <v>0.41649999999999993</v>
      </c>
      <c r="K75" s="9">
        <f>IF(G75&lt;=Assumptions!$B$4,H75+(I75-H75)*(G75-Assumptions!$B$2)/(Assumptions!$B$4-Assumptions!$B$2),IF(G75&lt;=Assumptions!$B$5,I75+(J75-I75)*(G75-Assumptions!$B$4)/(Assumptions!$B$5-Assumptions!$B$4),J75))</f>
        <v>0.41649999999999993</v>
      </c>
      <c r="L75" s="9">
        <f t="shared" si="7"/>
        <v>0.13031152777518129</v>
      </c>
      <c r="M75" s="9">
        <f t="shared" si="6"/>
        <v>0</v>
      </c>
      <c r="N75" s="10" t="s">
        <v>275</v>
      </c>
      <c r="O75" s="10" t="s">
        <v>257</v>
      </c>
      <c r="P75" s="5" t="str">
        <f t="shared" si="8"/>
        <v>OK</v>
      </c>
    </row>
    <row r="76" spans="1:16">
      <c r="A76" s="5" t="s">
        <v>333</v>
      </c>
      <c r="B76" s="5" t="s">
        <v>84</v>
      </c>
      <c r="C76" s="5" t="s">
        <v>122</v>
      </c>
      <c r="D76" s="5" t="s">
        <v>123</v>
      </c>
      <c r="E76" s="5" t="s">
        <v>228</v>
      </c>
      <c r="F76" s="5" t="s">
        <v>213</v>
      </c>
      <c r="G76" s="5">
        <v>2047</v>
      </c>
      <c r="H76" s="9">
        <f>Coverage!Q8</f>
        <v>0.13031152777518129</v>
      </c>
      <c r="I76" s="9">
        <f>IF(Assumptions!$B$19=1,MAX(H76,Coverage!Q9),Coverage!Q9)</f>
        <v>0.13650000000000001</v>
      </c>
      <c r="J76" s="9">
        <f>IF(Assumptions!$B$19=1,MAX(H76,Coverage!Q10),Coverage!Q10)</f>
        <v>0.41649999999999993</v>
      </c>
      <c r="K76" s="9">
        <f>IF(G76&lt;=Assumptions!$B$4,H76+(I76-H76)*(G76-Assumptions!$B$2)/(Assumptions!$B$4-Assumptions!$B$2),IF(G76&lt;=Assumptions!$B$5,I76+(J76-I76)*(G76-Assumptions!$B$4)/(Assumptions!$B$5-Assumptions!$B$4),J76))</f>
        <v>0.41649999999999993</v>
      </c>
      <c r="L76" s="9">
        <f t="shared" si="7"/>
        <v>0.13031152777518129</v>
      </c>
      <c r="M76" s="9">
        <f t="shared" si="6"/>
        <v>0</v>
      </c>
      <c r="N76" s="5" t="s">
        <v>275</v>
      </c>
      <c r="O76" s="5" t="s">
        <v>257</v>
      </c>
      <c r="P76" s="5" t="str">
        <f t="shared" si="8"/>
        <v>OK</v>
      </c>
    </row>
    <row r="77" spans="1:16">
      <c r="A77" s="10" t="s">
        <v>334</v>
      </c>
      <c r="B77" s="10" t="s">
        <v>84</v>
      </c>
      <c r="C77" s="10" t="s">
        <v>122</v>
      </c>
      <c r="D77" s="10" t="s">
        <v>123</v>
      </c>
      <c r="E77" s="10" t="s">
        <v>228</v>
      </c>
      <c r="F77" s="10" t="s">
        <v>213</v>
      </c>
      <c r="G77" s="10">
        <v>2048</v>
      </c>
      <c r="H77" s="9">
        <f>Coverage!Q8</f>
        <v>0.13031152777518129</v>
      </c>
      <c r="I77" s="9">
        <f>IF(Assumptions!$B$19=1,MAX(H77,Coverage!Q9),Coverage!Q9)</f>
        <v>0.13650000000000001</v>
      </c>
      <c r="J77" s="9">
        <f>IF(Assumptions!$B$19=1,MAX(H77,Coverage!Q10),Coverage!Q10)</f>
        <v>0.41649999999999993</v>
      </c>
      <c r="K77" s="9">
        <f>IF(G77&lt;=Assumptions!$B$4,H77+(I77-H77)*(G77-Assumptions!$B$2)/(Assumptions!$B$4-Assumptions!$B$2),IF(G77&lt;=Assumptions!$B$5,I77+(J77-I77)*(G77-Assumptions!$B$4)/(Assumptions!$B$5-Assumptions!$B$4),J77))</f>
        <v>0.41649999999999993</v>
      </c>
      <c r="L77" s="9">
        <f t="shared" si="7"/>
        <v>0.13031152777518129</v>
      </c>
      <c r="M77" s="9">
        <f t="shared" si="6"/>
        <v>0</v>
      </c>
      <c r="N77" s="10" t="s">
        <v>275</v>
      </c>
      <c r="O77" s="10" t="s">
        <v>257</v>
      </c>
      <c r="P77" s="5" t="str">
        <f t="shared" si="8"/>
        <v>OK</v>
      </c>
    </row>
    <row r="78" spans="1:16">
      <c r="A78" s="5" t="s">
        <v>335</v>
      </c>
      <c r="B78" s="5" t="s">
        <v>84</v>
      </c>
      <c r="C78" s="5" t="s">
        <v>122</v>
      </c>
      <c r="D78" s="5" t="s">
        <v>123</v>
      </c>
      <c r="E78" s="5" t="s">
        <v>228</v>
      </c>
      <c r="F78" s="5" t="s">
        <v>213</v>
      </c>
      <c r="G78" s="5">
        <v>2049</v>
      </c>
      <c r="H78" s="9">
        <f>Coverage!Q8</f>
        <v>0.13031152777518129</v>
      </c>
      <c r="I78" s="9">
        <f>IF(Assumptions!$B$19=1,MAX(H78,Coverage!Q9),Coverage!Q9)</f>
        <v>0.13650000000000001</v>
      </c>
      <c r="J78" s="9">
        <f>IF(Assumptions!$B$19=1,MAX(H78,Coverage!Q10),Coverage!Q10)</f>
        <v>0.41649999999999993</v>
      </c>
      <c r="K78" s="9">
        <f>IF(G78&lt;=Assumptions!$B$4,H78+(I78-H78)*(G78-Assumptions!$B$2)/(Assumptions!$B$4-Assumptions!$B$2),IF(G78&lt;=Assumptions!$B$5,I78+(J78-I78)*(G78-Assumptions!$B$4)/(Assumptions!$B$5-Assumptions!$B$4),J78))</f>
        <v>0.41649999999999993</v>
      </c>
      <c r="L78" s="9">
        <f t="shared" si="7"/>
        <v>0.13031152777518129</v>
      </c>
      <c r="M78" s="9">
        <f t="shared" si="6"/>
        <v>0</v>
      </c>
      <c r="N78" s="5" t="s">
        <v>275</v>
      </c>
      <c r="O78" s="5" t="s">
        <v>257</v>
      </c>
      <c r="P78" s="5" t="str">
        <f t="shared" si="8"/>
        <v>OK</v>
      </c>
    </row>
    <row r="79" spans="1:16">
      <c r="A79" s="10" t="s">
        <v>336</v>
      </c>
      <c r="B79" s="10" t="s">
        <v>84</v>
      </c>
      <c r="C79" s="10" t="s">
        <v>122</v>
      </c>
      <c r="D79" s="10" t="s">
        <v>123</v>
      </c>
      <c r="E79" s="10" t="s">
        <v>228</v>
      </c>
      <c r="F79" s="10" t="s">
        <v>213</v>
      </c>
      <c r="G79" s="10">
        <v>2050</v>
      </c>
      <c r="H79" s="9">
        <f>Coverage!Q8</f>
        <v>0.13031152777518129</v>
      </c>
      <c r="I79" s="9">
        <f>IF(Assumptions!$B$19=1,MAX(H79,Coverage!Q9),Coverage!Q9)</f>
        <v>0.13650000000000001</v>
      </c>
      <c r="J79" s="9">
        <f>IF(Assumptions!$B$19=1,MAX(H79,Coverage!Q10),Coverage!Q10)</f>
        <v>0.41649999999999993</v>
      </c>
      <c r="K79" s="9">
        <f>IF(G79&lt;=Assumptions!$B$4,H79+(I79-H79)*(G79-Assumptions!$B$2)/(Assumptions!$B$4-Assumptions!$B$2),IF(G79&lt;=Assumptions!$B$5,I79+(J79-I79)*(G79-Assumptions!$B$4)/(Assumptions!$B$5-Assumptions!$B$4),J79))</f>
        <v>0.41649999999999993</v>
      </c>
      <c r="L79" s="9">
        <f t="shared" si="7"/>
        <v>0.13031152777518129</v>
      </c>
      <c r="M79" s="9">
        <f t="shared" si="6"/>
        <v>0</v>
      </c>
      <c r="N79" s="10" t="s">
        <v>275</v>
      </c>
      <c r="O79" s="10" t="s">
        <v>257</v>
      </c>
      <c r="P79" s="5" t="str">
        <f t="shared" si="8"/>
        <v>OK</v>
      </c>
    </row>
    <row r="80" spans="1:16">
      <c r="A80" s="5" t="s">
        <v>337</v>
      </c>
      <c r="B80" s="5" t="s">
        <v>84</v>
      </c>
      <c r="C80" s="5" t="s">
        <v>122</v>
      </c>
      <c r="D80" s="5" t="s">
        <v>123</v>
      </c>
      <c r="E80" s="5" t="s">
        <v>228</v>
      </c>
      <c r="F80" s="5" t="s">
        <v>224</v>
      </c>
      <c r="G80" s="5">
        <v>2025</v>
      </c>
      <c r="H80" s="9">
        <f>Coverage!Q11</f>
        <v>0.1655176973841091</v>
      </c>
      <c r="I80" s="9">
        <f>IF(Assumptions!$B$19=1,MAX(H80,Coverage!Q12),Coverage!Q12)</f>
        <v>0.1655176973841091</v>
      </c>
      <c r="J80" s="9">
        <f>IF(Assumptions!$B$19=1,MAX(H80,Coverage!Q13),Coverage!Q13)</f>
        <v>0.41649999999999993</v>
      </c>
      <c r="K80" s="9">
        <f>IF(G80&lt;=Assumptions!$B$4,H80+(I80-H80)*(G80-Assumptions!$B$2)/(Assumptions!$B$4-Assumptions!$B$2),IF(G80&lt;=Assumptions!$B$5,I80+(J80-I80)*(G80-Assumptions!$B$4)/(Assumptions!$B$5-Assumptions!$B$4),J80))</f>
        <v>0.1655176973841091</v>
      </c>
      <c r="L80" s="9">
        <f t="shared" si="7"/>
        <v>0.1655176973841091</v>
      </c>
      <c r="M80" s="9">
        <v>0</v>
      </c>
      <c r="N80" s="5" t="s">
        <v>256</v>
      </c>
      <c r="O80" s="5" t="s">
        <v>257</v>
      </c>
      <c r="P80" s="5" t="str">
        <f t="shared" si="8"/>
        <v>OK</v>
      </c>
    </row>
    <row r="81" spans="1:16">
      <c r="A81" s="10" t="s">
        <v>338</v>
      </c>
      <c r="B81" s="10" t="s">
        <v>84</v>
      </c>
      <c r="C81" s="10" t="s">
        <v>122</v>
      </c>
      <c r="D81" s="10" t="s">
        <v>123</v>
      </c>
      <c r="E81" s="10" t="s">
        <v>228</v>
      </c>
      <c r="F81" s="10" t="s">
        <v>224</v>
      </c>
      <c r="G81" s="10">
        <v>2026</v>
      </c>
      <c r="H81" s="9">
        <f>Coverage!Q11</f>
        <v>0.1655176973841091</v>
      </c>
      <c r="I81" s="9">
        <f>IF(Assumptions!$B$19=1,MAX(H81,Coverage!Q12),Coverage!Q12)</f>
        <v>0.1655176973841091</v>
      </c>
      <c r="J81" s="9">
        <f>IF(Assumptions!$B$19=1,MAX(H81,Coverage!Q13),Coverage!Q13)</f>
        <v>0.41649999999999993</v>
      </c>
      <c r="K81" s="9">
        <f>IF(G81&lt;=Assumptions!$B$4,H81+(I81-H81)*(G81-Assumptions!$B$2)/(Assumptions!$B$4-Assumptions!$B$2),IF(G81&lt;=Assumptions!$B$5,I81+(J81-I81)*(G81-Assumptions!$B$4)/(Assumptions!$B$5-Assumptions!$B$4),J81))</f>
        <v>0.1655176973841091</v>
      </c>
      <c r="L81" s="9">
        <f t="shared" si="7"/>
        <v>0.1655176973841091</v>
      </c>
      <c r="M81" s="9">
        <f t="shared" ref="M81:M105" si="9">K81-K80</f>
        <v>0</v>
      </c>
      <c r="N81" s="10" t="s">
        <v>256</v>
      </c>
      <c r="O81" s="10" t="s">
        <v>257</v>
      </c>
      <c r="P81" s="5" t="str">
        <f t="shared" si="8"/>
        <v>OK</v>
      </c>
    </row>
    <row r="82" spans="1:16">
      <c r="A82" s="5" t="s">
        <v>339</v>
      </c>
      <c r="B82" s="5" t="s">
        <v>84</v>
      </c>
      <c r="C82" s="5" t="s">
        <v>122</v>
      </c>
      <c r="D82" s="5" t="s">
        <v>123</v>
      </c>
      <c r="E82" s="5" t="s">
        <v>228</v>
      </c>
      <c r="F82" s="5" t="s">
        <v>224</v>
      </c>
      <c r="G82" s="5">
        <v>2027</v>
      </c>
      <c r="H82" s="9">
        <f>Coverage!Q11</f>
        <v>0.1655176973841091</v>
      </c>
      <c r="I82" s="9">
        <f>IF(Assumptions!$B$19=1,MAX(H82,Coverage!Q12),Coverage!Q12)</f>
        <v>0.1655176973841091</v>
      </c>
      <c r="J82" s="9">
        <f>IF(Assumptions!$B$19=1,MAX(H82,Coverage!Q13),Coverage!Q13)</f>
        <v>0.41649999999999993</v>
      </c>
      <c r="K82" s="9">
        <f>IF(G82&lt;=Assumptions!$B$4,H82+(I82-H82)*(G82-Assumptions!$B$2)/(Assumptions!$B$4-Assumptions!$B$2),IF(G82&lt;=Assumptions!$B$5,I82+(J82-I82)*(G82-Assumptions!$B$4)/(Assumptions!$B$5-Assumptions!$B$4),J82))</f>
        <v>0.1655176973841091</v>
      </c>
      <c r="L82" s="9">
        <f t="shared" si="7"/>
        <v>0.1655176973841091</v>
      </c>
      <c r="M82" s="9">
        <f t="shared" si="9"/>
        <v>0</v>
      </c>
      <c r="N82" s="5" t="s">
        <v>256</v>
      </c>
      <c r="O82" s="5" t="s">
        <v>257</v>
      </c>
      <c r="P82" s="5" t="str">
        <f t="shared" si="8"/>
        <v>OK</v>
      </c>
    </row>
    <row r="83" spans="1:16">
      <c r="A83" s="10" t="s">
        <v>340</v>
      </c>
      <c r="B83" s="10" t="s">
        <v>84</v>
      </c>
      <c r="C83" s="10" t="s">
        <v>122</v>
      </c>
      <c r="D83" s="10" t="s">
        <v>123</v>
      </c>
      <c r="E83" s="10" t="s">
        <v>228</v>
      </c>
      <c r="F83" s="10" t="s">
        <v>224</v>
      </c>
      <c r="G83" s="10">
        <v>2028</v>
      </c>
      <c r="H83" s="9">
        <f>Coverage!Q11</f>
        <v>0.1655176973841091</v>
      </c>
      <c r="I83" s="9">
        <f>IF(Assumptions!$B$19=1,MAX(H83,Coverage!Q12),Coverage!Q12)</f>
        <v>0.1655176973841091</v>
      </c>
      <c r="J83" s="9">
        <f>IF(Assumptions!$B$19=1,MAX(H83,Coverage!Q13),Coverage!Q13)</f>
        <v>0.41649999999999993</v>
      </c>
      <c r="K83" s="9">
        <f>IF(G83&lt;=Assumptions!$B$4,H83+(I83-H83)*(G83-Assumptions!$B$2)/(Assumptions!$B$4-Assumptions!$B$2),IF(G83&lt;=Assumptions!$B$5,I83+(J83-I83)*(G83-Assumptions!$B$4)/(Assumptions!$B$5-Assumptions!$B$4),J83))</f>
        <v>0.1655176973841091</v>
      </c>
      <c r="L83" s="9">
        <f t="shared" si="7"/>
        <v>0.1655176973841091</v>
      </c>
      <c r="M83" s="9">
        <f t="shared" si="9"/>
        <v>0</v>
      </c>
      <c r="N83" s="10" t="s">
        <v>256</v>
      </c>
      <c r="O83" s="10" t="s">
        <v>257</v>
      </c>
      <c r="P83" s="5" t="str">
        <f t="shared" si="8"/>
        <v>OK</v>
      </c>
    </row>
    <row r="84" spans="1:16">
      <c r="A84" s="5" t="s">
        <v>341</v>
      </c>
      <c r="B84" s="5" t="s">
        <v>84</v>
      </c>
      <c r="C84" s="5" t="s">
        <v>122</v>
      </c>
      <c r="D84" s="5" t="s">
        <v>123</v>
      </c>
      <c r="E84" s="5" t="s">
        <v>228</v>
      </c>
      <c r="F84" s="5" t="s">
        <v>224</v>
      </c>
      <c r="G84" s="5">
        <v>2029</v>
      </c>
      <c r="H84" s="9">
        <f>Coverage!Q11</f>
        <v>0.1655176973841091</v>
      </c>
      <c r="I84" s="9">
        <f>IF(Assumptions!$B$19=1,MAX(H84,Coverage!Q12),Coverage!Q12)</f>
        <v>0.1655176973841091</v>
      </c>
      <c r="J84" s="9">
        <f>IF(Assumptions!$B$19=1,MAX(H84,Coverage!Q13),Coverage!Q13)</f>
        <v>0.41649999999999993</v>
      </c>
      <c r="K84" s="9">
        <f>IF(G84&lt;=Assumptions!$B$4,H84+(I84-H84)*(G84-Assumptions!$B$2)/(Assumptions!$B$4-Assumptions!$B$2),IF(G84&lt;=Assumptions!$B$5,I84+(J84-I84)*(G84-Assumptions!$B$4)/(Assumptions!$B$5-Assumptions!$B$4),J84))</f>
        <v>0.1655176973841091</v>
      </c>
      <c r="L84" s="9">
        <f t="shared" si="7"/>
        <v>0.1655176973841091</v>
      </c>
      <c r="M84" s="9">
        <f t="shared" si="9"/>
        <v>0</v>
      </c>
      <c r="N84" s="5" t="s">
        <v>256</v>
      </c>
      <c r="O84" s="5" t="s">
        <v>257</v>
      </c>
      <c r="P84" s="5" t="str">
        <f t="shared" si="8"/>
        <v>OK</v>
      </c>
    </row>
    <row r="85" spans="1:16">
      <c r="A85" s="10" t="s">
        <v>342</v>
      </c>
      <c r="B85" s="10" t="s">
        <v>84</v>
      </c>
      <c r="C85" s="10" t="s">
        <v>122</v>
      </c>
      <c r="D85" s="10" t="s">
        <v>123</v>
      </c>
      <c r="E85" s="10" t="s">
        <v>228</v>
      </c>
      <c r="F85" s="10" t="s">
        <v>224</v>
      </c>
      <c r="G85" s="10">
        <v>2030</v>
      </c>
      <c r="H85" s="9">
        <f>Coverage!Q11</f>
        <v>0.1655176973841091</v>
      </c>
      <c r="I85" s="9">
        <f>IF(Assumptions!$B$19=1,MAX(H85,Coverage!Q12),Coverage!Q12)</f>
        <v>0.1655176973841091</v>
      </c>
      <c r="J85" s="9">
        <f>IF(Assumptions!$B$19=1,MAX(H85,Coverage!Q13),Coverage!Q13)</f>
        <v>0.41649999999999993</v>
      </c>
      <c r="K85" s="9">
        <f>IF(G85&lt;=Assumptions!$B$4,H85+(I85-H85)*(G85-Assumptions!$B$2)/(Assumptions!$B$4-Assumptions!$B$2),IF(G85&lt;=Assumptions!$B$5,I85+(J85-I85)*(G85-Assumptions!$B$4)/(Assumptions!$B$5-Assumptions!$B$4),J85))</f>
        <v>0.1655176973841091</v>
      </c>
      <c r="L85" s="9">
        <f t="shared" si="7"/>
        <v>0.1655176973841091</v>
      </c>
      <c r="M85" s="9">
        <f t="shared" si="9"/>
        <v>0</v>
      </c>
      <c r="N85" s="10" t="s">
        <v>256</v>
      </c>
      <c r="O85" s="10" t="s">
        <v>257</v>
      </c>
      <c r="P85" s="5" t="str">
        <f t="shared" si="8"/>
        <v>OK</v>
      </c>
    </row>
    <row r="86" spans="1:16">
      <c r="A86" s="5" t="s">
        <v>343</v>
      </c>
      <c r="B86" s="5" t="s">
        <v>84</v>
      </c>
      <c r="C86" s="5" t="s">
        <v>122</v>
      </c>
      <c r="D86" s="5" t="s">
        <v>123</v>
      </c>
      <c r="E86" s="5" t="s">
        <v>228</v>
      </c>
      <c r="F86" s="5" t="s">
        <v>224</v>
      </c>
      <c r="G86" s="5">
        <v>2031</v>
      </c>
      <c r="H86" s="9">
        <f>Coverage!Q11</f>
        <v>0.1655176973841091</v>
      </c>
      <c r="I86" s="9">
        <f>IF(Assumptions!$B$19=1,MAX(H86,Coverage!Q12),Coverage!Q12)</f>
        <v>0.1655176973841091</v>
      </c>
      <c r="J86" s="9">
        <f>IF(Assumptions!$B$19=1,MAX(H86,Coverage!Q13),Coverage!Q13)</f>
        <v>0.41649999999999993</v>
      </c>
      <c r="K86" s="9">
        <f>IF(G86&lt;=Assumptions!$B$4,H86+(I86-H86)*(G86-Assumptions!$B$2)/(Assumptions!$B$4-Assumptions!$B$2),IF(G86&lt;=Assumptions!$B$5,I86+(J86-I86)*(G86-Assumptions!$B$4)/(Assumptions!$B$5-Assumptions!$B$4),J86))</f>
        <v>0.19061592764569818</v>
      </c>
      <c r="L86" s="9">
        <f t="shared" si="7"/>
        <v>0.1655176973841091</v>
      </c>
      <c r="M86" s="9">
        <f t="shared" si="9"/>
        <v>2.5098230261589083E-2</v>
      </c>
      <c r="N86" s="5" t="s">
        <v>264</v>
      </c>
      <c r="O86" s="5" t="s">
        <v>257</v>
      </c>
      <c r="P86" s="5" t="str">
        <f t="shared" si="8"/>
        <v>OK</v>
      </c>
    </row>
    <row r="87" spans="1:16">
      <c r="A87" s="10" t="s">
        <v>344</v>
      </c>
      <c r="B87" s="10" t="s">
        <v>84</v>
      </c>
      <c r="C87" s="10" t="s">
        <v>122</v>
      </c>
      <c r="D87" s="10" t="s">
        <v>123</v>
      </c>
      <c r="E87" s="10" t="s">
        <v>228</v>
      </c>
      <c r="F87" s="10" t="s">
        <v>224</v>
      </c>
      <c r="G87" s="10">
        <v>2032</v>
      </c>
      <c r="H87" s="9">
        <f>Coverage!Q11</f>
        <v>0.1655176973841091</v>
      </c>
      <c r="I87" s="9">
        <f>IF(Assumptions!$B$19=1,MAX(H87,Coverage!Q12),Coverage!Q12)</f>
        <v>0.1655176973841091</v>
      </c>
      <c r="J87" s="9">
        <f>IF(Assumptions!$B$19=1,MAX(H87,Coverage!Q13),Coverage!Q13)</f>
        <v>0.41649999999999993</v>
      </c>
      <c r="K87" s="9">
        <f>IF(G87&lt;=Assumptions!$B$4,H87+(I87-H87)*(G87-Assumptions!$B$2)/(Assumptions!$B$4-Assumptions!$B$2),IF(G87&lt;=Assumptions!$B$5,I87+(J87-I87)*(G87-Assumptions!$B$4)/(Assumptions!$B$5-Assumptions!$B$4),J87))</f>
        <v>0.21571415790728726</v>
      </c>
      <c r="L87" s="9">
        <f t="shared" si="7"/>
        <v>0.1655176973841091</v>
      </c>
      <c r="M87" s="9">
        <f t="shared" si="9"/>
        <v>2.5098230261589083E-2</v>
      </c>
      <c r="N87" s="10" t="s">
        <v>264</v>
      </c>
      <c r="O87" s="10" t="s">
        <v>257</v>
      </c>
      <c r="P87" s="5" t="str">
        <f t="shared" si="8"/>
        <v>OK</v>
      </c>
    </row>
    <row r="88" spans="1:16">
      <c r="A88" s="5" t="s">
        <v>345</v>
      </c>
      <c r="B88" s="5" t="s">
        <v>84</v>
      </c>
      <c r="C88" s="5" t="s">
        <v>122</v>
      </c>
      <c r="D88" s="5" t="s">
        <v>123</v>
      </c>
      <c r="E88" s="5" t="s">
        <v>228</v>
      </c>
      <c r="F88" s="5" t="s">
        <v>224</v>
      </c>
      <c r="G88" s="5">
        <v>2033</v>
      </c>
      <c r="H88" s="9">
        <f>Coverage!Q11</f>
        <v>0.1655176973841091</v>
      </c>
      <c r="I88" s="9">
        <f>IF(Assumptions!$B$19=1,MAX(H88,Coverage!Q12),Coverage!Q12)</f>
        <v>0.1655176973841091</v>
      </c>
      <c r="J88" s="9">
        <f>IF(Assumptions!$B$19=1,MAX(H88,Coverage!Q13),Coverage!Q13)</f>
        <v>0.41649999999999993</v>
      </c>
      <c r="K88" s="9">
        <f>IF(G88&lt;=Assumptions!$B$4,H88+(I88-H88)*(G88-Assumptions!$B$2)/(Assumptions!$B$4-Assumptions!$B$2),IF(G88&lt;=Assumptions!$B$5,I88+(J88-I88)*(G88-Assumptions!$B$4)/(Assumptions!$B$5-Assumptions!$B$4),J88))</f>
        <v>0.24081238816887635</v>
      </c>
      <c r="L88" s="9">
        <f t="shared" si="7"/>
        <v>0.1655176973841091</v>
      </c>
      <c r="M88" s="9">
        <f t="shared" si="9"/>
        <v>2.5098230261589083E-2</v>
      </c>
      <c r="N88" s="5" t="s">
        <v>264</v>
      </c>
      <c r="O88" s="5" t="s">
        <v>257</v>
      </c>
      <c r="P88" s="5" t="str">
        <f t="shared" si="8"/>
        <v>OK</v>
      </c>
    </row>
    <row r="89" spans="1:16">
      <c r="A89" s="10" t="s">
        <v>346</v>
      </c>
      <c r="B89" s="10" t="s">
        <v>84</v>
      </c>
      <c r="C89" s="10" t="s">
        <v>122</v>
      </c>
      <c r="D89" s="10" t="s">
        <v>123</v>
      </c>
      <c r="E89" s="10" t="s">
        <v>228</v>
      </c>
      <c r="F89" s="10" t="s">
        <v>224</v>
      </c>
      <c r="G89" s="10">
        <v>2034</v>
      </c>
      <c r="H89" s="9">
        <f>Coverage!Q11</f>
        <v>0.1655176973841091</v>
      </c>
      <c r="I89" s="9">
        <f>IF(Assumptions!$B$19=1,MAX(H89,Coverage!Q12),Coverage!Q12)</f>
        <v>0.1655176973841091</v>
      </c>
      <c r="J89" s="9">
        <f>IF(Assumptions!$B$19=1,MAX(H89,Coverage!Q13),Coverage!Q13)</f>
        <v>0.41649999999999993</v>
      </c>
      <c r="K89" s="9">
        <f>IF(G89&lt;=Assumptions!$B$4,H89+(I89-H89)*(G89-Assumptions!$B$2)/(Assumptions!$B$4-Assumptions!$B$2),IF(G89&lt;=Assumptions!$B$5,I89+(J89-I89)*(G89-Assumptions!$B$4)/(Assumptions!$B$5-Assumptions!$B$4),J89))</f>
        <v>0.26591061843046543</v>
      </c>
      <c r="L89" s="9">
        <f t="shared" si="7"/>
        <v>0.1655176973841091</v>
      </c>
      <c r="M89" s="9">
        <f t="shared" si="9"/>
        <v>2.5098230261589083E-2</v>
      </c>
      <c r="N89" s="10" t="s">
        <v>264</v>
      </c>
      <c r="O89" s="10" t="s">
        <v>257</v>
      </c>
      <c r="P89" s="5" t="str">
        <f t="shared" si="8"/>
        <v>OK</v>
      </c>
    </row>
    <row r="90" spans="1:16">
      <c r="A90" s="5" t="s">
        <v>347</v>
      </c>
      <c r="B90" s="5" t="s">
        <v>84</v>
      </c>
      <c r="C90" s="5" t="s">
        <v>122</v>
      </c>
      <c r="D90" s="5" t="s">
        <v>123</v>
      </c>
      <c r="E90" s="5" t="s">
        <v>228</v>
      </c>
      <c r="F90" s="5" t="s">
        <v>224</v>
      </c>
      <c r="G90" s="5">
        <v>2035</v>
      </c>
      <c r="H90" s="9">
        <f>Coverage!Q11</f>
        <v>0.1655176973841091</v>
      </c>
      <c r="I90" s="9">
        <f>IF(Assumptions!$B$19=1,MAX(H90,Coverage!Q12),Coverage!Q12)</f>
        <v>0.1655176973841091</v>
      </c>
      <c r="J90" s="9">
        <f>IF(Assumptions!$B$19=1,MAX(H90,Coverage!Q13),Coverage!Q13)</f>
        <v>0.41649999999999993</v>
      </c>
      <c r="K90" s="9">
        <f>IF(G90&lt;=Assumptions!$B$4,H90+(I90-H90)*(G90-Assumptions!$B$2)/(Assumptions!$B$4-Assumptions!$B$2),IF(G90&lt;=Assumptions!$B$5,I90+(J90-I90)*(G90-Assumptions!$B$4)/(Assumptions!$B$5-Assumptions!$B$4),J90))</f>
        <v>0.29100884869205451</v>
      </c>
      <c r="L90" s="9">
        <f t="shared" si="7"/>
        <v>0.1655176973841091</v>
      </c>
      <c r="M90" s="9">
        <f t="shared" si="9"/>
        <v>2.5098230261589083E-2</v>
      </c>
      <c r="N90" s="5" t="s">
        <v>264</v>
      </c>
      <c r="O90" s="5" t="s">
        <v>257</v>
      </c>
      <c r="P90" s="5" t="str">
        <f t="shared" si="8"/>
        <v>OK</v>
      </c>
    </row>
    <row r="91" spans="1:16">
      <c r="A91" s="10" t="s">
        <v>348</v>
      </c>
      <c r="B91" s="10" t="s">
        <v>84</v>
      </c>
      <c r="C91" s="10" t="s">
        <v>122</v>
      </c>
      <c r="D91" s="10" t="s">
        <v>123</v>
      </c>
      <c r="E91" s="10" t="s">
        <v>228</v>
      </c>
      <c r="F91" s="10" t="s">
        <v>224</v>
      </c>
      <c r="G91" s="10">
        <v>2036</v>
      </c>
      <c r="H91" s="9">
        <f>Coverage!Q11</f>
        <v>0.1655176973841091</v>
      </c>
      <c r="I91" s="9">
        <f>IF(Assumptions!$B$19=1,MAX(H91,Coverage!Q12),Coverage!Q12)</f>
        <v>0.1655176973841091</v>
      </c>
      <c r="J91" s="9">
        <f>IF(Assumptions!$B$19=1,MAX(H91,Coverage!Q13),Coverage!Q13)</f>
        <v>0.41649999999999993</v>
      </c>
      <c r="K91" s="9">
        <f>IF(G91&lt;=Assumptions!$B$4,H91+(I91-H91)*(G91-Assumptions!$B$2)/(Assumptions!$B$4-Assumptions!$B$2),IF(G91&lt;=Assumptions!$B$5,I91+(J91-I91)*(G91-Assumptions!$B$4)/(Assumptions!$B$5-Assumptions!$B$4),J91))</f>
        <v>0.31610707895364359</v>
      </c>
      <c r="L91" s="9">
        <f t="shared" si="7"/>
        <v>0.1655176973841091</v>
      </c>
      <c r="M91" s="9">
        <f t="shared" si="9"/>
        <v>2.5098230261589083E-2</v>
      </c>
      <c r="N91" s="10" t="s">
        <v>264</v>
      </c>
      <c r="O91" s="10" t="s">
        <v>257</v>
      </c>
      <c r="P91" s="5" t="str">
        <f t="shared" si="8"/>
        <v>OK</v>
      </c>
    </row>
    <row r="92" spans="1:16">
      <c r="A92" s="5" t="s">
        <v>349</v>
      </c>
      <c r="B92" s="5" t="s">
        <v>84</v>
      </c>
      <c r="C92" s="5" t="s">
        <v>122</v>
      </c>
      <c r="D92" s="5" t="s">
        <v>123</v>
      </c>
      <c r="E92" s="5" t="s">
        <v>228</v>
      </c>
      <c r="F92" s="5" t="s">
        <v>224</v>
      </c>
      <c r="G92" s="5">
        <v>2037</v>
      </c>
      <c r="H92" s="9">
        <f>Coverage!Q11</f>
        <v>0.1655176973841091</v>
      </c>
      <c r="I92" s="9">
        <f>IF(Assumptions!$B$19=1,MAX(H92,Coverage!Q12),Coverage!Q12)</f>
        <v>0.1655176973841091</v>
      </c>
      <c r="J92" s="9">
        <f>IF(Assumptions!$B$19=1,MAX(H92,Coverage!Q13),Coverage!Q13)</f>
        <v>0.41649999999999993</v>
      </c>
      <c r="K92" s="9">
        <f>IF(G92&lt;=Assumptions!$B$4,H92+(I92-H92)*(G92-Assumptions!$B$2)/(Assumptions!$B$4-Assumptions!$B$2),IF(G92&lt;=Assumptions!$B$5,I92+(J92-I92)*(G92-Assumptions!$B$4)/(Assumptions!$B$5-Assumptions!$B$4),J92))</f>
        <v>0.34120530921523268</v>
      </c>
      <c r="L92" s="9">
        <f t="shared" si="7"/>
        <v>0.1655176973841091</v>
      </c>
      <c r="M92" s="9">
        <f t="shared" si="9"/>
        <v>2.5098230261589083E-2</v>
      </c>
      <c r="N92" s="5" t="s">
        <v>264</v>
      </c>
      <c r="O92" s="5" t="s">
        <v>257</v>
      </c>
      <c r="P92" s="5" t="str">
        <f t="shared" si="8"/>
        <v>OK</v>
      </c>
    </row>
    <row r="93" spans="1:16">
      <c r="A93" s="10" t="s">
        <v>350</v>
      </c>
      <c r="B93" s="10" t="s">
        <v>84</v>
      </c>
      <c r="C93" s="10" t="s">
        <v>122</v>
      </c>
      <c r="D93" s="10" t="s">
        <v>123</v>
      </c>
      <c r="E93" s="10" t="s">
        <v>228</v>
      </c>
      <c r="F93" s="10" t="s">
        <v>224</v>
      </c>
      <c r="G93" s="10">
        <v>2038</v>
      </c>
      <c r="H93" s="9">
        <f>Coverage!Q11</f>
        <v>0.1655176973841091</v>
      </c>
      <c r="I93" s="9">
        <f>IF(Assumptions!$B$19=1,MAX(H93,Coverage!Q12),Coverage!Q12)</f>
        <v>0.1655176973841091</v>
      </c>
      <c r="J93" s="9">
        <f>IF(Assumptions!$B$19=1,MAX(H93,Coverage!Q13),Coverage!Q13)</f>
        <v>0.41649999999999993</v>
      </c>
      <c r="K93" s="9">
        <f>IF(G93&lt;=Assumptions!$B$4,H93+(I93-H93)*(G93-Assumptions!$B$2)/(Assumptions!$B$4-Assumptions!$B$2),IF(G93&lt;=Assumptions!$B$5,I93+(J93-I93)*(G93-Assumptions!$B$4)/(Assumptions!$B$5-Assumptions!$B$4),J93))</f>
        <v>0.36630353947682176</v>
      </c>
      <c r="L93" s="9">
        <f t="shared" si="7"/>
        <v>0.1655176973841091</v>
      </c>
      <c r="M93" s="9">
        <f t="shared" si="9"/>
        <v>2.5098230261589083E-2</v>
      </c>
      <c r="N93" s="10" t="s">
        <v>264</v>
      </c>
      <c r="O93" s="10" t="s">
        <v>257</v>
      </c>
      <c r="P93" s="5" t="str">
        <f t="shared" si="8"/>
        <v>OK</v>
      </c>
    </row>
    <row r="94" spans="1:16">
      <c r="A94" s="5" t="s">
        <v>351</v>
      </c>
      <c r="B94" s="5" t="s">
        <v>84</v>
      </c>
      <c r="C94" s="5" t="s">
        <v>122</v>
      </c>
      <c r="D94" s="5" t="s">
        <v>123</v>
      </c>
      <c r="E94" s="5" t="s">
        <v>228</v>
      </c>
      <c r="F94" s="5" t="s">
        <v>224</v>
      </c>
      <c r="G94" s="5">
        <v>2039</v>
      </c>
      <c r="H94" s="9">
        <f>Coverage!Q11</f>
        <v>0.1655176973841091</v>
      </c>
      <c r="I94" s="9">
        <f>IF(Assumptions!$B$19=1,MAX(H94,Coverage!Q12),Coverage!Q12)</f>
        <v>0.1655176973841091</v>
      </c>
      <c r="J94" s="9">
        <f>IF(Assumptions!$B$19=1,MAX(H94,Coverage!Q13),Coverage!Q13)</f>
        <v>0.41649999999999993</v>
      </c>
      <c r="K94" s="9">
        <f>IF(G94&lt;=Assumptions!$B$4,H94+(I94-H94)*(G94-Assumptions!$B$2)/(Assumptions!$B$4-Assumptions!$B$2),IF(G94&lt;=Assumptions!$B$5,I94+(J94-I94)*(G94-Assumptions!$B$4)/(Assumptions!$B$5-Assumptions!$B$4),J94))</f>
        <v>0.3914017697384109</v>
      </c>
      <c r="L94" s="9">
        <f t="shared" si="7"/>
        <v>0.1655176973841091</v>
      </c>
      <c r="M94" s="9">
        <f t="shared" si="9"/>
        <v>2.5098230261589138E-2</v>
      </c>
      <c r="N94" s="5" t="s">
        <v>264</v>
      </c>
      <c r="O94" s="5" t="s">
        <v>257</v>
      </c>
      <c r="P94" s="5" t="str">
        <f t="shared" si="8"/>
        <v>OK</v>
      </c>
    </row>
    <row r="95" spans="1:16">
      <c r="A95" s="10" t="s">
        <v>352</v>
      </c>
      <c r="B95" s="10" t="s">
        <v>84</v>
      </c>
      <c r="C95" s="10" t="s">
        <v>122</v>
      </c>
      <c r="D95" s="10" t="s">
        <v>123</v>
      </c>
      <c r="E95" s="10" t="s">
        <v>228</v>
      </c>
      <c r="F95" s="10" t="s">
        <v>224</v>
      </c>
      <c r="G95" s="10">
        <v>2040</v>
      </c>
      <c r="H95" s="9">
        <f>Coverage!Q11</f>
        <v>0.1655176973841091</v>
      </c>
      <c r="I95" s="9">
        <f>IF(Assumptions!$B$19=1,MAX(H95,Coverage!Q12),Coverage!Q12)</f>
        <v>0.1655176973841091</v>
      </c>
      <c r="J95" s="9">
        <f>IF(Assumptions!$B$19=1,MAX(H95,Coverage!Q13),Coverage!Q13)</f>
        <v>0.41649999999999993</v>
      </c>
      <c r="K95" s="9">
        <f>IF(G95&lt;=Assumptions!$B$4,H95+(I95-H95)*(G95-Assumptions!$B$2)/(Assumptions!$B$4-Assumptions!$B$2),IF(G95&lt;=Assumptions!$B$5,I95+(J95-I95)*(G95-Assumptions!$B$4)/(Assumptions!$B$5-Assumptions!$B$4),J95))</f>
        <v>0.41649999999999993</v>
      </c>
      <c r="L95" s="9">
        <f t="shared" si="7"/>
        <v>0.1655176973841091</v>
      </c>
      <c r="M95" s="9">
        <f t="shared" si="9"/>
        <v>2.5098230261589027E-2</v>
      </c>
      <c r="N95" s="10" t="s">
        <v>264</v>
      </c>
      <c r="O95" s="10" t="s">
        <v>257</v>
      </c>
      <c r="P95" s="5" t="str">
        <f t="shared" si="8"/>
        <v>OK</v>
      </c>
    </row>
    <row r="96" spans="1:16">
      <c r="A96" s="5" t="s">
        <v>353</v>
      </c>
      <c r="B96" s="5" t="s">
        <v>84</v>
      </c>
      <c r="C96" s="5" t="s">
        <v>122</v>
      </c>
      <c r="D96" s="5" t="s">
        <v>123</v>
      </c>
      <c r="E96" s="5" t="s">
        <v>228</v>
      </c>
      <c r="F96" s="5" t="s">
        <v>224</v>
      </c>
      <c r="G96" s="5">
        <v>2041</v>
      </c>
      <c r="H96" s="9">
        <f>Coverage!Q11</f>
        <v>0.1655176973841091</v>
      </c>
      <c r="I96" s="9">
        <f>IF(Assumptions!$B$19=1,MAX(H96,Coverage!Q12),Coverage!Q12)</f>
        <v>0.1655176973841091</v>
      </c>
      <c r="J96" s="9">
        <f>IF(Assumptions!$B$19=1,MAX(H96,Coverage!Q13),Coverage!Q13)</f>
        <v>0.41649999999999993</v>
      </c>
      <c r="K96" s="9">
        <f>IF(G96&lt;=Assumptions!$B$4,H96+(I96-H96)*(G96-Assumptions!$B$2)/(Assumptions!$B$4-Assumptions!$B$2),IF(G96&lt;=Assumptions!$B$5,I96+(J96-I96)*(G96-Assumptions!$B$4)/(Assumptions!$B$5-Assumptions!$B$4),J96))</f>
        <v>0.41649999999999993</v>
      </c>
      <c r="L96" s="9">
        <f t="shared" si="7"/>
        <v>0.1655176973841091</v>
      </c>
      <c r="M96" s="9">
        <f t="shared" si="9"/>
        <v>0</v>
      </c>
      <c r="N96" s="5" t="s">
        <v>275</v>
      </c>
      <c r="O96" s="5" t="s">
        <v>257</v>
      </c>
      <c r="P96" s="5" t="str">
        <f t="shared" si="8"/>
        <v>OK</v>
      </c>
    </row>
    <row r="97" spans="1:16">
      <c r="A97" s="10" t="s">
        <v>354</v>
      </c>
      <c r="B97" s="10" t="s">
        <v>84</v>
      </c>
      <c r="C97" s="10" t="s">
        <v>122</v>
      </c>
      <c r="D97" s="10" t="s">
        <v>123</v>
      </c>
      <c r="E97" s="10" t="s">
        <v>228</v>
      </c>
      <c r="F97" s="10" t="s">
        <v>224</v>
      </c>
      <c r="G97" s="10">
        <v>2042</v>
      </c>
      <c r="H97" s="9">
        <f>Coverage!Q11</f>
        <v>0.1655176973841091</v>
      </c>
      <c r="I97" s="9">
        <f>IF(Assumptions!$B$19=1,MAX(H97,Coverage!Q12),Coverage!Q12)</f>
        <v>0.1655176973841091</v>
      </c>
      <c r="J97" s="9">
        <f>IF(Assumptions!$B$19=1,MAX(H97,Coverage!Q13),Coverage!Q13)</f>
        <v>0.41649999999999993</v>
      </c>
      <c r="K97" s="9">
        <f>IF(G97&lt;=Assumptions!$B$4,H97+(I97-H97)*(G97-Assumptions!$B$2)/(Assumptions!$B$4-Assumptions!$B$2),IF(G97&lt;=Assumptions!$B$5,I97+(J97-I97)*(G97-Assumptions!$B$4)/(Assumptions!$B$5-Assumptions!$B$4),J97))</f>
        <v>0.41649999999999993</v>
      </c>
      <c r="L97" s="9">
        <f t="shared" si="7"/>
        <v>0.1655176973841091</v>
      </c>
      <c r="M97" s="9">
        <f t="shared" si="9"/>
        <v>0</v>
      </c>
      <c r="N97" s="10" t="s">
        <v>275</v>
      </c>
      <c r="O97" s="10" t="s">
        <v>257</v>
      </c>
      <c r="P97" s="5" t="str">
        <f t="shared" si="8"/>
        <v>OK</v>
      </c>
    </row>
    <row r="98" spans="1:16">
      <c r="A98" s="5" t="s">
        <v>355</v>
      </c>
      <c r="B98" s="5" t="s">
        <v>84</v>
      </c>
      <c r="C98" s="5" t="s">
        <v>122</v>
      </c>
      <c r="D98" s="5" t="s">
        <v>123</v>
      </c>
      <c r="E98" s="5" t="s">
        <v>228</v>
      </c>
      <c r="F98" s="5" t="s">
        <v>224</v>
      </c>
      <c r="G98" s="5">
        <v>2043</v>
      </c>
      <c r="H98" s="9">
        <f>Coverage!Q11</f>
        <v>0.1655176973841091</v>
      </c>
      <c r="I98" s="9">
        <f>IF(Assumptions!$B$19=1,MAX(H98,Coverage!Q12),Coverage!Q12)</f>
        <v>0.1655176973841091</v>
      </c>
      <c r="J98" s="9">
        <f>IF(Assumptions!$B$19=1,MAX(H98,Coverage!Q13),Coverage!Q13)</f>
        <v>0.41649999999999993</v>
      </c>
      <c r="K98" s="9">
        <f>IF(G98&lt;=Assumptions!$B$4,H98+(I98-H98)*(G98-Assumptions!$B$2)/(Assumptions!$B$4-Assumptions!$B$2),IF(G98&lt;=Assumptions!$B$5,I98+(J98-I98)*(G98-Assumptions!$B$4)/(Assumptions!$B$5-Assumptions!$B$4),J98))</f>
        <v>0.41649999999999993</v>
      </c>
      <c r="L98" s="9">
        <f t="shared" ref="L98:L105" si="10">H98</f>
        <v>0.1655176973841091</v>
      </c>
      <c r="M98" s="9">
        <f t="shared" si="9"/>
        <v>0</v>
      </c>
      <c r="N98" s="5" t="s">
        <v>275</v>
      </c>
      <c r="O98" s="5" t="s">
        <v>257</v>
      </c>
      <c r="P98" s="5" t="str">
        <f t="shared" ref="P98:P105" si="11">IF(OR(K98&lt;0,K98&gt;1,M98&lt;0),"BAD","OK")</f>
        <v>OK</v>
      </c>
    </row>
    <row r="99" spans="1:16">
      <c r="A99" s="10" t="s">
        <v>356</v>
      </c>
      <c r="B99" s="10" t="s">
        <v>84</v>
      </c>
      <c r="C99" s="10" t="s">
        <v>122</v>
      </c>
      <c r="D99" s="10" t="s">
        <v>123</v>
      </c>
      <c r="E99" s="10" t="s">
        <v>228</v>
      </c>
      <c r="F99" s="10" t="s">
        <v>224</v>
      </c>
      <c r="G99" s="10">
        <v>2044</v>
      </c>
      <c r="H99" s="9">
        <f>Coverage!Q11</f>
        <v>0.1655176973841091</v>
      </c>
      <c r="I99" s="9">
        <f>IF(Assumptions!$B$19=1,MAX(H99,Coverage!Q12),Coverage!Q12)</f>
        <v>0.1655176973841091</v>
      </c>
      <c r="J99" s="9">
        <f>IF(Assumptions!$B$19=1,MAX(H99,Coverage!Q13),Coverage!Q13)</f>
        <v>0.41649999999999993</v>
      </c>
      <c r="K99" s="9">
        <f>IF(G99&lt;=Assumptions!$B$4,H99+(I99-H99)*(G99-Assumptions!$B$2)/(Assumptions!$B$4-Assumptions!$B$2),IF(G99&lt;=Assumptions!$B$5,I99+(J99-I99)*(G99-Assumptions!$B$4)/(Assumptions!$B$5-Assumptions!$B$4),J99))</f>
        <v>0.41649999999999993</v>
      </c>
      <c r="L99" s="9">
        <f t="shared" si="10"/>
        <v>0.1655176973841091</v>
      </c>
      <c r="M99" s="9">
        <f t="shared" si="9"/>
        <v>0</v>
      </c>
      <c r="N99" s="10" t="s">
        <v>275</v>
      </c>
      <c r="O99" s="10" t="s">
        <v>257</v>
      </c>
      <c r="P99" s="5" t="str">
        <f t="shared" si="11"/>
        <v>OK</v>
      </c>
    </row>
    <row r="100" spans="1:16">
      <c r="A100" s="5" t="s">
        <v>357</v>
      </c>
      <c r="B100" s="5" t="s">
        <v>84</v>
      </c>
      <c r="C100" s="5" t="s">
        <v>122</v>
      </c>
      <c r="D100" s="5" t="s">
        <v>123</v>
      </c>
      <c r="E100" s="5" t="s">
        <v>228</v>
      </c>
      <c r="F100" s="5" t="s">
        <v>224</v>
      </c>
      <c r="G100" s="5">
        <v>2045</v>
      </c>
      <c r="H100" s="9">
        <f>Coverage!Q11</f>
        <v>0.1655176973841091</v>
      </c>
      <c r="I100" s="9">
        <f>IF(Assumptions!$B$19=1,MAX(H100,Coverage!Q12),Coverage!Q12)</f>
        <v>0.1655176973841091</v>
      </c>
      <c r="J100" s="9">
        <f>IF(Assumptions!$B$19=1,MAX(H100,Coverage!Q13),Coverage!Q13)</f>
        <v>0.41649999999999993</v>
      </c>
      <c r="K100" s="9">
        <f>IF(G100&lt;=Assumptions!$B$4,H100+(I100-H100)*(G100-Assumptions!$B$2)/(Assumptions!$B$4-Assumptions!$B$2),IF(G100&lt;=Assumptions!$B$5,I100+(J100-I100)*(G100-Assumptions!$B$4)/(Assumptions!$B$5-Assumptions!$B$4),J100))</f>
        <v>0.41649999999999993</v>
      </c>
      <c r="L100" s="9">
        <f t="shared" si="10"/>
        <v>0.1655176973841091</v>
      </c>
      <c r="M100" s="9">
        <f t="shared" si="9"/>
        <v>0</v>
      </c>
      <c r="N100" s="5" t="s">
        <v>275</v>
      </c>
      <c r="O100" s="5" t="s">
        <v>257</v>
      </c>
      <c r="P100" s="5" t="str">
        <f t="shared" si="11"/>
        <v>OK</v>
      </c>
    </row>
    <row r="101" spans="1:16">
      <c r="A101" s="10" t="s">
        <v>358</v>
      </c>
      <c r="B101" s="10" t="s">
        <v>84</v>
      </c>
      <c r="C101" s="10" t="s">
        <v>122</v>
      </c>
      <c r="D101" s="10" t="s">
        <v>123</v>
      </c>
      <c r="E101" s="10" t="s">
        <v>228</v>
      </c>
      <c r="F101" s="10" t="s">
        <v>224</v>
      </c>
      <c r="G101" s="10">
        <v>2046</v>
      </c>
      <c r="H101" s="9">
        <f>Coverage!Q11</f>
        <v>0.1655176973841091</v>
      </c>
      <c r="I101" s="9">
        <f>IF(Assumptions!$B$19=1,MAX(H101,Coverage!Q12),Coverage!Q12)</f>
        <v>0.1655176973841091</v>
      </c>
      <c r="J101" s="9">
        <f>IF(Assumptions!$B$19=1,MAX(H101,Coverage!Q13),Coverage!Q13)</f>
        <v>0.41649999999999993</v>
      </c>
      <c r="K101" s="9">
        <f>IF(G101&lt;=Assumptions!$B$4,H101+(I101-H101)*(G101-Assumptions!$B$2)/(Assumptions!$B$4-Assumptions!$B$2),IF(G101&lt;=Assumptions!$B$5,I101+(J101-I101)*(G101-Assumptions!$B$4)/(Assumptions!$B$5-Assumptions!$B$4),J101))</f>
        <v>0.41649999999999993</v>
      </c>
      <c r="L101" s="9">
        <f t="shared" si="10"/>
        <v>0.1655176973841091</v>
      </c>
      <c r="M101" s="9">
        <f t="shared" si="9"/>
        <v>0</v>
      </c>
      <c r="N101" s="10" t="s">
        <v>275</v>
      </c>
      <c r="O101" s="10" t="s">
        <v>257</v>
      </c>
      <c r="P101" s="5" t="str">
        <f t="shared" si="11"/>
        <v>OK</v>
      </c>
    </row>
    <row r="102" spans="1:16">
      <c r="A102" s="5" t="s">
        <v>359</v>
      </c>
      <c r="B102" s="5" t="s">
        <v>84</v>
      </c>
      <c r="C102" s="5" t="s">
        <v>122</v>
      </c>
      <c r="D102" s="5" t="s">
        <v>123</v>
      </c>
      <c r="E102" s="5" t="s">
        <v>228</v>
      </c>
      <c r="F102" s="5" t="s">
        <v>224</v>
      </c>
      <c r="G102" s="5">
        <v>2047</v>
      </c>
      <c r="H102" s="9">
        <f>Coverage!Q11</f>
        <v>0.1655176973841091</v>
      </c>
      <c r="I102" s="9">
        <f>IF(Assumptions!$B$19=1,MAX(H102,Coverage!Q12),Coverage!Q12)</f>
        <v>0.1655176973841091</v>
      </c>
      <c r="J102" s="9">
        <f>IF(Assumptions!$B$19=1,MAX(H102,Coverage!Q13),Coverage!Q13)</f>
        <v>0.41649999999999993</v>
      </c>
      <c r="K102" s="9">
        <f>IF(G102&lt;=Assumptions!$B$4,H102+(I102-H102)*(G102-Assumptions!$B$2)/(Assumptions!$B$4-Assumptions!$B$2),IF(G102&lt;=Assumptions!$B$5,I102+(J102-I102)*(G102-Assumptions!$B$4)/(Assumptions!$B$5-Assumptions!$B$4),J102))</f>
        <v>0.41649999999999993</v>
      </c>
      <c r="L102" s="9">
        <f t="shared" si="10"/>
        <v>0.1655176973841091</v>
      </c>
      <c r="M102" s="9">
        <f t="shared" si="9"/>
        <v>0</v>
      </c>
      <c r="N102" s="5" t="s">
        <v>275</v>
      </c>
      <c r="O102" s="5" t="s">
        <v>257</v>
      </c>
      <c r="P102" s="5" t="str">
        <f t="shared" si="11"/>
        <v>OK</v>
      </c>
    </row>
    <row r="103" spans="1:16">
      <c r="A103" s="10" t="s">
        <v>360</v>
      </c>
      <c r="B103" s="10" t="s">
        <v>84</v>
      </c>
      <c r="C103" s="10" t="s">
        <v>122</v>
      </c>
      <c r="D103" s="10" t="s">
        <v>123</v>
      </c>
      <c r="E103" s="10" t="s">
        <v>228</v>
      </c>
      <c r="F103" s="10" t="s">
        <v>224</v>
      </c>
      <c r="G103" s="10">
        <v>2048</v>
      </c>
      <c r="H103" s="9">
        <f>Coverage!Q11</f>
        <v>0.1655176973841091</v>
      </c>
      <c r="I103" s="9">
        <f>IF(Assumptions!$B$19=1,MAX(H103,Coverage!Q12),Coverage!Q12)</f>
        <v>0.1655176973841091</v>
      </c>
      <c r="J103" s="9">
        <f>IF(Assumptions!$B$19=1,MAX(H103,Coverage!Q13),Coverage!Q13)</f>
        <v>0.41649999999999993</v>
      </c>
      <c r="K103" s="9">
        <f>IF(G103&lt;=Assumptions!$B$4,H103+(I103-H103)*(G103-Assumptions!$B$2)/(Assumptions!$B$4-Assumptions!$B$2),IF(G103&lt;=Assumptions!$B$5,I103+(J103-I103)*(G103-Assumptions!$B$4)/(Assumptions!$B$5-Assumptions!$B$4),J103))</f>
        <v>0.41649999999999993</v>
      </c>
      <c r="L103" s="9">
        <f t="shared" si="10"/>
        <v>0.1655176973841091</v>
      </c>
      <c r="M103" s="9">
        <f t="shared" si="9"/>
        <v>0</v>
      </c>
      <c r="N103" s="10" t="s">
        <v>275</v>
      </c>
      <c r="O103" s="10" t="s">
        <v>257</v>
      </c>
      <c r="P103" s="5" t="str">
        <f t="shared" si="11"/>
        <v>OK</v>
      </c>
    </row>
    <row r="104" spans="1:16">
      <c r="A104" s="5" t="s">
        <v>361</v>
      </c>
      <c r="B104" s="5" t="s">
        <v>84</v>
      </c>
      <c r="C104" s="5" t="s">
        <v>122</v>
      </c>
      <c r="D104" s="5" t="s">
        <v>123</v>
      </c>
      <c r="E104" s="5" t="s">
        <v>228</v>
      </c>
      <c r="F104" s="5" t="s">
        <v>224</v>
      </c>
      <c r="G104" s="5">
        <v>2049</v>
      </c>
      <c r="H104" s="9">
        <f>Coverage!Q11</f>
        <v>0.1655176973841091</v>
      </c>
      <c r="I104" s="9">
        <f>IF(Assumptions!$B$19=1,MAX(H104,Coverage!Q12),Coverage!Q12)</f>
        <v>0.1655176973841091</v>
      </c>
      <c r="J104" s="9">
        <f>IF(Assumptions!$B$19=1,MAX(H104,Coverage!Q13),Coverage!Q13)</f>
        <v>0.41649999999999993</v>
      </c>
      <c r="K104" s="9">
        <f>IF(G104&lt;=Assumptions!$B$4,H104+(I104-H104)*(G104-Assumptions!$B$2)/(Assumptions!$B$4-Assumptions!$B$2),IF(G104&lt;=Assumptions!$B$5,I104+(J104-I104)*(G104-Assumptions!$B$4)/(Assumptions!$B$5-Assumptions!$B$4),J104))</f>
        <v>0.41649999999999993</v>
      </c>
      <c r="L104" s="9">
        <f t="shared" si="10"/>
        <v>0.1655176973841091</v>
      </c>
      <c r="M104" s="9">
        <f t="shared" si="9"/>
        <v>0</v>
      </c>
      <c r="N104" s="5" t="s">
        <v>275</v>
      </c>
      <c r="O104" s="5" t="s">
        <v>257</v>
      </c>
      <c r="P104" s="5" t="str">
        <f t="shared" si="11"/>
        <v>OK</v>
      </c>
    </row>
    <row r="105" spans="1:16">
      <c r="A105" s="10" t="s">
        <v>362</v>
      </c>
      <c r="B105" s="10" t="s">
        <v>84</v>
      </c>
      <c r="C105" s="10" t="s">
        <v>122</v>
      </c>
      <c r="D105" s="10" t="s">
        <v>123</v>
      </c>
      <c r="E105" s="10" t="s">
        <v>228</v>
      </c>
      <c r="F105" s="10" t="s">
        <v>224</v>
      </c>
      <c r="G105" s="10">
        <v>2050</v>
      </c>
      <c r="H105" s="9">
        <f>Coverage!Q11</f>
        <v>0.1655176973841091</v>
      </c>
      <c r="I105" s="9">
        <f>IF(Assumptions!$B$19=1,MAX(H105,Coverage!Q12),Coverage!Q12)</f>
        <v>0.1655176973841091</v>
      </c>
      <c r="J105" s="9">
        <f>IF(Assumptions!$B$19=1,MAX(H105,Coverage!Q13),Coverage!Q13)</f>
        <v>0.41649999999999993</v>
      </c>
      <c r="K105" s="9">
        <f>IF(G105&lt;=Assumptions!$B$4,H105+(I105-H105)*(G105-Assumptions!$B$2)/(Assumptions!$B$4-Assumptions!$B$2),IF(G105&lt;=Assumptions!$B$5,I105+(J105-I105)*(G105-Assumptions!$B$4)/(Assumptions!$B$5-Assumptions!$B$4),J105))</f>
        <v>0.41649999999999993</v>
      </c>
      <c r="L105" s="9">
        <f t="shared" si="10"/>
        <v>0.1655176973841091</v>
      </c>
      <c r="M105" s="9">
        <f t="shared" si="9"/>
        <v>0</v>
      </c>
      <c r="N105" s="10" t="s">
        <v>275</v>
      </c>
      <c r="O105" s="10" t="s">
        <v>257</v>
      </c>
      <c r="P105" s="5" t="str">
        <f t="shared" si="11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8"/>
  <sheetViews>
    <sheetView showGridLines="0" tabSelected="1" topLeftCell="K1" workbookViewId="0">
      <selection activeCell="S7" sqref="S7"/>
    </sheetView>
  </sheetViews>
  <sheetFormatPr defaultColWidth="11.19921875" defaultRowHeight="13.8"/>
  <cols>
    <col min="1" max="1" width="26" customWidth="1"/>
    <col min="2" max="2" width="30" customWidth="1"/>
    <col min="3" max="3" width="20" customWidth="1"/>
    <col min="4" max="4" width="18" customWidth="1"/>
    <col min="5" max="5" width="24" customWidth="1"/>
    <col min="6" max="6" width="14" customWidth="1"/>
    <col min="7" max="7" width="32" customWidth="1"/>
    <col min="8" max="8" width="40" customWidth="1"/>
    <col min="9" max="9" width="32" customWidth="1"/>
    <col min="10" max="10" width="56" customWidth="1"/>
    <col min="11" max="11" width="26" customWidth="1"/>
    <col min="12" max="12" width="18" customWidth="1"/>
    <col min="13" max="13" width="28" customWidth="1"/>
    <col min="14" max="14" width="18" customWidth="1"/>
    <col min="15" max="17" width="12" customWidth="1"/>
    <col min="18" max="18" width="20" customWidth="1"/>
    <col min="19" max="19" width="18" customWidth="1"/>
    <col min="20" max="20" width="14" customWidth="1"/>
    <col min="21" max="22" width="18" customWidth="1"/>
    <col min="23" max="23" width="32" customWidth="1"/>
    <col min="24" max="24" width="24" customWidth="1"/>
    <col min="25" max="25" width="18" customWidth="1"/>
    <col min="26" max="26" width="54" customWidth="1"/>
    <col min="27" max="28" width="16" customWidth="1"/>
    <col min="29" max="29" width="20" customWidth="1"/>
  </cols>
  <sheetData>
    <row r="1" spans="1:29" ht="30" customHeight="1">
      <c r="A1" s="4" t="s">
        <v>363</v>
      </c>
      <c r="B1" s="4" t="s">
        <v>364</v>
      </c>
      <c r="C1" s="4" t="s">
        <v>365</v>
      </c>
      <c r="D1" s="4" t="s">
        <v>366</v>
      </c>
      <c r="E1" s="4" t="s">
        <v>108</v>
      </c>
      <c r="F1" s="4" t="s">
        <v>112</v>
      </c>
      <c r="G1" s="4" t="s">
        <v>142</v>
      </c>
      <c r="H1" s="4" t="s">
        <v>109</v>
      </c>
      <c r="I1" s="4" t="s">
        <v>113</v>
      </c>
      <c r="J1" s="4" t="s">
        <v>367</v>
      </c>
      <c r="K1" s="4" t="s">
        <v>368</v>
      </c>
      <c r="L1" s="4" t="s">
        <v>369</v>
      </c>
      <c r="M1" s="4" t="s">
        <v>370</v>
      </c>
      <c r="N1" s="4" t="s">
        <v>371</v>
      </c>
      <c r="O1" s="4" t="s">
        <v>168</v>
      </c>
      <c r="P1" s="4" t="s">
        <v>169</v>
      </c>
      <c r="Q1" s="4" t="s">
        <v>170</v>
      </c>
      <c r="R1" s="4" t="s">
        <v>372</v>
      </c>
      <c r="S1" s="4" t="s">
        <v>373</v>
      </c>
      <c r="T1" s="4" t="s">
        <v>374</v>
      </c>
      <c r="U1" s="4" t="s">
        <v>375</v>
      </c>
      <c r="V1" s="4" t="s">
        <v>376</v>
      </c>
      <c r="W1" s="4" t="s">
        <v>171</v>
      </c>
      <c r="X1" s="4" t="s">
        <v>172</v>
      </c>
      <c r="Y1" s="4" t="s">
        <v>173</v>
      </c>
      <c r="Z1" s="4" t="s">
        <v>145</v>
      </c>
      <c r="AA1" s="4" t="s">
        <v>174</v>
      </c>
      <c r="AB1" s="4" t="s">
        <v>377</v>
      </c>
      <c r="AC1" s="4" t="s">
        <v>175</v>
      </c>
    </row>
    <row r="2" spans="1:29">
      <c r="A2" s="5" t="s">
        <v>378</v>
      </c>
      <c r="B2" s="5" t="s">
        <v>379</v>
      </c>
      <c r="C2" s="5" t="s">
        <v>380</v>
      </c>
      <c r="D2" s="6">
        <v>0</v>
      </c>
      <c r="E2" s="5" t="s">
        <v>116</v>
      </c>
      <c r="F2" s="5" t="s">
        <v>135</v>
      </c>
      <c r="G2" s="5" t="s">
        <v>149</v>
      </c>
      <c r="H2" s="5" t="s">
        <v>117</v>
      </c>
      <c r="I2" s="5" t="s">
        <v>381</v>
      </c>
      <c r="J2" s="5" t="s">
        <v>382</v>
      </c>
      <c r="K2" s="5" t="s">
        <v>383</v>
      </c>
      <c r="L2" s="7">
        <v>0.2</v>
      </c>
      <c r="M2" s="5" t="s">
        <v>384</v>
      </c>
      <c r="N2" s="6">
        <v>1</v>
      </c>
      <c r="O2" s="5">
        <v>30</v>
      </c>
      <c r="P2" s="5">
        <v>95</v>
      </c>
      <c r="Q2" s="5" t="s">
        <v>178</v>
      </c>
      <c r="R2" s="5" t="s">
        <v>385</v>
      </c>
      <c r="S2" s="11">
        <v>1.2915840000000001</v>
      </c>
      <c r="T2" s="6">
        <v>2023</v>
      </c>
      <c r="U2" s="6">
        <v>1</v>
      </c>
      <c r="V2" s="5" t="s">
        <v>386</v>
      </c>
      <c r="W2" s="5" t="s">
        <v>387</v>
      </c>
      <c r="X2" s="5" t="s">
        <v>388</v>
      </c>
      <c r="Y2" s="5" t="s">
        <v>15</v>
      </c>
      <c r="Z2" s="5" t="s">
        <v>389</v>
      </c>
      <c r="AA2" s="5">
        <f>COUNTIF(Intervention_Cause_Map!$J$2:$J$7,G2)</f>
        <v>4</v>
      </c>
      <c r="AB2" s="5">
        <f t="shared" ref="AB2:AB8" si="0">SUMIF($B$2:$B$8,B2,$D$2:$D$8)</f>
        <v>1</v>
      </c>
      <c r="AC2" s="5" t="str">
        <f t="shared" ref="AC2:AC8" si="1">IF(AA2&lt;1,"BAD KEY",IF(S2="","MISSING COST",IF(U2=0,"REVIEW ADJUSTMENT",IF(AB2&lt;&gt;1,"CHECK SELECTION","OK"))))</f>
        <v>OK</v>
      </c>
    </row>
    <row r="3" spans="1:29">
      <c r="A3" s="10" t="s">
        <v>390</v>
      </c>
      <c r="B3" s="10" t="s">
        <v>379</v>
      </c>
      <c r="C3" s="10" t="s">
        <v>391</v>
      </c>
      <c r="D3" s="6">
        <v>1</v>
      </c>
      <c r="E3" s="10" t="s">
        <v>116</v>
      </c>
      <c r="F3" s="10" t="s">
        <v>135</v>
      </c>
      <c r="G3" s="10" t="s">
        <v>149</v>
      </c>
      <c r="H3" s="10" t="s">
        <v>117</v>
      </c>
      <c r="I3" s="10" t="s">
        <v>381</v>
      </c>
      <c r="J3" s="10" t="s">
        <v>382</v>
      </c>
      <c r="K3" s="10" t="s">
        <v>383</v>
      </c>
      <c r="L3" s="7">
        <v>0.2</v>
      </c>
      <c r="M3" s="10" t="s">
        <v>384</v>
      </c>
      <c r="N3" s="6">
        <v>1</v>
      </c>
      <c r="O3" s="10">
        <v>30</v>
      </c>
      <c r="P3" s="10">
        <v>95</v>
      </c>
      <c r="Q3" s="10" t="s">
        <v>178</v>
      </c>
      <c r="R3" s="10" t="s">
        <v>385</v>
      </c>
      <c r="S3" s="11">
        <v>2.7665220000000001</v>
      </c>
      <c r="T3" s="6">
        <v>2023</v>
      </c>
      <c r="U3" s="6">
        <v>1</v>
      </c>
      <c r="V3" s="10" t="s">
        <v>386</v>
      </c>
      <c r="W3" s="10" t="s">
        <v>387</v>
      </c>
      <c r="X3" s="10" t="s">
        <v>392</v>
      </c>
      <c r="Y3" s="10" t="s">
        <v>393</v>
      </c>
      <c r="Z3" s="10" t="s">
        <v>394</v>
      </c>
      <c r="AA3" s="5">
        <f>COUNTIF(Intervention_Cause_Map!$J$2:$J$7,G3)</f>
        <v>4</v>
      </c>
      <c r="AB3" s="5">
        <f t="shared" si="0"/>
        <v>1</v>
      </c>
      <c r="AC3" s="5" t="str">
        <f t="shared" si="1"/>
        <v>OK</v>
      </c>
    </row>
    <row r="4" spans="1:29">
      <c r="A4" s="5" t="s">
        <v>395</v>
      </c>
      <c r="B4" s="5" t="s">
        <v>396</v>
      </c>
      <c r="C4" s="5" t="s">
        <v>380</v>
      </c>
      <c r="D4" s="6">
        <v>0</v>
      </c>
      <c r="E4" s="5" t="s">
        <v>116</v>
      </c>
      <c r="F4" s="5" t="s">
        <v>135</v>
      </c>
      <c r="G4" s="5" t="s">
        <v>149</v>
      </c>
      <c r="H4" s="5" t="s">
        <v>117</v>
      </c>
      <c r="I4" s="5" t="s">
        <v>381</v>
      </c>
      <c r="J4" s="5" t="s">
        <v>397</v>
      </c>
      <c r="K4" s="5" t="s">
        <v>383</v>
      </c>
      <c r="L4" s="7">
        <v>0.06</v>
      </c>
      <c r="M4" s="5" t="s">
        <v>384</v>
      </c>
      <c r="N4" s="6">
        <v>1</v>
      </c>
      <c r="O4" s="5">
        <v>30</v>
      </c>
      <c r="P4" s="5">
        <v>95</v>
      </c>
      <c r="Q4" s="5" t="s">
        <v>178</v>
      </c>
      <c r="R4" s="5" t="s">
        <v>385</v>
      </c>
      <c r="S4" s="11">
        <v>22.229600000000001</v>
      </c>
      <c r="T4" s="6">
        <v>2023</v>
      </c>
      <c r="U4" s="6">
        <v>1</v>
      </c>
      <c r="V4" s="5" t="s">
        <v>386</v>
      </c>
      <c r="W4" s="5" t="s">
        <v>387</v>
      </c>
      <c r="X4" s="5" t="s">
        <v>398</v>
      </c>
      <c r="Y4" s="5" t="s">
        <v>15</v>
      </c>
      <c r="Z4" s="5" t="s">
        <v>389</v>
      </c>
      <c r="AA4" s="5">
        <f>COUNTIF(Intervention_Cause_Map!$J$2:$J$7,G4)</f>
        <v>4</v>
      </c>
      <c r="AB4" s="5">
        <f t="shared" si="0"/>
        <v>1</v>
      </c>
      <c r="AC4" s="5" t="str">
        <f t="shared" si="1"/>
        <v>OK</v>
      </c>
    </row>
    <row r="5" spans="1:29">
      <c r="A5" s="10" t="s">
        <v>399</v>
      </c>
      <c r="B5" s="10" t="s">
        <v>396</v>
      </c>
      <c r="C5" s="10" t="s">
        <v>391</v>
      </c>
      <c r="D5" s="6">
        <v>1</v>
      </c>
      <c r="E5" s="10" t="s">
        <v>116</v>
      </c>
      <c r="F5" s="10" t="s">
        <v>135</v>
      </c>
      <c r="G5" s="10" t="s">
        <v>149</v>
      </c>
      <c r="H5" s="10" t="s">
        <v>117</v>
      </c>
      <c r="I5" s="10" t="s">
        <v>381</v>
      </c>
      <c r="J5" s="10" t="s">
        <v>397</v>
      </c>
      <c r="K5" s="10" t="s">
        <v>383</v>
      </c>
      <c r="L5" s="7">
        <v>0.06</v>
      </c>
      <c r="M5" s="10" t="s">
        <v>384</v>
      </c>
      <c r="N5" s="6">
        <v>1</v>
      </c>
      <c r="O5" s="10">
        <v>30</v>
      </c>
      <c r="P5" s="10">
        <v>95</v>
      </c>
      <c r="Q5" s="10" t="s">
        <v>178</v>
      </c>
      <c r="R5" s="10" t="s">
        <v>385</v>
      </c>
      <c r="S5" s="11">
        <v>40.487718999999998</v>
      </c>
      <c r="T5" s="6">
        <v>2023</v>
      </c>
      <c r="U5" s="6">
        <v>1</v>
      </c>
      <c r="V5" s="10" t="s">
        <v>386</v>
      </c>
      <c r="W5" s="10" t="s">
        <v>387</v>
      </c>
      <c r="X5" s="10" t="s">
        <v>400</v>
      </c>
      <c r="Y5" s="10" t="s">
        <v>393</v>
      </c>
      <c r="Z5" s="10" t="s">
        <v>394</v>
      </c>
      <c r="AA5" s="5">
        <f>COUNTIF(Intervention_Cause_Map!$J$2:$J$7,G5)</f>
        <v>4</v>
      </c>
      <c r="AB5" s="5">
        <f t="shared" si="0"/>
        <v>1</v>
      </c>
      <c r="AC5" s="5" t="str">
        <f t="shared" si="1"/>
        <v>OK</v>
      </c>
    </row>
    <row r="6" spans="1:29">
      <c r="A6" s="5" t="s">
        <v>401</v>
      </c>
      <c r="B6" s="5" t="s">
        <v>402</v>
      </c>
      <c r="C6" s="5" t="s">
        <v>403</v>
      </c>
      <c r="D6" s="6">
        <v>1</v>
      </c>
      <c r="E6" s="5" t="s">
        <v>122</v>
      </c>
      <c r="F6" s="5" t="s">
        <v>132</v>
      </c>
      <c r="G6" s="5" t="s">
        <v>156</v>
      </c>
      <c r="H6" s="5" t="s">
        <v>123</v>
      </c>
      <c r="I6" s="5" t="s">
        <v>404</v>
      </c>
      <c r="J6" s="5" t="s">
        <v>405</v>
      </c>
      <c r="K6" s="5" t="s">
        <v>383</v>
      </c>
      <c r="L6" s="7">
        <v>1.0000000000000001E-5</v>
      </c>
      <c r="M6" s="5" t="s">
        <v>406</v>
      </c>
      <c r="N6" s="6">
        <v>1</v>
      </c>
      <c r="O6" s="5">
        <v>30</v>
      </c>
      <c r="P6" s="5">
        <v>95</v>
      </c>
      <c r="Q6" s="5" t="s">
        <v>178</v>
      </c>
      <c r="R6" s="5" t="s">
        <v>385</v>
      </c>
      <c r="S6" s="11">
        <v>0.70495847821973801</v>
      </c>
      <c r="T6" s="6">
        <v>2023</v>
      </c>
      <c r="U6" s="6">
        <v>1</v>
      </c>
      <c r="V6" s="5" t="s">
        <v>407</v>
      </c>
      <c r="W6" s="5" t="s">
        <v>408</v>
      </c>
      <c r="X6" s="5" t="s">
        <v>409</v>
      </c>
      <c r="Y6" s="5" t="s">
        <v>17</v>
      </c>
      <c r="Z6" s="5" t="s">
        <v>410</v>
      </c>
      <c r="AA6" s="5">
        <f>COUNTIF(Intervention_Cause_Map!$J$2:$J$7,G6)</f>
        <v>2</v>
      </c>
      <c r="AB6" s="5">
        <f t="shared" si="0"/>
        <v>1</v>
      </c>
      <c r="AC6" s="5" t="str">
        <f t="shared" si="1"/>
        <v>OK</v>
      </c>
    </row>
    <row r="7" spans="1:29">
      <c r="A7" s="10" t="s">
        <v>411</v>
      </c>
      <c r="B7" s="10" t="s">
        <v>412</v>
      </c>
      <c r="C7" s="10" t="s">
        <v>403</v>
      </c>
      <c r="D7" s="6">
        <v>1</v>
      </c>
      <c r="E7" s="10" t="s">
        <v>122</v>
      </c>
      <c r="F7" s="10" t="s">
        <v>132</v>
      </c>
      <c r="G7" s="10" t="s">
        <v>156</v>
      </c>
      <c r="H7" s="10" t="s">
        <v>123</v>
      </c>
      <c r="I7" s="10" t="s">
        <v>133</v>
      </c>
      <c r="J7" s="10" t="s">
        <v>413</v>
      </c>
      <c r="K7" s="10" t="s">
        <v>414</v>
      </c>
      <c r="L7" s="7">
        <v>0.6</v>
      </c>
      <c r="M7" s="10" t="s">
        <v>415</v>
      </c>
      <c r="N7" s="6">
        <v>1</v>
      </c>
      <c r="O7" s="10">
        <v>30</v>
      </c>
      <c r="P7" s="10">
        <v>95</v>
      </c>
      <c r="Q7" s="10" t="s">
        <v>178</v>
      </c>
      <c r="R7" s="10" t="s">
        <v>385</v>
      </c>
      <c r="S7" s="11">
        <f>752.576232260719*0.3</f>
        <v>225.7728696782157</v>
      </c>
      <c r="T7" s="6">
        <v>2023</v>
      </c>
      <c r="U7" s="6">
        <v>1</v>
      </c>
      <c r="V7" s="10" t="s">
        <v>416</v>
      </c>
      <c r="W7" s="10" t="s">
        <v>408</v>
      </c>
      <c r="X7" s="10" t="s">
        <v>417</v>
      </c>
      <c r="Y7" s="10" t="s">
        <v>17</v>
      </c>
      <c r="Z7" s="10" t="s">
        <v>418</v>
      </c>
      <c r="AA7" s="5">
        <f>COUNTIF(Intervention_Cause_Map!$J$2:$J$7,G7)</f>
        <v>2</v>
      </c>
      <c r="AB7" s="5">
        <f t="shared" si="0"/>
        <v>1</v>
      </c>
      <c r="AC7" s="5" t="str">
        <f t="shared" si="1"/>
        <v>OK</v>
      </c>
    </row>
    <row r="8" spans="1:29">
      <c r="A8" s="5" t="s">
        <v>419</v>
      </c>
      <c r="B8" s="5" t="s">
        <v>420</v>
      </c>
      <c r="C8" s="5" t="s">
        <v>403</v>
      </c>
      <c r="D8" s="6">
        <v>1</v>
      </c>
      <c r="E8" s="5" t="s">
        <v>122</v>
      </c>
      <c r="F8" s="5" t="s">
        <v>132</v>
      </c>
      <c r="G8" s="5" t="s">
        <v>156</v>
      </c>
      <c r="H8" s="5" t="s">
        <v>123</v>
      </c>
      <c r="I8" s="5" t="s">
        <v>133</v>
      </c>
      <c r="J8" s="5" t="s">
        <v>421</v>
      </c>
      <c r="K8" s="5" t="s">
        <v>414</v>
      </c>
      <c r="L8" s="7">
        <v>0.2</v>
      </c>
      <c r="M8" s="5" t="s">
        <v>415</v>
      </c>
      <c r="N8" s="6">
        <v>1</v>
      </c>
      <c r="O8" s="5">
        <v>30</v>
      </c>
      <c r="P8" s="5">
        <v>95</v>
      </c>
      <c r="Q8" s="5" t="s">
        <v>178</v>
      </c>
      <c r="R8" s="5" t="s">
        <v>385</v>
      </c>
      <c r="S8" s="11">
        <f>1154.03552166169*0.3</f>
        <v>346.21065649850698</v>
      </c>
      <c r="T8" s="6">
        <v>2023</v>
      </c>
      <c r="U8" s="6">
        <v>1</v>
      </c>
      <c r="V8" s="5" t="s">
        <v>416</v>
      </c>
      <c r="W8" s="5" t="s">
        <v>408</v>
      </c>
      <c r="X8" s="5" t="s">
        <v>422</v>
      </c>
      <c r="Y8" s="5" t="s">
        <v>17</v>
      </c>
      <c r="Z8" s="5" t="s">
        <v>423</v>
      </c>
      <c r="AA8" s="5">
        <f>COUNTIF(Intervention_Cause_Map!$J$2:$J$7,G8)</f>
        <v>2</v>
      </c>
      <c r="AB8" s="5">
        <f t="shared" si="0"/>
        <v>1</v>
      </c>
      <c r="AC8" s="5" t="str">
        <f t="shared" si="1"/>
        <v>OK</v>
      </c>
    </row>
  </sheetData>
  <pageMargins left="0.7" right="0.7" top="0.75" bottom="0.75" header="0.3" footer="0.3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T313"/>
  <sheetViews>
    <sheetView showGridLines="0" topLeftCell="A185" workbookViewId="0"/>
  </sheetViews>
  <sheetFormatPr defaultColWidth="11.19921875" defaultRowHeight="13.8"/>
  <cols>
    <col min="1" max="1" width="42" customWidth="1"/>
    <col min="2" max="2" width="34" customWidth="1"/>
    <col min="3" max="3" width="24" customWidth="1"/>
    <col min="4" max="4" width="42" customWidth="1"/>
    <col min="5" max="5" width="14" customWidth="1"/>
    <col min="6" max="6" width="38" customWidth="1"/>
    <col min="7" max="8" width="12" customWidth="1"/>
    <col min="9" max="10" width="18" customWidth="1"/>
    <col min="11" max="12" width="16" customWidth="1"/>
    <col min="13" max="14" width="22" customWidth="1"/>
    <col min="15" max="15" width="18" customWidth="1"/>
    <col min="16" max="16" width="22" customWidth="1"/>
    <col min="17" max="17" width="24" customWidth="1"/>
    <col min="18" max="18" width="20" customWidth="1"/>
    <col min="19" max="19" width="36" customWidth="1"/>
    <col min="20" max="20" width="14" customWidth="1"/>
  </cols>
  <sheetData>
    <row r="1" spans="1:20" ht="30" customHeight="1">
      <c r="A1" s="4" t="s">
        <v>424</v>
      </c>
      <c r="B1" s="4" t="s">
        <v>138</v>
      </c>
      <c r="C1" s="4" t="s">
        <v>108</v>
      </c>
      <c r="D1" s="4" t="s">
        <v>109</v>
      </c>
      <c r="E1" s="4" t="s">
        <v>112</v>
      </c>
      <c r="F1" s="4" t="s">
        <v>113</v>
      </c>
      <c r="G1" s="4" t="s">
        <v>170</v>
      </c>
      <c r="H1" s="4" t="s">
        <v>31</v>
      </c>
      <c r="I1" s="4" t="s">
        <v>139</v>
      </c>
      <c r="J1" s="4" t="s">
        <v>140</v>
      </c>
      <c r="K1" s="4" t="s">
        <v>166</v>
      </c>
      <c r="L1" s="4" t="s">
        <v>167</v>
      </c>
      <c r="M1" s="4" t="s">
        <v>247</v>
      </c>
      <c r="N1" s="4" t="s">
        <v>250</v>
      </c>
      <c r="O1" s="4" t="s">
        <v>425</v>
      </c>
      <c r="P1" s="4" t="s">
        <v>426</v>
      </c>
      <c r="Q1" s="4" t="s">
        <v>427</v>
      </c>
      <c r="R1" s="4" t="s">
        <v>428</v>
      </c>
      <c r="S1" s="4" t="s">
        <v>29</v>
      </c>
      <c r="T1" s="4" t="s">
        <v>175</v>
      </c>
    </row>
    <row r="2" spans="1:20">
      <c r="A2" s="5" t="s">
        <v>429</v>
      </c>
      <c r="B2" s="5" t="s">
        <v>146</v>
      </c>
      <c r="C2" s="5" t="s">
        <v>116</v>
      </c>
      <c r="D2" s="5" t="s">
        <v>117</v>
      </c>
      <c r="E2" s="5" t="s">
        <v>120</v>
      </c>
      <c r="F2" s="5" t="s">
        <v>121</v>
      </c>
      <c r="G2" s="5" t="s">
        <v>213</v>
      </c>
      <c r="H2" s="5">
        <v>2025</v>
      </c>
      <c r="I2" s="5" t="s">
        <v>147</v>
      </c>
      <c r="J2" s="5" t="s">
        <v>148</v>
      </c>
      <c r="K2" s="9">
        <f>Effect_Sizes!J2</f>
        <v>0.57999999999999996</v>
      </c>
      <c r="L2" s="9">
        <f>Effect_Sizes!K2</f>
        <v>0.8</v>
      </c>
      <c r="M2" s="9">
        <f>Coverage_Trajectory!H2</f>
        <v>9.4852976806097139E-2</v>
      </c>
      <c r="N2" s="9">
        <f>Coverage_Trajectory!K2</f>
        <v>9.4852976806097139E-2</v>
      </c>
      <c r="O2" s="9">
        <f t="shared" ref="O2:O65" si="0">N2-M2</f>
        <v>0</v>
      </c>
      <c r="P2" s="9">
        <f t="shared" ref="P2:P65" si="1">IF(O2=0,0,K2*O2/(1-K2*M2))</f>
        <v>0</v>
      </c>
      <c r="Q2" s="9">
        <f t="shared" ref="Q2:Q65" si="2">P2*L2</f>
        <v>0</v>
      </c>
      <c r="R2" s="9">
        <f t="shared" ref="R2:R65" si="3">1-Q2</f>
        <v>1</v>
      </c>
      <c r="S2" s="5" t="s">
        <v>430</v>
      </c>
      <c r="T2" s="5" t="str">
        <f t="shared" ref="T2:T65" si="4">IF(OR(R2&lt;0,R2&gt;1),"BAD","OK")</f>
        <v>OK</v>
      </c>
    </row>
    <row r="3" spans="1:20">
      <c r="A3" s="10" t="s">
        <v>431</v>
      </c>
      <c r="B3" s="10" t="s">
        <v>146</v>
      </c>
      <c r="C3" s="10" t="s">
        <v>116</v>
      </c>
      <c r="D3" s="10" t="s">
        <v>117</v>
      </c>
      <c r="E3" s="10" t="s">
        <v>120</v>
      </c>
      <c r="F3" s="10" t="s">
        <v>121</v>
      </c>
      <c r="G3" s="10" t="s">
        <v>213</v>
      </c>
      <c r="H3" s="10">
        <v>2026</v>
      </c>
      <c r="I3" s="10" t="s">
        <v>147</v>
      </c>
      <c r="J3" s="10" t="s">
        <v>148</v>
      </c>
      <c r="K3" s="9">
        <f>Effect_Sizes!J2</f>
        <v>0.57999999999999996</v>
      </c>
      <c r="L3" s="9">
        <f>Effect_Sizes!K2</f>
        <v>0.8</v>
      </c>
      <c r="M3" s="9">
        <f>Coverage_Trajectory!H3</f>
        <v>9.4852976806097139E-2</v>
      </c>
      <c r="N3" s="9">
        <f>Coverage_Trajectory!K3</f>
        <v>0.10318238144487771</v>
      </c>
      <c r="O3" s="9">
        <f t="shared" si="0"/>
        <v>8.3294046387805687E-3</v>
      </c>
      <c r="P3" s="9">
        <f t="shared" si="1"/>
        <v>5.112306854098028E-3</v>
      </c>
      <c r="Q3" s="9">
        <f t="shared" si="2"/>
        <v>4.0898454832784224E-3</v>
      </c>
      <c r="R3" s="9">
        <f t="shared" si="3"/>
        <v>0.9959101545167216</v>
      </c>
      <c r="S3" s="10" t="s">
        <v>430</v>
      </c>
      <c r="T3" s="5" t="str">
        <f t="shared" si="4"/>
        <v>OK</v>
      </c>
    </row>
    <row r="4" spans="1:20">
      <c r="A4" s="5" t="s">
        <v>432</v>
      </c>
      <c r="B4" s="5" t="s">
        <v>146</v>
      </c>
      <c r="C4" s="5" t="s">
        <v>116</v>
      </c>
      <c r="D4" s="5" t="s">
        <v>117</v>
      </c>
      <c r="E4" s="5" t="s">
        <v>120</v>
      </c>
      <c r="F4" s="5" t="s">
        <v>121</v>
      </c>
      <c r="G4" s="5" t="s">
        <v>213</v>
      </c>
      <c r="H4" s="5">
        <v>2027</v>
      </c>
      <c r="I4" s="5" t="s">
        <v>147</v>
      </c>
      <c r="J4" s="5" t="s">
        <v>148</v>
      </c>
      <c r="K4" s="9">
        <f>Effect_Sizes!J2</f>
        <v>0.57999999999999996</v>
      </c>
      <c r="L4" s="9">
        <f>Effect_Sizes!K2</f>
        <v>0.8</v>
      </c>
      <c r="M4" s="9">
        <f>Coverage_Trajectory!H4</f>
        <v>9.4852976806097139E-2</v>
      </c>
      <c r="N4" s="9">
        <f>Coverage_Trajectory!K4</f>
        <v>0.11151178608365829</v>
      </c>
      <c r="O4" s="9">
        <f t="shared" si="0"/>
        <v>1.6658809277561151E-2</v>
      </c>
      <c r="P4" s="9">
        <f t="shared" si="1"/>
        <v>1.0224613708196066E-2</v>
      </c>
      <c r="Q4" s="9">
        <f t="shared" si="2"/>
        <v>8.1796909665568535E-3</v>
      </c>
      <c r="R4" s="9">
        <f t="shared" si="3"/>
        <v>0.99182030903344309</v>
      </c>
      <c r="S4" s="5" t="s">
        <v>430</v>
      </c>
      <c r="T4" s="5" t="str">
        <f t="shared" si="4"/>
        <v>OK</v>
      </c>
    </row>
    <row r="5" spans="1:20">
      <c r="A5" s="10" t="s">
        <v>433</v>
      </c>
      <c r="B5" s="10" t="s">
        <v>146</v>
      </c>
      <c r="C5" s="10" t="s">
        <v>116</v>
      </c>
      <c r="D5" s="10" t="s">
        <v>117</v>
      </c>
      <c r="E5" s="10" t="s">
        <v>120</v>
      </c>
      <c r="F5" s="10" t="s">
        <v>121</v>
      </c>
      <c r="G5" s="10" t="s">
        <v>213</v>
      </c>
      <c r="H5" s="10">
        <v>2028</v>
      </c>
      <c r="I5" s="10" t="s">
        <v>147</v>
      </c>
      <c r="J5" s="10" t="s">
        <v>148</v>
      </c>
      <c r="K5" s="9">
        <f>Effect_Sizes!J2</f>
        <v>0.57999999999999996</v>
      </c>
      <c r="L5" s="9">
        <f>Effect_Sizes!K2</f>
        <v>0.8</v>
      </c>
      <c r="M5" s="9">
        <f>Coverage_Trajectory!H5</f>
        <v>9.4852976806097139E-2</v>
      </c>
      <c r="N5" s="9">
        <f>Coverage_Trajectory!K5</f>
        <v>0.11984119072243886</v>
      </c>
      <c r="O5" s="9">
        <f t="shared" si="0"/>
        <v>2.498821391634172E-2</v>
      </c>
      <c r="P5" s="9">
        <f t="shared" si="1"/>
        <v>1.5336920562294094E-2</v>
      </c>
      <c r="Q5" s="9">
        <f t="shared" si="2"/>
        <v>1.2269536449835276E-2</v>
      </c>
      <c r="R5" s="9">
        <f t="shared" si="3"/>
        <v>0.98773046355016469</v>
      </c>
      <c r="S5" s="10" t="s">
        <v>430</v>
      </c>
      <c r="T5" s="5" t="str">
        <f t="shared" si="4"/>
        <v>OK</v>
      </c>
    </row>
    <row r="6" spans="1:20">
      <c r="A6" s="5" t="s">
        <v>434</v>
      </c>
      <c r="B6" s="5" t="s">
        <v>146</v>
      </c>
      <c r="C6" s="5" t="s">
        <v>116</v>
      </c>
      <c r="D6" s="5" t="s">
        <v>117</v>
      </c>
      <c r="E6" s="5" t="s">
        <v>120</v>
      </c>
      <c r="F6" s="5" t="s">
        <v>121</v>
      </c>
      <c r="G6" s="5" t="s">
        <v>213</v>
      </c>
      <c r="H6" s="5">
        <v>2029</v>
      </c>
      <c r="I6" s="5" t="s">
        <v>147</v>
      </c>
      <c r="J6" s="5" t="s">
        <v>148</v>
      </c>
      <c r="K6" s="9">
        <f>Effect_Sizes!J2</f>
        <v>0.57999999999999996</v>
      </c>
      <c r="L6" s="9">
        <f>Effect_Sizes!K2</f>
        <v>0.8</v>
      </c>
      <c r="M6" s="9">
        <f>Coverage_Trajectory!H6</f>
        <v>9.4852976806097139E-2</v>
      </c>
      <c r="N6" s="9">
        <f>Coverage_Trajectory!K6</f>
        <v>0.12817059536121944</v>
      </c>
      <c r="O6" s="9">
        <f t="shared" si="0"/>
        <v>3.3317618555122303E-2</v>
      </c>
      <c r="P6" s="9">
        <f t="shared" si="1"/>
        <v>2.0449227416392133E-2</v>
      </c>
      <c r="Q6" s="9">
        <f t="shared" si="2"/>
        <v>1.6359381933113707E-2</v>
      </c>
      <c r="R6" s="9">
        <f t="shared" si="3"/>
        <v>0.9836406180668863</v>
      </c>
      <c r="S6" s="5" t="s">
        <v>430</v>
      </c>
      <c r="T6" s="5" t="str">
        <f t="shared" si="4"/>
        <v>OK</v>
      </c>
    </row>
    <row r="7" spans="1:20">
      <c r="A7" s="10" t="s">
        <v>435</v>
      </c>
      <c r="B7" s="10" t="s">
        <v>146</v>
      </c>
      <c r="C7" s="10" t="s">
        <v>116</v>
      </c>
      <c r="D7" s="10" t="s">
        <v>117</v>
      </c>
      <c r="E7" s="10" t="s">
        <v>120</v>
      </c>
      <c r="F7" s="10" t="s">
        <v>121</v>
      </c>
      <c r="G7" s="10" t="s">
        <v>213</v>
      </c>
      <c r="H7" s="10">
        <v>2030</v>
      </c>
      <c r="I7" s="10" t="s">
        <v>147</v>
      </c>
      <c r="J7" s="10" t="s">
        <v>148</v>
      </c>
      <c r="K7" s="9">
        <f>Effect_Sizes!J2</f>
        <v>0.57999999999999996</v>
      </c>
      <c r="L7" s="9">
        <f>Effect_Sizes!K2</f>
        <v>0.8</v>
      </c>
      <c r="M7" s="9">
        <f>Coverage_Trajectory!H7</f>
        <v>9.4852976806097139E-2</v>
      </c>
      <c r="N7" s="9">
        <f>Coverage_Trajectory!K7</f>
        <v>0.13650000000000001</v>
      </c>
      <c r="O7" s="9">
        <f t="shared" si="0"/>
        <v>4.1647023193902871E-2</v>
      </c>
      <c r="P7" s="9">
        <f t="shared" si="1"/>
        <v>2.5561534270490162E-2</v>
      </c>
      <c r="Q7" s="9">
        <f t="shared" si="2"/>
        <v>2.0449227416392129E-2</v>
      </c>
      <c r="R7" s="9">
        <f t="shared" si="3"/>
        <v>0.9795507725836079</v>
      </c>
      <c r="S7" s="10" t="s">
        <v>430</v>
      </c>
      <c r="T7" s="5" t="str">
        <f t="shared" si="4"/>
        <v>OK</v>
      </c>
    </row>
    <row r="8" spans="1:20">
      <c r="A8" s="5" t="s">
        <v>436</v>
      </c>
      <c r="B8" s="5" t="s">
        <v>146</v>
      </c>
      <c r="C8" s="5" t="s">
        <v>116</v>
      </c>
      <c r="D8" s="5" t="s">
        <v>117</v>
      </c>
      <c r="E8" s="5" t="s">
        <v>120</v>
      </c>
      <c r="F8" s="5" t="s">
        <v>121</v>
      </c>
      <c r="G8" s="5" t="s">
        <v>213</v>
      </c>
      <c r="H8" s="5">
        <v>2031</v>
      </c>
      <c r="I8" s="5" t="s">
        <v>147</v>
      </c>
      <c r="J8" s="5" t="s">
        <v>148</v>
      </c>
      <c r="K8" s="9">
        <f>Effect_Sizes!J2</f>
        <v>0.57999999999999996</v>
      </c>
      <c r="L8" s="9">
        <f>Effect_Sizes!K2</f>
        <v>0.8</v>
      </c>
      <c r="M8" s="9">
        <f>Coverage_Trajectory!H8</f>
        <v>9.4852976806097139E-2</v>
      </c>
      <c r="N8" s="9">
        <f>Coverage_Trajectory!K8</f>
        <v>0.16450000000000001</v>
      </c>
      <c r="O8" s="9">
        <f t="shared" si="0"/>
        <v>6.9647023193902868E-2</v>
      </c>
      <c r="P8" s="9">
        <f t="shared" si="1"/>
        <v>4.2746987267728777E-2</v>
      </c>
      <c r="Q8" s="9">
        <f t="shared" si="2"/>
        <v>3.419758981418302E-2</v>
      </c>
      <c r="R8" s="9">
        <f t="shared" si="3"/>
        <v>0.96580241018581703</v>
      </c>
      <c r="S8" s="5" t="s">
        <v>430</v>
      </c>
      <c r="T8" s="5" t="str">
        <f t="shared" si="4"/>
        <v>OK</v>
      </c>
    </row>
    <row r="9" spans="1:20">
      <c r="A9" s="10" t="s">
        <v>437</v>
      </c>
      <c r="B9" s="10" t="s">
        <v>146</v>
      </c>
      <c r="C9" s="10" t="s">
        <v>116</v>
      </c>
      <c r="D9" s="10" t="s">
        <v>117</v>
      </c>
      <c r="E9" s="10" t="s">
        <v>120</v>
      </c>
      <c r="F9" s="10" t="s">
        <v>121</v>
      </c>
      <c r="G9" s="10" t="s">
        <v>213</v>
      </c>
      <c r="H9" s="10">
        <v>2032</v>
      </c>
      <c r="I9" s="10" t="s">
        <v>147</v>
      </c>
      <c r="J9" s="10" t="s">
        <v>148</v>
      </c>
      <c r="K9" s="9">
        <f>Effect_Sizes!J2</f>
        <v>0.57999999999999996</v>
      </c>
      <c r="L9" s="9">
        <f>Effect_Sizes!K2</f>
        <v>0.8</v>
      </c>
      <c r="M9" s="9">
        <f>Coverage_Trajectory!H9</f>
        <v>9.4852976806097139E-2</v>
      </c>
      <c r="N9" s="9">
        <f>Coverage_Trajectory!K9</f>
        <v>0.1925</v>
      </c>
      <c r="O9" s="9">
        <f t="shared" si="0"/>
        <v>9.7647023193902865E-2</v>
      </c>
      <c r="P9" s="9">
        <f t="shared" si="1"/>
        <v>5.9932440264967399E-2</v>
      </c>
      <c r="Q9" s="9">
        <f t="shared" si="2"/>
        <v>4.7945952211973925E-2</v>
      </c>
      <c r="R9" s="9">
        <f t="shared" si="3"/>
        <v>0.95205404778802605</v>
      </c>
      <c r="S9" s="10" t="s">
        <v>430</v>
      </c>
      <c r="T9" s="5" t="str">
        <f t="shared" si="4"/>
        <v>OK</v>
      </c>
    </row>
    <row r="10" spans="1:20">
      <c r="A10" s="5" t="s">
        <v>438</v>
      </c>
      <c r="B10" s="5" t="s">
        <v>146</v>
      </c>
      <c r="C10" s="5" t="s">
        <v>116</v>
      </c>
      <c r="D10" s="5" t="s">
        <v>117</v>
      </c>
      <c r="E10" s="5" t="s">
        <v>120</v>
      </c>
      <c r="F10" s="5" t="s">
        <v>121</v>
      </c>
      <c r="G10" s="5" t="s">
        <v>213</v>
      </c>
      <c r="H10" s="5">
        <v>2033</v>
      </c>
      <c r="I10" s="5" t="s">
        <v>147</v>
      </c>
      <c r="J10" s="5" t="s">
        <v>148</v>
      </c>
      <c r="K10" s="9">
        <f>Effect_Sizes!J2</f>
        <v>0.57999999999999996</v>
      </c>
      <c r="L10" s="9">
        <f>Effect_Sizes!K2</f>
        <v>0.8</v>
      </c>
      <c r="M10" s="9">
        <f>Coverage_Trajectory!H10</f>
        <v>9.4852976806097139E-2</v>
      </c>
      <c r="N10" s="9">
        <f>Coverage_Trajectory!K10</f>
        <v>0.22049999999999997</v>
      </c>
      <c r="O10" s="9">
        <f t="shared" si="0"/>
        <v>0.12564702319390283</v>
      </c>
      <c r="P10" s="9">
        <f t="shared" si="1"/>
        <v>7.7117893262206E-2</v>
      </c>
      <c r="Q10" s="9">
        <f t="shared" si="2"/>
        <v>6.1694314609764801E-2</v>
      </c>
      <c r="R10" s="9">
        <f t="shared" si="3"/>
        <v>0.93830568539023518</v>
      </c>
      <c r="S10" s="5" t="s">
        <v>430</v>
      </c>
      <c r="T10" s="5" t="str">
        <f t="shared" si="4"/>
        <v>OK</v>
      </c>
    </row>
    <row r="11" spans="1:20">
      <c r="A11" s="10" t="s">
        <v>439</v>
      </c>
      <c r="B11" s="10" t="s">
        <v>146</v>
      </c>
      <c r="C11" s="10" t="s">
        <v>116</v>
      </c>
      <c r="D11" s="10" t="s">
        <v>117</v>
      </c>
      <c r="E11" s="10" t="s">
        <v>120</v>
      </c>
      <c r="F11" s="10" t="s">
        <v>121</v>
      </c>
      <c r="G11" s="10" t="s">
        <v>213</v>
      </c>
      <c r="H11" s="10">
        <v>2034</v>
      </c>
      <c r="I11" s="10" t="s">
        <v>147</v>
      </c>
      <c r="J11" s="10" t="s">
        <v>148</v>
      </c>
      <c r="K11" s="9">
        <f>Effect_Sizes!J2</f>
        <v>0.57999999999999996</v>
      </c>
      <c r="L11" s="9">
        <f>Effect_Sizes!K2</f>
        <v>0.8</v>
      </c>
      <c r="M11" s="9">
        <f>Coverage_Trajectory!H11</f>
        <v>9.4852976806097139E-2</v>
      </c>
      <c r="N11" s="9">
        <f>Coverage_Trajectory!K11</f>
        <v>0.24849999999999997</v>
      </c>
      <c r="O11" s="9">
        <f t="shared" si="0"/>
        <v>0.15364702319390283</v>
      </c>
      <c r="P11" s="9">
        <f t="shared" si="1"/>
        <v>9.4303346259444615E-2</v>
      </c>
      <c r="Q11" s="9">
        <f t="shared" si="2"/>
        <v>7.5442677007555692E-2</v>
      </c>
      <c r="R11" s="9">
        <f t="shared" si="3"/>
        <v>0.92455732299244431</v>
      </c>
      <c r="S11" s="10" t="s">
        <v>430</v>
      </c>
      <c r="T11" s="5" t="str">
        <f t="shared" si="4"/>
        <v>OK</v>
      </c>
    </row>
    <row r="12" spans="1:20">
      <c r="A12" s="5" t="s">
        <v>440</v>
      </c>
      <c r="B12" s="5" t="s">
        <v>146</v>
      </c>
      <c r="C12" s="5" t="s">
        <v>116</v>
      </c>
      <c r="D12" s="5" t="s">
        <v>117</v>
      </c>
      <c r="E12" s="5" t="s">
        <v>120</v>
      </c>
      <c r="F12" s="5" t="s">
        <v>121</v>
      </c>
      <c r="G12" s="5" t="s">
        <v>213</v>
      </c>
      <c r="H12" s="5">
        <v>2035</v>
      </c>
      <c r="I12" s="5" t="s">
        <v>147</v>
      </c>
      <c r="J12" s="5" t="s">
        <v>148</v>
      </c>
      <c r="K12" s="9">
        <f>Effect_Sizes!J2</f>
        <v>0.57999999999999996</v>
      </c>
      <c r="L12" s="9">
        <f>Effect_Sizes!K2</f>
        <v>0.8</v>
      </c>
      <c r="M12" s="9">
        <f>Coverage_Trajectory!H12</f>
        <v>9.4852976806097139E-2</v>
      </c>
      <c r="N12" s="9">
        <f>Coverage_Trajectory!K12</f>
        <v>0.27649999999999997</v>
      </c>
      <c r="O12" s="9">
        <f t="shared" si="0"/>
        <v>0.18164702319390283</v>
      </c>
      <c r="P12" s="9">
        <f t="shared" si="1"/>
        <v>0.11148879925668324</v>
      </c>
      <c r="Q12" s="9">
        <f t="shared" si="2"/>
        <v>8.9191039405346603E-2</v>
      </c>
      <c r="R12" s="9">
        <f t="shared" si="3"/>
        <v>0.91080896059465344</v>
      </c>
      <c r="S12" s="5" t="s">
        <v>430</v>
      </c>
      <c r="T12" s="5" t="str">
        <f t="shared" si="4"/>
        <v>OK</v>
      </c>
    </row>
    <row r="13" spans="1:20">
      <c r="A13" s="10" t="s">
        <v>441</v>
      </c>
      <c r="B13" s="10" t="s">
        <v>146</v>
      </c>
      <c r="C13" s="10" t="s">
        <v>116</v>
      </c>
      <c r="D13" s="10" t="s">
        <v>117</v>
      </c>
      <c r="E13" s="10" t="s">
        <v>120</v>
      </c>
      <c r="F13" s="10" t="s">
        <v>121</v>
      </c>
      <c r="G13" s="10" t="s">
        <v>213</v>
      </c>
      <c r="H13" s="10">
        <v>2036</v>
      </c>
      <c r="I13" s="10" t="s">
        <v>147</v>
      </c>
      <c r="J13" s="10" t="s">
        <v>148</v>
      </c>
      <c r="K13" s="9">
        <f>Effect_Sizes!J2</f>
        <v>0.57999999999999996</v>
      </c>
      <c r="L13" s="9">
        <f>Effect_Sizes!K2</f>
        <v>0.8</v>
      </c>
      <c r="M13" s="9">
        <f>Coverage_Trajectory!H13</f>
        <v>9.4852976806097139E-2</v>
      </c>
      <c r="N13" s="9">
        <f>Coverage_Trajectory!K13</f>
        <v>0.30449999999999999</v>
      </c>
      <c r="O13" s="9">
        <f t="shared" si="0"/>
        <v>0.20964702319390285</v>
      </c>
      <c r="P13" s="9">
        <f t="shared" si="1"/>
        <v>0.12867425225392187</v>
      </c>
      <c r="Q13" s="9">
        <f t="shared" si="2"/>
        <v>0.1029394018031375</v>
      </c>
      <c r="R13" s="9">
        <f t="shared" si="3"/>
        <v>0.89706059819686246</v>
      </c>
      <c r="S13" s="10" t="s">
        <v>430</v>
      </c>
      <c r="T13" s="5" t="str">
        <f t="shared" si="4"/>
        <v>OK</v>
      </c>
    </row>
    <row r="14" spans="1:20">
      <c r="A14" s="5" t="s">
        <v>442</v>
      </c>
      <c r="B14" s="5" t="s">
        <v>146</v>
      </c>
      <c r="C14" s="5" t="s">
        <v>116</v>
      </c>
      <c r="D14" s="5" t="s">
        <v>117</v>
      </c>
      <c r="E14" s="5" t="s">
        <v>120</v>
      </c>
      <c r="F14" s="5" t="s">
        <v>121</v>
      </c>
      <c r="G14" s="5" t="s">
        <v>213</v>
      </c>
      <c r="H14" s="5">
        <v>2037</v>
      </c>
      <c r="I14" s="5" t="s">
        <v>147</v>
      </c>
      <c r="J14" s="5" t="s">
        <v>148</v>
      </c>
      <c r="K14" s="9">
        <f>Effect_Sizes!J2</f>
        <v>0.57999999999999996</v>
      </c>
      <c r="L14" s="9">
        <f>Effect_Sizes!K2</f>
        <v>0.8</v>
      </c>
      <c r="M14" s="9">
        <f>Coverage_Trajectory!H14</f>
        <v>9.4852976806097139E-2</v>
      </c>
      <c r="N14" s="9">
        <f>Coverage_Trajectory!K14</f>
        <v>0.33249999999999996</v>
      </c>
      <c r="O14" s="9">
        <f t="shared" si="0"/>
        <v>0.23764702319390282</v>
      </c>
      <c r="P14" s="9">
        <f t="shared" si="1"/>
        <v>0.14585970525116049</v>
      </c>
      <c r="Q14" s="9">
        <f t="shared" si="2"/>
        <v>0.1166877642009284</v>
      </c>
      <c r="R14" s="9">
        <f t="shared" si="3"/>
        <v>0.88331223579907159</v>
      </c>
      <c r="S14" s="5" t="s">
        <v>430</v>
      </c>
      <c r="T14" s="5" t="str">
        <f t="shared" si="4"/>
        <v>OK</v>
      </c>
    </row>
    <row r="15" spans="1:20">
      <c r="A15" s="10" t="s">
        <v>443</v>
      </c>
      <c r="B15" s="10" t="s">
        <v>146</v>
      </c>
      <c r="C15" s="10" t="s">
        <v>116</v>
      </c>
      <c r="D15" s="10" t="s">
        <v>117</v>
      </c>
      <c r="E15" s="10" t="s">
        <v>120</v>
      </c>
      <c r="F15" s="10" t="s">
        <v>121</v>
      </c>
      <c r="G15" s="10" t="s">
        <v>213</v>
      </c>
      <c r="H15" s="10">
        <v>2038</v>
      </c>
      <c r="I15" s="10" t="s">
        <v>147</v>
      </c>
      <c r="J15" s="10" t="s">
        <v>148</v>
      </c>
      <c r="K15" s="9">
        <f>Effect_Sizes!J2</f>
        <v>0.57999999999999996</v>
      </c>
      <c r="L15" s="9">
        <f>Effect_Sizes!K2</f>
        <v>0.8</v>
      </c>
      <c r="M15" s="9">
        <f>Coverage_Trajectory!H15</f>
        <v>9.4852976806097139E-2</v>
      </c>
      <c r="N15" s="9">
        <f>Coverage_Trajectory!K15</f>
        <v>0.36049999999999993</v>
      </c>
      <c r="O15" s="9">
        <f t="shared" si="0"/>
        <v>0.26564702319390276</v>
      </c>
      <c r="P15" s="9">
        <f t="shared" si="1"/>
        <v>0.16304515824839905</v>
      </c>
      <c r="Q15" s="9">
        <f t="shared" si="2"/>
        <v>0.13043612659871925</v>
      </c>
      <c r="R15" s="9">
        <f t="shared" si="3"/>
        <v>0.86956387340128072</v>
      </c>
      <c r="S15" s="10" t="s">
        <v>430</v>
      </c>
      <c r="T15" s="5" t="str">
        <f t="shared" si="4"/>
        <v>OK</v>
      </c>
    </row>
    <row r="16" spans="1:20">
      <c r="A16" s="5" t="s">
        <v>444</v>
      </c>
      <c r="B16" s="5" t="s">
        <v>146</v>
      </c>
      <c r="C16" s="5" t="s">
        <v>116</v>
      </c>
      <c r="D16" s="5" t="s">
        <v>117</v>
      </c>
      <c r="E16" s="5" t="s">
        <v>120</v>
      </c>
      <c r="F16" s="5" t="s">
        <v>121</v>
      </c>
      <c r="G16" s="5" t="s">
        <v>213</v>
      </c>
      <c r="H16" s="5">
        <v>2039</v>
      </c>
      <c r="I16" s="5" t="s">
        <v>147</v>
      </c>
      <c r="J16" s="5" t="s">
        <v>148</v>
      </c>
      <c r="K16" s="9">
        <f>Effect_Sizes!J2</f>
        <v>0.57999999999999996</v>
      </c>
      <c r="L16" s="9">
        <f>Effect_Sizes!K2</f>
        <v>0.8</v>
      </c>
      <c r="M16" s="9">
        <f>Coverage_Trajectory!H16</f>
        <v>9.4852976806097139E-2</v>
      </c>
      <c r="N16" s="9">
        <f>Coverage_Trajectory!K16</f>
        <v>0.3884999999999999</v>
      </c>
      <c r="O16" s="9">
        <f t="shared" si="0"/>
        <v>0.29364702319390279</v>
      </c>
      <c r="P16" s="9">
        <f t="shared" si="1"/>
        <v>0.18023061124563769</v>
      </c>
      <c r="Q16" s="9">
        <f t="shared" si="2"/>
        <v>0.14418448899651015</v>
      </c>
      <c r="R16" s="9">
        <f t="shared" si="3"/>
        <v>0.85581551100348985</v>
      </c>
      <c r="S16" s="5" t="s">
        <v>430</v>
      </c>
      <c r="T16" s="5" t="str">
        <f t="shared" si="4"/>
        <v>OK</v>
      </c>
    </row>
    <row r="17" spans="1:20">
      <c r="A17" s="10" t="s">
        <v>445</v>
      </c>
      <c r="B17" s="10" t="s">
        <v>146</v>
      </c>
      <c r="C17" s="10" t="s">
        <v>116</v>
      </c>
      <c r="D17" s="10" t="s">
        <v>117</v>
      </c>
      <c r="E17" s="10" t="s">
        <v>120</v>
      </c>
      <c r="F17" s="10" t="s">
        <v>121</v>
      </c>
      <c r="G17" s="10" t="s">
        <v>213</v>
      </c>
      <c r="H17" s="10">
        <v>2040</v>
      </c>
      <c r="I17" s="10" t="s">
        <v>147</v>
      </c>
      <c r="J17" s="10" t="s">
        <v>148</v>
      </c>
      <c r="K17" s="9">
        <f>Effect_Sizes!J2</f>
        <v>0.57999999999999996</v>
      </c>
      <c r="L17" s="9">
        <f>Effect_Sizes!K2</f>
        <v>0.8</v>
      </c>
      <c r="M17" s="9">
        <f>Coverage_Trajectory!H17</f>
        <v>9.4852976806097139E-2</v>
      </c>
      <c r="N17" s="9">
        <f>Coverage_Trajectory!K17</f>
        <v>0.41649999999999993</v>
      </c>
      <c r="O17" s="9">
        <f t="shared" si="0"/>
        <v>0.32164702319390281</v>
      </c>
      <c r="P17" s="9">
        <f t="shared" si="1"/>
        <v>0.19741606424287633</v>
      </c>
      <c r="Q17" s="9">
        <f t="shared" si="2"/>
        <v>0.15793285139430108</v>
      </c>
      <c r="R17" s="9">
        <f t="shared" si="3"/>
        <v>0.84206714860569898</v>
      </c>
      <c r="S17" s="10" t="s">
        <v>430</v>
      </c>
      <c r="T17" s="5" t="str">
        <f t="shared" si="4"/>
        <v>OK</v>
      </c>
    </row>
    <row r="18" spans="1:20">
      <c r="A18" s="5" t="s">
        <v>446</v>
      </c>
      <c r="B18" s="5" t="s">
        <v>146</v>
      </c>
      <c r="C18" s="5" t="s">
        <v>116</v>
      </c>
      <c r="D18" s="5" t="s">
        <v>117</v>
      </c>
      <c r="E18" s="5" t="s">
        <v>120</v>
      </c>
      <c r="F18" s="5" t="s">
        <v>121</v>
      </c>
      <c r="G18" s="5" t="s">
        <v>213</v>
      </c>
      <c r="H18" s="5">
        <v>2041</v>
      </c>
      <c r="I18" s="5" t="s">
        <v>147</v>
      </c>
      <c r="J18" s="5" t="s">
        <v>148</v>
      </c>
      <c r="K18" s="9">
        <f>Effect_Sizes!J2</f>
        <v>0.57999999999999996</v>
      </c>
      <c r="L18" s="9">
        <f>Effect_Sizes!K2</f>
        <v>0.8</v>
      </c>
      <c r="M18" s="9">
        <f>Coverage_Trajectory!H18</f>
        <v>9.4852976806097139E-2</v>
      </c>
      <c r="N18" s="9">
        <f>Coverage_Trajectory!K18</f>
        <v>0.41649999999999993</v>
      </c>
      <c r="O18" s="9">
        <f t="shared" si="0"/>
        <v>0.32164702319390281</v>
      </c>
      <c r="P18" s="9">
        <f t="shared" si="1"/>
        <v>0.19741606424287633</v>
      </c>
      <c r="Q18" s="9">
        <f t="shared" si="2"/>
        <v>0.15793285139430108</v>
      </c>
      <c r="R18" s="9">
        <f t="shared" si="3"/>
        <v>0.84206714860569898</v>
      </c>
      <c r="S18" s="5" t="s">
        <v>430</v>
      </c>
      <c r="T18" s="5" t="str">
        <f t="shared" si="4"/>
        <v>OK</v>
      </c>
    </row>
    <row r="19" spans="1:20">
      <c r="A19" s="10" t="s">
        <v>447</v>
      </c>
      <c r="B19" s="10" t="s">
        <v>146</v>
      </c>
      <c r="C19" s="10" t="s">
        <v>116</v>
      </c>
      <c r="D19" s="10" t="s">
        <v>117</v>
      </c>
      <c r="E19" s="10" t="s">
        <v>120</v>
      </c>
      <c r="F19" s="10" t="s">
        <v>121</v>
      </c>
      <c r="G19" s="10" t="s">
        <v>213</v>
      </c>
      <c r="H19" s="10">
        <v>2042</v>
      </c>
      <c r="I19" s="10" t="s">
        <v>147</v>
      </c>
      <c r="J19" s="10" t="s">
        <v>148</v>
      </c>
      <c r="K19" s="9">
        <f>Effect_Sizes!J2</f>
        <v>0.57999999999999996</v>
      </c>
      <c r="L19" s="9">
        <f>Effect_Sizes!K2</f>
        <v>0.8</v>
      </c>
      <c r="M19" s="9">
        <f>Coverage_Trajectory!H19</f>
        <v>9.4852976806097139E-2</v>
      </c>
      <c r="N19" s="9">
        <f>Coverage_Trajectory!K19</f>
        <v>0.41649999999999993</v>
      </c>
      <c r="O19" s="9">
        <f t="shared" si="0"/>
        <v>0.32164702319390281</v>
      </c>
      <c r="P19" s="9">
        <f t="shared" si="1"/>
        <v>0.19741606424287633</v>
      </c>
      <c r="Q19" s="9">
        <f t="shared" si="2"/>
        <v>0.15793285139430108</v>
      </c>
      <c r="R19" s="9">
        <f t="shared" si="3"/>
        <v>0.84206714860569898</v>
      </c>
      <c r="S19" s="10" t="s">
        <v>430</v>
      </c>
      <c r="T19" s="5" t="str">
        <f t="shared" si="4"/>
        <v>OK</v>
      </c>
    </row>
    <row r="20" spans="1:20">
      <c r="A20" s="5" t="s">
        <v>448</v>
      </c>
      <c r="B20" s="5" t="s">
        <v>146</v>
      </c>
      <c r="C20" s="5" t="s">
        <v>116</v>
      </c>
      <c r="D20" s="5" t="s">
        <v>117</v>
      </c>
      <c r="E20" s="5" t="s">
        <v>120</v>
      </c>
      <c r="F20" s="5" t="s">
        <v>121</v>
      </c>
      <c r="G20" s="5" t="s">
        <v>213</v>
      </c>
      <c r="H20" s="5">
        <v>2043</v>
      </c>
      <c r="I20" s="5" t="s">
        <v>147</v>
      </c>
      <c r="J20" s="5" t="s">
        <v>148</v>
      </c>
      <c r="K20" s="9">
        <f>Effect_Sizes!J2</f>
        <v>0.57999999999999996</v>
      </c>
      <c r="L20" s="9">
        <f>Effect_Sizes!K2</f>
        <v>0.8</v>
      </c>
      <c r="M20" s="9">
        <f>Coverage_Trajectory!H20</f>
        <v>9.4852976806097139E-2</v>
      </c>
      <c r="N20" s="9">
        <f>Coverage_Trajectory!K20</f>
        <v>0.41649999999999993</v>
      </c>
      <c r="O20" s="9">
        <f t="shared" si="0"/>
        <v>0.32164702319390281</v>
      </c>
      <c r="P20" s="9">
        <f t="shared" si="1"/>
        <v>0.19741606424287633</v>
      </c>
      <c r="Q20" s="9">
        <f t="shared" si="2"/>
        <v>0.15793285139430108</v>
      </c>
      <c r="R20" s="9">
        <f t="shared" si="3"/>
        <v>0.84206714860569898</v>
      </c>
      <c r="S20" s="5" t="s">
        <v>430</v>
      </c>
      <c r="T20" s="5" t="str">
        <f t="shared" si="4"/>
        <v>OK</v>
      </c>
    </row>
    <row r="21" spans="1:20">
      <c r="A21" s="10" t="s">
        <v>449</v>
      </c>
      <c r="B21" s="10" t="s">
        <v>146</v>
      </c>
      <c r="C21" s="10" t="s">
        <v>116</v>
      </c>
      <c r="D21" s="10" t="s">
        <v>117</v>
      </c>
      <c r="E21" s="10" t="s">
        <v>120</v>
      </c>
      <c r="F21" s="10" t="s">
        <v>121</v>
      </c>
      <c r="G21" s="10" t="s">
        <v>213</v>
      </c>
      <c r="H21" s="10">
        <v>2044</v>
      </c>
      <c r="I21" s="10" t="s">
        <v>147</v>
      </c>
      <c r="J21" s="10" t="s">
        <v>148</v>
      </c>
      <c r="K21" s="9">
        <f>Effect_Sizes!J2</f>
        <v>0.57999999999999996</v>
      </c>
      <c r="L21" s="9">
        <f>Effect_Sizes!K2</f>
        <v>0.8</v>
      </c>
      <c r="M21" s="9">
        <f>Coverage_Trajectory!H21</f>
        <v>9.4852976806097139E-2</v>
      </c>
      <c r="N21" s="9">
        <f>Coverage_Trajectory!K21</f>
        <v>0.41649999999999993</v>
      </c>
      <c r="O21" s="9">
        <f t="shared" si="0"/>
        <v>0.32164702319390281</v>
      </c>
      <c r="P21" s="9">
        <f t="shared" si="1"/>
        <v>0.19741606424287633</v>
      </c>
      <c r="Q21" s="9">
        <f t="shared" si="2"/>
        <v>0.15793285139430108</v>
      </c>
      <c r="R21" s="9">
        <f t="shared" si="3"/>
        <v>0.84206714860569898</v>
      </c>
      <c r="S21" s="10" t="s">
        <v>430</v>
      </c>
      <c r="T21" s="5" t="str">
        <f t="shared" si="4"/>
        <v>OK</v>
      </c>
    </row>
    <row r="22" spans="1:20">
      <c r="A22" s="5" t="s">
        <v>450</v>
      </c>
      <c r="B22" s="5" t="s">
        <v>146</v>
      </c>
      <c r="C22" s="5" t="s">
        <v>116</v>
      </c>
      <c r="D22" s="5" t="s">
        <v>117</v>
      </c>
      <c r="E22" s="5" t="s">
        <v>120</v>
      </c>
      <c r="F22" s="5" t="s">
        <v>121</v>
      </c>
      <c r="G22" s="5" t="s">
        <v>213</v>
      </c>
      <c r="H22" s="5">
        <v>2045</v>
      </c>
      <c r="I22" s="5" t="s">
        <v>147</v>
      </c>
      <c r="J22" s="5" t="s">
        <v>148</v>
      </c>
      <c r="K22" s="9">
        <f>Effect_Sizes!J2</f>
        <v>0.57999999999999996</v>
      </c>
      <c r="L22" s="9">
        <f>Effect_Sizes!K2</f>
        <v>0.8</v>
      </c>
      <c r="M22" s="9">
        <f>Coverage_Trajectory!H22</f>
        <v>9.4852976806097139E-2</v>
      </c>
      <c r="N22" s="9">
        <f>Coverage_Trajectory!K22</f>
        <v>0.41649999999999993</v>
      </c>
      <c r="O22" s="9">
        <f t="shared" si="0"/>
        <v>0.32164702319390281</v>
      </c>
      <c r="P22" s="9">
        <f t="shared" si="1"/>
        <v>0.19741606424287633</v>
      </c>
      <c r="Q22" s="9">
        <f t="shared" si="2"/>
        <v>0.15793285139430108</v>
      </c>
      <c r="R22" s="9">
        <f t="shared" si="3"/>
        <v>0.84206714860569898</v>
      </c>
      <c r="S22" s="5" t="s">
        <v>430</v>
      </c>
      <c r="T22" s="5" t="str">
        <f t="shared" si="4"/>
        <v>OK</v>
      </c>
    </row>
    <row r="23" spans="1:20">
      <c r="A23" s="10" t="s">
        <v>451</v>
      </c>
      <c r="B23" s="10" t="s">
        <v>146</v>
      </c>
      <c r="C23" s="10" t="s">
        <v>116</v>
      </c>
      <c r="D23" s="10" t="s">
        <v>117</v>
      </c>
      <c r="E23" s="10" t="s">
        <v>120</v>
      </c>
      <c r="F23" s="10" t="s">
        <v>121</v>
      </c>
      <c r="G23" s="10" t="s">
        <v>213</v>
      </c>
      <c r="H23" s="10">
        <v>2046</v>
      </c>
      <c r="I23" s="10" t="s">
        <v>147</v>
      </c>
      <c r="J23" s="10" t="s">
        <v>148</v>
      </c>
      <c r="K23" s="9">
        <f>Effect_Sizes!J2</f>
        <v>0.57999999999999996</v>
      </c>
      <c r="L23" s="9">
        <f>Effect_Sizes!K2</f>
        <v>0.8</v>
      </c>
      <c r="M23" s="9">
        <f>Coverage_Trajectory!H23</f>
        <v>9.4852976806097139E-2</v>
      </c>
      <c r="N23" s="9">
        <f>Coverage_Trajectory!K23</f>
        <v>0.41649999999999993</v>
      </c>
      <c r="O23" s="9">
        <f t="shared" si="0"/>
        <v>0.32164702319390281</v>
      </c>
      <c r="P23" s="9">
        <f t="shared" si="1"/>
        <v>0.19741606424287633</v>
      </c>
      <c r="Q23" s="9">
        <f t="shared" si="2"/>
        <v>0.15793285139430108</v>
      </c>
      <c r="R23" s="9">
        <f t="shared" si="3"/>
        <v>0.84206714860569898</v>
      </c>
      <c r="S23" s="10" t="s">
        <v>430</v>
      </c>
      <c r="T23" s="5" t="str">
        <f t="shared" si="4"/>
        <v>OK</v>
      </c>
    </row>
    <row r="24" spans="1:20">
      <c r="A24" s="5" t="s">
        <v>452</v>
      </c>
      <c r="B24" s="5" t="s">
        <v>146</v>
      </c>
      <c r="C24" s="5" t="s">
        <v>116</v>
      </c>
      <c r="D24" s="5" t="s">
        <v>117</v>
      </c>
      <c r="E24" s="5" t="s">
        <v>120</v>
      </c>
      <c r="F24" s="5" t="s">
        <v>121</v>
      </c>
      <c r="G24" s="5" t="s">
        <v>213</v>
      </c>
      <c r="H24" s="5">
        <v>2047</v>
      </c>
      <c r="I24" s="5" t="s">
        <v>147</v>
      </c>
      <c r="J24" s="5" t="s">
        <v>148</v>
      </c>
      <c r="K24" s="9">
        <f>Effect_Sizes!J2</f>
        <v>0.57999999999999996</v>
      </c>
      <c r="L24" s="9">
        <f>Effect_Sizes!K2</f>
        <v>0.8</v>
      </c>
      <c r="M24" s="9">
        <f>Coverage_Trajectory!H24</f>
        <v>9.4852976806097139E-2</v>
      </c>
      <c r="N24" s="9">
        <f>Coverage_Trajectory!K24</f>
        <v>0.41649999999999993</v>
      </c>
      <c r="O24" s="9">
        <f t="shared" si="0"/>
        <v>0.32164702319390281</v>
      </c>
      <c r="P24" s="9">
        <f t="shared" si="1"/>
        <v>0.19741606424287633</v>
      </c>
      <c r="Q24" s="9">
        <f t="shared" si="2"/>
        <v>0.15793285139430108</v>
      </c>
      <c r="R24" s="9">
        <f t="shared" si="3"/>
        <v>0.84206714860569898</v>
      </c>
      <c r="S24" s="5" t="s">
        <v>430</v>
      </c>
      <c r="T24" s="5" t="str">
        <f t="shared" si="4"/>
        <v>OK</v>
      </c>
    </row>
    <row r="25" spans="1:20">
      <c r="A25" s="10" t="s">
        <v>453</v>
      </c>
      <c r="B25" s="10" t="s">
        <v>146</v>
      </c>
      <c r="C25" s="10" t="s">
        <v>116</v>
      </c>
      <c r="D25" s="10" t="s">
        <v>117</v>
      </c>
      <c r="E25" s="10" t="s">
        <v>120</v>
      </c>
      <c r="F25" s="10" t="s">
        <v>121</v>
      </c>
      <c r="G25" s="10" t="s">
        <v>213</v>
      </c>
      <c r="H25" s="10">
        <v>2048</v>
      </c>
      <c r="I25" s="10" t="s">
        <v>147</v>
      </c>
      <c r="J25" s="10" t="s">
        <v>148</v>
      </c>
      <c r="K25" s="9">
        <f>Effect_Sizes!J2</f>
        <v>0.57999999999999996</v>
      </c>
      <c r="L25" s="9">
        <f>Effect_Sizes!K2</f>
        <v>0.8</v>
      </c>
      <c r="M25" s="9">
        <f>Coverage_Trajectory!H25</f>
        <v>9.4852976806097139E-2</v>
      </c>
      <c r="N25" s="9">
        <f>Coverage_Trajectory!K25</f>
        <v>0.41649999999999993</v>
      </c>
      <c r="O25" s="9">
        <f t="shared" si="0"/>
        <v>0.32164702319390281</v>
      </c>
      <c r="P25" s="9">
        <f t="shared" si="1"/>
        <v>0.19741606424287633</v>
      </c>
      <c r="Q25" s="9">
        <f t="shared" si="2"/>
        <v>0.15793285139430108</v>
      </c>
      <c r="R25" s="9">
        <f t="shared" si="3"/>
        <v>0.84206714860569898</v>
      </c>
      <c r="S25" s="10" t="s">
        <v>430</v>
      </c>
      <c r="T25" s="5" t="str">
        <f t="shared" si="4"/>
        <v>OK</v>
      </c>
    </row>
    <row r="26" spans="1:20">
      <c r="A26" s="5" t="s">
        <v>454</v>
      </c>
      <c r="B26" s="5" t="s">
        <v>146</v>
      </c>
      <c r="C26" s="5" t="s">
        <v>116</v>
      </c>
      <c r="D26" s="5" t="s">
        <v>117</v>
      </c>
      <c r="E26" s="5" t="s">
        <v>120</v>
      </c>
      <c r="F26" s="5" t="s">
        <v>121</v>
      </c>
      <c r="G26" s="5" t="s">
        <v>213</v>
      </c>
      <c r="H26" s="5">
        <v>2049</v>
      </c>
      <c r="I26" s="5" t="s">
        <v>147</v>
      </c>
      <c r="J26" s="5" t="s">
        <v>148</v>
      </c>
      <c r="K26" s="9">
        <f>Effect_Sizes!J2</f>
        <v>0.57999999999999996</v>
      </c>
      <c r="L26" s="9">
        <f>Effect_Sizes!K2</f>
        <v>0.8</v>
      </c>
      <c r="M26" s="9">
        <f>Coverage_Trajectory!H26</f>
        <v>9.4852976806097139E-2</v>
      </c>
      <c r="N26" s="9">
        <f>Coverage_Trajectory!K26</f>
        <v>0.41649999999999993</v>
      </c>
      <c r="O26" s="9">
        <f t="shared" si="0"/>
        <v>0.32164702319390281</v>
      </c>
      <c r="P26" s="9">
        <f t="shared" si="1"/>
        <v>0.19741606424287633</v>
      </c>
      <c r="Q26" s="9">
        <f t="shared" si="2"/>
        <v>0.15793285139430108</v>
      </c>
      <c r="R26" s="9">
        <f t="shared" si="3"/>
        <v>0.84206714860569898</v>
      </c>
      <c r="S26" s="5" t="s">
        <v>430</v>
      </c>
      <c r="T26" s="5" t="str">
        <f t="shared" si="4"/>
        <v>OK</v>
      </c>
    </row>
    <row r="27" spans="1:20">
      <c r="A27" s="10" t="s">
        <v>455</v>
      </c>
      <c r="B27" s="10" t="s">
        <v>146</v>
      </c>
      <c r="C27" s="10" t="s">
        <v>116</v>
      </c>
      <c r="D27" s="10" t="s">
        <v>117</v>
      </c>
      <c r="E27" s="10" t="s">
        <v>120</v>
      </c>
      <c r="F27" s="10" t="s">
        <v>121</v>
      </c>
      <c r="G27" s="10" t="s">
        <v>213</v>
      </c>
      <c r="H27" s="10">
        <v>2050</v>
      </c>
      <c r="I27" s="10" t="s">
        <v>147</v>
      </c>
      <c r="J27" s="10" t="s">
        <v>148</v>
      </c>
      <c r="K27" s="9">
        <f>Effect_Sizes!J2</f>
        <v>0.57999999999999996</v>
      </c>
      <c r="L27" s="9">
        <f>Effect_Sizes!K2</f>
        <v>0.8</v>
      </c>
      <c r="M27" s="9">
        <f>Coverage_Trajectory!H27</f>
        <v>9.4852976806097139E-2</v>
      </c>
      <c r="N27" s="9">
        <f>Coverage_Trajectory!K27</f>
        <v>0.41649999999999993</v>
      </c>
      <c r="O27" s="9">
        <f t="shared" si="0"/>
        <v>0.32164702319390281</v>
      </c>
      <c r="P27" s="9">
        <f t="shared" si="1"/>
        <v>0.19741606424287633</v>
      </c>
      <c r="Q27" s="9">
        <f t="shared" si="2"/>
        <v>0.15793285139430108</v>
      </c>
      <c r="R27" s="9">
        <f t="shared" si="3"/>
        <v>0.84206714860569898</v>
      </c>
      <c r="S27" s="10" t="s">
        <v>430</v>
      </c>
      <c r="T27" s="5" t="str">
        <f t="shared" si="4"/>
        <v>OK</v>
      </c>
    </row>
    <row r="28" spans="1:20">
      <c r="A28" s="5" t="s">
        <v>456</v>
      </c>
      <c r="B28" s="5" t="s">
        <v>146</v>
      </c>
      <c r="C28" s="5" t="s">
        <v>116</v>
      </c>
      <c r="D28" s="5" t="s">
        <v>117</v>
      </c>
      <c r="E28" s="5" t="s">
        <v>120</v>
      </c>
      <c r="F28" s="5" t="s">
        <v>121</v>
      </c>
      <c r="G28" s="5" t="s">
        <v>224</v>
      </c>
      <c r="H28" s="5">
        <v>2025</v>
      </c>
      <c r="I28" s="5" t="s">
        <v>147</v>
      </c>
      <c r="J28" s="5" t="s">
        <v>148</v>
      </c>
      <c r="K28" s="9">
        <f>Effect_Sizes!J2</f>
        <v>0.57999999999999996</v>
      </c>
      <c r="L28" s="9">
        <f>Effect_Sizes!K2</f>
        <v>0.8</v>
      </c>
      <c r="M28" s="9">
        <f>Coverage_Trajectory!H28</f>
        <v>0.1326807379397153</v>
      </c>
      <c r="N28" s="9">
        <f>Coverage_Trajectory!K28</f>
        <v>0.1326807379397153</v>
      </c>
      <c r="O28" s="9">
        <f t="shared" si="0"/>
        <v>0</v>
      </c>
      <c r="P28" s="9">
        <f t="shared" si="1"/>
        <v>0</v>
      </c>
      <c r="Q28" s="9">
        <f t="shared" si="2"/>
        <v>0</v>
      </c>
      <c r="R28" s="9">
        <f t="shared" si="3"/>
        <v>1</v>
      </c>
      <c r="S28" s="5" t="s">
        <v>430</v>
      </c>
      <c r="T28" s="5" t="str">
        <f t="shared" si="4"/>
        <v>OK</v>
      </c>
    </row>
    <row r="29" spans="1:20">
      <c r="A29" s="10" t="s">
        <v>457</v>
      </c>
      <c r="B29" s="10" t="s">
        <v>146</v>
      </c>
      <c r="C29" s="10" t="s">
        <v>116</v>
      </c>
      <c r="D29" s="10" t="s">
        <v>117</v>
      </c>
      <c r="E29" s="10" t="s">
        <v>120</v>
      </c>
      <c r="F29" s="10" t="s">
        <v>121</v>
      </c>
      <c r="G29" s="10" t="s">
        <v>224</v>
      </c>
      <c r="H29" s="10">
        <v>2026</v>
      </c>
      <c r="I29" s="10" t="s">
        <v>147</v>
      </c>
      <c r="J29" s="10" t="s">
        <v>148</v>
      </c>
      <c r="K29" s="9">
        <f>Effect_Sizes!J2</f>
        <v>0.57999999999999996</v>
      </c>
      <c r="L29" s="9">
        <f>Effect_Sizes!K2</f>
        <v>0.8</v>
      </c>
      <c r="M29" s="9">
        <f>Coverage_Trajectory!H29</f>
        <v>0.1326807379397153</v>
      </c>
      <c r="N29" s="9">
        <f>Coverage_Trajectory!K29</f>
        <v>0.13344459035177225</v>
      </c>
      <c r="O29" s="9">
        <f t="shared" si="0"/>
        <v>7.6385241205695342E-4</v>
      </c>
      <c r="P29" s="9">
        <f t="shared" si="1"/>
        <v>4.7997044178835652E-4</v>
      </c>
      <c r="Q29" s="9">
        <f t="shared" si="2"/>
        <v>3.8397635343068523E-4</v>
      </c>
      <c r="R29" s="9">
        <f t="shared" si="3"/>
        <v>0.99961602364656932</v>
      </c>
      <c r="S29" s="10" t="s">
        <v>430</v>
      </c>
      <c r="T29" s="5" t="str">
        <f t="shared" si="4"/>
        <v>OK</v>
      </c>
    </row>
    <row r="30" spans="1:20">
      <c r="A30" s="5" t="s">
        <v>458</v>
      </c>
      <c r="B30" s="5" t="s">
        <v>146</v>
      </c>
      <c r="C30" s="5" t="s">
        <v>116</v>
      </c>
      <c r="D30" s="5" t="s">
        <v>117</v>
      </c>
      <c r="E30" s="5" t="s">
        <v>120</v>
      </c>
      <c r="F30" s="5" t="s">
        <v>121</v>
      </c>
      <c r="G30" s="5" t="s">
        <v>224</v>
      </c>
      <c r="H30" s="5">
        <v>2027</v>
      </c>
      <c r="I30" s="5" t="s">
        <v>147</v>
      </c>
      <c r="J30" s="5" t="s">
        <v>148</v>
      </c>
      <c r="K30" s="9">
        <f>Effect_Sizes!J2</f>
        <v>0.57999999999999996</v>
      </c>
      <c r="L30" s="9">
        <f>Effect_Sizes!K2</f>
        <v>0.8</v>
      </c>
      <c r="M30" s="9">
        <f>Coverage_Trajectory!H30</f>
        <v>0.1326807379397153</v>
      </c>
      <c r="N30" s="9">
        <f>Coverage_Trajectory!K30</f>
        <v>0.13420844276382918</v>
      </c>
      <c r="O30" s="9">
        <f t="shared" si="0"/>
        <v>1.5277048241138791E-3</v>
      </c>
      <c r="P30" s="9">
        <f t="shared" si="1"/>
        <v>9.5994088357669559E-4</v>
      </c>
      <c r="Q30" s="9">
        <f t="shared" si="2"/>
        <v>7.6795270686135647E-4</v>
      </c>
      <c r="R30" s="9">
        <f t="shared" si="3"/>
        <v>0.99923204729313864</v>
      </c>
      <c r="S30" s="5" t="s">
        <v>430</v>
      </c>
      <c r="T30" s="5" t="str">
        <f t="shared" si="4"/>
        <v>OK</v>
      </c>
    </row>
    <row r="31" spans="1:20">
      <c r="A31" s="10" t="s">
        <v>459</v>
      </c>
      <c r="B31" s="10" t="s">
        <v>146</v>
      </c>
      <c r="C31" s="10" t="s">
        <v>116</v>
      </c>
      <c r="D31" s="10" t="s">
        <v>117</v>
      </c>
      <c r="E31" s="10" t="s">
        <v>120</v>
      </c>
      <c r="F31" s="10" t="s">
        <v>121</v>
      </c>
      <c r="G31" s="10" t="s">
        <v>224</v>
      </c>
      <c r="H31" s="10">
        <v>2028</v>
      </c>
      <c r="I31" s="10" t="s">
        <v>147</v>
      </c>
      <c r="J31" s="10" t="s">
        <v>148</v>
      </c>
      <c r="K31" s="9">
        <f>Effect_Sizes!J2</f>
        <v>0.57999999999999996</v>
      </c>
      <c r="L31" s="9">
        <f>Effect_Sizes!K2</f>
        <v>0.8</v>
      </c>
      <c r="M31" s="9">
        <f>Coverage_Trajectory!H31</f>
        <v>0.1326807379397153</v>
      </c>
      <c r="N31" s="9">
        <f>Coverage_Trajectory!K31</f>
        <v>0.13497229517588613</v>
      </c>
      <c r="O31" s="9">
        <f t="shared" si="0"/>
        <v>2.2915572361708325E-3</v>
      </c>
      <c r="P31" s="9">
        <f t="shared" si="1"/>
        <v>1.4399113253650521E-3</v>
      </c>
      <c r="Q31" s="9">
        <f t="shared" si="2"/>
        <v>1.1519290602920416E-3</v>
      </c>
      <c r="R31" s="9">
        <f t="shared" si="3"/>
        <v>0.99884807093970795</v>
      </c>
      <c r="S31" s="10" t="s">
        <v>430</v>
      </c>
      <c r="T31" s="5" t="str">
        <f t="shared" si="4"/>
        <v>OK</v>
      </c>
    </row>
    <row r="32" spans="1:20">
      <c r="A32" s="5" t="s">
        <v>460</v>
      </c>
      <c r="B32" s="5" t="s">
        <v>146</v>
      </c>
      <c r="C32" s="5" t="s">
        <v>116</v>
      </c>
      <c r="D32" s="5" t="s">
        <v>117</v>
      </c>
      <c r="E32" s="5" t="s">
        <v>120</v>
      </c>
      <c r="F32" s="5" t="s">
        <v>121</v>
      </c>
      <c r="G32" s="5" t="s">
        <v>224</v>
      </c>
      <c r="H32" s="5">
        <v>2029</v>
      </c>
      <c r="I32" s="5" t="s">
        <v>147</v>
      </c>
      <c r="J32" s="5" t="s">
        <v>148</v>
      </c>
      <c r="K32" s="9">
        <f>Effect_Sizes!J2</f>
        <v>0.57999999999999996</v>
      </c>
      <c r="L32" s="9">
        <f>Effect_Sizes!K2</f>
        <v>0.8</v>
      </c>
      <c r="M32" s="9">
        <f>Coverage_Trajectory!H32</f>
        <v>0.1326807379397153</v>
      </c>
      <c r="N32" s="9">
        <f>Coverage_Trajectory!K32</f>
        <v>0.13573614758794306</v>
      </c>
      <c r="O32" s="9">
        <f t="shared" si="0"/>
        <v>3.0554096482277582E-3</v>
      </c>
      <c r="P32" s="9">
        <f t="shared" si="1"/>
        <v>1.9198817671533912E-3</v>
      </c>
      <c r="Q32" s="9">
        <f t="shared" si="2"/>
        <v>1.5359054137227129E-3</v>
      </c>
      <c r="R32" s="9">
        <f t="shared" si="3"/>
        <v>0.99846409458627727</v>
      </c>
      <c r="S32" s="5" t="s">
        <v>430</v>
      </c>
      <c r="T32" s="5" t="str">
        <f t="shared" si="4"/>
        <v>OK</v>
      </c>
    </row>
    <row r="33" spans="1:20">
      <c r="A33" s="10" t="s">
        <v>461</v>
      </c>
      <c r="B33" s="10" t="s">
        <v>146</v>
      </c>
      <c r="C33" s="10" t="s">
        <v>116</v>
      </c>
      <c r="D33" s="10" t="s">
        <v>117</v>
      </c>
      <c r="E33" s="10" t="s">
        <v>120</v>
      </c>
      <c r="F33" s="10" t="s">
        <v>121</v>
      </c>
      <c r="G33" s="10" t="s">
        <v>224</v>
      </c>
      <c r="H33" s="10">
        <v>2030</v>
      </c>
      <c r="I33" s="10" t="s">
        <v>147</v>
      </c>
      <c r="J33" s="10" t="s">
        <v>148</v>
      </c>
      <c r="K33" s="9">
        <f>Effect_Sizes!J2</f>
        <v>0.57999999999999996</v>
      </c>
      <c r="L33" s="9">
        <f>Effect_Sizes!K2</f>
        <v>0.8</v>
      </c>
      <c r="M33" s="9">
        <f>Coverage_Trajectory!H33</f>
        <v>0.1326807379397153</v>
      </c>
      <c r="N33" s="9">
        <f>Coverage_Trajectory!K33</f>
        <v>0.13650000000000001</v>
      </c>
      <c r="O33" s="9">
        <f t="shared" si="0"/>
        <v>3.8192620602847116E-3</v>
      </c>
      <c r="P33" s="9">
        <f t="shared" si="1"/>
        <v>2.3998522089417476E-3</v>
      </c>
      <c r="Q33" s="9">
        <f t="shared" si="2"/>
        <v>1.9198817671533981E-3</v>
      </c>
      <c r="R33" s="9">
        <f t="shared" si="3"/>
        <v>0.99808011823284659</v>
      </c>
      <c r="S33" s="10" t="s">
        <v>430</v>
      </c>
      <c r="T33" s="5" t="str">
        <f t="shared" si="4"/>
        <v>OK</v>
      </c>
    </row>
    <row r="34" spans="1:20">
      <c r="A34" s="5" t="s">
        <v>462</v>
      </c>
      <c r="B34" s="5" t="s">
        <v>146</v>
      </c>
      <c r="C34" s="5" t="s">
        <v>116</v>
      </c>
      <c r="D34" s="5" t="s">
        <v>117</v>
      </c>
      <c r="E34" s="5" t="s">
        <v>120</v>
      </c>
      <c r="F34" s="5" t="s">
        <v>121</v>
      </c>
      <c r="G34" s="5" t="s">
        <v>224</v>
      </c>
      <c r="H34" s="5">
        <v>2031</v>
      </c>
      <c r="I34" s="5" t="s">
        <v>147</v>
      </c>
      <c r="J34" s="5" t="s">
        <v>148</v>
      </c>
      <c r="K34" s="9">
        <f>Effect_Sizes!J2</f>
        <v>0.57999999999999996</v>
      </c>
      <c r="L34" s="9">
        <f>Effect_Sizes!K2</f>
        <v>0.8</v>
      </c>
      <c r="M34" s="9">
        <f>Coverage_Trajectory!H34</f>
        <v>0.1326807379397153</v>
      </c>
      <c r="N34" s="9">
        <f>Coverage_Trajectory!K34</f>
        <v>0.16450000000000001</v>
      </c>
      <c r="O34" s="9">
        <f t="shared" si="0"/>
        <v>3.1819262060284709E-2</v>
      </c>
      <c r="P34" s="9">
        <f t="shared" si="1"/>
        <v>1.9993790721074045E-2</v>
      </c>
      <c r="Q34" s="9">
        <f t="shared" si="2"/>
        <v>1.5995032576859237E-2</v>
      </c>
      <c r="R34" s="9">
        <f t="shared" si="3"/>
        <v>0.98400496742314081</v>
      </c>
      <c r="S34" s="5" t="s">
        <v>430</v>
      </c>
      <c r="T34" s="5" t="str">
        <f t="shared" si="4"/>
        <v>OK</v>
      </c>
    </row>
    <row r="35" spans="1:20">
      <c r="A35" s="10" t="s">
        <v>463</v>
      </c>
      <c r="B35" s="10" t="s">
        <v>146</v>
      </c>
      <c r="C35" s="10" t="s">
        <v>116</v>
      </c>
      <c r="D35" s="10" t="s">
        <v>117</v>
      </c>
      <c r="E35" s="10" t="s">
        <v>120</v>
      </c>
      <c r="F35" s="10" t="s">
        <v>121</v>
      </c>
      <c r="G35" s="10" t="s">
        <v>224</v>
      </c>
      <c r="H35" s="10">
        <v>2032</v>
      </c>
      <c r="I35" s="10" t="s">
        <v>147</v>
      </c>
      <c r="J35" s="10" t="s">
        <v>148</v>
      </c>
      <c r="K35" s="9">
        <f>Effect_Sizes!J2</f>
        <v>0.57999999999999996</v>
      </c>
      <c r="L35" s="9">
        <f>Effect_Sizes!K2</f>
        <v>0.8</v>
      </c>
      <c r="M35" s="9">
        <f>Coverage_Trajectory!H35</f>
        <v>0.1326807379397153</v>
      </c>
      <c r="N35" s="9">
        <f>Coverage_Trajectory!K35</f>
        <v>0.1925</v>
      </c>
      <c r="O35" s="9">
        <f t="shared" si="0"/>
        <v>5.9819262060284706E-2</v>
      </c>
      <c r="P35" s="9">
        <f t="shared" si="1"/>
        <v>3.7587729233206343E-2</v>
      </c>
      <c r="Q35" s="9">
        <f t="shared" si="2"/>
        <v>3.0070183386565075E-2</v>
      </c>
      <c r="R35" s="9">
        <f t="shared" si="3"/>
        <v>0.96992981661343491</v>
      </c>
      <c r="S35" s="10" t="s">
        <v>430</v>
      </c>
      <c r="T35" s="5" t="str">
        <f t="shared" si="4"/>
        <v>OK</v>
      </c>
    </row>
    <row r="36" spans="1:20">
      <c r="A36" s="5" t="s">
        <v>464</v>
      </c>
      <c r="B36" s="5" t="s">
        <v>146</v>
      </c>
      <c r="C36" s="5" t="s">
        <v>116</v>
      </c>
      <c r="D36" s="5" t="s">
        <v>117</v>
      </c>
      <c r="E36" s="5" t="s">
        <v>120</v>
      </c>
      <c r="F36" s="5" t="s">
        <v>121</v>
      </c>
      <c r="G36" s="5" t="s">
        <v>224</v>
      </c>
      <c r="H36" s="5">
        <v>2033</v>
      </c>
      <c r="I36" s="5" t="s">
        <v>147</v>
      </c>
      <c r="J36" s="5" t="s">
        <v>148</v>
      </c>
      <c r="K36" s="9">
        <f>Effect_Sizes!J2</f>
        <v>0.57999999999999996</v>
      </c>
      <c r="L36" s="9">
        <f>Effect_Sizes!K2</f>
        <v>0.8</v>
      </c>
      <c r="M36" s="9">
        <f>Coverage_Trajectory!H36</f>
        <v>0.1326807379397153</v>
      </c>
      <c r="N36" s="9">
        <f>Coverage_Trajectory!K36</f>
        <v>0.22049999999999997</v>
      </c>
      <c r="O36" s="9">
        <f t="shared" si="0"/>
        <v>8.7819262060284675E-2</v>
      </c>
      <c r="P36" s="9">
        <f t="shared" si="1"/>
        <v>5.5181667745338614E-2</v>
      </c>
      <c r="Q36" s="9">
        <f t="shared" si="2"/>
        <v>4.4145334196270897E-2</v>
      </c>
      <c r="R36" s="9">
        <f t="shared" si="3"/>
        <v>0.95585466580372913</v>
      </c>
      <c r="S36" s="5" t="s">
        <v>430</v>
      </c>
      <c r="T36" s="5" t="str">
        <f t="shared" si="4"/>
        <v>OK</v>
      </c>
    </row>
    <row r="37" spans="1:20">
      <c r="A37" s="10" t="s">
        <v>465</v>
      </c>
      <c r="B37" s="10" t="s">
        <v>146</v>
      </c>
      <c r="C37" s="10" t="s">
        <v>116</v>
      </c>
      <c r="D37" s="10" t="s">
        <v>117</v>
      </c>
      <c r="E37" s="10" t="s">
        <v>120</v>
      </c>
      <c r="F37" s="10" t="s">
        <v>121</v>
      </c>
      <c r="G37" s="10" t="s">
        <v>224</v>
      </c>
      <c r="H37" s="10">
        <v>2034</v>
      </c>
      <c r="I37" s="10" t="s">
        <v>147</v>
      </c>
      <c r="J37" s="10" t="s">
        <v>148</v>
      </c>
      <c r="K37" s="9">
        <f>Effect_Sizes!J2</f>
        <v>0.57999999999999996</v>
      </c>
      <c r="L37" s="9">
        <f>Effect_Sizes!K2</f>
        <v>0.8</v>
      </c>
      <c r="M37" s="9">
        <f>Coverage_Trajectory!H37</f>
        <v>0.1326807379397153</v>
      </c>
      <c r="N37" s="9">
        <f>Coverage_Trajectory!K37</f>
        <v>0.24849999999999997</v>
      </c>
      <c r="O37" s="9">
        <f t="shared" si="0"/>
        <v>0.11581926206028467</v>
      </c>
      <c r="P37" s="9">
        <f t="shared" si="1"/>
        <v>7.2775606257470912E-2</v>
      </c>
      <c r="Q37" s="9">
        <f t="shared" si="2"/>
        <v>5.8220485005976735E-2</v>
      </c>
      <c r="R37" s="9">
        <f t="shared" si="3"/>
        <v>0.94177951499402324</v>
      </c>
      <c r="S37" s="10" t="s">
        <v>430</v>
      </c>
      <c r="T37" s="5" t="str">
        <f t="shared" si="4"/>
        <v>OK</v>
      </c>
    </row>
    <row r="38" spans="1:20">
      <c r="A38" s="5" t="s">
        <v>466</v>
      </c>
      <c r="B38" s="5" t="s">
        <v>146</v>
      </c>
      <c r="C38" s="5" t="s">
        <v>116</v>
      </c>
      <c r="D38" s="5" t="s">
        <v>117</v>
      </c>
      <c r="E38" s="5" t="s">
        <v>120</v>
      </c>
      <c r="F38" s="5" t="s">
        <v>121</v>
      </c>
      <c r="G38" s="5" t="s">
        <v>224</v>
      </c>
      <c r="H38" s="5">
        <v>2035</v>
      </c>
      <c r="I38" s="5" t="s">
        <v>147</v>
      </c>
      <c r="J38" s="5" t="s">
        <v>148</v>
      </c>
      <c r="K38" s="9">
        <f>Effect_Sizes!J2</f>
        <v>0.57999999999999996</v>
      </c>
      <c r="L38" s="9">
        <f>Effect_Sizes!K2</f>
        <v>0.8</v>
      </c>
      <c r="M38" s="9">
        <f>Coverage_Trajectory!H38</f>
        <v>0.1326807379397153</v>
      </c>
      <c r="N38" s="9">
        <f>Coverage_Trajectory!K38</f>
        <v>0.27649999999999997</v>
      </c>
      <c r="O38" s="9">
        <f t="shared" si="0"/>
        <v>0.14381926206028467</v>
      </c>
      <c r="P38" s="9">
        <f t="shared" si="1"/>
        <v>9.0369544769603224E-2</v>
      </c>
      <c r="Q38" s="9">
        <f t="shared" si="2"/>
        <v>7.2295635815682588E-2</v>
      </c>
      <c r="R38" s="9">
        <f t="shared" si="3"/>
        <v>0.92770436418431745</v>
      </c>
      <c r="S38" s="5" t="s">
        <v>430</v>
      </c>
      <c r="T38" s="5" t="str">
        <f t="shared" si="4"/>
        <v>OK</v>
      </c>
    </row>
    <row r="39" spans="1:20">
      <c r="A39" s="10" t="s">
        <v>467</v>
      </c>
      <c r="B39" s="10" t="s">
        <v>146</v>
      </c>
      <c r="C39" s="10" t="s">
        <v>116</v>
      </c>
      <c r="D39" s="10" t="s">
        <v>117</v>
      </c>
      <c r="E39" s="10" t="s">
        <v>120</v>
      </c>
      <c r="F39" s="10" t="s">
        <v>121</v>
      </c>
      <c r="G39" s="10" t="s">
        <v>224</v>
      </c>
      <c r="H39" s="10">
        <v>2036</v>
      </c>
      <c r="I39" s="10" t="s">
        <v>147</v>
      </c>
      <c r="J39" s="10" t="s">
        <v>148</v>
      </c>
      <c r="K39" s="9">
        <f>Effect_Sizes!J2</f>
        <v>0.57999999999999996</v>
      </c>
      <c r="L39" s="9">
        <f>Effect_Sizes!K2</f>
        <v>0.8</v>
      </c>
      <c r="M39" s="9">
        <f>Coverage_Trajectory!H39</f>
        <v>0.1326807379397153</v>
      </c>
      <c r="N39" s="9">
        <f>Coverage_Trajectory!K39</f>
        <v>0.30449999999999999</v>
      </c>
      <c r="O39" s="9">
        <f t="shared" si="0"/>
        <v>0.17181926206028469</v>
      </c>
      <c r="P39" s="9">
        <f t="shared" si="1"/>
        <v>0.10796348328173552</v>
      </c>
      <c r="Q39" s="9">
        <f t="shared" si="2"/>
        <v>8.6370786625388427E-2</v>
      </c>
      <c r="R39" s="9">
        <f t="shared" si="3"/>
        <v>0.91362921337461156</v>
      </c>
      <c r="S39" s="10" t="s">
        <v>430</v>
      </c>
      <c r="T39" s="5" t="str">
        <f t="shared" si="4"/>
        <v>OK</v>
      </c>
    </row>
    <row r="40" spans="1:20">
      <c r="A40" s="5" t="s">
        <v>468</v>
      </c>
      <c r="B40" s="5" t="s">
        <v>146</v>
      </c>
      <c r="C40" s="5" t="s">
        <v>116</v>
      </c>
      <c r="D40" s="5" t="s">
        <v>117</v>
      </c>
      <c r="E40" s="5" t="s">
        <v>120</v>
      </c>
      <c r="F40" s="5" t="s">
        <v>121</v>
      </c>
      <c r="G40" s="5" t="s">
        <v>224</v>
      </c>
      <c r="H40" s="5">
        <v>2037</v>
      </c>
      <c r="I40" s="5" t="s">
        <v>147</v>
      </c>
      <c r="J40" s="5" t="s">
        <v>148</v>
      </c>
      <c r="K40" s="9">
        <f>Effect_Sizes!J2</f>
        <v>0.57999999999999996</v>
      </c>
      <c r="L40" s="9">
        <f>Effect_Sizes!K2</f>
        <v>0.8</v>
      </c>
      <c r="M40" s="9">
        <f>Coverage_Trajectory!H40</f>
        <v>0.1326807379397153</v>
      </c>
      <c r="N40" s="9">
        <f>Coverage_Trajectory!K40</f>
        <v>0.33249999999999996</v>
      </c>
      <c r="O40" s="9">
        <f t="shared" si="0"/>
        <v>0.19981926206028466</v>
      </c>
      <c r="P40" s="9">
        <f t="shared" si="1"/>
        <v>0.12555742179386781</v>
      </c>
      <c r="Q40" s="9">
        <f t="shared" si="2"/>
        <v>0.10044593743509425</v>
      </c>
      <c r="R40" s="9">
        <f t="shared" si="3"/>
        <v>0.89955406256490578</v>
      </c>
      <c r="S40" s="5" t="s">
        <v>430</v>
      </c>
      <c r="T40" s="5" t="str">
        <f t="shared" si="4"/>
        <v>OK</v>
      </c>
    </row>
    <row r="41" spans="1:20">
      <c r="A41" s="10" t="s">
        <v>469</v>
      </c>
      <c r="B41" s="10" t="s">
        <v>146</v>
      </c>
      <c r="C41" s="10" t="s">
        <v>116</v>
      </c>
      <c r="D41" s="10" t="s">
        <v>117</v>
      </c>
      <c r="E41" s="10" t="s">
        <v>120</v>
      </c>
      <c r="F41" s="10" t="s">
        <v>121</v>
      </c>
      <c r="G41" s="10" t="s">
        <v>224</v>
      </c>
      <c r="H41" s="10">
        <v>2038</v>
      </c>
      <c r="I41" s="10" t="s">
        <v>147</v>
      </c>
      <c r="J41" s="10" t="s">
        <v>148</v>
      </c>
      <c r="K41" s="9">
        <f>Effect_Sizes!J2</f>
        <v>0.57999999999999996</v>
      </c>
      <c r="L41" s="9">
        <f>Effect_Sizes!K2</f>
        <v>0.8</v>
      </c>
      <c r="M41" s="9">
        <f>Coverage_Trajectory!H41</f>
        <v>0.1326807379397153</v>
      </c>
      <c r="N41" s="9">
        <f>Coverage_Trajectory!K41</f>
        <v>0.36049999999999993</v>
      </c>
      <c r="O41" s="9">
        <f t="shared" si="0"/>
        <v>0.22781926206028463</v>
      </c>
      <c r="P41" s="9">
        <f t="shared" si="1"/>
        <v>0.14315136030600009</v>
      </c>
      <c r="Q41" s="9">
        <f t="shared" si="2"/>
        <v>0.11452108824480008</v>
      </c>
      <c r="R41" s="9">
        <f t="shared" si="3"/>
        <v>0.88547891175519988</v>
      </c>
      <c r="S41" s="10" t="s">
        <v>430</v>
      </c>
      <c r="T41" s="5" t="str">
        <f t="shared" si="4"/>
        <v>OK</v>
      </c>
    </row>
    <row r="42" spans="1:20">
      <c r="A42" s="5" t="s">
        <v>470</v>
      </c>
      <c r="B42" s="5" t="s">
        <v>146</v>
      </c>
      <c r="C42" s="5" t="s">
        <v>116</v>
      </c>
      <c r="D42" s="5" t="s">
        <v>117</v>
      </c>
      <c r="E42" s="5" t="s">
        <v>120</v>
      </c>
      <c r="F42" s="5" t="s">
        <v>121</v>
      </c>
      <c r="G42" s="5" t="s">
        <v>224</v>
      </c>
      <c r="H42" s="5">
        <v>2039</v>
      </c>
      <c r="I42" s="5" t="s">
        <v>147</v>
      </c>
      <c r="J42" s="5" t="s">
        <v>148</v>
      </c>
      <c r="K42" s="9">
        <f>Effect_Sizes!J2</f>
        <v>0.57999999999999996</v>
      </c>
      <c r="L42" s="9">
        <f>Effect_Sizes!K2</f>
        <v>0.8</v>
      </c>
      <c r="M42" s="9">
        <f>Coverage_Trajectory!H42</f>
        <v>0.1326807379397153</v>
      </c>
      <c r="N42" s="9">
        <f>Coverage_Trajectory!K42</f>
        <v>0.3884999999999999</v>
      </c>
      <c r="O42" s="9">
        <f t="shared" si="0"/>
        <v>0.2558192620602846</v>
      </c>
      <c r="P42" s="9">
        <f t="shared" si="1"/>
        <v>0.16074529881813235</v>
      </c>
      <c r="Q42" s="9">
        <f t="shared" si="2"/>
        <v>0.12859623905450587</v>
      </c>
      <c r="R42" s="9">
        <f t="shared" si="3"/>
        <v>0.8714037609454941</v>
      </c>
      <c r="S42" s="5" t="s">
        <v>430</v>
      </c>
      <c r="T42" s="5" t="str">
        <f t="shared" si="4"/>
        <v>OK</v>
      </c>
    </row>
    <row r="43" spans="1:20">
      <c r="A43" s="10" t="s">
        <v>471</v>
      </c>
      <c r="B43" s="10" t="s">
        <v>146</v>
      </c>
      <c r="C43" s="10" t="s">
        <v>116</v>
      </c>
      <c r="D43" s="10" t="s">
        <v>117</v>
      </c>
      <c r="E43" s="10" t="s">
        <v>120</v>
      </c>
      <c r="F43" s="10" t="s">
        <v>121</v>
      </c>
      <c r="G43" s="10" t="s">
        <v>224</v>
      </c>
      <c r="H43" s="10">
        <v>2040</v>
      </c>
      <c r="I43" s="10" t="s">
        <v>147</v>
      </c>
      <c r="J43" s="10" t="s">
        <v>148</v>
      </c>
      <c r="K43" s="9">
        <f>Effect_Sizes!J2</f>
        <v>0.57999999999999996</v>
      </c>
      <c r="L43" s="9">
        <f>Effect_Sizes!K2</f>
        <v>0.8</v>
      </c>
      <c r="M43" s="9">
        <f>Coverage_Trajectory!H43</f>
        <v>0.1326807379397153</v>
      </c>
      <c r="N43" s="9">
        <f>Coverage_Trajectory!K43</f>
        <v>0.41649999999999993</v>
      </c>
      <c r="O43" s="9">
        <f t="shared" si="0"/>
        <v>0.28381926206028463</v>
      </c>
      <c r="P43" s="9">
        <f t="shared" si="1"/>
        <v>0.17833923733026466</v>
      </c>
      <c r="Q43" s="9">
        <f t="shared" si="2"/>
        <v>0.14267138986421174</v>
      </c>
      <c r="R43" s="9">
        <f t="shared" si="3"/>
        <v>0.8573286101357882</v>
      </c>
      <c r="S43" s="10" t="s">
        <v>430</v>
      </c>
      <c r="T43" s="5" t="str">
        <f t="shared" si="4"/>
        <v>OK</v>
      </c>
    </row>
    <row r="44" spans="1:20">
      <c r="A44" s="5" t="s">
        <v>472</v>
      </c>
      <c r="B44" s="5" t="s">
        <v>146</v>
      </c>
      <c r="C44" s="5" t="s">
        <v>116</v>
      </c>
      <c r="D44" s="5" t="s">
        <v>117</v>
      </c>
      <c r="E44" s="5" t="s">
        <v>120</v>
      </c>
      <c r="F44" s="5" t="s">
        <v>121</v>
      </c>
      <c r="G44" s="5" t="s">
        <v>224</v>
      </c>
      <c r="H44" s="5">
        <v>2041</v>
      </c>
      <c r="I44" s="5" t="s">
        <v>147</v>
      </c>
      <c r="J44" s="5" t="s">
        <v>148</v>
      </c>
      <c r="K44" s="9">
        <f>Effect_Sizes!J2</f>
        <v>0.57999999999999996</v>
      </c>
      <c r="L44" s="9">
        <f>Effect_Sizes!K2</f>
        <v>0.8</v>
      </c>
      <c r="M44" s="9">
        <f>Coverage_Trajectory!H44</f>
        <v>0.1326807379397153</v>
      </c>
      <c r="N44" s="9">
        <f>Coverage_Trajectory!K44</f>
        <v>0.41649999999999993</v>
      </c>
      <c r="O44" s="9">
        <f t="shared" si="0"/>
        <v>0.28381926206028463</v>
      </c>
      <c r="P44" s="9">
        <f t="shared" si="1"/>
        <v>0.17833923733026466</v>
      </c>
      <c r="Q44" s="9">
        <f t="shared" si="2"/>
        <v>0.14267138986421174</v>
      </c>
      <c r="R44" s="9">
        <f t="shared" si="3"/>
        <v>0.8573286101357882</v>
      </c>
      <c r="S44" s="5" t="s">
        <v>430</v>
      </c>
      <c r="T44" s="5" t="str">
        <f t="shared" si="4"/>
        <v>OK</v>
      </c>
    </row>
    <row r="45" spans="1:20">
      <c r="A45" s="10" t="s">
        <v>473</v>
      </c>
      <c r="B45" s="10" t="s">
        <v>146</v>
      </c>
      <c r="C45" s="10" t="s">
        <v>116</v>
      </c>
      <c r="D45" s="10" t="s">
        <v>117</v>
      </c>
      <c r="E45" s="10" t="s">
        <v>120</v>
      </c>
      <c r="F45" s="10" t="s">
        <v>121</v>
      </c>
      <c r="G45" s="10" t="s">
        <v>224</v>
      </c>
      <c r="H45" s="10">
        <v>2042</v>
      </c>
      <c r="I45" s="10" t="s">
        <v>147</v>
      </c>
      <c r="J45" s="10" t="s">
        <v>148</v>
      </c>
      <c r="K45" s="9">
        <f>Effect_Sizes!J2</f>
        <v>0.57999999999999996</v>
      </c>
      <c r="L45" s="9">
        <f>Effect_Sizes!K2</f>
        <v>0.8</v>
      </c>
      <c r="M45" s="9">
        <f>Coverage_Trajectory!H45</f>
        <v>0.1326807379397153</v>
      </c>
      <c r="N45" s="9">
        <f>Coverage_Trajectory!K45</f>
        <v>0.41649999999999993</v>
      </c>
      <c r="O45" s="9">
        <f t="shared" si="0"/>
        <v>0.28381926206028463</v>
      </c>
      <c r="P45" s="9">
        <f t="shared" si="1"/>
        <v>0.17833923733026466</v>
      </c>
      <c r="Q45" s="9">
        <f t="shared" si="2"/>
        <v>0.14267138986421174</v>
      </c>
      <c r="R45" s="9">
        <f t="shared" si="3"/>
        <v>0.8573286101357882</v>
      </c>
      <c r="S45" s="10" t="s">
        <v>430</v>
      </c>
      <c r="T45" s="5" t="str">
        <f t="shared" si="4"/>
        <v>OK</v>
      </c>
    </row>
    <row r="46" spans="1:20">
      <c r="A46" s="5" t="s">
        <v>474</v>
      </c>
      <c r="B46" s="5" t="s">
        <v>146</v>
      </c>
      <c r="C46" s="5" t="s">
        <v>116</v>
      </c>
      <c r="D46" s="5" t="s">
        <v>117</v>
      </c>
      <c r="E46" s="5" t="s">
        <v>120</v>
      </c>
      <c r="F46" s="5" t="s">
        <v>121</v>
      </c>
      <c r="G46" s="5" t="s">
        <v>224</v>
      </c>
      <c r="H46" s="5">
        <v>2043</v>
      </c>
      <c r="I46" s="5" t="s">
        <v>147</v>
      </c>
      <c r="J46" s="5" t="s">
        <v>148</v>
      </c>
      <c r="K46" s="9">
        <f>Effect_Sizes!J2</f>
        <v>0.57999999999999996</v>
      </c>
      <c r="L46" s="9">
        <f>Effect_Sizes!K2</f>
        <v>0.8</v>
      </c>
      <c r="M46" s="9">
        <f>Coverage_Trajectory!H46</f>
        <v>0.1326807379397153</v>
      </c>
      <c r="N46" s="9">
        <f>Coverage_Trajectory!K46</f>
        <v>0.41649999999999993</v>
      </c>
      <c r="O46" s="9">
        <f t="shared" si="0"/>
        <v>0.28381926206028463</v>
      </c>
      <c r="P46" s="9">
        <f t="shared" si="1"/>
        <v>0.17833923733026466</v>
      </c>
      <c r="Q46" s="9">
        <f t="shared" si="2"/>
        <v>0.14267138986421174</v>
      </c>
      <c r="R46" s="9">
        <f t="shared" si="3"/>
        <v>0.8573286101357882</v>
      </c>
      <c r="S46" s="5" t="s">
        <v>430</v>
      </c>
      <c r="T46" s="5" t="str">
        <f t="shared" si="4"/>
        <v>OK</v>
      </c>
    </row>
    <row r="47" spans="1:20">
      <c r="A47" s="10" t="s">
        <v>475</v>
      </c>
      <c r="B47" s="10" t="s">
        <v>146</v>
      </c>
      <c r="C47" s="10" t="s">
        <v>116</v>
      </c>
      <c r="D47" s="10" t="s">
        <v>117</v>
      </c>
      <c r="E47" s="10" t="s">
        <v>120</v>
      </c>
      <c r="F47" s="10" t="s">
        <v>121</v>
      </c>
      <c r="G47" s="10" t="s">
        <v>224</v>
      </c>
      <c r="H47" s="10">
        <v>2044</v>
      </c>
      <c r="I47" s="10" t="s">
        <v>147</v>
      </c>
      <c r="J47" s="10" t="s">
        <v>148</v>
      </c>
      <c r="K47" s="9">
        <f>Effect_Sizes!J2</f>
        <v>0.57999999999999996</v>
      </c>
      <c r="L47" s="9">
        <f>Effect_Sizes!K2</f>
        <v>0.8</v>
      </c>
      <c r="M47" s="9">
        <f>Coverage_Trajectory!H47</f>
        <v>0.1326807379397153</v>
      </c>
      <c r="N47" s="9">
        <f>Coverage_Trajectory!K47</f>
        <v>0.41649999999999993</v>
      </c>
      <c r="O47" s="9">
        <f t="shared" si="0"/>
        <v>0.28381926206028463</v>
      </c>
      <c r="P47" s="9">
        <f t="shared" si="1"/>
        <v>0.17833923733026466</v>
      </c>
      <c r="Q47" s="9">
        <f t="shared" si="2"/>
        <v>0.14267138986421174</v>
      </c>
      <c r="R47" s="9">
        <f t="shared" si="3"/>
        <v>0.8573286101357882</v>
      </c>
      <c r="S47" s="10" t="s">
        <v>430</v>
      </c>
      <c r="T47" s="5" t="str">
        <f t="shared" si="4"/>
        <v>OK</v>
      </c>
    </row>
    <row r="48" spans="1:20">
      <c r="A48" s="5" t="s">
        <v>476</v>
      </c>
      <c r="B48" s="5" t="s">
        <v>146</v>
      </c>
      <c r="C48" s="5" t="s">
        <v>116</v>
      </c>
      <c r="D48" s="5" t="s">
        <v>117</v>
      </c>
      <c r="E48" s="5" t="s">
        <v>120</v>
      </c>
      <c r="F48" s="5" t="s">
        <v>121</v>
      </c>
      <c r="G48" s="5" t="s">
        <v>224</v>
      </c>
      <c r="H48" s="5">
        <v>2045</v>
      </c>
      <c r="I48" s="5" t="s">
        <v>147</v>
      </c>
      <c r="J48" s="5" t="s">
        <v>148</v>
      </c>
      <c r="K48" s="9">
        <f>Effect_Sizes!J2</f>
        <v>0.57999999999999996</v>
      </c>
      <c r="L48" s="9">
        <f>Effect_Sizes!K2</f>
        <v>0.8</v>
      </c>
      <c r="M48" s="9">
        <f>Coverage_Trajectory!H48</f>
        <v>0.1326807379397153</v>
      </c>
      <c r="N48" s="9">
        <f>Coverage_Trajectory!K48</f>
        <v>0.41649999999999993</v>
      </c>
      <c r="O48" s="9">
        <f t="shared" si="0"/>
        <v>0.28381926206028463</v>
      </c>
      <c r="P48" s="9">
        <f t="shared" si="1"/>
        <v>0.17833923733026466</v>
      </c>
      <c r="Q48" s="9">
        <f t="shared" si="2"/>
        <v>0.14267138986421174</v>
      </c>
      <c r="R48" s="9">
        <f t="shared" si="3"/>
        <v>0.8573286101357882</v>
      </c>
      <c r="S48" s="5" t="s">
        <v>430</v>
      </c>
      <c r="T48" s="5" t="str">
        <f t="shared" si="4"/>
        <v>OK</v>
      </c>
    </row>
    <row r="49" spans="1:20">
      <c r="A49" s="10" t="s">
        <v>477</v>
      </c>
      <c r="B49" s="10" t="s">
        <v>146</v>
      </c>
      <c r="C49" s="10" t="s">
        <v>116</v>
      </c>
      <c r="D49" s="10" t="s">
        <v>117</v>
      </c>
      <c r="E49" s="10" t="s">
        <v>120</v>
      </c>
      <c r="F49" s="10" t="s">
        <v>121</v>
      </c>
      <c r="G49" s="10" t="s">
        <v>224</v>
      </c>
      <c r="H49" s="10">
        <v>2046</v>
      </c>
      <c r="I49" s="10" t="s">
        <v>147</v>
      </c>
      <c r="J49" s="10" t="s">
        <v>148</v>
      </c>
      <c r="K49" s="9">
        <f>Effect_Sizes!J2</f>
        <v>0.57999999999999996</v>
      </c>
      <c r="L49" s="9">
        <f>Effect_Sizes!K2</f>
        <v>0.8</v>
      </c>
      <c r="M49" s="9">
        <f>Coverage_Trajectory!H49</f>
        <v>0.1326807379397153</v>
      </c>
      <c r="N49" s="9">
        <f>Coverage_Trajectory!K49</f>
        <v>0.41649999999999993</v>
      </c>
      <c r="O49" s="9">
        <f t="shared" si="0"/>
        <v>0.28381926206028463</v>
      </c>
      <c r="P49" s="9">
        <f t="shared" si="1"/>
        <v>0.17833923733026466</v>
      </c>
      <c r="Q49" s="9">
        <f t="shared" si="2"/>
        <v>0.14267138986421174</v>
      </c>
      <c r="R49" s="9">
        <f t="shared" si="3"/>
        <v>0.8573286101357882</v>
      </c>
      <c r="S49" s="10" t="s">
        <v>430</v>
      </c>
      <c r="T49" s="5" t="str">
        <f t="shared" si="4"/>
        <v>OK</v>
      </c>
    </row>
    <row r="50" spans="1:20">
      <c r="A50" s="5" t="s">
        <v>478</v>
      </c>
      <c r="B50" s="5" t="s">
        <v>146</v>
      </c>
      <c r="C50" s="5" t="s">
        <v>116</v>
      </c>
      <c r="D50" s="5" t="s">
        <v>117</v>
      </c>
      <c r="E50" s="5" t="s">
        <v>120</v>
      </c>
      <c r="F50" s="5" t="s">
        <v>121</v>
      </c>
      <c r="G50" s="5" t="s">
        <v>224</v>
      </c>
      <c r="H50" s="5">
        <v>2047</v>
      </c>
      <c r="I50" s="5" t="s">
        <v>147</v>
      </c>
      <c r="J50" s="5" t="s">
        <v>148</v>
      </c>
      <c r="K50" s="9">
        <f>Effect_Sizes!J2</f>
        <v>0.57999999999999996</v>
      </c>
      <c r="L50" s="9">
        <f>Effect_Sizes!K2</f>
        <v>0.8</v>
      </c>
      <c r="M50" s="9">
        <f>Coverage_Trajectory!H50</f>
        <v>0.1326807379397153</v>
      </c>
      <c r="N50" s="9">
        <f>Coverage_Trajectory!K50</f>
        <v>0.41649999999999993</v>
      </c>
      <c r="O50" s="9">
        <f t="shared" si="0"/>
        <v>0.28381926206028463</v>
      </c>
      <c r="P50" s="9">
        <f t="shared" si="1"/>
        <v>0.17833923733026466</v>
      </c>
      <c r="Q50" s="9">
        <f t="shared" si="2"/>
        <v>0.14267138986421174</v>
      </c>
      <c r="R50" s="9">
        <f t="shared" si="3"/>
        <v>0.8573286101357882</v>
      </c>
      <c r="S50" s="5" t="s">
        <v>430</v>
      </c>
      <c r="T50" s="5" t="str">
        <f t="shared" si="4"/>
        <v>OK</v>
      </c>
    </row>
    <row r="51" spans="1:20">
      <c r="A51" s="10" t="s">
        <v>479</v>
      </c>
      <c r="B51" s="10" t="s">
        <v>146</v>
      </c>
      <c r="C51" s="10" t="s">
        <v>116</v>
      </c>
      <c r="D51" s="10" t="s">
        <v>117</v>
      </c>
      <c r="E51" s="10" t="s">
        <v>120</v>
      </c>
      <c r="F51" s="10" t="s">
        <v>121</v>
      </c>
      <c r="G51" s="10" t="s">
        <v>224</v>
      </c>
      <c r="H51" s="10">
        <v>2048</v>
      </c>
      <c r="I51" s="10" t="s">
        <v>147</v>
      </c>
      <c r="J51" s="10" t="s">
        <v>148</v>
      </c>
      <c r="K51" s="9">
        <f>Effect_Sizes!J2</f>
        <v>0.57999999999999996</v>
      </c>
      <c r="L51" s="9">
        <f>Effect_Sizes!K2</f>
        <v>0.8</v>
      </c>
      <c r="M51" s="9">
        <f>Coverage_Trajectory!H51</f>
        <v>0.1326807379397153</v>
      </c>
      <c r="N51" s="9">
        <f>Coverage_Trajectory!K51</f>
        <v>0.41649999999999993</v>
      </c>
      <c r="O51" s="9">
        <f t="shared" si="0"/>
        <v>0.28381926206028463</v>
      </c>
      <c r="P51" s="9">
        <f t="shared" si="1"/>
        <v>0.17833923733026466</v>
      </c>
      <c r="Q51" s="9">
        <f t="shared" si="2"/>
        <v>0.14267138986421174</v>
      </c>
      <c r="R51" s="9">
        <f t="shared" si="3"/>
        <v>0.8573286101357882</v>
      </c>
      <c r="S51" s="10" t="s">
        <v>430</v>
      </c>
      <c r="T51" s="5" t="str">
        <f t="shared" si="4"/>
        <v>OK</v>
      </c>
    </row>
    <row r="52" spans="1:20">
      <c r="A52" s="5" t="s">
        <v>480</v>
      </c>
      <c r="B52" s="5" t="s">
        <v>146</v>
      </c>
      <c r="C52" s="5" t="s">
        <v>116</v>
      </c>
      <c r="D52" s="5" t="s">
        <v>117</v>
      </c>
      <c r="E52" s="5" t="s">
        <v>120</v>
      </c>
      <c r="F52" s="5" t="s">
        <v>121</v>
      </c>
      <c r="G52" s="5" t="s">
        <v>224</v>
      </c>
      <c r="H52" s="5">
        <v>2049</v>
      </c>
      <c r="I52" s="5" t="s">
        <v>147</v>
      </c>
      <c r="J52" s="5" t="s">
        <v>148</v>
      </c>
      <c r="K52" s="9">
        <f>Effect_Sizes!J2</f>
        <v>0.57999999999999996</v>
      </c>
      <c r="L52" s="9">
        <f>Effect_Sizes!K2</f>
        <v>0.8</v>
      </c>
      <c r="M52" s="9">
        <f>Coverage_Trajectory!H52</f>
        <v>0.1326807379397153</v>
      </c>
      <c r="N52" s="9">
        <f>Coverage_Trajectory!K52</f>
        <v>0.41649999999999993</v>
      </c>
      <c r="O52" s="9">
        <f t="shared" si="0"/>
        <v>0.28381926206028463</v>
      </c>
      <c r="P52" s="9">
        <f t="shared" si="1"/>
        <v>0.17833923733026466</v>
      </c>
      <c r="Q52" s="9">
        <f t="shared" si="2"/>
        <v>0.14267138986421174</v>
      </c>
      <c r="R52" s="9">
        <f t="shared" si="3"/>
        <v>0.8573286101357882</v>
      </c>
      <c r="S52" s="5" t="s">
        <v>430</v>
      </c>
      <c r="T52" s="5" t="str">
        <f t="shared" si="4"/>
        <v>OK</v>
      </c>
    </row>
    <row r="53" spans="1:20">
      <c r="A53" s="10" t="s">
        <v>481</v>
      </c>
      <c r="B53" s="10" t="s">
        <v>146</v>
      </c>
      <c r="C53" s="10" t="s">
        <v>116</v>
      </c>
      <c r="D53" s="10" t="s">
        <v>117</v>
      </c>
      <c r="E53" s="10" t="s">
        <v>120</v>
      </c>
      <c r="F53" s="10" t="s">
        <v>121</v>
      </c>
      <c r="G53" s="10" t="s">
        <v>224</v>
      </c>
      <c r="H53" s="10">
        <v>2050</v>
      </c>
      <c r="I53" s="10" t="s">
        <v>147</v>
      </c>
      <c r="J53" s="10" t="s">
        <v>148</v>
      </c>
      <c r="K53" s="9">
        <f>Effect_Sizes!J2</f>
        <v>0.57999999999999996</v>
      </c>
      <c r="L53" s="9">
        <f>Effect_Sizes!K2</f>
        <v>0.8</v>
      </c>
      <c r="M53" s="9">
        <f>Coverage_Trajectory!H53</f>
        <v>0.1326807379397153</v>
      </c>
      <c r="N53" s="9">
        <f>Coverage_Trajectory!K53</f>
        <v>0.41649999999999993</v>
      </c>
      <c r="O53" s="9">
        <f t="shared" si="0"/>
        <v>0.28381926206028463</v>
      </c>
      <c r="P53" s="9">
        <f t="shared" si="1"/>
        <v>0.17833923733026466</v>
      </c>
      <c r="Q53" s="9">
        <f t="shared" si="2"/>
        <v>0.14267138986421174</v>
      </c>
      <c r="R53" s="9">
        <f t="shared" si="3"/>
        <v>0.8573286101357882</v>
      </c>
      <c r="S53" s="10" t="s">
        <v>430</v>
      </c>
      <c r="T53" s="5" t="str">
        <f t="shared" si="4"/>
        <v>OK</v>
      </c>
    </row>
    <row r="54" spans="1:20">
      <c r="A54" s="5" t="s">
        <v>482</v>
      </c>
      <c r="B54" s="5" t="s">
        <v>152</v>
      </c>
      <c r="C54" s="5" t="s">
        <v>116</v>
      </c>
      <c r="D54" s="5" t="s">
        <v>117</v>
      </c>
      <c r="E54" s="5" t="s">
        <v>126</v>
      </c>
      <c r="F54" s="5" t="s">
        <v>127</v>
      </c>
      <c r="G54" s="5" t="s">
        <v>213</v>
      </c>
      <c r="H54" s="5">
        <v>2025</v>
      </c>
      <c r="I54" s="5" t="s">
        <v>147</v>
      </c>
      <c r="J54" s="5" t="s">
        <v>148</v>
      </c>
      <c r="K54" s="9">
        <f>Effect_Sizes!J3</f>
        <v>0.54</v>
      </c>
      <c r="L54" s="9">
        <f>Effect_Sizes!K3</f>
        <v>0.8</v>
      </c>
      <c r="M54" s="9">
        <f>Coverage_Trajectory!H2</f>
        <v>9.4852976806097139E-2</v>
      </c>
      <c r="N54" s="9">
        <f>Coverage_Trajectory!K2</f>
        <v>9.4852976806097139E-2</v>
      </c>
      <c r="O54" s="9">
        <f t="shared" si="0"/>
        <v>0</v>
      </c>
      <c r="P54" s="9">
        <f t="shared" si="1"/>
        <v>0</v>
      </c>
      <c r="Q54" s="9">
        <f t="shared" si="2"/>
        <v>0</v>
      </c>
      <c r="R54" s="9">
        <f t="shared" si="3"/>
        <v>1</v>
      </c>
      <c r="S54" s="5" t="s">
        <v>483</v>
      </c>
      <c r="T54" s="5" t="str">
        <f t="shared" si="4"/>
        <v>OK</v>
      </c>
    </row>
    <row r="55" spans="1:20">
      <c r="A55" s="10" t="s">
        <v>484</v>
      </c>
      <c r="B55" s="10" t="s">
        <v>152</v>
      </c>
      <c r="C55" s="10" t="s">
        <v>116</v>
      </c>
      <c r="D55" s="10" t="s">
        <v>117</v>
      </c>
      <c r="E55" s="10" t="s">
        <v>126</v>
      </c>
      <c r="F55" s="10" t="s">
        <v>127</v>
      </c>
      <c r="G55" s="10" t="s">
        <v>213</v>
      </c>
      <c r="H55" s="10">
        <v>2026</v>
      </c>
      <c r="I55" s="10" t="s">
        <v>147</v>
      </c>
      <c r="J55" s="10" t="s">
        <v>148</v>
      </c>
      <c r="K55" s="9">
        <f>Effect_Sizes!J3</f>
        <v>0.54</v>
      </c>
      <c r="L55" s="9">
        <f>Effect_Sizes!K3</f>
        <v>0.8</v>
      </c>
      <c r="M55" s="9">
        <f>Coverage_Trajectory!H3</f>
        <v>9.4852976806097139E-2</v>
      </c>
      <c r="N55" s="9">
        <f>Coverage_Trajectory!K3</f>
        <v>0.10318238144487771</v>
      </c>
      <c r="O55" s="9">
        <f t="shared" si="0"/>
        <v>8.3294046387805687E-3</v>
      </c>
      <c r="P55" s="9">
        <f t="shared" si="1"/>
        <v>4.7407000408942546E-3</v>
      </c>
      <c r="Q55" s="9">
        <f t="shared" si="2"/>
        <v>3.7925600327154037E-3</v>
      </c>
      <c r="R55" s="9">
        <f t="shared" si="3"/>
        <v>0.99620743996728456</v>
      </c>
      <c r="S55" s="10" t="s">
        <v>483</v>
      </c>
      <c r="T55" s="5" t="str">
        <f t="shared" si="4"/>
        <v>OK</v>
      </c>
    </row>
    <row r="56" spans="1:20">
      <c r="A56" s="5" t="s">
        <v>485</v>
      </c>
      <c r="B56" s="5" t="s">
        <v>152</v>
      </c>
      <c r="C56" s="5" t="s">
        <v>116</v>
      </c>
      <c r="D56" s="5" t="s">
        <v>117</v>
      </c>
      <c r="E56" s="5" t="s">
        <v>126</v>
      </c>
      <c r="F56" s="5" t="s">
        <v>127</v>
      </c>
      <c r="G56" s="5" t="s">
        <v>213</v>
      </c>
      <c r="H56" s="5">
        <v>2027</v>
      </c>
      <c r="I56" s="5" t="s">
        <v>147</v>
      </c>
      <c r="J56" s="5" t="s">
        <v>148</v>
      </c>
      <c r="K56" s="9">
        <f>Effect_Sizes!J3</f>
        <v>0.54</v>
      </c>
      <c r="L56" s="9">
        <f>Effect_Sizes!K3</f>
        <v>0.8</v>
      </c>
      <c r="M56" s="9">
        <f>Coverage_Trajectory!H4</f>
        <v>9.4852976806097139E-2</v>
      </c>
      <c r="N56" s="9">
        <f>Coverage_Trajectory!K4</f>
        <v>0.11151178608365829</v>
      </c>
      <c r="O56" s="9">
        <f t="shared" si="0"/>
        <v>1.6658809277561151E-2</v>
      </c>
      <c r="P56" s="9">
        <f t="shared" si="1"/>
        <v>9.4814000817885161E-3</v>
      </c>
      <c r="Q56" s="9">
        <f t="shared" si="2"/>
        <v>7.5851200654308134E-3</v>
      </c>
      <c r="R56" s="9">
        <f t="shared" si="3"/>
        <v>0.99241487993456923</v>
      </c>
      <c r="S56" s="5" t="s">
        <v>483</v>
      </c>
      <c r="T56" s="5" t="str">
        <f t="shared" si="4"/>
        <v>OK</v>
      </c>
    </row>
    <row r="57" spans="1:20">
      <c r="A57" s="10" t="s">
        <v>486</v>
      </c>
      <c r="B57" s="10" t="s">
        <v>152</v>
      </c>
      <c r="C57" s="10" t="s">
        <v>116</v>
      </c>
      <c r="D57" s="10" t="s">
        <v>117</v>
      </c>
      <c r="E57" s="10" t="s">
        <v>126</v>
      </c>
      <c r="F57" s="10" t="s">
        <v>127</v>
      </c>
      <c r="G57" s="10" t="s">
        <v>213</v>
      </c>
      <c r="H57" s="10">
        <v>2028</v>
      </c>
      <c r="I57" s="10" t="s">
        <v>147</v>
      </c>
      <c r="J57" s="10" t="s">
        <v>148</v>
      </c>
      <c r="K57" s="9">
        <f>Effect_Sizes!J3</f>
        <v>0.54</v>
      </c>
      <c r="L57" s="9">
        <f>Effect_Sizes!K3</f>
        <v>0.8</v>
      </c>
      <c r="M57" s="9">
        <f>Coverage_Trajectory!H5</f>
        <v>9.4852976806097139E-2</v>
      </c>
      <c r="N57" s="9">
        <f>Coverage_Trajectory!K5</f>
        <v>0.11984119072243886</v>
      </c>
      <c r="O57" s="9">
        <f t="shared" si="0"/>
        <v>2.498821391634172E-2</v>
      </c>
      <c r="P57" s="9">
        <f t="shared" si="1"/>
        <v>1.4222100122682772E-2</v>
      </c>
      <c r="Q57" s="9">
        <f t="shared" si="2"/>
        <v>1.1377680098146218E-2</v>
      </c>
      <c r="R57" s="9">
        <f t="shared" si="3"/>
        <v>0.98862231990185379</v>
      </c>
      <c r="S57" s="10" t="s">
        <v>483</v>
      </c>
      <c r="T57" s="5" t="str">
        <f t="shared" si="4"/>
        <v>OK</v>
      </c>
    </row>
    <row r="58" spans="1:20">
      <c r="A58" s="5" t="s">
        <v>487</v>
      </c>
      <c r="B58" s="5" t="s">
        <v>152</v>
      </c>
      <c r="C58" s="5" t="s">
        <v>116</v>
      </c>
      <c r="D58" s="5" t="s">
        <v>117</v>
      </c>
      <c r="E58" s="5" t="s">
        <v>126</v>
      </c>
      <c r="F58" s="5" t="s">
        <v>127</v>
      </c>
      <c r="G58" s="5" t="s">
        <v>213</v>
      </c>
      <c r="H58" s="5">
        <v>2029</v>
      </c>
      <c r="I58" s="5" t="s">
        <v>147</v>
      </c>
      <c r="J58" s="5" t="s">
        <v>148</v>
      </c>
      <c r="K58" s="9">
        <f>Effect_Sizes!J3</f>
        <v>0.54</v>
      </c>
      <c r="L58" s="9">
        <f>Effect_Sizes!K3</f>
        <v>0.8</v>
      </c>
      <c r="M58" s="9">
        <f>Coverage_Trajectory!H6</f>
        <v>9.4852976806097139E-2</v>
      </c>
      <c r="N58" s="9">
        <f>Coverage_Trajectory!K6</f>
        <v>0.12817059536121944</v>
      </c>
      <c r="O58" s="9">
        <f t="shared" si="0"/>
        <v>3.3317618555122303E-2</v>
      </c>
      <c r="P58" s="9">
        <f t="shared" si="1"/>
        <v>1.8962800163577032E-2</v>
      </c>
      <c r="Q58" s="9">
        <f t="shared" si="2"/>
        <v>1.5170240130861627E-2</v>
      </c>
      <c r="R58" s="9">
        <f t="shared" si="3"/>
        <v>0.98482975986913834</v>
      </c>
      <c r="S58" s="5" t="s">
        <v>483</v>
      </c>
      <c r="T58" s="5" t="str">
        <f t="shared" si="4"/>
        <v>OK</v>
      </c>
    </row>
    <row r="59" spans="1:20">
      <c r="A59" s="10" t="s">
        <v>488</v>
      </c>
      <c r="B59" s="10" t="s">
        <v>152</v>
      </c>
      <c r="C59" s="10" t="s">
        <v>116</v>
      </c>
      <c r="D59" s="10" t="s">
        <v>117</v>
      </c>
      <c r="E59" s="10" t="s">
        <v>126</v>
      </c>
      <c r="F59" s="10" t="s">
        <v>127</v>
      </c>
      <c r="G59" s="10" t="s">
        <v>213</v>
      </c>
      <c r="H59" s="10">
        <v>2030</v>
      </c>
      <c r="I59" s="10" t="s">
        <v>147</v>
      </c>
      <c r="J59" s="10" t="s">
        <v>148</v>
      </c>
      <c r="K59" s="9">
        <f>Effect_Sizes!J3</f>
        <v>0.54</v>
      </c>
      <c r="L59" s="9">
        <f>Effect_Sizes!K3</f>
        <v>0.8</v>
      </c>
      <c r="M59" s="9">
        <f>Coverage_Trajectory!H7</f>
        <v>9.4852976806097139E-2</v>
      </c>
      <c r="N59" s="9">
        <f>Coverage_Trajectory!K7</f>
        <v>0.13650000000000001</v>
      </c>
      <c r="O59" s="9">
        <f t="shared" si="0"/>
        <v>4.1647023193902871E-2</v>
      </c>
      <c r="P59" s="9">
        <f t="shared" si="1"/>
        <v>2.3703500204471289E-2</v>
      </c>
      <c r="Q59" s="9">
        <f t="shared" si="2"/>
        <v>1.8962800163577032E-2</v>
      </c>
      <c r="R59" s="9">
        <f t="shared" si="3"/>
        <v>0.98103719983642301</v>
      </c>
      <c r="S59" s="10" t="s">
        <v>483</v>
      </c>
      <c r="T59" s="5" t="str">
        <f t="shared" si="4"/>
        <v>OK</v>
      </c>
    </row>
    <row r="60" spans="1:20">
      <c r="A60" s="5" t="s">
        <v>489</v>
      </c>
      <c r="B60" s="5" t="s">
        <v>152</v>
      </c>
      <c r="C60" s="5" t="s">
        <v>116</v>
      </c>
      <c r="D60" s="5" t="s">
        <v>117</v>
      </c>
      <c r="E60" s="5" t="s">
        <v>126</v>
      </c>
      <c r="F60" s="5" t="s">
        <v>127</v>
      </c>
      <c r="G60" s="5" t="s">
        <v>213</v>
      </c>
      <c r="H60" s="5">
        <v>2031</v>
      </c>
      <c r="I60" s="5" t="s">
        <v>147</v>
      </c>
      <c r="J60" s="5" t="s">
        <v>148</v>
      </c>
      <c r="K60" s="9">
        <f>Effect_Sizes!J3</f>
        <v>0.54</v>
      </c>
      <c r="L60" s="9">
        <f>Effect_Sizes!K3</f>
        <v>0.8</v>
      </c>
      <c r="M60" s="9">
        <f>Coverage_Trajectory!H8</f>
        <v>9.4852976806097139E-2</v>
      </c>
      <c r="N60" s="9">
        <f>Coverage_Trajectory!K8</f>
        <v>0.16450000000000001</v>
      </c>
      <c r="O60" s="9">
        <f t="shared" si="0"/>
        <v>6.9647023193902868E-2</v>
      </c>
      <c r="P60" s="9">
        <f t="shared" si="1"/>
        <v>3.9639765388062166E-2</v>
      </c>
      <c r="Q60" s="9">
        <f t="shared" si="2"/>
        <v>3.1711812310449734E-2</v>
      </c>
      <c r="R60" s="9">
        <f t="shared" si="3"/>
        <v>0.96828818768955027</v>
      </c>
      <c r="S60" s="5" t="s">
        <v>483</v>
      </c>
      <c r="T60" s="5" t="str">
        <f t="shared" si="4"/>
        <v>OK</v>
      </c>
    </row>
    <row r="61" spans="1:20">
      <c r="A61" s="10" t="s">
        <v>490</v>
      </c>
      <c r="B61" s="10" t="s">
        <v>152</v>
      </c>
      <c r="C61" s="10" t="s">
        <v>116</v>
      </c>
      <c r="D61" s="10" t="s">
        <v>117</v>
      </c>
      <c r="E61" s="10" t="s">
        <v>126</v>
      </c>
      <c r="F61" s="10" t="s">
        <v>127</v>
      </c>
      <c r="G61" s="10" t="s">
        <v>213</v>
      </c>
      <c r="H61" s="10">
        <v>2032</v>
      </c>
      <c r="I61" s="10" t="s">
        <v>147</v>
      </c>
      <c r="J61" s="10" t="s">
        <v>148</v>
      </c>
      <c r="K61" s="9">
        <f>Effect_Sizes!J3</f>
        <v>0.54</v>
      </c>
      <c r="L61" s="9">
        <f>Effect_Sizes!K3</f>
        <v>0.8</v>
      </c>
      <c r="M61" s="9">
        <f>Coverage_Trajectory!H9</f>
        <v>9.4852976806097139E-2</v>
      </c>
      <c r="N61" s="9">
        <f>Coverage_Trajectory!K9</f>
        <v>0.1925</v>
      </c>
      <c r="O61" s="9">
        <f t="shared" si="0"/>
        <v>9.7647023193902865E-2</v>
      </c>
      <c r="P61" s="9">
        <f t="shared" si="1"/>
        <v>5.5576030571653043E-2</v>
      </c>
      <c r="Q61" s="9">
        <f t="shared" si="2"/>
        <v>4.446082445732244E-2</v>
      </c>
      <c r="R61" s="9">
        <f t="shared" si="3"/>
        <v>0.95553917554267753</v>
      </c>
      <c r="S61" s="10" t="s">
        <v>483</v>
      </c>
      <c r="T61" s="5" t="str">
        <f t="shared" si="4"/>
        <v>OK</v>
      </c>
    </row>
    <row r="62" spans="1:20">
      <c r="A62" s="5" t="s">
        <v>491</v>
      </c>
      <c r="B62" s="5" t="s">
        <v>152</v>
      </c>
      <c r="C62" s="5" t="s">
        <v>116</v>
      </c>
      <c r="D62" s="5" t="s">
        <v>117</v>
      </c>
      <c r="E62" s="5" t="s">
        <v>126</v>
      </c>
      <c r="F62" s="5" t="s">
        <v>127</v>
      </c>
      <c r="G62" s="5" t="s">
        <v>213</v>
      </c>
      <c r="H62" s="5">
        <v>2033</v>
      </c>
      <c r="I62" s="5" t="s">
        <v>147</v>
      </c>
      <c r="J62" s="5" t="s">
        <v>148</v>
      </c>
      <c r="K62" s="9">
        <f>Effect_Sizes!J3</f>
        <v>0.54</v>
      </c>
      <c r="L62" s="9">
        <f>Effect_Sizes!K3</f>
        <v>0.8</v>
      </c>
      <c r="M62" s="9">
        <f>Coverage_Trajectory!H10</f>
        <v>9.4852976806097139E-2</v>
      </c>
      <c r="N62" s="9">
        <f>Coverage_Trajectory!K10</f>
        <v>0.22049999999999997</v>
      </c>
      <c r="O62" s="9">
        <f t="shared" si="0"/>
        <v>0.12564702319390283</v>
      </c>
      <c r="P62" s="9">
        <f t="shared" si="1"/>
        <v>7.1512295755243913E-2</v>
      </c>
      <c r="Q62" s="9">
        <f t="shared" si="2"/>
        <v>5.7209836604195131E-2</v>
      </c>
      <c r="R62" s="9">
        <f t="shared" si="3"/>
        <v>0.9427901633958049</v>
      </c>
      <c r="S62" s="5" t="s">
        <v>483</v>
      </c>
      <c r="T62" s="5" t="str">
        <f t="shared" si="4"/>
        <v>OK</v>
      </c>
    </row>
    <row r="63" spans="1:20">
      <c r="A63" s="10" t="s">
        <v>492</v>
      </c>
      <c r="B63" s="10" t="s">
        <v>152</v>
      </c>
      <c r="C63" s="10" t="s">
        <v>116</v>
      </c>
      <c r="D63" s="10" t="s">
        <v>117</v>
      </c>
      <c r="E63" s="10" t="s">
        <v>126</v>
      </c>
      <c r="F63" s="10" t="s">
        <v>127</v>
      </c>
      <c r="G63" s="10" t="s">
        <v>213</v>
      </c>
      <c r="H63" s="10">
        <v>2034</v>
      </c>
      <c r="I63" s="10" t="s">
        <v>147</v>
      </c>
      <c r="J63" s="10" t="s">
        <v>148</v>
      </c>
      <c r="K63" s="9">
        <f>Effect_Sizes!J3</f>
        <v>0.54</v>
      </c>
      <c r="L63" s="9">
        <f>Effect_Sizes!K3</f>
        <v>0.8</v>
      </c>
      <c r="M63" s="9">
        <f>Coverage_Trajectory!H11</f>
        <v>9.4852976806097139E-2</v>
      </c>
      <c r="N63" s="9">
        <f>Coverage_Trajectory!K11</f>
        <v>0.24849999999999997</v>
      </c>
      <c r="O63" s="9">
        <f t="shared" si="0"/>
        <v>0.15364702319390283</v>
      </c>
      <c r="P63" s="9">
        <f t="shared" si="1"/>
        <v>8.7448560938834782E-2</v>
      </c>
      <c r="Q63" s="9">
        <f t="shared" si="2"/>
        <v>6.9958848751067823E-2</v>
      </c>
      <c r="R63" s="9">
        <f t="shared" si="3"/>
        <v>0.93004115124893216</v>
      </c>
      <c r="S63" s="10" t="s">
        <v>483</v>
      </c>
      <c r="T63" s="5" t="str">
        <f t="shared" si="4"/>
        <v>OK</v>
      </c>
    </row>
    <row r="64" spans="1:20">
      <c r="A64" s="5" t="s">
        <v>493</v>
      </c>
      <c r="B64" s="5" t="s">
        <v>152</v>
      </c>
      <c r="C64" s="5" t="s">
        <v>116</v>
      </c>
      <c r="D64" s="5" t="s">
        <v>117</v>
      </c>
      <c r="E64" s="5" t="s">
        <v>126</v>
      </c>
      <c r="F64" s="5" t="s">
        <v>127</v>
      </c>
      <c r="G64" s="5" t="s">
        <v>213</v>
      </c>
      <c r="H64" s="5">
        <v>2035</v>
      </c>
      <c r="I64" s="5" t="s">
        <v>147</v>
      </c>
      <c r="J64" s="5" t="s">
        <v>148</v>
      </c>
      <c r="K64" s="9">
        <f>Effect_Sizes!J3</f>
        <v>0.54</v>
      </c>
      <c r="L64" s="9">
        <f>Effect_Sizes!K3</f>
        <v>0.8</v>
      </c>
      <c r="M64" s="9">
        <f>Coverage_Trajectory!H12</f>
        <v>9.4852976806097139E-2</v>
      </c>
      <c r="N64" s="9">
        <f>Coverage_Trajectory!K12</f>
        <v>0.27649999999999997</v>
      </c>
      <c r="O64" s="9">
        <f t="shared" si="0"/>
        <v>0.18164702319390283</v>
      </c>
      <c r="P64" s="9">
        <f t="shared" si="1"/>
        <v>0.10338482612242567</v>
      </c>
      <c r="Q64" s="9">
        <f t="shared" si="2"/>
        <v>8.2707860897940536E-2</v>
      </c>
      <c r="R64" s="9">
        <f t="shared" si="3"/>
        <v>0.91729213910205942</v>
      </c>
      <c r="S64" s="5" t="s">
        <v>483</v>
      </c>
      <c r="T64" s="5" t="str">
        <f t="shared" si="4"/>
        <v>OK</v>
      </c>
    </row>
    <row r="65" spans="1:20">
      <c r="A65" s="10" t="s">
        <v>494</v>
      </c>
      <c r="B65" s="10" t="s">
        <v>152</v>
      </c>
      <c r="C65" s="10" t="s">
        <v>116</v>
      </c>
      <c r="D65" s="10" t="s">
        <v>117</v>
      </c>
      <c r="E65" s="10" t="s">
        <v>126</v>
      </c>
      <c r="F65" s="10" t="s">
        <v>127</v>
      </c>
      <c r="G65" s="10" t="s">
        <v>213</v>
      </c>
      <c r="H65" s="10">
        <v>2036</v>
      </c>
      <c r="I65" s="10" t="s">
        <v>147</v>
      </c>
      <c r="J65" s="10" t="s">
        <v>148</v>
      </c>
      <c r="K65" s="9">
        <f>Effect_Sizes!J3</f>
        <v>0.54</v>
      </c>
      <c r="L65" s="9">
        <f>Effect_Sizes!K3</f>
        <v>0.8</v>
      </c>
      <c r="M65" s="9">
        <f>Coverage_Trajectory!H13</f>
        <v>9.4852976806097139E-2</v>
      </c>
      <c r="N65" s="9">
        <f>Coverage_Trajectory!K13</f>
        <v>0.30449999999999999</v>
      </c>
      <c r="O65" s="9">
        <f t="shared" si="0"/>
        <v>0.20964702319390285</v>
      </c>
      <c r="P65" s="9">
        <f t="shared" si="1"/>
        <v>0.11932109130601655</v>
      </c>
      <c r="Q65" s="9">
        <f t="shared" si="2"/>
        <v>9.5456873044813248E-2</v>
      </c>
      <c r="R65" s="9">
        <f t="shared" si="3"/>
        <v>0.90454312695518679</v>
      </c>
      <c r="S65" s="10" t="s">
        <v>483</v>
      </c>
      <c r="T65" s="5" t="str">
        <f t="shared" si="4"/>
        <v>OK</v>
      </c>
    </row>
    <row r="66" spans="1:20">
      <c r="A66" s="5" t="s">
        <v>495</v>
      </c>
      <c r="B66" s="5" t="s">
        <v>152</v>
      </c>
      <c r="C66" s="5" t="s">
        <v>116</v>
      </c>
      <c r="D66" s="5" t="s">
        <v>117</v>
      </c>
      <c r="E66" s="5" t="s">
        <v>126</v>
      </c>
      <c r="F66" s="5" t="s">
        <v>127</v>
      </c>
      <c r="G66" s="5" t="s">
        <v>213</v>
      </c>
      <c r="H66" s="5">
        <v>2037</v>
      </c>
      <c r="I66" s="5" t="s">
        <v>147</v>
      </c>
      <c r="J66" s="5" t="s">
        <v>148</v>
      </c>
      <c r="K66" s="9">
        <f>Effect_Sizes!J3</f>
        <v>0.54</v>
      </c>
      <c r="L66" s="9">
        <f>Effect_Sizes!K3</f>
        <v>0.8</v>
      </c>
      <c r="M66" s="9">
        <f>Coverage_Trajectory!H14</f>
        <v>9.4852976806097139E-2</v>
      </c>
      <c r="N66" s="9">
        <f>Coverage_Trajectory!K14</f>
        <v>0.33249999999999996</v>
      </c>
      <c r="O66" s="9">
        <f t="shared" ref="O66:O129" si="5">N66-M66</f>
        <v>0.23764702319390282</v>
      </c>
      <c r="P66" s="9">
        <f t="shared" ref="P66:P129" si="6">IF(O66=0,0,K66*O66/(1-K66*M66))</f>
        <v>0.13525735648960743</v>
      </c>
      <c r="Q66" s="9">
        <f t="shared" ref="Q66:Q129" si="7">P66*L66</f>
        <v>0.10820588519168595</v>
      </c>
      <c r="R66" s="9">
        <f t="shared" ref="R66:R129" si="8">1-Q66</f>
        <v>0.89179411480831405</v>
      </c>
      <c r="S66" s="5" t="s">
        <v>483</v>
      </c>
      <c r="T66" s="5" t="str">
        <f t="shared" ref="T66:T129" si="9">IF(OR(R66&lt;0,R66&gt;1),"BAD","OK")</f>
        <v>OK</v>
      </c>
    </row>
    <row r="67" spans="1:20">
      <c r="A67" s="10" t="s">
        <v>496</v>
      </c>
      <c r="B67" s="10" t="s">
        <v>152</v>
      </c>
      <c r="C67" s="10" t="s">
        <v>116</v>
      </c>
      <c r="D67" s="10" t="s">
        <v>117</v>
      </c>
      <c r="E67" s="10" t="s">
        <v>126</v>
      </c>
      <c r="F67" s="10" t="s">
        <v>127</v>
      </c>
      <c r="G67" s="10" t="s">
        <v>213</v>
      </c>
      <c r="H67" s="10">
        <v>2038</v>
      </c>
      <c r="I67" s="10" t="s">
        <v>147</v>
      </c>
      <c r="J67" s="10" t="s">
        <v>148</v>
      </c>
      <c r="K67" s="9">
        <f>Effect_Sizes!J3</f>
        <v>0.54</v>
      </c>
      <c r="L67" s="9">
        <f>Effect_Sizes!K3</f>
        <v>0.8</v>
      </c>
      <c r="M67" s="9">
        <f>Coverage_Trajectory!H15</f>
        <v>9.4852976806097139E-2</v>
      </c>
      <c r="N67" s="9">
        <f>Coverage_Trajectory!K15</f>
        <v>0.36049999999999993</v>
      </c>
      <c r="O67" s="9">
        <f t="shared" si="5"/>
        <v>0.26564702319390276</v>
      </c>
      <c r="P67" s="9">
        <f t="shared" si="6"/>
        <v>0.15119362167319828</v>
      </c>
      <c r="Q67" s="9">
        <f t="shared" si="7"/>
        <v>0.12095489733855863</v>
      </c>
      <c r="R67" s="9">
        <f t="shared" si="8"/>
        <v>0.87904510266144142</v>
      </c>
      <c r="S67" s="10" t="s">
        <v>483</v>
      </c>
      <c r="T67" s="5" t="str">
        <f t="shared" si="9"/>
        <v>OK</v>
      </c>
    </row>
    <row r="68" spans="1:20">
      <c r="A68" s="5" t="s">
        <v>497</v>
      </c>
      <c r="B68" s="5" t="s">
        <v>152</v>
      </c>
      <c r="C68" s="5" t="s">
        <v>116</v>
      </c>
      <c r="D68" s="5" t="s">
        <v>117</v>
      </c>
      <c r="E68" s="5" t="s">
        <v>126</v>
      </c>
      <c r="F68" s="5" t="s">
        <v>127</v>
      </c>
      <c r="G68" s="5" t="s">
        <v>213</v>
      </c>
      <c r="H68" s="5">
        <v>2039</v>
      </c>
      <c r="I68" s="5" t="s">
        <v>147</v>
      </c>
      <c r="J68" s="5" t="s">
        <v>148</v>
      </c>
      <c r="K68" s="9">
        <f>Effect_Sizes!J3</f>
        <v>0.54</v>
      </c>
      <c r="L68" s="9">
        <f>Effect_Sizes!K3</f>
        <v>0.8</v>
      </c>
      <c r="M68" s="9">
        <f>Coverage_Trajectory!H16</f>
        <v>9.4852976806097139E-2</v>
      </c>
      <c r="N68" s="9">
        <f>Coverage_Trajectory!K16</f>
        <v>0.3884999999999999</v>
      </c>
      <c r="O68" s="9">
        <f t="shared" si="5"/>
        <v>0.29364702319390279</v>
      </c>
      <c r="P68" s="9">
        <f t="shared" si="6"/>
        <v>0.16712988685678914</v>
      </c>
      <c r="Q68" s="9">
        <f t="shared" si="7"/>
        <v>0.13370390948543132</v>
      </c>
      <c r="R68" s="9">
        <f t="shared" si="8"/>
        <v>0.86629609051456868</v>
      </c>
      <c r="S68" s="5" t="s">
        <v>483</v>
      </c>
      <c r="T68" s="5" t="str">
        <f t="shared" si="9"/>
        <v>OK</v>
      </c>
    </row>
    <row r="69" spans="1:20">
      <c r="A69" s="10" t="s">
        <v>498</v>
      </c>
      <c r="B69" s="10" t="s">
        <v>152</v>
      </c>
      <c r="C69" s="10" t="s">
        <v>116</v>
      </c>
      <c r="D69" s="10" t="s">
        <v>117</v>
      </c>
      <c r="E69" s="10" t="s">
        <v>126</v>
      </c>
      <c r="F69" s="10" t="s">
        <v>127</v>
      </c>
      <c r="G69" s="10" t="s">
        <v>213</v>
      </c>
      <c r="H69" s="10">
        <v>2040</v>
      </c>
      <c r="I69" s="10" t="s">
        <v>147</v>
      </c>
      <c r="J69" s="10" t="s">
        <v>148</v>
      </c>
      <c r="K69" s="9">
        <f>Effect_Sizes!J3</f>
        <v>0.54</v>
      </c>
      <c r="L69" s="9">
        <f>Effect_Sizes!K3</f>
        <v>0.8</v>
      </c>
      <c r="M69" s="9">
        <f>Coverage_Trajectory!H17</f>
        <v>9.4852976806097139E-2</v>
      </c>
      <c r="N69" s="9">
        <f>Coverage_Trajectory!K17</f>
        <v>0.41649999999999993</v>
      </c>
      <c r="O69" s="9">
        <f t="shared" si="5"/>
        <v>0.32164702319390281</v>
      </c>
      <c r="P69" s="9">
        <f t="shared" si="6"/>
        <v>0.18306615204038004</v>
      </c>
      <c r="Q69" s="9">
        <f t="shared" si="7"/>
        <v>0.14645292163230403</v>
      </c>
      <c r="R69" s="9">
        <f t="shared" si="8"/>
        <v>0.85354707836769594</v>
      </c>
      <c r="S69" s="10" t="s">
        <v>483</v>
      </c>
      <c r="T69" s="5" t="str">
        <f t="shared" si="9"/>
        <v>OK</v>
      </c>
    </row>
    <row r="70" spans="1:20">
      <c r="A70" s="5" t="s">
        <v>499</v>
      </c>
      <c r="B70" s="5" t="s">
        <v>152</v>
      </c>
      <c r="C70" s="5" t="s">
        <v>116</v>
      </c>
      <c r="D70" s="5" t="s">
        <v>117</v>
      </c>
      <c r="E70" s="5" t="s">
        <v>126</v>
      </c>
      <c r="F70" s="5" t="s">
        <v>127</v>
      </c>
      <c r="G70" s="5" t="s">
        <v>213</v>
      </c>
      <c r="H70" s="5">
        <v>2041</v>
      </c>
      <c r="I70" s="5" t="s">
        <v>147</v>
      </c>
      <c r="J70" s="5" t="s">
        <v>148</v>
      </c>
      <c r="K70" s="9">
        <f>Effect_Sizes!J3</f>
        <v>0.54</v>
      </c>
      <c r="L70" s="9">
        <f>Effect_Sizes!K3</f>
        <v>0.8</v>
      </c>
      <c r="M70" s="9">
        <f>Coverage_Trajectory!H18</f>
        <v>9.4852976806097139E-2</v>
      </c>
      <c r="N70" s="9">
        <f>Coverage_Trajectory!K18</f>
        <v>0.41649999999999993</v>
      </c>
      <c r="O70" s="9">
        <f t="shared" si="5"/>
        <v>0.32164702319390281</v>
      </c>
      <c r="P70" s="9">
        <f t="shared" si="6"/>
        <v>0.18306615204038004</v>
      </c>
      <c r="Q70" s="9">
        <f t="shared" si="7"/>
        <v>0.14645292163230403</v>
      </c>
      <c r="R70" s="9">
        <f t="shared" si="8"/>
        <v>0.85354707836769594</v>
      </c>
      <c r="S70" s="5" t="s">
        <v>483</v>
      </c>
      <c r="T70" s="5" t="str">
        <f t="shared" si="9"/>
        <v>OK</v>
      </c>
    </row>
    <row r="71" spans="1:20">
      <c r="A71" s="10" t="s">
        <v>500</v>
      </c>
      <c r="B71" s="10" t="s">
        <v>152</v>
      </c>
      <c r="C71" s="10" t="s">
        <v>116</v>
      </c>
      <c r="D71" s="10" t="s">
        <v>117</v>
      </c>
      <c r="E71" s="10" t="s">
        <v>126</v>
      </c>
      <c r="F71" s="10" t="s">
        <v>127</v>
      </c>
      <c r="G71" s="10" t="s">
        <v>213</v>
      </c>
      <c r="H71" s="10">
        <v>2042</v>
      </c>
      <c r="I71" s="10" t="s">
        <v>147</v>
      </c>
      <c r="J71" s="10" t="s">
        <v>148</v>
      </c>
      <c r="K71" s="9">
        <f>Effect_Sizes!J3</f>
        <v>0.54</v>
      </c>
      <c r="L71" s="9">
        <f>Effect_Sizes!K3</f>
        <v>0.8</v>
      </c>
      <c r="M71" s="9">
        <f>Coverage_Trajectory!H19</f>
        <v>9.4852976806097139E-2</v>
      </c>
      <c r="N71" s="9">
        <f>Coverage_Trajectory!K19</f>
        <v>0.41649999999999993</v>
      </c>
      <c r="O71" s="9">
        <f t="shared" si="5"/>
        <v>0.32164702319390281</v>
      </c>
      <c r="P71" s="9">
        <f t="shared" si="6"/>
        <v>0.18306615204038004</v>
      </c>
      <c r="Q71" s="9">
        <f t="shared" si="7"/>
        <v>0.14645292163230403</v>
      </c>
      <c r="R71" s="9">
        <f t="shared" si="8"/>
        <v>0.85354707836769594</v>
      </c>
      <c r="S71" s="10" t="s">
        <v>483</v>
      </c>
      <c r="T71" s="5" t="str">
        <f t="shared" si="9"/>
        <v>OK</v>
      </c>
    </row>
    <row r="72" spans="1:20">
      <c r="A72" s="5" t="s">
        <v>501</v>
      </c>
      <c r="B72" s="5" t="s">
        <v>152</v>
      </c>
      <c r="C72" s="5" t="s">
        <v>116</v>
      </c>
      <c r="D72" s="5" t="s">
        <v>117</v>
      </c>
      <c r="E72" s="5" t="s">
        <v>126</v>
      </c>
      <c r="F72" s="5" t="s">
        <v>127</v>
      </c>
      <c r="G72" s="5" t="s">
        <v>213</v>
      </c>
      <c r="H72" s="5">
        <v>2043</v>
      </c>
      <c r="I72" s="5" t="s">
        <v>147</v>
      </c>
      <c r="J72" s="5" t="s">
        <v>148</v>
      </c>
      <c r="K72" s="9">
        <f>Effect_Sizes!J3</f>
        <v>0.54</v>
      </c>
      <c r="L72" s="9">
        <f>Effect_Sizes!K3</f>
        <v>0.8</v>
      </c>
      <c r="M72" s="9">
        <f>Coverage_Trajectory!H20</f>
        <v>9.4852976806097139E-2</v>
      </c>
      <c r="N72" s="9">
        <f>Coverage_Trajectory!K20</f>
        <v>0.41649999999999993</v>
      </c>
      <c r="O72" s="9">
        <f t="shared" si="5"/>
        <v>0.32164702319390281</v>
      </c>
      <c r="P72" s="9">
        <f t="shared" si="6"/>
        <v>0.18306615204038004</v>
      </c>
      <c r="Q72" s="9">
        <f t="shared" si="7"/>
        <v>0.14645292163230403</v>
      </c>
      <c r="R72" s="9">
        <f t="shared" si="8"/>
        <v>0.85354707836769594</v>
      </c>
      <c r="S72" s="5" t="s">
        <v>483</v>
      </c>
      <c r="T72" s="5" t="str">
        <f t="shared" si="9"/>
        <v>OK</v>
      </c>
    </row>
    <row r="73" spans="1:20">
      <c r="A73" s="10" t="s">
        <v>502</v>
      </c>
      <c r="B73" s="10" t="s">
        <v>152</v>
      </c>
      <c r="C73" s="10" t="s">
        <v>116</v>
      </c>
      <c r="D73" s="10" t="s">
        <v>117</v>
      </c>
      <c r="E73" s="10" t="s">
        <v>126</v>
      </c>
      <c r="F73" s="10" t="s">
        <v>127</v>
      </c>
      <c r="G73" s="10" t="s">
        <v>213</v>
      </c>
      <c r="H73" s="10">
        <v>2044</v>
      </c>
      <c r="I73" s="10" t="s">
        <v>147</v>
      </c>
      <c r="J73" s="10" t="s">
        <v>148</v>
      </c>
      <c r="K73" s="9">
        <f>Effect_Sizes!J3</f>
        <v>0.54</v>
      </c>
      <c r="L73" s="9">
        <f>Effect_Sizes!K3</f>
        <v>0.8</v>
      </c>
      <c r="M73" s="9">
        <f>Coverage_Trajectory!H21</f>
        <v>9.4852976806097139E-2</v>
      </c>
      <c r="N73" s="9">
        <f>Coverage_Trajectory!K21</f>
        <v>0.41649999999999993</v>
      </c>
      <c r="O73" s="9">
        <f t="shared" si="5"/>
        <v>0.32164702319390281</v>
      </c>
      <c r="P73" s="9">
        <f t="shared" si="6"/>
        <v>0.18306615204038004</v>
      </c>
      <c r="Q73" s="9">
        <f t="shared" si="7"/>
        <v>0.14645292163230403</v>
      </c>
      <c r="R73" s="9">
        <f t="shared" si="8"/>
        <v>0.85354707836769594</v>
      </c>
      <c r="S73" s="10" t="s">
        <v>483</v>
      </c>
      <c r="T73" s="5" t="str">
        <f t="shared" si="9"/>
        <v>OK</v>
      </c>
    </row>
    <row r="74" spans="1:20">
      <c r="A74" s="5" t="s">
        <v>503</v>
      </c>
      <c r="B74" s="5" t="s">
        <v>152</v>
      </c>
      <c r="C74" s="5" t="s">
        <v>116</v>
      </c>
      <c r="D74" s="5" t="s">
        <v>117</v>
      </c>
      <c r="E74" s="5" t="s">
        <v>126</v>
      </c>
      <c r="F74" s="5" t="s">
        <v>127</v>
      </c>
      <c r="G74" s="5" t="s">
        <v>213</v>
      </c>
      <c r="H74" s="5">
        <v>2045</v>
      </c>
      <c r="I74" s="5" t="s">
        <v>147</v>
      </c>
      <c r="J74" s="5" t="s">
        <v>148</v>
      </c>
      <c r="K74" s="9">
        <f>Effect_Sizes!J3</f>
        <v>0.54</v>
      </c>
      <c r="L74" s="9">
        <f>Effect_Sizes!K3</f>
        <v>0.8</v>
      </c>
      <c r="M74" s="9">
        <f>Coverage_Trajectory!H22</f>
        <v>9.4852976806097139E-2</v>
      </c>
      <c r="N74" s="9">
        <f>Coverage_Trajectory!K22</f>
        <v>0.41649999999999993</v>
      </c>
      <c r="O74" s="9">
        <f t="shared" si="5"/>
        <v>0.32164702319390281</v>
      </c>
      <c r="P74" s="9">
        <f t="shared" si="6"/>
        <v>0.18306615204038004</v>
      </c>
      <c r="Q74" s="9">
        <f t="shared" si="7"/>
        <v>0.14645292163230403</v>
      </c>
      <c r="R74" s="9">
        <f t="shared" si="8"/>
        <v>0.85354707836769594</v>
      </c>
      <c r="S74" s="5" t="s">
        <v>483</v>
      </c>
      <c r="T74" s="5" t="str">
        <f t="shared" si="9"/>
        <v>OK</v>
      </c>
    </row>
    <row r="75" spans="1:20">
      <c r="A75" s="10" t="s">
        <v>504</v>
      </c>
      <c r="B75" s="10" t="s">
        <v>152</v>
      </c>
      <c r="C75" s="10" t="s">
        <v>116</v>
      </c>
      <c r="D75" s="10" t="s">
        <v>117</v>
      </c>
      <c r="E75" s="10" t="s">
        <v>126</v>
      </c>
      <c r="F75" s="10" t="s">
        <v>127</v>
      </c>
      <c r="G75" s="10" t="s">
        <v>213</v>
      </c>
      <c r="H75" s="10">
        <v>2046</v>
      </c>
      <c r="I75" s="10" t="s">
        <v>147</v>
      </c>
      <c r="J75" s="10" t="s">
        <v>148</v>
      </c>
      <c r="K75" s="9">
        <f>Effect_Sizes!J3</f>
        <v>0.54</v>
      </c>
      <c r="L75" s="9">
        <f>Effect_Sizes!K3</f>
        <v>0.8</v>
      </c>
      <c r="M75" s="9">
        <f>Coverage_Trajectory!H23</f>
        <v>9.4852976806097139E-2</v>
      </c>
      <c r="N75" s="9">
        <f>Coverage_Trajectory!K23</f>
        <v>0.41649999999999993</v>
      </c>
      <c r="O75" s="9">
        <f t="shared" si="5"/>
        <v>0.32164702319390281</v>
      </c>
      <c r="P75" s="9">
        <f t="shared" si="6"/>
        <v>0.18306615204038004</v>
      </c>
      <c r="Q75" s="9">
        <f t="shared" si="7"/>
        <v>0.14645292163230403</v>
      </c>
      <c r="R75" s="9">
        <f t="shared" si="8"/>
        <v>0.85354707836769594</v>
      </c>
      <c r="S75" s="10" t="s">
        <v>483</v>
      </c>
      <c r="T75" s="5" t="str">
        <f t="shared" si="9"/>
        <v>OK</v>
      </c>
    </row>
    <row r="76" spans="1:20">
      <c r="A76" s="5" t="s">
        <v>505</v>
      </c>
      <c r="B76" s="5" t="s">
        <v>152</v>
      </c>
      <c r="C76" s="5" t="s">
        <v>116</v>
      </c>
      <c r="D76" s="5" t="s">
        <v>117</v>
      </c>
      <c r="E76" s="5" t="s">
        <v>126</v>
      </c>
      <c r="F76" s="5" t="s">
        <v>127</v>
      </c>
      <c r="G76" s="5" t="s">
        <v>213</v>
      </c>
      <c r="H76" s="5">
        <v>2047</v>
      </c>
      <c r="I76" s="5" t="s">
        <v>147</v>
      </c>
      <c r="J76" s="5" t="s">
        <v>148</v>
      </c>
      <c r="K76" s="9">
        <f>Effect_Sizes!J3</f>
        <v>0.54</v>
      </c>
      <c r="L76" s="9">
        <f>Effect_Sizes!K3</f>
        <v>0.8</v>
      </c>
      <c r="M76" s="9">
        <f>Coverage_Trajectory!H24</f>
        <v>9.4852976806097139E-2</v>
      </c>
      <c r="N76" s="9">
        <f>Coverage_Trajectory!K24</f>
        <v>0.41649999999999993</v>
      </c>
      <c r="O76" s="9">
        <f t="shared" si="5"/>
        <v>0.32164702319390281</v>
      </c>
      <c r="P76" s="9">
        <f t="shared" si="6"/>
        <v>0.18306615204038004</v>
      </c>
      <c r="Q76" s="9">
        <f t="shared" si="7"/>
        <v>0.14645292163230403</v>
      </c>
      <c r="R76" s="9">
        <f t="shared" si="8"/>
        <v>0.85354707836769594</v>
      </c>
      <c r="S76" s="5" t="s">
        <v>483</v>
      </c>
      <c r="T76" s="5" t="str">
        <f t="shared" si="9"/>
        <v>OK</v>
      </c>
    </row>
    <row r="77" spans="1:20">
      <c r="A77" s="10" t="s">
        <v>506</v>
      </c>
      <c r="B77" s="10" t="s">
        <v>152</v>
      </c>
      <c r="C77" s="10" t="s">
        <v>116</v>
      </c>
      <c r="D77" s="10" t="s">
        <v>117</v>
      </c>
      <c r="E77" s="10" t="s">
        <v>126</v>
      </c>
      <c r="F77" s="10" t="s">
        <v>127</v>
      </c>
      <c r="G77" s="10" t="s">
        <v>213</v>
      </c>
      <c r="H77" s="10">
        <v>2048</v>
      </c>
      <c r="I77" s="10" t="s">
        <v>147</v>
      </c>
      <c r="J77" s="10" t="s">
        <v>148</v>
      </c>
      <c r="K77" s="9">
        <f>Effect_Sizes!J3</f>
        <v>0.54</v>
      </c>
      <c r="L77" s="9">
        <f>Effect_Sizes!K3</f>
        <v>0.8</v>
      </c>
      <c r="M77" s="9">
        <f>Coverage_Trajectory!H25</f>
        <v>9.4852976806097139E-2</v>
      </c>
      <c r="N77" s="9">
        <f>Coverage_Trajectory!K25</f>
        <v>0.41649999999999993</v>
      </c>
      <c r="O77" s="9">
        <f t="shared" si="5"/>
        <v>0.32164702319390281</v>
      </c>
      <c r="P77" s="9">
        <f t="shared" si="6"/>
        <v>0.18306615204038004</v>
      </c>
      <c r="Q77" s="9">
        <f t="shared" si="7"/>
        <v>0.14645292163230403</v>
      </c>
      <c r="R77" s="9">
        <f t="shared" si="8"/>
        <v>0.85354707836769594</v>
      </c>
      <c r="S77" s="10" t="s">
        <v>483</v>
      </c>
      <c r="T77" s="5" t="str">
        <f t="shared" si="9"/>
        <v>OK</v>
      </c>
    </row>
    <row r="78" spans="1:20">
      <c r="A78" s="5" t="s">
        <v>507</v>
      </c>
      <c r="B78" s="5" t="s">
        <v>152</v>
      </c>
      <c r="C78" s="5" t="s">
        <v>116</v>
      </c>
      <c r="D78" s="5" t="s">
        <v>117</v>
      </c>
      <c r="E78" s="5" t="s">
        <v>126</v>
      </c>
      <c r="F78" s="5" t="s">
        <v>127</v>
      </c>
      <c r="G78" s="5" t="s">
        <v>213</v>
      </c>
      <c r="H78" s="5">
        <v>2049</v>
      </c>
      <c r="I78" s="5" t="s">
        <v>147</v>
      </c>
      <c r="J78" s="5" t="s">
        <v>148</v>
      </c>
      <c r="K78" s="9">
        <f>Effect_Sizes!J3</f>
        <v>0.54</v>
      </c>
      <c r="L78" s="9">
        <f>Effect_Sizes!K3</f>
        <v>0.8</v>
      </c>
      <c r="M78" s="9">
        <f>Coverage_Trajectory!H26</f>
        <v>9.4852976806097139E-2</v>
      </c>
      <c r="N78" s="9">
        <f>Coverage_Trajectory!K26</f>
        <v>0.41649999999999993</v>
      </c>
      <c r="O78" s="9">
        <f t="shared" si="5"/>
        <v>0.32164702319390281</v>
      </c>
      <c r="P78" s="9">
        <f t="shared" si="6"/>
        <v>0.18306615204038004</v>
      </c>
      <c r="Q78" s="9">
        <f t="shared" si="7"/>
        <v>0.14645292163230403</v>
      </c>
      <c r="R78" s="9">
        <f t="shared" si="8"/>
        <v>0.85354707836769594</v>
      </c>
      <c r="S78" s="5" t="s">
        <v>483</v>
      </c>
      <c r="T78" s="5" t="str">
        <f t="shared" si="9"/>
        <v>OK</v>
      </c>
    </row>
    <row r="79" spans="1:20">
      <c r="A79" s="10" t="s">
        <v>508</v>
      </c>
      <c r="B79" s="10" t="s">
        <v>152</v>
      </c>
      <c r="C79" s="10" t="s">
        <v>116</v>
      </c>
      <c r="D79" s="10" t="s">
        <v>117</v>
      </c>
      <c r="E79" s="10" t="s">
        <v>126</v>
      </c>
      <c r="F79" s="10" t="s">
        <v>127</v>
      </c>
      <c r="G79" s="10" t="s">
        <v>213</v>
      </c>
      <c r="H79" s="10">
        <v>2050</v>
      </c>
      <c r="I79" s="10" t="s">
        <v>147</v>
      </c>
      <c r="J79" s="10" t="s">
        <v>148</v>
      </c>
      <c r="K79" s="9">
        <f>Effect_Sizes!J3</f>
        <v>0.54</v>
      </c>
      <c r="L79" s="9">
        <f>Effect_Sizes!K3</f>
        <v>0.8</v>
      </c>
      <c r="M79" s="9">
        <f>Coverage_Trajectory!H27</f>
        <v>9.4852976806097139E-2</v>
      </c>
      <c r="N79" s="9">
        <f>Coverage_Trajectory!K27</f>
        <v>0.41649999999999993</v>
      </c>
      <c r="O79" s="9">
        <f t="shared" si="5"/>
        <v>0.32164702319390281</v>
      </c>
      <c r="P79" s="9">
        <f t="shared" si="6"/>
        <v>0.18306615204038004</v>
      </c>
      <c r="Q79" s="9">
        <f t="shared" si="7"/>
        <v>0.14645292163230403</v>
      </c>
      <c r="R79" s="9">
        <f t="shared" si="8"/>
        <v>0.85354707836769594</v>
      </c>
      <c r="S79" s="10" t="s">
        <v>483</v>
      </c>
      <c r="T79" s="5" t="str">
        <f t="shared" si="9"/>
        <v>OK</v>
      </c>
    </row>
    <row r="80" spans="1:20">
      <c r="A80" s="5" t="s">
        <v>509</v>
      </c>
      <c r="B80" s="5" t="s">
        <v>152</v>
      </c>
      <c r="C80" s="5" t="s">
        <v>116</v>
      </c>
      <c r="D80" s="5" t="s">
        <v>117</v>
      </c>
      <c r="E80" s="5" t="s">
        <v>126</v>
      </c>
      <c r="F80" s="5" t="s">
        <v>127</v>
      </c>
      <c r="G80" s="5" t="s">
        <v>224</v>
      </c>
      <c r="H80" s="5">
        <v>2025</v>
      </c>
      <c r="I80" s="5" t="s">
        <v>147</v>
      </c>
      <c r="J80" s="5" t="s">
        <v>148</v>
      </c>
      <c r="K80" s="9">
        <f>Effect_Sizes!J3</f>
        <v>0.54</v>
      </c>
      <c r="L80" s="9">
        <f>Effect_Sizes!K3</f>
        <v>0.8</v>
      </c>
      <c r="M80" s="9">
        <f>Coverage_Trajectory!H28</f>
        <v>0.1326807379397153</v>
      </c>
      <c r="N80" s="9">
        <f>Coverage_Trajectory!K28</f>
        <v>0.1326807379397153</v>
      </c>
      <c r="O80" s="9">
        <f t="shared" si="5"/>
        <v>0</v>
      </c>
      <c r="P80" s="9">
        <f t="shared" si="6"/>
        <v>0</v>
      </c>
      <c r="Q80" s="9">
        <f t="shared" si="7"/>
        <v>0</v>
      </c>
      <c r="R80" s="9">
        <f t="shared" si="8"/>
        <v>1</v>
      </c>
      <c r="S80" s="5" t="s">
        <v>483</v>
      </c>
      <c r="T80" s="5" t="str">
        <f t="shared" si="9"/>
        <v>OK</v>
      </c>
    </row>
    <row r="81" spans="1:20">
      <c r="A81" s="10" t="s">
        <v>510</v>
      </c>
      <c r="B81" s="10" t="s">
        <v>152</v>
      </c>
      <c r="C81" s="10" t="s">
        <v>116</v>
      </c>
      <c r="D81" s="10" t="s">
        <v>117</v>
      </c>
      <c r="E81" s="10" t="s">
        <v>126</v>
      </c>
      <c r="F81" s="10" t="s">
        <v>127</v>
      </c>
      <c r="G81" s="10" t="s">
        <v>224</v>
      </c>
      <c r="H81" s="10">
        <v>2026</v>
      </c>
      <c r="I81" s="10" t="s">
        <v>147</v>
      </c>
      <c r="J81" s="10" t="s">
        <v>148</v>
      </c>
      <c r="K81" s="9">
        <f>Effect_Sizes!J3</f>
        <v>0.54</v>
      </c>
      <c r="L81" s="9">
        <f>Effect_Sizes!K3</f>
        <v>0.8</v>
      </c>
      <c r="M81" s="9">
        <f>Coverage_Trajectory!H29</f>
        <v>0.1326807379397153</v>
      </c>
      <c r="N81" s="9">
        <f>Coverage_Trajectory!K29</f>
        <v>0.13344459035177225</v>
      </c>
      <c r="O81" s="9">
        <f t="shared" si="5"/>
        <v>7.6385241205695342E-4</v>
      </c>
      <c r="P81" s="9">
        <f t="shared" si="6"/>
        <v>4.44314359330256E-4</v>
      </c>
      <c r="Q81" s="9">
        <f t="shared" si="7"/>
        <v>3.5545148746420481E-4</v>
      </c>
      <c r="R81" s="9">
        <f t="shared" si="8"/>
        <v>0.99964454851253581</v>
      </c>
      <c r="S81" s="10" t="s">
        <v>483</v>
      </c>
      <c r="T81" s="5" t="str">
        <f t="shared" si="9"/>
        <v>OK</v>
      </c>
    </row>
    <row r="82" spans="1:20">
      <c r="A82" s="5" t="s">
        <v>511</v>
      </c>
      <c r="B82" s="5" t="s">
        <v>152</v>
      </c>
      <c r="C82" s="5" t="s">
        <v>116</v>
      </c>
      <c r="D82" s="5" t="s">
        <v>117</v>
      </c>
      <c r="E82" s="5" t="s">
        <v>126</v>
      </c>
      <c r="F82" s="5" t="s">
        <v>127</v>
      </c>
      <c r="G82" s="5" t="s">
        <v>224</v>
      </c>
      <c r="H82" s="5">
        <v>2027</v>
      </c>
      <c r="I82" s="5" t="s">
        <v>147</v>
      </c>
      <c r="J82" s="5" t="s">
        <v>148</v>
      </c>
      <c r="K82" s="9">
        <f>Effect_Sizes!J3</f>
        <v>0.54</v>
      </c>
      <c r="L82" s="9">
        <f>Effect_Sizes!K3</f>
        <v>0.8</v>
      </c>
      <c r="M82" s="9">
        <f>Coverage_Trajectory!H30</f>
        <v>0.1326807379397153</v>
      </c>
      <c r="N82" s="9">
        <f>Coverage_Trajectory!K30</f>
        <v>0.13420844276382918</v>
      </c>
      <c r="O82" s="9">
        <f t="shared" si="5"/>
        <v>1.5277048241138791E-3</v>
      </c>
      <c r="P82" s="9">
        <f t="shared" si="6"/>
        <v>8.8862871866049584E-4</v>
      </c>
      <c r="Q82" s="9">
        <f t="shared" si="7"/>
        <v>7.1090297492839671E-4</v>
      </c>
      <c r="R82" s="9">
        <f t="shared" si="8"/>
        <v>0.99928909702507163</v>
      </c>
      <c r="S82" s="5" t="s">
        <v>483</v>
      </c>
      <c r="T82" s="5" t="str">
        <f t="shared" si="9"/>
        <v>OK</v>
      </c>
    </row>
    <row r="83" spans="1:20">
      <c r="A83" s="10" t="s">
        <v>512</v>
      </c>
      <c r="B83" s="10" t="s">
        <v>152</v>
      </c>
      <c r="C83" s="10" t="s">
        <v>116</v>
      </c>
      <c r="D83" s="10" t="s">
        <v>117</v>
      </c>
      <c r="E83" s="10" t="s">
        <v>126</v>
      </c>
      <c r="F83" s="10" t="s">
        <v>127</v>
      </c>
      <c r="G83" s="10" t="s">
        <v>224</v>
      </c>
      <c r="H83" s="10">
        <v>2028</v>
      </c>
      <c r="I83" s="10" t="s">
        <v>147</v>
      </c>
      <c r="J83" s="10" t="s">
        <v>148</v>
      </c>
      <c r="K83" s="9">
        <f>Effect_Sizes!J3</f>
        <v>0.54</v>
      </c>
      <c r="L83" s="9">
        <f>Effect_Sizes!K3</f>
        <v>0.8</v>
      </c>
      <c r="M83" s="9">
        <f>Coverage_Trajectory!H31</f>
        <v>0.1326807379397153</v>
      </c>
      <c r="N83" s="9">
        <f>Coverage_Trajectory!K31</f>
        <v>0.13497229517588613</v>
      </c>
      <c r="O83" s="9">
        <f t="shared" si="5"/>
        <v>2.2915572361708325E-3</v>
      </c>
      <c r="P83" s="9">
        <f t="shared" si="6"/>
        <v>1.3329430779907519E-3</v>
      </c>
      <c r="Q83" s="9">
        <f t="shared" si="7"/>
        <v>1.0663544623926017E-3</v>
      </c>
      <c r="R83" s="9">
        <f t="shared" si="8"/>
        <v>0.99893364553760744</v>
      </c>
      <c r="S83" s="10" t="s">
        <v>483</v>
      </c>
      <c r="T83" s="5" t="str">
        <f t="shared" si="9"/>
        <v>OK</v>
      </c>
    </row>
    <row r="84" spans="1:20">
      <c r="A84" s="5" t="s">
        <v>513</v>
      </c>
      <c r="B84" s="5" t="s">
        <v>152</v>
      </c>
      <c r="C84" s="5" t="s">
        <v>116</v>
      </c>
      <c r="D84" s="5" t="s">
        <v>117</v>
      </c>
      <c r="E84" s="5" t="s">
        <v>126</v>
      </c>
      <c r="F84" s="5" t="s">
        <v>127</v>
      </c>
      <c r="G84" s="5" t="s">
        <v>224</v>
      </c>
      <c r="H84" s="5">
        <v>2029</v>
      </c>
      <c r="I84" s="5" t="s">
        <v>147</v>
      </c>
      <c r="J84" s="5" t="s">
        <v>148</v>
      </c>
      <c r="K84" s="9">
        <f>Effect_Sizes!J3</f>
        <v>0.54</v>
      </c>
      <c r="L84" s="9">
        <f>Effect_Sizes!K3</f>
        <v>0.8</v>
      </c>
      <c r="M84" s="9">
        <f>Coverage_Trajectory!H32</f>
        <v>0.1326807379397153</v>
      </c>
      <c r="N84" s="9">
        <f>Coverage_Trajectory!K32</f>
        <v>0.13573614758794306</v>
      </c>
      <c r="O84" s="9">
        <f t="shared" si="5"/>
        <v>3.0554096482277582E-3</v>
      </c>
      <c r="P84" s="9">
        <f t="shared" si="6"/>
        <v>1.7772574373209917E-3</v>
      </c>
      <c r="Q84" s="9">
        <f t="shared" si="7"/>
        <v>1.4218059498567934E-3</v>
      </c>
      <c r="R84" s="9">
        <f t="shared" si="8"/>
        <v>0.99857819405014325</v>
      </c>
      <c r="S84" s="5" t="s">
        <v>483</v>
      </c>
      <c r="T84" s="5" t="str">
        <f t="shared" si="9"/>
        <v>OK</v>
      </c>
    </row>
    <row r="85" spans="1:20">
      <c r="A85" s="10" t="s">
        <v>514</v>
      </c>
      <c r="B85" s="10" t="s">
        <v>152</v>
      </c>
      <c r="C85" s="10" t="s">
        <v>116</v>
      </c>
      <c r="D85" s="10" t="s">
        <v>117</v>
      </c>
      <c r="E85" s="10" t="s">
        <v>126</v>
      </c>
      <c r="F85" s="10" t="s">
        <v>127</v>
      </c>
      <c r="G85" s="10" t="s">
        <v>224</v>
      </c>
      <c r="H85" s="10">
        <v>2030</v>
      </c>
      <c r="I85" s="10" t="s">
        <v>147</v>
      </c>
      <c r="J85" s="10" t="s">
        <v>148</v>
      </c>
      <c r="K85" s="9">
        <f>Effect_Sizes!J3</f>
        <v>0.54</v>
      </c>
      <c r="L85" s="9">
        <f>Effect_Sizes!K3</f>
        <v>0.8</v>
      </c>
      <c r="M85" s="9">
        <f>Coverage_Trajectory!H33</f>
        <v>0.1326807379397153</v>
      </c>
      <c r="N85" s="9">
        <f>Coverage_Trajectory!K33</f>
        <v>0.13650000000000001</v>
      </c>
      <c r="O85" s="9">
        <f t="shared" si="5"/>
        <v>3.8192620602847116E-3</v>
      </c>
      <c r="P85" s="9">
        <f t="shared" si="6"/>
        <v>2.2215717966512474E-3</v>
      </c>
      <c r="Q85" s="9">
        <f t="shared" si="7"/>
        <v>1.777257437320998E-3</v>
      </c>
      <c r="R85" s="9">
        <f t="shared" si="8"/>
        <v>0.99822274256267896</v>
      </c>
      <c r="S85" s="10" t="s">
        <v>483</v>
      </c>
      <c r="T85" s="5" t="str">
        <f t="shared" si="9"/>
        <v>OK</v>
      </c>
    </row>
    <row r="86" spans="1:20">
      <c r="A86" s="5" t="s">
        <v>515</v>
      </c>
      <c r="B86" s="5" t="s">
        <v>152</v>
      </c>
      <c r="C86" s="5" t="s">
        <v>116</v>
      </c>
      <c r="D86" s="5" t="s">
        <v>117</v>
      </c>
      <c r="E86" s="5" t="s">
        <v>126</v>
      </c>
      <c r="F86" s="5" t="s">
        <v>127</v>
      </c>
      <c r="G86" s="5" t="s">
        <v>224</v>
      </c>
      <c r="H86" s="5">
        <v>2031</v>
      </c>
      <c r="I86" s="5" t="s">
        <v>147</v>
      </c>
      <c r="J86" s="5" t="s">
        <v>148</v>
      </c>
      <c r="K86" s="9">
        <f>Effect_Sizes!J3</f>
        <v>0.54</v>
      </c>
      <c r="L86" s="9">
        <f>Effect_Sizes!K3</f>
        <v>0.8</v>
      </c>
      <c r="M86" s="9">
        <f>Coverage_Trajectory!H34</f>
        <v>0.1326807379397153</v>
      </c>
      <c r="N86" s="9">
        <f>Coverage_Trajectory!K34</f>
        <v>0.16450000000000001</v>
      </c>
      <c r="O86" s="9">
        <f t="shared" si="5"/>
        <v>3.1819262060284709E-2</v>
      </c>
      <c r="P86" s="9">
        <f t="shared" si="6"/>
        <v>1.8508490401445244E-2</v>
      </c>
      <c r="Q86" s="9">
        <f t="shared" si="7"/>
        <v>1.4806792321156196E-2</v>
      </c>
      <c r="R86" s="9">
        <f t="shared" si="8"/>
        <v>0.98519320767884377</v>
      </c>
      <c r="S86" s="5" t="s">
        <v>483</v>
      </c>
      <c r="T86" s="5" t="str">
        <f t="shared" si="9"/>
        <v>OK</v>
      </c>
    </row>
    <row r="87" spans="1:20">
      <c r="A87" s="10" t="s">
        <v>516</v>
      </c>
      <c r="B87" s="10" t="s">
        <v>152</v>
      </c>
      <c r="C87" s="10" t="s">
        <v>116</v>
      </c>
      <c r="D87" s="10" t="s">
        <v>117</v>
      </c>
      <c r="E87" s="10" t="s">
        <v>126</v>
      </c>
      <c r="F87" s="10" t="s">
        <v>127</v>
      </c>
      <c r="G87" s="10" t="s">
        <v>224</v>
      </c>
      <c r="H87" s="10">
        <v>2032</v>
      </c>
      <c r="I87" s="10" t="s">
        <v>147</v>
      </c>
      <c r="J87" s="10" t="s">
        <v>148</v>
      </c>
      <c r="K87" s="9">
        <f>Effect_Sizes!J3</f>
        <v>0.54</v>
      </c>
      <c r="L87" s="9">
        <f>Effect_Sizes!K3</f>
        <v>0.8</v>
      </c>
      <c r="M87" s="9">
        <f>Coverage_Trajectory!H35</f>
        <v>0.1326807379397153</v>
      </c>
      <c r="N87" s="9">
        <f>Coverage_Trajectory!K35</f>
        <v>0.1925</v>
      </c>
      <c r="O87" s="9">
        <f t="shared" si="5"/>
        <v>5.9819262060284706E-2</v>
      </c>
      <c r="P87" s="9">
        <f t="shared" si="6"/>
        <v>3.4795409006239245E-2</v>
      </c>
      <c r="Q87" s="9">
        <f t="shared" si="7"/>
        <v>2.7836327204991396E-2</v>
      </c>
      <c r="R87" s="9">
        <f t="shared" si="8"/>
        <v>0.97216367279500859</v>
      </c>
      <c r="S87" s="10" t="s">
        <v>483</v>
      </c>
      <c r="T87" s="5" t="str">
        <f t="shared" si="9"/>
        <v>OK</v>
      </c>
    </row>
    <row r="88" spans="1:20">
      <c r="A88" s="5" t="s">
        <v>517</v>
      </c>
      <c r="B88" s="5" t="s">
        <v>152</v>
      </c>
      <c r="C88" s="5" t="s">
        <v>116</v>
      </c>
      <c r="D88" s="5" t="s">
        <v>117</v>
      </c>
      <c r="E88" s="5" t="s">
        <v>126</v>
      </c>
      <c r="F88" s="5" t="s">
        <v>127</v>
      </c>
      <c r="G88" s="5" t="s">
        <v>224</v>
      </c>
      <c r="H88" s="5">
        <v>2033</v>
      </c>
      <c r="I88" s="5" t="s">
        <v>147</v>
      </c>
      <c r="J88" s="5" t="s">
        <v>148</v>
      </c>
      <c r="K88" s="9">
        <f>Effect_Sizes!J3</f>
        <v>0.54</v>
      </c>
      <c r="L88" s="9">
        <f>Effect_Sizes!K3</f>
        <v>0.8</v>
      </c>
      <c r="M88" s="9">
        <f>Coverage_Trajectory!H36</f>
        <v>0.1326807379397153</v>
      </c>
      <c r="N88" s="9">
        <f>Coverage_Trajectory!K36</f>
        <v>0.22049999999999997</v>
      </c>
      <c r="O88" s="9">
        <f t="shared" si="5"/>
        <v>8.7819262060284675E-2</v>
      </c>
      <c r="P88" s="9">
        <f t="shared" si="6"/>
        <v>5.1082327611033221E-2</v>
      </c>
      <c r="Q88" s="9">
        <f t="shared" si="7"/>
        <v>4.0865862088826581E-2</v>
      </c>
      <c r="R88" s="9">
        <f t="shared" si="8"/>
        <v>0.95913413791117341</v>
      </c>
      <c r="S88" s="5" t="s">
        <v>483</v>
      </c>
      <c r="T88" s="5" t="str">
        <f t="shared" si="9"/>
        <v>OK</v>
      </c>
    </row>
    <row r="89" spans="1:20">
      <c r="A89" s="10" t="s">
        <v>518</v>
      </c>
      <c r="B89" s="10" t="s">
        <v>152</v>
      </c>
      <c r="C89" s="10" t="s">
        <v>116</v>
      </c>
      <c r="D89" s="10" t="s">
        <v>117</v>
      </c>
      <c r="E89" s="10" t="s">
        <v>126</v>
      </c>
      <c r="F89" s="10" t="s">
        <v>127</v>
      </c>
      <c r="G89" s="10" t="s">
        <v>224</v>
      </c>
      <c r="H89" s="10">
        <v>2034</v>
      </c>
      <c r="I89" s="10" t="s">
        <v>147</v>
      </c>
      <c r="J89" s="10" t="s">
        <v>148</v>
      </c>
      <c r="K89" s="9">
        <f>Effect_Sizes!J3</f>
        <v>0.54</v>
      </c>
      <c r="L89" s="9">
        <f>Effect_Sizes!K3</f>
        <v>0.8</v>
      </c>
      <c r="M89" s="9">
        <f>Coverage_Trajectory!H37</f>
        <v>0.1326807379397153</v>
      </c>
      <c r="N89" s="9">
        <f>Coverage_Trajectory!K37</f>
        <v>0.24849999999999997</v>
      </c>
      <c r="O89" s="9">
        <f t="shared" si="5"/>
        <v>0.11581926206028467</v>
      </c>
      <c r="P89" s="9">
        <f t="shared" si="6"/>
        <v>6.7369246215827239E-2</v>
      </c>
      <c r="Q89" s="9">
        <f t="shared" si="7"/>
        <v>5.3895396972661797E-2</v>
      </c>
      <c r="R89" s="9">
        <f t="shared" si="8"/>
        <v>0.94610460302733823</v>
      </c>
      <c r="S89" s="10" t="s">
        <v>483</v>
      </c>
      <c r="T89" s="5" t="str">
        <f t="shared" si="9"/>
        <v>OK</v>
      </c>
    </row>
    <row r="90" spans="1:20">
      <c r="A90" s="5" t="s">
        <v>519</v>
      </c>
      <c r="B90" s="5" t="s">
        <v>152</v>
      </c>
      <c r="C90" s="5" t="s">
        <v>116</v>
      </c>
      <c r="D90" s="5" t="s">
        <v>117</v>
      </c>
      <c r="E90" s="5" t="s">
        <v>126</v>
      </c>
      <c r="F90" s="5" t="s">
        <v>127</v>
      </c>
      <c r="G90" s="5" t="s">
        <v>224</v>
      </c>
      <c r="H90" s="5">
        <v>2035</v>
      </c>
      <c r="I90" s="5" t="s">
        <v>147</v>
      </c>
      <c r="J90" s="5" t="s">
        <v>148</v>
      </c>
      <c r="K90" s="9">
        <f>Effect_Sizes!J3</f>
        <v>0.54</v>
      </c>
      <c r="L90" s="9">
        <f>Effect_Sizes!K3</f>
        <v>0.8</v>
      </c>
      <c r="M90" s="9">
        <f>Coverage_Trajectory!H38</f>
        <v>0.1326807379397153</v>
      </c>
      <c r="N90" s="9">
        <f>Coverage_Trajectory!K38</f>
        <v>0.27649999999999997</v>
      </c>
      <c r="O90" s="9">
        <f t="shared" si="5"/>
        <v>0.14381926206028467</v>
      </c>
      <c r="P90" s="9">
        <f t="shared" si="6"/>
        <v>8.3656164820621229E-2</v>
      </c>
      <c r="Q90" s="9">
        <f t="shared" si="7"/>
        <v>6.6924931856496991E-2</v>
      </c>
      <c r="R90" s="9">
        <f t="shared" si="8"/>
        <v>0.93307506814350305</v>
      </c>
      <c r="S90" s="5" t="s">
        <v>483</v>
      </c>
      <c r="T90" s="5" t="str">
        <f t="shared" si="9"/>
        <v>OK</v>
      </c>
    </row>
    <row r="91" spans="1:20">
      <c r="A91" s="10" t="s">
        <v>520</v>
      </c>
      <c r="B91" s="10" t="s">
        <v>152</v>
      </c>
      <c r="C91" s="10" t="s">
        <v>116</v>
      </c>
      <c r="D91" s="10" t="s">
        <v>117</v>
      </c>
      <c r="E91" s="10" t="s">
        <v>126</v>
      </c>
      <c r="F91" s="10" t="s">
        <v>127</v>
      </c>
      <c r="G91" s="10" t="s">
        <v>224</v>
      </c>
      <c r="H91" s="10">
        <v>2036</v>
      </c>
      <c r="I91" s="10" t="s">
        <v>147</v>
      </c>
      <c r="J91" s="10" t="s">
        <v>148</v>
      </c>
      <c r="K91" s="9">
        <f>Effect_Sizes!J3</f>
        <v>0.54</v>
      </c>
      <c r="L91" s="9">
        <f>Effect_Sizes!K3</f>
        <v>0.8</v>
      </c>
      <c r="M91" s="9">
        <f>Coverage_Trajectory!H39</f>
        <v>0.1326807379397153</v>
      </c>
      <c r="N91" s="9">
        <f>Coverage_Trajectory!K39</f>
        <v>0.30449999999999999</v>
      </c>
      <c r="O91" s="9">
        <f t="shared" si="5"/>
        <v>0.17181926206028469</v>
      </c>
      <c r="P91" s="9">
        <f t="shared" si="6"/>
        <v>9.9943083425415233E-2</v>
      </c>
      <c r="Q91" s="9">
        <f t="shared" si="7"/>
        <v>7.9954466740332186E-2</v>
      </c>
      <c r="R91" s="9">
        <f t="shared" si="8"/>
        <v>0.92004553325966776</v>
      </c>
      <c r="S91" s="10" t="s">
        <v>483</v>
      </c>
      <c r="T91" s="5" t="str">
        <f t="shared" si="9"/>
        <v>OK</v>
      </c>
    </row>
    <row r="92" spans="1:20">
      <c r="A92" s="5" t="s">
        <v>521</v>
      </c>
      <c r="B92" s="5" t="s">
        <v>152</v>
      </c>
      <c r="C92" s="5" t="s">
        <v>116</v>
      </c>
      <c r="D92" s="5" t="s">
        <v>117</v>
      </c>
      <c r="E92" s="5" t="s">
        <v>126</v>
      </c>
      <c r="F92" s="5" t="s">
        <v>127</v>
      </c>
      <c r="G92" s="5" t="s">
        <v>224</v>
      </c>
      <c r="H92" s="5">
        <v>2037</v>
      </c>
      <c r="I92" s="5" t="s">
        <v>147</v>
      </c>
      <c r="J92" s="5" t="s">
        <v>148</v>
      </c>
      <c r="K92" s="9">
        <f>Effect_Sizes!J3</f>
        <v>0.54</v>
      </c>
      <c r="L92" s="9">
        <f>Effect_Sizes!K3</f>
        <v>0.8</v>
      </c>
      <c r="M92" s="9">
        <f>Coverage_Trajectory!H40</f>
        <v>0.1326807379397153</v>
      </c>
      <c r="N92" s="9">
        <f>Coverage_Trajectory!K40</f>
        <v>0.33249999999999996</v>
      </c>
      <c r="O92" s="9">
        <f t="shared" si="5"/>
        <v>0.19981926206028466</v>
      </c>
      <c r="P92" s="9">
        <f t="shared" si="6"/>
        <v>0.11623000203020922</v>
      </c>
      <c r="Q92" s="9">
        <f t="shared" si="7"/>
        <v>9.2984001624167381E-2</v>
      </c>
      <c r="R92" s="9">
        <f t="shared" si="8"/>
        <v>0.90701599837583258</v>
      </c>
      <c r="S92" s="5" t="s">
        <v>483</v>
      </c>
      <c r="T92" s="5" t="str">
        <f t="shared" si="9"/>
        <v>OK</v>
      </c>
    </row>
    <row r="93" spans="1:20">
      <c r="A93" s="10" t="s">
        <v>522</v>
      </c>
      <c r="B93" s="10" t="s">
        <v>152</v>
      </c>
      <c r="C93" s="10" t="s">
        <v>116</v>
      </c>
      <c r="D93" s="10" t="s">
        <v>117</v>
      </c>
      <c r="E93" s="10" t="s">
        <v>126</v>
      </c>
      <c r="F93" s="10" t="s">
        <v>127</v>
      </c>
      <c r="G93" s="10" t="s">
        <v>224</v>
      </c>
      <c r="H93" s="10">
        <v>2038</v>
      </c>
      <c r="I93" s="10" t="s">
        <v>147</v>
      </c>
      <c r="J93" s="10" t="s">
        <v>148</v>
      </c>
      <c r="K93" s="9">
        <f>Effect_Sizes!J3</f>
        <v>0.54</v>
      </c>
      <c r="L93" s="9">
        <f>Effect_Sizes!K3</f>
        <v>0.8</v>
      </c>
      <c r="M93" s="9">
        <f>Coverage_Trajectory!H41</f>
        <v>0.1326807379397153</v>
      </c>
      <c r="N93" s="9">
        <f>Coverage_Trajectory!K41</f>
        <v>0.36049999999999993</v>
      </c>
      <c r="O93" s="9">
        <f t="shared" si="5"/>
        <v>0.22781926206028463</v>
      </c>
      <c r="P93" s="9">
        <f t="shared" si="6"/>
        <v>0.1325169206350032</v>
      </c>
      <c r="Q93" s="9">
        <f t="shared" si="7"/>
        <v>0.10601353650800256</v>
      </c>
      <c r="R93" s="9">
        <f t="shared" si="8"/>
        <v>0.8939864634919974</v>
      </c>
      <c r="S93" s="10" t="s">
        <v>483</v>
      </c>
      <c r="T93" s="5" t="str">
        <f t="shared" si="9"/>
        <v>OK</v>
      </c>
    </row>
    <row r="94" spans="1:20">
      <c r="A94" s="5" t="s">
        <v>523</v>
      </c>
      <c r="B94" s="5" t="s">
        <v>152</v>
      </c>
      <c r="C94" s="5" t="s">
        <v>116</v>
      </c>
      <c r="D94" s="5" t="s">
        <v>117</v>
      </c>
      <c r="E94" s="5" t="s">
        <v>126</v>
      </c>
      <c r="F94" s="5" t="s">
        <v>127</v>
      </c>
      <c r="G94" s="5" t="s">
        <v>224</v>
      </c>
      <c r="H94" s="5">
        <v>2039</v>
      </c>
      <c r="I94" s="5" t="s">
        <v>147</v>
      </c>
      <c r="J94" s="5" t="s">
        <v>148</v>
      </c>
      <c r="K94" s="9">
        <f>Effect_Sizes!J3</f>
        <v>0.54</v>
      </c>
      <c r="L94" s="9">
        <f>Effect_Sizes!K3</f>
        <v>0.8</v>
      </c>
      <c r="M94" s="9">
        <f>Coverage_Trajectory!H42</f>
        <v>0.1326807379397153</v>
      </c>
      <c r="N94" s="9">
        <f>Coverage_Trajectory!K42</f>
        <v>0.3884999999999999</v>
      </c>
      <c r="O94" s="9">
        <f t="shared" si="5"/>
        <v>0.2558192620602846</v>
      </c>
      <c r="P94" s="9">
        <f t="shared" si="6"/>
        <v>0.14880383923979718</v>
      </c>
      <c r="Q94" s="9">
        <f t="shared" si="7"/>
        <v>0.11904307139183774</v>
      </c>
      <c r="R94" s="9">
        <f t="shared" si="8"/>
        <v>0.88095692860816222</v>
      </c>
      <c r="S94" s="5" t="s">
        <v>483</v>
      </c>
      <c r="T94" s="5" t="str">
        <f t="shared" si="9"/>
        <v>OK</v>
      </c>
    </row>
    <row r="95" spans="1:20">
      <c r="A95" s="10" t="s">
        <v>524</v>
      </c>
      <c r="B95" s="10" t="s">
        <v>152</v>
      </c>
      <c r="C95" s="10" t="s">
        <v>116</v>
      </c>
      <c r="D95" s="10" t="s">
        <v>117</v>
      </c>
      <c r="E95" s="10" t="s">
        <v>126</v>
      </c>
      <c r="F95" s="10" t="s">
        <v>127</v>
      </c>
      <c r="G95" s="10" t="s">
        <v>224</v>
      </c>
      <c r="H95" s="10">
        <v>2040</v>
      </c>
      <c r="I95" s="10" t="s">
        <v>147</v>
      </c>
      <c r="J95" s="10" t="s">
        <v>148</v>
      </c>
      <c r="K95" s="9">
        <f>Effect_Sizes!J3</f>
        <v>0.54</v>
      </c>
      <c r="L95" s="9">
        <f>Effect_Sizes!K3</f>
        <v>0.8</v>
      </c>
      <c r="M95" s="9">
        <f>Coverage_Trajectory!H43</f>
        <v>0.1326807379397153</v>
      </c>
      <c r="N95" s="9">
        <f>Coverage_Trajectory!K43</f>
        <v>0.41649999999999993</v>
      </c>
      <c r="O95" s="9">
        <f t="shared" si="5"/>
        <v>0.28381926206028463</v>
      </c>
      <c r="P95" s="9">
        <f t="shared" si="6"/>
        <v>0.16509075784459121</v>
      </c>
      <c r="Q95" s="9">
        <f t="shared" si="7"/>
        <v>0.13207260627567297</v>
      </c>
      <c r="R95" s="9">
        <f t="shared" si="8"/>
        <v>0.86792739372432703</v>
      </c>
      <c r="S95" s="10" t="s">
        <v>483</v>
      </c>
      <c r="T95" s="5" t="str">
        <f t="shared" si="9"/>
        <v>OK</v>
      </c>
    </row>
    <row r="96" spans="1:20">
      <c r="A96" s="5" t="s">
        <v>525</v>
      </c>
      <c r="B96" s="5" t="s">
        <v>152</v>
      </c>
      <c r="C96" s="5" t="s">
        <v>116</v>
      </c>
      <c r="D96" s="5" t="s">
        <v>117</v>
      </c>
      <c r="E96" s="5" t="s">
        <v>126</v>
      </c>
      <c r="F96" s="5" t="s">
        <v>127</v>
      </c>
      <c r="G96" s="5" t="s">
        <v>224</v>
      </c>
      <c r="H96" s="5">
        <v>2041</v>
      </c>
      <c r="I96" s="5" t="s">
        <v>147</v>
      </c>
      <c r="J96" s="5" t="s">
        <v>148</v>
      </c>
      <c r="K96" s="9">
        <f>Effect_Sizes!J3</f>
        <v>0.54</v>
      </c>
      <c r="L96" s="9">
        <f>Effect_Sizes!K3</f>
        <v>0.8</v>
      </c>
      <c r="M96" s="9">
        <f>Coverage_Trajectory!H44</f>
        <v>0.1326807379397153</v>
      </c>
      <c r="N96" s="9">
        <f>Coverage_Trajectory!K44</f>
        <v>0.41649999999999993</v>
      </c>
      <c r="O96" s="9">
        <f t="shared" si="5"/>
        <v>0.28381926206028463</v>
      </c>
      <c r="P96" s="9">
        <f t="shared" si="6"/>
        <v>0.16509075784459121</v>
      </c>
      <c r="Q96" s="9">
        <f t="shared" si="7"/>
        <v>0.13207260627567297</v>
      </c>
      <c r="R96" s="9">
        <f t="shared" si="8"/>
        <v>0.86792739372432703</v>
      </c>
      <c r="S96" s="5" t="s">
        <v>483</v>
      </c>
      <c r="T96" s="5" t="str">
        <f t="shared" si="9"/>
        <v>OK</v>
      </c>
    </row>
    <row r="97" spans="1:20">
      <c r="A97" s="10" t="s">
        <v>526</v>
      </c>
      <c r="B97" s="10" t="s">
        <v>152</v>
      </c>
      <c r="C97" s="10" t="s">
        <v>116</v>
      </c>
      <c r="D97" s="10" t="s">
        <v>117</v>
      </c>
      <c r="E97" s="10" t="s">
        <v>126</v>
      </c>
      <c r="F97" s="10" t="s">
        <v>127</v>
      </c>
      <c r="G97" s="10" t="s">
        <v>224</v>
      </c>
      <c r="H97" s="10">
        <v>2042</v>
      </c>
      <c r="I97" s="10" t="s">
        <v>147</v>
      </c>
      <c r="J97" s="10" t="s">
        <v>148</v>
      </c>
      <c r="K97" s="9">
        <f>Effect_Sizes!J3</f>
        <v>0.54</v>
      </c>
      <c r="L97" s="9">
        <f>Effect_Sizes!K3</f>
        <v>0.8</v>
      </c>
      <c r="M97" s="9">
        <f>Coverage_Trajectory!H45</f>
        <v>0.1326807379397153</v>
      </c>
      <c r="N97" s="9">
        <f>Coverage_Trajectory!K45</f>
        <v>0.41649999999999993</v>
      </c>
      <c r="O97" s="9">
        <f t="shared" si="5"/>
        <v>0.28381926206028463</v>
      </c>
      <c r="P97" s="9">
        <f t="shared" si="6"/>
        <v>0.16509075784459121</v>
      </c>
      <c r="Q97" s="9">
        <f t="shared" si="7"/>
        <v>0.13207260627567297</v>
      </c>
      <c r="R97" s="9">
        <f t="shared" si="8"/>
        <v>0.86792739372432703</v>
      </c>
      <c r="S97" s="10" t="s">
        <v>483</v>
      </c>
      <c r="T97" s="5" t="str">
        <f t="shared" si="9"/>
        <v>OK</v>
      </c>
    </row>
    <row r="98" spans="1:20">
      <c r="A98" s="5" t="s">
        <v>527</v>
      </c>
      <c r="B98" s="5" t="s">
        <v>152</v>
      </c>
      <c r="C98" s="5" t="s">
        <v>116</v>
      </c>
      <c r="D98" s="5" t="s">
        <v>117</v>
      </c>
      <c r="E98" s="5" t="s">
        <v>126</v>
      </c>
      <c r="F98" s="5" t="s">
        <v>127</v>
      </c>
      <c r="G98" s="5" t="s">
        <v>224</v>
      </c>
      <c r="H98" s="5">
        <v>2043</v>
      </c>
      <c r="I98" s="5" t="s">
        <v>147</v>
      </c>
      <c r="J98" s="5" t="s">
        <v>148</v>
      </c>
      <c r="K98" s="9">
        <f>Effect_Sizes!J3</f>
        <v>0.54</v>
      </c>
      <c r="L98" s="9">
        <f>Effect_Sizes!K3</f>
        <v>0.8</v>
      </c>
      <c r="M98" s="9">
        <f>Coverage_Trajectory!H46</f>
        <v>0.1326807379397153</v>
      </c>
      <c r="N98" s="9">
        <f>Coverage_Trajectory!K46</f>
        <v>0.41649999999999993</v>
      </c>
      <c r="O98" s="9">
        <f t="shared" si="5"/>
        <v>0.28381926206028463</v>
      </c>
      <c r="P98" s="9">
        <f t="shared" si="6"/>
        <v>0.16509075784459121</v>
      </c>
      <c r="Q98" s="9">
        <f t="shared" si="7"/>
        <v>0.13207260627567297</v>
      </c>
      <c r="R98" s="9">
        <f t="shared" si="8"/>
        <v>0.86792739372432703</v>
      </c>
      <c r="S98" s="5" t="s">
        <v>483</v>
      </c>
      <c r="T98" s="5" t="str">
        <f t="shared" si="9"/>
        <v>OK</v>
      </c>
    </row>
    <row r="99" spans="1:20">
      <c r="A99" s="10" t="s">
        <v>528</v>
      </c>
      <c r="B99" s="10" t="s">
        <v>152</v>
      </c>
      <c r="C99" s="10" t="s">
        <v>116</v>
      </c>
      <c r="D99" s="10" t="s">
        <v>117</v>
      </c>
      <c r="E99" s="10" t="s">
        <v>126</v>
      </c>
      <c r="F99" s="10" t="s">
        <v>127</v>
      </c>
      <c r="G99" s="10" t="s">
        <v>224</v>
      </c>
      <c r="H99" s="10">
        <v>2044</v>
      </c>
      <c r="I99" s="10" t="s">
        <v>147</v>
      </c>
      <c r="J99" s="10" t="s">
        <v>148</v>
      </c>
      <c r="K99" s="9">
        <f>Effect_Sizes!J3</f>
        <v>0.54</v>
      </c>
      <c r="L99" s="9">
        <f>Effect_Sizes!K3</f>
        <v>0.8</v>
      </c>
      <c r="M99" s="9">
        <f>Coverage_Trajectory!H47</f>
        <v>0.1326807379397153</v>
      </c>
      <c r="N99" s="9">
        <f>Coverage_Trajectory!K47</f>
        <v>0.41649999999999993</v>
      </c>
      <c r="O99" s="9">
        <f t="shared" si="5"/>
        <v>0.28381926206028463</v>
      </c>
      <c r="P99" s="9">
        <f t="shared" si="6"/>
        <v>0.16509075784459121</v>
      </c>
      <c r="Q99" s="9">
        <f t="shared" si="7"/>
        <v>0.13207260627567297</v>
      </c>
      <c r="R99" s="9">
        <f t="shared" si="8"/>
        <v>0.86792739372432703</v>
      </c>
      <c r="S99" s="10" t="s">
        <v>483</v>
      </c>
      <c r="T99" s="5" t="str">
        <f t="shared" si="9"/>
        <v>OK</v>
      </c>
    </row>
    <row r="100" spans="1:20">
      <c r="A100" s="5" t="s">
        <v>529</v>
      </c>
      <c r="B100" s="5" t="s">
        <v>152</v>
      </c>
      <c r="C100" s="5" t="s">
        <v>116</v>
      </c>
      <c r="D100" s="5" t="s">
        <v>117</v>
      </c>
      <c r="E100" s="5" t="s">
        <v>126</v>
      </c>
      <c r="F100" s="5" t="s">
        <v>127</v>
      </c>
      <c r="G100" s="5" t="s">
        <v>224</v>
      </c>
      <c r="H100" s="5">
        <v>2045</v>
      </c>
      <c r="I100" s="5" t="s">
        <v>147</v>
      </c>
      <c r="J100" s="5" t="s">
        <v>148</v>
      </c>
      <c r="K100" s="9">
        <f>Effect_Sizes!J3</f>
        <v>0.54</v>
      </c>
      <c r="L100" s="9">
        <f>Effect_Sizes!K3</f>
        <v>0.8</v>
      </c>
      <c r="M100" s="9">
        <f>Coverage_Trajectory!H48</f>
        <v>0.1326807379397153</v>
      </c>
      <c r="N100" s="9">
        <f>Coverage_Trajectory!K48</f>
        <v>0.41649999999999993</v>
      </c>
      <c r="O100" s="9">
        <f t="shared" si="5"/>
        <v>0.28381926206028463</v>
      </c>
      <c r="P100" s="9">
        <f t="shared" si="6"/>
        <v>0.16509075784459121</v>
      </c>
      <c r="Q100" s="9">
        <f t="shared" si="7"/>
        <v>0.13207260627567297</v>
      </c>
      <c r="R100" s="9">
        <f t="shared" si="8"/>
        <v>0.86792739372432703</v>
      </c>
      <c r="S100" s="5" t="s">
        <v>483</v>
      </c>
      <c r="T100" s="5" t="str">
        <f t="shared" si="9"/>
        <v>OK</v>
      </c>
    </row>
    <row r="101" spans="1:20">
      <c r="A101" s="10" t="s">
        <v>530</v>
      </c>
      <c r="B101" s="10" t="s">
        <v>152</v>
      </c>
      <c r="C101" s="10" t="s">
        <v>116</v>
      </c>
      <c r="D101" s="10" t="s">
        <v>117</v>
      </c>
      <c r="E101" s="10" t="s">
        <v>126</v>
      </c>
      <c r="F101" s="10" t="s">
        <v>127</v>
      </c>
      <c r="G101" s="10" t="s">
        <v>224</v>
      </c>
      <c r="H101" s="10">
        <v>2046</v>
      </c>
      <c r="I101" s="10" t="s">
        <v>147</v>
      </c>
      <c r="J101" s="10" t="s">
        <v>148</v>
      </c>
      <c r="K101" s="9">
        <f>Effect_Sizes!J3</f>
        <v>0.54</v>
      </c>
      <c r="L101" s="9">
        <f>Effect_Sizes!K3</f>
        <v>0.8</v>
      </c>
      <c r="M101" s="9">
        <f>Coverage_Trajectory!H49</f>
        <v>0.1326807379397153</v>
      </c>
      <c r="N101" s="9">
        <f>Coverage_Trajectory!K49</f>
        <v>0.41649999999999993</v>
      </c>
      <c r="O101" s="9">
        <f t="shared" si="5"/>
        <v>0.28381926206028463</v>
      </c>
      <c r="P101" s="9">
        <f t="shared" si="6"/>
        <v>0.16509075784459121</v>
      </c>
      <c r="Q101" s="9">
        <f t="shared" si="7"/>
        <v>0.13207260627567297</v>
      </c>
      <c r="R101" s="9">
        <f t="shared" si="8"/>
        <v>0.86792739372432703</v>
      </c>
      <c r="S101" s="10" t="s">
        <v>483</v>
      </c>
      <c r="T101" s="5" t="str">
        <f t="shared" si="9"/>
        <v>OK</v>
      </c>
    </row>
    <row r="102" spans="1:20">
      <c r="A102" s="5" t="s">
        <v>531</v>
      </c>
      <c r="B102" s="5" t="s">
        <v>152</v>
      </c>
      <c r="C102" s="5" t="s">
        <v>116</v>
      </c>
      <c r="D102" s="5" t="s">
        <v>117</v>
      </c>
      <c r="E102" s="5" t="s">
        <v>126</v>
      </c>
      <c r="F102" s="5" t="s">
        <v>127</v>
      </c>
      <c r="G102" s="5" t="s">
        <v>224</v>
      </c>
      <c r="H102" s="5">
        <v>2047</v>
      </c>
      <c r="I102" s="5" t="s">
        <v>147</v>
      </c>
      <c r="J102" s="5" t="s">
        <v>148</v>
      </c>
      <c r="K102" s="9">
        <f>Effect_Sizes!J3</f>
        <v>0.54</v>
      </c>
      <c r="L102" s="9">
        <f>Effect_Sizes!K3</f>
        <v>0.8</v>
      </c>
      <c r="M102" s="9">
        <f>Coverage_Trajectory!H50</f>
        <v>0.1326807379397153</v>
      </c>
      <c r="N102" s="9">
        <f>Coverage_Trajectory!K50</f>
        <v>0.41649999999999993</v>
      </c>
      <c r="O102" s="9">
        <f t="shared" si="5"/>
        <v>0.28381926206028463</v>
      </c>
      <c r="P102" s="9">
        <f t="shared" si="6"/>
        <v>0.16509075784459121</v>
      </c>
      <c r="Q102" s="9">
        <f t="shared" si="7"/>
        <v>0.13207260627567297</v>
      </c>
      <c r="R102" s="9">
        <f t="shared" si="8"/>
        <v>0.86792739372432703</v>
      </c>
      <c r="S102" s="5" t="s">
        <v>483</v>
      </c>
      <c r="T102" s="5" t="str">
        <f t="shared" si="9"/>
        <v>OK</v>
      </c>
    </row>
    <row r="103" spans="1:20">
      <c r="A103" s="10" t="s">
        <v>532</v>
      </c>
      <c r="B103" s="10" t="s">
        <v>152</v>
      </c>
      <c r="C103" s="10" t="s">
        <v>116</v>
      </c>
      <c r="D103" s="10" t="s">
        <v>117</v>
      </c>
      <c r="E103" s="10" t="s">
        <v>126</v>
      </c>
      <c r="F103" s="10" t="s">
        <v>127</v>
      </c>
      <c r="G103" s="10" t="s">
        <v>224</v>
      </c>
      <c r="H103" s="10">
        <v>2048</v>
      </c>
      <c r="I103" s="10" t="s">
        <v>147</v>
      </c>
      <c r="J103" s="10" t="s">
        <v>148</v>
      </c>
      <c r="K103" s="9">
        <f>Effect_Sizes!J3</f>
        <v>0.54</v>
      </c>
      <c r="L103" s="9">
        <f>Effect_Sizes!K3</f>
        <v>0.8</v>
      </c>
      <c r="M103" s="9">
        <f>Coverage_Trajectory!H51</f>
        <v>0.1326807379397153</v>
      </c>
      <c r="N103" s="9">
        <f>Coverage_Trajectory!K51</f>
        <v>0.41649999999999993</v>
      </c>
      <c r="O103" s="9">
        <f t="shared" si="5"/>
        <v>0.28381926206028463</v>
      </c>
      <c r="P103" s="9">
        <f t="shared" si="6"/>
        <v>0.16509075784459121</v>
      </c>
      <c r="Q103" s="9">
        <f t="shared" si="7"/>
        <v>0.13207260627567297</v>
      </c>
      <c r="R103" s="9">
        <f t="shared" si="8"/>
        <v>0.86792739372432703</v>
      </c>
      <c r="S103" s="10" t="s">
        <v>483</v>
      </c>
      <c r="T103" s="5" t="str">
        <f t="shared" si="9"/>
        <v>OK</v>
      </c>
    </row>
    <row r="104" spans="1:20">
      <c r="A104" s="5" t="s">
        <v>533</v>
      </c>
      <c r="B104" s="5" t="s">
        <v>152</v>
      </c>
      <c r="C104" s="5" t="s">
        <v>116</v>
      </c>
      <c r="D104" s="5" t="s">
        <v>117</v>
      </c>
      <c r="E104" s="5" t="s">
        <v>126</v>
      </c>
      <c r="F104" s="5" t="s">
        <v>127</v>
      </c>
      <c r="G104" s="5" t="s">
        <v>224</v>
      </c>
      <c r="H104" s="5">
        <v>2049</v>
      </c>
      <c r="I104" s="5" t="s">
        <v>147</v>
      </c>
      <c r="J104" s="5" t="s">
        <v>148</v>
      </c>
      <c r="K104" s="9">
        <f>Effect_Sizes!J3</f>
        <v>0.54</v>
      </c>
      <c r="L104" s="9">
        <f>Effect_Sizes!K3</f>
        <v>0.8</v>
      </c>
      <c r="M104" s="9">
        <f>Coverage_Trajectory!H52</f>
        <v>0.1326807379397153</v>
      </c>
      <c r="N104" s="9">
        <f>Coverage_Trajectory!K52</f>
        <v>0.41649999999999993</v>
      </c>
      <c r="O104" s="9">
        <f t="shared" si="5"/>
        <v>0.28381926206028463</v>
      </c>
      <c r="P104" s="9">
        <f t="shared" si="6"/>
        <v>0.16509075784459121</v>
      </c>
      <c r="Q104" s="9">
        <f t="shared" si="7"/>
        <v>0.13207260627567297</v>
      </c>
      <c r="R104" s="9">
        <f t="shared" si="8"/>
        <v>0.86792739372432703</v>
      </c>
      <c r="S104" s="5" t="s">
        <v>483</v>
      </c>
      <c r="T104" s="5" t="str">
        <f t="shared" si="9"/>
        <v>OK</v>
      </c>
    </row>
    <row r="105" spans="1:20">
      <c r="A105" s="10" t="s">
        <v>534</v>
      </c>
      <c r="B105" s="10" t="s">
        <v>152</v>
      </c>
      <c r="C105" s="10" t="s">
        <v>116</v>
      </c>
      <c r="D105" s="10" t="s">
        <v>117</v>
      </c>
      <c r="E105" s="10" t="s">
        <v>126</v>
      </c>
      <c r="F105" s="10" t="s">
        <v>127</v>
      </c>
      <c r="G105" s="10" t="s">
        <v>224</v>
      </c>
      <c r="H105" s="10">
        <v>2050</v>
      </c>
      <c r="I105" s="10" t="s">
        <v>147</v>
      </c>
      <c r="J105" s="10" t="s">
        <v>148</v>
      </c>
      <c r="K105" s="9">
        <f>Effect_Sizes!J3</f>
        <v>0.54</v>
      </c>
      <c r="L105" s="9">
        <f>Effect_Sizes!K3</f>
        <v>0.8</v>
      </c>
      <c r="M105" s="9">
        <f>Coverage_Trajectory!H53</f>
        <v>0.1326807379397153</v>
      </c>
      <c r="N105" s="9">
        <f>Coverage_Trajectory!K53</f>
        <v>0.41649999999999993</v>
      </c>
      <c r="O105" s="9">
        <f t="shared" si="5"/>
        <v>0.28381926206028463</v>
      </c>
      <c r="P105" s="9">
        <f t="shared" si="6"/>
        <v>0.16509075784459121</v>
      </c>
      <c r="Q105" s="9">
        <f t="shared" si="7"/>
        <v>0.13207260627567297</v>
      </c>
      <c r="R105" s="9">
        <f t="shared" si="8"/>
        <v>0.86792739372432703</v>
      </c>
      <c r="S105" s="10" t="s">
        <v>483</v>
      </c>
      <c r="T105" s="5" t="str">
        <f t="shared" si="9"/>
        <v>OK</v>
      </c>
    </row>
    <row r="106" spans="1:20">
      <c r="A106" s="5" t="s">
        <v>535</v>
      </c>
      <c r="B106" s="5" t="s">
        <v>153</v>
      </c>
      <c r="C106" s="5" t="s">
        <v>116</v>
      </c>
      <c r="D106" s="5" t="s">
        <v>117</v>
      </c>
      <c r="E106" s="5" t="s">
        <v>128</v>
      </c>
      <c r="F106" s="5" t="s">
        <v>129</v>
      </c>
      <c r="G106" s="5" t="s">
        <v>213</v>
      </c>
      <c r="H106" s="5">
        <v>2025</v>
      </c>
      <c r="I106" s="5" t="s">
        <v>147</v>
      </c>
      <c r="J106" s="5" t="s">
        <v>148</v>
      </c>
      <c r="K106" s="9">
        <f>Effect_Sizes!J4</f>
        <v>0.49</v>
      </c>
      <c r="L106" s="9">
        <f>Effect_Sizes!K4</f>
        <v>0.8</v>
      </c>
      <c r="M106" s="9">
        <f>Coverage_Trajectory!H2</f>
        <v>9.4852976806097139E-2</v>
      </c>
      <c r="N106" s="9">
        <f>Coverage_Trajectory!K2</f>
        <v>9.4852976806097139E-2</v>
      </c>
      <c r="O106" s="9">
        <f t="shared" si="5"/>
        <v>0</v>
      </c>
      <c r="P106" s="9">
        <f t="shared" si="6"/>
        <v>0</v>
      </c>
      <c r="Q106" s="9">
        <f t="shared" si="7"/>
        <v>0</v>
      </c>
      <c r="R106" s="9">
        <f t="shared" si="8"/>
        <v>1</v>
      </c>
      <c r="S106" s="5" t="s">
        <v>536</v>
      </c>
      <c r="T106" s="5" t="str">
        <f t="shared" si="9"/>
        <v>OK</v>
      </c>
    </row>
    <row r="107" spans="1:20">
      <c r="A107" s="10" t="s">
        <v>537</v>
      </c>
      <c r="B107" s="10" t="s">
        <v>153</v>
      </c>
      <c r="C107" s="10" t="s">
        <v>116</v>
      </c>
      <c r="D107" s="10" t="s">
        <v>117</v>
      </c>
      <c r="E107" s="10" t="s">
        <v>128</v>
      </c>
      <c r="F107" s="10" t="s">
        <v>129</v>
      </c>
      <c r="G107" s="10" t="s">
        <v>213</v>
      </c>
      <c r="H107" s="10">
        <v>2026</v>
      </c>
      <c r="I107" s="10" t="s">
        <v>147</v>
      </c>
      <c r="J107" s="10" t="s">
        <v>148</v>
      </c>
      <c r="K107" s="9">
        <f>Effect_Sizes!J4</f>
        <v>0.49</v>
      </c>
      <c r="L107" s="9">
        <f>Effect_Sizes!K4</f>
        <v>0.8</v>
      </c>
      <c r="M107" s="9">
        <f>Coverage_Trajectory!H3</f>
        <v>9.4852976806097139E-2</v>
      </c>
      <c r="N107" s="9">
        <f>Coverage_Trajectory!K3</f>
        <v>0.10318238144487771</v>
      </c>
      <c r="O107" s="9">
        <f t="shared" si="5"/>
        <v>8.3294046387805687E-3</v>
      </c>
      <c r="P107" s="9">
        <f t="shared" si="6"/>
        <v>4.280350213152647E-3</v>
      </c>
      <c r="Q107" s="9">
        <f t="shared" si="7"/>
        <v>3.4242801705221177E-3</v>
      </c>
      <c r="R107" s="9">
        <f t="shared" si="8"/>
        <v>0.9965757198294779</v>
      </c>
      <c r="S107" s="10" t="s">
        <v>536</v>
      </c>
      <c r="T107" s="5" t="str">
        <f t="shared" si="9"/>
        <v>OK</v>
      </c>
    </row>
    <row r="108" spans="1:20">
      <c r="A108" s="5" t="s">
        <v>538</v>
      </c>
      <c r="B108" s="5" t="s">
        <v>153</v>
      </c>
      <c r="C108" s="5" t="s">
        <v>116</v>
      </c>
      <c r="D108" s="5" t="s">
        <v>117</v>
      </c>
      <c r="E108" s="5" t="s">
        <v>128</v>
      </c>
      <c r="F108" s="5" t="s">
        <v>129</v>
      </c>
      <c r="G108" s="5" t="s">
        <v>213</v>
      </c>
      <c r="H108" s="5">
        <v>2027</v>
      </c>
      <c r="I108" s="5" t="s">
        <v>147</v>
      </c>
      <c r="J108" s="5" t="s">
        <v>148</v>
      </c>
      <c r="K108" s="9">
        <f>Effect_Sizes!J4</f>
        <v>0.49</v>
      </c>
      <c r="L108" s="9">
        <f>Effect_Sizes!K4</f>
        <v>0.8</v>
      </c>
      <c r="M108" s="9">
        <f>Coverage_Trajectory!H4</f>
        <v>9.4852976806097139E-2</v>
      </c>
      <c r="N108" s="9">
        <f>Coverage_Trajectory!K4</f>
        <v>0.11151178608365829</v>
      </c>
      <c r="O108" s="9">
        <f t="shared" si="5"/>
        <v>1.6658809277561151E-2</v>
      </c>
      <c r="P108" s="9">
        <f t="shared" si="6"/>
        <v>8.560700426305301E-3</v>
      </c>
      <c r="Q108" s="9">
        <f t="shared" si="7"/>
        <v>6.8485603410442415E-3</v>
      </c>
      <c r="R108" s="9">
        <f t="shared" si="8"/>
        <v>0.9931514396589558</v>
      </c>
      <c r="S108" s="5" t="s">
        <v>536</v>
      </c>
      <c r="T108" s="5" t="str">
        <f t="shared" si="9"/>
        <v>OK</v>
      </c>
    </row>
    <row r="109" spans="1:20">
      <c r="A109" s="10" t="s">
        <v>539</v>
      </c>
      <c r="B109" s="10" t="s">
        <v>153</v>
      </c>
      <c r="C109" s="10" t="s">
        <v>116</v>
      </c>
      <c r="D109" s="10" t="s">
        <v>117</v>
      </c>
      <c r="E109" s="10" t="s">
        <v>128</v>
      </c>
      <c r="F109" s="10" t="s">
        <v>129</v>
      </c>
      <c r="G109" s="10" t="s">
        <v>213</v>
      </c>
      <c r="H109" s="10">
        <v>2028</v>
      </c>
      <c r="I109" s="10" t="s">
        <v>147</v>
      </c>
      <c r="J109" s="10" t="s">
        <v>148</v>
      </c>
      <c r="K109" s="9">
        <f>Effect_Sizes!J4</f>
        <v>0.49</v>
      </c>
      <c r="L109" s="9">
        <f>Effect_Sizes!K4</f>
        <v>0.8</v>
      </c>
      <c r="M109" s="9">
        <f>Coverage_Trajectory!H5</f>
        <v>9.4852976806097139E-2</v>
      </c>
      <c r="N109" s="9">
        <f>Coverage_Trajectory!K5</f>
        <v>0.11984119072243886</v>
      </c>
      <c r="O109" s="9">
        <f t="shared" si="5"/>
        <v>2.498821391634172E-2</v>
      </c>
      <c r="P109" s="9">
        <f t="shared" si="6"/>
        <v>1.2841050639457952E-2</v>
      </c>
      <c r="Q109" s="9">
        <f t="shared" si="7"/>
        <v>1.0272840511566362E-2</v>
      </c>
      <c r="R109" s="9">
        <f t="shared" si="8"/>
        <v>0.98972715948843359</v>
      </c>
      <c r="S109" s="10" t="s">
        <v>536</v>
      </c>
      <c r="T109" s="5" t="str">
        <f t="shared" si="9"/>
        <v>OK</v>
      </c>
    </row>
    <row r="110" spans="1:20">
      <c r="A110" s="5" t="s">
        <v>540</v>
      </c>
      <c r="B110" s="5" t="s">
        <v>153</v>
      </c>
      <c r="C110" s="5" t="s">
        <v>116</v>
      </c>
      <c r="D110" s="5" t="s">
        <v>117</v>
      </c>
      <c r="E110" s="5" t="s">
        <v>128</v>
      </c>
      <c r="F110" s="5" t="s">
        <v>129</v>
      </c>
      <c r="G110" s="5" t="s">
        <v>213</v>
      </c>
      <c r="H110" s="5">
        <v>2029</v>
      </c>
      <c r="I110" s="5" t="s">
        <v>147</v>
      </c>
      <c r="J110" s="5" t="s">
        <v>148</v>
      </c>
      <c r="K110" s="9">
        <f>Effect_Sizes!J4</f>
        <v>0.49</v>
      </c>
      <c r="L110" s="9">
        <f>Effect_Sizes!K4</f>
        <v>0.8</v>
      </c>
      <c r="M110" s="9">
        <f>Coverage_Trajectory!H6</f>
        <v>9.4852976806097139E-2</v>
      </c>
      <c r="N110" s="9">
        <f>Coverage_Trajectory!K6</f>
        <v>0.12817059536121944</v>
      </c>
      <c r="O110" s="9">
        <f t="shared" si="5"/>
        <v>3.3317618555122303E-2</v>
      </c>
      <c r="P110" s="9">
        <f t="shared" si="6"/>
        <v>1.7121400852610602E-2</v>
      </c>
      <c r="Q110" s="9">
        <f t="shared" si="7"/>
        <v>1.3697120682088483E-2</v>
      </c>
      <c r="R110" s="9">
        <f t="shared" si="8"/>
        <v>0.9863028793179115</v>
      </c>
      <c r="S110" s="5" t="s">
        <v>536</v>
      </c>
      <c r="T110" s="5" t="str">
        <f t="shared" si="9"/>
        <v>OK</v>
      </c>
    </row>
    <row r="111" spans="1:20">
      <c r="A111" s="10" t="s">
        <v>541</v>
      </c>
      <c r="B111" s="10" t="s">
        <v>153</v>
      </c>
      <c r="C111" s="10" t="s">
        <v>116</v>
      </c>
      <c r="D111" s="10" t="s">
        <v>117</v>
      </c>
      <c r="E111" s="10" t="s">
        <v>128</v>
      </c>
      <c r="F111" s="10" t="s">
        <v>129</v>
      </c>
      <c r="G111" s="10" t="s">
        <v>213</v>
      </c>
      <c r="H111" s="10">
        <v>2030</v>
      </c>
      <c r="I111" s="10" t="s">
        <v>147</v>
      </c>
      <c r="J111" s="10" t="s">
        <v>148</v>
      </c>
      <c r="K111" s="9">
        <f>Effect_Sizes!J4</f>
        <v>0.49</v>
      </c>
      <c r="L111" s="9">
        <f>Effect_Sizes!K4</f>
        <v>0.8</v>
      </c>
      <c r="M111" s="9">
        <f>Coverage_Trajectory!H7</f>
        <v>9.4852976806097139E-2</v>
      </c>
      <c r="N111" s="9">
        <f>Coverage_Trajectory!K7</f>
        <v>0.13650000000000001</v>
      </c>
      <c r="O111" s="9">
        <f t="shared" si="5"/>
        <v>4.1647023193902871E-2</v>
      </c>
      <c r="P111" s="9">
        <f t="shared" si="6"/>
        <v>2.1401751065763253E-2</v>
      </c>
      <c r="Q111" s="9">
        <f t="shared" si="7"/>
        <v>1.7121400852610602E-2</v>
      </c>
      <c r="R111" s="9">
        <f t="shared" si="8"/>
        <v>0.9828785991473894</v>
      </c>
      <c r="S111" s="10" t="s">
        <v>536</v>
      </c>
      <c r="T111" s="5" t="str">
        <f t="shared" si="9"/>
        <v>OK</v>
      </c>
    </row>
    <row r="112" spans="1:20">
      <c r="A112" s="5" t="s">
        <v>542</v>
      </c>
      <c r="B112" s="5" t="s">
        <v>153</v>
      </c>
      <c r="C112" s="5" t="s">
        <v>116</v>
      </c>
      <c r="D112" s="5" t="s">
        <v>117</v>
      </c>
      <c r="E112" s="5" t="s">
        <v>128</v>
      </c>
      <c r="F112" s="5" t="s">
        <v>129</v>
      </c>
      <c r="G112" s="5" t="s">
        <v>213</v>
      </c>
      <c r="H112" s="5">
        <v>2031</v>
      </c>
      <c r="I112" s="5" t="s">
        <v>147</v>
      </c>
      <c r="J112" s="5" t="s">
        <v>148</v>
      </c>
      <c r="K112" s="9">
        <f>Effect_Sizes!J4</f>
        <v>0.49</v>
      </c>
      <c r="L112" s="9">
        <f>Effect_Sizes!K4</f>
        <v>0.8</v>
      </c>
      <c r="M112" s="9">
        <f>Coverage_Trajectory!H8</f>
        <v>9.4852976806097139E-2</v>
      </c>
      <c r="N112" s="9">
        <f>Coverage_Trajectory!K8</f>
        <v>0.16450000000000001</v>
      </c>
      <c r="O112" s="9">
        <f t="shared" si="5"/>
        <v>6.9647023193902868E-2</v>
      </c>
      <c r="P112" s="9">
        <f t="shared" si="6"/>
        <v>3.5790511267215087E-2</v>
      </c>
      <c r="Q112" s="9">
        <f t="shared" si="7"/>
        <v>2.8632409013772071E-2</v>
      </c>
      <c r="R112" s="9">
        <f t="shared" si="8"/>
        <v>0.97136759098622794</v>
      </c>
      <c r="S112" s="5" t="s">
        <v>536</v>
      </c>
      <c r="T112" s="5" t="str">
        <f t="shared" si="9"/>
        <v>OK</v>
      </c>
    </row>
    <row r="113" spans="1:20">
      <c r="A113" s="10" t="s">
        <v>543</v>
      </c>
      <c r="B113" s="10" t="s">
        <v>153</v>
      </c>
      <c r="C113" s="10" t="s">
        <v>116</v>
      </c>
      <c r="D113" s="10" t="s">
        <v>117</v>
      </c>
      <c r="E113" s="10" t="s">
        <v>128</v>
      </c>
      <c r="F113" s="10" t="s">
        <v>129</v>
      </c>
      <c r="G113" s="10" t="s">
        <v>213</v>
      </c>
      <c r="H113" s="10">
        <v>2032</v>
      </c>
      <c r="I113" s="10" t="s">
        <v>147</v>
      </c>
      <c r="J113" s="10" t="s">
        <v>148</v>
      </c>
      <c r="K113" s="9">
        <f>Effect_Sizes!J4</f>
        <v>0.49</v>
      </c>
      <c r="L113" s="9">
        <f>Effect_Sizes!K4</f>
        <v>0.8</v>
      </c>
      <c r="M113" s="9">
        <f>Coverage_Trajectory!H9</f>
        <v>9.4852976806097139E-2</v>
      </c>
      <c r="N113" s="9">
        <f>Coverage_Trajectory!K9</f>
        <v>0.1925</v>
      </c>
      <c r="O113" s="9">
        <f t="shared" si="5"/>
        <v>9.7647023193902865E-2</v>
      </c>
      <c r="P113" s="9">
        <f t="shared" si="6"/>
        <v>5.0179271468666915E-2</v>
      </c>
      <c r="Q113" s="9">
        <f t="shared" si="7"/>
        <v>4.0143417174933534E-2</v>
      </c>
      <c r="R113" s="9">
        <f t="shared" si="8"/>
        <v>0.95985658282506647</v>
      </c>
      <c r="S113" s="10" t="s">
        <v>536</v>
      </c>
      <c r="T113" s="5" t="str">
        <f t="shared" si="9"/>
        <v>OK</v>
      </c>
    </row>
    <row r="114" spans="1:20">
      <c r="A114" s="5" t="s">
        <v>544</v>
      </c>
      <c r="B114" s="5" t="s">
        <v>153</v>
      </c>
      <c r="C114" s="5" t="s">
        <v>116</v>
      </c>
      <c r="D114" s="5" t="s">
        <v>117</v>
      </c>
      <c r="E114" s="5" t="s">
        <v>128</v>
      </c>
      <c r="F114" s="5" t="s">
        <v>129</v>
      </c>
      <c r="G114" s="5" t="s">
        <v>213</v>
      </c>
      <c r="H114" s="5">
        <v>2033</v>
      </c>
      <c r="I114" s="5" t="s">
        <v>147</v>
      </c>
      <c r="J114" s="5" t="s">
        <v>148</v>
      </c>
      <c r="K114" s="9">
        <f>Effect_Sizes!J4</f>
        <v>0.49</v>
      </c>
      <c r="L114" s="9">
        <f>Effect_Sizes!K4</f>
        <v>0.8</v>
      </c>
      <c r="M114" s="9">
        <f>Coverage_Trajectory!H10</f>
        <v>9.4852976806097139E-2</v>
      </c>
      <c r="N114" s="9">
        <f>Coverage_Trajectory!K10</f>
        <v>0.22049999999999997</v>
      </c>
      <c r="O114" s="9">
        <f t="shared" si="5"/>
        <v>0.12564702319390283</v>
      </c>
      <c r="P114" s="9">
        <f t="shared" si="6"/>
        <v>6.4568031670118736E-2</v>
      </c>
      <c r="Q114" s="9">
        <f t="shared" si="7"/>
        <v>5.1654425336094989E-2</v>
      </c>
      <c r="R114" s="9">
        <f t="shared" si="8"/>
        <v>0.94834557466390501</v>
      </c>
      <c r="S114" s="5" t="s">
        <v>536</v>
      </c>
      <c r="T114" s="5" t="str">
        <f t="shared" si="9"/>
        <v>OK</v>
      </c>
    </row>
    <row r="115" spans="1:20">
      <c r="A115" s="10" t="s">
        <v>545</v>
      </c>
      <c r="B115" s="10" t="s">
        <v>153</v>
      </c>
      <c r="C115" s="10" t="s">
        <v>116</v>
      </c>
      <c r="D115" s="10" t="s">
        <v>117</v>
      </c>
      <c r="E115" s="10" t="s">
        <v>128</v>
      </c>
      <c r="F115" s="10" t="s">
        <v>129</v>
      </c>
      <c r="G115" s="10" t="s">
        <v>213</v>
      </c>
      <c r="H115" s="10">
        <v>2034</v>
      </c>
      <c r="I115" s="10" t="s">
        <v>147</v>
      </c>
      <c r="J115" s="10" t="s">
        <v>148</v>
      </c>
      <c r="K115" s="9">
        <f>Effect_Sizes!J4</f>
        <v>0.49</v>
      </c>
      <c r="L115" s="9">
        <f>Effect_Sizes!K4</f>
        <v>0.8</v>
      </c>
      <c r="M115" s="9">
        <f>Coverage_Trajectory!H11</f>
        <v>9.4852976806097139E-2</v>
      </c>
      <c r="N115" s="9">
        <f>Coverage_Trajectory!K11</f>
        <v>0.24849999999999997</v>
      </c>
      <c r="O115" s="9">
        <f t="shared" si="5"/>
        <v>0.15364702319390283</v>
      </c>
      <c r="P115" s="9">
        <f t="shared" si="6"/>
        <v>7.8956791871570564E-2</v>
      </c>
      <c r="Q115" s="9">
        <f t="shared" si="7"/>
        <v>6.3165433497256451E-2</v>
      </c>
      <c r="R115" s="9">
        <f t="shared" si="8"/>
        <v>0.93683456650274355</v>
      </c>
      <c r="S115" s="10" t="s">
        <v>536</v>
      </c>
      <c r="T115" s="5" t="str">
        <f t="shared" si="9"/>
        <v>OK</v>
      </c>
    </row>
    <row r="116" spans="1:20">
      <c r="A116" s="5" t="s">
        <v>546</v>
      </c>
      <c r="B116" s="5" t="s">
        <v>153</v>
      </c>
      <c r="C116" s="5" t="s">
        <v>116</v>
      </c>
      <c r="D116" s="5" t="s">
        <v>117</v>
      </c>
      <c r="E116" s="5" t="s">
        <v>128</v>
      </c>
      <c r="F116" s="5" t="s">
        <v>129</v>
      </c>
      <c r="G116" s="5" t="s">
        <v>213</v>
      </c>
      <c r="H116" s="5">
        <v>2035</v>
      </c>
      <c r="I116" s="5" t="s">
        <v>147</v>
      </c>
      <c r="J116" s="5" t="s">
        <v>148</v>
      </c>
      <c r="K116" s="9">
        <f>Effect_Sizes!J4</f>
        <v>0.49</v>
      </c>
      <c r="L116" s="9">
        <f>Effect_Sizes!K4</f>
        <v>0.8</v>
      </c>
      <c r="M116" s="9">
        <f>Coverage_Trajectory!H12</f>
        <v>9.4852976806097139E-2</v>
      </c>
      <c r="N116" s="9">
        <f>Coverage_Trajectory!K12</f>
        <v>0.27649999999999997</v>
      </c>
      <c r="O116" s="9">
        <f t="shared" si="5"/>
        <v>0.18164702319390283</v>
      </c>
      <c r="P116" s="9">
        <f t="shared" si="6"/>
        <v>9.3345552073022406E-2</v>
      </c>
      <c r="Q116" s="9">
        <f t="shared" si="7"/>
        <v>7.4676441658417927E-2</v>
      </c>
      <c r="R116" s="9">
        <f t="shared" si="8"/>
        <v>0.92532355834158209</v>
      </c>
      <c r="S116" s="5" t="s">
        <v>536</v>
      </c>
      <c r="T116" s="5" t="str">
        <f t="shared" si="9"/>
        <v>OK</v>
      </c>
    </row>
    <row r="117" spans="1:20">
      <c r="A117" s="10" t="s">
        <v>547</v>
      </c>
      <c r="B117" s="10" t="s">
        <v>153</v>
      </c>
      <c r="C117" s="10" t="s">
        <v>116</v>
      </c>
      <c r="D117" s="10" t="s">
        <v>117</v>
      </c>
      <c r="E117" s="10" t="s">
        <v>128</v>
      </c>
      <c r="F117" s="10" t="s">
        <v>129</v>
      </c>
      <c r="G117" s="10" t="s">
        <v>213</v>
      </c>
      <c r="H117" s="10">
        <v>2036</v>
      </c>
      <c r="I117" s="10" t="s">
        <v>147</v>
      </c>
      <c r="J117" s="10" t="s">
        <v>148</v>
      </c>
      <c r="K117" s="9">
        <f>Effect_Sizes!J4</f>
        <v>0.49</v>
      </c>
      <c r="L117" s="9">
        <f>Effect_Sizes!K4</f>
        <v>0.8</v>
      </c>
      <c r="M117" s="9">
        <f>Coverage_Trajectory!H13</f>
        <v>9.4852976806097139E-2</v>
      </c>
      <c r="N117" s="9">
        <f>Coverage_Trajectory!K13</f>
        <v>0.30449999999999999</v>
      </c>
      <c r="O117" s="9">
        <f t="shared" si="5"/>
        <v>0.20964702319390285</v>
      </c>
      <c r="P117" s="9">
        <f t="shared" si="6"/>
        <v>0.10773431227447425</v>
      </c>
      <c r="Q117" s="9">
        <f t="shared" si="7"/>
        <v>8.6187449819579404E-2</v>
      </c>
      <c r="R117" s="9">
        <f t="shared" si="8"/>
        <v>0.91381255018042062</v>
      </c>
      <c r="S117" s="10" t="s">
        <v>536</v>
      </c>
      <c r="T117" s="5" t="str">
        <f t="shared" si="9"/>
        <v>OK</v>
      </c>
    </row>
    <row r="118" spans="1:20">
      <c r="A118" s="5" t="s">
        <v>548</v>
      </c>
      <c r="B118" s="5" t="s">
        <v>153</v>
      </c>
      <c r="C118" s="5" t="s">
        <v>116</v>
      </c>
      <c r="D118" s="5" t="s">
        <v>117</v>
      </c>
      <c r="E118" s="5" t="s">
        <v>128</v>
      </c>
      <c r="F118" s="5" t="s">
        <v>129</v>
      </c>
      <c r="G118" s="5" t="s">
        <v>213</v>
      </c>
      <c r="H118" s="5">
        <v>2037</v>
      </c>
      <c r="I118" s="5" t="s">
        <v>147</v>
      </c>
      <c r="J118" s="5" t="s">
        <v>148</v>
      </c>
      <c r="K118" s="9">
        <f>Effect_Sizes!J4</f>
        <v>0.49</v>
      </c>
      <c r="L118" s="9">
        <f>Effect_Sizes!K4</f>
        <v>0.8</v>
      </c>
      <c r="M118" s="9">
        <f>Coverage_Trajectory!H14</f>
        <v>9.4852976806097139E-2</v>
      </c>
      <c r="N118" s="9">
        <f>Coverage_Trajectory!K14</f>
        <v>0.33249999999999996</v>
      </c>
      <c r="O118" s="9">
        <f t="shared" si="5"/>
        <v>0.23764702319390282</v>
      </c>
      <c r="P118" s="9">
        <f t="shared" si="6"/>
        <v>0.12212307247592606</v>
      </c>
      <c r="Q118" s="9">
        <f t="shared" si="7"/>
        <v>9.7698457980740852E-2</v>
      </c>
      <c r="R118" s="9">
        <f t="shared" si="8"/>
        <v>0.90230154201925916</v>
      </c>
      <c r="S118" s="5" t="s">
        <v>536</v>
      </c>
      <c r="T118" s="5" t="str">
        <f t="shared" si="9"/>
        <v>OK</v>
      </c>
    </row>
    <row r="119" spans="1:20">
      <c r="A119" s="10" t="s">
        <v>549</v>
      </c>
      <c r="B119" s="10" t="s">
        <v>153</v>
      </c>
      <c r="C119" s="10" t="s">
        <v>116</v>
      </c>
      <c r="D119" s="10" t="s">
        <v>117</v>
      </c>
      <c r="E119" s="10" t="s">
        <v>128</v>
      </c>
      <c r="F119" s="10" t="s">
        <v>129</v>
      </c>
      <c r="G119" s="10" t="s">
        <v>213</v>
      </c>
      <c r="H119" s="10">
        <v>2038</v>
      </c>
      <c r="I119" s="10" t="s">
        <v>147</v>
      </c>
      <c r="J119" s="10" t="s">
        <v>148</v>
      </c>
      <c r="K119" s="9">
        <f>Effect_Sizes!J4</f>
        <v>0.49</v>
      </c>
      <c r="L119" s="9">
        <f>Effect_Sizes!K4</f>
        <v>0.8</v>
      </c>
      <c r="M119" s="9">
        <f>Coverage_Trajectory!H15</f>
        <v>9.4852976806097139E-2</v>
      </c>
      <c r="N119" s="9">
        <f>Coverage_Trajectory!K15</f>
        <v>0.36049999999999993</v>
      </c>
      <c r="O119" s="9">
        <f t="shared" si="5"/>
        <v>0.26564702319390276</v>
      </c>
      <c r="P119" s="9">
        <f t="shared" si="6"/>
        <v>0.13651183267737788</v>
      </c>
      <c r="Q119" s="9">
        <f t="shared" si="7"/>
        <v>0.1092094661419023</v>
      </c>
      <c r="R119" s="9">
        <f t="shared" si="8"/>
        <v>0.8907905338580977</v>
      </c>
      <c r="S119" s="10" t="s">
        <v>536</v>
      </c>
      <c r="T119" s="5" t="str">
        <f t="shared" si="9"/>
        <v>OK</v>
      </c>
    </row>
    <row r="120" spans="1:20">
      <c r="A120" s="5" t="s">
        <v>550</v>
      </c>
      <c r="B120" s="5" t="s">
        <v>153</v>
      </c>
      <c r="C120" s="5" t="s">
        <v>116</v>
      </c>
      <c r="D120" s="5" t="s">
        <v>117</v>
      </c>
      <c r="E120" s="5" t="s">
        <v>128</v>
      </c>
      <c r="F120" s="5" t="s">
        <v>129</v>
      </c>
      <c r="G120" s="5" t="s">
        <v>213</v>
      </c>
      <c r="H120" s="5">
        <v>2039</v>
      </c>
      <c r="I120" s="5" t="s">
        <v>147</v>
      </c>
      <c r="J120" s="5" t="s">
        <v>148</v>
      </c>
      <c r="K120" s="9">
        <f>Effect_Sizes!J4</f>
        <v>0.49</v>
      </c>
      <c r="L120" s="9">
        <f>Effect_Sizes!K4</f>
        <v>0.8</v>
      </c>
      <c r="M120" s="9">
        <f>Coverage_Trajectory!H16</f>
        <v>9.4852976806097139E-2</v>
      </c>
      <c r="N120" s="9">
        <f>Coverage_Trajectory!K16</f>
        <v>0.3884999999999999</v>
      </c>
      <c r="O120" s="9">
        <f t="shared" si="5"/>
        <v>0.29364702319390279</v>
      </c>
      <c r="P120" s="9">
        <f t="shared" si="6"/>
        <v>0.15090059287882973</v>
      </c>
      <c r="Q120" s="9">
        <f t="shared" si="7"/>
        <v>0.12072047430306379</v>
      </c>
      <c r="R120" s="9">
        <f t="shared" si="8"/>
        <v>0.87927952569693624</v>
      </c>
      <c r="S120" s="5" t="s">
        <v>536</v>
      </c>
      <c r="T120" s="5" t="str">
        <f t="shared" si="9"/>
        <v>OK</v>
      </c>
    </row>
    <row r="121" spans="1:20">
      <c r="A121" s="10" t="s">
        <v>551</v>
      </c>
      <c r="B121" s="10" t="s">
        <v>153</v>
      </c>
      <c r="C121" s="10" t="s">
        <v>116</v>
      </c>
      <c r="D121" s="10" t="s">
        <v>117</v>
      </c>
      <c r="E121" s="10" t="s">
        <v>128</v>
      </c>
      <c r="F121" s="10" t="s">
        <v>129</v>
      </c>
      <c r="G121" s="10" t="s">
        <v>213</v>
      </c>
      <c r="H121" s="10">
        <v>2040</v>
      </c>
      <c r="I121" s="10" t="s">
        <v>147</v>
      </c>
      <c r="J121" s="10" t="s">
        <v>148</v>
      </c>
      <c r="K121" s="9">
        <f>Effect_Sizes!J4</f>
        <v>0.49</v>
      </c>
      <c r="L121" s="9">
        <f>Effect_Sizes!K4</f>
        <v>0.8</v>
      </c>
      <c r="M121" s="9">
        <f>Coverage_Trajectory!H17</f>
        <v>9.4852976806097139E-2</v>
      </c>
      <c r="N121" s="9">
        <f>Coverage_Trajectory!K17</f>
        <v>0.41649999999999993</v>
      </c>
      <c r="O121" s="9">
        <f t="shared" si="5"/>
        <v>0.32164702319390281</v>
      </c>
      <c r="P121" s="9">
        <f t="shared" si="6"/>
        <v>0.16528935308028156</v>
      </c>
      <c r="Q121" s="9">
        <f t="shared" si="7"/>
        <v>0.13223148246422525</v>
      </c>
      <c r="R121" s="9">
        <f t="shared" si="8"/>
        <v>0.86776851753577477</v>
      </c>
      <c r="S121" s="10" t="s">
        <v>536</v>
      </c>
      <c r="T121" s="5" t="str">
        <f t="shared" si="9"/>
        <v>OK</v>
      </c>
    </row>
    <row r="122" spans="1:20">
      <c r="A122" s="5" t="s">
        <v>552</v>
      </c>
      <c r="B122" s="5" t="s">
        <v>153</v>
      </c>
      <c r="C122" s="5" t="s">
        <v>116</v>
      </c>
      <c r="D122" s="5" t="s">
        <v>117</v>
      </c>
      <c r="E122" s="5" t="s">
        <v>128</v>
      </c>
      <c r="F122" s="5" t="s">
        <v>129</v>
      </c>
      <c r="G122" s="5" t="s">
        <v>213</v>
      </c>
      <c r="H122" s="5">
        <v>2041</v>
      </c>
      <c r="I122" s="5" t="s">
        <v>147</v>
      </c>
      <c r="J122" s="5" t="s">
        <v>148</v>
      </c>
      <c r="K122" s="9">
        <f>Effect_Sizes!J4</f>
        <v>0.49</v>
      </c>
      <c r="L122" s="9">
        <f>Effect_Sizes!K4</f>
        <v>0.8</v>
      </c>
      <c r="M122" s="9">
        <f>Coverage_Trajectory!H18</f>
        <v>9.4852976806097139E-2</v>
      </c>
      <c r="N122" s="9">
        <f>Coverage_Trajectory!K18</f>
        <v>0.41649999999999993</v>
      </c>
      <c r="O122" s="9">
        <f t="shared" si="5"/>
        <v>0.32164702319390281</v>
      </c>
      <c r="P122" s="9">
        <f t="shared" si="6"/>
        <v>0.16528935308028156</v>
      </c>
      <c r="Q122" s="9">
        <f t="shared" si="7"/>
        <v>0.13223148246422525</v>
      </c>
      <c r="R122" s="9">
        <f t="shared" si="8"/>
        <v>0.86776851753577477</v>
      </c>
      <c r="S122" s="5" t="s">
        <v>536</v>
      </c>
      <c r="T122" s="5" t="str">
        <f t="shared" si="9"/>
        <v>OK</v>
      </c>
    </row>
    <row r="123" spans="1:20">
      <c r="A123" s="10" t="s">
        <v>553</v>
      </c>
      <c r="B123" s="10" t="s">
        <v>153</v>
      </c>
      <c r="C123" s="10" t="s">
        <v>116</v>
      </c>
      <c r="D123" s="10" t="s">
        <v>117</v>
      </c>
      <c r="E123" s="10" t="s">
        <v>128</v>
      </c>
      <c r="F123" s="10" t="s">
        <v>129</v>
      </c>
      <c r="G123" s="10" t="s">
        <v>213</v>
      </c>
      <c r="H123" s="10">
        <v>2042</v>
      </c>
      <c r="I123" s="10" t="s">
        <v>147</v>
      </c>
      <c r="J123" s="10" t="s">
        <v>148</v>
      </c>
      <c r="K123" s="9">
        <f>Effect_Sizes!J4</f>
        <v>0.49</v>
      </c>
      <c r="L123" s="9">
        <f>Effect_Sizes!K4</f>
        <v>0.8</v>
      </c>
      <c r="M123" s="9">
        <f>Coverage_Trajectory!H19</f>
        <v>9.4852976806097139E-2</v>
      </c>
      <c r="N123" s="9">
        <f>Coverage_Trajectory!K19</f>
        <v>0.41649999999999993</v>
      </c>
      <c r="O123" s="9">
        <f t="shared" si="5"/>
        <v>0.32164702319390281</v>
      </c>
      <c r="P123" s="9">
        <f t="shared" si="6"/>
        <v>0.16528935308028156</v>
      </c>
      <c r="Q123" s="9">
        <f t="shared" si="7"/>
        <v>0.13223148246422525</v>
      </c>
      <c r="R123" s="9">
        <f t="shared" si="8"/>
        <v>0.86776851753577477</v>
      </c>
      <c r="S123" s="10" t="s">
        <v>536</v>
      </c>
      <c r="T123" s="5" t="str">
        <f t="shared" si="9"/>
        <v>OK</v>
      </c>
    </row>
    <row r="124" spans="1:20">
      <c r="A124" s="5" t="s">
        <v>554</v>
      </c>
      <c r="B124" s="5" t="s">
        <v>153</v>
      </c>
      <c r="C124" s="5" t="s">
        <v>116</v>
      </c>
      <c r="D124" s="5" t="s">
        <v>117</v>
      </c>
      <c r="E124" s="5" t="s">
        <v>128</v>
      </c>
      <c r="F124" s="5" t="s">
        <v>129</v>
      </c>
      <c r="G124" s="5" t="s">
        <v>213</v>
      </c>
      <c r="H124" s="5">
        <v>2043</v>
      </c>
      <c r="I124" s="5" t="s">
        <v>147</v>
      </c>
      <c r="J124" s="5" t="s">
        <v>148</v>
      </c>
      <c r="K124" s="9">
        <f>Effect_Sizes!J4</f>
        <v>0.49</v>
      </c>
      <c r="L124" s="9">
        <f>Effect_Sizes!K4</f>
        <v>0.8</v>
      </c>
      <c r="M124" s="9">
        <f>Coverage_Trajectory!H20</f>
        <v>9.4852976806097139E-2</v>
      </c>
      <c r="N124" s="9">
        <f>Coverage_Trajectory!K20</f>
        <v>0.41649999999999993</v>
      </c>
      <c r="O124" s="9">
        <f t="shared" si="5"/>
        <v>0.32164702319390281</v>
      </c>
      <c r="P124" s="9">
        <f t="shared" si="6"/>
        <v>0.16528935308028156</v>
      </c>
      <c r="Q124" s="9">
        <f t="shared" si="7"/>
        <v>0.13223148246422525</v>
      </c>
      <c r="R124" s="9">
        <f t="shared" si="8"/>
        <v>0.86776851753577477</v>
      </c>
      <c r="S124" s="5" t="s">
        <v>536</v>
      </c>
      <c r="T124" s="5" t="str">
        <f t="shared" si="9"/>
        <v>OK</v>
      </c>
    </row>
    <row r="125" spans="1:20">
      <c r="A125" s="10" t="s">
        <v>555</v>
      </c>
      <c r="B125" s="10" t="s">
        <v>153</v>
      </c>
      <c r="C125" s="10" t="s">
        <v>116</v>
      </c>
      <c r="D125" s="10" t="s">
        <v>117</v>
      </c>
      <c r="E125" s="10" t="s">
        <v>128</v>
      </c>
      <c r="F125" s="10" t="s">
        <v>129</v>
      </c>
      <c r="G125" s="10" t="s">
        <v>213</v>
      </c>
      <c r="H125" s="10">
        <v>2044</v>
      </c>
      <c r="I125" s="10" t="s">
        <v>147</v>
      </c>
      <c r="J125" s="10" t="s">
        <v>148</v>
      </c>
      <c r="K125" s="9">
        <f>Effect_Sizes!J4</f>
        <v>0.49</v>
      </c>
      <c r="L125" s="9">
        <f>Effect_Sizes!K4</f>
        <v>0.8</v>
      </c>
      <c r="M125" s="9">
        <f>Coverage_Trajectory!H21</f>
        <v>9.4852976806097139E-2</v>
      </c>
      <c r="N125" s="9">
        <f>Coverage_Trajectory!K21</f>
        <v>0.41649999999999993</v>
      </c>
      <c r="O125" s="9">
        <f t="shared" si="5"/>
        <v>0.32164702319390281</v>
      </c>
      <c r="P125" s="9">
        <f t="shared" si="6"/>
        <v>0.16528935308028156</v>
      </c>
      <c r="Q125" s="9">
        <f t="shared" si="7"/>
        <v>0.13223148246422525</v>
      </c>
      <c r="R125" s="9">
        <f t="shared" si="8"/>
        <v>0.86776851753577477</v>
      </c>
      <c r="S125" s="10" t="s">
        <v>536</v>
      </c>
      <c r="T125" s="5" t="str">
        <f t="shared" si="9"/>
        <v>OK</v>
      </c>
    </row>
    <row r="126" spans="1:20">
      <c r="A126" s="5" t="s">
        <v>556</v>
      </c>
      <c r="B126" s="5" t="s">
        <v>153</v>
      </c>
      <c r="C126" s="5" t="s">
        <v>116</v>
      </c>
      <c r="D126" s="5" t="s">
        <v>117</v>
      </c>
      <c r="E126" s="5" t="s">
        <v>128</v>
      </c>
      <c r="F126" s="5" t="s">
        <v>129</v>
      </c>
      <c r="G126" s="5" t="s">
        <v>213</v>
      </c>
      <c r="H126" s="5">
        <v>2045</v>
      </c>
      <c r="I126" s="5" t="s">
        <v>147</v>
      </c>
      <c r="J126" s="5" t="s">
        <v>148</v>
      </c>
      <c r="K126" s="9">
        <f>Effect_Sizes!J4</f>
        <v>0.49</v>
      </c>
      <c r="L126" s="9">
        <f>Effect_Sizes!K4</f>
        <v>0.8</v>
      </c>
      <c r="M126" s="9">
        <f>Coverage_Trajectory!H22</f>
        <v>9.4852976806097139E-2</v>
      </c>
      <c r="N126" s="9">
        <f>Coverage_Trajectory!K22</f>
        <v>0.41649999999999993</v>
      </c>
      <c r="O126" s="9">
        <f t="shared" si="5"/>
        <v>0.32164702319390281</v>
      </c>
      <c r="P126" s="9">
        <f t="shared" si="6"/>
        <v>0.16528935308028156</v>
      </c>
      <c r="Q126" s="9">
        <f t="shared" si="7"/>
        <v>0.13223148246422525</v>
      </c>
      <c r="R126" s="9">
        <f t="shared" si="8"/>
        <v>0.86776851753577477</v>
      </c>
      <c r="S126" s="5" t="s">
        <v>536</v>
      </c>
      <c r="T126" s="5" t="str">
        <f t="shared" si="9"/>
        <v>OK</v>
      </c>
    </row>
    <row r="127" spans="1:20">
      <c r="A127" s="10" t="s">
        <v>557</v>
      </c>
      <c r="B127" s="10" t="s">
        <v>153</v>
      </c>
      <c r="C127" s="10" t="s">
        <v>116</v>
      </c>
      <c r="D127" s="10" t="s">
        <v>117</v>
      </c>
      <c r="E127" s="10" t="s">
        <v>128</v>
      </c>
      <c r="F127" s="10" t="s">
        <v>129</v>
      </c>
      <c r="G127" s="10" t="s">
        <v>213</v>
      </c>
      <c r="H127" s="10">
        <v>2046</v>
      </c>
      <c r="I127" s="10" t="s">
        <v>147</v>
      </c>
      <c r="J127" s="10" t="s">
        <v>148</v>
      </c>
      <c r="K127" s="9">
        <f>Effect_Sizes!J4</f>
        <v>0.49</v>
      </c>
      <c r="L127" s="9">
        <f>Effect_Sizes!K4</f>
        <v>0.8</v>
      </c>
      <c r="M127" s="9">
        <f>Coverage_Trajectory!H23</f>
        <v>9.4852976806097139E-2</v>
      </c>
      <c r="N127" s="9">
        <f>Coverage_Trajectory!K23</f>
        <v>0.41649999999999993</v>
      </c>
      <c r="O127" s="9">
        <f t="shared" si="5"/>
        <v>0.32164702319390281</v>
      </c>
      <c r="P127" s="9">
        <f t="shared" si="6"/>
        <v>0.16528935308028156</v>
      </c>
      <c r="Q127" s="9">
        <f t="shared" si="7"/>
        <v>0.13223148246422525</v>
      </c>
      <c r="R127" s="9">
        <f t="shared" si="8"/>
        <v>0.86776851753577477</v>
      </c>
      <c r="S127" s="10" t="s">
        <v>536</v>
      </c>
      <c r="T127" s="5" t="str">
        <f t="shared" si="9"/>
        <v>OK</v>
      </c>
    </row>
    <row r="128" spans="1:20">
      <c r="A128" s="5" t="s">
        <v>558</v>
      </c>
      <c r="B128" s="5" t="s">
        <v>153</v>
      </c>
      <c r="C128" s="5" t="s">
        <v>116</v>
      </c>
      <c r="D128" s="5" t="s">
        <v>117</v>
      </c>
      <c r="E128" s="5" t="s">
        <v>128</v>
      </c>
      <c r="F128" s="5" t="s">
        <v>129</v>
      </c>
      <c r="G128" s="5" t="s">
        <v>213</v>
      </c>
      <c r="H128" s="5">
        <v>2047</v>
      </c>
      <c r="I128" s="5" t="s">
        <v>147</v>
      </c>
      <c r="J128" s="5" t="s">
        <v>148</v>
      </c>
      <c r="K128" s="9">
        <f>Effect_Sizes!J4</f>
        <v>0.49</v>
      </c>
      <c r="L128" s="9">
        <f>Effect_Sizes!K4</f>
        <v>0.8</v>
      </c>
      <c r="M128" s="9">
        <f>Coverage_Trajectory!H24</f>
        <v>9.4852976806097139E-2</v>
      </c>
      <c r="N128" s="9">
        <f>Coverage_Trajectory!K24</f>
        <v>0.41649999999999993</v>
      </c>
      <c r="O128" s="9">
        <f t="shared" si="5"/>
        <v>0.32164702319390281</v>
      </c>
      <c r="P128" s="9">
        <f t="shared" si="6"/>
        <v>0.16528935308028156</v>
      </c>
      <c r="Q128" s="9">
        <f t="shared" si="7"/>
        <v>0.13223148246422525</v>
      </c>
      <c r="R128" s="9">
        <f t="shared" si="8"/>
        <v>0.86776851753577477</v>
      </c>
      <c r="S128" s="5" t="s">
        <v>536</v>
      </c>
      <c r="T128" s="5" t="str">
        <f t="shared" si="9"/>
        <v>OK</v>
      </c>
    </row>
    <row r="129" spans="1:20">
      <c r="A129" s="10" t="s">
        <v>559</v>
      </c>
      <c r="B129" s="10" t="s">
        <v>153</v>
      </c>
      <c r="C129" s="10" t="s">
        <v>116</v>
      </c>
      <c r="D129" s="10" t="s">
        <v>117</v>
      </c>
      <c r="E129" s="10" t="s">
        <v>128</v>
      </c>
      <c r="F129" s="10" t="s">
        <v>129</v>
      </c>
      <c r="G129" s="10" t="s">
        <v>213</v>
      </c>
      <c r="H129" s="10">
        <v>2048</v>
      </c>
      <c r="I129" s="10" t="s">
        <v>147</v>
      </c>
      <c r="J129" s="10" t="s">
        <v>148</v>
      </c>
      <c r="K129" s="9">
        <f>Effect_Sizes!J4</f>
        <v>0.49</v>
      </c>
      <c r="L129" s="9">
        <f>Effect_Sizes!K4</f>
        <v>0.8</v>
      </c>
      <c r="M129" s="9">
        <f>Coverage_Trajectory!H25</f>
        <v>9.4852976806097139E-2</v>
      </c>
      <c r="N129" s="9">
        <f>Coverage_Trajectory!K25</f>
        <v>0.41649999999999993</v>
      </c>
      <c r="O129" s="9">
        <f t="shared" si="5"/>
        <v>0.32164702319390281</v>
      </c>
      <c r="P129" s="9">
        <f t="shared" si="6"/>
        <v>0.16528935308028156</v>
      </c>
      <c r="Q129" s="9">
        <f t="shared" si="7"/>
        <v>0.13223148246422525</v>
      </c>
      <c r="R129" s="9">
        <f t="shared" si="8"/>
        <v>0.86776851753577477</v>
      </c>
      <c r="S129" s="10" t="s">
        <v>536</v>
      </c>
      <c r="T129" s="5" t="str">
        <f t="shared" si="9"/>
        <v>OK</v>
      </c>
    </row>
    <row r="130" spans="1:20">
      <c r="A130" s="5" t="s">
        <v>560</v>
      </c>
      <c r="B130" s="5" t="s">
        <v>153</v>
      </c>
      <c r="C130" s="5" t="s">
        <v>116</v>
      </c>
      <c r="D130" s="5" t="s">
        <v>117</v>
      </c>
      <c r="E130" s="5" t="s">
        <v>128</v>
      </c>
      <c r="F130" s="5" t="s">
        <v>129</v>
      </c>
      <c r="G130" s="5" t="s">
        <v>213</v>
      </c>
      <c r="H130" s="5">
        <v>2049</v>
      </c>
      <c r="I130" s="5" t="s">
        <v>147</v>
      </c>
      <c r="J130" s="5" t="s">
        <v>148</v>
      </c>
      <c r="K130" s="9">
        <f>Effect_Sizes!J4</f>
        <v>0.49</v>
      </c>
      <c r="L130" s="9">
        <f>Effect_Sizes!K4</f>
        <v>0.8</v>
      </c>
      <c r="M130" s="9">
        <f>Coverage_Trajectory!H26</f>
        <v>9.4852976806097139E-2</v>
      </c>
      <c r="N130" s="9">
        <f>Coverage_Trajectory!K26</f>
        <v>0.41649999999999993</v>
      </c>
      <c r="O130" s="9">
        <f t="shared" ref="O130:O193" si="10">N130-M130</f>
        <v>0.32164702319390281</v>
      </c>
      <c r="P130" s="9">
        <f t="shared" ref="P130:P193" si="11">IF(O130=0,0,K130*O130/(1-K130*M130))</f>
        <v>0.16528935308028156</v>
      </c>
      <c r="Q130" s="9">
        <f t="shared" ref="Q130:Q193" si="12">P130*L130</f>
        <v>0.13223148246422525</v>
      </c>
      <c r="R130" s="9">
        <f t="shared" ref="R130:R193" si="13">1-Q130</f>
        <v>0.86776851753577477</v>
      </c>
      <c r="S130" s="5" t="s">
        <v>536</v>
      </c>
      <c r="T130" s="5" t="str">
        <f t="shared" ref="T130:T193" si="14">IF(OR(R130&lt;0,R130&gt;1),"BAD","OK")</f>
        <v>OK</v>
      </c>
    </row>
    <row r="131" spans="1:20">
      <c r="A131" s="10" t="s">
        <v>561</v>
      </c>
      <c r="B131" s="10" t="s">
        <v>153</v>
      </c>
      <c r="C131" s="10" t="s">
        <v>116</v>
      </c>
      <c r="D131" s="10" t="s">
        <v>117</v>
      </c>
      <c r="E131" s="10" t="s">
        <v>128</v>
      </c>
      <c r="F131" s="10" t="s">
        <v>129</v>
      </c>
      <c r="G131" s="10" t="s">
        <v>213</v>
      </c>
      <c r="H131" s="10">
        <v>2050</v>
      </c>
      <c r="I131" s="10" t="s">
        <v>147</v>
      </c>
      <c r="J131" s="10" t="s">
        <v>148</v>
      </c>
      <c r="K131" s="9">
        <f>Effect_Sizes!J4</f>
        <v>0.49</v>
      </c>
      <c r="L131" s="9">
        <f>Effect_Sizes!K4</f>
        <v>0.8</v>
      </c>
      <c r="M131" s="9">
        <f>Coverage_Trajectory!H27</f>
        <v>9.4852976806097139E-2</v>
      </c>
      <c r="N131" s="9">
        <f>Coverage_Trajectory!K27</f>
        <v>0.41649999999999993</v>
      </c>
      <c r="O131" s="9">
        <f t="shared" si="10"/>
        <v>0.32164702319390281</v>
      </c>
      <c r="P131" s="9">
        <f t="shared" si="11"/>
        <v>0.16528935308028156</v>
      </c>
      <c r="Q131" s="9">
        <f t="shared" si="12"/>
        <v>0.13223148246422525</v>
      </c>
      <c r="R131" s="9">
        <f t="shared" si="13"/>
        <v>0.86776851753577477</v>
      </c>
      <c r="S131" s="10" t="s">
        <v>536</v>
      </c>
      <c r="T131" s="5" t="str">
        <f t="shared" si="14"/>
        <v>OK</v>
      </c>
    </row>
    <row r="132" spans="1:20">
      <c r="A132" s="5" t="s">
        <v>562</v>
      </c>
      <c r="B132" s="5" t="s">
        <v>153</v>
      </c>
      <c r="C132" s="5" t="s">
        <v>116</v>
      </c>
      <c r="D132" s="5" t="s">
        <v>117</v>
      </c>
      <c r="E132" s="5" t="s">
        <v>128</v>
      </c>
      <c r="F132" s="5" t="s">
        <v>129</v>
      </c>
      <c r="G132" s="5" t="s">
        <v>224</v>
      </c>
      <c r="H132" s="5">
        <v>2025</v>
      </c>
      <c r="I132" s="5" t="s">
        <v>147</v>
      </c>
      <c r="J132" s="5" t="s">
        <v>148</v>
      </c>
      <c r="K132" s="9">
        <f>Effect_Sizes!J4</f>
        <v>0.49</v>
      </c>
      <c r="L132" s="9">
        <f>Effect_Sizes!K4</f>
        <v>0.8</v>
      </c>
      <c r="M132" s="9">
        <f>Coverage_Trajectory!H28</f>
        <v>0.1326807379397153</v>
      </c>
      <c r="N132" s="9">
        <f>Coverage_Trajectory!K28</f>
        <v>0.1326807379397153</v>
      </c>
      <c r="O132" s="9">
        <f t="shared" si="10"/>
        <v>0</v>
      </c>
      <c r="P132" s="9">
        <f t="shared" si="11"/>
        <v>0</v>
      </c>
      <c r="Q132" s="9">
        <f t="shared" si="12"/>
        <v>0</v>
      </c>
      <c r="R132" s="9">
        <f t="shared" si="13"/>
        <v>1</v>
      </c>
      <c r="S132" s="5" t="s">
        <v>536</v>
      </c>
      <c r="T132" s="5" t="str">
        <f t="shared" si="14"/>
        <v>OK</v>
      </c>
    </row>
    <row r="133" spans="1:20">
      <c r="A133" s="10" t="s">
        <v>563</v>
      </c>
      <c r="B133" s="10" t="s">
        <v>153</v>
      </c>
      <c r="C133" s="10" t="s">
        <v>116</v>
      </c>
      <c r="D133" s="10" t="s">
        <v>117</v>
      </c>
      <c r="E133" s="10" t="s">
        <v>128</v>
      </c>
      <c r="F133" s="10" t="s">
        <v>129</v>
      </c>
      <c r="G133" s="10" t="s">
        <v>224</v>
      </c>
      <c r="H133" s="10">
        <v>2026</v>
      </c>
      <c r="I133" s="10" t="s">
        <v>147</v>
      </c>
      <c r="J133" s="10" t="s">
        <v>148</v>
      </c>
      <c r="K133" s="9">
        <f>Effect_Sizes!J4</f>
        <v>0.49</v>
      </c>
      <c r="L133" s="9">
        <f>Effect_Sizes!K4</f>
        <v>0.8</v>
      </c>
      <c r="M133" s="9">
        <f>Coverage_Trajectory!H29</f>
        <v>0.1326807379397153</v>
      </c>
      <c r="N133" s="9">
        <f>Coverage_Trajectory!K29</f>
        <v>0.13344459035177225</v>
      </c>
      <c r="O133" s="9">
        <f t="shared" si="10"/>
        <v>7.6385241205695342E-4</v>
      </c>
      <c r="P133" s="9">
        <f t="shared" si="11"/>
        <v>4.0031348748179697E-4</v>
      </c>
      <c r="Q133" s="9">
        <f t="shared" si="12"/>
        <v>3.2025078998543759E-4</v>
      </c>
      <c r="R133" s="9">
        <f t="shared" si="13"/>
        <v>0.99967974921001457</v>
      </c>
      <c r="S133" s="10" t="s">
        <v>536</v>
      </c>
      <c r="T133" s="5" t="str">
        <f t="shared" si="14"/>
        <v>OK</v>
      </c>
    </row>
    <row r="134" spans="1:20">
      <c r="A134" s="5" t="s">
        <v>564</v>
      </c>
      <c r="B134" s="5" t="s">
        <v>153</v>
      </c>
      <c r="C134" s="5" t="s">
        <v>116</v>
      </c>
      <c r="D134" s="5" t="s">
        <v>117</v>
      </c>
      <c r="E134" s="5" t="s">
        <v>128</v>
      </c>
      <c r="F134" s="5" t="s">
        <v>129</v>
      </c>
      <c r="G134" s="5" t="s">
        <v>224</v>
      </c>
      <c r="H134" s="5">
        <v>2027</v>
      </c>
      <c r="I134" s="5" t="s">
        <v>147</v>
      </c>
      <c r="J134" s="5" t="s">
        <v>148</v>
      </c>
      <c r="K134" s="9">
        <f>Effect_Sizes!J4</f>
        <v>0.49</v>
      </c>
      <c r="L134" s="9">
        <f>Effect_Sizes!K4</f>
        <v>0.8</v>
      </c>
      <c r="M134" s="9">
        <f>Coverage_Trajectory!H30</f>
        <v>0.1326807379397153</v>
      </c>
      <c r="N134" s="9">
        <f>Coverage_Trajectory!K30</f>
        <v>0.13420844276382918</v>
      </c>
      <c r="O134" s="9">
        <f t="shared" si="10"/>
        <v>1.5277048241138791E-3</v>
      </c>
      <c r="P134" s="9">
        <f t="shared" si="11"/>
        <v>8.0062697496357952E-4</v>
      </c>
      <c r="Q134" s="9">
        <f t="shared" si="12"/>
        <v>6.4050157997086368E-4</v>
      </c>
      <c r="R134" s="9">
        <f t="shared" si="13"/>
        <v>0.99935949842002914</v>
      </c>
      <c r="S134" s="5" t="s">
        <v>536</v>
      </c>
      <c r="T134" s="5" t="str">
        <f t="shared" si="14"/>
        <v>OK</v>
      </c>
    </row>
    <row r="135" spans="1:20">
      <c r="A135" s="10" t="s">
        <v>565</v>
      </c>
      <c r="B135" s="10" t="s">
        <v>153</v>
      </c>
      <c r="C135" s="10" t="s">
        <v>116</v>
      </c>
      <c r="D135" s="10" t="s">
        <v>117</v>
      </c>
      <c r="E135" s="10" t="s">
        <v>128</v>
      </c>
      <c r="F135" s="10" t="s">
        <v>129</v>
      </c>
      <c r="G135" s="10" t="s">
        <v>224</v>
      </c>
      <c r="H135" s="10">
        <v>2028</v>
      </c>
      <c r="I135" s="10" t="s">
        <v>147</v>
      </c>
      <c r="J135" s="10" t="s">
        <v>148</v>
      </c>
      <c r="K135" s="9">
        <f>Effect_Sizes!J4</f>
        <v>0.49</v>
      </c>
      <c r="L135" s="9">
        <f>Effect_Sizes!K4</f>
        <v>0.8</v>
      </c>
      <c r="M135" s="9">
        <f>Coverage_Trajectory!H31</f>
        <v>0.1326807379397153</v>
      </c>
      <c r="N135" s="9">
        <f>Coverage_Trajectory!K31</f>
        <v>0.13497229517588613</v>
      </c>
      <c r="O135" s="9">
        <f t="shared" si="10"/>
        <v>2.2915572361708325E-3</v>
      </c>
      <c r="P135" s="9">
        <f t="shared" si="11"/>
        <v>1.2009404624453766E-3</v>
      </c>
      <c r="Q135" s="9">
        <f t="shared" si="12"/>
        <v>9.6075236995630132E-4</v>
      </c>
      <c r="R135" s="9">
        <f t="shared" si="13"/>
        <v>0.9990392476300437</v>
      </c>
      <c r="S135" s="10" t="s">
        <v>536</v>
      </c>
      <c r="T135" s="5" t="str">
        <f t="shared" si="14"/>
        <v>OK</v>
      </c>
    </row>
    <row r="136" spans="1:20">
      <c r="A136" s="5" t="s">
        <v>566</v>
      </c>
      <c r="B136" s="5" t="s">
        <v>153</v>
      </c>
      <c r="C136" s="5" t="s">
        <v>116</v>
      </c>
      <c r="D136" s="5" t="s">
        <v>117</v>
      </c>
      <c r="E136" s="5" t="s">
        <v>128</v>
      </c>
      <c r="F136" s="5" t="s">
        <v>129</v>
      </c>
      <c r="G136" s="5" t="s">
        <v>224</v>
      </c>
      <c r="H136" s="5">
        <v>2029</v>
      </c>
      <c r="I136" s="5" t="s">
        <v>147</v>
      </c>
      <c r="J136" s="5" t="s">
        <v>148</v>
      </c>
      <c r="K136" s="9">
        <f>Effect_Sizes!J4</f>
        <v>0.49</v>
      </c>
      <c r="L136" s="9">
        <f>Effect_Sizes!K4</f>
        <v>0.8</v>
      </c>
      <c r="M136" s="9">
        <f>Coverage_Trajectory!H32</f>
        <v>0.1326807379397153</v>
      </c>
      <c r="N136" s="9">
        <f>Coverage_Trajectory!K32</f>
        <v>0.13573614758794306</v>
      </c>
      <c r="O136" s="9">
        <f t="shared" si="10"/>
        <v>3.0554096482277582E-3</v>
      </c>
      <c r="P136" s="9">
        <f t="shared" si="11"/>
        <v>1.601253949927159E-3</v>
      </c>
      <c r="Q136" s="9">
        <f t="shared" si="12"/>
        <v>1.2810031599417274E-3</v>
      </c>
      <c r="R136" s="9">
        <f t="shared" si="13"/>
        <v>0.99871899684005827</v>
      </c>
      <c r="S136" s="5" t="s">
        <v>536</v>
      </c>
      <c r="T136" s="5" t="str">
        <f t="shared" si="14"/>
        <v>OK</v>
      </c>
    </row>
    <row r="137" spans="1:20">
      <c r="A137" s="10" t="s">
        <v>567</v>
      </c>
      <c r="B137" s="10" t="s">
        <v>153</v>
      </c>
      <c r="C137" s="10" t="s">
        <v>116</v>
      </c>
      <c r="D137" s="10" t="s">
        <v>117</v>
      </c>
      <c r="E137" s="10" t="s">
        <v>128</v>
      </c>
      <c r="F137" s="10" t="s">
        <v>129</v>
      </c>
      <c r="G137" s="10" t="s">
        <v>224</v>
      </c>
      <c r="H137" s="10">
        <v>2030</v>
      </c>
      <c r="I137" s="10" t="s">
        <v>147</v>
      </c>
      <c r="J137" s="10" t="s">
        <v>148</v>
      </c>
      <c r="K137" s="9">
        <f>Effect_Sizes!J4</f>
        <v>0.49</v>
      </c>
      <c r="L137" s="9">
        <f>Effect_Sizes!K4</f>
        <v>0.8</v>
      </c>
      <c r="M137" s="9">
        <f>Coverage_Trajectory!H33</f>
        <v>0.1326807379397153</v>
      </c>
      <c r="N137" s="9">
        <f>Coverage_Trajectory!K33</f>
        <v>0.13650000000000001</v>
      </c>
      <c r="O137" s="9">
        <f t="shared" si="10"/>
        <v>3.8192620602847116E-3</v>
      </c>
      <c r="P137" s="9">
        <f t="shared" si="11"/>
        <v>2.0015674374089559E-3</v>
      </c>
      <c r="Q137" s="9">
        <f t="shared" si="12"/>
        <v>1.6012539499271649E-3</v>
      </c>
      <c r="R137" s="9">
        <f t="shared" si="13"/>
        <v>0.99839874605007284</v>
      </c>
      <c r="S137" s="10" t="s">
        <v>536</v>
      </c>
      <c r="T137" s="5" t="str">
        <f t="shared" si="14"/>
        <v>OK</v>
      </c>
    </row>
    <row r="138" spans="1:20">
      <c r="A138" s="5" t="s">
        <v>568</v>
      </c>
      <c r="B138" s="5" t="s">
        <v>153</v>
      </c>
      <c r="C138" s="5" t="s">
        <v>116</v>
      </c>
      <c r="D138" s="5" t="s">
        <v>117</v>
      </c>
      <c r="E138" s="5" t="s">
        <v>128</v>
      </c>
      <c r="F138" s="5" t="s">
        <v>129</v>
      </c>
      <c r="G138" s="5" t="s">
        <v>224</v>
      </c>
      <c r="H138" s="5">
        <v>2031</v>
      </c>
      <c r="I138" s="5" t="s">
        <v>147</v>
      </c>
      <c r="J138" s="5" t="s">
        <v>148</v>
      </c>
      <c r="K138" s="9">
        <f>Effect_Sizes!J4</f>
        <v>0.49</v>
      </c>
      <c r="L138" s="9">
        <f>Effect_Sizes!K4</f>
        <v>0.8</v>
      </c>
      <c r="M138" s="9">
        <f>Coverage_Trajectory!H34</f>
        <v>0.1326807379397153</v>
      </c>
      <c r="N138" s="9">
        <f>Coverage_Trajectory!K34</f>
        <v>0.16450000000000001</v>
      </c>
      <c r="O138" s="9">
        <f t="shared" si="10"/>
        <v>3.1819262060284709E-2</v>
      </c>
      <c r="P138" s="9">
        <f t="shared" si="11"/>
        <v>1.6675577066188631E-2</v>
      </c>
      <c r="Q138" s="9">
        <f t="shared" si="12"/>
        <v>1.3340461652950907E-2</v>
      </c>
      <c r="R138" s="9">
        <f t="shared" si="13"/>
        <v>0.98665953834704911</v>
      </c>
      <c r="S138" s="5" t="s">
        <v>536</v>
      </c>
      <c r="T138" s="5" t="str">
        <f t="shared" si="14"/>
        <v>OK</v>
      </c>
    </row>
    <row r="139" spans="1:20">
      <c r="A139" s="10" t="s">
        <v>569</v>
      </c>
      <c r="B139" s="10" t="s">
        <v>153</v>
      </c>
      <c r="C139" s="10" t="s">
        <v>116</v>
      </c>
      <c r="D139" s="10" t="s">
        <v>117</v>
      </c>
      <c r="E139" s="10" t="s">
        <v>128</v>
      </c>
      <c r="F139" s="10" t="s">
        <v>129</v>
      </c>
      <c r="G139" s="10" t="s">
        <v>224</v>
      </c>
      <c r="H139" s="10">
        <v>2032</v>
      </c>
      <c r="I139" s="10" t="s">
        <v>147</v>
      </c>
      <c r="J139" s="10" t="s">
        <v>148</v>
      </c>
      <c r="K139" s="9">
        <f>Effect_Sizes!J4</f>
        <v>0.49</v>
      </c>
      <c r="L139" s="9">
        <f>Effect_Sizes!K4</f>
        <v>0.8</v>
      </c>
      <c r="M139" s="9">
        <f>Coverage_Trajectory!H35</f>
        <v>0.1326807379397153</v>
      </c>
      <c r="N139" s="9">
        <f>Coverage_Trajectory!K35</f>
        <v>0.1925</v>
      </c>
      <c r="O139" s="9">
        <f t="shared" si="10"/>
        <v>5.9819262060284706E-2</v>
      </c>
      <c r="P139" s="9">
        <f t="shared" si="11"/>
        <v>3.1349586694968304E-2</v>
      </c>
      <c r="Q139" s="9">
        <f t="shared" si="12"/>
        <v>2.5079669355974644E-2</v>
      </c>
      <c r="R139" s="9">
        <f t="shared" si="13"/>
        <v>0.97492033064402539</v>
      </c>
      <c r="S139" s="10" t="s">
        <v>536</v>
      </c>
      <c r="T139" s="5" t="str">
        <f t="shared" si="14"/>
        <v>OK</v>
      </c>
    </row>
    <row r="140" spans="1:20">
      <c r="A140" s="5" t="s">
        <v>570</v>
      </c>
      <c r="B140" s="5" t="s">
        <v>153</v>
      </c>
      <c r="C140" s="5" t="s">
        <v>116</v>
      </c>
      <c r="D140" s="5" t="s">
        <v>117</v>
      </c>
      <c r="E140" s="5" t="s">
        <v>128</v>
      </c>
      <c r="F140" s="5" t="s">
        <v>129</v>
      </c>
      <c r="G140" s="5" t="s">
        <v>224</v>
      </c>
      <c r="H140" s="5">
        <v>2033</v>
      </c>
      <c r="I140" s="5" t="s">
        <v>147</v>
      </c>
      <c r="J140" s="5" t="s">
        <v>148</v>
      </c>
      <c r="K140" s="9">
        <f>Effect_Sizes!J4</f>
        <v>0.49</v>
      </c>
      <c r="L140" s="9">
        <f>Effect_Sizes!K4</f>
        <v>0.8</v>
      </c>
      <c r="M140" s="9">
        <f>Coverage_Trajectory!H36</f>
        <v>0.1326807379397153</v>
      </c>
      <c r="N140" s="9">
        <f>Coverage_Trajectory!K36</f>
        <v>0.22049999999999997</v>
      </c>
      <c r="O140" s="9">
        <f t="shared" si="10"/>
        <v>8.7819262060284675E-2</v>
      </c>
      <c r="P140" s="9">
        <f t="shared" si="11"/>
        <v>4.6023596323747966E-2</v>
      </c>
      <c r="Q140" s="9">
        <f t="shared" si="12"/>
        <v>3.6818877058998375E-2</v>
      </c>
      <c r="R140" s="9">
        <f t="shared" si="13"/>
        <v>0.96318112294100167</v>
      </c>
      <c r="S140" s="5" t="s">
        <v>536</v>
      </c>
      <c r="T140" s="5" t="str">
        <f t="shared" si="14"/>
        <v>OK</v>
      </c>
    </row>
    <row r="141" spans="1:20">
      <c r="A141" s="10" t="s">
        <v>571</v>
      </c>
      <c r="B141" s="10" t="s">
        <v>153</v>
      </c>
      <c r="C141" s="10" t="s">
        <v>116</v>
      </c>
      <c r="D141" s="10" t="s">
        <v>117</v>
      </c>
      <c r="E141" s="10" t="s">
        <v>128</v>
      </c>
      <c r="F141" s="10" t="s">
        <v>129</v>
      </c>
      <c r="G141" s="10" t="s">
        <v>224</v>
      </c>
      <c r="H141" s="10">
        <v>2034</v>
      </c>
      <c r="I141" s="10" t="s">
        <v>147</v>
      </c>
      <c r="J141" s="10" t="s">
        <v>148</v>
      </c>
      <c r="K141" s="9">
        <f>Effect_Sizes!J4</f>
        <v>0.49</v>
      </c>
      <c r="L141" s="9">
        <f>Effect_Sizes!K4</f>
        <v>0.8</v>
      </c>
      <c r="M141" s="9">
        <f>Coverage_Trajectory!H37</f>
        <v>0.1326807379397153</v>
      </c>
      <c r="N141" s="9">
        <f>Coverage_Trajectory!K37</f>
        <v>0.24849999999999997</v>
      </c>
      <c r="O141" s="9">
        <f t="shared" si="10"/>
        <v>0.11581926206028467</v>
      </c>
      <c r="P141" s="9">
        <f t="shared" si="11"/>
        <v>6.0697605952527642E-2</v>
      </c>
      <c r="Q141" s="9">
        <f t="shared" si="12"/>
        <v>4.8558084762022113E-2</v>
      </c>
      <c r="R141" s="9">
        <f t="shared" si="13"/>
        <v>0.95144191523797783</v>
      </c>
      <c r="S141" s="10" t="s">
        <v>536</v>
      </c>
      <c r="T141" s="5" t="str">
        <f t="shared" si="14"/>
        <v>OK</v>
      </c>
    </row>
    <row r="142" spans="1:20">
      <c r="A142" s="5" t="s">
        <v>572</v>
      </c>
      <c r="B142" s="5" t="s">
        <v>153</v>
      </c>
      <c r="C142" s="5" t="s">
        <v>116</v>
      </c>
      <c r="D142" s="5" t="s">
        <v>117</v>
      </c>
      <c r="E142" s="5" t="s">
        <v>128</v>
      </c>
      <c r="F142" s="5" t="s">
        <v>129</v>
      </c>
      <c r="G142" s="5" t="s">
        <v>224</v>
      </c>
      <c r="H142" s="5">
        <v>2035</v>
      </c>
      <c r="I142" s="5" t="s">
        <v>147</v>
      </c>
      <c r="J142" s="5" t="s">
        <v>148</v>
      </c>
      <c r="K142" s="9">
        <f>Effect_Sizes!J4</f>
        <v>0.49</v>
      </c>
      <c r="L142" s="9">
        <f>Effect_Sizes!K4</f>
        <v>0.8</v>
      </c>
      <c r="M142" s="9">
        <f>Coverage_Trajectory!H38</f>
        <v>0.1326807379397153</v>
      </c>
      <c r="N142" s="9">
        <f>Coverage_Trajectory!K38</f>
        <v>0.27649999999999997</v>
      </c>
      <c r="O142" s="9">
        <f t="shared" si="10"/>
        <v>0.14381926206028467</v>
      </c>
      <c r="P142" s="9">
        <f t="shared" si="11"/>
        <v>7.5371615581307311E-2</v>
      </c>
      <c r="Q142" s="9">
        <f t="shared" si="12"/>
        <v>6.0297292465045851E-2</v>
      </c>
      <c r="R142" s="9">
        <f t="shared" si="13"/>
        <v>0.93970270753495411</v>
      </c>
      <c r="S142" s="5" t="s">
        <v>536</v>
      </c>
      <c r="T142" s="5" t="str">
        <f t="shared" si="14"/>
        <v>OK</v>
      </c>
    </row>
    <row r="143" spans="1:20">
      <c r="A143" s="10" t="s">
        <v>573</v>
      </c>
      <c r="B143" s="10" t="s">
        <v>153</v>
      </c>
      <c r="C143" s="10" t="s">
        <v>116</v>
      </c>
      <c r="D143" s="10" t="s">
        <v>117</v>
      </c>
      <c r="E143" s="10" t="s">
        <v>128</v>
      </c>
      <c r="F143" s="10" t="s">
        <v>129</v>
      </c>
      <c r="G143" s="10" t="s">
        <v>224</v>
      </c>
      <c r="H143" s="10">
        <v>2036</v>
      </c>
      <c r="I143" s="10" t="s">
        <v>147</v>
      </c>
      <c r="J143" s="10" t="s">
        <v>148</v>
      </c>
      <c r="K143" s="9">
        <f>Effect_Sizes!J4</f>
        <v>0.49</v>
      </c>
      <c r="L143" s="9">
        <f>Effect_Sizes!K4</f>
        <v>0.8</v>
      </c>
      <c r="M143" s="9">
        <f>Coverage_Trajectory!H39</f>
        <v>0.1326807379397153</v>
      </c>
      <c r="N143" s="9">
        <f>Coverage_Trajectory!K39</f>
        <v>0.30449999999999999</v>
      </c>
      <c r="O143" s="9">
        <f t="shared" si="10"/>
        <v>0.17181926206028469</v>
      </c>
      <c r="P143" s="9">
        <f t="shared" si="11"/>
        <v>9.0045625210087007E-2</v>
      </c>
      <c r="Q143" s="9">
        <f t="shared" si="12"/>
        <v>7.2036500168069603E-2</v>
      </c>
      <c r="R143" s="9">
        <f t="shared" si="13"/>
        <v>0.92796349983193038</v>
      </c>
      <c r="S143" s="10" t="s">
        <v>536</v>
      </c>
      <c r="T143" s="5" t="str">
        <f t="shared" si="14"/>
        <v>OK</v>
      </c>
    </row>
    <row r="144" spans="1:20">
      <c r="A144" s="5" t="s">
        <v>574</v>
      </c>
      <c r="B144" s="5" t="s">
        <v>153</v>
      </c>
      <c r="C144" s="5" t="s">
        <v>116</v>
      </c>
      <c r="D144" s="5" t="s">
        <v>117</v>
      </c>
      <c r="E144" s="5" t="s">
        <v>128</v>
      </c>
      <c r="F144" s="5" t="s">
        <v>129</v>
      </c>
      <c r="G144" s="5" t="s">
        <v>224</v>
      </c>
      <c r="H144" s="5">
        <v>2037</v>
      </c>
      <c r="I144" s="5" t="s">
        <v>147</v>
      </c>
      <c r="J144" s="5" t="s">
        <v>148</v>
      </c>
      <c r="K144" s="9">
        <f>Effect_Sizes!J4</f>
        <v>0.49</v>
      </c>
      <c r="L144" s="9">
        <f>Effect_Sizes!K4</f>
        <v>0.8</v>
      </c>
      <c r="M144" s="9">
        <f>Coverage_Trajectory!H40</f>
        <v>0.1326807379397153</v>
      </c>
      <c r="N144" s="9">
        <f>Coverage_Trajectory!K40</f>
        <v>0.33249999999999996</v>
      </c>
      <c r="O144" s="9">
        <f t="shared" si="10"/>
        <v>0.19981926206028466</v>
      </c>
      <c r="P144" s="9">
        <f t="shared" si="11"/>
        <v>0.10471963483886668</v>
      </c>
      <c r="Q144" s="9">
        <f t="shared" si="12"/>
        <v>8.3775707871093341E-2</v>
      </c>
      <c r="R144" s="9">
        <f t="shared" si="13"/>
        <v>0.91622429212890666</v>
      </c>
      <c r="S144" s="5" t="s">
        <v>536</v>
      </c>
      <c r="T144" s="5" t="str">
        <f t="shared" si="14"/>
        <v>OK</v>
      </c>
    </row>
    <row r="145" spans="1:20">
      <c r="A145" s="10" t="s">
        <v>575</v>
      </c>
      <c r="B145" s="10" t="s">
        <v>153</v>
      </c>
      <c r="C145" s="10" t="s">
        <v>116</v>
      </c>
      <c r="D145" s="10" t="s">
        <v>117</v>
      </c>
      <c r="E145" s="10" t="s">
        <v>128</v>
      </c>
      <c r="F145" s="10" t="s">
        <v>129</v>
      </c>
      <c r="G145" s="10" t="s">
        <v>224</v>
      </c>
      <c r="H145" s="10">
        <v>2038</v>
      </c>
      <c r="I145" s="10" t="s">
        <v>147</v>
      </c>
      <c r="J145" s="10" t="s">
        <v>148</v>
      </c>
      <c r="K145" s="9">
        <f>Effect_Sizes!J4</f>
        <v>0.49</v>
      </c>
      <c r="L145" s="9">
        <f>Effect_Sizes!K4</f>
        <v>0.8</v>
      </c>
      <c r="M145" s="9">
        <f>Coverage_Trajectory!H41</f>
        <v>0.1326807379397153</v>
      </c>
      <c r="N145" s="9">
        <f>Coverage_Trajectory!K41</f>
        <v>0.36049999999999993</v>
      </c>
      <c r="O145" s="9">
        <f t="shared" si="10"/>
        <v>0.22781926206028463</v>
      </c>
      <c r="P145" s="9">
        <f t="shared" si="11"/>
        <v>0.11939364446764633</v>
      </c>
      <c r="Q145" s="9">
        <f t="shared" si="12"/>
        <v>9.5514915574117065E-2</v>
      </c>
      <c r="R145" s="9">
        <f t="shared" si="13"/>
        <v>0.90448508442588293</v>
      </c>
      <c r="S145" s="10" t="s">
        <v>536</v>
      </c>
      <c r="T145" s="5" t="str">
        <f t="shared" si="14"/>
        <v>OK</v>
      </c>
    </row>
    <row r="146" spans="1:20">
      <c r="A146" s="5" t="s">
        <v>576</v>
      </c>
      <c r="B146" s="5" t="s">
        <v>153</v>
      </c>
      <c r="C146" s="5" t="s">
        <v>116</v>
      </c>
      <c r="D146" s="5" t="s">
        <v>117</v>
      </c>
      <c r="E146" s="5" t="s">
        <v>128</v>
      </c>
      <c r="F146" s="5" t="s">
        <v>129</v>
      </c>
      <c r="G146" s="5" t="s">
        <v>224</v>
      </c>
      <c r="H146" s="5">
        <v>2039</v>
      </c>
      <c r="I146" s="5" t="s">
        <v>147</v>
      </c>
      <c r="J146" s="5" t="s">
        <v>148</v>
      </c>
      <c r="K146" s="9">
        <f>Effect_Sizes!J4</f>
        <v>0.49</v>
      </c>
      <c r="L146" s="9">
        <f>Effect_Sizes!K4</f>
        <v>0.8</v>
      </c>
      <c r="M146" s="9">
        <f>Coverage_Trajectory!H42</f>
        <v>0.1326807379397153</v>
      </c>
      <c r="N146" s="9">
        <f>Coverage_Trajectory!K42</f>
        <v>0.3884999999999999</v>
      </c>
      <c r="O146" s="9">
        <f t="shared" si="10"/>
        <v>0.2558192620602846</v>
      </c>
      <c r="P146" s="9">
        <f t="shared" si="11"/>
        <v>0.13406765409642599</v>
      </c>
      <c r="Q146" s="9">
        <f t="shared" si="12"/>
        <v>0.10725412327714079</v>
      </c>
      <c r="R146" s="9">
        <f t="shared" si="13"/>
        <v>0.89274587672285921</v>
      </c>
      <c r="S146" s="5" t="s">
        <v>536</v>
      </c>
      <c r="T146" s="5" t="str">
        <f t="shared" si="14"/>
        <v>OK</v>
      </c>
    </row>
    <row r="147" spans="1:20">
      <c r="A147" s="10" t="s">
        <v>577</v>
      </c>
      <c r="B147" s="10" t="s">
        <v>153</v>
      </c>
      <c r="C147" s="10" t="s">
        <v>116</v>
      </c>
      <c r="D147" s="10" t="s">
        <v>117</v>
      </c>
      <c r="E147" s="10" t="s">
        <v>128</v>
      </c>
      <c r="F147" s="10" t="s">
        <v>129</v>
      </c>
      <c r="G147" s="10" t="s">
        <v>224</v>
      </c>
      <c r="H147" s="10">
        <v>2040</v>
      </c>
      <c r="I147" s="10" t="s">
        <v>147</v>
      </c>
      <c r="J147" s="10" t="s">
        <v>148</v>
      </c>
      <c r="K147" s="9">
        <f>Effect_Sizes!J4</f>
        <v>0.49</v>
      </c>
      <c r="L147" s="9">
        <f>Effect_Sizes!K4</f>
        <v>0.8</v>
      </c>
      <c r="M147" s="9">
        <f>Coverage_Trajectory!H43</f>
        <v>0.1326807379397153</v>
      </c>
      <c r="N147" s="9">
        <f>Coverage_Trajectory!K43</f>
        <v>0.41649999999999993</v>
      </c>
      <c r="O147" s="9">
        <f t="shared" si="10"/>
        <v>0.28381926206028463</v>
      </c>
      <c r="P147" s="9">
        <f t="shared" si="11"/>
        <v>0.1487416637252057</v>
      </c>
      <c r="Q147" s="9">
        <f t="shared" si="12"/>
        <v>0.11899333098016457</v>
      </c>
      <c r="R147" s="9">
        <f t="shared" si="13"/>
        <v>0.88100666901983549</v>
      </c>
      <c r="S147" s="10" t="s">
        <v>536</v>
      </c>
      <c r="T147" s="5" t="str">
        <f t="shared" si="14"/>
        <v>OK</v>
      </c>
    </row>
    <row r="148" spans="1:20">
      <c r="A148" s="5" t="s">
        <v>578</v>
      </c>
      <c r="B148" s="5" t="s">
        <v>153</v>
      </c>
      <c r="C148" s="5" t="s">
        <v>116</v>
      </c>
      <c r="D148" s="5" t="s">
        <v>117</v>
      </c>
      <c r="E148" s="5" t="s">
        <v>128</v>
      </c>
      <c r="F148" s="5" t="s">
        <v>129</v>
      </c>
      <c r="G148" s="5" t="s">
        <v>224</v>
      </c>
      <c r="H148" s="5">
        <v>2041</v>
      </c>
      <c r="I148" s="5" t="s">
        <v>147</v>
      </c>
      <c r="J148" s="5" t="s">
        <v>148</v>
      </c>
      <c r="K148" s="9">
        <f>Effect_Sizes!J4</f>
        <v>0.49</v>
      </c>
      <c r="L148" s="9">
        <f>Effect_Sizes!K4</f>
        <v>0.8</v>
      </c>
      <c r="M148" s="9">
        <f>Coverage_Trajectory!H44</f>
        <v>0.1326807379397153</v>
      </c>
      <c r="N148" s="9">
        <f>Coverage_Trajectory!K44</f>
        <v>0.41649999999999993</v>
      </c>
      <c r="O148" s="9">
        <f t="shared" si="10"/>
        <v>0.28381926206028463</v>
      </c>
      <c r="P148" s="9">
        <f t="shared" si="11"/>
        <v>0.1487416637252057</v>
      </c>
      <c r="Q148" s="9">
        <f t="shared" si="12"/>
        <v>0.11899333098016457</v>
      </c>
      <c r="R148" s="9">
        <f t="shared" si="13"/>
        <v>0.88100666901983549</v>
      </c>
      <c r="S148" s="5" t="s">
        <v>536</v>
      </c>
      <c r="T148" s="5" t="str">
        <f t="shared" si="14"/>
        <v>OK</v>
      </c>
    </row>
    <row r="149" spans="1:20">
      <c r="A149" s="10" t="s">
        <v>579</v>
      </c>
      <c r="B149" s="10" t="s">
        <v>153</v>
      </c>
      <c r="C149" s="10" t="s">
        <v>116</v>
      </c>
      <c r="D149" s="10" t="s">
        <v>117</v>
      </c>
      <c r="E149" s="10" t="s">
        <v>128</v>
      </c>
      <c r="F149" s="10" t="s">
        <v>129</v>
      </c>
      <c r="G149" s="10" t="s">
        <v>224</v>
      </c>
      <c r="H149" s="10">
        <v>2042</v>
      </c>
      <c r="I149" s="10" t="s">
        <v>147</v>
      </c>
      <c r="J149" s="10" t="s">
        <v>148</v>
      </c>
      <c r="K149" s="9">
        <f>Effect_Sizes!J4</f>
        <v>0.49</v>
      </c>
      <c r="L149" s="9">
        <f>Effect_Sizes!K4</f>
        <v>0.8</v>
      </c>
      <c r="M149" s="9">
        <f>Coverage_Trajectory!H45</f>
        <v>0.1326807379397153</v>
      </c>
      <c r="N149" s="9">
        <f>Coverage_Trajectory!K45</f>
        <v>0.41649999999999993</v>
      </c>
      <c r="O149" s="9">
        <f t="shared" si="10"/>
        <v>0.28381926206028463</v>
      </c>
      <c r="P149" s="9">
        <f t="shared" si="11"/>
        <v>0.1487416637252057</v>
      </c>
      <c r="Q149" s="9">
        <f t="shared" si="12"/>
        <v>0.11899333098016457</v>
      </c>
      <c r="R149" s="9">
        <f t="shared" si="13"/>
        <v>0.88100666901983549</v>
      </c>
      <c r="S149" s="10" t="s">
        <v>536</v>
      </c>
      <c r="T149" s="5" t="str">
        <f t="shared" si="14"/>
        <v>OK</v>
      </c>
    </row>
    <row r="150" spans="1:20">
      <c r="A150" s="5" t="s">
        <v>580</v>
      </c>
      <c r="B150" s="5" t="s">
        <v>153</v>
      </c>
      <c r="C150" s="5" t="s">
        <v>116</v>
      </c>
      <c r="D150" s="5" t="s">
        <v>117</v>
      </c>
      <c r="E150" s="5" t="s">
        <v>128</v>
      </c>
      <c r="F150" s="5" t="s">
        <v>129</v>
      </c>
      <c r="G150" s="5" t="s">
        <v>224</v>
      </c>
      <c r="H150" s="5">
        <v>2043</v>
      </c>
      <c r="I150" s="5" t="s">
        <v>147</v>
      </c>
      <c r="J150" s="5" t="s">
        <v>148</v>
      </c>
      <c r="K150" s="9">
        <f>Effect_Sizes!J4</f>
        <v>0.49</v>
      </c>
      <c r="L150" s="9">
        <f>Effect_Sizes!K4</f>
        <v>0.8</v>
      </c>
      <c r="M150" s="9">
        <f>Coverage_Trajectory!H46</f>
        <v>0.1326807379397153</v>
      </c>
      <c r="N150" s="9">
        <f>Coverage_Trajectory!K46</f>
        <v>0.41649999999999993</v>
      </c>
      <c r="O150" s="9">
        <f t="shared" si="10"/>
        <v>0.28381926206028463</v>
      </c>
      <c r="P150" s="9">
        <f t="shared" si="11"/>
        <v>0.1487416637252057</v>
      </c>
      <c r="Q150" s="9">
        <f t="shared" si="12"/>
        <v>0.11899333098016457</v>
      </c>
      <c r="R150" s="9">
        <f t="shared" si="13"/>
        <v>0.88100666901983549</v>
      </c>
      <c r="S150" s="5" t="s">
        <v>536</v>
      </c>
      <c r="T150" s="5" t="str">
        <f t="shared" si="14"/>
        <v>OK</v>
      </c>
    </row>
    <row r="151" spans="1:20">
      <c r="A151" s="10" t="s">
        <v>581</v>
      </c>
      <c r="B151" s="10" t="s">
        <v>153</v>
      </c>
      <c r="C151" s="10" t="s">
        <v>116</v>
      </c>
      <c r="D151" s="10" t="s">
        <v>117</v>
      </c>
      <c r="E151" s="10" t="s">
        <v>128</v>
      </c>
      <c r="F151" s="10" t="s">
        <v>129</v>
      </c>
      <c r="G151" s="10" t="s">
        <v>224</v>
      </c>
      <c r="H151" s="10">
        <v>2044</v>
      </c>
      <c r="I151" s="10" t="s">
        <v>147</v>
      </c>
      <c r="J151" s="10" t="s">
        <v>148</v>
      </c>
      <c r="K151" s="9">
        <f>Effect_Sizes!J4</f>
        <v>0.49</v>
      </c>
      <c r="L151" s="9">
        <f>Effect_Sizes!K4</f>
        <v>0.8</v>
      </c>
      <c r="M151" s="9">
        <f>Coverage_Trajectory!H47</f>
        <v>0.1326807379397153</v>
      </c>
      <c r="N151" s="9">
        <f>Coverage_Trajectory!K47</f>
        <v>0.41649999999999993</v>
      </c>
      <c r="O151" s="9">
        <f t="shared" si="10"/>
        <v>0.28381926206028463</v>
      </c>
      <c r="P151" s="9">
        <f t="shared" si="11"/>
        <v>0.1487416637252057</v>
      </c>
      <c r="Q151" s="9">
        <f t="shared" si="12"/>
        <v>0.11899333098016457</v>
      </c>
      <c r="R151" s="9">
        <f t="shared" si="13"/>
        <v>0.88100666901983549</v>
      </c>
      <c r="S151" s="10" t="s">
        <v>536</v>
      </c>
      <c r="T151" s="5" t="str">
        <f t="shared" si="14"/>
        <v>OK</v>
      </c>
    </row>
    <row r="152" spans="1:20">
      <c r="A152" s="5" t="s">
        <v>582</v>
      </c>
      <c r="B152" s="5" t="s">
        <v>153</v>
      </c>
      <c r="C152" s="5" t="s">
        <v>116</v>
      </c>
      <c r="D152" s="5" t="s">
        <v>117</v>
      </c>
      <c r="E152" s="5" t="s">
        <v>128</v>
      </c>
      <c r="F152" s="5" t="s">
        <v>129</v>
      </c>
      <c r="G152" s="5" t="s">
        <v>224</v>
      </c>
      <c r="H152" s="5">
        <v>2045</v>
      </c>
      <c r="I152" s="5" t="s">
        <v>147</v>
      </c>
      <c r="J152" s="5" t="s">
        <v>148</v>
      </c>
      <c r="K152" s="9">
        <f>Effect_Sizes!J4</f>
        <v>0.49</v>
      </c>
      <c r="L152" s="9">
        <f>Effect_Sizes!K4</f>
        <v>0.8</v>
      </c>
      <c r="M152" s="9">
        <f>Coverage_Trajectory!H48</f>
        <v>0.1326807379397153</v>
      </c>
      <c r="N152" s="9">
        <f>Coverage_Trajectory!K48</f>
        <v>0.41649999999999993</v>
      </c>
      <c r="O152" s="9">
        <f t="shared" si="10"/>
        <v>0.28381926206028463</v>
      </c>
      <c r="P152" s="9">
        <f t="shared" si="11"/>
        <v>0.1487416637252057</v>
      </c>
      <c r="Q152" s="9">
        <f t="shared" si="12"/>
        <v>0.11899333098016457</v>
      </c>
      <c r="R152" s="9">
        <f t="shared" si="13"/>
        <v>0.88100666901983549</v>
      </c>
      <c r="S152" s="5" t="s">
        <v>536</v>
      </c>
      <c r="T152" s="5" t="str">
        <f t="shared" si="14"/>
        <v>OK</v>
      </c>
    </row>
    <row r="153" spans="1:20">
      <c r="A153" s="10" t="s">
        <v>583</v>
      </c>
      <c r="B153" s="10" t="s">
        <v>153</v>
      </c>
      <c r="C153" s="10" t="s">
        <v>116</v>
      </c>
      <c r="D153" s="10" t="s">
        <v>117</v>
      </c>
      <c r="E153" s="10" t="s">
        <v>128</v>
      </c>
      <c r="F153" s="10" t="s">
        <v>129</v>
      </c>
      <c r="G153" s="10" t="s">
        <v>224</v>
      </c>
      <c r="H153" s="10">
        <v>2046</v>
      </c>
      <c r="I153" s="10" t="s">
        <v>147</v>
      </c>
      <c r="J153" s="10" t="s">
        <v>148</v>
      </c>
      <c r="K153" s="9">
        <f>Effect_Sizes!J4</f>
        <v>0.49</v>
      </c>
      <c r="L153" s="9">
        <f>Effect_Sizes!K4</f>
        <v>0.8</v>
      </c>
      <c r="M153" s="9">
        <f>Coverage_Trajectory!H49</f>
        <v>0.1326807379397153</v>
      </c>
      <c r="N153" s="9">
        <f>Coverage_Trajectory!K49</f>
        <v>0.41649999999999993</v>
      </c>
      <c r="O153" s="9">
        <f t="shared" si="10"/>
        <v>0.28381926206028463</v>
      </c>
      <c r="P153" s="9">
        <f t="shared" si="11"/>
        <v>0.1487416637252057</v>
      </c>
      <c r="Q153" s="9">
        <f t="shared" si="12"/>
        <v>0.11899333098016457</v>
      </c>
      <c r="R153" s="9">
        <f t="shared" si="13"/>
        <v>0.88100666901983549</v>
      </c>
      <c r="S153" s="10" t="s">
        <v>536</v>
      </c>
      <c r="T153" s="5" t="str">
        <f t="shared" si="14"/>
        <v>OK</v>
      </c>
    </row>
    <row r="154" spans="1:20">
      <c r="A154" s="5" t="s">
        <v>584</v>
      </c>
      <c r="B154" s="5" t="s">
        <v>153</v>
      </c>
      <c r="C154" s="5" t="s">
        <v>116</v>
      </c>
      <c r="D154" s="5" t="s">
        <v>117</v>
      </c>
      <c r="E154" s="5" t="s">
        <v>128</v>
      </c>
      <c r="F154" s="5" t="s">
        <v>129</v>
      </c>
      <c r="G154" s="5" t="s">
        <v>224</v>
      </c>
      <c r="H154" s="5">
        <v>2047</v>
      </c>
      <c r="I154" s="5" t="s">
        <v>147</v>
      </c>
      <c r="J154" s="5" t="s">
        <v>148</v>
      </c>
      <c r="K154" s="9">
        <f>Effect_Sizes!J4</f>
        <v>0.49</v>
      </c>
      <c r="L154" s="9">
        <f>Effect_Sizes!K4</f>
        <v>0.8</v>
      </c>
      <c r="M154" s="9">
        <f>Coverage_Trajectory!H50</f>
        <v>0.1326807379397153</v>
      </c>
      <c r="N154" s="9">
        <f>Coverage_Trajectory!K50</f>
        <v>0.41649999999999993</v>
      </c>
      <c r="O154" s="9">
        <f t="shared" si="10"/>
        <v>0.28381926206028463</v>
      </c>
      <c r="P154" s="9">
        <f t="shared" si="11"/>
        <v>0.1487416637252057</v>
      </c>
      <c r="Q154" s="9">
        <f t="shared" si="12"/>
        <v>0.11899333098016457</v>
      </c>
      <c r="R154" s="9">
        <f t="shared" si="13"/>
        <v>0.88100666901983549</v>
      </c>
      <c r="S154" s="5" t="s">
        <v>536</v>
      </c>
      <c r="T154" s="5" t="str">
        <f t="shared" si="14"/>
        <v>OK</v>
      </c>
    </row>
    <row r="155" spans="1:20">
      <c r="A155" s="10" t="s">
        <v>585</v>
      </c>
      <c r="B155" s="10" t="s">
        <v>153</v>
      </c>
      <c r="C155" s="10" t="s">
        <v>116</v>
      </c>
      <c r="D155" s="10" t="s">
        <v>117</v>
      </c>
      <c r="E155" s="10" t="s">
        <v>128</v>
      </c>
      <c r="F155" s="10" t="s">
        <v>129</v>
      </c>
      <c r="G155" s="10" t="s">
        <v>224</v>
      </c>
      <c r="H155" s="10">
        <v>2048</v>
      </c>
      <c r="I155" s="10" t="s">
        <v>147</v>
      </c>
      <c r="J155" s="10" t="s">
        <v>148</v>
      </c>
      <c r="K155" s="9">
        <f>Effect_Sizes!J4</f>
        <v>0.49</v>
      </c>
      <c r="L155" s="9">
        <f>Effect_Sizes!K4</f>
        <v>0.8</v>
      </c>
      <c r="M155" s="9">
        <f>Coverage_Trajectory!H51</f>
        <v>0.1326807379397153</v>
      </c>
      <c r="N155" s="9">
        <f>Coverage_Trajectory!K51</f>
        <v>0.41649999999999993</v>
      </c>
      <c r="O155" s="9">
        <f t="shared" si="10"/>
        <v>0.28381926206028463</v>
      </c>
      <c r="P155" s="9">
        <f t="shared" si="11"/>
        <v>0.1487416637252057</v>
      </c>
      <c r="Q155" s="9">
        <f t="shared" si="12"/>
        <v>0.11899333098016457</v>
      </c>
      <c r="R155" s="9">
        <f t="shared" si="13"/>
        <v>0.88100666901983549</v>
      </c>
      <c r="S155" s="10" t="s">
        <v>536</v>
      </c>
      <c r="T155" s="5" t="str">
        <f t="shared" si="14"/>
        <v>OK</v>
      </c>
    </row>
    <row r="156" spans="1:20">
      <c r="A156" s="5" t="s">
        <v>586</v>
      </c>
      <c r="B156" s="5" t="s">
        <v>153</v>
      </c>
      <c r="C156" s="5" t="s">
        <v>116</v>
      </c>
      <c r="D156" s="5" t="s">
        <v>117</v>
      </c>
      <c r="E156" s="5" t="s">
        <v>128</v>
      </c>
      <c r="F156" s="5" t="s">
        <v>129</v>
      </c>
      <c r="G156" s="5" t="s">
        <v>224</v>
      </c>
      <c r="H156" s="5">
        <v>2049</v>
      </c>
      <c r="I156" s="5" t="s">
        <v>147</v>
      </c>
      <c r="J156" s="5" t="s">
        <v>148</v>
      </c>
      <c r="K156" s="9">
        <f>Effect_Sizes!J4</f>
        <v>0.49</v>
      </c>
      <c r="L156" s="9">
        <f>Effect_Sizes!K4</f>
        <v>0.8</v>
      </c>
      <c r="M156" s="9">
        <f>Coverage_Trajectory!H52</f>
        <v>0.1326807379397153</v>
      </c>
      <c r="N156" s="9">
        <f>Coverage_Trajectory!K52</f>
        <v>0.41649999999999993</v>
      </c>
      <c r="O156" s="9">
        <f t="shared" si="10"/>
        <v>0.28381926206028463</v>
      </c>
      <c r="P156" s="9">
        <f t="shared" si="11"/>
        <v>0.1487416637252057</v>
      </c>
      <c r="Q156" s="9">
        <f t="shared" si="12"/>
        <v>0.11899333098016457</v>
      </c>
      <c r="R156" s="9">
        <f t="shared" si="13"/>
        <v>0.88100666901983549</v>
      </c>
      <c r="S156" s="5" t="s">
        <v>536</v>
      </c>
      <c r="T156" s="5" t="str">
        <f t="shared" si="14"/>
        <v>OK</v>
      </c>
    </row>
    <row r="157" spans="1:20">
      <c r="A157" s="10" t="s">
        <v>587</v>
      </c>
      <c r="B157" s="10" t="s">
        <v>153</v>
      </c>
      <c r="C157" s="10" t="s">
        <v>116</v>
      </c>
      <c r="D157" s="10" t="s">
        <v>117</v>
      </c>
      <c r="E157" s="10" t="s">
        <v>128</v>
      </c>
      <c r="F157" s="10" t="s">
        <v>129</v>
      </c>
      <c r="G157" s="10" t="s">
        <v>224</v>
      </c>
      <c r="H157" s="10">
        <v>2050</v>
      </c>
      <c r="I157" s="10" t="s">
        <v>147</v>
      </c>
      <c r="J157" s="10" t="s">
        <v>148</v>
      </c>
      <c r="K157" s="9">
        <f>Effect_Sizes!J4</f>
        <v>0.49</v>
      </c>
      <c r="L157" s="9">
        <f>Effect_Sizes!K4</f>
        <v>0.8</v>
      </c>
      <c r="M157" s="9">
        <f>Coverage_Trajectory!H53</f>
        <v>0.1326807379397153</v>
      </c>
      <c r="N157" s="9">
        <f>Coverage_Trajectory!K53</f>
        <v>0.41649999999999993</v>
      </c>
      <c r="O157" s="9">
        <f t="shared" si="10"/>
        <v>0.28381926206028463</v>
      </c>
      <c r="P157" s="9">
        <f t="shared" si="11"/>
        <v>0.1487416637252057</v>
      </c>
      <c r="Q157" s="9">
        <f t="shared" si="12"/>
        <v>0.11899333098016457</v>
      </c>
      <c r="R157" s="9">
        <f t="shared" si="13"/>
        <v>0.88100666901983549</v>
      </c>
      <c r="S157" s="10" t="s">
        <v>536</v>
      </c>
      <c r="T157" s="5" t="str">
        <f t="shared" si="14"/>
        <v>OK</v>
      </c>
    </row>
    <row r="158" spans="1:20">
      <c r="A158" s="5" t="s">
        <v>588</v>
      </c>
      <c r="B158" s="5" t="s">
        <v>154</v>
      </c>
      <c r="C158" s="5" t="s">
        <v>116</v>
      </c>
      <c r="D158" s="5" t="s">
        <v>117</v>
      </c>
      <c r="E158" s="5" t="s">
        <v>130</v>
      </c>
      <c r="F158" s="5" t="s">
        <v>131</v>
      </c>
      <c r="G158" s="5" t="s">
        <v>213</v>
      </c>
      <c r="H158" s="5">
        <v>2025</v>
      </c>
      <c r="I158" s="5" t="s">
        <v>147</v>
      </c>
      <c r="J158" s="5" t="s">
        <v>148</v>
      </c>
      <c r="K158" s="9">
        <f>Effect_Sizes!J5</f>
        <v>0.47</v>
      </c>
      <c r="L158" s="9">
        <f>Effect_Sizes!K5</f>
        <v>1</v>
      </c>
      <c r="M158" s="9">
        <f>Coverage_Trajectory!H2</f>
        <v>9.4852976806097139E-2</v>
      </c>
      <c r="N158" s="9">
        <f>Coverage_Trajectory!K2</f>
        <v>9.4852976806097139E-2</v>
      </c>
      <c r="O158" s="9">
        <f t="shared" si="10"/>
        <v>0</v>
      </c>
      <c r="P158" s="9">
        <f t="shared" si="11"/>
        <v>0</v>
      </c>
      <c r="Q158" s="9">
        <f t="shared" si="12"/>
        <v>0</v>
      </c>
      <c r="R158" s="9">
        <f t="shared" si="13"/>
        <v>1</v>
      </c>
      <c r="S158" s="5" t="s">
        <v>589</v>
      </c>
      <c r="T158" s="5" t="str">
        <f t="shared" si="14"/>
        <v>OK</v>
      </c>
    </row>
    <row r="159" spans="1:20">
      <c r="A159" s="10" t="s">
        <v>590</v>
      </c>
      <c r="B159" s="10" t="s">
        <v>154</v>
      </c>
      <c r="C159" s="10" t="s">
        <v>116</v>
      </c>
      <c r="D159" s="10" t="s">
        <v>117</v>
      </c>
      <c r="E159" s="10" t="s">
        <v>130</v>
      </c>
      <c r="F159" s="10" t="s">
        <v>131</v>
      </c>
      <c r="G159" s="10" t="s">
        <v>213</v>
      </c>
      <c r="H159" s="10">
        <v>2026</v>
      </c>
      <c r="I159" s="10" t="s">
        <v>147</v>
      </c>
      <c r="J159" s="10" t="s">
        <v>148</v>
      </c>
      <c r="K159" s="9">
        <f>Effect_Sizes!J5</f>
        <v>0.47</v>
      </c>
      <c r="L159" s="9">
        <f>Effect_Sizes!K5</f>
        <v>1</v>
      </c>
      <c r="M159" s="9">
        <f>Coverage_Trajectory!H3</f>
        <v>9.4852976806097139E-2</v>
      </c>
      <c r="N159" s="9">
        <f>Coverage_Trajectory!K3</f>
        <v>0.10318238144487771</v>
      </c>
      <c r="O159" s="9">
        <f t="shared" si="10"/>
        <v>8.3294046387805687E-3</v>
      </c>
      <c r="P159" s="9">
        <f t="shared" si="11"/>
        <v>4.0974899670045088E-3</v>
      </c>
      <c r="Q159" s="9">
        <f t="shared" si="12"/>
        <v>4.0974899670045088E-3</v>
      </c>
      <c r="R159" s="9">
        <f t="shared" si="13"/>
        <v>0.99590251003299546</v>
      </c>
      <c r="S159" s="10" t="s">
        <v>589</v>
      </c>
      <c r="T159" s="5" t="str">
        <f t="shared" si="14"/>
        <v>OK</v>
      </c>
    </row>
    <row r="160" spans="1:20">
      <c r="A160" s="5" t="s">
        <v>591</v>
      </c>
      <c r="B160" s="5" t="s">
        <v>154</v>
      </c>
      <c r="C160" s="5" t="s">
        <v>116</v>
      </c>
      <c r="D160" s="5" t="s">
        <v>117</v>
      </c>
      <c r="E160" s="5" t="s">
        <v>130</v>
      </c>
      <c r="F160" s="5" t="s">
        <v>131</v>
      </c>
      <c r="G160" s="5" t="s">
        <v>213</v>
      </c>
      <c r="H160" s="5">
        <v>2027</v>
      </c>
      <c r="I160" s="5" t="s">
        <v>147</v>
      </c>
      <c r="J160" s="5" t="s">
        <v>148</v>
      </c>
      <c r="K160" s="9">
        <f>Effect_Sizes!J5</f>
        <v>0.47</v>
      </c>
      <c r="L160" s="9">
        <f>Effect_Sizes!K5</f>
        <v>1</v>
      </c>
      <c r="M160" s="9">
        <f>Coverage_Trajectory!H4</f>
        <v>9.4852976806097139E-2</v>
      </c>
      <c r="N160" s="9">
        <f>Coverage_Trajectory!K4</f>
        <v>0.11151178608365829</v>
      </c>
      <c r="O160" s="9">
        <f t="shared" si="10"/>
        <v>1.6658809277561151E-2</v>
      </c>
      <c r="P160" s="9">
        <f t="shared" si="11"/>
        <v>8.1949799340090262E-3</v>
      </c>
      <c r="Q160" s="9">
        <f t="shared" si="12"/>
        <v>8.1949799340090262E-3</v>
      </c>
      <c r="R160" s="9">
        <f t="shared" si="13"/>
        <v>0.99180502006599103</v>
      </c>
      <c r="S160" s="5" t="s">
        <v>589</v>
      </c>
      <c r="T160" s="5" t="str">
        <f t="shared" si="14"/>
        <v>OK</v>
      </c>
    </row>
    <row r="161" spans="1:20">
      <c r="A161" s="10" t="s">
        <v>592</v>
      </c>
      <c r="B161" s="10" t="s">
        <v>154</v>
      </c>
      <c r="C161" s="10" t="s">
        <v>116</v>
      </c>
      <c r="D161" s="10" t="s">
        <v>117</v>
      </c>
      <c r="E161" s="10" t="s">
        <v>130</v>
      </c>
      <c r="F161" s="10" t="s">
        <v>131</v>
      </c>
      <c r="G161" s="10" t="s">
        <v>213</v>
      </c>
      <c r="H161" s="10">
        <v>2028</v>
      </c>
      <c r="I161" s="10" t="s">
        <v>147</v>
      </c>
      <c r="J161" s="10" t="s">
        <v>148</v>
      </c>
      <c r="K161" s="9">
        <f>Effect_Sizes!J5</f>
        <v>0.47</v>
      </c>
      <c r="L161" s="9">
        <f>Effect_Sizes!K5</f>
        <v>1</v>
      </c>
      <c r="M161" s="9">
        <f>Coverage_Trajectory!H5</f>
        <v>9.4852976806097139E-2</v>
      </c>
      <c r="N161" s="9">
        <f>Coverage_Trajectory!K5</f>
        <v>0.11984119072243886</v>
      </c>
      <c r="O161" s="9">
        <f t="shared" si="10"/>
        <v>2.498821391634172E-2</v>
      </c>
      <c r="P161" s="9">
        <f t="shared" si="11"/>
        <v>1.2292469901013535E-2</v>
      </c>
      <c r="Q161" s="9">
        <f t="shared" si="12"/>
        <v>1.2292469901013535E-2</v>
      </c>
      <c r="R161" s="9">
        <f t="shared" si="13"/>
        <v>0.98770753009898649</v>
      </c>
      <c r="S161" s="10" t="s">
        <v>589</v>
      </c>
      <c r="T161" s="5" t="str">
        <f t="shared" si="14"/>
        <v>OK</v>
      </c>
    </row>
    <row r="162" spans="1:20">
      <c r="A162" s="5" t="s">
        <v>593</v>
      </c>
      <c r="B162" s="5" t="s">
        <v>154</v>
      </c>
      <c r="C162" s="5" t="s">
        <v>116</v>
      </c>
      <c r="D162" s="5" t="s">
        <v>117</v>
      </c>
      <c r="E162" s="5" t="s">
        <v>130</v>
      </c>
      <c r="F162" s="5" t="s">
        <v>131</v>
      </c>
      <c r="G162" s="5" t="s">
        <v>213</v>
      </c>
      <c r="H162" s="5">
        <v>2029</v>
      </c>
      <c r="I162" s="5" t="s">
        <v>147</v>
      </c>
      <c r="J162" s="5" t="s">
        <v>148</v>
      </c>
      <c r="K162" s="9">
        <f>Effect_Sizes!J5</f>
        <v>0.47</v>
      </c>
      <c r="L162" s="9">
        <f>Effect_Sizes!K5</f>
        <v>1</v>
      </c>
      <c r="M162" s="9">
        <f>Coverage_Trajectory!H6</f>
        <v>9.4852976806097139E-2</v>
      </c>
      <c r="N162" s="9">
        <f>Coverage_Trajectory!K6</f>
        <v>0.12817059536121944</v>
      </c>
      <c r="O162" s="9">
        <f t="shared" si="10"/>
        <v>3.3317618555122303E-2</v>
      </c>
      <c r="P162" s="9">
        <f t="shared" si="11"/>
        <v>1.6389959868018052E-2</v>
      </c>
      <c r="Q162" s="9">
        <f t="shared" si="12"/>
        <v>1.6389959868018052E-2</v>
      </c>
      <c r="R162" s="9">
        <f t="shared" si="13"/>
        <v>0.98361004013198194</v>
      </c>
      <c r="S162" s="5" t="s">
        <v>589</v>
      </c>
      <c r="T162" s="5" t="str">
        <f t="shared" si="14"/>
        <v>OK</v>
      </c>
    </row>
    <row r="163" spans="1:20">
      <c r="A163" s="10" t="s">
        <v>594</v>
      </c>
      <c r="B163" s="10" t="s">
        <v>154</v>
      </c>
      <c r="C163" s="10" t="s">
        <v>116</v>
      </c>
      <c r="D163" s="10" t="s">
        <v>117</v>
      </c>
      <c r="E163" s="10" t="s">
        <v>130</v>
      </c>
      <c r="F163" s="10" t="s">
        <v>131</v>
      </c>
      <c r="G163" s="10" t="s">
        <v>213</v>
      </c>
      <c r="H163" s="10">
        <v>2030</v>
      </c>
      <c r="I163" s="10" t="s">
        <v>147</v>
      </c>
      <c r="J163" s="10" t="s">
        <v>148</v>
      </c>
      <c r="K163" s="9">
        <f>Effect_Sizes!J5</f>
        <v>0.47</v>
      </c>
      <c r="L163" s="9">
        <f>Effect_Sizes!K5</f>
        <v>1</v>
      </c>
      <c r="M163" s="9">
        <f>Coverage_Trajectory!H7</f>
        <v>9.4852976806097139E-2</v>
      </c>
      <c r="N163" s="9">
        <f>Coverage_Trajectory!K7</f>
        <v>0.13650000000000001</v>
      </c>
      <c r="O163" s="9">
        <f t="shared" si="10"/>
        <v>4.1647023193902871E-2</v>
      </c>
      <c r="P163" s="9">
        <f t="shared" si="11"/>
        <v>2.0487449835022559E-2</v>
      </c>
      <c r="Q163" s="9">
        <f t="shared" si="12"/>
        <v>2.0487449835022559E-2</v>
      </c>
      <c r="R163" s="9">
        <f t="shared" si="13"/>
        <v>0.9795125501649774</v>
      </c>
      <c r="S163" s="10" t="s">
        <v>589</v>
      </c>
      <c r="T163" s="5" t="str">
        <f t="shared" si="14"/>
        <v>OK</v>
      </c>
    </row>
    <row r="164" spans="1:20">
      <c r="A164" s="5" t="s">
        <v>595</v>
      </c>
      <c r="B164" s="5" t="s">
        <v>154</v>
      </c>
      <c r="C164" s="5" t="s">
        <v>116</v>
      </c>
      <c r="D164" s="5" t="s">
        <v>117</v>
      </c>
      <c r="E164" s="5" t="s">
        <v>130</v>
      </c>
      <c r="F164" s="5" t="s">
        <v>131</v>
      </c>
      <c r="G164" s="5" t="s">
        <v>213</v>
      </c>
      <c r="H164" s="5">
        <v>2031</v>
      </c>
      <c r="I164" s="5" t="s">
        <v>147</v>
      </c>
      <c r="J164" s="5" t="s">
        <v>148</v>
      </c>
      <c r="K164" s="9">
        <f>Effect_Sizes!J5</f>
        <v>0.47</v>
      </c>
      <c r="L164" s="9">
        <f>Effect_Sizes!K5</f>
        <v>1</v>
      </c>
      <c r="M164" s="9">
        <f>Coverage_Trajectory!H8</f>
        <v>9.4852976806097139E-2</v>
      </c>
      <c r="N164" s="9">
        <f>Coverage_Trajectory!K8</f>
        <v>0.16450000000000001</v>
      </c>
      <c r="O164" s="9">
        <f t="shared" si="10"/>
        <v>6.9647023193902868E-2</v>
      </c>
      <c r="P164" s="9">
        <f t="shared" si="11"/>
        <v>3.4261509813086337E-2</v>
      </c>
      <c r="Q164" s="9">
        <f t="shared" si="12"/>
        <v>3.4261509813086337E-2</v>
      </c>
      <c r="R164" s="9">
        <f t="shared" si="13"/>
        <v>0.96573849018691371</v>
      </c>
      <c r="S164" s="5" t="s">
        <v>589</v>
      </c>
      <c r="T164" s="5" t="str">
        <f t="shared" si="14"/>
        <v>OK</v>
      </c>
    </row>
    <row r="165" spans="1:20">
      <c r="A165" s="10" t="s">
        <v>596</v>
      </c>
      <c r="B165" s="10" t="s">
        <v>154</v>
      </c>
      <c r="C165" s="10" t="s">
        <v>116</v>
      </c>
      <c r="D165" s="10" t="s">
        <v>117</v>
      </c>
      <c r="E165" s="10" t="s">
        <v>130</v>
      </c>
      <c r="F165" s="10" t="s">
        <v>131</v>
      </c>
      <c r="G165" s="10" t="s">
        <v>213</v>
      </c>
      <c r="H165" s="10">
        <v>2032</v>
      </c>
      <c r="I165" s="10" t="s">
        <v>147</v>
      </c>
      <c r="J165" s="10" t="s">
        <v>148</v>
      </c>
      <c r="K165" s="9">
        <f>Effect_Sizes!J5</f>
        <v>0.47</v>
      </c>
      <c r="L165" s="9">
        <f>Effect_Sizes!K5</f>
        <v>1</v>
      </c>
      <c r="M165" s="9">
        <f>Coverage_Trajectory!H9</f>
        <v>9.4852976806097139E-2</v>
      </c>
      <c r="N165" s="9">
        <f>Coverage_Trajectory!K9</f>
        <v>0.1925</v>
      </c>
      <c r="O165" s="9">
        <f t="shared" si="10"/>
        <v>9.7647023193902865E-2</v>
      </c>
      <c r="P165" s="9">
        <f t="shared" si="11"/>
        <v>4.8035569791150125E-2</v>
      </c>
      <c r="Q165" s="9">
        <f t="shared" si="12"/>
        <v>4.8035569791150125E-2</v>
      </c>
      <c r="R165" s="9">
        <f t="shared" si="13"/>
        <v>0.95196443020884991</v>
      </c>
      <c r="S165" s="10" t="s">
        <v>589</v>
      </c>
      <c r="T165" s="5" t="str">
        <f t="shared" si="14"/>
        <v>OK</v>
      </c>
    </row>
    <row r="166" spans="1:20">
      <c r="A166" s="5" t="s">
        <v>597</v>
      </c>
      <c r="B166" s="5" t="s">
        <v>154</v>
      </c>
      <c r="C166" s="5" t="s">
        <v>116</v>
      </c>
      <c r="D166" s="5" t="s">
        <v>117</v>
      </c>
      <c r="E166" s="5" t="s">
        <v>130</v>
      </c>
      <c r="F166" s="5" t="s">
        <v>131</v>
      </c>
      <c r="G166" s="5" t="s">
        <v>213</v>
      </c>
      <c r="H166" s="5">
        <v>2033</v>
      </c>
      <c r="I166" s="5" t="s">
        <v>147</v>
      </c>
      <c r="J166" s="5" t="s">
        <v>148</v>
      </c>
      <c r="K166" s="9">
        <f>Effect_Sizes!J5</f>
        <v>0.47</v>
      </c>
      <c r="L166" s="9">
        <f>Effect_Sizes!K5</f>
        <v>1</v>
      </c>
      <c r="M166" s="9">
        <f>Coverage_Trajectory!H10</f>
        <v>9.4852976806097139E-2</v>
      </c>
      <c r="N166" s="9">
        <f>Coverage_Trajectory!K10</f>
        <v>0.22049999999999997</v>
      </c>
      <c r="O166" s="9">
        <f t="shared" si="10"/>
        <v>0.12564702319390283</v>
      </c>
      <c r="P166" s="9">
        <f t="shared" si="11"/>
        <v>6.1809629769213899E-2</v>
      </c>
      <c r="Q166" s="9">
        <f t="shared" si="12"/>
        <v>6.1809629769213899E-2</v>
      </c>
      <c r="R166" s="9">
        <f t="shared" si="13"/>
        <v>0.93819037023078611</v>
      </c>
      <c r="S166" s="5" t="s">
        <v>589</v>
      </c>
      <c r="T166" s="5" t="str">
        <f t="shared" si="14"/>
        <v>OK</v>
      </c>
    </row>
    <row r="167" spans="1:20">
      <c r="A167" s="10" t="s">
        <v>598</v>
      </c>
      <c r="B167" s="10" t="s">
        <v>154</v>
      </c>
      <c r="C167" s="10" t="s">
        <v>116</v>
      </c>
      <c r="D167" s="10" t="s">
        <v>117</v>
      </c>
      <c r="E167" s="10" t="s">
        <v>130</v>
      </c>
      <c r="F167" s="10" t="s">
        <v>131</v>
      </c>
      <c r="G167" s="10" t="s">
        <v>213</v>
      </c>
      <c r="H167" s="10">
        <v>2034</v>
      </c>
      <c r="I167" s="10" t="s">
        <v>147</v>
      </c>
      <c r="J167" s="10" t="s">
        <v>148</v>
      </c>
      <c r="K167" s="9">
        <f>Effect_Sizes!J5</f>
        <v>0.47</v>
      </c>
      <c r="L167" s="9">
        <f>Effect_Sizes!K5</f>
        <v>1</v>
      </c>
      <c r="M167" s="9">
        <f>Coverage_Trajectory!H11</f>
        <v>9.4852976806097139E-2</v>
      </c>
      <c r="N167" s="9">
        <f>Coverage_Trajectory!K11</f>
        <v>0.24849999999999997</v>
      </c>
      <c r="O167" s="9">
        <f t="shared" si="10"/>
        <v>0.15364702319390283</v>
      </c>
      <c r="P167" s="9">
        <f t="shared" si="11"/>
        <v>7.558368974727768E-2</v>
      </c>
      <c r="Q167" s="9">
        <f t="shared" si="12"/>
        <v>7.558368974727768E-2</v>
      </c>
      <c r="R167" s="9">
        <f t="shared" si="13"/>
        <v>0.92441631025272231</v>
      </c>
      <c r="S167" s="10" t="s">
        <v>589</v>
      </c>
      <c r="T167" s="5" t="str">
        <f t="shared" si="14"/>
        <v>OK</v>
      </c>
    </row>
    <row r="168" spans="1:20">
      <c r="A168" s="5" t="s">
        <v>599</v>
      </c>
      <c r="B168" s="5" t="s">
        <v>154</v>
      </c>
      <c r="C168" s="5" t="s">
        <v>116</v>
      </c>
      <c r="D168" s="5" t="s">
        <v>117</v>
      </c>
      <c r="E168" s="5" t="s">
        <v>130</v>
      </c>
      <c r="F168" s="5" t="s">
        <v>131</v>
      </c>
      <c r="G168" s="5" t="s">
        <v>213</v>
      </c>
      <c r="H168" s="5">
        <v>2035</v>
      </c>
      <c r="I168" s="5" t="s">
        <v>147</v>
      </c>
      <c r="J168" s="5" t="s">
        <v>148</v>
      </c>
      <c r="K168" s="9">
        <f>Effect_Sizes!J5</f>
        <v>0.47</v>
      </c>
      <c r="L168" s="9">
        <f>Effect_Sizes!K5</f>
        <v>1</v>
      </c>
      <c r="M168" s="9">
        <f>Coverage_Trajectory!H12</f>
        <v>9.4852976806097139E-2</v>
      </c>
      <c r="N168" s="9">
        <f>Coverage_Trajectory!K12</f>
        <v>0.27649999999999997</v>
      </c>
      <c r="O168" s="9">
        <f t="shared" si="10"/>
        <v>0.18164702319390283</v>
      </c>
      <c r="P168" s="9">
        <f t="shared" si="11"/>
        <v>8.9357749725341468E-2</v>
      </c>
      <c r="Q168" s="9">
        <f t="shared" si="12"/>
        <v>8.9357749725341468E-2</v>
      </c>
      <c r="R168" s="9">
        <f t="shared" si="13"/>
        <v>0.9106422502746585</v>
      </c>
      <c r="S168" s="5" t="s">
        <v>589</v>
      </c>
      <c r="T168" s="5" t="str">
        <f t="shared" si="14"/>
        <v>OK</v>
      </c>
    </row>
    <row r="169" spans="1:20">
      <c r="A169" s="10" t="s">
        <v>600</v>
      </c>
      <c r="B169" s="10" t="s">
        <v>154</v>
      </c>
      <c r="C169" s="10" t="s">
        <v>116</v>
      </c>
      <c r="D169" s="10" t="s">
        <v>117</v>
      </c>
      <c r="E169" s="10" t="s">
        <v>130</v>
      </c>
      <c r="F169" s="10" t="s">
        <v>131</v>
      </c>
      <c r="G169" s="10" t="s">
        <v>213</v>
      </c>
      <c r="H169" s="10">
        <v>2036</v>
      </c>
      <c r="I169" s="10" t="s">
        <v>147</v>
      </c>
      <c r="J169" s="10" t="s">
        <v>148</v>
      </c>
      <c r="K169" s="9">
        <f>Effect_Sizes!J5</f>
        <v>0.47</v>
      </c>
      <c r="L169" s="9">
        <f>Effect_Sizes!K5</f>
        <v>1</v>
      </c>
      <c r="M169" s="9">
        <f>Coverage_Trajectory!H13</f>
        <v>9.4852976806097139E-2</v>
      </c>
      <c r="N169" s="9">
        <f>Coverage_Trajectory!K13</f>
        <v>0.30449999999999999</v>
      </c>
      <c r="O169" s="9">
        <f t="shared" si="10"/>
        <v>0.20964702319390285</v>
      </c>
      <c r="P169" s="9">
        <f t="shared" si="11"/>
        <v>0.10313180970340526</v>
      </c>
      <c r="Q169" s="9">
        <f t="shared" si="12"/>
        <v>0.10313180970340526</v>
      </c>
      <c r="R169" s="9">
        <f t="shared" si="13"/>
        <v>0.8968681902965947</v>
      </c>
      <c r="S169" s="10" t="s">
        <v>589</v>
      </c>
      <c r="T169" s="5" t="str">
        <f t="shared" si="14"/>
        <v>OK</v>
      </c>
    </row>
    <row r="170" spans="1:20">
      <c r="A170" s="5" t="s">
        <v>601</v>
      </c>
      <c r="B170" s="5" t="s">
        <v>154</v>
      </c>
      <c r="C170" s="5" t="s">
        <v>116</v>
      </c>
      <c r="D170" s="5" t="s">
        <v>117</v>
      </c>
      <c r="E170" s="5" t="s">
        <v>130</v>
      </c>
      <c r="F170" s="5" t="s">
        <v>131</v>
      </c>
      <c r="G170" s="5" t="s">
        <v>213</v>
      </c>
      <c r="H170" s="5">
        <v>2037</v>
      </c>
      <c r="I170" s="5" t="s">
        <v>147</v>
      </c>
      <c r="J170" s="5" t="s">
        <v>148</v>
      </c>
      <c r="K170" s="9">
        <f>Effect_Sizes!J5</f>
        <v>0.47</v>
      </c>
      <c r="L170" s="9">
        <f>Effect_Sizes!K5</f>
        <v>1</v>
      </c>
      <c r="M170" s="9">
        <f>Coverage_Trajectory!H14</f>
        <v>9.4852976806097139E-2</v>
      </c>
      <c r="N170" s="9">
        <f>Coverage_Trajectory!K14</f>
        <v>0.33249999999999996</v>
      </c>
      <c r="O170" s="9">
        <f t="shared" si="10"/>
        <v>0.23764702319390282</v>
      </c>
      <c r="P170" s="9">
        <f t="shared" si="11"/>
        <v>0.11690586968146903</v>
      </c>
      <c r="Q170" s="9">
        <f t="shared" si="12"/>
        <v>0.11690586968146903</v>
      </c>
      <c r="R170" s="9">
        <f t="shared" si="13"/>
        <v>0.88309413031853101</v>
      </c>
      <c r="S170" s="5" t="s">
        <v>589</v>
      </c>
      <c r="T170" s="5" t="str">
        <f t="shared" si="14"/>
        <v>OK</v>
      </c>
    </row>
    <row r="171" spans="1:20">
      <c r="A171" s="10" t="s">
        <v>602</v>
      </c>
      <c r="B171" s="10" t="s">
        <v>154</v>
      </c>
      <c r="C171" s="10" t="s">
        <v>116</v>
      </c>
      <c r="D171" s="10" t="s">
        <v>117</v>
      </c>
      <c r="E171" s="10" t="s">
        <v>130</v>
      </c>
      <c r="F171" s="10" t="s">
        <v>131</v>
      </c>
      <c r="G171" s="10" t="s">
        <v>213</v>
      </c>
      <c r="H171" s="10">
        <v>2038</v>
      </c>
      <c r="I171" s="10" t="s">
        <v>147</v>
      </c>
      <c r="J171" s="10" t="s">
        <v>148</v>
      </c>
      <c r="K171" s="9">
        <f>Effect_Sizes!J5</f>
        <v>0.47</v>
      </c>
      <c r="L171" s="9">
        <f>Effect_Sizes!K5</f>
        <v>1</v>
      </c>
      <c r="M171" s="9">
        <f>Coverage_Trajectory!H15</f>
        <v>9.4852976806097139E-2</v>
      </c>
      <c r="N171" s="9">
        <f>Coverage_Trajectory!K15</f>
        <v>0.36049999999999993</v>
      </c>
      <c r="O171" s="9">
        <f t="shared" si="10"/>
        <v>0.26564702319390276</v>
      </c>
      <c r="P171" s="9">
        <f t="shared" si="11"/>
        <v>0.13067992965953279</v>
      </c>
      <c r="Q171" s="9">
        <f t="shared" si="12"/>
        <v>0.13067992965953279</v>
      </c>
      <c r="R171" s="9">
        <f t="shared" si="13"/>
        <v>0.86932007034046721</v>
      </c>
      <c r="S171" s="10" t="s">
        <v>589</v>
      </c>
      <c r="T171" s="5" t="str">
        <f t="shared" si="14"/>
        <v>OK</v>
      </c>
    </row>
    <row r="172" spans="1:20">
      <c r="A172" s="5" t="s">
        <v>603</v>
      </c>
      <c r="B172" s="5" t="s">
        <v>154</v>
      </c>
      <c r="C172" s="5" t="s">
        <v>116</v>
      </c>
      <c r="D172" s="5" t="s">
        <v>117</v>
      </c>
      <c r="E172" s="5" t="s">
        <v>130</v>
      </c>
      <c r="F172" s="5" t="s">
        <v>131</v>
      </c>
      <c r="G172" s="5" t="s">
        <v>213</v>
      </c>
      <c r="H172" s="5">
        <v>2039</v>
      </c>
      <c r="I172" s="5" t="s">
        <v>147</v>
      </c>
      <c r="J172" s="5" t="s">
        <v>148</v>
      </c>
      <c r="K172" s="9">
        <f>Effect_Sizes!J5</f>
        <v>0.47</v>
      </c>
      <c r="L172" s="9">
        <f>Effect_Sizes!K5</f>
        <v>1</v>
      </c>
      <c r="M172" s="9">
        <f>Coverage_Trajectory!H16</f>
        <v>9.4852976806097139E-2</v>
      </c>
      <c r="N172" s="9">
        <f>Coverage_Trajectory!K16</f>
        <v>0.3884999999999999</v>
      </c>
      <c r="O172" s="9">
        <f t="shared" si="10"/>
        <v>0.29364702319390279</v>
      </c>
      <c r="P172" s="9">
        <f t="shared" si="11"/>
        <v>0.14445398963759659</v>
      </c>
      <c r="Q172" s="9">
        <f t="shared" si="12"/>
        <v>0.14445398963759659</v>
      </c>
      <c r="R172" s="9">
        <f t="shared" si="13"/>
        <v>0.85554601036240341</v>
      </c>
      <c r="S172" s="5" t="s">
        <v>589</v>
      </c>
      <c r="T172" s="5" t="str">
        <f t="shared" si="14"/>
        <v>OK</v>
      </c>
    </row>
    <row r="173" spans="1:20">
      <c r="A173" s="10" t="s">
        <v>604</v>
      </c>
      <c r="B173" s="10" t="s">
        <v>154</v>
      </c>
      <c r="C173" s="10" t="s">
        <v>116</v>
      </c>
      <c r="D173" s="10" t="s">
        <v>117</v>
      </c>
      <c r="E173" s="10" t="s">
        <v>130</v>
      </c>
      <c r="F173" s="10" t="s">
        <v>131</v>
      </c>
      <c r="G173" s="10" t="s">
        <v>213</v>
      </c>
      <c r="H173" s="10">
        <v>2040</v>
      </c>
      <c r="I173" s="10" t="s">
        <v>147</v>
      </c>
      <c r="J173" s="10" t="s">
        <v>148</v>
      </c>
      <c r="K173" s="9">
        <f>Effect_Sizes!J5</f>
        <v>0.47</v>
      </c>
      <c r="L173" s="9">
        <f>Effect_Sizes!K5</f>
        <v>1</v>
      </c>
      <c r="M173" s="9">
        <f>Coverage_Trajectory!H17</f>
        <v>9.4852976806097139E-2</v>
      </c>
      <c r="N173" s="9">
        <f>Coverage_Trajectory!K17</f>
        <v>0.41649999999999993</v>
      </c>
      <c r="O173" s="9">
        <f t="shared" si="10"/>
        <v>0.32164702319390281</v>
      </c>
      <c r="P173" s="9">
        <f t="shared" si="11"/>
        <v>0.15822804961566037</v>
      </c>
      <c r="Q173" s="9">
        <f t="shared" si="12"/>
        <v>0.15822804961566037</v>
      </c>
      <c r="R173" s="9">
        <f t="shared" si="13"/>
        <v>0.84177195038433961</v>
      </c>
      <c r="S173" s="10" t="s">
        <v>589</v>
      </c>
      <c r="T173" s="5" t="str">
        <f t="shared" si="14"/>
        <v>OK</v>
      </c>
    </row>
    <row r="174" spans="1:20">
      <c r="A174" s="5" t="s">
        <v>605</v>
      </c>
      <c r="B174" s="5" t="s">
        <v>154</v>
      </c>
      <c r="C174" s="5" t="s">
        <v>116</v>
      </c>
      <c r="D174" s="5" t="s">
        <v>117</v>
      </c>
      <c r="E174" s="5" t="s">
        <v>130</v>
      </c>
      <c r="F174" s="5" t="s">
        <v>131</v>
      </c>
      <c r="G174" s="5" t="s">
        <v>213</v>
      </c>
      <c r="H174" s="5">
        <v>2041</v>
      </c>
      <c r="I174" s="5" t="s">
        <v>147</v>
      </c>
      <c r="J174" s="5" t="s">
        <v>148</v>
      </c>
      <c r="K174" s="9">
        <f>Effect_Sizes!J5</f>
        <v>0.47</v>
      </c>
      <c r="L174" s="9">
        <f>Effect_Sizes!K5</f>
        <v>1</v>
      </c>
      <c r="M174" s="9">
        <f>Coverage_Trajectory!H18</f>
        <v>9.4852976806097139E-2</v>
      </c>
      <c r="N174" s="9">
        <f>Coverage_Trajectory!K18</f>
        <v>0.41649999999999993</v>
      </c>
      <c r="O174" s="9">
        <f t="shared" si="10"/>
        <v>0.32164702319390281</v>
      </c>
      <c r="P174" s="9">
        <f t="shared" si="11"/>
        <v>0.15822804961566037</v>
      </c>
      <c r="Q174" s="9">
        <f t="shared" si="12"/>
        <v>0.15822804961566037</v>
      </c>
      <c r="R174" s="9">
        <f t="shared" si="13"/>
        <v>0.84177195038433961</v>
      </c>
      <c r="S174" s="5" t="s">
        <v>589</v>
      </c>
      <c r="T174" s="5" t="str">
        <f t="shared" si="14"/>
        <v>OK</v>
      </c>
    </row>
    <row r="175" spans="1:20">
      <c r="A175" s="10" t="s">
        <v>606</v>
      </c>
      <c r="B175" s="10" t="s">
        <v>154</v>
      </c>
      <c r="C175" s="10" t="s">
        <v>116</v>
      </c>
      <c r="D175" s="10" t="s">
        <v>117</v>
      </c>
      <c r="E175" s="10" t="s">
        <v>130</v>
      </c>
      <c r="F175" s="10" t="s">
        <v>131</v>
      </c>
      <c r="G175" s="10" t="s">
        <v>213</v>
      </c>
      <c r="H175" s="10">
        <v>2042</v>
      </c>
      <c r="I175" s="10" t="s">
        <v>147</v>
      </c>
      <c r="J175" s="10" t="s">
        <v>148</v>
      </c>
      <c r="K175" s="9">
        <f>Effect_Sizes!J5</f>
        <v>0.47</v>
      </c>
      <c r="L175" s="9">
        <f>Effect_Sizes!K5</f>
        <v>1</v>
      </c>
      <c r="M175" s="9">
        <f>Coverage_Trajectory!H19</f>
        <v>9.4852976806097139E-2</v>
      </c>
      <c r="N175" s="9">
        <f>Coverage_Trajectory!K19</f>
        <v>0.41649999999999993</v>
      </c>
      <c r="O175" s="9">
        <f t="shared" si="10"/>
        <v>0.32164702319390281</v>
      </c>
      <c r="P175" s="9">
        <f t="shared" si="11"/>
        <v>0.15822804961566037</v>
      </c>
      <c r="Q175" s="9">
        <f t="shared" si="12"/>
        <v>0.15822804961566037</v>
      </c>
      <c r="R175" s="9">
        <f t="shared" si="13"/>
        <v>0.84177195038433961</v>
      </c>
      <c r="S175" s="10" t="s">
        <v>589</v>
      </c>
      <c r="T175" s="5" t="str">
        <f t="shared" si="14"/>
        <v>OK</v>
      </c>
    </row>
    <row r="176" spans="1:20">
      <c r="A176" s="5" t="s">
        <v>607</v>
      </c>
      <c r="B176" s="5" t="s">
        <v>154</v>
      </c>
      <c r="C176" s="5" t="s">
        <v>116</v>
      </c>
      <c r="D176" s="5" t="s">
        <v>117</v>
      </c>
      <c r="E176" s="5" t="s">
        <v>130</v>
      </c>
      <c r="F176" s="5" t="s">
        <v>131</v>
      </c>
      <c r="G176" s="5" t="s">
        <v>213</v>
      </c>
      <c r="H176" s="5">
        <v>2043</v>
      </c>
      <c r="I176" s="5" t="s">
        <v>147</v>
      </c>
      <c r="J176" s="5" t="s">
        <v>148</v>
      </c>
      <c r="K176" s="9">
        <f>Effect_Sizes!J5</f>
        <v>0.47</v>
      </c>
      <c r="L176" s="9">
        <f>Effect_Sizes!K5</f>
        <v>1</v>
      </c>
      <c r="M176" s="9">
        <f>Coverage_Trajectory!H20</f>
        <v>9.4852976806097139E-2</v>
      </c>
      <c r="N176" s="9">
        <f>Coverage_Trajectory!K20</f>
        <v>0.41649999999999993</v>
      </c>
      <c r="O176" s="9">
        <f t="shared" si="10"/>
        <v>0.32164702319390281</v>
      </c>
      <c r="P176" s="9">
        <f t="shared" si="11"/>
        <v>0.15822804961566037</v>
      </c>
      <c r="Q176" s="9">
        <f t="shared" si="12"/>
        <v>0.15822804961566037</v>
      </c>
      <c r="R176" s="9">
        <f t="shared" si="13"/>
        <v>0.84177195038433961</v>
      </c>
      <c r="S176" s="5" t="s">
        <v>589</v>
      </c>
      <c r="T176" s="5" t="str">
        <f t="shared" si="14"/>
        <v>OK</v>
      </c>
    </row>
    <row r="177" spans="1:20">
      <c r="A177" s="10" t="s">
        <v>608</v>
      </c>
      <c r="B177" s="10" t="s">
        <v>154</v>
      </c>
      <c r="C177" s="10" t="s">
        <v>116</v>
      </c>
      <c r="D177" s="10" t="s">
        <v>117</v>
      </c>
      <c r="E177" s="10" t="s">
        <v>130</v>
      </c>
      <c r="F177" s="10" t="s">
        <v>131</v>
      </c>
      <c r="G177" s="10" t="s">
        <v>213</v>
      </c>
      <c r="H177" s="10">
        <v>2044</v>
      </c>
      <c r="I177" s="10" t="s">
        <v>147</v>
      </c>
      <c r="J177" s="10" t="s">
        <v>148</v>
      </c>
      <c r="K177" s="9">
        <f>Effect_Sizes!J5</f>
        <v>0.47</v>
      </c>
      <c r="L177" s="9">
        <f>Effect_Sizes!K5</f>
        <v>1</v>
      </c>
      <c r="M177" s="9">
        <f>Coverage_Trajectory!H21</f>
        <v>9.4852976806097139E-2</v>
      </c>
      <c r="N177" s="9">
        <f>Coverage_Trajectory!K21</f>
        <v>0.41649999999999993</v>
      </c>
      <c r="O177" s="9">
        <f t="shared" si="10"/>
        <v>0.32164702319390281</v>
      </c>
      <c r="P177" s="9">
        <f t="shared" si="11"/>
        <v>0.15822804961566037</v>
      </c>
      <c r="Q177" s="9">
        <f t="shared" si="12"/>
        <v>0.15822804961566037</v>
      </c>
      <c r="R177" s="9">
        <f t="shared" si="13"/>
        <v>0.84177195038433961</v>
      </c>
      <c r="S177" s="10" t="s">
        <v>589</v>
      </c>
      <c r="T177" s="5" t="str">
        <f t="shared" si="14"/>
        <v>OK</v>
      </c>
    </row>
    <row r="178" spans="1:20">
      <c r="A178" s="5" t="s">
        <v>609</v>
      </c>
      <c r="B178" s="5" t="s">
        <v>154</v>
      </c>
      <c r="C178" s="5" t="s">
        <v>116</v>
      </c>
      <c r="D178" s="5" t="s">
        <v>117</v>
      </c>
      <c r="E178" s="5" t="s">
        <v>130</v>
      </c>
      <c r="F178" s="5" t="s">
        <v>131</v>
      </c>
      <c r="G178" s="5" t="s">
        <v>213</v>
      </c>
      <c r="H178" s="5">
        <v>2045</v>
      </c>
      <c r="I178" s="5" t="s">
        <v>147</v>
      </c>
      <c r="J178" s="5" t="s">
        <v>148</v>
      </c>
      <c r="K178" s="9">
        <f>Effect_Sizes!J5</f>
        <v>0.47</v>
      </c>
      <c r="L178" s="9">
        <f>Effect_Sizes!K5</f>
        <v>1</v>
      </c>
      <c r="M178" s="9">
        <f>Coverage_Trajectory!H22</f>
        <v>9.4852976806097139E-2</v>
      </c>
      <c r="N178" s="9">
        <f>Coverage_Trajectory!K22</f>
        <v>0.41649999999999993</v>
      </c>
      <c r="O178" s="9">
        <f t="shared" si="10"/>
        <v>0.32164702319390281</v>
      </c>
      <c r="P178" s="9">
        <f t="shared" si="11"/>
        <v>0.15822804961566037</v>
      </c>
      <c r="Q178" s="9">
        <f t="shared" si="12"/>
        <v>0.15822804961566037</v>
      </c>
      <c r="R178" s="9">
        <f t="shared" si="13"/>
        <v>0.84177195038433961</v>
      </c>
      <c r="S178" s="5" t="s">
        <v>589</v>
      </c>
      <c r="T178" s="5" t="str">
        <f t="shared" si="14"/>
        <v>OK</v>
      </c>
    </row>
    <row r="179" spans="1:20">
      <c r="A179" s="10" t="s">
        <v>610</v>
      </c>
      <c r="B179" s="10" t="s">
        <v>154</v>
      </c>
      <c r="C179" s="10" t="s">
        <v>116</v>
      </c>
      <c r="D179" s="10" t="s">
        <v>117</v>
      </c>
      <c r="E179" s="10" t="s">
        <v>130</v>
      </c>
      <c r="F179" s="10" t="s">
        <v>131</v>
      </c>
      <c r="G179" s="10" t="s">
        <v>213</v>
      </c>
      <c r="H179" s="10">
        <v>2046</v>
      </c>
      <c r="I179" s="10" t="s">
        <v>147</v>
      </c>
      <c r="J179" s="10" t="s">
        <v>148</v>
      </c>
      <c r="K179" s="9">
        <f>Effect_Sizes!J5</f>
        <v>0.47</v>
      </c>
      <c r="L179" s="9">
        <f>Effect_Sizes!K5</f>
        <v>1</v>
      </c>
      <c r="M179" s="9">
        <f>Coverage_Trajectory!H23</f>
        <v>9.4852976806097139E-2</v>
      </c>
      <c r="N179" s="9">
        <f>Coverage_Trajectory!K23</f>
        <v>0.41649999999999993</v>
      </c>
      <c r="O179" s="9">
        <f t="shared" si="10"/>
        <v>0.32164702319390281</v>
      </c>
      <c r="P179" s="9">
        <f t="shared" si="11"/>
        <v>0.15822804961566037</v>
      </c>
      <c r="Q179" s="9">
        <f t="shared" si="12"/>
        <v>0.15822804961566037</v>
      </c>
      <c r="R179" s="9">
        <f t="shared" si="13"/>
        <v>0.84177195038433961</v>
      </c>
      <c r="S179" s="10" t="s">
        <v>589</v>
      </c>
      <c r="T179" s="5" t="str">
        <f t="shared" si="14"/>
        <v>OK</v>
      </c>
    </row>
    <row r="180" spans="1:20">
      <c r="A180" s="5" t="s">
        <v>611</v>
      </c>
      <c r="B180" s="5" t="s">
        <v>154</v>
      </c>
      <c r="C180" s="5" t="s">
        <v>116</v>
      </c>
      <c r="D180" s="5" t="s">
        <v>117</v>
      </c>
      <c r="E180" s="5" t="s">
        <v>130</v>
      </c>
      <c r="F180" s="5" t="s">
        <v>131</v>
      </c>
      <c r="G180" s="5" t="s">
        <v>213</v>
      </c>
      <c r="H180" s="5">
        <v>2047</v>
      </c>
      <c r="I180" s="5" t="s">
        <v>147</v>
      </c>
      <c r="J180" s="5" t="s">
        <v>148</v>
      </c>
      <c r="K180" s="9">
        <f>Effect_Sizes!J5</f>
        <v>0.47</v>
      </c>
      <c r="L180" s="9">
        <f>Effect_Sizes!K5</f>
        <v>1</v>
      </c>
      <c r="M180" s="9">
        <f>Coverage_Trajectory!H24</f>
        <v>9.4852976806097139E-2</v>
      </c>
      <c r="N180" s="9">
        <f>Coverage_Trajectory!K24</f>
        <v>0.41649999999999993</v>
      </c>
      <c r="O180" s="9">
        <f t="shared" si="10"/>
        <v>0.32164702319390281</v>
      </c>
      <c r="P180" s="9">
        <f t="shared" si="11"/>
        <v>0.15822804961566037</v>
      </c>
      <c r="Q180" s="9">
        <f t="shared" si="12"/>
        <v>0.15822804961566037</v>
      </c>
      <c r="R180" s="9">
        <f t="shared" si="13"/>
        <v>0.84177195038433961</v>
      </c>
      <c r="S180" s="5" t="s">
        <v>589</v>
      </c>
      <c r="T180" s="5" t="str">
        <f t="shared" si="14"/>
        <v>OK</v>
      </c>
    </row>
    <row r="181" spans="1:20">
      <c r="A181" s="10" t="s">
        <v>612</v>
      </c>
      <c r="B181" s="10" t="s">
        <v>154</v>
      </c>
      <c r="C181" s="10" t="s">
        <v>116</v>
      </c>
      <c r="D181" s="10" t="s">
        <v>117</v>
      </c>
      <c r="E181" s="10" t="s">
        <v>130</v>
      </c>
      <c r="F181" s="10" t="s">
        <v>131</v>
      </c>
      <c r="G181" s="10" t="s">
        <v>213</v>
      </c>
      <c r="H181" s="10">
        <v>2048</v>
      </c>
      <c r="I181" s="10" t="s">
        <v>147</v>
      </c>
      <c r="J181" s="10" t="s">
        <v>148</v>
      </c>
      <c r="K181" s="9">
        <f>Effect_Sizes!J5</f>
        <v>0.47</v>
      </c>
      <c r="L181" s="9">
        <f>Effect_Sizes!K5</f>
        <v>1</v>
      </c>
      <c r="M181" s="9">
        <f>Coverage_Trajectory!H25</f>
        <v>9.4852976806097139E-2</v>
      </c>
      <c r="N181" s="9">
        <f>Coverage_Trajectory!K25</f>
        <v>0.41649999999999993</v>
      </c>
      <c r="O181" s="9">
        <f t="shared" si="10"/>
        <v>0.32164702319390281</v>
      </c>
      <c r="P181" s="9">
        <f t="shared" si="11"/>
        <v>0.15822804961566037</v>
      </c>
      <c r="Q181" s="9">
        <f t="shared" si="12"/>
        <v>0.15822804961566037</v>
      </c>
      <c r="R181" s="9">
        <f t="shared" si="13"/>
        <v>0.84177195038433961</v>
      </c>
      <c r="S181" s="10" t="s">
        <v>589</v>
      </c>
      <c r="T181" s="5" t="str">
        <f t="shared" si="14"/>
        <v>OK</v>
      </c>
    </row>
    <row r="182" spans="1:20">
      <c r="A182" s="5" t="s">
        <v>613</v>
      </c>
      <c r="B182" s="5" t="s">
        <v>154</v>
      </c>
      <c r="C182" s="5" t="s">
        <v>116</v>
      </c>
      <c r="D182" s="5" t="s">
        <v>117</v>
      </c>
      <c r="E182" s="5" t="s">
        <v>130</v>
      </c>
      <c r="F182" s="5" t="s">
        <v>131</v>
      </c>
      <c r="G182" s="5" t="s">
        <v>213</v>
      </c>
      <c r="H182" s="5">
        <v>2049</v>
      </c>
      <c r="I182" s="5" t="s">
        <v>147</v>
      </c>
      <c r="J182" s="5" t="s">
        <v>148</v>
      </c>
      <c r="K182" s="9">
        <f>Effect_Sizes!J5</f>
        <v>0.47</v>
      </c>
      <c r="L182" s="9">
        <f>Effect_Sizes!K5</f>
        <v>1</v>
      </c>
      <c r="M182" s="9">
        <f>Coverage_Trajectory!H26</f>
        <v>9.4852976806097139E-2</v>
      </c>
      <c r="N182" s="9">
        <f>Coverage_Trajectory!K26</f>
        <v>0.41649999999999993</v>
      </c>
      <c r="O182" s="9">
        <f t="shared" si="10"/>
        <v>0.32164702319390281</v>
      </c>
      <c r="P182" s="9">
        <f t="shared" si="11"/>
        <v>0.15822804961566037</v>
      </c>
      <c r="Q182" s="9">
        <f t="shared" si="12"/>
        <v>0.15822804961566037</v>
      </c>
      <c r="R182" s="9">
        <f t="shared" si="13"/>
        <v>0.84177195038433961</v>
      </c>
      <c r="S182" s="5" t="s">
        <v>589</v>
      </c>
      <c r="T182" s="5" t="str">
        <f t="shared" si="14"/>
        <v>OK</v>
      </c>
    </row>
    <row r="183" spans="1:20">
      <c r="A183" s="10" t="s">
        <v>614</v>
      </c>
      <c r="B183" s="10" t="s">
        <v>154</v>
      </c>
      <c r="C183" s="10" t="s">
        <v>116</v>
      </c>
      <c r="D183" s="10" t="s">
        <v>117</v>
      </c>
      <c r="E183" s="10" t="s">
        <v>130</v>
      </c>
      <c r="F183" s="10" t="s">
        <v>131</v>
      </c>
      <c r="G183" s="10" t="s">
        <v>213</v>
      </c>
      <c r="H183" s="10">
        <v>2050</v>
      </c>
      <c r="I183" s="10" t="s">
        <v>147</v>
      </c>
      <c r="J183" s="10" t="s">
        <v>148</v>
      </c>
      <c r="K183" s="9">
        <f>Effect_Sizes!J5</f>
        <v>0.47</v>
      </c>
      <c r="L183" s="9">
        <f>Effect_Sizes!K5</f>
        <v>1</v>
      </c>
      <c r="M183" s="9">
        <f>Coverage_Trajectory!H27</f>
        <v>9.4852976806097139E-2</v>
      </c>
      <c r="N183" s="9">
        <f>Coverage_Trajectory!K27</f>
        <v>0.41649999999999993</v>
      </c>
      <c r="O183" s="9">
        <f t="shared" si="10"/>
        <v>0.32164702319390281</v>
      </c>
      <c r="P183" s="9">
        <f t="shared" si="11"/>
        <v>0.15822804961566037</v>
      </c>
      <c r="Q183" s="9">
        <f t="shared" si="12"/>
        <v>0.15822804961566037</v>
      </c>
      <c r="R183" s="9">
        <f t="shared" si="13"/>
        <v>0.84177195038433961</v>
      </c>
      <c r="S183" s="10" t="s">
        <v>589</v>
      </c>
      <c r="T183" s="5" t="str">
        <f t="shared" si="14"/>
        <v>OK</v>
      </c>
    </row>
    <row r="184" spans="1:20">
      <c r="A184" s="5" t="s">
        <v>615</v>
      </c>
      <c r="B184" s="5" t="s">
        <v>154</v>
      </c>
      <c r="C184" s="5" t="s">
        <v>116</v>
      </c>
      <c r="D184" s="5" t="s">
        <v>117</v>
      </c>
      <c r="E184" s="5" t="s">
        <v>130</v>
      </c>
      <c r="F184" s="5" t="s">
        <v>131</v>
      </c>
      <c r="G184" s="5" t="s">
        <v>224</v>
      </c>
      <c r="H184" s="5">
        <v>2025</v>
      </c>
      <c r="I184" s="5" t="s">
        <v>147</v>
      </c>
      <c r="J184" s="5" t="s">
        <v>148</v>
      </c>
      <c r="K184" s="9">
        <f>Effect_Sizes!J5</f>
        <v>0.47</v>
      </c>
      <c r="L184" s="9">
        <f>Effect_Sizes!K5</f>
        <v>1</v>
      </c>
      <c r="M184" s="9">
        <f>Coverage_Trajectory!H28</f>
        <v>0.1326807379397153</v>
      </c>
      <c r="N184" s="9">
        <f>Coverage_Trajectory!K28</f>
        <v>0.1326807379397153</v>
      </c>
      <c r="O184" s="9">
        <f t="shared" si="10"/>
        <v>0</v>
      </c>
      <c r="P184" s="9">
        <f t="shared" si="11"/>
        <v>0</v>
      </c>
      <c r="Q184" s="9">
        <f t="shared" si="12"/>
        <v>0</v>
      </c>
      <c r="R184" s="9">
        <f t="shared" si="13"/>
        <v>1</v>
      </c>
      <c r="S184" s="5" t="s">
        <v>589</v>
      </c>
      <c r="T184" s="5" t="str">
        <f t="shared" si="14"/>
        <v>OK</v>
      </c>
    </row>
    <row r="185" spans="1:20">
      <c r="A185" s="10" t="s">
        <v>616</v>
      </c>
      <c r="B185" s="10" t="s">
        <v>154</v>
      </c>
      <c r="C185" s="10" t="s">
        <v>116</v>
      </c>
      <c r="D185" s="10" t="s">
        <v>117</v>
      </c>
      <c r="E185" s="10" t="s">
        <v>130</v>
      </c>
      <c r="F185" s="10" t="s">
        <v>131</v>
      </c>
      <c r="G185" s="10" t="s">
        <v>224</v>
      </c>
      <c r="H185" s="10">
        <v>2026</v>
      </c>
      <c r="I185" s="10" t="s">
        <v>147</v>
      </c>
      <c r="J185" s="10" t="s">
        <v>148</v>
      </c>
      <c r="K185" s="9">
        <f>Effect_Sizes!J5</f>
        <v>0.47</v>
      </c>
      <c r="L185" s="9">
        <f>Effect_Sizes!K5</f>
        <v>1</v>
      </c>
      <c r="M185" s="9">
        <f>Coverage_Trajectory!H29</f>
        <v>0.1326807379397153</v>
      </c>
      <c r="N185" s="9">
        <f>Coverage_Trajectory!K29</f>
        <v>0.13344459035177225</v>
      </c>
      <c r="O185" s="9">
        <f t="shared" si="10"/>
        <v>7.6385241205695342E-4</v>
      </c>
      <c r="P185" s="9">
        <f t="shared" si="11"/>
        <v>3.8288747633343173E-4</v>
      </c>
      <c r="Q185" s="9">
        <f t="shared" si="12"/>
        <v>3.8288747633343173E-4</v>
      </c>
      <c r="R185" s="9">
        <f t="shared" si="13"/>
        <v>0.99961711252366658</v>
      </c>
      <c r="S185" s="10" t="s">
        <v>589</v>
      </c>
      <c r="T185" s="5" t="str">
        <f t="shared" si="14"/>
        <v>OK</v>
      </c>
    </row>
    <row r="186" spans="1:20">
      <c r="A186" s="5" t="s">
        <v>617</v>
      </c>
      <c r="B186" s="5" t="s">
        <v>154</v>
      </c>
      <c r="C186" s="5" t="s">
        <v>116</v>
      </c>
      <c r="D186" s="5" t="s">
        <v>117</v>
      </c>
      <c r="E186" s="5" t="s">
        <v>130</v>
      </c>
      <c r="F186" s="5" t="s">
        <v>131</v>
      </c>
      <c r="G186" s="5" t="s">
        <v>224</v>
      </c>
      <c r="H186" s="5">
        <v>2027</v>
      </c>
      <c r="I186" s="5" t="s">
        <v>147</v>
      </c>
      <c r="J186" s="5" t="s">
        <v>148</v>
      </c>
      <c r="K186" s="9">
        <f>Effect_Sizes!J5</f>
        <v>0.47</v>
      </c>
      <c r="L186" s="9">
        <f>Effect_Sizes!K5</f>
        <v>1</v>
      </c>
      <c r="M186" s="9">
        <f>Coverage_Trajectory!H30</f>
        <v>0.1326807379397153</v>
      </c>
      <c r="N186" s="9">
        <f>Coverage_Trajectory!K30</f>
        <v>0.13420844276382918</v>
      </c>
      <c r="O186" s="9">
        <f t="shared" si="10"/>
        <v>1.5277048241138791E-3</v>
      </c>
      <c r="P186" s="9">
        <f t="shared" si="11"/>
        <v>7.6577495266684959E-4</v>
      </c>
      <c r="Q186" s="9">
        <f t="shared" si="12"/>
        <v>7.6577495266684959E-4</v>
      </c>
      <c r="R186" s="9">
        <f t="shared" si="13"/>
        <v>0.99923422504733317</v>
      </c>
      <c r="S186" s="5" t="s">
        <v>589</v>
      </c>
      <c r="T186" s="5" t="str">
        <f t="shared" si="14"/>
        <v>OK</v>
      </c>
    </row>
    <row r="187" spans="1:20">
      <c r="A187" s="10" t="s">
        <v>618</v>
      </c>
      <c r="B187" s="10" t="s">
        <v>154</v>
      </c>
      <c r="C187" s="10" t="s">
        <v>116</v>
      </c>
      <c r="D187" s="10" t="s">
        <v>117</v>
      </c>
      <c r="E187" s="10" t="s">
        <v>130</v>
      </c>
      <c r="F187" s="10" t="s">
        <v>131</v>
      </c>
      <c r="G187" s="10" t="s">
        <v>224</v>
      </c>
      <c r="H187" s="10">
        <v>2028</v>
      </c>
      <c r="I187" s="10" t="s">
        <v>147</v>
      </c>
      <c r="J187" s="10" t="s">
        <v>148</v>
      </c>
      <c r="K187" s="9">
        <f>Effect_Sizes!J5</f>
        <v>0.47</v>
      </c>
      <c r="L187" s="9">
        <f>Effect_Sizes!K5</f>
        <v>1</v>
      </c>
      <c r="M187" s="9">
        <f>Coverage_Trajectory!H31</f>
        <v>0.1326807379397153</v>
      </c>
      <c r="N187" s="9">
        <f>Coverage_Trajectory!K31</f>
        <v>0.13497229517588613</v>
      </c>
      <c r="O187" s="9">
        <f t="shared" si="10"/>
        <v>2.2915572361708325E-3</v>
      </c>
      <c r="P187" s="9">
        <f t="shared" si="11"/>
        <v>1.1486624290002814E-3</v>
      </c>
      <c r="Q187" s="9">
        <f t="shared" si="12"/>
        <v>1.1486624290002814E-3</v>
      </c>
      <c r="R187" s="9">
        <f t="shared" si="13"/>
        <v>0.99885133757099975</v>
      </c>
      <c r="S187" s="10" t="s">
        <v>589</v>
      </c>
      <c r="T187" s="5" t="str">
        <f t="shared" si="14"/>
        <v>OK</v>
      </c>
    </row>
    <row r="188" spans="1:20">
      <c r="A188" s="5" t="s">
        <v>619</v>
      </c>
      <c r="B188" s="5" t="s">
        <v>154</v>
      </c>
      <c r="C188" s="5" t="s">
        <v>116</v>
      </c>
      <c r="D188" s="5" t="s">
        <v>117</v>
      </c>
      <c r="E188" s="5" t="s">
        <v>130</v>
      </c>
      <c r="F188" s="5" t="s">
        <v>131</v>
      </c>
      <c r="G188" s="5" t="s">
        <v>224</v>
      </c>
      <c r="H188" s="5">
        <v>2029</v>
      </c>
      <c r="I188" s="5" t="s">
        <v>147</v>
      </c>
      <c r="J188" s="5" t="s">
        <v>148</v>
      </c>
      <c r="K188" s="9">
        <f>Effect_Sizes!J5</f>
        <v>0.47</v>
      </c>
      <c r="L188" s="9">
        <f>Effect_Sizes!K5</f>
        <v>1</v>
      </c>
      <c r="M188" s="9">
        <f>Coverage_Trajectory!H32</f>
        <v>0.1326807379397153</v>
      </c>
      <c r="N188" s="9">
        <f>Coverage_Trajectory!K32</f>
        <v>0.13573614758794306</v>
      </c>
      <c r="O188" s="9">
        <f t="shared" si="10"/>
        <v>3.0554096482277582E-3</v>
      </c>
      <c r="P188" s="9">
        <f t="shared" si="11"/>
        <v>1.5315499053336992E-3</v>
      </c>
      <c r="Q188" s="9">
        <f t="shared" si="12"/>
        <v>1.5315499053336992E-3</v>
      </c>
      <c r="R188" s="9">
        <f t="shared" si="13"/>
        <v>0.99846845009466634</v>
      </c>
      <c r="S188" s="5" t="s">
        <v>589</v>
      </c>
      <c r="T188" s="5" t="str">
        <f t="shared" si="14"/>
        <v>OK</v>
      </c>
    </row>
    <row r="189" spans="1:20">
      <c r="A189" s="10" t="s">
        <v>620</v>
      </c>
      <c r="B189" s="10" t="s">
        <v>154</v>
      </c>
      <c r="C189" s="10" t="s">
        <v>116</v>
      </c>
      <c r="D189" s="10" t="s">
        <v>117</v>
      </c>
      <c r="E189" s="10" t="s">
        <v>130</v>
      </c>
      <c r="F189" s="10" t="s">
        <v>131</v>
      </c>
      <c r="G189" s="10" t="s">
        <v>224</v>
      </c>
      <c r="H189" s="10">
        <v>2030</v>
      </c>
      <c r="I189" s="10" t="s">
        <v>147</v>
      </c>
      <c r="J189" s="10" t="s">
        <v>148</v>
      </c>
      <c r="K189" s="9">
        <f>Effect_Sizes!J5</f>
        <v>0.47</v>
      </c>
      <c r="L189" s="9">
        <f>Effect_Sizes!K5</f>
        <v>1</v>
      </c>
      <c r="M189" s="9">
        <f>Coverage_Trajectory!H33</f>
        <v>0.1326807379397153</v>
      </c>
      <c r="N189" s="9">
        <f>Coverage_Trajectory!K33</f>
        <v>0.13650000000000001</v>
      </c>
      <c r="O189" s="9">
        <f t="shared" si="10"/>
        <v>3.8192620602847116E-3</v>
      </c>
      <c r="P189" s="9">
        <f t="shared" si="11"/>
        <v>1.914437381667131E-3</v>
      </c>
      <c r="Q189" s="9">
        <f t="shared" si="12"/>
        <v>1.914437381667131E-3</v>
      </c>
      <c r="R189" s="9">
        <f t="shared" si="13"/>
        <v>0.99808556261833292</v>
      </c>
      <c r="S189" s="10" t="s">
        <v>589</v>
      </c>
      <c r="T189" s="5" t="str">
        <f t="shared" si="14"/>
        <v>OK</v>
      </c>
    </row>
    <row r="190" spans="1:20">
      <c r="A190" s="5" t="s">
        <v>621</v>
      </c>
      <c r="B190" s="5" t="s">
        <v>154</v>
      </c>
      <c r="C190" s="5" t="s">
        <v>116</v>
      </c>
      <c r="D190" s="5" t="s">
        <v>117</v>
      </c>
      <c r="E190" s="5" t="s">
        <v>130</v>
      </c>
      <c r="F190" s="5" t="s">
        <v>131</v>
      </c>
      <c r="G190" s="5" t="s">
        <v>224</v>
      </c>
      <c r="H190" s="5">
        <v>2031</v>
      </c>
      <c r="I190" s="5" t="s">
        <v>147</v>
      </c>
      <c r="J190" s="5" t="s">
        <v>148</v>
      </c>
      <c r="K190" s="9">
        <f>Effect_Sizes!J5</f>
        <v>0.47</v>
      </c>
      <c r="L190" s="9">
        <f>Effect_Sizes!K5</f>
        <v>1</v>
      </c>
      <c r="M190" s="9">
        <f>Coverage_Trajectory!H34</f>
        <v>0.1326807379397153</v>
      </c>
      <c r="N190" s="9">
        <f>Coverage_Trajectory!K34</f>
        <v>0.16450000000000001</v>
      </c>
      <c r="O190" s="9">
        <f t="shared" si="10"/>
        <v>3.1819262060284709E-2</v>
      </c>
      <c r="P190" s="9">
        <f t="shared" si="11"/>
        <v>1.5949673990354744E-2</v>
      </c>
      <c r="Q190" s="9">
        <f t="shared" si="12"/>
        <v>1.5949673990354744E-2</v>
      </c>
      <c r="R190" s="9">
        <f t="shared" si="13"/>
        <v>0.98405032600964526</v>
      </c>
      <c r="S190" s="5" t="s">
        <v>589</v>
      </c>
      <c r="T190" s="5" t="str">
        <f t="shared" si="14"/>
        <v>OK</v>
      </c>
    </row>
    <row r="191" spans="1:20">
      <c r="A191" s="10" t="s">
        <v>622</v>
      </c>
      <c r="B191" s="10" t="s">
        <v>154</v>
      </c>
      <c r="C191" s="10" t="s">
        <v>116</v>
      </c>
      <c r="D191" s="10" t="s">
        <v>117</v>
      </c>
      <c r="E191" s="10" t="s">
        <v>130</v>
      </c>
      <c r="F191" s="10" t="s">
        <v>131</v>
      </c>
      <c r="G191" s="10" t="s">
        <v>224</v>
      </c>
      <c r="H191" s="10">
        <v>2032</v>
      </c>
      <c r="I191" s="10" t="s">
        <v>147</v>
      </c>
      <c r="J191" s="10" t="s">
        <v>148</v>
      </c>
      <c r="K191" s="9">
        <f>Effect_Sizes!J5</f>
        <v>0.47</v>
      </c>
      <c r="L191" s="9">
        <f>Effect_Sizes!K5</f>
        <v>1</v>
      </c>
      <c r="M191" s="9">
        <f>Coverage_Trajectory!H35</f>
        <v>0.1326807379397153</v>
      </c>
      <c r="N191" s="9">
        <f>Coverage_Trajectory!K35</f>
        <v>0.1925</v>
      </c>
      <c r="O191" s="9">
        <f t="shared" si="10"/>
        <v>5.9819262060284706E-2</v>
      </c>
      <c r="P191" s="9">
        <f t="shared" si="11"/>
        <v>2.9984910599042357E-2</v>
      </c>
      <c r="Q191" s="9">
        <f t="shared" si="12"/>
        <v>2.9984910599042357E-2</v>
      </c>
      <c r="R191" s="9">
        <f t="shared" si="13"/>
        <v>0.9700150894009576</v>
      </c>
      <c r="S191" s="10" t="s">
        <v>589</v>
      </c>
      <c r="T191" s="5" t="str">
        <f t="shared" si="14"/>
        <v>OK</v>
      </c>
    </row>
    <row r="192" spans="1:20">
      <c r="A192" s="5" t="s">
        <v>623</v>
      </c>
      <c r="B192" s="5" t="s">
        <v>154</v>
      </c>
      <c r="C192" s="5" t="s">
        <v>116</v>
      </c>
      <c r="D192" s="5" t="s">
        <v>117</v>
      </c>
      <c r="E192" s="5" t="s">
        <v>130</v>
      </c>
      <c r="F192" s="5" t="s">
        <v>131</v>
      </c>
      <c r="G192" s="5" t="s">
        <v>224</v>
      </c>
      <c r="H192" s="5">
        <v>2033</v>
      </c>
      <c r="I192" s="5" t="s">
        <v>147</v>
      </c>
      <c r="J192" s="5" t="s">
        <v>148</v>
      </c>
      <c r="K192" s="9">
        <f>Effect_Sizes!J5</f>
        <v>0.47</v>
      </c>
      <c r="L192" s="9">
        <f>Effect_Sizes!K5</f>
        <v>1</v>
      </c>
      <c r="M192" s="9">
        <f>Coverage_Trajectory!H36</f>
        <v>0.1326807379397153</v>
      </c>
      <c r="N192" s="9">
        <f>Coverage_Trajectory!K36</f>
        <v>0.22049999999999997</v>
      </c>
      <c r="O192" s="9">
        <f t="shared" si="10"/>
        <v>8.7819262060284675E-2</v>
      </c>
      <c r="P192" s="9">
        <f t="shared" si="11"/>
        <v>4.4020147207729961E-2</v>
      </c>
      <c r="Q192" s="9">
        <f t="shared" si="12"/>
        <v>4.4020147207729961E-2</v>
      </c>
      <c r="R192" s="9">
        <f t="shared" si="13"/>
        <v>0.95597985279227005</v>
      </c>
      <c r="S192" s="5" t="s">
        <v>589</v>
      </c>
      <c r="T192" s="5" t="str">
        <f t="shared" si="14"/>
        <v>OK</v>
      </c>
    </row>
    <row r="193" spans="1:20">
      <c r="A193" s="10" t="s">
        <v>624</v>
      </c>
      <c r="B193" s="10" t="s">
        <v>154</v>
      </c>
      <c r="C193" s="10" t="s">
        <v>116</v>
      </c>
      <c r="D193" s="10" t="s">
        <v>117</v>
      </c>
      <c r="E193" s="10" t="s">
        <v>130</v>
      </c>
      <c r="F193" s="10" t="s">
        <v>131</v>
      </c>
      <c r="G193" s="10" t="s">
        <v>224</v>
      </c>
      <c r="H193" s="10">
        <v>2034</v>
      </c>
      <c r="I193" s="10" t="s">
        <v>147</v>
      </c>
      <c r="J193" s="10" t="s">
        <v>148</v>
      </c>
      <c r="K193" s="9">
        <f>Effect_Sizes!J5</f>
        <v>0.47</v>
      </c>
      <c r="L193" s="9">
        <f>Effect_Sizes!K5</f>
        <v>1</v>
      </c>
      <c r="M193" s="9">
        <f>Coverage_Trajectory!H37</f>
        <v>0.1326807379397153</v>
      </c>
      <c r="N193" s="9">
        <f>Coverage_Trajectory!K37</f>
        <v>0.24849999999999997</v>
      </c>
      <c r="O193" s="9">
        <f t="shared" si="10"/>
        <v>0.11581926206028467</v>
      </c>
      <c r="P193" s="9">
        <f t="shared" si="11"/>
        <v>5.8055383816417575E-2</v>
      </c>
      <c r="Q193" s="9">
        <f t="shared" si="12"/>
        <v>5.8055383816417575E-2</v>
      </c>
      <c r="R193" s="9">
        <f t="shared" si="13"/>
        <v>0.94194461618358238</v>
      </c>
      <c r="S193" s="10" t="s">
        <v>589</v>
      </c>
      <c r="T193" s="5" t="str">
        <f t="shared" si="14"/>
        <v>OK</v>
      </c>
    </row>
    <row r="194" spans="1:20">
      <c r="A194" s="5" t="s">
        <v>625</v>
      </c>
      <c r="B194" s="5" t="s">
        <v>154</v>
      </c>
      <c r="C194" s="5" t="s">
        <v>116</v>
      </c>
      <c r="D194" s="5" t="s">
        <v>117</v>
      </c>
      <c r="E194" s="5" t="s">
        <v>130</v>
      </c>
      <c r="F194" s="5" t="s">
        <v>131</v>
      </c>
      <c r="G194" s="5" t="s">
        <v>224</v>
      </c>
      <c r="H194" s="5">
        <v>2035</v>
      </c>
      <c r="I194" s="5" t="s">
        <v>147</v>
      </c>
      <c r="J194" s="5" t="s">
        <v>148</v>
      </c>
      <c r="K194" s="9">
        <f>Effect_Sizes!J5</f>
        <v>0.47</v>
      </c>
      <c r="L194" s="9">
        <f>Effect_Sizes!K5</f>
        <v>1</v>
      </c>
      <c r="M194" s="9">
        <f>Coverage_Trajectory!H38</f>
        <v>0.1326807379397153</v>
      </c>
      <c r="N194" s="9">
        <f>Coverage_Trajectory!K38</f>
        <v>0.27649999999999997</v>
      </c>
      <c r="O194" s="9">
        <f t="shared" ref="O194:O257" si="15">N194-M194</f>
        <v>0.14381926206028467</v>
      </c>
      <c r="P194" s="9">
        <f t="shared" ref="P194:P257" si="16">IF(O194=0,0,K194*O194/(1-K194*M194))</f>
        <v>7.2090620425105181E-2</v>
      </c>
      <c r="Q194" s="9">
        <f t="shared" ref="Q194:Q257" si="17">P194*L194</f>
        <v>7.2090620425105181E-2</v>
      </c>
      <c r="R194" s="9">
        <f t="shared" ref="R194:R257" si="18">1-Q194</f>
        <v>0.92790937957489483</v>
      </c>
      <c r="S194" s="5" t="s">
        <v>589</v>
      </c>
      <c r="T194" s="5" t="str">
        <f t="shared" ref="T194:T257" si="19">IF(OR(R194&lt;0,R194&gt;1),"BAD","OK")</f>
        <v>OK</v>
      </c>
    </row>
    <row r="195" spans="1:20">
      <c r="A195" s="10" t="s">
        <v>626</v>
      </c>
      <c r="B195" s="10" t="s">
        <v>154</v>
      </c>
      <c r="C195" s="10" t="s">
        <v>116</v>
      </c>
      <c r="D195" s="10" t="s">
        <v>117</v>
      </c>
      <c r="E195" s="10" t="s">
        <v>130</v>
      </c>
      <c r="F195" s="10" t="s">
        <v>131</v>
      </c>
      <c r="G195" s="10" t="s">
        <v>224</v>
      </c>
      <c r="H195" s="10">
        <v>2036</v>
      </c>
      <c r="I195" s="10" t="s">
        <v>147</v>
      </c>
      <c r="J195" s="10" t="s">
        <v>148</v>
      </c>
      <c r="K195" s="9">
        <f>Effect_Sizes!J5</f>
        <v>0.47</v>
      </c>
      <c r="L195" s="9">
        <f>Effect_Sizes!K5</f>
        <v>1</v>
      </c>
      <c r="M195" s="9">
        <f>Coverage_Trajectory!H39</f>
        <v>0.1326807379397153</v>
      </c>
      <c r="N195" s="9">
        <f>Coverage_Trajectory!K39</f>
        <v>0.30449999999999999</v>
      </c>
      <c r="O195" s="9">
        <f t="shared" si="15"/>
        <v>0.17181926206028469</v>
      </c>
      <c r="P195" s="9">
        <f t="shared" si="16"/>
        <v>8.6125857033792802E-2</v>
      </c>
      <c r="Q195" s="9">
        <f t="shared" si="17"/>
        <v>8.6125857033792802E-2</v>
      </c>
      <c r="R195" s="9">
        <f t="shared" si="18"/>
        <v>0.91387414296620717</v>
      </c>
      <c r="S195" s="10" t="s">
        <v>589</v>
      </c>
      <c r="T195" s="5" t="str">
        <f t="shared" si="19"/>
        <v>OK</v>
      </c>
    </row>
    <row r="196" spans="1:20">
      <c r="A196" s="5" t="s">
        <v>627</v>
      </c>
      <c r="B196" s="5" t="s">
        <v>154</v>
      </c>
      <c r="C196" s="5" t="s">
        <v>116</v>
      </c>
      <c r="D196" s="5" t="s">
        <v>117</v>
      </c>
      <c r="E196" s="5" t="s">
        <v>130</v>
      </c>
      <c r="F196" s="5" t="s">
        <v>131</v>
      </c>
      <c r="G196" s="5" t="s">
        <v>224</v>
      </c>
      <c r="H196" s="5">
        <v>2037</v>
      </c>
      <c r="I196" s="5" t="s">
        <v>147</v>
      </c>
      <c r="J196" s="5" t="s">
        <v>148</v>
      </c>
      <c r="K196" s="9">
        <f>Effect_Sizes!J5</f>
        <v>0.47</v>
      </c>
      <c r="L196" s="9">
        <f>Effect_Sizes!K5</f>
        <v>1</v>
      </c>
      <c r="M196" s="9">
        <f>Coverage_Trajectory!H40</f>
        <v>0.1326807379397153</v>
      </c>
      <c r="N196" s="9">
        <f>Coverage_Trajectory!K40</f>
        <v>0.33249999999999996</v>
      </c>
      <c r="O196" s="9">
        <f t="shared" si="15"/>
        <v>0.19981926206028466</v>
      </c>
      <c r="P196" s="9">
        <f t="shared" si="16"/>
        <v>0.10016109364248041</v>
      </c>
      <c r="Q196" s="9">
        <f t="shared" si="17"/>
        <v>0.10016109364248041</v>
      </c>
      <c r="R196" s="9">
        <f t="shared" si="18"/>
        <v>0.89983890635751962</v>
      </c>
      <c r="S196" s="5" t="s">
        <v>589</v>
      </c>
      <c r="T196" s="5" t="str">
        <f t="shared" si="19"/>
        <v>OK</v>
      </c>
    </row>
    <row r="197" spans="1:20">
      <c r="A197" s="10" t="s">
        <v>628</v>
      </c>
      <c r="B197" s="10" t="s">
        <v>154</v>
      </c>
      <c r="C197" s="10" t="s">
        <v>116</v>
      </c>
      <c r="D197" s="10" t="s">
        <v>117</v>
      </c>
      <c r="E197" s="10" t="s">
        <v>130</v>
      </c>
      <c r="F197" s="10" t="s">
        <v>131</v>
      </c>
      <c r="G197" s="10" t="s">
        <v>224</v>
      </c>
      <c r="H197" s="10">
        <v>2038</v>
      </c>
      <c r="I197" s="10" t="s">
        <v>147</v>
      </c>
      <c r="J197" s="10" t="s">
        <v>148</v>
      </c>
      <c r="K197" s="9">
        <f>Effect_Sizes!J5</f>
        <v>0.47</v>
      </c>
      <c r="L197" s="9">
        <f>Effect_Sizes!K5</f>
        <v>1</v>
      </c>
      <c r="M197" s="9">
        <f>Coverage_Trajectory!H41</f>
        <v>0.1326807379397153</v>
      </c>
      <c r="N197" s="9">
        <f>Coverage_Trajectory!K41</f>
        <v>0.36049999999999993</v>
      </c>
      <c r="O197" s="9">
        <f t="shared" si="15"/>
        <v>0.22781926206028463</v>
      </c>
      <c r="P197" s="9">
        <f t="shared" si="16"/>
        <v>0.114196330251168</v>
      </c>
      <c r="Q197" s="9">
        <f t="shared" si="17"/>
        <v>0.114196330251168</v>
      </c>
      <c r="R197" s="9">
        <f t="shared" si="18"/>
        <v>0.88580366974883196</v>
      </c>
      <c r="S197" s="10" t="s">
        <v>589</v>
      </c>
      <c r="T197" s="5" t="str">
        <f t="shared" si="19"/>
        <v>OK</v>
      </c>
    </row>
    <row r="198" spans="1:20">
      <c r="A198" s="5" t="s">
        <v>629</v>
      </c>
      <c r="B198" s="5" t="s">
        <v>154</v>
      </c>
      <c r="C198" s="5" t="s">
        <v>116</v>
      </c>
      <c r="D198" s="5" t="s">
        <v>117</v>
      </c>
      <c r="E198" s="5" t="s">
        <v>130</v>
      </c>
      <c r="F198" s="5" t="s">
        <v>131</v>
      </c>
      <c r="G198" s="5" t="s">
        <v>224</v>
      </c>
      <c r="H198" s="5">
        <v>2039</v>
      </c>
      <c r="I198" s="5" t="s">
        <v>147</v>
      </c>
      <c r="J198" s="5" t="s">
        <v>148</v>
      </c>
      <c r="K198" s="9">
        <f>Effect_Sizes!J5</f>
        <v>0.47</v>
      </c>
      <c r="L198" s="9">
        <f>Effect_Sizes!K5</f>
        <v>1</v>
      </c>
      <c r="M198" s="9">
        <f>Coverage_Trajectory!H42</f>
        <v>0.1326807379397153</v>
      </c>
      <c r="N198" s="9">
        <f>Coverage_Trajectory!K42</f>
        <v>0.3884999999999999</v>
      </c>
      <c r="O198" s="9">
        <f t="shared" si="15"/>
        <v>0.2558192620602846</v>
      </c>
      <c r="P198" s="9">
        <f t="shared" si="16"/>
        <v>0.12823156685985559</v>
      </c>
      <c r="Q198" s="9">
        <f t="shared" si="17"/>
        <v>0.12823156685985559</v>
      </c>
      <c r="R198" s="9">
        <f t="shared" si="18"/>
        <v>0.87176843314014441</v>
      </c>
      <c r="S198" s="5" t="s">
        <v>589</v>
      </c>
      <c r="T198" s="5" t="str">
        <f t="shared" si="19"/>
        <v>OK</v>
      </c>
    </row>
    <row r="199" spans="1:20">
      <c r="A199" s="10" t="s">
        <v>630</v>
      </c>
      <c r="B199" s="10" t="s">
        <v>154</v>
      </c>
      <c r="C199" s="10" t="s">
        <v>116</v>
      </c>
      <c r="D199" s="10" t="s">
        <v>117</v>
      </c>
      <c r="E199" s="10" t="s">
        <v>130</v>
      </c>
      <c r="F199" s="10" t="s">
        <v>131</v>
      </c>
      <c r="G199" s="10" t="s">
        <v>224</v>
      </c>
      <c r="H199" s="10">
        <v>2040</v>
      </c>
      <c r="I199" s="10" t="s">
        <v>147</v>
      </c>
      <c r="J199" s="10" t="s">
        <v>148</v>
      </c>
      <c r="K199" s="9">
        <f>Effect_Sizes!J5</f>
        <v>0.47</v>
      </c>
      <c r="L199" s="9">
        <f>Effect_Sizes!K5</f>
        <v>1</v>
      </c>
      <c r="M199" s="9">
        <f>Coverage_Trajectory!H43</f>
        <v>0.1326807379397153</v>
      </c>
      <c r="N199" s="9">
        <f>Coverage_Trajectory!K43</f>
        <v>0.41649999999999993</v>
      </c>
      <c r="O199" s="9">
        <f t="shared" si="15"/>
        <v>0.28381926206028463</v>
      </c>
      <c r="P199" s="9">
        <f t="shared" si="16"/>
        <v>0.14226680346854326</v>
      </c>
      <c r="Q199" s="9">
        <f t="shared" si="17"/>
        <v>0.14226680346854326</v>
      </c>
      <c r="R199" s="9">
        <f t="shared" si="18"/>
        <v>0.85773319653145674</v>
      </c>
      <c r="S199" s="10" t="s">
        <v>589</v>
      </c>
      <c r="T199" s="5" t="str">
        <f t="shared" si="19"/>
        <v>OK</v>
      </c>
    </row>
    <row r="200" spans="1:20">
      <c r="A200" s="5" t="s">
        <v>631</v>
      </c>
      <c r="B200" s="5" t="s">
        <v>154</v>
      </c>
      <c r="C200" s="5" t="s">
        <v>116</v>
      </c>
      <c r="D200" s="5" t="s">
        <v>117</v>
      </c>
      <c r="E200" s="5" t="s">
        <v>130</v>
      </c>
      <c r="F200" s="5" t="s">
        <v>131</v>
      </c>
      <c r="G200" s="5" t="s">
        <v>224</v>
      </c>
      <c r="H200" s="5">
        <v>2041</v>
      </c>
      <c r="I200" s="5" t="s">
        <v>147</v>
      </c>
      <c r="J200" s="5" t="s">
        <v>148</v>
      </c>
      <c r="K200" s="9">
        <f>Effect_Sizes!J5</f>
        <v>0.47</v>
      </c>
      <c r="L200" s="9">
        <f>Effect_Sizes!K5</f>
        <v>1</v>
      </c>
      <c r="M200" s="9">
        <f>Coverage_Trajectory!H44</f>
        <v>0.1326807379397153</v>
      </c>
      <c r="N200" s="9">
        <f>Coverage_Trajectory!K44</f>
        <v>0.41649999999999993</v>
      </c>
      <c r="O200" s="9">
        <f t="shared" si="15"/>
        <v>0.28381926206028463</v>
      </c>
      <c r="P200" s="9">
        <f t="shared" si="16"/>
        <v>0.14226680346854326</v>
      </c>
      <c r="Q200" s="9">
        <f t="shared" si="17"/>
        <v>0.14226680346854326</v>
      </c>
      <c r="R200" s="9">
        <f t="shared" si="18"/>
        <v>0.85773319653145674</v>
      </c>
      <c r="S200" s="5" t="s">
        <v>589</v>
      </c>
      <c r="T200" s="5" t="str">
        <f t="shared" si="19"/>
        <v>OK</v>
      </c>
    </row>
    <row r="201" spans="1:20">
      <c r="A201" s="10" t="s">
        <v>632</v>
      </c>
      <c r="B201" s="10" t="s">
        <v>154</v>
      </c>
      <c r="C201" s="10" t="s">
        <v>116</v>
      </c>
      <c r="D201" s="10" t="s">
        <v>117</v>
      </c>
      <c r="E201" s="10" t="s">
        <v>130</v>
      </c>
      <c r="F201" s="10" t="s">
        <v>131</v>
      </c>
      <c r="G201" s="10" t="s">
        <v>224</v>
      </c>
      <c r="H201" s="10">
        <v>2042</v>
      </c>
      <c r="I201" s="10" t="s">
        <v>147</v>
      </c>
      <c r="J201" s="10" t="s">
        <v>148</v>
      </c>
      <c r="K201" s="9">
        <f>Effect_Sizes!J5</f>
        <v>0.47</v>
      </c>
      <c r="L201" s="9">
        <f>Effect_Sizes!K5</f>
        <v>1</v>
      </c>
      <c r="M201" s="9">
        <f>Coverage_Trajectory!H45</f>
        <v>0.1326807379397153</v>
      </c>
      <c r="N201" s="9">
        <f>Coverage_Trajectory!K45</f>
        <v>0.41649999999999993</v>
      </c>
      <c r="O201" s="9">
        <f t="shared" si="15"/>
        <v>0.28381926206028463</v>
      </c>
      <c r="P201" s="9">
        <f t="shared" si="16"/>
        <v>0.14226680346854326</v>
      </c>
      <c r="Q201" s="9">
        <f t="shared" si="17"/>
        <v>0.14226680346854326</v>
      </c>
      <c r="R201" s="9">
        <f t="shared" si="18"/>
        <v>0.85773319653145674</v>
      </c>
      <c r="S201" s="10" t="s">
        <v>589</v>
      </c>
      <c r="T201" s="5" t="str">
        <f t="shared" si="19"/>
        <v>OK</v>
      </c>
    </row>
    <row r="202" spans="1:20">
      <c r="A202" s="5" t="s">
        <v>633</v>
      </c>
      <c r="B202" s="5" t="s">
        <v>154</v>
      </c>
      <c r="C202" s="5" t="s">
        <v>116</v>
      </c>
      <c r="D202" s="5" t="s">
        <v>117</v>
      </c>
      <c r="E202" s="5" t="s">
        <v>130</v>
      </c>
      <c r="F202" s="5" t="s">
        <v>131</v>
      </c>
      <c r="G202" s="5" t="s">
        <v>224</v>
      </c>
      <c r="H202" s="5">
        <v>2043</v>
      </c>
      <c r="I202" s="5" t="s">
        <v>147</v>
      </c>
      <c r="J202" s="5" t="s">
        <v>148</v>
      </c>
      <c r="K202" s="9">
        <f>Effect_Sizes!J5</f>
        <v>0.47</v>
      </c>
      <c r="L202" s="9">
        <f>Effect_Sizes!K5</f>
        <v>1</v>
      </c>
      <c r="M202" s="9">
        <f>Coverage_Trajectory!H46</f>
        <v>0.1326807379397153</v>
      </c>
      <c r="N202" s="9">
        <f>Coverage_Trajectory!K46</f>
        <v>0.41649999999999993</v>
      </c>
      <c r="O202" s="9">
        <f t="shared" si="15"/>
        <v>0.28381926206028463</v>
      </c>
      <c r="P202" s="9">
        <f t="shared" si="16"/>
        <v>0.14226680346854326</v>
      </c>
      <c r="Q202" s="9">
        <f t="shared" si="17"/>
        <v>0.14226680346854326</v>
      </c>
      <c r="R202" s="9">
        <f t="shared" si="18"/>
        <v>0.85773319653145674</v>
      </c>
      <c r="S202" s="5" t="s">
        <v>589</v>
      </c>
      <c r="T202" s="5" t="str">
        <f t="shared" si="19"/>
        <v>OK</v>
      </c>
    </row>
    <row r="203" spans="1:20">
      <c r="A203" s="10" t="s">
        <v>634</v>
      </c>
      <c r="B203" s="10" t="s">
        <v>154</v>
      </c>
      <c r="C203" s="10" t="s">
        <v>116</v>
      </c>
      <c r="D203" s="10" t="s">
        <v>117</v>
      </c>
      <c r="E203" s="10" t="s">
        <v>130</v>
      </c>
      <c r="F203" s="10" t="s">
        <v>131</v>
      </c>
      <c r="G203" s="10" t="s">
        <v>224</v>
      </c>
      <c r="H203" s="10">
        <v>2044</v>
      </c>
      <c r="I203" s="10" t="s">
        <v>147</v>
      </c>
      <c r="J203" s="10" t="s">
        <v>148</v>
      </c>
      <c r="K203" s="9">
        <f>Effect_Sizes!J5</f>
        <v>0.47</v>
      </c>
      <c r="L203" s="9">
        <f>Effect_Sizes!K5</f>
        <v>1</v>
      </c>
      <c r="M203" s="9">
        <f>Coverage_Trajectory!H47</f>
        <v>0.1326807379397153</v>
      </c>
      <c r="N203" s="9">
        <f>Coverage_Trajectory!K47</f>
        <v>0.41649999999999993</v>
      </c>
      <c r="O203" s="9">
        <f t="shared" si="15"/>
        <v>0.28381926206028463</v>
      </c>
      <c r="P203" s="9">
        <f t="shared" si="16"/>
        <v>0.14226680346854326</v>
      </c>
      <c r="Q203" s="9">
        <f t="shared" si="17"/>
        <v>0.14226680346854326</v>
      </c>
      <c r="R203" s="9">
        <f t="shared" si="18"/>
        <v>0.85773319653145674</v>
      </c>
      <c r="S203" s="10" t="s">
        <v>589</v>
      </c>
      <c r="T203" s="5" t="str">
        <f t="shared" si="19"/>
        <v>OK</v>
      </c>
    </row>
    <row r="204" spans="1:20">
      <c r="A204" s="5" t="s">
        <v>635</v>
      </c>
      <c r="B204" s="5" t="s">
        <v>154</v>
      </c>
      <c r="C204" s="5" t="s">
        <v>116</v>
      </c>
      <c r="D204" s="5" t="s">
        <v>117</v>
      </c>
      <c r="E204" s="5" t="s">
        <v>130</v>
      </c>
      <c r="F204" s="5" t="s">
        <v>131</v>
      </c>
      <c r="G204" s="5" t="s">
        <v>224</v>
      </c>
      <c r="H204" s="5">
        <v>2045</v>
      </c>
      <c r="I204" s="5" t="s">
        <v>147</v>
      </c>
      <c r="J204" s="5" t="s">
        <v>148</v>
      </c>
      <c r="K204" s="9">
        <f>Effect_Sizes!J5</f>
        <v>0.47</v>
      </c>
      <c r="L204" s="9">
        <f>Effect_Sizes!K5</f>
        <v>1</v>
      </c>
      <c r="M204" s="9">
        <f>Coverage_Trajectory!H48</f>
        <v>0.1326807379397153</v>
      </c>
      <c r="N204" s="9">
        <f>Coverage_Trajectory!K48</f>
        <v>0.41649999999999993</v>
      </c>
      <c r="O204" s="9">
        <f t="shared" si="15"/>
        <v>0.28381926206028463</v>
      </c>
      <c r="P204" s="9">
        <f t="shared" si="16"/>
        <v>0.14226680346854326</v>
      </c>
      <c r="Q204" s="9">
        <f t="shared" si="17"/>
        <v>0.14226680346854326</v>
      </c>
      <c r="R204" s="9">
        <f t="shared" si="18"/>
        <v>0.85773319653145674</v>
      </c>
      <c r="S204" s="5" t="s">
        <v>589</v>
      </c>
      <c r="T204" s="5" t="str">
        <f t="shared" si="19"/>
        <v>OK</v>
      </c>
    </row>
    <row r="205" spans="1:20">
      <c r="A205" s="10" t="s">
        <v>636</v>
      </c>
      <c r="B205" s="10" t="s">
        <v>154</v>
      </c>
      <c r="C205" s="10" t="s">
        <v>116</v>
      </c>
      <c r="D205" s="10" t="s">
        <v>117</v>
      </c>
      <c r="E205" s="10" t="s">
        <v>130</v>
      </c>
      <c r="F205" s="10" t="s">
        <v>131</v>
      </c>
      <c r="G205" s="10" t="s">
        <v>224</v>
      </c>
      <c r="H205" s="10">
        <v>2046</v>
      </c>
      <c r="I205" s="10" t="s">
        <v>147</v>
      </c>
      <c r="J205" s="10" t="s">
        <v>148</v>
      </c>
      <c r="K205" s="9">
        <f>Effect_Sizes!J5</f>
        <v>0.47</v>
      </c>
      <c r="L205" s="9">
        <f>Effect_Sizes!K5</f>
        <v>1</v>
      </c>
      <c r="M205" s="9">
        <f>Coverage_Trajectory!H49</f>
        <v>0.1326807379397153</v>
      </c>
      <c r="N205" s="9">
        <f>Coverage_Trajectory!K49</f>
        <v>0.41649999999999993</v>
      </c>
      <c r="O205" s="9">
        <f t="shared" si="15"/>
        <v>0.28381926206028463</v>
      </c>
      <c r="P205" s="9">
        <f t="shared" si="16"/>
        <v>0.14226680346854326</v>
      </c>
      <c r="Q205" s="9">
        <f t="shared" si="17"/>
        <v>0.14226680346854326</v>
      </c>
      <c r="R205" s="9">
        <f t="shared" si="18"/>
        <v>0.85773319653145674</v>
      </c>
      <c r="S205" s="10" t="s">
        <v>589</v>
      </c>
      <c r="T205" s="5" t="str">
        <f t="shared" si="19"/>
        <v>OK</v>
      </c>
    </row>
    <row r="206" spans="1:20">
      <c r="A206" s="5" t="s">
        <v>637</v>
      </c>
      <c r="B206" s="5" t="s">
        <v>154</v>
      </c>
      <c r="C206" s="5" t="s">
        <v>116</v>
      </c>
      <c r="D206" s="5" t="s">
        <v>117</v>
      </c>
      <c r="E206" s="5" t="s">
        <v>130</v>
      </c>
      <c r="F206" s="5" t="s">
        <v>131</v>
      </c>
      <c r="G206" s="5" t="s">
        <v>224</v>
      </c>
      <c r="H206" s="5">
        <v>2047</v>
      </c>
      <c r="I206" s="5" t="s">
        <v>147</v>
      </c>
      <c r="J206" s="5" t="s">
        <v>148</v>
      </c>
      <c r="K206" s="9">
        <f>Effect_Sizes!J5</f>
        <v>0.47</v>
      </c>
      <c r="L206" s="9">
        <f>Effect_Sizes!K5</f>
        <v>1</v>
      </c>
      <c r="M206" s="9">
        <f>Coverage_Trajectory!H50</f>
        <v>0.1326807379397153</v>
      </c>
      <c r="N206" s="9">
        <f>Coverage_Trajectory!K50</f>
        <v>0.41649999999999993</v>
      </c>
      <c r="O206" s="9">
        <f t="shared" si="15"/>
        <v>0.28381926206028463</v>
      </c>
      <c r="P206" s="9">
        <f t="shared" si="16"/>
        <v>0.14226680346854326</v>
      </c>
      <c r="Q206" s="9">
        <f t="shared" si="17"/>
        <v>0.14226680346854326</v>
      </c>
      <c r="R206" s="9">
        <f t="shared" si="18"/>
        <v>0.85773319653145674</v>
      </c>
      <c r="S206" s="5" t="s">
        <v>589</v>
      </c>
      <c r="T206" s="5" t="str">
        <f t="shared" si="19"/>
        <v>OK</v>
      </c>
    </row>
    <row r="207" spans="1:20">
      <c r="A207" s="10" t="s">
        <v>638</v>
      </c>
      <c r="B207" s="10" t="s">
        <v>154</v>
      </c>
      <c r="C207" s="10" t="s">
        <v>116</v>
      </c>
      <c r="D207" s="10" t="s">
        <v>117</v>
      </c>
      <c r="E207" s="10" t="s">
        <v>130</v>
      </c>
      <c r="F207" s="10" t="s">
        <v>131</v>
      </c>
      <c r="G207" s="10" t="s">
        <v>224</v>
      </c>
      <c r="H207" s="10">
        <v>2048</v>
      </c>
      <c r="I207" s="10" t="s">
        <v>147</v>
      </c>
      <c r="J207" s="10" t="s">
        <v>148</v>
      </c>
      <c r="K207" s="9">
        <f>Effect_Sizes!J5</f>
        <v>0.47</v>
      </c>
      <c r="L207" s="9">
        <f>Effect_Sizes!K5</f>
        <v>1</v>
      </c>
      <c r="M207" s="9">
        <f>Coverage_Trajectory!H51</f>
        <v>0.1326807379397153</v>
      </c>
      <c r="N207" s="9">
        <f>Coverage_Trajectory!K51</f>
        <v>0.41649999999999993</v>
      </c>
      <c r="O207" s="9">
        <f t="shared" si="15"/>
        <v>0.28381926206028463</v>
      </c>
      <c r="P207" s="9">
        <f t="shared" si="16"/>
        <v>0.14226680346854326</v>
      </c>
      <c r="Q207" s="9">
        <f t="shared" si="17"/>
        <v>0.14226680346854326</v>
      </c>
      <c r="R207" s="9">
        <f t="shared" si="18"/>
        <v>0.85773319653145674</v>
      </c>
      <c r="S207" s="10" t="s">
        <v>589</v>
      </c>
      <c r="T207" s="5" t="str">
        <f t="shared" si="19"/>
        <v>OK</v>
      </c>
    </row>
    <row r="208" spans="1:20">
      <c r="A208" s="5" t="s">
        <v>639</v>
      </c>
      <c r="B208" s="5" t="s">
        <v>154</v>
      </c>
      <c r="C208" s="5" t="s">
        <v>116</v>
      </c>
      <c r="D208" s="5" t="s">
        <v>117</v>
      </c>
      <c r="E208" s="5" t="s">
        <v>130</v>
      </c>
      <c r="F208" s="5" t="s">
        <v>131</v>
      </c>
      <c r="G208" s="5" t="s">
        <v>224</v>
      </c>
      <c r="H208" s="5">
        <v>2049</v>
      </c>
      <c r="I208" s="5" t="s">
        <v>147</v>
      </c>
      <c r="J208" s="5" t="s">
        <v>148</v>
      </c>
      <c r="K208" s="9">
        <f>Effect_Sizes!J5</f>
        <v>0.47</v>
      </c>
      <c r="L208" s="9">
        <f>Effect_Sizes!K5</f>
        <v>1</v>
      </c>
      <c r="M208" s="9">
        <f>Coverage_Trajectory!H52</f>
        <v>0.1326807379397153</v>
      </c>
      <c r="N208" s="9">
        <f>Coverage_Trajectory!K52</f>
        <v>0.41649999999999993</v>
      </c>
      <c r="O208" s="9">
        <f t="shared" si="15"/>
        <v>0.28381926206028463</v>
      </c>
      <c r="P208" s="9">
        <f t="shared" si="16"/>
        <v>0.14226680346854326</v>
      </c>
      <c r="Q208" s="9">
        <f t="shared" si="17"/>
        <v>0.14226680346854326</v>
      </c>
      <c r="R208" s="9">
        <f t="shared" si="18"/>
        <v>0.85773319653145674</v>
      </c>
      <c r="S208" s="5" t="s">
        <v>589</v>
      </c>
      <c r="T208" s="5" t="str">
        <f t="shared" si="19"/>
        <v>OK</v>
      </c>
    </row>
    <row r="209" spans="1:20">
      <c r="A209" s="10" t="s">
        <v>640</v>
      </c>
      <c r="B209" s="10" t="s">
        <v>154</v>
      </c>
      <c r="C209" s="10" t="s">
        <v>116</v>
      </c>
      <c r="D209" s="10" t="s">
        <v>117</v>
      </c>
      <c r="E209" s="10" t="s">
        <v>130</v>
      </c>
      <c r="F209" s="10" t="s">
        <v>131</v>
      </c>
      <c r="G209" s="10" t="s">
        <v>224</v>
      </c>
      <c r="H209" s="10">
        <v>2050</v>
      </c>
      <c r="I209" s="10" t="s">
        <v>147</v>
      </c>
      <c r="J209" s="10" t="s">
        <v>148</v>
      </c>
      <c r="K209" s="9">
        <f>Effect_Sizes!J5</f>
        <v>0.47</v>
      </c>
      <c r="L209" s="9">
        <f>Effect_Sizes!K5</f>
        <v>1</v>
      </c>
      <c r="M209" s="9">
        <f>Coverage_Trajectory!H53</f>
        <v>0.1326807379397153</v>
      </c>
      <c r="N209" s="9">
        <f>Coverage_Trajectory!K53</f>
        <v>0.41649999999999993</v>
      </c>
      <c r="O209" s="9">
        <f t="shared" si="15"/>
        <v>0.28381926206028463</v>
      </c>
      <c r="P209" s="9">
        <f t="shared" si="16"/>
        <v>0.14226680346854326</v>
      </c>
      <c r="Q209" s="9">
        <f t="shared" si="17"/>
        <v>0.14226680346854326</v>
      </c>
      <c r="R209" s="9">
        <f t="shared" si="18"/>
        <v>0.85773319653145674</v>
      </c>
      <c r="S209" s="10" t="s">
        <v>589</v>
      </c>
      <c r="T209" s="5" t="str">
        <f t="shared" si="19"/>
        <v>OK</v>
      </c>
    </row>
    <row r="210" spans="1:20">
      <c r="A210" s="5" t="s">
        <v>641</v>
      </c>
      <c r="B210" s="5" t="s">
        <v>156</v>
      </c>
      <c r="C210" s="5" t="s">
        <v>122</v>
      </c>
      <c r="D210" s="5" t="s">
        <v>123</v>
      </c>
      <c r="E210" s="5" t="s">
        <v>132</v>
      </c>
      <c r="F210" s="5" t="s">
        <v>133</v>
      </c>
      <c r="G210" s="5" t="s">
        <v>213</v>
      </c>
      <c r="H210" s="5">
        <v>2025</v>
      </c>
      <c r="I210" s="5" t="s">
        <v>148</v>
      </c>
      <c r="J210" s="5" t="s">
        <v>157</v>
      </c>
      <c r="K210" s="9">
        <f>Effect_Sizes!J6</f>
        <v>0.28000000000000003</v>
      </c>
      <c r="L210" s="9">
        <f>Effect_Sizes!K6</f>
        <v>1</v>
      </c>
      <c r="M210" s="9">
        <f>Coverage_Trajectory!H54</f>
        <v>0.13031152777518129</v>
      </c>
      <c r="N210" s="9">
        <f>Coverage_Trajectory!K54</f>
        <v>0.13031152777518129</v>
      </c>
      <c r="O210" s="9">
        <f t="shared" si="15"/>
        <v>0</v>
      </c>
      <c r="P210" s="9">
        <f t="shared" si="16"/>
        <v>0</v>
      </c>
      <c r="Q210" s="9">
        <f t="shared" si="17"/>
        <v>0</v>
      </c>
      <c r="R210" s="9">
        <f t="shared" si="18"/>
        <v>1</v>
      </c>
      <c r="S210" s="5" t="s">
        <v>642</v>
      </c>
      <c r="T210" s="5" t="str">
        <f t="shared" si="19"/>
        <v>OK</v>
      </c>
    </row>
    <row r="211" spans="1:20">
      <c r="A211" s="10" t="s">
        <v>643</v>
      </c>
      <c r="B211" s="10" t="s">
        <v>156</v>
      </c>
      <c r="C211" s="10" t="s">
        <v>122</v>
      </c>
      <c r="D211" s="10" t="s">
        <v>123</v>
      </c>
      <c r="E211" s="10" t="s">
        <v>132</v>
      </c>
      <c r="F211" s="10" t="s">
        <v>133</v>
      </c>
      <c r="G211" s="10" t="s">
        <v>213</v>
      </c>
      <c r="H211" s="10">
        <v>2026</v>
      </c>
      <c r="I211" s="10" t="s">
        <v>148</v>
      </c>
      <c r="J211" s="10" t="s">
        <v>157</v>
      </c>
      <c r="K211" s="9">
        <f>Effect_Sizes!J6</f>
        <v>0.28000000000000003</v>
      </c>
      <c r="L211" s="9">
        <f>Effect_Sizes!K6</f>
        <v>1</v>
      </c>
      <c r="M211" s="9">
        <f>Coverage_Trajectory!H55</f>
        <v>0.13031152777518129</v>
      </c>
      <c r="N211" s="9">
        <f>Coverage_Trajectory!K55</f>
        <v>0.13154922222014503</v>
      </c>
      <c r="O211" s="9">
        <f t="shared" si="15"/>
        <v>1.2376944449637439E-3</v>
      </c>
      <c r="P211" s="9">
        <f t="shared" si="16"/>
        <v>3.5967810140212481E-4</v>
      </c>
      <c r="Q211" s="9">
        <f t="shared" si="17"/>
        <v>3.5967810140212481E-4</v>
      </c>
      <c r="R211" s="9">
        <f t="shared" si="18"/>
        <v>0.99964032189859786</v>
      </c>
      <c r="S211" s="10" t="s">
        <v>642</v>
      </c>
      <c r="T211" s="5" t="str">
        <f t="shared" si="19"/>
        <v>OK</v>
      </c>
    </row>
    <row r="212" spans="1:20">
      <c r="A212" s="5" t="s">
        <v>644</v>
      </c>
      <c r="B212" s="5" t="s">
        <v>156</v>
      </c>
      <c r="C212" s="5" t="s">
        <v>122</v>
      </c>
      <c r="D212" s="5" t="s">
        <v>123</v>
      </c>
      <c r="E212" s="5" t="s">
        <v>132</v>
      </c>
      <c r="F212" s="5" t="s">
        <v>133</v>
      </c>
      <c r="G212" s="5" t="s">
        <v>213</v>
      </c>
      <c r="H212" s="5">
        <v>2027</v>
      </c>
      <c r="I212" s="5" t="s">
        <v>148</v>
      </c>
      <c r="J212" s="5" t="s">
        <v>157</v>
      </c>
      <c r="K212" s="9">
        <f>Effect_Sizes!J6</f>
        <v>0.28000000000000003</v>
      </c>
      <c r="L212" s="9">
        <f>Effect_Sizes!K6</f>
        <v>1</v>
      </c>
      <c r="M212" s="9">
        <f>Coverage_Trajectory!H56</f>
        <v>0.13031152777518129</v>
      </c>
      <c r="N212" s="9">
        <f>Coverage_Trajectory!K56</f>
        <v>0.13278691666510878</v>
      </c>
      <c r="O212" s="9">
        <f t="shared" si="15"/>
        <v>2.4753888899274878E-3</v>
      </c>
      <c r="P212" s="9">
        <f t="shared" si="16"/>
        <v>7.1935620280424962E-4</v>
      </c>
      <c r="Q212" s="9">
        <f t="shared" si="17"/>
        <v>7.1935620280424962E-4</v>
      </c>
      <c r="R212" s="9">
        <f t="shared" si="18"/>
        <v>0.99928064379719572</v>
      </c>
      <c r="S212" s="5" t="s">
        <v>642</v>
      </c>
      <c r="T212" s="5" t="str">
        <f t="shared" si="19"/>
        <v>OK</v>
      </c>
    </row>
    <row r="213" spans="1:20">
      <c r="A213" s="10" t="s">
        <v>645</v>
      </c>
      <c r="B213" s="10" t="s">
        <v>156</v>
      </c>
      <c r="C213" s="10" t="s">
        <v>122</v>
      </c>
      <c r="D213" s="10" t="s">
        <v>123</v>
      </c>
      <c r="E213" s="10" t="s">
        <v>132</v>
      </c>
      <c r="F213" s="10" t="s">
        <v>133</v>
      </c>
      <c r="G213" s="10" t="s">
        <v>213</v>
      </c>
      <c r="H213" s="10">
        <v>2028</v>
      </c>
      <c r="I213" s="10" t="s">
        <v>148</v>
      </c>
      <c r="J213" s="10" t="s">
        <v>157</v>
      </c>
      <c r="K213" s="9">
        <f>Effect_Sizes!J6</f>
        <v>0.28000000000000003</v>
      </c>
      <c r="L213" s="9">
        <f>Effect_Sizes!K6</f>
        <v>1</v>
      </c>
      <c r="M213" s="9">
        <f>Coverage_Trajectory!H57</f>
        <v>0.13031152777518129</v>
      </c>
      <c r="N213" s="9">
        <f>Coverage_Trajectory!K57</f>
        <v>0.13402461111007252</v>
      </c>
      <c r="O213" s="9">
        <f t="shared" si="15"/>
        <v>3.7130833348912318E-3</v>
      </c>
      <c r="P213" s="9">
        <f t="shared" si="16"/>
        <v>1.0790343042063743E-3</v>
      </c>
      <c r="Q213" s="9">
        <f t="shared" si="17"/>
        <v>1.0790343042063743E-3</v>
      </c>
      <c r="R213" s="9">
        <f t="shared" si="18"/>
        <v>0.99892096569579358</v>
      </c>
      <c r="S213" s="10" t="s">
        <v>642</v>
      </c>
      <c r="T213" s="5" t="str">
        <f t="shared" si="19"/>
        <v>OK</v>
      </c>
    </row>
    <row r="214" spans="1:20">
      <c r="A214" s="5" t="s">
        <v>646</v>
      </c>
      <c r="B214" s="5" t="s">
        <v>156</v>
      </c>
      <c r="C214" s="5" t="s">
        <v>122</v>
      </c>
      <c r="D214" s="5" t="s">
        <v>123</v>
      </c>
      <c r="E214" s="5" t="s">
        <v>132</v>
      </c>
      <c r="F214" s="5" t="s">
        <v>133</v>
      </c>
      <c r="G214" s="5" t="s">
        <v>213</v>
      </c>
      <c r="H214" s="5">
        <v>2029</v>
      </c>
      <c r="I214" s="5" t="s">
        <v>148</v>
      </c>
      <c r="J214" s="5" t="s">
        <v>157</v>
      </c>
      <c r="K214" s="9">
        <f>Effect_Sizes!J6</f>
        <v>0.28000000000000003</v>
      </c>
      <c r="L214" s="9">
        <f>Effect_Sizes!K6</f>
        <v>1</v>
      </c>
      <c r="M214" s="9">
        <f>Coverage_Trajectory!H58</f>
        <v>0.13031152777518129</v>
      </c>
      <c r="N214" s="9">
        <f>Coverage_Trajectory!K58</f>
        <v>0.13526230555503627</v>
      </c>
      <c r="O214" s="9">
        <f t="shared" si="15"/>
        <v>4.9507777798549757E-3</v>
      </c>
      <c r="P214" s="9">
        <f t="shared" si="16"/>
        <v>1.4387124056084992E-3</v>
      </c>
      <c r="Q214" s="9">
        <f t="shared" si="17"/>
        <v>1.4387124056084992E-3</v>
      </c>
      <c r="R214" s="9">
        <f t="shared" si="18"/>
        <v>0.99856128759439156</v>
      </c>
      <c r="S214" s="5" t="s">
        <v>642</v>
      </c>
      <c r="T214" s="5" t="str">
        <f t="shared" si="19"/>
        <v>OK</v>
      </c>
    </row>
    <row r="215" spans="1:20">
      <c r="A215" s="10" t="s">
        <v>647</v>
      </c>
      <c r="B215" s="10" t="s">
        <v>156</v>
      </c>
      <c r="C215" s="10" t="s">
        <v>122</v>
      </c>
      <c r="D215" s="10" t="s">
        <v>123</v>
      </c>
      <c r="E215" s="10" t="s">
        <v>132</v>
      </c>
      <c r="F215" s="10" t="s">
        <v>133</v>
      </c>
      <c r="G215" s="10" t="s">
        <v>213</v>
      </c>
      <c r="H215" s="10">
        <v>2030</v>
      </c>
      <c r="I215" s="10" t="s">
        <v>148</v>
      </c>
      <c r="J215" s="10" t="s">
        <v>157</v>
      </c>
      <c r="K215" s="9">
        <f>Effect_Sizes!J6</f>
        <v>0.28000000000000003</v>
      </c>
      <c r="L215" s="9">
        <f>Effect_Sizes!K6</f>
        <v>1</v>
      </c>
      <c r="M215" s="9">
        <f>Coverage_Trajectory!H59</f>
        <v>0.13031152777518129</v>
      </c>
      <c r="N215" s="9">
        <f>Coverage_Trajectory!K59</f>
        <v>0.13650000000000001</v>
      </c>
      <c r="O215" s="9">
        <f t="shared" si="15"/>
        <v>6.1884722248187196E-3</v>
      </c>
      <c r="P215" s="9">
        <f t="shared" si="16"/>
        <v>1.798390507010624E-3</v>
      </c>
      <c r="Q215" s="9">
        <f t="shared" si="17"/>
        <v>1.798390507010624E-3</v>
      </c>
      <c r="R215" s="9">
        <f t="shared" si="18"/>
        <v>0.99820160949298942</v>
      </c>
      <c r="S215" s="10" t="s">
        <v>642</v>
      </c>
      <c r="T215" s="5" t="str">
        <f t="shared" si="19"/>
        <v>OK</v>
      </c>
    </row>
    <row r="216" spans="1:20">
      <c r="A216" s="5" t="s">
        <v>648</v>
      </c>
      <c r="B216" s="5" t="s">
        <v>156</v>
      </c>
      <c r="C216" s="5" t="s">
        <v>122</v>
      </c>
      <c r="D216" s="5" t="s">
        <v>123</v>
      </c>
      <c r="E216" s="5" t="s">
        <v>132</v>
      </c>
      <c r="F216" s="5" t="s">
        <v>133</v>
      </c>
      <c r="G216" s="5" t="s">
        <v>213</v>
      </c>
      <c r="H216" s="5">
        <v>2031</v>
      </c>
      <c r="I216" s="5" t="s">
        <v>148</v>
      </c>
      <c r="J216" s="5" t="s">
        <v>157</v>
      </c>
      <c r="K216" s="9">
        <f>Effect_Sizes!J6</f>
        <v>0.28000000000000003</v>
      </c>
      <c r="L216" s="9">
        <f>Effect_Sizes!K6</f>
        <v>1</v>
      </c>
      <c r="M216" s="9">
        <f>Coverage_Trajectory!H60</f>
        <v>0.13031152777518129</v>
      </c>
      <c r="N216" s="9">
        <f>Coverage_Trajectory!K60</f>
        <v>0.16450000000000001</v>
      </c>
      <c r="O216" s="9">
        <f t="shared" si="15"/>
        <v>3.4188472224818717E-2</v>
      </c>
      <c r="P216" s="9">
        <f t="shared" si="16"/>
        <v>9.9352831627375418E-3</v>
      </c>
      <c r="Q216" s="9">
        <f t="shared" si="17"/>
        <v>9.9352831627375418E-3</v>
      </c>
      <c r="R216" s="9">
        <f t="shared" si="18"/>
        <v>0.99006471683726249</v>
      </c>
      <c r="S216" s="5" t="s">
        <v>642</v>
      </c>
      <c r="T216" s="5" t="str">
        <f t="shared" si="19"/>
        <v>OK</v>
      </c>
    </row>
    <row r="217" spans="1:20">
      <c r="A217" s="10" t="s">
        <v>649</v>
      </c>
      <c r="B217" s="10" t="s">
        <v>156</v>
      </c>
      <c r="C217" s="10" t="s">
        <v>122</v>
      </c>
      <c r="D217" s="10" t="s">
        <v>123</v>
      </c>
      <c r="E217" s="10" t="s">
        <v>132</v>
      </c>
      <c r="F217" s="10" t="s">
        <v>133</v>
      </c>
      <c r="G217" s="10" t="s">
        <v>213</v>
      </c>
      <c r="H217" s="10">
        <v>2032</v>
      </c>
      <c r="I217" s="10" t="s">
        <v>148</v>
      </c>
      <c r="J217" s="10" t="s">
        <v>157</v>
      </c>
      <c r="K217" s="9">
        <f>Effect_Sizes!J6</f>
        <v>0.28000000000000003</v>
      </c>
      <c r="L217" s="9">
        <f>Effect_Sizes!K6</f>
        <v>1</v>
      </c>
      <c r="M217" s="9">
        <f>Coverage_Trajectory!H61</f>
        <v>0.13031152777518129</v>
      </c>
      <c r="N217" s="9">
        <f>Coverage_Trajectory!K61</f>
        <v>0.1925</v>
      </c>
      <c r="O217" s="9">
        <f t="shared" si="15"/>
        <v>6.2188472224818714E-2</v>
      </c>
      <c r="P217" s="9">
        <f t="shared" si="16"/>
        <v>1.8072175818464462E-2</v>
      </c>
      <c r="Q217" s="9">
        <f t="shared" si="17"/>
        <v>1.8072175818464462E-2</v>
      </c>
      <c r="R217" s="9">
        <f t="shared" si="18"/>
        <v>0.98192782418153557</v>
      </c>
      <c r="S217" s="10" t="s">
        <v>642</v>
      </c>
      <c r="T217" s="5" t="str">
        <f t="shared" si="19"/>
        <v>OK</v>
      </c>
    </row>
    <row r="218" spans="1:20">
      <c r="A218" s="5" t="s">
        <v>650</v>
      </c>
      <c r="B218" s="5" t="s">
        <v>156</v>
      </c>
      <c r="C218" s="5" t="s">
        <v>122</v>
      </c>
      <c r="D218" s="5" t="s">
        <v>123</v>
      </c>
      <c r="E218" s="5" t="s">
        <v>132</v>
      </c>
      <c r="F218" s="5" t="s">
        <v>133</v>
      </c>
      <c r="G218" s="5" t="s">
        <v>213</v>
      </c>
      <c r="H218" s="5">
        <v>2033</v>
      </c>
      <c r="I218" s="5" t="s">
        <v>148</v>
      </c>
      <c r="J218" s="5" t="s">
        <v>157</v>
      </c>
      <c r="K218" s="9">
        <f>Effect_Sizes!J6</f>
        <v>0.28000000000000003</v>
      </c>
      <c r="L218" s="9">
        <f>Effect_Sizes!K6</f>
        <v>1</v>
      </c>
      <c r="M218" s="9">
        <f>Coverage_Trajectory!H62</f>
        <v>0.13031152777518129</v>
      </c>
      <c r="N218" s="9">
        <f>Coverage_Trajectory!K62</f>
        <v>0.22049999999999997</v>
      </c>
      <c r="O218" s="9">
        <f t="shared" si="15"/>
        <v>9.0188472224818683E-2</v>
      </c>
      <c r="P218" s="9">
        <f t="shared" si="16"/>
        <v>2.6209068474191376E-2</v>
      </c>
      <c r="Q218" s="9">
        <f t="shared" si="17"/>
        <v>2.6209068474191376E-2</v>
      </c>
      <c r="R218" s="9">
        <f t="shared" si="18"/>
        <v>0.97379093152580865</v>
      </c>
      <c r="S218" s="5" t="s">
        <v>642</v>
      </c>
      <c r="T218" s="5" t="str">
        <f t="shared" si="19"/>
        <v>OK</v>
      </c>
    </row>
    <row r="219" spans="1:20">
      <c r="A219" s="10" t="s">
        <v>651</v>
      </c>
      <c r="B219" s="10" t="s">
        <v>156</v>
      </c>
      <c r="C219" s="10" t="s">
        <v>122</v>
      </c>
      <c r="D219" s="10" t="s">
        <v>123</v>
      </c>
      <c r="E219" s="10" t="s">
        <v>132</v>
      </c>
      <c r="F219" s="10" t="s">
        <v>133</v>
      </c>
      <c r="G219" s="10" t="s">
        <v>213</v>
      </c>
      <c r="H219" s="10">
        <v>2034</v>
      </c>
      <c r="I219" s="10" t="s">
        <v>148</v>
      </c>
      <c r="J219" s="10" t="s">
        <v>157</v>
      </c>
      <c r="K219" s="9">
        <f>Effect_Sizes!J6</f>
        <v>0.28000000000000003</v>
      </c>
      <c r="L219" s="9">
        <f>Effect_Sizes!K6</f>
        <v>1</v>
      </c>
      <c r="M219" s="9">
        <f>Coverage_Trajectory!H63</f>
        <v>0.13031152777518129</v>
      </c>
      <c r="N219" s="9">
        <f>Coverage_Trajectory!K63</f>
        <v>0.24849999999999997</v>
      </c>
      <c r="O219" s="9">
        <f t="shared" si="15"/>
        <v>0.11818847222481868</v>
      </c>
      <c r="P219" s="9">
        <f t="shared" si="16"/>
        <v>3.4345961129918293E-2</v>
      </c>
      <c r="Q219" s="9">
        <f t="shared" si="17"/>
        <v>3.4345961129918293E-2</v>
      </c>
      <c r="R219" s="9">
        <f t="shared" si="18"/>
        <v>0.96565403887008172</v>
      </c>
      <c r="S219" s="10" t="s">
        <v>642</v>
      </c>
      <c r="T219" s="5" t="str">
        <f t="shared" si="19"/>
        <v>OK</v>
      </c>
    </row>
    <row r="220" spans="1:20">
      <c r="A220" s="5" t="s">
        <v>652</v>
      </c>
      <c r="B220" s="5" t="s">
        <v>156</v>
      </c>
      <c r="C220" s="5" t="s">
        <v>122</v>
      </c>
      <c r="D220" s="5" t="s">
        <v>123</v>
      </c>
      <c r="E220" s="5" t="s">
        <v>132</v>
      </c>
      <c r="F220" s="5" t="s">
        <v>133</v>
      </c>
      <c r="G220" s="5" t="s">
        <v>213</v>
      </c>
      <c r="H220" s="5">
        <v>2035</v>
      </c>
      <c r="I220" s="5" t="s">
        <v>148</v>
      </c>
      <c r="J220" s="5" t="s">
        <v>157</v>
      </c>
      <c r="K220" s="9">
        <f>Effect_Sizes!J6</f>
        <v>0.28000000000000003</v>
      </c>
      <c r="L220" s="9">
        <f>Effect_Sizes!K6</f>
        <v>1</v>
      </c>
      <c r="M220" s="9">
        <f>Coverage_Trajectory!H64</f>
        <v>0.13031152777518129</v>
      </c>
      <c r="N220" s="9">
        <f>Coverage_Trajectory!K64</f>
        <v>0.27649999999999997</v>
      </c>
      <c r="O220" s="9">
        <f t="shared" si="15"/>
        <v>0.14618847222481868</v>
      </c>
      <c r="P220" s="9">
        <f t="shared" si="16"/>
        <v>4.248285378564521E-2</v>
      </c>
      <c r="Q220" s="9">
        <f t="shared" si="17"/>
        <v>4.248285378564521E-2</v>
      </c>
      <c r="R220" s="9">
        <f t="shared" si="18"/>
        <v>0.9575171462143548</v>
      </c>
      <c r="S220" s="5" t="s">
        <v>642</v>
      </c>
      <c r="T220" s="5" t="str">
        <f t="shared" si="19"/>
        <v>OK</v>
      </c>
    </row>
    <row r="221" spans="1:20">
      <c r="A221" s="10" t="s">
        <v>653</v>
      </c>
      <c r="B221" s="10" t="s">
        <v>156</v>
      </c>
      <c r="C221" s="10" t="s">
        <v>122</v>
      </c>
      <c r="D221" s="10" t="s">
        <v>123</v>
      </c>
      <c r="E221" s="10" t="s">
        <v>132</v>
      </c>
      <c r="F221" s="10" t="s">
        <v>133</v>
      </c>
      <c r="G221" s="10" t="s">
        <v>213</v>
      </c>
      <c r="H221" s="10">
        <v>2036</v>
      </c>
      <c r="I221" s="10" t="s">
        <v>148</v>
      </c>
      <c r="J221" s="10" t="s">
        <v>157</v>
      </c>
      <c r="K221" s="9">
        <f>Effect_Sizes!J6</f>
        <v>0.28000000000000003</v>
      </c>
      <c r="L221" s="9">
        <f>Effect_Sizes!K6</f>
        <v>1</v>
      </c>
      <c r="M221" s="9">
        <f>Coverage_Trajectory!H65</f>
        <v>0.13031152777518129</v>
      </c>
      <c r="N221" s="9">
        <f>Coverage_Trajectory!K65</f>
        <v>0.30449999999999999</v>
      </c>
      <c r="O221" s="9">
        <f t="shared" si="15"/>
        <v>0.1741884722248187</v>
      </c>
      <c r="P221" s="9">
        <f t="shared" si="16"/>
        <v>5.061974644137214E-2</v>
      </c>
      <c r="Q221" s="9">
        <f t="shared" si="17"/>
        <v>5.061974644137214E-2</v>
      </c>
      <c r="R221" s="9">
        <f t="shared" si="18"/>
        <v>0.94938025355862787</v>
      </c>
      <c r="S221" s="10" t="s">
        <v>642</v>
      </c>
      <c r="T221" s="5" t="str">
        <f t="shared" si="19"/>
        <v>OK</v>
      </c>
    </row>
    <row r="222" spans="1:20">
      <c r="A222" s="5" t="s">
        <v>654</v>
      </c>
      <c r="B222" s="5" t="s">
        <v>156</v>
      </c>
      <c r="C222" s="5" t="s">
        <v>122</v>
      </c>
      <c r="D222" s="5" t="s">
        <v>123</v>
      </c>
      <c r="E222" s="5" t="s">
        <v>132</v>
      </c>
      <c r="F222" s="5" t="s">
        <v>133</v>
      </c>
      <c r="G222" s="5" t="s">
        <v>213</v>
      </c>
      <c r="H222" s="5">
        <v>2037</v>
      </c>
      <c r="I222" s="5" t="s">
        <v>148</v>
      </c>
      <c r="J222" s="5" t="s">
        <v>157</v>
      </c>
      <c r="K222" s="9">
        <f>Effect_Sizes!J6</f>
        <v>0.28000000000000003</v>
      </c>
      <c r="L222" s="9">
        <f>Effect_Sizes!K6</f>
        <v>1</v>
      </c>
      <c r="M222" s="9">
        <f>Coverage_Trajectory!H66</f>
        <v>0.13031152777518129</v>
      </c>
      <c r="N222" s="9">
        <f>Coverage_Trajectory!K66</f>
        <v>0.33249999999999996</v>
      </c>
      <c r="O222" s="9">
        <f t="shared" si="15"/>
        <v>0.20218847222481867</v>
      </c>
      <c r="P222" s="9">
        <f t="shared" si="16"/>
        <v>5.875663909709905E-2</v>
      </c>
      <c r="Q222" s="9">
        <f t="shared" si="17"/>
        <v>5.875663909709905E-2</v>
      </c>
      <c r="R222" s="9">
        <f t="shared" si="18"/>
        <v>0.94124336090290095</v>
      </c>
      <c r="S222" s="5" t="s">
        <v>642</v>
      </c>
      <c r="T222" s="5" t="str">
        <f t="shared" si="19"/>
        <v>OK</v>
      </c>
    </row>
    <row r="223" spans="1:20">
      <c r="A223" s="10" t="s">
        <v>655</v>
      </c>
      <c r="B223" s="10" t="s">
        <v>156</v>
      </c>
      <c r="C223" s="10" t="s">
        <v>122</v>
      </c>
      <c r="D223" s="10" t="s">
        <v>123</v>
      </c>
      <c r="E223" s="10" t="s">
        <v>132</v>
      </c>
      <c r="F223" s="10" t="s">
        <v>133</v>
      </c>
      <c r="G223" s="10" t="s">
        <v>213</v>
      </c>
      <c r="H223" s="10">
        <v>2038</v>
      </c>
      <c r="I223" s="10" t="s">
        <v>148</v>
      </c>
      <c r="J223" s="10" t="s">
        <v>157</v>
      </c>
      <c r="K223" s="9">
        <f>Effect_Sizes!J6</f>
        <v>0.28000000000000003</v>
      </c>
      <c r="L223" s="9">
        <f>Effect_Sizes!K6</f>
        <v>1</v>
      </c>
      <c r="M223" s="9">
        <f>Coverage_Trajectory!H67</f>
        <v>0.13031152777518129</v>
      </c>
      <c r="N223" s="9">
        <f>Coverage_Trajectory!K67</f>
        <v>0.36049999999999993</v>
      </c>
      <c r="O223" s="9">
        <f t="shared" si="15"/>
        <v>0.23018847222481864</v>
      </c>
      <c r="P223" s="9">
        <f t="shared" si="16"/>
        <v>6.689353175282596E-2</v>
      </c>
      <c r="Q223" s="9">
        <f t="shared" si="17"/>
        <v>6.689353175282596E-2</v>
      </c>
      <c r="R223" s="9">
        <f t="shared" si="18"/>
        <v>0.93310646824717403</v>
      </c>
      <c r="S223" s="10" t="s">
        <v>642</v>
      </c>
      <c r="T223" s="5" t="str">
        <f t="shared" si="19"/>
        <v>OK</v>
      </c>
    </row>
    <row r="224" spans="1:20">
      <c r="A224" s="5" t="s">
        <v>656</v>
      </c>
      <c r="B224" s="5" t="s">
        <v>156</v>
      </c>
      <c r="C224" s="5" t="s">
        <v>122</v>
      </c>
      <c r="D224" s="5" t="s">
        <v>123</v>
      </c>
      <c r="E224" s="5" t="s">
        <v>132</v>
      </c>
      <c r="F224" s="5" t="s">
        <v>133</v>
      </c>
      <c r="G224" s="5" t="s">
        <v>213</v>
      </c>
      <c r="H224" s="5">
        <v>2039</v>
      </c>
      <c r="I224" s="5" t="s">
        <v>148</v>
      </c>
      <c r="J224" s="5" t="s">
        <v>157</v>
      </c>
      <c r="K224" s="9">
        <f>Effect_Sizes!J6</f>
        <v>0.28000000000000003</v>
      </c>
      <c r="L224" s="9">
        <f>Effect_Sizes!K6</f>
        <v>1</v>
      </c>
      <c r="M224" s="9">
        <f>Coverage_Trajectory!H68</f>
        <v>0.13031152777518129</v>
      </c>
      <c r="N224" s="9">
        <f>Coverage_Trajectory!K68</f>
        <v>0.3884999999999999</v>
      </c>
      <c r="O224" s="9">
        <f t="shared" si="15"/>
        <v>0.25818847222481861</v>
      </c>
      <c r="P224" s="9">
        <f t="shared" si="16"/>
        <v>7.503042440855287E-2</v>
      </c>
      <c r="Q224" s="9">
        <f t="shared" si="17"/>
        <v>7.503042440855287E-2</v>
      </c>
      <c r="R224" s="9">
        <f t="shared" si="18"/>
        <v>0.9249695755914471</v>
      </c>
      <c r="S224" s="5" t="s">
        <v>642</v>
      </c>
      <c r="T224" s="5" t="str">
        <f t="shared" si="19"/>
        <v>OK</v>
      </c>
    </row>
    <row r="225" spans="1:20">
      <c r="A225" s="10" t="s">
        <v>657</v>
      </c>
      <c r="B225" s="10" t="s">
        <v>156</v>
      </c>
      <c r="C225" s="10" t="s">
        <v>122</v>
      </c>
      <c r="D225" s="10" t="s">
        <v>123</v>
      </c>
      <c r="E225" s="10" t="s">
        <v>132</v>
      </c>
      <c r="F225" s="10" t="s">
        <v>133</v>
      </c>
      <c r="G225" s="10" t="s">
        <v>213</v>
      </c>
      <c r="H225" s="10">
        <v>2040</v>
      </c>
      <c r="I225" s="10" t="s">
        <v>148</v>
      </c>
      <c r="J225" s="10" t="s">
        <v>157</v>
      </c>
      <c r="K225" s="9">
        <f>Effect_Sizes!J6</f>
        <v>0.28000000000000003</v>
      </c>
      <c r="L225" s="9">
        <f>Effect_Sizes!K6</f>
        <v>1</v>
      </c>
      <c r="M225" s="9">
        <f>Coverage_Trajectory!H69</f>
        <v>0.13031152777518129</v>
      </c>
      <c r="N225" s="9">
        <f>Coverage_Trajectory!K69</f>
        <v>0.41649999999999993</v>
      </c>
      <c r="O225" s="9">
        <f t="shared" si="15"/>
        <v>0.28618847222481864</v>
      </c>
      <c r="P225" s="9">
        <f t="shared" si="16"/>
        <v>8.3167317064279794E-2</v>
      </c>
      <c r="Q225" s="9">
        <f t="shared" si="17"/>
        <v>8.3167317064279794E-2</v>
      </c>
      <c r="R225" s="9">
        <f t="shared" si="18"/>
        <v>0.91683268293572018</v>
      </c>
      <c r="S225" s="10" t="s">
        <v>642</v>
      </c>
      <c r="T225" s="5" t="str">
        <f t="shared" si="19"/>
        <v>OK</v>
      </c>
    </row>
    <row r="226" spans="1:20">
      <c r="A226" s="5" t="s">
        <v>658</v>
      </c>
      <c r="B226" s="5" t="s">
        <v>156</v>
      </c>
      <c r="C226" s="5" t="s">
        <v>122</v>
      </c>
      <c r="D226" s="5" t="s">
        <v>123</v>
      </c>
      <c r="E226" s="5" t="s">
        <v>132</v>
      </c>
      <c r="F226" s="5" t="s">
        <v>133</v>
      </c>
      <c r="G226" s="5" t="s">
        <v>213</v>
      </c>
      <c r="H226" s="5">
        <v>2041</v>
      </c>
      <c r="I226" s="5" t="s">
        <v>148</v>
      </c>
      <c r="J226" s="5" t="s">
        <v>157</v>
      </c>
      <c r="K226" s="9">
        <f>Effect_Sizes!J6</f>
        <v>0.28000000000000003</v>
      </c>
      <c r="L226" s="9">
        <f>Effect_Sizes!K6</f>
        <v>1</v>
      </c>
      <c r="M226" s="9">
        <f>Coverage_Trajectory!H70</f>
        <v>0.13031152777518129</v>
      </c>
      <c r="N226" s="9">
        <f>Coverage_Trajectory!K70</f>
        <v>0.41649999999999993</v>
      </c>
      <c r="O226" s="9">
        <f t="shared" si="15"/>
        <v>0.28618847222481864</v>
      </c>
      <c r="P226" s="9">
        <f t="shared" si="16"/>
        <v>8.3167317064279794E-2</v>
      </c>
      <c r="Q226" s="9">
        <f t="shared" si="17"/>
        <v>8.3167317064279794E-2</v>
      </c>
      <c r="R226" s="9">
        <f t="shared" si="18"/>
        <v>0.91683268293572018</v>
      </c>
      <c r="S226" s="5" t="s">
        <v>642</v>
      </c>
      <c r="T226" s="5" t="str">
        <f t="shared" si="19"/>
        <v>OK</v>
      </c>
    </row>
    <row r="227" spans="1:20">
      <c r="A227" s="10" t="s">
        <v>659</v>
      </c>
      <c r="B227" s="10" t="s">
        <v>156</v>
      </c>
      <c r="C227" s="10" t="s">
        <v>122</v>
      </c>
      <c r="D227" s="10" t="s">
        <v>123</v>
      </c>
      <c r="E227" s="10" t="s">
        <v>132</v>
      </c>
      <c r="F227" s="10" t="s">
        <v>133</v>
      </c>
      <c r="G227" s="10" t="s">
        <v>213</v>
      </c>
      <c r="H227" s="10">
        <v>2042</v>
      </c>
      <c r="I227" s="10" t="s">
        <v>148</v>
      </c>
      <c r="J227" s="10" t="s">
        <v>157</v>
      </c>
      <c r="K227" s="9">
        <f>Effect_Sizes!J6</f>
        <v>0.28000000000000003</v>
      </c>
      <c r="L227" s="9">
        <f>Effect_Sizes!K6</f>
        <v>1</v>
      </c>
      <c r="M227" s="9">
        <f>Coverage_Trajectory!H71</f>
        <v>0.13031152777518129</v>
      </c>
      <c r="N227" s="9">
        <f>Coverage_Trajectory!K71</f>
        <v>0.41649999999999993</v>
      </c>
      <c r="O227" s="9">
        <f t="shared" si="15"/>
        <v>0.28618847222481864</v>
      </c>
      <c r="P227" s="9">
        <f t="shared" si="16"/>
        <v>8.3167317064279794E-2</v>
      </c>
      <c r="Q227" s="9">
        <f t="shared" si="17"/>
        <v>8.3167317064279794E-2</v>
      </c>
      <c r="R227" s="9">
        <f t="shared" si="18"/>
        <v>0.91683268293572018</v>
      </c>
      <c r="S227" s="10" t="s">
        <v>642</v>
      </c>
      <c r="T227" s="5" t="str">
        <f t="shared" si="19"/>
        <v>OK</v>
      </c>
    </row>
    <row r="228" spans="1:20">
      <c r="A228" s="5" t="s">
        <v>660</v>
      </c>
      <c r="B228" s="5" t="s">
        <v>156</v>
      </c>
      <c r="C228" s="5" t="s">
        <v>122</v>
      </c>
      <c r="D228" s="5" t="s">
        <v>123</v>
      </c>
      <c r="E228" s="5" t="s">
        <v>132</v>
      </c>
      <c r="F228" s="5" t="s">
        <v>133</v>
      </c>
      <c r="G228" s="5" t="s">
        <v>213</v>
      </c>
      <c r="H228" s="5">
        <v>2043</v>
      </c>
      <c r="I228" s="5" t="s">
        <v>148</v>
      </c>
      <c r="J228" s="5" t="s">
        <v>157</v>
      </c>
      <c r="K228" s="9">
        <f>Effect_Sizes!J6</f>
        <v>0.28000000000000003</v>
      </c>
      <c r="L228" s="9">
        <f>Effect_Sizes!K6</f>
        <v>1</v>
      </c>
      <c r="M228" s="9">
        <f>Coverage_Trajectory!H72</f>
        <v>0.13031152777518129</v>
      </c>
      <c r="N228" s="9">
        <f>Coverage_Trajectory!K72</f>
        <v>0.41649999999999993</v>
      </c>
      <c r="O228" s="9">
        <f t="shared" si="15"/>
        <v>0.28618847222481864</v>
      </c>
      <c r="P228" s="9">
        <f t="shared" si="16"/>
        <v>8.3167317064279794E-2</v>
      </c>
      <c r="Q228" s="9">
        <f t="shared" si="17"/>
        <v>8.3167317064279794E-2</v>
      </c>
      <c r="R228" s="9">
        <f t="shared" si="18"/>
        <v>0.91683268293572018</v>
      </c>
      <c r="S228" s="5" t="s">
        <v>642</v>
      </c>
      <c r="T228" s="5" t="str">
        <f t="shared" si="19"/>
        <v>OK</v>
      </c>
    </row>
    <row r="229" spans="1:20">
      <c r="A229" s="10" t="s">
        <v>661</v>
      </c>
      <c r="B229" s="10" t="s">
        <v>156</v>
      </c>
      <c r="C229" s="10" t="s">
        <v>122</v>
      </c>
      <c r="D229" s="10" t="s">
        <v>123</v>
      </c>
      <c r="E229" s="10" t="s">
        <v>132</v>
      </c>
      <c r="F229" s="10" t="s">
        <v>133</v>
      </c>
      <c r="G229" s="10" t="s">
        <v>213</v>
      </c>
      <c r="H229" s="10">
        <v>2044</v>
      </c>
      <c r="I229" s="10" t="s">
        <v>148</v>
      </c>
      <c r="J229" s="10" t="s">
        <v>157</v>
      </c>
      <c r="K229" s="9">
        <f>Effect_Sizes!J6</f>
        <v>0.28000000000000003</v>
      </c>
      <c r="L229" s="9">
        <f>Effect_Sizes!K6</f>
        <v>1</v>
      </c>
      <c r="M229" s="9">
        <f>Coverage_Trajectory!H73</f>
        <v>0.13031152777518129</v>
      </c>
      <c r="N229" s="9">
        <f>Coverage_Trajectory!K73</f>
        <v>0.41649999999999993</v>
      </c>
      <c r="O229" s="9">
        <f t="shared" si="15"/>
        <v>0.28618847222481864</v>
      </c>
      <c r="P229" s="9">
        <f t="shared" si="16"/>
        <v>8.3167317064279794E-2</v>
      </c>
      <c r="Q229" s="9">
        <f t="shared" si="17"/>
        <v>8.3167317064279794E-2</v>
      </c>
      <c r="R229" s="9">
        <f t="shared" si="18"/>
        <v>0.91683268293572018</v>
      </c>
      <c r="S229" s="10" t="s">
        <v>642</v>
      </c>
      <c r="T229" s="5" t="str">
        <f t="shared" si="19"/>
        <v>OK</v>
      </c>
    </row>
    <row r="230" spans="1:20">
      <c r="A230" s="5" t="s">
        <v>662</v>
      </c>
      <c r="B230" s="5" t="s">
        <v>156</v>
      </c>
      <c r="C230" s="5" t="s">
        <v>122</v>
      </c>
      <c r="D230" s="5" t="s">
        <v>123</v>
      </c>
      <c r="E230" s="5" t="s">
        <v>132</v>
      </c>
      <c r="F230" s="5" t="s">
        <v>133</v>
      </c>
      <c r="G230" s="5" t="s">
        <v>213</v>
      </c>
      <c r="H230" s="5">
        <v>2045</v>
      </c>
      <c r="I230" s="5" t="s">
        <v>148</v>
      </c>
      <c r="J230" s="5" t="s">
        <v>157</v>
      </c>
      <c r="K230" s="9">
        <f>Effect_Sizes!J6</f>
        <v>0.28000000000000003</v>
      </c>
      <c r="L230" s="9">
        <f>Effect_Sizes!K6</f>
        <v>1</v>
      </c>
      <c r="M230" s="9">
        <f>Coverage_Trajectory!H74</f>
        <v>0.13031152777518129</v>
      </c>
      <c r="N230" s="9">
        <f>Coverage_Trajectory!K74</f>
        <v>0.41649999999999993</v>
      </c>
      <c r="O230" s="9">
        <f t="shared" si="15"/>
        <v>0.28618847222481864</v>
      </c>
      <c r="P230" s="9">
        <f t="shared" si="16"/>
        <v>8.3167317064279794E-2</v>
      </c>
      <c r="Q230" s="9">
        <f t="shared" si="17"/>
        <v>8.3167317064279794E-2</v>
      </c>
      <c r="R230" s="9">
        <f t="shared" si="18"/>
        <v>0.91683268293572018</v>
      </c>
      <c r="S230" s="5" t="s">
        <v>642</v>
      </c>
      <c r="T230" s="5" t="str">
        <f t="shared" si="19"/>
        <v>OK</v>
      </c>
    </row>
    <row r="231" spans="1:20">
      <c r="A231" s="10" t="s">
        <v>663</v>
      </c>
      <c r="B231" s="10" t="s">
        <v>156</v>
      </c>
      <c r="C231" s="10" t="s">
        <v>122</v>
      </c>
      <c r="D231" s="10" t="s">
        <v>123</v>
      </c>
      <c r="E231" s="10" t="s">
        <v>132</v>
      </c>
      <c r="F231" s="10" t="s">
        <v>133</v>
      </c>
      <c r="G231" s="10" t="s">
        <v>213</v>
      </c>
      <c r="H231" s="10">
        <v>2046</v>
      </c>
      <c r="I231" s="10" t="s">
        <v>148</v>
      </c>
      <c r="J231" s="10" t="s">
        <v>157</v>
      </c>
      <c r="K231" s="9">
        <f>Effect_Sizes!J6</f>
        <v>0.28000000000000003</v>
      </c>
      <c r="L231" s="9">
        <f>Effect_Sizes!K6</f>
        <v>1</v>
      </c>
      <c r="M231" s="9">
        <f>Coverage_Trajectory!H75</f>
        <v>0.13031152777518129</v>
      </c>
      <c r="N231" s="9">
        <f>Coverage_Trajectory!K75</f>
        <v>0.41649999999999993</v>
      </c>
      <c r="O231" s="9">
        <f t="shared" si="15"/>
        <v>0.28618847222481864</v>
      </c>
      <c r="P231" s="9">
        <f t="shared" si="16"/>
        <v>8.3167317064279794E-2</v>
      </c>
      <c r="Q231" s="9">
        <f t="shared" si="17"/>
        <v>8.3167317064279794E-2</v>
      </c>
      <c r="R231" s="9">
        <f t="shared" si="18"/>
        <v>0.91683268293572018</v>
      </c>
      <c r="S231" s="10" t="s">
        <v>642</v>
      </c>
      <c r="T231" s="5" t="str">
        <f t="shared" si="19"/>
        <v>OK</v>
      </c>
    </row>
    <row r="232" spans="1:20">
      <c r="A232" s="5" t="s">
        <v>664</v>
      </c>
      <c r="B232" s="5" t="s">
        <v>156</v>
      </c>
      <c r="C232" s="5" t="s">
        <v>122</v>
      </c>
      <c r="D232" s="5" t="s">
        <v>123</v>
      </c>
      <c r="E232" s="5" t="s">
        <v>132</v>
      </c>
      <c r="F232" s="5" t="s">
        <v>133</v>
      </c>
      <c r="G232" s="5" t="s">
        <v>213</v>
      </c>
      <c r="H232" s="5">
        <v>2047</v>
      </c>
      <c r="I232" s="5" t="s">
        <v>148</v>
      </c>
      <c r="J232" s="5" t="s">
        <v>157</v>
      </c>
      <c r="K232" s="9">
        <f>Effect_Sizes!J6</f>
        <v>0.28000000000000003</v>
      </c>
      <c r="L232" s="9">
        <f>Effect_Sizes!K6</f>
        <v>1</v>
      </c>
      <c r="M232" s="9">
        <f>Coverage_Trajectory!H76</f>
        <v>0.13031152777518129</v>
      </c>
      <c r="N232" s="9">
        <f>Coverage_Trajectory!K76</f>
        <v>0.41649999999999993</v>
      </c>
      <c r="O232" s="9">
        <f t="shared" si="15"/>
        <v>0.28618847222481864</v>
      </c>
      <c r="P232" s="9">
        <f t="shared" si="16"/>
        <v>8.3167317064279794E-2</v>
      </c>
      <c r="Q232" s="9">
        <f t="shared" si="17"/>
        <v>8.3167317064279794E-2</v>
      </c>
      <c r="R232" s="9">
        <f t="shared" si="18"/>
        <v>0.91683268293572018</v>
      </c>
      <c r="S232" s="5" t="s">
        <v>642</v>
      </c>
      <c r="T232" s="5" t="str">
        <f t="shared" si="19"/>
        <v>OK</v>
      </c>
    </row>
    <row r="233" spans="1:20">
      <c r="A233" s="10" t="s">
        <v>665</v>
      </c>
      <c r="B233" s="10" t="s">
        <v>156</v>
      </c>
      <c r="C233" s="10" t="s">
        <v>122</v>
      </c>
      <c r="D233" s="10" t="s">
        <v>123</v>
      </c>
      <c r="E233" s="10" t="s">
        <v>132</v>
      </c>
      <c r="F233" s="10" t="s">
        <v>133</v>
      </c>
      <c r="G233" s="10" t="s">
        <v>213</v>
      </c>
      <c r="H233" s="10">
        <v>2048</v>
      </c>
      <c r="I233" s="10" t="s">
        <v>148</v>
      </c>
      <c r="J233" s="10" t="s">
        <v>157</v>
      </c>
      <c r="K233" s="9">
        <f>Effect_Sizes!J6</f>
        <v>0.28000000000000003</v>
      </c>
      <c r="L233" s="9">
        <f>Effect_Sizes!K6</f>
        <v>1</v>
      </c>
      <c r="M233" s="9">
        <f>Coverage_Trajectory!H77</f>
        <v>0.13031152777518129</v>
      </c>
      <c r="N233" s="9">
        <f>Coverage_Trajectory!K77</f>
        <v>0.41649999999999993</v>
      </c>
      <c r="O233" s="9">
        <f t="shared" si="15"/>
        <v>0.28618847222481864</v>
      </c>
      <c r="P233" s="9">
        <f t="shared" si="16"/>
        <v>8.3167317064279794E-2</v>
      </c>
      <c r="Q233" s="9">
        <f t="shared" si="17"/>
        <v>8.3167317064279794E-2</v>
      </c>
      <c r="R233" s="9">
        <f t="shared" si="18"/>
        <v>0.91683268293572018</v>
      </c>
      <c r="S233" s="10" t="s">
        <v>642</v>
      </c>
      <c r="T233" s="5" t="str">
        <f t="shared" si="19"/>
        <v>OK</v>
      </c>
    </row>
    <row r="234" spans="1:20">
      <c r="A234" s="5" t="s">
        <v>666</v>
      </c>
      <c r="B234" s="5" t="s">
        <v>156</v>
      </c>
      <c r="C234" s="5" t="s">
        <v>122</v>
      </c>
      <c r="D234" s="5" t="s">
        <v>123</v>
      </c>
      <c r="E234" s="5" t="s">
        <v>132</v>
      </c>
      <c r="F234" s="5" t="s">
        <v>133</v>
      </c>
      <c r="G234" s="5" t="s">
        <v>213</v>
      </c>
      <c r="H234" s="5">
        <v>2049</v>
      </c>
      <c r="I234" s="5" t="s">
        <v>148</v>
      </c>
      <c r="J234" s="5" t="s">
        <v>157</v>
      </c>
      <c r="K234" s="9">
        <f>Effect_Sizes!J6</f>
        <v>0.28000000000000003</v>
      </c>
      <c r="L234" s="9">
        <f>Effect_Sizes!K6</f>
        <v>1</v>
      </c>
      <c r="M234" s="9">
        <f>Coverage_Trajectory!H78</f>
        <v>0.13031152777518129</v>
      </c>
      <c r="N234" s="9">
        <f>Coverage_Trajectory!K78</f>
        <v>0.41649999999999993</v>
      </c>
      <c r="O234" s="9">
        <f t="shared" si="15"/>
        <v>0.28618847222481864</v>
      </c>
      <c r="P234" s="9">
        <f t="shared" si="16"/>
        <v>8.3167317064279794E-2</v>
      </c>
      <c r="Q234" s="9">
        <f t="shared" si="17"/>
        <v>8.3167317064279794E-2</v>
      </c>
      <c r="R234" s="9">
        <f t="shared" si="18"/>
        <v>0.91683268293572018</v>
      </c>
      <c r="S234" s="5" t="s">
        <v>642</v>
      </c>
      <c r="T234" s="5" t="str">
        <f t="shared" si="19"/>
        <v>OK</v>
      </c>
    </row>
    <row r="235" spans="1:20">
      <c r="A235" s="10" t="s">
        <v>667</v>
      </c>
      <c r="B235" s="10" t="s">
        <v>156</v>
      </c>
      <c r="C235" s="10" t="s">
        <v>122</v>
      </c>
      <c r="D235" s="10" t="s">
        <v>123</v>
      </c>
      <c r="E235" s="10" t="s">
        <v>132</v>
      </c>
      <c r="F235" s="10" t="s">
        <v>133</v>
      </c>
      <c r="G235" s="10" t="s">
        <v>213</v>
      </c>
      <c r="H235" s="10">
        <v>2050</v>
      </c>
      <c r="I235" s="10" t="s">
        <v>148</v>
      </c>
      <c r="J235" s="10" t="s">
        <v>157</v>
      </c>
      <c r="K235" s="9">
        <f>Effect_Sizes!J6</f>
        <v>0.28000000000000003</v>
      </c>
      <c r="L235" s="9">
        <f>Effect_Sizes!K6</f>
        <v>1</v>
      </c>
      <c r="M235" s="9">
        <f>Coverage_Trajectory!H79</f>
        <v>0.13031152777518129</v>
      </c>
      <c r="N235" s="9">
        <f>Coverage_Trajectory!K79</f>
        <v>0.41649999999999993</v>
      </c>
      <c r="O235" s="9">
        <f t="shared" si="15"/>
        <v>0.28618847222481864</v>
      </c>
      <c r="P235" s="9">
        <f t="shared" si="16"/>
        <v>8.3167317064279794E-2</v>
      </c>
      <c r="Q235" s="9">
        <f t="shared" si="17"/>
        <v>8.3167317064279794E-2</v>
      </c>
      <c r="R235" s="9">
        <f t="shared" si="18"/>
        <v>0.91683268293572018</v>
      </c>
      <c r="S235" s="10" t="s">
        <v>642</v>
      </c>
      <c r="T235" s="5" t="str">
        <f t="shared" si="19"/>
        <v>OK</v>
      </c>
    </row>
    <row r="236" spans="1:20">
      <c r="A236" s="5" t="s">
        <v>668</v>
      </c>
      <c r="B236" s="5" t="s">
        <v>156</v>
      </c>
      <c r="C236" s="5" t="s">
        <v>122</v>
      </c>
      <c r="D236" s="5" t="s">
        <v>123</v>
      </c>
      <c r="E236" s="5" t="s">
        <v>132</v>
      </c>
      <c r="F236" s="5" t="s">
        <v>133</v>
      </c>
      <c r="G236" s="5" t="s">
        <v>224</v>
      </c>
      <c r="H236" s="5">
        <v>2025</v>
      </c>
      <c r="I236" s="5" t="s">
        <v>148</v>
      </c>
      <c r="J236" s="5" t="s">
        <v>157</v>
      </c>
      <c r="K236" s="9">
        <f>Effect_Sizes!J6</f>
        <v>0.28000000000000003</v>
      </c>
      <c r="L236" s="9">
        <f>Effect_Sizes!K6</f>
        <v>1</v>
      </c>
      <c r="M236" s="9">
        <f>Coverage_Trajectory!H80</f>
        <v>0.1655176973841091</v>
      </c>
      <c r="N236" s="9">
        <f>Coverage_Trajectory!K80</f>
        <v>0.1655176973841091</v>
      </c>
      <c r="O236" s="9">
        <f t="shared" si="15"/>
        <v>0</v>
      </c>
      <c r="P236" s="9">
        <f t="shared" si="16"/>
        <v>0</v>
      </c>
      <c r="Q236" s="9">
        <f t="shared" si="17"/>
        <v>0</v>
      </c>
      <c r="R236" s="9">
        <f t="shared" si="18"/>
        <v>1</v>
      </c>
      <c r="S236" s="5" t="s">
        <v>642</v>
      </c>
      <c r="T236" s="5" t="str">
        <f t="shared" si="19"/>
        <v>OK</v>
      </c>
    </row>
    <row r="237" spans="1:20">
      <c r="A237" s="10" t="s">
        <v>669</v>
      </c>
      <c r="B237" s="10" t="s">
        <v>156</v>
      </c>
      <c r="C237" s="10" t="s">
        <v>122</v>
      </c>
      <c r="D237" s="10" t="s">
        <v>123</v>
      </c>
      <c r="E237" s="10" t="s">
        <v>132</v>
      </c>
      <c r="F237" s="10" t="s">
        <v>133</v>
      </c>
      <c r="G237" s="10" t="s">
        <v>224</v>
      </c>
      <c r="H237" s="10">
        <v>2026</v>
      </c>
      <c r="I237" s="10" t="s">
        <v>148</v>
      </c>
      <c r="J237" s="10" t="s">
        <v>157</v>
      </c>
      <c r="K237" s="9">
        <f>Effect_Sizes!J6</f>
        <v>0.28000000000000003</v>
      </c>
      <c r="L237" s="9">
        <f>Effect_Sizes!K6</f>
        <v>1</v>
      </c>
      <c r="M237" s="9">
        <f>Coverage_Trajectory!H81</f>
        <v>0.1655176973841091</v>
      </c>
      <c r="N237" s="9">
        <f>Coverage_Trajectory!K81</f>
        <v>0.1655176973841091</v>
      </c>
      <c r="O237" s="9">
        <f t="shared" si="15"/>
        <v>0</v>
      </c>
      <c r="P237" s="9">
        <f t="shared" si="16"/>
        <v>0</v>
      </c>
      <c r="Q237" s="9">
        <f t="shared" si="17"/>
        <v>0</v>
      </c>
      <c r="R237" s="9">
        <f t="shared" si="18"/>
        <v>1</v>
      </c>
      <c r="S237" s="10" t="s">
        <v>642</v>
      </c>
      <c r="T237" s="5" t="str">
        <f t="shared" si="19"/>
        <v>OK</v>
      </c>
    </row>
    <row r="238" spans="1:20">
      <c r="A238" s="5" t="s">
        <v>670</v>
      </c>
      <c r="B238" s="5" t="s">
        <v>156</v>
      </c>
      <c r="C238" s="5" t="s">
        <v>122</v>
      </c>
      <c r="D238" s="5" t="s">
        <v>123</v>
      </c>
      <c r="E238" s="5" t="s">
        <v>132</v>
      </c>
      <c r="F238" s="5" t="s">
        <v>133</v>
      </c>
      <c r="G238" s="5" t="s">
        <v>224</v>
      </c>
      <c r="H238" s="5">
        <v>2027</v>
      </c>
      <c r="I238" s="5" t="s">
        <v>148</v>
      </c>
      <c r="J238" s="5" t="s">
        <v>157</v>
      </c>
      <c r="K238" s="9">
        <f>Effect_Sizes!J6</f>
        <v>0.28000000000000003</v>
      </c>
      <c r="L238" s="9">
        <f>Effect_Sizes!K6</f>
        <v>1</v>
      </c>
      <c r="M238" s="9">
        <f>Coverage_Trajectory!H82</f>
        <v>0.1655176973841091</v>
      </c>
      <c r="N238" s="9">
        <f>Coverage_Trajectory!K82</f>
        <v>0.1655176973841091</v>
      </c>
      <c r="O238" s="9">
        <f t="shared" si="15"/>
        <v>0</v>
      </c>
      <c r="P238" s="9">
        <f t="shared" si="16"/>
        <v>0</v>
      </c>
      <c r="Q238" s="9">
        <f t="shared" si="17"/>
        <v>0</v>
      </c>
      <c r="R238" s="9">
        <f t="shared" si="18"/>
        <v>1</v>
      </c>
      <c r="S238" s="5" t="s">
        <v>642</v>
      </c>
      <c r="T238" s="5" t="str">
        <f t="shared" si="19"/>
        <v>OK</v>
      </c>
    </row>
    <row r="239" spans="1:20">
      <c r="A239" s="10" t="s">
        <v>671</v>
      </c>
      <c r="B239" s="10" t="s">
        <v>156</v>
      </c>
      <c r="C239" s="10" t="s">
        <v>122</v>
      </c>
      <c r="D239" s="10" t="s">
        <v>123</v>
      </c>
      <c r="E239" s="10" t="s">
        <v>132</v>
      </c>
      <c r="F239" s="10" t="s">
        <v>133</v>
      </c>
      <c r="G239" s="10" t="s">
        <v>224</v>
      </c>
      <c r="H239" s="10">
        <v>2028</v>
      </c>
      <c r="I239" s="10" t="s">
        <v>148</v>
      </c>
      <c r="J239" s="10" t="s">
        <v>157</v>
      </c>
      <c r="K239" s="9">
        <f>Effect_Sizes!J6</f>
        <v>0.28000000000000003</v>
      </c>
      <c r="L239" s="9">
        <f>Effect_Sizes!K6</f>
        <v>1</v>
      </c>
      <c r="M239" s="9">
        <f>Coverage_Trajectory!H83</f>
        <v>0.1655176973841091</v>
      </c>
      <c r="N239" s="9">
        <f>Coverage_Trajectory!K83</f>
        <v>0.1655176973841091</v>
      </c>
      <c r="O239" s="9">
        <f t="shared" si="15"/>
        <v>0</v>
      </c>
      <c r="P239" s="9">
        <f t="shared" si="16"/>
        <v>0</v>
      </c>
      <c r="Q239" s="9">
        <f t="shared" si="17"/>
        <v>0</v>
      </c>
      <c r="R239" s="9">
        <f t="shared" si="18"/>
        <v>1</v>
      </c>
      <c r="S239" s="10" t="s">
        <v>642</v>
      </c>
      <c r="T239" s="5" t="str">
        <f t="shared" si="19"/>
        <v>OK</v>
      </c>
    </row>
    <row r="240" spans="1:20">
      <c r="A240" s="5" t="s">
        <v>672</v>
      </c>
      <c r="B240" s="5" t="s">
        <v>156</v>
      </c>
      <c r="C240" s="5" t="s">
        <v>122</v>
      </c>
      <c r="D240" s="5" t="s">
        <v>123</v>
      </c>
      <c r="E240" s="5" t="s">
        <v>132</v>
      </c>
      <c r="F240" s="5" t="s">
        <v>133</v>
      </c>
      <c r="G240" s="5" t="s">
        <v>224</v>
      </c>
      <c r="H240" s="5">
        <v>2029</v>
      </c>
      <c r="I240" s="5" t="s">
        <v>148</v>
      </c>
      <c r="J240" s="5" t="s">
        <v>157</v>
      </c>
      <c r="K240" s="9">
        <f>Effect_Sizes!J6</f>
        <v>0.28000000000000003</v>
      </c>
      <c r="L240" s="9">
        <f>Effect_Sizes!K6</f>
        <v>1</v>
      </c>
      <c r="M240" s="9">
        <f>Coverage_Trajectory!H84</f>
        <v>0.1655176973841091</v>
      </c>
      <c r="N240" s="9">
        <f>Coverage_Trajectory!K84</f>
        <v>0.1655176973841091</v>
      </c>
      <c r="O240" s="9">
        <f t="shared" si="15"/>
        <v>0</v>
      </c>
      <c r="P240" s="9">
        <f t="shared" si="16"/>
        <v>0</v>
      </c>
      <c r="Q240" s="9">
        <f t="shared" si="17"/>
        <v>0</v>
      </c>
      <c r="R240" s="9">
        <f t="shared" si="18"/>
        <v>1</v>
      </c>
      <c r="S240" s="5" t="s">
        <v>642</v>
      </c>
      <c r="T240" s="5" t="str">
        <f t="shared" si="19"/>
        <v>OK</v>
      </c>
    </row>
    <row r="241" spans="1:20">
      <c r="A241" s="10" t="s">
        <v>673</v>
      </c>
      <c r="B241" s="10" t="s">
        <v>156</v>
      </c>
      <c r="C241" s="10" t="s">
        <v>122</v>
      </c>
      <c r="D241" s="10" t="s">
        <v>123</v>
      </c>
      <c r="E241" s="10" t="s">
        <v>132</v>
      </c>
      <c r="F241" s="10" t="s">
        <v>133</v>
      </c>
      <c r="G241" s="10" t="s">
        <v>224</v>
      </c>
      <c r="H241" s="10">
        <v>2030</v>
      </c>
      <c r="I241" s="10" t="s">
        <v>148</v>
      </c>
      <c r="J241" s="10" t="s">
        <v>157</v>
      </c>
      <c r="K241" s="9">
        <f>Effect_Sizes!J6</f>
        <v>0.28000000000000003</v>
      </c>
      <c r="L241" s="9">
        <f>Effect_Sizes!K6</f>
        <v>1</v>
      </c>
      <c r="M241" s="9">
        <f>Coverage_Trajectory!H85</f>
        <v>0.1655176973841091</v>
      </c>
      <c r="N241" s="9">
        <f>Coverage_Trajectory!K85</f>
        <v>0.1655176973841091</v>
      </c>
      <c r="O241" s="9">
        <f t="shared" si="15"/>
        <v>0</v>
      </c>
      <c r="P241" s="9">
        <f t="shared" si="16"/>
        <v>0</v>
      </c>
      <c r="Q241" s="9">
        <f t="shared" si="17"/>
        <v>0</v>
      </c>
      <c r="R241" s="9">
        <f t="shared" si="18"/>
        <v>1</v>
      </c>
      <c r="S241" s="10" t="s">
        <v>642</v>
      </c>
      <c r="T241" s="5" t="str">
        <f t="shared" si="19"/>
        <v>OK</v>
      </c>
    </row>
    <row r="242" spans="1:20">
      <c r="A242" s="5" t="s">
        <v>674</v>
      </c>
      <c r="B242" s="5" t="s">
        <v>156</v>
      </c>
      <c r="C242" s="5" t="s">
        <v>122</v>
      </c>
      <c r="D242" s="5" t="s">
        <v>123</v>
      </c>
      <c r="E242" s="5" t="s">
        <v>132</v>
      </c>
      <c r="F242" s="5" t="s">
        <v>133</v>
      </c>
      <c r="G242" s="5" t="s">
        <v>224</v>
      </c>
      <c r="H242" s="5">
        <v>2031</v>
      </c>
      <c r="I242" s="5" t="s">
        <v>148</v>
      </c>
      <c r="J242" s="5" t="s">
        <v>157</v>
      </c>
      <c r="K242" s="9">
        <f>Effect_Sizes!J6</f>
        <v>0.28000000000000003</v>
      </c>
      <c r="L242" s="9">
        <f>Effect_Sizes!K6</f>
        <v>1</v>
      </c>
      <c r="M242" s="9">
        <f>Coverage_Trajectory!H86</f>
        <v>0.1655176973841091</v>
      </c>
      <c r="N242" s="9">
        <f>Coverage_Trajectory!K86</f>
        <v>0.19061592764569818</v>
      </c>
      <c r="O242" s="9">
        <f t="shared" si="15"/>
        <v>2.5098230261589083E-2</v>
      </c>
      <c r="P242" s="9">
        <f t="shared" si="16"/>
        <v>7.3690214423565801E-3</v>
      </c>
      <c r="Q242" s="9">
        <f t="shared" si="17"/>
        <v>7.3690214423565801E-3</v>
      </c>
      <c r="R242" s="9">
        <f t="shared" si="18"/>
        <v>0.99263097855764337</v>
      </c>
      <c r="S242" s="5" t="s">
        <v>642</v>
      </c>
      <c r="T242" s="5" t="str">
        <f t="shared" si="19"/>
        <v>OK</v>
      </c>
    </row>
    <row r="243" spans="1:20">
      <c r="A243" s="10" t="s">
        <v>675</v>
      </c>
      <c r="B243" s="10" t="s">
        <v>156</v>
      </c>
      <c r="C243" s="10" t="s">
        <v>122</v>
      </c>
      <c r="D243" s="10" t="s">
        <v>123</v>
      </c>
      <c r="E243" s="10" t="s">
        <v>132</v>
      </c>
      <c r="F243" s="10" t="s">
        <v>133</v>
      </c>
      <c r="G243" s="10" t="s">
        <v>224</v>
      </c>
      <c r="H243" s="10">
        <v>2032</v>
      </c>
      <c r="I243" s="10" t="s">
        <v>148</v>
      </c>
      <c r="J243" s="10" t="s">
        <v>157</v>
      </c>
      <c r="K243" s="9">
        <f>Effect_Sizes!J6</f>
        <v>0.28000000000000003</v>
      </c>
      <c r="L243" s="9">
        <f>Effect_Sizes!K6</f>
        <v>1</v>
      </c>
      <c r="M243" s="9">
        <f>Coverage_Trajectory!H87</f>
        <v>0.1655176973841091</v>
      </c>
      <c r="N243" s="9">
        <f>Coverage_Trajectory!K87</f>
        <v>0.21571415790728726</v>
      </c>
      <c r="O243" s="9">
        <f t="shared" si="15"/>
        <v>5.0196460523178166E-2</v>
      </c>
      <c r="P243" s="9">
        <f t="shared" si="16"/>
        <v>1.473804288471316E-2</v>
      </c>
      <c r="Q243" s="9">
        <f t="shared" si="17"/>
        <v>1.473804288471316E-2</v>
      </c>
      <c r="R243" s="9">
        <f t="shared" si="18"/>
        <v>0.98526195711528686</v>
      </c>
      <c r="S243" s="10" t="s">
        <v>642</v>
      </c>
      <c r="T243" s="5" t="str">
        <f t="shared" si="19"/>
        <v>OK</v>
      </c>
    </row>
    <row r="244" spans="1:20">
      <c r="A244" s="5" t="s">
        <v>676</v>
      </c>
      <c r="B244" s="5" t="s">
        <v>156</v>
      </c>
      <c r="C244" s="5" t="s">
        <v>122</v>
      </c>
      <c r="D244" s="5" t="s">
        <v>123</v>
      </c>
      <c r="E244" s="5" t="s">
        <v>132</v>
      </c>
      <c r="F244" s="5" t="s">
        <v>133</v>
      </c>
      <c r="G244" s="5" t="s">
        <v>224</v>
      </c>
      <c r="H244" s="5">
        <v>2033</v>
      </c>
      <c r="I244" s="5" t="s">
        <v>148</v>
      </c>
      <c r="J244" s="5" t="s">
        <v>157</v>
      </c>
      <c r="K244" s="9">
        <f>Effect_Sizes!J6</f>
        <v>0.28000000000000003</v>
      </c>
      <c r="L244" s="9">
        <f>Effect_Sizes!K6</f>
        <v>1</v>
      </c>
      <c r="M244" s="9">
        <f>Coverage_Trajectory!H88</f>
        <v>0.1655176973841091</v>
      </c>
      <c r="N244" s="9">
        <f>Coverage_Trajectory!K88</f>
        <v>0.24081238816887635</v>
      </c>
      <c r="O244" s="9">
        <f t="shared" si="15"/>
        <v>7.5294690784767249E-2</v>
      </c>
      <c r="P244" s="9">
        <f t="shared" si="16"/>
        <v>2.2107064327069742E-2</v>
      </c>
      <c r="Q244" s="9">
        <f t="shared" si="17"/>
        <v>2.2107064327069742E-2</v>
      </c>
      <c r="R244" s="9">
        <f t="shared" si="18"/>
        <v>0.97789293567293023</v>
      </c>
      <c r="S244" s="5" t="s">
        <v>642</v>
      </c>
      <c r="T244" s="5" t="str">
        <f t="shared" si="19"/>
        <v>OK</v>
      </c>
    </row>
    <row r="245" spans="1:20">
      <c r="A245" s="10" t="s">
        <v>677</v>
      </c>
      <c r="B245" s="10" t="s">
        <v>156</v>
      </c>
      <c r="C245" s="10" t="s">
        <v>122</v>
      </c>
      <c r="D245" s="10" t="s">
        <v>123</v>
      </c>
      <c r="E245" s="10" t="s">
        <v>132</v>
      </c>
      <c r="F245" s="10" t="s">
        <v>133</v>
      </c>
      <c r="G245" s="10" t="s">
        <v>224</v>
      </c>
      <c r="H245" s="10">
        <v>2034</v>
      </c>
      <c r="I245" s="10" t="s">
        <v>148</v>
      </c>
      <c r="J245" s="10" t="s">
        <v>157</v>
      </c>
      <c r="K245" s="9">
        <f>Effect_Sizes!J6</f>
        <v>0.28000000000000003</v>
      </c>
      <c r="L245" s="9">
        <f>Effect_Sizes!K6</f>
        <v>1</v>
      </c>
      <c r="M245" s="9">
        <f>Coverage_Trajectory!H89</f>
        <v>0.1655176973841091</v>
      </c>
      <c r="N245" s="9">
        <f>Coverage_Trajectory!K89</f>
        <v>0.26591061843046543</v>
      </c>
      <c r="O245" s="9">
        <f t="shared" si="15"/>
        <v>0.10039292104635633</v>
      </c>
      <c r="P245" s="9">
        <f t="shared" si="16"/>
        <v>2.947608576942632E-2</v>
      </c>
      <c r="Q245" s="9">
        <f t="shared" si="17"/>
        <v>2.947608576942632E-2</v>
      </c>
      <c r="R245" s="9">
        <f t="shared" si="18"/>
        <v>0.97052391423057371</v>
      </c>
      <c r="S245" s="10" t="s">
        <v>642</v>
      </c>
      <c r="T245" s="5" t="str">
        <f t="shared" si="19"/>
        <v>OK</v>
      </c>
    </row>
    <row r="246" spans="1:20">
      <c r="A246" s="5" t="s">
        <v>678</v>
      </c>
      <c r="B246" s="5" t="s">
        <v>156</v>
      </c>
      <c r="C246" s="5" t="s">
        <v>122</v>
      </c>
      <c r="D246" s="5" t="s">
        <v>123</v>
      </c>
      <c r="E246" s="5" t="s">
        <v>132</v>
      </c>
      <c r="F246" s="5" t="s">
        <v>133</v>
      </c>
      <c r="G246" s="5" t="s">
        <v>224</v>
      </c>
      <c r="H246" s="5">
        <v>2035</v>
      </c>
      <c r="I246" s="5" t="s">
        <v>148</v>
      </c>
      <c r="J246" s="5" t="s">
        <v>157</v>
      </c>
      <c r="K246" s="9">
        <f>Effect_Sizes!J6</f>
        <v>0.28000000000000003</v>
      </c>
      <c r="L246" s="9">
        <f>Effect_Sizes!K6</f>
        <v>1</v>
      </c>
      <c r="M246" s="9">
        <f>Coverage_Trajectory!H90</f>
        <v>0.1655176973841091</v>
      </c>
      <c r="N246" s="9">
        <f>Coverage_Trajectory!K90</f>
        <v>0.29100884869205451</v>
      </c>
      <c r="O246" s="9">
        <f t="shared" si="15"/>
        <v>0.12549115130794541</v>
      </c>
      <c r="P246" s="9">
        <f t="shared" si="16"/>
        <v>3.6845107211782906E-2</v>
      </c>
      <c r="Q246" s="9">
        <f t="shared" si="17"/>
        <v>3.6845107211782906E-2</v>
      </c>
      <c r="R246" s="9">
        <f t="shared" si="18"/>
        <v>0.96315489278821709</v>
      </c>
      <c r="S246" s="5" t="s">
        <v>642</v>
      </c>
      <c r="T246" s="5" t="str">
        <f t="shared" si="19"/>
        <v>OK</v>
      </c>
    </row>
    <row r="247" spans="1:20">
      <c r="A247" s="10" t="s">
        <v>679</v>
      </c>
      <c r="B247" s="10" t="s">
        <v>156</v>
      </c>
      <c r="C247" s="10" t="s">
        <v>122</v>
      </c>
      <c r="D247" s="10" t="s">
        <v>123</v>
      </c>
      <c r="E247" s="10" t="s">
        <v>132</v>
      </c>
      <c r="F247" s="10" t="s">
        <v>133</v>
      </c>
      <c r="G247" s="10" t="s">
        <v>224</v>
      </c>
      <c r="H247" s="10">
        <v>2036</v>
      </c>
      <c r="I247" s="10" t="s">
        <v>148</v>
      </c>
      <c r="J247" s="10" t="s">
        <v>157</v>
      </c>
      <c r="K247" s="9">
        <f>Effect_Sizes!J6</f>
        <v>0.28000000000000003</v>
      </c>
      <c r="L247" s="9">
        <f>Effect_Sizes!K6</f>
        <v>1</v>
      </c>
      <c r="M247" s="9">
        <f>Coverage_Trajectory!H91</f>
        <v>0.1655176973841091</v>
      </c>
      <c r="N247" s="9">
        <f>Coverage_Trajectory!K91</f>
        <v>0.31610707895364359</v>
      </c>
      <c r="O247" s="9">
        <f t="shared" si="15"/>
        <v>0.1505893815695345</v>
      </c>
      <c r="P247" s="9">
        <f t="shared" si="16"/>
        <v>4.4214128654139484E-2</v>
      </c>
      <c r="Q247" s="9">
        <f t="shared" si="17"/>
        <v>4.4214128654139484E-2</v>
      </c>
      <c r="R247" s="9">
        <f t="shared" si="18"/>
        <v>0.95578587134586046</v>
      </c>
      <c r="S247" s="10" t="s">
        <v>642</v>
      </c>
      <c r="T247" s="5" t="str">
        <f t="shared" si="19"/>
        <v>OK</v>
      </c>
    </row>
    <row r="248" spans="1:20">
      <c r="A248" s="5" t="s">
        <v>680</v>
      </c>
      <c r="B248" s="5" t="s">
        <v>156</v>
      </c>
      <c r="C248" s="5" t="s">
        <v>122</v>
      </c>
      <c r="D248" s="5" t="s">
        <v>123</v>
      </c>
      <c r="E248" s="5" t="s">
        <v>132</v>
      </c>
      <c r="F248" s="5" t="s">
        <v>133</v>
      </c>
      <c r="G248" s="5" t="s">
        <v>224</v>
      </c>
      <c r="H248" s="5">
        <v>2037</v>
      </c>
      <c r="I248" s="5" t="s">
        <v>148</v>
      </c>
      <c r="J248" s="5" t="s">
        <v>157</v>
      </c>
      <c r="K248" s="9">
        <f>Effect_Sizes!J6</f>
        <v>0.28000000000000003</v>
      </c>
      <c r="L248" s="9">
        <f>Effect_Sizes!K6</f>
        <v>1</v>
      </c>
      <c r="M248" s="9">
        <f>Coverage_Trajectory!H92</f>
        <v>0.1655176973841091</v>
      </c>
      <c r="N248" s="9">
        <f>Coverage_Trajectory!K92</f>
        <v>0.34120530921523268</v>
      </c>
      <c r="O248" s="9">
        <f t="shared" si="15"/>
        <v>0.17568761183112358</v>
      </c>
      <c r="P248" s="9">
        <f t="shared" si="16"/>
        <v>5.1583150096496062E-2</v>
      </c>
      <c r="Q248" s="9">
        <f t="shared" si="17"/>
        <v>5.1583150096496062E-2</v>
      </c>
      <c r="R248" s="9">
        <f t="shared" si="18"/>
        <v>0.94841684990350394</v>
      </c>
      <c r="S248" s="5" t="s">
        <v>642</v>
      </c>
      <c r="T248" s="5" t="str">
        <f t="shared" si="19"/>
        <v>OK</v>
      </c>
    </row>
    <row r="249" spans="1:20">
      <c r="A249" s="10" t="s">
        <v>681</v>
      </c>
      <c r="B249" s="10" t="s">
        <v>156</v>
      </c>
      <c r="C249" s="10" t="s">
        <v>122</v>
      </c>
      <c r="D249" s="10" t="s">
        <v>123</v>
      </c>
      <c r="E249" s="10" t="s">
        <v>132</v>
      </c>
      <c r="F249" s="10" t="s">
        <v>133</v>
      </c>
      <c r="G249" s="10" t="s">
        <v>224</v>
      </c>
      <c r="H249" s="10">
        <v>2038</v>
      </c>
      <c r="I249" s="10" t="s">
        <v>148</v>
      </c>
      <c r="J249" s="10" t="s">
        <v>157</v>
      </c>
      <c r="K249" s="9">
        <f>Effect_Sizes!J6</f>
        <v>0.28000000000000003</v>
      </c>
      <c r="L249" s="9">
        <f>Effect_Sizes!K6</f>
        <v>1</v>
      </c>
      <c r="M249" s="9">
        <f>Coverage_Trajectory!H93</f>
        <v>0.1655176973841091</v>
      </c>
      <c r="N249" s="9">
        <f>Coverage_Trajectory!K93</f>
        <v>0.36630353947682176</v>
      </c>
      <c r="O249" s="9">
        <f t="shared" si="15"/>
        <v>0.20078584209271266</v>
      </c>
      <c r="P249" s="9">
        <f t="shared" si="16"/>
        <v>5.8952171538852641E-2</v>
      </c>
      <c r="Q249" s="9">
        <f t="shared" si="17"/>
        <v>5.8952171538852641E-2</v>
      </c>
      <c r="R249" s="9">
        <f t="shared" si="18"/>
        <v>0.94104782846114732</v>
      </c>
      <c r="S249" s="10" t="s">
        <v>642</v>
      </c>
      <c r="T249" s="5" t="str">
        <f t="shared" si="19"/>
        <v>OK</v>
      </c>
    </row>
    <row r="250" spans="1:20">
      <c r="A250" s="5" t="s">
        <v>682</v>
      </c>
      <c r="B250" s="5" t="s">
        <v>156</v>
      </c>
      <c r="C250" s="5" t="s">
        <v>122</v>
      </c>
      <c r="D250" s="5" t="s">
        <v>123</v>
      </c>
      <c r="E250" s="5" t="s">
        <v>132</v>
      </c>
      <c r="F250" s="5" t="s">
        <v>133</v>
      </c>
      <c r="G250" s="5" t="s">
        <v>224</v>
      </c>
      <c r="H250" s="5">
        <v>2039</v>
      </c>
      <c r="I250" s="5" t="s">
        <v>148</v>
      </c>
      <c r="J250" s="5" t="s">
        <v>157</v>
      </c>
      <c r="K250" s="9">
        <f>Effect_Sizes!J6</f>
        <v>0.28000000000000003</v>
      </c>
      <c r="L250" s="9">
        <f>Effect_Sizes!K6</f>
        <v>1</v>
      </c>
      <c r="M250" s="9">
        <f>Coverage_Trajectory!H94</f>
        <v>0.1655176973841091</v>
      </c>
      <c r="N250" s="9">
        <f>Coverage_Trajectory!K94</f>
        <v>0.3914017697384109</v>
      </c>
      <c r="O250" s="9">
        <f t="shared" si="15"/>
        <v>0.2258840723543018</v>
      </c>
      <c r="P250" s="9">
        <f t="shared" si="16"/>
        <v>6.632119298120924E-2</v>
      </c>
      <c r="Q250" s="9">
        <f t="shared" si="17"/>
        <v>6.632119298120924E-2</v>
      </c>
      <c r="R250" s="9">
        <f t="shared" si="18"/>
        <v>0.9336788070187908</v>
      </c>
      <c r="S250" s="5" t="s">
        <v>642</v>
      </c>
      <c r="T250" s="5" t="str">
        <f t="shared" si="19"/>
        <v>OK</v>
      </c>
    </row>
    <row r="251" spans="1:20">
      <c r="A251" s="10" t="s">
        <v>683</v>
      </c>
      <c r="B251" s="10" t="s">
        <v>156</v>
      </c>
      <c r="C251" s="10" t="s">
        <v>122</v>
      </c>
      <c r="D251" s="10" t="s">
        <v>123</v>
      </c>
      <c r="E251" s="10" t="s">
        <v>132</v>
      </c>
      <c r="F251" s="10" t="s">
        <v>133</v>
      </c>
      <c r="G251" s="10" t="s">
        <v>224</v>
      </c>
      <c r="H251" s="10">
        <v>2040</v>
      </c>
      <c r="I251" s="10" t="s">
        <v>148</v>
      </c>
      <c r="J251" s="10" t="s">
        <v>157</v>
      </c>
      <c r="K251" s="9">
        <f>Effect_Sizes!J6</f>
        <v>0.28000000000000003</v>
      </c>
      <c r="L251" s="9">
        <f>Effect_Sizes!K6</f>
        <v>1</v>
      </c>
      <c r="M251" s="9">
        <f>Coverage_Trajectory!H95</f>
        <v>0.1655176973841091</v>
      </c>
      <c r="N251" s="9">
        <f>Coverage_Trajectory!K95</f>
        <v>0.41649999999999993</v>
      </c>
      <c r="O251" s="9">
        <f t="shared" si="15"/>
        <v>0.25098230261589083</v>
      </c>
      <c r="P251" s="9">
        <f t="shared" si="16"/>
        <v>7.3690214423565811E-2</v>
      </c>
      <c r="Q251" s="9">
        <f t="shared" si="17"/>
        <v>7.3690214423565811E-2</v>
      </c>
      <c r="R251" s="9">
        <f t="shared" si="18"/>
        <v>0.92630978557643417</v>
      </c>
      <c r="S251" s="10" t="s">
        <v>642</v>
      </c>
      <c r="T251" s="5" t="str">
        <f t="shared" si="19"/>
        <v>OK</v>
      </c>
    </row>
    <row r="252" spans="1:20">
      <c r="A252" s="5" t="s">
        <v>684</v>
      </c>
      <c r="B252" s="5" t="s">
        <v>156</v>
      </c>
      <c r="C252" s="5" t="s">
        <v>122</v>
      </c>
      <c r="D252" s="5" t="s">
        <v>123</v>
      </c>
      <c r="E252" s="5" t="s">
        <v>132</v>
      </c>
      <c r="F252" s="5" t="s">
        <v>133</v>
      </c>
      <c r="G252" s="5" t="s">
        <v>224</v>
      </c>
      <c r="H252" s="5">
        <v>2041</v>
      </c>
      <c r="I252" s="5" t="s">
        <v>148</v>
      </c>
      <c r="J252" s="5" t="s">
        <v>157</v>
      </c>
      <c r="K252" s="9">
        <f>Effect_Sizes!J6</f>
        <v>0.28000000000000003</v>
      </c>
      <c r="L252" s="9">
        <f>Effect_Sizes!K6</f>
        <v>1</v>
      </c>
      <c r="M252" s="9">
        <f>Coverage_Trajectory!H96</f>
        <v>0.1655176973841091</v>
      </c>
      <c r="N252" s="9">
        <f>Coverage_Trajectory!K96</f>
        <v>0.41649999999999993</v>
      </c>
      <c r="O252" s="9">
        <f t="shared" si="15"/>
        <v>0.25098230261589083</v>
      </c>
      <c r="P252" s="9">
        <f t="shared" si="16"/>
        <v>7.3690214423565811E-2</v>
      </c>
      <c r="Q252" s="9">
        <f t="shared" si="17"/>
        <v>7.3690214423565811E-2</v>
      </c>
      <c r="R252" s="9">
        <f t="shared" si="18"/>
        <v>0.92630978557643417</v>
      </c>
      <c r="S252" s="5" t="s">
        <v>642</v>
      </c>
      <c r="T252" s="5" t="str">
        <f t="shared" si="19"/>
        <v>OK</v>
      </c>
    </row>
    <row r="253" spans="1:20">
      <c r="A253" s="10" t="s">
        <v>685</v>
      </c>
      <c r="B253" s="10" t="s">
        <v>156</v>
      </c>
      <c r="C253" s="10" t="s">
        <v>122</v>
      </c>
      <c r="D253" s="10" t="s">
        <v>123</v>
      </c>
      <c r="E253" s="10" t="s">
        <v>132</v>
      </c>
      <c r="F253" s="10" t="s">
        <v>133</v>
      </c>
      <c r="G253" s="10" t="s">
        <v>224</v>
      </c>
      <c r="H253" s="10">
        <v>2042</v>
      </c>
      <c r="I253" s="10" t="s">
        <v>148</v>
      </c>
      <c r="J253" s="10" t="s">
        <v>157</v>
      </c>
      <c r="K253" s="9">
        <f>Effect_Sizes!J6</f>
        <v>0.28000000000000003</v>
      </c>
      <c r="L253" s="9">
        <f>Effect_Sizes!K6</f>
        <v>1</v>
      </c>
      <c r="M253" s="9">
        <f>Coverage_Trajectory!H97</f>
        <v>0.1655176973841091</v>
      </c>
      <c r="N253" s="9">
        <f>Coverage_Trajectory!K97</f>
        <v>0.41649999999999993</v>
      </c>
      <c r="O253" s="9">
        <f t="shared" si="15"/>
        <v>0.25098230261589083</v>
      </c>
      <c r="P253" s="9">
        <f t="shared" si="16"/>
        <v>7.3690214423565811E-2</v>
      </c>
      <c r="Q253" s="9">
        <f t="shared" si="17"/>
        <v>7.3690214423565811E-2</v>
      </c>
      <c r="R253" s="9">
        <f t="shared" si="18"/>
        <v>0.92630978557643417</v>
      </c>
      <c r="S253" s="10" t="s">
        <v>642</v>
      </c>
      <c r="T253" s="5" t="str">
        <f t="shared" si="19"/>
        <v>OK</v>
      </c>
    </row>
    <row r="254" spans="1:20">
      <c r="A254" s="5" t="s">
        <v>686</v>
      </c>
      <c r="B254" s="5" t="s">
        <v>156</v>
      </c>
      <c r="C254" s="5" t="s">
        <v>122</v>
      </c>
      <c r="D254" s="5" t="s">
        <v>123</v>
      </c>
      <c r="E254" s="5" t="s">
        <v>132</v>
      </c>
      <c r="F254" s="5" t="s">
        <v>133</v>
      </c>
      <c r="G254" s="5" t="s">
        <v>224</v>
      </c>
      <c r="H254" s="5">
        <v>2043</v>
      </c>
      <c r="I254" s="5" t="s">
        <v>148</v>
      </c>
      <c r="J254" s="5" t="s">
        <v>157</v>
      </c>
      <c r="K254" s="9">
        <f>Effect_Sizes!J6</f>
        <v>0.28000000000000003</v>
      </c>
      <c r="L254" s="9">
        <f>Effect_Sizes!K6</f>
        <v>1</v>
      </c>
      <c r="M254" s="9">
        <f>Coverage_Trajectory!H98</f>
        <v>0.1655176973841091</v>
      </c>
      <c r="N254" s="9">
        <f>Coverage_Trajectory!K98</f>
        <v>0.41649999999999993</v>
      </c>
      <c r="O254" s="9">
        <f t="shared" si="15"/>
        <v>0.25098230261589083</v>
      </c>
      <c r="P254" s="9">
        <f t="shared" si="16"/>
        <v>7.3690214423565811E-2</v>
      </c>
      <c r="Q254" s="9">
        <f t="shared" si="17"/>
        <v>7.3690214423565811E-2</v>
      </c>
      <c r="R254" s="9">
        <f t="shared" si="18"/>
        <v>0.92630978557643417</v>
      </c>
      <c r="S254" s="5" t="s">
        <v>642</v>
      </c>
      <c r="T254" s="5" t="str">
        <f t="shared" si="19"/>
        <v>OK</v>
      </c>
    </row>
    <row r="255" spans="1:20">
      <c r="A255" s="10" t="s">
        <v>687</v>
      </c>
      <c r="B255" s="10" t="s">
        <v>156</v>
      </c>
      <c r="C255" s="10" t="s">
        <v>122</v>
      </c>
      <c r="D255" s="10" t="s">
        <v>123</v>
      </c>
      <c r="E255" s="10" t="s">
        <v>132</v>
      </c>
      <c r="F255" s="10" t="s">
        <v>133</v>
      </c>
      <c r="G255" s="10" t="s">
        <v>224</v>
      </c>
      <c r="H255" s="10">
        <v>2044</v>
      </c>
      <c r="I255" s="10" t="s">
        <v>148</v>
      </c>
      <c r="J255" s="10" t="s">
        <v>157</v>
      </c>
      <c r="K255" s="9">
        <f>Effect_Sizes!J6</f>
        <v>0.28000000000000003</v>
      </c>
      <c r="L255" s="9">
        <f>Effect_Sizes!K6</f>
        <v>1</v>
      </c>
      <c r="M255" s="9">
        <f>Coverage_Trajectory!H99</f>
        <v>0.1655176973841091</v>
      </c>
      <c r="N255" s="9">
        <f>Coverage_Trajectory!K99</f>
        <v>0.41649999999999993</v>
      </c>
      <c r="O255" s="9">
        <f t="shared" si="15"/>
        <v>0.25098230261589083</v>
      </c>
      <c r="P255" s="9">
        <f t="shared" si="16"/>
        <v>7.3690214423565811E-2</v>
      </c>
      <c r="Q255" s="9">
        <f t="shared" si="17"/>
        <v>7.3690214423565811E-2</v>
      </c>
      <c r="R255" s="9">
        <f t="shared" si="18"/>
        <v>0.92630978557643417</v>
      </c>
      <c r="S255" s="10" t="s">
        <v>642</v>
      </c>
      <c r="T255" s="5" t="str">
        <f t="shared" si="19"/>
        <v>OK</v>
      </c>
    </row>
    <row r="256" spans="1:20">
      <c r="A256" s="5" t="s">
        <v>688</v>
      </c>
      <c r="B256" s="5" t="s">
        <v>156</v>
      </c>
      <c r="C256" s="5" t="s">
        <v>122</v>
      </c>
      <c r="D256" s="5" t="s">
        <v>123</v>
      </c>
      <c r="E256" s="5" t="s">
        <v>132</v>
      </c>
      <c r="F256" s="5" t="s">
        <v>133</v>
      </c>
      <c r="G256" s="5" t="s">
        <v>224</v>
      </c>
      <c r="H256" s="5">
        <v>2045</v>
      </c>
      <c r="I256" s="5" t="s">
        <v>148</v>
      </c>
      <c r="J256" s="5" t="s">
        <v>157</v>
      </c>
      <c r="K256" s="9">
        <f>Effect_Sizes!J6</f>
        <v>0.28000000000000003</v>
      </c>
      <c r="L256" s="9">
        <f>Effect_Sizes!K6</f>
        <v>1</v>
      </c>
      <c r="M256" s="9">
        <f>Coverage_Trajectory!H100</f>
        <v>0.1655176973841091</v>
      </c>
      <c r="N256" s="9">
        <f>Coverage_Trajectory!K100</f>
        <v>0.41649999999999993</v>
      </c>
      <c r="O256" s="9">
        <f t="shared" si="15"/>
        <v>0.25098230261589083</v>
      </c>
      <c r="P256" s="9">
        <f t="shared" si="16"/>
        <v>7.3690214423565811E-2</v>
      </c>
      <c r="Q256" s="9">
        <f t="shared" si="17"/>
        <v>7.3690214423565811E-2</v>
      </c>
      <c r="R256" s="9">
        <f t="shared" si="18"/>
        <v>0.92630978557643417</v>
      </c>
      <c r="S256" s="5" t="s">
        <v>642</v>
      </c>
      <c r="T256" s="5" t="str">
        <f t="shared" si="19"/>
        <v>OK</v>
      </c>
    </row>
    <row r="257" spans="1:20">
      <c r="A257" s="10" t="s">
        <v>689</v>
      </c>
      <c r="B257" s="10" t="s">
        <v>156</v>
      </c>
      <c r="C257" s="10" t="s">
        <v>122</v>
      </c>
      <c r="D257" s="10" t="s">
        <v>123</v>
      </c>
      <c r="E257" s="10" t="s">
        <v>132</v>
      </c>
      <c r="F257" s="10" t="s">
        <v>133</v>
      </c>
      <c r="G257" s="10" t="s">
        <v>224</v>
      </c>
      <c r="H257" s="10">
        <v>2046</v>
      </c>
      <c r="I257" s="10" t="s">
        <v>148</v>
      </c>
      <c r="J257" s="10" t="s">
        <v>157</v>
      </c>
      <c r="K257" s="9">
        <f>Effect_Sizes!J6</f>
        <v>0.28000000000000003</v>
      </c>
      <c r="L257" s="9">
        <f>Effect_Sizes!K6</f>
        <v>1</v>
      </c>
      <c r="M257" s="9">
        <f>Coverage_Trajectory!H101</f>
        <v>0.1655176973841091</v>
      </c>
      <c r="N257" s="9">
        <f>Coverage_Trajectory!K101</f>
        <v>0.41649999999999993</v>
      </c>
      <c r="O257" s="9">
        <f t="shared" si="15"/>
        <v>0.25098230261589083</v>
      </c>
      <c r="P257" s="9">
        <f t="shared" si="16"/>
        <v>7.3690214423565811E-2</v>
      </c>
      <c r="Q257" s="9">
        <f t="shared" si="17"/>
        <v>7.3690214423565811E-2</v>
      </c>
      <c r="R257" s="9">
        <f t="shared" si="18"/>
        <v>0.92630978557643417</v>
      </c>
      <c r="S257" s="10" t="s">
        <v>642</v>
      </c>
      <c r="T257" s="5" t="str">
        <f t="shared" si="19"/>
        <v>OK</v>
      </c>
    </row>
    <row r="258" spans="1:20">
      <c r="A258" s="5" t="s">
        <v>690</v>
      </c>
      <c r="B258" s="5" t="s">
        <v>156</v>
      </c>
      <c r="C258" s="5" t="s">
        <v>122</v>
      </c>
      <c r="D258" s="5" t="s">
        <v>123</v>
      </c>
      <c r="E258" s="5" t="s">
        <v>132</v>
      </c>
      <c r="F258" s="5" t="s">
        <v>133</v>
      </c>
      <c r="G258" s="5" t="s">
        <v>224</v>
      </c>
      <c r="H258" s="5">
        <v>2047</v>
      </c>
      <c r="I258" s="5" t="s">
        <v>148</v>
      </c>
      <c r="J258" s="5" t="s">
        <v>157</v>
      </c>
      <c r="K258" s="9">
        <f>Effect_Sizes!J6</f>
        <v>0.28000000000000003</v>
      </c>
      <c r="L258" s="9">
        <f>Effect_Sizes!K6</f>
        <v>1</v>
      </c>
      <c r="M258" s="9">
        <f>Coverage_Trajectory!H102</f>
        <v>0.1655176973841091</v>
      </c>
      <c r="N258" s="9">
        <f>Coverage_Trajectory!K102</f>
        <v>0.41649999999999993</v>
      </c>
      <c r="O258" s="9">
        <f t="shared" ref="O258:O313" si="20">N258-M258</f>
        <v>0.25098230261589083</v>
      </c>
      <c r="P258" s="9">
        <f t="shared" ref="P258:P313" si="21">IF(O258=0,0,K258*O258/(1-K258*M258))</f>
        <v>7.3690214423565811E-2</v>
      </c>
      <c r="Q258" s="9">
        <f t="shared" ref="Q258:Q313" si="22">P258*L258</f>
        <v>7.3690214423565811E-2</v>
      </c>
      <c r="R258" s="9">
        <f t="shared" ref="R258:R313" si="23">1-Q258</f>
        <v>0.92630978557643417</v>
      </c>
      <c r="S258" s="5" t="s">
        <v>642</v>
      </c>
      <c r="T258" s="5" t="str">
        <f t="shared" ref="T258:T313" si="24">IF(OR(R258&lt;0,R258&gt;1),"BAD","OK")</f>
        <v>OK</v>
      </c>
    </row>
    <row r="259" spans="1:20">
      <c r="A259" s="10" t="s">
        <v>691</v>
      </c>
      <c r="B259" s="10" t="s">
        <v>156</v>
      </c>
      <c r="C259" s="10" t="s">
        <v>122</v>
      </c>
      <c r="D259" s="10" t="s">
        <v>123</v>
      </c>
      <c r="E259" s="10" t="s">
        <v>132</v>
      </c>
      <c r="F259" s="10" t="s">
        <v>133</v>
      </c>
      <c r="G259" s="10" t="s">
        <v>224</v>
      </c>
      <c r="H259" s="10">
        <v>2048</v>
      </c>
      <c r="I259" s="10" t="s">
        <v>148</v>
      </c>
      <c r="J259" s="10" t="s">
        <v>157</v>
      </c>
      <c r="K259" s="9">
        <f>Effect_Sizes!J6</f>
        <v>0.28000000000000003</v>
      </c>
      <c r="L259" s="9">
        <f>Effect_Sizes!K6</f>
        <v>1</v>
      </c>
      <c r="M259" s="9">
        <f>Coverage_Trajectory!H103</f>
        <v>0.1655176973841091</v>
      </c>
      <c r="N259" s="9">
        <f>Coverage_Trajectory!K103</f>
        <v>0.41649999999999993</v>
      </c>
      <c r="O259" s="9">
        <f t="shared" si="20"/>
        <v>0.25098230261589083</v>
      </c>
      <c r="P259" s="9">
        <f t="shared" si="21"/>
        <v>7.3690214423565811E-2</v>
      </c>
      <c r="Q259" s="9">
        <f t="shared" si="22"/>
        <v>7.3690214423565811E-2</v>
      </c>
      <c r="R259" s="9">
        <f t="shared" si="23"/>
        <v>0.92630978557643417</v>
      </c>
      <c r="S259" s="10" t="s">
        <v>642</v>
      </c>
      <c r="T259" s="5" t="str">
        <f t="shared" si="24"/>
        <v>OK</v>
      </c>
    </row>
    <row r="260" spans="1:20">
      <c r="A260" s="5" t="s">
        <v>692</v>
      </c>
      <c r="B260" s="5" t="s">
        <v>156</v>
      </c>
      <c r="C260" s="5" t="s">
        <v>122</v>
      </c>
      <c r="D260" s="5" t="s">
        <v>123</v>
      </c>
      <c r="E260" s="5" t="s">
        <v>132</v>
      </c>
      <c r="F260" s="5" t="s">
        <v>133</v>
      </c>
      <c r="G260" s="5" t="s">
        <v>224</v>
      </c>
      <c r="H260" s="5">
        <v>2049</v>
      </c>
      <c r="I260" s="5" t="s">
        <v>148</v>
      </c>
      <c r="J260" s="5" t="s">
        <v>157</v>
      </c>
      <c r="K260" s="9">
        <f>Effect_Sizes!J6</f>
        <v>0.28000000000000003</v>
      </c>
      <c r="L260" s="9">
        <f>Effect_Sizes!K6</f>
        <v>1</v>
      </c>
      <c r="M260" s="9">
        <f>Coverage_Trajectory!H104</f>
        <v>0.1655176973841091</v>
      </c>
      <c r="N260" s="9">
        <f>Coverage_Trajectory!K104</f>
        <v>0.41649999999999993</v>
      </c>
      <c r="O260" s="9">
        <f t="shared" si="20"/>
        <v>0.25098230261589083</v>
      </c>
      <c r="P260" s="9">
        <f t="shared" si="21"/>
        <v>7.3690214423565811E-2</v>
      </c>
      <c r="Q260" s="9">
        <f t="shared" si="22"/>
        <v>7.3690214423565811E-2</v>
      </c>
      <c r="R260" s="9">
        <f t="shared" si="23"/>
        <v>0.92630978557643417</v>
      </c>
      <c r="S260" s="5" t="s">
        <v>642</v>
      </c>
      <c r="T260" s="5" t="str">
        <f t="shared" si="24"/>
        <v>OK</v>
      </c>
    </row>
    <row r="261" spans="1:20">
      <c r="A261" s="10" t="s">
        <v>693</v>
      </c>
      <c r="B261" s="10" t="s">
        <v>156</v>
      </c>
      <c r="C261" s="10" t="s">
        <v>122</v>
      </c>
      <c r="D261" s="10" t="s">
        <v>123</v>
      </c>
      <c r="E261" s="10" t="s">
        <v>132</v>
      </c>
      <c r="F261" s="10" t="s">
        <v>133</v>
      </c>
      <c r="G261" s="10" t="s">
        <v>224</v>
      </c>
      <c r="H261" s="10">
        <v>2050</v>
      </c>
      <c r="I261" s="10" t="s">
        <v>148</v>
      </c>
      <c r="J261" s="10" t="s">
        <v>157</v>
      </c>
      <c r="K261" s="9">
        <f>Effect_Sizes!J6</f>
        <v>0.28000000000000003</v>
      </c>
      <c r="L261" s="9">
        <f>Effect_Sizes!K6</f>
        <v>1</v>
      </c>
      <c r="M261" s="9">
        <f>Coverage_Trajectory!H105</f>
        <v>0.1655176973841091</v>
      </c>
      <c r="N261" s="9">
        <f>Coverage_Trajectory!K105</f>
        <v>0.41649999999999993</v>
      </c>
      <c r="O261" s="9">
        <f t="shared" si="20"/>
        <v>0.25098230261589083</v>
      </c>
      <c r="P261" s="9">
        <f t="shared" si="21"/>
        <v>7.3690214423565811E-2</v>
      </c>
      <c r="Q261" s="9">
        <f t="shared" si="22"/>
        <v>7.3690214423565811E-2</v>
      </c>
      <c r="R261" s="9">
        <f t="shared" si="23"/>
        <v>0.92630978557643417</v>
      </c>
      <c r="S261" s="10" t="s">
        <v>642</v>
      </c>
      <c r="T261" s="5" t="str">
        <f t="shared" si="24"/>
        <v>OK</v>
      </c>
    </row>
    <row r="262" spans="1:20">
      <c r="A262" s="5" t="s">
        <v>694</v>
      </c>
      <c r="B262" s="5" t="s">
        <v>160</v>
      </c>
      <c r="C262" s="5" t="s">
        <v>122</v>
      </c>
      <c r="D262" s="5" t="s">
        <v>123</v>
      </c>
      <c r="E262" s="5" t="s">
        <v>120</v>
      </c>
      <c r="F262" s="5" t="s">
        <v>161</v>
      </c>
      <c r="G262" s="5" t="s">
        <v>213</v>
      </c>
      <c r="H262" s="5">
        <v>2025</v>
      </c>
      <c r="I262" s="5" t="s">
        <v>148</v>
      </c>
      <c r="J262" s="5" t="s">
        <v>162</v>
      </c>
      <c r="K262" s="9">
        <f>Effect_Sizes!J7</f>
        <v>0.15</v>
      </c>
      <c r="L262" s="9">
        <f>Effect_Sizes!K7</f>
        <v>0.15</v>
      </c>
      <c r="M262" s="9">
        <f>Coverage_Trajectory!H54</f>
        <v>0.13031152777518129</v>
      </c>
      <c r="N262" s="9">
        <f>Coverage_Trajectory!K54</f>
        <v>0.13031152777518129</v>
      </c>
      <c r="O262" s="9">
        <f t="shared" si="20"/>
        <v>0</v>
      </c>
      <c r="P262" s="9">
        <f t="shared" si="21"/>
        <v>0</v>
      </c>
      <c r="Q262" s="9">
        <f t="shared" si="22"/>
        <v>0</v>
      </c>
      <c r="R262" s="9">
        <f t="shared" si="23"/>
        <v>1</v>
      </c>
      <c r="S262" s="5" t="s">
        <v>695</v>
      </c>
      <c r="T262" s="5" t="str">
        <f t="shared" si="24"/>
        <v>OK</v>
      </c>
    </row>
    <row r="263" spans="1:20">
      <c r="A263" s="10" t="s">
        <v>696</v>
      </c>
      <c r="B263" s="10" t="s">
        <v>160</v>
      </c>
      <c r="C263" s="10" t="s">
        <v>122</v>
      </c>
      <c r="D263" s="10" t="s">
        <v>123</v>
      </c>
      <c r="E263" s="10" t="s">
        <v>120</v>
      </c>
      <c r="F263" s="10" t="s">
        <v>161</v>
      </c>
      <c r="G263" s="10" t="s">
        <v>213</v>
      </c>
      <c r="H263" s="10">
        <v>2026</v>
      </c>
      <c r="I263" s="10" t="s">
        <v>148</v>
      </c>
      <c r="J263" s="10" t="s">
        <v>162</v>
      </c>
      <c r="K263" s="9">
        <f>Effect_Sizes!J7</f>
        <v>0.15</v>
      </c>
      <c r="L263" s="9">
        <f>Effect_Sizes!K7</f>
        <v>0.15</v>
      </c>
      <c r="M263" s="9">
        <f>Coverage_Trajectory!H55</f>
        <v>0.13031152777518129</v>
      </c>
      <c r="N263" s="9">
        <f>Coverage_Trajectory!K55</f>
        <v>0.13154922222014503</v>
      </c>
      <c r="O263" s="9">
        <f t="shared" si="20"/>
        <v>1.2376944449637439E-3</v>
      </c>
      <c r="P263" s="9">
        <f t="shared" si="21"/>
        <v>1.8935544637093375E-4</v>
      </c>
      <c r="Q263" s="9">
        <f t="shared" si="22"/>
        <v>2.8403316955640061E-5</v>
      </c>
      <c r="R263" s="9">
        <f t="shared" si="23"/>
        <v>0.99997159668304436</v>
      </c>
      <c r="S263" s="10" t="s">
        <v>695</v>
      </c>
      <c r="T263" s="5" t="str">
        <f t="shared" si="24"/>
        <v>OK</v>
      </c>
    </row>
    <row r="264" spans="1:20">
      <c r="A264" s="5" t="s">
        <v>697</v>
      </c>
      <c r="B264" s="5" t="s">
        <v>160</v>
      </c>
      <c r="C264" s="5" t="s">
        <v>122</v>
      </c>
      <c r="D264" s="5" t="s">
        <v>123</v>
      </c>
      <c r="E264" s="5" t="s">
        <v>120</v>
      </c>
      <c r="F264" s="5" t="s">
        <v>161</v>
      </c>
      <c r="G264" s="5" t="s">
        <v>213</v>
      </c>
      <c r="H264" s="5">
        <v>2027</v>
      </c>
      <c r="I264" s="5" t="s">
        <v>148</v>
      </c>
      <c r="J264" s="5" t="s">
        <v>162</v>
      </c>
      <c r="K264" s="9">
        <f>Effect_Sizes!J7</f>
        <v>0.15</v>
      </c>
      <c r="L264" s="9">
        <f>Effect_Sizes!K7</f>
        <v>0.15</v>
      </c>
      <c r="M264" s="9">
        <f>Coverage_Trajectory!H56</f>
        <v>0.13031152777518129</v>
      </c>
      <c r="N264" s="9">
        <f>Coverage_Trajectory!K56</f>
        <v>0.13278691666510878</v>
      </c>
      <c r="O264" s="9">
        <f t="shared" si="20"/>
        <v>2.4753888899274878E-3</v>
      </c>
      <c r="P264" s="9">
        <f t="shared" si="21"/>
        <v>3.787108927418675E-4</v>
      </c>
      <c r="Q264" s="9">
        <f t="shared" si="22"/>
        <v>5.6806633911280121E-5</v>
      </c>
      <c r="R264" s="9">
        <f t="shared" si="23"/>
        <v>0.99994319336608872</v>
      </c>
      <c r="S264" s="5" t="s">
        <v>695</v>
      </c>
      <c r="T264" s="5" t="str">
        <f t="shared" si="24"/>
        <v>OK</v>
      </c>
    </row>
    <row r="265" spans="1:20">
      <c r="A265" s="10" t="s">
        <v>698</v>
      </c>
      <c r="B265" s="10" t="s">
        <v>160</v>
      </c>
      <c r="C265" s="10" t="s">
        <v>122</v>
      </c>
      <c r="D265" s="10" t="s">
        <v>123</v>
      </c>
      <c r="E265" s="10" t="s">
        <v>120</v>
      </c>
      <c r="F265" s="10" t="s">
        <v>161</v>
      </c>
      <c r="G265" s="10" t="s">
        <v>213</v>
      </c>
      <c r="H265" s="10">
        <v>2028</v>
      </c>
      <c r="I265" s="10" t="s">
        <v>148</v>
      </c>
      <c r="J265" s="10" t="s">
        <v>162</v>
      </c>
      <c r="K265" s="9">
        <f>Effect_Sizes!J7</f>
        <v>0.15</v>
      </c>
      <c r="L265" s="9">
        <f>Effect_Sizes!K7</f>
        <v>0.15</v>
      </c>
      <c r="M265" s="9">
        <f>Coverage_Trajectory!H57</f>
        <v>0.13031152777518129</v>
      </c>
      <c r="N265" s="9">
        <f>Coverage_Trajectory!K57</f>
        <v>0.13402461111007252</v>
      </c>
      <c r="O265" s="9">
        <f t="shared" si="20"/>
        <v>3.7130833348912318E-3</v>
      </c>
      <c r="P265" s="9">
        <f t="shared" si="21"/>
        <v>5.680663391128012E-4</v>
      </c>
      <c r="Q265" s="9">
        <f t="shared" si="22"/>
        <v>8.5209950866920172E-5</v>
      </c>
      <c r="R265" s="9">
        <f t="shared" si="23"/>
        <v>0.99991479004913308</v>
      </c>
      <c r="S265" s="10" t="s">
        <v>695</v>
      </c>
      <c r="T265" s="5" t="str">
        <f t="shared" si="24"/>
        <v>OK</v>
      </c>
    </row>
    <row r="266" spans="1:20">
      <c r="A266" s="5" t="s">
        <v>699</v>
      </c>
      <c r="B266" s="5" t="s">
        <v>160</v>
      </c>
      <c r="C266" s="5" t="s">
        <v>122</v>
      </c>
      <c r="D266" s="5" t="s">
        <v>123</v>
      </c>
      <c r="E266" s="5" t="s">
        <v>120</v>
      </c>
      <c r="F266" s="5" t="s">
        <v>161</v>
      </c>
      <c r="G266" s="5" t="s">
        <v>213</v>
      </c>
      <c r="H266" s="5">
        <v>2029</v>
      </c>
      <c r="I266" s="5" t="s">
        <v>148</v>
      </c>
      <c r="J266" s="5" t="s">
        <v>162</v>
      </c>
      <c r="K266" s="9">
        <f>Effect_Sizes!J7</f>
        <v>0.15</v>
      </c>
      <c r="L266" s="9">
        <f>Effect_Sizes!K7</f>
        <v>0.15</v>
      </c>
      <c r="M266" s="9">
        <f>Coverage_Trajectory!H58</f>
        <v>0.13031152777518129</v>
      </c>
      <c r="N266" s="9">
        <f>Coverage_Trajectory!K58</f>
        <v>0.13526230555503627</v>
      </c>
      <c r="O266" s="9">
        <f t="shared" si="20"/>
        <v>4.9507777798549757E-3</v>
      </c>
      <c r="P266" s="9">
        <f t="shared" si="21"/>
        <v>7.5742178548373501E-4</v>
      </c>
      <c r="Q266" s="9">
        <f t="shared" si="22"/>
        <v>1.1361326782256024E-4</v>
      </c>
      <c r="R266" s="9">
        <f t="shared" si="23"/>
        <v>0.99988638673217745</v>
      </c>
      <c r="S266" s="5" t="s">
        <v>695</v>
      </c>
      <c r="T266" s="5" t="str">
        <f t="shared" si="24"/>
        <v>OK</v>
      </c>
    </row>
    <row r="267" spans="1:20">
      <c r="A267" s="10" t="s">
        <v>700</v>
      </c>
      <c r="B267" s="10" t="s">
        <v>160</v>
      </c>
      <c r="C267" s="10" t="s">
        <v>122</v>
      </c>
      <c r="D267" s="10" t="s">
        <v>123</v>
      </c>
      <c r="E267" s="10" t="s">
        <v>120</v>
      </c>
      <c r="F267" s="10" t="s">
        <v>161</v>
      </c>
      <c r="G267" s="10" t="s">
        <v>213</v>
      </c>
      <c r="H267" s="10">
        <v>2030</v>
      </c>
      <c r="I267" s="10" t="s">
        <v>148</v>
      </c>
      <c r="J267" s="10" t="s">
        <v>162</v>
      </c>
      <c r="K267" s="9">
        <f>Effect_Sizes!J7</f>
        <v>0.15</v>
      </c>
      <c r="L267" s="9">
        <f>Effect_Sizes!K7</f>
        <v>0.15</v>
      </c>
      <c r="M267" s="9">
        <f>Coverage_Trajectory!H59</f>
        <v>0.13031152777518129</v>
      </c>
      <c r="N267" s="9">
        <f>Coverage_Trajectory!K59</f>
        <v>0.13650000000000001</v>
      </c>
      <c r="O267" s="9">
        <f t="shared" si="20"/>
        <v>6.1884722248187196E-3</v>
      </c>
      <c r="P267" s="9">
        <f t="shared" si="21"/>
        <v>9.4677723185466881E-4</v>
      </c>
      <c r="Q267" s="9">
        <f t="shared" si="22"/>
        <v>1.4201658477820033E-4</v>
      </c>
      <c r="R267" s="9">
        <f t="shared" si="23"/>
        <v>0.99985798341522181</v>
      </c>
      <c r="S267" s="10" t="s">
        <v>695</v>
      </c>
      <c r="T267" s="5" t="str">
        <f t="shared" si="24"/>
        <v>OK</v>
      </c>
    </row>
    <row r="268" spans="1:20">
      <c r="A268" s="5" t="s">
        <v>701</v>
      </c>
      <c r="B268" s="5" t="s">
        <v>160</v>
      </c>
      <c r="C268" s="5" t="s">
        <v>122</v>
      </c>
      <c r="D268" s="5" t="s">
        <v>123</v>
      </c>
      <c r="E268" s="5" t="s">
        <v>120</v>
      </c>
      <c r="F268" s="5" t="s">
        <v>161</v>
      </c>
      <c r="G268" s="5" t="s">
        <v>213</v>
      </c>
      <c r="H268" s="5">
        <v>2031</v>
      </c>
      <c r="I268" s="5" t="s">
        <v>148</v>
      </c>
      <c r="J268" s="5" t="s">
        <v>162</v>
      </c>
      <c r="K268" s="9">
        <f>Effect_Sizes!J7</f>
        <v>0.15</v>
      </c>
      <c r="L268" s="9">
        <f>Effect_Sizes!K7</f>
        <v>0.15</v>
      </c>
      <c r="M268" s="9">
        <f>Coverage_Trajectory!H60</f>
        <v>0.13031152777518129</v>
      </c>
      <c r="N268" s="9">
        <f>Coverage_Trajectory!K60</f>
        <v>0.16450000000000001</v>
      </c>
      <c r="O268" s="9">
        <f t="shared" si="20"/>
        <v>3.4188472224818717E-2</v>
      </c>
      <c r="P268" s="9">
        <f t="shared" si="21"/>
        <v>5.2305102000037313E-3</v>
      </c>
      <c r="Q268" s="9">
        <f t="shared" si="22"/>
        <v>7.8457653000055965E-4</v>
      </c>
      <c r="R268" s="9">
        <f t="shared" si="23"/>
        <v>0.99921542346999948</v>
      </c>
      <c r="S268" s="5" t="s">
        <v>695</v>
      </c>
      <c r="T268" s="5" t="str">
        <f t="shared" si="24"/>
        <v>OK</v>
      </c>
    </row>
    <row r="269" spans="1:20">
      <c r="A269" s="10" t="s">
        <v>702</v>
      </c>
      <c r="B269" s="10" t="s">
        <v>160</v>
      </c>
      <c r="C269" s="10" t="s">
        <v>122</v>
      </c>
      <c r="D269" s="10" t="s">
        <v>123</v>
      </c>
      <c r="E269" s="10" t="s">
        <v>120</v>
      </c>
      <c r="F269" s="10" t="s">
        <v>161</v>
      </c>
      <c r="G269" s="10" t="s">
        <v>213</v>
      </c>
      <c r="H269" s="10">
        <v>2032</v>
      </c>
      <c r="I269" s="10" t="s">
        <v>148</v>
      </c>
      <c r="J269" s="10" t="s">
        <v>162</v>
      </c>
      <c r="K269" s="9">
        <f>Effect_Sizes!J7</f>
        <v>0.15</v>
      </c>
      <c r="L269" s="9">
        <f>Effect_Sizes!K7</f>
        <v>0.15</v>
      </c>
      <c r="M269" s="9">
        <f>Coverage_Trajectory!H61</f>
        <v>0.13031152777518129</v>
      </c>
      <c r="N269" s="9">
        <f>Coverage_Trajectory!K61</f>
        <v>0.1925</v>
      </c>
      <c r="O269" s="9">
        <f t="shared" si="20"/>
        <v>6.2188472224818714E-2</v>
      </c>
      <c r="P269" s="9">
        <f t="shared" si="21"/>
        <v>9.5142431681527924E-3</v>
      </c>
      <c r="Q269" s="9">
        <f t="shared" si="22"/>
        <v>1.4271364752229188E-3</v>
      </c>
      <c r="R269" s="9">
        <f t="shared" si="23"/>
        <v>0.99857286352477703</v>
      </c>
      <c r="S269" s="10" t="s">
        <v>695</v>
      </c>
      <c r="T269" s="5" t="str">
        <f t="shared" si="24"/>
        <v>OK</v>
      </c>
    </row>
    <row r="270" spans="1:20">
      <c r="A270" s="5" t="s">
        <v>703</v>
      </c>
      <c r="B270" s="5" t="s">
        <v>160</v>
      </c>
      <c r="C270" s="5" t="s">
        <v>122</v>
      </c>
      <c r="D270" s="5" t="s">
        <v>123</v>
      </c>
      <c r="E270" s="5" t="s">
        <v>120</v>
      </c>
      <c r="F270" s="5" t="s">
        <v>161</v>
      </c>
      <c r="G270" s="5" t="s">
        <v>213</v>
      </c>
      <c r="H270" s="5">
        <v>2033</v>
      </c>
      <c r="I270" s="5" t="s">
        <v>148</v>
      </c>
      <c r="J270" s="5" t="s">
        <v>162</v>
      </c>
      <c r="K270" s="9">
        <f>Effect_Sizes!J7</f>
        <v>0.15</v>
      </c>
      <c r="L270" s="9">
        <f>Effect_Sizes!K7</f>
        <v>0.15</v>
      </c>
      <c r="M270" s="9">
        <f>Coverage_Trajectory!H62</f>
        <v>0.13031152777518129</v>
      </c>
      <c r="N270" s="9">
        <f>Coverage_Trajectory!K62</f>
        <v>0.22049999999999997</v>
      </c>
      <c r="O270" s="9">
        <f t="shared" si="20"/>
        <v>9.0188472224818683E-2</v>
      </c>
      <c r="P270" s="9">
        <f t="shared" si="21"/>
        <v>1.3797976136301852E-2</v>
      </c>
      <c r="Q270" s="9">
        <f t="shared" si="22"/>
        <v>2.0696964204452778E-3</v>
      </c>
      <c r="R270" s="9">
        <f t="shared" si="23"/>
        <v>0.9979303035795547</v>
      </c>
      <c r="S270" s="5" t="s">
        <v>695</v>
      </c>
      <c r="T270" s="5" t="str">
        <f t="shared" si="24"/>
        <v>OK</v>
      </c>
    </row>
    <row r="271" spans="1:20">
      <c r="A271" s="10" t="s">
        <v>704</v>
      </c>
      <c r="B271" s="10" t="s">
        <v>160</v>
      </c>
      <c r="C271" s="10" t="s">
        <v>122</v>
      </c>
      <c r="D271" s="10" t="s">
        <v>123</v>
      </c>
      <c r="E271" s="10" t="s">
        <v>120</v>
      </c>
      <c r="F271" s="10" t="s">
        <v>161</v>
      </c>
      <c r="G271" s="10" t="s">
        <v>213</v>
      </c>
      <c r="H271" s="10">
        <v>2034</v>
      </c>
      <c r="I271" s="10" t="s">
        <v>148</v>
      </c>
      <c r="J271" s="10" t="s">
        <v>162</v>
      </c>
      <c r="K271" s="9">
        <f>Effect_Sizes!J7</f>
        <v>0.15</v>
      </c>
      <c r="L271" s="9">
        <f>Effect_Sizes!K7</f>
        <v>0.15</v>
      </c>
      <c r="M271" s="9">
        <f>Coverage_Trajectory!H63</f>
        <v>0.13031152777518129</v>
      </c>
      <c r="N271" s="9">
        <f>Coverage_Trajectory!K63</f>
        <v>0.24849999999999997</v>
      </c>
      <c r="O271" s="9">
        <f t="shared" si="20"/>
        <v>0.11818847222481868</v>
      </c>
      <c r="P271" s="9">
        <f t="shared" si="21"/>
        <v>1.8081709104450911E-2</v>
      </c>
      <c r="Q271" s="9">
        <f t="shared" si="22"/>
        <v>2.7122563656676365E-3</v>
      </c>
      <c r="R271" s="9">
        <f t="shared" si="23"/>
        <v>0.99728774363433237</v>
      </c>
      <c r="S271" s="10" t="s">
        <v>695</v>
      </c>
      <c r="T271" s="5" t="str">
        <f t="shared" si="24"/>
        <v>OK</v>
      </c>
    </row>
    <row r="272" spans="1:20">
      <c r="A272" s="5" t="s">
        <v>705</v>
      </c>
      <c r="B272" s="5" t="s">
        <v>160</v>
      </c>
      <c r="C272" s="5" t="s">
        <v>122</v>
      </c>
      <c r="D272" s="5" t="s">
        <v>123</v>
      </c>
      <c r="E272" s="5" t="s">
        <v>120</v>
      </c>
      <c r="F272" s="5" t="s">
        <v>161</v>
      </c>
      <c r="G272" s="5" t="s">
        <v>213</v>
      </c>
      <c r="H272" s="5">
        <v>2035</v>
      </c>
      <c r="I272" s="5" t="s">
        <v>148</v>
      </c>
      <c r="J272" s="5" t="s">
        <v>162</v>
      </c>
      <c r="K272" s="9">
        <f>Effect_Sizes!J7</f>
        <v>0.15</v>
      </c>
      <c r="L272" s="9">
        <f>Effect_Sizes!K7</f>
        <v>0.15</v>
      </c>
      <c r="M272" s="9">
        <f>Coverage_Trajectory!H64</f>
        <v>0.13031152777518129</v>
      </c>
      <c r="N272" s="9">
        <f>Coverage_Trajectory!K64</f>
        <v>0.27649999999999997</v>
      </c>
      <c r="O272" s="9">
        <f t="shared" si="20"/>
        <v>0.14618847222481868</v>
      </c>
      <c r="P272" s="9">
        <f t="shared" si="21"/>
        <v>2.2365442072599974E-2</v>
      </c>
      <c r="Q272" s="9">
        <f t="shared" si="22"/>
        <v>3.3548163108899961E-3</v>
      </c>
      <c r="R272" s="9">
        <f t="shared" si="23"/>
        <v>0.99664518368911004</v>
      </c>
      <c r="S272" s="5" t="s">
        <v>695</v>
      </c>
      <c r="T272" s="5" t="str">
        <f t="shared" si="24"/>
        <v>OK</v>
      </c>
    </row>
    <row r="273" spans="1:20">
      <c r="A273" s="10" t="s">
        <v>706</v>
      </c>
      <c r="B273" s="10" t="s">
        <v>160</v>
      </c>
      <c r="C273" s="10" t="s">
        <v>122</v>
      </c>
      <c r="D273" s="10" t="s">
        <v>123</v>
      </c>
      <c r="E273" s="10" t="s">
        <v>120</v>
      </c>
      <c r="F273" s="10" t="s">
        <v>161</v>
      </c>
      <c r="G273" s="10" t="s">
        <v>213</v>
      </c>
      <c r="H273" s="10">
        <v>2036</v>
      </c>
      <c r="I273" s="10" t="s">
        <v>148</v>
      </c>
      <c r="J273" s="10" t="s">
        <v>162</v>
      </c>
      <c r="K273" s="9">
        <f>Effect_Sizes!J7</f>
        <v>0.15</v>
      </c>
      <c r="L273" s="9">
        <f>Effect_Sizes!K7</f>
        <v>0.15</v>
      </c>
      <c r="M273" s="9">
        <f>Coverage_Trajectory!H65</f>
        <v>0.13031152777518129</v>
      </c>
      <c r="N273" s="9">
        <f>Coverage_Trajectory!K65</f>
        <v>0.30449999999999999</v>
      </c>
      <c r="O273" s="9">
        <f t="shared" si="20"/>
        <v>0.1741884722248187</v>
      </c>
      <c r="P273" s="9">
        <f t="shared" si="21"/>
        <v>2.664917504074904E-2</v>
      </c>
      <c r="Q273" s="9">
        <f t="shared" si="22"/>
        <v>3.9973762561123557E-3</v>
      </c>
      <c r="R273" s="9">
        <f t="shared" si="23"/>
        <v>0.99600262374388759</v>
      </c>
      <c r="S273" s="10" t="s">
        <v>695</v>
      </c>
      <c r="T273" s="5" t="str">
        <f t="shared" si="24"/>
        <v>OK</v>
      </c>
    </row>
    <row r="274" spans="1:20">
      <c r="A274" s="5" t="s">
        <v>707</v>
      </c>
      <c r="B274" s="5" t="s">
        <v>160</v>
      </c>
      <c r="C274" s="5" t="s">
        <v>122</v>
      </c>
      <c r="D274" s="5" t="s">
        <v>123</v>
      </c>
      <c r="E274" s="5" t="s">
        <v>120</v>
      </c>
      <c r="F274" s="5" t="s">
        <v>161</v>
      </c>
      <c r="G274" s="5" t="s">
        <v>213</v>
      </c>
      <c r="H274" s="5">
        <v>2037</v>
      </c>
      <c r="I274" s="5" t="s">
        <v>148</v>
      </c>
      <c r="J274" s="5" t="s">
        <v>162</v>
      </c>
      <c r="K274" s="9">
        <f>Effect_Sizes!J7</f>
        <v>0.15</v>
      </c>
      <c r="L274" s="9">
        <f>Effect_Sizes!K7</f>
        <v>0.15</v>
      </c>
      <c r="M274" s="9">
        <f>Coverage_Trajectory!H66</f>
        <v>0.13031152777518129</v>
      </c>
      <c r="N274" s="9">
        <f>Coverage_Trajectory!K66</f>
        <v>0.33249999999999996</v>
      </c>
      <c r="O274" s="9">
        <f t="shared" si="20"/>
        <v>0.20218847222481867</v>
      </c>
      <c r="P274" s="9">
        <f t="shared" si="21"/>
        <v>3.09329080088981E-2</v>
      </c>
      <c r="Q274" s="9">
        <f t="shared" si="22"/>
        <v>4.6399362013347144E-3</v>
      </c>
      <c r="R274" s="9">
        <f t="shared" si="23"/>
        <v>0.99536006379866526</v>
      </c>
      <c r="S274" s="5" t="s">
        <v>695</v>
      </c>
      <c r="T274" s="5" t="str">
        <f t="shared" si="24"/>
        <v>OK</v>
      </c>
    </row>
    <row r="275" spans="1:20">
      <c r="A275" s="10" t="s">
        <v>708</v>
      </c>
      <c r="B275" s="10" t="s">
        <v>160</v>
      </c>
      <c r="C275" s="10" t="s">
        <v>122</v>
      </c>
      <c r="D275" s="10" t="s">
        <v>123</v>
      </c>
      <c r="E275" s="10" t="s">
        <v>120</v>
      </c>
      <c r="F275" s="10" t="s">
        <v>161</v>
      </c>
      <c r="G275" s="10" t="s">
        <v>213</v>
      </c>
      <c r="H275" s="10">
        <v>2038</v>
      </c>
      <c r="I275" s="10" t="s">
        <v>148</v>
      </c>
      <c r="J275" s="10" t="s">
        <v>162</v>
      </c>
      <c r="K275" s="9">
        <f>Effect_Sizes!J7</f>
        <v>0.15</v>
      </c>
      <c r="L275" s="9">
        <f>Effect_Sizes!K7</f>
        <v>0.15</v>
      </c>
      <c r="M275" s="9">
        <f>Coverage_Trajectory!H67</f>
        <v>0.13031152777518129</v>
      </c>
      <c r="N275" s="9">
        <f>Coverage_Trajectory!K67</f>
        <v>0.36049999999999993</v>
      </c>
      <c r="O275" s="9">
        <f t="shared" si="20"/>
        <v>0.23018847222481864</v>
      </c>
      <c r="P275" s="9">
        <f t="shared" si="21"/>
        <v>3.5216640977047152E-2</v>
      </c>
      <c r="Q275" s="9">
        <f t="shared" si="22"/>
        <v>5.2824961465570723E-3</v>
      </c>
      <c r="R275" s="9">
        <f t="shared" si="23"/>
        <v>0.99471750385344293</v>
      </c>
      <c r="S275" s="10" t="s">
        <v>695</v>
      </c>
      <c r="T275" s="5" t="str">
        <f t="shared" si="24"/>
        <v>OK</v>
      </c>
    </row>
    <row r="276" spans="1:20">
      <c r="A276" s="5" t="s">
        <v>709</v>
      </c>
      <c r="B276" s="5" t="s">
        <v>160</v>
      </c>
      <c r="C276" s="5" t="s">
        <v>122</v>
      </c>
      <c r="D276" s="5" t="s">
        <v>123</v>
      </c>
      <c r="E276" s="5" t="s">
        <v>120</v>
      </c>
      <c r="F276" s="5" t="s">
        <v>161</v>
      </c>
      <c r="G276" s="5" t="s">
        <v>213</v>
      </c>
      <c r="H276" s="5">
        <v>2039</v>
      </c>
      <c r="I276" s="5" t="s">
        <v>148</v>
      </c>
      <c r="J276" s="5" t="s">
        <v>162</v>
      </c>
      <c r="K276" s="9">
        <f>Effect_Sizes!J7</f>
        <v>0.15</v>
      </c>
      <c r="L276" s="9">
        <f>Effect_Sizes!K7</f>
        <v>0.15</v>
      </c>
      <c r="M276" s="9">
        <f>Coverage_Trajectory!H68</f>
        <v>0.13031152777518129</v>
      </c>
      <c r="N276" s="9">
        <f>Coverage_Trajectory!K68</f>
        <v>0.3884999999999999</v>
      </c>
      <c r="O276" s="9">
        <f t="shared" si="20"/>
        <v>0.25818847222481861</v>
      </c>
      <c r="P276" s="9">
        <f t="shared" si="21"/>
        <v>3.9500373945196211E-2</v>
      </c>
      <c r="Q276" s="9">
        <f t="shared" si="22"/>
        <v>5.9250560917794319E-3</v>
      </c>
      <c r="R276" s="9">
        <f t="shared" si="23"/>
        <v>0.9940749439082206</v>
      </c>
      <c r="S276" s="5" t="s">
        <v>695</v>
      </c>
      <c r="T276" s="5" t="str">
        <f t="shared" si="24"/>
        <v>OK</v>
      </c>
    </row>
    <row r="277" spans="1:20">
      <c r="A277" s="10" t="s">
        <v>710</v>
      </c>
      <c r="B277" s="10" t="s">
        <v>160</v>
      </c>
      <c r="C277" s="10" t="s">
        <v>122</v>
      </c>
      <c r="D277" s="10" t="s">
        <v>123</v>
      </c>
      <c r="E277" s="10" t="s">
        <v>120</v>
      </c>
      <c r="F277" s="10" t="s">
        <v>161</v>
      </c>
      <c r="G277" s="10" t="s">
        <v>213</v>
      </c>
      <c r="H277" s="10">
        <v>2040</v>
      </c>
      <c r="I277" s="10" t="s">
        <v>148</v>
      </c>
      <c r="J277" s="10" t="s">
        <v>162</v>
      </c>
      <c r="K277" s="9">
        <f>Effect_Sizes!J7</f>
        <v>0.15</v>
      </c>
      <c r="L277" s="9">
        <f>Effect_Sizes!K7</f>
        <v>0.15</v>
      </c>
      <c r="M277" s="9">
        <f>Coverage_Trajectory!H69</f>
        <v>0.13031152777518129</v>
      </c>
      <c r="N277" s="9">
        <f>Coverage_Trajectory!K69</f>
        <v>0.41649999999999993</v>
      </c>
      <c r="O277" s="9">
        <f t="shared" si="20"/>
        <v>0.28618847222481864</v>
      </c>
      <c r="P277" s="9">
        <f t="shared" si="21"/>
        <v>4.3784106913345285E-2</v>
      </c>
      <c r="Q277" s="9">
        <f t="shared" si="22"/>
        <v>6.5676160370017923E-3</v>
      </c>
      <c r="R277" s="9">
        <f t="shared" si="23"/>
        <v>0.99343238396299816</v>
      </c>
      <c r="S277" s="10" t="s">
        <v>695</v>
      </c>
      <c r="T277" s="5" t="str">
        <f t="shared" si="24"/>
        <v>OK</v>
      </c>
    </row>
    <row r="278" spans="1:20">
      <c r="A278" s="5" t="s">
        <v>711</v>
      </c>
      <c r="B278" s="5" t="s">
        <v>160</v>
      </c>
      <c r="C278" s="5" t="s">
        <v>122</v>
      </c>
      <c r="D278" s="5" t="s">
        <v>123</v>
      </c>
      <c r="E278" s="5" t="s">
        <v>120</v>
      </c>
      <c r="F278" s="5" t="s">
        <v>161</v>
      </c>
      <c r="G278" s="5" t="s">
        <v>213</v>
      </c>
      <c r="H278" s="5">
        <v>2041</v>
      </c>
      <c r="I278" s="5" t="s">
        <v>148</v>
      </c>
      <c r="J278" s="5" t="s">
        <v>162</v>
      </c>
      <c r="K278" s="9">
        <f>Effect_Sizes!J7</f>
        <v>0.15</v>
      </c>
      <c r="L278" s="9">
        <f>Effect_Sizes!K7</f>
        <v>0.15</v>
      </c>
      <c r="M278" s="9">
        <f>Coverage_Trajectory!H70</f>
        <v>0.13031152777518129</v>
      </c>
      <c r="N278" s="9">
        <f>Coverage_Trajectory!K70</f>
        <v>0.41649999999999993</v>
      </c>
      <c r="O278" s="9">
        <f t="shared" si="20"/>
        <v>0.28618847222481864</v>
      </c>
      <c r="P278" s="9">
        <f t="shared" si="21"/>
        <v>4.3784106913345285E-2</v>
      </c>
      <c r="Q278" s="9">
        <f t="shared" si="22"/>
        <v>6.5676160370017923E-3</v>
      </c>
      <c r="R278" s="9">
        <f t="shared" si="23"/>
        <v>0.99343238396299816</v>
      </c>
      <c r="S278" s="5" t="s">
        <v>695</v>
      </c>
      <c r="T278" s="5" t="str">
        <f t="shared" si="24"/>
        <v>OK</v>
      </c>
    </row>
    <row r="279" spans="1:20">
      <c r="A279" s="10" t="s">
        <v>712</v>
      </c>
      <c r="B279" s="10" t="s">
        <v>160</v>
      </c>
      <c r="C279" s="10" t="s">
        <v>122</v>
      </c>
      <c r="D279" s="10" t="s">
        <v>123</v>
      </c>
      <c r="E279" s="10" t="s">
        <v>120</v>
      </c>
      <c r="F279" s="10" t="s">
        <v>161</v>
      </c>
      <c r="G279" s="10" t="s">
        <v>213</v>
      </c>
      <c r="H279" s="10">
        <v>2042</v>
      </c>
      <c r="I279" s="10" t="s">
        <v>148</v>
      </c>
      <c r="J279" s="10" t="s">
        <v>162</v>
      </c>
      <c r="K279" s="9">
        <f>Effect_Sizes!J7</f>
        <v>0.15</v>
      </c>
      <c r="L279" s="9">
        <f>Effect_Sizes!K7</f>
        <v>0.15</v>
      </c>
      <c r="M279" s="9">
        <f>Coverage_Trajectory!H71</f>
        <v>0.13031152777518129</v>
      </c>
      <c r="N279" s="9">
        <f>Coverage_Trajectory!K71</f>
        <v>0.41649999999999993</v>
      </c>
      <c r="O279" s="9">
        <f t="shared" si="20"/>
        <v>0.28618847222481864</v>
      </c>
      <c r="P279" s="9">
        <f t="shared" si="21"/>
        <v>4.3784106913345285E-2</v>
      </c>
      <c r="Q279" s="9">
        <f t="shared" si="22"/>
        <v>6.5676160370017923E-3</v>
      </c>
      <c r="R279" s="9">
        <f t="shared" si="23"/>
        <v>0.99343238396299816</v>
      </c>
      <c r="S279" s="10" t="s">
        <v>695</v>
      </c>
      <c r="T279" s="5" t="str">
        <f t="shared" si="24"/>
        <v>OK</v>
      </c>
    </row>
    <row r="280" spans="1:20">
      <c r="A280" s="5" t="s">
        <v>713</v>
      </c>
      <c r="B280" s="5" t="s">
        <v>160</v>
      </c>
      <c r="C280" s="5" t="s">
        <v>122</v>
      </c>
      <c r="D280" s="5" t="s">
        <v>123</v>
      </c>
      <c r="E280" s="5" t="s">
        <v>120</v>
      </c>
      <c r="F280" s="5" t="s">
        <v>161</v>
      </c>
      <c r="G280" s="5" t="s">
        <v>213</v>
      </c>
      <c r="H280" s="5">
        <v>2043</v>
      </c>
      <c r="I280" s="5" t="s">
        <v>148</v>
      </c>
      <c r="J280" s="5" t="s">
        <v>162</v>
      </c>
      <c r="K280" s="9">
        <f>Effect_Sizes!J7</f>
        <v>0.15</v>
      </c>
      <c r="L280" s="9">
        <f>Effect_Sizes!K7</f>
        <v>0.15</v>
      </c>
      <c r="M280" s="9">
        <f>Coverage_Trajectory!H72</f>
        <v>0.13031152777518129</v>
      </c>
      <c r="N280" s="9">
        <f>Coverage_Trajectory!K72</f>
        <v>0.41649999999999993</v>
      </c>
      <c r="O280" s="9">
        <f t="shared" si="20"/>
        <v>0.28618847222481864</v>
      </c>
      <c r="P280" s="9">
        <f t="shared" si="21"/>
        <v>4.3784106913345285E-2</v>
      </c>
      <c r="Q280" s="9">
        <f t="shared" si="22"/>
        <v>6.5676160370017923E-3</v>
      </c>
      <c r="R280" s="9">
        <f t="shared" si="23"/>
        <v>0.99343238396299816</v>
      </c>
      <c r="S280" s="5" t="s">
        <v>695</v>
      </c>
      <c r="T280" s="5" t="str">
        <f t="shared" si="24"/>
        <v>OK</v>
      </c>
    </row>
    <row r="281" spans="1:20">
      <c r="A281" s="10" t="s">
        <v>714</v>
      </c>
      <c r="B281" s="10" t="s">
        <v>160</v>
      </c>
      <c r="C281" s="10" t="s">
        <v>122</v>
      </c>
      <c r="D281" s="10" t="s">
        <v>123</v>
      </c>
      <c r="E281" s="10" t="s">
        <v>120</v>
      </c>
      <c r="F281" s="10" t="s">
        <v>161</v>
      </c>
      <c r="G281" s="10" t="s">
        <v>213</v>
      </c>
      <c r="H281" s="10">
        <v>2044</v>
      </c>
      <c r="I281" s="10" t="s">
        <v>148</v>
      </c>
      <c r="J281" s="10" t="s">
        <v>162</v>
      </c>
      <c r="K281" s="9">
        <f>Effect_Sizes!J7</f>
        <v>0.15</v>
      </c>
      <c r="L281" s="9">
        <f>Effect_Sizes!K7</f>
        <v>0.15</v>
      </c>
      <c r="M281" s="9">
        <f>Coverage_Trajectory!H73</f>
        <v>0.13031152777518129</v>
      </c>
      <c r="N281" s="9">
        <f>Coverage_Trajectory!K73</f>
        <v>0.41649999999999993</v>
      </c>
      <c r="O281" s="9">
        <f t="shared" si="20"/>
        <v>0.28618847222481864</v>
      </c>
      <c r="P281" s="9">
        <f t="shared" si="21"/>
        <v>4.3784106913345285E-2</v>
      </c>
      <c r="Q281" s="9">
        <f t="shared" si="22"/>
        <v>6.5676160370017923E-3</v>
      </c>
      <c r="R281" s="9">
        <f t="shared" si="23"/>
        <v>0.99343238396299816</v>
      </c>
      <c r="S281" s="10" t="s">
        <v>695</v>
      </c>
      <c r="T281" s="5" t="str">
        <f t="shared" si="24"/>
        <v>OK</v>
      </c>
    </row>
    <row r="282" spans="1:20">
      <c r="A282" s="5" t="s">
        <v>715</v>
      </c>
      <c r="B282" s="5" t="s">
        <v>160</v>
      </c>
      <c r="C282" s="5" t="s">
        <v>122</v>
      </c>
      <c r="D282" s="5" t="s">
        <v>123</v>
      </c>
      <c r="E282" s="5" t="s">
        <v>120</v>
      </c>
      <c r="F282" s="5" t="s">
        <v>161</v>
      </c>
      <c r="G282" s="5" t="s">
        <v>213</v>
      </c>
      <c r="H282" s="5">
        <v>2045</v>
      </c>
      <c r="I282" s="5" t="s">
        <v>148</v>
      </c>
      <c r="J282" s="5" t="s">
        <v>162</v>
      </c>
      <c r="K282" s="9">
        <f>Effect_Sizes!J7</f>
        <v>0.15</v>
      </c>
      <c r="L282" s="9">
        <f>Effect_Sizes!K7</f>
        <v>0.15</v>
      </c>
      <c r="M282" s="9">
        <f>Coverage_Trajectory!H74</f>
        <v>0.13031152777518129</v>
      </c>
      <c r="N282" s="9">
        <f>Coverage_Trajectory!K74</f>
        <v>0.41649999999999993</v>
      </c>
      <c r="O282" s="9">
        <f t="shared" si="20"/>
        <v>0.28618847222481864</v>
      </c>
      <c r="P282" s="9">
        <f t="shared" si="21"/>
        <v>4.3784106913345285E-2</v>
      </c>
      <c r="Q282" s="9">
        <f t="shared" si="22"/>
        <v>6.5676160370017923E-3</v>
      </c>
      <c r="R282" s="9">
        <f t="shared" si="23"/>
        <v>0.99343238396299816</v>
      </c>
      <c r="S282" s="5" t="s">
        <v>695</v>
      </c>
      <c r="T282" s="5" t="str">
        <f t="shared" si="24"/>
        <v>OK</v>
      </c>
    </row>
    <row r="283" spans="1:20">
      <c r="A283" s="10" t="s">
        <v>716</v>
      </c>
      <c r="B283" s="10" t="s">
        <v>160</v>
      </c>
      <c r="C283" s="10" t="s">
        <v>122</v>
      </c>
      <c r="D283" s="10" t="s">
        <v>123</v>
      </c>
      <c r="E283" s="10" t="s">
        <v>120</v>
      </c>
      <c r="F283" s="10" t="s">
        <v>161</v>
      </c>
      <c r="G283" s="10" t="s">
        <v>213</v>
      </c>
      <c r="H283" s="10">
        <v>2046</v>
      </c>
      <c r="I283" s="10" t="s">
        <v>148</v>
      </c>
      <c r="J283" s="10" t="s">
        <v>162</v>
      </c>
      <c r="K283" s="9">
        <f>Effect_Sizes!J7</f>
        <v>0.15</v>
      </c>
      <c r="L283" s="9">
        <f>Effect_Sizes!K7</f>
        <v>0.15</v>
      </c>
      <c r="M283" s="9">
        <f>Coverage_Trajectory!H75</f>
        <v>0.13031152777518129</v>
      </c>
      <c r="N283" s="9">
        <f>Coverage_Trajectory!K75</f>
        <v>0.41649999999999993</v>
      </c>
      <c r="O283" s="9">
        <f t="shared" si="20"/>
        <v>0.28618847222481864</v>
      </c>
      <c r="P283" s="9">
        <f t="shared" si="21"/>
        <v>4.3784106913345285E-2</v>
      </c>
      <c r="Q283" s="9">
        <f t="shared" si="22"/>
        <v>6.5676160370017923E-3</v>
      </c>
      <c r="R283" s="9">
        <f t="shared" si="23"/>
        <v>0.99343238396299816</v>
      </c>
      <c r="S283" s="10" t="s">
        <v>695</v>
      </c>
      <c r="T283" s="5" t="str">
        <f t="shared" si="24"/>
        <v>OK</v>
      </c>
    </row>
    <row r="284" spans="1:20">
      <c r="A284" s="5" t="s">
        <v>717</v>
      </c>
      <c r="B284" s="5" t="s">
        <v>160</v>
      </c>
      <c r="C284" s="5" t="s">
        <v>122</v>
      </c>
      <c r="D284" s="5" t="s">
        <v>123</v>
      </c>
      <c r="E284" s="5" t="s">
        <v>120</v>
      </c>
      <c r="F284" s="5" t="s">
        <v>161</v>
      </c>
      <c r="G284" s="5" t="s">
        <v>213</v>
      </c>
      <c r="H284" s="5">
        <v>2047</v>
      </c>
      <c r="I284" s="5" t="s">
        <v>148</v>
      </c>
      <c r="J284" s="5" t="s">
        <v>162</v>
      </c>
      <c r="K284" s="9">
        <f>Effect_Sizes!J7</f>
        <v>0.15</v>
      </c>
      <c r="L284" s="9">
        <f>Effect_Sizes!K7</f>
        <v>0.15</v>
      </c>
      <c r="M284" s="9">
        <f>Coverage_Trajectory!H76</f>
        <v>0.13031152777518129</v>
      </c>
      <c r="N284" s="9">
        <f>Coverage_Trajectory!K76</f>
        <v>0.41649999999999993</v>
      </c>
      <c r="O284" s="9">
        <f t="shared" si="20"/>
        <v>0.28618847222481864</v>
      </c>
      <c r="P284" s="9">
        <f t="shared" si="21"/>
        <v>4.3784106913345285E-2</v>
      </c>
      <c r="Q284" s="9">
        <f t="shared" si="22"/>
        <v>6.5676160370017923E-3</v>
      </c>
      <c r="R284" s="9">
        <f t="shared" si="23"/>
        <v>0.99343238396299816</v>
      </c>
      <c r="S284" s="5" t="s">
        <v>695</v>
      </c>
      <c r="T284" s="5" t="str">
        <f t="shared" si="24"/>
        <v>OK</v>
      </c>
    </row>
    <row r="285" spans="1:20">
      <c r="A285" s="10" t="s">
        <v>718</v>
      </c>
      <c r="B285" s="10" t="s">
        <v>160</v>
      </c>
      <c r="C285" s="10" t="s">
        <v>122</v>
      </c>
      <c r="D285" s="10" t="s">
        <v>123</v>
      </c>
      <c r="E285" s="10" t="s">
        <v>120</v>
      </c>
      <c r="F285" s="10" t="s">
        <v>161</v>
      </c>
      <c r="G285" s="10" t="s">
        <v>213</v>
      </c>
      <c r="H285" s="10">
        <v>2048</v>
      </c>
      <c r="I285" s="10" t="s">
        <v>148</v>
      </c>
      <c r="J285" s="10" t="s">
        <v>162</v>
      </c>
      <c r="K285" s="9">
        <f>Effect_Sizes!J7</f>
        <v>0.15</v>
      </c>
      <c r="L285" s="9">
        <f>Effect_Sizes!K7</f>
        <v>0.15</v>
      </c>
      <c r="M285" s="9">
        <f>Coverage_Trajectory!H77</f>
        <v>0.13031152777518129</v>
      </c>
      <c r="N285" s="9">
        <f>Coverage_Trajectory!K77</f>
        <v>0.41649999999999993</v>
      </c>
      <c r="O285" s="9">
        <f t="shared" si="20"/>
        <v>0.28618847222481864</v>
      </c>
      <c r="P285" s="9">
        <f t="shared" si="21"/>
        <v>4.3784106913345285E-2</v>
      </c>
      <c r="Q285" s="9">
        <f t="shared" si="22"/>
        <v>6.5676160370017923E-3</v>
      </c>
      <c r="R285" s="9">
        <f t="shared" si="23"/>
        <v>0.99343238396299816</v>
      </c>
      <c r="S285" s="10" t="s">
        <v>695</v>
      </c>
      <c r="T285" s="5" t="str">
        <f t="shared" si="24"/>
        <v>OK</v>
      </c>
    </row>
    <row r="286" spans="1:20">
      <c r="A286" s="5" t="s">
        <v>719</v>
      </c>
      <c r="B286" s="5" t="s">
        <v>160</v>
      </c>
      <c r="C286" s="5" t="s">
        <v>122</v>
      </c>
      <c r="D286" s="5" t="s">
        <v>123</v>
      </c>
      <c r="E286" s="5" t="s">
        <v>120</v>
      </c>
      <c r="F286" s="5" t="s">
        <v>161</v>
      </c>
      <c r="G286" s="5" t="s">
        <v>213</v>
      </c>
      <c r="H286" s="5">
        <v>2049</v>
      </c>
      <c r="I286" s="5" t="s">
        <v>148</v>
      </c>
      <c r="J286" s="5" t="s">
        <v>162</v>
      </c>
      <c r="K286" s="9">
        <f>Effect_Sizes!J7</f>
        <v>0.15</v>
      </c>
      <c r="L286" s="9">
        <f>Effect_Sizes!K7</f>
        <v>0.15</v>
      </c>
      <c r="M286" s="9">
        <f>Coverage_Trajectory!H78</f>
        <v>0.13031152777518129</v>
      </c>
      <c r="N286" s="9">
        <f>Coverage_Trajectory!K78</f>
        <v>0.41649999999999993</v>
      </c>
      <c r="O286" s="9">
        <f t="shared" si="20"/>
        <v>0.28618847222481864</v>
      </c>
      <c r="P286" s="9">
        <f t="shared" si="21"/>
        <v>4.3784106913345285E-2</v>
      </c>
      <c r="Q286" s="9">
        <f t="shared" si="22"/>
        <v>6.5676160370017923E-3</v>
      </c>
      <c r="R286" s="9">
        <f t="shared" si="23"/>
        <v>0.99343238396299816</v>
      </c>
      <c r="S286" s="5" t="s">
        <v>695</v>
      </c>
      <c r="T286" s="5" t="str">
        <f t="shared" si="24"/>
        <v>OK</v>
      </c>
    </row>
    <row r="287" spans="1:20">
      <c r="A287" s="10" t="s">
        <v>720</v>
      </c>
      <c r="B287" s="10" t="s">
        <v>160</v>
      </c>
      <c r="C287" s="10" t="s">
        <v>122</v>
      </c>
      <c r="D287" s="10" t="s">
        <v>123</v>
      </c>
      <c r="E287" s="10" t="s">
        <v>120</v>
      </c>
      <c r="F287" s="10" t="s">
        <v>161</v>
      </c>
      <c r="G287" s="10" t="s">
        <v>213</v>
      </c>
      <c r="H287" s="10">
        <v>2050</v>
      </c>
      <c r="I287" s="10" t="s">
        <v>148</v>
      </c>
      <c r="J287" s="10" t="s">
        <v>162</v>
      </c>
      <c r="K287" s="9">
        <f>Effect_Sizes!J7</f>
        <v>0.15</v>
      </c>
      <c r="L287" s="9">
        <f>Effect_Sizes!K7</f>
        <v>0.15</v>
      </c>
      <c r="M287" s="9">
        <f>Coverage_Trajectory!H79</f>
        <v>0.13031152777518129</v>
      </c>
      <c r="N287" s="9">
        <f>Coverage_Trajectory!K79</f>
        <v>0.41649999999999993</v>
      </c>
      <c r="O287" s="9">
        <f t="shared" si="20"/>
        <v>0.28618847222481864</v>
      </c>
      <c r="P287" s="9">
        <f t="shared" si="21"/>
        <v>4.3784106913345285E-2</v>
      </c>
      <c r="Q287" s="9">
        <f t="shared" si="22"/>
        <v>6.5676160370017923E-3</v>
      </c>
      <c r="R287" s="9">
        <f t="shared" si="23"/>
        <v>0.99343238396299816</v>
      </c>
      <c r="S287" s="10" t="s">
        <v>695</v>
      </c>
      <c r="T287" s="5" t="str">
        <f t="shared" si="24"/>
        <v>OK</v>
      </c>
    </row>
    <row r="288" spans="1:20">
      <c r="A288" s="5" t="s">
        <v>721</v>
      </c>
      <c r="B288" s="5" t="s">
        <v>160</v>
      </c>
      <c r="C288" s="5" t="s">
        <v>122</v>
      </c>
      <c r="D288" s="5" t="s">
        <v>123</v>
      </c>
      <c r="E288" s="5" t="s">
        <v>120</v>
      </c>
      <c r="F288" s="5" t="s">
        <v>161</v>
      </c>
      <c r="G288" s="5" t="s">
        <v>224</v>
      </c>
      <c r="H288" s="5">
        <v>2025</v>
      </c>
      <c r="I288" s="5" t="s">
        <v>148</v>
      </c>
      <c r="J288" s="5" t="s">
        <v>162</v>
      </c>
      <c r="K288" s="9">
        <f>Effect_Sizes!J7</f>
        <v>0.15</v>
      </c>
      <c r="L288" s="9">
        <f>Effect_Sizes!K7</f>
        <v>0.15</v>
      </c>
      <c r="M288" s="9">
        <f>Coverage_Trajectory!H80</f>
        <v>0.1655176973841091</v>
      </c>
      <c r="N288" s="9">
        <f>Coverage_Trajectory!K80</f>
        <v>0.1655176973841091</v>
      </c>
      <c r="O288" s="9">
        <f t="shared" si="20"/>
        <v>0</v>
      </c>
      <c r="P288" s="9">
        <f t="shared" si="21"/>
        <v>0</v>
      </c>
      <c r="Q288" s="9">
        <f t="shared" si="22"/>
        <v>0</v>
      </c>
      <c r="R288" s="9">
        <f t="shared" si="23"/>
        <v>1</v>
      </c>
      <c r="S288" s="5" t="s">
        <v>695</v>
      </c>
      <c r="T288" s="5" t="str">
        <f t="shared" si="24"/>
        <v>OK</v>
      </c>
    </row>
    <row r="289" spans="1:20">
      <c r="A289" s="10" t="s">
        <v>722</v>
      </c>
      <c r="B289" s="10" t="s">
        <v>160</v>
      </c>
      <c r="C289" s="10" t="s">
        <v>122</v>
      </c>
      <c r="D289" s="10" t="s">
        <v>123</v>
      </c>
      <c r="E289" s="10" t="s">
        <v>120</v>
      </c>
      <c r="F289" s="10" t="s">
        <v>161</v>
      </c>
      <c r="G289" s="10" t="s">
        <v>224</v>
      </c>
      <c r="H289" s="10">
        <v>2026</v>
      </c>
      <c r="I289" s="10" t="s">
        <v>148</v>
      </c>
      <c r="J289" s="10" t="s">
        <v>162</v>
      </c>
      <c r="K289" s="9">
        <f>Effect_Sizes!J7</f>
        <v>0.15</v>
      </c>
      <c r="L289" s="9">
        <f>Effect_Sizes!K7</f>
        <v>0.15</v>
      </c>
      <c r="M289" s="9">
        <f>Coverage_Trajectory!H81</f>
        <v>0.1655176973841091</v>
      </c>
      <c r="N289" s="9">
        <f>Coverage_Trajectory!K81</f>
        <v>0.1655176973841091</v>
      </c>
      <c r="O289" s="9">
        <f t="shared" si="20"/>
        <v>0</v>
      </c>
      <c r="P289" s="9">
        <f t="shared" si="21"/>
        <v>0</v>
      </c>
      <c r="Q289" s="9">
        <f t="shared" si="22"/>
        <v>0</v>
      </c>
      <c r="R289" s="9">
        <f t="shared" si="23"/>
        <v>1</v>
      </c>
      <c r="S289" s="10" t="s">
        <v>695</v>
      </c>
      <c r="T289" s="5" t="str">
        <f t="shared" si="24"/>
        <v>OK</v>
      </c>
    </row>
    <row r="290" spans="1:20">
      <c r="A290" s="5" t="s">
        <v>723</v>
      </c>
      <c r="B290" s="5" t="s">
        <v>160</v>
      </c>
      <c r="C290" s="5" t="s">
        <v>122</v>
      </c>
      <c r="D290" s="5" t="s">
        <v>123</v>
      </c>
      <c r="E290" s="5" t="s">
        <v>120</v>
      </c>
      <c r="F290" s="5" t="s">
        <v>161</v>
      </c>
      <c r="G290" s="5" t="s">
        <v>224</v>
      </c>
      <c r="H290" s="5">
        <v>2027</v>
      </c>
      <c r="I290" s="5" t="s">
        <v>148</v>
      </c>
      <c r="J290" s="5" t="s">
        <v>162</v>
      </c>
      <c r="K290" s="9">
        <f>Effect_Sizes!J7</f>
        <v>0.15</v>
      </c>
      <c r="L290" s="9">
        <f>Effect_Sizes!K7</f>
        <v>0.15</v>
      </c>
      <c r="M290" s="9">
        <f>Coverage_Trajectory!H82</f>
        <v>0.1655176973841091</v>
      </c>
      <c r="N290" s="9">
        <f>Coverage_Trajectory!K82</f>
        <v>0.1655176973841091</v>
      </c>
      <c r="O290" s="9">
        <f t="shared" si="20"/>
        <v>0</v>
      </c>
      <c r="P290" s="9">
        <f t="shared" si="21"/>
        <v>0</v>
      </c>
      <c r="Q290" s="9">
        <f t="shared" si="22"/>
        <v>0</v>
      </c>
      <c r="R290" s="9">
        <f t="shared" si="23"/>
        <v>1</v>
      </c>
      <c r="S290" s="5" t="s">
        <v>695</v>
      </c>
      <c r="T290" s="5" t="str">
        <f t="shared" si="24"/>
        <v>OK</v>
      </c>
    </row>
    <row r="291" spans="1:20">
      <c r="A291" s="10" t="s">
        <v>724</v>
      </c>
      <c r="B291" s="10" t="s">
        <v>160</v>
      </c>
      <c r="C291" s="10" t="s">
        <v>122</v>
      </c>
      <c r="D291" s="10" t="s">
        <v>123</v>
      </c>
      <c r="E291" s="10" t="s">
        <v>120</v>
      </c>
      <c r="F291" s="10" t="s">
        <v>161</v>
      </c>
      <c r="G291" s="10" t="s">
        <v>224</v>
      </c>
      <c r="H291" s="10">
        <v>2028</v>
      </c>
      <c r="I291" s="10" t="s">
        <v>148</v>
      </c>
      <c r="J291" s="10" t="s">
        <v>162</v>
      </c>
      <c r="K291" s="9">
        <f>Effect_Sizes!J7</f>
        <v>0.15</v>
      </c>
      <c r="L291" s="9">
        <f>Effect_Sizes!K7</f>
        <v>0.15</v>
      </c>
      <c r="M291" s="9">
        <f>Coverage_Trajectory!H83</f>
        <v>0.1655176973841091</v>
      </c>
      <c r="N291" s="9">
        <f>Coverage_Trajectory!K83</f>
        <v>0.1655176973841091</v>
      </c>
      <c r="O291" s="9">
        <f t="shared" si="20"/>
        <v>0</v>
      </c>
      <c r="P291" s="9">
        <f t="shared" si="21"/>
        <v>0</v>
      </c>
      <c r="Q291" s="9">
        <f t="shared" si="22"/>
        <v>0</v>
      </c>
      <c r="R291" s="9">
        <f t="shared" si="23"/>
        <v>1</v>
      </c>
      <c r="S291" s="10" t="s">
        <v>695</v>
      </c>
      <c r="T291" s="5" t="str">
        <f t="shared" si="24"/>
        <v>OK</v>
      </c>
    </row>
    <row r="292" spans="1:20">
      <c r="A292" s="5" t="s">
        <v>725</v>
      </c>
      <c r="B292" s="5" t="s">
        <v>160</v>
      </c>
      <c r="C292" s="5" t="s">
        <v>122</v>
      </c>
      <c r="D292" s="5" t="s">
        <v>123</v>
      </c>
      <c r="E292" s="5" t="s">
        <v>120</v>
      </c>
      <c r="F292" s="5" t="s">
        <v>161</v>
      </c>
      <c r="G292" s="5" t="s">
        <v>224</v>
      </c>
      <c r="H292" s="5">
        <v>2029</v>
      </c>
      <c r="I292" s="5" t="s">
        <v>148</v>
      </c>
      <c r="J292" s="5" t="s">
        <v>162</v>
      </c>
      <c r="K292" s="9">
        <f>Effect_Sizes!J7</f>
        <v>0.15</v>
      </c>
      <c r="L292" s="9">
        <f>Effect_Sizes!K7</f>
        <v>0.15</v>
      </c>
      <c r="M292" s="9">
        <f>Coverage_Trajectory!H84</f>
        <v>0.1655176973841091</v>
      </c>
      <c r="N292" s="9">
        <f>Coverage_Trajectory!K84</f>
        <v>0.1655176973841091</v>
      </c>
      <c r="O292" s="9">
        <f t="shared" si="20"/>
        <v>0</v>
      </c>
      <c r="P292" s="9">
        <f t="shared" si="21"/>
        <v>0</v>
      </c>
      <c r="Q292" s="9">
        <f t="shared" si="22"/>
        <v>0</v>
      </c>
      <c r="R292" s="9">
        <f t="shared" si="23"/>
        <v>1</v>
      </c>
      <c r="S292" s="5" t="s">
        <v>695</v>
      </c>
      <c r="T292" s="5" t="str">
        <f t="shared" si="24"/>
        <v>OK</v>
      </c>
    </row>
    <row r="293" spans="1:20">
      <c r="A293" s="10" t="s">
        <v>726</v>
      </c>
      <c r="B293" s="10" t="s">
        <v>160</v>
      </c>
      <c r="C293" s="10" t="s">
        <v>122</v>
      </c>
      <c r="D293" s="10" t="s">
        <v>123</v>
      </c>
      <c r="E293" s="10" t="s">
        <v>120</v>
      </c>
      <c r="F293" s="10" t="s">
        <v>161</v>
      </c>
      <c r="G293" s="10" t="s">
        <v>224</v>
      </c>
      <c r="H293" s="10">
        <v>2030</v>
      </c>
      <c r="I293" s="10" t="s">
        <v>148</v>
      </c>
      <c r="J293" s="10" t="s">
        <v>162</v>
      </c>
      <c r="K293" s="9">
        <f>Effect_Sizes!J7</f>
        <v>0.15</v>
      </c>
      <c r="L293" s="9">
        <f>Effect_Sizes!K7</f>
        <v>0.15</v>
      </c>
      <c r="M293" s="9">
        <f>Coverage_Trajectory!H85</f>
        <v>0.1655176973841091</v>
      </c>
      <c r="N293" s="9">
        <f>Coverage_Trajectory!K85</f>
        <v>0.1655176973841091</v>
      </c>
      <c r="O293" s="9">
        <f t="shared" si="20"/>
        <v>0</v>
      </c>
      <c r="P293" s="9">
        <f t="shared" si="21"/>
        <v>0</v>
      </c>
      <c r="Q293" s="9">
        <f t="shared" si="22"/>
        <v>0</v>
      </c>
      <c r="R293" s="9">
        <f t="shared" si="23"/>
        <v>1</v>
      </c>
      <c r="S293" s="10" t="s">
        <v>695</v>
      </c>
      <c r="T293" s="5" t="str">
        <f t="shared" si="24"/>
        <v>OK</v>
      </c>
    </row>
    <row r="294" spans="1:20">
      <c r="A294" s="5" t="s">
        <v>727</v>
      </c>
      <c r="B294" s="5" t="s">
        <v>160</v>
      </c>
      <c r="C294" s="5" t="s">
        <v>122</v>
      </c>
      <c r="D294" s="5" t="s">
        <v>123</v>
      </c>
      <c r="E294" s="5" t="s">
        <v>120</v>
      </c>
      <c r="F294" s="5" t="s">
        <v>161</v>
      </c>
      <c r="G294" s="5" t="s">
        <v>224</v>
      </c>
      <c r="H294" s="5">
        <v>2031</v>
      </c>
      <c r="I294" s="5" t="s">
        <v>148</v>
      </c>
      <c r="J294" s="5" t="s">
        <v>162</v>
      </c>
      <c r="K294" s="9">
        <f>Effect_Sizes!J7</f>
        <v>0.15</v>
      </c>
      <c r="L294" s="9">
        <f>Effect_Sizes!K7</f>
        <v>0.15</v>
      </c>
      <c r="M294" s="9">
        <f>Coverage_Trajectory!H86</f>
        <v>0.1655176973841091</v>
      </c>
      <c r="N294" s="9">
        <f>Coverage_Trajectory!K86</f>
        <v>0.19061592764569818</v>
      </c>
      <c r="O294" s="9">
        <f t="shared" si="20"/>
        <v>2.5098230261589083E-2</v>
      </c>
      <c r="P294" s="9">
        <f t="shared" si="21"/>
        <v>3.860583779909727E-3</v>
      </c>
      <c r="Q294" s="9">
        <f t="shared" si="22"/>
        <v>5.7908756698645902E-4</v>
      </c>
      <c r="R294" s="9">
        <f t="shared" si="23"/>
        <v>0.99942091243301356</v>
      </c>
      <c r="S294" s="5" t="s">
        <v>695</v>
      </c>
      <c r="T294" s="5" t="str">
        <f t="shared" si="24"/>
        <v>OK</v>
      </c>
    </row>
    <row r="295" spans="1:20">
      <c r="A295" s="10" t="s">
        <v>728</v>
      </c>
      <c r="B295" s="10" t="s">
        <v>160</v>
      </c>
      <c r="C295" s="10" t="s">
        <v>122</v>
      </c>
      <c r="D295" s="10" t="s">
        <v>123</v>
      </c>
      <c r="E295" s="10" t="s">
        <v>120</v>
      </c>
      <c r="F295" s="10" t="s">
        <v>161</v>
      </c>
      <c r="G295" s="10" t="s">
        <v>224</v>
      </c>
      <c r="H295" s="10">
        <v>2032</v>
      </c>
      <c r="I295" s="10" t="s">
        <v>148</v>
      </c>
      <c r="J295" s="10" t="s">
        <v>162</v>
      </c>
      <c r="K295" s="9">
        <f>Effect_Sizes!J7</f>
        <v>0.15</v>
      </c>
      <c r="L295" s="9">
        <f>Effect_Sizes!K7</f>
        <v>0.15</v>
      </c>
      <c r="M295" s="9">
        <f>Coverage_Trajectory!H87</f>
        <v>0.1655176973841091</v>
      </c>
      <c r="N295" s="9">
        <f>Coverage_Trajectory!K87</f>
        <v>0.21571415790728726</v>
      </c>
      <c r="O295" s="9">
        <f t="shared" si="20"/>
        <v>5.0196460523178166E-2</v>
      </c>
      <c r="P295" s="9">
        <f t="shared" si="21"/>
        <v>7.7211675598194539E-3</v>
      </c>
      <c r="Q295" s="9">
        <f t="shared" si="22"/>
        <v>1.158175133972918E-3</v>
      </c>
      <c r="R295" s="9">
        <f t="shared" si="23"/>
        <v>0.99884182486602713</v>
      </c>
      <c r="S295" s="10" t="s">
        <v>695</v>
      </c>
      <c r="T295" s="5" t="str">
        <f t="shared" si="24"/>
        <v>OK</v>
      </c>
    </row>
    <row r="296" spans="1:20">
      <c r="A296" s="5" t="s">
        <v>729</v>
      </c>
      <c r="B296" s="5" t="s">
        <v>160</v>
      </c>
      <c r="C296" s="5" t="s">
        <v>122</v>
      </c>
      <c r="D296" s="5" t="s">
        <v>123</v>
      </c>
      <c r="E296" s="5" t="s">
        <v>120</v>
      </c>
      <c r="F296" s="5" t="s">
        <v>161</v>
      </c>
      <c r="G296" s="5" t="s">
        <v>224</v>
      </c>
      <c r="H296" s="5">
        <v>2033</v>
      </c>
      <c r="I296" s="5" t="s">
        <v>148</v>
      </c>
      <c r="J296" s="5" t="s">
        <v>162</v>
      </c>
      <c r="K296" s="9">
        <f>Effect_Sizes!J7</f>
        <v>0.15</v>
      </c>
      <c r="L296" s="9">
        <f>Effect_Sizes!K7</f>
        <v>0.15</v>
      </c>
      <c r="M296" s="9">
        <f>Coverage_Trajectory!H88</f>
        <v>0.1655176973841091</v>
      </c>
      <c r="N296" s="9">
        <f>Coverage_Trajectory!K88</f>
        <v>0.24081238816887635</v>
      </c>
      <c r="O296" s="9">
        <f t="shared" si="20"/>
        <v>7.5294690784767249E-2</v>
      </c>
      <c r="P296" s="9">
        <f t="shared" si="21"/>
        <v>1.1581751339729182E-2</v>
      </c>
      <c r="Q296" s="9">
        <f t="shared" si="22"/>
        <v>1.7372627009593772E-3</v>
      </c>
      <c r="R296" s="9">
        <f t="shared" si="23"/>
        <v>0.99826273729904058</v>
      </c>
      <c r="S296" s="5" t="s">
        <v>695</v>
      </c>
      <c r="T296" s="5" t="str">
        <f t="shared" si="24"/>
        <v>OK</v>
      </c>
    </row>
    <row r="297" spans="1:20">
      <c r="A297" s="10" t="s">
        <v>730</v>
      </c>
      <c r="B297" s="10" t="s">
        <v>160</v>
      </c>
      <c r="C297" s="10" t="s">
        <v>122</v>
      </c>
      <c r="D297" s="10" t="s">
        <v>123</v>
      </c>
      <c r="E297" s="10" t="s">
        <v>120</v>
      </c>
      <c r="F297" s="10" t="s">
        <v>161</v>
      </c>
      <c r="G297" s="10" t="s">
        <v>224</v>
      </c>
      <c r="H297" s="10">
        <v>2034</v>
      </c>
      <c r="I297" s="10" t="s">
        <v>148</v>
      </c>
      <c r="J297" s="10" t="s">
        <v>162</v>
      </c>
      <c r="K297" s="9">
        <f>Effect_Sizes!J7</f>
        <v>0.15</v>
      </c>
      <c r="L297" s="9">
        <f>Effect_Sizes!K7</f>
        <v>0.15</v>
      </c>
      <c r="M297" s="9">
        <f>Coverage_Trajectory!H89</f>
        <v>0.1655176973841091</v>
      </c>
      <c r="N297" s="9">
        <f>Coverage_Trajectory!K89</f>
        <v>0.26591061843046543</v>
      </c>
      <c r="O297" s="9">
        <f t="shared" si="20"/>
        <v>0.10039292104635633</v>
      </c>
      <c r="P297" s="9">
        <f t="shared" si="21"/>
        <v>1.5442335119638908E-2</v>
      </c>
      <c r="Q297" s="9">
        <f t="shared" si="22"/>
        <v>2.3163502679458361E-3</v>
      </c>
      <c r="R297" s="9">
        <f t="shared" si="23"/>
        <v>0.99768364973205415</v>
      </c>
      <c r="S297" s="10" t="s">
        <v>695</v>
      </c>
      <c r="T297" s="5" t="str">
        <f t="shared" si="24"/>
        <v>OK</v>
      </c>
    </row>
    <row r="298" spans="1:20">
      <c r="A298" s="5" t="s">
        <v>731</v>
      </c>
      <c r="B298" s="5" t="s">
        <v>160</v>
      </c>
      <c r="C298" s="5" t="s">
        <v>122</v>
      </c>
      <c r="D298" s="5" t="s">
        <v>123</v>
      </c>
      <c r="E298" s="5" t="s">
        <v>120</v>
      </c>
      <c r="F298" s="5" t="s">
        <v>161</v>
      </c>
      <c r="G298" s="5" t="s">
        <v>224</v>
      </c>
      <c r="H298" s="5">
        <v>2035</v>
      </c>
      <c r="I298" s="5" t="s">
        <v>148</v>
      </c>
      <c r="J298" s="5" t="s">
        <v>162</v>
      </c>
      <c r="K298" s="9">
        <f>Effect_Sizes!J7</f>
        <v>0.15</v>
      </c>
      <c r="L298" s="9">
        <f>Effect_Sizes!K7</f>
        <v>0.15</v>
      </c>
      <c r="M298" s="9">
        <f>Coverage_Trajectory!H90</f>
        <v>0.1655176973841091</v>
      </c>
      <c r="N298" s="9">
        <f>Coverage_Trajectory!K90</f>
        <v>0.29100884869205451</v>
      </c>
      <c r="O298" s="9">
        <f t="shared" si="20"/>
        <v>0.12549115130794541</v>
      </c>
      <c r="P298" s="9">
        <f t="shared" si="21"/>
        <v>1.9302918899548636E-2</v>
      </c>
      <c r="Q298" s="9">
        <f t="shared" si="22"/>
        <v>2.8954378349322954E-3</v>
      </c>
      <c r="R298" s="9">
        <f t="shared" si="23"/>
        <v>0.99710456216506771</v>
      </c>
      <c r="S298" s="5" t="s">
        <v>695</v>
      </c>
      <c r="T298" s="5" t="str">
        <f t="shared" si="24"/>
        <v>OK</v>
      </c>
    </row>
    <row r="299" spans="1:20">
      <c r="A299" s="10" t="s">
        <v>732</v>
      </c>
      <c r="B299" s="10" t="s">
        <v>160</v>
      </c>
      <c r="C299" s="10" t="s">
        <v>122</v>
      </c>
      <c r="D299" s="10" t="s">
        <v>123</v>
      </c>
      <c r="E299" s="10" t="s">
        <v>120</v>
      </c>
      <c r="F299" s="10" t="s">
        <v>161</v>
      </c>
      <c r="G299" s="10" t="s">
        <v>224</v>
      </c>
      <c r="H299" s="10">
        <v>2036</v>
      </c>
      <c r="I299" s="10" t="s">
        <v>148</v>
      </c>
      <c r="J299" s="10" t="s">
        <v>162</v>
      </c>
      <c r="K299" s="9">
        <f>Effect_Sizes!J7</f>
        <v>0.15</v>
      </c>
      <c r="L299" s="9">
        <f>Effect_Sizes!K7</f>
        <v>0.15</v>
      </c>
      <c r="M299" s="9">
        <f>Coverage_Trajectory!H91</f>
        <v>0.1655176973841091</v>
      </c>
      <c r="N299" s="9">
        <f>Coverage_Trajectory!K91</f>
        <v>0.31610707895364359</v>
      </c>
      <c r="O299" s="9">
        <f t="shared" si="20"/>
        <v>0.1505893815695345</v>
      </c>
      <c r="P299" s="9">
        <f t="shared" si="21"/>
        <v>2.3163502679458364E-2</v>
      </c>
      <c r="Q299" s="9">
        <f t="shared" si="22"/>
        <v>3.4745254019187544E-3</v>
      </c>
      <c r="R299" s="9">
        <f t="shared" si="23"/>
        <v>0.99652547459808127</v>
      </c>
      <c r="S299" s="10" t="s">
        <v>695</v>
      </c>
      <c r="T299" s="5" t="str">
        <f t="shared" si="24"/>
        <v>OK</v>
      </c>
    </row>
    <row r="300" spans="1:20">
      <c r="A300" s="5" t="s">
        <v>733</v>
      </c>
      <c r="B300" s="5" t="s">
        <v>160</v>
      </c>
      <c r="C300" s="5" t="s">
        <v>122</v>
      </c>
      <c r="D300" s="5" t="s">
        <v>123</v>
      </c>
      <c r="E300" s="5" t="s">
        <v>120</v>
      </c>
      <c r="F300" s="5" t="s">
        <v>161</v>
      </c>
      <c r="G300" s="5" t="s">
        <v>224</v>
      </c>
      <c r="H300" s="5">
        <v>2037</v>
      </c>
      <c r="I300" s="5" t="s">
        <v>148</v>
      </c>
      <c r="J300" s="5" t="s">
        <v>162</v>
      </c>
      <c r="K300" s="9">
        <f>Effect_Sizes!J7</f>
        <v>0.15</v>
      </c>
      <c r="L300" s="9">
        <f>Effect_Sizes!K7</f>
        <v>0.15</v>
      </c>
      <c r="M300" s="9">
        <f>Coverage_Trajectory!H92</f>
        <v>0.1655176973841091</v>
      </c>
      <c r="N300" s="9">
        <f>Coverage_Trajectory!K92</f>
        <v>0.34120530921523268</v>
      </c>
      <c r="O300" s="9">
        <f t="shared" si="20"/>
        <v>0.17568761183112358</v>
      </c>
      <c r="P300" s="9">
        <f t="shared" si="21"/>
        <v>2.7024086459368091E-2</v>
      </c>
      <c r="Q300" s="9">
        <f t="shared" si="22"/>
        <v>4.0536129689052137E-3</v>
      </c>
      <c r="R300" s="9">
        <f t="shared" si="23"/>
        <v>0.99594638703109484</v>
      </c>
      <c r="S300" s="5" t="s">
        <v>695</v>
      </c>
      <c r="T300" s="5" t="str">
        <f t="shared" si="24"/>
        <v>OK</v>
      </c>
    </row>
    <row r="301" spans="1:20">
      <c r="A301" s="10" t="s">
        <v>734</v>
      </c>
      <c r="B301" s="10" t="s">
        <v>160</v>
      </c>
      <c r="C301" s="10" t="s">
        <v>122</v>
      </c>
      <c r="D301" s="10" t="s">
        <v>123</v>
      </c>
      <c r="E301" s="10" t="s">
        <v>120</v>
      </c>
      <c r="F301" s="10" t="s">
        <v>161</v>
      </c>
      <c r="G301" s="10" t="s">
        <v>224</v>
      </c>
      <c r="H301" s="10">
        <v>2038</v>
      </c>
      <c r="I301" s="10" t="s">
        <v>148</v>
      </c>
      <c r="J301" s="10" t="s">
        <v>162</v>
      </c>
      <c r="K301" s="9">
        <f>Effect_Sizes!J7</f>
        <v>0.15</v>
      </c>
      <c r="L301" s="9">
        <f>Effect_Sizes!K7</f>
        <v>0.15</v>
      </c>
      <c r="M301" s="9">
        <f>Coverage_Trajectory!H93</f>
        <v>0.1655176973841091</v>
      </c>
      <c r="N301" s="9">
        <f>Coverage_Trajectory!K93</f>
        <v>0.36630353947682176</v>
      </c>
      <c r="O301" s="9">
        <f t="shared" si="20"/>
        <v>0.20078584209271266</v>
      </c>
      <c r="P301" s="9">
        <f t="shared" si="21"/>
        <v>3.0884670239277816E-2</v>
      </c>
      <c r="Q301" s="9">
        <f t="shared" si="22"/>
        <v>4.6327005358916722E-3</v>
      </c>
      <c r="R301" s="9">
        <f t="shared" si="23"/>
        <v>0.99536729946410829</v>
      </c>
      <c r="S301" s="10" t="s">
        <v>695</v>
      </c>
      <c r="T301" s="5" t="str">
        <f t="shared" si="24"/>
        <v>OK</v>
      </c>
    </row>
    <row r="302" spans="1:20">
      <c r="A302" s="5" t="s">
        <v>735</v>
      </c>
      <c r="B302" s="5" t="s">
        <v>160</v>
      </c>
      <c r="C302" s="5" t="s">
        <v>122</v>
      </c>
      <c r="D302" s="5" t="s">
        <v>123</v>
      </c>
      <c r="E302" s="5" t="s">
        <v>120</v>
      </c>
      <c r="F302" s="5" t="s">
        <v>161</v>
      </c>
      <c r="G302" s="5" t="s">
        <v>224</v>
      </c>
      <c r="H302" s="5">
        <v>2039</v>
      </c>
      <c r="I302" s="5" t="s">
        <v>148</v>
      </c>
      <c r="J302" s="5" t="s">
        <v>162</v>
      </c>
      <c r="K302" s="9">
        <f>Effect_Sizes!J7</f>
        <v>0.15</v>
      </c>
      <c r="L302" s="9">
        <f>Effect_Sizes!K7</f>
        <v>0.15</v>
      </c>
      <c r="M302" s="9">
        <f>Coverage_Trajectory!H94</f>
        <v>0.1655176973841091</v>
      </c>
      <c r="N302" s="9">
        <f>Coverage_Trajectory!K94</f>
        <v>0.3914017697384109</v>
      </c>
      <c r="O302" s="9">
        <f t="shared" si="20"/>
        <v>0.2258840723543018</v>
      </c>
      <c r="P302" s="9">
        <f t="shared" si="21"/>
        <v>3.4745254019187551E-2</v>
      </c>
      <c r="Q302" s="9">
        <f t="shared" si="22"/>
        <v>5.2117881028781324E-3</v>
      </c>
      <c r="R302" s="9">
        <f t="shared" si="23"/>
        <v>0.99478821189712185</v>
      </c>
      <c r="S302" s="5" t="s">
        <v>695</v>
      </c>
      <c r="T302" s="5" t="str">
        <f t="shared" si="24"/>
        <v>OK</v>
      </c>
    </row>
    <row r="303" spans="1:20">
      <c r="A303" s="10" t="s">
        <v>736</v>
      </c>
      <c r="B303" s="10" t="s">
        <v>160</v>
      </c>
      <c r="C303" s="10" t="s">
        <v>122</v>
      </c>
      <c r="D303" s="10" t="s">
        <v>123</v>
      </c>
      <c r="E303" s="10" t="s">
        <v>120</v>
      </c>
      <c r="F303" s="10" t="s">
        <v>161</v>
      </c>
      <c r="G303" s="10" t="s">
        <v>224</v>
      </c>
      <c r="H303" s="10">
        <v>2040</v>
      </c>
      <c r="I303" s="10" t="s">
        <v>148</v>
      </c>
      <c r="J303" s="10" t="s">
        <v>162</v>
      </c>
      <c r="K303" s="9">
        <f>Effect_Sizes!J7</f>
        <v>0.15</v>
      </c>
      <c r="L303" s="9">
        <f>Effect_Sizes!K7</f>
        <v>0.15</v>
      </c>
      <c r="M303" s="9">
        <f>Coverage_Trajectory!H95</f>
        <v>0.1655176973841091</v>
      </c>
      <c r="N303" s="9">
        <f>Coverage_Trajectory!K95</f>
        <v>0.41649999999999993</v>
      </c>
      <c r="O303" s="9">
        <f t="shared" si="20"/>
        <v>0.25098230261589083</v>
      </c>
      <c r="P303" s="9">
        <f t="shared" si="21"/>
        <v>3.8605837799097271E-2</v>
      </c>
      <c r="Q303" s="9">
        <f t="shared" si="22"/>
        <v>5.7908756698645909E-3</v>
      </c>
      <c r="R303" s="9">
        <f t="shared" si="23"/>
        <v>0.99420912433013542</v>
      </c>
      <c r="S303" s="10" t="s">
        <v>695</v>
      </c>
      <c r="T303" s="5" t="str">
        <f t="shared" si="24"/>
        <v>OK</v>
      </c>
    </row>
    <row r="304" spans="1:20">
      <c r="A304" s="5" t="s">
        <v>737</v>
      </c>
      <c r="B304" s="5" t="s">
        <v>160</v>
      </c>
      <c r="C304" s="5" t="s">
        <v>122</v>
      </c>
      <c r="D304" s="5" t="s">
        <v>123</v>
      </c>
      <c r="E304" s="5" t="s">
        <v>120</v>
      </c>
      <c r="F304" s="5" t="s">
        <v>161</v>
      </c>
      <c r="G304" s="5" t="s">
        <v>224</v>
      </c>
      <c r="H304" s="5">
        <v>2041</v>
      </c>
      <c r="I304" s="5" t="s">
        <v>148</v>
      </c>
      <c r="J304" s="5" t="s">
        <v>162</v>
      </c>
      <c r="K304" s="9">
        <f>Effect_Sizes!J7</f>
        <v>0.15</v>
      </c>
      <c r="L304" s="9">
        <f>Effect_Sizes!K7</f>
        <v>0.15</v>
      </c>
      <c r="M304" s="9">
        <f>Coverage_Trajectory!H96</f>
        <v>0.1655176973841091</v>
      </c>
      <c r="N304" s="9">
        <f>Coverage_Trajectory!K96</f>
        <v>0.41649999999999993</v>
      </c>
      <c r="O304" s="9">
        <f t="shared" si="20"/>
        <v>0.25098230261589083</v>
      </c>
      <c r="P304" s="9">
        <f t="shared" si="21"/>
        <v>3.8605837799097271E-2</v>
      </c>
      <c r="Q304" s="9">
        <f t="shared" si="22"/>
        <v>5.7908756698645909E-3</v>
      </c>
      <c r="R304" s="9">
        <f t="shared" si="23"/>
        <v>0.99420912433013542</v>
      </c>
      <c r="S304" s="5" t="s">
        <v>695</v>
      </c>
      <c r="T304" s="5" t="str">
        <f t="shared" si="24"/>
        <v>OK</v>
      </c>
    </row>
    <row r="305" spans="1:20">
      <c r="A305" s="10" t="s">
        <v>738</v>
      </c>
      <c r="B305" s="10" t="s">
        <v>160</v>
      </c>
      <c r="C305" s="10" t="s">
        <v>122</v>
      </c>
      <c r="D305" s="10" t="s">
        <v>123</v>
      </c>
      <c r="E305" s="10" t="s">
        <v>120</v>
      </c>
      <c r="F305" s="10" t="s">
        <v>161</v>
      </c>
      <c r="G305" s="10" t="s">
        <v>224</v>
      </c>
      <c r="H305" s="10">
        <v>2042</v>
      </c>
      <c r="I305" s="10" t="s">
        <v>148</v>
      </c>
      <c r="J305" s="10" t="s">
        <v>162</v>
      </c>
      <c r="K305" s="9">
        <f>Effect_Sizes!J7</f>
        <v>0.15</v>
      </c>
      <c r="L305" s="9">
        <f>Effect_Sizes!K7</f>
        <v>0.15</v>
      </c>
      <c r="M305" s="9">
        <f>Coverage_Trajectory!H97</f>
        <v>0.1655176973841091</v>
      </c>
      <c r="N305" s="9">
        <f>Coverage_Trajectory!K97</f>
        <v>0.41649999999999993</v>
      </c>
      <c r="O305" s="9">
        <f t="shared" si="20"/>
        <v>0.25098230261589083</v>
      </c>
      <c r="P305" s="9">
        <f t="shared" si="21"/>
        <v>3.8605837799097271E-2</v>
      </c>
      <c r="Q305" s="9">
        <f t="shared" si="22"/>
        <v>5.7908756698645909E-3</v>
      </c>
      <c r="R305" s="9">
        <f t="shared" si="23"/>
        <v>0.99420912433013542</v>
      </c>
      <c r="S305" s="10" t="s">
        <v>695</v>
      </c>
      <c r="T305" s="5" t="str">
        <f t="shared" si="24"/>
        <v>OK</v>
      </c>
    </row>
    <row r="306" spans="1:20">
      <c r="A306" s="5" t="s">
        <v>739</v>
      </c>
      <c r="B306" s="5" t="s">
        <v>160</v>
      </c>
      <c r="C306" s="5" t="s">
        <v>122</v>
      </c>
      <c r="D306" s="5" t="s">
        <v>123</v>
      </c>
      <c r="E306" s="5" t="s">
        <v>120</v>
      </c>
      <c r="F306" s="5" t="s">
        <v>161</v>
      </c>
      <c r="G306" s="5" t="s">
        <v>224</v>
      </c>
      <c r="H306" s="5">
        <v>2043</v>
      </c>
      <c r="I306" s="5" t="s">
        <v>148</v>
      </c>
      <c r="J306" s="5" t="s">
        <v>162</v>
      </c>
      <c r="K306" s="9">
        <f>Effect_Sizes!J7</f>
        <v>0.15</v>
      </c>
      <c r="L306" s="9">
        <f>Effect_Sizes!K7</f>
        <v>0.15</v>
      </c>
      <c r="M306" s="9">
        <f>Coverage_Trajectory!H98</f>
        <v>0.1655176973841091</v>
      </c>
      <c r="N306" s="9">
        <f>Coverage_Trajectory!K98</f>
        <v>0.41649999999999993</v>
      </c>
      <c r="O306" s="9">
        <f t="shared" si="20"/>
        <v>0.25098230261589083</v>
      </c>
      <c r="P306" s="9">
        <f t="shared" si="21"/>
        <v>3.8605837799097271E-2</v>
      </c>
      <c r="Q306" s="9">
        <f t="shared" si="22"/>
        <v>5.7908756698645909E-3</v>
      </c>
      <c r="R306" s="9">
        <f t="shared" si="23"/>
        <v>0.99420912433013542</v>
      </c>
      <c r="S306" s="5" t="s">
        <v>695</v>
      </c>
      <c r="T306" s="5" t="str">
        <f t="shared" si="24"/>
        <v>OK</v>
      </c>
    </row>
    <row r="307" spans="1:20">
      <c r="A307" s="10" t="s">
        <v>740</v>
      </c>
      <c r="B307" s="10" t="s">
        <v>160</v>
      </c>
      <c r="C307" s="10" t="s">
        <v>122</v>
      </c>
      <c r="D307" s="10" t="s">
        <v>123</v>
      </c>
      <c r="E307" s="10" t="s">
        <v>120</v>
      </c>
      <c r="F307" s="10" t="s">
        <v>161</v>
      </c>
      <c r="G307" s="10" t="s">
        <v>224</v>
      </c>
      <c r="H307" s="10">
        <v>2044</v>
      </c>
      <c r="I307" s="10" t="s">
        <v>148</v>
      </c>
      <c r="J307" s="10" t="s">
        <v>162</v>
      </c>
      <c r="K307" s="9">
        <f>Effect_Sizes!J7</f>
        <v>0.15</v>
      </c>
      <c r="L307" s="9">
        <f>Effect_Sizes!K7</f>
        <v>0.15</v>
      </c>
      <c r="M307" s="9">
        <f>Coverage_Trajectory!H99</f>
        <v>0.1655176973841091</v>
      </c>
      <c r="N307" s="9">
        <f>Coverage_Trajectory!K99</f>
        <v>0.41649999999999993</v>
      </c>
      <c r="O307" s="9">
        <f t="shared" si="20"/>
        <v>0.25098230261589083</v>
      </c>
      <c r="P307" s="9">
        <f t="shared" si="21"/>
        <v>3.8605837799097271E-2</v>
      </c>
      <c r="Q307" s="9">
        <f t="shared" si="22"/>
        <v>5.7908756698645909E-3</v>
      </c>
      <c r="R307" s="9">
        <f t="shared" si="23"/>
        <v>0.99420912433013542</v>
      </c>
      <c r="S307" s="10" t="s">
        <v>695</v>
      </c>
      <c r="T307" s="5" t="str">
        <f t="shared" si="24"/>
        <v>OK</v>
      </c>
    </row>
    <row r="308" spans="1:20">
      <c r="A308" s="5" t="s">
        <v>741</v>
      </c>
      <c r="B308" s="5" t="s">
        <v>160</v>
      </c>
      <c r="C308" s="5" t="s">
        <v>122</v>
      </c>
      <c r="D308" s="5" t="s">
        <v>123</v>
      </c>
      <c r="E308" s="5" t="s">
        <v>120</v>
      </c>
      <c r="F308" s="5" t="s">
        <v>161</v>
      </c>
      <c r="G308" s="5" t="s">
        <v>224</v>
      </c>
      <c r="H308" s="5">
        <v>2045</v>
      </c>
      <c r="I308" s="5" t="s">
        <v>148</v>
      </c>
      <c r="J308" s="5" t="s">
        <v>162</v>
      </c>
      <c r="K308" s="9">
        <f>Effect_Sizes!J7</f>
        <v>0.15</v>
      </c>
      <c r="L308" s="9">
        <f>Effect_Sizes!K7</f>
        <v>0.15</v>
      </c>
      <c r="M308" s="9">
        <f>Coverage_Trajectory!H100</f>
        <v>0.1655176973841091</v>
      </c>
      <c r="N308" s="9">
        <f>Coverage_Trajectory!K100</f>
        <v>0.41649999999999993</v>
      </c>
      <c r="O308" s="9">
        <f t="shared" si="20"/>
        <v>0.25098230261589083</v>
      </c>
      <c r="P308" s="9">
        <f t="shared" si="21"/>
        <v>3.8605837799097271E-2</v>
      </c>
      <c r="Q308" s="9">
        <f t="shared" si="22"/>
        <v>5.7908756698645909E-3</v>
      </c>
      <c r="R308" s="9">
        <f t="shared" si="23"/>
        <v>0.99420912433013542</v>
      </c>
      <c r="S308" s="5" t="s">
        <v>695</v>
      </c>
      <c r="T308" s="5" t="str">
        <f t="shared" si="24"/>
        <v>OK</v>
      </c>
    </row>
    <row r="309" spans="1:20">
      <c r="A309" s="10" t="s">
        <v>742</v>
      </c>
      <c r="B309" s="10" t="s">
        <v>160</v>
      </c>
      <c r="C309" s="10" t="s">
        <v>122</v>
      </c>
      <c r="D309" s="10" t="s">
        <v>123</v>
      </c>
      <c r="E309" s="10" t="s">
        <v>120</v>
      </c>
      <c r="F309" s="10" t="s">
        <v>161</v>
      </c>
      <c r="G309" s="10" t="s">
        <v>224</v>
      </c>
      <c r="H309" s="10">
        <v>2046</v>
      </c>
      <c r="I309" s="10" t="s">
        <v>148</v>
      </c>
      <c r="J309" s="10" t="s">
        <v>162</v>
      </c>
      <c r="K309" s="9">
        <f>Effect_Sizes!J7</f>
        <v>0.15</v>
      </c>
      <c r="L309" s="9">
        <f>Effect_Sizes!K7</f>
        <v>0.15</v>
      </c>
      <c r="M309" s="9">
        <f>Coverage_Trajectory!H101</f>
        <v>0.1655176973841091</v>
      </c>
      <c r="N309" s="9">
        <f>Coverage_Trajectory!K101</f>
        <v>0.41649999999999993</v>
      </c>
      <c r="O309" s="9">
        <f t="shared" si="20"/>
        <v>0.25098230261589083</v>
      </c>
      <c r="P309" s="9">
        <f t="shared" si="21"/>
        <v>3.8605837799097271E-2</v>
      </c>
      <c r="Q309" s="9">
        <f t="shared" si="22"/>
        <v>5.7908756698645909E-3</v>
      </c>
      <c r="R309" s="9">
        <f t="shared" si="23"/>
        <v>0.99420912433013542</v>
      </c>
      <c r="S309" s="10" t="s">
        <v>695</v>
      </c>
      <c r="T309" s="5" t="str">
        <f t="shared" si="24"/>
        <v>OK</v>
      </c>
    </row>
    <row r="310" spans="1:20">
      <c r="A310" s="5" t="s">
        <v>743</v>
      </c>
      <c r="B310" s="5" t="s">
        <v>160</v>
      </c>
      <c r="C310" s="5" t="s">
        <v>122</v>
      </c>
      <c r="D310" s="5" t="s">
        <v>123</v>
      </c>
      <c r="E310" s="5" t="s">
        <v>120</v>
      </c>
      <c r="F310" s="5" t="s">
        <v>161</v>
      </c>
      <c r="G310" s="5" t="s">
        <v>224</v>
      </c>
      <c r="H310" s="5">
        <v>2047</v>
      </c>
      <c r="I310" s="5" t="s">
        <v>148</v>
      </c>
      <c r="J310" s="5" t="s">
        <v>162</v>
      </c>
      <c r="K310" s="9">
        <f>Effect_Sizes!J7</f>
        <v>0.15</v>
      </c>
      <c r="L310" s="9">
        <f>Effect_Sizes!K7</f>
        <v>0.15</v>
      </c>
      <c r="M310" s="9">
        <f>Coverage_Trajectory!H102</f>
        <v>0.1655176973841091</v>
      </c>
      <c r="N310" s="9">
        <f>Coverage_Trajectory!K102</f>
        <v>0.41649999999999993</v>
      </c>
      <c r="O310" s="9">
        <f t="shared" si="20"/>
        <v>0.25098230261589083</v>
      </c>
      <c r="P310" s="9">
        <f t="shared" si="21"/>
        <v>3.8605837799097271E-2</v>
      </c>
      <c r="Q310" s="9">
        <f t="shared" si="22"/>
        <v>5.7908756698645909E-3</v>
      </c>
      <c r="R310" s="9">
        <f t="shared" si="23"/>
        <v>0.99420912433013542</v>
      </c>
      <c r="S310" s="5" t="s">
        <v>695</v>
      </c>
      <c r="T310" s="5" t="str">
        <f t="shared" si="24"/>
        <v>OK</v>
      </c>
    </row>
    <row r="311" spans="1:20">
      <c r="A311" s="10" t="s">
        <v>744</v>
      </c>
      <c r="B311" s="10" t="s">
        <v>160</v>
      </c>
      <c r="C311" s="10" t="s">
        <v>122</v>
      </c>
      <c r="D311" s="10" t="s">
        <v>123</v>
      </c>
      <c r="E311" s="10" t="s">
        <v>120</v>
      </c>
      <c r="F311" s="10" t="s">
        <v>161</v>
      </c>
      <c r="G311" s="10" t="s">
        <v>224</v>
      </c>
      <c r="H311" s="10">
        <v>2048</v>
      </c>
      <c r="I311" s="10" t="s">
        <v>148</v>
      </c>
      <c r="J311" s="10" t="s">
        <v>162</v>
      </c>
      <c r="K311" s="9">
        <f>Effect_Sizes!J7</f>
        <v>0.15</v>
      </c>
      <c r="L311" s="9">
        <f>Effect_Sizes!K7</f>
        <v>0.15</v>
      </c>
      <c r="M311" s="9">
        <f>Coverage_Trajectory!H103</f>
        <v>0.1655176973841091</v>
      </c>
      <c r="N311" s="9">
        <f>Coverage_Trajectory!K103</f>
        <v>0.41649999999999993</v>
      </c>
      <c r="O311" s="9">
        <f t="shared" si="20"/>
        <v>0.25098230261589083</v>
      </c>
      <c r="P311" s="9">
        <f t="shared" si="21"/>
        <v>3.8605837799097271E-2</v>
      </c>
      <c r="Q311" s="9">
        <f t="shared" si="22"/>
        <v>5.7908756698645909E-3</v>
      </c>
      <c r="R311" s="9">
        <f t="shared" si="23"/>
        <v>0.99420912433013542</v>
      </c>
      <c r="S311" s="10" t="s">
        <v>695</v>
      </c>
      <c r="T311" s="5" t="str">
        <f t="shared" si="24"/>
        <v>OK</v>
      </c>
    </row>
    <row r="312" spans="1:20">
      <c r="A312" s="5" t="s">
        <v>745</v>
      </c>
      <c r="B312" s="5" t="s">
        <v>160</v>
      </c>
      <c r="C312" s="5" t="s">
        <v>122</v>
      </c>
      <c r="D312" s="5" t="s">
        <v>123</v>
      </c>
      <c r="E312" s="5" t="s">
        <v>120</v>
      </c>
      <c r="F312" s="5" t="s">
        <v>161</v>
      </c>
      <c r="G312" s="5" t="s">
        <v>224</v>
      </c>
      <c r="H312" s="5">
        <v>2049</v>
      </c>
      <c r="I312" s="5" t="s">
        <v>148</v>
      </c>
      <c r="J312" s="5" t="s">
        <v>162</v>
      </c>
      <c r="K312" s="9">
        <f>Effect_Sizes!J7</f>
        <v>0.15</v>
      </c>
      <c r="L312" s="9">
        <f>Effect_Sizes!K7</f>
        <v>0.15</v>
      </c>
      <c r="M312" s="9">
        <f>Coverage_Trajectory!H104</f>
        <v>0.1655176973841091</v>
      </c>
      <c r="N312" s="9">
        <f>Coverage_Trajectory!K104</f>
        <v>0.41649999999999993</v>
      </c>
      <c r="O312" s="9">
        <f t="shared" si="20"/>
        <v>0.25098230261589083</v>
      </c>
      <c r="P312" s="9">
        <f t="shared" si="21"/>
        <v>3.8605837799097271E-2</v>
      </c>
      <c r="Q312" s="9">
        <f t="shared" si="22"/>
        <v>5.7908756698645909E-3</v>
      </c>
      <c r="R312" s="9">
        <f t="shared" si="23"/>
        <v>0.99420912433013542</v>
      </c>
      <c r="S312" s="5" t="s">
        <v>695</v>
      </c>
      <c r="T312" s="5" t="str">
        <f t="shared" si="24"/>
        <v>OK</v>
      </c>
    </row>
    <row r="313" spans="1:20">
      <c r="A313" s="10" t="s">
        <v>746</v>
      </c>
      <c r="B313" s="10" t="s">
        <v>160</v>
      </c>
      <c r="C313" s="10" t="s">
        <v>122</v>
      </c>
      <c r="D313" s="10" t="s">
        <v>123</v>
      </c>
      <c r="E313" s="10" t="s">
        <v>120</v>
      </c>
      <c r="F313" s="10" t="s">
        <v>161</v>
      </c>
      <c r="G313" s="10" t="s">
        <v>224</v>
      </c>
      <c r="H313" s="10">
        <v>2050</v>
      </c>
      <c r="I313" s="10" t="s">
        <v>148</v>
      </c>
      <c r="J313" s="10" t="s">
        <v>162</v>
      </c>
      <c r="K313" s="9">
        <f>Effect_Sizes!J7</f>
        <v>0.15</v>
      </c>
      <c r="L313" s="9">
        <f>Effect_Sizes!K7</f>
        <v>0.15</v>
      </c>
      <c r="M313" s="9">
        <f>Coverage_Trajectory!H105</f>
        <v>0.1655176973841091</v>
      </c>
      <c r="N313" s="9">
        <f>Coverage_Trajectory!K105</f>
        <v>0.41649999999999993</v>
      </c>
      <c r="O313" s="9">
        <f t="shared" si="20"/>
        <v>0.25098230261589083</v>
      </c>
      <c r="P313" s="9">
        <f t="shared" si="21"/>
        <v>3.8605837799097271E-2</v>
      </c>
      <c r="Q313" s="9">
        <f t="shared" si="22"/>
        <v>5.7908756698645909E-3</v>
      </c>
      <c r="R313" s="9">
        <f t="shared" si="23"/>
        <v>0.99420912433013542</v>
      </c>
      <c r="S313" s="10" t="s">
        <v>695</v>
      </c>
      <c r="T313" s="5" t="str">
        <f t="shared" si="24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showGridLines="0" workbookViewId="0"/>
  </sheetViews>
  <sheetFormatPr defaultColWidth="11.19921875" defaultRowHeight="13.8"/>
  <cols>
    <col min="1" max="1" width="14" customWidth="1"/>
    <col min="2" max="2" width="30" customWidth="1"/>
    <col min="3" max="3" width="76" customWidth="1"/>
    <col min="4" max="4" width="28" customWidth="1"/>
    <col min="5" max="5" width="36" customWidth="1"/>
    <col min="6" max="6" width="58" customWidth="1"/>
  </cols>
  <sheetData>
    <row r="1" spans="1:6" ht="30" customHeight="1">
      <c r="A1" s="4" t="s">
        <v>747</v>
      </c>
      <c r="B1" s="4" t="s">
        <v>748</v>
      </c>
      <c r="C1" s="4" t="s">
        <v>749</v>
      </c>
      <c r="D1" s="4" t="s">
        <v>750</v>
      </c>
      <c r="E1" s="4" t="s">
        <v>751</v>
      </c>
      <c r="F1" s="4" t="s">
        <v>752</v>
      </c>
    </row>
    <row r="2" spans="1:6">
      <c r="A2" s="5" t="s">
        <v>753</v>
      </c>
      <c r="B2" s="5" t="s">
        <v>754</v>
      </c>
      <c r="C2" s="5" t="s">
        <v>755</v>
      </c>
      <c r="D2" s="5" t="s">
        <v>756</v>
      </c>
      <c r="E2" s="5" t="s">
        <v>757</v>
      </c>
      <c r="F2" s="5" t="s">
        <v>758</v>
      </c>
    </row>
    <row r="3" spans="1:6">
      <c r="A3" s="10" t="s">
        <v>759</v>
      </c>
      <c r="B3" s="10" t="s">
        <v>760</v>
      </c>
      <c r="C3" s="10" t="s">
        <v>761</v>
      </c>
      <c r="D3" s="10" t="s">
        <v>756</v>
      </c>
      <c r="E3" s="10" t="s">
        <v>757</v>
      </c>
      <c r="F3" s="10" t="s">
        <v>762</v>
      </c>
    </row>
    <row r="4" spans="1:6">
      <c r="A4" s="5" t="s">
        <v>763</v>
      </c>
      <c r="B4" s="5" t="s">
        <v>764</v>
      </c>
      <c r="C4" s="5" t="s">
        <v>765</v>
      </c>
      <c r="D4" s="5" t="s">
        <v>756</v>
      </c>
      <c r="E4" s="5" t="s">
        <v>757</v>
      </c>
      <c r="F4" s="5" t="s">
        <v>766</v>
      </c>
    </row>
    <row r="5" spans="1:6">
      <c r="A5" s="10" t="s">
        <v>767</v>
      </c>
      <c r="B5" s="10" t="s">
        <v>768</v>
      </c>
      <c r="C5" s="10" t="s">
        <v>769</v>
      </c>
      <c r="D5" s="10" t="s">
        <v>756</v>
      </c>
      <c r="E5" s="10" t="s">
        <v>757</v>
      </c>
      <c r="F5" s="10" t="s">
        <v>770</v>
      </c>
    </row>
    <row r="6" spans="1:6">
      <c r="A6" s="5" t="s">
        <v>771</v>
      </c>
      <c r="B6" s="5" t="s">
        <v>772</v>
      </c>
      <c r="C6" s="5" t="s">
        <v>773</v>
      </c>
      <c r="D6" s="5" t="s">
        <v>756</v>
      </c>
      <c r="E6" s="5" t="s">
        <v>170</v>
      </c>
      <c r="F6" s="5" t="s">
        <v>774</v>
      </c>
    </row>
    <row r="7" spans="1:6">
      <c r="A7" s="10" t="s">
        <v>775</v>
      </c>
      <c r="B7" s="10" t="s">
        <v>776</v>
      </c>
      <c r="C7" s="10" t="s">
        <v>777</v>
      </c>
      <c r="D7" s="10" t="s">
        <v>756</v>
      </c>
      <c r="E7" s="10" t="s">
        <v>170</v>
      </c>
      <c r="F7" s="10" t="s">
        <v>778</v>
      </c>
    </row>
    <row r="8" spans="1:6">
      <c r="A8" s="5" t="s">
        <v>779</v>
      </c>
      <c r="B8" s="5" t="s">
        <v>780</v>
      </c>
      <c r="C8" s="5" t="s">
        <v>781</v>
      </c>
      <c r="D8" s="5" t="s">
        <v>756</v>
      </c>
      <c r="E8" s="5" t="s">
        <v>170</v>
      </c>
      <c r="F8" s="5" t="s">
        <v>782</v>
      </c>
    </row>
    <row r="9" spans="1:6">
      <c r="A9" s="10" t="s">
        <v>783</v>
      </c>
      <c r="B9" s="10" t="s">
        <v>784</v>
      </c>
      <c r="C9" s="10" t="s">
        <v>785</v>
      </c>
      <c r="D9" s="10" t="s">
        <v>786</v>
      </c>
      <c r="E9" s="10" t="s">
        <v>787</v>
      </c>
      <c r="F9" s="10" t="s">
        <v>788</v>
      </c>
    </row>
    <row r="10" spans="1:6">
      <c r="A10" s="5" t="s">
        <v>789</v>
      </c>
      <c r="B10" s="5" t="s">
        <v>790</v>
      </c>
      <c r="C10" s="5" t="s">
        <v>791</v>
      </c>
      <c r="D10" s="5" t="s">
        <v>792</v>
      </c>
      <c r="E10" s="5" t="s">
        <v>793</v>
      </c>
      <c r="F10" s="5" t="s">
        <v>794</v>
      </c>
    </row>
    <row r="11" spans="1:6">
      <c r="A11" s="10" t="s">
        <v>795</v>
      </c>
      <c r="B11" s="10" t="s">
        <v>796</v>
      </c>
      <c r="C11" s="10" t="s">
        <v>797</v>
      </c>
      <c r="D11" s="10" t="s">
        <v>792</v>
      </c>
      <c r="E11" s="10" t="s">
        <v>793</v>
      </c>
      <c r="F11" s="10" t="s">
        <v>798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showGridLines="0" workbookViewId="0">
      <selection activeCell="F18" sqref="F18"/>
    </sheetView>
  </sheetViews>
  <sheetFormatPr defaultColWidth="11.19921875" defaultRowHeight="13.8"/>
  <cols>
    <col min="1" max="1" width="20" customWidth="1"/>
    <col min="2" max="2" width="18" customWidth="1"/>
    <col min="3" max="3" width="24" customWidth="1"/>
    <col min="4" max="4" width="12" customWidth="1"/>
    <col min="5" max="5" width="14" customWidth="1"/>
    <col min="6" max="6" width="40" customWidth="1"/>
    <col min="7" max="7" width="16" customWidth="1"/>
    <col min="8" max="8" width="24" customWidth="1"/>
    <col min="9" max="9" width="22" customWidth="1"/>
    <col min="10" max="11" width="24" customWidth="1"/>
    <col min="12" max="12" width="26" customWidth="1"/>
    <col min="13" max="13" width="24" customWidth="1"/>
    <col min="14" max="14" width="38" customWidth="1"/>
    <col min="15" max="15" width="20" customWidth="1"/>
    <col min="16" max="16" width="48" customWidth="1"/>
    <col min="17" max="17" width="62" customWidth="1"/>
  </cols>
  <sheetData>
    <row r="1" spans="1:17" ht="30" customHeight="1">
      <c r="A1" s="4" t="s">
        <v>799</v>
      </c>
      <c r="B1" s="4" t="s">
        <v>195</v>
      </c>
      <c r="C1" s="4" t="s">
        <v>196</v>
      </c>
      <c r="D1" s="4" t="s">
        <v>170</v>
      </c>
      <c r="E1" s="4" t="s">
        <v>800</v>
      </c>
      <c r="F1" s="4" t="s">
        <v>801</v>
      </c>
      <c r="G1" s="4" t="s">
        <v>414</v>
      </c>
      <c r="H1" s="4" t="s">
        <v>802</v>
      </c>
      <c r="I1" s="4" t="s">
        <v>803</v>
      </c>
      <c r="J1" s="4" t="s">
        <v>804</v>
      </c>
      <c r="K1" s="4" t="s">
        <v>805</v>
      </c>
      <c r="L1" s="4" t="s">
        <v>806</v>
      </c>
      <c r="M1" s="4" t="s">
        <v>807</v>
      </c>
      <c r="N1" s="4" t="s">
        <v>171</v>
      </c>
      <c r="O1" s="4" t="s">
        <v>172</v>
      </c>
      <c r="P1" s="4" t="s">
        <v>808</v>
      </c>
      <c r="Q1" s="4" t="s">
        <v>145</v>
      </c>
    </row>
    <row r="2" spans="1:17">
      <c r="A2" s="5" t="s">
        <v>809</v>
      </c>
      <c r="B2" s="5" t="s">
        <v>211</v>
      </c>
      <c r="C2" s="5" t="s">
        <v>212</v>
      </c>
      <c r="D2" s="5" t="s">
        <v>213</v>
      </c>
      <c r="E2" s="5">
        <v>2019</v>
      </c>
      <c r="F2" s="5" t="s">
        <v>810</v>
      </c>
      <c r="G2" s="9">
        <v>0.358875839809351</v>
      </c>
      <c r="H2" s="9">
        <v>0.290111043006541</v>
      </c>
      <c r="I2" s="9">
        <v>0.15387120297526199</v>
      </c>
      <c r="J2" s="9">
        <v>3.5834750636932297E-2</v>
      </c>
      <c r="K2" s="13"/>
      <c r="L2" s="13"/>
      <c r="M2" s="13"/>
      <c r="N2" s="5" t="s">
        <v>811</v>
      </c>
      <c r="O2" s="5" t="s">
        <v>812</v>
      </c>
      <c r="P2" s="5" t="s">
        <v>813</v>
      </c>
      <c r="Q2" s="5" t="s">
        <v>814</v>
      </c>
    </row>
    <row r="3" spans="1:17">
      <c r="A3" s="10" t="s">
        <v>815</v>
      </c>
      <c r="B3" s="10" t="s">
        <v>211</v>
      </c>
      <c r="C3" s="10" t="s">
        <v>212</v>
      </c>
      <c r="D3" s="10" t="s">
        <v>224</v>
      </c>
      <c r="E3" s="10">
        <v>2019</v>
      </c>
      <c r="F3" s="10" t="s">
        <v>810</v>
      </c>
      <c r="G3" s="12">
        <v>0.445023725479468</v>
      </c>
      <c r="H3" s="12">
        <v>0.409589430470506</v>
      </c>
      <c r="I3" s="12">
        <v>0.21414708201034599</v>
      </c>
      <c r="J3" s="12">
        <v>5.12143938690846E-2</v>
      </c>
      <c r="K3" s="14"/>
      <c r="L3" s="14"/>
      <c r="M3" s="14"/>
      <c r="N3" s="10" t="s">
        <v>811</v>
      </c>
      <c r="O3" s="10" t="s">
        <v>816</v>
      </c>
      <c r="P3" s="10" t="s">
        <v>813</v>
      </c>
      <c r="Q3" s="10" t="s">
        <v>814</v>
      </c>
    </row>
    <row r="4" spans="1:17">
      <c r="A4" s="5" t="s">
        <v>817</v>
      </c>
      <c r="B4" s="5" t="s">
        <v>228</v>
      </c>
      <c r="C4" s="5" t="s">
        <v>134</v>
      </c>
      <c r="D4" s="5" t="s">
        <v>213</v>
      </c>
      <c r="E4" s="5">
        <v>2022</v>
      </c>
      <c r="F4" s="5" t="s">
        <v>818</v>
      </c>
      <c r="G4" s="9">
        <v>0.10851894646810401</v>
      </c>
      <c r="H4" s="9"/>
      <c r="I4" s="9">
        <v>0.194189727664976</v>
      </c>
      <c r="J4" s="9"/>
      <c r="K4" s="13"/>
      <c r="L4" s="13"/>
      <c r="M4" s="13"/>
      <c r="N4" s="5" t="s">
        <v>811</v>
      </c>
      <c r="O4" s="5" t="s">
        <v>819</v>
      </c>
      <c r="P4" s="5" t="s">
        <v>820</v>
      </c>
      <c r="Q4" s="5" t="s">
        <v>821</v>
      </c>
    </row>
    <row r="5" spans="1:17">
      <c r="A5" s="10" t="s">
        <v>822</v>
      </c>
      <c r="B5" s="10" t="s">
        <v>228</v>
      </c>
      <c r="C5" s="10" t="s">
        <v>134</v>
      </c>
      <c r="D5" s="10" t="s">
        <v>224</v>
      </c>
      <c r="E5" s="10">
        <v>2022</v>
      </c>
      <c r="F5" s="10" t="s">
        <v>818</v>
      </c>
      <c r="G5" s="12">
        <v>0.14531889760841901</v>
      </c>
      <c r="H5" s="12"/>
      <c r="I5" s="12">
        <v>0.24665382355279</v>
      </c>
      <c r="J5" s="12"/>
      <c r="K5" s="14"/>
      <c r="L5" s="14"/>
      <c r="M5" s="14"/>
      <c r="N5" s="10" t="s">
        <v>811</v>
      </c>
      <c r="O5" s="10" t="s">
        <v>823</v>
      </c>
      <c r="P5" s="10" t="s">
        <v>820</v>
      </c>
      <c r="Q5" s="10" t="s">
        <v>821</v>
      </c>
    </row>
    <row r="6" spans="1:17">
      <c r="A6" s="5" t="s">
        <v>824</v>
      </c>
      <c r="B6" s="5" t="s">
        <v>237</v>
      </c>
      <c r="C6" s="5" t="s">
        <v>238</v>
      </c>
      <c r="D6" s="5" t="s">
        <v>213</v>
      </c>
      <c r="E6" s="5">
        <v>2018</v>
      </c>
      <c r="F6" s="5" t="s">
        <v>825</v>
      </c>
      <c r="G6" s="9"/>
      <c r="H6" s="9"/>
      <c r="I6" s="9"/>
      <c r="J6" s="9"/>
      <c r="K6" s="13">
        <v>4.5820286060230204</v>
      </c>
      <c r="L6" s="13">
        <v>3.5439558043186699</v>
      </c>
      <c r="M6" s="13">
        <v>1.1010818942379701</v>
      </c>
      <c r="N6" s="5" t="s">
        <v>811</v>
      </c>
      <c r="O6" s="5" t="s">
        <v>826</v>
      </c>
      <c r="P6" s="5" t="s">
        <v>827</v>
      </c>
      <c r="Q6" s="5" t="s">
        <v>828</v>
      </c>
    </row>
    <row r="7" spans="1:17">
      <c r="A7" s="10" t="s">
        <v>829</v>
      </c>
      <c r="B7" s="10" t="s">
        <v>237</v>
      </c>
      <c r="C7" s="10" t="s">
        <v>238</v>
      </c>
      <c r="D7" s="10" t="s">
        <v>224</v>
      </c>
      <c r="E7" s="10">
        <v>2018</v>
      </c>
      <c r="F7" s="10" t="s">
        <v>825</v>
      </c>
      <c r="G7" s="12"/>
      <c r="H7" s="12"/>
      <c r="I7" s="12"/>
      <c r="J7" s="12"/>
      <c r="K7" s="14">
        <v>4.9367473772965997</v>
      </c>
      <c r="L7" s="14">
        <v>3.7478951703618799</v>
      </c>
      <c r="M7" s="14">
        <v>1.3172598251487799</v>
      </c>
      <c r="N7" s="10" t="s">
        <v>811</v>
      </c>
      <c r="O7" s="10" t="s">
        <v>830</v>
      </c>
      <c r="P7" s="10" t="s">
        <v>827</v>
      </c>
      <c r="Q7" s="10" t="s">
        <v>828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9"/>
  <sheetViews>
    <sheetView showGridLines="0" workbookViewId="0"/>
  </sheetViews>
  <sheetFormatPr defaultColWidth="11.19921875" defaultRowHeight="13.8"/>
  <cols>
    <col min="1" max="1" width="16" customWidth="1"/>
    <col min="2" max="3" width="30" customWidth="1"/>
    <col min="4" max="4" width="32" customWidth="1"/>
    <col min="5" max="5" width="34" customWidth="1"/>
    <col min="6" max="6" width="20" customWidth="1"/>
    <col min="7" max="8" width="24" customWidth="1"/>
    <col min="9" max="9" width="20" customWidth="1"/>
    <col min="10" max="10" width="46" customWidth="1"/>
  </cols>
  <sheetData>
    <row r="1" spans="1:10" ht="30" customHeight="1">
      <c r="A1" s="4" t="s">
        <v>831</v>
      </c>
      <c r="B1" s="4" t="s">
        <v>832</v>
      </c>
      <c r="C1" s="4" t="s">
        <v>833</v>
      </c>
      <c r="D1" s="4" t="s">
        <v>834</v>
      </c>
      <c r="E1" s="4" t="s">
        <v>835</v>
      </c>
      <c r="F1" s="4" t="s">
        <v>836</v>
      </c>
      <c r="G1" s="4" t="s">
        <v>837</v>
      </c>
      <c r="H1" s="4" t="s">
        <v>838</v>
      </c>
      <c r="I1" s="4" t="s">
        <v>839</v>
      </c>
      <c r="J1" s="4" t="s">
        <v>840</v>
      </c>
    </row>
    <row r="2" spans="1:10">
      <c r="A2" s="5" t="s">
        <v>841</v>
      </c>
      <c r="B2" s="5" t="s">
        <v>842</v>
      </c>
      <c r="C2" s="7"/>
      <c r="D2" s="7"/>
      <c r="E2" s="6" t="s">
        <v>843</v>
      </c>
      <c r="F2" s="15">
        <v>1</v>
      </c>
      <c r="G2" s="8">
        <f>Assumptions!$B$12*F2</f>
        <v>0.13649999999999998</v>
      </c>
      <c r="H2" s="8">
        <f>Assumptions!$B$13*F2</f>
        <v>0.41649999999999993</v>
      </c>
      <c r="I2" s="5" t="s">
        <v>844</v>
      </c>
      <c r="J2" s="5" t="s">
        <v>845</v>
      </c>
    </row>
    <row r="3" spans="1:10">
      <c r="A3" s="10" t="s">
        <v>846</v>
      </c>
      <c r="B3" s="10" t="s">
        <v>847</v>
      </c>
      <c r="C3" s="7"/>
      <c r="D3" s="7"/>
      <c r="E3" s="6" t="s">
        <v>843</v>
      </c>
      <c r="F3" s="15">
        <v>1</v>
      </c>
      <c r="G3" s="8">
        <f>Assumptions!$B$12*F3</f>
        <v>0.13649999999999998</v>
      </c>
      <c r="H3" s="8">
        <f>Assumptions!$B$13*F3</f>
        <v>0.41649999999999993</v>
      </c>
      <c r="I3" s="10" t="s">
        <v>844</v>
      </c>
      <c r="J3" s="10" t="s">
        <v>845</v>
      </c>
    </row>
    <row r="4" spans="1:10">
      <c r="A4" s="5" t="s">
        <v>848</v>
      </c>
      <c r="B4" s="5" t="s">
        <v>849</v>
      </c>
      <c r="C4" s="7"/>
      <c r="D4" s="7"/>
      <c r="E4" s="6" t="s">
        <v>843</v>
      </c>
      <c r="F4" s="15">
        <v>1</v>
      </c>
      <c r="G4" s="8">
        <f>Assumptions!$B$12*F4</f>
        <v>0.13649999999999998</v>
      </c>
      <c r="H4" s="8">
        <f>Assumptions!$B$13*F4</f>
        <v>0.41649999999999993</v>
      </c>
      <c r="I4" s="5" t="s">
        <v>844</v>
      </c>
      <c r="J4" s="5" t="s">
        <v>845</v>
      </c>
    </row>
    <row r="5" spans="1:10">
      <c r="A5" s="10" t="s">
        <v>850</v>
      </c>
      <c r="B5" s="10" t="s">
        <v>851</v>
      </c>
      <c r="C5" s="7"/>
      <c r="D5" s="7"/>
      <c r="E5" s="6" t="s">
        <v>843</v>
      </c>
      <c r="F5" s="15">
        <v>1</v>
      </c>
      <c r="G5" s="8">
        <f>Assumptions!$B$12*F5</f>
        <v>0.13649999999999998</v>
      </c>
      <c r="H5" s="8">
        <f>Assumptions!$B$13*F5</f>
        <v>0.41649999999999993</v>
      </c>
      <c r="I5" s="10" t="s">
        <v>844</v>
      </c>
      <c r="J5" s="10" t="s">
        <v>845</v>
      </c>
    </row>
    <row r="6" spans="1:10">
      <c r="A6" s="5" t="s">
        <v>852</v>
      </c>
      <c r="B6" s="5" t="s">
        <v>853</v>
      </c>
      <c r="C6" s="7"/>
      <c r="D6" s="7"/>
      <c r="E6" s="6" t="s">
        <v>843</v>
      </c>
      <c r="F6" s="15">
        <v>1</v>
      </c>
      <c r="G6" s="8">
        <f>Assumptions!$B$12*F6</f>
        <v>0.13649999999999998</v>
      </c>
      <c r="H6" s="8">
        <f>Assumptions!$B$13*F6</f>
        <v>0.41649999999999993</v>
      </c>
      <c r="I6" s="5" t="s">
        <v>844</v>
      </c>
      <c r="J6" s="5" t="s">
        <v>845</v>
      </c>
    </row>
    <row r="7" spans="1:10">
      <c r="A7" s="10" t="s">
        <v>854</v>
      </c>
      <c r="B7" s="10" t="s">
        <v>855</v>
      </c>
      <c r="C7" s="7"/>
      <c r="D7" s="7"/>
      <c r="E7" s="6" t="s">
        <v>843</v>
      </c>
      <c r="F7" s="15">
        <v>1</v>
      </c>
      <c r="G7" s="8">
        <f>Assumptions!$B$12*F7</f>
        <v>0.13649999999999998</v>
      </c>
      <c r="H7" s="8">
        <f>Assumptions!$B$13*F7</f>
        <v>0.41649999999999993</v>
      </c>
      <c r="I7" s="10" t="s">
        <v>844</v>
      </c>
      <c r="J7" s="10" t="s">
        <v>845</v>
      </c>
    </row>
    <row r="8" spans="1:10">
      <c r="A8" s="5" t="s">
        <v>856</v>
      </c>
      <c r="B8" s="5" t="s">
        <v>857</v>
      </c>
      <c r="C8" s="7"/>
      <c r="D8" s="7"/>
      <c r="E8" s="6" t="s">
        <v>843</v>
      </c>
      <c r="F8" s="15">
        <v>1</v>
      </c>
      <c r="G8" s="8">
        <f>Assumptions!$B$12*F8</f>
        <v>0.13649999999999998</v>
      </c>
      <c r="H8" s="8">
        <f>Assumptions!$B$13*F8</f>
        <v>0.41649999999999993</v>
      </c>
      <c r="I8" s="5" t="s">
        <v>844</v>
      </c>
      <c r="J8" s="5" t="s">
        <v>845</v>
      </c>
    </row>
    <row r="9" spans="1:10">
      <c r="A9" s="10" t="s">
        <v>858</v>
      </c>
      <c r="B9" s="10" t="s">
        <v>859</v>
      </c>
      <c r="C9" s="7"/>
      <c r="D9" s="7"/>
      <c r="E9" s="6" t="s">
        <v>843</v>
      </c>
      <c r="F9" s="15">
        <v>1</v>
      </c>
      <c r="G9" s="8">
        <f>Assumptions!$B$12*F9</f>
        <v>0.13649999999999998</v>
      </c>
      <c r="H9" s="8">
        <f>Assumptions!$B$13*F9</f>
        <v>0.41649999999999993</v>
      </c>
      <c r="I9" s="10" t="s">
        <v>844</v>
      </c>
      <c r="J9" s="10" t="s">
        <v>845</v>
      </c>
    </row>
    <row r="10" spans="1:10">
      <c r="A10" s="5" t="s">
        <v>860</v>
      </c>
      <c r="B10" s="5" t="s">
        <v>861</v>
      </c>
      <c r="C10" s="7"/>
      <c r="D10" s="7"/>
      <c r="E10" s="6" t="s">
        <v>843</v>
      </c>
      <c r="F10" s="15">
        <v>1</v>
      </c>
      <c r="G10" s="8">
        <f>Assumptions!$B$12*F10</f>
        <v>0.13649999999999998</v>
      </c>
      <c r="H10" s="8">
        <f>Assumptions!$B$13*F10</f>
        <v>0.41649999999999993</v>
      </c>
      <c r="I10" s="5" t="s">
        <v>844</v>
      </c>
      <c r="J10" s="5" t="s">
        <v>845</v>
      </c>
    </row>
    <row r="11" spans="1:10">
      <c r="A11" s="10" t="s">
        <v>862</v>
      </c>
      <c r="B11" s="10" t="s">
        <v>863</v>
      </c>
      <c r="C11" s="7"/>
      <c r="D11" s="7"/>
      <c r="E11" s="6" t="s">
        <v>843</v>
      </c>
      <c r="F11" s="15">
        <v>1</v>
      </c>
      <c r="G11" s="8">
        <f>Assumptions!$B$12*F11</f>
        <v>0.13649999999999998</v>
      </c>
      <c r="H11" s="8">
        <f>Assumptions!$B$13*F11</f>
        <v>0.41649999999999993</v>
      </c>
      <c r="I11" s="10" t="s">
        <v>844</v>
      </c>
      <c r="J11" s="10" t="s">
        <v>845</v>
      </c>
    </row>
    <row r="12" spans="1:10">
      <c r="A12" s="5" t="s">
        <v>864</v>
      </c>
      <c r="B12" s="5" t="s">
        <v>865</v>
      </c>
      <c r="C12" s="7"/>
      <c r="D12" s="7"/>
      <c r="E12" s="6" t="s">
        <v>843</v>
      </c>
      <c r="F12" s="15">
        <v>1</v>
      </c>
      <c r="G12" s="8">
        <f>Assumptions!$B$12*F12</f>
        <v>0.13649999999999998</v>
      </c>
      <c r="H12" s="8">
        <f>Assumptions!$B$13*F12</f>
        <v>0.41649999999999993</v>
      </c>
      <c r="I12" s="5" t="s">
        <v>844</v>
      </c>
      <c r="J12" s="5" t="s">
        <v>845</v>
      </c>
    </row>
    <row r="13" spans="1:10">
      <c r="A13" s="10" t="s">
        <v>866</v>
      </c>
      <c r="B13" s="10" t="s">
        <v>867</v>
      </c>
      <c r="C13" s="7"/>
      <c r="D13" s="7"/>
      <c r="E13" s="6" t="s">
        <v>843</v>
      </c>
      <c r="F13" s="15">
        <v>1</v>
      </c>
      <c r="G13" s="8">
        <f>Assumptions!$B$12*F13</f>
        <v>0.13649999999999998</v>
      </c>
      <c r="H13" s="8">
        <f>Assumptions!$B$13*F13</f>
        <v>0.41649999999999993</v>
      </c>
      <c r="I13" s="10" t="s">
        <v>844</v>
      </c>
      <c r="J13" s="10" t="s">
        <v>845</v>
      </c>
    </row>
    <row r="14" spans="1:10">
      <c r="A14" s="5" t="s">
        <v>868</v>
      </c>
      <c r="B14" s="5" t="s">
        <v>869</v>
      </c>
      <c r="C14" s="7"/>
      <c r="D14" s="7"/>
      <c r="E14" s="6" t="s">
        <v>843</v>
      </c>
      <c r="F14" s="15">
        <v>1</v>
      </c>
      <c r="G14" s="8">
        <f>Assumptions!$B$12*F14</f>
        <v>0.13649999999999998</v>
      </c>
      <c r="H14" s="8">
        <f>Assumptions!$B$13*F14</f>
        <v>0.41649999999999993</v>
      </c>
      <c r="I14" s="5" t="s">
        <v>844</v>
      </c>
      <c r="J14" s="5" t="s">
        <v>845</v>
      </c>
    </row>
    <row r="15" spans="1:10">
      <c r="A15" s="10" t="s">
        <v>870</v>
      </c>
      <c r="B15" s="10" t="s">
        <v>871</v>
      </c>
      <c r="C15" s="7"/>
      <c r="D15" s="7"/>
      <c r="E15" s="6" t="s">
        <v>843</v>
      </c>
      <c r="F15" s="15">
        <v>1</v>
      </c>
      <c r="G15" s="8">
        <f>Assumptions!$B$12*F15</f>
        <v>0.13649999999999998</v>
      </c>
      <c r="H15" s="8">
        <f>Assumptions!$B$13*F15</f>
        <v>0.41649999999999993</v>
      </c>
      <c r="I15" s="10" t="s">
        <v>844</v>
      </c>
      <c r="J15" s="10" t="s">
        <v>845</v>
      </c>
    </row>
    <row r="16" spans="1:10">
      <c r="A16" s="5" t="s">
        <v>872</v>
      </c>
      <c r="B16" s="5" t="s">
        <v>873</v>
      </c>
      <c r="C16" s="7"/>
      <c r="D16" s="7"/>
      <c r="E16" s="6" t="s">
        <v>843</v>
      </c>
      <c r="F16" s="15">
        <v>1</v>
      </c>
      <c r="G16" s="8">
        <f>Assumptions!$B$12*F16</f>
        <v>0.13649999999999998</v>
      </c>
      <c r="H16" s="8">
        <f>Assumptions!$B$13*F16</f>
        <v>0.41649999999999993</v>
      </c>
      <c r="I16" s="5" t="s">
        <v>844</v>
      </c>
      <c r="J16" s="5" t="s">
        <v>845</v>
      </c>
    </row>
    <row r="17" spans="1:10">
      <c r="A17" s="10" t="s">
        <v>874</v>
      </c>
      <c r="B17" s="10" t="s">
        <v>875</v>
      </c>
      <c r="C17" s="7"/>
      <c r="D17" s="7"/>
      <c r="E17" s="6" t="s">
        <v>843</v>
      </c>
      <c r="F17" s="15">
        <v>1</v>
      </c>
      <c r="G17" s="8">
        <f>Assumptions!$B$12*F17</f>
        <v>0.13649999999999998</v>
      </c>
      <c r="H17" s="8">
        <f>Assumptions!$B$13*F17</f>
        <v>0.41649999999999993</v>
      </c>
      <c r="I17" s="10" t="s">
        <v>844</v>
      </c>
      <c r="J17" s="10" t="s">
        <v>845</v>
      </c>
    </row>
    <row r="18" spans="1:10">
      <c r="A18" s="5" t="s">
        <v>876</v>
      </c>
      <c r="B18" s="5" t="s">
        <v>877</v>
      </c>
      <c r="C18" s="7"/>
      <c r="D18" s="7"/>
      <c r="E18" s="6" t="s">
        <v>843</v>
      </c>
      <c r="F18" s="15">
        <v>1</v>
      </c>
      <c r="G18" s="8">
        <f>Assumptions!$B$12*F18</f>
        <v>0.13649999999999998</v>
      </c>
      <c r="H18" s="8">
        <f>Assumptions!$B$13*F18</f>
        <v>0.41649999999999993</v>
      </c>
      <c r="I18" s="5" t="s">
        <v>844</v>
      </c>
      <c r="J18" s="5" t="s">
        <v>845</v>
      </c>
    </row>
    <row r="19" spans="1:10">
      <c r="A19" s="10" t="s">
        <v>878</v>
      </c>
      <c r="B19" s="10" t="s">
        <v>879</v>
      </c>
      <c r="C19" s="7"/>
      <c r="D19" s="7"/>
      <c r="E19" s="6" t="s">
        <v>843</v>
      </c>
      <c r="F19" s="15">
        <v>1</v>
      </c>
      <c r="G19" s="8">
        <f>Assumptions!$B$12*F19</f>
        <v>0.13649999999999998</v>
      </c>
      <c r="H19" s="8">
        <f>Assumptions!$B$13*F19</f>
        <v>0.41649999999999993</v>
      </c>
      <c r="I19" s="10" t="s">
        <v>844</v>
      </c>
      <c r="J19" s="10" t="s">
        <v>845</v>
      </c>
    </row>
    <row r="20" spans="1:10">
      <c r="A20" s="5" t="s">
        <v>880</v>
      </c>
      <c r="B20" s="5" t="s">
        <v>881</v>
      </c>
      <c r="C20" s="7"/>
      <c r="D20" s="7"/>
      <c r="E20" s="6" t="s">
        <v>843</v>
      </c>
      <c r="F20" s="15">
        <v>1</v>
      </c>
      <c r="G20" s="8">
        <f>Assumptions!$B$12*F20</f>
        <v>0.13649999999999998</v>
      </c>
      <c r="H20" s="8">
        <f>Assumptions!$B$13*F20</f>
        <v>0.41649999999999993</v>
      </c>
      <c r="I20" s="5" t="s">
        <v>844</v>
      </c>
      <c r="J20" s="5" t="s">
        <v>845</v>
      </c>
    </row>
    <row r="21" spans="1:10">
      <c r="A21" s="10" t="s">
        <v>882</v>
      </c>
      <c r="B21" s="10" t="s">
        <v>883</v>
      </c>
      <c r="C21" s="7"/>
      <c r="D21" s="7"/>
      <c r="E21" s="6" t="s">
        <v>843</v>
      </c>
      <c r="F21" s="15">
        <v>1</v>
      </c>
      <c r="G21" s="8">
        <f>Assumptions!$B$12*F21</f>
        <v>0.13649999999999998</v>
      </c>
      <c r="H21" s="8">
        <f>Assumptions!$B$13*F21</f>
        <v>0.41649999999999993</v>
      </c>
      <c r="I21" s="10" t="s">
        <v>844</v>
      </c>
      <c r="J21" s="10" t="s">
        <v>845</v>
      </c>
    </row>
    <row r="22" spans="1:10">
      <c r="A22" s="5" t="s">
        <v>884</v>
      </c>
      <c r="B22" s="5" t="s">
        <v>885</v>
      </c>
      <c r="C22" s="7"/>
      <c r="D22" s="7"/>
      <c r="E22" s="6" t="s">
        <v>843</v>
      </c>
      <c r="F22" s="15">
        <v>1</v>
      </c>
      <c r="G22" s="8">
        <f>Assumptions!$B$12*F22</f>
        <v>0.13649999999999998</v>
      </c>
      <c r="H22" s="8">
        <f>Assumptions!$B$13*F22</f>
        <v>0.41649999999999993</v>
      </c>
      <c r="I22" s="5" t="s">
        <v>844</v>
      </c>
      <c r="J22" s="5" t="s">
        <v>845</v>
      </c>
    </row>
    <row r="23" spans="1:10">
      <c r="A23" s="10" t="s">
        <v>886</v>
      </c>
      <c r="B23" s="10" t="s">
        <v>887</v>
      </c>
      <c r="C23" s="7"/>
      <c r="D23" s="7"/>
      <c r="E23" s="6" t="s">
        <v>843</v>
      </c>
      <c r="F23" s="15">
        <v>1</v>
      </c>
      <c r="G23" s="8">
        <f>Assumptions!$B$12*F23</f>
        <v>0.13649999999999998</v>
      </c>
      <c r="H23" s="8">
        <f>Assumptions!$B$13*F23</f>
        <v>0.41649999999999993</v>
      </c>
      <c r="I23" s="10" t="s">
        <v>844</v>
      </c>
      <c r="J23" s="10" t="s">
        <v>845</v>
      </c>
    </row>
    <row r="24" spans="1:10">
      <c r="A24" s="5" t="s">
        <v>888</v>
      </c>
      <c r="B24" s="5" t="s">
        <v>889</v>
      </c>
      <c r="C24" s="7"/>
      <c r="D24" s="7"/>
      <c r="E24" s="6" t="s">
        <v>843</v>
      </c>
      <c r="F24" s="15">
        <v>1</v>
      </c>
      <c r="G24" s="8">
        <f>Assumptions!$B$12*F24</f>
        <v>0.13649999999999998</v>
      </c>
      <c r="H24" s="8">
        <f>Assumptions!$B$13*F24</f>
        <v>0.41649999999999993</v>
      </c>
      <c r="I24" s="5" t="s">
        <v>844</v>
      </c>
      <c r="J24" s="5" t="s">
        <v>845</v>
      </c>
    </row>
    <row r="25" spans="1:10">
      <c r="A25" s="10" t="s">
        <v>890</v>
      </c>
      <c r="B25" s="10" t="s">
        <v>891</v>
      </c>
      <c r="C25" s="7"/>
      <c r="D25" s="7"/>
      <c r="E25" s="6" t="s">
        <v>843</v>
      </c>
      <c r="F25" s="15">
        <v>1</v>
      </c>
      <c r="G25" s="8">
        <f>Assumptions!$B$12*F25</f>
        <v>0.13649999999999998</v>
      </c>
      <c r="H25" s="8">
        <f>Assumptions!$B$13*F25</f>
        <v>0.41649999999999993</v>
      </c>
      <c r="I25" s="10" t="s">
        <v>844</v>
      </c>
      <c r="J25" s="10" t="s">
        <v>845</v>
      </c>
    </row>
    <row r="26" spans="1:10">
      <c r="A26" s="5" t="s">
        <v>892</v>
      </c>
      <c r="B26" s="5" t="s">
        <v>893</v>
      </c>
      <c r="C26" s="7"/>
      <c r="D26" s="7"/>
      <c r="E26" s="6" t="s">
        <v>843</v>
      </c>
      <c r="F26" s="15">
        <v>1</v>
      </c>
      <c r="G26" s="8">
        <f>Assumptions!$B$12*F26</f>
        <v>0.13649999999999998</v>
      </c>
      <c r="H26" s="8">
        <f>Assumptions!$B$13*F26</f>
        <v>0.41649999999999993</v>
      </c>
      <c r="I26" s="5" t="s">
        <v>844</v>
      </c>
      <c r="J26" s="5" t="s">
        <v>845</v>
      </c>
    </row>
    <row r="27" spans="1:10">
      <c r="A27" s="10" t="s">
        <v>894</v>
      </c>
      <c r="B27" s="10" t="s">
        <v>895</v>
      </c>
      <c r="C27" s="7"/>
      <c r="D27" s="7"/>
      <c r="E27" s="6" t="s">
        <v>843</v>
      </c>
      <c r="F27" s="15">
        <v>1</v>
      </c>
      <c r="G27" s="8">
        <f>Assumptions!$B$12*F27</f>
        <v>0.13649999999999998</v>
      </c>
      <c r="H27" s="8">
        <f>Assumptions!$B$13*F27</f>
        <v>0.41649999999999993</v>
      </c>
      <c r="I27" s="10" t="s">
        <v>844</v>
      </c>
      <c r="J27" s="10" t="s">
        <v>845</v>
      </c>
    </row>
    <row r="28" spans="1:10">
      <c r="A28" s="5" t="s">
        <v>896</v>
      </c>
      <c r="B28" s="5" t="s">
        <v>897</v>
      </c>
      <c r="C28" s="7"/>
      <c r="D28" s="7"/>
      <c r="E28" s="6" t="s">
        <v>843</v>
      </c>
      <c r="F28" s="15">
        <v>1</v>
      </c>
      <c r="G28" s="8">
        <f>Assumptions!$B$12*F28</f>
        <v>0.13649999999999998</v>
      </c>
      <c r="H28" s="8">
        <f>Assumptions!$B$13*F28</f>
        <v>0.41649999999999993</v>
      </c>
      <c r="I28" s="5" t="s">
        <v>844</v>
      </c>
      <c r="J28" s="5" t="s">
        <v>845</v>
      </c>
    </row>
    <row r="29" spans="1:10">
      <c r="A29" s="10" t="s">
        <v>898</v>
      </c>
      <c r="B29" s="10" t="s">
        <v>899</v>
      </c>
      <c r="C29" s="7"/>
      <c r="D29" s="7"/>
      <c r="E29" s="6" t="s">
        <v>843</v>
      </c>
      <c r="F29" s="15">
        <v>1</v>
      </c>
      <c r="G29" s="8">
        <f>Assumptions!$B$12*F29</f>
        <v>0.13649999999999998</v>
      </c>
      <c r="H29" s="8">
        <f>Assumptions!$B$13*F29</f>
        <v>0.41649999999999993</v>
      </c>
      <c r="I29" s="10" t="s">
        <v>844</v>
      </c>
      <c r="J29" s="10" t="s">
        <v>845</v>
      </c>
    </row>
    <row r="30" spans="1:10">
      <c r="A30" s="5" t="s">
        <v>900</v>
      </c>
      <c r="B30" s="5" t="s">
        <v>901</v>
      </c>
      <c r="C30" s="7"/>
      <c r="D30" s="7"/>
      <c r="E30" s="6" t="s">
        <v>843</v>
      </c>
      <c r="F30" s="15">
        <v>1</v>
      </c>
      <c r="G30" s="8">
        <f>Assumptions!$B$12*F30</f>
        <v>0.13649999999999998</v>
      </c>
      <c r="H30" s="8">
        <f>Assumptions!$B$13*F30</f>
        <v>0.41649999999999993</v>
      </c>
      <c r="I30" s="5" t="s">
        <v>844</v>
      </c>
      <c r="J30" s="5" t="s">
        <v>845</v>
      </c>
    </row>
    <row r="31" spans="1:10">
      <c r="A31" s="10" t="s">
        <v>902</v>
      </c>
      <c r="B31" s="10" t="s">
        <v>903</v>
      </c>
      <c r="C31" s="7"/>
      <c r="D31" s="7"/>
      <c r="E31" s="6" t="s">
        <v>843</v>
      </c>
      <c r="F31" s="15">
        <v>1</v>
      </c>
      <c r="G31" s="8">
        <f>Assumptions!$B$12*F31</f>
        <v>0.13649999999999998</v>
      </c>
      <c r="H31" s="8">
        <f>Assumptions!$B$13*F31</f>
        <v>0.41649999999999993</v>
      </c>
      <c r="I31" s="10" t="s">
        <v>844</v>
      </c>
      <c r="J31" s="10" t="s">
        <v>845</v>
      </c>
    </row>
    <row r="32" spans="1:10">
      <c r="A32" s="5" t="s">
        <v>904</v>
      </c>
      <c r="B32" s="5" t="s">
        <v>905</v>
      </c>
      <c r="C32" s="7"/>
      <c r="D32" s="7"/>
      <c r="E32" s="6" t="s">
        <v>843</v>
      </c>
      <c r="F32" s="15">
        <v>1</v>
      </c>
      <c r="G32" s="8">
        <f>Assumptions!$B$12*F32</f>
        <v>0.13649999999999998</v>
      </c>
      <c r="H32" s="8">
        <f>Assumptions!$B$13*F32</f>
        <v>0.41649999999999993</v>
      </c>
      <c r="I32" s="5" t="s">
        <v>844</v>
      </c>
      <c r="J32" s="5" t="s">
        <v>845</v>
      </c>
    </row>
    <row r="33" spans="1:10">
      <c r="A33" s="10" t="s">
        <v>906</v>
      </c>
      <c r="B33" s="10" t="s">
        <v>907</v>
      </c>
      <c r="C33" s="7"/>
      <c r="D33" s="7"/>
      <c r="E33" s="6" t="s">
        <v>843</v>
      </c>
      <c r="F33" s="15">
        <v>1</v>
      </c>
      <c r="G33" s="8">
        <f>Assumptions!$B$12*F33</f>
        <v>0.13649999999999998</v>
      </c>
      <c r="H33" s="8">
        <f>Assumptions!$B$13*F33</f>
        <v>0.41649999999999993</v>
      </c>
      <c r="I33" s="10" t="s">
        <v>844</v>
      </c>
      <c r="J33" s="10" t="s">
        <v>845</v>
      </c>
    </row>
    <row r="34" spans="1:10">
      <c r="A34" s="5" t="s">
        <v>908</v>
      </c>
      <c r="B34" s="5" t="s">
        <v>909</v>
      </c>
      <c r="C34" s="7"/>
      <c r="D34" s="7"/>
      <c r="E34" s="6" t="s">
        <v>843</v>
      </c>
      <c r="F34" s="15">
        <v>1</v>
      </c>
      <c r="G34" s="8">
        <f>Assumptions!$B$12*F34</f>
        <v>0.13649999999999998</v>
      </c>
      <c r="H34" s="8">
        <f>Assumptions!$B$13*F34</f>
        <v>0.41649999999999993</v>
      </c>
      <c r="I34" s="5" t="s">
        <v>844</v>
      </c>
      <c r="J34" s="5" t="s">
        <v>845</v>
      </c>
    </row>
    <row r="35" spans="1:10">
      <c r="A35" s="10" t="s">
        <v>910</v>
      </c>
      <c r="B35" s="10" t="s">
        <v>911</v>
      </c>
      <c r="C35" s="7"/>
      <c r="D35" s="7"/>
      <c r="E35" s="6" t="s">
        <v>843</v>
      </c>
      <c r="F35" s="15">
        <v>1</v>
      </c>
      <c r="G35" s="8">
        <f>Assumptions!$B$12*F35</f>
        <v>0.13649999999999998</v>
      </c>
      <c r="H35" s="8">
        <f>Assumptions!$B$13*F35</f>
        <v>0.41649999999999993</v>
      </c>
      <c r="I35" s="10" t="s">
        <v>844</v>
      </c>
      <c r="J35" s="10" t="s">
        <v>845</v>
      </c>
    </row>
    <row r="36" spans="1:10">
      <c r="A36" s="5" t="s">
        <v>912</v>
      </c>
      <c r="B36" s="5" t="s">
        <v>913</v>
      </c>
      <c r="C36" s="7"/>
      <c r="D36" s="7"/>
      <c r="E36" s="6" t="s">
        <v>843</v>
      </c>
      <c r="F36" s="15">
        <v>1</v>
      </c>
      <c r="G36" s="8">
        <f>Assumptions!$B$12*F36</f>
        <v>0.13649999999999998</v>
      </c>
      <c r="H36" s="8">
        <f>Assumptions!$B$13*F36</f>
        <v>0.41649999999999993</v>
      </c>
      <c r="I36" s="5" t="s">
        <v>844</v>
      </c>
      <c r="J36" s="5" t="s">
        <v>845</v>
      </c>
    </row>
    <row r="37" spans="1:10">
      <c r="A37" s="10" t="s">
        <v>914</v>
      </c>
      <c r="B37" s="10" t="s">
        <v>915</v>
      </c>
      <c r="C37" s="7"/>
      <c r="D37" s="7"/>
      <c r="E37" s="6" t="s">
        <v>843</v>
      </c>
      <c r="F37" s="15">
        <v>1</v>
      </c>
      <c r="G37" s="8">
        <f>Assumptions!$B$12*F37</f>
        <v>0.13649999999999998</v>
      </c>
      <c r="H37" s="8">
        <f>Assumptions!$B$13*F37</f>
        <v>0.41649999999999993</v>
      </c>
      <c r="I37" s="10" t="s">
        <v>844</v>
      </c>
      <c r="J37" s="10" t="s">
        <v>845</v>
      </c>
    </row>
    <row r="38" spans="1:10">
      <c r="A38" s="5" t="s">
        <v>916</v>
      </c>
      <c r="B38" s="5" t="s">
        <v>917</v>
      </c>
      <c r="C38" s="7"/>
      <c r="D38" s="7"/>
      <c r="E38" s="6" t="s">
        <v>843</v>
      </c>
      <c r="F38" s="15">
        <v>1</v>
      </c>
      <c r="G38" s="8">
        <f>Assumptions!$B$12*F38</f>
        <v>0.13649999999999998</v>
      </c>
      <c r="H38" s="8">
        <f>Assumptions!$B$13*F38</f>
        <v>0.41649999999999993</v>
      </c>
      <c r="I38" s="5" t="s">
        <v>844</v>
      </c>
      <c r="J38" s="5" t="s">
        <v>845</v>
      </c>
    </row>
    <row r="39" spans="1:10">
      <c r="A39" s="10" t="s">
        <v>918</v>
      </c>
      <c r="B39" s="10" t="s">
        <v>919</v>
      </c>
      <c r="C39" s="7"/>
      <c r="D39" s="7"/>
      <c r="E39" s="6" t="s">
        <v>843</v>
      </c>
      <c r="F39" s="15">
        <v>1</v>
      </c>
      <c r="G39" s="8">
        <f>Assumptions!$B$12*F39</f>
        <v>0.13649999999999998</v>
      </c>
      <c r="H39" s="8">
        <f>Assumptions!$B$13*F39</f>
        <v>0.41649999999999993</v>
      </c>
      <c r="I39" s="10" t="s">
        <v>844</v>
      </c>
      <c r="J39" s="10" t="s">
        <v>845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showGridLines="0" workbookViewId="0"/>
  </sheetViews>
  <sheetFormatPr defaultColWidth="11.19921875" defaultRowHeight="13.8"/>
  <cols>
    <col min="1" max="1" width="30" customWidth="1"/>
    <col min="2" max="2" width="66" customWidth="1"/>
    <col min="3" max="5" width="54" customWidth="1"/>
  </cols>
  <sheetData>
    <row r="1" spans="1:5" ht="30" customHeight="1">
      <c r="A1" s="4" t="s">
        <v>920</v>
      </c>
      <c r="B1" s="4" t="s">
        <v>921</v>
      </c>
      <c r="C1" s="4" t="s">
        <v>922</v>
      </c>
      <c r="D1" s="4" t="s">
        <v>923</v>
      </c>
      <c r="E1" s="4" t="s">
        <v>145</v>
      </c>
    </row>
    <row r="2" spans="1:5">
      <c r="A2" s="5" t="s">
        <v>924</v>
      </c>
      <c r="B2" s="5" t="s">
        <v>925</v>
      </c>
      <c r="C2" s="5" t="s">
        <v>811</v>
      </c>
      <c r="D2" s="5" t="s">
        <v>813</v>
      </c>
      <c r="E2" s="5" t="s">
        <v>926</v>
      </c>
    </row>
    <row r="3" spans="1:5">
      <c r="A3" s="10" t="s">
        <v>927</v>
      </c>
      <c r="B3" s="10" t="s">
        <v>928</v>
      </c>
      <c r="C3" s="10" t="s">
        <v>811</v>
      </c>
      <c r="D3" s="10" t="s">
        <v>820</v>
      </c>
      <c r="E3" s="10" t="s">
        <v>929</v>
      </c>
    </row>
    <row r="4" spans="1:5">
      <c r="A4" s="5" t="s">
        <v>930</v>
      </c>
      <c r="B4" s="5" t="s">
        <v>931</v>
      </c>
      <c r="C4" s="5" t="s">
        <v>932</v>
      </c>
      <c r="D4" s="5" t="s">
        <v>933</v>
      </c>
      <c r="E4" s="5" t="s">
        <v>934</v>
      </c>
    </row>
    <row r="5" spans="1:5">
      <c r="A5" s="10" t="s">
        <v>935</v>
      </c>
      <c r="B5" s="10" t="s">
        <v>936</v>
      </c>
      <c r="C5" s="10" t="s">
        <v>937</v>
      </c>
      <c r="D5" s="10" t="s">
        <v>938</v>
      </c>
      <c r="E5" s="10" t="s">
        <v>939</v>
      </c>
    </row>
    <row r="6" spans="1:5">
      <c r="A6" s="5" t="s">
        <v>940</v>
      </c>
      <c r="B6" s="5" t="s">
        <v>941</v>
      </c>
      <c r="C6" s="5" t="s">
        <v>811</v>
      </c>
      <c r="D6" s="5" t="s">
        <v>827</v>
      </c>
      <c r="E6" s="5" t="s">
        <v>942</v>
      </c>
    </row>
    <row r="7" spans="1:5">
      <c r="A7" s="10" t="s">
        <v>943</v>
      </c>
      <c r="B7" s="10" t="s">
        <v>944</v>
      </c>
      <c r="C7" s="10" t="s">
        <v>387</v>
      </c>
      <c r="D7" s="10"/>
      <c r="E7" s="10" t="s">
        <v>945</v>
      </c>
    </row>
    <row r="8" spans="1:5">
      <c r="A8" s="5" t="s">
        <v>946</v>
      </c>
      <c r="B8" s="5" t="s">
        <v>947</v>
      </c>
      <c r="C8" s="5" t="s">
        <v>948</v>
      </c>
      <c r="D8" s="5"/>
      <c r="E8" s="5" t="s">
        <v>949</v>
      </c>
    </row>
    <row r="9" spans="1:5">
      <c r="A9" s="10" t="s">
        <v>950</v>
      </c>
      <c r="B9" s="10" t="s">
        <v>951</v>
      </c>
      <c r="C9" s="10" t="s">
        <v>408</v>
      </c>
      <c r="D9" s="10"/>
      <c r="E9" s="10" t="s">
        <v>952</v>
      </c>
    </row>
    <row r="10" spans="1:5">
      <c r="A10" s="5" t="s">
        <v>44</v>
      </c>
      <c r="B10" s="5" t="s">
        <v>953</v>
      </c>
      <c r="C10" s="5" t="s">
        <v>954</v>
      </c>
      <c r="D10" s="5"/>
      <c r="E10" s="5" t="s">
        <v>955</v>
      </c>
    </row>
    <row r="11" spans="1:5">
      <c r="A11" s="10" t="s">
        <v>956</v>
      </c>
      <c r="B11" s="10" t="s">
        <v>957</v>
      </c>
      <c r="C11" s="10" t="s">
        <v>958</v>
      </c>
      <c r="D11" s="10"/>
      <c r="E11" s="10" t="s">
        <v>959</v>
      </c>
    </row>
    <row r="12" spans="1:5">
      <c r="A12" s="5" t="s">
        <v>960</v>
      </c>
      <c r="B12" s="5" t="s">
        <v>961</v>
      </c>
      <c r="C12" s="5" t="s">
        <v>962</v>
      </c>
      <c r="D12" s="5"/>
      <c r="E12" s="5" t="s">
        <v>963</v>
      </c>
    </row>
    <row r="13" spans="1:5">
      <c r="A13" s="10" t="s">
        <v>960</v>
      </c>
      <c r="B13" s="10" t="s">
        <v>964</v>
      </c>
      <c r="C13" s="10" t="s">
        <v>962</v>
      </c>
      <c r="D13" s="10"/>
      <c r="E13" s="10" t="s">
        <v>965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showGridLines="0" workbookViewId="0"/>
  </sheetViews>
  <sheetFormatPr defaultColWidth="11.19921875" defaultRowHeight="13.8"/>
  <cols>
    <col min="1" max="1" width="14" customWidth="1"/>
    <col min="2" max="2" width="54" customWidth="1"/>
    <col min="3" max="3" width="26" customWidth="1"/>
    <col min="4" max="4" width="28" customWidth="1"/>
    <col min="5" max="5" width="30" customWidth="1"/>
    <col min="6" max="6" width="66" customWidth="1"/>
  </cols>
  <sheetData>
    <row r="1" spans="1:6" ht="30" customHeight="1">
      <c r="A1" s="4" t="s">
        <v>966</v>
      </c>
      <c r="B1" s="4" t="s">
        <v>967</v>
      </c>
      <c r="C1" s="4" t="s">
        <v>968</v>
      </c>
      <c r="D1" s="4" t="s">
        <v>969</v>
      </c>
      <c r="E1" s="4" t="s">
        <v>839</v>
      </c>
      <c r="F1" s="4" t="s">
        <v>970</v>
      </c>
    </row>
    <row r="2" spans="1:6">
      <c r="A2" s="5" t="s">
        <v>971</v>
      </c>
      <c r="B2" s="5" t="s">
        <v>972</v>
      </c>
      <c r="C2" s="9">
        <v>0.13650000000000001</v>
      </c>
      <c r="D2" s="9">
        <f>Coverage!O3</f>
        <v>0.13650000000000001</v>
      </c>
      <c r="E2" s="5" t="str">
        <f>IF(ABS(D2-C2)&lt;0.0000001,"PASS","FAIL")</f>
        <v>PASS</v>
      </c>
      <c r="F2" s="5" t="s">
        <v>973</v>
      </c>
    </row>
    <row r="3" spans="1:6">
      <c r="A3" s="10" t="s">
        <v>974</v>
      </c>
      <c r="B3" s="10" t="s">
        <v>975</v>
      </c>
      <c r="C3" s="12">
        <v>0.13650000000000001</v>
      </c>
      <c r="D3" s="9">
        <f>Coverage!Q3</f>
        <v>0.13650000000000001</v>
      </c>
      <c r="E3" s="5" t="str">
        <f>IF(ABS(D3-C3)&lt;0.0000001,"PASS","FAIL")</f>
        <v>PASS</v>
      </c>
      <c r="F3" s="10" t="s">
        <v>976</v>
      </c>
    </row>
    <row r="4" spans="1:6">
      <c r="A4" s="5" t="s">
        <v>977</v>
      </c>
      <c r="B4" s="5" t="s">
        <v>978</v>
      </c>
      <c r="C4" s="9">
        <v>0.41649999999999998</v>
      </c>
      <c r="D4" s="9">
        <f>Coverage!O4</f>
        <v>0.41649999999999993</v>
      </c>
      <c r="E4" s="5" t="str">
        <f>IF(ABS(D4-C4)&lt;0.0000001,"PASS","FAIL")</f>
        <v>PASS</v>
      </c>
      <c r="F4" s="5" t="s">
        <v>979</v>
      </c>
    </row>
    <row r="5" spans="1:6">
      <c r="A5" s="10" t="s">
        <v>980</v>
      </c>
      <c r="B5" s="10" t="s">
        <v>981</v>
      </c>
      <c r="C5" s="12">
        <v>0.41649999999999998</v>
      </c>
      <c r="D5" s="9">
        <f>Coverage!Q4</f>
        <v>0.41649999999999993</v>
      </c>
      <c r="E5" s="5" t="str">
        <f>IF(ABS(D5-C5)&lt;0.0000001,"PASS","FAIL")</f>
        <v>PASS</v>
      </c>
      <c r="F5" s="10" t="s">
        <v>976</v>
      </c>
    </row>
    <row r="6" spans="1:6">
      <c r="A6" s="5" t="s">
        <v>982</v>
      </c>
      <c r="B6" s="5" t="s">
        <v>983</v>
      </c>
      <c r="C6" s="5">
        <v>0</v>
      </c>
      <c r="D6" s="5">
        <f>COUNTIF(Coverage!$T$2:$T$19,"BAD")</f>
        <v>0</v>
      </c>
      <c r="E6" s="5" t="str">
        <f>IF(D6=C6,"PASS","FAIL")</f>
        <v>PASS</v>
      </c>
      <c r="F6" s="5" t="s">
        <v>984</v>
      </c>
    </row>
    <row r="7" spans="1:6">
      <c r="A7" s="10" t="s">
        <v>985</v>
      </c>
      <c r="B7" s="10" t="s">
        <v>986</v>
      </c>
      <c r="C7" s="10">
        <v>0</v>
      </c>
      <c r="D7" s="5">
        <f>COUNTIF(Coverage_Trajectory!$P$2:$P$105,"BAD")</f>
        <v>0</v>
      </c>
      <c r="E7" s="5" t="str">
        <f>IF(D7=C7,"PASS","FAIL")</f>
        <v>PASS</v>
      </c>
      <c r="F7" s="10" t="s">
        <v>987</v>
      </c>
    </row>
    <row r="8" spans="1:6">
      <c r="A8" s="5" t="s">
        <v>988</v>
      </c>
      <c r="B8" s="5" t="s">
        <v>989</v>
      </c>
      <c r="C8" s="5">
        <v>0</v>
      </c>
      <c r="D8" s="5">
        <f>COUNTIF(Model_Input_View!$T$2:$T$313,"BAD")</f>
        <v>0</v>
      </c>
      <c r="E8" s="5" t="str">
        <f>IF(D8=C8,"PASS","FAIL")</f>
        <v>PASS</v>
      </c>
      <c r="F8" s="5" t="s">
        <v>990</v>
      </c>
    </row>
    <row r="9" spans="1:6">
      <c r="A9" s="10" t="s">
        <v>991</v>
      </c>
      <c r="B9" s="10" t="s">
        <v>992</v>
      </c>
      <c r="C9" s="10">
        <v>0</v>
      </c>
      <c r="D9" s="5">
        <f>COUNTIF(Effect_Sizes!$T$2:$T$7,"BAD KEY")</f>
        <v>0</v>
      </c>
      <c r="E9" s="5" t="str">
        <f>IF(D9=C9,"PASS","FAIL")</f>
        <v>PASS</v>
      </c>
      <c r="F9" s="10" t="s">
        <v>993</v>
      </c>
    </row>
    <row r="10" spans="1:6">
      <c r="A10" s="5" t="s">
        <v>994</v>
      </c>
      <c r="B10" s="5" t="s">
        <v>995</v>
      </c>
      <c r="C10" s="5">
        <v>0</v>
      </c>
      <c r="D10" s="5">
        <f>COUNTIF(Cost_Components!$AC$2:$AC$8,"REVIEW ADJUSTMENT")</f>
        <v>0</v>
      </c>
      <c r="E10" s="5" t="str">
        <f>IF(D10=C10,"PASS","FAIL")</f>
        <v>PASS</v>
      </c>
      <c r="F10" s="5" t="s">
        <v>996</v>
      </c>
    </row>
    <row r="11" spans="1:6">
      <c r="A11" s="10" t="s">
        <v>997</v>
      </c>
      <c r="B11" s="10" t="s">
        <v>998</v>
      </c>
      <c r="C11" s="10">
        <v>1</v>
      </c>
      <c r="D11" s="5">
        <f>IF(Assumptions!$B$21="",0,1)</f>
        <v>0</v>
      </c>
      <c r="E11" s="5" t="str">
        <f>IF(D11=C11,"PASS","MISSING")</f>
        <v>MISSING</v>
      </c>
      <c r="F11" s="10" t="s">
        <v>999</v>
      </c>
    </row>
    <row r="12" spans="1:6">
      <c r="A12" s="5" t="s">
        <v>1000</v>
      </c>
      <c r="B12" s="5" t="s">
        <v>1001</v>
      </c>
      <c r="C12" s="5">
        <v>1</v>
      </c>
      <c r="D12" s="5">
        <f>IF(Assumptions!$B$22="",0,1)</f>
        <v>0</v>
      </c>
      <c r="E12" s="5" t="str">
        <f>IF(D12=C12,"PASS","MISSING")</f>
        <v>MISSING</v>
      </c>
      <c r="F12" s="5" t="s">
        <v>1002</v>
      </c>
    </row>
    <row r="13" spans="1:6">
      <c r="A13" s="10" t="s">
        <v>1003</v>
      </c>
      <c r="B13" s="10" t="s">
        <v>1004</v>
      </c>
      <c r="C13" s="10">
        <v>0</v>
      </c>
      <c r="D13" s="5">
        <f>COUNTIF(E2:E9,"FAIL")</f>
        <v>0</v>
      </c>
      <c r="E13" s="5" t="str">
        <f>IF(D13=0,"PASS","FAIL")</f>
        <v>PASS</v>
      </c>
      <c r="F13" s="10" t="s">
        <v>1005</v>
      </c>
    </row>
    <row r="14" spans="1:6">
      <c r="A14" s="5" t="s">
        <v>1006</v>
      </c>
      <c r="B14" s="5" t="s">
        <v>1007</v>
      </c>
      <c r="C14" s="5" t="s">
        <v>1008</v>
      </c>
      <c r="D14" s="5" t="str">
        <f>IF(OR(E11="MISSING",E12="MISSING"),"MODEL INTEGRATION REQUIRED",IF(COUNTIF(E2:E13,"FAIL")=0,"READY TO RUN","REVIEW REQUIRED"))</f>
        <v>MODEL INTEGRATION REQUIRED</v>
      </c>
      <c r="E14" s="5" t="str">
        <f>D14</f>
        <v>MODEL INTEGRATION REQUIRED</v>
      </c>
      <c r="F14" s="5" t="s">
        <v>1009</v>
      </c>
    </row>
  </sheetData>
  <conditionalFormatting sqref="E2:E14">
    <cfRule type="containsText" dxfId="2" priority="1" operator="containsText" text="PASS"/>
    <cfRule type="containsText" dxfId="1" priority="2" operator="containsText" text="FAIL"/>
    <cfRule type="containsText" dxfId="0" priority="3" operator="containsText" text="MISSING"/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showGridLines="0" workbookViewId="0"/>
  </sheetViews>
  <sheetFormatPr defaultColWidth="11.19921875" defaultRowHeight="13.8"/>
  <cols>
    <col min="1" max="1" width="18" customWidth="1"/>
    <col min="2" max="2" width="22" customWidth="1"/>
    <col min="3" max="3" width="90" customWidth="1"/>
    <col min="4" max="4" width="36" customWidth="1"/>
  </cols>
  <sheetData>
    <row r="1" spans="1:4" ht="30" customHeight="1">
      <c r="A1" s="4" t="s">
        <v>1010</v>
      </c>
      <c r="B1" s="4" t="s">
        <v>1011</v>
      </c>
      <c r="C1" s="4" t="s">
        <v>28</v>
      </c>
      <c r="D1" s="4" t="s">
        <v>1012</v>
      </c>
    </row>
    <row r="2" spans="1:4">
      <c r="A2" s="5" t="s">
        <v>1013</v>
      </c>
      <c r="B2" s="5" t="s">
        <v>1014</v>
      </c>
      <c r="C2" s="5" t="s">
        <v>1015</v>
      </c>
      <c r="D2" s="5" t="s">
        <v>1016</v>
      </c>
    </row>
    <row r="3" spans="1:4">
      <c r="A3" s="10" t="s">
        <v>1013</v>
      </c>
      <c r="B3" s="10" t="s">
        <v>756</v>
      </c>
      <c r="C3" s="10" t="s">
        <v>1017</v>
      </c>
      <c r="D3" s="10" t="s">
        <v>44</v>
      </c>
    </row>
    <row r="4" spans="1:4">
      <c r="A4" s="5" t="s">
        <v>1013</v>
      </c>
      <c r="B4" s="5" t="s">
        <v>214</v>
      </c>
      <c r="C4" s="5" t="s">
        <v>1018</v>
      </c>
      <c r="D4" s="5" t="s">
        <v>1019</v>
      </c>
    </row>
    <row r="5" spans="1:4">
      <c r="A5" s="10" t="s">
        <v>1013</v>
      </c>
      <c r="B5" s="10" t="s">
        <v>1020</v>
      </c>
      <c r="C5" s="10" t="s">
        <v>1021</v>
      </c>
      <c r="D5" s="10" t="s">
        <v>1022</v>
      </c>
    </row>
    <row r="6" spans="1:4">
      <c r="A6" s="5" t="s">
        <v>1013</v>
      </c>
      <c r="B6" s="5" t="s">
        <v>1023</v>
      </c>
      <c r="C6" s="5" t="s">
        <v>1024</v>
      </c>
      <c r="D6" s="5" t="s">
        <v>1025</v>
      </c>
    </row>
    <row r="7" spans="1:4">
      <c r="A7" s="10" t="s">
        <v>1013</v>
      </c>
      <c r="B7" s="10" t="s">
        <v>238</v>
      </c>
      <c r="C7" s="10" t="s">
        <v>1026</v>
      </c>
      <c r="D7" s="10" t="s">
        <v>1027</v>
      </c>
    </row>
    <row r="8" spans="1:4">
      <c r="A8" s="5" t="s">
        <v>1013</v>
      </c>
      <c r="B8" s="5" t="s">
        <v>1028</v>
      </c>
      <c r="C8" s="5" t="s">
        <v>1029</v>
      </c>
      <c r="D8" s="5" t="s">
        <v>1030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Assumptions</vt:lpstr>
      <vt:lpstr>Dictionaries</vt:lpstr>
      <vt:lpstr>Intervention_Cause_Map</vt:lpstr>
      <vt:lpstr>Effect_Sizes</vt:lpstr>
      <vt:lpstr>Coverage</vt:lpstr>
      <vt:lpstr>Coverage_Trajectory</vt:lpstr>
      <vt:lpstr>Cost_Components</vt:lpstr>
      <vt:lpstr>Model_Input_View</vt:lpstr>
      <vt:lpstr>FairChoices_Methods</vt:lpstr>
      <vt:lpstr>Raw_NCDRisC</vt:lpstr>
      <vt:lpstr>Provincial_Framework</vt:lpstr>
      <vt:lpstr>Scope_and_Sources</vt:lpstr>
      <vt:lpstr>QA_Checks</vt:lpstr>
      <vt:lpstr>ChangesLog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2026-08-31T18:58:48Z</dcterms:modified>
</cp:coreProperties>
</file>