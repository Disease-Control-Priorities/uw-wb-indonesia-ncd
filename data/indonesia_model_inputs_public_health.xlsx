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uwnetid-my.sharepoint.com/personal/wrgg_uw_edu/Documents/02Work/WorldBank-Indonesia/uw-wb-indonesia-ncd/data/"/>
    </mc:Choice>
  </mc:AlternateContent>
  <xr:revisionPtr revIDLastSave="0" documentId="11_C7EAB8733EABA59C6F5AAB208861C5AEF35ECE85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ADME" sheetId="1" r:id="rId1"/>
    <sheet name="Assumptions" sheetId="2" r:id="rId2"/>
    <sheet name="Dictionaries" sheetId="3" r:id="rId3"/>
    <sheet name="Intervention_Cause_Map" sheetId="4" r:id="rId4"/>
    <sheet name="Policy_Levers" sheetId="5" r:id="rId5"/>
    <sheet name="Exposure_Targets" sheetId="6" r:id="rId6"/>
    <sheet name="Effect_Parameters" sheetId="7" r:id="rId7"/>
    <sheet name="Risk_Response" sheetId="8" r:id="rId8"/>
    <sheet name="Cost_Components" sheetId="9" r:id="rId9"/>
    <sheet name="Model_Input_View" sheetId="10" r:id="rId10"/>
    <sheet name="Countdown_Methods" sheetId="11" r:id="rId11"/>
    <sheet name="Scope_and_Sources" sheetId="12" r:id="rId12"/>
    <sheet name="QA_Check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3" l="1"/>
  <c r="E11" i="13" s="1"/>
  <c r="D10" i="13"/>
  <c r="E10" i="13" s="1"/>
  <c r="D9" i="13"/>
  <c r="E9" i="13" s="1"/>
  <c r="D8" i="13"/>
  <c r="E8" i="13" s="1"/>
  <c r="D7" i="13"/>
  <c r="E7" i="13" s="1"/>
  <c r="D3" i="13"/>
  <c r="E3" i="13" s="1"/>
  <c r="R10" i="10"/>
  <c r="N10" i="10"/>
  <c r="M10" i="10"/>
  <c r="L10" i="10"/>
  <c r="K10" i="10"/>
  <c r="O10" i="10" s="1"/>
  <c r="J10" i="10"/>
  <c r="G10" i="10"/>
  <c r="S10" i="10" s="1"/>
  <c r="S9" i="10"/>
  <c r="R9" i="10"/>
  <c r="O9" i="10"/>
  <c r="N9" i="10"/>
  <c r="M9" i="10"/>
  <c r="L9" i="10"/>
  <c r="K9" i="10"/>
  <c r="I9" i="10"/>
  <c r="G9" i="10"/>
  <c r="J9" i="10" s="1"/>
  <c r="R8" i="10"/>
  <c r="N8" i="10"/>
  <c r="M8" i="10"/>
  <c r="L8" i="10"/>
  <c r="K8" i="10"/>
  <c r="J8" i="10"/>
  <c r="G8" i="10"/>
  <c r="I8" i="10" s="1"/>
  <c r="R7" i="10"/>
  <c r="O7" i="10"/>
  <c r="N7" i="10"/>
  <c r="M7" i="10"/>
  <c r="L7" i="10"/>
  <c r="K7" i="10"/>
  <c r="I7" i="10"/>
  <c r="G7" i="10"/>
  <c r="S7" i="10" s="1"/>
  <c r="R6" i="10"/>
  <c r="N6" i="10"/>
  <c r="M6" i="10"/>
  <c r="L6" i="10"/>
  <c r="K6" i="10"/>
  <c r="O6" i="10" s="1"/>
  <c r="J6" i="10"/>
  <c r="I6" i="10"/>
  <c r="G6" i="10"/>
  <c r="S6" i="10" s="1"/>
  <c r="S5" i="10"/>
  <c r="R5" i="10"/>
  <c r="N5" i="10"/>
  <c r="M5" i="10"/>
  <c r="L5" i="10"/>
  <c r="K5" i="10"/>
  <c r="O5" i="10" s="1"/>
  <c r="I5" i="10"/>
  <c r="G5" i="10"/>
  <c r="J5" i="10" s="1"/>
  <c r="S4" i="10"/>
  <c r="R4" i="10"/>
  <c r="O4" i="10"/>
  <c r="N4" i="10"/>
  <c r="M4" i="10"/>
  <c r="L4" i="10"/>
  <c r="K4" i="10"/>
  <c r="J4" i="10"/>
  <c r="I4" i="10"/>
  <c r="G4" i="10"/>
  <c r="S3" i="10"/>
  <c r="R3" i="10"/>
  <c r="N3" i="10"/>
  <c r="M3" i="10"/>
  <c r="L3" i="10"/>
  <c r="K3" i="10"/>
  <c r="O3" i="10" s="1"/>
  <c r="J3" i="10"/>
  <c r="G3" i="10"/>
  <c r="I3" i="10" s="1"/>
  <c r="R2" i="10"/>
  <c r="N2" i="10"/>
  <c r="M2" i="10"/>
  <c r="L2" i="10"/>
  <c r="K2" i="10"/>
  <c r="G2" i="10"/>
  <c r="J2" i="10" s="1"/>
  <c r="O2" i="10" s="1"/>
  <c r="AC7" i="9"/>
  <c r="AB7" i="9"/>
  <c r="AA7" i="9"/>
  <c r="AC6" i="9"/>
  <c r="AB6" i="9"/>
  <c r="AA6" i="9"/>
  <c r="AC5" i="9"/>
  <c r="AB5" i="9"/>
  <c r="AA5" i="9"/>
  <c r="AC4" i="9"/>
  <c r="AB4" i="9"/>
  <c r="AA4" i="9"/>
  <c r="AC3" i="9"/>
  <c r="AB3" i="9"/>
  <c r="AA3" i="9"/>
  <c r="AB2" i="9"/>
  <c r="AA2" i="9"/>
  <c r="AC2" i="9" s="1"/>
  <c r="D6" i="13" s="1"/>
  <c r="E6" i="13" s="1"/>
  <c r="V10" i="7"/>
  <c r="W10" i="7" s="1"/>
  <c r="W9" i="7"/>
  <c r="V9" i="7"/>
  <c r="V8" i="7"/>
  <c r="W8" i="7" s="1"/>
  <c r="V7" i="7"/>
  <c r="W7" i="7" s="1"/>
  <c r="W6" i="7"/>
  <c r="V6" i="7"/>
  <c r="W5" i="7"/>
  <c r="V5" i="7"/>
  <c r="V4" i="7"/>
  <c r="W4" i="7" s="1"/>
  <c r="V3" i="7"/>
  <c r="W3" i="7" s="1"/>
  <c r="V2" i="7"/>
  <c r="W2" i="7" s="1"/>
  <c r="D5" i="13" s="1"/>
  <c r="E5" i="13" s="1"/>
  <c r="U7" i="6"/>
  <c r="Q7" i="6"/>
  <c r="P7" i="6"/>
  <c r="K7" i="6"/>
  <c r="M7" i="6" s="1"/>
  <c r="J7" i="6"/>
  <c r="U6" i="6"/>
  <c r="Q6" i="6"/>
  <c r="P6" i="6"/>
  <c r="L6" i="6"/>
  <c r="U5" i="6"/>
  <c r="Q5" i="6"/>
  <c r="P5" i="6"/>
  <c r="U4" i="6"/>
  <c r="Q4" i="6"/>
  <c r="P4" i="6"/>
  <c r="U3" i="6"/>
  <c r="Q3" i="6"/>
  <c r="P3" i="6"/>
  <c r="U2" i="6"/>
  <c r="Q2" i="6"/>
  <c r="P2" i="6"/>
  <c r="O12" i="5"/>
  <c r="K12" i="5"/>
  <c r="O11" i="5"/>
  <c r="K11" i="5"/>
  <c r="O10" i="5"/>
  <c r="K10" i="5"/>
  <c r="O9" i="5"/>
  <c r="K9" i="5"/>
  <c r="O8" i="5"/>
  <c r="K8" i="5"/>
  <c r="J6" i="6" s="1"/>
  <c r="K6" i="6" s="1"/>
  <c r="M6" i="6" s="1"/>
  <c r="O7" i="5"/>
  <c r="K7" i="5"/>
  <c r="J5" i="6" s="1"/>
  <c r="K5" i="6" s="1"/>
  <c r="M5" i="6" s="1"/>
  <c r="O6" i="5"/>
  <c r="K6" i="5"/>
  <c r="O5" i="5"/>
  <c r="K5" i="5"/>
  <c r="O4" i="5"/>
  <c r="K4" i="5"/>
  <c r="J4" i="6" s="1"/>
  <c r="K4" i="6" s="1"/>
  <c r="M4" i="6" s="1"/>
  <c r="O3" i="5"/>
  <c r="K3" i="5"/>
  <c r="J3" i="6" s="1"/>
  <c r="K3" i="6" s="1"/>
  <c r="M3" i="6" s="1"/>
  <c r="O2" i="5"/>
  <c r="D4" i="13" s="1"/>
  <c r="E4" i="13" s="1"/>
  <c r="K2" i="5"/>
  <c r="J2" i="6" s="1"/>
  <c r="K2" i="6" s="1"/>
  <c r="M2" i="6" s="1"/>
  <c r="Q10" i="4"/>
  <c r="Q9" i="4"/>
  <c r="Q8" i="4"/>
  <c r="Q7" i="4"/>
  <c r="Q6" i="4"/>
  <c r="Q5" i="4"/>
  <c r="Q4" i="4"/>
  <c r="Q3" i="4"/>
  <c r="Q2" i="4"/>
  <c r="D2" i="13" s="1"/>
  <c r="E2" i="13" s="1"/>
  <c r="A6" i="1" s="1"/>
  <c r="G6" i="1"/>
  <c r="E6" i="1"/>
  <c r="C6" i="1"/>
  <c r="H8" i="10" l="1"/>
  <c r="N6" i="6"/>
  <c r="O6" i="6" s="1"/>
  <c r="H9" i="10"/>
  <c r="H6" i="10"/>
  <c r="H7" i="10"/>
  <c r="H5" i="10"/>
  <c r="N5" i="6"/>
  <c r="O5" i="6" s="1"/>
  <c r="O8" i="10"/>
  <c r="H10" i="10"/>
  <c r="N7" i="6"/>
  <c r="O7" i="6" s="1"/>
  <c r="N2" i="6"/>
  <c r="O2" i="6" s="1"/>
  <c r="H2" i="10"/>
  <c r="H3" i="10"/>
  <c r="N3" i="6"/>
  <c r="O3" i="6" s="1"/>
  <c r="N4" i="6"/>
  <c r="O4" i="6" s="1"/>
  <c r="H4" i="10"/>
  <c r="S2" i="10"/>
  <c r="J7" i="10"/>
  <c r="I10" i="10"/>
  <c r="S8" i="10"/>
  <c r="I2" i="10"/>
</calcChain>
</file>

<file path=xl/sharedStrings.xml><?xml version="1.0" encoding="utf-8"?>
<sst xmlns="http://schemas.openxmlformats.org/spreadsheetml/2006/main" count="1218" uniqueCount="548">
  <si>
    <t>Indonesia NCD model - public-health policy inputs</t>
  </si>
  <si>
    <t>Draft for review - public-health/intersectoral interventions parameterized only from NCD Countdown methods and PINandCosts0625 costs</t>
  </si>
  <si>
    <t>Readiness</t>
  </si>
  <si>
    <t>Policies</t>
  </si>
  <si>
    <t>Risk exposures</t>
  </si>
  <si>
    <t>Policy-cause links</t>
  </si>
  <si>
    <t>How to use the workbook</t>
  </si>
  <si>
    <t>1</t>
  </si>
  <si>
    <t>Enter Indonesia baseline risk exposure in Exposure_Targets (yellow cells).</t>
  </si>
  <si>
    <t>2</t>
  </si>
  <si>
    <t>Optionally override the recommended exposure reduction or target; otherwise the documented policy default is used.</t>
  </si>
  <si>
    <t>3</t>
  </si>
  <si>
    <t>Policy_Levers shows how taxes and component policies generate the recommended reduction.</t>
  </si>
  <si>
    <t>4</t>
  </si>
  <si>
    <t>Effects and exposure join through intervention_cause_key; costs join once through cost_join_key.</t>
  </si>
  <si>
    <t>5</t>
  </si>
  <si>
    <t>Resolve missing PAFs, transition reviews, cost adjustment, and other QA failures before model execution.</t>
  </si>
  <si>
    <t>Known review items retained explicitly</t>
  </si>
  <si>
    <t>Missing</t>
  </si>
  <si>
    <t>Indonesia baseline exposure for smoking, alcohol, sodium, and TFA</t>
  </si>
  <si>
    <t>Indonesia tobacco tax share and WHO TFA policy score</t>
  </si>
  <si>
    <t>Cause-specific tobacco and alcohol PAFs and cause expansion</t>
  </si>
  <si>
    <t>Review</t>
  </si>
  <si>
    <t>Tobacco/alcohol delayed mortality-effect curves</t>
  </si>
  <si>
    <t>Assign Countdown mortality effects to explicit model transitions</t>
  </si>
  <si>
    <t>Public-health unit costs require Indonesia and price-year adjustment</t>
  </si>
  <si>
    <t>Validate Indonesia sodium exposure, units, and current policy implementation</t>
  </si>
  <si>
    <t>Color legend: yellow = user input - light blue = formula/derived - green = valid - red/orange = missing or review</t>
  </si>
  <si>
    <t>parameter_id</t>
  </si>
  <si>
    <t>value</t>
  </si>
  <si>
    <t>unit</t>
  </si>
  <si>
    <t>base_case</t>
  </si>
  <si>
    <t>lower_bound</t>
  </si>
  <si>
    <t>upper_bound</t>
  </si>
  <si>
    <t>description</t>
  </si>
  <si>
    <t>source</t>
  </si>
  <si>
    <t>analysis_start_year</t>
  </si>
  <si>
    <t>year</t>
  </si>
  <si>
    <t>First modeled year</t>
  </si>
  <si>
    <t>Indonesia model scope</t>
  </si>
  <si>
    <t>analysis_end_year</t>
  </si>
  <si>
    <t>Last modeled year</t>
  </si>
  <si>
    <t>policy_start_year</t>
  </si>
  <si>
    <t>First implementation year</t>
  </si>
  <si>
    <t>Working Countdown scenario; editable</t>
  </si>
  <si>
    <t>exposure_target_year</t>
  </si>
  <si>
    <t>Year full exposure reduction is reached</t>
  </si>
  <si>
    <t>Working scenario; editable</t>
  </si>
  <si>
    <t>policy_cost_ramp_years</t>
  </si>
  <si>
    <t>years</t>
  </si>
  <si>
    <t>Years to full policy implementation cost</t>
  </si>
  <si>
    <t>NCD Countdown supplement p 34</t>
  </si>
  <si>
    <t>cost_discount_rate</t>
  </si>
  <si>
    <t>proportion/year</t>
  </si>
  <si>
    <t>Annual discount rate for costs</t>
  </si>
  <si>
    <t>Match clinical workbook</t>
  </si>
  <si>
    <t>health_discount_rate</t>
  </si>
  <si>
    <t>Annual discount rate for health outcomes</t>
  </si>
  <si>
    <t>reporting_price_year</t>
  </si>
  <si>
    <t>USD year</t>
  </si>
  <si>
    <t>Target reporting price year</t>
  </si>
  <si>
    <t>source_cost_price_year</t>
  </si>
  <si>
    <t>Price year in PINandCosts0625</t>
  </si>
  <si>
    <t>PINandCosts0625(1).csv</t>
  </si>
  <si>
    <t>currency</t>
  </si>
  <si>
    <t>USD</t>
  </si>
  <si>
    <t>Reporting currency</t>
  </si>
  <si>
    <t>Working assumption</t>
  </si>
  <si>
    <t>scale_up_shape</t>
  </si>
  <si>
    <t>linear</t>
  </si>
  <si>
    <t>text</t>
  </si>
  <si>
    <t>Full reduction is phased in evenly from start through target year</t>
  </si>
  <si>
    <t>economic_perspective</t>
  </si>
  <si>
    <t>health_system</t>
  </si>
  <si>
    <t>societal</t>
  </si>
  <si>
    <t>Economic evaluation perspective</t>
  </si>
  <si>
    <t>NCD Countdown costing perspective</t>
  </si>
  <si>
    <t>paf_inclusion_threshold</t>
  </si>
  <si>
    <t>proportion</t>
  </si>
  <si>
    <t>Minimum cause-specific PAF used by Countdown for tobacco/alcohol</t>
  </si>
  <si>
    <t>NCD Countdown supplement pp 31-32</t>
  </si>
  <si>
    <t>sodium_exposure_floor</t>
  </si>
  <si>
    <t>g sodium/day</t>
  </si>
  <si>
    <t>No additional benefit below this exposure</t>
  </si>
  <si>
    <t>NCD Countdown supplement p 33</t>
  </si>
  <si>
    <t>tfa_target_exposure</t>
  </si>
  <si>
    <t>% energy</t>
  </si>
  <si>
    <t>Target exposure under industrial trans-fat elimination</t>
  </si>
  <si>
    <t>NCD Countdown supplement pp 33-34</t>
  </si>
  <si>
    <t>constant_marginal_policy_cost</t>
  </si>
  <si>
    <t>0/1 flag</t>
  </si>
  <si>
    <t>Assume policy cost is proportional to implementation</t>
  </si>
  <si>
    <t>NCD Countdown limitation</t>
  </si>
  <si>
    <t>intervention_id</t>
  </si>
  <si>
    <t>intervention_name</t>
  </si>
  <si>
    <t>package_group</t>
  </si>
  <si>
    <t>definition</t>
  </si>
  <si>
    <t>risk_id</t>
  </si>
  <si>
    <t>risk_name</t>
  </si>
  <si>
    <t>exposure_measure</t>
  </si>
  <si>
    <t>exposure_unit</t>
  </si>
  <si>
    <t>cause_id</t>
  </si>
  <si>
    <t>cause_name</t>
  </si>
  <si>
    <t>model_name</t>
  </si>
  <si>
    <t>is_model_cause</t>
  </si>
  <si>
    <t>I_PH_TOBACCO_TAX</t>
  </si>
  <si>
    <t>Tobacco tax</t>
  </si>
  <si>
    <t>Tobacco</t>
  </si>
  <si>
    <t>Excise and other tobacco taxes targeting at least 75% of final retail price</t>
  </si>
  <si>
    <t>R_SMOKING</t>
  </si>
  <si>
    <t>Smoking</t>
  </si>
  <si>
    <t>Smoking prevalence</t>
  </si>
  <si>
    <t>C_ALL_SMOKING_PAF</t>
  </si>
  <si>
    <t>All modeled causes with smoking PAF &gt;= threshold</t>
  </si>
  <si>
    <t>Placeholder requiring cause expansion</t>
  </si>
  <si>
    <t>I_PH_ALCOHOL_TAX</t>
  </si>
  <si>
    <t>Alcohol tax</t>
  </si>
  <si>
    <t>Alcohol</t>
  </si>
  <si>
    <t>Excise tax producing a 25% total alcohol price increase</t>
  </si>
  <si>
    <t>R_ALCOHOL</t>
  </si>
  <si>
    <t>Alcohol use</t>
  </si>
  <si>
    <t>Alcohol consumption per adult</t>
  </si>
  <si>
    <t>litres pure alcohol/adult/year</t>
  </si>
  <si>
    <t>C_ALL_ALCOHOL_PAF</t>
  </si>
  <si>
    <t>All modeled causes with alcohol PAF &gt;= threshold</t>
  </si>
  <si>
    <t>I_PH_TOBACCO_POLICY</t>
  </si>
  <si>
    <t>Tobacco policy</t>
  </si>
  <si>
    <t>Clean-air law, mass media, and advertising bans</t>
  </si>
  <si>
    <t>R_SODIUM</t>
  </si>
  <si>
    <t>High sodium intake</t>
  </si>
  <si>
    <t>Mean sodium intake</t>
  </si>
  <si>
    <t>C_IHD</t>
  </si>
  <si>
    <t>Ischemic heart disease</t>
  </si>
  <si>
    <t>I_PH_ALCOHOL_POLICY</t>
  </si>
  <si>
    <t>Alcohol policy</t>
  </si>
  <si>
    <t>Alcohol advertising restrictions</t>
  </si>
  <si>
    <t>R_TFA</t>
  </si>
  <si>
    <t>Trans-fat intake</t>
  </si>
  <si>
    <t>Mean trans-fat intake</t>
  </si>
  <si>
    <t>C_IS</t>
  </si>
  <si>
    <t>Ischemic stroke</t>
  </si>
  <si>
    <t>I_PH_SALT_POLICY</t>
  </si>
  <si>
    <t>Salt policy</t>
  </si>
  <si>
    <t>Diet</t>
  </si>
  <si>
    <t>Reformulation, front-of-pack labelling, mass media, and enabling environments</t>
  </si>
  <si>
    <t>C_ICH</t>
  </si>
  <si>
    <t>Intracerebral hemorrhage</t>
  </si>
  <si>
    <t>I_PH_TFA_POLICY</t>
  </si>
  <si>
    <t>Trans fat policy</t>
  </si>
  <si>
    <t>Best-practice policy to eliminate industrial trans fat</t>
  </si>
  <si>
    <t>C_HHD</t>
  </si>
  <si>
    <t>Hypertensive heart disease</t>
  </si>
  <si>
    <t>C_SHARED</t>
  </si>
  <si>
    <t>Shared policy cost</t>
  </si>
  <si>
    <t>Not a disease model; count cost once</t>
  </si>
  <si>
    <t>intervention_cause_key</t>
  </si>
  <si>
    <t>effect_key</t>
  </si>
  <si>
    <t>exposure_key</t>
  </si>
  <si>
    <t>cost_join_key</t>
  </si>
  <si>
    <t>cost_scope</t>
  </si>
  <si>
    <t>transition_from</t>
  </si>
  <si>
    <t>transition_to</t>
  </si>
  <si>
    <t>include_flag</t>
  </si>
  <si>
    <t>requires_cause_expansion</t>
  </si>
  <si>
    <t>notes</t>
  </si>
  <si>
    <t>duplicate_count</t>
  </si>
  <si>
    <t>I_PH_TOBACCO_TAX__C_ALL_SMOKING_PAF</t>
  </si>
  <si>
    <t>All causes with smoking PAF &gt;=10%</t>
  </si>
  <si>
    <t>I_PH_TOBACCO_TAX__C_SHARED</t>
  </si>
  <si>
    <t>shared-count-once</t>
  </si>
  <si>
    <t>REVIEW</t>
  </si>
  <si>
    <t>cause_specific_death</t>
  </si>
  <si>
    <t>Expand to cause-specific PAF rows before model run</t>
  </si>
  <si>
    <t>I_PH_ALCOHOL_TAX__C_ALL_ALCOHOL_PAF</t>
  </si>
  <si>
    <t>All causes with alcohol PAF &gt;=10%</t>
  </si>
  <si>
    <t>I_PH_ALCOHOL_TAX__C_SHARED</t>
  </si>
  <si>
    <t>I_PH_TOBACCO_POLICY__C_ALL_SMOKING_PAF</t>
  </si>
  <si>
    <t>I_PH_TOBACCO_POLICY__C_SHARED</t>
  </si>
  <si>
    <t>I_PH_ALCOHOL_POLICY__C_ALL_ALCOHOL_PAF</t>
  </si>
  <si>
    <t>I_PH_ALCOHOL_POLICY__C_SHARED</t>
  </si>
  <si>
    <t>I_PH_SALT_POLICY__C_IHD</t>
  </si>
  <si>
    <t>I_PH_SALT_POLICY__C_SHARED</t>
  </si>
  <si>
    <t>Countdown estimates cause-specific mortality; assign the corresponding model transition during integration</t>
  </si>
  <si>
    <t>I_PH_SALT_POLICY__C_IS</t>
  </si>
  <si>
    <t>I_PH_SALT_POLICY__C_ICH</t>
  </si>
  <si>
    <t>I_PH_SALT_POLICY__C_HHD</t>
  </si>
  <si>
    <t>I_PH_TFA_POLICY__C_IHD</t>
  </si>
  <si>
    <t>I_PH_TFA_POLICY__C_SHARED</t>
  </si>
  <si>
    <t>Countdown estimates TFA-attributable IHD mortality; assign the corresponding model transition during integration</t>
  </si>
  <si>
    <t>lever_id</t>
  </si>
  <si>
    <t>component</t>
  </si>
  <si>
    <t>lever_method</t>
  </si>
  <si>
    <t>baseline_value</t>
  </si>
  <si>
    <t>target_value</t>
  </si>
  <si>
    <t>lever_unit</t>
  </si>
  <si>
    <t>effect_parameter</t>
  </si>
  <si>
    <t>effect_parameter_unit</t>
  </si>
  <si>
    <t>estimated_risk_reduction</t>
  </si>
  <si>
    <t>review_status</t>
  </si>
  <si>
    <t>qa_status</t>
  </si>
  <si>
    <t>PL_TOB_TAX_SHARE</t>
  </si>
  <si>
    <t>Tax share of final retail price</t>
  </si>
  <si>
    <t>tax_share_to_price_elasticity</t>
  </si>
  <si>
    <t>price elasticity</t>
  </si>
  <si>
    <t>NCD Countdown supplement p 32</t>
  </si>
  <si>
    <t>Enter Indonesia current tax share; target is the MPOWER 75% benchmark</t>
  </si>
  <si>
    <t>PL_ALC_PRICE</t>
  </si>
  <si>
    <t>Total price increase</t>
  </si>
  <si>
    <t>price_elasticity</t>
  </si>
  <si>
    <t>relative price change</t>
  </si>
  <si>
    <t>NCD Countdown supplement p 31</t>
  </si>
  <si>
    <t>Provisional</t>
  </si>
  <si>
    <t>Produces a 12.25% consumption reduction under constant elasticity</t>
  </si>
  <si>
    <t>PL_TOB_CLEAN_AIR</t>
  </si>
  <si>
    <t>Smoking ban / clean-air law</t>
  </si>
  <si>
    <t>coverage_gap_multiplicative</t>
  </si>
  <si>
    <t>implementation proportion</t>
  </si>
  <si>
    <t>relative exposure reduction</t>
  </si>
  <si>
    <t>Replace provisional zero with Indonesia implementation level</t>
  </si>
  <si>
    <t>PL_TOB_MEDIA</t>
  </si>
  <si>
    <t>Highly publicised mass media</t>
  </si>
  <si>
    <t>PL_TOB_AD_BAN</t>
  </si>
  <si>
    <t>Advertising bans</t>
  </si>
  <si>
    <t>PL_ALC_AD_BAN</t>
  </si>
  <si>
    <t>Alcohol advertising ban</t>
  </si>
  <si>
    <t>PL_SALT_REFORM</t>
  </si>
  <si>
    <t>Mandatory product reformulation</t>
  </si>
  <si>
    <t>relative sodium reduction</t>
  </si>
  <si>
    <t>Voluntary reformulation alternative is 15%</t>
  </si>
  <si>
    <t>PL_SALT_FOPL</t>
  </si>
  <si>
    <t>Front-of-pack labelling</t>
  </si>
  <si>
    <t>PL_SALT_MEDIA</t>
  </si>
  <si>
    <t>Mass-media campaign</t>
  </si>
  <si>
    <t>PL_SALT_ENV</t>
  </si>
  <si>
    <t>Supportive public-institution environment</t>
  </si>
  <si>
    <t>PL_TFA_SCORE</t>
  </si>
  <si>
    <t>WHO TFA policy score</t>
  </si>
  <si>
    <t>score_lookup</t>
  </si>
  <si>
    <t>score 0-4</t>
  </si>
  <si>
    <t>TFA-attributable IHD death reduction</t>
  </si>
  <si>
    <t>Enter current score: 0-2 =&gt; 100%, 3 =&gt; 29.7%, 4 =&gt; 0 additional effect</t>
  </si>
  <si>
    <t>exposure_input_id</t>
  </si>
  <si>
    <t>risk_exposure_measure</t>
  </si>
  <si>
    <t>baseline_exposure</t>
  </si>
  <si>
    <t>reduction_method</t>
  </si>
  <si>
    <t>desired_reduction_override</t>
  </si>
  <si>
    <t>recommended_reduction_or_target</t>
  </si>
  <si>
    <t>applied_reduction_or_target</t>
  </si>
  <si>
    <t>exposure_floor</t>
  </si>
  <si>
    <t>target_exposure</t>
  </si>
  <si>
    <t>absolute_reduction</t>
  </si>
  <si>
    <t>relative_reduction</t>
  </si>
  <si>
    <t>start_year</t>
  </si>
  <si>
    <t>target_year</t>
  </si>
  <si>
    <t>EXP_TOB_TAX</t>
  </si>
  <si>
    <t>relative</t>
  </si>
  <si>
    <t>User input + Countdown tax method</t>
  </si>
  <si>
    <t>Missing input</t>
  </si>
  <si>
    <t>EXP_ALC_TAX</t>
  </si>
  <si>
    <t>User input + Countdown price elasticity</t>
  </si>
  <si>
    <t>EXP_TOB_POLICY</t>
  </si>
  <si>
    <t>User input + Countdown SimSmoke effects</t>
  </si>
  <si>
    <t>EXP_ALC_POLICY</t>
  </si>
  <si>
    <t>User input + Countdown Sheffield-model effect</t>
  </si>
  <si>
    <t>EXP_SALT_POLICY</t>
  </si>
  <si>
    <t>User input + NCD Countdown supplement p 33</t>
  </si>
  <si>
    <t>EXP_TFA_POLICY</t>
  </si>
  <si>
    <t>target</t>
  </si>
  <si>
    <t>User input + NCD Countdown supplement pp 33-34</t>
  </si>
  <si>
    <t>effect_id</t>
  </si>
  <si>
    <t>effect_model</t>
  </si>
  <si>
    <t>response_key</t>
  </si>
  <si>
    <t>response_parameter</t>
  </si>
  <si>
    <t>response_value</t>
  </si>
  <si>
    <t>response_unit</t>
  </si>
  <si>
    <t>paf_value</t>
  </si>
  <si>
    <t>paf_required_flag</t>
  </si>
  <si>
    <t>paf_threshold</t>
  </si>
  <si>
    <t>lag_model</t>
  </si>
  <si>
    <t>lag_parameter</t>
  </si>
  <si>
    <t>source_file</t>
  </si>
  <si>
    <t>source_location</t>
  </si>
  <si>
    <t>map_match_count</t>
  </si>
  <si>
    <t>EFF_01</t>
  </si>
  <si>
    <t>exposure_reduction_x_cause_PAF_x_lag</t>
  </si>
  <si>
    <t>PAF_REQUIRED</t>
  </si>
  <si>
    <t>cause_specific_PAF</t>
  </si>
  <si>
    <t>delayed_curve_required</t>
  </si>
  <si>
    <t>Watkins 2022 - Supplement to NCD Countdown 2030 efficient pathways and strategic.pdf</t>
  </si>
  <si>
    <t>pp 32 and 45</t>
  </si>
  <si>
    <t>Expand placeholder cause and enter Indonesia cause-specific PAF and lag curve</t>
  </si>
  <si>
    <t>EFF_02</t>
  </si>
  <si>
    <t>pp 31 and 45</t>
  </si>
  <si>
    <t>EFF_03</t>
  </si>
  <si>
    <t>EFF_04</t>
  </si>
  <si>
    <t>EFF_05</t>
  </si>
  <si>
    <t>direct_loglinear_rr_per_unit_reduction</t>
  </si>
  <si>
    <t>RR_SODIUM_1G</t>
  </si>
  <si>
    <t>RR per 1 g sodium</t>
  </si>
  <si>
    <t>relative risk</t>
  </si>
  <si>
    <t>immediate_after_full_implementation</t>
  </si>
  <si>
    <t>p 33</t>
  </si>
  <si>
    <t>Countdown cause-specific mortality effect; assign a model transition during integration</t>
  </si>
  <si>
    <t>EFF_06</t>
  </si>
  <si>
    <t>EFF_07</t>
  </si>
  <si>
    <t>EFF_08</t>
  </si>
  <si>
    <t>EFF_09</t>
  </si>
  <si>
    <t>tfa_attributable_ihd_PAF_x_policy_score</t>
  </si>
  <si>
    <t>TFA_SCORE_EFFECT</t>
  </si>
  <si>
    <t>policy-score effect on TFA-attributable IHD deaths</t>
  </si>
  <si>
    <t>pp 33-34</t>
  </si>
  <si>
    <t>Enter Indonesia TFA-attributable IHD PAF and WHO policy score; assign a model transition during integration</t>
  </si>
  <si>
    <t>selection_status</t>
  </si>
  <si>
    <t>response_name</t>
  </si>
  <si>
    <t>age_start</t>
  </si>
  <si>
    <t>age_stop</t>
  </si>
  <si>
    <t>sex</t>
  </si>
  <si>
    <t>cause_scope</t>
  </si>
  <si>
    <t>selected_for_base_case</t>
  </si>
  <si>
    <t>Selected</t>
  </si>
  <si>
    <t>Direct sodium-CVD mortality response</t>
  </si>
  <si>
    <t>Both</t>
  </si>
  <si>
    <t>All linked CVD causes</t>
  </si>
  <si>
    <t>RR per additional 1 g sodium/day</t>
  </si>
  <si>
    <t>Simple Countdown pathway</t>
  </si>
  <si>
    <t>Reference</t>
  </si>
  <si>
    <t>WHO policy score 0</t>
  </si>
  <si>
    <t>TFA-attributable ischemic heart disease deaths</t>
  </si>
  <si>
    <t>proportion reduced</t>
  </si>
  <si>
    <t>Score 0 implies 100% additional reduction</t>
  </si>
  <si>
    <t>WHO policy score 1</t>
  </si>
  <si>
    <t>Score 1 implies 100% additional reduction</t>
  </si>
  <si>
    <t>WHO policy score 2</t>
  </si>
  <si>
    <t>Score 2 implies 100% additional reduction</t>
  </si>
  <si>
    <t>WHO policy score 3</t>
  </si>
  <si>
    <t>Score 3 implies 29.7% additional reduction</t>
  </si>
  <si>
    <t>WHO policy score 4</t>
  </si>
  <si>
    <t>Score 4 implies no additional modeled reduction</t>
  </si>
  <si>
    <t>cost_record_id</t>
  </si>
  <si>
    <t>cost_component_key</t>
  </si>
  <si>
    <t>cost_option</t>
  </si>
  <si>
    <t>cost_component</t>
  </si>
  <si>
    <t>population_in_need_measure</t>
  </si>
  <si>
    <t>population_in_need_fraction</t>
  </si>
  <si>
    <t>cost_unit</t>
  </si>
  <si>
    <t>frequency_per_year</t>
  </si>
  <si>
    <t>platform</t>
  </si>
  <si>
    <t>unit_cost_usd</t>
  </si>
  <si>
    <t>price_year</t>
  </si>
  <si>
    <t>indonesia_adjusted_flag</t>
  </si>
  <si>
    <t>source_country</t>
  </si>
  <si>
    <t>source_row</t>
  </si>
  <si>
    <t>selection_count</t>
  </si>
  <si>
    <t>COST_PH_TOB_TAX</t>
  </si>
  <si>
    <t>CC_PH_TOB_TAX</t>
  </si>
  <si>
    <t>Base</t>
  </si>
  <si>
    <t>Annual intersectoral policy implementation</t>
  </si>
  <si>
    <t>population</t>
  </si>
  <si>
    <t>USD per capita-year</t>
  </si>
  <si>
    <t>Intersectoral</t>
  </si>
  <si>
    <t>China</t>
  </si>
  <si>
    <t>row 53</t>
  </si>
  <si>
    <t>WHO NCD Costing Tool value; requires Indonesia/price-year adjustment</t>
  </si>
  <si>
    <t>COST_PH_ALC_TAX</t>
  </si>
  <si>
    <t>CC_PH_ALC_TAX</t>
  </si>
  <si>
    <t>row 54</t>
  </si>
  <si>
    <t>COST_PH_TOB_POLICY</t>
  </si>
  <si>
    <t>CC_PH_TOB_POLICY</t>
  </si>
  <si>
    <t>row 55</t>
  </si>
  <si>
    <t>COST_PH_ALC_POLICY</t>
  </si>
  <si>
    <t>CC_PH_ALC_POLICY</t>
  </si>
  <si>
    <t>row 56</t>
  </si>
  <si>
    <t>COST_PH_SALT</t>
  </si>
  <si>
    <t>CC_PH_SALT</t>
  </si>
  <si>
    <t>row 57</t>
  </si>
  <si>
    <t>COST_PH_TFA</t>
  </si>
  <si>
    <t>CC_PH_TFA</t>
  </si>
  <si>
    <t>row 58</t>
  </si>
  <si>
    <t>illustrative_full_effect</t>
  </si>
  <si>
    <t>selected_policy_cost_usd_per_capita</t>
  </si>
  <si>
    <t>method_id</t>
  </si>
  <si>
    <t>concept</t>
  </si>
  <si>
    <t>formula_or_rule</t>
  </si>
  <si>
    <t>implemented_in</t>
  </si>
  <si>
    <t>linkage_key</t>
  </si>
  <si>
    <t>Indonesia interpretation</t>
  </si>
  <si>
    <t>M01</t>
  </si>
  <si>
    <t>Exposure target - relative</t>
  </si>
  <si>
    <t>target = max(floor, baseline * (1 - relative_reduction))</t>
  </si>
  <si>
    <t>Exposure_Targets</t>
  </si>
  <si>
    <t>Default for tobacco, alcohol, and sodium</t>
  </si>
  <si>
    <t>M02</t>
  </si>
  <si>
    <t>Exposure target - absolute</t>
  </si>
  <si>
    <t>target = max(floor, baseline - absolute_reduction)</t>
  </si>
  <si>
    <t>Optional user-selected method</t>
  </si>
  <si>
    <t>M03</t>
  </si>
  <si>
    <t>Exposure target - level</t>
  </si>
  <si>
    <t>target = max(floor, target_level)</t>
  </si>
  <si>
    <t>Default for TFA elimination</t>
  </si>
  <si>
    <t>M04</t>
  </si>
  <si>
    <t>Linear policy scale-up</t>
  </si>
  <si>
    <t>implementation_fraction_t rises linearly to 1 over approximately 3 years</t>
  </si>
  <si>
    <t>Downstream model</t>
  </si>
  <si>
    <t>intervention_id + year</t>
  </si>
  <si>
    <t>Countdown assumes costs and effects increase linearly during implementation</t>
  </si>
  <si>
    <t>M05</t>
  </si>
  <si>
    <t>risk_reduction = abs(price_elasticity) * relative_price_increase</t>
  </si>
  <si>
    <t>Policy_Levers</t>
  </si>
  <si>
    <t>25% price increase and elasticity -0.49 imply 12.25% consumption reduction</t>
  </si>
  <si>
    <t>M06</t>
  </si>
  <si>
    <t>price_change = (1-current_tax_share)/(1-target_tax_share)-1; reduction = abs(elasticity)*price_change</t>
  </si>
  <si>
    <t>Simplified transparent approximation; target tax share is 75%</t>
  </si>
  <si>
    <t>M07</t>
  </si>
  <si>
    <t>Policy package</t>
  </si>
  <si>
    <t>R = 1 - PRODUCT_k(1 - implementation_gap_k * component_effect_k)</t>
  </si>
  <si>
    <t>Used for tobacco and sodium component packages</t>
  </si>
  <si>
    <t>M08</t>
  </si>
  <si>
    <t>Tobacco/alcohol mortality</t>
  </si>
  <si>
    <t>full_effect = relative_exposure_reduction * cause_specific_PAF * lag_factor_t</t>
  </si>
  <si>
    <t>Effect_Parameters</t>
  </si>
  <si>
    <t>Only causes with PAF &gt;=10% are included; PAF and lag are required inputs</t>
  </si>
  <si>
    <t>M09</t>
  </si>
  <si>
    <t>Sodium direct response</t>
  </si>
  <si>
    <t>full_effect = 1 - 1/(1.06^absolute_reduction_g)</t>
  </si>
  <si>
    <t>Model_Input_View</t>
  </si>
  <si>
    <t>Countdown reports 6% higher CVD risk per additional 1 g sodium</t>
  </si>
  <si>
    <t>M10</t>
  </si>
  <si>
    <t>TFA policy-score effect</t>
  </si>
  <si>
    <t>score 0-2 = 1.000; score 3 = 0.297; score 4 = 0</t>
  </si>
  <si>
    <t>Effect applies to the TFA-attributable share of IHD deaths</t>
  </si>
  <si>
    <t>M11</t>
  </si>
  <si>
    <t>TFA mortality</t>
  </si>
  <si>
    <t>full_effect = TFA_attributable_IHD_PAF * policy_score_effect</t>
  </si>
  <si>
    <t>Enter the Indonesia TFA-attributable IHD PAF in Effect_Parameters</t>
  </si>
  <si>
    <t>M12</t>
  </si>
  <si>
    <t>Annual policy cost</t>
  </si>
  <si>
    <t>cost_t = unit_cost_per_capita * population_t * implementation_fraction_t</t>
  </si>
  <si>
    <t>Cost_Components</t>
  </si>
  <si>
    <t>Count shared policy cost once per intervention</t>
  </si>
  <si>
    <t>M13</t>
  </si>
  <si>
    <t>Incremental policy cost</t>
  </si>
  <si>
    <t>incremental_cost_t = scenario_cost_t - baseline_cost_t</t>
  </si>
  <si>
    <t>Economic evaluation</t>
  </si>
  <si>
    <t>Assumes constant marginal costs unless changed</t>
  </si>
  <si>
    <t>M14</t>
  </si>
  <si>
    <t>Present value</t>
  </si>
  <si>
    <t>PV_t = value_t / (1 + discount_rate)^(t - start_year)</t>
  </si>
  <si>
    <t>Assumptions.parameter_id</t>
  </si>
  <si>
    <t>Uses editable Indonesia discount rates</t>
  </si>
  <si>
    <t>Key reference values</t>
  </si>
  <si>
    <t>Value</t>
  </si>
  <si>
    <t>Unit</t>
  </si>
  <si>
    <t>Source</t>
  </si>
  <si>
    <t>Status</t>
  </si>
  <si>
    <t>Note</t>
  </si>
  <si>
    <t>Alcohol tax consumption reduction</t>
  </si>
  <si>
    <t>relative alcohol-consumption reduction</t>
  </si>
  <si>
    <t>Countdown supplement p 31</t>
  </si>
  <si>
    <t>25% price increase multiplied by elasticity -0.49</t>
  </si>
  <si>
    <t>Tobacco policy full-package reduction</t>
  </si>
  <si>
    <t>relative smoking reduction</t>
  </si>
  <si>
    <t>Countdown supplement p 32</t>
  </si>
  <si>
    <t>Assumes zero baseline implementation</t>
  </si>
  <si>
    <t>Sodium policy full-package reduction</t>
  </si>
  <si>
    <t>Countdown supplement p 33</t>
  </si>
  <si>
    <t>Recommended</t>
  </si>
  <si>
    <t>Mandatory reformulation; multiplicative combination</t>
  </si>
  <si>
    <t>TFA less-restrictive-policy effect</t>
  </si>
  <si>
    <t>Countdown supplement pp 33-34</t>
  </si>
  <si>
    <t>Score 3</t>
  </si>
  <si>
    <t>Policy cost/effect ramp</t>
  </si>
  <si>
    <t>Countdown supplement p 34</t>
  </si>
  <si>
    <t>Indonesia exposure target year remains editable</t>
  </si>
  <si>
    <t>item</t>
  </si>
  <si>
    <t>decision</t>
  </si>
  <si>
    <t>reason</t>
  </si>
  <si>
    <t>domain</t>
  </si>
  <si>
    <t>use</t>
  </si>
  <si>
    <t>location</t>
  </si>
  <si>
    <t>Include</t>
  </si>
  <si>
    <t>Parameterized as tax share -&gt; price -&gt; smoking reduction</t>
  </si>
  <si>
    <t>Public health</t>
  </si>
  <si>
    <t>Annual per-capita policy costs</t>
  </si>
  <si>
    <t>rows 53-58</t>
  </si>
  <si>
    <t>Values are 2017 USD from China and require adjustment</t>
  </si>
  <si>
    <t>Parameterized as 25% price increase and elasticity</t>
  </si>
  <si>
    <t>Watkins 2022 - NCD Countdown 2030 efficient pathways and strategic.pdf</t>
  </si>
  <si>
    <t>Intervention scope and costing perspective</t>
  </si>
  <si>
    <t>Table 1 and methods</t>
  </si>
  <si>
    <t>Main NCD Countdown paper</t>
  </si>
  <si>
    <t>Three component policies combined multiplicatively</t>
  </si>
  <si>
    <t>Tax, policy, exposure-response, lag, cost, and scale-up methods</t>
  </si>
  <si>
    <t>PDF pp 32-35; printed pp 31-34</t>
  </si>
  <si>
    <t>Primary public-health methods source</t>
  </si>
  <si>
    <t>Advertising-ban effect with implementation gap</t>
  </si>
  <si>
    <t>https://doi.org/10.1016/S0140-6736(21)02347-3</t>
  </si>
  <si>
    <t>Citation</t>
  </si>
  <si>
    <t>Lancet 2022</t>
  </si>
  <si>
    <t>NCD Countdown paper DOI</t>
  </si>
  <si>
    <t>Countdown direct sodium-CVD mortality response</t>
  </si>
  <si>
    <t>https://www.who.int/ncds/management/b_NCD_CostingTool_2012.xls</t>
  </si>
  <si>
    <t>Original public-health costing modules</t>
  </si>
  <si>
    <t>WHO NCD Costing Tool</t>
  </si>
  <si>
    <t>Source cited by Countdown supplement</t>
  </si>
  <si>
    <t>Countdown TFA-attributable IHD PAF multiplied by WHO policy-score effect</t>
  </si>
  <si>
    <t>Detailed tobacco/alcohol cause models</t>
  </si>
  <si>
    <t>Required next</t>
  </si>
  <si>
    <t>Expand placeholder links using Indonesia PAFs &gt;=10%</t>
  </si>
  <si>
    <t>Model integration</t>
  </si>
  <si>
    <t>Revenue effects of excise taxes</t>
  </si>
  <si>
    <t>Defer</t>
  </si>
  <si>
    <t>Workbook currently represents implementation costs, not tax revenue</t>
  </si>
  <si>
    <t>check_id</t>
  </si>
  <si>
    <t>check</t>
  </si>
  <si>
    <t>expected</t>
  </si>
  <si>
    <t>actual</t>
  </si>
  <si>
    <t>status</t>
  </si>
  <si>
    <t>interpretation</t>
  </si>
  <si>
    <t>QA01</t>
  </si>
  <si>
    <t>Duplicate intervention-cause keys</t>
  </si>
  <si>
    <t>Each link key must appear once</t>
  </si>
  <si>
    <t>QA02</t>
  </si>
  <si>
    <t>Exposure rows with missing or bad inputs</t>
  </si>
  <si>
    <t>Indonesia baseline exposures are required</t>
  </si>
  <si>
    <t>QA03</t>
  </si>
  <si>
    <t>Policy lever rows with missing or bad inputs</t>
  </si>
  <si>
    <t>Tobacco tax share and TFA score remain missing</t>
  </si>
  <si>
    <t>QA04</t>
  </si>
  <si>
    <t>Effect rows requiring review</t>
  </si>
  <si>
    <t>Missing PAFs and unresolved mortality-transition placement are explicit failures</t>
  </si>
  <si>
    <t>QA05</t>
  </si>
  <si>
    <t>Cost rows not ready for Indonesia</t>
  </si>
  <si>
    <t>All six source unit costs require adjustment</t>
  </si>
  <si>
    <t>QA06</t>
  </si>
  <si>
    <t>Interventions without exactly one exposure row</t>
  </si>
  <si>
    <t>Six interventions must map to six exposure inputs</t>
  </si>
  <si>
    <t>QA07</t>
  </si>
  <si>
    <t>Links without exactly one effect row</t>
  </si>
  <si>
    <t>Nine links must map to nine effect rows</t>
  </si>
  <si>
    <t>QA08</t>
  </si>
  <si>
    <t>Links requiring cause expansion</t>
  </si>
  <si>
    <t>Tobacco/alcohol placeholders must be expanded</t>
  </si>
  <si>
    <t>QA09</t>
  </si>
  <si>
    <t>Links with unresolved transition_from</t>
  </si>
  <si>
    <t>Countdown mortality effects require explicit model-transition placement</t>
  </si>
  <si>
    <t>QA10</t>
  </si>
  <si>
    <t>Effect rows missing a source</t>
  </si>
  <si>
    <t>Each effect row must cite a Countdown source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</si>
</sst>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0.000"/>
    <numFmt numFmtId="167" formatCode="&quot;$&quot;#,##0.0000"/>
  </numFmts>
  <fonts count="11">
    <font>
      <sz val="11"/>
      <name val="Carlito"/>
    </font>
    <font>
      <b/>
      <sz val="20"/>
      <color rgb="FFFFFFFF"/>
      <name val="Carlito"/>
    </font>
    <font>
      <i/>
      <sz val="10"/>
      <color rgb="FF1F1F1F"/>
      <name val="Carlito"/>
    </font>
    <font>
      <b/>
      <sz val="10"/>
      <color rgb="FFFFFFFF"/>
      <name val="Carlito"/>
    </font>
    <font>
      <b/>
      <sz val="16"/>
      <color rgb="FF1F4E78"/>
      <name val="Carlito"/>
    </font>
    <font>
      <b/>
      <sz val="11"/>
      <color rgb="FFFFFFFF"/>
      <name val="Carlito"/>
    </font>
    <font>
      <sz val="10"/>
      <name val="Carlito"/>
    </font>
    <font>
      <b/>
      <sz val="11"/>
      <color rgb="FF9C5700"/>
      <name val="Carlito"/>
    </font>
    <font>
      <i/>
      <sz val="9"/>
      <name val="Carlito"/>
    </font>
    <font>
      <sz val="9"/>
      <color rgb="FF1F1F1F"/>
      <name val="Carlito"/>
    </font>
    <font>
      <sz val="9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0F6B78"/>
      </patternFill>
    </fill>
    <fill>
      <patternFill patternType="solid">
        <fgColor rgb="FFF3F6F8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AF3F8"/>
      </patternFill>
    </fill>
  </fills>
  <borders count="17">
    <border>
      <left/>
      <right/>
      <top/>
      <bottom/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5" fillId="4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/>
    </xf>
    <xf numFmtId="0" fontId="3" fillId="2" borderId="13" xfId="0" applyFont="1" applyFill="1" applyBorder="1" applyAlignment="1">
      <alignment vertical="center" wrapText="1"/>
    </xf>
    <xf numFmtId="0" fontId="3" fillId="2" borderId="14" xfId="0" applyFont="1" applyFill="1" applyBorder="1" applyAlignment="1">
      <alignment vertical="center" wrapText="1"/>
    </xf>
    <xf numFmtId="0" fontId="3" fillId="2" borderId="15" xfId="0" applyFont="1" applyFill="1" applyBorder="1" applyAlignment="1">
      <alignment vertical="center" wrapText="1"/>
    </xf>
    <xf numFmtId="0" fontId="9" fillId="0" borderId="11" xfId="0" applyFont="1" applyBorder="1" applyAlignment="1">
      <alignment vertical="top" wrapText="1"/>
    </xf>
    <xf numFmtId="0" fontId="9" fillId="0" borderId="16" xfId="0" applyFont="1" applyBorder="1" applyAlignment="1">
      <alignment vertical="top" wrapText="1"/>
    </xf>
    <xf numFmtId="0" fontId="9" fillId="0" borderId="6" xfId="0" applyFont="1" applyBorder="1" applyAlignment="1">
      <alignment vertical="top" wrapText="1"/>
    </xf>
    <xf numFmtId="0" fontId="9" fillId="7" borderId="11" xfId="0" applyFont="1" applyFill="1" applyBorder="1" applyAlignment="1">
      <alignment vertical="top" wrapText="1"/>
    </xf>
    <xf numFmtId="0" fontId="9" fillId="7" borderId="16" xfId="0" applyFont="1" applyFill="1" applyBorder="1" applyAlignment="1">
      <alignment vertical="top" wrapText="1"/>
    </xf>
    <xf numFmtId="0" fontId="9" fillId="7" borderId="6" xfId="0" applyFont="1" applyFill="1" applyBorder="1" applyAlignment="1">
      <alignment vertical="top" wrapText="1"/>
    </xf>
    <xf numFmtId="164" fontId="9" fillId="7" borderId="16" xfId="0" applyNumberFormat="1" applyFont="1" applyFill="1" applyBorder="1" applyAlignment="1">
      <alignment vertical="top" wrapText="1"/>
    </xf>
    <xf numFmtId="164" fontId="9" fillId="0" borderId="16" xfId="0" applyNumberFormat="1" applyFont="1" applyBorder="1" applyAlignment="1">
      <alignment vertical="top" wrapText="1"/>
    </xf>
    <xf numFmtId="0" fontId="9" fillId="7" borderId="11" xfId="0" applyFont="1" applyFill="1" applyBorder="1" applyAlignment="1">
      <alignment horizontal="right" vertical="top" wrapText="1"/>
    </xf>
    <xf numFmtId="0" fontId="9" fillId="0" borderId="11" xfId="0" applyFont="1" applyBorder="1" applyAlignment="1">
      <alignment horizontal="right" vertical="top" wrapText="1"/>
    </xf>
    <xf numFmtId="0" fontId="9" fillId="7" borderId="16" xfId="0" applyFont="1" applyFill="1" applyBorder="1" applyAlignment="1">
      <alignment horizontal="right" vertical="top" wrapText="1"/>
    </xf>
    <xf numFmtId="0" fontId="9" fillId="0" borderId="16" xfId="0" applyFont="1" applyBorder="1" applyAlignment="1">
      <alignment horizontal="right" vertical="top" wrapText="1"/>
    </xf>
    <xf numFmtId="164" fontId="9" fillId="7" borderId="16" xfId="0" applyNumberFormat="1" applyFont="1" applyFill="1" applyBorder="1" applyAlignment="1">
      <alignment horizontal="right" vertical="top" wrapText="1"/>
    </xf>
    <xf numFmtId="164" fontId="9" fillId="0" borderId="16" xfId="0" applyNumberFormat="1" applyFont="1" applyBorder="1" applyAlignment="1">
      <alignment horizontal="right" vertical="top" wrapText="1"/>
    </xf>
    <xf numFmtId="0" fontId="9" fillId="7" borderId="6" xfId="0" applyFont="1" applyFill="1" applyBorder="1" applyAlignment="1">
      <alignment horizontal="right" vertical="top" wrapText="1"/>
    </xf>
    <xf numFmtId="0" fontId="9" fillId="0" borderId="6" xfId="0" applyFont="1" applyBorder="1" applyAlignment="1">
      <alignment horizontal="right" vertical="top" wrapText="1"/>
    </xf>
    <xf numFmtId="0" fontId="5" fillId="2" borderId="0" xfId="0" applyFont="1" applyFill="1" applyAlignment="1">
      <alignment wrapText="1"/>
    </xf>
    <xf numFmtId="0" fontId="10" fillId="0" borderId="0" xfId="0" applyFont="1" applyAlignment="1">
      <alignment vertical="top" wrapText="1"/>
    </xf>
    <xf numFmtId="0" fontId="9" fillId="9" borderId="11" xfId="0" applyFont="1" applyFill="1" applyBorder="1" applyAlignment="1">
      <alignment vertical="top" wrapText="1"/>
    </xf>
    <xf numFmtId="0" fontId="9" fillId="9" borderId="16" xfId="0" applyFont="1" applyFill="1" applyBorder="1" applyAlignment="1">
      <alignment vertical="top" wrapText="1"/>
    </xf>
    <xf numFmtId="0" fontId="9" fillId="9" borderId="6" xfId="0" applyFont="1" applyFill="1" applyBorder="1" applyAlignment="1">
      <alignment vertical="top" wrapText="1"/>
    </xf>
    <xf numFmtId="164" fontId="9" fillId="7" borderId="11" xfId="0" applyNumberFormat="1" applyFont="1" applyFill="1" applyBorder="1" applyAlignment="1">
      <alignment vertical="top" wrapText="1"/>
    </xf>
    <xf numFmtId="165" fontId="9" fillId="7" borderId="6" xfId="0" applyNumberFormat="1" applyFont="1" applyFill="1" applyBorder="1" applyAlignment="1">
      <alignment vertical="top" wrapText="1"/>
    </xf>
    <xf numFmtId="164" fontId="9" fillId="0" borderId="11" xfId="0" applyNumberFormat="1" applyFont="1" applyBorder="1" applyAlignment="1">
      <alignment vertical="top" wrapText="1"/>
    </xf>
    <xf numFmtId="164" fontId="9" fillId="9" borderId="11" xfId="0" applyNumberFormat="1" applyFont="1" applyFill="1" applyBorder="1" applyAlignment="1">
      <alignment vertical="top" wrapText="1"/>
    </xf>
    <xf numFmtId="164" fontId="9" fillId="9" borderId="16" xfId="0" applyNumberFormat="1" applyFont="1" applyFill="1" applyBorder="1" applyAlignment="1">
      <alignment vertical="top" wrapText="1"/>
    </xf>
    <xf numFmtId="164" fontId="9" fillId="0" borderId="6" xfId="0" applyNumberFormat="1" applyFont="1" applyBorder="1" applyAlignment="1">
      <alignment vertical="top" wrapText="1"/>
    </xf>
    <xf numFmtId="164" fontId="9" fillId="9" borderId="6" xfId="0" applyNumberFormat="1" applyFont="1" applyFill="1" applyBorder="1" applyAlignment="1">
      <alignment vertical="top" wrapText="1"/>
    </xf>
    <xf numFmtId="166" fontId="9" fillId="7" borderId="11" xfId="0" applyNumberFormat="1" applyFont="1" applyFill="1" applyBorder="1" applyAlignment="1">
      <alignment vertical="top" wrapText="1"/>
    </xf>
    <xf numFmtId="166" fontId="9" fillId="7" borderId="16" xfId="0" applyNumberFormat="1" applyFont="1" applyFill="1" applyBorder="1" applyAlignment="1">
      <alignment vertical="top" wrapText="1"/>
    </xf>
    <xf numFmtId="166" fontId="9" fillId="7" borderId="6" xfId="0" applyNumberFormat="1" applyFont="1" applyFill="1" applyBorder="1" applyAlignment="1">
      <alignment vertical="top" wrapText="1"/>
    </xf>
    <xf numFmtId="164" fontId="9" fillId="7" borderId="6" xfId="0" applyNumberFormat="1" applyFont="1" applyFill="1" applyBorder="1" applyAlignment="1">
      <alignment vertical="top" wrapText="1"/>
    </xf>
    <xf numFmtId="166" fontId="9" fillId="9" borderId="11" xfId="0" applyNumberFormat="1" applyFont="1" applyFill="1" applyBorder="1" applyAlignment="1">
      <alignment vertical="top" wrapText="1"/>
    </xf>
    <xf numFmtId="166" fontId="9" fillId="9" borderId="16" xfId="0" applyNumberFormat="1" applyFont="1" applyFill="1" applyBorder="1" applyAlignment="1">
      <alignment vertical="top" wrapText="1"/>
    </xf>
    <xf numFmtId="166" fontId="9" fillId="9" borderId="6" xfId="0" applyNumberFormat="1" applyFont="1" applyFill="1" applyBorder="1" applyAlignment="1">
      <alignment vertical="top" wrapText="1"/>
    </xf>
    <xf numFmtId="1" fontId="9" fillId="7" borderId="11" xfId="0" applyNumberFormat="1" applyFont="1" applyFill="1" applyBorder="1" applyAlignment="1">
      <alignment vertical="top" wrapText="1"/>
    </xf>
    <xf numFmtId="1" fontId="9" fillId="7" borderId="16" xfId="0" applyNumberFormat="1" applyFont="1" applyFill="1" applyBorder="1" applyAlignment="1">
      <alignment vertical="top" wrapText="1"/>
    </xf>
    <xf numFmtId="1" fontId="9" fillId="7" borderId="6" xfId="0" applyNumberFormat="1" applyFont="1" applyFill="1" applyBorder="1" applyAlignment="1">
      <alignment vertical="top" wrapText="1"/>
    </xf>
    <xf numFmtId="165" fontId="9" fillId="7" borderId="11" xfId="0" applyNumberFormat="1" applyFont="1" applyFill="1" applyBorder="1" applyAlignment="1">
      <alignment vertical="top" wrapText="1"/>
    </xf>
    <xf numFmtId="165" fontId="9" fillId="7" borderId="16" xfId="0" applyNumberFormat="1" applyFont="1" applyFill="1" applyBorder="1" applyAlignment="1">
      <alignment vertical="top" wrapText="1"/>
    </xf>
    <xf numFmtId="166" fontId="9" fillId="0" borderId="11" xfId="0" applyNumberFormat="1" applyFont="1" applyBorder="1" applyAlignment="1">
      <alignment vertical="top" wrapText="1"/>
    </xf>
    <xf numFmtId="166" fontId="9" fillId="0" borderId="16" xfId="0" applyNumberFormat="1" applyFont="1" applyBorder="1" applyAlignment="1">
      <alignment vertical="top" wrapText="1"/>
    </xf>
    <xf numFmtId="166" fontId="9" fillId="0" borderId="6" xfId="0" applyNumberFormat="1" applyFont="1" applyBorder="1" applyAlignment="1">
      <alignment vertical="top" wrapText="1"/>
    </xf>
    <xf numFmtId="167" fontId="9" fillId="7" borderId="11" xfId="0" applyNumberFormat="1" applyFont="1" applyFill="1" applyBorder="1" applyAlignment="1">
      <alignment vertical="top" wrapText="1"/>
    </xf>
    <xf numFmtId="167" fontId="9" fillId="7" borderId="16" xfId="0" applyNumberFormat="1" applyFont="1" applyFill="1" applyBorder="1" applyAlignment="1">
      <alignment vertical="top" wrapText="1"/>
    </xf>
    <xf numFmtId="167" fontId="9" fillId="7" borderId="6" xfId="0" applyNumberFormat="1" applyFont="1" applyFill="1" applyBorder="1" applyAlignment="1">
      <alignment vertical="top" wrapText="1"/>
    </xf>
    <xf numFmtId="167" fontId="9" fillId="9" borderId="11" xfId="0" applyNumberFormat="1" applyFont="1" applyFill="1" applyBorder="1" applyAlignment="1">
      <alignment vertical="top" wrapText="1"/>
    </xf>
    <xf numFmtId="167" fontId="9" fillId="9" borderId="16" xfId="0" applyNumberFormat="1" applyFont="1" applyFill="1" applyBorder="1" applyAlignment="1">
      <alignment vertical="top" wrapText="1"/>
    </xf>
    <xf numFmtId="167" fontId="9" fillId="9" borderId="6" xfId="0" applyNumberFormat="1" applyFont="1" applyFill="1" applyBorder="1" applyAlignment="1">
      <alignment vertical="top" wrapText="1"/>
    </xf>
    <xf numFmtId="0" fontId="6" fillId="0" borderId="11" xfId="0" applyFont="1" applyBorder="1" applyAlignment="1">
      <alignment vertical="top" wrapText="1"/>
    </xf>
    <xf numFmtId="0" fontId="6" fillId="0" borderId="16" xfId="0" applyFont="1" applyBorder="1" applyAlignment="1">
      <alignment vertical="top" wrapText="1"/>
    </xf>
    <xf numFmtId="0" fontId="6" fillId="0" borderId="6" xfId="0" applyFont="1" applyBorder="1" applyAlignment="1">
      <alignment vertical="top" wrapText="1"/>
    </xf>
    <xf numFmtId="0" fontId="5" fillId="4" borderId="0" xfId="0" applyFont="1" applyFill="1" applyAlignment="1">
      <alignment wrapText="1"/>
    </xf>
    <xf numFmtId="164" fontId="6" fillId="0" borderId="11" xfId="0" applyNumberFormat="1" applyFont="1" applyBorder="1" applyAlignment="1">
      <alignment vertical="top" wrapText="1"/>
    </xf>
    <xf numFmtId="164" fontId="6" fillId="0" borderId="16" xfId="0" applyNumberFormat="1" applyFont="1" applyBorder="1" applyAlignment="1">
      <alignment vertical="top" wrapText="1"/>
    </xf>
    <xf numFmtId="0" fontId="6" fillId="0" borderId="0" xfId="0" applyFont="1" applyAlignment="1">
      <alignment vertical="center" wrapText="1"/>
    </xf>
    <xf numFmtId="0" fontId="6" fillId="9" borderId="0" xfId="0" applyFont="1" applyFill="1" applyAlignment="1">
      <alignment vertical="center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3" fillId="4" borderId="0" xfId="0" applyFont="1" applyFill="1" applyAlignment="1">
      <alignment horizontal="center"/>
    </xf>
    <xf numFmtId="0" fontId="4" fillId="5" borderId="1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5" fillId="2" borderId="0" xfId="0" applyFont="1" applyFill="1"/>
    <xf numFmtId="0" fontId="6" fillId="6" borderId="5" xfId="0" applyFont="1" applyFill="1" applyBorder="1" applyAlignment="1">
      <alignment vertical="center" wrapText="1"/>
    </xf>
    <xf numFmtId="0" fontId="6" fillId="6" borderId="6" xfId="0" applyFont="1" applyFill="1" applyBorder="1" applyAlignment="1">
      <alignment vertical="center" wrapText="1"/>
    </xf>
    <xf numFmtId="0" fontId="6" fillId="6" borderId="7" xfId="0" applyFont="1" applyFill="1" applyBorder="1" applyAlignment="1">
      <alignment vertical="center" wrapText="1"/>
    </xf>
    <xf numFmtId="0" fontId="6" fillId="6" borderId="8" xfId="0" applyFont="1" applyFill="1" applyBorder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6" borderId="9" xfId="0" applyFont="1" applyFill="1" applyBorder="1" applyAlignment="1">
      <alignment vertical="center" wrapText="1"/>
    </xf>
    <xf numFmtId="0" fontId="6" fillId="6" borderId="10" xfId="0" applyFont="1" applyFill="1" applyBorder="1" applyAlignment="1">
      <alignment vertical="center" wrapText="1"/>
    </xf>
    <xf numFmtId="0" fontId="6" fillId="6" borderId="11" xfId="0" applyFont="1" applyFill="1" applyBorder="1" applyAlignment="1">
      <alignment vertical="center" wrapText="1"/>
    </xf>
    <xf numFmtId="0" fontId="6" fillId="6" borderId="12" xfId="0" applyFont="1" applyFill="1" applyBorder="1" applyAlignment="1">
      <alignment vertical="center" wrapText="1"/>
    </xf>
    <xf numFmtId="0" fontId="0" fillId="5" borderId="0" xfId="0" applyFill="1" applyAlignment="1">
      <alignment vertical="center" wrapText="1"/>
    </xf>
    <xf numFmtId="0" fontId="8" fillId="8" borderId="0" xfId="0" applyFont="1" applyFill="1" applyAlignment="1">
      <alignment horizontal="center"/>
    </xf>
  </cellXfs>
  <cellStyles count="1">
    <cellStyle name="Normal" xfId="0" builtinId="0"/>
  </cellStyles>
  <dxfs count="30"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HAssumptionsTable" displayName="PHAssumptionsTable" ref="A1:H17" totalsRowShown="0">
  <tableColumns count="8">
    <tableColumn id="1" xr3:uid="{00000000-0010-0000-0000-000001000000}" name="parameter_id"/>
    <tableColumn id="2" xr3:uid="{00000000-0010-0000-0000-000002000000}" name="value"/>
    <tableColumn id="3" xr3:uid="{00000000-0010-0000-0000-000003000000}" name="unit"/>
    <tableColumn id="4" xr3:uid="{00000000-0010-0000-0000-000004000000}" name="base_case"/>
    <tableColumn id="5" xr3:uid="{00000000-0010-0000-0000-000005000000}" name="lower_bound"/>
    <tableColumn id="6" xr3:uid="{00000000-0010-0000-0000-000006000000}" name="upper_bound"/>
    <tableColumn id="7" xr3:uid="{00000000-0010-0000-0000-000007000000}" name="description"/>
    <tableColumn id="8" xr3:uid="{00000000-0010-0000-0000-000008000000}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HInterventionDictionary" displayName="PHInterventionDictionary" ref="A1:D7" totalsRowShown="0">
  <tableColumns count="4">
    <tableColumn id="1" xr3:uid="{00000000-0010-0000-0100-000001000000}" name="intervention_id"/>
    <tableColumn id="2" xr3:uid="{00000000-0010-0000-0100-000002000000}" name="intervention_name"/>
    <tableColumn id="3" xr3:uid="{00000000-0010-0000-0100-000003000000}" name="package_group"/>
    <tableColumn id="4" xr3:uid="{00000000-0010-0000-0100-000004000000}" name="defini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iskDictionary" displayName="RiskDictionary" ref="F1:I5" totalsRowShown="0">
  <tableColumns count="4">
    <tableColumn id="1" xr3:uid="{00000000-0010-0000-0200-000001000000}" name="risk_id"/>
    <tableColumn id="2" xr3:uid="{00000000-0010-0000-0200-000002000000}" name="risk_name"/>
    <tableColumn id="3" xr3:uid="{00000000-0010-0000-0200-000003000000}" name="exposure_measure"/>
    <tableColumn id="4" xr3:uid="{00000000-0010-0000-0200-000004000000}" name="exposure_uni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HCauseDictionary" displayName="PHCauseDictionary" ref="K1:N8" totalsRowShown="0">
  <tableColumns count="4">
    <tableColumn id="1" xr3:uid="{00000000-0010-0000-0300-000001000000}" name="cause_id"/>
    <tableColumn id="2" xr3:uid="{00000000-0010-0000-0300-000002000000}" name="cause_name"/>
    <tableColumn id="3" xr3:uid="{00000000-0010-0000-0300-000003000000}" name="model_name"/>
    <tableColumn id="4" xr3:uid="{00000000-0010-0000-0300-000004000000}" name="is_model_caus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HInterventionCauseMap" displayName="PHInterventionCauseMap" ref="A1:Q10" totalsRowShown="0">
  <tableColumns count="17">
    <tableColumn id="1" xr3:uid="{00000000-0010-0000-0400-000001000000}" name="intervention_cause_key"/>
    <tableColumn id="2" xr3:uid="{00000000-0010-0000-0400-000002000000}" name="intervention_id"/>
    <tableColumn id="3" xr3:uid="{00000000-0010-0000-0400-000003000000}" name="risk_id"/>
    <tableColumn id="4" xr3:uid="{00000000-0010-0000-0400-000004000000}" name="intervention_name"/>
    <tableColumn id="5" xr3:uid="{00000000-0010-0000-0400-000005000000}" name="risk_name"/>
    <tableColumn id="6" xr3:uid="{00000000-0010-0000-0400-000006000000}" name="cause_id"/>
    <tableColumn id="7" xr3:uid="{00000000-0010-0000-0400-000007000000}" name="cause_name"/>
    <tableColumn id="8" xr3:uid="{00000000-0010-0000-0400-000008000000}" name="effect_key"/>
    <tableColumn id="9" xr3:uid="{00000000-0010-0000-0400-000009000000}" name="exposure_key"/>
    <tableColumn id="10" xr3:uid="{00000000-0010-0000-0400-00000A000000}" name="cost_join_key"/>
    <tableColumn id="11" xr3:uid="{00000000-0010-0000-0400-00000B000000}" name="cost_scope"/>
    <tableColumn id="12" xr3:uid="{00000000-0010-0000-0400-00000C000000}" name="transition_from"/>
    <tableColumn id="13" xr3:uid="{00000000-0010-0000-0400-00000D000000}" name="transition_to"/>
    <tableColumn id="14" xr3:uid="{00000000-0010-0000-0400-00000E000000}" name="include_flag"/>
    <tableColumn id="15" xr3:uid="{00000000-0010-0000-0400-00000F000000}" name="requires_cause_expansion"/>
    <tableColumn id="16" xr3:uid="{00000000-0010-0000-0400-000010000000}" name="notes"/>
    <tableColumn id="17" xr3:uid="{00000000-0010-0000-0400-000011000000}" name="duplicate_cou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PolicyLeversTable" displayName="PolicyLeversTable" ref="A1:O12" totalsRowShown="0">
  <tableColumns count="15">
    <tableColumn id="1" xr3:uid="{00000000-0010-0000-0500-000001000000}" name="lever_id"/>
    <tableColumn id="2" xr3:uid="{00000000-0010-0000-0500-000002000000}" name="intervention_id"/>
    <tableColumn id="3" xr3:uid="{00000000-0010-0000-0500-000003000000}" name="intervention_name"/>
    <tableColumn id="4" xr3:uid="{00000000-0010-0000-0500-000004000000}" name="component"/>
    <tableColumn id="5" xr3:uid="{00000000-0010-0000-0500-000005000000}" name="lever_method"/>
    <tableColumn id="6" xr3:uid="{00000000-0010-0000-0500-000006000000}" name="baseline_value"/>
    <tableColumn id="7" xr3:uid="{00000000-0010-0000-0500-000007000000}" name="target_value"/>
    <tableColumn id="8" xr3:uid="{00000000-0010-0000-0500-000008000000}" name="lever_unit"/>
    <tableColumn id="9" xr3:uid="{00000000-0010-0000-0500-000009000000}" name="effect_parameter"/>
    <tableColumn id="10" xr3:uid="{00000000-0010-0000-0500-00000A000000}" name="effect_parameter_unit"/>
    <tableColumn id="11" xr3:uid="{00000000-0010-0000-0500-00000B000000}" name="estimated_risk_reduction"/>
    <tableColumn id="12" xr3:uid="{00000000-0010-0000-0500-00000C000000}" name="source"/>
    <tableColumn id="13" xr3:uid="{00000000-0010-0000-0500-00000D000000}" name="review_status"/>
    <tableColumn id="14" xr3:uid="{00000000-0010-0000-0500-00000E000000}" name="notes"/>
    <tableColumn id="15" xr3:uid="{00000000-0010-0000-0500-00000F000000}" name="qa_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ExposureTargetsTable" displayName="ExposureTargetsTable" ref="A1:U7" totalsRowShown="0">
  <tableColumns count="21">
    <tableColumn id="1" xr3:uid="{00000000-0010-0000-0600-000001000000}" name="exposure_input_id"/>
    <tableColumn id="2" xr3:uid="{00000000-0010-0000-0600-000002000000}" name="intervention_id"/>
    <tableColumn id="3" xr3:uid="{00000000-0010-0000-0600-000003000000}" name="risk_id"/>
    <tableColumn id="4" xr3:uid="{00000000-0010-0000-0600-000004000000}" name="intervention_name"/>
    <tableColumn id="5" xr3:uid="{00000000-0010-0000-0600-000005000000}" name="risk_exposure_measure"/>
    <tableColumn id="6" xr3:uid="{00000000-0010-0000-0600-000006000000}" name="exposure_unit"/>
    <tableColumn id="7" xr3:uid="{00000000-0010-0000-0600-000007000000}" name="baseline_exposure"/>
    <tableColumn id="8" xr3:uid="{00000000-0010-0000-0600-000008000000}" name="reduction_method"/>
    <tableColumn id="9" xr3:uid="{00000000-0010-0000-0600-000009000000}" name="desired_reduction_override"/>
    <tableColumn id="10" xr3:uid="{00000000-0010-0000-0600-00000A000000}" name="recommended_reduction_or_target"/>
    <tableColumn id="11" xr3:uid="{00000000-0010-0000-0600-00000B000000}" name="applied_reduction_or_target"/>
    <tableColumn id="12" xr3:uid="{00000000-0010-0000-0600-00000C000000}" name="exposure_floor"/>
    <tableColumn id="13" xr3:uid="{00000000-0010-0000-0600-00000D000000}" name="target_exposure"/>
    <tableColumn id="14" xr3:uid="{00000000-0010-0000-0600-00000E000000}" name="absolute_reduction"/>
    <tableColumn id="15" xr3:uid="{00000000-0010-0000-0600-00000F000000}" name="relative_reduction"/>
    <tableColumn id="16" xr3:uid="{00000000-0010-0000-0600-000010000000}" name="start_year"/>
    <tableColumn id="17" xr3:uid="{00000000-0010-0000-0600-000011000000}" name="target_year"/>
    <tableColumn id="18" xr3:uid="{00000000-0010-0000-0600-000012000000}" name="scale_up_shape"/>
    <tableColumn id="19" xr3:uid="{00000000-0010-0000-0600-000013000000}" name="source"/>
    <tableColumn id="20" xr3:uid="{00000000-0010-0000-0600-000014000000}" name="review_status"/>
    <tableColumn id="21" xr3:uid="{00000000-0010-0000-0600-000015000000}" name="qa_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PHEffectParametersTable" displayName="PHEffectParametersTable" ref="A1:W10" totalsRowShown="0">
  <tableColumns count="23">
    <tableColumn id="1" xr3:uid="{00000000-0010-0000-0700-000001000000}" name="effect_id"/>
    <tableColumn id="2" xr3:uid="{00000000-0010-0000-0700-000002000000}" name="intervention_cause_key"/>
    <tableColumn id="3" xr3:uid="{00000000-0010-0000-0700-000003000000}" name="intervention_id"/>
    <tableColumn id="4" xr3:uid="{00000000-0010-0000-0700-000004000000}" name="risk_id"/>
    <tableColumn id="5" xr3:uid="{00000000-0010-0000-0700-000005000000}" name="cause_id"/>
    <tableColumn id="6" xr3:uid="{00000000-0010-0000-0700-000006000000}" name="effect_model"/>
    <tableColumn id="7" xr3:uid="{00000000-0010-0000-0700-000007000000}" name="response_key"/>
    <tableColumn id="8" xr3:uid="{00000000-0010-0000-0700-000008000000}" name="response_parameter"/>
    <tableColumn id="9" xr3:uid="{00000000-0010-0000-0700-000009000000}" name="response_value"/>
    <tableColumn id="10" xr3:uid="{00000000-0010-0000-0700-00000A000000}" name="response_unit"/>
    <tableColumn id="11" xr3:uid="{00000000-0010-0000-0700-00000B000000}" name="paf_value"/>
    <tableColumn id="12" xr3:uid="{00000000-0010-0000-0700-00000C000000}" name="paf_required_flag"/>
    <tableColumn id="13" xr3:uid="{00000000-0010-0000-0700-00000D000000}" name="paf_threshold"/>
    <tableColumn id="14" xr3:uid="{00000000-0010-0000-0700-00000E000000}" name="lag_model"/>
    <tableColumn id="15" xr3:uid="{00000000-0010-0000-0700-00000F000000}" name="lag_parameter"/>
    <tableColumn id="16" xr3:uid="{00000000-0010-0000-0700-000010000000}" name="transition_from"/>
    <tableColumn id="17" xr3:uid="{00000000-0010-0000-0700-000011000000}" name="transition_to"/>
    <tableColumn id="18" xr3:uid="{00000000-0010-0000-0700-000012000000}" name="source_file"/>
    <tableColumn id="19" xr3:uid="{00000000-0010-0000-0700-000013000000}" name="source_location"/>
    <tableColumn id="20" xr3:uid="{00000000-0010-0000-0700-000014000000}" name="review_status"/>
    <tableColumn id="21" xr3:uid="{00000000-0010-0000-0700-000015000000}" name="notes"/>
    <tableColumn id="22" xr3:uid="{00000000-0010-0000-0700-000016000000}" name="map_match_count"/>
    <tableColumn id="23" xr3:uid="{00000000-0010-0000-0700-000017000000}" name="qa_statu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RiskResponseTable" displayName="RiskResponseTable" ref="A1:M7" totalsRowShown="0">
  <tableColumns count="13">
    <tableColumn id="1" xr3:uid="{00000000-0010-0000-0800-000001000000}" name="response_key"/>
    <tableColumn id="2" xr3:uid="{00000000-0010-0000-0800-000002000000}" name="risk_id"/>
    <tableColumn id="3" xr3:uid="{00000000-0010-0000-0800-000003000000}" name="selection_status"/>
    <tableColumn id="4" xr3:uid="{00000000-0010-0000-0800-000004000000}" name="response_name"/>
    <tableColumn id="5" xr3:uid="{00000000-0010-0000-0800-000005000000}" name="age_start"/>
    <tableColumn id="6" xr3:uid="{00000000-0010-0000-0800-000006000000}" name="age_stop"/>
    <tableColumn id="7" xr3:uid="{00000000-0010-0000-0800-000007000000}" name="sex"/>
    <tableColumn id="8" xr3:uid="{00000000-0010-0000-0800-000008000000}" name="cause_scope"/>
    <tableColumn id="9" xr3:uid="{00000000-0010-0000-0800-000009000000}" name="response_value"/>
    <tableColumn id="10" xr3:uid="{00000000-0010-0000-0800-00000A000000}" name="response_unit"/>
    <tableColumn id="11" xr3:uid="{00000000-0010-0000-0800-00000B000000}" name="source"/>
    <tableColumn id="12" xr3:uid="{00000000-0010-0000-0800-00000C000000}" name="selected_for_base_case"/>
    <tableColumn id="13" xr3:uid="{00000000-0010-0000-0800-00000D000000}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PHCostComponentsTable" displayName="PHCostComponentsTable" ref="A1:AC7" totalsRowShown="0">
  <tableColumns count="29">
    <tableColumn id="1" xr3:uid="{00000000-0010-0000-0900-000001000000}" name="cost_record_id"/>
    <tableColumn id="2" xr3:uid="{00000000-0010-0000-0900-000002000000}" name="cost_component_key"/>
    <tableColumn id="3" xr3:uid="{00000000-0010-0000-0900-000003000000}" name="cost_option"/>
    <tableColumn id="4" xr3:uid="{00000000-0010-0000-0900-000004000000}" name="selected_for_base_case"/>
    <tableColumn id="5" xr3:uid="{00000000-0010-0000-0900-000005000000}" name="intervention_id"/>
    <tableColumn id="6" xr3:uid="{00000000-0010-0000-0900-000006000000}" name="cause_id"/>
    <tableColumn id="7" xr3:uid="{00000000-0010-0000-0900-000007000000}" name="cost_join_key"/>
    <tableColumn id="8" xr3:uid="{00000000-0010-0000-0900-000008000000}" name="intervention_name"/>
    <tableColumn id="9" xr3:uid="{00000000-0010-0000-0900-000009000000}" name="cause_name"/>
    <tableColumn id="10" xr3:uid="{00000000-0010-0000-0900-00000A000000}" name="cost_component"/>
    <tableColumn id="11" xr3:uid="{00000000-0010-0000-0900-00000B000000}" name="population_in_need_measure"/>
    <tableColumn id="12" xr3:uid="{00000000-0010-0000-0900-00000C000000}" name="population_in_need_fraction"/>
    <tableColumn id="13" xr3:uid="{00000000-0010-0000-0900-00000D000000}" name="cost_unit"/>
    <tableColumn id="14" xr3:uid="{00000000-0010-0000-0900-00000E000000}" name="frequency_per_year"/>
    <tableColumn id="15" xr3:uid="{00000000-0010-0000-0900-00000F000000}" name="age_start"/>
    <tableColumn id="16" xr3:uid="{00000000-0010-0000-0900-000010000000}" name="age_stop"/>
    <tableColumn id="17" xr3:uid="{00000000-0010-0000-0900-000011000000}" name="sex"/>
    <tableColumn id="18" xr3:uid="{00000000-0010-0000-0900-000012000000}" name="platform"/>
    <tableColumn id="19" xr3:uid="{00000000-0010-0000-0900-000013000000}" name="unit_cost_usd"/>
    <tableColumn id="20" xr3:uid="{00000000-0010-0000-0900-000014000000}" name="price_year"/>
    <tableColumn id="21" xr3:uid="{00000000-0010-0000-0900-000015000000}" name="indonesia_adjusted_flag"/>
    <tableColumn id="22" xr3:uid="{00000000-0010-0000-0900-000016000000}" name="source_country"/>
    <tableColumn id="23" xr3:uid="{00000000-0010-0000-0900-000017000000}" name="source_file"/>
    <tableColumn id="24" xr3:uid="{00000000-0010-0000-0900-000018000000}" name="source_row"/>
    <tableColumn id="25" xr3:uid="{00000000-0010-0000-0900-000019000000}" name="review_status"/>
    <tableColumn id="26" xr3:uid="{00000000-0010-0000-0900-00001A000000}" name="notes"/>
    <tableColumn id="27" xr3:uid="{00000000-0010-0000-0900-00001B000000}" name="map_match_count"/>
    <tableColumn id="28" xr3:uid="{00000000-0010-0000-0900-00001C000000}" name="selection_count"/>
    <tableColumn id="29" xr3:uid="{00000000-0010-0000-0900-00001D000000}" name="qa_statu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PHModelInputViewTable" displayName="PHModelInputViewTable" ref="A1:S10" totalsRowShown="0">
  <tableColumns count="19">
    <tableColumn id="1" xr3:uid="{00000000-0010-0000-0A00-000001000000}" name="intervention_cause_key"/>
    <tableColumn id="2" xr3:uid="{00000000-0010-0000-0A00-000002000000}" name="intervention_name"/>
    <tableColumn id="3" xr3:uid="{00000000-0010-0000-0A00-000003000000}" name="risk_name"/>
    <tableColumn id="4" xr3:uid="{00000000-0010-0000-0A00-000004000000}" name="cause_name"/>
    <tableColumn id="5" xr3:uid="{00000000-0010-0000-0A00-000005000000}" name="transition_from"/>
    <tableColumn id="6" xr3:uid="{00000000-0010-0000-0A00-000006000000}" name="transition_to"/>
    <tableColumn id="7" xr3:uid="{00000000-0010-0000-0A00-000007000000}" name="baseline_exposure"/>
    <tableColumn id="8" xr3:uid="{00000000-0010-0000-0A00-000008000000}" name="target_exposure"/>
    <tableColumn id="9" xr3:uid="{00000000-0010-0000-0A00-000009000000}" name="absolute_reduction"/>
    <tableColumn id="10" xr3:uid="{00000000-0010-0000-0A00-00000A000000}" name="relative_reduction"/>
    <tableColumn id="11" xr3:uid="{00000000-0010-0000-0A00-00000B000000}" name="effect_model"/>
    <tableColumn id="12" xr3:uid="{00000000-0010-0000-0A00-00000C000000}" name="response_value"/>
    <tableColumn id="13" xr3:uid="{00000000-0010-0000-0A00-00000D000000}" name="paf_value"/>
    <tableColumn id="14" xr3:uid="{00000000-0010-0000-0A00-00000E000000}" name="lag_model"/>
    <tableColumn id="15" xr3:uid="{00000000-0010-0000-0A00-00000F000000}" name="illustrative_full_effect"/>
    <tableColumn id="16" xr3:uid="{00000000-0010-0000-0A00-000010000000}" name="cost_join_key"/>
    <tableColumn id="17" xr3:uid="{00000000-0010-0000-0A00-000011000000}" name="cost_scope"/>
    <tableColumn id="18" xr3:uid="{00000000-0010-0000-0A00-000012000000}" name="selected_policy_cost_usd_per_capita"/>
    <tableColumn id="19" xr3:uid="{00000000-0010-0000-0A00-000013000000}" name="review_statu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CountdownMethodsTable" displayName="CountdownMethodsTable" ref="A1:F15" totalsRowShown="0">
  <tableColumns count="6">
    <tableColumn id="1" xr3:uid="{00000000-0010-0000-0B00-000001000000}" name="method_id"/>
    <tableColumn id="2" xr3:uid="{00000000-0010-0000-0B00-000002000000}" name="concept"/>
    <tableColumn id="3" xr3:uid="{00000000-0010-0000-0B00-000003000000}" name="formula_or_rule"/>
    <tableColumn id="4" xr3:uid="{00000000-0010-0000-0B00-000004000000}" name="implemented_in"/>
    <tableColumn id="5" xr3:uid="{00000000-0010-0000-0B00-000005000000}" name="linkage_key"/>
    <tableColumn id="6" xr3:uid="{00000000-0010-0000-0B00-000006000000}" name="Indonesia interpretation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PHScopeTable" displayName="PHScopeTable" ref="A1:D9" totalsRowShown="0">
  <tableColumns count="4">
    <tableColumn id="1" xr3:uid="{00000000-0010-0000-0C00-000001000000}" name="item"/>
    <tableColumn id="2" xr3:uid="{00000000-0010-0000-0C00-000002000000}" name="decision"/>
    <tableColumn id="3" xr3:uid="{00000000-0010-0000-0C00-000003000000}" name="reason"/>
    <tableColumn id="4" xr3:uid="{00000000-0010-0000-0C00-000004000000}" name="domain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PHSourceLogTable" displayName="PHSourceLogTable" ref="F1:I6" totalsRowShown="0">
  <tableColumns count="4">
    <tableColumn id="1" xr3:uid="{00000000-0010-0000-0D00-000001000000}" name="source"/>
    <tableColumn id="2" xr3:uid="{00000000-0010-0000-0D00-000002000000}" name="use"/>
    <tableColumn id="3" xr3:uid="{00000000-0010-0000-0D00-000003000000}" name="location"/>
    <tableColumn id="4" xr3:uid="{00000000-0010-0000-0D00-000004000000}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PHQAChecksTable" displayName="PHQAChecksTable" ref="A1:F11" totalsRowShown="0">
  <tableColumns count="6">
    <tableColumn id="1" xr3:uid="{00000000-0010-0000-0E00-000001000000}" name="check_id"/>
    <tableColumn id="2" xr3:uid="{00000000-0010-0000-0E00-000002000000}" name="check"/>
    <tableColumn id="3" xr3:uid="{00000000-0010-0000-0E00-000003000000}" name="expected"/>
    <tableColumn id="4" xr3:uid="{00000000-0010-0000-0E00-000004000000}" name="actual"/>
    <tableColumn id="5" xr3:uid="{00000000-0010-0000-0E00-000005000000}" name="status"/>
    <tableColumn id="6" xr3:uid="{00000000-0010-0000-0E00-000006000000}" name="interpret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showGridLines="0" tabSelected="1" workbookViewId="0">
      <selection sqref="A1:H2"/>
    </sheetView>
  </sheetViews>
  <sheetFormatPr defaultRowHeight="13.8"/>
  <cols>
    <col min="1" max="1" width="10" customWidth="1"/>
    <col min="2" max="2" width="22" customWidth="1"/>
    <col min="3" max="4" width="16" customWidth="1"/>
    <col min="5" max="5" width="18" customWidth="1"/>
    <col min="6" max="6" width="16" customWidth="1"/>
    <col min="7" max="8" width="18" customWidth="1"/>
  </cols>
  <sheetData>
    <row r="1" spans="1:8">
      <c r="A1" s="63" t="s">
        <v>0</v>
      </c>
      <c r="B1" s="63"/>
      <c r="C1" s="63"/>
      <c r="D1" s="63"/>
      <c r="E1" s="63"/>
      <c r="F1" s="63"/>
      <c r="G1" s="63"/>
      <c r="H1" s="63"/>
    </row>
    <row r="2" spans="1:8">
      <c r="A2" s="63"/>
      <c r="B2" s="63"/>
      <c r="C2" s="63"/>
      <c r="D2" s="63"/>
      <c r="E2" s="63"/>
      <c r="F2" s="63"/>
      <c r="G2" s="63"/>
      <c r="H2" s="63"/>
    </row>
    <row r="3" spans="1:8">
      <c r="A3" s="64" t="s">
        <v>1</v>
      </c>
      <c r="B3" s="64"/>
      <c r="C3" s="64"/>
      <c r="D3" s="64"/>
      <c r="E3" s="64"/>
      <c r="F3" s="64"/>
      <c r="G3" s="64"/>
      <c r="H3" s="64"/>
    </row>
    <row r="5" spans="1:8">
      <c r="A5" s="65" t="s">
        <v>2</v>
      </c>
      <c r="B5" s="65"/>
      <c r="C5" s="65" t="s">
        <v>3</v>
      </c>
      <c r="D5" s="65"/>
      <c r="E5" s="65" t="s">
        <v>4</v>
      </c>
      <c r="F5" s="65"/>
      <c r="G5" s="65" t="s">
        <v>5</v>
      </c>
      <c r="H5" s="65"/>
    </row>
    <row r="6" spans="1:8">
      <c r="A6" s="66" t="str">
        <f>IF(COUNTIF(QA_Checks!$E$2:$E$11,"FAIL")=0,"READY TO RUN","REVIEW REQUIRED")</f>
        <v>REVIEW REQUIRED</v>
      </c>
      <c r="B6" s="67"/>
      <c r="C6" s="66">
        <f>COUNTA(Dictionaries!$A$2:$A$7)</f>
        <v>6</v>
      </c>
      <c r="D6" s="67"/>
      <c r="E6" s="66">
        <f>COUNTA(Dictionaries!$F$2:$F$5)</f>
        <v>4</v>
      </c>
      <c r="F6" s="67"/>
      <c r="G6" s="66">
        <f>COUNTA(Intervention_Cause_Map!$A$2:$A$10)</f>
        <v>9</v>
      </c>
      <c r="H6" s="67"/>
    </row>
    <row r="7" spans="1:8">
      <c r="A7" s="68"/>
      <c r="B7" s="69"/>
      <c r="C7" s="68"/>
      <c r="D7" s="69"/>
      <c r="E7" s="68"/>
      <c r="F7" s="69"/>
      <c r="G7" s="68"/>
      <c r="H7" s="69"/>
    </row>
    <row r="9" spans="1:8">
      <c r="A9" s="70" t="s">
        <v>6</v>
      </c>
      <c r="B9" s="70"/>
      <c r="C9" s="70"/>
      <c r="D9" s="70"/>
      <c r="E9" s="70"/>
      <c r="F9" s="70"/>
      <c r="G9" s="70"/>
      <c r="H9" s="70"/>
    </row>
    <row r="10" spans="1:8" ht="28.05" customHeight="1">
      <c r="A10" s="1" t="s">
        <v>7</v>
      </c>
      <c r="B10" s="71" t="s">
        <v>8</v>
      </c>
      <c r="C10" s="72"/>
      <c r="D10" s="72"/>
      <c r="E10" s="72"/>
      <c r="F10" s="72"/>
      <c r="G10" s="72"/>
      <c r="H10" s="73"/>
    </row>
    <row r="11" spans="1:8" ht="28.05" customHeight="1">
      <c r="A11" s="1" t="s">
        <v>9</v>
      </c>
      <c r="B11" s="74" t="s">
        <v>10</v>
      </c>
      <c r="C11" s="75"/>
      <c r="D11" s="75"/>
      <c r="E11" s="75"/>
      <c r="F11" s="75"/>
      <c r="G11" s="75"/>
      <c r="H11" s="76"/>
    </row>
    <row r="12" spans="1:8" ht="28.05" customHeight="1">
      <c r="A12" s="1" t="s">
        <v>11</v>
      </c>
      <c r="B12" s="74" t="s">
        <v>12</v>
      </c>
      <c r="C12" s="75"/>
      <c r="D12" s="75"/>
      <c r="E12" s="75"/>
      <c r="F12" s="75"/>
      <c r="G12" s="75"/>
      <c r="H12" s="76"/>
    </row>
    <row r="13" spans="1:8" ht="28.05" customHeight="1">
      <c r="A13" s="1" t="s">
        <v>13</v>
      </c>
      <c r="B13" s="74" t="s">
        <v>14</v>
      </c>
      <c r="C13" s="75"/>
      <c r="D13" s="75"/>
      <c r="E13" s="75"/>
      <c r="F13" s="75"/>
      <c r="G13" s="75"/>
      <c r="H13" s="76"/>
    </row>
    <row r="14" spans="1:8" ht="28.05" customHeight="1">
      <c r="A14" s="1" t="s">
        <v>15</v>
      </c>
      <c r="B14" s="77" t="s">
        <v>16</v>
      </c>
      <c r="C14" s="78"/>
      <c r="D14" s="78"/>
      <c r="E14" s="78"/>
      <c r="F14" s="78"/>
      <c r="G14" s="78"/>
      <c r="H14" s="79"/>
    </row>
    <row r="17" spans="1:8">
      <c r="A17" s="70" t="s">
        <v>17</v>
      </c>
      <c r="B17" s="70"/>
      <c r="C17" s="70"/>
      <c r="D17" s="70"/>
      <c r="E17" s="70"/>
      <c r="F17" s="70"/>
      <c r="G17" s="70"/>
      <c r="H17" s="70"/>
    </row>
    <row r="18" spans="1:8" ht="27" customHeight="1">
      <c r="A18" s="2" t="s">
        <v>18</v>
      </c>
      <c r="B18" s="80" t="s">
        <v>19</v>
      </c>
      <c r="C18" s="80"/>
      <c r="D18" s="80"/>
      <c r="E18" s="80"/>
      <c r="F18" s="80"/>
      <c r="G18" s="80"/>
      <c r="H18" s="80"/>
    </row>
    <row r="19" spans="1:8" ht="27" customHeight="1">
      <c r="A19" s="2" t="s">
        <v>18</v>
      </c>
      <c r="B19" s="80" t="s">
        <v>20</v>
      </c>
      <c r="C19" s="80"/>
      <c r="D19" s="80"/>
      <c r="E19" s="80"/>
      <c r="F19" s="80"/>
      <c r="G19" s="80"/>
      <c r="H19" s="80"/>
    </row>
    <row r="20" spans="1:8" ht="27" customHeight="1">
      <c r="A20" s="2" t="s">
        <v>18</v>
      </c>
      <c r="B20" s="80" t="s">
        <v>21</v>
      </c>
      <c r="C20" s="80"/>
      <c r="D20" s="80"/>
      <c r="E20" s="80"/>
      <c r="F20" s="80"/>
      <c r="G20" s="80"/>
      <c r="H20" s="80"/>
    </row>
    <row r="21" spans="1:8" ht="27" customHeight="1">
      <c r="A21" s="2" t="s">
        <v>22</v>
      </c>
      <c r="B21" s="80" t="s">
        <v>23</v>
      </c>
      <c r="C21" s="80"/>
      <c r="D21" s="80"/>
      <c r="E21" s="80"/>
      <c r="F21" s="80"/>
      <c r="G21" s="80"/>
      <c r="H21" s="80"/>
    </row>
    <row r="22" spans="1:8" ht="27" customHeight="1">
      <c r="A22" s="2" t="s">
        <v>22</v>
      </c>
      <c r="B22" s="80" t="s">
        <v>24</v>
      </c>
      <c r="C22" s="80"/>
      <c r="D22" s="80"/>
      <c r="E22" s="80"/>
      <c r="F22" s="80"/>
      <c r="G22" s="80"/>
      <c r="H22" s="80"/>
    </row>
    <row r="23" spans="1:8" ht="27" customHeight="1">
      <c r="A23" s="2" t="s">
        <v>22</v>
      </c>
      <c r="B23" s="80" t="s">
        <v>25</v>
      </c>
      <c r="C23" s="80"/>
      <c r="D23" s="80"/>
      <c r="E23" s="80"/>
      <c r="F23" s="80"/>
      <c r="G23" s="80"/>
      <c r="H23" s="80"/>
    </row>
    <row r="24" spans="1:8" ht="27" customHeight="1">
      <c r="A24" s="2" t="s">
        <v>22</v>
      </c>
      <c r="B24" s="80" t="s">
        <v>26</v>
      </c>
      <c r="C24" s="80"/>
      <c r="D24" s="80"/>
      <c r="E24" s="80"/>
      <c r="F24" s="80"/>
      <c r="G24" s="80"/>
      <c r="H24" s="80"/>
    </row>
    <row r="26" spans="1:8">
      <c r="A26" s="81" t="s">
        <v>27</v>
      </c>
      <c r="B26" s="81"/>
      <c r="C26" s="81"/>
      <c r="D26" s="81"/>
      <c r="E26" s="81"/>
      <c r="F26" s="81"/>
      <c r="G26" s="81"/>
      <c r="H26" s="81"/>
    </row>
  </sheetData>
  <mergeCells count="25">
    <mergeCell ref="B21:H21"/>
    <mergeCell ref="B22:H22"/>
    <mergeCell ref="B23:H23"/>
    <mergeCell ref="B24:H24"/>
    <mergeCell ref="A26:H26"/>
    <mergeCell ref="B14:H14"/>
    <mergeCell ref="A17:H17"/>
    <mergeCell ref="B18:H18"/>
    <mergeCell ref="B19:H19"/>
    <mergeCell ref="B20:H20"/>
    <mergeCell ref="A9:H9"/>
    <mergeCell ref="B10:H10"/>
    <mergeCell ref="B11:H11"/>
    <mergeCell ref="B12:H12"/>
    <mergeCell ref="B13:H13"/>
    <mergeCell ref="A1:H2"/>
    <mergeCell ref="A3:H3"/>
    <mergeCell ref="A5:B5"/>
    <mergeCell ref="A6:B7"/>
    <mergeCell ref="C5:D5"/>
    <mergeCell ref="C6:D7"/>
    <mergeCell ref="E5:F5"/>
    <mergeCell ref="E6:F7"/>
    <mergeCell ref="G5:H5"/>
    <mergeCell ref="G6:H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"/>
  <sheetViews>
    <sheetView showGridLines="0" workbookViewId="0"/>
  </sheetViews>
  <sheetFormatPr defaultRowHeight="13.8"/>
  <cols>
    <col min="1" max="1" width="30" customWidth="1"/>
    <col min="2" max="2" width="20" customWidth="1"/>
    <col min="3" max="3" width="24" customWidth="1"/>
    <col min="4" max="6" width="18" customWidth="1"/>
    <col min="7" max="7" width="58" customWidth="1"/>
    <col min="8" max="8" width="42" customWidth="1"/>
  </cols>
  <sheetData>
    <row r="1" spans="1:8" ht="36" customHeight="1">
      <c r="A1" s="3" t="s">
        <v>28</v>
      </c>
      <c r="B1" s="4" t="s">
        <v>29</v>
      </c>
      <c r="C1" s="4" t="s">
        <v>30</v>
      </c>
      <c r="D1" s="4" t="s">
        <v>31</v>
      </c>
      <c r="E1" s="4" t="s">
        <v>32</v>
      </c>
      <c r="F1" s="4" t="s">
        <v>33</v>
      </c>
      <c r="G1" s="4" t="s">
        <v>34</v>
      </c>
      <c r="H1" s="5" t="s">
        <v>35</v>
      </c>
    </row>
    <row r="2" spans="1:8">
      <c r="A2" s="6" t="s">
        <v>36</v>
      </c>
      <c r="B2" s="14">
        <v>2025</v>
      </c>
      <c r="C2" s="15" t="s">
        <v>37</v>
      </c>
      <c r="D2" s="15">
        <v>2025</v>
      </c>
      <c r="E2" s="15">
        <v>2025</v>
      </c>
      <c r="F2" s="15">
        <v>2026</v>
      </c>
      <c r="G2" s="6" t="s">
        <v>38</v>
      </c>
      <c r="H2" s="6" t="s">
        <v>39</v>
      </c>
    </row>
    <row r="3" spans="1:8">
      <c r="A3" s="7" t="s">
        <v>40</v>
      </c>
      <c r="B3" s="16">
        <v>2050</v>
      </c>
      <c r="C3" s="17" t="s">
        <v>37</v>
      </c>
      <c r="D3" s="17">
        <v>2050</v>
      </c>
      <c r="E3" s="17">
        <v>2030</v>
      </c>
      <c r="F3" s="17">
        <v>2050</v>
      </c>
      <c r="G3" s="7" t="s">
        <v>41</v>
      </c>
      <c r="H3" s="7" t="s">
        <v>39</v>
      </c>
    </row>
    <row r="4" spans="1:8">
      <c r="A4" s="7" t="s">
        <v>42</v>
      </c>
      <c r="B4" s="16">
        <v>2026</v>
      </c>
      <c r="C4" s="17" t="s">
        <v>37</v>
      </c>
      <c r="D4" s="17">
        <v>2026</v>
      </c>
      <c r="E4" s="17">
        <v>2025</v>
      </c>
      <c r="F4" s="17">
        <v>2030</v>
      </c>
      <c r="G4" s="7" t="s">
        <v>43</v>
      </c>
      <c r="H4" s="7" t="s">
        <v>44</v>
      </c>
    </row>
    <row r="5" spans="1:8">
      <c r="A5" s="7" t="s">
        <v>45</v>
      </c>
      <c r="B5" s="16">
        <v>2030</v>
      </c>
      <c r="C5" s="17" t="s">
        <v>37</v>
      </c>
      <c r="D5" s="17">
        <v>2030</v>
      </c>
      <c r="E5" s="17">
        <v>2028</v>
      </c>
      <c r="F5" s="17">
        <v>2050</v>
      </c>
      <c r="G5" s="7" t="s">
        <v>46</v>
      </c>
      <c r="H5" s="7" t="s">
        <v>47</v>
      </c>
    </row>
    <row r="6" spans="1:8">
      <c r="A6" s="7" t="s">
        <v>48</v>
      </c>
      <c r="B6" s="16">
        <v>3</v>
      </c>
      <c r="C6" s="17" t="s">
        <v>49</v>
      </c>
      <c r="D6" s="17">
        <v>3</v>
      </c>
      <c r="E6" s="17">
        <v>1</v>
      </c>
      <c r="F6" s="17">
        <v>5</v>
      </c>
      <c r="G6" s="7" t="s">
        <v>50</v>
      </c>
      <c r="H6" s="7" t="s">
        <v>51</v>
      </c>
    </row>
    <row r="7" spans="1:8">
      <c r="A7" s="7" t="s">
        <v>52</v>
      </c>
      <c r="B7" s="18">
        <v>0.03</v>
      </c>
      <c r="C7" s="19" t="s">
        <v>53</v>
      </c>
      <c r="D7" s="19">
        <v>0.03</v>
      </c>
      <c r="E7" s="19">
        <v>0</v>
      </c>
      <c r="F7" s="19">
        <v>0.05</v>
      </c>
      <c r="G7" s="7" t="s">
        <v>54</v>
      </c>
      <c r="H7" s="7" t="s">
        <v>55</v>
      </c>
    </row>
    <row r="8" spans="1:8">
      <c r="A8" s="7" t="s">
        <v>56</v>
      </c>
      <c r="B8" s="18">
        <v>0.03</v>
      </c>
      <c r="C8" s="19" t="s">
        <v>53</v>
      </c>
      <c r="D8" s="19">
        <v>0.03</v>
      </c>
      <c r="E8" s="19">
        <v>0</v>
      </c>
      <c r="F8" s="19">
        <v>0.05</v>
      </c>
      <c r="G8" s="7" t="s">
        <v>57</v>
      </c>
      <c r="H8" s="7" t="s">
        <v>55</v>
      </c>
    </row>
    <row r="9" spans="1:8">
      <c r="A9" s="7" t="s">
        <v>58</v>
      </c>
      <c r="B9" s="16">
        <v>2023</v>
      </c>
      <c r="C9" s="17" t="s">
        <v>59</v>
      </c>
      <c r="D9" s="17">
        <v>2023</v>
      </c>
      <c r="E9" s="17">
        <v>2020</v>
      </c>
      <c r="F9" s="17">
        <v>2024</v>
      </c>
      <c r="G9" s="7" t="s">
        <v>60</v>
      </c>
      <c r="H9" s="7" t="s">
        <v>55</v>
      </c>
    </row>
    <row r="10" spans="1:8">
      <c r="A10" s="7" t="s">
        <v>61</v>
      </c>
      <c r="B10" s="16">
        <v>2017</v>
      </c>
      <c r="C10" s="17" t="s">
        <v>59</v>
      </c>
      <c r="D10" s="17">
        <v>2017</v>
      </c>
      <c r="E10" s="17">
        <v>2017</v>
      </c>
      <c r="F10" s="17">
        <v>2017</v>
      </c>
      <c r="G10" s="7" t="s">
        <v>62</v>
      </c>
      <c r="H10" s="7" t="s">
        <v>63</v>
      </c>
    </row>
    <row r="11" spans="1:8">
      <c r="A11" s="7" t="s">
        <v>64</v>
      </c>
      <c r="B11" s="16" t="s">
        <v>65</v>
      </c>
      <c r="C11" s="17" t="s">
        <v>64</v>
      </c>
      <c r="D11" s="17" t="s">
        <v>65</v>
      </c>
      <c r="E11" s="17" t="s">
        <v>65</v>
      </c>
      <c r="F11" s="17" t="s">
        <v>65</v>
      </c>
      <c r="G11" s="7" t="s">
        <v>66</v>
      </c>
      <c r="H11" s="7" t="s">
        <v>67</v>
      </c>
    </row>
    <row r="12" spans="1:8">
      <c r="A12" s="7" t="s">
        <v>68</v>
      </c>
      <c r="B12" s="16" t="s">
        <v>69</v>
      </c>
      <c r="C12" s="17" t="s">
        <v>70</v>
      </c>
      <c r="D12" s="17" t="s">
        <v>69</v>
      </c>
      <c r="E12" s="17" t="s">
        <v>69</v>
      </c>
      <c r="F12" s="17" t="s">
        <v>69</v>
      </c>
      <c r="G12" s="7" t="s">
        <v>71</v>
      </c>
      <c r="H12" s="7" t="s">
        <v>51</v>
      </c>
    </row>
    <row r="13" spans="1:8">
      <c r="A13" s="7" t="s">
        <v>72</v>
      </c>
      <c r="B13" s="16" t="s">
        <v>73</v>
      </c>
      <c r="C13" s="17" t="s">
        <v>70</v>
      </c>
      <c r="D13" s="17" t="s">
        <v>73</v>
      </c>
      <c r="E13" s="17" t="s">
        <v>73</v>
      </c>
      <c r="F13" s="17" t="s">
        <v>74</v>
      </c>
      <c r="G13" s="7" t="s">
        <v>75</v>
      </c>
      <c r="H13" s="7" t="s">
        <v>76</v>
      </c>
    </row>
    <row r="14" spans="1:8">
      <c r="A14" s="7" t="s">
        <v>77</v>
      </c>
      <c r="B14" s="18">
        <v>0.1</v>
      </c>
      <c r="C14" s="19" t="s">
        <v>78</v>
      </c>
      <c r="D14" s="19">
        <v>0.1</v>
      </c>
      <c r="E14" s="19">
        <v>0</v>
      </c>
      <c r="F14" s="19">
        <v>0.2</v>
      </c>
      <c r="G14" s="7" t="s">
        <v>79</v>
      </c>
      <c r="H14" s="7" t="s">
        <v>80</v>
      </c>
    </row>
    <row r="15" spans="1:8">
      <c r="A15" s="7" t="s">
        <v>81</v>
      </c>
      <c r="B15" s="16">
        <v>3</v>
      </c>
      <c r="C15" s="17" t="s">
        <v>82</v>
      </c>
      <c r="D15" s="17">
        <v>3</v>
      </c>
      <c r="E15" s="17">
        <v>3</v>
      </c>
      <c r="F15" s="17">
        <v>3</v>
      </c>
      <c r="G15" s="7" t="s">
        <v>83</v>
      </c>
      <c r="H15" s="7" t="s">
        <v>84</v>
      </c>
    </row>
    <row r="16" spans="1:8">
      <c r="A16" s="7" t="s">
        <v>85</v>
      </c>
      <c r="B16" s="16">
        <v>0</v>
      </c>
      <c r="C16" s="17" t="s">
        <v>86</v>
      </c>
      <c r="D16" s="17">
        <v>0</v>
      </c>
      <c r="E16" s="17">
        <v>0</v>
      </c>
      <c r="F16" s="17">
        <v>0.5</v>
      </c>
      <c r="G16" s="7" t="s">
        <v>87</v>
      </c>
      <c r="H16" s="7" t="s">
        <v>88</v>
      </c>
    </row>
    <row r="17" spans="1:8">
      <c r="A17" s="8" t="s">
        <v>89</v>
      </c>
      <c r="B17" s="20">
        <v>1</v>
      </c>
      <c r="C17" s="21" t="s">
        <v>90</v>
      </c>
      <c r="D17" s="21">
        <v>1</v>
      </c>
      <c r="E17" s="21">
        <v>0</v>
      </c>
      <c r="F17" s="21">
        <v>1</v>
      </c>
      <c r="G17" s="8" t="s">
        <v>91</v>
      </c>
      <c r="H17" s="8" t="s">
        <v>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8"/>
  <sheetViews>
    <sheetView showGridLines="0" workbookViewId="0"/>
  </sheetViews>
  <sheetFormatPr defaultRowHeight="13.8"/>
  <cols>
    <col min="1" max="1" width="26" customWidth="1"/>
    <col min="2" max="2" width="34" customWidth="1"/>
    <col min="3" max="3" width="20" customWidth="1"/>
    <col min="4" max="4" width="60" customWidth="1"/>
    <col min="5" max="5" width="3" customWidth="1"/>
    <col min="6" max="6" width="18" customWidth="1"/>
    <col min="7" max="7" width="28" customWidth="1"/>
    <col min="8" max="8" width="34" customWidth="1"/>
    <col min="9" max="9" width="30" customWidth="1"/>
    <col min="10" max="10" width="3" customWidth="1"/>
    <col min="11" max="11" width="24" customWidth="1"/>
    <col min="12" max="12" width="52" customWidth="1"/>
    <col min="13" max="13" width="38" customWidth="1"/>
    <col min="14" max="14" width="16" customWidth="1"/>
  </cols>
  <sheetData>
    <row r="1" spans="1:14">
      <c r="A1" s="22" t="s">
        <v>93</v>
      </c>
      <c r="B1" s="22" t="s">
        <v>94</v>
      </c>
      <c r="C1" s="22" t="s">
        <v>95</v>
      </c>
      <c r="D1" s="22" t="s">
        <v>96</v>
      </c>
      <c r="F1" s="22" t="s">
        <v>97</v>
      </c>
      <c r="G1" s="22" t="s">
        <v>98</v>
      </c>
      <c r="H1" s="22" t="s">
        <v>99</v>
      </c>
      <c r="I1" s="22" t="s">
        <v>100</v>
      </c>
      <c r="K1" s="22" t="s">
        <v>101</v>
      </c>
      <c r="L1" s="22" t="s">
        <v>102</v>
      </c>
      <c r="M1" s="22" t="s">
        <v>103</v>
      </c>
      <c r="N1" s="22" t="s">
        <v>104</v>
      </c>
    </row>
    <row r="2" spans="1:14">
      <c r="A2" s="23" t="s">
        <v>105</v>
      </c>
      <c r="B2" s="23" t="s">
        <v>106</v>
      </c>
      <c r="C2" s="23" t="s">
        <v>107</v>
      </c>
      <c r="D2" s="23" t="s">
        <v>108</v>
      </c>
      <c r="E2" s="23"/>
      <c r="F2" s="23" t="s">
        <v>109</v>
      </c>
      <c r="G2" s="23" t="s">
        <v>110</v>
      </c>
      <c r="H2" s="23" t="s">
        <v>111</v>
      </c>
      <c r="I2" s="23" t="s">
        <v>78</v>
      </c>
      <c r="J2" s="23"/>
      <c r="K2" s="23" t="s">
        <v>112</v>
      </c>
      <c r="L2" s="23" t="s">
        <v>113</v>
      </c>
      <c r="M2" s="23" t="s">
        <v>114</v>
      </c>
      <c r="N2" s="23">
        <v>0</v>
      </c>
    </row>
    <row r="3" spans="1:14">
      <c r="A3" s="23" t="s">
        <v>115</v>
      </c>
      <c r="B3" s="23" t="s">
        <v>116</v>
      </c>
      <c r="C3" s="23" t="s">
        <v>117</v>
      </c>
      <c r="D3" s="23" t="s">
        <v>118</v>
      </c>
      <c r="E3" s="23"/>
      <c r="F3" s="23" t="s">
        <v>119</v>
      </c>
      <c r="G3" s="23" t="s">
        <v>120</v>
      </c>
      <c r="H3" s="23" t="s">
        <v>121</v>
      </c>
      <c r="I3" s="23" t="s">
        <v>122</v>
      </c>
      <c r="J3" s="23"/>
      <c r="K3" s="23" t="s">
        <v>123</v>
      </c>
      <c r="L3" s="23" t="s">
        <v>124</v>
      </c>
      <c r="M3" s="23" t="s">
        <v>114</v>
      </c>
      <c r="N3" s="23">
        <v>0</v>
      </c>
    </row>
    <row r="4" spans="1:14">
      <c r="A4" s="23" t="s">
        <v>125</v>
      </c>
      <c r="B4" s="23" t="s">
        <v>126</v>
      </c>
      <c r="C4" s="23" t="s">
        <v>107</v>
      </c>
      <c r="D4" s="23" t="s">
        <v>127</v>
      </c>
      <c r="E4" s="23"/>
      <c r="F4" s="23" t="s">
        <v>128</v>
      </c>
      <c r="G4" s="23" t="s">
        <v>129</v>
      </c>
      <c r="H4" s="23" t="s">
        <v>130</v>
      </c>
      <c r="I4" s="23" t="s">
        <v>82</v>
      </c>
      <c r="J4" s="23"/>
      <c r="K4" s="23" t="s">
        <v>131</v>
      </c>
      <c r="L4" s="23" t="s">
        <v>132</v>
      </c>
      <c r="M4" s="23" t="s">
        <v>132</v>
      </c>
      <c r="N4" s="23">
        <v>1</v>
      </c>
    </row>
    <row r="5" spans="1:14">
      <c r="A5" s="23" t="s">
        <v>133</v>
      </c>
      <c r="B5" s="23" t="s">
        <v>134</v>
      </c>
      <c r="C5" s="23" t="s">
        <v>117</v>
      </c>
      <c r="D5" s="23" t="s">
        <v>135</v>
      </c>
      <c r="E5" s="23"/>
      <c r="F5" s="23" t="s">
        <v>136</v>
      </c>
      <c r="G5" s="23" t="s">
        <v>137</v>
      </c>
      <c r="H5" s="23" t="s">
        <v>138</v>
      </c>
      <c r="I5" s="23" t="s">
        <v>86</v>
      </c>
      <c r="J5" s="23"/>
      <c r="K5" s="23" t="s">
        <v>139</v>
      </c>
      <c r="L5" s="23" t="s">
        <v>140</v>
      </c>
      <c r="M5" s="23" t="s">
        <v>140</v>
      </c>
      <c r="N5" s="23">
        <v>1</v>
      </c>
    </row>
    <row r="6" spans="1:14">
      <c r="A6" s="23" t="s">
        <v>141</v>
      </c>
      <c r="B6" s="23" t="s">
        <v>142</v>
      </c>
      <c r="C6" s="23" t="s">
        <v>143</v>
      </c>
      <c r="D6" s="23" t="s">
        <v>144</v>
      </c>
      <c r="E6" s="23"/>
      <c r="F6" s="23"/>
      <c r="G6" s="23"/>
      <c r="H6" s="23"/>
      <c r="I6" s="23"/>
      <c r="J6" s="23"/>
      <c r="K6" s="23" t="s">
        <v>145</v>
      </c>
      <c r="L6" s="23" t="s">
        <v>146</v>
      </c>
      <c r="M6" s="23" t="s">
        <v>146</v>
      </c>
      <c r="N6" s="23">
        <v>1</v>
      </c>
    </row>
    <row r="7" spans="1:14">
      <c r="A7" s="23" t="s">
        <v>147</v>
      </c>
      <c r="B7" s="23" t="s">
        <v>148</v>
      </c>
      <c r="C7" s="23" t="s">
        <v>143</v>
      </c>
      <c r="D7" s="23" t="s">
        <v>149</v>
      </c>
      <c r="E7" s="23"/>
      <c r="F7" s="23"/>
      <c r="G7" s="23"/>
      <c r="H7" s="23"/>
      <c r="I7" s="23"/>
      <c r="J7" s="23"/>
      <c r="K7" s="23" t="s">
        <v>150</v>
      </c>
      <c r="L7" s="23" t="s">
        <v>151</v>
      </c>
      <c r="M7" s="23" t="s">
        <v>151</v>
      </c>
      <c r="N7" s="23">
        <v>1</v>
      </c>
    </row>
    <row r="8" spans="1:14">
      <c r="A8" s="23"/>
      <c r="B8" s="23"/>
      <c r="C8" s="23"/>
      <c r="D8" s="23"/>
      <c r="E8" s="23"/>
      <c r="F8" s="23"/>
      <c r="G8" s="23"/>
      <c r="H8" s="23"/>
      <c r="I8" s="23"/>
      <c r="J8" s="23"/>
      <c r="K8" s="23" t="s">
        <v>152</v>
      </c>
      <c r="L8" s="23" t="s">
        <v>153</v>
      </c>
      <c r="M8" s="23" t="s">
        <v>154</v>
      </c>
      <c r="N8" s="23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0"/>
  <sheetViews>
    <sheetView showGridLines="0" workbookViewId="0"/>
  </sheetViews>
  <sheetFormatPr defaultRowHeight="13.8"/>
  <cols>
    <col min="1" max="1" width="34" customWidth="1"/>
    <col min="2" max="2" width="26" customWidth="1"/>
    <col min="3" max="3" width="16" customWidth="1"/>
    <col min="4" max="4" width="28" customWidth="1"/>
    <col min="5" max="5" width="24" customWidth="1"/>
    <col min="6" max="6" width="25" customWidth="1"/>
    <col min="7" max="7" width="48" customWidth="1"/>
    <col min="8" max="8" width="34" customWidth="1"/>
    <col min="9" max="9" width="26" customWidth="1"/>
    <col min="10" max="10" width="32" customWidth="1"/>
    <col min="11" max="11" width="20" customWidth="1"/>
    <col min="12" max="12" width="18" customWidth="1"/>
    <col min="13" max="13" width="24" customWidth="1"/>
    <col min="14" max="14" width="12" customWidth="1"/>
    <col min="15" max="15" width="24" customWidth="1"/>
    <col min="16" max="16" width="60" customWidth="1"/>
    <col min="17" max="17" width="16" customWidth="1"/>
  </cols>
  <sheetData>
    <row r="1" spans="1:17" ht="36" customHeight="1">
      <c r="A1" s="3" t="s">
        <v>155</v>
      </c>
      <c r="B1" s="4" t="s">
        <v>93</v>
      </c>
      <c r="C1" s="4" t="s">
        <v>97</v>
      </c>
      <c r="D1" s="4" t="s">
        <v>94</v>
      </c>
      <c r="E1" s="4" t="s">
        <v>98</v>
      </c>
      <c r="F1" s="4" t="s">
        <v>101</v>
      </c>
      <c r="G1" s="4" t="s">
        <v>102</v>
      </c>
      <c r="H1" s="4" t="s">
        <v>156</v>
      </c>
      <c r="I1" s="4" t="s">
        <v>157</v>
      </c>
      <c r="J1" s="4" t="s">
        <v>158</v>
      </c>
      <c r="K1" s="4" t="s">
        <v>159</v>
      </c>
      <c r="L1" s="4" t="s">
        <v>160</v>
      </c>
      <c r="M1" s="4" t="s">
        <v>161</v>
      </c>
      <c r="N1" s="4" t="s">
        <v>162</v>
      </c>
      <c r="O1" s="4" t="s">
        <v>163</v>
      </c>
      <c r="P1" s="4" t="s">
        <v>164</v>
      </c>
      <c r="Q1" s="5" t="s">
        <v>165</v>
      </c>
    </row>
    <row r="2" spans="1:17">
      <c r="A2" s="6" t="s">
        <v>166</v>
      </c>
      <c r="B2" s="6" t="s">
        <v>105</v>
      </c>
      <c r="C2" s="6" t="s">
        <v>109</v>
      </c>
      <c r="D2" s="6" t="s">
        <v>106</v>
      </c>
      <c r="E2" s="6" t="s">
        <v>110</v>
      </c>
      <c r="F2" s="6" t="s">
        <v>112</v>
      </c>
      <c r="G2" s="6" t="s">
        <v>167</v>
      </c>
      <c r="H2" s="6" t="s">
        <v>166</v>
      </c>
      <c r="I2" s="6" t="s">
        <v>105</v>
      </c>
      <c r="J2" s="6" t="s">
        <v>168</v>
      </c>
      <c r="K2" s="6" t="s">
        <v>169</v>
      </c>
      <c r="L2" s="6" t="s">
        <v>170</v>
      </c>
      <c r="M2" s="6" t="s">
        <v>171</v>
      </c>
      <c r="N2" s="6">
        <v>1</v>
      </c>
      <c r="O2" s="6">
        <v>1</v>
      </c>
      <c r="P2" s="6" t="s">
        <v>172</v>
      </c>
      <c r="Q2" s="24">
        <f t="shared" ref="Q2:Q10" si="0">COUNTIF($A$2:$A$10,A2)</f>
        <v>1</v>
      </c>
    </row>
    <row r="3" spans="1:17">
      <c r="A3" s="7" t="s">
        <v>173</v>
      </c>
      <c r="B3" s="7" t="s">
        <v>115</v>
      </c>
      <c r="C3" s="7" t="s">
        <v>119</v>
      </c>
      <c r="D3" s="7" t="s">
        <v>116</v>
      </c>
      <c r="E3" s="7" t="s">
        <v>120</v>
      </c>
      <c r="F3" s="7" t="s">
        <v>123</v>
      </c>
      <c r="G3" s="7" t="s">
        <v>174</v>
      </c>
      <c r="H3" s="7" t="s">
        <v>173</v>
      </c>
      <c r="I3" s="7" t="s">
        <v>115</v>
      </c>
      <c r="J3" s="7" t="s">
        <v>175</v>
      </c>
      <c r="K3" s="7" t="s">
        <v>169</v>
      </c>
      <c r="L3" s="7" t="s">
        <v>170</v>
      </c>
      <c r="M3" s="7" t="s">
        <v>171</v>
      </c>
      <c r="N3" s="7">
        <v>1</v>
      </c>
      <c r="O3" s="7">
        <v>1</v>
      </c>
      <c r="P3" s="7" t="s">
        <v>172</v>
      </c>
      <c r="Q3" s="25">
        <f t="shared" si="0"/>
        <v>1</v>
      </c>
    </row>
    <row r="4" spans="1:17" ht="22.8">
      <c r="A4" s="7" t="s">
        <v>176</v>
      </c>
      <c r="B4" s="7" t="s">
        <v>125</v>
      </c>
      <c r="C4" s="7" t="s">
        <v>109</v>
      </c>
      <c r="D4" s="7" t="s">
        <v>126</v>
      </c>
      <c r="E4" s="7" t="s">
        <v>110</v>
      </c>
      <c r="F4" s="7" t="s">
        <v>112</v>
      </c>
      <c r="G4" s="7" t="s">
        <v>167</v>
      </c>
      <c r="H4" s="7" t="s">
        <v>176</v>
      </c>
      <c r="I4" s="7" t="s">
        <v>125</v>
      </c>
      <c r="J4" s="7" t="s">
        <v>177</v>
      </c>
      <c r="K4" s="7" t="s">
        <v>169</v>
      </c>
      <c r="L4" s="7" t="s">
        <v>170</v>
      </c>
      <c r="M4" s="7" t="s">
        <v>171</v>
      </c>
      <c r="N4" s="7">
        <v>1</v>
      </c>
      <c r="O4" s="7">
        <v>1</v>
      </c>
      <c r="P4" s="7" t="s">
        <v>172</v>
      </c>
      <c r="Q4" s="25">
        <f t="shared" si="0"/>
        <v>1</v>
      </c>
    </row>
    <row r="5" spans="1:17" ht="22.8">
      <c r="A5" s="7" t="s">
        <v>178</v>
      </c>
      <c r="B5" s="7" t="s">
        <v>133</v>
      </c>
      <c r="C5" s="7" t="s">
        <v>119</v>
      </c>
      <c r="D5" s="7" t="s">
        <v>134</v>
      </c>
      <c r="E5" s="7" t="s">
        <v>120</v>
      </c>
      <c r="F5" s="7" t="s">
        <v>123</v>
      </c>
      <c r="G5" s="7" t="s">
        <v>174</v>
      </c>
      <c r="H5" s="7" t="s">
        <v>178</v>
      </c>
      <c r="I5" s="7" t="s">
        <v>133</v>
      </c>
      <c r="J5" s="7" t="s">
        <v>179</v>
      </c>
      <c r="K5" s="7" t="s">
        <v>169</v>
      </c>
      <c r="L5" s="7" t="s">
        <v>170</v>
      </c>
      <c r="M5" s="7" t="s">
        <v>171</v>
      </c>
      <c r="N5" s="7">
        <v>1</v>
      </c>
      <c r="O5" s="7">
        <v>1</v>
      </c>
      <c r="P5" s="7" t="s">
        <v>172</v>
      </c>
      <c r="Q5" s="25">
        <f t="shared" si="0"/>
        <v>1</v>
      </c>
    </row>
    <row r="6" spans="1:17" ht="22.8">
      <c r="A6" s="7" t="s">
        <v>180</v>
      </c>
      <c r="B6" s="7" t="s">
        <v>141</v>
      </c>
      <c r="C6" s="7" t="s">
        <v>128</v>
      </c>
      <c r="D6" s="7" t="s">
        <v>142</v>
      </c>
      <c r="E6" s="7" t="s">
        <v>129</v>
      </c>
      <c r="F6" s="7" t="s">
        <v>131</v>
      </c>
      <c r="G6" s="7" t="s">
        <v>132</v>
      </c>
      <c r="H6" s="7" t="s">
        <v>180</v>
      </c>
      <c r="I6" s="7" t="s">
        <v>141</v>
      </c>
      <c r="J6" s="7" t="s">
        <v>181</v>
      </c>
      <c r="K6" s="7" t="s">
        <v>169</v>
      </c>
      <c r="L6" s="7" t="s">
        <v>170</v>
      </c>
      <c r="M6" s="7" t="s">
        <v>171</v>
      </c>
      <c r="N6" s="7">
        <v>1</v>
      </c>
      <c r="O6" s="7">
        <v>0</v>
      </c>
      <c r="P6" s="7" t="s">
        <v>182</v>
      </c>
      <c r="Q6" s="25">
        <f t="shared" si="0"/>
        <v>1</v>
      </c>
    </row>
    <row r="7" spans="1:17" ht="22.8">
      <c r="A7" s="7" t="s">
        <v>183</v>
      </c>
      <c r="B7" s="7" t="s">
        <v>141</v>
      </c>
      <c r="C7" s="7" t="s">
        <v>128</v>
      </c>
      <c r="D7" s="7" t="s">
        <v>142</v>
      </c>
      <c r="E7" s="7" t="s">
        <v>129</v>
      </c>
      <c r="F7" s="7" t="s">
        <v>139</v>
      </c>
      <c r="G7" s="7" t="s">
        <v>140</v>
      </c>
      <c r="H7" s="7" t="s">
        <v>183</v>
      </c>
      <c r="I7" s="7" t="s">
        <v>141</v>
      </c>
      <c r="J7" s="7" t="s">
        <v>181</v>
      </c>
      <c r="K7" s="7" t="s">
        <v>169</v>
      </c>
      <c r="L7" s="7" t="s">
        <v>170</v>
      </c>
      <c r="M7" s="7" t="s">
        <v>171</v>
      </c>
      <c r="N7" s="7">
        <v>1</v>
      </c>
      <c r="O7" s="7">
        <v>0</v>
      </c>
      <c r="P7" s="7" t="s">
        <v>182</v>
      </c>
      <c r="Q7" s="25">
        <f t="shared" si="0"/>
        <v>1</v>
      </c>
    </row>
    <row r="8" spans="1:17" ht="22.8">
      <c r="A8" s="7" t="s">
        <v>184</v>
      </c>
      <c r="B8" s="7" t="s">
        <v>141</v>
      </c>
      <c r="C8" s="7" t="s">
        <v>128</v>
      </c>
      <c r="D8" s="7" t="s">
        <v>142</v>
      </c>
      <c r="E8" s="7" t="s">
        <v>129</v>
      </c>
      <c r="F8" s="7" t="s">
        <v>145</v>
      </c>
      <c r="G8" s="7" t="s">
        <v>146</v>
      </c>
      <c r="H8" s="7" t="s">
        <v>184</v>
      </c>
      <c r="I8" s="7" t="s">
        <v>141</v>
      </c>
      <c r="J8" s="7" t="s">
        <v>181</v>
      </c>
      <c r="K8" s="7" t="s">
        <v>169</v>
      </c>
      <c r="L8" s="7" t="s">
        <v>170</v>
      </c>
      <c r="M8" s="7" t="s">
        <v>171</v>
      </c>
      <c r="N8" s="7">
        <v>1</v>
      </c>
      <c r="O8" s="7">
        <v>0</v>
      </c>
      <c r="P8" s="7" t="s">
        <v>182</v>
      </c>
      <c r="Q8" s="25">
        <f t="shared" si="0"/>
        <v>1</v>
      </c>
    </row>
    <row r="9" spans="1:17" ht="22.8">
      <c r="A9" s="7" t="s">
        <v>185</v>
      </c>
      <c r="B9" s="7" t="s">
        <v>141</v>
      </c>
      <c r="C9" s="7" t="s">
        <v>128</v>
      </c>
      <c r="D9" s="7" t="s">
        <v>142</v>
      </c>
      <c r="E9" s="7" t="s">
        <v>129</v>
      </c>
      <c r="F9" s="7" t="s">
        <v>150</v>
      </c>
      <c r="G9" s="7" t="s">
        <v>151</v>
      </c>
      <c r="H9" s="7" t="s">
        <v>185</v>
      </c>
      <c r="I9" s="7" t="s">
        <v>141</v>
      </c>
      <c r="J9" s="7" t="s">
        <v>181</v>
      </c>
      <c r="K9" s="7" t="s">
        <v>169</v>
      </c>
      <c r="L9" s="7" t="s">
        <v>170</v>
      </c>
      <c r="M9" s="7" t="s">
        <v>171</v>
      </c>
      <c r="N9" s="7">
        <v>1</v>
      </c>
      <c r="O9" s="7">
        <v>0</v>
      </c>
      <c r="P9" s="7" t="s">
        <v>182</v>
      </c>
      <c r="Q9" s="25">
        <f t="shared" si="0"/>
        <v>1</v>
      </c>
    </row>
    <row r="10" spans="1:17" ht="22.8">
      <c r="A10" s="8" t="s">
        <v>186</v>
      </c>
      <c r="B10" s="8" t="s">
        <v>147</v>
      </c>
      <c r="C10" s="8" t="s">
        <v>136</v>
      </c>
      <c r="D10" s="8" t="s">
        <v>148</v>
      </c>
      <c r="E10" s="8" t="s">
        <v>137</v>
      </c>
      <c r="F10" s="8" t="s">
        <v>131</v>
      </c>
      <c r="G10" s="8" t="s">
        <v>132</v>
      </c>
      <c r="H10" s="8" t="s">
        <v>186</v>
      </c>
      <c r="I10" s="8" t="s">
        <v>147</v>
      </c>
      <c r="J10" s="8" t="s">
        <v>187</v>
      </c>
      <c r="K10" s="8" t="s">
        <v>169</v>
      </c>
      <c r="L10" s="8" t="s">
        <v>170</v>
      </c>
      <c r="M10" s="8" t="s">
        <v>171</v>
      </c>
      <c r="N10" s="8">
        <v>1</v>
      </c>
      <c r="O10" s="8">
        <v>0</v>
      </c>
      <c r="P10" s="8" t="s">
        <v>188</v>
      </c>
      <c r="Q10" s="26">
        <f t="shared" si="0"/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2"/>
  <sheetViews>
    <sheetView showGridLines="0" workbookViewId="0"/>
  </sheetViews>
  <sheetFormatPr defaultRowHeight="13.8"/>
  <cols>
    <col min="1" max="1" width="24" customWidth="1"/>
    <col min="2" max="2" width="26" customWidth="1"/>
    <col min="3" max="3" width="28" customWidth="1"/>
    <col min="4" max="4" width="44" customWidth="1"/>
    <col min="5" max="5" width="34" customWidth="1"/>
    <col min="6" max="7" width="18" customWidth="1"/>
    <col min="8" max="8" width="26" customWidth="1"/>
    <col min="9" max="9" width="20" customWidth="1"/>
    <col min="10" max="10" width="30" customWidth="1"/>
    <col min="11" max="11" width="26" customWidth="1"/>
    <col min="12" max="12" width="42" customWidth="1"/>
    <col min="13" max="13" width="18" customWidth="1"/>
    <col min="14" max="14" width="62" customWidth="1"/>
    <col min="15" max="15" width="20" customWidth="1"/>
  </cols>
  <sheetData>
    <row r="1" spans="1:15" ht="36" customHeight="1">
      <c r="A1" s="3" t="s">
        <v>189</v>
      </c>
      <c r="B1" s="4" t="s">
        <v>93</v>
      </c>
      <c r="C1" s="4" t="s">
        <v>94</v>
      </c>
      <c r="D1" s="4" t="s">
        <v>190</v>
      </c>
      <c r="E1" s="4" t="s">
        <v>191</v>
      </c>
      <c r="F1" s="4" t="s">
        <v>192</v>
      </c>
      <c r="G1" s="4" t="s">
        <v>193</v>
      </c>
      <c r="H1" s="4" t="s">
        <v>194</v>
      </c>
      <c r="I1" s="4" t="s">
        <v>195</v>
      </c>
      <c r="J1" s="4" t="s">
        <v>196</v>
      </c>
      <c r="K1" s="4" t="s">
        <v>197</v>
      </c>
      <c r="L1" s="4" t="s">
        <v>35</v>
      </c>
      <c r="M1" s="4" t="s">
        <v>198</v>
      </c>
      <c r="N1" s="4" t="s">
        <v>164</v>
      </c>
      <c r="O1" s="5" t="s">
        <v>199</v>
      </c>
    </row>
    <row r="2" spans="1:15">
      <c r="A2" s="6" t="s">
        <v>200</v>
      </c>
      <c r="B2" s="6" t="s">
        <v>105</v>
      </c>
      <c r="C2" s="6" t="s">
        <v>106</v>
      </c>
      <c r="D2" s="6" t="s">
        <v>201</v>
      </c>
      <c r="E2" s="6" t="s">
        <v>202</v>
      </c>
      <c r="F2" s="27"/>
      <c r="G2" s="27">
        <v>0.75</v>
      </c>
      <c r="H2" s="6" t="s">
        <v>78</v>
      </c>
      <c r="I2" s="29">
        <v>-0.48</v>
      </c>
      <c r="J2" s="29" t="s">
        <v>203</v>
      </c>
      <c r="K2" s="30" t="str">
        <f t="shared" ref="K2:K12" si="0">IF(ISBLANK(F2),"",IF(E2="tax_share_to_price_elasticity",MIN(1,ABS(I2)*MAX(0,(1-F2)/(1-G2)-1)),IF(E2="price_elasticity",MIN(1,ABS(I2)*MAX(0,G2-F2)),IF(E2="coverage_gap_multiplicative",MIN(1,I2*MAX(0,G2-F2)),IF(E2="score_lookup",IF(F2&lt;=2,1,IF(F2=3,0.297,0)),"")))))</f>
        <v/>
      </c>
      <c r="L2" s="6" t="s">
        <v>204</v>
      </c>
      <c r="M2" s="6" t="s">
        <v>18</v>
      </c>
      <c r="N2" s="6" t="s">
        <v>205</v>
      </c>
      <c r="O2" s="6" t="str">
        <f t="shared" ref="O2:O12" si="1">IF(OR(ISBLANK(F2),ISBLANK(G2)),"MISSING INPUT",IF(G2&lt;F2,"BAD TARGET","OK"))</f>
        <v>MISSING INPUT</v>
      </c>
    </row>
    <row r="3" spans="1:15">
      <c r="A3" s="7" t="s">
        <v>206</v>
      </c>
      <c r="B3" s="7" t="s">
        <v>115</v>
      </c>
      <c r="C3" s="7" t="s">
        <v>116</v>
      </c>
      <c r="D3" s="7" t="s">
        <v>207</v>
      </c>
      <c r="E3" s="7" t="s">
        <v>208</v>
      </c>
      <c r="F3" s="12">
        <v>0</v>
      </c>
      <c r="G3" s="12">
        <v>0.25</v>
      </c>
      <c r="H3" s="7" t="s">
        <v>209</v>
      </c>
      <c r="I3" s="13">
        <v>-0.49</v>
      </c>
      <c r="J3" s="13" t="s">
        <v>203</v>
      </c>
      <c r="K3" s="31">
        <f t="shared" si="0"/>
        <v>0.1225</v>
      </c>
      <c r="L3" s="7" t="s">
        <v>210</v>
      </c>
      <c r="M3" s="7" t="s">
        <v>211</v>
      </c>
      <c r="N3" s="7" t="s">
        <v>212</v>
      </c>
      <c r="O3" s="7" t="str">
        <f t="shared" si="1"/>
        <v>OK</v>
      </c>
    </row>
    <row r="4" spans="1:15">
      <c r="A4" s="7" t="s">
        <v>213</v>
      </c>
      <c r="B4" s="7" t="s">
        <v>125</v>
      </c>
      <c r="C4" s="7" t="s">
        <v>126</v>
      </c>
      <c r="D4" s="7" t="s">
        <v>214</v>
      </c>
      <c r="E4" s="7" t="s">
        <v>215</v>
      </c>
      <c r="F4" s="12">
        <v>0</v>
      </c>
      <c r="G4" s="12">
        <v>1</v>
      </c>
      <c r="H4" s="7" t="s">
        <v>216</v>
      </c>
      <c r="I4" s="13">
        <v>0.11</v>
      </c>
      <c r="J4" s="13" t="s">
        <v>217</v>
      </c>
      <c r="K4" s="31">
        <f t="shared" si="0"/>
        <v>0.11</v>
      </c>
      <c r="L4" s="7" t="s">
        <v>204</v>
      </c>
      <c r="M4" s="7" t="s">
        <v>22</v>
      </c>
      <c r="N4" s="7" t="s">
        <v>218</v>
      </c>
      <c r="O4" s="7" t="str">
        <f t="shared" si="1"/>
        <v>OK</v>
      </c>
    </row>
    <row r="5" spans="1:15">
      <c r="A5" s="7" t="s">
        <v>219</v>
      </c>
      <c r="B5" s="7" t="s">
        <v>125</v>
      </c>
      <c r="C5" s="7" t="s">
        <v>126</v>
      </c>
      <c r="D5" s="7" t="s">
        <v>220</v>
      </c>
      <c r="E5" s="7" t="s">
        <v>215</v>
      </c>
      <c r="F5" s="12">
        <v>0</v>
      </c>
      <c r="G5" s="12">
        <v>1</v>
      </c>
      <c r="H5" s="7" t="s">
        <v>216</v>
      </c>
      <c r="I5" s="13">
        <v>6.5000000000000002E-2</v>
      </c>
      <c r="J5" s="13" t="s">
        <v>217</v>
      </c>
      <c r="K5" s="31">
        <f t="shared" si="0"/>
        <v>6.5000000000000002E-2</v>
      </c>
      <c r="L5" s="7" t="s">
        <v>204</v>
      </c>
      <c r="M5" s="7" t="s">
        <v>22</v>
      </c>
      <c r="N5" s="7" t="s">
        <v>218</v>
      </c>
      <c r="O5" s="7" t="str">
        <f t="shared" si="1"/>
        <v>OK</v>
      </c>
    </row>
    <row r="6" spans="1:15">
      <c r="A6" s="7" t="s">
        <v>221</v>
      </c>
      <c r="B6" s="7" t="s">
        <v>125</v>
      </c>
      <c r="C6" s="7" t="s">
        <v>126</v>
      </c>
      <c r="D6" s="7" t="s">
        <v>222</v>
      </c>
      <c r="E6" s="7" t="s">
        <v>215</v>
      </c>
      <c r="F6" s="12">
        <v>0</v>
      </c>
      <c r="G6" s="12">
        <v>1</v>
      </c>
      <c r="H6" s="7" t="s">
        <v>216</v>
      </c>
      <c r="I6" s="13">
        <v>0.04</v>
      </c>
      <c r="J6" s="13" t="s">
        <v>217</v>
      </c>
      <c r="K6" s="31">
        <f t="shared" si="0"/>
        <v>0.04</v>
      </c>
      <c r="L6" s="7" t="s">
        <v>204</v>
      </c>
      <c r="M6" s="7" t="s">
        <v>22</v>
      </c>
      <c r="N6" s="7" t="s">
        <v>218</v>
      </c>
      <c r="O6" s="7" t="str">
        <f t="shared" si="1"/>
        <v>OK</v>
      </c>
    </row>
    <row r="7" spans="1:15">
      <c r="A7" s="7" t="s">
        <v>223</v>
      </c>
      <c r="B7" s="7" t="s">
        <v>133</v>
      </c>
      <c r="C7" s="7" t="s">
        <v>134</v>
      </c>
      <c r="D7" s="7" t="s">
        <v>224</v>
      </c>
      <c r="E7" s="7" t="s">
        <v>215</v>
      </c>
      <c r="F7" s="12">
        <v>0</v>
      </c>
      <c r="G7" s="12">
        <v>1</v>
      </c>
      <c r="H7" s="7" t="s">
        <v>216</v>
      </c>
      <c r="I7" s="13">
        <v>0.26900000000000002</v>
      </c>
      <c r="J7" s="13" t="s">
        <v>217</v>
      </c>
      <c r="K7" s="31">
        <f t="shared" si="0"/>
        <v>0.26900000000000002</v>
      </c>
      <c r="L7" s="7" t="s">
        <v>210</v>
      </c>
      <c r="M7" s="7" t="s">
        <v>22</v>
      </c>
      <c r="N7" s="7" t="s">
        <v>218</v>
      </c>
      <c r="O7" s="7" t="str">
        <f t="shared" si="1"/>
        <v>OK</v>
      </c>
    </row>
    <row r="8" spans="1:15">
      <c r="A8" s="7" t="s">
        <v>225</v>
      </c>
      <c r="B8" s="7" t="s">
        <v>141</v>
      </c>
      <c r="C8" s="7" t="s">
        <v>142</v>
      </c>
      <c r="D8" s="7" t="s">
        <v>226</v>
      </c>
      <c r="E8" s="7" t="s">
        <v>215</v>
      </c>
      <c r="F8" s="12">
        <v>0</v>
      </c>
      <c r="G8" s="12">
        <v>1</v>
      </c>
      <c r="H8" s="7" t="s">
        <v>216</v>
      </c>
      <c r="I8" s="13">
        <v>0.2</v>
      </c>
      <c r="J8" s="13" t="s">
        <v>227</v>
      </c>
      <c r="K8" s="31">
        <f t="shared" si="0"/>
        <v>0.2</v>
      </c>
      <c r="L8" s="7" t="s">
        <v>84</v>
      </c>
      <c r="M8" s="7" t="s">
        <v>22</v>
      </c>
      <c r="N8" s="7" t="s">
        <v>228</v>
      </c>
      <c r="O8" s="7" t="str">
        <f t="shared" si="1"/>
        <v>OK</v>
      </c>
    </row>
    <row r="9" spans="1:15">
      <c r="A9" s="7" t="s">
        <v>229</v>
      </c>
      <c r="B9" s="7" t="s">
        <v>141</v>
      </c>
      <c r="C9" s="7" t="s">
        <v>142</v>
      </c>
      <c r="D9" s="7" t="s">
        <v>230</v>
      </c>
      <c r="E9" s="7" t="s">
        <v>215</v>
      </c>
      <c r="F9" s="12">
        <v>0</v>
      </c>
      <c r="G9" s="12">
        <v>1</v>
      </c>
      <c r="H9" s="7" t="s">
        <v>216</v>
      </c>
      <c r="I9" s="13">
        <v>0.1</v>
      </c>
      <c r="J9" s="13" t="s">
        <v>227</v>
      </c>
      <c r="K9" s="31">
        <f t="shared" si="0"/>
        <v>0.1</v>
      </c>
      <c r="L9" s="7" t="s">
        <v>84</v>
      </c>
      <c r="M9" s="7" t="s">
        <v>22</v>
      </c>
      <c r="N9" s="7" t="s">
        <v>218</v>
      </c>
      <c r="O9" s="7" t="str">
        <f t="shared" si="1"/>
        <v>OK</v>
      </c>
    </row>
    <row r="10" spans="1:15">
      <c r="A10" s="7" t="s">
        <v>231</v>
      </c>
      <c r="B10" s="7" t="s">
        <v>141</v>
      </c>
      <c r="C10" s="7" t="s">
        <v>142</v>
      </c>
      <c r="D10" s="7" t="s">
        <v>232</v>
      </c>
      <c r="E10" s="7" t="s">
        <v>215</v>
      </c>
      <c r="F10" s="12">
        <v>0</v>
      </c>
      <c r="G10" s="12">
        <v>1</v>
      </c>
      <c r="H10" s="7" t="s">
        <v>216</v>
      </c>
      <c r="I10" s="13">
        <v>0.05</v>
      </c>
      <c r="J10" s="13" t="s">
        <v>227</v>
      </c>
      <c r="K10" s="31">
        <f t="shared" si="0"/>
        <v>0.05</v>
      </c>
      <c r="L10" s="7" t="s">
        <v>84</v>
      </c>
      <c r="M10" s="7" t="s">
        <v>22</v>
      </c>
      <c r="N10" s="7" t="s">
        <v>218</v>
      </c>
      <c r="O10" s="7" t="str">
        <f t="shared" si="1"/>
        <v>OK</v>
      </c>
    </row>
    <row r="11" spans="1:15">
      <c r="A11" s="7" t="s">
        <v>233</v>
      </c>
      <c r="B11" s="7" t="s">
        <v>141</v>
      </c>
      <c r="C11" s="7" t="s">
        <v>142</v>
      </c>
      <c r="D11" s="7" t="s">
        <v>234</v>
      </c>
      <c r="E11" s="7" t="s">
        <v>215</v>
      </c>
      <c r="F11" s="12">
        <v>0</v>
      </c>
      <c r="G11" s="12">
        <v>1</v>
      </c>
      <c r="H11" s="7" t="s">
        <v>216</v>
      </c>
      <c r="I11" s="13">
        <v>7.0000000000000007E-2</v>
      </c>
      <c r="J11" s="13" t="s">
        <v>227</v>
      </c>
      <c r="K11" s="31">
        <f t="shared" si="0"/>
        <v>7.0000000000000007E-2</v>
      </c>
      <c r="L11" s="7" t="s">
        <v>84</v>
      </c>
      <c r="M11" s="7" t="s">
        <v>22</v>
      </c>
      <c r="N11" s="7" t="s">
        <v>218</v>
      </c>
      <c r="O11" s="7" t="str">
        <f t="shared" si="1"/>
        <v>OK</v>
      </c>
    </row>
    <row r="12" spans="1:15">
      <c r="A12" s="8" t="s">
        <v>235</v>
      </c>
      <c r="B12" s="8" t="s">
        <v>147</v>
      </c>
      <c r="C12" s="8" t="s">
        <v>148</v>
      </c>
      <c r="D12" s="8" t="s">
        <v>236</v>
      </c>
      <c r="E12" s="8" t="s">
        <v>237</v>
      </c>
      <c r="F12" s="28"/>
      <c r="G12" s="28">
        <v>4</v>
      </c>
      <c r="H12" s="8" t="s">
        <v>238</v>
      </c>
      <c r="I12" s="32"/>
      <c r="J12" s="32" t="s">
        <v>239</v>
      </c>
      <c r="K12" s="33" t="str">
        <f t="shared" si="0"/>
        <v/>
      </c>
      <c r="L12" s="8" t="s">
        <v>88</v>
      </c>
      <c r="M12" s="8" t="s">
        <v>18</v>
      </c>
      <c r="N12" s="8" t="s">
        <v>240</v>
      </c>
      <c r="O12" s="8" t="str">
        <f t="shared" si="1"/>
        <v>MISSING INPUT</v>
      </c>
    </row>
  </sheetData>
  <conditionalFormatting sqref="M2:M12">
    <cfRule type="containsText" dxfId="29" priority="1" operator="containsText" text="OK"/>
    <cfRule type="containsText" dxfId="28" priority="4" operator="containsText" text="FAIL"/>
    <cfRule type="containsText" dxfId="27" priority="7" operator="containsText" text="REVIEW"/>
  </conditionalFormatting>
  <conditionalFormatting sqref="O2:O12">
    <cfRule type="containsText" dxfId="26" priority="8" operator="containsText" text="OK"/>
    <cfRule type="containsText" dxfId="25" priority="11" operator="containsText" text="FAIL"/>
    <cfRule type="containsText" dxfId="24" priority="14" operator="containsText" text="REVIEW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7"/>
  <sheetViews>
    <sheetView showGridLines="0" workbookViewId="0"/>
  </sheetViews>
  <sheetFormatPr defaultRowHeight="13.8"/>
  <cols>
    <col min="1" max="1" width="22" customWidth="1"/>
    <col min="2" max="2" width="26" customWidth="1"/>
    <col min="3" max="3" width="16" customWidth="1"/>
    <col min="4" max="4" width="28" customWidth="1"/>
    <col min="5" max="5" width="36" customWidth="1"/>
    <col min="6" max="6" width="30" customWidth="1"/>
    <col min="7" max="7" width="20" customWidth="1"/>
    <col min="8" max="8" width="18" customWidth="1"/>
    <col min="9" max="9" width="26" customWidth="1"/>
    <col min="10" max="10" width="30" customWidth="1"/>
    <col min="11" max="11" width="28" customWidth="1"/>
    <col min="12" max="12" width="18" customWidth="1"/>
    <col min="13" max="15" width="20" customWidth="1"/>
    <col min="16" max="17" width="14" customWidth="1"/>
    <col min="18" max="18" width="22" customWidth="1"/>
    <col min="19" max="19" width="48" customWidth="1"/>
    <col min="20" max="20" width="18" customWidth="1"/>
    <col min="21" max="21" width="22" customWidth="1"/>
  </cols>
  <sheetData>
    <row r="1" spans="1:21" ht="36" customHeight="1">
      <c r="A1" s="3" t="s">
        <v>241</v>
      </c>
      <c r="B1" s="4" t="s">
        <v>93</v>
      </c>
      <c r="C1" s="4" t="s">
        <v>97</v>
      </c>
      <c r="D1" s="4" t="s">
        <v>94</v>
      </c>
      <c r="E1" s="4" t="s">
        <v>242</v>
      </c>
      <c r="F1" s="4" t="s">
        <v>100</v>
      </c>
      <c r="G1" s="4" t="s">
        <v>243</v>
      </c>
      <c r="H1" s="4" t="s">
        <v>244</v>
      </c>
      <c r="I1" s="4" t="s">
        <v>245</v>
      </c>
      <c r="J1" s="4" t="s">
        <v>246</v>
      </c>
      <c r="K1" s="4" t="s">
        <v>247</v>
      </c>
      <c r="L1" s="4" t="s">
        <v>248</v>
      </c>
      <c r="M1" s="4" t="s">
        <v>249</v>
      </c>
      <c r="N1" s="4" t="s">
        <v>250</v>
      </c>
      <c r="O1" s="4" t="s">
        <v>251</v>
      </c>
      <c r="P1" s="4" t="s">
        <v>252</v>
      </c>
      <c r="Q1" s="4" t="s">
        <v>253</v>
      </c>
      <c r="R1" s="4" t="s">
        <v>68</v>
      </c>
      <c r="S1" s="4" t="s">
        <v>35</v>
      </c>
      <c r="T1" s="4" t="s">
        <v>198</v>
      </c>
      <c r="U1" s="5" t="s">
        <v>199</v>
      </c>
    </row>
    <row r="2" spans="1:21">
      <c r="A2" s="6" t="s">
        <v>254</v>
      </c>
      <c r="B2" s="6" t="s">
        <v>105</v>
      </c>
      <c r="C2" s="6" t="s">
        <v>109</v>
      </c>
      <c r="D2" s="6" t="s">
        <v>106</v>
      </c>
      <c r="E2" s="6" t="s">
        <v>111</v>
      </c>
      <c r="F2" s="6" t="s">
        <v>78</v>
      </c>
      <c r="G2" s="34"/>
      <c r="H2" s="9" t="s">
        <v>255</v>
      </c>
      <c r="I2" s="27"/>
      <c r="J2" s="30" t="str">
        <f>Policy_Levers!$K$2</f>
        <v/>
      </c>
      <c r="K2" s="30" t="str">
        <f t="shared" ref="K2:K7" si="0">IF(ISBLANK(I2),J2,I2)</f>
        <v/>
      </c>
      <c r="L2" s="24">
        <v>0</v>
      </c>
      <c r="M2" s="38" t="str">
        <f t="shared" ref="M2:M7" si="1">IF(OR(ISBLANK(G2),ISBLANK(K2)),"",IF(H2="relative",MAX(L2,G2*(1-K2)),IF(H2="absolute",MAX(L2,G2-K2),IF(H2="target",MAX(L2,K2),""))))</f>
        <v/>
      </c>
      <c r="N2" s="38" t="str">
        <f t="shared" ref="N2:N7" si="2">IF(M2="","",G2-M2)</f>
        <v/>
      </c>
      <c r="O2" s="30" t="str">
        <f t="shared" ref="O2:O7" si="3">IF(OR(G2="",G2=0,N2=""),"",N2/G2)</f>
        <v/>
      </c>
      <c r="P2" s="24">
        <f>Assumptions!$B$4</f>
        <v>2026</v>
      </c>
      <c r="Q2" s="24">
        <f>Assumptions!$B$5</f>
        <v>2030</v>
      </c>
      <c r="R2" s="6" t="s">
        <v>69</v>
      </c>
      <c r="S2" s="6" t="s">
        <v>256</v>
      </c>
      <c r="T2" s="6" t="s">
        <v>257</v>
      </c>
      <c r="U2" s="6" t="str">
        <f t="shared" ref="U2:U7" si="4">IF(ISBLANK(G2),"MISSING EXPOSURE",IF(ISBLANK(K2),"MISSING REDUCTION",IF(OR(M2&lt;L2,M2&gt;G2,Q2&lt;P2),"BAD INPUT","OK")))</f>
        <v>MISSING EXPOSURE</v>
      </c>
    </row>
    <row r="3" spans="1:21">
      <c r="A3" s="7" t="s">
        <v>258</v>
      </c>
      <c r="B3" s="7" t="s">
        <v>115</v>
      </c>
      <c r="C3" s="7" t="s">
        <v>119</v>
      </c>
      <c r="D3" s="7" t="s">
        <v>116</v>
      </c>
      <c r="E3" s="7" t="s">
        <v>121</v>
      </c>
      <c r="F3" s="7" t="s">
        <v>122</v>
      </c>
      <c r="G3" s="35"/>
      <c r="H3" s="10" t="s">
        <v>255</v>
      </c>
      <c r="I3" s="12"/>
      <c r="J3" s="31">
        <f>Policy_Levers!$K$3</f>
        <v>0.1225</v>
      </c>
      <c r="K3" s="31">
        <f t="shared" si="0"/>
        <v>0.1225</v>
      </c>
      <c r="L3" s="25">
        <v>0</v>
      </c>
      <c r="M3" s="39" t="str">
        <f t="shared" si="1"/>
        <v/>
      </c>
      <c r="N3" s="39" t="str">
        <f t="shared" si="2"/>
        <v/>
      </c>
      <c r="O3" s="31" t="str">
        <f t="shared" si="3"/>
        <v/>
      </c>
      <c r="P3" s="25">
        <f>Assumptions!$B$4</f>
        <v>2026</v>
      </c>
      <c r="Q3" s="25">
        <f>Assumptions!$B$5</f>
        <v>2030</v>
      </c>
      <c r="R3" s="7" t="s">
        <v>69</v>
      </c>
      <c r="S3" s="7" t="s">
        <v>259</v>
      </c>
      <c r="T3" s="7" t="s">
        <v>257</v>
      </c>
      <c r="U3" s="7" t="str">
        <f t="shared" si="4"/>
        <v>MISSING EXPOSURE</v>
      </c>
    </row>
    <row r="4" spans="1:21">
      <c r="A4" s="7" t="s">
        <v>260</v>
      </c>
      <c r="B4" s="7" t="s">
        <v>125</v>
      </c>
      <c r="C4" s="7" t="s">
        <v>109</v>
      </c>
      <c r="D4" s="7" t="s">
        <v>126</v>
      </c>
      <c r="E4" s="7" t="s">
        <v>111</v>
      </c>
      <c r="F4" s="7" t="s">
        <v>78</v>
      </c>
      <c r="G4" s="35"/>
      <c r="H4" s="10" t="s">
        <v>255</v>
      </c>
      <c r="I4" s="12"/>
      <c r="J4" s="31">
        <f>1-(1-Policy_Levers!$K$4)*(1-Policy_Levers!$K$5)*(1-Policy_Levers!$K$6)</f>
        <v>0.20113599999999998</v>
      </c>
      <c r="K4" s="31">
        <f t="shared" si="0"/>
        <v>0.20113599999999998</v>
      </c>
      <c r="L4" s="25">
        <v>0</v>
      </c>
      <c r="M4" s="39" t="str">
        <f t="shared" si="1"/>
        <v/>
      </c>
      <c r="N4" s="39" t="str">
        <f t="shared" si="2"/>
        <v/>
      </c>
      <c r="O4" s="31" t="str">
        <f t="shared" si="3"/>
        <v/>
      </c>
      <c r="P4" s="25">
        <f>Assumptions!$B$4</f>
        <v>2026</v>
      </c>
      <c r="Q4" s="25">
        <f>Assumptions!$B$5</f>
        <v>2030</v>
      </c>
      <c r="R4" s="7" t="s">
        <v>69</v>
      </c>
      <c r="S4" s="7" t="s">
        <v>261</v>
      </c>
      <c r="T4" s="7" t="s">
        <v>257</v>
      </c>
      <c r="U4" s="7" t="str">
        <f t="shared" si="4"/>
        <v>MISSING EXPOSURE</v>
      </c>
    </row>
    <row r="5" spans="1:21">
      <c r="A5" s="7" t="s">
        <v>262</v>
      </c>
      <c r="B5" s="7" t="s">
        <v>133</v>
      </c>
      <c r="C5" s="7" t="s">
        <v>119</v>
      </c>
      <c r="D5" s="7" t="s">
        <v>134</v>
      </c>
      <c r="E5" s="7" t="s">
        <v>121</v>
      </c>
      <c r="F5" s="7" t="s">
        <v>122</v>
      </c>
      <c r="G5" s="35"/>
      <c r="H5" s="10" t="s">
        <v>255</v>
      </c>
      <c r="I5" s="12"/>
      <c r="J5" s="31">
        <f>Policy_Levers!$K$7</f>
        <v>0.26900000000000002</v>
      </c>
      <c r="K5" s="31">
        <f t="shared" si="0"/>
        <v>0.26900000000000002</v>
      </c>
      <c r="L5" s="25">
        <v>0</v>
      </c>
      <c r="M5" s="39" t="str">
        <f t="shared" si="1"/>
        <v/>
      </c>
      <c r="N5" s="39" t="str">
        <f t="shared" si="2"/>
        <v/>
      </c>
      <c r="O5" s="31" t="str">
        <f t="shared" si="3"/>
        <v/>
      </c>
      <c r="P5" s="25">
        <f>Assumptions!$B$4</f>
        <v>2026</v>
      </c>
      <c r="Q5" s="25">
        <f>Assumptions!$B$5</f>
        <v>2030</v>
      </c>
      <c r="R5" s="7" t="s">
        <v>69</v>
      </c>
      <c r="S5" s="7" t="s">
        <v>263</v>
      </c>
      <c r="T5" s="7" t="s">
        <v>257</v>
      </c>
      <c r="U5" s="7" t="str">
        <f t="shared" si="4"/>
        <v>MISSING EXPOSURE</v>
      </c>
    </row>
    <row r="6" spans="1:21">
      <c r="A6" s="7" t="s">
        <v>264</v>
      </c>
      <c r="B6" s="7" t="s">
        <v>141</v>
      </c>
      <c r="C6" s="7" t="s">
        <v>128</v>
      </c>
      <c r="D6" s="7" t="s">
        <v>142</v>
      </c>
      <c r="E6" s="7" t="s">
        <v>130</v>
      </c>
      <c r="F6" s="7" t="s">
        <v>82</v>
      </c>
      <c r="G6" s="35"/>
      <c r="H6" s="10" t="s">
        <v>255</v>
      </c>
      <c r="I6" s="12"/>
      <c r="J6" s="31">
        <f>1-(1-Policy_Levers!$K$8)*(1-Policy_Levers!$K$9)*(1-Policy_Levers!$K$10)*(1-Policy_Levers!$K$11)</f>
        <v>0.36387999999999998</v>
      </c>
      <c r="K6" s="31">
        <f t="shared" si="0"/>
        <v>0.36387999999999998</v>
      </c>
      <c r="L6" s="25">
        <f>Assumptions!$B$15</f>
        <v>3</v>
      </c>
      <c r="M6" s="39" t="str">
        <f t="shared" si="1"/>
        <v/>
      </c>
      <c r="N6" s="39" t="str">
        <f t="shared" si="2"/>
        <v/>
      </c>
      <c r="O6" s="31" t="str">
        <f t="shared" si="3"/>
        <v/>
      </c>
      <c r="P6" s="25">
        <f>Assumptions!$B$4</f>
        <v>2026</v>
      </c>
      <c r="Q6" s="25">
        <f>Assumptions!$B$5</f>
        <v>2030</v>
      </c>
      <c r="R6" s="7" t="s">
        <v>69</v>
      </c>
      <c r="S6" s="7" t="s">
        <v>265</v>
      </c>
      <c r="T6" s="7" t="s">
        <v>257</v>
      </c>
      <c r="U6" s="7" t="str">
        <f t="shared" si="4"/>
        <v>MISSING EXPOSURE</v>
      </c>
    </row>
    <row r="7" spans="1:21">
      <c r="A7" s="8" t="s">
        <v>266</v>
      </c>
      <c r="B7" s="8" t="s">
        <v>147</v>
      </c>
      <c r="C7" s="8" t="s">
        <v>136</v>
      </c>
      <c r="D7" s="8" t="s">
        <v>148</v>
      </c>
      <c r="E7" s="8" t="s">
        <v>138</v>
      </c>
      <c r="F7" s="8" t="s">
        <v>86</v>
      </c>
      <c r="G7" s="36"/>
      <c r="H7" s="11" t="s">
        <v>267</v>
      </c>
      <c r="I7" s="37"/>
      <c r="J7" s="33">
        <f>Assumptions!$B$16</f>
        <v>0</v>
      </c>
      <c r="K7" s="33">
        <f t="shared" si="0"/>
        <v>0</v>
      </c>
      <c r="L7" s="26">
        <v>0</v>
      </c>
      <c r="M7" s="40" t="str">
        <f t="shared" si="1"/>
        <v/>
      </c>
      <c r="N7" s="40" t="str">
        <f t="shared" si="2"/>
        <v/>
      </c>
      <c r="O7" s="33" t="str">
        <f t="shared" si="3"/>
        <v/>
      </c>
      <c r="P7" s="26">
        <f>Assumptions!$B$4</f>
        <v>2026</v>
      </c>
      <c r="Q7" s="26">
        <f>Assumptions!$B$5</f>
        <v>2030</v>
      </c>
      <c r="R7" s="8" t="s">
        <v>69</v>
      </c>
      <c r="S7" s="8" t="s">
        <v>268</v>
      </c>
      <c r="T7" s="8" t="s">
        <v>257</v>
      </c>
      <c r="U7" s="8" t="str">
        <f t="shared" si="4"/>
        <v>MISSING EXPOSURE</v>
      </c>
    </row>
  </sheetData>
  <conditionalFormatting sqref="T2:U7">
    <cfRule type="containsText" dxfId="23" priority="1" operator="containsText" text="OK"/>
    <cfRule type="containsText" dxfId="22" priority="4" operator="containsText" text="FAIL"/>
    <cfRule type="containsText" dxfId="21" priority="7" operator="containsText" text="REVIEW"/>
  </conditionalFormatting>
  <dataValidations count="1">
    <dataValidation type="list" sqref="H2:H7" xr:uid="{00000000-0002-0000-0500-000000000000}">
      <formula1>"relative,absolute,target"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10"/>
  <sheetViews>
    <sheetView showGridLines="0" workbookViewId="0"/>
  </sheetViews>
  <sheetFormatPr defaultRowHeight="13.8"/>
  <cols>
    <col min="1" max="1" width="18" customWidth="1"/>
    <col min="2" max="2" width="34" customWidth="1"/>
    <col min="3" max="3" width="26" customWidth="1"/>
    <col min="4" max="4" width="16" customWidth="1"/>
    <col min="5" max="5" width="25" customWidth="1"/>
    <col min="6" max="6" width="38" customWidth="1"/>
    <col min="7" max="7" width="22" customWidth="1"/>
    <col min="8" max="8" width="28" customWidth="1"/>
    <col min="9" max="9" width="18" customWidth="1"/>
    <col min="10" max="10" width="28" customWidth="1"/>
    <col min="11" max="11" width="18" customWidth="1"/>
    <col min="12" max="12" width="20" customWidth="1"/>
    <col min="13" max="13" width="18" customWidth="1"/>
    <col min="14" max="14" width="34" customWidth="1"/>
    <col min="15" max="16" width="18" customWidth="1"/>
    <col min="17" max="17" width="24" customWidth="1"/>
    <col min="18" max="18" width="52" customWidth="1"/>
    <col min="19" max="19" width="22" customWidth="1"/>
    <col min="20" max="20" width="18" customWidth="1"/>
    <col min="21" max="21" width="62" customWidth="1"/>
    <col min="22" max="22" width="18" customWidth="1"/>
    <col min="23" max="23" width="24" customWidth="1"/>
  </cols>
  <sheetData>
    <row r="1" spans="1:23" ht="36" customHeight="1">
      <c r="A1" s="3" t="s">
        <v>269</v>
      </c>
      <c r="B1" s="4" t="s">
        <v>155</v>
      </c>
      <c r="C1" s="4" t="s">
        <v>93</v>
      </c>
      <c r="D1" s="4" t="s">
        <v>97</v>
      </c>
      <c r="E1" s="4" t="s">
        <v>101</v>
      </c>
      <c r="F1" s="4" t="s">
        <v>270</v>
      </c>
      <c r="G1" s="4" t="s">
        <v>271</v>
      </c>
      <c r="H1" s="4" t="s">
        <v>272</v>
      </c>
      <c r="I1" s="4" t="s">
        <v>273</v>
      </c>
      <c r="J1" s="4" t="s">
        <v>274</v>
      </c>
      <c r="K1" s="4" t="s">
        <v>275</v>
      </c>
      <c r="L1" s="4" t="s">
        <v>276</v>
      </c>
      <c r="M1" s="4" t="s">
        <v>277</v>
      </c>
      <c r="N1" s="4" t="s">
        <v>278</v>
      </c>
      <c r="O1" s="4" t="s">
        <v>279</v>
      </c>
      <c r="P1" s="4" t="s">
        <v>160</v>
      </c>
      <c r="Q1" s="4" t="s">
        <v>161</v>
      </c>
      <c r="R1" s="4" t="s">
        <v>280</v>
      </c>
      <c r="S1" s="4" t="s">
        <v>281</v>
      </c>
      <c r="T1" s="4" t="s">
        <v>198</v>
      </c>
      <c r="U1" s="4" t="s">
        <v>164</v>
      </c>
      <c r="V1" s="4" t="s">
        <v>282</v>
      </c>
      <c r="W1" s="5" t="s">
        <v>199</v>
      </c>
    </row>
    <row r="2" spans="1:23" ht="22.8">
      <c r="A2" s="6" t="s">
        <v>283</v>
      </c>
      <c r="B2" s="6" t="s">
        <v>166</v>
      </c>
      <c r="C2" s="6" t="s">
        <v>105</v>
      </c>
      <c r="D2" s="6" t="s">
        <v>109</v>
      </c>
      <c r="E2" s="6" t="s">
        <v>112</v>
      </c>
      <c r="F2" s="6" t="s">
        <v>284</v>
      </c>
      <c r="G2" s="6" t="s">
        <v>285</v>
      </c>
      <c r="H2" s="6" t="s">
        <v>286</v>
      </c>
      <c r="I2" s="34"/>
      <c r="J2" s="9" t="s">
        <v>78</v>
      </c>
      <c r="K2" s="27"/>
      <c r="L2" s="41">
        <v>1</v>
      </c>
      <c r="M2" s="27">
        <v>0.1</v>
      </c>
      <c r="N2" s="9" t="s">
        <v>287</v>
      </c>
      <c r="O2" s="44"/>
      <c r="P2" s="6" t="s">
        <v>170</v>
      </c>
      <c r="Q2" s="6" t="s">
        <v>171</v>
      </c>
      <c r="R2" s="6" t="s">
        <v>288</v>
      </c>
      <c r="S2" s="6" t="s">
        <v>289</v>
      </c>
      <c r="T2" s="6" t="s">
        <v>257</v>
      </c>
      <c r="U2" s="6" t="s">
        <v>290</v>
      </c>
      <c r="V2" s="24">
        <f>COUNTIF(Intervention_Cause_Map!$A$2:$A$10,B2)</f>
        <v>1</v>
      </c>
      <c r="W2" s="24" t="str">
        <f t="shared" ref="W2:W10" si="0">IF(V2&lt;&gt;1,"BAD KEY",IF(AND(L2=1,K2=""),"MISSING PAF",IF(AND(P2="REVIEW",Q2&lt;&gt;""),"REVIEW TRANSITION","OK")))</f>
        <v>MISSING PAF</v>
      </c>
    </row>
    <row r="3" spans="1:23" ht="22.8">
      <c r="A3" s="7" t="s">
        <v>291</v>
      </c>
      <c r="B3" s="7" t="s">
        <v>173</v>
      </c>
      <c r="C3" s="7" t="s">
        <v>115</v>
      </c>
      <c r="D3" s="7" t="s">
        <v>119</v>
      </c>
      <c r="E3" s="7" t="s">
        <v>123</v>
      </c>
      <c r="F3" s="7" t="s">
        <v>284</v>
      </c>
      <c r="G3" s="7" t="s">
        <v>285</v>
      </c>
      <c r="H3" s="7" t="s">
        <v>286</v>
      </c>
      <c r="I3" s="35"/>
      <c r="J3" s="10" t="s">
        <v>78</v>
      </c>
      <c r="K3" s="12"/>
      <c r="L3" s="42">
        <v>1</v>
      </c>
      <c r="M3" s="12">
        <v>0.1</v>
      </c>
      <c r="N3" s="10" t="s">
        <v>287</v>
      </c>
      <c r="O3" s="45"/>
      <c r="P3" s="7" t="s">
        <v>170</v>
      </c>
      <c r="Q3" s="7" t="s">
        <v>171</v>
      </c>
      <c r="R3" s="7" t="s">
        <v>288</v>
      </c>
      <c r="S3" s="7" t="s">
        <v>292</v>
      </c>
      <c r="T3" s="7" t="s">
        <v>257</v>
      </c>
      <c r="U3" s="7" t="s">
        <v>290</v>
      </c>
      <c r="V3" s="25">
        <f>COUNTIF(Intervention_Cause_Map!$A$2:$A$10,B3)</f>
        <v>1</v>
      </c>
      <c r="W3" s="25" t="str">
        <f t="shared" si="0"/>
        <v>MISSING PAF</v>
      </c>
    </row>
    <row r="4" spans="1:23" ht="22.8">
      <c r="A4" s="7" t="s">
        <v>293</v>
      </c>
      <c r="B4" s="7" t="s">
        <v>176</v>
      </c>
      <c r="C4" s="7" t="s">
        <v>125</v>
      </c>
      <c r="D4" s="7" t="s">
        <v>109</v>
      </c>
      <c r="E4" s="7" t="s">
        <v>112</v>
      </c>
      <c r="F4" s="7" t="s">
        <v>284</v>
      </c>
      <c r="G4" s="7" t="s">
        <v>285</v>
      </c>
      <c r="H4" s="7" t="s">
        <v>286</v>
      </c>
      <c r="I4" s="35"/>
      <c r="J4" s="10" t="s">
        <v>78</v>
      </c>
      <c r="K4" s="12"/>
      <c r="L4" s="42">
        <v>1</v>
      </c>
      <c r="M4" s="12">
        <v>0.1</v>
      </c>
      <c r="N4" s="10" t="s">
        <v>287</v>
      </c>
      <c r="O4" s="45"/>
      <c r="P4" s="7" t="s">
        <v>170</v>
      </c>
      <c r="Q4" s="7" t="s">
        <v>171</v>
      </c>
      <c r="R4" s="7" t="s">
        <v>288</v>
      </c>
      <c r="S4" s="7" t="s">
        <v>289</v>
      </c>
      <c r="T4" s="7" t="s">
        <v>257</v>
      </c>
      <c r="U4" s="7" t="s">
        <v>290</v>
      </c>
      <c r="V4" s="25">
        <f>COUNTIF(Intervention_Cause_Map!$A$2:$A$10,B4)</f>
        <v>1</v>
      </c>
      <c r="W4" s="25" t="str">
        <f t="shared" si="0"/>
        <v>MISSING PAF</v>
      </c>
    </row>
    <row r="5" spans="1:23" ht="22.8">
      <c r="A5" s="7" t="s">
        <v>294</v>
      </c>
      <c r="B5" s="7" t="s">
        <v>178</v>
      </c>
      <c r="C5" s="7" t="s">
        <v>133</v>
      </c>
      <c r="D5" s="7" t="s">
        <v>119</v>
      </c>
      <c r="E5" s="7" t="s">
        <v>123</v>
      </c>
      <c r="F5" s="7" t="s">
        <v>284</v>
      </c>
      <c r="G5" s="7" t="s">
        <v>285</v>
      </c>
      <c r="H5" s="7" t="s">
        <v>286</v>
      </c>
      <c r="I5" s="35"/>
      <c r="J5" s="10" t="s">
        <v>78</v>
      </c>
      <c r="K5" s="12"/>
      <c r="L5" s="42">
        <v>1</v>
      </c>
      <c r="M5" s="12">
        <v>0.1</v>
      </c>
      <c r="N5" s="10" t="s">
        <v>287</v>
      </c>
      <c r="O5" s="45"/>
      <c r="P5" s="7" t="s">
        <v>170</v>
      </c>
      <c r="Q5" s="7" t="s">
        <v>171</v>
      </c>
      <c r="R5" s="7" t="s">
        <v>288</v>
      </c>
      <c r="S5" s="7" t="s">
        <v>292</v>
      </c>
      <c r="T5" s="7" t="s">
        <v>257</v>
      </c>
      <c r="U5" s="7" t="s">
        <v>290</v>
      </c>
      <c r="V5" s="25">
        <f>COUNTIF(Intervention_Cause_Map!$A$2:$A$10,B5)</f>
        <v>1</v>
      </c>
      <c r="W5" s="25" t="str">
        <f t="shared" si="0"/>
        <v>MISSING PAF</v>
      </c>
    </row>
    <row r="6" spans="1:23" ht="22.8">
      <c r="A6" s="7" t="s">
        <v>295</v>
      </c>
      <c r="B6" s="7" t="s">
        <v>180</v>
      </c>
      <c r="C6" s="7" t="s">
        <v>141</v>
      </c>
      <c r="D6" s="7" t="s">
        <v>128</v>
      </c>
      <c r="E6" s="7" t="s">
        <v>131</v>
      </c>
      <c r="F6" s="7" t="s">
        <v>296</v>
      </c>
      <c r="G6" s="7" t="s">
        <v>297</v>
      </c>
      <c r="H6" s="7" t="s">
        <v>298</v>
      </c>
      <c r="I6" s="35">
        <v>1.06</v>
      </c>
      <c r="J6" s="10" t="s">
        <v>299</v>
      </c>
      <c r="K6" s="12"/>
      <c r="L6" s="42">
        <v>0</v>
      </c>
      <c r="M6" s="12"/>
      <c r="N6" s="10" t="s">
        <v>300</v>
      </c>
      <c r="O6" s="45">
        <v>1</v>
      </c>
      <c r="P6" s="7" t="s">
        <v>170</v>
      </c>
      <c r="Q6" s="7" t="s">
        <v>171</v>
      </c>
      <c r="R6" s="7" t="s">
        <v>288</v>
      </c>
      <c r="S6" s="7" t="s">
        <v>301</v>
      </c>
      <c r="T6" s="7" t="s">
        <v>22</v>
      </c>
      <c r="U6" s="7" t="s">
        <v>302</v>
      </c>
      <c r="V6" s="25">
        <f>COUNTIF(Intervention_Cause_Map!$A$2:$A$10,B6)</f>
        <v>1</v>
      </c>
      <c r="W6" s="25" t="str">
        <f t="shared" si="0"/>
        <v>REVIEW TRANSITION</v>
      </c>
    </row>
    <row r="7" spans="1:23" ht="22.8">
      <c r="A7" s="7" t="s">
        <v>303</v>
      </c>
      <c r="B7" s="7" t="s">
        <v>183</v>
      </c>
      <c r="C7" s="7" t="s">
        <v>141</v>
      </c>
      <c r="D7" s="7" t="s">
        <v>128</v>
      </c>
      <c r="E7" s="7" t="s">
        <v>139</v>
      </c>
      <c r="F7" s="7" t="s">
        <v>296</v>
      </c>
      <c r="G7" s="7" t="s">
        <v>297</v>
      </c>
      <c r="H7" s="7" t="s">
        <v>298</v>
      </c>
      <c r="I7" s="35">
        <v>1.06</v>
      </c>
      <c r="J7" s="10" t="s">
        <v>299</v>
      </c>
      <c r="K7" s="12"/>
      <c r="L7" s="42">
        <v>0</v>
      </c>
      <c r="M7" s="12"/>
      <c r="N7" s="10" t="s">
        <v>300</v>
      </c>
      <c r="O7" s="45">
        <v>1</v>
      </c>
      <c r="P7" s="7" t="s">
        <v>170</v>
      </c>
      <c r="Q7" s="7" t="s">
        <v>171</v>
      </c>
      <c r="R7" s="7" t="s">
        <v>288</v>
      </c>
      <c r="S7" s="7" t="s">
        <v>301</v>
      </c>
      <c r="T7" s="7" t="s">
        <v>22</v>
      </c>
      <c r="U7" s="7" t="s">
        <v>302</v>
      </c>
      <c r="V7" s="25">
        <f>COUNTIF(Intervention_Cause_Map!$A$2:$A$10,B7)</f>
        <v>1</v>
      </c>
      <c r="W7" s="25" t="str">
        <f t="shared" si="0"/>
        <v>REVIEW TRANSITION</v>
      </c>
    </row>
    <row r="8" spans="1:23" ht="22.8">
      <c r="A8" s="7" t="s">
        <v>304</v>
      </c>
      <c r="B8" s="7" t="s">
        <v>184</v>
      </c>
      <c r="C8" s="7" t="s">
        <v>141</v>
      </c>
      <c r="D8" s="7" t="s">
        <v>128</v>
      </c>
      <c r="E8" s="7" t="s">
        <v>145</v>
      </c>
      <c r="F8" s="7" t="s">
        <v>296</v>
      </c>
      <c r="G8" s="7" t="s">
        <v>297</v>
      </c>
      <c r="H8" s="7" t="s">
        <v>298</v>
      </c>
      <c r="I8" s="35">
        <v>1.06</v>
      </c>
      <c r="J8" s="10" t="s">
        <v>299</v>
      </c>
      <c r="K8" s="12"/>
      <c r="L8" s="42">
        <v>0</v>
      </c>
      <c r="M8" s="12"/>
      <c r="N8" s="10" t="s">
        <v>300</v>
      </c>
      <c r="O8" s="45">
        <v>1</v>
      </c>
      <c r="P8" s="7" t="s">
        <v>170</v>
      </c>
      <c r="Q8" s="7" t="s">
        <v>171</v>
      </c>
      <c r="R8" s="7" t="s">
        <v>288</v>
      </c>
      <c r="S8" s="7" t="s">
        <v>301</v>
      </c>
      <c r="T8" s="7" t="s">
        <v>22</v>
      </c>
      <c r="U8" s="7" t="s">
        <v>302</v>
      </c>
      <c r="V8" s="25">
        <f>COUNTIF(Intervention_Cause_Map!$A$2:$A$10,B8)</f>
        <v>1</v>
      </c>
      <c r="W8" s="25" t="str">
        <f t="shared" si="0"/>
        <v>REVIEW TRANSITION</v>
      </c>
    </row>
    <row r="9" spans="1:23" ht="22.8">
      <c r="A9" s="7" t="s">
        <v>305</v>
      </c>
      <c r="B9" s="7" t="s">
        <v>185</v>
      </c>
      <c r="C9" s="7" t="s">
        <v>141</v>
      </c>
      <c r="D9" s="7" t="s">
        <v>128</v>
      </c>
      <c r="E9" s="7" t="s">
        <v>150</v>
      </c>
      <c r="F9" s="7" t="s">
        <v>296</v>
      </c>
      <c r="G9" s="7" t="s">
        <v>297</v>
      </c>
      <c r="H9" s="7" t="s">
        <v>298</v>
      </c>
      <c r="I9" s="35">
        <v>1.06</v>
      </c>
      <c r="J9" s="10" t="s">
        <v>299</v>
      </c>
      <c r="K9" s="12"/>
      <c r="L9" s="42">
        <v>0</v>
      </c>
      <c r="M9" s="12"/>
      <c r="N9" s="10" t="s">
        <v>300</v>
      </c>
      <c r="O9" s="45">
        <v>1</v>
      </c>
      <c r="P9" s="7" t="s">
        <v>170</v>
      </c>
      <c r="Q9" s="7" t="s">
        <v>171</v>
      </c>
      <c r="R9" s="7" t="s">
        <v>288</v>
      </c>
      <c r="S9" s="7" t="s">
        <v>301</v>
      </c>
      <c r="T9" s="7" t="s">
        <v>22</v>
      </c>
      <c r="U9" s="7" t="s">
        <v>302</v>
      </c>
      <c r="V9" s="25">
        <f>COUNTIF(Intervention_Cause_Map!$A$2:$A$10,B9)</f>
        <v>1</v>
      </c>
      <c r="W9" s="25" t="str">
        <f t="shared" si="0"/>
        <v>REVIEW TRANSITION</v>
      </c>
    </row>
    <row r="10" spans="1:23" ht="22.8">
      <c r="A10" s="8" t="s">
        <v>306</v>
      </c>
      <c r="B10" s="8" t="s">
        <v>186</v>
      </c>
      <c r="C10" s="8" t="s">
        <v>147</v>
      </c>
      <c r="D10" s="8" t="s">
        <v>136</v>
      </c>
      <c r="E10" s="8" t="s">
        <v>131</v>
      </c>
      <c r="F10" s="8" t="s">
        <v>307</v>
      </c>
      <c r="G10" s="8" t="s">
        <v>308</v>
      </c>
      <c r="H10" s="8" t="s">
        <v>309</v>
      </c>
      <c r="I10" s="36"/>
      <c r="J10" s="11" t="s">
        <v>78</v>
      </c>
      <c r="K10" s="37"/>
      <c r="L10" s="43">
        <v>1</v>
      </c>
      <c r="M10" s="37"/>
      <c r="N10" s="11" t="s">
        <v>300</v>
      </c>
      <c r="O10" s="28">
        <v>1</v>
      </c>
      <c r="P10" s="8" t="s">
        <v>170</v>
      </c>
      <c r="Q10" s="8" t="s">
        <v>171</v>
      </c>
      <c r="R10" s="8" t="s">
        <v>288</v>
      </c>
      <c r="S10" s="8" t="s">
        <v>310</v>
      </c>
      <c r="T10" s="8" t="s">
        <v>257</v>
      </c>
      <c r="U10" s="8" t="s">
        <v>311</v>
      </c>
      <c r="V10" s="26">
        <f>COUNTIF(Intervention_Cause_Map!$A$2:$A$10,B10)</f>
        <v>1</v>
      </c>
      <c r="W10" s="26" t="str">
        <f t="shared" si="0"/>
        <v>MISSING PAF</v>
      </c>
    </row>
  </sheetData>
  <conditionalFormatting sqref="T2:T10">
    <cfRule type="containsText" dxfId="20" priority="1" operator="containsText" text="OK"/>
    <cfRule type="containsText" dxfId="19" priority="4" operator="containsText" text="FAIL"/>
    <cfRule type="containsText" dxfId="18" priority="7" operator="containsText" text="REVIEW"/>
  </conditionalFormatting>
  <conditionalFormatting sqref="W2:W10">
    <cfRule type="containsText" dxfId="17" priority="8" operator="containsText" text="OK"/>
    <cfRule type="containsText" dxfId="16" priority="11" operator="containsText" text="FAIL"/>
    <cfRule type="containsText" dxfId="15" priority="14" operator="containsText" text="REVIEW"/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7"/>
  <sheetViews>
    <sheetView showGridLines="0" workbookViewId="0"/>
  </sheetViews>
  <sheetFormatPr defaultRowHeight="13.8"/>
  <cols>
    <col min="1" max="1" width="22" customWidth="1"/>
    <col min="2" max="2" width="16" customWidth="1"/>
    <col min="3" max="3" width="18" customWidth="1"/>
    <col min="4" max="4" width="40" customWidth="1"/>
    <col min="5" max="6" width="12" customWidth="1"/>
    <col min="7" max="7" width="10" customWidth="1"/>
    <col min="8" max="8" width="34" customWidth="1"/>
    <col min="9" max="9" width="18" customWidth="1"/>
    <col min="10" max="10" width="32" customWidth="1"/>
    <col min="11" max="11" width="42" customWidth="1"/>
    <col min="12" max="12" width="22" customWidth="1"/>
    <col min="13" max="13" width="58" customWidth="1"/>
  </cols>
  <sheetData>
    <row r="1" spans="1:13" ht="36" customHeight="1">
      <c r="A1" s="3" t="s">
        <v>271</v>
      </c>
      <c r="B1" s="4" t="s">
        <v>97</v>
      </c>
      <c r="C1" s="4" t="s">
        <v>312</v>
      </c>
      <c r="D1" s="4" t="s">
        <v>313</v>
      </c>
      <c r="E1" s="4" t="s">
        <v>314</v>
      </c>
      <c r="F1" s="4" t="s">
        <v>315</v>
      </c>
      <c r="G1" s="4" t="s">
        <v>316</v>
      </c>
      <c r="H1" s="4" t="s">
        <v>317</v>
      </c>
      <c r="I1" s="4" t="s">
        <v>273</v>
      </c>
      <c r="J1" s="4" t="s">
        <v>274</v>
      </c>
      <c r="K1" s="4" t="s">
        <v>35</v>
      </c>
      <c r="L1" s="4" t="s">
        <v>318</v>
      </c>
      <c r="M1" s="5" t="s">
        <v>164</v>
      </c>
    </row>
    <row r="2" spans="1:13">
      <c r="A2" s="6" t="s">
        <v>297</v>
      </c>
      <c r="B2" s="6" t="s">
        <v>128</v>
      </c>
      <c r="C2" s="6" t="s">
        <v>319</v>
      </c>
      <c r="D2" s="6" t="s">
        <v>320</v>
      </c>
      <c r="E2" s="6">
        <v>0</v>
      </c>
      <c r="F2" s="6">
        <v>95</v>
      </c>
      <c r="G2" s="6" t="s">
        <v>321</v>
      </c>
      <c r="H2" s="6" t="s">
        <v>322</v>
      </c>
      <c r="I2" s="46">
        <v>1.06</v>
      </c>
      <c r="J2" s="6" t="s">
        <v>323</v>
      </c>
      <c r="K2" s="6" t="s">
        <v>84</v>
      </c>
      <c r="L2" s="9">
        <v>1</v>
      </c>
      <c r="M2" s="6" t="s">
        <v>324</v>
      </c>
    </row>
    <row r="3" spans="1:13">
      <c r="A3" s="7" t="s">
        <v>308</v>
      </c>
      <c r="B3" s="7" t="s">
        <v>136</v>
      </c>
      <c r="C3" s="7" t="s">
        <v>325</v>
      </c>
      <c r="D3" s="7" t="s">
        <v>326</v>
      </c>
      <c r="E3" s="7">
        <v>0</v>
      </c>
      <c r="F3" s="7">
        <v>95</v>
      </c>
      <c r="G3" s="7" t="s">
        <v>321</v>
      </c>
      <c r="H3" s="7" t="s">
        <v>327</v>
      </c>
      <c r="I3" s="47">
        <v>1</v>
      </c>
      <c r="J3" s="7" t="s">
        <v>328</v>
      </c>
      <c r="K3" s="7" t="s">
        <v>88</v>
      </c>
      <c r="L3" s="10">
        <v>0</v>
      </c>
      <c r="M3" s="7" t="s">
        <v>329</v>
      </c>
    </row>
    <row r="4" spans="1:13">
      <c r="A4" s="7" t="s">
        <v>308</v>
      </c>
      <c r="B4" s="7" t="s">
        <v>136</v>
      </c>
      <c r="C4" s="7" t="s">
        <v>325</v>
      </c>
      <c r="D4" s="7" t="s">
        <v>330</v>
      </c>
      <c r="E4" s="7">
        <v>0</v>
      </c>
      <c r="F4" s="7">
        <v>95</v>
      </c>
      <c r="G4" s="7" t="s">
        <v>321</v>
      </c>
      <c r="H4" s="7" t="s">
        <v>327</v>
      </c>
      <c r="I4" s="47">
        <v>1</v>
      </c>
      <c r="J4" s="7" t="s">
        <v>328</v>
      </c>
      <c r="K4" s="7" t="s">
        <v>88</v>
      </c>
      <c r="L4" s="10">
        <v>0</v>
      </c>
      <c r="M4" s="7" t="s">
        <v>331</v>
      </c>
    </row>
    <row r="5" spans="1:13">
      <c r="A5" s="7" t="s">
        <v>308</v>
      </c>
      <c r="B5" s="7" t="s">
        <v>136</v>
      </c>
      <c r="C5" s="7" t="s">
        <v>325</v>
      </c>
      <c r="D5" s="7" t="s">
        <v>332</v>
      </c>
      <c r="E5" s="7">
        <v>0</v>
      </c>
      <c r="F5" s="7">
        <v>95</v>
      </c>
      <c r="G5" s="7" t="s">
        <v>321</v>
      </c>
      <c r="H5" s="7" t="s">
        <v>327</v>
      </c>
      <c r="I5" s="47">
        <v>1</v>
      </c>
      <c r="J5" s="7" t="s">
        <v>328</v>
      </c>
      <c r="K5" s="7" t="s">
        <v>88</v>
      </c>
      <c r="L5" s="10">
        <v>0</v>
      </c>
      <c r="M5" s="7" t="s">
        <v>333</v>
      </c>
    </row>
    <row r="6" spans="1:13">
      <c r="A6" s="7" t="s">
        <v>308</v>
      </c>
      <c r="B6" s="7" t="s">
        <v>136</v>
      </c>
      <c r="C6" s="7" t="s">
        <v>325</v>
      </c>
      <c r="D6" s="7" t="s">
        <v>334</v>
      </c>
      <c r="E6" s="7">
        <v>0</v>
      </c>
      <c r="F6" s="7">
        <v>95</v>
      </c>
      <c r="G6" s="7" t="s">
        <v>321</v>
      </c>
      <c r="H6" s="7" t="s">
        <v>327</v>
      </c>
      <c r="I6" s="47">
        <v>0.29699999999999999</v>
      </c>
      <c r="J6" s="7" t="s">
        <v>328</v>
      </c>
      <c r="K6" s="7" t="s">
        <v>88</v>
      </c>
      <c r="L6" s="10">
        <v>0</v>
      </c>
      <c r="M6" s="7" t="s">
        <v>335</v>
      </c>
    </row>
    <row r="7" spans="1:13">
      <c r="A7" s="8" t="s">
        <v>308</v>
      </c>
      <c r="B7" s="8" t="s">
        <v>136</v>
      </c>
      <c r="C7" s="8" t="s">
        <v>325</v>
      </c>
      <c r="D7" s="8" t="s">
        <v>336</v>
      </c>
      <c r="E7" s="8">
        <v>0</v>
      </c>
      <c r="F7" s="8">
        <v>95</v>
      </c>
      <c r="G7" s="8" t="s">
        <v>321</v>
      </c>
      <c r="H7" s="8" t="s">
        <v>327</v>
      </c>
      <c r="I7" s="48">
        <v>0</v>
      </c>
      <c r="J7" s="8" t="s">
        <v>328</v>
      </c>
      <c r="K7" s="8" t="s">
        <v>88</v>
      </c>
      <c r="L7" s="11">
        <v>0</v>
      </c>
      <c r="M7" s="8" t="s">
        <v>337</v>
      </c>
    </row>
  </sheetData>
  <dataValidations count="1">
    <dataValidation type="list" sqref="L2:L7" xr:uid="{00000000-0002-0000-0700-000000000000}">
      <formula1>"0,1"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7"/>
  <sheetViews>
    <sheetView showGridLines="0" workbookViewId="0"/>
  </sheetViews>
  <sheetFormatPr defaultRowHeight="13.8"/>
  <cols>
    <col min="1" max="1" width="24" customWidth="1"/>
    <col min="2" max="2" width="28" customWidth="1"/>
    <col min="3" max="3" width="16" customWidth="1"/>
    <col min="4" max="4" width="22" customWidth="1"/>
    <col min="5" max="5" width="26" customWidth="1"/>
    <col min="6" max="6" width="14" customWidth="1"/>
    <col min="7" max="7" width="32" customWidth="1"/>
    <col min="8" max="8" width="28" customWidth="1"/>
    <col min="9" max="9" width="26" customWidth="1"/>
    <col min="10" max="10" width="46" customWidth="1"/>
    <col min="11" max="11" width="26" customWidth="1"/>
    <col min="12" max="13" width="24" customWidth="1"/>
    <col min="14" max="14" width="18" customWidth="1"/>
    <col min="15" max="16" width="12" customWidth="1"/>
    <col min="17" max="17" width="10" customWidth="1"/>
    <col min="18" max="19" width="18" customWidth="1"/>
    <col min="20" max="20" width="14" customWidth="1"/>
    <col min="21" max="21" width="22" customWidth="1"/>
    <col min="22" max="22" width="18" customWidth="1"/>
    <col min="23" max="23" width="32" customWidth="1"/>
    <col min="24" max="24" width="16" customWidth="1"/>
    <col min="25" max="25" width="18" customWidth="1"/>
    <col min="26" max="26" width="60" customWidth="1"/>
    <col min="27" max="28" width="18" customWidth="1"/>
    <col min="29" max="29" width="24" customWidth="1"/>
  </cols>
  <sheetData>
    <row r="1" spans="1:29" ht="36" customHeight="1">
      <c r="A1" s="3" t="s">
        <v>338</v>
      </c>
      <c r="B1" s="4" t="s">
        <v>339</v>
      </c>
      <c r="C1" s="4" t="s">
        <v>340</v>
      </c>
      <c r="D1" s="4" t="s">
        <v>318</v>
      </c>
      <c r="E1" s="4" t="s">
        <v>93</v>
      </c>
      <c r="F1" s="4" t="s">
        <v>101</v>
      </c>
      <c r="G1" s="4" t="s">
        <v>158</v>
      </c>
      <c r="H1" s="4" t="s">
        <v>94</v>
      </c>
      <c r="I1" s="4" t="s">
        <v>102</v>
      </c>
      <c r="J1" s="4" t="s">
        <v>341</v>
      </c>
      <c r="K1" s="4" t="s">
        <v>342</v>
      </c>
      <c r="L1" s="4" t="s">
        <v>343</v>
      </c>
      <c r="M1" s="4" t="s">
        <v>344</v>
      </c>
      <c r="N1" s="4" t="s">
        <v>345</v>
      </c>
      <c r="O1" s="4" t="s">
        <v>314</v>
      </c>
      <c r="P1" s="4" t="s">
        <v>315</v>
      </c>
      <c r="Q1" s="4" t="s">
        <v>316</v>
      </c>
      <c r="R1" s="4" t="s">
        <v>346</v>
      </c>
      <c r="S1" s="4" t="s">
        <v>347</v>
      </c>
      <c r="T1" s="4" t="s">
        <v>348</v>
      </c>
      <c r="U1" s="4" t="s">
        <v>349</v>
      </c>
      <c r="V1" s="4" t="s">
        <v>350</v>
      </c>
      <c r="W1" s="4" t="s">
        <v>280</v>
      </c>
      <c r="X1" s="4" t="s">
        <v>351</v>
      </c>
      <c r="Y1" s="4" t="s">
        <v>198</v>
      </c>
      <c r="Z1" s="4" t="s">
        <v>164</v>
      </c>
      <c r="AA1" s="4" t="s">
        <v>282</v>
      </c>
      <c r="AB1" s="4" t="s">
        <v>352</v>
      </c>
      <c r="AC1" s="5" t="s">
        <v>199</v>
      </c>
    </row>
    <row r="2" spans="1:29">
      <c r="A2" s="6" t="s">
        <v>353</v>
      </c>
      <c r="B2" s="6" t="s">
        <v>354</v>
      </c>
      <c r="C2" s="6" t="s">
        <v>355</v>
      </c>
      <c r="D2" s="9">
        <v>1</v>
      </c>
      <c r="E2" s="6" t="s">
        <v>105</v>
      </c>
      <c r="F2" s="6" t="s">
        <v>152</v>
      </c>
      <c r="G2" s="6" t="s">
        <v>168</v>
      </c>
      <c r="H2" s="6" t="s">
        <v>106</v>
      </c>
      <c r="I2" s="6" t="s">
        <v>153</v>
      </c>
      <c r="J2" s="6" t="s">
        <v>356</v>
      </c>
      <c r="K2" s="6" t="s">
        <v>357</v>
      </c>
      <c r="L2" s="27">
        <v>1</v>
      </c>
      <c r="M2" s="6" t="s">
        <v>358</v>
      </c>
      <c r="N2" s="9">
        <v>1</v>
      </c>
      <c r="O2" s="6">
        <v>0</v>
      </c>
      <c r="P2" s="6">
        <v>95</v>
      </c>
      <c r="Q2" s="6" t="s">
        <v>321</v>
      </c>
      <c r="R2" s="6" t="s">
        <v>359</v>
      </c>
      <c r="S2" s="49">
        <v>4.0000000000000001E-3</v>
      </c>
      <c r="T2" s="9">
        <v>2017</v>
      </c>
      <c r="U2" s="6">
        <v>0</v>
      </c>
      <c r="V2" s="6" t="s">
        <v>360</v>
      </c>
      <c r="W2" s="6" t="s">
        <v>63</v>
      </c>
      <c r="X2" s="6" t="s">
        <v>361</v>
      </c>
      <c r="Y2" s="6" t="s">
        <v>22</v>
      </c>
      <c r="Z2" s="6" t="s">
        <v>362</v>
      </c>
      <c r="AA2" s="24">
        <f>COUNTIF(Intervention_Cause_Map!$J$2:$J$10,G2)</f>
        <v>1</v>
      </c>
      <c r="AB2" s="24">
        <f t="shared" ref="AB2:AB7" si="0">SUMIF($B$2:$B$7,B2,$D$2:$D$7)</f>
        <v>1</v>
      </c>
      <c r="AC2" s="24" t="str">
        <f t="shared" ref="AC2:AC7" si="1">IF(AA2&lt;1,"BAD KEY",IF(S2="","MISSING COST",IF(U2=0,"REVIEW ADJUSTMENT",IF(AB2&lt;&gt;1,"CHECK SELECTION","OK"))))</f>
        <v>REVIEW ADJUSTMENT</v>
      </c>
    </row>
    <row r="3" spans="1:29">
      <c r="A3" s="7" t="s">
        <v>363</v>
      </c>
      <c r="B3" s="7" t="s">
        <v>364</v>
      </c>
      <c r="C3" s="7" t="s">
        <v>355</v>
      </c>
      <c r="D3" s="10">
        <v>1</v>
      </c>
      <c r="E3" s="7" t="s">
        <v>115</v>
      </c>
      <c r="F3" s="7" t="s">
        <v>152</v>
      </c>
      <c r="G3" s="7" t="s">
        <v>175</v>
      </c>
      <c r="H3" s="7" t="s">
        <v>116</v>
      </c>
      <c r="I3" s="7" t="s">
        <v>153</v>
      </c>
      <c r="J3" s="7" t="s">
        <v>356</v>
      </c>
      <c r="K3" s="7" t="s">
        <v>357</v>
      </c>
      <c r="L3" s="12">
        <v>1</v>
      </c>
      <c r="M3" s="7" t="s">
        <v>358</v>
      </c>
      <c r="N3" s="10">
        <v>1</v>
      </c>
      <c r="O3" s="7">
        <v>0</v>
      </c>
      <c r="P3" s="7">
        <v>95</v>
      </c>
      <c r="Q3" s="7" t="s">
        <v>321</v>
      </c>
      <c r="R3" s="7" t="s">
        <v>359</v>
      </c>
      <c r="S3" s="50">
        <v>4.0000000000000001E-3</v>
      </c>
      <c r="T3" s="10">
        <v>2017</v>
      </c>
      <c r="U3" s="7">
        <v>0</v>
      </c>
      <c r="V3" s="7" t="s">
        <v>360</v>
      </c>
      <c r="W3" s="7" t="s">
        <v>63</v>
      </c>
      <c r="X3" s="7" t="s">
        <v>365</v>
      </c>
      <c r="Y3" s="7" t="s">
        <v>22</v>
      </c>
      <c r="Z3" s="7" t="s">
        <v>362</v>
      </c>
      <c r="AA3" s="25">
        <f>COUNTIF(Intervention_Cause_Map!$J$2:$J$10,G3)</f>
        <v>1</v>
      </c>
      <c r="AB3" s="25">
        <f t="shared" si="0"/>
        <v>1</v>
      </c>
      <c r="AC3" s="25" t="str">
        <f t="shared" si="1"/>
        <v>REVIEW ADJUSTMENT</v>
      </c>
    </row>
    <row r="4" spans="1:29">
      <c r="A4" s="7" t="s">
        <v>366</v>
      </c>
      <c r="B4" s="7" t="s">
        <v>367</v>
      </c>
      <c r="C4" s="7" t="s">
        <v>355</v>
      </c>
      <c r="D4" s="10">
        <v>1</v>
      </c>
      <c r="E4" s="7" t="s">
        <v>125</v>
      </c>
      <c r="F4" s="7" t="s">
        <v>152</v>
      </c>
      <c r="G4" s="7" t="s">
        <v>177</v>
      </c>
      <c r="H4" s="7" t="s">
        <v>126</v>
      </c>
      <c r="I4" s="7" t="s">
        <v>153</v>
      </c>
      <c r="J4" s="7" t="s">
        <v>356</v>
      </c>
      <c r="K4" s="7" t="s">
        <v>357</v>
      </c>
      <c r="L4" s="12">
        <v>1</v>
      </c>
      <c r="M4" s="7" t="s">
        <v>358</v>
      </c>
      <c r="N4" s="10">
        <v>1</v>
      </c>
      <c r="O4" s="7">
        <v>0</v>
      </c>
      <c r="P4" s="7">
        <v>95</v>
      </c>
      <c r="Q4" s="7" t="s">
        <v>321</v>
      </c>
      <c r="R4" s="7" t="s">
        <v>359</v>
      </c>
      <c r="S4" s="50">
        <v>2.3099999999999999E-2</v>
      </c>
      <c r="T4" s="10">
        <v>2017</v>
      </c>
      <c r="U4" s="7">
        <v>0</v>
      </c>
      <c r="V4" s="7" t="s">
        <v>360</v>
      </c>
      <c r="W4" s="7" t="s">
        <v>63</v>
      </c>
      <c r="X4" s="7" t="s">
        <v>368</v>
      </c>
      <c r="Y4" s="7" t="s">
        <v>22</v>
      </c>
      <c r="Z4" s="7" t="s">
        <v>362</v>
      </c>
      <c r="AA4" s="25">
        <f>COUNTIF(Intervention_Cause_Map!$J$2:$J$10,G4)</f>
        <v>1</v>
      </c>
      <c r="AB4" s="25">
        <f t="shared" si="0"/>
        <v>1</v>
      </c>
      <c r="AC4" s="25" t="str">
        <f t="shared" si="1"/>
        <v>REVIEW ADJUSTMENT</v>
      </c>
    </row>
    <row r="5" spans="1:29">
      <c r="A5" s="7" t="s">
        <v>369</v>
      </c>
      <c r="B5" s="7" t="s">
        <v>370</v>
      </c>
      <c r="C5" s="7" t="s">
        <v>355</v>
      </c>
      <c r="D5" s="10">
        <v>1</v>
      </c>
      <c r="E5" s="7" t="s">
        <v>133</v>
      </c>
      <c r="F5" s="7" t="s">
        <v>152</v>
      </c>
      <c r="G5" s="7" t="s">
        <v>179</v>
      </c>
      <c r="H5" s="7" t="s">
        <v>134</v>
      </c>
      <c r="I5" s="7" t="s">
        <v>153</v>
      </c>
      <c r="J5" s="7" t="s">
        <v>356</v>
      </c>
      <c r="K5" s="7" t="s">
        <v>357</v>
      </c>
      <c r="L5" s="12">
        <v>1</v>
      </c>
      <c r="M5" s="7" t="s">
        <v>358</v>
      </c>
      <c r="N5" s="10">
        <v>1</v>
      </c>
      <c r="O5" s="7">
        <v>0</v>
      </c>
      <c r="P5" s="7">
        <v>95</v>
      </c>
      <c r="Q5" s="7" t="s">
        <v>321</v>
      </c>
      <c r="R5" s="7" t="s">
        <v>359</v>
      </c>
      <c r="S5" s="50">
        <v>5.5999999999999999E-3</v>
      </c>
      <c r="T5" s="10">
        <v>2017</v>
      </c>
      <c r="U5" s="7">
        <v>0</v>
      </c>
      <c r="V5" s="7" t="s">
        <v>360</v>
      </c>
      <c r="W5" s="7" t="s">
        <v>63</v>
      </c>
      <c r="X5" s="7" t="s">
        <v>371</v>
      </c>
      <c r="Y5" s="7" t="s">
        <v>22</v>
      </c>
      <c r="Z5" s="7" t="s">
        <v>362</v>
      </c>
      <c r="AA5" s="25">
        <f>COUNTIF(Intervention_Cause_Map!$J$2:$J$10,G5)</f>
        <v>1</v>
      </c>
      <c r="AB5" s="25">
        <f t="shared" si="0"/>
        <v>1</v>
      </c>
      <c r="AC5" s="25" t="str">
        <f t="shared" si="1"/>
        <v>REVIEW ADJUSTMENT</v>
      </c>
    </row>
    <row r="6" spans="1:29">
      <c r="A6" s="7" t="s">
        <v>372</v>
      </c>
      <c r="B6" s="7" t="s">
        <v>373</v>
      </c>
      <c r="C6" s="7" t="s">
        <v>355</v>
      </c>
      <c r="D6" s="10">
        <v>1</v>
      </c>
      <c r="E6" s="7" t="s">
        <v>141</v>
      </c>
      <c r="F6" s="7" t="s">
        <v>152</v>
      </c>
      <c r="G6" s="7" t="s">
        <v>181</v>
      </c>
      <c r="H6" s="7" t="s">
        <v>142</v>
      </c>
      <c r="I6" s="7" t="s">
        <v>153</v>
      </c>
      <c r="J6" s="7" t="s">
        <v>356</v>
      </c>
      <c r="K6" s="7" t="s">
        <v>357</v>
      </c>
      <c r="L6" s="12">
        <v>1</v>
      </c>
      <c r="M6" s="7" t="s">
        <v>358</v>
      </c>
      <c r="N6" s="10">
        <v>1</v>
      </c>
      <c r="O6" s="7">
        <v>0</v>
      </c>
      <c r="P6" s="7">
        <v>95</v>
      </c>
      <c r="Q6" s="7" t="s">
        <v>321</v>
      </c>
      <c r="R6" s="7" t="s">
        <v>359</v>
      </c>
      <c r="S6" s="50">
        <v>3.5099999999999999E-2</v>
      </c>
      <c r="T6" s="10">
        <v>2017</v>
      </c>
      <c r="U6" s="7">
        <v>0</v>
      </c>
      <c r="V6" s="7" t="s">
        <v>360</v>
      </c>
      <c r="W6" s="7" t="s">
        <v>63</v>
      </c>
      <c r="X6" s="7" t="s">
        <v>374</v>
      </c>
      <c r="Y6" s="7" t="s">
        <v>22</v>
      </c>
      <c r="Z6" s="7" t="s">
        <v>362</v>
      </c>
      <c r="AA6" s="25">
        <f>COUNTIF(Intervention_Cause_Map!$J$2:$J$10,G6)</f>
        <v>4</v>
      </c>
      <c r="AB6" s="25">
        <f t="shared" si="0"/>
        <v>1</v>
      </c>
      <c r="AC6" s="25" t="str">
        <f t="shared" si="1"/>
        <v>REVIEW ADJUSTMENT</v>
      </c>
    </row>
    <row r="7" spans="1:29">
      <c r="A7" s="8" t="s">
        <v>375</v>
      </c>
      <c r="B7" s="8" t="s">
        <v>376</v>
      </c>
      <c r="C7" s="8" t="s">
        <v>355</v>
      </c>
      <c r="D7" s="11">
        <v>1</v>
      </c>
      <c r="E7" s="8" t="s">
        <v>147</v>
      </c>
      <c r="F7" s="8" t="s">
        <v>152</v>
      </c>
      <c r="G7" s="8" t="s">
        <v>187</v>
      </c>
      <c r="H7" s="8" t="s">
        <v>148</v>
      </c>
      <c r="I7" s="8" t="s">
        <v>153</v>
      </c>
      <c r="J7" s="8" t="s">
        <v>356</v>
      </c>
      <c r="K7" s="8" t="s">
        <v>357</v>
      </c>
      <c r="L7" s="37">
        <v>1</v>
      </c>
      <c r="M7" s="8" t="s">
        <v>358</v>
      </c>
      <c r="N7" s="11">
        <v>1</v>
      </c>
      <c r="O7" s="8">
        <v>0</v>
      </c>
      <c r="P7" s="8">
        <v>95</v>
      </c>
      <c r="Q7" s="8" t="s">
        <v>321</v>
      </c>
      <c r="R7" s="8" t="s">
        <v>359</v>
      </c>
      <c r="S7" s="51">
        <v>8.6999999999999994E-3</v>
      </c>
      <c r="T7" s="11">
        <v>2017</v>
      </c>
      <c r="U7" s="8">
        <v>0</v>
      </c>
      <c r="V7" s="8" t="s">
        <v>360</v>
      </c>
      <c r="W7" s="8" t="s">
        <v>63</v>
      </c>
      <c r="X7" s="8" t="s">
        <v>377</v>
      </c>
      <c r="Y7" s="8" t="s">
        <v>22</v>
      </c>
      <c r="Z7" s="8" t="s">
        <v>362</v>
      </c>
      <c r="AA7" s="26">
        <f>COUNTIF(Intervention_Cause_Map!$J$2:$J$10,G7)</f>
        <v>1</v>
      </c>
      <c r="AB7" s="26">
        <f t="shared" si="0"/>
        <v>1</v>
      </c>
      <c r="AC7" s="26" t="str">
        <f t="shared" si="1"/>
        <v>REVIEW ADJUSTMENT</v>
      </c>
    </row>
  </sheetData>
  <conditionalFormatting sqref="Y2:Y7">
    <cfRule type="containsText" dxfId="14" priority="1" operator="containsText" text="OK"/>
    <cfRule type="containsText" dxfId="13" priority="4" operator="containsText" text="FAIL"/>
    <cfRule type="containsText" dxfId="12" priority="7" operator="containsText" text="REVIEW"/>
  </conditionalFormatting>
  <conditionalFormatting sqref="AC2:AC7">
    <cfRule type="containsText" dxfId="11" priority="8" operator="containsText" text="OK"/>
    <cfRule type="containsText" dxfId="10" priority="11" operator="containsText" text="FAIL"/>
    <cfRule type="containsText" dxfId="9" priority="14" operator="containsText" text="REVIEW"/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0"/>
  <sheetViews>
    <sheetView showGridLines="0" workbookViewId="0"/>
  </sheetViews>
  <sheetFormatPr defaultRowHeight="13.8"/>
  <cols>
    <col min="1" max="1" width="34" customWidth="1"/>
    <col min="2" max="2" width="28" customWidth="1"/>
    <col min="3" max="3" width="24" customWidth="1"/>
    <col min="4" max="4" width="46" customWidth="1"/>
    <col min="5" max="5" width="18" customWidth="1"/>
    <col min="6" max="6" width="24" customWidth="1"/>
    <col min="7" max="10" width="20" customWidth="1"/>
    <col min="11" max="11" width="38" customWidth="1"/>
    <col min="12" max="13" width="18" customWidth="1"/>
    <col min="14" max="14" width="34" customWidth="1"/>
    <col min="15" max="15" width="26" customWidth="1"/>
    <col min="16" max="16" width="32" customWidth="1"/>
    <col min="17" max="17" width="20" customWidth="1"/>
    <col min="18" max="18" width="30" customWidth="1"/>
    <col min="19" max="19" width="24" customWidth="1"/>
  </cols>
  <sheetData>
    <row r="1" spans="1:19" ht="36" customHeight="1">
      <c r="A1" s="3" t="s">
        <v>155</v>
      </c>
      <c r="B1" s="4" t="s">
        <v>94</v>
      </c>
      <c r="C1" s="4" t="s">
        <v>98</v>
      </c>
      <c r="D1" s="4" t="s">
        <v>102</v>
      </c>
      <c r="E1" s="4" t="s">
        <v>160</v>
      </c>
      <c r="F1" s="4" t="s">
        <v>161</v>
      </c>
      <c r="G1" s="4" t="s">
        <v>243</v>
      </c>
      <c r="H1" s="4" t="s">
        <v>249</v>
      </c>
      <c r="I1" s="4" t="s">
        <v>250</v>
      </c>
      <c r="J1" s="4" t="s">
        <v>251</v>
      </c>
      <c r="K1" s="4" t="s">
        <v>270</v>
      </c>
      <c r="L1" s="4" t="s">
        <v>273</v>
      </c>
      <c r="M1" s="4" t="s">
        <v>275</v>
      </c>
      <c r="N1" s="4" t="s">
        <v>278</v>
      </c>
      <c r="O1" s="4" t="s">
        <v>378</v>
      </c>
      <c r="P1" s="4" t="s">
        <v>158</v>
      </c>
      <c r="Q1" s="4" t="s">
        <v>159</v>
      </c>
      <c r="R1" s="4" t="s">
        <v>379</v>
      </c>
      <c r="S1" s="5" t="s">
        <v>198</v>
      </c>
    </row>
    <row r="2" spans="1:19">
      <c r="A2" s="6" t="s">
        <v>166</v>
      </c>
      <c r="B2" s="6" t="s">
        <v>106</v>
      </c>
      <c r="C2" s="6" t="s">
        <v>110</v>
      </c>
      <c r="D2" s="6" t="s">
        <v>167</v>
      </c>
      <c r="E2" s="6" t="s">
        <v>170</v>
      </c>
      <c r="F2" s="6" t="s">
        <v>171</v>
      </c>
      <c r="G2" s="38">
        <f>SUMIF(Exposure_Targets!$B$2:$B$7,INDEX(Intervention_Cause_Map!$B$2:$B$10,MATCH(A2,Intervention_Cause_Map!$A$2:$A$10,0)),Exposure_Targets!$G$2:$G$7)</f>
        <v>0</v>
      </c>
      <c r="H2" s="38">
        <f>SUMIF(Exposure_Targets!$B$2:$B$7,INDEX(Intervention_Cause_Map!$B$2:$B$10,MATCH(A2,Intervention_Cause_Map!$A$2:$A$10,0)),Exposure_Targets!$M$2:$M$7)</f>
        <v>0</v>
      </c>
      <c r="I2" s="38" t="str">
        <f t="shared" ref="I2:I10" si="0">IF(G2=0,"",G2-H2)</f>
        <v/>
      </c>
      <c r="J2" s="30" t="str">
        <f t="shared" ref="J2:J10" si="1">IF(G2=0,"",I2/G2)</f>
        <v/>
      </c>
      <c r="K2" s="24" t="str">
        <f>INDEX(Effect_Parameters!$F$2:$F$10,MATCH(A2,Effect_Parameters!$B$2:$B$10,0))</f>
        <v>exposure_reduction_x_cause_PAF_x_lag</v>
      </c>
      <c r="L2" s="38">
        <f>INDEX(Effect_Parameters!$I$2:$I$10,MATCH(A2,Effect_Parameters!$B$2:$B$10,0))</f>
        <v>0</v>
      </c>
      <c r="M2" s="30">
        <f>INDEX(Effect_Parameters!$K$2:$K$10,MATCH(A2,Effect_Parameters!$B$2:$B$10,0))</f>
        <v>0</v>
      </c>
      <c r="N2" s="24" t="str">
        <f>INDEX(Effect_Parameters!$N$2:$N$10,MATCH(A2,Effect_Parameters!$B$2:$B$10,0))</f>
        <v>delayed_curve_required</v>
      </c>
      <c r="O2" s="30" t="str">
        <f>IF(K2="direct_loglinear_rr_per_unit_reduction",IF(OR(L2="",I2=""),"",1-1/(L2^I2)),IF(K2="exposure_reduction_x_cause_PAF_x_lag",IF(OR(J2="",M2=""),"",J2*M2),IF(K2="tfa_attributable_ihd_PAF_x_policy_score",IF(OR(M2="",Policy_Levers!$K$12=""),"",M2*Policy_Levers!$K$12),"")))</f>
        <v/>
      </c>
      <c r="P2" s="24" t="s">
        <v>168</v>
      </c>
      <c r="Q2" s="24" t="s">
        <v>169</v>
      </c>
      <c r="R2" s="52">
        <f>SUMIFS(Cost_Components!$S$2:$S$7,Cost_Components!$G$2:$G$7,P2,Cost_Components!$D$2:$D$7,1)</f>
        <v>4.0000000000000001E-3</v>
      </c>
      <c r="S2" s="24" t="str">
        <f t="shared" ref="S2:S10" si="2">IF(G2=0,"MISSING EXPOSURE",IF(E2="REVIEW","REVIEW EFFECT",IF(AND(OR(K2="exposure_reduction_x_cause_PAF_x_lag",K2="tfa_attributable_ihd_PAF_x_policy_score"),M2=""),"REVIEW EFFECT",IF(R2=0,"REVIEW COST","REVIEWED LINK"))))</f>
        <v>MISSING EXPOSURE</v>
      </c>
    </row>
    <row r="3" spans="1:19">
      <c r="A3" s="7" t="s">
        <v>173</v>
      </c>
      <c r="B3" s="7" t="s">
        <v>116</v>
      </c>
      <c r="C3" s="7" t="s">
        <v>120</v>
      </c>
      <c r="D3" s="7" t="s">
        <v>174</v>
      </c>
      <c r="E3" s="7" t="s">
        <v>170</v>
      </c>
      <c r="F3" s="7" t="s">
        <v>171</v>
      </c>
      <c r="G3" s="39">
        <f>SUMIF(Exposure_Targets!$B$2:$B$7,INDEX(Intervention_Cause_Map!$B$2:$B$10,MATCH(A3,Intervention_Cause_Map!$A$2:$A$10,0)),Exposure_Targets!$G$2:$G$7)</f>
        <v>0</v>
      </c>
      <c r="H3" s="39">
        <f>SUMIF(Exposure_Targets!$B$2:$B$7,INDEX(Intervention_Cause_Map!$B$2:$B$10,MATCH(A3,Intervention_Cause_Map!$A$2:$A$10,0)),Exposure_Targets!$M$2:$M$7)</f>
        <v>0</v>
      </c>
      <c r="I3" s="39" t="str">
        <f t="shared" si="0"/>
        <v/>
      </c>
      <c r="J3" s="31" t="str">
        <f t="shared" si="1"/>
        <v/>
      </c>
      <c r="K3" s="25" t="str">
        <f>INDEX(Effect_Parameters!$F$2:$F$10,MATCH(A3,Effect_Parameters!$B$2:$B$10,0))</f>
        <v>exposure_reduction_x_cause_PAF_x_lag</v>
      </c>
      <c r="L3" s="39">
        <f>INDEX(Effect_Parameters!$I$2:$I$10,MATCH(A3,Effect_Parameters!$B$2:$B$10,0))</f>
        <v>0</v>
      </c>
      <c r="M3" s="31">
        <f>INDEX(Effect_Parameters!$K$2:$K$10,MATCH(A3,Effect_Parameters!$B$2:$B$10,0))</f>
        <v>0</v>
      </c>
      <c r="N3" s="25" t="str">
        <f>INDEX(Effect_Parameters!$N$2:$N$10,MATCH(A3,Effect_Parameters!$B$2:$B$10,0))</f>
        <v>delayed_curve_required</v>
      </c>
      <c r="O3" s="31" t="str">
        <f>IF(K3="direct_loglinear_rr_per_unit_reduction",IF(OR(L3="",I3=""),"",1-1/(L3^I3)),IF(K3="exposure_reduction_x_cause_PAF_x_lag",IF(OR(J3="",M3=""),"",J3*M3),IF(K3="tfa_attributable_ihd_PAF_x_policy_score",IF(OR(M3="",Policy_Levers!$K$12=""),"",M3*Policy_Levers!$K$12),"")))</f>
        <v/>
      </c>
      <c r="P3" s="25" t="s">
        <v>175</v>
      </c>
      <c r="Q3" s="25" t="s">
        <v>169</v>
      </c>
      <c r="R3" s="53">
        <f>SUMIFS(Cost_Components!$S$2:$S$7,Cost_Components!$G$2:$G$7,P3,Cost_Components!$D$2:$D$7,1)</f>
        <v>4.0000000000000001E-3</v>
      </c>
      <c r="S3" s="25" t="str">
        <f t="shared" si="2"/>
        <v>MISSING EXPOSURE</v>
      </c>
    </row>
    <row r="4" spans="1:19" ht="22.8">
      <c r="A4" s="7" t="s">
        <v>176</v>
      </c>
      <c r="B4" s="7" t="s">
        <v>126</v>
      </c>
      <c r="C4" s="7" t="s">
        <v>110</v>
      </c>
      <c r="D4" s="7" t="s">
        <v>167</v>
      </c>
      <c r="E4" s="7" t="s">
        <v>170</v>
      </c>
      <c r="F4" s="7" t="s">
        <v>171</v>
      </c>
      <c r="G4" s="39">
        <f>SUMIF(Exposure_Targets!$B$2:$B$7,INDEX(Intervention_Cause_Map!$B$2:$B$10,MATCH(A4,Intervention_Cause_Map!$A$2:$A$10,0)),Exposure_Targets!$G$2:$G$7)</f>
        <v>0</v>
      </c>
      <c r="H4" s="39">
        <f>SUMIF(Exposure_Targets!$B$2:$B$7,INDEX(Intervention_Cause_Map!$B$2:$B$10,MATCH(A4,Intervention_Cause_Map!$A$2:$A$10,0)),Exposure_Targets!$M$2:$M$7)</f>
        <v>0</v>
      </c>
      <c r="I4" s="39" t="str">
        <f t="shared" si="0"/>
        <v/>
      </c>
      <c r="J4" s="31" t="str">
        <f t="shared" si="1"/>
        <v/>
      </c>
      <c r="K4" s="25" t="str">
        <f>INDEX(Effect_Parameters!$F$2:$F$10,MATCH(A4,Effect_Parameters!$B$2:$B$10,0))</f>
        <v>exposure_reduction_x_cause_PAF_x_lag</v>
      </c>
      <c r="L4" s="39">
        <f>INDEX(Effect_Parameters!$I$2:$I$10,MATCH(A4,Effect_Parameters!$B$2:$B$10,0))</f>
        <v>0</v>
      </c>
      <c r="M4" s="31">
        <f>INDEX(Effect_Parameters!$K$2:$K$10,MATCH(A4,Effect_Parameters!$B$2:$B$10,0))</f>
        <v>0</v>
      </c>
      <c r="N4" s="25" t="str">
        <f>INDEX(Effect_Parameters!$N$2:$N$10,MATCH(A4,Effect_Parameters!$B$2:$B$10,0))</f>
        <v>delayed_curve_required</v>
      </c>
      <c r="O4" s="31" t="str">
        <f>IF(K4="direct_loglinear_rr_per_unit_reduction",IF(OR(L4="",I4=""),"",1-1/(L4^I4)),IF(K4="exposure_reduction_x_cause_PAF_x_lag",IF(OR(J4="",M4=""),"",J4*M4),IF(K4="tfa_attributable_ihd_PAF_x_policy_score",IF(OR(M4="",Policy_Levers!$K$12=""),"",M4*Policy_Levers!$K$12),"")))</f>
        <v/>
      </c>
      <c r="P4" s="25" t="s">
        <v>177</v>
      </c>
      <c r="Q4" s="25" t="s">
        <v>169</v>
      </c>
      <c r="R4" s="53">
        <f>SUMIFS(Cost_Components!$S$2:$S$7,Cost_Components!$G$2:$G$7,P4,Cost_Components!$D$2:$D$7,1)</f>
        <v>2.3099999999999999E-2</v>
      </c>
      <c r="S4" s="25" t="str">
        <f t="shared" si="2"/>
        <v>MISSING EXPOSURE</v>
      </c>
    </row>
    <row r="5" spans="1:19" ht="22.8">
      <c r="A5" s="7" t="s">
        <v>178</v>
      </c>
      <c r="B5" s="7" t="s">
        <v>134</v>
      </c>
      <c r="C5" s="7" t="s">
        <v>120</v>
      </c>
      <c r="D5" s="7" t="s">
        <v>174</v>
      </c>
      <c r="E5" s="7" t="s">
        <v>170</v>
      </c>
      <c r="F5" s="7" t="s">
        <v>171</v>
      </c>
      <c r="G5" s="39">
        <f>SUMIF(Exposure_Targets!$B$2:$B$7,INDEX(Intervention_Cause_Map!$B$2:$B$10,MATCH(A5,Intervention_Cause_Map!$A$2:$A$10,0)),Exposure_Targets!$G$2:$G$7)</f>
        <v>0</v>
      </c>
      <c r="H5" s="39">
        <f>SUMIF(Exposure_Targets!$B$2:$B$7,INDEX(Intervention_Cause_Map!$B$2:$B$10,MATCH(A5,Intervention_Cause_Map!$A$2:$A$10,0)),Exposure_Targets!$M$2:$M$7)</f>
        <v>0</v>
      </c>
      <c r="I5" s="39" t="str">
        <f t="shared" si="0"/>
        <v/>
      </c>
      <c r="J5" s="31" t="str">
        <f t="shared" si="1"/>
        <v/>
      </c>
      <c r="K5" s="25" t="str">
        <f>INDEX(Effect_Parameters!$F$2:$F$10,MATCH(A5,Effect_Parameters!$B$2:$B$10,0))</f>
        <v>exposure_reduction_x_cause_PAF_x_lag</v>
      </c>
      <c r="L5" s="39">
        <f>INDEX(Effect_Parameters!$I$2:$I$10,MATCH(A5,Effect_Parameters!$B$2:$B$10,0))</f>
        <v>0</v>
      </c>
      <c r="M5" s="31">
        <f>INDEX(Effect_Parameters!$K$2:$K$10,MATCH(A5,Effect_Parameters!$B$2:$B$10,0))</f>
        <v>0</v>
      </c>
      <c r="N5" s="25" t="str">
        <f>INDEX(Effect_Parameters!$N$2:$N$10,MATCH(A5,Effect_Parameters!$B$2:$B$10,0))</f>
        <v>delayed_curve_required</v>
      </c>
      <c r="O5" s="31" t="str">
        <f>IF(K5="direct_loglinear_rr_per_unit_reduction",IF(OR(L5="",I5=""),"",1-1/(L5^I5)),IF(K5="exposure_reduction_x_cause_PAF_x_lag",IF(OR(J5="",M5=""),"",J5*M5),IF(K5="tfa_attributable_ihd_PAF_x_policy_score",IF(OR(M5="",Policy_Levers!$K$12=""),"",M5*Policy_Levers!$K$12),"")))</f>
        <v/>
      </c>
      <c r="P5" s="25" t="s">
        <v>179</v>
      </c>
      <c r="Q5" s="25" t="s">
        <v>169</v>
      </c>
      <c r="R5" s="53">
        <f>SUMIFS(Cost_Components!$S$2:$S$7,Cost_Components!$G$2:$G$7,P5,Cost_Components!$D$2:$D$7,1)</f>
        <v>5.5999999999999999E-3</v>
      </c>
      <c r="S5" s="25" t="str">
        <f t="shared" si="2"/>
        <v>MISSING EXPOSURE</v>
      </c>
    </row>
    <row r="6" spans="1:19">
      <c r="A6" s="7" t="s">
        <v>180</v>
      </c>
      <c r="B6" s="7" t="s">
        <v>142</v>
      </c>
      <c r="C6" s="7" t="s">
        <v>129</v>
      </c>
      <c r="D6" s="7" t="s">
        <v>132</v>
      </c>
      <c r="E6" s="7" t="s">
        <v>170</v>
      </c>
      <c r="F6" s="7" t="s">
        <v>171</v>
      </c>
      <c r="G6" s="39">
        <f>SUMIF(Exposure_Targets!$B$2:$B$7,INDEX(Intervention_Cause_Map!$B$2:$B$10,MATCH(A6,Intervention_Cause_Map!$A$2:$A$10,0)),Exposure_Targets!$G$2:$G$7)</f>
        <v>0</v>
      </c>
      <c r="H6" s="39">
        <f>SUMIF(Exposure_Targets!$B$2:$B$7,INDEX(Intervention_Cause_Map!$B$2:$B$10,MATCH(A6,Intervention_Cause_Map!$A$2:$A$10,0)),Exposure_Targets!$M$2:$M$7)</f>
        <v>0</v>
      </c>
      <c r="I6" s="39" t="str">
        <f t="shared" si="0"/>
        <v/>
      </c>
      <c r="J6" s="31" t="str">
        <f t="shared" si="1"/>
        <v/>
      </c>
      <c r="K6" s="25" t="str">
        <f>INDEX(Effect_Parameters!$F$2:$F$10,MATCH(A6,Effect_Parameters!$B$2:$B$10,0))</f>
        <v>direct_loglinear_rr_per_unit_reduction</v>
      </c>
      <c r="L6" s="39">
        <f>INDEX(Effect_Parameters!$I$2:$I$10,MATCH(A6,Effect_Parameters!$B$2:$B$10,0))</f>
        <v>1.06</v>
      </c>
      <c r="M6" s="31">
        <f>INDEX(Effect_Parameters!$K$2:$K$10,MATCH(A6,Effect_Parameters!$B$2:$B$10,0))</f>
        <v>0</v>
      </c>
      <c r="N6" s="25" t="str">
        <f>INDEX(Effect_Parameters!$N$2:$N$10,MATCH(A6,Effect_Parameters!$B$2:$B$10,0))</f>
        <v>immediate_after_full_implementation</v>
      </c>
      <c r="O6" s="31" t="str">
        <f>IF(K6="direct_loglinear_rr_per_unit_reduction",IF(OR(L6="",I6=""),"",1-1/(L6^I6)),IF(K6="exposure_reduction_x_cause_PAF_x_lag",IF(OR(J6="",M6=""),"",J6*M6),IF(K6="tfa_attributable_ihd_PAF_x_policy_score",IF(OR(M6="",Policy_Levers!$K$12=""),"",M6*Policy_Levers!$K$12),"")))</f>
        <v/>
      </c>
      <c r="P6" s="25" t="s">
        <v>181</v>
      </c>
      <c r="Q6" s="25" t="s">
        <v>169</v>
      </c>
      <c r="R6" s="53">
        <f>SUMIFS(Cost_Components!$S$2:$S$7,Cost_Components!$G$2:$G$7,P6,Cost_Components!$D$2:$D$7,1)</f>
        <v>3.5099999999999999E-2</v>
      </c>
      <c r="S6" s="25" t="str">
        <f t="shared" si="2"/>
        <v>MISSING EXPOSURE</v>
      </c>
    </row>
    <row r="7" spans="1:19">
      <c r="A7" s="7" t="s">
        <v>183</v>
      </c>
      <c r="B7" s="7" t="s">
        <v>142</v>
      </c>
      <c r="C7" s="7" t="s">
        <v>129</v>
      </c>
      <c r="D7" s="7" t="s">
        <v>140</v>
      </c>
      <c r="E7" s="7" t="s">
        <v>170</v>
      </c>
      <c r="F7" s="7" t="s">
        <v>171</v>
      </c>
      <c r="G7" s="39">
        <f>SUMIF(Exposure_Targets!$B$2:$B$7,INDEX(Intervention_Cause_Map!$B$2:$B$10,MATCH(A7,Intervention_Cause_Map!$A$2:$A$10,0)),Exposure_Targets!$G$2:$G$7)</f>
        <v>0</v>
      </c>
      <c r="H7" s="39">
        <f>SUMIF(Exposure_Targets!$B$2:$B$7,INDEX(Intervention_Cause_Map!$B$2:$B$10,MATCH(A7,Intervention_Cause_Map!$A$2:$A$10,0)),Exposure_Targets!$M$2:$M$7)</f>
        <v>0</v>
      </c>
      <c r="I7" s="39" t="str">
        <f t="shared" si="0"/>
        <v/>
      </c>
      <c r="J7" s="31" t="str">
        <f t="shared" si="1"/>
        <v/>
      </c>
      <c r="K7" s="25" t="str">
        <f>INDEX(Effect_Parameters!$F$2:$F$10,MATCH(A7,Effect_Parameters!$B$2:$B$10,0))</f>
        <v>direct_loglinear_rr_per_unit_reduction</v>
      </c>
      <c r="L7" s="39">
        <f>INDEX(Effect_Parameters!$I$2:$I$10,MATCH(A7,Effect_Parameters!$B$2:$B$10,0))</f>
        <v>1.06</v>
      </c>
      <c r="M7" s="31">
        <f>INDEX(Effect_Parameters!$K$2:$K$10,MATCH(A7,Effect_Parameters!$B$2:$B$10,0))</f>
        <v>0</v>
      </c>
      <c r="N7" s="25" t="str">
        <f>INDEX(Effect_Parameters!$N$2:$N$10,MATCH(A7,Effect_Parameters!$B$2:$B$10,0))</f>
        <v>immediate_after_full_implementation</v>
      </c>
      <c r="O7" s="31" t="str">
        <f>IF(K7="direct_loglinear_rr_per_unit_reduction",IF(OR(L7="",I7=""),"",1-1/(L7^I7)),IF(K7="exposure_reduction_x_cause_PAF_x_lag",IF(OR(J7="",M7=""),"",J7*M7),IF(K7="tfa_attributable_ihd_PAF_x_policy_score",IF(OR(M7="",Policy_Levers!$K$12=""),"",M7*Policy_Levers!$K$12),"")))</f>
        <v/>
      </c>
      <c r="P7" s="25" t="s">
        <v>181</v>
      </c>
      <c r="Q7" s="25" t="s">
        <v>169</v>
      </c>
      <c r="R7" s="53">
        <f>SUMIFS(Cost_Components!$S$2:$S$7,Cost_Components!$G$2:$G$7,P7,Cost_Components!$D$2:$D$7,1)</f>
        <v>3.5099999999999999E-2</v>
      </c>
      <c r="S7" s="25" t="str">
        <f t="shared" si="2"/>
        <v>MISSING EXPOSURE</v>
      </c>
    </row>
    <row r="8" spans="1:19">
      <c r="A8" s="7" t="s">
        <v>184</v>
      </c>
      <c r="B8" s="7" t="s">
        <v>142</v>
      </c>
      <c r="C8" s="7" t="s">
        <v>129</v>
      </c>
      <c r="D8" s="7" t="s">
        <v>146</v>
      </c>
      <c r="E8" s="7" t="s">
        <v>170</v>
      </c>
      <c r="F8" s="7" t="s">
        <v>171</v>
      </c>
      <c r="G8" s="39">
        <f>SUMIF(Exposure_Targets!$B$2:$B$7,INDEX(Intervention_Cause_Map!$B$2:$B$10,MATCH(A8,Intervention_Cause_Map!$A$2:$A$10,0)),Exposure_Targets!$G$2:$G$7)</f>
        <v>0</v>
      </c>
      <c r="H8" s="39">
        <f>SUMIF(Exposure_Targets!$B$2:$B$7,INDEX(Intervention_Cause_Map!$B$2:$B$10,MATCH(A8,Intervention_Cause_Map!$A$2:$A$10,0)),Exposure_Targets!$M$2:$M$7)</f>
        <v>0</v>
      </c>
      <c r="I8" s="39" t="str">
        <f t="shared" si="0"/>
        <v/>
      </c>
      <c r="J8" s="31" t="str">
        <f t="shared" si="1"/>
        <v/>
      </c>
      <c r="K8" s="25" t="str">
        <f>INDEX(Effect_Parameters!$F$2:$F$10,MATCH(A8,Effect_Parameters!$B$2:$B$10,0))</f>
        <v>direct_loglinear_rr_per_unit_reduction</v>
      </c>
      <c r="L8" s="39">
        <f>INDEX(Effect_Parameters!$I$2:$I$10,MATCH(A8,Effect_Parameters!$B$2:$B$10,0))</f>
        <v>1.06</v>
      </c>
      <c r="M8" s="31">
        <f>INDEX(Effect_Parameters!$K$2:$K$10,MATCH(A8,Effect_Parameters!$B$2:$B$10,0))</f>
        <v>0</v>
      </c>
      <c r="N8" s="25" t="str">
        <f>INDEX(Effect_Parameters!$N$2:$N$10,MATCH(A8,Effect_Parameters!$B$2:$B$10,0))</f>
        <v>immediate_after_full_implementation</v>
      </c>
      <c r="O8" s="31" t="str">
        <f>IF(K8="direct_loglinear_rr_per_unit_reduction",IF(OR(L8="",I8=""),"",1-1/(L8^I8)),IF(K8="exposure_reduction_x_cause_PAF_x_lag",IF(OR(J8="",M8=""),"",J8*M8),IF(K8="tfa_attributable_ihd_PAF_x_policy_score",IF(OR(M8="",Policy_Levers!$K$12=""),"",M8*Policy_Levers!$K$12),"")))</f>
        <v/>
      </c>
      <c r="P8" s="25" t="s">
        <v>181</v>
      </c>
      <c r="Q8" s="25" t="s">
        <v>169</v>
      </c>
      <c r="R8" s="53">
        <f>SUMIFS(Cost_Components!$S$2:$S$7,Cost_Components!$G$2:$G$7,P8,Cost_Components!$D$2:$D$7,1)</f>
        <v>3.5099999999999999E-2</v>
      </c>
      <c r="S8" s="25" t="str">
        <f t="shared" si="2"/>
        <v>MISSING EXPOSURE</v>
      </c>
    </row>
    <row r="9" spans="1:19">
      <c r="A9" s="7" t="s">
        <v>185</v>
      </c>
      <c r="B9" s="7" t="s">
        <v>142</v>
      </c>
      <c r="C9" s="7" t="s">
        <v>129</v>
      </c>
      <c r="D9" s="7" t="s">
        <v>151</v>
      </c>
      <c r="E9" s="7" t="s">
        <v>170</v>
      </c>
      <c r="F9" s="7" t="s">
        <v>171</v>
      </c>
      <c r="G9" s="39">
        <f>SUMIF(Exposure_Targets!$B$2:$B$7,INDEX(Intervention_Cause_Map!$B$2:$B$10,MATCH(A9,Intervention_Cause_Map!$A$2:$A$10,0)),Exposure_Targets!$G$2:$G$7)</f>
        <v>0</v>
      </c>
      <c r="H9" s="39">
        <f>SUMIF(Exposure_Targets!$B$2:$B$7,INDEX(Intervention_Cause_Map!$B$2:$B$10,MATCH(A9,Intervention_Cause_Map!$A$2:$A$10,0)),Exposure_Targets!$M$2:$M$7)</f>
        <v>0</v>
      </c>
      <c r="I9" s="39" t="str">
        <f t="shared" si="0"/>
        <v/>
      </c>
      <c r="J9" s="31" t="str">
        <f t="shared" si="1"/>
        <v/>
      </c>
      <c r="K9" s="25" t="str">
        <f>INDEX(Effect_Parameters!$F$2:$F$10,MATCH(A9,Effect_Parameters!$B$2:$B$10,0))</f>
        <v>direct_loglinear_rr_per_unit_reduction</v>
      </c>
      <c r="L9" s="39">
        <f>INDEX(Effect_Parameters!$I$2:$I$10,MATCH(A9,Effect_Parameters!$B$2:$B$10,0))</f>
        <v>1.06</v>
      </c>
      <c r="M9" s="31">
        <f>INDEX(Effect_Parameters!$K$2:$K$10,MATCH(A9,Effect_Parameters!$B$2:$B$10,0))</f>
        <v>0</v>
      </c>
      <c r="N9" s="25" t="str">
        <f>INDEX(Effect_Parameters!$N$2:$N$10,MATCH(A9,Effect_Parameters!$B$2:$B$10,0))</f>
        <v>immediate_after_full_implementation</v>
      </c>
      <c r="O9" s="31" t="str">
        <f>IF(K9="direct_loglinear_rr_per_unit_reduction",IF(OR(L9="",I9=""),"",1-1/(L9^I9)),IF(K9="exposure_reduction_x_cause_PAF_x_lag",IF(OR(J9="",M9=""),"",J9*M9),IF(K9="tfa_attributable_ihd_PAF_x_policy_score",IF(OR(M9="",Policy_Levers!$K$12=""),"",M9*Policy_Levers!$K$12),"")))</f>
        <v/>
      </c>
      <c r="P9" s="25" t="s">
        <v>181</v>
      </c>
      <c r="Q9" s="25" t="s">
        <v>169</v>
      </c>
      <c r="R9" s="53">
        <f>SUMIFS(Cost_Components!$S$2:$S$7,Cost_Components!$G$2:$G$7,P9,Cost_Components!$D$2:$D$7,1)</f>
        <v>3.5099999999999999E-2</v>
      </c>
      <c r="S9" s="25" t="str">
        <f t="shared" si="2"/>
        <v>MISSING EXPOSURE</v>
      </c>
    </row>
    <row r="10" spans="1:19">
      <c r="A10" s="8" t="s">
        <v>186</v>
      </c>
      <c r="B10" s="8" t="s">
        <v>148</v>
      </c>
      <c r="C10" s="8" t="s">
        <v>137</v>
      </c>
      <c r="D10" s="8" t="s">
        <v>132</v>
      </c>
      <c r="E10" s="8" t="s">
        <v>170</v>
      </c>
      <c r="F10" s="8" t="s">
        <v>171</v>
      </c>
      <c r="G10" s="40">
        <f>SUMIF(Exposure_Targets!$B$2:$B$7,INDEX(Intervention_Cause_Map!$B$2:$B$10,MATCH(A10,Intervention_Cause_Map!$A$2:$A$10,0)),Exposure_Targets!$G$2:$G$7)</f>
        <v>0</v>
      </c>
      <c r="H10" s="40">
        <f>SUMIF(Exposure_Targets!$B$2:$B$7,INDEX(Intervention_Cause_Map!$B$2:$B$10,MATCH(A10,Intervention_Cause_Map!$A$2:$A$10,0)),Exposure_Targets!$M$2:$M$7)</f>
        <v>0</v>
      </c>
      <c r="I10" s="40" t="str">
        <f t="shared" si="0"/>
        <v/>
      </c>
      <c r="J10" s="33" t="str">
        <f t="shared" si="1"/>
        <v/>
      </c>
      <c r="K10" s="26" t="str">
        <f>INDEX(Effect_Parameters!$F$2:$F$10,MATCH(A10,Effect_Parameters!$B$2:$B$10,0))</f>
        <v>tfa_attributable_ihd_PAF_x_policy_score</v>
      </c>
      <c r="L10" s="40">
        <f>INDEX(Effect_Parameters!$I$2:$I$10,MATCH(A10,Effect_Parameters!$B$2:$B$10,0))</f>
        <v>0</v>
      </c>
      <c r="M10" s="33">
        <f>INDEX(Effect_Parameters!$K$2:$K$10,MATCH(A10,Effect_Parameters!$B$2:$B$10,0))</f>
        <v>0</v>
      </c>
      <c r="N10" s="26" t="str">
        <f>INDEX(Effect_Parameters!$N$2:$N$10,MATCH(A10,Effect_Parameters!$B$2:$B$10,0))</f>
        <v>immediate_after_full_implementation</v>
      </c>
      <c r="O10" s="33" t="str">
        <f>IF(K10="direct_loglinear_rr_per_unit_reduction",IF(OR(L10="",I10=""),"",1-1/(L10^I10)),IF(K10="exposure_reduction_x_cause_PAF_x_lag",IF(OR(J10="",M10=""),"",J10*M10),IF(K10="tfa_attributable_ihd_PAF_x_policy_score",IF(OR(M10="",Policy_Levers!$K$12=""),"",M10*Policy_Levers!$K$12),"")))</f>
        <v/>
      </c>
      <c r="P10" s="26" t="s">
        <v>187</v>
      </c>
      <c r="Q10" s="26" t="s">
        <v>169</v>
      </c>
      <c r="R10" s="54">
        <f>SUMIFS(Cost_Components!$S$2:$S$7,Cost_Components!$G$2:$G$7,P10,Cost_Components!$D$2:$D$7,1)</f>
        <v>8.6999999999999994E-3</v>
      </c>
      <c r="S10" s="26" t="str">
        <f t="shared" si="2"/>
        <v>MISSING EXPOSURE</v>
      </c>
    </row>
  </sheetData>
  <conditionalFormatting sqref="S2:S10">
    <cfRule type="containsText" dxfId="8" priority="1" operator="containsText" text="OK"/>
    <cfRule type="containsText" dxfId="7" priority="4" operator="containsText" text="FAIL"/>
    <cfRule type="containsText" dxfId="6" priority="7" operator="containsText" text="REVIEW"/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2"/>
  <sheetViews>
    <sheetView showGridLines="0" workbookViewId="0"/>
  </sheetViews>
  <sheetFormatPr defaultRowHeight="13.8"/>
  <cols>
    <col min="1" max="1" width="14" customWidth="1"/>
    <col min="2" max="2" width="32" customWidth="1"/>
    <col min="3" max="3" width="72" customWidth="1"/>
    <col min="4" max="4" width="28" customWidth="1"/>
    <col min="5" max="5" width="34" customWidth="1"/>
    <col min="6" max="6" width="72" customWidth="1"/>
  </cols>
  <sheetData>
    <row r="1" spans="1:6">
      <c r="A1" s="22" t="s">
        <v>380</v>
      </c>
      <c r="B1" s="22" t="s">
        <v>381</v>
      </c>
      <c r="C1" s="22" t="s">
        <v>382</v>
      </c>
      <c r="D1" s="22" t="s">
        <v>383</v>
      </c>
      <c r="E1" s="22" t="s">
        <v>384</v>
      </c>
      <c r="F1" s="22" t="s">
        <v>385</v>
      </c>
    </row>
    <row r="2" spans="1:6">
      <c r="A2" s="55" t="s">
        <v>386</v>
      </c>
      <c r="B2" s="55" t="s">
        <v>387</v>
      </c>
      <c r="C2" s="55" t="s">
        <v>388</v>
      </c>
      <c r="D2" s="55" t="s">
        <v>389</v>
      </c>
      <c r="E2" s="55" t="s">
        <v>93</v>
      </c>
      <c r="F2" s="55" t="s">
        <v>390</v>
      </c>
    </row>
    <row r="3" spans="1:6">
      <c r="A3" s="56" t="s">
        <v>391</v>
      </c>
      <c r="B3" s="56" t="s">
        <v>392</v>
      </c>
      <c r="C3" s="56" t="s">
        <v>393</v>
      </c>
      <c r="D3" s="56" t="s">
        <v>389</v>
      </c>
      <c r="E3" s="56" t="s">
        <v>93</v>
      </c>
      <c r="F3" s="56" t="s">
        <v>394</v>
      </c>
    </row>
    <row r="4" spans="1:6">
      <c r="A4" s="56" t="s">
        <v>395</v>
      </c>
      <c r="B4" s="56" t="s">
        <v>396</v>
      </c>
      <c r="C4" s="56" t="s">
        <v>397</v>
      </c>
      <c r="D4" s="56" t="s">
        <v>389</v>
      </c>
      <c r="E4" s="56" t="s">
        <v>93</v>
      </c>
      <c r="F4" s="56" t="s">
        <v>398</v>
      </c>
    </row>
    <row r="5" spans="1:6">
      <c r="A5" s="56" t="s">
        <v>399</v>
      </c>
      <c r="B5" s="56" t="s">
        <v>400</v>
      </c>
      <c r="C5" s="56" t="s">
        <v>401</v>
      </c>
      <c r="D5" s="56" t="s">
        <v>402</v>
      </c>
      <c r="E5" s="56" t="s">
        <v>403</v>
      </c>
      <c r="F5" s="56" t="s">
        <v>404</v>
      </c>
    </row>
    <row r="6" spans="1:6">
      <c r="A6" s="56" t="s">
        <v>405</v>
      </c>
      <c r="B6" s="56" t="s">
        <v>116</v>
      </c>
      <c r="C6" s="56" t="s">
        <v>406</v>
      </c>
      <c r="D6" s="56" t="s">
        <v>407</v>
      </c>
      <c r="E6" s="56" t="s">
        <v>189</v>
      </c>
      <c r="F6" s="56" t="s">
        <v>408</v>
      </c>
    </row>
    <row r="7" spans="1:6" ht="26.4">
      <c r="A7" s="56" t="s">
        <v>409</v>
      </c>
      <c r="B7" s="56" t="s">
        <v>106</v>
      </c>
      <c r="C7" s="56" t="s">
        <v>410</v>
      </c>
      <c r="D7" s="56" t="s">
        <v>407</v>
      </c>
      <c r="E7" s="56" t="s">
        <v>189</v>
      </c>
      <c r="F7" s="56" t="s">
        <v>411</v>
      </c>
    </row>
    <row r="8" spans="1:6">
      <c r="A8" s="56" t="s">
        <v>412</v>
      </c>
      <c r="B8" s="56" t="s">
        <v>413</v>
      </c>
      <c r="C8" s="56" t="s">
        <v>414</v>
      </c>
      <c r="D8" s="56" t="s">
        <v>407</v>
      </c>
      <c r="E8" s="56" t="s">
        <v>93</v>
      </c>
      <c r="F8" s="56" t="s">
        <v>415</v>
      </c>
    </row>
    <row r="9" spans="1:6">
      <c r="A9" s="56" t="s">
        <v>416</v>
      </c>
      <c r="B9" s="56" t="s">
        <v>417</v>
      </c>
      <c r="C9" s="56" t="s">
        <v>418</v>
      </c>
      <c r="D9" s="56" t="s">
        <v>419</v>
      </c>
      <c r="E9" s="56" t="s">
        <v>155</v>
      </c>
      <c r="F9" s="56" t="s">
        <v>420</v>
      </c>
    </row>
    <row r="10" spans="1:6">
      <c r="A10" s="56" t="s">
        <v>421</v>
      </c>
      <c r="B10" s="56" t="s">
        <v>422</v>
      </c>
      <c r="C10" s="56" t="s">
        <v>423</v>
      </c>
      <c r="D10" s="56" t="s">
        <v>424</v>
      </c>
      <c r="E10" s="56" t="s">
        <v>155</v>
      </c>
      <c r="F10" s="56" t="s">
        <v>425</v>
      </c>
    </row>
    <row r="11" spans="1:6">
      <c r="A11" s="56" t="s">
        <v>426</v>
      </c>
      <c r="B11" s="56" t="s">
        <v>427</v>
      </c>
      <c r="C11" s="56" t="s">
        <v>428</v>
      </c>
      <c r="D11" s="56" t="s">
        <v>407</v>
      </c>
      <c r="E11" s="56" t="s">
        <v>93</v>
      </c>
      <c r="F11" s="56" t="s">
        <v>429</v>
      </c>
    </row>
    <row r="12" spans="1:6">
      <c r="A12" s="56" t="s">
        <v>430</v>
      </c>
      <c r="B12" s="56" t="s">
        <v>431</v>
      </c>
      <c r="C12" s="56" t="s">
        <v>432</v>
      </c>
      <c r="D12" s="56" t="s">
        <v>424</v>
      </c>
      <c r="E12" s="56" t="s">
        <v>155</v>
      </c>
      <c r="F12" s="56" t="s">
        <v>433</v>
      </c>
    </row>
    <row r="13" spans="1:6">
      <c r="A13" s="56" t="s">
        <v>434</v>
      </c>
      <c r="B13" s="56" t="s">
        <v>435</v>
      </c>
      <c r="C13" s="56" t="s">
        <v>436</v>
      </c>
      <c r="D13" s="56" t="s">
        <v>437</v>
      </c>
      <c r="E13" s="56" t="s">
        <v>158</v>
      </c>
      <c r="F13" s="56" t="s">
        <v>438</v>
      </c>
    </row>
    <row r="14" spans="1:6">
      <c r="A14" s="56" t="s">
        <v>439</v>
      </c>
      <c r="B14" s="56" t="s">
        <v>440</v>
      </c>
      <c r="C14" s="56" t="s">
        <v>441</v>
      </c>
      <c r="D14" s="56" t="s">
        <v>442</v>
      </c>
      <c r="E14" s="56" t="s">
        <v>403</v>
      </c>
      <c r="F14" s="56" t="s">
        <v>443</v>
      </c>
    </row>
    <row r="15" spans="1:6">
      <c r="A15" s="57" t="s">
        <v>444</v>
      </c>
      <c r="B15" s="57" t="s">
        <v>445</v>
      </c>
      <c r="C15" s="57" t="s">
        <v>446</v>
      </c>
      <c r="D15" s="57" t="s">
        <v>442</v>
      </c>
      <c r="E15" s="57" t="s">
        <v>447</v>
      </c>
      <c r="F15" s="57" t="s">
        <v>448</v>
      </c>
    </row>
    <row r="17" spans="1:6" ht="27.6">
      <c r="A17" s="58" t="s">
        <v>449</v>
      </c>
      <c r="B17" s="58" t="s">
        <v>450</v>
      </c>
      <c r="C17" s="58" t="s">
        <v>451</v>
      </c>
      <c r="D17" s="58" t="s">
        <v>452</v>
      </c>
      <c r="E17" s="58" t="s">
        <v>453</v>
      </c>
      <c r="F17" s="58" t="s">
        <v>454</v>
      </c>
    </row>
    <row r="18" spans="1:6" ht="39.6">
      <c r="A18" s="55" t="s">
        <v>455</v>
      </c>
      <c r="B18" s="59">
        <v>0.1225</v>
      </c>
      <c r="C18" s="55" t="s">
        <v>456</v>
      </c>
      <c r="D18" s="55" t="s">
        <v>457</v>
      </c>
      <c r="E18" s="55" t="s">
        <v>325</v>
      </c>
      <c r="F18" s="55" t="s">
        <v>458</v>
      </c>
    </row>
    <row r="19" spans="1:6" ht="39.6">
      <c r="A19" s="56" t="s">
        <v>459</v>
      </c>
      <c r="B19" s="60">
        <v>0.20113600000000001</v>
      </c>
      <c r="C19" s="56" t="s">
        <v>460</v>
      </c>
      <c r="D19" s="56" t="s">
        <v>461</v>
      </c>
      <c r="E19" s="56" t="s">
        <v>211</v>
      </c>
      <c r="F19" s="56" t="s">
        <v>462</v>
      </c>
    </row>
    <row r="20" spans="1:6" ht="39.6">
      <c r="A20" s="56" t="s">
        <v>463</v>
      </c>
      <c r="B20" s="60">
        <v>0.36387999999999998</v>
      </c>
      <c r="C20" s="56" t="s">
        <v>227</v>
      </c>
      <c r="D20" s="56" t="s">
        <v>464</v>
      </c>
      <c r="E20" s="56" t="s">
        <v>465</v>
      </c>
      <c r="F20" s="56" t="s">
        <v>466</v>
      </c>
    </row>
    <row r="21" spans="1:6" ht="39.6">
      <c r="A21" s="56" t="s">
        <v>467</v>
      </c>
      <c r="B21" s="60">
        <v>0.29699999999999999</v>
      </c>
      <c r="C21" s="56" t="s">
        <v>239</v>
      </c>
      <c r="D21" s="56" t="s">
        <v>468</v>
      </c>
      <c r="E21" s="56" t="s">
        <v>325</v>
      </c>
      <c r="F21" s="56" t="s">
        <v>469</v>
      </c>
    </row>
    <row r="22" spans="1:6" ht="26.4">
      <c r="A22" s="57" t="s">
        <v>470</v>
      </c>
      <c r="B22" s="57">
        <v>3</v>
      </c>
      <c r="C22" s="57" t="s">
        <v>49</v>
      </c>
      <c r="D22" s="57" t="s">
        <v>471</v>
      </c>
      <c r="E22" s="57" t="s">
        <v>325</v>
      </c>
      <c r="F22" s="57" t="s">
        <v>472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9"/>
  <sheetViews>
    <sheetView showGridLines="0" workbookViewId="0"/>
  </sheetViews>
  <sheetFormatPr defaultRowHeight="13.8"/>
  <cols>
    <col min="1" max="1" width="42" customWidth="1"/>
    <col min="2" max="2" width="18" customWidth="1"/>
    <col min="3" max="3" width="62" customWidth="1"/>
    <col min="4" max="4" width="28" customWidth="1"/>
    <col min="5" max="5" width="3" customWidth="1"/>
    <col min="6" max="6" width="50" customWidth="1"/>
    <col min="7" max="7" width="54" customWidth="1"/>
    <col min="8" max="8" width="34" customWidth="1"/>
    <col min="9" max="9" width="58" customWidth="1"/>
  </cols>
  <sheetData>
    <row r="1" spans="1:9">
      <c r="A1" s="22" t="s">
        <v>473</v>
      </c>
      <c r="B1" s="22" t="s">
        <v>474</v>
      </c>
      <c r="C1" s="22" t="s">
        <v>475</v>
      </c>
      <c r="D1" s="22" t="s">
        <v>476</v>
      </c>
      <c r="F1" s="22" t="s">
        <v>35</v>
      </c>
      <c r="G1" s="22" t="s">
        <v>477</v>
      </c>
      <c r="H1" s="22" t="s">
        <v>478</v>
      </c>
      <c r="I1" s="22" t="s">
        <v>164</v>
      </c>
    </row>
    <row r="2" spans="1:9">
      <c r="A2" s="23" t="s">
        <v>106</v>
      </c>
      <c r="B2" s="23" t="s">
        <v>479</v>
      </c>
      <c r="C2" s="23" t="s">
        <v>480</v>
      </c>
      <c r="D2" s="23" t="s">
        <v>481</v>
      </c>
      <c r="E2" s="23"/>
      <c r="F2" s="23" t="s">
        <v>63</v>
      </c>
      <c r="G2" s="23" t="s">
        <v>482</v>
      </c>
      <c r="H2" s="23" t="s">
        <v>483</v>
      </c>
      <c r="I2" s="23" t="s">
        <v>484</v>
      </c>
    </row>
    <row r="3" spans="1:9">
      <c r="A3" s="23" t="s">
        <v>116</v>
      </c>
      <c r="B3" s="23" t="s">
        <v>479</v>
      </c>
      <c r="C3" s="23" t="s">
        <v>485</v>
      </c>
      <c r="D3" s="23" t="s">
        <v>481</v>
      </c>
      <c r="E3" s="23"/>
      <c r="F3" s="23" t="s">
        <v>486</v>
      </c>
      <c r="G3" s="23" t="s">
        <v>487</v>
      </c>
      <c r="H3" s="23" t="s">
        <v>488</v>
      </c>
      <c r="I3" s="23" t="s">
        <v>489</v>
      </c>
    </row>
    <row r="4" spans="1:9" ht="22.8">
      <c r="A4" s="23" t="s">
        <v>126</v>
      </c>
      <c r="B4" s="23" t="s">
        <v>479</v>
      </c>
      <c r="C4" s="23" t="s">
        <v>490</v>
      </c>
      <c r="D4" s="23" t="s">
        <v>481</v>
      </c>
      <c r="E4" s="23"/>
      <c r="F4" s="23" t="s">
        <v>288</v>
      </c>
      <c r="G4" s="23" t="s">
        <v>491</v>
      </c>
      <c r="H4" s="23" t="s">
        <v>492</v>
      </c>
      <c r="I4" s="23" t="s">
        <v>493</v>
      </c>
    </row>
    <row r="5" spans="1:9">
      <c r="A5" s="23" t="s">
        <v>134</v>
      </c>
      <c r="B5" s="23" t="s">
        <v>479</v>
      </c>
      <c r="C5" s="23" t="s">
        <v>494</v>
      </c>
      <c r="D5" s="23" t="s">
        <v>481</v>
      </c>
      <c r="E5" s="23"/>
      <c r="F5" s="23" t="s">
        <v>495</v>
      </c>
      <c r="G5" s="23" t="s">
        <v>496</v>
      </c>
      <c r="H5" s="23" t="s">
        <v>497</v>
      </c>
      <c r="I5" s="23" t="s">
        <v>498</v>
      </c>
    </row>
    <row r="6" spans="1:9">
      <c r="A6" s="23" t="s">
        <v>142</v>
      </c>
      <c r="B6" s="23" t="s">
        <v>479</v>
      </c>
      <c r="C6" s="23" t="s">
        <v>499</v>
      </c>
      <c r="D6" s="23" t="s">
        <v>481</v>
      </c>
      <c r="E6" s="23"/>
      <c r="F6" s="23" t="s">
        <v>500</v>
      </c>
      <c r="G6" s="23" t="s">
        <v>501</v>
      </c>
      <c r="H6" s="23" t="s">
        <v>502</v>
      </c>
      <c r="I6" s="23" t="s">
        <v>503</v>
      </c>
    </row>
    <row r="7" spans="1:9">
      <c r="A7" s="23" t="s">
        <v>148</v>
      </c>
      <c r="B7" s="23" t="s">
        <v>479</v>
      </c>
      <c r="C7" s="23" t="s">
        <v>504</v>
      </c>
      <c r="D7" s="23" t="s">
        <v>481</v>
      </c>
      <c r="E7" s="23"/>
      <c r="F7" s="23"/>
      <c r="G7" s="23"/>
      <c r="H7" s="23"/>
      <c r="I7" s="23"/>
    </row>
    <row r="8" spans="1:9">
      <c r="A8" s="23" t="s">
        <v>505</v>
      </c>
      <c r="B8" s="23" t="s">
        <v>506</v>
      </c>
      <c r="C8" s="23" t="s">
        <v>507</v>
      </c>
      <c r="D8" s="23" t="s">
        <v>508</v>
      </c>
      <c r="E8" s="23"/>
      <c r="F8" s="23"/>
      <c r="G8" s="23"/>
      <c r="H8" s="23"/>
      <c r="I8" s="23"/>
    </row>
    <row r="9" spans="1:9">
      <c r="A9" s="23" t="s">
        <v>509</v>
      </c>
      <c r="B9" s="23" t="s">
        <v>510</v>
      </c>
      <c r="C9" s="23" t="s">
        <v>511</v>
      </c>
      <c r="D9" s="23" t="s">
        <v>442</v>
      </c>
      <c r="E9" s="23"/>
      <c r="F9" s="23"/>
      <c r="G9" s="23"/>
      <c r="H9" s="23"/>
      <c r="I9" s="23"/>
    </row>
  </sheetData>
  <conditionalFormatting sqref="B2:B9">
    <cfRule type="containsText" dxfId="5" priority="1" operator="containsText" text="OK"/>
    <cfRule type="containsText" dxfId="4" priority="4" operator="containsText" text="FAIL"/>
    <cfRule type="containsText" dxfId="3" priority="7" operator="containsText" text="REVIEW"/>
  </conditionalFormatting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1"/>
  <sheetViews>
    <sheetView showGridLines="0" workbookViewId="0"/>
  </sheetViews>
  <sheetFormatPr defaultRowHeight="13.8"/>
  <cols>
    <col min="1" max="1" width="14" customWidth="1"/>
    <col min="2" max="2" width="56" customWidth="1"/>
    <col min="3" max="4" width="14" customWidth="1"/>
    <col min="5" max="5" width="16" customWidth="1"/>
    <col min="6" max="6" width="68" customWidth="1"/>
  </cols>
  <sheetData>
    <row r="1" spans="1:6">
      <c r="A1" s="22" t="s">
        <v>512</v>
      </c>
      <c r="B1" s="22" t="s">
        <v>513</v>
      </c>
      <c r="C1" s="22" t="s">
        <v>514</v>
      </c>
      <c r="D1" s="22" t="s">
        <v>515</v>
      </c>
      <c r="E1" s="22" t="s">
        <v>516</v>
      </c>
      <c r="F1" s="22" t="s">
        <v>517</v>
      </c>
    </row>
    <row r="2" spans="1:6" ht="30" customHeight="1">
      <c r="A2" s="61" t="s">
        <v>518</v>
      </c>
      <c r="B2" s="61" t="s">
        <v>519</v>
      </c>
      <c r="C2" s="61">
        <v>0</v>
      </c>
      <c r="D2" s="62">
        <f>COUNTIF(Intervention_Cause_Map!$Q$2:$Q$10,"&gt;1")</f>
        <v>0</v>
      </c>
      <c r="E2" s="62" t="str">
        <f t="shared" ref="E2:E11" si="0">IF(D2=C2,"PASS","FAIL")</f>
        <v>PASS</v>
      </c>
      <c r="F2" s="61" t="s">
        <v>520</v>
      </c>
    </row>
    <row r="3" spans="1:6" ht="30" customHeight="1">
      <c r="A3" s="61" t="s">
        <v>521</v>
      </c>
      <c r="B3" s="61" t="s">
        <v>522</v>
      </c>
      <c r="C3" s="61">
        <v>0</v>
      </c>
      <c r="D3" s="62">
        <f>COUNTIF(Exposure_Targets!$U$2:$U$7,"&lt;&gt;OK")</f>
        <v>6</v>
      </c>
      <c r="E3" s="62" t="str">
        <f t="shared" si="0"/>
        <v>FAIL</v>
      </c>
      <c r="F3" s="61" t="s">
        <v>523</v>
      </c>
    </row>
    <row r="4" spans="1:6" ht="30" customHeight="1">
      <c r="A4" s="61" t="s">
        <v>524</v>
      </c>
      <c r="B4" s="61" t="s">
        <v>525</v>
      </c>
      <c r="C4" s="61">
        <v>0</v>
      </c>
      <c r="D4" s="62">
        <f>COUNTIF(Policy_Levers!$O$2:$O$12,"&lt;&gt;OK")</f>
        <v>2</v>
      </c>
      <c r="E4" s="62" t="str">
        <f t="shared" si="0"/>
        <v>FAIL</v>
      </c>
      <c r="F4" s="61" t="s">
        <v>526</v>
      </c>
    </row>
    <row r="5" spans="1:6" ht="30" customHeight="1">
      <c r="A5" s="61" t="s">
        <v>527</v>
      </c>
      <c r="B5" s="61" t="s">
        <v>528</v>
      </c>
      <c r="C5" s="61">
        <v>0</v>
      </c>
      <c r="D5" s="62">
        <f>COUNTIF(Effect_Parameters!$W$2:$W$10,"&lt;&gt;OK")</f>
        <v>9</v>
      </c>
      <c r="E5" s="62" t="str">
        <f t="shared" si="0"/>
        <v>FAIL</v>
      </c>
      <c r="F5" s="61" t="s">
        <v>529</v>
      </c>
    </row>
    <row r="6" spans="1:6" ht="30" customHeight="1">
      <c r="A6" s="61" t="s">
        <v>530</v>
      </c>
      <c r="B6" s="61" t="s">
        <v>531</v>
      </c>
      <c r="C6" s="61">
        <v>0</v>
      </c>
      <c r="D6" s="62">
        <f>COUNTIF(Cost_Components!$AC$2:$AC$7,"&lt;&gt;OK")</f>
        <v>6</v>
      </c>
      <c r="E6" s="62" t="str">
        <f t="shared" si="0"/>
        <v>FAIL</v>
      </c>
      <c r="F6" s="61" t="s">
        <v>532</v>
      </c>
    </row>
    <row r="7" spans="1:6" ht="30" customHeight="1">
      <c r="A7" s="61" t="s">
        <v>533</v>
      </c>
      <c r="B7" s="61" t="s">
        <v>534</v>
      </c>
      <c r="C7" s="61">
        <v>0</v>
      </c>
      <c r="D7" s="62">
        <f>COUNTA(Dictionaries!$A$2:$A$7)-COUNTA(Exposure_Targets!$B$2:$B$7)</f>
        <v>0</v>
      </c>
      <c r="E7" s="62" t="str">
        <f t="shared" si="0"/>
        <v>PASS</v>
      </c>
      <c r="F7" s="61" t="s">
        <v>535</v>
      </c>
    </row>
    <row r="8" spans="1:6" ht="30" customHeight="1">
      <c r="A8" s="61" t="s">
        <v>536</v>
      </c>
      <c r="B8" s="61" t="s">
        <v>537</v>
      </c>
      <c r="C8" s="61">
        <v>0</v>
      </c>
      <c r="D8" s="62">
        <f>COUNTA(Intervention_Cause_Map!$A$2:$A$10)-COUNTA(Effect_Parameters!$B$2:$B$10)</f>
        <v>0</v>
      </c>
      <c r="E8" s="62" t="str">
        <f t="shared" si="0"/>
        <v>PASS</v>
      </c>
      <c r="F8" s="61" t="s">
        <v>538</v>
      </c>
    </row>
    <row r="9" spans="1:6" ht="30" customHeight="1">
      <c r="A9" s="61" t="s">
        <v>539</v>
      </c>
      <c r="B9" s="61" t="s">
        <v>540</v>
      </c>
      <c r="C9" s="61">
        <v>0</v>
      </c>
      <c r="D9" s="62">
        <f>SUM(Intervention_Cause_Map!$O$2:$O$10)</f>
        <v>4</v>
      </c>
      <c r="E9" s="62" t="str">
        <f t="shared" si="0"/>
        <v>FAIL</v>
      </c>
      <c r="F9" s="61" t="s">
        <v>541</v>
      </c>
    </row>
    <row r="10" spans="1:6" ht="30" customHeight="1">
      <c r="A10" s="61" t="s">
        <v>542</v>
      </c>
      <c r="B10" s="61" t="s">
        <v>543</v>
      </c>
      <c r="C10" s="61">
        <v>0</v>
      </c>
      <c r="D10" s="62">
        <f>COUNTIF(Intervention_Cause_Map!$L$2:$L$10,"REVIEW")</f>
        <v>9</v>
      </c>
      <c r="E10" s="62" t="str">
        <f t="shared" si="0"/>
        <v>FAIL</v>
      </c>
      <c r="F10" s="61" t="s">
        <v>544</v>
      </c>
    </row>
    <row r="11" spans="1:6" ht="30" customHeight="1">
      <c r="A11" s="61" t="s">
        <v>545</v>
      </c>
      <c r="B11" s="61" t="s">
        <v>546</v>
      </c>
      <c r="C11" s="61">
        <v>0</v>
      </c>
      <c r="D11" s="62">
        <f>COUNTBLANK(Effect_Parameters!$R$2:$R$10)</f>
        <v>0</v>
      </c>
      <c r="E11" s="62" t="str">
        <f t="shared" si="0"/>
        <v>PASS</v>
      </c>
      <c r="F11" s="61" t="s">
        <v>547</v>
      </c>
    </row>
  </sheetData>
  <conditionalFormatting sqref="E2:E11">
    <cfRule type="containsText" dxfId="2" priority="1" operator="containsText" text="OK"/>
    <cfRule type="containsText" dxfId="1" priority="4" operator="containsText" text="FAIL"/>
    <cfRule type="containsText" dxfId="0" priority="7" operator="containsText" text="REVIEW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Assumptions</vt:lpstr>
      <vt:lpstr>Dictionaries</vt:lpstr>
      <vt:lpstr>Intervention_Cause_Map</vt:lpstr>
      <vt:lpstr>Policy_Levers</vt:lpstr>
      <vt:lpstr>Exposure_Targets</vt:lpstr>
      <vt:lpstr>Effect_Parameters</vt:lpstr>
      <vt:lpstr>Risk_Response</vt:lpstr>
      <vt:lpstr>Cost_Components</vt:lpstr>
      <vt:lpstr>Model_Input_View</vt:lpstr>
      <vt:lpstr>Countdown_Methods</vt:lpstr>
      <vt:lpstr>Scope_and_Sources</vt:lpstr>
      <vt:lpstr>QA_Checks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William R Garcia</cp:lastModifiedBy>
  <dcterms:modified xsi:type="dcterms:W3CDTF">2026-08-15T20:34:14Z</dcterms:modified>
</cp:coreProperties>
</file>