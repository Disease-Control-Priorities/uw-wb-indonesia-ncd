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48" documentId="11_4329EEFB852386115C62C6D576342767CA1B238E" xr6:coauthVersionLast="47" xr6:coauthVersionMax="47" xr10:uidLastSave="{7AC18D33-1489-4489-9648-BB1D22D3E766}"/>
  <bookViews>
    <workbookView xWindow="28680" yWindow="-120" windowWidth="29040" windowHeight="15720" firstSheet="1" activeTab="9" xr2:uid="{00000000-000D-0000-FFFF-FFFF00000000}"/>
  </bookViews>
  <sheets>
    <sheet name="README" sheetId="1" r:id="rId1"/>
    <sheet name="Assumptions" sheetId="2" r:id="rId2"/>
    <sheet name="Dictionaries" sheetId="3" state="hidden" r:id="rId3"/>
    <sheet name="Intervention_Cause_Map" sheetId="4" state="hidden" r:id="rId4"/>
    <sheet name="Policy_Levers" sheetId="5" r:id="rId5"/>
    <sheet name="Exposure_Targets" sheetId="6" r:id="rId6"/>
    <sheet name="Effect_Parameters" sheetId="7" r:id="rId7"/>
    <sheet name="Risk_Response" sheetId="8" r:id="rId8"/>
    <sheet name="Model_Input_View" sheetId="10" r:id="rId9"/>
    <sheet name="Cost_Components" sheetId="9" r:id="rId10"/>
    <sheet name="Countdown_Methods" sheetId="11" state="hidden" r:id="rId11"/>
    <sheet name="Scope_and_Sources" sheetId="12" state="hidden" r:id="rId12"/>
    <sheet name="QA_Checks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3" l="1"/>
  <c r="E16" i="13" s="1"/>
  <c r="D15" i="13"/>
  <c r="E15" i="13" s="1"/>
  <c r="D14" i="13"/>
  <c r="E14" i="13" s="1"/>
  <c r="D13" i="13"/>
  <c r="E13" i="13" s="1"/>
  <c r="D12" i="13"/>
  <c r="E12" i="13" s="1"/>
  <c r="D11" i="13"/>
  <c r="E11" i="13" s="1"/>
  <c r="D10" i="13"/>
  <c r="E10" i="13" s="1"/>
  <c r="D9" i="13"/>
  <c r="E9" i="13" s="1"/>
  <c r="D8" i="13"/>
  <c r="E8" i="13" s="1"/>
  <c r="D7" i="13"/>
  <c r="E7" i="13" s="1"/>
  <c r="R29" i="10"/>
  <c r="N29" i="10"/>
  <c r="M29" i="10"/>
  <c r="L29" i="10"/>
  <c r="K29" i="10"/>
  <c r="G29" i="10"/>
  <c r="R28" i="10"/>
  <c r="N28" i="10"/>
  <c r="M28" i="10"/>
  <c r="L28" i="10"/>
  <c r="K28" i="10"/>
  <c r="G28" i="10"/>
  <c r="R27" i="10"/>
  <c r="N27" i="10"/>
  <c r="M27" i="10"/>
  <c r="L27" i="10"/>
  <c r="K27" i="10"/>
  <c r="G27" i="10"/>
  <c r="R26" i="10"/>
  <c r="N26" i="10"/>
  <c r="M26" i="10"/>
  <c r="L26" i="10"/>
  <c r="K26" i="10"/>
  <c r="G26" i="10"/>
  <c r="R25" i="10"/>
  <c r="N25" i="10"/>
  <c r="M25" i="10"/>
  <c r="L25" i="10"/>
  <c r="K25" i="10"/>
  <c r="G25" i="10"/>
  <c r="R24" i="10"/>
  <c r="N24" i="10"/>
  <c r="M24" i="10"/>
  <c r="L24" i="10"/>
  <c r="K24" i="10"/>
  <c r="G24" i="10"/>
  <c r="R23" i="10"/>
  <c r="N23" i="10"/>
  <c r="M23" i="10"/>
  <c r="K23" i="10"/>
  <c r="G23" i="10"/>
  <c r="R22" i="10"/>
  <c r="N22" i="10"/>
  <c r="M22" i="10"/>
  <c r="K22" i="10"/>
  <c r="G22" i="10"/>
  <c r="R21" i="10"/>
  <c r="N21" i="10"/>
  <c r="M21" i="10"/>
  <c r="K21" i="10"/>
  <c r="G21" i="10"/>
  <c r="R20" i="10"/>
  <c r="N20" i="10"/>
  <c r="M20" i="10"/>
  <c r="K20" i="10"/>
  <c r="G20" i="10"/>
  <c r="R19" i="10"/>
  <c r="N19" i="10"/>
  <c r="M19" i="10"/>
  <c r="K19" i="10"/>
  <c r="G19" i="10"/>
  <c r="R18" i="10"/>
  <c r="N18" i="10"/>
  <c r="M18" i="10"/>
  <c r="K18" i="10"/>
  <c r="G18" i="10"/>
  <c r="R17" i="10"/>
  <c r="N17" i="10"/>
  <c r="M17" i="10"/>
  <c r="K17" i="10"/>
  <c r="G17" i="10"/>
  <c r="R16" i="10"/>
  <c r="N16" i="10"/>
  <c r="M16" i="10"/>
  <c r="K16" i="10"/>
  <c r="G16" i="10"/>
  <c r="R15" i="10"/>
  <c r="N15" i="10"/>
  <c r="M15" i="10"/>
  <c r="K15" i="10"/>
  <c r="G15" i="10"/>
  <c r="R14" i="10"/>
  <c r="N14" i="10"/>
  <c r="M14" i="10"/>
  <c r="K14" i="10"/>
  <c r="G14" i="10"/>
  <c r="R13" i="10"/>
  <c r="N13" i="10"/>
  <c r="M13" i="10"/>
  <c r="K13" i="10"/>
  <c r="G13" i="10"/>
  <c r="R12" i="10"/>
  <c r="N12" i="10"/>
  <c r="M12" i="10"/>
  <c r="K12" i="10"/>
  <c r="G12" i="10"/>
  <c r="R11" i="10"/>
  <c r="N11" i="10"/>
  <c r="M11" i="10"/>
  <c r="K11" i="10"/>
  <c r="G11" i="10"/>
  <c r="R10" i="10"/>
  <c r="N10" i="10"/>
  <c r="M10" i="10"/>
  <c r="K10" i="10"/>
  <c r="G10" i="10"/>
  <c r="S10" i="10" s="1"/>
  <c r="R9" i="10"/>
  <c r="N9" i="10"/>
  <c r="M9" i="10"/>
  <c r="K9" i="10"/>
  <c r="G9" i="10"/>
  <c r="S9" i="10" s="1"/>
  <c r="R8" i="10"/>
  <c r="N8" i="10"/>
  <c r="M8" i="10"/>
  <c r="K8" i="10"/>
  <c r="G8" i="10"/>
  <c r="R7" i="10"/>
  <c r="N7" i="10"/>
  <c r="M7" i="10"/>
  <c r="K7" i="10"/>
  <c r="G7" i="10"/>
  <c r="R6" i="10"/>
  <c r="N6" i="10"/>
  <c r="M6" i="10"/>
  <c r="K6" i="10"/>
  <c r="G6" i="10"/>
  <c r="R5" i="10"/>
  <c r="N5" i="10"/>
  <c r="M5" i="10"/>
  <c r="K5" i="10"/>
  <c r="G5" i="10"/>
  <c r="R4" i="10"/>
  <c r="N4" i="10"/>
  <c r="M4" i="10"/>
  <c r="K4" i="10"/>
  <c r="G4" i="10"/>
  <c r="R3" i="10"/>
  <c r="N3" i="10"/>
  <c r="M3" i="10"/>
  <c r="K3" i="10"/>
  <c r="G3" i="10"/>
  <c r="R2" i="10"/>
  <c r="N2" i="10"/>
  <c r="M2" i="10"/>
  <c r="K2" i="10"/>
  <c r="G2" i="10"/>
  <c r="AB8" i="9"/>
  <c r="AA8" i="9"/>
  <c r="AC8" i="9" s="1"/>
  <c r="AB7" i="9"/>
  <c r="AA7" i="9"/>
  <c r="AC7" i="9" s="1"/>
  <c r="AB6" i="9"/>
  <c r="AA6" i="9"/>
  <c r="AC6" i="9" s="1"/>
  <c r="AC5" i="9"/>
  <c r="AB5" i="9"/>
  <c r="AA5" i="9"/>
  <c r="AB4" i="9"/>
  <c r="AA4" i="9"/>
  <c r="AC4" i="9" s="1"/>
  <c r="AC3" i="9"/>
  <c r="AB3" i="9"/>
  <c r="AA3" i="9"/>
  <c r="AC2" i="9"/>
  <c r="AB2" i="9"/>
  <c r="AA2" i="9"/>
  <c r="L18" i="8"/>
  <c r="L17" i="8"/>
  <c r="L16" i="8"/>
  <c r="L15" i="8"/>
  <c r="L14" i="8"/>
  <c r="L13" i="8"/>
  <c r="L12" i="8"/>
  <c r="L11" i="8"/>
  <c r="L10" i="8"/>
  <c r="I10" i="7" s="1"/>
  <c r="L10" i="10" s="1"/>
  <c r="L9" i="8"/>
  <c r="I9" i="7" s="1"/>
  <c r="L9" i="10" s="1"/>
  <c r="L8" i="8"/>
  <c r="I17" i="7" s="1"/>
  <c r="L17" i="10" s="1"/>
  <c r="L7" i="8"/>
  <c r="I7" i="7" s="1"/>
  <c r="L7" i="10" s="1"/>
  <c r="L6" i="8"/>
  <c r="I6" i="7" s="1"/>
  <c r="L6" i="10" s="1"/>
  <c r="L5" i="8"/>
  <c r="L4" i="8"/>
  <c r="I13" i="7" s="1"/>
  <c r="L13" i="10" s="1"/>
  <c r="L3" i="8"/>
  <c r="I3" i="7" s="1"/>
  <c r="L3" i="10" s="1"/>
  <c r="L2" i="8"/>
  <c r="I2" i="7" s="1"/>
  <c r="L2" i="10" s="1"/>
  <c r="V29" i="7"/>
  <c r="W29" i="7" s="1"/>
  <c r="V28" i="7"/>
  <c r="W28" i="7" s="1"/>
  <c r="V27" i="7"/>
  <c r="W27" i="7" s="1"/>
  <c r="V26" i="7"/>
  <c r="W26" i="7" s="1"/>
  <c r="V25" i="7"/>
  <c r="W25" i="7" s="1"/>
  <c r="W24" i="7"/>
  <c r="V24" i="7"/>
  <c r="V23" i="7"/>
  <c r="W23" i="7" s="1"/>
  <c r="I23" i="7"/>
  <c r="L23" i="10" s="1"/>
  <c r="W22" i="7"/>
  <c r="V22" i="7"/>
  <c r="I22" i="7"/>
  <c r="L22" i="10" s="1"/>
  <c r="V21" i="7"/>
  <c r="W21" i="7" s="1"/>
  <c r="I21" i="7"/>
  <c r="L21" i="10" s="1"/>
  <c r="V20" i="7"/>
  <c r="W20" i="7" s="1"/>
  <c r="I20" i="7"/>
  <c r="L20" i="10" s="1"/>
  <c r="V19" i="7"/>
  <c r="W19" i="7" s="1"/>
  <c r="I19" i="7"/>
  <c r="L19" i="10" s="1"/>
  <c r="V18" i="7"/>
  <c r="W18" i="7" s="1"/>
  <c r="I18" i="7"/>
  <c r="L18" i="10" s="1"/>
  <c r="V17" i="7"/>
  <c r="W17" i="7" s="1"/>
  <c r="V16" i="7"/>
  <c r="W16" i="7" s="1"/>
  <c r="V15" i="7"/>
  <c r="W15" i="7" s="1"/>
  <c r="V14" i="7"/>
  <c r="W14" i="7" s="1"/>
  <c r="O14" i="7"/>
  <c r="I14" i="7"/>
  <c r="L14" i="10" s="1"/>
  <c r="V13" i="7"/>
  <c r="W13" i="7" s="1"/>
  <c r="O13" i="7"/>
  <c r="W12" i="7"/>
  <c r="V12" i="7"/>
  <c r="O12" i="7"/>
  <c r="W11" i="7"/>
  <c r="V11" i="7"/>
  <c r="O11" i="7"/>
  <c r="V10" i="7"/>
  <c r="W10" i="7" s="1"/>
  <c r="W9" i="7"/>
  <c r="V9" i="7"/>
  <c r="W8" i="7"/>
  <c r="V8" i="7"/>
  <c r="V7" i="7"/>
  <c r="W7" i="7" s="1"/>
  <c r="W6" i="7"/>
  <c r="V6" i="7"/>
  <c r="V5" i="7"/>
  <c r="W5" i="7" s="1"/>
  <c r="O5" i="7"/>
  <c r="I5" i="7"/>
  <c r="L5" i="10" s="1"/>
  <c r="W4" i="7"/>
  <c r="V4" i="7"/>
  <c r="O4" i="7"/>
  <c r="I4" i="7"/>
  <c r="L4" i="10" s="1"/>
  <c r="V3" i="7"/>
  <c r="W3" i="7" s="1"/>
  <c r="O3" i="7"/>
  <c r="V2" i="7"/>
  <c r="W2" i="7" s="1"/>
  <c r="O2" i="7"/>
  <c r="Q8" i="6"/>
  <c r="P8" i="6"/>
  <c r="Q7" i="6"/>
  <c r="P7" i="6"/>
  <c r="K7" i="6"/>
  <c r="M7" i="6" s="1"/>
  <c r="N7" i="6" s="1"/>
  <c r="O7" i="6" s="1"/>
  <c r="J7" i="6"/>
  <c r="Q6" i="6"/>
  <c r="P6" i="6"/>
  <c r="L6" i="6"/>
  <c r="Q5" i="6"/>
  <c r="P5" i="6"/>
  <c r="Q4" i="6"/>
  <c r="P4" i="6"/>
  <c r="Q3" i="6"/>
  <c r="P3" i="6"/>
  <c r="Q2" i="6"/>
  <c r="P2" i="6"/>
  <c r="I13" i="5"/>
  <c r="G13" i="5"/>
  <c r="O13" i="5" s="1"/>
  <c r="O12" i="5"/>
  <c r="K12" i="5"/>
  <c r="O24" i="10" s="1"/>
  <c r="O11" i="5"/>
  <c r="K11" i="5"/>
  <c r="O10" i="5"/>
  <c r="K10" i="5"/>
  <c r="O9" i="5"/>
  <c r="K9" i="5"/>
  <c r="O8" i="5"/>
  <c r="K8" i="5"/>
  <c r="J6" i="6" s="1"/>
  <c r="K6" i="6" s="1"/>
  <c r="M6" i="6" s="1"/>
  <c r="U6" i="6" s="1"/>
  <c r="O7" i="5"/>
  <c r="K7" i="5"/>
  <c r="J5" i="6" s="1"/>
  <c r="K5" i="6" s="1"/>
  <c r="M5" i="6" s="1"/>
  <c r="U5" i="6" s="1"/>
  <c r="O6" i="5"/>
  <c r="K6" i="5"/>
  <c r="O5" i="5"/>
  <c r="K5" i="5"/>
  <c r="O4" i="5"/>
  <c r="K4" i="5"/>
  <c r="J4" i="6" s="1"/>
  <c r="K4" i="6" s="1"/>
  <c r="M4" i="6" s="1"/>
  <c r="U4" i="6" s="1"/>
  <c r="O3" i="5"/>
  <c r="K3" i="5"/>
  <c r="J3" i="6" s="1"/>
  <c r="K3" i="6" s="1"/>
  <c r="M3" i="6" s="1"/>
  <c r="U3" i="6" s="1"/>
  <c r="O2" i="5"/>
  <c r="K2" i="5"/>
  <c r="J2" i="6" s="1"/>
  <c r="K2" i="6" s="1"/>
  <c r="M2" i="6" s="1"/>
  <c r="U2" i="6" s="1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D2" i="13" s="1"/>
  <c r="E2" i="13" s="1"/>
  <c r="G6" i="1"/>
  <c r="E6" i="1"/>
  <c r="C6" i="1"/>
  <c r="S14" i="10" l="1"/>
  <c r="S5" i="10"/>
  <c r="S21" i="10"/>
  <c r="S2" i="10"/>
  <c r="S15" i="10"/>
  <c r="S12" i="10"/>
  <c r="S25" i="10"/>
  <c r="D6" i="13"/>
  <c r="E6" i="13" s="1"/>
  <c r="S13" i="10"/>
  <c r="S17" i="10"/>
  <c r="U7" i="6"/>
  <c r="S7" i="10"/>
  <c r="S18" i="10"/>
  <c r="S11" i="10"/>
  <c r="S8" i="10"/>
  <c r="S4" i="10"/>
  <c r="S24" i="10"/>
  <c r="S27" i="10"/>
  <c r="S20" i="10"/>
  <c r="S23" i="10"/>
  <c r="D4" i="13"/>
  <c r="E4" i="13" s="1"/>
  <c r="I8" i="7"/>
  <c r="L8" i="10" s="1"/>
  <c r="K13" i="5"/>
  <c r="J8" i="6" s="1"/>
  <c r="K8" i="6" s="1"/>
  <c r="H22" i="10"/>
  <c r="I22" i="10" s="1"/>
  <c r="H23" i="10"/>
  <c r="I23" i="10" s="1"/>
  <c r="N6" i="6"/>
  <c r="O6" i="6" s="1"/>
  <c r="H20" i="10"/>
  <c r="I20" i="10" s="1"/>
  <c r="O20" i="10" s="1"/>
  <c r="H21" i="10"/>
  <c r="I21" i="10" s="1"/>
  <c r="H15" i="10"/>
  <c r="I15" i="10" s="1"/>
  <c r="J15" i="10" s="1"/>
  <c r="H19" i="10"/>
  <c r="I19" i="10" s="1"/>
  <c r="H16" i="10"/>
  <c r="I16" i="10" s="1"/>
  <c r="J16" i="10" s="1"/>
  <c r="H18" i="10"/>
  <c r="I18" i="10" s="1"/>
  <c r="N5" i="6"/>
  <c r="O5" i="6" s="1"/>
  <c r="H17" i="10"/>
  <c r="I17" i="10" s="1"/>
  <c r="N2" i="6"/>
  <c r="O2" i="6" s="1"/>
  <c r="H3" i="10"/>
  <c r="O3" i="10" s="1"/>
  <c r="H4" i="10"/>
  <c r="O4" i="10" s="1"/>
  <c r="H5" i="10"/>
  <c r="O5" i="10" s="1"/>
  <c r="H2" i="10"/>
  <c r="O2" i="10" s="1"/>
  <c r="H9" i="10"/>
  <c r="I9" i="10" s="1"/>
  <c r="H6" i="10"/>
  <c r="I6" i="10" s="1"/>
  <c r="H10" i="10"/>
  <c r="I10" i="10" s="1"/>
  <c r="H7" i="10"/>
  <c r="I7" i="10" s="1"/>
  <c r="N3" i="6"/>
  <c r="O3" i="6" s="1"/>
  <c r="H8" i="10"/>
  <c r="I8" i="10" s="1"/>
  <c r="D5" i="13"/>
  <c r="E5" i="13" s="1"/>
  <c r="N4" i="6"/>
  <c r="O4" i="6" s="1"/>
  <c r="H13" i="10"/>
  <c r="O13" i="10" s="1"/>
  <c r="H14" i="10"/>
  <c r="O14" i="10" s="1"/>
  <c r="H11" i="10"/>
  <c r="I11" i="10" s="1"/>
  <c r="J11" i="10" s="1"/>
  <c r="H12" i="10"/>
  <c r="I12" i="10" s="1"/>
  <c r="J12" i="10" s="1"/>
  <c r="M8" i="6"/>
  <c r="S26" i="10"/>
  <c r="I11" i="7"/>
  <c r="L11" i="10" s="1"/>
  <c r="I15" i="7"/>
  <c r="L15" i="10" s="1"/>
  <c r="H24" i="10"/>
  <c r="I24" i="10" s="1"/>
  <c r="J24" i="10" s="1"/>
  <c r="S29" i="10"/>
  <c r="S16" i="10"/>
  <c r="S3" i="10"/>
  <c r="S19" i="10"/>
  <c r="S6" i="10"/>
  <c r="S22" i="10"/>
  <c r="I16" i="7"/>
  <c r="L16" i="10" s="1"/>
  <c r="I12" i="7"/>
  <c r="L12" i="10" s="1"/>
  <c r="S28" i="10"/>
  <c r="O8" i="10" l="1"/>
  <c r="I5" i="10"/>
  <c r="J5" i="10" s="1"/>
  <c r="O23" i="10"/>
  <c r="J23" i="10"/>
  <c r="O22" i="10"/>
  <c r="J22" i="10"/>
  <c r="O21" i="10"/>
  <c r="J21" i="10"/>
  <c r="I4" i="10"/>
  <c r="J4" i="10" s="1"/>
  <c r="J20" i="10"/>
  <c r="J19" i="10"/>
  <c r="O19" i="10"/>
  <c r="O17" i="10"/>
  <c r="J17" i="10"/>
  <c r="O18" i="10"/>
  <c r="J18" i="10"/>
  <c r="I14" i="10"/>
  <c r="J14" i="10" s="1"/>
  <c r="I13" i="10"/>
  <c r="J13" i="10" s="1"/>
  <c r="O10" i="10"/>
  <c r="J10" i="10"/>
  <c r="J7" i="10"/>
  <c r="O7" i="10"/>
  <c r="O6" i="10"/>
  <c r="J6" i="10"/>
  <c r="O9" i="10"/>
  <c r="J9" i="10"/>
  <c r="I3" i="10"/>
  <c r="J3" i="10" s="1"/>
  <c r="J8" i="10"/>
  <c r="I2" i="10"/>
  <c r="J2" i="10" s="1"/>
  <c r="O11" i="10"/>
  <c r="O12" i="10"/>
  <c r="H28" i="10"/>
  <c r="I28" i="10" s="1"/>
  <c r="H25" i="10"/>
  <c r="I25" i="10" s="1"/>
  <c r="H29" i="10"/>
  <c r="I29" i="10" s="1"/>
  <c r="H26" i="10"/>
  <c r="I26" i="10" s="1"/>
  <c r="N8" i="6"/>
  <c r="O8" i="6" s="1"/>
  <c r="H27" i="10"/>
  <c r="I27" i="10" s="1"/>
  <c r="O15" i="10"/>
  <c r="O16" i="10"/>
  <c r="U8" i="6"/>
  <c r="D3" i="13" s="1"/>
  <c r="E3" i="13" s="1"/>
  <c r="A6" i="1" s="1"/>
  <c r="J27" i="10" l="1"/>
  <c r="O27" i="10"/>
  <c r="O26" i="10"/>
  <c r="J26" i="10"/>
  <c r="J29" i="10"/>
  <c r="O29" i="10"/>
  <c r="J25" i="10"/>
  <c r="O25" i="10"/>
  <c r="O28" i="10"/>
  <c r="J2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tc={741FDEB1-B837-1234-EA36-F9470BFD0A5F}</author>
    <author>tc={1EF2C165-1FE1-463C-22FA-EF1CAF63D267}</author>
    <author>tc={616DA987-0B7D-A3E3-7FE7-8DCB0EFFABF5}</author>
    <author>tc={5A212E21-C557-1524-AA5B-4F13F1BB2CED}</author>
  </authors>
  <commentList>
    <comment ref="B20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case: 20% retail-price increase. Watkins 2019 used a 20% SSB excise-tax scenario; WHO 2024 strongly recommends SSB taxation.</t>
      </text>
    </comment>
    <comment ref="B21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Derived from Widarjono et al. 2023: 20% higher prices produced a mean 17.5% demand reduction in Indonesia. The direct ratio implies -0.875 elasticity.</t>
      </text>
    </comment>
    <comment ref="B22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Andreyeva et al. 2022 pooled implemented taxes: 82% pass-through (95% CI 66%-98%). Retained as a sensitivity/reference parameter.</t>
      </text>
    </comment>
    <comment ref="B23" authorId="3" shapeId="0" xr:uid="{00000000-0006-0000-0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Andreyeva et al. 2022 pooled sales elasticity: -1.59 (95% CI -2.11 to -1.08). Retained as a global sensitivity parameter.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tc={EB2DA3DB-5898-4E34-A8D2-948FF2B320DF}</author>
  </authors>
  <commentList>
    <comment ref="F3" authorId="0" shapeId="0" xr:uid="{EB2DA3DB-5898-4E34-A8D2-948FF2B320DF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baseline levels to mute alcohol policies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tc={2B915D47-F389-5396-BCD1-D2DA471CC9B2}</author>
  </authors>
  <commentList>
    <comment ref="G8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Lara-Castor et al. 2025 Supplementary Table 4 reports Indonesia adult mean SSB intake of 0.8 (95% UI 0.6-1.1) 8-oz servings/week in 2020. Workbook unit is servings/day, so baseline = 0.8/7.</t>
      </text>
    </comment>
  </commentList>
</comments>
</file>

<file path=xl/sharedStrings.xml><?xml version="1.0" encoding="utf-8"?>
<sst xmlns="http://schemas.openxmlformats.org/spreadsheetml/2006/main" count="2456" uniqueCount="886">
  <si>
    <t>Indonesia NCD model - public-health policy inputs</t>
  </si>
  <si>
    <t>Draft for review - tobacco and alcohol now use direct condition-specific risk responses; no cause-specific tobacco/alcohol PAF inputs</t>
  </si>
  <si>
    <t>Readiness</t>
  </si>
  <si>
    <t>Policies</t>
  </si>
  <si>
    <t>Risk exposures</t>
  </si>
  <si>
    <t>Policy-cause links</t>
  </si>
  <si>
    <t>How to use the workbook</t>
  </si>
  <si>
    <t>1</t>
  </si>
  <si>
    <t>Enter or update Indonesia baseline smoking prevalence, alcohol consumption, sodium intake, and TFA exposure. The SSB baseline is prefilled from GDD 2020 and remains editable.</t>
  </si>
  <si>
    <t>2</t>
  </si>
  <si>
    <t>Optionally override recommended exposure reductions or targets; otherwise the documented policy defaults are used. The SSB base case applies a 20% price increase and 17.5% demand reduction.</t>
  </si>
  <si>
    <t>3</t>
  </si>
  <si>
    <t>Policy_Levers shows how tax and component-policy parameters generate recommended exposure reductions, including Indonesia-specific SSB demand response.</t>
  </si>
  <si>
    <t>4</t>
  </si>
  <si>
    <t>Effects join through intervention_cause_key. Tobacco, alcohol, sodium, TFA, and SSB condition effects are assigned to well -&gt; sick transitions; SSB direct RRs do not require a model PAF input.</t>
  </si>
  <si>
    <t>5</t>
  </si>
  <si>
    <t>Resolve remaining baseline-exposure, TFA PAF, tax-input, and cost-adjustment QA failures before model execution.</t>
  </si>
  <si>
    <t>Known review items retained explicitly</t>
  </si>
  <si>
    <t>Missing</t>
  </si>
  <si>
    <t>Indonesia baseline exposure for smoking, alcohol, sodium, and TFA</t>
  </si>
  <si>
    <t>Indonesia tobacco tax share and WHO TFA policy score</t>
  </si>
  <si>
    <t>Resolved</t>
  </si>
  <si>
    <t>Tobacco/alcohol PAF placeholders replaced with direct intervention-condition links</t>
  </si>
  <si>
    <t>Sodium and TFA transitions assigned to well -&gt; sick as requested</t>
  </si>
  <si>
    <t>Added</t>
  </si>
  <si>
    <t>SSB tax mapped to IHD, ischemic stroke, intracerebral hemorrhage, HHD, and type 2 diabetes</t>
  </si>
  <si>
    <t>Review</t>
  </si>
  <si>
    <t>SSB ICH and HHD mappings use transparent stroke and hypertension evidence proxies</t>
  </si>
  <si>
    <t>Caution</t>
  </si>
  <si>
    <t>IHD attributable to high blood glucose overlaps total IHD and is not linked separately to avoid double counting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</si>
  <si>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</si>
  <si>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</si>
  <si>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</si>
  <si>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</si>
  <si>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</si>
  <si>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</si>
  <si>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</si>
  <si>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</si>
  <si>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</si>
  <si>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</si>
  <si>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</si>
  <si>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Indonesia model scope</t>
  </si>
  <si>
    <t>analysis_end_year</t>
  </si>
  <si>
    <t>Last modeled year</t>
  </si>
  <si>
    <t>policy_start_year</t>
  </si>
  <si>
    <t>First implementation year</t>
  </si>
  <si>
    <t>Working Countdown scenario; editable</t>
  </si>
  <si>
    <t>exposure_target_year</t>
  </si>
  <si>
    <t>Year full exposure reduction is reached</t>
  </si>
  <si>
    <t>Working scenario; editable</t>
  </si>
  <si>
    <t>policy_cost_ramp_years</t>
  </si>
  <si>
    <t>years</t>
  </si>
  <si>
    <t>Years to full policy implementation cost</t>
  </si>
  <si>
    <t>NCD Countdown supplement p 34</t>
  </si>
  <si>
    <t>cost_discount_rate</t>
  </si>
  <si>
    <t>proportion/year</t>
  </si>
  <si>
    <t>Annual discount rate for costs</t>
  </si>
  <si>
    <t>Match clinical workbook</t>
  </si>
  <si>
    <t>health_discount_rate</t>
  </si>
  <si>
    <t>Annual discount rate for health outcomes</t>
  </si>
  <si>
    <t>reporting_price_year</t>
  </si>
  <si>
    <t>USD year</t>
  </si>
  <si>
    <t>Target reporting price year</t>
  </si>
  <si>
    <t>source_cost_price_year</t>
  </si>
  <si>
    <t>Price year in PINandCosts0625</t>
  </si>
  <si>
    <t>PINandCosts0625(1).csv</t>
  </si>
  <si>
    <t>currency</t>
  </si>
  <si>
    <t>USD</t>
  </si>
  <si>
    <t>Reporting currency</t>
  </si>
  <si>
    <t>Working assumption</t>
  </si>
  <si>
    <t>scale_up_shape</t>
  </si>
  <si>
    <t>linear</t>
  </si>
  <si>
    <t>text</t>
  </si>
  <si>
    <t>Full reduction is phased in evenly from start through target year</t>
  </si>
  <si>
    <t>economic_perspective</t>
  </si>
  <si>
    <t>health_system</t>
  </si>
  <si>
    <t>societal</t>
  </si>
  <si>
    <t>Economic evaluation perspective</t>
  </si>
  <si>
    <t>NCD Countdown costing perspective</t>
  </si>
  <si>
    <t>tobacco_cvd_lag_rate</t>
  </si>
  <si>
    <t>annual fraction of remaining effect</t>
  </si>
  <si>
    <t>Exponential effect-realization rate reproducing approximately 47% of the full tobacco-CVD effect by year 10</t>
  </si>
  <si>
    <t>Watkins 2022 supplement Figure A1; Duncan et al. 2019</t>
  </si>
  <si>
    <t>sodium_exposure_floor</t>
  </si>
  <si>
    <t>g sodium/day</t>
  </si>
  <si>
    <t>No additional benefit below this exposure</t>
  </si>
  <si>
    <t>NCD Countdown supplement p 33</t>
  </si>
  <si>
    <t>tfa_target_exposure</t>
  </si>
  <si>
    <t>% energy</t>
  </si>
  <si>
    <t>Target exposure under industrial trans-fat elimination</t>
  </si>
  <si>
    <t>NCD Countdown supplement pp 33-34</t>
  </si>
  <si>
    <t>constant_marginal_policy_cost</t>
  </si>
  <si>
    <t>0/1 flag</t>
  </si>
  <si>
    <t>Assume policy cost is proportional to implementation</t>
  </si>
  <si>
    <t>NCD Countdown limitation</t>
  </si>
  <si>
    <t>grams_pure_alcohol_per_litre</t>
  </si>
  <si>
    <t>g/L</t>
  </si>
  <si>
    <t>Density conversion used for alcohol dose-response parameters</t>
  </si>
  <si>
    <t>Standard pure-ethanol conversion</t>
  </si>
  <si>
    <t>weeks_per_year</t>
  </si>
  <si>
    <t>weeks/year</t>
  </si>
  <si>
    <t>Annualization factor for alcohol dose-response parameters</t>
  </si>
  <si>
    <t>Model convention</t>
  </si>
  <si>
    <t>ssb_tax_price_increase</t>
  </si>
  <si>
    <t>relative price change</t>
  </si>
  <si>
    <t>Counterfactual SSB retail-price increase under excise tax</t>
  </si>
  <si>
    <t>Attached: inline-supplementary-material-1.pdf; https://www.who.int/publications/i/item/9789240091016/</t>
  </si>
  <si>
    <t>ssb_price_elasticity_indonesia</t>
  </si>
  <si>
    <t>own-price elasticity</t>
  </si>
  <si>
    <t>Implied mean Indonesia elasticity: a 20% price increase reduces SSB demand 17.5%; group range 14.3%-18.6%</t>
  </si>
  <si>
    <t>https://doi.org/10.1371/journal.pone.0293913</t>
  </si>
  <si>
    <t>ssb_tax_pass_through_global</t>
  </si>
  <si>
    <t>proportion</t>
  </si>
  <si>
    <t>Implemented-tax meta-analysis reference; not multiplied into the Indonesia base case because the lever is parameterized as a retail-price increase</t>
  </si>
  <si>
    <t>https://doi.org/10.1001/jamanetworkopen.2022.15276</t>
  </si>
  <si>
    <t>ssb_price_elasticity_global</t>
  </si>
  <si>
    <t>Global implemented-tax sales elasticity for sensitivity analysis</t>
  </si>
  <si>
    <t>intervention_id</t>
  </si>
  <si>
    <t>intervention_name</t>
  </si>
  <si>
    <t>package_group</t>
  </si>
  <si>
    <t>definition</t>
  </si>
  <si>
    <t>risk_id</t>
  </si>
  <si>
    <t>risk_name</t>
  </si>
  <si>
    <t>exposure_measure</t>
  </si>
  <si>
    <t>exposure_unit</t>
  </si>
  <si>
    <t>cause_id</t>
  </si>
  <si>
    <t>cause_name</t>
  </si>
  <si>
    <t>model_name</t>
  </si>
  <si>
    <t>is_model_cause</t>
  </si>
  <si>
    <t>mapping_note</t>
  </si>
  <si>
    <t>I_PH_TOBACCO_TAX</t>
  </si>
  <si>
    <t>Tobacco tax</t>
  </si>
  <si>
    <t>Tobacco</t>
  </si>
  <si>
    <t>Excise and other tobacco taxes targeting at least 75% of final retail price</t>
  </si>
  <si>
    <t>R_SMOKING</t>
  </si>
  <si>
    <t>Smoking</t>
  </si>
  <si>
    <t>Smoking prevalence</t>
  </si>
  <si>
    <t>C_RHD</t>
  </si>
  <si>
    <t>Rheumatic heart disease</t>
  </si>
  <si>
    <t>No SSB mapping selected</t>
  </si>
  <si>
    <t>I_PH_ALCOHOL_TAX</t>
  </si>
  <si>
    <t>Alcohol tax</t>
  </si>
  <si>
    <t>Alcohol</t>
  </si>
  <si>
    <t>Excise tax producing a 25% total alcohol price increase</t>
  </si>
  <si>
    <t>R_ALCOHOL</t>
  </si>
  <si>
    <t>Alcohol use</t>
  </si>
  <si>
    <t>Alcohol consumption per adult</t>
  </si>
  <si>
    <t>litres pure alcohol/adult/year</t>
  </si>
  <si>
    <t>C_IHD</t>
  </si>
  <si>
    <t>Ischemic heart disease</t>
  </si>
  <si>
    <t>Direct tobacco, alcohol, sodium, and SSB mapping</t>
  </si>
  <si>
    <t>I_PH_TOBACCO_POLICY</t>
  </si>
  <si>
    <t>Tobacco policy</t>
  </si>
  <si>
    <t>Clean-air law, mass media, and advertising bans</t>
  </si>
  <si>
    <t>R_SODIUM</t>
  </si>
  <si>
    <t>High sodium intake</t>
  </si>
  <si>
    <t>Mean sodium intake</t>
  </si>
  <si>
    <t>C_IS</t>
  </si>
  <si>
    <t>Ischemic stroke</t>
  </si>
  <si>
    <t>I_PH_ALCOHOL_POLICY</t>
  </si>
  <si>
    <t>Alcohol policy</t>
  </si>
  <si>
    <t>Alcohol advertising restrictions</t>
  </si>
  <si>
    <t>R_TFA</t>
  </si>
  <si>
    <t>Trans-fat intake</t>
  </si>
  <si>
    <t>Mean trans-fat intake</t>
  </si>
  <si>
    <t>C_ICH</t>
  </si>
  <si>
    <t>Intracerebral hemorrhage</t>
  </si>
  <si>
    <t>Direct tobacco/alcohol/sodium mapping; SSB uses total-stroke RR proxy</t>
  </si>
  <si>
    <t>I_PH_SALT_POLICY</t>
  </si>
  <si>
    <t>Salt policy</t>
  </si>
  <si>
    <t>Diet</t>
  </si>
  <si>
    <t>Reformulation, front-of-pack labelling, mass media, and enabling environments</t>
  </si>
  <si>
    <t>R_SSB</t>
  </si>
  <si>
    <t>Sugar-sweetened beverage intake</t>
  </si>
  <si>
    <t>Mean SSB intake</t>
  </si>
  <si>
    <t>8 oz (248 g) servings/adult/day</t>
  </si>
  <si>
    <t>C_HHD</t>
  </si>
  <si>
    <t>Hypertensive heart disease</t>
  </si>
  <si>
    <t>Direct alcohol/sodium mapping; SSB uses hypertension RR proxy</t>
  </si>
  <si>
    <t>I_PH_TFA_POLICY</t>
  </si>
  <si>
    <t>Trans fat policy</t>
  </si>
  <si>
    <t>Best-practice policy to eliminate industrial trans fat</t>
  </si>
  <si>
    <t>C_CMYO</t>
  </si>
  <si>
    <t>Cardiomyopathy and myocarditis</t>
  </si>
  <si>
    <t>Direct alcohol mapping; no SSB mapping in Watkins raised-BMI cause set</t>
  </si>
  <si>
    <t>I_PH_SSB_TAX</t>
  </si>
  <si>
    <t>Sugar-sweetened beverage tax</t>
  </si>
  <si>
    <t>Excise tax designed to increase the retail price of non-milk SSBs by 20%</t>
  </si>
  <si>
    <t>C_T2DM</t>
  </si>
  <si>
    <t>Diabetes mellitus type 2</t>
  </si>
  <si>
    <t>Direct tobacco and SSB mapping</t>
  </si>
  <si>
    <t>C_IHD_HBG</t>
  </si>
  <si>
    <t>Ischemic heart disease attributable to high blood glucose</t>
  </si>
  <si>
    <t>Overlapping attributable component; do not add to total IHD without subtraction</t>
  </si>
  <si>
    <t>C_SHARED</t>
  </si>
  <si>
    <t>Shared policy cost</t>
  </si>
  <si>
    <t>Not a disease model; count cost once</t>
  </si>
  <si>
    <t>Cost-only key</t>
  </si>
  <si>
    <t>intervention_cause_key</t>
  </si>
  <si>
    <t>effect_key</t>
  </si>
  <si>
    <t>exposure_key</t>
  </si>
  <si>
    <t>cost_join_key</t>
  </si>
  <si>
    <t>cost_scope</t>
  </si>
  <si>
    <t>transition_from</t>
  </si>
  <si>
    <t>transition_to</t>
  </si>
  <si>
    <t>include_flag</t>
  </si>
  <si>
    <t>requires_cause_expansion</t>
  </si>
  <si>
    <t>notes</t>
  </si>
  <si>
    <t>duplicate_count</t>
  </si>
  <si>
    <t>I_PH_TOBACCO_TAX__C_IHD</t>
  </si>
  <si>
    <t>I_PH_TOBACCO_TAX__C_SHARED</t>
  </si>
  <si>
    <t>shared-count-once</t>
  </si>
  <si>
    <t>well</t>
  </si>
  <si>
    <t>sick</t>
  </si>
  <si>
    <t>Direct prevalence-shift RR model; no cause PAF input</t>
  </si>
  <si>
    <t>I_PH_TOBACCO_TAX__C_IS</t>
  </si>
  <si>
    <t>I_PH_TOBACCO_TAX__C_ICH</t>
  </si>
  <si>
    <t>I_PH_TOBACCO_TAX__C_T2DM</t>
  </si>
  <si>
    <t>I_PH_ALCOHOL_TAX__C_IHD</t>
  </si>
  <si>
    <t>I_PH_ALCOHOL_TAX__C_SHARED</t>
  </si>
  <si>
    <t>Direct dose-response RR per litre/year; no cause PAF input</t>
  </si>
  <si>
    <t>I_PH_ALCOHOL_TAX__C_IS</t>
  </si>
  <si>
    <t>I_PH_ALCOHOL_TAX__C_ICH</t>
  </si>
  <si>
    <t>I_PH_ALCOHOL_TAX__C_HHD</t>
  </si>
  <si>
    <t>I_PH_ALCOHOL_TAX__C_CMYO</t>
  </si>
  <si>
    <t>I_PH_TOBACCO_POLICY__C_IHD</t>
  </si>
  <si>
    <t>I_PH_TOBACCO_POLICY__C_SHARED</t>
  </si>
  <si>
    <t>I_PH_TOBACCO_POLICY__C_IS</t>
  </si>
  <si>
    <t>I_PH_TOBACCO_POLICY__C_ICH</t>
  </si>
  <si>
    <t>I_PH_TOBACCO_POLICY__C_T2DM</t>
  </si>
  <si>
    <t>I_PH_ALCOHOL_POLICY__C_IHD</t>
  </si>
  <si>
    <t>I_PH_ALCOHOL_POLICY__C_SHARED</t>
  </si>
  <si>
    <t>I_PH_ALCOHOL_POLICY__C_IS</t>
  </si>
  <si>
    <t>I_PH_ALCOHOL_POLICY__C_ICH</t>
  </si>
  <si>
    <t>I_PH_ALCOHOL_POLICY__C_HHD</t>
  </si>
  <si>
    <t>I_PH_ALCOHOL_POLICY__C_CMYO</t>
  </si>
  <si>
    <t>I_PH_SALT_POLICY__C_IHD</t>
  </si>
  <si>
    <t>I_PH_SALT_POLICY__C_SHARED</t>
  </si>
  <si>
    <t>User-directed well-to-sick incidence transition; downstream model must apply the cause-specific effect to this transition.</t>
  </si>
  <si>
    <t>I_PH_SALT_POLICY__C_IS</t>
  </si>
  <si>
    <t>I_PH_SALT_POLICY__C_ICH</t>
  </si>
  <si>
    <t>I_PH_SALT_POLICY__C_HHD</t>
  </si>
  <si>
    <t>I_PH_TFA_POLICY__C_IHD</t>
  </si>
  <si>
    <t>I_PH_TFA_POLICY__C_SHARED</t>
  </si>
  <si>
    <t>I_PH_SSB_TAX__C_IHD</t>
  </si>
  <si>
    <t>I_PH_SSB_TAX__C_SHARED</t>
  </si>
  <si>
    <t>Direct SSB RR per daily serving from Lara-Castor 2025; no model PAF required</t>
  </si>
  <si>
    <t>I_PH_SSB_TAX__C_IS</t>
  </si>
  <si>
    <t>I_PH_SSB_TAX__C_ICH</t>
  </si>
  <si>
    <t>Total-stroke dose-response RR used as a transparent subtype proxy</t>
  </si>
  <si>
    <t>I_PH_SSB_TAX__C_HHD</t>
  </si>
  <si>
    <t>Hypertension dose-response RR used as a transparent HHD proxy</t>
  </si>
  <si>
    <t>I_PH_SSB_TAX__C_T2DM</t>
  </si>
  <si>
    <t>lever_id</t>
  </si>
  <si>
    <t>component</t>
  </si>
  <si>
    <t>lever_method</t>
  </si>
  <si>
    <t>baseline_value</t>
  </si>
  <si>
    <t>target_value</t>
  </si>
  <si>
    <t>lever_unit</t>
  </si>
  <si>
    <t>effect_parameter</t>
  </si>
  <si>
    <t>effect_parameter_unit</t>
  </si>
  <si>
    <t>estimated_risk_reduction</t>
  </si>
  <si>
    <t>review_status</t>
  </si>
  <si>
    <t>qa_status</t>
  </si>
  <si>
    <t>PL_TOB_TAX_SHARE</t>
  </si>
  <si>
    <t>Tax share of final retail price</t>
  </si>
  <si>
    <t>tax_share_to_price_elasticity</t>
  </si>
  <si>
    <t>price elasticity</t>
  </si>
  <si>
    <t>NCD Countdown supplement p 32</t>
  </si>
  <si>
    <t>Enter Indonesia current tax share; target is the MPOWER 75% benchmark</t>
  </si>
  <si>
    <t>PL_ALC_PRICE</t>
  </si>
  <si>
    <t>Total price increase</t>
  </si>
  <si>
    <t>price_elasticity</t>
  </si>
  <si>
    <t>NCD Countdown supplement p 31</t>
  </si>
  <si>
    <t>Provisional</t>
  </si>
  <si>
    <t>Produces a 12.25% consumption reduction under constant elasticity</t>
  </si>
  <si>
    <t>PL_TOB_CLEAN_AIR</t>
  </si>
  <si>
    <t>Smoking ban / clean-air law</t>
  </si>
  <si>
    <t>coverage_gap_multiplicative</t>
  </si>
  <si>
    <t>implementation proportion</t>
  </si>
  <si>
    <t>relative exposure reduction</t>
  </si>
  <si>
    <t>Replace provisional zero with Indonesia implementation level</t>
  </si>
  <si>
    <t>PL_TOB_MEDIA</t>
  </si>
  <si>
    <t>Highly publicised mass media</t>
  </si>
  <si>
    <t>PL_TOB_AD_BAN</t>
  </si>
  <si>
    <t>Advertising bans</t>
  </si>
  <si>
    <t>PL_ALC_AD_BAN</t>
  </si>
  <si>
    <t>Alcohol advertising ban</t>
  </si>
  <si>
    <t>PL_SALT_REFORM</t>
  </si>
  <si>
    <t>Mandatory product reformulation</t>
  </si>
  <si>
    <t>relative sodium reduction</t>
  </si>
  <si>
    <t>Voluntary reformulation alternative is 15%</t>
  </si>
  <si>
    <t>PL_SALT_FOPL</t>
  </si>
  <si>
    <t>Front-of-pack labelling</t>
  </si>
  <si>
    <t>PL_SALT_MEDIA</t>
  </si>
  <si>
    <t>Mass-media campaign</t>
  </si>
  <si>
    <t>PL_SALT_ENV</t>
  </si>
  <si>
    <t>Supportive public-institution environment</t>
  </si>
  <si>
    <t>PL_TFA_SCORE</t>
  </si>
  <si>
    <t>WHO TFA policy score</t>
  </si>
  <si>
    <t>score_lookup</t>
  </si>
  <si>
    <t>score 0-4</t>
  </si>
  <si>
    <t>TFA-attributable IHD death reduction</t>
  </si>
  <si>
    <t>Enter current score: 0-2 =&gt; 100%, 3 =&gt; 29.7%, 4 =&gt; 0 additional effect</t>
  </si>
  <si>
    <t>PL_SSB_PRICE</t>
  </si>
  <si>
    <t>Retail price increase</t>
  </si>
  <si>
    <t>https://doi.org/10.1371/journal.pone.0293913; https://doi.org/10.1001/jamanetworkopen.2022.15276</t>
  </si>
  <si>
    <t>Ready</t>
  </si>
  <si>
    <t>Indonesia 2021 SUSENAS demand model: a 20% price increase reduces mean SSB demand 17.5% (14.3%-18.6% by group). Global implemented-tax meta-analysis: 82% pass-through and sales elasticity -1.59 retained in Assumptions for sensitivity.</t>
  </si>
  <si>
    <t>exposure_input_id</t>
  </si>
  <si>
    <t>risk_exposure_measure</t>
  </si>
  <si>
    <t>baseline_exposure</t>
  </si>
  <si>
    <t>reduction_method</t>
  </si>
  <si>
    <t>desired_reduction_override</t>
  </si>
  <si>
    <t>recommended_reduction_or_target</t>
  </si>
  <si>
    <t>applied_reduction_or_target</t>
  </si>
  <si>
    <t>exposure_floor</t>
  </si>
  <si>
    <t>target_exposure</t>
  </si>
  <si>
    <t>absolute_reduction</t>
  </si>
  <si>
    <t>relative_reduction</t>
  </si>
  <si>
    <t>start_year</t>
  </si>
  <si>
    <t>target_year</t>
  </si>
  <si>
    <t>EXP_TOB_TAX</t>
  </si>
  <si>
    <t>relative</t>
  </si>
  <si>
    <t>User input + Countdown tax method</t>
  </si>
  <si>
    <t>Missing input</t>
  </si>
  <si>
    <t>EXP_ALC_TAX</t>
  </si>
  <si>
    <t>User input + Countdown price elasticity</t>
  </si>
  <si>
    <t>EXP_TOB_POLICY</t>
  </si>
  <si>
    <t>User input + Countdown SimSmoke effects</t>
  </si>
  <si>
    <t>EXP_ALC_POLICY</t>
  </si>
  <si>
    <t>User input + Countdown Sheffield-model effect</t>
  </si>
  <si>
    <t>EXP_SALT_POLICY</t>
  </si>
  <si>
    <t>User input + NCD Countdown supplement p 33</t>
  </si>
  <si>
    <t>EXP_TFA_POLICY</t>
  </si>
  <si>
    <t>target</t>
  </si>
  <si>
    <t>User input + NCD Countdown supplement pp 33-34</t>
  </si>
  <si>
    <t>EXP_SSB_TAX</t>
  </si>
  <si>
    <t>Lara-Castor et al. 2025 Supplementary Table 4 (https://doi.org/10.1038/s41591-024-03345-4); Widarjono et al. 2023 (https://doi.org/10.1371/journal.pone.0293913)</t>
  </si>
  <si>
    <t>Base exposure is GDD 2020 adult mean (0.8 servings/week); tax response is Indonesia-specific. Replace baseline if a newer comparable intake series is selected.</t>
  </si>
  <si>
    <t>effect_id</t>
  </si>
  <si>
    <t>effect_model</t>
  </si>
  <si>
    <t>response_key</t>
  </si>
  <si>
    <t>response_parameter</t>
  </si>
  <si>
    <t>response_value</t>
  </si>
  <si>
    <t>response_unit</t>
  </si>
  <si>
    <t>paf_value</t>
  </si>
  <si>
    <t>paf_required_flag</t>
  </si>
  <si>
    <t>paf_threshold</t>
  </si>
  <si>
    <t>lag_model</t>
  </si>
  <si>
    <t>lag_parameter</t>
  </si>
  <si>
    <t>source_file</t>
  </si>
  <si>
    <t>source_location</t>
  </si>
  <si>
    <t>map_match_count</t>
  </si>
  <si>
    <t>EFF_01</t>
  </si>
  <si>
    <t>direct_smoking_prevalence_shift_rr</t>
  </si>
  <si>
    <t>RR_SMOKING_IHD</t>
  </si>
  <si>
    <t>RR current smoker vs non-smoker</t>
  </si>
  <si>
    <t>relative risk</t>
  </si>
  <si>
    <t>delayed_exponential_remaining_effect</t>
  </si>
  <si>
    <t>Asia Pacific Cohort Studies Collaboration 2005</t>
  </si>
  <si>
    <t>https://doi.org/10.1093/ije/dyi104</t>
  </si>
  <si>
    <t>Direct incidence effect from smoking prevalence and cause-specific RR; no PAF input. Tobacco lag follows the Countdown delayed-effect structure.</t>
  </si>
  <si>
    <t>EFF_02</t>
  </si>
  <si>
    <t>RR_SMOKING_IS</t>
  </si>
  <si>
    <t>EFF_03</t>
  </si>
  <si>
    <t>RR_SMOKING_ICH</t>
  </si>
  <si>
    <t>EFF_04</t>
  </si>
  <si>
    <t>RR_SMOKING_T2DM</t>
  </si>
  <si>
    <t>Pan et al. 2015</t>
  </si>
  <si>
    <t>https://doi.org/10.1016/S2213-8587(15)00316-2</t>
  </si>
  <si>
    <t>Provisional lag proxy</t>
  </si>
  <si>
    <t>EFF_05</t>
  </si>
  <si>
    <t>direct_loglinear_rr_per_unit_reduction</t>
  </si>
  <si>
    <t>RR_ALCOHOL_IHD_1L</t>
  </si>
  <si>
    <t>RR per 1 L pure alcohol/adult/year</t>
  </si>
  <si>
    <t>immediate_after_full_implementation</t>
  </si>
  <si>
    <t>Wood et al. 2018</t>
  </si>
  <si>
    <t>https://doi.org/10.1016/S0140-6736(18)30134-X</t>
  </si>
  <si>
    <t>Provisional proxy</t>
  </si>
  <si>
    <t>Direct incidence effect from alcohol reduction and cause-specific dose-response RR; no PAF input. See Risk_Response for source-to-model conversion and proxy notes.</t>
  </si>
  <si>
    <t>EFF_06</t>
  </si>
  <si>
    <t>RR_ALCOHOL_IS_1L</t>
  </si>
  <si>
    <t>EFF_07</t>
  </si>
  <si>
    <t>RR_ALCOHOL_ICH_1L</t>
  </si>
  <si>
    <t>EFF_08</t>
  </si>
  <si>
    <t>RR_ALCOHOL_HHD_1L</t>
  </si>
  <si>
    <t>EFF_09</t>
  </si>
  <si>
    <t>RR_ALCOHOL_CMYO_1L</t>
  </si>
  <si>
    <t>EFF_10</t>
  </si>
  <si>
    <t>EFF_11</t>
  </si>
  <si>
    <t>EFF_12</t>
  </si>
  <si>
    <t>EFF_13</t>
  </si>
  <si>
    <t>EFF_14</t>
  </si>
  <si>
    <t>EFF_15</t>
  </si>
  <si>
    <t>EFF_16</t>
  </si>
  <si>
    <t>EFF_17</t>
  </si>
  <si>
    <t>EFF_18</t>
  </si>
  <si>
    <t>EFF_19</t>
  </si>
  <si>
    <t>RR_SODIUM_1G</t>
  </si>
  <si>
    <t>RR per 1 g sodium</t>
  </si>
  <si>
    <t>Watkins 2022 - Supplement to NCD Countdown 2030 efficient pathways and strategic.pdf</t>
  </si>
  <si>
    <t>p 33</t>
  </si>
  <si>
    <t>User-directed well-to-sick transition. Countdown cause-specific effect is applied to the corresponding incidence transition during integration.</t>
  </si>
  <si>
    <t>EFF_20</t>
  </si>
  <si>
    <t>EFF_21</t>
  </si>
  <si>
    <t>EFF_22</t>
  </si>
  <si>
    <t>EFF_23</t>
  </si>
  <si>
    <t>tfa_attributable_ihd_PAF_x_policy_score</t>
  </si>
  <si>
    <t>TFA_SCORE_EFFECT</t>
  </si>
  <si>
    <t>policy-score effect on TFA-attributable IHD deaths</t>
  </si>
  <si>
    <t>pp 33-34</t>
  </si>
  <si>
    <t>User-directed well-to-sick transition. Enter Indonesia TFA-attributable IHD PAF and WHO policy score before execution.</t>
  </si>
  <si>
    <t>EFF_24</t>
  </si>
  <si>
    <t>RR_SSB_IHD_1SERV</t>
  </si>
  <si>
    <t>RR per 1 daily 8 oz (248 g) SSB serving</t>
  </si>
  <si>
    <t>Lara-Castor et al. 2025</t>
  </si>
  <si>
    <t>https://doi.org/10.1038/s41591-024-03345-4</t>
  </si>
  <si>
    <t>Direct BMI-independent RR, standardized to one 8 oz (248 g) serving/day; no model PAF input.</t>
  </si>
  <si>
    <t>EFF_25</t>
  </si>
  <si>
    <t>RR_SSB_IS_1SERV</t>
  </si>
  <si>
    <t>EFF_26</t>
  </si>
  <si>
    <t>RR_SSB_ICH_1SERV_PROXY</t>
  </si>
  <si>
    <t>Sun et al. 2023</t>
  </si>
  <si>
    <t>https://doi.org/10.1016/j.advnut.2022.12.002</t>
  </si>
  <si>
    <t>Total-stroke morbidity RR per 250 mL/day used for intracerebral hemorrhage; retain sensitivity or exclude if subtype-specific evidence is required.</t>
  </si>
  <si>
    <t>EFF_27</t>
  </si>
  <si>
    <t>RR_SSB_HHD_1SERV_PROXY</t>
  </si>
  <si>
    <t>Qin et al. 2020</t>
  </si>
  <si>
    <t>https://doi.org/10.1007/s10654-020-00655-y</t>
  </si>
  <si>
    <t>Hypertension incidence RR per 250 mL/day used as an HHD incidence proxy, consistent with the Watkins raised-BMI cause set.</t>
  </si>
  <si>
    <t>EFF_28</t>
  </si>
  <si>
    <t>RR_SSB_T2DM_1SERV</t>
  </si>
  <si>
    <t>selection_status</t>
  </si>
  <si>
    <t>response_name</t>
  </si>
  <si>
    <t>age_start</t>
  </si>
  <si>
    <t>age_stop</t>
  </si>
  <si>
    <t>sex</t>
  </si>
  <si>
    <t>cause_scope</t>
  </si>
  <si>
    <t>source_effect_value</t>
  </si>
  <si>
    <t>source_effect_unit</t>
  </si>
  <si>
    <t>model_response_value</t>
  </si>
  <si>
    <t>model_response_unit</t>
  </si>
  <si>
    <t>derivation</t>
  </si>
  <si>
    <t>selected_for_base_case</t>
  </si>
  <si>
    <t>Selected</t>
  </si>
  <si>
    <t>Current smoking RR - ischemic heart disease</t>
  </si>
  <si>
    <t>Both</t>
  </si>
  <si>
    <t>RR current vs non-smoker</t>
  </si>
  <si>
    <t>model RR = source RR</t>
  </si>
  <si>
    <t>Asia Pacific Cohort Studies Collaboration. Int J Epidemiol. 2005. https://doi.org/10.1093/ije/dyi104</t>
  </si>
  <si>
    <t>Pooled CHD estimate; directly applied to IHD incidence</t>
  </si>
  <si>
    <t>Current smoking RR - ischemic stroke</t>
  </si>
  <si>
    <t>Direct ischemic-stroke estimate</t>
  </si>
  <si>
    <t>Current smoking RR - intracerebral hemorrhage</t>
  </si>
  <si>
    <t>Hemorrhagic-stroke estimate used for intracerebral hemorrhage</t>
  </si>
  <si>
    <t>Current smoking RR - type 2 diabetes</t>
  </si>
  <si>
    <t>Pan et al. Lancet Diabetes Endocrinol. 2015. https://doi.org/10.1016/S2213-8587(15)00316-2</t>
  </si>
  <si>
    <t>Pooled RR 1.37 (95% CI 1.33-1.42); early post-cessation risk requires sensitivity analysis</t>
  </si>
  <si>
    <t>Alcohol dose-response RR - ischemic heart disease</t>
  </si>
  <si>
    <t>HR per 100 g ethanol/week</t>
  </si>
  <si>
    <t>source HR converted using 789 g/L and 52 weeks/year</t>
  </si>
  <si>
    <t>Wood et al. Lancet. 2018. https://doi.org/10.1016/S0140-6736(18)30134-X</t>
  </si>
  <si>
    <t>Coronary disease excluding myocardial infarction used as conservative IHD proxy</t>
  </si>
  <si>
    <t>Alcohol dose-response RR - ischemic stroke</t>
  </si>
  <si>
    <t>All-stroke estimate used as subtype proxy</t>
  </si>
  <si>
    <t>Alcohol dose-response RR - intracerebral hemorrhage</t>
  </si>
  <si>
    <t>Alcohol dose-response RR - hypertensive heart disease</t>
  </si>
  <si>
    <t>Fatal hypertensive-disease estimate directly mapped to HHD</t>
  </si>
  <si>
    <t>Alcohol dose-response RR - cardiomyopathy/myocarditis</t>
  </si>
  <si>
    <t>Heart-failure estimate used as proxy for combined cardiomyopathy/myocarditis cause</t>
  </si>
  <si>
    <t>LAG_TOB_CVD</t>
  </si>
  <si>
    <t>Tobacco-CVD effect realization</t>
  </si>
  <si>
    <t>C_IHD|C_IS|C_ICH</t>
  </si>
  <si>
    <t>Smoking-related cardiovascular conditions</t>
  </si>
  <si>
    <t>fraction of full effect realized by year 10</t>
  </si>
  <si>
    <t>annual fraction of remaining effect realized</t>
  </si>
  <si>
    <t>rate = 1 - (1 - 0.47)^(1/10)</t>
  </si>
  <si>
    <t>Watkins 2022 supplement Figure A1; Duncan et al. JAMA 2019. https://doi.org/10.1001/jama.2019.10298</t>
  </si>
  <si>
    <t>Exponential approximation to the Countdown tobacco-CVD curve</t>
  </si>
  <si>
    <t>LAG_TOB_T2DM_PROXY</t>
  </si>
  <si>
    <t>Tobacco-type 2 diabetes effect realization</t>
  </si>
  <si>
    <t>proxy fraction of full effect realized by year 10</t>
  </si>
  <si>
    <t>uses tobacco-CVD lag as base-case proxy</t>
  </si>
  <si>
    <t>Pan et al. 2015 and Watkins 2022 supplement Figure A1</t>
  </si>
  <si>
    <t>Proxy only: Pan et al. report transiently increased diabetes risk in new quitters</t>
  </si>
  <si>
    <t>Direct sodium-CVD mortality response</t>
  </si>
  <si>
    <t>C_IHD|C_IS|C_ICH|C_HHD</t>
  </si>
  <si>
    <t>All linked CVD causes</t>
  </si>
  <si>
    <t>RR per additional 1 g sodium/day</t>
  </si>
  <si>
    <t>Watkins 2022 supplement p 33</t>
  </si>
  <si>
    <t>Simple Countdown pathway</t>
  </si>
  <si>
    <t>Reference</t>
  </si>
  <si>
    <t>WHO policy score 0</t>
  </si>
  <si>
    <t>TFA-attributable ischemic heart disease deaths</t>
  </si>
  <si>
    <t>proportion reduced</t>
  </si>
  <si>
    <t>model value = source value</t>
  </si>
  <si>
    <t>Watkins 2022 supplement pp 33-34</t>
  </si>
  <si>
    <t>Score 0 implies 100% additional reduction</t>
  </si>
  <si>
    <t>WHO policy score 1</t>
  </si>
  <si>
    <t>Score 1 implies 100% additional reduction</t>
  </si>
  <si>
    <t>WHO policy score 2</t>
  </si>
  <si>
    <t>Score 2 implies 100% additional reduction</t>
  </si>
  <si>
    <t>WHO policy score 3</t>
  </si>
  <si>
    <t>Score 3 implies 29.7% additional reduction</t>
  </si>
  <si>
    <t>WHO policy score 4</t>
  </si>
  <si>
    <t>Score 4 implies no additional modeled reduction</t>
  </si>
  <si>
    <t>SSB direct RR - ischemic heart disease</t>
  </si>
  <si>
    <t>RR per 8 oz (248 g) serving/day</t>
  </si>
  <si>
    <t>Age-mean direct BMI-independent RR used by Lara-Castor 2025</t>
  </si>
  <si>
    <t>95% CI 1.09-1.21; primary SSB-IHD input</t>
  </si>
  <si>
    <t>SSB direct RR - ischemic stroke</t>
  </si>
  <si>
    <t>95% CI 1.02-1.11; primary SSB-ischemic stroke input</t>
  </si>
  <si>
    <t>SSB RR - intracerebral hemorrhage proxy</t>
  </si>
  <si>
    <t>HR per 250 mL/day</t>
  </si>
  <si>
    <t>Total-stroke dose-response used without material unit adjustment</t>
  </si>
  <si>
    <t>95% CI 1.02-1.13; total-stroke morbidity proxy, not subtype-specific</t>
  </si>
  <si>
    <t>SSB RR - hypertensive heart disease proxy</t>
  </si>
  <si>
    <t>RR per 250 mL/day</t>
  </si>
  <si>
    <t>Hypertension incidence dose-response used as HHD proxy</t>
  </si>
  <si>
    <t>95% CI 1.06-1.14; proxy selected to match the Watkins raised-BMI cause set</t>
  </si>
  <si>
    <t>SSB direct RR - type 2 diabetes</t>
  </si>
  <si>
    <t>95% CI 1.12-1.24; primary SSB-T2DM input</t>
  </si>
  <si>
    <t>PAF_SSB_IDN_T2DM_INC_2020</t>
  </si>
  <si>
    <t>Indonesia SSB-attributable T2DM incidence fraction</t>
  </si>
  <si>
    <t>Indonesia T2DM incidence</t>
  </si>
  <si>
    <t>attributable fraction</t>
  </si>
  <si>
    <t>National CRA including direct and BMI-mediated pathways</t>
  </si>
  <si>
    <t>95% UI 0.017-0.040; validation only, not an effect input</t>
  </si>
  <si>
    <t>PAF_SSB_IDN_CVD_INC_2020</t>
  </si>
  <si>
    <t>Indonesia SSB-attributable CVD incidence fraction</t>
  </si>
  <si>
    <t>C_IHD|C_IS</t>
  </si>
  <si>
    <t>Indonesia IHD and ischemic-stroke incidence</t>
  </si>
  <si>
    <t>95% UI 0.007-0.015; validation only and does not cover HHD/ICH proxy links</t>
  </si>
  <si>
    <t>PAF_SSB_IDN_T2DM_DEATH_2020</t>
  </si>
  <si>
    <t>Indonesia SSB-attributable T2DM death fraction</t>
  </si>
  <si>
    <t>Indonesia T2DM deaths</t>
  </si>
  <si>
    <t>95% UI 0.008-0.019; validation only, not an effect input</t>
  </si>
  <si>
    <t>PAF_SSB_IDN_CVD_DEATH_2020</t>
  </si>
  <si>
    <t>Indonesia SSB-attributable CVD death fraction</t>
  </si>
  <si>
    <t>Indonesia IHD and ischemic-stroke deaths</t>
  </si>
  <si>
    <t>95% UI 0.006-0.013; validation only and does not cover HHD/ICH proxy links</t>
  </si>
  <si>
    <t>cost_record_id</t>
  </si>
  <si>
    <t>cost_component_key</t>
  </si>
  <si>
    <t>cost_option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</si>
  <si>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</si>
  <si>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</si>
  <si>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</si>
  <si>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</si>
  <si>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</si>
  <si>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</si>
  <si>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</si>
  <si>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</si>
  <si>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</si>
  <si>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</si>
  <si>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source_row</t>
  </si>
  <si>
    <t>selection_count</t>
  </si>
  <si>
    <t>COST_PH_TOB_TAX</t>
  </si>
  <si>
    <t>CC_PH_TOB_TAX</t>
  </si>
  <si>
    <t>Base</t>
  </si>
  <si>
    <t>Annual intersectoral policy implementation</t>
  </si>
  <si>
    <t>population</t>
  </si>
  <si>
    <t>USD per capita-year</t>
  </si>
  <si>
    <t>Intersectoral</t>
  </si>
  <si>
    <t>China</t>
  </si>
  <si>
    <t>row 53</t>
  </si>
  <si>
    <t>WHO NCD Costing Tool value; requires Indonesia/price-year adjustment</t>
  </si>
  <si>
    <t>COST_PH_ALC_TAX</t>
  </si>
  <si>
    <t>CC_PH_ALC_TAX</t>
  </si>
  <si>
    <t>row 54</t>
  </si>
  <si>
    <t>COST_PH_TOB_POLICY</t>
  </si>
  <si>
    <t>CC_PH_TOB_POLICY</t>
  </si>
  <si>
    <t>row 55</t>
  </si>
  <si>
    <t>COST_PH_ALC_POLICY</t>
  </si>
  <si>
    <t>CC_PH_ALC_POLICY</t>
  </si>
  <si>
    <t>row 56</t>
  </si>
  <si>
    <t>COST_PH_SALT</t>
  </si>
  <si>
    <t>CC_PH_SALT</t>
  </si>
  <si>
    <t>row 57</t>
  </si>
  <si>
    <t>COST_PH_TFA</t>
  </si>
  <si>
    <t>CC_PH_TFA</t>
  </si>
  <si>
    <t>row 58</t>
  </si>
  <si>
    <t>COST_PH_SSB_TAX</t>
  </si>
  <si>
    <t>CC_PH_SSB_TAX</t>
  </si>
  <si>
    <t>Tax-policy proxy</t>
  </si>
  <si>
    <t>Watkins 2019 supplement; PINandCosts0625(1).csv</t>
  </si>
  <si>
    <t>supplement p 9/Table A9; proxy row 54</t>
  </si>
  <si>
    <t>Watkins used tobacco/alcohol tax administrative costs as the SSB proxy and reports US$27.3m total Indonesia cost (2016 USD, discounted 2015-2070). Workbook uses the compatible 0.004 per-capita-year tax proxy pending Indonesia/price-year calibration.</t>
  </si>
  <si>
    <t>illustrative_full_effect</t>
  </si>
  <si>
    <t>selected_policy_cost_usd_per_capita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</si>
  <si>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</si>
  <si>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</si>
  <si>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</si>
  <si>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</si>
  <si>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</si>
  <si>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</si>
  <si>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</si>
  <si>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Exposure target - relative</t>
  </si>
  <si>
    <t>target = max(floor, baseline * (1 - relative_reduction))</t>
  </si>
  <si>
    <t>Exposure_Targets</t>
  </si>
  <si>
    <t>Default for tobacco, alcohol, and sodium</t>
  </si>
  <si>
    <t>M02</t>
  </si>
  <si>
    <t>Exposure target - absolute</t>
  </si>
  <si>
    <t>target = max(floor, baseline - absolute_reduction)</t>
  </si>
  <si>
    <t>Optional user-selected method</t>
  </si>
  <si>
    <t>M03</t>
  </si>
  <si>
    <t>Exposure target - level</t>
  </si>
  <si>
    <t>target = max(floor, target_level)</t>
  </si>
  <si>
    <t>Default for TFA elimination</t>
  </si>
  <si>
    <t>M04</t>
  </si>
  <si>
    <t>Linear policy scale-up</t>
  </si>
  <si>
    <t>implementation_fraction_t rises linearly to 1 over approximately 3 years</t>
  </si>
  <si>
    <t>Downstream model</t>
  </si>
  <si>
    <t>intervention_id + year</t>
  </si>
  <si>
    <t>Countdown assumes costs and effects increase linearly during implementation</t>
  </si>
  <si>
    <t>M05</t>
  </si>
  <si>
    <t>risk_reduction = abs(price_elasticity) * relative_price_increase</t>
  </si>
  <si>
    <t>Policy_Levers</t>
  </si>
  <si>
    <t>25% price increase and elasticity -0.49 imply 12.25% consumption reduction</t>
  </si>
  <si>
    <t>M06</t>
  </si>
  <si>
    <t>price_change = (1-current_tax_share)/(1-target_tax_share)-1; reduction = abs(elasticity)*price_change</t>
  </si>
  <si>
    <t>Transparent approximation; target tax share is 75%</t>
  </si>
  <si>
    <t>M07</t>
  </si>
  <si>
    <t>Policy package</t>
  </si>
  <si>
    <t>R = 1 - PRODUCT_k(1 - implementation_gap_k * component_effect_k)</t>
  </si>
  <si>
    <t>Used for tobacco and sodium component packages</t>
  </si>
  <si>
    <t>M08</t>
  </si>
  <si>
    <t>Tobacco direct cause response</t>
  </si>
  <si>
    <t>effect = 1 - [1 + target_smoking*(RR-1)]/[1 + baseline_smoking*(RR-1)]</t>
  </si>
  <si>
    <t>Model_Input_View</t>
  </si>
  <si>
    <t>Uses direct cause-specific RR; no cause PAF input</t>
  </si>
  <si>
    <t>M09</t>
  </si>
  <si>
    <t>Alcohol direct cause response</t>
  </si>
  <si>
    <t>effect = 1 - 1/(RR_per_1L ^ absolute_reduction_L)</t>
  </si>
  <si>
    <t>Uses direct dose-response RR; no cause PAF input</t>
  </si>
  <si>
    <t>M10</t>
  </si>
  <si>
    <t>Tobacco lag</t>
  </si>
  <si>
    <t>lag_fraction_t = 1 - (1 - annual_rate)^years_since_implementation</t>
  </si>
  <si>
    <t>Risk_Response</t>
  </si>
  <si>
    <t>lag response key</t>
  </si>
  <si>
    <t>Annual rate 6.16% reproduces approximately 47% of full CVD effect by year 10</t>
  </si>
  <si>
    <t>M11</t>
  </si>
  <si>
    <t>Sodium direct response</t>
  </si>
  <si>
    <t>full_effect = 1 - 1/(1.06^absolute_reduction_g)</t>
  </si>
  <si>
    <t>Countdown reports 6% higher CVD risk per additional 1 g sodium</t>
  </si>
  <si>
    <t>M12</t>
  </si>
  <si>
    <t>TFA policy-score effect</t>
  </si>
  <si>
    <t>score 0-2 = 1.000; score 3 = 0.297; score 4 = 0</t>
  </si>
  <si>
    <t>Effect applies to the TFA-attributable share of IHD deaths</t>
  </si>
  <si>
    <t>M13</t>
  </si>
  <si>
    <t>TFA mortality</t>
  </si>
  <si>
    <t>full_effect = TFA_attributable_IHD_PAF * policy_score_effect</t>
  </si>
  <si>
    <t>TFA remains PAF-dependent; the no-PAF change applies only to tobacco and alcohol</t>
  </si>
  <si>
    <t>M14</t>
  </si>
  <si>
    <t>Annual policy cost</t>
  </si>
  <si>
    <t>cost_t = unit_cost_per_capita * population_t * implementation_fraction_t</t>
  </si>
  <si>
    <t>Cost_Components</t>
  </si>
  <si>
    <t>Count shared policy cost once per intervention</t>
  </si>
  <si>
    <t>M15</t>
  </si>
  <si>
    <t>Incremental policy cost</t>
  </si>
  <si>
    <t>incremental_cost_t = scenario_cost_t - baseline_cost_t</t>
  </si>
  <si>
    <t>Economic evaluation</t>
  </si>
  <si>
    <t>Assumes constant marginal costs unless changed</t>
  </si>
  <si>
    <t>M16</t>
  </si>
  <si>
    <t>Present value</t>
  </si>
  <si>
    <t>PV_t = value_t / (1 + discount_rate)^(t - start_year)</t>
  </si>
  <si>
    <t>Assumptions.parameter_id</t>
  </si>
  <si>
    <t>Uses editable Indonesia discount rates</t>
  </si>
  <si>
    <t>M17</t>
  </si>
  <si>
    <t>SSB tax and direct cause response</t>
  </si>
  <si>
    <t>consumption_reduction = abs(elasticity) * retail_price_increase; full_effect = 1 - 1/(RR_per_serving ^ absolute_serving_reduction)</t>
  </si>
  <si>
    <t>Policy_Levers; Exposure_Targets; Model_Input_View</t>
  </si>
  <si>
    <t>intervention_id + intervention_cause_key</t>
  </si>
  <si>
    <t>Base case: 20% retail-price increase, Indonesia elasticity -0.875, and direct well-to-sick cause effects. PAF estimates are validation references only.</t>
  </si>
  <si>
    <t>Key reference values</t>
  </si>
  <si>
    <t>Value</t>
  </si>
  <si>
    <t>Unit</t>
  </si>
  <si>
    <t>Source</t>
  </si>
  <si>
    <t>Status</t>
  </si>
  <si>
    <t>Note</t>
  </si>
  <si>
    <t>Alcohol tax consumption reduction</t>
  </si>
  <si>
    <t>relative alcohol-consumption reduction</t>
  </si>
  <si>
    <t>Countdown supplement p 31</t>
  </si>
  <si>
    <t>25% price increase multiplied by elasticity -0.49</t>
  </si>
  <si>
    <t>Tobacco policy full-package reduction</t>
  </si>
  <si>
    <t>relative smoking reduction</t>
  </si>
  <si>
    <t>Countdown supplement p 32</t>
  </si>
  <si>
    <t>Assumes zero baseline implementation</t>
  </si>
  <si>
    <t>Tobacco-CVD annual lag rate</t>
  </si>
  <si>
    <t>Countdown supplement Figure A1; Duncan 2019</t>
  </si>
  <si>
    <t>Base case</t>
  </si>
  <si>
    <t>Approximately 47% of full effect by year 10</t>
  </si>
  <si>
    <t>Smoking cause-specific RRs</t>
  </si>
  <si>
    <t>1.60 / 1.38 / 1.19 / 1.37</t>
  </si>
  <si>
    <t>IHD / ischemic stroke / ICH / T2DM</t>
  </si>
  <si>
    <t>APCSC 2005; Pan 2015</t>
  </si>
  <si>
    <t>Direct current-smoker versus non-smoker RRs</t>
  </si>
  <si>
    <t>Alcohol cause HRs per 100 g/week</t>
  </si>
  <si>
    <t>1.06 / 1.14 / 1.24 / 1.09</t>
  </si>
  <si>
    <t>IHD proxy / stroke / HHD / heart-failure proxy</t>
  </si>
  <si>
    <t>Wood 2018</t>
  </si>
  <si>
    <t>Converted to RR per 1 L/year in Risk_Response</t>
  </si>
  <si>
    <t>Sodium policy full-package reduction</t>
  </si>
  <si>
    <t>Countdown supplement p 33</t>
  </si>
  <si>
    <t>Recommended</t>
  </si>
  <si>
    <t>Mandatory reformulation; multiplicative combination</t>
  </si>
  <si>
    <t>TFA less-restrictive-policy effect</t>
  </si>
  <si>
    <t>Countdown supplement pp 33-34</t>
  </si>
  <si>
    <t>Score 3</t>
  </si>
  <si>
    <t>Policy cost/effect ramp</t>
  </si>
  <si>
    <t>Countdown supplement p 34</t>
  </si>
  <si>
    <t>Indonesia exposure target year remains editable</t>
  </si>
  <si>
    <t>SSB tax retail-price increase</t>
  </si>
  <si>
    <t>relative price increase</t>
  </si>
  <si>
    <t>Watkins 2019 supplement; WHO 2024 (https://www.who.int/publications/i/item/9789240091016/)</t>
  </si>
  <si>
    <t>Watkins Indonesia adaptation uses a 20% SSB excise tax; workbook parameterizes the consumer price increase directly</t>
  </si>
  <si>
    <t>Indonesia SSB demand reduction</t>
  </si>
  <si>
    <t>relative consumption reduction</t>
  </si>
  <si>
    <t>20% price increase; reported group range 14.3%-18.6%</t>
  </si>
  <si>
    <t>Indonesia adult SSB baseline</t>
  </si>
  <si>
    <t>8 oz servings/day</t>
  </si>
  <si>
    <t>GDD 2020 mean 0.8 servings/week; 95% UI 0.6-1.1 per week</t>
  </si>
  <si>
    <t>SSB cause-specific RRs</t>
  </si>
  <si>
    <t>1.14 / 1.07 / 1.08 / 1.10 / 1.18</t>
  </si>
  <si>
    <t>IHD / ischemic stroke / ICH proxy / HHD proxy / T2DM per daily serving</t>
  </si>
  <si>
    <t>https://doi.org/10.1038/s41591-024-03345-4; https://doi.org/10.1016/j.advnut.2022.12.002; https://doi.org/10.1007/s10654-020-00655-y</t>
  </si>
  <si>
    <t>Base case with proxies</t>
  </si>
  <si>
    <t>Direct evidence for IHD, ischemic stroke, and T2DM; stroke and hypertension proxies preserve the model cause set</t>
  </si>
  <si>
    <t>Indonesia SSB-attributable incidence</t>
  </si>
  <si>
    <t>0.9% / 2.4%</t>
  </si>
  <si>
    <t>CVD / T2DM incidence PAF</t>
  </si>
  <si>
    <t>Validation</t>
  </si>
  <si>
    <t>2020 national CRA; 95% UI 0.7%-1.5% CVD and 1.7%-4.0% T2DM</t>
  </si>
  <si>
    <t>Indonesia SSB-attributable deaths</t>
  </si>
  <si>
    <t>0.8% / 1.2%</t>
  </si>
  <si>
    <t>CVD / T2DM death PAF</t>
  </si>
  <si>
    <t>2020 national CRA; 95% UI 0.6%-1.3% CVD and 0.8%-1.9% T2DM</t>
  </si>
  <si>
    <t>Global implemented-tax response</t>
  </si>
  <si>
    <t>82% / -1.59</t>
  </si>
  <si>
    <t>pass-through / sales elasticity</t>
  </si>
  <si>
    <t>Sensitivity</t>
  </si>
  <si>
    <t>95% CI 66%-98% and -2.11 to -1.08, respectively</t>
  </si>
  <si>
    <t>item</t>
  </si>
  <si>
    <t>decision</t>
  </si>
  <si>
    <t>reason</t>
  </si>
  <si>
    <t>domain</t>
  </si>
  <si>
    <t>use</t>
  </si>
  <si>
    <t>location</t>
  </si>
  <si>
    <t>Include</t>
  </si>
  <si>
    <t>Tax share -&gt; price -&gt; smoking prevalence reduction</t>
  </si>
  <si>
    <t>Public health</t>
  </si>
  <si>
    <t>Annual per-capita policy costs</t>
  </si>
  <si>
    <t>rows 53-58</t>
  </si>
  <si>
    <t>Values are 2017 USD from China and require adjustment</t>
  </si>
  <si>
    <t>25% price increase -&gt; alcohol-consumption reduction</t>
  </si>
  <si>
    <t>Watkins 2022 - NCD Countdown 2030 efficient pathways and strategic.pdf</t>
  </si>
  <si>
    <t>Intervention scope and costing perspective</t>
  </si>
  <si>
    <t>Table 1 and methods</t>
  </si>
  <si>
    <t>Main NCD Countdown paper</t>
  </si>
  <si>
    <t>Three component policies combined multiplicatively</t>
  </si>
  <si>
    <t>Policy, exposure-response, lag, and scale-up methods</t>
  </si>
  <si>
    <t>pp 31-34 and Figure A1</t>
  </si>
  <si>
    <t>Primary public-health methods source</t>
  </si>
  <si>
    <t>Advertising-ban effect with implementation gap</t>
  </si>
  <si>
    <t>Smoking RR for IHD and stroke subtypes</t>
  </si>
  <si>
    <t>RRs: IHD 1.60, ischemic stroke 1.38, hemorrhagic stroke 1.19</t>
  </si>
  <si>
    <t>Countdown direct sodium-CVD mortality response</t>
  </si>
  <si>
    <t>Smoking RR for incident type 2 diabetes</t>
  </si>
  <si>
    <t>RR 1.37; cessation timing requires sensitivity analysis</t>
  </si>
  <si>
    <t>Countdown TFA-attributable IHD PAF multiplied by WHO policy-score effect</t>
  </si>
  <si>
    <t>Alcohol direct cardiovascular dose-response</t>
  </si>
  <si>
    <t>HRs per 100 g/week converted to model RR per 1 L/year</t>
  </si>
  <si>
    <t>Tobacco condition models</t>
  </si>
  <si>
    <t>Implemented</t>
  </si>
  <si>
    <t>Direct RR mapping to IHD, ischemic stroke, ICH, and type 2 diabetes; no cause PAF</t>
  </si>
  <si>
    <t>Model integration</t>
  </si>
  <si>
    <t>Duncan et al. 2019</t>
  </si>
  <si>
    <t>Smoking-CVD cessation lag support</t>
  </si>
  <si>
    <t>https://doi.org/10.1001/jama.2019.10298</t>
  </si>
  <si>
    <t>Used with Countdown Figure A1 to parameterize delayed effects</t>
  </si>
  <si>
    <t>Alcohol condition models</t>
  </si>
  <si>
    <t>Direct dose-response mapping to IHD, ischemic stroke, ICH, HHD, and cardiomyopathy/myocarditis; no cause PAF</t>
  </si>
  <si>
    <t>WHO NCD Costing Tool</t>
  </si>
  <si>
    <t>Original public-health costing modules</t>
  </si>
  <si>
    <t>https://www.who.int/ncds/management/b_NCD_CostingTool_2012.xls</t>
  </si>
  <si>
    <t>Source cited by Countdown supplement</t>
  </si>
  <si>
    <t>Not linked</t>
  </si>
  <si>
    <t>No direct tobacco/alcohol causal mapping selected from the evidence used</t>
  </si>
  <si>
    <t>IHD attributable to high blood glucose</t>
  </si>
  <si>
    <t>Do not link separately</t>
  </si>
  <si>
    <t>Overlaps total IHD; separate linkage would double count unless total IHD is net of this component</t>
  </si>
  <si>
    <t>Revenue effects of excise taxes</t>
  </si>
  <si>
    <t>Defer</t>
  </si>
  <si>
    <t>Workbook represents implementation costs, not tax revenue</t>
  </si>
  <si>
    <t>20% retail-price increase -&gt; 17.5% Indonesia mean demand reduction</t>
  </si>
  <si>
    <t>Widarjono et al. 2023</t>
  </si>
  <si>
    <t>Indonesia price elasticity and tax response</t>
  </si>
  <si>
    <t>Best available nationally representative Indonesia demand model (2021 SUSENAS)</t>
  </si>
  <si>
    <t>Indonesia SSB tax baseline</t>
  </si>
  <si>
    <t>No current tax in base case</t>
  </si>
  <si>
    <t>Counterfactual policy; implementation had been postponed in 2026</t>
  </si>
  <si>
    <t>Policy context</t>
  </si>
  <si>
    <t>Indonesia Ministry of Finance</t>
  </si>
  <si>
    <t>Current implementation context</t>
  </si>
  <si>
    <t>https://opini.kemenkeu.go.id/pages/read/penundaan-cukai-stabilkan-ekonomi-dorong-kolaborasi</t>
  </si>
  <si>
    <t>Keep baseline at 0 until an enacted rate and start date are confirmed</t>
  </si>
  <si>
    <t>SSB tax design</t>
  </si>
  <si>
    <t>Watkins Indonesia adaptation and current WHO fiscal-policy guidance</t>
  </si>
  <si>
    <t>Watkins et al. 2019; WHO 2024</t>
  </si>
  <si>
    <t>20% tax scenario and policy design</t>
  </si>
  <si>
    <t>Tax scope is non-milk beverages with added sugar; revenue is outside the current cost model</t>
  </si>
  <si>
    <t>SSB condition models</t>
  </si>
  <si>
    <t>Direct RRs to IHD, ischemic stroke, ICH proxy, HHD proxy, and type 2 diabetes</t>
  </si>
  <si>
    <t>Lara-Castor et al. 2025; Sun et al. 2023; Qin et al. 2020</t>
  </si>
  <si>
    <t>Etiologic relative risks</t>
  </si>
  <si>
    <t>All effects map to well -&gt; sick; no effect PAF input</t>
  </si>
  <si>
    <t>SSB baseline exposure</t>
  </si>
  <si>
    <t>Indonesia 2020 adult mean 0.8 8-oz servings/week</t>
  </si>
  <si>
    <t>Exposure</t>
  </si>
  <si>
    <t>Lara-Castor et al. 2025 Supplementary Table 4</t>
  </si>
  <si>
    <t>Baseline intake</t>
  </si>
  <si>
    <t>Converted to 0.1143 servings/day</t>
  </si>
  <si>
    <t>SSB attributable fractions</t>
  </si>
  <si>
    <t>Reference only</t>
  </si>
  <si>
    <t>Indonesia 2020 PAFs validate model scale without double counting</t>
  </si>
  <si>
    <t>Lara-Castor et al. 2025 Supplementary Data 1</t>
  </si>
  <si>
    <t>National incidence and death PAFs</t>
  </si>
  <si>
    <t>Incidence: 0.9% CVD, 2.4% T2DM; deaths: 0.8% CVD, 1.2% T2DM</t>
  </si>
  <si>
    <t>SSB cost</t>
  </si>
  <si>
    <t>Include as proxy</t>
  </si>
  <si>
    <t>Watkins used tobacco/alcohol tax administrative costs for SSB tax</t>
  </si>
  <si>
    <t>Watkins 2019 supplement</t>
  </si>
  <si>
    <t>Costing method and Indonesia total</t>
  </si>
  <si>
    <t>Attached: inline-supplementary-material-1.pdf</t>
  </si>
  <si>
    <t>US$27.3m total Indonesia cost in 2016 USD, discounted 2015-2070; per-capita input still requires calibration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</si>
  <si>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</si>
  <si>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</si>
  <si>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</si>
  <si>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</si>
  <si>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</si>
  <si>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</si>
  <si>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</si>
  <si>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intervention-cause keys</t>
  </si>
  <si>
    <t>Each link key must appear once</t>
  </si>
  <si>
    <t>QA02</t>
  </si>
  <si>
    <t>Exposure rows with missing or bad inputs</t>
  </si>
  <si>
    <t>Indonesia baseline exposures are required</t>
  </si>
  <si>
    <t>QA03</t>
  </si>
  <si>
    <t>Policy lever rows with missing or bad inputs</t>
  </si>
  <si>
    <t>Tobacco tax share and TFA score remain missing</t>
  </si>
  <si>
    <t>QA04</t>
  </si>
  <si>
    <t>Effect rows requiring review</t>
  </si>
  <si>
    <t>Only remaining missing PAF or unresolved transitions should fail</t>
  </si>
  <si>
    <t>QA05</t>
  </si>
  <si>
    <t>Cost rows not ready for Indonesia</t>
  </si>
  <si>
    <t>All seven source unit costs require adjustment to Indonesia-specific values</t>
  </si>
  <si>
    <t>QA06</t>
  </si>
  <si>
    <t>Interventions without exactly one exposure row</t>
  </si>
  <si>
    <t>Seven interventions must map to seven exposure inputs</t>
  </si>
  <si>
    <t>QA07</t>
  </si>
  <si>
    <t>Links without exactly one effect row</t>
  </si>
  <si>
    <t>Twenty-eight links must map to twenty-eight effect rows</t>
  </si>
  <si>
    <t>QA08</t>
  </si>
  <si>
    <t>Links requiring cause expansion</t>
  </si>
  <si>
    <t>No mapped link should require unresolved cause expansion</t>
  </si>
  <si>
    <t>QA09</t>
  </si>
  <si>
    <t>Links with unresolved transition_from</t>
  </si>
  <si>
    <t>All mapped transitions should now be explicit well-to-sick</t>
  </si>
  <si>
    <t>QA10</t>
  </si>
  <si>
    <t>Effect rows missing a source</t>
  </si>
  <si>
    <t>Each effect row must cite a source</t>
  </si>
  <si>
    <t>QA11</t>
  </si>
  <si>
    <t>Tobacco/alcohol rows requiring a PAF</t>
  </si>
  <si>
    <t>The requested tobacco/alcohol direct mapping is PAF-independent</t>
  </si>
  <si>
    <t>QA12</t>
  </si>
  <si>
    <t>Separate links to IHD attributable to high blood glucose</t>
  </si>
  <si>
    <t>Avoid double counting with total IHD unless causes are mutually exclusive</t>
  </si>
  <si>
    <t>QA13</t>
  </si>
  <si>
    <t>SSB links not assigned well -&gt; sick</t>
  </si>
  <si>
    <t>All five SSB cause links must map to well-to-sick transitions</t>
  </si>
  <si>
    <t>QA14</t>
  </si>
  <si>
    <t>Sodium/TFA links not assigned well -&gt; sick</t>
  </si>
  <si>
    <t>User-directed sodium and TFA transition placement</t>
  </si>
  <si>
    <t>QA15</t>
  </si>
  <si>
    <t>SSB mapped-cause count differs from expected</t>
  </si>
  <si>
    <t>Expected SSB causes: IHD, ischemic stroke, ICH, HHD, and type 2 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</si>
</sst>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0.000"/>
    <numFmt numFmtId="167" formatCode="&quot;$&quot;#,##0.0000"/>
    <numFmt numFmtId="168" formatCode="0.0000"/>
    <numFmt numFmtId="169" formatCode="\$0.0000"/>
  </numFmts>
  <fonts count="20">
    <font>
      <sz val="11"/>
      <name val="Carlito"/>
    </font>
    <font>
      <b/>
      <sz val="20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b/>
      <sz val="16"/>
      <color rgb="FF1F4E78"/>
      <name val="Carlito"/>
    </font>
    <font>
      <b/>
      <sz val="11"/>
      <color rgb="FFFFFFFF"/>
      <name val="Carlito"/>
    </font>
    <font>
      <sz val="10"/>
      <name val="Carlito"/>
    </font>
    <font>
      <b/>
      <sz val="11"/>
      <color rgb="FF9C5700"/>
      <name val="Carlito"/>
    </font>
    <font>
      <i/>
      <sz val="9"/>
      <name val="Carlito"/>
    </font>
    <font>
      <sz val="9"/>
      <color rgb="FF1F1F1F"/>
      <name val="Carlito"/>
    </font>
    <font>
      <sz val="9"/>
      <name val="Carlito"/>
    </font>
    <font>
      <b/>
      <sz val="11"/>
      <color rgb="FF548235"/>
      <name val="Carlito"/>
    </font>
    <font>
      <sz val="11"/>
      <color rgb="FF1F1F1F"/>
      <name val="Carlito"/>
    </font>
    <font>
      <sz val="9"/>
      <color rgb="FF1F1F1F"/>
      <name val="Carlito"/>
    </font>
    <font>
      <sz val="11"/>
      <color rgb="FF1F1F1F"/>
      <name val="Carlito"/>
    </font>
    <font>
      <sz val="10"/>
      <color rgb="FF1F1F1F"/>
      <name val="Carlito"/>
    </font>
    <font>
      <sz val="10"/>
      <color rgb="FF1F1F1F"/>
      <name val="Carlito"/>
    </font>
    <font>
      <b/>
      <sz val="9"/>
      <color rgb="FFFFFFFF"/>
      <name val="Carlito"/>
    </font>
    <font>
      <sz val="9"/>
      <color rgb="FFFF0000"/>
      <name val="Carlito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0F6B78"/>
      </patternFill>
    </fill>
    <fill>
      <patternFill patternType="solid">
        <fgColor rgb="FFF3F6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0F6B78"/>
      </patternFill>
    </fill>
  </fills>
  <borders count="17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5" fillId="4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9" fillId="0" borderId="11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7" borderId="11" xfId="0" applyFont="1" applyFill="1" applyBorder="1" applyAlignment="1">
      <alignment vertical="top" wrapText="1"/>
    </xf>
    <xf numFmtId="0" fontId="9" fillId="7" borderId="16" xfId="0" applyFont="1" applyFill="1" applyBorder="1" applyAlignment="1">
      <alignment vertical="top" wrapText="1"/>
    </xf>
    <xf numFmtId="0" fontId="9" fillId="7" borderId="6" xfId="0" applyFont="1" applyFill="1" applyBorder="1" applyAlignment="1">
      <alignment vertical="top" wrapText="1"/>
    </xf>
    <xf numFmtId="164" fontId="9" fillId="7" borderId="16" xfId="0" applyNumberFormat="1" applyFont="1" applyFill="1" applyBorder="1" applyAlignment="1">
      <alignment vertical="top" wrapText="1"/>
    </xf>
    <xf numFmtId="164" fontId="9" fillId="0" borderId="16" xfId="0" applyNumberFormat="1" applyFont="1" applyBorder="1" applyAlignment="1">
      <alignment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0" borderId="11" xfId="0" applyFont="1" applyBorder="1" applyAlignment="1">
      <alignment horizontal="right" vertical="top" wrapText="1"/>
    </xf>
    <xf numFmtId="0" fontId="9" fillId="7" borderId="16" xfId="0" applyFont="1" applyFill="1" applyBorder="1" applyAlignment="1">
      <alignment horizontal="right" vertical="top" wrapText="1"/>
    </xf>
    <xf numFmtId="0" fontId="9" fillId="0" borderId="16" xfId="0" applyFont="1" applyBorder="1" applyAlignment="1">
      <alignment horizontal="right" vertical="top" wrapText="1"/>
    </xf>
    <xf numFmtId="164" fontId="9" fillId="7" borderId="16" xfId="0" applyNumberFormat="1" applyFont="1" applyFill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0" fontId="9" fillId="7" borderId="6" xfId="0" applyFont="1" applyFill="1" applyBorder="1" applyAlignment="1">
      <alignment horizontal="right" vertical="top" wrapText="1"/>
    </xf>
    <xf numFmtId="0" fontId="9" fillId="0" borderId="6" xfId="0" applyFont="1" applyBorder="1" applyAlignment="1">
      <alignment horizontal="right" vertical="top" wrapText="1"/>
    </xf>
    <xf numFmtId="0" fontId="5" fillId="2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9" fillId="9" borderId="11" xfId="0" applyFont="1" applyFill="1" applyBorder="1" applyAlignment="1">
      <alignment vertical="top" wrapText="1"/>
    </xf>
    <xf numFmtId="0" fontId="9" fillId="9" borderId="16" xfId="0" applyFont="1" applyFill="1" applyBorder="1" applyAlignment="1">
      <alignment vertical="top" wrapText="1"/>
    </xf>
    <xf numFmtId="0" fontId="9" fillId="9" borderId="6" xfId="0" applyFont="1" applyFill="1" applyBorder="1" applyAlignment="1">
      <alignment vertical="top" wrapText="1"/>
    </xf>
    <xf numFmtId="164" fontId="9" fillId="7" borderId="11" xfId="0" applyNumberFormat="1" applyFont="1" applyFill="1" applyBorder="1" applyAlignment="1">
      <alignment vertical="top" wrapText="1"/>
    </xf>
    <xf numFmtId="165" fontId="9" fillId="7" borderId="6" xfId="0" applyNumberFormat="1" applyFont="1" applyFill="1" applyBorder="1" applyAlignment="1">
      <alignment vertical="top" wrapText="1"/>
    </xf>
    <xf numFmtId="164" fontId="9" fillId="0" borderId="11" xfId="0" applyNumberFormat="1" applyFont="1" applyBorder="1" applyAlignment="1">
      <alignment vertical="top" wrapText="1"/>
    </xf>
    <xf numFmtId="164" fontId="9" fillId="9" borderId="11" xfId="0" applyNumberFormat="1" applyFont="1" applyFill="1" applyBorder="1" applyAlignment="1">
      <alignment vertical="top" wrapText="1"/>
    </xf>
    <xf numFmtId="164" fontId="9" fillId="9" borderId="16" xfId="0" applyNumberFormat="1" applyFont="1" applyFill="1" applyBorder="1" applyAlignment="1">
      <alignment vertical="top" wrapText="1"/>
    </xf>
    <xf numFmtId="164" fontId="9" fillId="0" borderId="6" xfId="0" applyNumberFormat="1" applyFont="1" applyBorder="1" applyAlignment="1">
      <alignment vertical="top" wrapText="1"/>
    </xf>
    <xf numFmtId="164" fontId="9" fillId="9" borderId="6" xfId="0" applyNumberFormat="1" applyFont="1" applyFill="1" applyBorder="1" applyAlignment="1">
      <alignment vertical="top" wrapText="1"/>
    </xf>
    <xf numFmtId="166" fontId="9" fillId="7" borderId="11" xfId="0" applyNumberFormat="1" applyFont="1" applyFill="1" applyBorder="1" applyAlignment="1">
      <alignment vertical="top" wrapText="1"/>
    </xf>
    <xf numFmtId="166" fontId="9" fillId="7" borderId="16" xfId="0" applyNumberFormat="1" applyFont="1" applyFill="1" applyBorder="1" applyAlignment="1">
      <alignment vertical="top" wrapText="1"/>
    </xf>
    <xf numFmtId="166" fontId="9" fillId="7" borderId="6" xfId="0" applyNumberFormat="1" applyFont="1" applyFill="1" applyBorder="1" applyAlignment="1">
      <alignment vertical="top" wrapText="1"/>
    </xf>
    <xf numFmtId="164" fontId="9" fillId="7" borderId="6" xfId="0" applyNumberFormat="1" applyFont="1" applyFill="1" applyBorder="1" applyAlignment="1">
      <alignment vertical="top" wrapText="1"/>
    </xf>
    <xf numFmtId="166" fontId="9" fillId="9" borderId="11" xfId="0" applyNumberFormat="1" applyFont="1" applyFill="1" applyBorder="1" applyAlignment="1">
      <alignment vertical="top" wrapText="1"/>
    </xf>
    <xf numFmtId="166" fontId="9" fillId="9" borderId="16" xfId="0" applyNumberFormat="1" applyFont="1" applyFill="1" applyBorder="1" applyAlignment="1">
      <alignment vertical="top" wrapText="1"/>
    </xf>
    <xf numFmtId="166" fontId="9" fillId="9" borderId="6" xfId="0" applyNumberFormat="1" applyFont="1" applyFill="1" applyBorder="1" applyAlignment="1">
      <alignment vertical="top" wrapText="1"/>
    </xf>
    <xf numFmtId="167" fontId="9" fillId="7" borderId="11" xfId="0" applyNumberFormat="1" applyFont="1" applyFill="1" applyBorder="1" applyAlignment="1">
      <alignment vertical="top" wrapText="1"/>
    </xf>
    <xf numFmtId="167" fontId="9" fillId="7" borderId="16" xfId="0" applyNumberFormat="1" applyFont="1" applyFill="1" applyBorder="1" applyAlignment="1">
      <alignment vertical="top" wrapText="1"/>
    </xf>
    <xf numFmtId="167" fontId="9" fillId="7" borderId="6" xfId="0" applyNumberFormat="1" applyFont="1" applyFill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164" fontId="6" fillId="0" borderId="11" xfId="0" applyNumberFormat="1" applyFont="1" applyBorder="1" applyAlignment="1">
      <alignment vertical="top" wrapText="1"/>
    </xf>
    <xf numFmtId="0" fontId="11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2" fillId="12" borderId="11" xfId="0" applyFont="1" applyFill="1" applyBorder="1" applyAlignment="1">
      <alignment wrapText="1"/>
    </xf>
    <xf numFmtId="0" fontId="12" fillId="13" borderId="11" xfId="0" applyFont="1" applyFill="1" applyBorder="1" applyAlignment="1">
      <alignment wrapText="1"/>
    </xf>
    <xf numFmtId="0" fontId="5" fillId="14" borderId="0" xfId="0" applyFont="1" applyFill="1" applyAlignment="1">
      <alignment wrapText="1"/>
    </xf>
    <xf numFmtId="0" fontId="5" fillId="14" borderId="13" xfId="0" applyFont="1" applyFill="1" applyBorder="1" applyAlignment="1">
      <alignment wrapText="1"/>
    </xf>
    <xf numFmtId="0" fontId="5" fillId="14" borderId="14" xfId="0" applyFont="1" applyFill="1" applyBorder="1" applyAlignment="1">
      <alignment wrapText="1"/>
    </xf>
    <xf numFmtId="0" fontId="5" fillId="14" borderId="15" xfId="0" applyFont="1" applyFill="1" applyBorder="1" applyAlignment="1">
      <alignment wrapText="1"/>
    </xf>
    <xf numFmtId="0" fontId="9" fillId="12" borderId="11" xfId="0" applyFont="1" applyFill="1" applyBorder="1" applyAlignment="1">
      <alignment vertical="top" wrapText="1"/>
    </xf>
    <xf numFmtId="0" fontId="9" fillId="13" borderId="11" xfId="0" applyFont="1" applyFill="1" applyBorder="1" applyAlignment="1">
      <alignment vertical="top" wrapText="1"/>
    </xf>
    <xf numFmtId="0" fontId="3" fillId="14" borderId="13" xfId="0" applyFont="1" applyFill="1" applyBorder="1" applyAlignment="1">
      <alignment vertical="center" wrapText="1"/>
    </xf>
    <xf numFmtId="0" fontId="3" fillId="14" borderId="14" xfId="0" applyFont="1" applyFill="1" applyBorder="1" applyAlignment="1">
      <alignment vertical="center" wrapText="1"/>
    </xf>
    <xf numFmtId="0" fontId="3" fillId="14" borderId="15" xfId="0" applyFont="1" applyFill="1" applyBorder="1" applyAlignment="1">
      <alignment vertical="center" wrapText="1"/>
    </xf>
    <xf numFmtId="0" fontId="13" fillId="12" borderId="11" xfId="0" applyFont="1" applyFill="1" applyBorder="1" applyAlignment="1">
      <alignment vertical="top" wrapText="1"/>
    </xf>
    <xf numFmtId="0" fontId="9" fillId="13" borderId="16" xfId="0" applyFont="1" applyFill="1" applyBorder="1" applyAlignment="1">
      <alignment vertical="top" wrapText="1"/>
    </xf>
    <xf numFmtId="0" fontId="13" fillId="13" borderId="16" xfId="0" applyFont="1" applyFill="1" applyBorder="1" applyAlignment="1">
      <alignment vertical="top" wrapText="1"/>
    </xf>
    <xf numFmtId="0" fontId="9" fillId="12" borderId="16" xfId="0" applyFont="1" applyFill="1" applyBorder="1" applyAlignment="1">
      <alignment vertical="top" wrapText="1"/>
    </xf>
    <xf numFmtId="0" fontId="13" fillId="12" borderId="16" xfId="0" applyFont="1" applyFill="1" applyBorder="1" applyAlignment="1">
      <alignment vertical="top" wrapText="1"/>
    </xf>
    <xf numFmtId="0" fontId="14" fillId="13" borderId="11" xfId="0" applyFont="1" applyFill="1" applyBorder="1" applyAlignment="1">
      <alignment wrapText="1"/>
    </xf>
    <xf numFmtId="0" fontId="14" fillId="12" borderId="11" xfId="0" applyFont="1" applyFill="1" applyBorder="1" applyAlignment="1">
      <alignment wrapText="1"/>
    </xf>
    <xf numFmtId="1" fontId="13" fillId="12" borderId="11" xfId="0" applyNumberFormat="1" applyFont="1" applyFill="1" applyBorder="1" applyAlignment="1">
      <alignment vertical="top" wrapText="1"/>
    </xf>
    <xf numFmtId="1" fontId="13" fillId="13" borderId="16" xfId="0" applyNumberFormat="1" applyFont="1" applyFill="1" applyBorder="1" applyAlignment="1">
      <alignment vertical="top" wrapText="1"/>
    </xf>
    <xf numFmtId="1" fontId="13" fillId="12" borderId="16" xfId="0" applyNumberFormat="1" applyFont="1" applyFill="1" applyBorder="1" applyAlignment="1">
      <alignment vertical="top" wrapText="1"/>
    </xf>
    <xf numFmtId="1" fontId="14" fillId="13" borderId="11" xfId="0" applyNumberFormat="1" applyFont="1" applyFill="1" applyBorder="1" applyAlignment="1">
      <alignment wrapText="1"/>
    </xf>
    <xf numFmtId="1" fontId="14" fillId="12" borderId="11" xfId="0" applyNumberFormat="1" applyFont="1" applyFill="1" applyBorder="1" applyAlignment="1">
      <alignment wrapText="1"/>
    </xf>
    <xf numFmtId="166" fontId="13" fillId="12" borderId="11" xfId="0" applyNumberFormat="1" applyFont="1" applyFill="1" applyBorder="1" applyAlignment="1">
      <alignment vertical="top" wrapText="1"/>
    </xf>
    <xf numFmtId="166" fontId="13" fillId="13" borderId="16" xfId="0" applyNumberFormat="1" applyFont="1" applyFill="1" applyBorder="1" applyAlignment="1">
      <alignment vertical="top" wrapText="1"/>
    </xf>
    <xf numFmtId="0" fontId="14" fillId="13" borderId="16" xfId="0" applyFont="1" applyFill="1" applyBorder="1" applyAlignment="1">
      <alignment wrapText="1"/>
    </xf>
    <xf numFmtId="166" fontId="13" fillId="12" borderId="16" xfId="0" applyNumberFormat="1" applyFont="1" applyFill="1" applyBorder="1" applyAlignment="1">
      <alignment vertical="top" wrapText="1"/>
    </xf>
    <xf numFmtId="0" fontId="14" fillId="12" borderId="16" xfId="0" applyFont="1" applyFill="1" applyBorder="1" applyAlignment="1">
      <alignment wrapText="1"/>
    </xf>
    <xf numFmtId="168" fontId="13" fillId="12" borderId="11" xfId="0" applyNumberFormat="1" applyFont="1" applyFill="1" applyBorder="1" applyAlignment="1">
      <alignment vertical="top" wrapText="1"/>
    </xf>
    <xf numFmtId="168" fontId="13" fillId="13" borderId="16" xfId="0" applyNumberFormat="1" applyFont="1" applyFill="1" applyBorder="1" applyAlignment="1">
      <alignment vertical="top" wrapText="1"/>
    </xf>
    <xf numFmtId="168" fontId="13" fillId="12" borderId="16" xfId="0" applyNumberFormat="1" applyFont="1" applyFill="1" applyBorder="1" applyAlignment="1">
      <alignment vertical="top" wrapText="1"/>
    </xf>
    <xf numFmtId="168" fontId="14" fillId="12" borderId="11" xfId="0" applyNumberFormat="1" applyFont="1" applyFill="1" applyBorder="1" applyAlignment="1">
      <alignment wrapText="1"/>
    </xf>
    <xf numFmtId="168" fontId="14" fillId="13" borderId="11" xfId="0" applyNumberFormat="1" applyFont="1" applyFill="1" applyBorder="1" applyAlignment="1">
      <alignment wrapText="1"/>
    </xf>
    <xf numFmtId="1" fontId="14" fillId="13" borderId="16" xfId="0" applyNumberFormat="1" applyFont="1" applyFill="1" applyBorder="1" applyAlignment="1">
      <alignment wrapText="1"/>
    </xf>
    <xf numFmtId="1" fontId="14" fillId="12" borderId="16" xfId="0" applyNumberFormat="1" applyFont="1" applyFill="1" applyBorder="1" applyAlignment="1">
      <alignment wrapText="1"/>
    </xf>
    <xf numFmtId="1" fontId="9" fillId="12" borderId="11" xfId="0" applyNumberFormat="1" applyFont="1" applyFill="1" applyBorder="1" applyAlignment="1">
      <alignment vertical="top" wrapText="1"/>
    </xf>
    <xf numFmtId="164" fontId="13" fillId="12" borderId="11" xfId="0" applyNumberFormat="1" applyFont="1" applyFill="1" applyBorder="1" applyAlignment="1">
      <alignment vertical="top" wrapText="1"/>
    </xf>
    <xf numFmtId="1" fontId="9" fillId="13" borderId="16" xfId="0" applyNumberFormat="1" applyFont="1" applyFill="1" applyBorder="1" applyAlignment="1">
      <alignment vertical="top" wrapText="1"/>
    </xf>
    <xf numFmtId="164" fontId="13" fillId="13" borderId="16" xfId="0" applyNumberFormat="1" applyFont="1" applyFill="1" applyBorder="1" applyAlignment="1">
      <alignment vertical="top" wrapText="1"/>
    </xf>
    <xf numFmtId="1" fontId="9" fillId="12" borderId="16" xfId="0" applyNumberFormat="1" applyFont="1" applyFill="1" applyBorder="1" applyAlignment="1">
      <alignment vertical="top" wrapText="1"/>
    </xf>
    <xf numFmtId="164" fontId="13" fillId="12" borderId="16" xfId="0" applyNumberFormat="1" applyFont="1" applyFill="1" applyBorder="1" applyAlignment="1">
      <alignment vertical="top" wrapText="1"/>
    </xf>
    <xf numFmtId="164" fontId="14" fillId="13" borderId="11" xfId="0" applyNumberFormat="1" applyFont="1" applyFill="1" applyBorder="1" applyAlignment="1">
      <alignment wrapText="1"/>
    </xf>
    <xf numFmtId="164" fontId="14" fillId="12" borderId="11" xfId="0" applyNumberFormat="1" applyFont="1" applyFill="1" applyBorder="1" applyAlignment="1">
      <alignment wrapText="1"/>
    </xf>
    <xf numFmtId="166" fontId="14" fillId="13" borderId="11" xfId="0" applyNumberFormat="1" applyFont="1" applyFill="1" applyBorder="1" applyAlignment="1">
      <alignment wrapText="1"/>
    </xf>
    <xf numFmtId="166" fontId="14" fillId="12" borderId="11" xfId="0" applyNumberFormat="1" applyFont="1" applyFill="1" applyBorder="1" applyAlignment="1">
      <alignment wrapText="1"/>
    </xf>
    <xf numFmtId="169" fontId="13" fillId="12" borderId="11" xfId="0" applyNumberFormat="1" applyFont="1" applyFill="1" applyBorder="1" applyAlignment="1">
      <alignment vertical="top" wrapText="1"/>
    </xf>
    <xf numFmtId="169" fontId="13" fillId="13" borderId="16" xfId="0" applyNumberFormat="1" applyFont="1" applyFill="1" applyBorder="1" applyAlignment="1">
      <alignment vertical="top" wrapText="1"/>
    </xf>
    <xf numFmtId="169" fontId="13" fillId="12" borderId="16" xfId="0" applyNumberFormat="1" applyFont="1" applyFill="1" applyBorder="1" applyAlignment="1">
      <alignment vertical="top" wrapText="1"/>
    </xf>
    <xf numFmtId="169" fontId="14" fillId="13" borderId="11" xfId="0" applyNumberFormat="1" applyFont="1" applyFill="1" applyBorder="1" applyAlignment="1">
      <alignment wrapText="1"/>
    </xf>
    <xf numFmtId="169" fontId="14" fillId="12" borderId="11" xfId="0" applyNumberFormat="1" applyFont="1" applyFill="1" applyBorder="1" applyAlignment="1">
      <alignment wrapText="1"/>
    </xf>
    <xf numFmtId="0" fontId="15" fillId="12" borderId="11" xfId="0" applyFont="1" applyFill="1" applyBorder="1" applyAlignment="1">
      <alignment vertical="top" wrapText="1"/>
    </xf>
    <xf numFmtId="0" fontId="15" fillId="13" borderId="16" xfId="0" applyFont="1" applyFill="1" applyBorder="1" applyAlignment="1">
      <alignment vertical="top" wrapText="1"/>
    </xf>
    <xf numFmtId="0" fontId="15" fillId="12" borderId="16" xfId="0" applyFont="1" applyFill="1" applyBorder="1" applyAlignment="1">
      <alignment vertical="top" wrapText="1"/>
    </xf>
    <xf numFmtId="0" fontId="3" fillId="15" borderId="16" xfId="0" applyFont="1" applyFill="1" applyBorder="1" applyAlignment="1">
      <alignment vertical="top" wrapText="1"/>
    </xf>
    <xf numFmtId="164" fontId="3" fillId="15" borderId="16" xfId="0" applyNumberFormat="1" applyFont="1" applyFill="1" applyBorder="1" applyAlignment="1">
      <alignment vertical="top" wrapText="1"/>
    </xf>
    <xf numFmtId="0" fontId="16" fillId="13" borderId="16" xfId="0" applyFont="1" applyFill="1" applyBorder="1" applyAlignment="1">
      <alignment vertical="top" wrapText="1"/>
    </xf>
    <xf numFmtId="164" fontId="16" fillId="13" borderId="16" xfId="0" applyNumberFormat="1" applyFont="1" applyFill="1" applyBorder="1" applyAlignment="1">
      <alignment vertical="top" wrapText="1"/>
    </xf>
    <xf numFmtId="0" fontId="16" fillId="12" borderId="16" xfId="0" applyFont="1" applyFill="1" applyBorder="1" applyAlignment="1">
      <alignment vertical="top" wrapText="1"/>
    </xf>
    <xf numFmtId="164" fontId="16" fillId="12" borderId="16" xfId="0" applyNumberFormat="1" applyFont="1" applyFill="1" applyBorder="1" applyAlignment="1">
      <alignment vertical="top" wrapText="1"/>
    </xf>
    <xf numFmtId="164" fontId="12" fillId="12" borderId="11" xfId="0" applyNumberFormat="1" applyFont="1" applyFill="1" applyBorder="1" applyAlignment="1">
      <alignment wrapText="1"/>
    </xf>
    <xf numFmtId="164" fontId="12" fillId="13" borderId="11" xfId="0" applyNumberFormat="1" applyFont="1" applyFill="1" applyBorder="1" applyAlignment="1">
      <alignment wrapText="1"/>
    </xf>
    <xf numFmtId="0" fontId="15" fillId="12" borderId="11" xfId="0" applyFont="1" applyFill="1" applyBorder="1" applyAlignment="1">
      <alignment vertical="center" wrapText="1"/>
    </xf>
    <xf numFmtId="0" fontId="15" fillId="13" borderId="11" xfId="0" applyFont="1" applyFill="1" applyBorder="1" applyAlignment="1">
      <alignment vertical="center" wrapText="1"/>
    </xf>
    <xf numFmtId="1" fontId="15" fillId="12" borderId="11" xfId="0" applyNumberFormat="1" applyFont="1" applyFill="1" applyBorder="1" applyAlignment="1">
      <alignment vertical="center" wrapText="1"/>
    </xf>
    <xf numFmtId="1" fontId="15" fillId="13" borderId="1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2" borderId="0" xfId="0" applyFont="1" applyFill="1"/>
    <xf numFmtId="0" fontId="6" fillId="6" borderId="5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vertical="center" wrapText="1"/>
    </xf>
    <xf numFmtId="0" fontId="6" fillId="6" borderId="12" xfId="0" applyFont="1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8" fillId="8" borderId="0" xfId="0" applyFont="1" applyFill="1" applyAlignment="1">
      <alignment horizontal="center"/>
    </xf>
    <xf numFmtId="0" fontId="17" fillId="2" borderId="13" xfId="0" applyFont="1" applyFill="1" applyBorder="1" applyAlignment="1">
      <alignment vertical="center" wrapText="1"/>
    </xf>
    <xf numFmtId="0" fontId="17" fillId="2" borderId="14" xfId="0" applyFont="1" applyFill="1" applyBorder="1" applyAlignment="1">
      <alignment vertical="center" wrapText="1"/>
    </xf>
    <xf numFmtId="0" fontId="17" fillId="2" borderId="15" xfId="0" applyFont="1" applyFill="1" applyBorder="1" applyAlignment="1">
      <alignment vertical="center" wrapText="1"/>
    </xf>
    <xf numFmtId="0" fontId="9" fillId="12" borderId="11" xfId="0" applyFont="1" applyFill="1" applyBorder="1" applyAlignment="1">
      <alignment wrapText="1"/>
    </xf>
    <xf numFmtId="168" fontId="9" fillId="12" borderId="11" xfId="0" applyNumberFormat="1" applyFont="1" applyFill="1" applyBorder="1" applyAlignment="1">
      <alignment wrapText="1"/>
    </xf>
    <xf numFmtId="0" fontId="9" fillId="13" borderId="11" xfId="0" applyFont="1" applyFill="1" applyBorder="1" applyAlignment="1">
      <alignment wrapText="1"/>
    </xf>
    <xf numFmtId="168" fontId="9" fillId="13" borderId="11" xfId="0" applyNumberFormat="1" applyFont="1" applyFill="1" applyBorder="1" applyAlignment="1">
      <alignment wrapText="1"/>
    </xf>
    <xf numFmtId="164" fontId="10" fillId="0" borderId="0" xfId="0" applyNumberFormat="1" applyFont="1"/>
    <xf numFmtId="166" fontId="10" fillId="0" borderId="0" xfId="0" applyNumberFormat="1" applyFont="1"/>
    <xf numFmtId="2" fontId="10" fillId="0" borderId="0" xfId="0" applyNumberFormat="1" applyFont="1"/>
    <xf numFmtId="0" fontId="17" fillId="14" borderId="13" xfId="0" applyFont="1" applyFill="1" applyBorder="1" applyAlignment="1">
      <alignment vertical="center" wrapText="1"/>
    </xf>
    <xf numFmtId="0" fontId="17" fillId="14" borderId="14" xfId="0" applyFont="1" applyFill="1" applyBorder="1" applyAlignment="1">
      <alignment vertical="center" wrapText="1"/>
    </xf>
    <xf numFmtId="0" fontId="17" fillId="14" borderId="15" xfId="0" applyFont="1" applyFill="1" applyBorder="1" applyAlignment="1">
      <alignment vertical="center" wrapText="1"/>
    </xf>
    <xf numFmtId="1" fontId="9" fillId="13" borderId="11" xfId="0" applyNumberFormat="1" applyFont="1" applyFill="1" applyBorder="1" applyAlignment="1">
      <alignment wrapText="1"/>
    </xf>
    <xf numFmtId="1" fontId="9" fillId="12" borderId="11" xfId="0" applyNumberFormat="1" applyFont="1" applyFill="1" applyBorder="1" applyAlignment="1">
      <alignment wrapText="1"/>
    </xf>
    <xf numFmtId="164" fontId="18" fillId="7" borderId="11" xfId="0" applyNumberFormat="1" applyFont="1" applyFill="1" applyBorder="1" applyAlignment="1">
      <alignment vertical="top" wrapText="1"/>
    </xf>
    <xf numFmtId="165" fontId="18" fillId="7" borderId="6" xfId="0" applyNumberFormat="1" applyFont="1" applyFill="1" applyBorder="1" applyAlignment="1">
      <alignment vertical="top" wrapText="1"/>
    </xf>
    <xf numFmtId="164" fontId="18" fillId="7" borderId="16" xfId="0" applyNumberFormat="1" applyFont="1" applyFill="1" applyBorder="1" applyAlignment="1">
      <alignment vertical="top" wrapText="1"/>
    </xf>
  </cellXfs>
  <cellStyles count="1">
    <cellStyle name="Normal" xfId="0" builtinId="0"/>
  </cellStyles>
  <dxfs count="80">
    <dxf>
      <font>
        <color rgb="FF9C0006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609600</xdr:colOff>
      <xdr:row>33</xdr:row>
      <xdr:rowOff>7620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45AE7665-C273-7FE1-8FE4-EB4F4B7DF40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609600</xdr:colOff>
      <xdr:row>37</xdr:row>
      <xdr:rowOff>167640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F06FCC52-96C8-3097-36FA-74BD786C26D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001205CE-7D29-43FD-B0A7-B5F57089450A}" userId="" providerId=""/>
  <person displayName="William R Garcia" id="{19081675-B2D4-47D1-B6D9-B96671D867FC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ssumptionsTable" displayName="PHAssumptionsTable" ref="A1:H17" totalsRowShown="0" headerRowDxfId="71" dataDxfId="70">
  <tableColumns count="8">
    <tableColumn id="1" xr3:uid="{00000000-0010-0000-0000-000001000000}" name="parameter_id" dataDxfId="79"/>
    <tableColumn id="2" xr3:uid="{00000000-0010-0000-0000-000002000000}" name="value" dataDxfId="78"/>
    <tableColumn id="3" xr3:uid="{00000000-0010-0000-0000-000003000000}" name="unit" dataDxfId="77"/>
    <tableColumn id="4" xr3:uid="{00000000-0010-0000-0000-000004000000}" name="base_case" dataDxfId="76"/>
    <tableColumn id="5" xr3:uid="{00000000-0010-0000-0000-000005000000}" name="lower_bound" dataDxfId="75"/>
    <tableColumn id="6" xr3:uid="{00000000-0010-0000-0000-000006000000}" name="upper_bound" dataDxfId="74"/>
    <tableColumn id="7" xr3:uid="{00000000-0010-0000-0000-000007000000}" name="description" dataDxfId="73"/>
    <tableColumn id="8" xr3:uid="{00000000-0010-0000-0000-000008000000}" name="source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InterventionDictionary" displayName="PHInterventionDictionary" ref="A1:D7" totalsRowShown="0">
  <tableColumns count="4">
    <tableColumn id="1" xr3:uid="{00000000-0010-0000-0100-000001000000}" name="intervention_id"/>
    <tableColumn id="2" xr3:uid="{00000000-0010-0000-0100-000002000000}" name="intervention_name"/>
    <tableColumn id="3" xr3:uid="{00000000-0010-0000-0100-000003000000}" name="package_group"/>
    <tableColumn id="4" xr3:uid="{00000000-0010-0000-0100-000004000000}" name="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Dictionary" displayName="RiskDictionary" ref="F1:I5" totalsRowShown="0">
  <tableColumns count="4">
    <tableColumn id="1" xr3:uid="{00000000-0010-0000-0200-000001000000}" name="risk_id"/>
    <tableColumn id="2" xr3:uid="{00000000-0010-0000-0200-000002000000}" name="risk_name"/>
    <tableColumn id="3" xr3:uid="{00000000-0010-0000-0200-000003000000}" name="exposure_measure"/>
    <tableColumn id="4" xr3:uid="{00000000-0010-0000-0200-000004000000}" name="exposure_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CauseDictionary" displayName="PHCauseDictionary" ref="K1:N8" totalsRowShown="0">
  <tableColumns count="4">
    <tableColumn id="1" xr3:uid="{00000000-0010-0000-0300-000001000000}" name="cause_id"/>
    <tableColumn id="2" xr3:uid="{00000000-0010-0000-0300-000002000000}" name="cause_name"/>
    <tableColumn id="3" xr3:uid="{00000000-0010-0000-0300-000003000000}" name="model_name"/>
    <tableColumn id="4" xr3:uid="{00000000-0010-0000-0300-000004000000}" name="is_model_ca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HInterventionCauseMap" displayName="PHInterventionCauseMap" ref="A1:Q10" totalsRowShown="0" headerRowDxfId="52" dataDxfId="51">
  <tableColumns count="17">
    <tableColumn id="1" xr3:uid="{00000000-0010-0000-0400-000001000000}" name="intervention_cause_key" dataDxfId="69"/>
    <tableColumn id="2" xr3:uid="{00000000-0010-0000-0400-000002000000}" name="intervention_id" dataDxfId="68"/>
    <tableColumn id="3" xr3:uid="{00000000-0010-0000-0400-000003000000}" name="risk_id" dataDxfId="67"/>
    <tableColumn id="4" xr3:uid="{00000000-0010-0000-0400-000004000000}" name="intervention_name" dataDxfId="66"/>
    <tableColumn id="5" xr3:uid="{00000000-0010-0000-0400-000005000000}" name="risk_name" dataDxfId="65"/>
    <tableColumn id="6" xr3:uid="{00000000-0010-0000-0400-000006000000}" name="cause_id" dataDxfId="64"/>
    <tableColumn id="7" xr3:uid="{00000000-0010-0000-0400-000007000000}" name="cause_name" dataDxfId="63"/>
    <tableColumn id="8" xr3:uid="{00000000-0010-0000-0400-000008000000}" name="effect_key" dataDxfId="62"/>
    <tableColumn id="9" xr3:uid="{00000000-0010-0000-0400-000009000000}" name="exposure_key" dataDxfId="61"/>
    <tableColumn id="10" xr3:uid="{00000000-0010-0000-0400-00000A000000}" name="cost_join_key" dataDxfId="60"/>
    <tableColumn id="11" xr3:uid="{00000000-0010-0000-0400-00000B000000}" name="cost_scope" dataDxfId="59"/>
    <tableColumn id="12" xr3:uid="{00000000-0010-0000-0400-00000C000000}" name="transition_from" dataDxfId="58"/>
    <tableColumn id="13" xr3:uid="{00000000-0010-0000-0400-00000D000000}" name="transition_to" dataDxfId="57"/>
    <tableColumn id="14" xr3:uid="{00000000-0010-0000-0400-00000E000000}" name="include_flag" dataDxfId="56"/>
    <tableColumn id="15" xr3:uid="{00000000-0010-0000-0400-00000F000000}" name="requires_cause_expansion" dataDxfId="55"/>
    <tableColumn id="16" xr3:uid="{00000000-0010-0000-0400-000010000000}" name="notes" dataDxfId="54"/>
    <tableColumn id="17" xr3:uid="{00000000-0010-0000-0400-000011000000}" name="duplicate_count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olicyLeversTable" displayName="PolicyLeversTable" ref="A1:O12" totalsRowShown="0">
  <tableColumns count="15">
    <tableColumn id="1" xr3:uid="{00000000-0010-0000-0500-000001000000}" name="lever_id"/>
    <tableColumn id="2" xr3:uid="{00000000-0010-0000-0500-000002000000}" name="intervention_id"/>
    <tableColumn id="3" xr3:uid="{00000000-0010-0000-0500-000003000000}" name="intervention_name"/>
    <tableColumn id="4" xr3:uid="{00000000-0010-0000-0500-000004000000}" name="component"/>
    <tableColumn id="5" xr3:uid="{00000000-0010-0000-0500-000005000000}" name="lever_method"/>
    <tableColumn id="6" xr3:uid="{00000000-0010-0000-0500-000006000000}" name="baseline_value"/>
    <tableColumn id="7" xr3:uid="{00000000-0010-0000-0500-000007000000}" name="target_value"/>
    <tableColumn id="8" xr3:uid="{00000000-0010-0000-0500-000008000000}" name="lever_unit"/>
    <tableColumn id="9" xr3:uid="{00000000-0010-0000-0500-000009000000}" name="effect_parameter"/>
    <tableColumn id="10" xr3:uid="{00000000-0010-0000-0500-00000A000000}" name="effect_parameter_unit"/>
    <tableColumn id="11" xr3:uid="{00000000-0010-0000-0500-00000B000000}" name="estimated_risk_reduction"/>
    <tableColumn id="12" xr3:uid="{00000000-0010-0000-0500-00000C000000}" name="source"/>
    <tableColumn id="13" xr3:uid="{00000000-0010-0000-0500-00000D000000}" name="review_status"/>
    <tableColumn id="14" xr3:uid="{00000000-0010-0000-0500-00000E000000}" name="notes"/>
    <tableColumn id="15" xr3:uid="{00000000-0010-0000-0500-00000F000000}" name="q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posureTargetsTable" displayName="ExposureTargetsTable" ref="A1:U7" totalsRowShown="0">
  <tableColumns count="21">
    <tableColumn id="1" xr3:uid="{00000000-0010-0000-0600-000001000000}" name="exposure_input_id"/>
    <tableColumn id="2" xr3:uid="{00000000-0010-0000-0600-000002000000}" name="intervention_id"/>
    <tableColumn id="3" xr3:uid="{00000000-0010-0000-0600-000003000000}" name="risk_id"/>
    <tableColumn id="4" xr3:uid="{00000000-0010-0000-0600-000004000000}" name="intervention_name"/>
    <tableColumn id="5" xr3:uid="{00000000-0010-0000-0600-000005000000}" name="risk_exposure_measure"/>
    <tableColumn id="6" xr3:uid="{00000000-0010-0000-0600-000006000000}" name="exposure_unit"/>
    <tableColumn id="7" xr3:uid="{00000000-0010-0000-0600-000007000000}" name="baseline_exposure"/>
    <tableColumn id="8" xr3:uid="{00000000-0010-0000-0600-000008000000}" name="reduction_method"/>
    <tableColumn id="9" xr3:uid="{00000000-0010-0000-0600-000009000000}" name="desired_reduction_override"/>
    <tableColumn id="10" xr3:uid="{00000000-0010-0000-0600-00000A000000}" name="recommended_reduction_or_target"/>
    <tableColumn id="11" xr3:uid="{00000000-0010-0000-0600-00000B000000}" name="applied_reduction_or_target"/>
    <tableColumn id="12" xr3:uid="{00000000-0010-0000-0600-00000C000000}" name="exposure_floor"/>
    <tableColumn id="13" xr3:uid="{00000000-0010-0000-0600-00000D000000}" name="target_exposure"/>
    <tableColumn id="14" xr3:uid="{00000000-0010-0000-0600-00000E000000}" name="absolute_reduction"/>
    <tableColumn id="15" xr3:uid="{00000000-0010-0000-0600-00000F000000}" name="relative_reduction"/>
    <tableColumn id="16" xr3:uid="{00000000-0010-0000-0600-000010000000}" name="start_year"/>
    <tableColumn id="17" xr3:uid="{00000000-0010-0000-0600-000011000000}" name="target_year"/>
    <tableColumn id="18" xr3:uid="{00000000-0010-0000-0600-000012000000}" name="scale_up_shape"/>
    <tableColumn id="19" xr3:uid="{00000000-0010-0000-0600-000013000000}" name="source"/>
    <tableColumn id="20" xr3:uid="{00000000-0010-0000-0600-000014000000}" name="review_status"/>
    <tableColumn id="21" xr3:uid="{00000000-0010-0000-0600-000015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HEffectParametersTable" displayName="PHEffectParametersTable" ref="A1:W10" totalsRowShown="0">
  <tableColumns count="23">
    <tableColumn id="1" xr3:uid="{00000000-0010-0000-0700-000001000000}" name="effect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risk_id"/>
    <tableColumn id="5" xr3:uid="{00000000-0010-0000-0700-000005000000}" name="cause_id"/>
    <tableColumn id="6" xr3:uid="{00000000-0010-0000-0700-000006000000}" name="effect_model"/>
    <tableColumn id="7" xr3:uid="{00000000-0010-0000-0700-000007000000}" name="response_key"/>
    <tableColumn id="8" xr3:uid="{00000000-0010-0000-0700-000008000000}" name="response_parameter"/>
    <tableColumn id="9" xr3:uid="{00000000-0010-0000-0700-000009000000}" name="response_value"/>
    <tableColumn id="10" xr3:uid="{00000000-0010-0000-0700-00000A000000}" name="response_unit"/>
    <tableColumn id="11" xr3:uid="{00000000-0010-0000-0700-00000B000000}" name="paf_value"/>
    <tableColumn id="12" xr3:uid="{00000000-0010-0000-0700-00000C000000}" name="paf_required_flag"/>
    <tableColumn id="13" xr3:uid="{00000000-0010-0000-0700-00000D000000}" name="paf_threshold"/>
    <tableColumn id="14" xr3:uid="{00000000-0010-0000-0700-00000E000000}" name="lag_model"/>
    <tableColumn id="15" xr3:uid="{00000000-0010-0000-0700-00000F000000}" name="lag_parameter"/>
    <tableColumn id="16" xr3:uid="{00000000-0010-0000-0700-000010000000}" name="transition_from"/>
    <tableColumn id="17" xr3:uid="{00000000-0010-0000-0700-000011000000}" name="transition_to"/>
    <tableColumn id="18" xr3:uid="{00000000-0010-0000-0700-000012000000}" name="source_file"/>
    <tableColumn id="19" xr3:uid="{00000000-0010-0000-0700-000013000000}" name="source_location"/>
    <tableColumn id="20" xr3:uid="{00000000-0010-0000-0700-000014000000}" name="review_status"/>
    <tableColumn id="21" xr3:uid="{00000000-0010-0000-0700-000015000000}" name="notes"/>
    <tableColumn id="22" xr3:uid="{00000000-0010-0000-0700-000016000000}" name="map_match_count"/>
    <tableColumn id="23" xr3:uid="{00000000-0010-0000-0700-000017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iskResponseTable" displayName="RiskResponseTable" ref="A1:M7" totalsRowShown="0">
  <tableColumns count="13">
    <tableColumn id="1" xr3:uid="{00000000-0010-0000-0800-000001000000}" name="response_key"/>
    <tableColumn id="2" xr3:uid="{00000000-0010-0000-0800-000002000000}" name="risk_id"/>
    <tableColumn id="3" xr3:uid="{00000000-0010-0000-0800-000003000000}" name="selection_status"/>
    <tableColumn id="4" xr3:uid="{00000000-0010-0000-0800-000004000000}" name="response_name"/>
    <tableColumn id="5" xr3:uid="{00000000-0010-0000-0800-000005000000}" name="age_start"/>
    <tableColumn id="6" xr3:uid="{00000000-0010-0000-0800-000006000000}" name="age_stop"/>
    <tableColumn id="7" xr3:uid="{00000000-0010-0000-0800-000007000000}" name="sex"/>
    <tableColumn id="8" xr3:uid="{00000000-0010-0000-0800-000008000000}" name="cause_scope"/>
    <tableColumn id="9" xr3:uid="{00000000-0010-0000-0800-000009000000}" name="response_value"/>
    <tableColumn id="10" xr3:uid="{00000000-0010-0000-0800-00000A000000}" name="response_unit"/>
    <tableColumn id="11" xr3:uid="{00000000-0010-0000-0800-00000B000000}" name="source"/>
    <tableColumn id="12" xr3:uid="{00000000-0010-0000-0800-00000C000000}" name="selected_for_base_case"/>
    <tableColumn id="13" xr3:uid="{00000000-0010-0000-0800-00000D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HModelInputViewTable" displayName="PHModelInputViewTable" ref="A1:S10" totalsRowShown="0">
  <tableColumns count="19">
    <tableColumn id="1" xr3:uid="{00000000-0010-0000-0A00-000001000000}" name="intervention_cause_key"/>
    <tableColumn id="2" xr3:uid="{00000000-0010-0000-0A00-000002000000}" name="intervention_name"/>
    <tableColumn id="3" xr3:uid="{00000000-0010-0000-0A00-000003000000}" name="risk_name"/>
    <tableColumn id="4" xr3:uid="{00000000-0010-0000-0A00-000004000000}" name="cause_name"/>
    <tableColumn id="5" xr3:uid="{00000000-0010-0000-0A00-000005000000}" name="transition_from"/>
    <tableColumn id="6" xr3:uid="{00000000-0010-0000-0A00-000006000000}" name="transition_to"/>
    <tableColumn id="7" xr3:uid="{00000000-0010-0000-0A00-000007000000}" name="baseline_exposure"/>
    <tableColumn id="8" xr3:uid="{00000000-0010-0000-0A00-000008000000}" name="target_exposure"/>
    <tableColumn id="9" xr3:uid="{00000000-0010-0000-0A00-000009000000}" name="absolute_reduction"/>
    <tableColumn id="10" xr3:uid="{00000000-0010-0000-0A00-00000A000000}" name="relative_reduction"/>
    <tableColumn id="11" xr3:uid="{00000000-0010-0000-0A00-00000B000000}" name="effect_model"/>
    <tableColumn id="12" xr3:uid="{00000000-0010-0000-0A00-00000C000000}" name="response_value"/>
    <tableColumn id="13" xr3:uid="{00000000-0010-0000-0A00-00000D000000}" name="paf_value"/>
    <tableColumn id="14" xr3:uid="{00000000-0010-0000-0A00-00000E000000}" name="lag_model"/>
    <tableColumn id="15" xr3:uid="{00000000-0010-0000-0A00-00000F000000}" name="illustrative_full_effect"/>
    <tableColumn id="16" xr3:uid="{00000000-0010-0000-0A00-000010000000}" name="cost_join_key"/>
    <tableColumn id="17" xr3:uid="{00000000-0010-0000-0A00-000011000000}" name="cost_scope"/>
    <tableColumn id="18" xr3:uid="{00000000-0010-0000-0A00-000012000000}" name="selected_policy_cost_usd_per_capita"/>
    <tableColumn id="19" xr3:uid="{00000000-0010-0000-0A00-000013000000}" name="review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HCostComponentsTable" displayName="PHCostComponentsTable" ref="A1:AC7" totalsRowShown="0">
  <tableColumns count="29">
    <tableColumn id="1" xr3:uid="{00000000-0010-0000-0900-000001000000}" name="cost_record_id"/>
    <tableColumn id="2" xr3:uid="{00000000-0010-0000-0900-000002000000}" name="cost_component_key"/>
    <tableColumn id="3" xr3:uid="{00000000-0010-0000-0900-000003000000}" name="cost_option"/>
    <tableColumn id="4" xr3:uid="{00000000-0010-0000-0900-000004000000}" name="selected_for_base_case"/>
    <tableColumn id="5" xr3:uid="{00000000-0010-0000-0900-000005000000}" name="intervention_id"/>
    <tableColumn id="6" xr3:uid="{00000000-0010-0000-0900-000006000000}" name="cause_id"/>
    <tableColumn id="7" xr3:uid="{00000000-0010-0000-0900-000007000000}" name="cost_join_key"/>
    <tableColumn id="8" xr3:uid="{00000000-0010-0000-0900-000008000000}" name="intervention_name"/>
    <tableColumn id="9" xr3:uid="{00000000-0010-0000-0900-000009000000}" name="cause_name"/>
    <tableColumn id="10" xr3:uid="{00000000-0010-0000-0900-00000A000000}" name="cost_component"/>
    <tableColumn id="11" xr3:uid="{00000000-0010-0000-0900-00000B000000}" name="population_in_need_measure"/>
    <tableColumn id="12" xr3:uid="{00000000-0010-0000-0900-00000C000000}" name="population_in_need_fraction"/>
    <tableColumn id="13" xr3:uid="{00000000-0010-0000-0900-00000D000000}" name="cost_unit"/>
    <tableColumn id="14" xr3:uid="{00000000-0010-0000-0900-00000E000000}" name="frequency_per_year"/>
    <tableColumn id="15" xr3:uid="{00000000-0010-0000-0900-00000F000000}" name="age_start"/>
    <tableColumn id="16" xr3:uid="{00000000-0010-0000-0900-000010000000}" name="age_stop"/>
    <tableColumn id="17" xr3:uid="{00000000-0010-0000-0900-000011000000}" name="sex"/>
    <tableColumn id="18" xr3:uid="{00000000-0010-0000-0900-000012000000}" name="platform"/>
    <tableColumn id="19" xr3:uid="{00000000-0010-0000-0900-000013000000}" name="unit_cost_usd"/>
    <tableColumn id="20" xr3:uid="{00000000-0010-0000-0900-000014000000}" name="price_year"/>
    <tableColumn id="21" xr3:uid="{00000000-0010-0000-0900-000015000000}" name="indonesia_adjusted_flag"/>
    <tableColumn id="22" xr3:uid="{00000000-0010-0000-0900-000016000000}" name="source_country"/>
    <tableColumn id="23" xr3:uid="{00000000-0010-0000-0900-000017000000}" name="source_file"/>
    <tableColumn id="24" xr3:uid="{00000000-0010-0000-0900-000018000000}" name="source_row"/>
    <tableColumn id="25" xr3:uid="{00000000-0010-0000-0900-000019000000}" name="review_status"/>
    <tableColumn id="26" xr3:uid="{00000000-0010-0000-0900-00001A000000}" name="notes"/>
    <tableColumn id="27" xr3:uid="{00000000-0010-0000-0900-00001B000000}" name="map_match_count"/>
    <tableColumn id="28" xr3:uid="{00000000-0010-0000-0900-00001C000000}" name="selection_count"/>
    <tableColumn id="29" xr3:uid="{00000000-0010-0000-0900-00001D000000}" name="qa_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untdownMethodsTable" displayName="CountdownMethodsTable" ref="A1:F15" totalsRowShown="0">
  <tableColumns count="6">
    <tableColumn id="1" xr3:uid="{00000000-0010-0000-0B00-000001000000}" name="method_id"/>
    <tableColumn id="2" xr3:uid="{00000000-0010-0000-0B00-000002000000}" name="concept"/>
    <tableColumn id="3" xr3:uid="{00000000-0010-0000-0B00-000003000000}" name="formula_or_rule"/>
    <tableColumn id="4" xr3:uid="{00000000-0010-0000-0B00-000004000000}" name="implemented_in"/>
    <tableColumn id="5" xr3:uid="{00000000-0010-0000-0B00-000005000000}" name="linkage_key"/>
    <tableColumn id="6" xr3:uid="{00000000-0010-0000-0B00-000006000000}" name="Indonesia interpre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HScopeTable" displayName="PHScopeTable" ref="A1:D9" totalsRowShown="0">
  <tableColumns count="4">
    <tableColumn id="1" xr3:uid="{00000000-0010-0000-0C00-000001000000}" name="item"/>
    <tableColumn id="2" xr3:uid="{00000000-0010-0000-0C00-000002000000}" name="decision"/>
    <tableColumn id="3" xr3:uid="{00000000-0010-0000-0C00-000003000000}" name="reason"/>
    <tableColumn id="4" xr3:uid="{00000000-0010-0000-0C00-000004000000}" name="domai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HSourceLogTable" displayName="PHSourceLogTable" ref="F1:I6" totalsRowShown="0">
  <tableColumns count="4">
    <tableColumn id="1" xr3:uid="{00000000-0010-0000-0D00-000001000000}" name="source"/>
    <tableColumn id="2" xr3:uid="{00000000-0010-0000-0D00-000002000000}" name="use"/>
    <tableColumn id="3" xr3:uid="{00000000-0010-0000-0D00-000003000000}" name="location"/>
    <tableColumn id="4" xr3:uid="{00000000-0010-0000-0D00-000004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HQAChecksTable" displayName="PHQAChecksTable" ref="A1:F11" totalsRowShown="0">
  <tableColumns count="6">
    <tableColumn id="1" xr3:uid="{00000000-0010-0000-0E00-000001000000}" name="check_id"/>
    <tableColumn id="2" xr3:uid="{00000000-0010-0000-0E00-000002000000}" name="check"/>
    <tableColumn id="3" xr3:uid="{00000000-0010-0000-0E00-000003000000}" name="expected"/>
    <tableColumn id="4" xr3:uid="{00000000-0010-0000-0E00-000004000000}" name="actual"/>
    <tableColumn id="5" xr3:uid="{00000000-0010-0000-0E00-000005000000}" name="status"/>
    <tableColumn id="6" xr3:uid="{00000000-0010-0000-0E00-000006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6-08-18T17:37:40.93" personId="{001205CE-7D29-43FD-B0A7-B5F57089450A}" id="{741FDEB1-B837-1234-EA36-F9470BFD0A5F}">
    <text>Base case: 20% retail-price increase. Watkins 2019 used a 20% SSB excise-tax scenario; WHO 2024 strongly recommends SSB taxation.</text>
  </threadedComment>
  <threadedComment ref="B21" dT="2026-08-18T17:37:40.93" personId="{001205CE-7D29-43FD-B0A7-B5F57089450A}" id="{1EF2C165-1FE1-463C-22FA-EF1CAF63D267}">
    <text>Derived from Widarjono et al. 2023: 20% higher prices produced a mean 17.5% demand reduction in Indonesia. The direct ratio implies -0.875 elasticity.</text>
  </threadedComment>
  <threadedComment ref="B22" dT="2026-08-18T17:37:40.93" personId="{001205CE-7D29-43FD-B0A7-B5F57089450A}" id="{616DA987-0B7D-A3E3-7FE7-8DCB0EFFABF5}">
    <text>Andreyeva et al. 2022 pooled implemented taxes: 82% pass-through (95% CI 66%-98%). Retained as a sensitivity/reference parameter.</text>
  </threadedComment>
  <threadedComment ref="B23" dT="2026-08-18T17:37:40.93" personId="{001205CE-7D29-43FD-B0A7-B5F57089450A}" id="{5A212E21-C557-1524-AA5B-4F13F1BB2CED}">
    <text>Andreyeva et al. 2022 pooled sales elasticity: -1.59 (95% CI -2.11 to -1.08). Retained as a global sensitivity parameter.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3" dT="2026-08-18T18:01:09.23" personId="{19081675-B2D4-47D1-B6D9-B96671D867FC}" id="{EB2DA3DB-5898-4E34-A8D2-948FF2B320DF}">
    <text>Set baseline levels to mute alcohol policies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8" dT="2026-08-18T16:58:15.57" personId="{001205CE-7D29-43FD-B0A7-B5F57089450A}" id="{2B915D47-F389-5396-BCD1-D2DA471CC9B2}">
    <text>Lara-Castor et al. 2025 Supplementary Table 4 reports Indonesia adult mean SSB intake of 0.8 (95% UI 0.6-1.1) 8-oz servings/week in 2020. Workbook unit is servings/day, so baseline = 0.8/7.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opLeftCell="A6" workbookViewId="0">
      <selection activeCell="B10" sqref="B10:H10"/>
    </sheetView>
  </sheetViews>
  <sheetFormatPr defaultRowHeight="13.8"/>
  <cols>
    <col min="1" max="1" width="10" customWidth="1"/>
    <col min="2" max="2" width="22" customWidth="1"/>
    <col min="3" max="4" width="16" customWidth="1"/>
    <col min="5" max="5" width="18" customWidth="1"/>
    <col min="6" max="6" width="16" customWidth="1"/>
    <col min="7" max="8" width="18" customWidth="1"/>
  </cols>
  <sheetData>
    <row r="1" spans="1:8">
      <c r="A1" s="115" t="s">
        <v>0</v>
      </c>
      <c r="B1" s="115"/>
      <c r="C1" s="115"/>
      <c r="D1" s="115"/>
      <c r="E1" s="115"/>
      <c r="F1" s="115"/>
      <c r="G1" s="115"/>
      <c r="H1" s="115"/>
    </row>
    <row r="2" spans="1:8">
      <c r="A2" s="115"/>
      <c r="B2" s="115"/>
      <c r="C2" s="115"/>
      <c r="D2" s="115"/>
      <c r="E2" s="115"/>
      <c r="F2" s="115"/>
      <c r="G2" s="115"/>
      <c r="H2" s="115"/>
    </row>
    <row r="3" spans="1:8">
      <c r="A3" s="116" t="s">
        <v>1</v>
      </c>
      <c r="B3" s="116"/>
      <c r="C3" s="116"/>
      <c r="D3" s="116"/>
      <c r="E3" s="116"/>
      <c r="F3" s="116"/>
      <c r="G3" s="116"/>
      <c r="H3" s="116"/>
    </row>
    <row r="5" spans="1:8">
      <c r="A5" s="117" t="s">
        <v>2</v>
      </c>
      <c r="B5" s="117"/>
      <c r="C5" s="117" t="s">
        <v>3</v>
      </c>
      <c r="D5" s="117"/>
      <c r="E5" s="117" t="s">
        <v>4</v>
      </c>
      <c r="F5" s="117"/>
      <c r="G5" s="117" t="s">
        <v>5</v>
      </c>
      <c r="H5" s="117"/>
    </row>
    <row r="6" spans="1:8">
      <c r="A6" s="118" t="str">
        <f>IF(COUNTIF(QA_Checks!$E$2:$E$16,"FAIL")=0,"READY TO RUN","REVIEW REQUIRED")</f>
        <v>REVIEW REQUIRED</v>
      </c>
      <c r="B6" s="119"/>
      <c r="C6" s="118">
        <f>COUNTA(Dictionaries!$A$2:$A$8)</f>
        <v>7</v>
      </c>
      <c r="D6" s="119"/>
      <c r="E6" s="118">
        <f>COUNTA(Dictionaries!$F$2:$F$6)</f>
        <v>5</v>
      </c>
      <c r="F6" s="119"/>
      <c r="G6" s="118">
        <f>COUNTA(Intervention_Cause_Map!$A$2:$A$29)</f>
        <v>28</v>
      </c>
      <c r="H6" s="119"/>
    </row>
    <row r="7" spans="1:8">
      <c r="A7" s="120"/>
      <c r="B7" s="121"/>
      <c r="C7" s="120"/>
      <c r="D7" s="121"/>
      <c r="E7" s="120"/>
      <c r="F7" s="121"/>
      <c r="G7" s="120"/>
      <c r="H7" s="121"/>
    </row>
    <row r="9" spans="1:8">
      <c r="A9" s="122" t="s">
        <v>6</v>
      </c>
      <c r="B9" s="122"/>
      <c r="C9" s="122"/>
      <c r="D9" s="122"/>
      <c r="E9" s="122"/>
      <c r="F9" s="122"/>
      <c r="G9" s="122"/>
      <c r="H9" s="122"/>
    </row>
    <row r="10" spans="1:8" ht="28.05" customHeight="1">
      <c r="A10" s="1" t="s">
        <v>7</v>
      </c>
      <c r="B10" s="123" t="s">
        <v>8</v>
      </c>
      <c r="C10" s="124"/>
      <c r="D10" s="124"/>
      <c r="E10" s="124"/>
      <c r="F10" s="124"/>
      <c r="G10" s="124"/>
      <c r="H10" s="125"/>
    </row>
    <row r="11" spans="1:8" ht="28.05" customHeight="1">
      <c r="A11" s="1" t="s">
        <v>9</v>
      </c>
      <c r="B11" s="126" t="s">
        <v>10</v>
      </c>
      <c r="C11" s="127"/>
      <c r="D11" s="127"/>
      <c r="E11" s="127"/>
      <c r="F11" s="127"/>
      <c r="G11" s="127"/>
      <c r="H11" s="128"/>
    </row>
    <row r="12" spans="1:8" ht="28.05" customHeight="1">
      <c r="A12" s="1" t="s">
        <v>11</v>
      </c>
      <c r="B12" s="126" t="s">
        <v>12</v>
      </c>
      <c r="C12" s="127"/>
      <c r="D12" s="127"/>
      <c r="E12" s="127"/>
      <c r="F12" s="127"/>
      <c r="G12" s="127"/>
      <c r="H12" s="128"/>
    </row>
    <row r="13" spans="1:8" ht="28.05" customHeight="1">
      <c r="A13" s="1" t="s">
        <v>13</v>
      </c>
      <c r="B13" s="126" t="s">
        <v>14</v>
      </c>
      <c r="C13" s="127"/>
      <c r="D13" s="127"/>
      <c r="E13" s="127"/>
      <c r="F13" s="127"/>
      <c r="G13" s="127"/>
      <c r="H13" s="128"/>
    </row>
    <row r="14" spans="1:8" ht="28.05" customHeight="1">
      <c r="A14" s="1" t="s">
        <v>15</v>
      </c>
      <c r="B14" s="129" t="s">
        <v>16</v>
      </c>
      <c r="C14" s="130"/>
      <c r="D14" s="130"/>
      <c r="E14" s="130"/>
      <c r="F14" s="130"/>
      <c r="G14" s="130"/>
      <c r="H14" s="131"/>
    </row>
    <row r="17" spans="1:8">
      <c r="A17" s="122" t="s">
        <v>17</v>
      </c>
      <c r="B17" s="122"/>
      <c r="C17" s="122"/>
      <c r="D17" s="122"/>
      <c r="E17" s="122"/>
      <c r="F17" s="122"/>
      <c r="G17" s="122"/>
      <c r="H17" s="122"/>
    </row>
    <row r="18" spans="1:8" ht="27" customHeight="1">
      <c r="A18" s="48" t="s">
        <v>18</v>
      </c>
      <c r="B18" s="132" t="s">
        <v>19</v>
      </c>
      <c r="C18" s="132"/>
      <c r="D18" s="132"/>
      <c r="E18" s="132"/>
      <c r="F18" s="132"/>
      <c r="G18" s="132"/>
      <c r="H18" s="132"/>
    </row>
    <row r="19" spans="1:8" ht="27" customHeight="1">
      <c r="A19" s="48" t="s">
        <v>18</v>
      </c>
      <c r="B19" s="132" t="s">
        <v>20</v>
      </c>
      <c r="C19" s="132"/>
      <c r="D19" s="132"/>
      <c r="E19" s="132"/>
      <c r="F19" s="132"/>
      <c r="G19" s="132"/>
      <c r="H19" s="132"/>
    </row>
    <row r="20" spans="1:8" ht="27" customHeight="1">
      <c r="A20" s="47" t="s">
        <v>21</v>
      </c>
      <c r="B20" s="133" t="s">
        <v>22</v>
      </c>
      <c r="C20" s="132"/>
      <c r="D20" s="132"/>
      <c r="E20" s="132"/>
      <c r="F20" s="132"/>
      <c r="G20" s="132"/>
      <c r="H20" s="132"/>
    </row>
    <row r="21" spans="1:8" ht="27" customHeight="1">
      <c r="A21" s="48" t="s">
        <v>21</v>
      </c>
      <c r="B21" s="132" t="s">
        <v>23</v>
      </c>
      <c r="C21" s="132"/>
      <c r="D21" s="132"/>
      <c r="E21" s="132"/>
      <c r="F21" s="132"/>
      <c r="G21" s="132"/>
      <c r="H21" s="132"/>
    </row>
    <row r="22" spans="1:8" ht="27" customHeight="1">
      <c r="A22" s="48" t="s">
        <v>24</v>
      </c>
      <c r="B22" s="132" t="s">
        <v>25</v>
      </c>
      <c r="C22" s="132"/>
      <c r="D22" s="132"/>
      <c r="E22" s="132"/>
      <c r="F22" s="132"/>
      <c r="G22" s="132"/>
      <c r="H22" s="132"/>
    </row>
    <row r="23" spans="1:8" ht="27" customHeight="1">
      <c r="A23" s="48" t="s">
        <v>26</v>
      </c>
      <c r="B23" s="132" t="s">
        <v>27</v>
      </c>
      <c r="C23" s="132"/>
      <c r="D23" s="132"/>
      <c r="E23" s="132"/>
      <c r="F23" s="132"/>
      <c r="G23" s="132"/>
      <c r="H23" s="132"/>
    </row>
    <row r="24" spans="1:8" ht="27" customHeight="1">
      <c r="A24" s="48" t="s">
        <v>28</v>
      </c>
      <c r="B24" s="132" t="s">
        <v>29</v>
      </c>
      <c r="C24" s="132"/>
      <c r="D24" s="132"/>
      <c r="E24" s="132"/>
      <c r="F24" s="132"/>
      <c r="G24" s="132"/>
      <c r="H24" s="132"/>
    </row>
    <row r="26" spans="1:8">
      <c r="A26" s="134"/>
      <c r="B26" s="134"/>
      <c r="C26" s="134"/>
      <c r="D26" s="134"/>
      <c r="E26" s="134"/>
      <c r="F26" s="134"/>
      <c r="G26" s="134"/>
      <c r="H26" s="134"/>
    </row>
  </sheetData>
  <mergeCells count="25">
    <mergeCell ref="B21:H21"/>
    <mergeCell ref="B22:H22"/>
    <mergeCell ref="B23:H23"/>
    <mergeCell ref="B24:H24"/>
    <mergeCell ref="A26:H26"/>
    <mergeCell ref="B14:H14"/>
    <mergeCell ref="A17:H17"/>
    <mergeCell ref="B18:H18"/>
    <mergeCell ref="B19:H19"/>
    <mergeCell ref="B20:H20"/>
    <mergeCell ref="A9:H9"/>
    <mergeCell ref="B10:H10"/>
    <mergeCell ref="B11:H11"/>
    <mergeCell ref="B12:H12"/>
    <mergeCell ref="B13:H13"/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zoomScale="85" zoomScaleNormal="85" workbookViewId="0">
      <selection activeCell="B21" sqref="B21"/>
    </sheetView>
  </sheetViews>
  <sheetFormatPr defaultRowHeight="11.4"/>
  <cols>
    <col min="1" max="1" width="30" style="22" customWidth="1"/>
    <col min="2" max="2" width="20" style="22" customWidth="1"/>
    <col min="3" max="3" width="24" style="22" customWidth="1"/>
    <col min="4" max="6" width="18" style="22" customWidth="1"/>
    <col min="7" max="7" width="58" style="22" customWidth="1"/>
    <col min="8" max="8" width="42" style="22" customWidth="1"/>
    <col min="9" max="16384" width="8.796875" style="22"/>
  </cols>
  <sheetData>
    <row r="1" spans="1:8" ht="36" customHeight="1">
      <c r="A1" s="135" t="s">
        <v>30</v>
      </c>
      <c r="B1" s="136" t="s">
        <v>31</v>
      </c>
      <c r="C1" s="136" t="s">
        <v>32</v>
      </c>
      <c r="D1" s="136" t="s">
        <v>33</v>
      </c>
      <c r="E1" s="136" t="s">
        <v>34</v>
      </c>
      <c r="F1" s="136" t="s">
        <v>35</v>
      </c>
      <c r="G1" s="136" t="s">
        <v>36</v>
      </c>
      <c r="H1" s="137" t="s">
        <v>37</v>
      </c>
    </row>
    <row r="2" spans="1:8">
      <c r="A2" s="5" t="s">
        <v>38</v>
      </c>
      <c r="B2" s="13">
        <v>2025</v>
      </c>
      <c r="C2" s="14" t="s">
        <v>39</v>
      </c>
      <c r="D2" s="14">
        <v>2025</v>
      </c>
      <c r="E2" s="14">
        <v>2025</v>
      </c>
      <c r="F2" s="14">
        <v>2026</v>
      </c>
      <c r="G2" s="5" t="s">
        <v>40</v>
      </c>
      <c r="H2" s="5" t="s">
        <v>41</v>
      </c>
    </row>
    <row r="3" spans="1:8">
      <c r="A3" s="6" t="s">
        <v>42</v>
      </c>
      <c r="B3" s="15">
        <v>2050</v>
      </c>
      <c r="C3" s="16" t="s">
        <v>39</v>
      </c>
      <c r="D3" s="16">
        <v>2050</v>
      </c>
      <c r="E3" s="16">
        <v>2030</v>
      </c>
      <c r="F3" s="16">
        <v>2050</v>
      </c>
      <c r="G3" s="6" t="s">
        <v>43</v>
      </c>
      <c r="H3" s="6" t="s">
        <v>41</v>
      </c>
    </row>
    <row r="4" spans="1:8">
      <c r="A4" s="6" t="s">
        <v>44</v>
      </c>
      <c r="B4" s="15">
        <v>2026</v>
      </c>
      <c r="C4" s="16" t="s">
        <v>39</v>
      </c>
      <c r="D4" s="16">
        <v>2026</v>
      </c>
      <c r="E4" s="16">
        <v>2025</v>
      </c>
      <c r="F4" s="16">
        <v>2030</v>
      </c>
      <c r="G4" s="6" t="s">
        <v>45</v>
      </c>
      <c r="H4" s="6" t="s">
        <v>46</v>
      </c>
    </row>
    <row r="5" spans="1:8">
      <c r="A5" s="6" t="s">
        <v>47</v>
      </c>
      <c r="B5" s="15">
        <v>2030</v>
      </c>
      <c r="C5" s="16" t="s">
        <v>39</v>
      </c>
      <c r="D5" s="16">
        <v>2030</v>
      </c>
      <c r="E5" s="16">
        <v>2028</v>
      </c>
      <c r="F5" s="16">
        <v>2050</v>
      </c>
      <c r="G5" s="6" t="s">
        <v>48</v>
      </c>
      <c r="H5" s="6" t="s">
        <v>49</v>
      </c>
    </row>
    <row r="6" spans="1:8">
      <c r="A6" s="6" t="s">
        <v>50</v>
      </c>
      <c r="B6" s="15">
        <v>3</v>
      </c>
      <c r="C6" s="16" t="s">
        <v>51</v>
      </c>
      <c r="D6" s="16">
        <v>3</v>
      </c>
      <c r="E6" s="16">
        <v>1</v>
      </c>
      <c r="F6" s="16">
        <v>5</v>
      </c>
      <c r="G6" s="6" t="s">
        <v>52</v>
      </c>
      <c r="H6" s="6" t="s">
        <v>53</v>
      </c>
    </row>
    <row r="7" spans="1:8">
      <c r="A7" s="6" t="s">
        <v>54</v>
      </c>
      <c r="B7" s="17">
        <v>0.03</v>
      </c>
      <c r="C7" s="18" t="s">
        <v>55</v>
      </c>
      <c r="D7" s="18">
        <v>0.03</v>
      </c>
      <c r="E7" s="18">
        <v>0</v>
      </c>
      <c r="F7" s="18">
        <v>0.05</v>
      </c>
      <c r="G7" s="6" t="s">
        <v>56</v>
      </c>
      <c r="H7" s="6" t="s">
        <v>57</v>
      </c>
    </row>
    <row r="8" spans="1:8">
      <c r="A8" s="6" t="s">
        <v>58</v>
      </c>
      <c r="B8" s="17">
        <v>0.03</v>
      </c>
      <c r="C8" s="18" t="s">
        <v>55</v>
      </c>
      <c r="D8" s="18">
        <v>0.03</v>
      </c>
      <c r="E8" s="18">
        <v>0</v>
      </c>
      <c r="F8" s="18">
        <v>0.05</v>
      </c>
      <c r="G8" s="6" t="s">
        <v>59</v>
      </c>
      <c r="H8" s="6" t="s">
        <v>57</v>
      </c>
    </row>
    <row r="9" spans="1:8">
      <c r="A9" s="6" t="s">
        <v>60</v>
      </c>
      <c r="B9" s="15">
        <v>2023</v>
      </c>
      <c r="C9" s="16" t="s">
        <v>61</v>
      </c>
      <c r="D9" s="16">
        <v>2023</v>
      </c>
      <c r="E9" s="16">
        <v>2020</v>
      </c>
      <c r="F9" s="16">
        <v>2024</v>
      </c>
      <c r="G9" s="6" t="s">
        <v>62</v>
      </c>
      <c r="H9" s="6" t="s">
        <v>57</v>
      </c>
    </row>
    <row r="10" spans="1:8">
      <c r="A10" s="6" t="s">
        <v>63</v>
      </c>
      <c r="B10" s="15">
        <v>2017</v>
      </c>
      <c r="C10" s="16" t="s">
        <v>61</v>
      </c>
      <c r="D10" s="16">
        <v>2017</v>
      </c>
      <c r="E10" s="16">
        <v>2017</v>
      </c>
      <c r="F10" s="16">
        <v>2017</v>
      </c>
      <c r="G10" s="6" t="s">
        <v>64</v>
      </c>
      <c r="H10" s="6" t="s">
        <v>65</v>
      </c>
    </row>
    <row r="11" spans="1:8">
      <c r="A11" s="6" t="s">
        <v>66</v>
      </c>
      <c r="B11" s="15" t="s">
        <v>67</v>
      </c>
      <c r="C11" s="16" t="s">
        <v>66</v>
      </c>
      <c r="D11" s="16" t="s">
        <v>67</v>
      </c>
      <c r="E11" s="16" t="s">
        <v>67</v>
      </c>
      <c r="F11" s="16" t="s">
        <v>67</v>
      </c>
      <c r="G11" s="6" t="s">
        <v>68</v>
      </c>
      <c r="H11" s="6" t="s">
        <v>69</v>
      </c>
    </row>
    <row r="12" spans="1:8">
      <c r="A12" s="6" t="s">
        <v>70</v>
      </c>
      <c r="B12" s="15" t="s">
        <v>71</v>
      </c>
      <c r="C12" s="16" t="s">
        <v>72</v>
      </c>
      <c r="D12" s="16" t="s">
        <v>71</v>
      </c>
      <c r="E12" s="16" t="s">
        <v>71</v>
      </c>
      <c r="F12" s="16" t="s">
        <v>71</v>
      </c>
      <c r="G12" s="6" t="s">
        <v>73</v>
      </c>
      <c r="H12" s="6" t="s">
        <v>53</v>
      </c>
    </row>
    <row r="13" spans="1:8">
      <c r="A13" s="6" t="s">
        <v>74</v>
      </c>
      <c r="B13" s="15" t="s">
        <v>75</v>
      </c>
      <c r="C13" s="16" t="s">
        <v>72</v>
      </c>
      <c r="D13" s="16" t="s">
        <v>75</v>
      </c>
      <c r="E13" s="16" t="s">
        <v>75</v>
      </c>
      <c r="F13" s="16" t="s">
        <v>76</v>
      </c>
      <c r="G13" s="6" t="s">
        <v>77</v>
      </c>
      <c r="H13" s="6" t="s">
        <v>78</v>
      </c>
    </row>
    <row r="14" spans="1:8" ht="22.8">
      <c r="A14" s="6" t="s">
        <v>79</v>
      </c>
      <c r="B14" s="17">
        <v>6.1600000000000002E-2</v>
      </c>
      <c r="C14" s="18" t="s">
        <v>80</v>
      </c>
      <c r="D14" s="18">
        <v>6.1600000000000002E-2</v>
      </c>
      <c r="E14" s="18">
        <v>0.04</v>
      </c>
      <c r="F14" s="18">
        <v>0.08</v>
      </c>
      <c r="G14" s="6" t="s">
        <v>81</v>
      </c>
      <c r="H14" s="6" t="s">
        <v>82</v>
      </c>
    </row>
    <row r="15" spans="1:8">
      <c r="A15" s="6" t="s">
        <v>83</v>
      </c>
      <c r="B15" s="15">
        <v>3</v>
      </c>
      <c r="C15" s="16" t="s">
        <v>84</v>
      </c>
      <c r="D15" s="16">
        <v>3</v>
      </c>
      <c r="E15" s="16">
        <v>3</v>
      </c>
      <c r="F15" s="16">
        <v>3</v>
      </c>
      <c r="G15" s="6" t="s">
        <v>85</v>
      </c>
      <c r="H15" s="6" t="s">
        <v>86</v>
      </c>
    </row>
    <row r="16" spans="1:8">
      <c r="A16" s="6" t="s">
        <v>87</v>
      </c>
      <c r="B16" s="15">
        <v>0</v>
      </c>
      <c r="C16" s="16" t="s">
        <v>88</v>
      </c>
      <c r="D16" s="16">
        <v>0</v>
      </c>
      <c r="E16" s="16">
        <v>0</v>
      </c>
      <c r="F16" s="16">
        <v>0.5</v>
      </c>
      <c r="G16" s="6" t="s">
        <v>89</v>
      </c>
      <c r="H16" s="6" t="s">
        <v>90</v>
      </c>
    </row>
    <row r="17" spans="1:8">
      <c r="A17" s="7" t="s">
        <v>91</v>
      </c>
      <c r="B17" s="19">
        <v>1</v>
      </c>
      <c r="C17" s="20" t="s">
        <v>92</v>
      </c>
      <c r="D17" s="20">
        <v>1</v>
      </c>
      <c r="E17" s="20">
        <v>0</v>
      </c>
      <c r="F17" s="20">
        <v>1</v>
      </c>
      <c r="G17" s="7" t="s">
        <v>93</v>
      </c>
      <c r="H17" s="7" t="s">
        <v>94</v>
      </c>
    </row>
    <row r="18" spans="1:8">
      <c r="A18" s="138" t="s">
        <v>95</v>
      </c>
      <c r="B18" s="139">
        <v>789</v>
      </c>
      <c r="C18" s="139" t="s">
        <v>96</v>
      </c>
      <c r="D18" s="139">
        <v>789</v>
      </c>
      <c r="E18" s="139">
        <v>789</v>
      </c>
      <c r="F18" s="139">
        <v>789</v>
      </c>
      <c r="G18" s="138" t="s">
        <v>97</v>
      </c>
      <c r="H18" s="138" t="s">
        <v>98</v>
      </c>
    </row>
    <row r="19" spans="1:8">
      <c r="A19" s="140" t="s">
        <v>99</v>
      </c>
      <c r="B19" s="141">
        <v>52</v>
      </c>
      <c r="C19" s="141" t="s">
        <v>100</v>
      </c>
      <c r="D19" s="141">
        <v>52</v>
      </c>
      <c r="E19" s="141">
        <v>52</v>
      </c>
      <c r="F19" s="141">
        <v>52.177500000000002</v>
      </c>
      <c r="G19" s="140" t="s">
        <v>101</v>
      </c>
      <c r="H19" s="140" t="s">
        <v>102</v>
      </c>
    </row>
    <row r="20" spans="1:8" ht="42" customHeight="1">
      <c r="A20" s="22" t="s">
        <v>103</v>
      </c>
      <c r="B20" s="142">
        <v>0.2</v>
      </c>
      <c r="C20" s="22" t="s">
        <v>104</v>
      </c>
      <c r="D20" s="142">
        <v>0.2</v>
      </c>
      <c r="E20" s="142">
        <v>0.1</v>
      </c>
      <c r="F20" s="142">
        <v>0.5</v>
      </c>
      <c r="G20" s="23" t="s">
        <v>105</v>
      </c>
      <c r="H20" s="23" t="s">
        <v>106</v>
      </c>
    </row>
    <row r="21" spans="1:8" ht="42" customHeight="1">
      <c r="A21" s="22" t="s">
        <v>107</v>
      </c>
      <c r="B21" s="143">
        <v>-0.875</v>
      </c>
      <c r="C21" s="143" t="s">
        <v>108</v>
      </c>
      <c r="D21" s="143">
        <v>-0.875</v>
      </c>
      <c r="E21" s="143">
        <v>-0.93</v>
      </c>
      <c r="F21" s="143">
        <v>-0.71499999999999997</v>
      </c>
      <c r="G21" s="23" t="s">
        <v>109</v>
      </c>
      <c r="H21" s="23" t="s">
        <v>110</v>
      </c>
    </row>
    <row r="22" spans="1:8" ht="42" customHeight="1">
      <c r="A22" s="22" t="s">
        <v>111</v>
      </c>
      <c r="B22" s="142">
        <v>0.82</v>
      </c>
      <c r="C22" s="22" t="s">
        <v>112</v>
      </c>
      <c r="D22" s="142">
        <v>0.82</v>
      </c>
      <c r="E22" s="142">
        <v>0.66</v>
      </c>
      <c r="F22" s="142">
        <v>0.98</v>
      </c>
      <c r="G22" s="23" t="s">
        <v>113</v>
      </c>
      <c r="H22" s="23" t="s">
        <v>114</v>
      </c>
    </row>
    <row r="23" spans="1:8" ht="42" customHeight="1">
      <c r="A23" s="22" t="s">
        <v>115</v>
      </c>
      <c r="B23" s="144">
        <v>-1.59</v>
      </c>
      <c r="C23" s="144" t="s">
        <v>108</v>
      </c>
      <c r="D23" s="144">
        <v>-1.59</v>
      </c>
      <c r="E23" s="144">
        <v>-2.11</v>
      </c>
      <c r="F23" s="144">
        <v>-1.08</v>
      </c>
      <c r="G23" s="23" t="s">
        <v>116</v>
      </c>
      <c r="H23" s="23" t="s">
        <v>114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showGridLines="0" workbookViewId="0">
      <selection activeCell="D8" sqref="D8"/>
    </sheetView>
  </sheetViews>
  <sheetFormatPr defaultRowHeight="13.8"/>
  <cols>
    <col min="1" max="1" width="26" customWidth="1"/>
    <col min="2" max="2" width="34" customWidth="1"/>
    <col min="3" max="3" width="20" customWidth="1"/>
    <col min="4" max="4" width="60" customWidth="1"/>
    <col min="5" max="5" width="3" customWidth="1"/>
    <col min="6" max="6" width="18" customWidth="1"/>
    <col min="7" max="7" width="28" customWidth="1"/>
    <col min="8" max="8" width="34" customWidth="1"/>
    <col min="9" max="9" width="30" customWidth="1"/>
    <col min="10" max="10" width="3" customWidth="1"/>
    <col min="11" max="11" width="24" customWidth="1"/>
    <col min="12" max="12" width="52" customWidth="1"/>
    <col min="13" max="13" width="38" customWidth="1"/>
    <col min="14" max="14" width="16" customWidth="1"/>
    <col min="15" max="15" width="52" customWidth="1"/>
  </cols>
  <sheetData>
    <row r="1" spans="1:15">
      <c r="A1" s="21" t="s">
        <v>117</v>
      </c>
      <c r="B1" s="21" t="s">
        <v>118</v>
      </c>
      <c r="C1" s="21" t="s">
        <v>119</v>
      </c>
      <c r="D1" s="21" t="s">
        <v>120</v>
      </c>
      <c r="F1" s="21" t="s">
        <v>121</v>
      </c>
      <c r="G1" s="21" t="s">
        <v>122</v>
      </c>
      <c r="H1" s="21" t="s">
        <v>123</v>
      </c>
      <c r="I1" s="21" t="s">
        <v>124</v>
      </c>
      <c r="K1" s="52" t="s">
        <v>125</v>
      </c>
      <c r="L1" s="53" t="s">
        <v>126</v>
      </c>
      <c r="M1" s="53" t="s">
        <v>127</v>
      </c>
      <c r="N1" s="53" t="s">
        <v>128</v>
      </c>
      <c r="O1" s="54" t="s">
        <v>129</v>
      </c>
    </row>
    <row r="2" spans="1:15">
      <c r="A2" s="24" t="s">
        <v>130</v>
      </c>
      <c r="B2" s="24" t="s">
        <v>131</v>
      </c>
      <c r="C2" s="24" t="s">
        <v>132</v>
      </c>
      <c r="D2" s="24" t="s">
        <v>133</v>
      </c>
      <c r="E2" s="24"/>
      <c r="F2" s="24" t="s">
        <v>134</v>
      </c>
      <c r="G2" s="24" t="s">
        <v>135</v>
      </c>
      <c r="H2" s="24" t="s">
        <v>136</v>
      </c>
      <c r="I2" s="24" t="s">
        <v>112</v>
      </c>
      <c r="J2" s="24"/>
      <c r="K2" s="55" t="s">
        <v>137</v>
      </c>
      <c r="L2" s="55" t="s">
        <v>138</v>
      </c>
      <c r="M2" s="55" t="s">
        <v>138</v>
      </c>
      <c r="N2" s="55">
        <v>1</v>
      </c>
      <c r="O2" s="49" t="s">
        <v>139</v>
      </c>
    </row>
    <row r="3" spans="1:15">
      <c r="A3" s="24" t="s">
        <v>140</v>
      </c>
      <c r="B3" s="24" t="s">
        <v>141</v>
      </c>
      <c r="C3" s="24" t="s">
        <v>142</v>
      </c>
      <c r="D3" s="24" t="s">
        <v>143</v>
      </c>
      <c r="E3" s="24"/>
      <c r="F3" s="24" t="s">
        <v>144</v>
      </c>
      <c r="G3" s="24" t="s">
        <v>145</v>
      </c>
      <c r="H3" s="24" t="s">
        <v>146</v>
      </c>
      <c r="I3" s="24" t="s">
        <v>147</v>
      </c>
      <c r="J3" s="24"/>
      <c r="K3" s="56" t="s">
        <v>148</v>
      </c>
      <c r="L3" s="56" t="s">
        <v>149</v>
      </c>
      <c r="M3" s="56" t="s">
        <v>149</v>
      </c>
      <c r="N3" s="56">
        <v>1</v>
      </c>
      <c r="O3" s="50" t="s">
        <v>150</v>
      </c>
    </row>
    <row r="4" spans="1:15">
      <c r="A4" s="24" t="s">
        <v>151</v>
      </c>
      <c r="B4" s="24" t="s">
        <v>152</v>
      </c>
      <c r="C4" s="24" t="s">
        <v>132</v>
      </c>
      <c r="D4" s="24" t="s">
        <v>153</v>
      </c>
      <c r="E4" s="24"/>
      <c r="F4" s="24" t="s">
        <v>154</v>
      </c>
      <c r="G4" s="24" t="s">
        <v>155</v>
      </c>
      <c r="H4" s="24" t="s">
        <v>156</v>
      </c>
      <c r="I4" s="24" t="s">
        <v>84</v>
      </c>
      <c r="J4" s="24"/>
      <c r="K4" s="55" t="s">
        <v>157</v>
      </c>
      <c r="L4" s="55" t="s">
        <v>158</v>
      </c>
      <c r="M4" s="55" t="s">
        <v>158</v>
      </c>
      <c r="N4" s="55">
        <v>1</v>
      </c>
      <c r="O4" s="49" t="s">
        <v>150</v>
      </c>
    </row>
    <row r="5" spans="1:15" ht="27.6">
      <c r="A5" s="24" t="s">
        <v>159</v>
      </c>
      <c r="B5" s="24" t="s">
        <v>160</v>
      </c>
      <c r="C5" s="24" t="s">
        <v>142</v>
      </c>
      <c r="D5" s="24" t="s">
        <v>161</v>
      </c>
      <c r="E5" s="24"/>
      <c r="F5" s="24" t="s">
        <v>162</v>
      </c>
      <c r="G5" s="24" t="s">
        <v>163</v>
      </c>
      <c r="H5" s="24" t="s">
        <v>164</v>
      </c>
      <c r="I5" s="24" t="s">
        <v>88</v>
      </c>
      <c r="J5" s="24"/>
      <c r="K5" s="56" t="s">
        <v>165</v>
      </c>
      <c r="L5" s="56" t="s">
        <v>166</v>
      </c>
      <c r="M5" s="56" t="s">
        <v>166</v>
      </c>
      <c r="N5" s="56">
        <v>1</v>
      </c>
      <c r="O5" s="50" t="s">
        <v>167</v>
      </c>
    </row>
    <row r="6" spans="1:15" ht="27.6">
      <c r="A6" s="24" t="s">
        <v>168</v>
      </c>
      <c r="B6" s="24" t="s">
        <v>169</v>
      </c>
      <c r="C6" s="24" t="s">
        <v>170</v>
      </c>
      <c r="D6" s="24" t="s">
        <v>171</v>
      </c>
      <c r="E6" s="24"/>
      <c r="F6" s="24" t="s">
        <v>172</v>
      </c>
      <c r="G6" s="24" t="s">
        <v>173</v>
      </c>
      <c r="H6" s="24" t="s">
        <v>174</v>
      </c>
      <c r="I6" s="24" t="s">
        <v>175</v>
      </c>
      <c r="J6" s="24"/>
      <c r="K6" s="55" t="s">
        <v>176</v>
      </c>
      <c r="L6" s="55" t="s">
        <v>177</v>
      </c>
      <c r="M6" s="55" t="s">
        <v>177</v>
      </c>
      <c r="N6" s="55">
        <v>1</v>
      </c>
      <c r="O6" s="49" t="s">
        <v>178</v>
      </c>
    </row>
    <row r="7" spans="1:15" ht="27.6">
      <c r="A7" s="24" t="s">
        <v>179</v>
      </c>
      <c r="B7" s="24" t="s">
        <v>180</v>
      </c>
      <c r="C7" s="24" t="s">
        <v>170</v>
      </c>
      <c r="D7" s="24" t="s">
        <v>181</v>
      </c>
      <c r="E7" s="24"/>
      <c r="F7" s="24"/>
      <c r="G7" s="24"/>
      <c r="H7" s="24"/>
      <c r="I7" s="24"/>
      <c r="J7" s="24"/>
      <c r="K7" s="56" t="s">
        <v>182</v>
      </c>
      <c r="L7" s="56" t="s">
        <v>183</v>
      </c>
      <c r="M7" s="56" t="s">
        <v>183</v>
      </c>
      <c r="N7" s="56">
        <v>1</v>
      </c>
      <c r="O7" s="50" t="s">
        <v>184</v>
      </c>
    </row>
    <row r="8" spans="1:15">
      <c r="A8" s="24" t="s">
        <v>185</v>
      </c>
      <c r="B8" s="24" t="s">
        <v>186</v>
      </c>
      <c r="C8" s="24" t="s">
        <v>170</v>
      </c>
      <c r="D8" s="24" t="s">
        <v>187</v>
      </c>
      <c r="E8" s="24"/>
      <c r="F8" s="24"/>
      <c r="G8" s="24"/>
      <c r="H8" s="24"/>
      <c r="I8" s="24"/>
      <c r="J8" s="24"/>
      <c r="K8" s="55" t="s">
        <v>188</v>
      </c>
      <c r="L8" s="55" t="s">
        <v>189</v>
      </c>
      <c r="M8" s="55" t="s">
        <v>189</v>
      </c>
      <c r="N8" s="55">
        <v>1</v>
      </c>
      <c r="O8" s="49" t="s">
        <v>190</v>
      </c>
    </row>
    <row r="9" spans="1:15" ht="27.6">
      <c r="K9" s="50" t="s">
        <v>191</v>
      </c>
      <c r="L9" s="50" t="s">
        <v>192</v>
      </c>
      <c r="M9" s="50" t="s">
        <v>192</v>
      </c>
      <c r="N9" s="50">
        <v>1</v>
      </c>
      <c r="O9" s="50" t="s">
        <v>193</v>
      </c>
    </row>
    <row r="10" spans="1:15">
      <c r="K10" s="49" t="s">
        <v>194</v>
      </c>
      <c r="L10" s="49" t="s">
        <v>195</v>
      </c>
      <c r="M10" s="49" t="s">
        <v>196</v>
      </c>
      <c r="N10" s="49">
        <v>0</v>
      </c>
      <c r="O10" s="49" t="s">
        <v>197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"/>
  <sheetViews>
    <sheetView showGridLines="0" zoomScale="85" zoomScaleNormal="85" workbookViewId="0">
      <selection activeCell="C11" sqref="C11"/>
    </sheetView>
  </sheetViews>
  <sheetFormatPr defaultRowHeight="11.4"/>
  <cols>
    <col min="1" max="1" width="34" style="22" customWidth="1"/>
    <col min="2" max="2" width="26" style="22" customWidth="1"/>
    <col min="3" max="3" width="16" style="22" customWidth="1"/>
    <col min="4" max="4" width="28" style="22" customWidth="1"/>
    <col min="5" max="5" width="24" style="22" customWidth="1"/>
    <col min="6" max="6" width="25" style="22" customWidth="1"/>
    <col min="7" max="7" width="48" style="22" customWidth="1"/>
    <col min="8" max="8" width="34" style="22" customWidth="1"/>
    <col min="9" max="9" width="26" style="22" customWidth="1"/>
    <col min="10" max="10" width="32" style="22" customWidth="1"/>
    <col min="11" max="11" width="20" style="22" customWidth="1"/>
    <col min="12" max="12" width="18" style="22" customWidth="1"/>
    <col min="13" max="13" width="24" style="22" customWidth="1"/>
    <col min="14" max="14" width="12" style="22" customWidth="1"/>
    <col min="15" max="15" width="24" style="22" customWidth="1"/>
    <col min="16" max="16" width="60" style="22" customWidth="1"/>
    <col min="17" max="17" width="16" style="22" customWidth="1"/>
    <col min="18" max="16384" width="8.796875" style="22"/>
  </cols>
  <sheetData>
    <row r="1" spans="1:17" ht="28.05" customHeight="1">
      <c r="A1" s="145" t="s">
        <v>198</v>
      </c>
      <c r="B1" s="146" t="s">
        <v>117</v>
      </c>
      <c r="C1" s="146" t="s">
        <v>121</v>
      </c>
      <c r="D1" s="146" t="s">
        <v>118</v>
      </c>
      <c r="E1" s="146" t="s">
        <v>122</v>
      </c>
      <c r="F1" s="146" t="s">
        <v>125</v>
      </c>
      <c r="G1" s="146" t="s">
        <v>126</v>
      </c>
      <c r="H1" s="146" t="s">
        <v>199</v>
      </c>
      <c r="I1" s="146" t="s">
        <v>200</v>
      </c>
      <c r="J1" s="146" t="s">
        <v>201</v>
      </c>
      <c r="K1" s="146" t="s">
        <v>202</v>
      </c>
      <c r="L1" s="146" t="s">
        <v>203</v>
      </c>
      <c r="M1" s="146" t="s">
        <v>204</v>
      </c>
      <c r="N1" s="146" t="s">
        <v>205</v>
      </c>
      <c r="O1" s="146" t="s">
        <v>206</v>
      </c>
      <c r="P1" s="146" t="s">
        <v>207</v>
      </c>
      <c r="Q1" s="147" t="s">
        <v>208</v>
      </c>
    </row>
    <row r="2" spans="1:17">
      <c r="A2" s="55" t="s">
        <v>209</v>
      </c>
      <c r="B2" s="55" t="s">
        <v>130</v>
      </c>
      <c r="C2" s="55" t="s">
        <v>134</v>
      </c>
      <c r="D2" s="55" t="s">
        <v>131</v>
      </c>
      <c r="E2" s="55" t="s">
        <v>135</v>
      </c>
      <c r="F2" s="55" t="s">
        <v>148</v>
      </c>
      <c r="G2" s="55" t="s">
        <v>149</v>
      </c>
      <c r="H2" s="55" t="s">
        <v>209</v>
      </c>
      <c r="I2" s="55" t="s">
        <v>130</v>
      </c>
      <c r="J2" s="55" t="s">
        <v>210</v>
      </c>
      <c r="K2" s="55" t="s">
        <v>211</v>
      </c>
      <c r="L2" s="55" t="s">
        <v>212</v>
      </c>
      <c r="M2" s="55" t="s">
        <v>213</v>
      </c>
      <c r="N2" s="84">
        <v>1</v>
      </c>
      <c r="O2" s="84">
        <v>0</v>
      </c>
      <c r="P2" s="55" t="s">
        <v>214</v>
      </c>
      <c r="Q2" s="55">
        <f t="shared" ref="Q2:Q29" si="0">COUNTIF($A$2:$A$29,A2)</f>
        <v>1</v>
      </c>
    </row>
    <row r="3" spans="1:17">
      <c r="A3" s="61" t="s">
        <v>215</v>
      </c>
      <c r="B3" s="61" t="s">
        <v>130</v>
      </c>
      <c r="C3" s="61" t="s">
        <v>134</v>
      </c>
      <c r="D3" s="61" t="s">
        <v>131</v>
      </c>
      <c r="E3" s="61" t="s">
        <v>135</v>
      </c>
      <c r="F3" s="61" t="s">
        <v>157</v>
      </c>
      <c r="G3" s="61" t="s">
        <v>158</v>
      </c>
      <c r="H3" s="61" t="s">
        <v>215</v>
      </c>
      <c r="I3" s="61" t="s">
        <v>130</v>
      </c>
      <c r="J3" s="61" t="s">
        <v>210</v>
      </c>
      <c r="K3" s="61" t="s">
        <v>211</v>
      </c>
      <c r="L3" s="61" t="s">
        <v>212</v>
      </c>
      <c r="M3" s="61" t="s">
        <v>213</v>
      </c>
      <c r="N3" s="86">
        <v>1</v>
      </c>
      <c r="O3" s="86">
        <v>0</v>
      </c>
      <c r="P3" s="61" t="s">
        <v>214</v>
      </c>
      <c r="Q3" s="61">
        <f t="shared" si="0"/>
        <v>1</v>
      </c>
    </row>
    <row r="4" spans="1:17">
      <c r="A4" s="63" t="s">
        <v>216</v>
      </c>
      <c r="B4" s="63" t="s">
        <v>130</v>
      </c>
      <c r="C4" s="63" t="s">
        <v>134</v>
      </c>
      <c r="D4" s="63" t="s">
        <v>131</v>
      </c>
      <c r="E4" s="63" t="s">
        <v>135</v>
      </c>
      <c r="F4" s="63" t="s">
        <v>165</v>
      </c>
      <c r="G4" s="63" t="s">
        <v>166</v>
      </c>
      <c r="H4" s="63" t="s">
        <v>216</v>
      </c>
      <c r="I4" s="63" t="s">
        <v>130</v>
      </c>
      <c r="J4" s="63" t="s">
        <v>210</v>
      </c>
      <c r="K4" s="63" t="s">
        <v>211</v>
      </c>
      <c r="L4" s="63" t="s">
        <v>212</v>
      </c>
      <c r="M4" s="63" t="s">
        <v>213</v>
      </c>
      <c r="N4" s="88">
        <v>1</v>
      </c>
      <c r="O4" s="88">
        <v>0</v>
      </c>
      <c r="P4" s="63" t="s">
        <v>214</v>
      </c>
      <c r="Q4" s="63">
        <f t="shared" si="0"/>
        <v>1</v>
      </c>
    </row>
    <row r="5" spans="1:17">
      <c r="A5" s="61" t="s">
        <v>217</v>
      </c>
      <c r="B5" s="61" t="s">
        <v>130</v>
      </c>
      <c r="C5" s="61" t="s">
        <v>134</v>
      </c>
      <c r="D5" s="61" t="s">
        <v>131</v>
      </c>
      <c r="E5" s="61" t="s">
        <v>135</v>
      </c>
      <c r="F5" s="61" t="s">
        <v>188</v>
      </c>
      <c r="G5" s="61" t="s">
        <v>189</v>
      </c>
      <c r="H5" s="61" t="s">
        <v>217</v>
      </c>
      <c r="I5" s="61" t="s">
        <v>130</v>
      </c>
      <c r="J5" s="61" t="s">
        <v>210</v>
      </c>
      <c r="K5" s="61" t="s">
        <v>211</v>
      </c>
      <c r="L5" s="61" t="s">
        <v>212</v>
      </c>
      <c r="M5" s="61" t="s">
        <v>213</v>
      </c>
      <c r="N5" s="86">
        <v>1</v>
      </c>
      <c r="O5" s="86">
        <v>0</v>
      </c>
      <c r="P5" s="61" t="s">
        <v>214</v>
      </c>
      <c r="Q5" s="61">
        <f t="shared" si="0"/>
        <v>1</v>
      </c>
    </row>
    <row r="6" spans="1:17">
      <c r="A6" s="63" t="s">
        <v>218</v>
      </c>
      <c r="B6" s="63" t="s">
        <v>140</v>
      </c>
      <c r="C6" s="63" t="s">
        <v>144</v>
      </c>
      <c r="D6" s="63" t="s">
        <v>141</v>
      </c>
      <c r="E6" s="63" t="s">
        <v>145</v>
      </c>
      <c r="F6" s="63" t="s">
        <v>148</v>
      </c>
      <c r="G6" s="63" t="s">
        <v>149</v>
      </c>
      <c r="H6" s="63" t="s">
        <v>218</v>
      </c>
      <c r="I6" s="63" t="s">
        <v>140</v>
      </c>
      <c r="J6" s="63" t="s">
        <v>219</v>
      </c>
      <c r="K6" s="63" t="s">
        <v>211</v>
      </c>
      <c r="L6" s="63" t="s">
        <v>212</v>
      </c>
      <c r="M6" s="63" t="s">
        <v>213</v>
      </c>
      <c r="N6" s="88">
        <v>1</v>
      </c>
      <c r="O6" s="88">
        <v>0</v>
      </c>
      <c r="P6" s="63" t="s">
        <v>220</v>
      </c>
      <c r="Q6" s="63">
        <f t="shared" si="0"/>
        <v>1</v>
      </c>
    </row>
    <row r="7" spans="1:17">
      <c r="A7" s="61" t="s">
        <v>221</v>
      </c>
      <c r="B7" s="61" t="s">
        <v>140</v>
      </c>
      <c r="C7" s="61" t="s">
        <v>144</v>
      </c>
      <c r="D7" s="61" t="s">
        <v>141</v>
      </c>
      <c r="E7" s="61" t="s">
        <v>145</v>
      </c>
      <c r="F7" s="61" t="s">
        <v>157</v>
      </c>
      <c r="G7" s="61" t="s">
        <v>158</v>
      </c>
      <c r="H7" s="61" t="s">
        <v>221</v>
      </c>
      <c r="I7" s="61" t="s">
        <v>140</v>
      </c>
      <c r="J7" s="61" t="s">
        <v>219</v>
      </c>
      <c r="K7" s="61" t="s">
        <v>211</v>
      </c>
      <c r="L7" s="61" t="s">
        <v>212</v>
      </c>
      <c r="M7" s="61" t="s">
        <v>213</v>
      </c>
      <c r="N7" s="86">
        <v>1</v>
      </c>
      <c r="O7" s="86">
        <v>0</v>
      </c>
      <c r="P7" s="61" t="s">
        <v>220</v>
      </c>
      <c r="Q7" s="61">
        <f t="shared" si="0"/>
        <v>1</v>
      </c>
    </row>
    <row r="8" spans="1:17">
      <c r="A8" s="63" t="s">
        <v>222</v>
      </c>
      <c r="B8" s="63" t="s">
        <v>140</v>
      </c>
      <c r="C8" s="63" t="s">
        <v>144</v>
      </c>
      <c r="D8" s="63" t="s">
        <v>141</v>
      </c>
      <c r="E8" s="63" t="s">
        <v>145</v>
      </c>
      <c r="F8" s="63" t="s">
        <v>165</v>
      </c>
      <c r="G8" s="63" t="s">
        <v>166</v>
      </c>
      <c r="H8" s="63" t="s">
        <v>222</v>
      </c>
      <c r="I8" s="63" t="s">
        <v>140</v>
      </c>
      <c r="J8" s="63" t="s">
        <v>219</v>
      </c>
      <c r="K8" s="63" t="s">
        <v>211</v>
      </c>
      <c r="L8" s="63" t="s">
        <v>212</v>
      </c>
      <c r="M8" s="63" t="s">
        <v>213</v>
      </c>
      <c r="N8" s="88">
        <v>1</v>
      </c>
      <c r="O8" s="88">
        <v>0</v>
      </c>
      <c r="P8" s="63" t="s">
        <v>220</v>
      </c>
      <c r="Q8" s="63">
        <f t="shared" si="0"/>
        <v>1</v>
      </c>
    </row>
    <row r="9" spans="1:17">
      <c r="A9" s="61" t="s">
        <v>223</v>
      </c>
      <c r="B9" s="61" t="s">
        <v>140</v>
      </c>
      <c r="C9" s="61" t="s">
        <v>144</v>
      </c>
      <c r="D9" s="61" t="s">
        <v>141</v>
      </c>
      <c r="E9" s="61" t="s">
        <v>145</v>
      </c>
      <c r="F9" s="61" t="s">
        <v>176</v>
      </c>
      <c r="G9" s="61" t="s">
        <v>177</v>
      </c>
      <c r="H9" s="61" t="s">
        <v>223</v>
      </c>
      <c r="I9" s="61" t="s">
        <v>140</v>
      </c>
      <c r="J9" s="61" t="s">
        <v>219</v>
      </c>
      <c r="K9" s="61" t="s">
        <v>211</v>
      </c>
      <c r="L9" s="61" t="s">
        <v>212</v>
      </c>
      <c r="M9" s="61" t="s">
        <v>213</v>
      </c>
      <c r="N9" s="86">
        <v>1</v>
      </c>
      <c r="O9" s="86">
        <v>0</v>
      </c>
      <c r="P9" s="61" t="s">
        <v>220</v>
      </c>
      <c r="Q9" s="61">
        <f t="shared" si="0"/>
        <v>1</v>
      </c>
    </row>
    <row r="10" spans="1:17">
      <c r="A10" s="63" t="s">
        <v>224</v>
      </c>
      <c r="B10" s="63" t="s">
        <v>140</v>
      </c>
      <c r="C10" s="63" t="s">
        <v>144</v>
      </c>
      <c r="D10" s="63" t="s">
        <v>141</v>
      </c>
      <c r="E10" s="63" t="s">
        <v>145</v>
      </c>
      <c r="F10" s="63" t="s">
        <v>182</v>
      </c>
      <c r="G10" s="63" t="s">
        <v>183</v>
      </c>
      <c r="H10" s="63" t="s">
        <v>224</v>
      </c>
      <c r="I10" s="63" t="s">
        <v>140</v>
      </c>
      <c r="J10" s="63" t="s">
        <v>219</v>
      </c>
      <c r="K10" s="63" t="s">
        <v>211</v>
      </c>
      <c r="L10" s="63" t="s">
        <v>212</v>
      </c>
      <c r="M10" s="63" t="s">
        <v>213</v>
      </c>
      <c r="N10" s="88">
        <v>1</v>
      </c>
      <c r="O10" s="88">
        <v>0</v>
      </c>
      <c r="P10" s="63" t="s">
        <v>220</v>
      </c>
      <c r="Q10" s="63">
        <f t="shared" si="0"/>
        <v>1</v>
      </c>
    </row>
    <row r="11" spans="1:17">
      <c r="A11" s="140" t="s">
        <v>225</v>
      </c>
      <c r="B11" s="140" t="s">
        <v>151</v>
      </c>
      <c r="C11" s="140" t="s">
        <v>134</v>
      </c>
      <c r="D11" s="140" t="s">
        <v>152</v>
      </c>
      <c r="E11" s="140" t="s">
        <v>135</v>
      </c>
      <c r="F11" s="140" t="s">
        <v>148</v>
      </c>
      <c r="G11" s="140" t="s">
        <v>149</v>
      </c>
      <c r="H11" s="140" t="s">
        <v>225</v>
      </c>
      <c r="I11" s="140" t="s">
        <v>151</v>
      </c>
      <c r="J11" s="140" t="s">
        <v>226</v>
      </c>
      <c r="K11" s="140" t="s">
        <v>211</v>
      </c>
      <c r="L11" s="140" t="s">
        <v>212</v>
      </c>
      <c r="M11" s="140" t="s">
        <v>213</v>
      </c>
      <c r="N11" s="148">
        <v>1</v>
      </c>
      <c r="O11" s="148">
        <v>0</v>
      </c>
      <c r="P11" s="140" t="s">
        <v>214</v>
      </c>
      <c r="Q11" s="140">
        <f t="shared" si="0"/>
        <v>1</v>
      </c>
    </row>
    <row r="12" spans="1:17">
      <c r="A12" s="138" t="s">
        <v>227</v>
      </c>
      <c r="B12" s="138" t="s">
        <v>151</v>
      </c>
      <c r="C12" s="138" t="s">
        <v>134</v>
      </c>
      <c r="D12" s="138" t="s">
        <v>152</v>
      </c>
      <c r="E12" s="138" t="s">
        <v>135</v>
      </c>
      <c r="F12" s="138" t="s">
        <v>157</v>
      </c>
      <c r="G12" s="138" t="s">
        <v>158</v>
      </c>
      <c r="H12" s="138" t="s">
        <v>227</v>
      </c>
      <c r="I12" s="138" t="s">
        <v>151</v>
      </c>
      <c r="J12" s="138" t="s">
        <v>226</v>
      </c>
      <c r="K12" s="138" t="s">
        <v>211</v>
      </c>
      <c r="L12" s="138" t="s">
        <v>212</v>
      </c>
      <c r="M12" s="138" t="s">
        <v>213</v>
      </c>
      <c r="N12" s="149">
        <v>1</v>
      </c>
      <c r="O12" s="149">
        <v>0</v>
      </c>
      <c r="P12" s="138" t="s">
        <v>214</v>
      </c>
      <c r="Q12" s="138">
        <f t="shared" si="0"/>
        <v>1</v>
      </c>
    </row>
    <row r="13" spans="1:17">
      <c r="A13" s="140" t="s">
        <v>228</v>
      </c>
      <c r="B13" s="140" t="s">
        <v>151</v>
      </c>
      <c r="C13" s="140" t="s">
        <v>134</v>
      </c>
      <c r="D13" s="140" t="s">
        <v>152</v>
      </c>
      <c r="E13" s="140" t="s">
        <v>135</v>
      </c>
      <c r="F13" s="140" t="s">
        <v>165</v>
      </c>
      <c r="G13" s="140" t="s">
        <v>166</v>
      </c>
      <c r="H13" s="140" t="s">
        <v>228</v>
      </c>
      <c r="I13" s="140" t="s">
        <v>151</v>
      </c>
      <c r="J13" s="140" t="s">
        <v>226</v>
      </c>
      <c r="K13" s="140" t="s">
        <v>211</v>
      </c>
      <c r="L13" s="140" t="s">
        <v>212</v>
      </c>
      <c r="M13" s="140" t="s">
        <v>213</v>
      </c>
      <c r="N13" s="148">
        <v>1</v>
      </c>
      <c r="O13" s="148">
        <v>0</v>
      </c>
      <c r="P13" s="140" t="s">
        <v>214</v>
      </c>
      <c r="Q13" s="140">
        <f t="shared" si="0"/>
        <v>1</v>
      </c>
    </row>
    <row r="14" spans="1:17">
      <c r="A14" s="138" t="s">
        <v>229</v>
      </c>
      <c r="B14" s="138" t="s">
        <v>151</v>
      </c>
      <c r="C14" s="138" t="s">
        <v>134</v>
      </c>
      <c r="D14" s="138" t="s">
        <v>152</v>
      </c>
      <c r="E14" s="138" t="s">
        <v>135</v>
      </c>
      <c r="F14" s="138" t="s">
        <v>188</v>
      </c>
      <c r="G14" s="138" t="s">
        <v>189</v>
      </c>
      <c r="H14" s="138" t="s">
        <v>229</v>
      </c>
      <c r="I14" s="138" t="s">
        <v>151</v>
      </c>
      <c r="J14" s="138" t="s">
        <v>226</v>
      </c>
      <c r="K14" s="138" t="s">
        <v>211</v>
      </c>
      <c r="L14" s="138" t="s">
        <v>212</v>
      </c>
      <c r="M14" s="138" t="s">
        <v>213</v>
      </c>
      <c r="N14" s="149">
        <v>1</v>
      </c>
      <c r="O14" s="149">
        <v>0</v>
      </c>
      <c r="P14" s="138" t="s">
        <v>214</v>
      </c>
      <c r="Q14" s="138">
        <f t="shared" si="0"/>
        <v>1</v>
      </c>
    </row>
    <row r="15" spans="1:17">
      <c r="A15" s="140" t="s">
        <v>230</v>
      </c>
      <c r="B15" s="140" t="s">
        <v>159</v>
      </c>
      <c r="C15" s="140" t="s">
        <v>144</v>
      </c>
      <c r="D15" s="140" t="s">
        <v>160</v>
      </c>
      <c r="E15" s="140" t="s">
        <v>145</v>
      </c>
      <c r="F15" s="140" t="s">
        <v>148</v>
      </c>
      <c r="G15" s="140" t="s">
        <v>149</v>
      </c>
      <c r="H15" s="140" t="s">
        <v>230</v>
      </c>
      <c r="I15" s="140" t="s">
        <v>159</v>
      </c>
      <c r="J15" s="140" t="s">
        <v>231</v>
      </c>
      <c r="K15" s="140" t="s">
        <v>211</v>
      </c>
      <c r="L15" s="140" t="s">
        <v>212</v>
      </c>
      <c r="M15" s="140" t="s">
        <v>213</v>
      </c>
      <c r="N15" s="148">
        <v>1</v>
      </c>
      <c r="O15" s="148">
        <v>0</v>
      </c>
      <c r="P15" s="140" t="s">
        <v>220</v>
      </c>
      <c r="Q15" s="140">
        <f t="shared" si="0"/>
        <v>1</v>
      </c>
    </row>
    <row r="16" spans="1:17">
      <c r="A16" s="138" t="s">
        <v>232</v>
      </c>
      <c r="B16" s="138" t="s">
        <v>159</v>
      </c>
      <c r="C16" s="138" t="s">
        <v>144</v>
      </c>
      <c r="D16" s="138" t="s">
        <v>160</v>
      </c>
      <c r="E16" s="138" t="s">
        <v>145</v>
      </c>
      <c r="F16" s="138" t="s">
        <v>157</v>
      </c>
      <c r="G16" s="138" t="s">
        <v>158</v>
      </c>
      <c r="H16" s="138" t="s">
        <v>232</v>
      </c>
      <c r="I16" s="138" t="s">
        <v>159</v>
      </c>
      <c r="J16" s="138" t="s">
        <v>231</v>
      </c>
      <c r="K16" s="138" t="s">
        <v>211</v>
      </c>
      <c r="L16" s="138" t="s">
        <v>212</v>
      </c>
      <c r="M16" s="138" t="s">
        <v>213</v>
      </c>
      <c r="N16" s="149">
        <v>1</v>
      </c>
      <c r="O16" s="149">
        <v>0</v>
      </c>
      <c r="P16" s="138" t="s">
        <v>220</v>
      </c>
      <c r="Q16" s="138">
        <f t="shared" si="0"/>
        <v>1</v>
      </c>
    </row>
    <row r="17" spans="1:17">
      <c r="A17" s="140" t="s">
        <v>233</v>
      </c>
      <c r="B17" s="140" t="s">
        <v>159</v>
      </c>
      <c r="C17" s="140" t="s">
        <v>144</v>
      </c>
      <c r="D17" s="140" t="s">
        <v>160</v>
      </c>
      <c r="E17" s="140" t="s">
        <v>145</v>
      </c>
      <c r="F17" s="140" t="s">
        <v>165</v>
      </c>
      <c r="G17" s="140" t="s">
        <v>166</v>
      </c>
      <c r="H17" s="140" t="s">
        <v>233</v>
      </c>
      <c r="I17" s="140" t="s">
        <v>159</v>
      </c>
      <c r="J17" s="140" t="s">
        <v>231</v>
      </c>
      <c r="K17" s="140" t="s">
        <v>211</v>
      </c>
      <c r="L17" s="140" t="s">
        <v>212</v>
      </c>
      <c r="M17" s="140" t="s">
        <v>213</v>
      </c>
      <c r="N17" s="148">
        <v>1</v>
      </c>
      <c r="O17" s="148">
        <v>0</v>
      </c>
      <c r="P17" s="140" t="s">
        <v>220</v>
      </c>
      <c r="Q17" s="140">
        <f t="shared" si="0"/>
        <v>1</v>
      </c>
    </row>
    <row r="18" spans="1:17">
      <c r="A18" s="138" t="s">
        <v>234</v>
      </c>
      <c r="B18" s="138" t="s">
        <v>159</v>
      </c>
      <c r="C18" s="138" t="s">
        <v>144</v>
      </c>
      <c r="D18" s="138" t="s">
        <v>160</v>
      </c>
      <c r="E18" s="138" t="s">
        <v>145</v>
      </c>
      <c r="F18" s="138" t="s">
        <v>176</v>
      </c>
      <c r="G18" s="138" t="s">
        <v>177</v>
      </c>
      <c r="H18" s="138" t="s">
        <v>234</v>
      </c>
      <c r="I18" s="138" t="s">
        <v>159</v>
      </c>
      <c r="J18" s="138" t="s">
        <v>231</v>
      </c>
      <c r="K18" s="138" t="s">
        <v>211</v>
      </c>
      <c r="L18" s="138" t="s">
        <v>212</v>
      </c>
      <c r="M18" s="138" t="s">
        <v>213</v>
      </c>
      <c r="N18" s="149">
        <v>1</v>
      </c>
      <c r="O18" s="149">
        <v>0</v>
      </c>
      <c r="P18" s="138" t="s">
        <v>220</v>
      </c>
      <c r="Q18" s="138">
        <f t="shared" si="0"/>
        <v>1</v>
      </c>
    </row>
    <row r="19" spans="1:17">
      <c r="A19" s="140" t="s">
        <v>235</v>
      </c>
      <c r="B19" s="140" t="s">
        <v>159</v>
      </c>
      <c r="C19" s="140" t="s">
        <v>144</v>
      </c>
      <c r="D19" s="140" t="s">
        <v>160</v>
      </c>
      <c r="E19" s="140" t="s">
        <v>145</v>
      </c>
      <c r="F19" s="140" t="s">
        <v>182</v>
      </c>
      <c r="G19" s="140" t="s">
        <v>183</v>
      </c>
      <c r="H19" s="140" t="s">
        <v>235</v>
      </c>
      <c r="I19" s="140" t="s">
        <v>159</v>
      </c>
      <c r="J19" s="140" t="s">
        <v>231</v>
      </c>
      <c r="K19" s="140" t="s">
        <v>211</v>
      </c>
      <c r="L19" s="140" t="s">
        <v>212</v>
      </c>
      <c r="M19" s="140" t="s">
        <v>213</v>
      </c>
      <c r="N19" s="148">
        <v>1</v>
      </c>
      <c r="O19" s="148">
        <v>0</v>
      </c>
      <c r="P19" s="140" t="s">
        <v>220</v>
      </c>
      <c r="Q19" s="140">
        <f t="shared" si="0"/>
        <v>1</v>
      </c>
    </row>
    <row r="20" spans="1:17" ht="22.8">
      <c r="A20" s="138" t="s">
        <v>236</v>
      </c>
      <c r="B20" s="138" t="s">
        <v>168</v>
      </c>
      <c r="C20" s="138" t="s">
        <v>154</v>
      </c>
      <c r="D20" s="138" t="s">
        <v>169</v>
      </c>
      <c r="E20" s="138" t="s">
        <v>155</v>
      </c>
      <c r="F20" s="138" t="s">
        <v>148</v>
      </c>
      <c r="G20" s="138" t="s">
        <v>149</v>
      </c>
      <c r="H20" s="138" t="s">
        <v>236</v>
      </c>
      <c r="I20" s="138" t="s">
        <v>168</v>
      </c>
      <c r="J20" s="138" t="s">
        <v>237</v>
      </c>
      <c r="K20" s="138" t="s">
        <v>211</v>
      </c>
      <c r="L20" s="138" t="s">
        <v>212</v>
      </c>
      <c r="M20" s="138" t="s">
        <v>213</v>
      </c>
      <c r="N20" s="149">
        <v>1</v>
      </c>
      <c r="O20" s="149">
        <v>0</v>
      </c>
      <c r="P20" s="138" t="s">
        <v>238</v>
      </c>
      <c r="Q20" s="138">
        <f t="shared" si="0"/>
        <v>1</v>
      </c>
    </row>
    <row r="21" spans="1:17" ht="22.8">
      <c r="A21" s="140" t="s">
        <v>239</v>
      </c>
      <c r="B21" s="140" t="s">
        <v>168</v>
      </c>
      <c r="C21" s="140" t="s">
        <v>154</v>
      </c>
      <c r="D21" s="140" t="s">
        <v>169</v>
      </c>
      <c r="E21" s="140" t="s">
        <v>155</v>
      </c>
      <c r="F21" s="140" t="s">
        <v>157</v>
      </c>
      <c r="G21" s="140" t="s">
        <v>158</v>
      </c>
      <c r="H21" s="140" t="s">
        <v>239</v>
      </c>
      <c r="I21" s="140" t="s">
        <v>168</v>
      </c>
      <c r="J21" s="140" t="s">
        <v>237</v>
      </c>
      <c r="K21" s="140" t="s">
        <v>211</v>
      </c>
      <c r="L21" s="140" t="s">
        <v>212</v>
      </c>
      <c r="M21" s="140" t="s">
        <v>213</v>
      </c>
      <c r="N21" s="148">
        <v>1</v>
      </c>
      <c r="O21" s="148">
        <v>0</v>
      </c>
      <c r="P21" s="140" t="s">
        <v>238</v>
      </c>
      <c r="Q21" s="140">
        <f t="shared" si="0"/>
        <v>1</v>
      </c>
    </row>
    <row r="22" spans="1:17" ht="22.8">
      <c r="A22" s="138" t="s">
        <v>240</v>
      </c>
      <c r="B22" s="138" t="s">
        <v>168</v>
      </c>
      <c r="C22" s="138" t="s">
        <v>154</v>
      </c>
      <c r="D22" s="138" t="s">
        <v>169</v>
      </c>
      <c r="E22" s="138" t="s">
        <v>155</v>
      </c>
      <c r="F22" s="138" t="s">
        <v>165</v>
      </c>
      <c r="G22" s="138" t="s">
        <v>166</v>
      </c>
      <c r="H22" s="138" t="s">
        <v>240</v>
      </c>
      <c r="I22" s="138" t="s">
        <v>168</v>
      </c>
      <c r="J22" s="138" t="s">
        <v>237</v>
      </c>
      <c r="K22" s="138" t="s">
        <v>211</v>
      </c>
      <c r="L22" s="138" t="s">
        <v>212</v>
      </c>
      <c r="M22" s="138" t="s">
        <v>213</v>
      </c>
      <c r="N22" s="149">
        <v>1</v>
      </c>
      <c r="O22" s="149">
        <v>0</v>
      </c>
      <c r="P22" s="138" t="s">
        <v>238</v>
      </c>
      <c r="Q22" s="138">
        <f t="shared" si="0"/>
        <v>1</v>
      </c>
    </row>
    <row r="23" spans="1:17" ht="22.8">
      <c r="A23" s="140" t="s">
        <v>241</v>
      </c>
      <c r="B23" s="140" t="s">
        <v>168</v>
      </c>
      <c r="C23" s="140" t="s">
        <v>154</v>
      </c>
      <c r="D23" s="140" t="s">
        <v>169</v>
      </c>
      <c r="E23" s="140" t="s">
        <v>155</v>
      </c>
      <c r="F23" s="140" t="s">
        <v>176</v>
      </c>
      <c r="G23" s="140" t="s">
        <v>177</v>
      </c>
      <c r="H23" s="140" t="s">
        <v>241</v>
      </c>
      <c r="I23" s="140" t="s">
        <v>168</v>
      </c>
      <c r="J23" s="140" t="s">
        <v>237</v>
      </c>
      <c r="K23" s="140" t="s">
        <v>211</v>
      </c>
      <c r="L23" s="140" t="s">
        <v>212</v>
      </c>
      <c r="M23" s="140" t="s">
        <v>213</v>
      </c>
      <c r="N23" s="148">
        <v>1</v>
      </c>
      <c r="O23" s="148">
        <v>0</v>
      </c>
      <c r="P23" s="140" t="s">
        <v>238</v>
      </c>
      <c r="Q23" s="140">
        <f t="shared" si="0"/>
        <v>1</v>
      </c>
    </row>
    <row r="24" spans="1:17" ht="22.8">
      <c r="A24" s="138" t="s">
        <v>242</v>
      </c>
      <c r="B24" s="138" t="s">
        <v>179</v>
      </c>
      <c r="C24" s="138" t="s">
        <v>162</v>
      </c>
      <c r="D24" s="138" t="s">
        <v>180</v>
      </c>
      <c r="E24" s="138" t="s">
        <v>163</v>
      </c>
      <c r="F24" s="138" t="s">
        <v>148</v>
      </c>
      <c r="G24" s="138" t="s">
        <v>149</v>
      </c>
      <c r="H24" s="138" t="s">
        <v>242</v>
      </c>
      <c r="I24" s="138" t="s">
        <v>179</v>
      </c>
      <c r="J24" s="138" t="s">
        <v>243</v>
      </c>
      <c r="K24" s="138" t="s">
        <v>211</v>
      </c>
      <c r="L24" s="138" t="s">
        <v>212</v>
      </c>
      <c r="M24" s="138" t="s">
        <v>213</v>
      </c>
      <c r="N24" s="149">
        <v>1</v>
      </c>
      <c r="O24" s="149">
        <v>0</v>
      </c>
      <c r="P24" s="138" t="s">
        <v>238</v>
      </c>
      <c r="Q24" s="138">
        <f t="shared" si="0"/>
        <v>1</v>
      </c>
    </row>
    <row r="25" spans="1:17" ht="42" customHeight="1">
      <c r="A25" s="22" t="s">
        <v>244</v>
      </c>
      <c r="B25" s="22" t="s">
        <v>185</v>
      </c>
      <c r="C25" s="22" t="s">
        <v>172</v>
      </c>
      <c r="D25" s="22" t="s">
        <v>186</v>
      </c>
      <c r="E25" s="22" t="s">
        <v>173</v>
      </c>
      <c r="F25" s="22" t="s">
        <v>148</v>
      </c>
      <c r="G25" s="22" t="s">
        <v>149</v>
      </c>
      <c r="H25" s="22" t="s">
        <v>244</v>
      </c>
      <c r="I25" s="22" t="s">
        <v>185</v>
      </c>
      <c r="J25" s="22" t="s">
        <v>245</v>
      </c>
      <c r="K25" s="22" t="s">
        <v>211</v>
      </c>
      <c r="L25" s="22" t="s">
        <v>212</v>
      </c>
      <c r="M25" s="22" t="s">
        <v>213</v>
      </c>
      <c r="N25" s="22">
        <v>1</v>
      </c>
      <c r="O25" s="22">
        <v>0</v>
      </c>
      <c r="P25" s="23" t="s">
        <v>246</v>
      </c>
      <c r="Q25" s="22">
        <f t="shared" si="0"/>
        <v>1</v>
      </c>
    </row>
    <row r="26" spans="1:17" ht="42" customHeight="1">
      <c r="A26" s="22" t="s">
        <v>247</v>
      </c>
      <c r="B26" s="22" t="s">
        <v>185</v>
      </c>
      <c r="C26" s="22" t="s">
        <v>172</v>
      </c>
      <c r="D26" s="22" t="s">
        <v>186</v>
      </c>
      <c r="E26" s="22" t="s">
        <v>173</v>
      </c>
      <c r="F26" s="22" t="s">
        <v>157</v>
      </c>
      <c r="G26" s="22" t="s">
        <v>158</v>
      </c>
      <c r="H26" s="22" t="s">
        <v>247</v>
      </c>
      <c r="I26" s="22" t="s">
        <v>185</v>
      </c>
      <c r="J26" s="22" t="s">
        <v>245</v>
      </c>
      <c r="K26" s="22" t="s">
        <v>211</v>
      </c>
      <c r="L26" s="22" t="s">
        <v>212</v>
      </c>
      <c r="M26" s="22" t="s">
        <v>213</v>
      </c>
      <c r="N26" s="22">
        <v>1</v>
      </c>
      <c r="O26" s="22">
        <v>0</v>
      </c>
      <c r="P26" s="23" t="s">
        <v>246</v>
      </c>
      <c r="Q26" s="22">
        <f t="shared" si="0"/>
        <v>1</v>
      </c>
    </row>
    <row r="27" spans="1:17" ht="42" customHeight="1">
      <c r="A27" s="22" t="s">
        <v>248</v>
      </c>
      <c r="B27" s="22" t="s">
        <v>185</v>
      </c>
      <c r="C27" s="22" t="s">
        <v>172</v>
      </c>
      <c r="D27" s="22" t="s">
        <v>186</v>
      </c>
      <c r="E27" s="22" t="s">
        <v>173</v>
      </c>
      <c r="F27" s="22" t="s">
        <v>165</v>
      </c>
      <c r="G27" s="22" t="s">
        <v>166</v>
      </c>
      <c r="H27" s="22" t="s">
        <v>248</v>
      </c>
      <c r="I27" s="22" t="s">
        <v>185</v>
      </c>
      <c r="J27" s="22" t="s">
        <v>245</v>
      </c>
      <c r="K27" s="22" t="s">
        <v>211</v>
      </c>
      <c r="L27" s="22" t="s">
        <v>212</v>
      </c>
      <c r="M27" s="22" t="s">
        <v>213</v>
      </c>
      <c r="N27" s="22">
        <v>1</v>
      </c>
      <c r="O27" s="22">
        <v>0</v>
      </c>
      <c r="P27" s="23" t="s">
        <v>249</v>
      </c>
      <c r="Q27" s="22">
        <f t="shared" si="0"/>
        <v>1</v>
      </c>
    </row>
    <row r="28" spans="1:17" ht="42" customHeight="1">
      <c r="A28" s="22" t="s">
        <v>250</v>
      </c>
      <c r="B28" s="22" t="s">
        <v>185</v>
      </c>
      <c r="C28" s="22" t="s">
        <v>172</v>
      </c>
      <c r="D28" s="22" t="s">
        <v>186</v>
      </c>
      <c r="E28" s="22" t="s">
        <v>173</v>
      </c>
      <c r="F28" s="22" t="s">
        <v>176</v>
      </c>
      <c r="G28" s="22" t="s">
        <v>177</v>
      </c>
      <c r="H28" s="22" t="s">
        <v>250</v>
      </c>
      <c r="I28" s="22" t="s">
        <v>185</v>
      </c>
      <c r="J28" s="22" t="s">
        <v>245</v>
      </c>
      <c r="K28" s="22" t="s">
        <v>211</v>
      </c>
      <c r="L28" s="22" t="s">
        <v>212</v>
      </c>
      <c r="M28" s="22" t="s">
        <v>213</v>
      </c>
      <c r="N28" s="22">
        <v>1</v>
      </c>
      <c r="O28" s="22">
        <v>0</v>
      </c>
      <c r="P28" s="23" t="s">
        <v>251</v>
      </c>
      <c r="Q28" s="22">
        <f t="shared" si="0"/>
        <v>1</v>
      </c>
    </row>
    <row r="29" spans="1:17" ht="42" customHeight="1">
      <c r="A29" s="22" t="s">
        <v>252</v>
      </c>
      <c r="B29" s="22" t="s">
        <v>185</v>
      </c>
      <c r="C29" s="22" t="s">
        <v>172</v>
      </c>
      <c r="D29" s="22" t="s">
        <v>186</v>
      </c>
      <c r="E29" s="22" t="s">
        <v>173</v>
      </c>
      <c r="F29" s="22" t="s">
        <v>188</v>
      </c>
      <c r="G29" s="22" t="s">
        <v>189</v>
      </c>
      <c r="H29" s="22" t="s">
        <v>252</v>
      </c>
      <c r="I29" s="22" t="s">
        <v>185</v>
      </c>
      <c r="J29" s="22" t="s">
        <v>245</v>
      </c>
      <c r="K29" s="22" t="s">
        <v>211</v>
      </c>
      <c r="L29" s="22" t="s">
        <v>212</v>
      </c>
      <c r="M29" s="22" t="s">
        <v>213</v>
      </c>
      <c r="N29" s="22">
        <v>1</v>
      </c>
      <c r="O29" s="22">
        <v>0</v>
      </c>
      <c r="P29" s="23" t="s">
        <v>246</v>
      </c>
      <c r="Q29" s="22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showGridLines="0" topLeftCell="I1" workbookViewId="0">
      <selection activeCell="K9" sqref="K9"/>
    </sheetView>
  </sheetViews>
  <sheetFormatPr defaultRowHeight="13.8"/>
  <cols>
    <col min="1" max="1" width="24" customWidth="1"/>
    <col min="2" max="2" width="26" customWidth="1"/>
    <col min="3" max="3" width="28" customWidth="1"/>
    <col min="4" max="4" width="44" customWidth="1"/>
    <col min="5" max="5" width="34" customWidth="1"/>
    <col min="6" max="7" width="18" customWidth="1"/>
    <col min="8" max="8" width="26" customWidth="1"/>
    <col min="9" max="9" width="20" customWidth="1"/>
    <col min="10" max="10" width="30" customWidth="1"/>
    <col min="11" max="11" width="26" customWidth="1"/>
    <col min="12" max="12" width="42" customWidth="1"/>
    <col min="13" max="13" width="18" customWidth="1"/>
    <col min="14" max="14" width="62" customWidth="1"/>
    <col min="15" max="15" width="20" customWidth="1"/>
  </cols>
  <sheetData>
    <row r="1" spans="1:15" ht="36" customHeight="1">
      <c r="A1" s="2" t="s">
        <v>253</v>
      </c>
      <c r="B1" s="3" t="s">
        <v>117</v>
      </c>
      <c r="C1" s="3" t="s">
        <v>118</v>
      </c>
      <c r="D1" s="3" t="s">
        <v>254</v>
      </c>
      <c r="E1" s="3" t="s">
        <v>255</v>
      </c>
      <c r="F1" s="3" t="s">
        <v>256</v>
      </c>
      <c r="G1" s="3" t="s">
        <v>257</v>
      </c>
      <c r="H1" s="3" t="s">
        <v>258</v>
      </c>
      <c r="I1" s="3" t="s">
        <v>259</v>
      </c>
      <c r="J1" s="3" t="s">
        <v>260</v>
      </c>
      <c r="K1" s="3" t="s">
        <v>261</v>
      </c>
      <c r="L1" s="3" t="s">
        <v>37</v>
      </c>
      <c r="M1" s="3" t="s">
        <v>262</v>
      </c>
      <c r="N1" s="3" t="s">
        <v>207</v>
      </c>
      <c r="O1" s="4" t="s">
        <v>263</v>
      </c>
    </row>
    <row r="2" spans="1:15">
      <c r="A2" s="5" t="s">
        <v>264</v>
      </c>
      <c r="B2" s="5" t="s">
        <v>130</v>
      </c>
      <c r="C2" s="5" t="s">
        <v>131</v>
      </c>
      <c r="D2" s="5" t="s">
        <v>265</v>
      </c>
      <c r="E2" s="5" t="s">
        <v>266</v>
      </c>
      <c r="F2" s="150">
        <v>0.11</v>
      </c>
      <c r="G2" s="28">
        <v>0.75</v>
      </c>
      <c r="H2" s="5" t="s">
        <v>112</v>
      </c>
      <c r="I2" s="30">
        <v>-0.48</v>
      </c>
      <c r="J2" s="30" t="s">
        <v>267</v>
      </c>
      <c r="K2" s="31">
        <f t="shared" ref="K2:K12" si="0">IF(ISBLANK(F2),"",IF(E2="tax_share_to_price_elasticity",MIN(1,ABS(I2)*MAX(0,(1-F2)/(1-G2)-1)),IF(E2="price_elasticity",MIN(1,ABS(I2)*MAX(0,G2-F2)),IF(E2="coverage_gap_multiplicative",MIN(1,I2*MAX(0,G2-F2)),IF(E2="score_lookup",IF(F2&lt;=2,1,IF(F2=3,0.297,0)),"")))))</f>
        <v>1</v>
      </c>
      <c r="L2" s="5" t="s">
        <v>268</v>
      </c>
      <c r="M2" s="5" t="s">
        <v>18</v>
      </c>
      <c r="N2" s="5" t="s">
        <v>269</v>
      </c>
      <c r="O2" s="5" t="str">
        <f t="shared" ref="O2:O13" si="1">IF(OR(ISBLANK(F2),ISBLANK(G2)),"MISSING INPUT",IF(G2&lt;F2,"BAD TARGET","OK"))</f>
        <v>OK</v>
      </c>
    </row>
    <row r="3" spans="1:15">
      <c r="A3" s="6" t="s">
        <v>270</v>
      </c>
      <c r="B3" s="6" t="s">
        <v>140</v>
      </c>
      <c r="C3" s="6" t="s">
        <v>141</v>
      </c>
      <c r="D3" s="6" t="s">
        <v>271</v>
      </c>
      <c r="E3" s="6" t="s">
        <v>272</v>
      </c>
      <c r="F3" s="152">
        <v>0.249</v>
      </c>
      <c r="G3" s="11">
        <v>0.25</v>
      </c>
      <c r="H3" s="6" t="s">
        <v>104</v>
      </c>
      <c r="I3" s="12">
        <v>-0.49</v>
      </c>
      <c r="J3" s="12" t="s">
        <v>267</v>
      </c>
      <c r="K3" s="32">
        <f t="shared" si="0"/>
        <v>4.9000000000000042E-4</v>
      </c>
      <c r="L3" s="6" t="s">
        <v>273</v>
      </c>
      <c r="M3" s="6" t="s">
        <v>274</v>
      </c>
      <c r="N3" s="6" t="s">
        <v>275</v>
      </c>
      <c r="O3" s="6" t="str">
        <f t="shared" si="1"/>
        <v>OK</v>
      </c>
    </row>
    <row r="4" spans="1:15">
      <c r="A4" s="6" t="s">
        <v>276</v>
      </c>
      <c r="B4" s="6" t="s">
        <v>151</v>
      </c>
      <c r="C4" s="6" t="s">
        <v>152</v>
      </c>
      <c r="D4" s="6" t="s">
        <v>277</v>
      </c>
      <c r="E4" s="6" t="s">
        <v>278</v>
      </c>
      <c r="F4" s="11">
        <v>0</v>
      </c>
      <c r="G4" s="11">
        <v>1</v>
      </c>
      <c r="H4" s="6" t="s">
        <v>279</v>
      </c>
      <c r="I4" s="12">
        <v>0.11</v>
      </c>
      <c r="J4" s="12" t="s">
        <v>280</v>
      </c>
      <c r="K4" s="32">
        <f t="shared" si="0"/>
        <v>0.11</v>
      </c>
      <c r="L4" s="6" t="s">
        <v>268</v>
      </c>
      <c r="M4" s="6" t="s">
        <v>26</v>
      </c>
      <c r="N4" s="6" t="s">
        <v>281</v>
      </c>
      <c r="O4" s="6" t="str">
        <f t="shared" si="1"/>
        <v>OK</v>
      </c>
    </row>
    <row r="5" spans="1:15">
      <c r="A5" s="6" t="s">
        <v>282</v>
      </c>
      <c r="B5" s="6" t="s">
        <v>151</v>
      </c>
      <c r="C5" s="6" t="s">
        <v>152</v>
      </c>
      <c r="D5" s="6" t="s">
        <v>283</v>
      </c>
      <c r="E5" s="6" t="s">
        <v>278</v>
      </c>
      <c r="F5" s="11">
        <v>0</v>
      </c>
      <c r="G5" s="11">
        <v>1</v>
      </c>
      <c r="H5" s="6" t="s">
        <v>279</v>
      </c>
      <c r="I5" s="12">
        <v>6.5000000000000002E-2</v>
      </c>
      <c r="J5" s="12" t="s">
        <v>280</v>
      </c>
      <c r="K5" s="32">
        <f t="shared" si="0"/>
        <v>6.5000000000000002E-2</v>
      </c>
      <c r="L5" s="6" t="s">
        <v>268</v>
      </c>
      <c r="M5" s="6" t="s">
        <v>26</v>
      </c>
      <c r="N5" s="6" t="s">
        <v>281</v>
      </c>
      <c r="O5" s="6" t="str">
        <f t="shared" si="1"/>
        <v>OK</v>
      </c>
    </row>
    <row r="6" spans="1:15">
      <c r="A6" s="6" t="s">
        <v>284</v>
      </c>
      <c r="B6" s="6" t="s">
        <v>151</v>
      </c>
      <c r="C6" s="6" t="s">
        <v>152</v>
      </c>
      <c r="D6" s="6" t="s">
        <v>285</v>
      </c>
      <c r="E6" s="6" t="s">
        <v>278</v>
      </c>
      <c r="F6" s="11">
        <v>0</v>
      </c>
      <c r="G6" s="11">
        <v>1</v>
      </c>
      <c r="H6" s="6" t="s">
        <v>279</v>
      </c>
      <c r="I6" s="12">
        <v>0.04</v>
      </c>
      <c r="J6" s="12" t="s">
        <v>280</v>
      </c>
      <c r="K6" s="32">
        <f t="shared" si="0"/>
        <v>0.04</v>
      </c>
      <c r="L6" s="6" t="s">
        <v>268</v>
      </c>
      <c r="M6" s="6" t="s">
        <v>26</v>
      </c>
      <c r="N6" s="6" t="s">
        <v>281</v>
      </c>
      <c r="O6" s="6" t="str">
        <f t="shared" si="1"/>
        <v>OK</v>
      </c>
    </row>
    <row r="7" spans="1:15">
      <c r="A7" s="6" t="s">
        <v>286</v>
      </c>
      <c r="B7" s="6" t="s">
        <v>159</v>
      </c>
      <c r="C7" s="6" t="s">
        <v>160</v>
      </c>
      <c r="D7" s="6" t="s">
        <v>287</v>
      </c>
      <c r="E7" s="6" t="s">
        <v>278</v>
      </c>
      <c r="F7" s="152">
        <v>0.999</v>
      </c>
      <c r="G7" s="11">
        <v>1</v>
      </c>
      <c r="H7" s="6" t="s">
        <v>279</v>
      </c>
      <c r="I7" s="12">
        <v>0.26900000000000002</v>
      </c>
      <c r="J7" s="12" t="s">
        <v>280</v>
      </c>
      <c r="K7" s="32">
        <f t="shared" si="0"/>
        <v>2.6900000000000025E-4</v>
      </c>
      <c r="L7" s="6" t="s">
        <v>273</v>
      </c>
      <c r="M7" s="6" t="s">
        <v>26</v>
      </c>
      <c r="N7" s="6" t="s">
        <v>281</v>
      </c>
      <c r="O7" s="6" t="str">
        <f t="shared" si="1"/>
        <v>OK</v>
      </c>
    </row>
    <row r="8" spans="1:15">
      <c r="A8" s="6" t="s">
        <v>288</v>
      </c>
      <c r="B8" s="6" t="s">
        <v>168</v>
      </c>
      <c r="C8" s="6" t="s">
        <v>169</v>
      </c>
      <c r="D8" s="6" t="s">
        <v>289</v>
      </c>
      <c r="E8" s="6" t="s">
        <v>278</v>
      </c>
      <c r="F8" s="11">
        <v>0</v>
      </c>
      <c r="G8" s="11">
        <v>1</v>
      </c>
      <c r="H8" s="6" t="s">
        <v>279</v>
      </c>
      <c r="I8" s="12">
        <v>0.2</v>
      </c>
      <c r="J8" s="12" t="s">
        <v>290</v>
      </c>
      <c r="K8" s="32">
        <f t="shared" si="0"/>
        <v>0.2</v>
      </c>
      <c r="L8" s="6" t="s">
        <v>86</v>
      </c>
      <c r="M8" s="6" t="s">
        <v>26</v>
      </c>
      <c r="N8" s="6" t="s">
        <v>291</v>
      </c>
      <c r="O8" s="6" t="str">
        <f t="shared" si="1"/>
        <v>OK</v>
      </c>
    </row>
    <row r="9" spans="1:15">
      <c r="A9" s="6" t="s">
        <v>292</v>
      </c>
      <c r="B9" s="6" t="s">
        <v>168</v>
      </c>
      <c r="C9" s="6" t="s">
        <v>169</v>
      </c>
      <c r="D9" s="6" t="s">
        <v>293</v>
      </c>
      <c r="E9" s="6" t="s">
        <v>278</v>
      </c>
      <c r="F9" s="11">
        <v>0</v>
      </c>
      <c r="G9" s="11">
        <v>1</v>
      </c>
      <c r="H9" s="6" t="s">
        <v>279</v>
      </c>
      <c r="I9" s="12">
        <v>0.1</v>
      </c>
      <c r="J9" s="12" t="s">
        <v>290</v>
      </c>
      <c r="K9" s="32">
        <f t="shared" si="0"/>
        <v>0.1</v>
      </c>
      <c r="L9" s="6" t="s">
        <v>86</v>
      </c>
      <c r="M9" s="6" t="s">
        <v>26</v>
      </c>
      <c r="N9" s="6" t="s">
        <v>281</v>
      </c>
      <c r="O9" s="6" t="str">
        <f t="shared" si="1"/>
        <v>OK</v>
      </c>
    </row>
    <row r="10" spans="1:15">
      <c r="A10" s="6" t="s">
        <v>294</v>
      </c>
      <c r="B10" s="6" t="s">
        <v>168</v>
      </c>
      <c r="C10" s="6" t="s">
        <v>169</v>
      </c>
      <c r="D10" s="6" t="s">
        <v>295</v>
      </c>
      <c r="E10" s="6" t="s">
        <v>278</v>
      </c>
      <c r="F10" s="11">
        <v>0</v>
      </c>
      <c r="G10" s="11">
        <v>1</v>
      </c>
      <c r="H10" s="6" t="s">
        <v>279</v>
      </c>
      <c r="I10" s="12">
        <v>0.05</v>
      </c>
      <c r="J10" s="12" t="s">
        <v>290</v>
      </c>
      <c r="K10" s="32">
        <f t="shared" si="0"/>
        <v>0.05</v>
      </c>
      <c r="L10" s="6" t="s">
        <v>86</v>
      </c>
      <c r="M10" s="6" t="s">
        <v>26</v>
      </c>
      <c r="N10" s="6" t="s">
        <v>281</v>
      </c>
      <c r="O10" s="6" t="str">
        <f t="shared" si="1"/>
        <v>OK</v>
      </c>
    </row>
    <row r="11" spans="1:15">
      <c r="A11" s="6" t="s">
        <v>296</v>
      </c>
      <c r="B11" s="6" t="s">
        <v>168</v>
      </c>
      <c r="C11" s="6" t="s">
        <v>169</v>
      </c>
      <c r="D11" s="6" t="s">
        <v>297</v>
      </c>
      <c r="E11" s="6" t="s">
        <v>278</v>
      </c>
      <c r="F11" s="11">
        <v>0</v>
      </c>
      <c r="G11" s="11">
        <v>1</v>
      </c>
      <c r="H11" s="6" t="s">
        <v>279</v>
      </c>
      <c r="I11" s="12">
        <v>7.0000000000000007E-2</v>
      </c>
      <c r="J11" s="12" t="s">
        <v>290</v>
      </c>
      <c r="K11" s="32">
        <f t="shared" si="0"/>
        <v>7.0000000000000007E-2</v>
      </c>
      <c r="L11" s="6" t="s">
        <v>86</v>
      </c>
      <c r="M11" s="6" t="s">
        <v>26</v>
      </c>
      <c r="N11" s="6" t="s">
        <v>281</v>
      </c>
      <c r="O11" s="6" t="str">
        <f t="shared" si="1"/>
        <v>OK</v>
      </c>
    </row>
    <row r="12" spans="1:15">
      <c r="A12" s="7" t="s">
        <v>298</v>
      </c>
      <c r="B12" s="7" t="s">
        <v>179</v>
      </c>
      <c r="C12" s="7" t="s">
        <v>180</v>
      </c>
      <c r="D12" s="7" t="s">
        <v>299</v>
      </c>
      <c r="E12" s="7" t="s">
        <v>300</v>
      </c>
      <c r="F12" s="151">
        <v>0</v>
      </c>
      <c r="G12" s="29">
        <v>4</v>
      </c>
      <c r="H12" s="7" t="s">
        <v>301</v>
      </c>
      <c r="I12" s="33"/>
      <c r="J12" s="33" t="s">
        <v>302</v>
      </c>
      <c r="K12" s="34">
        <f t="shared" si="0"/>
        <v>1</v>
      </c>
      <c r="L12" s="7" t="s">
        <v>90</v>
      </c>
      <c r="M12" s="7" t="s">
        <v>18</v>
      </c>
      <c r="N12" s="7" t="s">
        <v>303</v>
      </c>
      <c r="O12" s="7" t="str">
        <f t="shared" si="1"/>
        <v>OK</v>
      </c>
    </row>
    <row r="13" spans="1:15" ht="54" customHeight="1">
      <c r="A13" s="6" t="s">
        <v>304</v>
      </c>
      <c r="B13" s="6" t="s">
        <v>185</v>
      </c>
      <c r="C13" s="6" t="s">
        <v>186</v>
      </c>
      <c r="D13" s="6" t="s">
        <v>305</v>
      </c>
      <c r="E13" s="6" t="s">
        <v>272</v>
      </c>
      <c r="F13" s="11">
        <v>0</v>
      </c>
      <c r="G13" s="11">
        <f>Assumptions!$B$20</f>
        <v>0.2</v>
      </c>
      <c r="H13" s="6" t="s">
        <v>104</v>
      </c>
      <c r="I13" s="12">
        <f>Assumptions!$B$21</f>
        <v>-0.875</v>
      </c>
      <c r="J13" s="12" t="s">
        <v>108</v>
      </c>
      <c r="K13" s="32">
        <f>IF(ISBLANK(F13),"",MIN(1,ABS(I13)*MAX(0,G13-F13)))</f>
        <v>0.17500000000000002</v>
      </c>
      <c r="L13" s="6" t="s">
        <v>306</v>
      </c>
      <c r="M13" s="6" t="s">
        <v>307</v>
      </c>
      <c r="N13" s="6" t="s">
        <v>308</v>
      </c>
      <c r="O13" s="6" t="str">
        <f t="shared" si="1"/>
        <v>OK</v>
      </c>
    </row>
  </sheetData>
  <conditionalFormatting sqref="M2:M13">
    <cfRule type="containsText" dxfId="50" priority="1" operator="containsText" text="OK"/>
    <cfRule type="containsText" dxfId="49" priority="4" operator="containsText" text="FAIL"/>
    <cfRule type="containsText" dxfId="48" priority="7" operator="containsText" text="REVIEW"/>
  </conditionalFormatting>
  <conditionalFormatting sqref="O2:O13">
    <cfRule type="containsText" dxfId="47" priority="8" operator="containsText" text="OK"/>
    <cfRule type="containsText" dxfId="46" priority="11" operator="containsText" text="FAIL"/>
    <cfRule type="containsText" dxfId="45" priority="14" operator="containsText" text="REVIEW"/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"/>
  <sheetViews>
    <sheetView showGridLines="0" workbookViewId="0">
      <selection activeCell="A12" sqref="A12"/>
    </sheetView>
  </sheetViews>
  <sheetFormatPr defaultRowHeight="13.8"/>
  <cols>
    <col min="1" max="1" width="22" customWidth="1"/>
    <col min="2" max="2" width="26" customWidth="1"/>
    <col min="3" max="3" width="16" customWidth="1"/>
    <col min="4" max="4" width="28" customWidth="1"/>
    <col min="5" max="5" width="36" customWidth="1"/>
    <col min="6" max="6" width="30" customWidth="1"/>
    <col min="7" max="7" width="20" customWidth="1"/>
    <col min="8" max="8" width="18" customWidth="1"/>
    <col min="9" max="9" width="26" customWidth="1"/>
    <col min="10" max="10" width="30" customWidth="1"/>
    <col min="11" max="11" width="28" customWidth="1"/>
    <col min="12" max="12" width="18" customWidth="1"/>
    <col min="13" max="15" width="20" customWidth="1"/>
    <col min="16" max="17" width="14" customWidth="1"/>
    <col min="18" max="18" width="22" customWidth="1"/>
    <col min="19" max="19" width="48" customWidth="1"/>
    <col min="20" max="20" width="18" customWidth="1"/>
    <col min="21" max="21" width="22" customWidth="1"/>
  </cols>
  <sheetData>
    <row r="1" spans="1:21" ht="36" customHeight="1">
      <c r="A1" s="2" t="s">
        <v>309</v>
      </c>
      <c r="B1" s="3" t="s">
        <v>117</v>
      </c>
      <c r="C1" s="3" t="s">
        <v>121</v>
      </c>
      <c r="D1" s="3" t="s">
        <v>118</v>
      </c>
      <c r="E1" s="3" t="s">
        <v>310</v>
      </c>
      <c r="F1" s="3" t="s">
        <v>124</v>
      </c>
      <c r="G1" s="3" t="s">
        <v>311</v>
      </c>
      <c r="H1" s="3" t="s">
        <v>312</v>
      </c>
      <c r="I1" s="3" t="s">
        <v>313</v>
      </c>
      <c r="J1" s="3" t="s">
        <v>314</v>
      </c>
      <c r="K1" s="3" t="s">
        <v>315</v>
      </c>
      <c r="L1" s="3" t="s">
        <v>316</v>
      </c>
      <c r="M1" s="3" t="s">
        <v>317</v>
      </c>
      <c r="N1" s="3" t="s">
        <v>318</v>
      </c>
      <c r="O1" s="3" t="s">
        <v>319</v>
      </c>
      <c r="P1" s="3" t="s">
        <v>320</v>
      </c>
      <c r="Q1" s="3" t="s">
        <v>321</v>
      </c>
      <c r="R1" s="3" t="s">
        <v>70</v>
      </c>
      <c r="S1" s="3" t="s">
        <v>37</v>
      </c>
      <c r="T1" s="3" t="s">
        <v>262</v>
      </c>
      <c r="U1" s="4" t="s">
        <v>263</v>
      </c>
    </row>
    <row r="2" spans="1:21">
      <c r="A2" s="5" t="s">
        <v>322</v>
      </c>
      <c r="B2" s="5" t="s">
        <v>130</v>
      </c>
      <c r="C2" s="5" t="s">
        <v>134</v>
      </c>
      <c r="D2" s="5" t="s">
        <v>131</v>
      </c>
      <c r="E2" s="5" t="s">
        <v>136</v>
      </c>
      <c r="F2" s="5" t="s">
        <v>112</v>
      </c>
      <c r="G2" s="35">
        <v>0.30299999999999999</v>
      </c>
      <c r="H2" s="8" t="s">
        <v>323</v>
      </c>
      <c r="I2" s="28"/>
      <c r="J2" s="31">
        <f>Policy_Levers!$K$2</f>
        <v>1</v>
      </c>
      <c r="K2" s="31">
        <f t="shared" ref="K2:K8" si="0">IF(ISBLANK(I2),J2,I2)</f>
        <v>1</v>
      </c>
      <c r="L2" s="25">
        <v>0</v>
      </c>
      <c r="M2" s="39">
        <f t="shared" ref="M2:M8" si="1">IF(OR(ISBLANK(G2),ISBLANK(K2)),"",IF(H2="relative",MAX(L2,G2*(1-K2)),IF(H2="absolute",MAX(L2,G2-K2),IF(H2="target",MAX(L2,K2),""))))</f>
        <v>0</v>
      </c>
      <c r="N2" s="39">
        <f t="shared" ref="N2:N8" si="2">IF(M2="","",G2-M2)</f>
        <v>0.30299999999999999</v>
      </c>
      <c r="O2" s="31">
        <f t="shared" ref="O2:O8" si="3">IF(OR(G2="",G2=0,N2=""),"",N2/G2)</f>
        <v>1</v>
      </c>
      <c r="P2" s="25">
        <f>Assumptions!$B$4</f>
        <v>2026</v>
      </c>
      <c r="Q2" s="25">
        <f>Assumptions!$B$5</f>
        <v>2030</v>
      </c>
      <c r="R2" s="5" t="s">
        <v>71</v>
      </c>
      <c r="S2" s="5" t="s">
        <v>324</v>
      </c>
      <c r="T2" s="5" t="s">
        <v>325</v>
      </c>
      <c r="U2" s="5" t="str">
        <f t="shared" ref="U2:U8" si="4">IF(ISBLANK(G2),"MISSING EXPOSURE",IF(ISBLANK(K2),"MISSING REDUCTION",IF(OR(M2&lt;L2,M2&gt;G2,Q2&lt;P2),"BAD INPUT","OK")))</f>
        <v>OK</v>
      </c>
    </row>
    <row r="3" spans="1:21">
      <c r="A3" s="6" t="s">
        <v>326</v>
      </c>
      <c r="B3" s="6" t="s">
        <v>140</v>
      </c>
      <c r="C3" s="6" t="s">
        <v>144</v>
      </c>
      <c r="D3" s="6" t="s">
        <v>141</v>
      </c>
      <c r="E3" s="6" t="s">
        <v>146</v>
      </c>
      <c r="F3" s="6" t="s">
        <v>147</v>
      </c>
      <c r="G3" s="36">
        <v>0.1</v>
      </c>
      <c r="H3" s="9" t="s">
        <v>323</v>
      </c>
      <c r="I3" s="11"/>
      <c r="J3" s="32">
        <f>Policy_Levers!$K$3</f>
        <v>4.9000000000000042E-4</v>
      </c>
      <c r="K3" s="32">
        <f t="shared" si="0"/>
        <v>4.9000000000000042E-4</v>
      </c>
      <c r="L3" s="26">
        <v>0</v>
      </c>
      <c r="M3" s="40">
        <f t="shared" si="1"/>
        <v>9.9951000000000012E-2</v>
      </c>
      <c r="N3" s="40">
        <f t="shared" si="2"/>
        <v>4.8999999999993493E-5</v>
      </c>
      <c r="O3" s="32">
        <f t="shared" si="3"/>
        <v>4.8999999999993493E-4</v>
      </c>
      <c r="P3" s="26">
        <f>Assumptions!$B$4</f>
        <v>2026</v>
      </c>
      <c r="Q3" s="26">
        <f>Assumptions!$B$5</f>
        <v>2030</v>
      </c>
      <c r="R3" s="6" t="s">
        <v>71</v>
      </c>
      <c r="S3" s="6" t="s">
        <v>327</v>
      </c>
      <c r="T3" s="6" t="s">
        <v>325</v>
      </c>
      <c r="U3" s="6" t="str">
        <f t="shared" si="4"/>
        <v>OK</v>
      </c>
    </row>
    <row r="4" spans="1:21">
      <c r="A4" s="6" t="s">
        <v>328</v>
      </c>
      <c r="B4" s="6" t="s">
        <v>151</v>
      </c>
      <c r="C4" s="6" t="s">
        <v>134</v>
      </c>
      <c r="D4" s="6" t="s">
        <v>152</v>
      </c>
      <c r="E4" s="6" t="s">
        <v>136</v>
      </c>
      <c r="F4" s="6" t="s">
        <v>112</v>
      </c>
      <c r="G4" s="36">
        <v>0.30299999999999999</v>
      </c>
      <c r="H4" s="9" t="s">
        <v>323</v>
      </c>
      <c r="I4" s="11"/>
      <c r="J4" s="32">
        <f>1-(1-Policy_Levers!$K$4)*(1-Policy_Levers!$K$5)*(1-Policy_Levers!$K$6)</f>
        <v>0.20113599999999998</v>
      </c>
      <c r="K4" s="32">
        <f t="shared" si="0"/>
        <v>0.20113599999999998</v>
      </c>
      <c r="L4" s="26">
        <v>0</v>
      </c>
      <c r="M4" s="40">
        <f t="shared" si="1"/>
        <v>0.24205579199999999</v>
      </c>
      <c r="N4" s="40">
        <f t="shared" si="2"/>
        <v>6.0944208E-2</v>
      </c>
      <c r="O4" s="32">
        <f t="shared" si="3"/>
        <v>0.20113600000000001</v>
      </c>
      <c r="P4" s="26">
        <f>Assumptions!$B$4</f>
        <v>2026</v>
      </c>
      <c r="Q4" s="26">
        <f>Assumptions!$B$5</f>
        <v>2030</v>
      </c>
      <c r="R4" s="6" t="s">
        <v>71</v>
      </c>
      <c r="S4" s="6" t="s">
        <v>329</v>
      </c>
      <c r="T4" s="6" t="s">
        <v>325</v>
      </c>
      <c r="U4" s="6" t="str">
        <f t="shared" si="4"/>
        <v>OK</v>
      </c>
    </row>
    <row r="5" spans="1:21">
      <c r="A5" s="6" t="s">
        <v>330</v>
      </c>
      <c r="B5" s="6" t="s">
        <v>159</v>
      </c>
      <c r="C5" s="6" t="s">
        <v>144</v>
      </c>
      <c r="D5" s="6" t="s">
        <v>160</v>
      </c>
      <c r="E5" s="6" t="s">
        <v>146</v>
      </c>
      <c r="F5" s="6" t="s">
        <v>147</v>
      </c>
      <c r="G5" s="36">
        <v>0.1</v>
      </c>
      <c r="H5" s="9" t="s">
        <v>323</v>
      </c>
      <c r="I5" s="11"/>
      <c r="J5" s="32">
        <f>Policy_Levers!$K$7</f>
        <v>2.6900000000000025E-4</v>
      </c>
      <c r="K5" s="32">
        <f t="shared" si="0"/>
        <v>2.6900000000000025E-4</v>
      </c>
      <c r="L5" s="26">
        <v>0</v>
      </c>
      <c r="M5" s="40">
        <f t="shared" si="1"/>
        <v>9.9973100000000009E-2</v>
      </c>
      <c r="N5" s="40">
        <f t="shared" si="2"/>
        <v>2.6899999999996371E-5</v>
      </c>
      <c r="O5" s="32">
        <f t="shared" si="3"/>
        <v>2.6899999999996371E-4</v>
      </c>
      <c r="P5" s="26">
        <f>Assumptions!$B$4</f>
        <v>2026</v>
      </c>
      <c r="Q5" s="26">
        <f>Assumptions!$B$5</f>
        <v>2030</v>
      </c>
      <c r="R5" s="6" t="s">
        <v>71</v>
      </c>
      <c r="S5" s="6" t="s">
        <v>331</v>
      </c>
      <c r="T5" s="6" t="s">
        <v>325</v>
      </c>
      <c r="U5" s="6" t="str">
        <f t="shared" si="4"/>
        <v>OK</v>
      </c>
    </row>
    <row r="6" spans="1:21">
      <c r="A6" s="6" t="s">
        <v>332</v>
      </c>
      <c r="B6" s="6" t="s">
        <v>168</v>
      </c>
      <c r="C6" s="6" t="s">
        <v>154</v>
      </c>
      <c r="D6" s="6" t="s">
        <v>169</v>
      </c>
      <c r="E6" s="6" t="s">
        <v>156</v>
      </c>
      <c r="F6" s="6" t="s">
        <v>84</v>
      </c>
      <c r="G6" s="36">
        <v>4.4000000000000004</v>
      </c>
      <c r="H6" s="9" t="s">
        <v>323</v>
      </c>
      <c r="I6" s="11"/>
      <c r="J6" s="32">
        <f>1-(1-Policy_Levers!$K$8)*(1-Policy_Levers!$K$9)*(1-Policy_Levers!$K$10)*(1-Policy_Levers!$K$11)</f>
        <v>0.36387999999999998</v>
      </c>
      <c r="K6" s="32">
        <f t="shared" si="0"/>
        <v>0.36387999999999998</v>
      </c>
      <c r="L6" s="26">
        <f>Assumptions!$B$15</f>
        <v>3</v>
      </c>
      <c r="M6" s="40">
        <f t="shared" si="1"/>
        <v>3</v>
      </c>
      <c r="N6" s="40">
        <f t="shared" si="2"/>
        <v>1.4000000000000004</v>
      </c>
      <c r="O6" s="32">
        <f t="shared" si="3"/>
        <v>0.31818181818181823</v>
      </c>
      <c r="P6" s="26">
        <f>Assumptions!$B$4</f>
        <v>2026</v>
      </c>
      <c r="Q6" s="26">
        <f>Assumptions!$B$5</f>
        <v>2030</v>
      </c>
      <c r="R6" s="6" t="s">
        <v>71</v>
      </c>
      <c r="S6" s="6" t="s">
        <v>333</v>
      </c>
      <c r="T6" s="6" t="s">
        <v>325</v>
      </c>
      <c r="U6" s="6" t="str">
        <f t="shared" si="4"/>
        <v>OK</v>
      </c>
    </row>
    <row r="7" spans="1:21">
      <c r="A7" s="7" t="s">
        <v>334</v>
      </c>
      <c r="B7" s="7" t="s">
        <v>179</v>
      </c>
      <c r="C7" s="7" t="s">
        <v>162</v>
      </c>
      <c r="D7" s="7" t="s">
        <v>180</v>
      </c>
      <c r="E7" s="7" t="s">
        <v>164</v>
      </c>
      <c r="F7" s="7" t="s">
        <v>88</v>
      </c>
      <c r="G7" s="37">
        <v>0.48</v>
      </c>
      <c r="H7" s="10" t="s">
        <v>335</v>
      </c>
      <c r="I7" s="38"/>
      <c r="J7" s="34">
        <f>Assumptions!$B$16</f>
        <v>0</v>
      </c>
      <c r="K7" s="34">
        <f t="shared" si="0"/>
        <v>0</v>
      </c>
      <c r="L7" s="27">
        <v>0</v>
      </c>
      <c r="M7" s="41">
        <f t="shared" si="1"/>
        <v>0</v>
      </c>
      <c r="N7" s="41">
        <f t="shared" si="2"/>
        <v>0.48</v>
      </c>
      <c r="O7" s="34">
        <f t="shared" si="3"/>
        <v>1</v>
      </c>
      <c r="P7" s="27">
        <f>Assumptions!$B$4</f>
        <v>2026</v>
      </c>
      <c r="Q7" s="27">
        <f>Assumptions!$B$5</f>
        <v>2030</v>
      </c>
      <c r="R7" s="7" t="s">
        <v>71</v>
      </c>
      <c r="S7" s="7" t="s">
        <v>336</v>
      </c>
      <c r="T7" s="7" t="s">
        <v>325</v>
      </c>
      <c r="U7" s="7" t="str">
        <f t="shared" si="4"/>
        <v>OK</v>
      </c>
    </row>
    <row r="8" spans="1:21" ht="54" customHeight="1">
      <c r="A8" s="6" t="s">
        <v>337</v>
      </c>
      <c r="B8" s="6" t="s">
        <v>185</v>
      </c>
      <c r="C8" s="6" t="s">
        <v>172</v>
      </c>
      <c r="D8" s="6" t="s">
        <v>186</v>
      </c>
      <c r="E8" s="6" t="s">
        <v>174</v>
      </c>
      <c r="F8" s="6" t="s">
        <v>175</v>
      </c>
      <c r="G8" s="36">
        <v>0.1142857142857143</v>
      </c>
      <c r="H8" s="9" t="s">
        <v>323</v>
      </c>
      <c r="I8" s="11"/>
      <c r="J8" s="32">
        <f>Policy_Levers!$K$13</f>
        <v>0.17500000000000002</v>
      </c>
      <c r="K8" s="32">
        <f t="shared" si="0"/>
        <v>0.17500000000000002</v>
      </c>
      <c r="L8" s="26">
        <v>0</v>
      </c>
      <c r="M8" s="40">
        <f t="shared" si="1"/>
        <v>9.4285714285714292E-2</v>
      </c>
      <c r="N8" s="40">
        <f t="shared" si="2"/>
        <v>2.0000000000000004E-2</v>
      </c>
      <c r="O8" s="32">
        <f t="shared" si="3"/>
        <v>0.17500000000000002</v>
      </c>
      <c r="P8" s="26">
        <f>Assumptions!$B$4</f>
        <v>2026</v>
      </c>
      <c r="Q8" s="26">
        <f>Assumptions!$B$5</f>
        <v>2030</v>
      </c>
      <c r="R8" s="6" t="s">
        <v>71</v>
      </c>
      <c r="S8" s="6" t="s">
        <v>338</v>
      </c>
      <c r="T8" s="6" t="s">
        <v>339</v>
      </c>
      <c r="U8" s="6" t="str">
        <f t="shared" si="4"/>
        <v>OK</v>
      </c>
    </row>
  </sheetData>
  <conditionalFormatting sqref="T2:U7">
    <cfRule type="containsText" dxfId="40" priority="4" operator="containsText" text="OK"/>
    <cfRule type="containsText" dxfId="39" priority="7" operator="containsText" text="FAIL"/>
    <cfRule type="containsText" dxfId="38" priority="10" operator="containsText" text="REVIEW"/>
  </conditionalFormatting>
  <conditionalFormatting sqref="T8:U8">
    <cfRule type="containsText" dxfId="35" priority="1" operator="containsText" text="OK"/>
    <cfRule type="containsText" dxfId="34" priority="2" operator="containsText" text="FAIL"/>
    <cfRule type="containsText" dxfId="33" priority="3" operator="containsText" text="REVIEW"/>
  </conditionalFormatting>
  <dataValidations count="1">
    <dataValidation type="list" sqref="H2:H7" xr:uid="{00000000-0002-0000-0500-000000000000}">
      <formula1>"relative,absolute,target"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9"/>
  <sheetViews>
    <sheetView showGridLines="0" zoomScale="55" zoomScaleNormal="55" workbookViewId="0">
      <selection activeCell="W33" sqref="W33"/>
    </sheetView>
  </sheetViews>
  <sheetFormatPr defaultRowHeight="13.8"/>
  <cols>
    <col min="1" max="1" width="18" customWidth="1"/>
    <col min="2" max="2" width="34" customWidth="1"/>
    <col min="3" max="3" width="26" customWidth="1"/>
    <col min="4" max="4" width="16" customWidth="1"/>
    <col min="5" max="5" width="25" customWidth="1"/>
    <col min="6" max="6" width="38" customWidth="1"/>
    <col min="7" max="7" width="22" customWidth="1"/>
    <col min="8" max="8" width="28" customWidth="1"/>
    <col min="9" max="9" width="18" customWidth="1"/>
    <col min="10" max="10" width="28" customWidth="1"/>
    <col min="11" max="11" width="18" customWidth="1"/>
    <col min="12" max="12" width="20" customWidth="1"/>
    <col min="13" max="13" width="18" customWidth="1"/>
    <col min="14" max="14" width="34" customWidth="1"/>
    <col min="15" max="16" width="18" customWidth="1"/>
    <col min="17" max="17" width="24" customWidth="1"/>
    <col min="18" max="18" width="52" customWidth="1"/>
    <col min="19" max="19" width="22" customWidth="1"/>
    <col min="20" max="20" width="18" customWidth="1"/>
    <col min="21" max="21" width="62" customWidth="1"/>
    <col min="22" max="22" width="18" customWidth="1"/>
    <col min="23" max="23" width="24" customWidth="1"/>
  </cols>
  <sheetData>
    <row r="1" spans="1:23" ht="28.05" customHeight="1">
      <c r="A1" s="57" t="s">
        <v>340</v>
      </c>
      <c r="B1" s="58" t="s">
        <v>198</v>
      </c>
      <c r="C1" s="58" t="s">
        <v>117</v>
      </c>
      <c r="D1" s="58" t="s">
        <v>121</v>
      </c>
      <c r="E1" s="58" t="s">
        <v>125</v>
      </c>
      <c r="F1" s="58" t="s">
        <v>341</v>
      </c>
      <c r="G1" s="58" t="s">
        <v>342</v>
      </c>
      <c r="H1" s="58" t="s">
        <v>343</v>
      </c>
      <c r="I1" s="58" t="s">
        <v>344</v>
      </c>
      <c r="J1" s="58" t="s">
        <v>345</v>
      </c>
      <c r="K1" s="58" t="s">
        <v>346</v>
      </c>
      <c r="L1" s="58" t="s">
        <v>347</v>
      </c>
      <c r="M1" s="58" t="s">
        <v>348</v>
      </c>
      <c r="N1" s="58" t="s">
        <v>349</v>
      </c>
      <c r="O1" s="58" t="s">
        <v>350</v>
      </c>
      <c r="P1" s="58" t="s">
        <v>203</v>
      </c>
      <c r="Q1" s="58" t="s">
        <v>204</v>
      </c>
      <c r="R1" s="58" t="s">
        <v>351</v>
      </c>
      <c r="S1" s="58" t="s">
        <v>352</v>
      </c>
      <c r="T1" s="58" t="s">
        <v>262</v>
      </c>
      <c r="U1" s="58" t="s">
        <v>207</v>
      </c>
      <c r="V1" s="58" t="s">
        <v>353</v>
      </c>
      <c r="W1" s="59" t="s">
        <v>263</v>
      </c>
    </row>
    <row r="2" spans="1:23" ht="22.8">
      <c r="A2" s="60" t="s">
        <v>354</v>
      </c>
      <c r="B2" s="60" t="s">
        <v>209</v>
      </c>
      <c r="C2" s="60" t="s">
        <v>130</v>
      </c>
      <c r="D2" s="60" t="s">
        <v>134</v>
      </c>
      <c r="E2" s="60" t="s">
        <v>148</v>
      </c>
      <c r="F2" s="60" t="s">
        <v>355</v>
      </c>
      <c r="G2" s="60" t="s">
        <v>356</v>
      </c>
      <c r="H2" s="60" t="s">
        <v>357</v>
      </c>
      <c r="I2" s="77">
        <f>INDEX(Risk_Response!$L$2:$L$18,MATCH(G2,Risk_Response!$A$2:$A$18,0))</f>
        <v>1.6</v>
      </c>
      <c r="J2" s="60" t="s">
        <v>358</v>
      </c>
      <c r="K2" s="85"/>
      <c r="L2" s="67">
        <v>0</v>
      </c>
      <c r="M2" s="67"/>
      <c r="N2" s="60" t="s">
        <v>359</v>
      </c>
      <c r="O2" s="85">
        <f>Risk_Response!$L$11</f>
        <v>6.1514456812961193E-2</v>
      </c>
      <c r="P2" s="60" t="s">
        <v>212</v>
      </c>
      <c r="Q2" s="60" t="s">
        <v>213</v>
      </c>
      <c r="R2" s="60" t="s">
        <v>360</v>
      </c>
      <c r="S2" s="60" t="s">
        <v>361</v>
      </c>
      <c r="T2" s="60" t="s">
        <v>307</v>
      </c>
      <c r="U2" s="60" t="s">
        <v>362</v>
      </c>
      <c r="V2" s="60">
        <f>COUNTIF(Intervention_Cause_Map!$A$2:$A$29,B2)</f>
        <v>1</v>
      </c>
      <c r="W2" s="60" t="str">
        <f t="shared" ref="W2:W29" si="0">IF(V2&lt;&gt;1,"MAP ERROR",IF(P2&lt;&gt;"well","REVIEW TRANSITION",IF(Q2&lt;&gt;"sick","REVIEW TRANSITION",IF(AND(L2=1,OR(K2="",K2&lt;0,K2&gt;1)),"MISSING PAF",IF(R2="","MISSING SOURCE","OK")))))</f>
        <v>OK</v>
      </c>
    </row>
    <row r="3" spans="1:23" ht="22.8">
      <c r="A3" s="62" t="s">
        <v>363</v>
      </c>
      <c r="B3" s="62" t="s">
        <v>215</v>
      </c>
      <c r="C3" s="62" t="s">
        <v>130</v>
      </c>
      <c r="D3" s="62" t="s">
        <v>134</v>
      </c>
      <c r="E3" s="62" t="s">
        <v>157</v>
      </c>
      <c r="F3" s="62" t="s">
        <v>355</v>
      </c>
      <c r="G3" s="62" t="s">
        <v>364</v>
      </c>
      <c r="H3" s="62" t="s">
        <v>357</v>
      </c>
      <c r="I3" s="78">
        <f>INDEX(Risk_Response!$L$2:$L$18,MATCH(G3,Risk_Response!$A$2:$A$18,0))</f>
        <v>1.38</v>
      </c>
      <c r="J3" s="62" t="s">
        <v>358</v>
      </c>
      <c r="K3" s="87"/>
      <c r="L3" s="68">
        <v>0</v>
      </c>
      <c r="M3" s="68"/>
      <c r="N3" s="62" t="s">
        <v>359</v>
      </c>
      <c r="O3" s="87">
        <f>Risk_Response!$L$11</f>
        <v>6.1514456812961193E-2</v>
      </c>
      <c r="P3" s="62" t="s">
        <v>212</v>
      </c>
      <c r="Q3" s="62" t="s">
        <v>213</v>
      </c>
      <c r="R3" s="62" t="s">
        <v>360</v>
      </c>
      <c r="S3" s="62" t="s">
        <v>361</v>
      </c>
      <c r="T3" s="62" t="s">
        <v>307</v>
      </c>
      <c r="U3" s="62" t="s">
        <v>362</v>
      </c>
      <c r="V3" s="62">
        <f>COUNTIF(Intervention_Cause_Map!$A$2:$A$29,B3)</f>
        <v>1</v>
      </c>
      <c r="W3" s="62" t="str">
        <f t="shared" si="0"/>
        <v>OK</v>
      </c>
    </row>
    <row r="4" spans="1:23" ht="22.8">
      <c r="A4" s="64" t="s">
        <v>365</v>
      </c>
      <c r="B4" s="64" t="s">
        <v>216</v>
      </c>
      <c r="C4" s="64" t="s">
        <v>130</v>
      </c>
      <c r="D4" s="64" t="s">
        <v>134</v>
      </c>
      <c r="E4" s="64" t="s">
        <v>165</v>
      </c>
      <c r="F4" s="64" t="s">
        <v>355</v>
      </c>
      <c r="G4" s="64" t="s">
        <v>366</v>
      </c>
      <c r="H4" s="64" t="s">
        <v>357</v>
      </c>
      <c r="I4" s="79">
        <f>INDEX(Risk_Response!$L$2:$L$18,MATCH(G4,Risk_Response!$A$2:$A$18,0))</f>
        <v>1.19</v>
      </c>
      <c r="J4" s="64" t="s">
        <v>358</v>
      </c>
      <c r="K4" s="89"/>
      <c r="L4" s="69">
        <v>0</v>
      </c>
      <c r="M4" s="69"/>
      <c r="N4" s="64" t="s">
        <v>359</v>
      </c>
      <c r="O4" s="89">
        <f>Risk_Response!$L$11</f>
        <v>6.1514456812961193E-2</v>
      </c>
      <c r="P4" s="64" t="s">
        <v>212</v>
      </c>
      <c r="Q4" s="64" t="s">
        <v>213</v>
      </c>
      <c r="R4" s="64" t="s">
        <v>360</v>
      </c>
      <c r="S4" s="64" t="s">
        <v>361</v>
      </c>
      <c r="T4" s="64" t="s">
        <v>307</v>
      </c>
      <c r="U4" s="64" t="s">
        <v>362</v>
      </c>
      <c r="V4" s="64">
        <f>COUNTIF(Intervention_Cause_Map!$A$2:$A$29,B4)</f>
        <v>1</v>
      </c>
      <c r="W4" s="64" t="str">
        <f t="shared" si="0"/>
        <v>OK</v>
      </c>
    </row>
    <row r="5" spans="1:23" ht="22.8">
      <c r="A5" s="62" t="s">
        <v>367</v>
      </c>
      <c r="B5" s="62" t="s">
        <v>217</v>
      </c>
      <c r="C5" s="62" t="s">
        <v>130</v>
      </c>
      <c r="D5" s="62" t="s">
        <v>134</v>
      </c>
      <c r="E5" s="62" t="s">
        <v>188</v>
      </c>
      <c r="F5" s="62" t="s">
        <v>355</v>
      </c>
      <c r="G5" s="62" t="s">
        <v>368</v>
      </c>
      <c r="H5" s="62" t="s">
        <v>357</v>
      </c>
      <c r="I5" s="78">
        <f>INDEX(Risk_Response!$L$2:$L$18,MATCH(G5,Risk_Response!$A$2:$A$18,0))</f>
        <v>1.37</v>
      </c>
      <c r="J5" s="62" t="s">
        <v>358</v>
      </c>
      <c r="K5" s="87"/>
      <c r="L5" s="68">
        <v>0</v>
      </c>
      <c r="M5" s="68"/>
      <c r="N5" s="62" t="s">
        <v>359</v>
      </c>
      <c r="O5" s="87">
        <f>Risk_Response!$L$12</f>
        <v>6.1514456812961193E-2</v>
      </c>
      <c r="P5" s="62" t="s">
        <v>212</v>
      </c>
      <c r="Q5" s="62" t="s">
        <v>213</v>
      </c>
      <c r="R5" s="62" t="s">
        <v>369</v>
      </c>
      <c r="S5" s="62" t="s">
        <v>370</v>
      </c>
      <c r="T5" s="62" t="s">
        <v>371</v>
      </c>
      <c r="U5" s="62" t="s">
        <v>362</v>
      </c>
      <c r="V5" s="62">
        <f>COUNTIF(Intervention_Cause_Map!$A$2:$A$29,B5)</f>
        <v>1</v>
      </c>
      <c r="W5" s="62" t="str">
        <f t="shared" si="0"/>
        <v>OK</v>
      </c>
    </row>
    <row r="6" spans="1:23" ht="22.8">
      <c r="A6" s="64" t="s">
        <v>372</v>
      </c>
      <c r="B6" s="64" t="s">
        <v>218</v>
      </c>
      <c r="C6" s="64" t="s">
        <v>140</v>
      </c>
      <c r="D6" s="64" t="s">
        <v>144</v>
      </c>
      <c r="E6" s="64" t="s">
        <v>148</v>
      </c>
      <c r="F6" s="64" t="s">
        <v>373</v>
      </c>
      <c r="G6" s="64" t="s">
        <v>374</v>
      </c>
      <c r="H6" s="64" t="s">
        <v>375</v>
      </c>
      <c r="I6" s="79">
        <f>INDEX(Risk_Response!$L$2:$L$18,MATCH(G6,Risk_Response!$A$2:$A$18,0))</f>
        <v>1.0088803849749666</v>
      </c>
      <c r="J6" s="64" t="s">
        <v>358</v>
      </c>
      <c r="K6" s="89"/>
      <c r="L6" s="69">
        <v>0</v>
      </c>
      <c r="M6" s="69"/>
      <c r="N6" s="64" t="s">
        <v>376</v>
      </c>
      <c r="O6" s="89">
        <v>1</v>
      </c>
      <c r="P6" s="64" t="s">
        <v>212</v>
      </c>
      <c r="Q6" s="64" t="s">
        <v>213</v>
      </c>
      <c r="R6" s="64" t="s">
        <v>377</v>
      </c>
      <c r="S6" s="64" t="s">
        <v>378</v>
      </c>
      <c r="T6" s="64" t="s">
        <v>379</v>
      </c>
      <c r="U6" s="64" t="s">
        <v>380</v>
      </c>
      <c r="V6" s="64">
        <f>COUNTIF(Intervention_Cause_Map!$A$2:$A$29,B6)</f>
        <v>1</v>
      </c>
      <c r="W6" s="64" t="str">
        <f t="shared" si="0"/>
        <v>OK</v>
      </c>
    </row>
    <row r="7" spans="1:23" ht="22.8">
      <c r="A7" s="62" t="s">
        <v>381</v>
      </c>
      <c r="B7" s="62" t="s">
        <v>221</v>
      </c>
      <c r="C7" s="62" t="s">
        <v>140</v>
      </c>
      <c r="D7" s="62" t="s">
        <v>144</v>
      </c>
      <c r="E7" s="62" t="s">
        <v>157</v>
      </c>
      <c r="F7" s="62" t="s">
        <v>373</v>
      </c>
      <c r="G7" s="62" t="s">
        <v>382</v>
      </c>
      <c r="H7" s="62" t="s">
        <v>375</v>
      </c>
      <c r="I7" s="78">
        <f>INDEX(Risk_Response!$L$2:$L$18,MATCH(G7,Risk_Response!$A$2:$A$18,0))</f>
        <v>1.020079962718877</v>
      </c>
      <c r="J7" s="62" t="s">
        <v>358</v>
      </c>
      <c r="K7" s="87"/>
      <c r="L7" s="68">
        <v>0</v>
      </c>
      <c r="M7" s="68"/>
      <c r="N7" s="62" t="s">
        <v>376</v>
      </c>
      <c r="O7" s="87">
        <v>1</v>
      </c>
      <c r="P7" s="62" t="s">
        <v>212</v>
      </c>
      <c r="Q7" s="62" t="s">
        <v>213</v>
      </c>
      <c r="R7" s="62" t="s">
        <v>377</v>
      </c>
      <c r="S7" s="62" t="s">
        <v>378</v>
      </c>
      <c r="T7" s="62" t="s">
        <v>379</v>
      </c>
      <c r="U7" s="62" t="s">
        <v>380</v>
      </c>
      <c r="V7" s="62">
        <f>COUNTIF(Intervention_Cause_Map!$A$2:$A$29,B7)</f>
        <v>1</v>
      </c>
      <c r="W7" s="62" t="str">
        <f t="shared" si="0"/>
        <v>OK</v>
      </c>
    </row>
    <row r="8" spans="1:23" ht="22.8">
      <c r="A8" s="64" t="s">
        <v>383</v>
      </c>
      <c r="B8" s="64" t="s">
        <v>222</v>
      </c>
      <c r="C8" s="64" t="s">
        <v>140</v>
      </c>
      <c r="D8" s="64" t="s">
        <v>144</v>
      </c>
      <c r="E8" s="64" t="s">
        <v>165</v>
      </c>
      <c r="F8" s="64" t="s">
        <v>373</v>
      </c>
      <c r="G8" s="64" t="s">
        <v>384</v>
      </c>
      <c r="H8" s="64" t="s">
        <v>375</v>
      </c>
      <c r="I8" s="79">
        <f>INDEX(Risk_Response!$L$2:$L$18,MATCH(G8,Risk_Response!$A$2:$A$18,0))</f>
        <v>1.020079962718877</v>
      </c>
      <c r="J8" s="64" t="s">
        <v>358</v>
      </c>
      <c r="K8" s="89"/>
      <c r="L8" s="69">
        <v>0</v>
      </c>
      <c r="M8" s="69"/>
      <c r="N8" s="64" t="s">
        <v>376</v>
      </c>
      <c r="O8" s="89">
        <v>1</v>
      </c>
      <c r="P8" s="64" t="s">
        <v>212</v>
      </c>
      <c r="Q8" s="64" t="s">
        <v>213</v>
      </c>
      <c r="R8" s="64" t="s">
        <v>377</v>
      </c>
      <c r="S8" s="64" t="s">
        <v>378</v>
      </c>
      <c r="T8" s="64" t="s">
        <v>379</v>
      </c>
      <c r="U8" s="64" t="s">
        <v>380</v>
      </c>
      <c r="V8" s="64">
        <f>COUNTIF(Intervention_Cause_Map!$A$2:$A$29,B8)</f>
        <v>1</v>
      </c>
      <c r="W8" s="64" t="str">
        <f t="shared" si="0"/>
        <v>OK</v>
      </c>
    </row>
    <row r="9" spans="1:23" ht="22.8">
      <c r="A9" s="62" t="s">
        <v>385</v>
      </c>
      <c r="B9" s="62" t="s">
        <v>223</v>
      </c>
      <c r="C9" s="62" t="s">
        <v>140</v>
      </c>
      <c r="D9" s="62" t="s">
        <v>144</v>
      </c>
      <c r="E9" s="62" t="s">
        <v>176</v>
      </c>
      <c r="F9" s="62" t="s">
        <v>373</v>
      </c>
      <c r="G9" s="62" t="s">
        <v>386</v>
      </c>
      <c r="H9" s="62" t="s">
        <v>375</v>
      </c>
      <c r="I9" s="78">
        <f>INDEX(Risk_Response!$L$2:$L$18,MATCH(G9,Risk_Response!$A$2:$A$18,0))</f>
        <v>1.0331775104357432</v>
      </c>
      <c r="J9" s="62" t="s">
        <v>358</v>
      </c>
      <c r="K9" s="87"/>
      <c r="L9" s="68">
        <v>0</v>
      </c>
      <c r="M9" s="68"/>
      <c r="N9" s="62" t="s">
        <v>376</v>
      </c>
      <c r="O9" s="87">
        <v>1</v>
      </c>
      <c r="P9" s="62" t="s">
        <v>212</v>
      </c>
      <c r="Q9" s="62" t="s">
        <v>213</v>
      </c>
      <c r="R9" s="62" t="s">
        <v>377</v>
      </c>
      <c r="S9" s="62" t="s">
        <v>378</v>
      </c>
      <c r="T9" s="62" t="s">
        <v>307</v>
      </c>
      <c r="U9" s="62" t="s">
        <v>380</v>
      </c>
      <c r="V9" s="62">
        <f>COUNTIF(Intervention_Cause_Map!$A$2:$A$29,B9)</f>
        <v>1</v>
      </c>
      <c r="W9" s="62" t="str">
        <f t="shared" si="0"/>
        <v>OK</v>
      </c>
    </row>
    <row r="10" spans="1:23" ht="22.8">
      <c r="A10" s="64" t="s">
        <v>387</v>
      </c>
      <c r="B10" s="64" t="s">
        <v>224</v>
      </c>
      <c r="C10" s="64" t="s">
        <v>140</v>
      </c>
      <c r="D10" s="64" t="s">
        <v>144</v>
      </c>
      <c r="E10" s="64" t="s">
        <v>182</v>
      </c>
      <c r="F10" s="64" t="s">
        <v>373</v>
      </c>
      <c r="G10" s="64" t="s">
        <v>388</v>
      </c>
      <c r="H10" s="64" t="s">
        <v>375</v>
      </c>
      <c r="I10" s="79">
        <f>INDEX(Risk_Response!$L$2:$L$18,MATCH(G10,Risk_Response!$A$2:$A$18,0))</f>
        <v>1.0131616703515811</v>
      </c>
      <c r="J10" s="64" t="s">
        <v>358</v>
      </c>
      <c r="K10" s="89"/>
      <c r="L10" s="69">
        <v>0</v>
      </c>
      <c r="M10" s="69"/>
      <c r="N10" s="64" t="s">
        <v>376</v>
      </c>
      <c r="O10" s="89">
        <v>1</v>
      </c>
      <c r="P10" s="64" t="s">
        <v>212</v>
      </c>
      <c r="Q10" s="64" t="s">
        <v>213</v>
      </c>
      <c r="R10" s="64" t="s">
        <v>377</v>
      </c>
      <c r="S10" s="64" t="s">
        <v>378</v>
      </c>
      <c r="T10" s="64" t="s">
        <v>379</v>
      </c>
      <c r="U10" s="64" t="s">
        <v>380</v>
      </c>
      <c r="V10" s="64">
        <f>COUNTIF(Intervention_Cause_Map!$A$2:$A$29,B10)</f>
        <v>1</v>
      </c>
      <c r="W10" s="64" t="str">
        <f t="shared" si="0"/>
        <v>OK</v>
      </c>
    </row>
    <row r="11" spans="1:23" ht="27.6">
      <c r="A11" s="65" t="s">
        <v>389</v>
      </c>
      <c r="B11" s="65" t="s">
        <v>225</v>
      </c>
      <c r="C11" s="65" t="s">
        <v>151</v>
      </c>
      <c r="D11" s="65" t="s">
        <v>134</v>
      </c>
      <c r="E11" s="65" t="s">
        <v>148</v>
      </c>
      <c r="F11" s="65" t="s">
        <v>355</v>
      </c>
      <c r="G11" s="65" t="s">
        <v>356</v>
      </c>
      <c r="H11" s="65" t="s">
        <v>357</v>
      </c>
      <c r="I11" s="81">
        <f>INDEX(Risk_Response!$L$2:$L$18,MATCH(G11,Risk_Response!$A$2:$A$18,0))</f>
        <v>1.6</v>
      </c>
      <c r="J11" s="65" t="s">
        <v>358</v>
      </c>
      <c r="K11" s="90"/>
      <c r="L11" s="70">
        <v>0</v>
      </c>
      <c r="M11" s="70"/>
      <c r="N11" s="65" t="s">
        <v>359</v>
      </c>
      <c r="O11" s="90">
        <f>Risk_Response!$L$11</f>
        <v>6.1514456812961193E-2</v>
      </c>
      <c r="P11" s="65" t="s">
        <v>212</v>
      </c>
      <c r="Q11" s="65" t="s">
        <v>213</v>
      </c>
      <c r="R11" s="65" t="s">
        <v>360</v>
      </c>
      <c r="S11" s="65" t="s">
        <v>361</v>
      </c>
      <c r="T11" s="65" t="s">
        <v>307</v>
      </c>
      <c r="U11" s="65" t="s">
        <v>362</v>
      </c>
      <c r="V11" s="65">
        <f>COUNTIF(Intervention_Cause_Map!$A$2:$A$29,B11)</f>
        <v>1</v>
      </c>
      <c r="W11" s="65" t="str">
        <f t="shared" si="0"/>
        <v>OK</v>
      </c>
    </row>
    <row r="12" spans="1:23" ht="27.6">
      <c r="A12" s="66" t="s">
        <v>390</v>
      </c>
      <c r="B12" s="66" t="s">
        <v>227</v>
      </c>
      <c r="C12" s="66" t="s">
        <v>151</v>
      </c>
      <c r="D12" s="66" t="s">
        <v>134</v>
      </c>
      <c r="E12" s="66" t="s">
        <v>157</v>
      </c>
      <c r="F12" s="66" t="s">
        <v>355</v>
      </c>
      <c r="G12" s="66" t="s">
        <v>364</v>
      </c>
      <c r="H12" s="66" t="s">
        <v>357</v>
      </c>
      <c r="I12" s="80">
        <f>INDEX(Risk_Response!$L$2:$L$18,MATCH(G12,Risk_Response!$A$2:$A$18,0))</f>
        <v>1.38</v>
      </c>
      <c r="J12" s="66" t="s">
        <v>358</v>
      </c>
      <c r="K12" s="91"/>
      <c r="L12" s="71">
        <v>0</v>
      </c>
      <c r="M12" s="71"/>
      <c r="N12" s="66" t="s">
        <v>359</v>
      </c>
      <c r="O12" s="91">
        <f>Risk_Response!$L$11</f>
        <v>6.1514456812961193E-2</v>
      </c>
      <c r="P12" s="66" t="s">
        <v>212</v>
      </c>
      <c r="Q12" s="66" t="s">
        <v>213</v>
      </c>
      <c r="R12" s="66" t="s">
        <v>360</v>
      </c>
      <c r="S12" s="66" t="s">
        <v>361</v>
      </c>
      <c r="T12" s="66" t="s">
        <v>307</v>
      </c>
      <c r="U12" s="66" t="s">
        <v>362</v>
      </c>
      <c r="V12" s="66">
        <f>COUNTIF(Intervention_Cause_Map!$A$2:$A$29,B12)</f>
        <v>1</v>
      </c>
      <c r="W12" s="66" t="str">
        <f t="shared" si="0"/>
        <v>OK</v>
      </c>
    </row>
    <row r="13" spans="1:23" ht="27.6">
      <c r="A13" s="65" t="s">
        <v>391</v>
      </c>
      <c r="B13" s="65" t="s">
        <v>228</v>
      </c>
      <c r="C13" s="65" t="s">
        <v>151</v>
      </c>
      <c r="D13" s="65" t="s">
        <v>134</v>
      </c>
      <c r="E13" s="65" t="s">
        <v>165</v>
      </c>
      <c r="F13" s="65" t="s">
        <v>355</v>
      </c>
      <c r="G13" s="65" t="s">
        <v>366</v>
      </c>
      <c r="H13" s="65" t="s">
        <v>357</v>
      </c>
      <c r="I13" s="81">
        <f>INDEX(Risk_Response!$L$2:$L$18,MATCH(G13,Risk_Response!$A$2:$A$18,0))</f>
        <v>1.19</v>
      </c>
      <c r="J13" s="65" t="s">
        <v>358</v>
      </c>
      <c r="K13" s="90"/>
      <c r="L13" s="70">
        <v>0</v>
      </c>
      <c r="M13" s="70"/>
      <c r="N13" s="65" t="s">
        <v>359</v>
      </c>
      <c r="O13" s="90">
        <f>Risk_Response!$L$11</f>
        <v>6.1514456812961193E-2</v>
      </c>
      <c r="P13" s="65" t="s">
        <v>212</v>
      </c>
      <c r="Q13" s="65" t="s">
        <v>213</v>
      </c>
      <c r="R13" s="65" t="s">
        <v>360</v>
      </c>
      <c r="S13" s="65" t="s">
        <v>361</v>
      </c>
      <c r="T13" s="65" t="s">
        <v>307</v>
      </c>
      <c r="U13" s="65" t="s">
        <v>362</v>
      </c>
      <c r="V13" s="65">
        <f>COUNTIF(Intervention_Cause_Map!$A$2:$A$29,B13)</f>
        <v>1</v>
      </c>
      <c r="W13" s="65" t="str">
        <f t="shared" si="0"/>
        <v>OK</v>
      </c>
    </row>
    <row r="14" spans="1:23" ht="27.6">
      <c r="A14" s="66" t="s">
        <v>392</v>
      </c>
      <c r="B14" s="66" t="s">
        <v>229</v>
      </c>
      <c r="C14" s="66" t="s">
        <v>151</v>
      </c>
      <c r="D14" s="66" t="s">
        <v>134</v>
      </c>
      <c r="E14" s="66" t="s">
        <v>188</v>
      </c>
      <c r="F14" s="66" t="s">
        <v>355</v>
      </c>
      <c r="G14" s="66" t="s">
        <v>368</v>
      </c>
      <c r="H14" s="66" t="s">
        <v>357</v>
      </c>
      <c r="I14" s="80">
        <f>INDEX(Risk_Response!$L$2:$L$18,MATCH(G14,Risk_Response!$A$2:$A$18,0))</f>
        <v>1.37</v>
      </c>
      <c r="J14" s="66" t="s">
        <v>358</v>
      </c>
      <c r="K14" s="91"/>
      <c r="L14" s="71">
        <v>0</v>
      </c>
      <c r="M14" s="71"/>
      <c r="N14" s="66" t="s">
        <v>359</v>
      </c>
      <c r="O14" s="91">
        <f>Risk_Response!$L$12</f>
        <v>6.1514456812961193E-2</v>
      </c>
      <c r="P14" s="66" t="s">
        <v>212</v>
      </c>
      <c r="Q14" s="66" t="s">
        <v>213</v>
      </c>
      <c r="R14" s="66" t="s">
        <v>369</v>
      </c>
      <c r="S14" s="66" t="s">
        <v>370</v>
      </c>
      <c r="T14" s="66" t="s">
        <v>371</v>
      </c>
      <c r="U14" s="66" t="s">
        <v>362</v>
      </c>
      <c r="V14" s="66">
        <f>COUNTIF(Intervention_Cause_Map!$A$2:$A$29,B14)</f>
        <v>1</v>
      </c>
      <c r="W14" s="66" t="str">
        <f t="shared" si="0"/>
        <v>OK</v>
      </c>
    </row>
    <row r="15" spans="1:23" ht="41.4">
      <c r="A15" s="65" t="s">
        <v>393</v>
      </c>
      <c r="B15" s="65" t="s">
        <v>230</v>
      </c>
      <c r="C15" s="65" t="s">
        <v>159</v>
      </c>
      <c r="D15" s="65" t="s">
        <v>144</v>
      </c>
      <c r="E15" s="65" t="s">
        <v>148</v>
      </c>
      <c r="F15" s="65" t="s">
        <v>373</v>
      </c>
      <c r="G15" s="65" t="s">
        <v>374</v>
      </c>
      <c r="H15" s="65" t="s">
        <v>375</v>
      </c>
      <c r="I15" s="81">
        <f>INDEX(Risk_Response!$L$2:$L$18,MATCH(G15,Risk_Response!$A$2:$A$18,0))</f>
        <v>1.0088803849749666</v>
      </c>
      <c r="J15" s="65" t="s">
        <v>358</v>
      </c>
      <c r="K15" s="90"/>
      <c r="L15" s="70">
        <v>0</v>
      </c>
      <c r="M15" s="70"/>
      <c r="N15" s="65" t="s">
        <v>376</v>
      </c>
      <c r="O15" s="90">
        <v>1</v>
      </c>
      <c r="P15" s="65" t="s">
        <v>212</v>
      </c>
      <c r="Q15" s="65" t="s">
        <v>213</v>
      </c>
      <c r="R15" s="65" t="s">
        <v>377</v>
      </c>
      <c r="S15" s="65" t="s">
        <v>378</v>
      </c>
      <c r="T15" s="65" t="s">
        <v>379</v>
      </c>
      <c r="U15" s="65" t="s">
        <v>380</v>
      </c>
      <c r="V15" s="65">
        <f>COUNTIF(Intervention_Cause_Map!$A$2:$A$29,B15)</f>
        <v>1</v>
      </c>
      <c r="W15" s="65" t="str">
        <f t="shared" si="0"/>
        <v>OK</v>
      </c>
    </row>
    <row r="16" spans="1:23" ht="41.4">
      <c r="A16" s="66" t="s">
        <v>394</v>
      </c>
      <c r="B16" s="66" t="s">
        <v>232</v>
      </c>
      <c r="C16" s="66" t="s">
        <v>159</v>
      </c>
      <c r="D16" s="66" t="s">
        <v>144</v>
      </c>
      <c r="E16" s="66" t="s">
        <v>157</v>
      </c>
      <c r="F16" s="66" t="s">
        <v>373</v>
      </c>
      <c r="G16" s="66" t="s">
        <v>382</v>
      </c>
      <c r="H16" s="66" t="s">
        <v>375</v>
      </c>
      <c r="I16" s="80">
        <f>INDEX(Risk_Response!$L$2:$L$18,MATCH(G16,Risk_Response!$A$2:$A$18,0))</f>
        <v>1.020079962718877</v>
      </c>
      <c r="J16" s="66" t="s">
        <v>358</v>
      </c>
      <c r="K16" s="91"/>
      <c r="L16" s="71">
        <v>0</v>
      </c>
      <c r="M16" s="71"/>
      <c r="N16" s="66" t="s">
        <v>376</v>
      </c>
      <c r="O16" s="91">
        <v>1</v>
      </c>
      <c r="P16" s="66" t="s">
        <v>212</v>
      </c>
      <c r="Q16" s="66" t="s">
        <v>213</v>
      </c>
      <c r="R16" s="66" t="s">
        <v>377</v>
      </c>
      <c r="S16" s="66" t="s">
        <v>378</v>
      </c>
      <c r="T16" s="66" t="s">
        <v>379</v>
      </c>
      <c r="U16" s="66" t="s">
        <v>380</v>
      </c>
      <c r="V16" s="66">
        <f>COUNTIF(Intervention_Cause_Map!$A$2:$A$29,B16)</f>
        <v>1</v>
      </c>
      <c r="W16" s="66" t="str">
        <f t="shared" si="0"/>
        <v>OK</v>
      </c>
    </row>
    <row r="17" spans="1:23" ht="41.4">
      <c r="A17" s="65" t="s">
        <v>395</v>
      </c>
      <c r="B17" s="65" t="s">
        <v>233</v>
      </c>
      <c r="C17" s="65" t="s">
        <v>159</v>
      </c>
      <c r="D17" s="65" t="s">
        <v>144</v>
      </c>
      <c r="E17" s="65" t="s">
        <v>165</v>
      </c>
      <c r="F17" s="65" t="s">
        <v>373</v>
      </c>
      <c r="G17" s="65" t="s">
        <v>384</v>
      </c>
      <c r="H17" s="65" t="s">
        <v>375</v>
      </c>
      <c r="I17" s="81">
        <f>INDEX(Risk_Response!$L$2:$L$18,MATCH(G17,Risk_Response!$A$2:$A$18,0))</f>
        <v>1.020079962718877</v>
      </c>
      <c r="J17" s="65" t="s">
        <v>358</v>
      </c>
      <c r="K17" s="90"/>
      <c r="L17" s="70">
        <v>0</v>
      </c>
      <c r="M17" s="70"/>
      <c r="N17" s="65" t="s">
        <v>376</v>
      </c>
      <c r="O17" s="90">
        <v>1</v>
      </c>
      <c r="P17" s="65" t="s">
        <v>212</v>
      </c>
      <c r="Q17" s="65" t="s">
        <v>213</v>
      </c>
      <c r="R17" s="65" t="s">
        <v>377</v>
      </c>
      <c r="S17" s="65" t="s">
        <v>378</v>
      </c>
      <c r="T17" s="65" t="s">
        <v>379</v>
      </c>
      <c r="U17" s="65" t="s">
        <v>380</v>
      </c>
      <c r="V17" s="65">
        <f>COUNTIF(Intervention_Cause_Map!$A$2:$A$29,B17)</f>
        <v>1</v>
      </c>
      <c r="W17" s="65" t="str">
        <f t="shared" si="0"/>
        <v>OK</v>
      </c>
    </row>
    <row r="18" spans="1:23" ht="41.4">
      <c r="A18" s="66" t="s">
        <v>396</v>
      </c>
      <c r="B18" s="66" t="s">
        <v>234</v>
      </c>
      <c r="C18" s="66" t="s">
        <v>159</v>
      </c>
      <c r="D18" s="66" t="s">
        <v>144</v>
      </c>
      <c r="E18" s="66" t="s">
        <v>176</v>
      </c>
      <c r="F18" s="66" t="s">
        <v>373</v>
      </c>
      <c r="G18" s="66" t="s">
        <v>386</v>
      </c>
      <c r="H18" s="66" t="s">
        <v>375</v>
      </c>
      <c r="I18" s="80">
        <f>INDEX(Risk_Response!$L$2:$L$18,MATCH(G18,Risk_Response!$A$2:$A$18,0))</f>
        <v>1.0331775104357432</v>
      </c>
      <c r="J18" s="66" t="s">
        <v>358</v>
      </c>
      <c r="K18" s="91"/>
      <c r="L18" s="71">
        <v>0</v>
      </c>
      <c r="M18" s="71"/>
      <c r="N18" s="66" t="s">
        <v>376</v>
      </c>
      <c r="O18" s="91">
        <v>1</v>
      </c>
      <c r="P18" s="66" t="s">
        <v>212</v>
      </c>
      <c r="Q18" s="66" t="s">
        <v>213</v>
      </c>
      <c r="R18" s="66" t="s">
        <v>377</v>
      </c>
      <c r="S18" s="66" t="s">
        <v>378</v>
      </c>
      <c r="T18" s="66" t="s">
        <v>307</v>
      </c>
      <c r="U18" s="66" t="s">
        <v>380</v>
      </c>
      <c r="V18" s="66">
        <f>COUNTIF(Intervention_Cause_Map!$A$2:$A$29,B18)</f>
        <v>1</v>
      </c>
      <c r="W18" s="66" t="str">
        <f t="shared" si="0"/>
        <v>OK</v>
      </c>
    </row>
    <row r="19" spans="1:23" ht="41.4">
      <c r="A19" s="65" t="s">
        <v>397</v>
      </c>
      <c r="B19" s="65" t="s">
        <v>235</v>
      </c>
      <c r="C19" s="65" t="s">
        <v>159</v>
      </c>
      <c r="D19" s="65" t="s">
        <v>144</v>
      </c>
      <c r="E19" s="65" t="s">
        <v>182</v>
      </c>
      <c r="F19" s="65" t="s">
        <v>373</v>
      </c>
      <c r="G19" s="65" t="s">
        <v>388</v>
      </c>
      <c r="H19" s="65" t="s">
        <v>375</v>
      </c>
      <c r="I19" s="81">
        <f>INDEX(Risk_Response!$L$2:$L$18,MATCH(G19,Risk_Response!$A$2:$A$18,0))</f>
        <v>1.0131616703515811</v>
      </c>
      <c r="J19" s="65" t="s">
        <v>358</v>
      </c>
      <c r="K19" s="90"/>
      <c r="L19" s="70">
        <v>0</v>
      </c>
      <c r="M19" s="70"/>
      <c r="N19" s="65" t="s">
        <v>376</v>
      </c>
      <c r="O19" s="90">
        <v>1</v>
      </c>
      <c r="P19" s="65" t="s">
        <v>212</v>
      </c>
      <c r="Q19" s="65" t="s">
        <v>213</v>
      </c>
      <c r="R19" s="65" t="s">
        <v>377</v>
      </c>
      <c r="S19" s="65" t="s">
        <v>378</v>
      </c>
      <c r="T19" s="65" t="s">
        <v>379</v>
      </c>
      <c r="U19" s="65" t="s">
        <v>380</v>
      </c>
      <c r="V19" s="65">
        <f>COUNTIF(Intervention_Cause_Map!$A$2:$A$29,B19)</f>
        <v>1</v>
      </c>
      <c r="W19" s="65" t="str">
        <f t="shared" si="0"/>
        <v>OK</v>
      </c>
    </row>
    <row r="20" spans="1:23" ht="27.6">
      <c r="A20" s="66" t="s">
        <v>398</v>
      </c>
      <c r="B20" s="66" t="s">
        <v>236</v>
      </c>
      <c r="C20" s="66" t="s">
        <v>168</v>
      </c>
      <c r="D20" s="66" t="s">
        <v>154</v>
      </c>
      <c r="E20" s="66" t="s">
        <v>148</v>
      </c>
      <c r="F20" s="66" t="s">
        <v>373</v>
      </c>
      <c r="G20" s="66" t="s">
        <v>399</v>
      </c>
      <c r="H20" s="66" t="s">
        <v>400</v>
      </c>
      <c r="I20" s="80">
        <f>INDEX(Risk_Response!$L$2:$L$18,MATCH(G20,Risk_Response!$A$2:$A$18,0))</f>
        <v>1.06</v>
      </c>
      <c r="J20" s="66" t="s">
        <v>358</v>
      </c>
      <c r="K20" s="91"/>
      <c r="L20" s="71">
        <v>0</v>
      </c>
      <c r="M20" s="71"/>
      <c r="N20" s="66" t="s">
        <v>376</v>
      </c>
      <c r="O20" s="91">
        <v>1</v>
      </c>
      <c r="P20" s="66" t="s">
        <v>212</v>
      </c>
      <c r="Q20" s="66" t="s">
        <v>213</v>
      </c>
      <c r="R20" s="66" t="s">
        <v>401</v>
      </c>
      <c r="S20" s="66" t="s">
        <v>402</v>
      </c>
      <c r="T20" s="66" t="s">
        <v>307</v>
      </c>
      <c r="U20" s="66" t="s">
        <v>403</v>
      </c>
      <c r="V20" s="66">
        <f>COUNTIF(Intervention_Cause_Map!$A$2:$A$29,B20)</f>
        <v>1</v>
      </c>
      <c r="W20" s="66" t="str">
        <f t="shared" si="0"/>
        <v>OK</v>
      </c>
    </row>
    <row r="21" spans="1:23" ht="27.6">
      <c r="A21" s="65" t="s">
        <v>404</v>
      </c>
      <c r="B21" s="65" t="s">
        <v>239</v>
      </c>
      <c r="C21" s="65" t="s">
        <v>168</v>
      </c>
      <c r="D21" s="65" t="s">
        <v>154</v>
      </c>
      <c r="E21" s="65" t="s">
        <v>157</v>
      </c>
      <c r="F21" s="65" t="s">
        <v>373</v>
      </c>
      <c r="G21" s="65" t="s">
        <v>399</v>
      </c>
      <c r="H21" s="65" t="s">
        <v>400</v>
      </c>
      <c r="I21" s="81">
        <f>INDEX(Risk_Response!$L$2:$L$18,MATCH(G21,Risk_Response!$A$2:$A$18,0))</f>
        <v>1.06</v>
      </c>
      <c r="J21" s="65" t="s">
        <v>358</v>
      </c>
      <c r="K21" s="90"/>
      <c r="L21" s="70">
        <v>0</v>
      </c>
      <c r="M21" s="70"/>
      <c r="N21" s="65" t="s">
        <v>376</v>
      </c>
      <c r="O21" s="90">
        <v>1</v>
      </c>
      <c r="P21" s="65" t="s">
        <v>212</v>
      </c>
      <c r="Q21" s="65" t="s">
        <v>213</v>
      </c>
      <c r="R21" s="65" t="s">
        <v>401</v>
      </c>
      <c r="S21" s="65" t="s">
        <v>402</v>
      </c>
      <c r="T21" s="65" t="s">
        <v>307</v>
      </c>
      <c r="U21" s="65" t="s">
        <v>403</v>
      </c>
      <c r="V21" s="65">
        <f>COUNTIF(Intervention_Cause_Map!$A$2:$A$29,B21)</f>
        <v>1</v>
      </c>
      <c r="W21" s="65" t="str">
        <f t="shared" si="0"/>
        <v>OK</v>
      </c>
    </row>
    <row r="22" spans="1:23" ht="27.6">
      <c r="A22" s="66" t="s">
        <v>405</v>
      </c>
      <c r="B22" s="66" t="s">
        <v>240</v>
      </c>
      <c r="C22" s="66" t="s">
        <v>168</v>
      </c>
      <c r="D22" s="66" t="s">
        <v>154</v>
      </c>
      <c r="E22" s="66" t="s">
        <v>165</v>
      </c>
      <c r="F22" s="66" t="s">
        <v>373</v>
      </c>
      <c r="G22" s="66" t="s">
        <v>399</v>
      </c>
      <c r="H22" s="66" t="s">
        <v>400</v>
      </c>
      <c r="I22" s="80">
        <f>INDEX(Risk_Response!$L$2:$L$18,MATCH(G22,Risk_Response!$A$2:$A$18,0))</f>
        <v>1.06</v>
      </c>
      <c r="J22" s="66" t="s">
        <v>358</v>
      </c>
      <c r="K22" s="91"/>
      <c r="L22" s="71">
        <v>0</v>
      </c>
      <c r="M22" s="71"/>
      <c r="N22" s="66" t="s">
        <v>376</v>
      </c>
      <c r="O22" s="91">
        <v>1</v>
      </c>
      <c r="P22" s="66" t="s">
        <v>212</v>
      </c>
      <c r="Q22" s="66" t="s">
        <v>213</v>
      </c>
      <c r="R22" s="66" t="s">
        <v>401</v>
      </c>
      <c r="S22" s="66" t="s">
        <v>402</v>
      </c>
      <c r="T22" s="66" t="s">
        <v>307</v>
      </c>
      <c r="U22" s="66" t="s">
        <v>403</v>
      </c>
      <c r="V22" s="66">
        <f>COUNTIF(Intervention_Cause_Map!$A$2:$A$29,B22)</f>
        <v>1</v>
      </c>
      <c r="W22" s="66" t="str">
        <f t="shared" si="0"/>
        <v>OK</v>
      </c>
    </row>
    <row r="23" spans="1:23" ht="27.6">
      <c r="A23" s="65" t="s">
        <v>406</v>
      </c>
      <c r="B23" s="65" t="s">
        <v>241</v>
      </c>
      <c r="C23" s="65" t="s">
        <v>168</v>
      </c>
      <c r="D23" s="65" t="s">
        <v>154</v>
      </c>
      <c r="E23" s="65" t="s">
        <v>176</v>
      </c>
      <c r="F23" s="65" t="s">
        <v>373</v>
      </c>
      <c r="G23" s="65" t="s">
        <v>399</v>
      </c>
      <c r="H23" s="65" t="s">
        <v>400</v>
      </c>
      <c r="I23" s="81">
        <f>INDEX(Risk_Response!$L$2:$L$18,MATCH(G23,Risk_Response!$A$2:$A$18,0))</f>
        <v>1.06</v>
      </c>
      <c r="J23" s="65" t="s">
        <v>358</v>
      </c>
      <c r="K23" s="90"/>
      <c r="L23" s="70">
        <v>0</v>
      </c>
      <c r="M23" s="70"/>
      <c r="N23" s="65" t="s">
        <v>376</v>
      </c>
      <c r="O23" s="90">
        <v>1</v>
      </c>
      <c r="P23" s="65" t="s">
        <v>212</v>
      </c>
      <c r="Q23" s="65" t="s">
        <v>213</v>
      </c>
      <c r="R23" s="65" t="s">
        <v>401</v>
      </c>
      <c r="S23" s="65" t="s">
        <v>402</v>
      </c>
      <c r="T23" s="65" t="s">
        <v>307</v>
      </c>
      <c r="U23" s="65" t="s">
        <v>403</v>
      </c>
      <c r="V23" s="65">
        <f>COUNTIF(Intervention_Cause_Map!$A$2:$A$29,B23)</f>
        <v>1</v>
      </c>
      <c r="W23" s="65" t="str">
        <f t="shared" si="0"/>
        <v>OK</v>
      </c>
    </row>
    <row r="24" spans="1:23" ht="27.6">
      <c r="A24" s="66" t="s">
        <v>407</v>
      </c>
      <c r="B24" s="66" t="s">
        <v>242</v>
      </c>
      <c r="C24" s="66" t="s">
        <v>179</v>
      </c>
      <c r="D24" s="66" t="s">
        <v>162</v>
      </c>
      <c r="E24" s="66" t="s">
        <v>148</v>
      </c>
      <c r="F24" s="66" t="s">
        <v>408</v>
      </c>
      <c r="G24" s="66" t="s">
        <v>409</v>
      </c>
      <c r="H24" s="66" t="s">
        <v>410</v>
      </c>
      <c r="I24" s="80"/>
      <c r="J24" s="66" t="s">
        <v>112</v>
      </c>
      <c r="K24" s="91"/>
      <c r="L24" s="71">
        <v>1</v>
      </c>
      <c r="M24" s="71"/>
      <c r="N24" s="66" t="s">
        <v>376</v>
      </c>
      <c r="O24" s="91">
        <v>1</v>
      </c>
      <c r="P24" s="66" t="s">
        <v>212</v>
      </c>
      <c r="Q24" s="66" t="s">
        <v>213</v>
      </c>
      <c r="R24" s="66" t="s">
        <v>401</v>
      </c>
      <c r="S24" s="66" t="s">
        <v>411</v>
      </c>
      <c r="T24" s="66" t="s">
        <v>325</v>
      </c>
      <c r="U24" s="66" t="s">
        <v>412</v>
      </c>
      <c r="V24" s="66">
        <f>COUNTIF(Intervention_Cause_Map!$A$2:$A$29,B24)</f>
        <v>1</v>
      </c>
      <c r="W24" s="66" t="str">
        <f t="shared" si="0"/>
        <v>MISSING PAF</v>
      </c>
    </row>
    <row r="25" spans="1:23" ht="54" customHeight="1">
      <c r="A25" s="65" t="s">
        <v>413</v>
      </c>
      <c r="B25" s="65" t="s">
        <v>244</v>
      </c>
      <c r="C25" s="65" t="s">
        <v>185</v>
      </c>
      <c r="D25" s="65" t="s">
        <v>172</v>
      </c>
      <c r="E25" s="65" t="s">
        <v>148</v>
      </c>
      <c r="F25" s="65" t="s">
        <v>373</v>
      </c>
      <c r="G25" s="65" t="s">
        <v>414</v>
      </c>
      <c r="H25" s="65" t="s">
        <v>415</v>
      </c>
      <c r="I25" s="81">
        <v>1.1399999999999999</v>
      </c>
      <c r="J25" s="65" t="s">
        <v>358</v>
      </c>
      <c r="K25" s="90"/>
      <c r="L25" s="70">
        <v>0</v>
      </c>
      <c r="M25" s="70"/>
      <c r="N25" s="65" t="s">
        <v>376</v>
      </c>
      <c r="O25" s="90">
        <v>1</v>
      </c>
      <c r="P25" s="65" t="s">
        <v>212</v>
      </c>
      <c r="Q25" s="65" t="s">
        <v>213</v>
      </c>
      <c r="R25" s="65" t="s">
        <v>416</v>
      </c>
      <c r="S25" s="65" t="s">
        <v>417</v>
      </c>
      <c r="T25" s="65" t="s">
        <v>307</v>
      </c>
      <c r="U25" s="65" t="s">
        <v>418</v>
      </c>
      <c r="V25" s="65">
        <f>COUNTIF(Intervention_Cause_Map!$A$2:$A$29,B25)</f>
        <v>1</v>
      </c>
      <c r="W25" s="65" t="str">
        <f t="shared" si="0"/>
        <v>OK</v>
      </c>
    </row>
    <row r="26" spans="1:23" ht="54" customHeight="1">
      <c r="A26" s="66" t="s">
        <v>419</v>
      </c>
      <c r="B26" s="66" t="s">
        <v>247</v>
      </c>
      <c r="C26" s="66" t="s">
        <v>185</v>
      </c>
      <c r="D26" s="66" t="s">
        <v>172</v>
      </c>
      <c r="E26" s="66" t="s">
        <v>157</v>
      </c>
      <c r="F26" s="66" t="s">
        <v>373</v>
      </c>
      <c r="G26" s="66" t="s">
        <v>420</v>
      </c>
      <c r="H26" s="66" t="s">
        <v>415</v>
      </c>
      <c r="I26" s="80">
        <v>1.07</v>
      </c>
      <c r="J26" s="66" t="s">
        <v>358</v>
      </c>
      <c r="K26" s="91"/>
      <c r="L26" s="71">
        <v>0</v>
      </c>
      <c r="M26" s="71"/>
      <c r="N26" s="66" t="s">
        <v>376</v>
      </c>
      <c r="O26" s="91">
        <v>1</v>
      </c>
      <c r="P26" s="66" t="s">
        <v>212</v>
      </c>
      <c r="Q26" s="66" t="s">
        <v>213</v>
      </c>
      <c r="R26" s="66" t="s">
        <v>416</v>
      </c>
      <c r="S26" s="66" t="s">
        <v>417</v>
      </c>
      <c r="T26" s="66" t="s">
        <v>307</v>
      </c>
      <c r="U26" s="66" t="s">
        <v>418</v>
      </c>
      <c r="V26" s="66">
        <f>COUNTIF(Intervention_Cause_Map!$A$2:$A$29,B26)</f>
        <v>1</v>
      </c>
      <c r="W26" s="66" t="str">
        <f t="shared" si="0"/>
        <v>OK</v>
      </c>
    </row>
    <row r="27" spans="1:23" ht="54" customHeight="1">
      <c r="A27" s="65" t="s">
        <v>421</v>
      </c>
      <c r="B27" s="65" t="s">
        <v>248</v>
      </c>
      <c r="C27" s="65" t="s">
        <v>185</v>
      </c>
      <c r="D27" s="65" t="s">
        <v>172</v>
      </c>
      <c r="E27" s="65" t="s">
        <v>165</v>
      </c>
      <c r="F27" s="65" t="s">
        <v>373</v>
      </c>
      <c r="G27" s="65" t="s">
        <v>422</v>
      </c>
      <c r="H27" s="65" t="s">
        <v>415</v>
      </c>
      <c r="I27" s="81">
        <v>1.08</v>
      </c>
      <c r="J27" s="65" t="s">
        <v>358</v>
      </c>
      <c r="K27" s="90"/>
      <c r="L27" s="70">
        <v>0</v>
      </c>
      <c r="M27" s="70"/>
      <c r="N27" s="65" t="s">
        <v>376</v>
      </c>
      <c r="O27" s="90">
        <v>1</v>
      </c>
      <c r="P27" s="65" t="s">
        <v>212</v>
      </c>
      <c r="Q27" s="65" t="s">
        <v>213</v>
      </c>
      <c r="R27" s="65" t="s">
        <v>423</v>
      </c>
      <c r="S27" s="65" t="s">
        <v>424</v>
      </c>
      <c r="T27" s="65" t="s">
        <v>379</v>
      </c>
      <c r="U27" s="65" t="s">
        <v>425</v>
      </c>
      <c r="V27" s="65">
        <f>COUNTIF(Intervention_Cause_Map!$A$2:$A$29,B27)</f>
        <v>1</v>
      </c>
      <c r="W27" s="65" t="str">
        <f t="shared" si="0"/>
        <v>OK</v>
      </c>
    </row>
    <row r="28" spans="1:23" ht="54" customHeight="1">
      <c r="A28" s="66" t="s">
        <v>426</v>
      </c>
      <c r="B28" s="66" t="s">
        <v>250</v>
      </c>
      <c r="C28" s="66" t="s">
        <v>185</v>
      </c>
      <c r="D28" s="66" t="s">
        <v>172</v>
      </c>
      <c r="E28" s="66" t="s">
        <v>176</v>
      </c>
      <c r="F28" s="66" t="s">
        <v>373</v>
      </c>
      <c r="G28" s="66" t="s">
        <v>427</v>
      </c>
      <c r="H28" s="66" t="s">
        <v>415</v>
      </c>
      <c r="I28" s="80">
        <v>1.1000000000000001</v>
      </c>
      <c r="J28" s="66" t="s">
        <v>358</v>
      </c>
      <c r="K28" s="91"/>
      <c r="L28" s="71">
        <v>0</v>
      </c>
      <c r="M28" s="71"/>
      <c r="N28" s="66" t="s">
        <v>376</v>
      </c>
      <c r="O28" s="91">
        <v>1</v>
      </c>
      <c r="P28" s="66" t="s">
        <v>212</v>
      </c>
      <c r="Q28" s="66" t="s">
        <v>213</v>
      </c>
      <c r="R28" s="66" t="s">
        <v>428</v>
      </c>
      <c r="S28" s="66" t="s">
        <v>429</v>
      </c>
      <c r="T28" s="66" t="s">
        <v>379</v>
      </c>
      <c r="U28" s="66" t="s">
        <v>430</v>
      </c>
      <c r="V28" s="66">
        <f>COUNTIF(Intervention_Cause_Map!$A$2:$A$29,B28)</f>
        <v>1</v>
      </c>
      <c r="W28" s="66" t="str">
        <f t="shared" si="0"/>
        <v>OK</v>
      </c>
    </row>
    <row r="29" spans="1:23" ht="54" customHeight="1">
      <c r="A29" s="65" t="s">
        <v>431</v>
      </c>
      <c r="B29" s="65" t="s">
        <v>252</v>
      </c>
      <c r="C29" s="65" t="s">
        <v>185</v>
      </c>
      <c r="D29" s="65" t="s">
        <v>172</v>
      </c>
      <c r="E29" s="65" t="s">
        <v>188</v>
      </c>
      <c r="F29" s="65" t="s">
        <v>373</v>
      </c>
      <c r="G29" s="65" t="s">
        <v>432</v>
      </c>
      <c r="H29" s="65" t="s">
        <v>415</v>
      </c>
      <c r="I29" s="81">
        <v>1.18</v>
      </c>
      <c r="J29" s="65" t="s">
        <v>358</v>
      </c>
      <c r="K29" s="90"/>
      <c r="L29" s="70">
        <v>0</v>
      </c>
      <c r="M29" s="70"/>
      <c r="N29" s="65" t="s">
        <v>376</v>
      </c>
      <c r="O29" s="90">
        <v>1</v>
      </c>
      <c r="P29" s="65" t="s">
        <v>212</v>
      </c>
      <c r="Q29" s="65" t="s">
        <v>213</v>
      </c>
      <c r="R29" s="65" t="s">
        <v>416</v>
      </c>
      <c r="S29" s="65" t="s">
        <v>417</v>
      </c>
      <c r="T29" s="65" t="s">
        <v>307</v>
      </c>
      <c r="U29" s="65" t="s">
        <v>418</v>
      </c>
      <c r="V29" s="65">
        <f>COUNTIF(Intervention_Cause_Map!$A$2:$A$29,B29)</f>
        <v>1</v>
      </c>
      <c r="W29" s="65" t="str">
        <f t="shared" si="0"/>
        <v>OK</v>
      </c>
    </row>
  </sheetData>
  <conditionalFormatting sqref="T2:T10">
    <cfRule type="containsText" dxfId="32" priority="1" operator="containsText" text="OK"/>
    <cfRule type="containsText" dxfId="31" priority="4" operator="containsText" text="FAIL"/>
    <cfRule type="containsText" dxfId="30" priority="7" operator="containsText" text="REVIEW"/>
  </conditionalFormatting>
  <conditionalFormatting sqref="W2:W10">
    <cfRule type="containsText" dxfId="29" priority="8" operator="containsText" text="OK"/>
    <cfRule type="containsText" dxfId="28" priority="11" operator="containsText" text="FAIL"/>
    <cfRule type="containsText" dxfId="27" priority="14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7"/>
  <sheetViews>
    <sheetView showGridLines="0" topLeftCell="A11" zoomScale="70" zoomScaleNormal="70" workbookViewId="0">
      <selection activeCell="K26" sqref="K26"/>
    </sheetView>
  </sheetViews>
  <sheetFormatPr defaultRowHeight="13.8"/>
  <cols>
    <col min="1" max="1" width="22" customWidth="1"/>
    <col min="2" max="2" width="16" customWidth="1"/>
    <col min="3" max="3" width="18" customWidth="1"/>
    <col min="4" max="4" width="40" customWidth="1"/>
    <col min="5" max="6" width="12" customWidth="1"/>
    <col min="7" max="7" width="10" customWidth="1"/>
    <col min="8" max="8" width="34" customWidth="1"/>
    <col min="9" max="9" width="18" customWidth="1"/>
    <col min="10" max="10" width="32" customWidth="1"/>
    <col min="11" max="11" width="42" customWidth="1"/>
    <col min="12" max="12" width="22" customWidth="1"/>
    <col min="13" max="13" width="58" customWidth="1"/>
    <col min="14" max="14" width="48" customWidth="1"/>
    <col min="15" max="15" width="60" customWidth="1"/>
    <col min="16" max="16" width="20" customWidth="1"/>
    <col min="17" max="17" width="62" customWidth="1"/>
  </cols>
  <sheetData>
    <row r="1" spans="1:17" ht="28.05" customHeight="1">
      <c r="A1" s="57" t="s">
        <v>342</v>
      </c>
      <c r="B1" s="58" t="s">
        <v>121</v>
      </c>
      <c r="C1" s="58" t="s">
        <v>433</v>
      </c>
      <c r="D1" s="58" t="s">
        <v>434</v>
      </c>
      <c r="E1" s="58" t="s">
        <v>435</v>
      </c>
      <c r="F1" s="58" t="s">
        <v>436</v>
      </c>
      <c r="G1" s="58" t="s">
        <v>437</v>
      </c>
      <c r="H1" s="58" t="s">
        <v>125</v>
      </c>
      <c r="I1" s="58" t="s">
        <v>438</v>
      </c>
      <c r="J1" s="58" t="s">
        <v>439</v>
      </c>
      <c r="K1" s="58" t="s">
        <v>440</v>
      </c>
      <c r="L1" s="58" t="s">
        <v>441</v>
      </c>
      <c r="M1" s="59" t="s">
        <v>442</v>
      </c>
      <c r="N1" s="53" t="s">
        <v>443</v>
      </c>
      <c r="O1" s="53" t="s">
        <v>37</v>
      </c>
      <c r="P1" s="53" t="s">
        <v>444</v>
      </c>
      <c r="Q1" s="54" t="s">
        <v>207</v>
      </c>
    </row>
    <row r="2" spans="1:17" ht="27.6">
      <c r="A2" s="60" t="s">
        <v>356</v>
      </c>
      <c r="B2" s="60" t="s">
        <v>134</v>
      </c>
      <c r="C2" s="60" t="s">
        <v>445</v>
      </c>
      <c r="D2" s="60" t="s">
        <v>446</v>
      </c>
      <c r="E2" s="67">
        <v>20</v>
      </c>
      <c r="F2" s="67">
        <v>95</v>
      </c>
      <c r="G2" s="60" t="s">
        <v>447</v>
      </c>
      <c r="H2" s="60" t="s">
        <v>148</v>
      </c>
      <c r="I2" s="72" t="s">
        <v>149</v>
      </c>
      <c r="J2" s="77">
        <v>1.6</v>
      </c>
      <c r="K2" s="60" t="s">
        <v>448</v>
      </c>
      <c r="L2" s="77">
        <f>J2</f>
        <v>1.6</v>
      </c>
      <c r="M2" s="60" t="s">
        <v>448</v>
      </c>
      <c r="N2" s="66" t="s">
        <v>449</v>
      </c>
      <c r="O2" s="66" t="s">
        <v>450</v>
      </c>
      <c r="P2" s="71">
        <v>1</v>
      </c>
      <c r="Q2" s="66" t="s">
        <v>451</v>
      </c>
    </row>
    <row r="3" spans="1:17" ht="27.6">
      <c r="A3" s="62" t="s">
        <v>364</v>
      </c>
      <c r="B3" s="62" t="s">
        <v>134</v>
      </c>
      <c r="C3" s="62" t="s">
        <v>445</v>
      </c>
      <c r="D3" s="62" t="s">
        <v>452</v>
      </c>
      <c r="E3" s="68">
        <v>20</v>
      </c>
      <c r="F3" s="68">
        <v>95</v>
      </c>
      <c r="G3" s="62" t="s">
        <v>447</v>
      </c>
      <c r="H3" s="62" t="s">
        <v>157</v>
      </c>
      <c r="I3" s="73" t="s">
        <v>158</v>
      </c>
      <c r="J3" s="78">
        <v>1.38</v>
      </c>
      <c r="K3" s="62" t="s">
        <v>448</v>
      </c>
      <c r="L3" s="78">
        <f>J3</f>
        <v>1.38</v>
      </c>
      <c r="M3" s="62" t="s">
        <v>448</v>
      </c>
      <c r="N3" s="74" t="s">
        <v>449</v>
      </c>
      <c r="O3" s="74" t="s">
        <v>450</v>
      </c>
      <c r="P3" s="82">
        <v>1</v>
      </c>
      <c r="Q3" s="74" t="s">
        <v>453</v>
      </c>
    </row>
    <row r="4" spans="1:17" ht="27.6">
      <c r="A4" s="64" t="s">
        <v>366</v>
      </c>
      <c r="B4" s="64" t="s">
        <v>134</v>
      </c>
      <c r="C4" s="64" t="s">
        <v>445</v>
      </c>
      <c r="D4" s="64" t="s">
        <v>454</v>
      </c>
      <c r="E4" s="69">
        <v>20</v>
      </c>
      <c r="F4" s="69">
        <v>95</v>
      </c>
      <c r="G4" s="64" t="s">
        <v>447</v>
      </c>
      <c r="H4" s="64" t="s">
        <v>165</v>
      </c>
      <c r="I4" s="75" t="s">
        <v>166</v>
      </c>
      <c r="J4" s="79">
        <v>1.19</v>
      </c>
      <c r="K4" s="64" t="s">
        <v>448</v>
      </c>
      <c r="L4" s="79">
        <f>J4</f>
        <v>1.19</v>
      </c>
      <c r="M4" s="64" t="s">
        <v>448</v>
      </c>
      <c r="N4" s="76" t="s">
        <v>449</v>
      </c>
      <c r="O4" s="76" t="s">
        <v>450</v>
      </c>
      <c r="P4" s="83">
        <v>1</v>
      </c>
      <c r="Q4" s="76" t="s">
        <v>455</v>
      </c>
    </row>
    <row r="5" spans="1:17" ht="27.6">
      <c r="A5" s="62" t="s">
        <v>368</v>
      </c>
      <c r="B5" s="62" t="s">
        <v>134</v>
      </c>
      <c r="C5" s="62" t="s">
        <v>445</v>
      </c>
      <c r="D5" s="62" t="s">
        <v>456</v>
      </c>
      <c r="E5" s="68">
        <v>20</v>
      </c>
      <c r="F5" s="68">
        <v>95</v>
      </c>
      <c r="G5" s="62" t="s">
        <v>447</v>
      </c>
      <c r="H5" s="62" t="s">
        <v>188</v>
      </c>
      <c r="I5" s="73" t="s">
        <v>189</v>
      </c>
      <c r="J5" s="78">
        <v>1.37</v>
      </c>
      <c r="K5" s="62" t="s">
        <v>448</v>
      </c>
      <c r="L5" s="78">
        <f>J5</f>
        <v>1.37</v>
      </c>
      <c r="M5" s="62" t="s">
        <v>448</v>
      </c>
      <c r="N5" s="74" t="s">
        <v>449</v>
      </c>
      <c r="O5" s="74" t="s">
        <v>457</v>
      </c>
      <c r="P5" s="82">
        <v>1</v>
      </c>
      <c r="Q5" s="74" t="s">
        <v>458</v>
      </c>
    </row>
    <row r="6" spans="1:17" ht="27.6">
      <c r="A6" s="64" t="s">
        <v>374</v>
      </c>
      <c r="B6" s="64" t="s">
        <v>144</v>
      </c>
      <c r="C6" s="64" t="s">
        <v>445</v>
      </c>
      <c r="D6" s="64" t="s">
        <v>459</v>
      </c>
      <c r="E6" s="69">
        <v>20</v>
      </c>
      <c r="F6" s="69">
        <v>95</v>
      </c>
      <c r="G6" s="64" t="s">
        <v>447</v>
      </c>
      <c r="H6" s="64" t="s">
        <v>148</v>
      </c>
      <c r="I6" s="75" t="s">
        <v>149</v>
      </c>
      <c r="J6" s="79">
        <v>1.06</v>
      </c>
      <c r="K6" s="64" t="s">
        <v>460</v>
      </c>
      <c r="L6" s="79">
        <f>J6^(1/(100*Assumptions!$B$19/Assumptions!$B$18))</f>
        <v>1.0088803849749666</v>
      </c>
      <c r="M6" s="64" t="s">
        <v>375</v>
      </c>
      <c r="N6" s="76" t="s">
        <v>461</v>
      </c>
      <c r="O6" s="76" t="s">
        <v>462</v>
      </c>
      <c r="P6" s="83">
        <v>1</v>
      </c>
      <c r="Q6" s="76" t="s">
        <v>463</v>
      </c>
    </row>
    <row r="7" spans="1:17" ht="27.6">
      <c r="A7" s="62" t="s">
        <v>382</v>
      </c>
      <c r="B7" s="62" t="s">
        <v>144</v>
      </c>
      <c r="C7" s="62" t="s">
        <v>445</v>
      </c>
      <c r="D7" s="62" t="s">
        <v>464</v>
      </c>
      <c r="E7" s="68">
        <v>20</v>
      </c>
      <c r="F7" s="68">
        <v>95</v>
      </c>
      <c r="G7" s="62" t="s">
        <v>447</v>
      </c>
      <c r="H7" s="62" t="s">
        <v>157</v>
      </c>
      <c r="I7" s="73" t="s">
        <v>158</v>
      </c>
      <c r="J7" s="78">
        <v>1.1399999999999999</v>
      </c>
      <c r="K7" s="62" t="s">
        <v>460</v>
      </c>
      <c r="L7" s="78">
        <f>J7^(1/(100*Assumptions!$B$19/Assumptions!$B$18))</f>
        <v>1.020079962718877</v>
      </c>
      <c r="M7" s="62" t="s">
        <v>375</v>
      </c>
      <c r="N7" s="74" t="s">
        <v>461</v>
      </c>
      <c r="O7" s="74" t="s">
        <v>462</v>
      </c>
      <c r="P7" s="82">
        <v>1</v>
      </c>
      <c r="Q7" s="74" t="s">
        <v>465</v>
      </c>
    </row>
    <row r="8" spans="1:17" ht="27.6">
      <c r="A8" s="66" t="s">
        <v>384</v>
      </c>
      <c r="B8" s="66" t="s">
        <v>144</v>
      </c>
      <c r="C8" s="66" t="s">
        <v>445</v>
      </c>
      <c r="D8" s="66" t="s">
        <v>466</v>
      </c>
      <c r="E8" s="71">
        <v>20</v>
      </c>
      <c r="F8" s="71">
        <v>95</v>
      </c>
      <c r="G8" s="66" t="s">
        <v>447</v>
      </c>
      <c r="H8" s="66" t="s">
        <v>165</v>
      </c>
      <c r="I8" s="66" t="s">
        <v>166</v>
      </c>
      <c r="J8" s="80">
        <v>1.1399999999999999</v>
      </c>
      <c r="K8" s="66" t="s">
        <v>460</v>
      </c>
      <c r="L8" s="80">
        <f>J8^(1/(100*Assumptions!$B$19/Assumptions!$B$18))</f>
        <v>1.020079962718877</v>
      </c>
      <c r="M8" s="66" t="s">
        <v>375</v>
      </c>
      <c r="N8" s="66" t="s">
        <v>461</v>
      </c>
      <c r="O8" s="66" t="s">
        <v>462</v>
      </c>
      <c r="P8" s="71">
        <v>1</v>
      </c>
      <c r="Q8" s="66" t="s">
        <v>465</v>
      </c>
    </row>
    <row r="9" spans="1:17" ht="27.6">
      <c r="A9" s="65" t="s">
        <v>386</v>
      </c>
      <c r="B9" s="65" t="s">
        <v>144</v>
      </c>
      <c r="C9" s="65" t="s">
        <v>445</v>
      </c>
      <c r="D9" s="65" t="s">
        <v>467</v>
      </c>
      <c r="E9" s="70">
        <v>20</v>
      </c>
      <c r="F9" s="70">
        <v>95</v>
      </c>
      <c r="G9" s="65" t="s">
        <v>447</v>
      </c>
      <c r="H9" s="65" t="s">
        <v>176</v>
      </c>
      <c r="I9" s="65" t="s">
        <v>177</v>
      </c>
      <c r="J9" s="81">
        <v>1.24</v>
      </c>
      <c r="K9" s="65" t="s">
        <v>460</v>
      </c>
      <c r="L9" s="81">
        <f>J9^(1/(100*Assumptions!$B$19/Assumptions!$B$18))</f>
        <v>1.0331775104357432</v>
      </c>
      <c r="M9" s="65" t="s">
        <v>375</v>
      </c>
      <c r="N9" s="65" t="s">
        <v>461</v>
      </c>
      <c r="O9" s="65" t="s">
        <v>462</v>
      </c>
      <c r="P9" s="70">
        <v>1</v>
      </c>
      <c r="Q9" s="65" t="s">
        <v>468</v>
      </c>
    </row>
    <row r="10" spans="1:17" ht="27.6">
      <c r="A10" s="66" t="s">
        <v>388</v>
      </c>
      <c r="B10" s="66" t="s">
        <v>144</v>
      </c>
      <c r="C10" s="66" t="s">
        <v>445</v>
      </c>
      <c r="D10" s="66" t="s">
        <v>469</v>
      </c>
      <c r="E10" s="71">
        <v>20</v>
      </c>
      <c r="F10" s="71">
        <v>95</v>
      </c>
      <c r="G10" s="66" t="s">
        <v>447</v>
      </c>
      <c r="H10" s="66" t="s">
        <v>182</v>
      </c>
      <c r="I10" s="66" t="s">
        <v>183</v>
      </c>
      <c r="J10" s="80">
        <v>1.0900000000000001</v>
      </c>
      <c r="K10" s="66" t="s">
        <v>460</v>
      </c>
      <c r="L10" s="80">
        <f>J10^(1/(100*Assumptions!$B$19/Assumptions!$B$18))</f>
        <v>1.0131616703515811</v>
      </c>
      <c r="M10" s="66" t="s">
        <v>375</v>
      </c>
      <c r="N10" s="66" t="s">
        <v>461</v>
      </c>
      <c r="O10" s="66" t="s">
        <v>462</v>
      </c>
      <c r="P10" s="71">
        <v>1</v>
      </c>
      <c r="Q10" s="66" t="s">
        <v>470</v>
      </c>
    </row>
    <row r="11" spans="1:17" ht="41.4">
      <c r="A11" s="65" t="s">
        <v>471</v>
      </c>
      <c r="B11" s="65" t="s">
        <v>134</v>
      </c>
      <c r="C11" s="65" t="s">
        <v>445</v>
      </c>
      <c r="D11" s="65" t="s">
        <v>472</v>
      </c>
      <c r="E11" s="70">
        <v>20</v>
      </c>
      <c r="F11" s="70">
        <v>95</v>
      </c>
      <c r="G11" s="65" t="s">
        <v>447</v>
      </c>
      <c r="H11" s="65" t="s">
        <v>473</v>
      </c>
      <c r="I11" s="65" t="s">
        <v>474</v>
      </c>
      <c r="J11" s="81">
        <v>0.47</v>
      </c>
      <c r="K11" s="65" t="s">
        <v>475</v>
      </c>
      <c r="L11" s="81">
        <f>1-(1-J11)^(1/10)</f>
        <v>6.1514456812961193E-2</v>
      </c>
      <c r="M11" s="65" t="s">
        <v>476</v>
      </c>
      <c r="N11" s="65" t="s">
        <v>477</v>
      </c>
      <c r="O11" s="65" t="s">
        <v>478</v>
      </c>
      <c r="P11" s="70">
        <v>1</v>
      </c>
      <c r="Q11" s="65" t="s">
        <v>479</v>
      </c>
    </row>
    <row r="12" spans="1:17" ht="27.6">
      <c r="A12" s="66" t="s">
        <v>480</v>
      </c>
      <c r="B12" s="66" t="s">
        <v>134</v>
      </c>
      <c r="C12" s="66" t="s">
        <v>445</v>
      </c>
      <c r="D12" s="66" t="s">
        <v>481</v>
      </c>
      <c r="E12" s="71">
        <v>20</v>
      </c>
      <c r="F12" s="71">
        <v>95</v>
      </c>
      <c r="G12" s="66" t="s">
        <v>447</v>
      </c>
      <c r="H12" s="66" t="s">
        <v>188</v>
      </c>
      <c r="I12" s="66" t="s">
        <v>189</v>
      </c>
      <c r="J12" s="80">
        <v>0.47</v>
      </c>
      <c r="K12" s="66" t="s">
        <v>482</v>
      </c>
      <c r="L12" s="80">
        <f>1-(1-J12)^(1/10)</f>
        <v>6.1514456812961193E-2</v>
      </c>
      <c r="M12" s="66" t="s">
        <v>476</v>
      </c>
      <c r="N12" s="66" t="s">
        <v>483</v>
      </c>
      <c r="O12" s="66" t="s">
        <v>484</v>
      </c>
      <c r="P12" s="71">
        <v>1</v>
      </c>
      <c r="Q12" s="66" t="s">
        <v>485</v>
      </c>
    </row>
    <row r="13" spans="1:17" ht="27.6">
      <c r="A13" s="65" t="s">
        <v>399</v>
      </c>
      <c r="B13" s="65" t="s">
        <v>154</v>
      </c>
      <c r="C13" s="65" t="s">
        <v>445</v>
      </c>
      <c r="D13" s="65" t="s">
        <v>486</v>
      </c>
      <c r="E13" s="70">
        <v>0</v>
      </c>
      <c r="F13" s="70">
        <v>95</v>
      </c>
      <c r="G13" s="65" t="s">
        <v>447</v>
      </c>
      <c r="H13" s="65" t="s">
        <v>487</v>
      </c>
      <c r="I13" s="65" t="s">
        <v>488</v>
      </c>
      <c r="J13" s="81">
        <v>1.06</v>
      </c>
      <c r="K13" s="65" t="s">
        <v>489</v>
      </c>
      <c r="L13" s="81">
        <f t="shared" ref="L13:L18" si="0">J13</f>
        <v>1.06</v>
      </c>
      <c r="M13" s="65" t="s">
        <v>489</v>
      </c>
      <c r="N13" s="65" t="s">
        <v>449</v>
      </c>
      <c r="O13" s="65" t="s">
        <v>490</v>
      </c>
      <c r="P13" s="70">
        <v>1</v>
      </c>
      <c r="Q13" s="65" t="s">
        <v>491</v>
      </c>
    </row>
    <row r="14" spans="1:17" ht="41.4">
      <c r="A14" s="66" t="s">
        <v>409</v>
      </c>
      <c r="B14" s="66" t="s">
        <v>162</v>
      </c>
      <c r="C14" s="66" t="s">
        <v>492</v>
      </c>
      <c r="D14" s="66" t="s">
        <v>493</v>
      </c>
      <c r="E14" s="71">
        <v>0</v>
      </c>
      <c r="F14" s="71">
        <v>95</v>
      </c>
      <c r="G14" s="66" t="s">
        <v>447</v>
      </c>
      <c r="H14" s="66" t="s">
        <v>148</v>
      </c>
      <c r="I14" s="66" t="s">
        <v>494</v>
      </c>
      <c r="J14" s="80">
        <v>1</v>
      </c>
      <c r="K14" s="66" t="s">
        <v>495</v>
      </c>
      <c r="L14" s="80">
        <f t="shared" si="0"/>
        <v>1</v>
      </c>
      <c r="M14" s="66" t="s">
        <v>495</v>
      </c>
      <c r="N14" s="66" t="s">
        <v>496</v>
      </c>
      <c r="O14" s="66" t="s">
        <v>497</v>
      </c>
      <c r="P14" s="71">
        <v>0</v>
      </c>
      <c r="Q14" s="66" t="s">
        <v>498</v>
      </c>
    </row>
    <row r="15" spans="1:17" ht="41.4">
      <c r="A15" s="65" t="s">
        <v>409</v>
      </c>
      <c r="B15" s="65" t="s">
        <v>162</v>
      </c>
      <c r="C15" s="65" t="s">
        <v>492</v>
      </c>
      <c r="D15" s="65" t="s">
        <v>499</v>
      </c>
      <c r="E15" s="70">
        <v>0</v>
      </c>
      <c r="F15" s="70">
        <v>95</v>
      </c>
      <c r="G15" s="65" t="s">
        <v>447</v>
      </c>
      <c r="H15" s="65" t="s">
        <v>148</v>
      </c>
      <c r="I15" s="65" t="s">
        <v>494</v>
      </c>
      <c r="J15" s="81">
        <v>1</v>
      </c>
      <c r="K15" s="65" t="s">
        <v>495</v>
      </c>
      <c r="L15" s="81">
        <f t="shared" si="0"/>
        <v>1</v>
      </c>
      <c r="M15" s="65" t="s">
        <v>495</v>
      </c>
      <c r="N15" s="65" t="s">
        <v>496</v>
      </c>
      <c r="O15" s="65" t="s">
        <v>497</v>
      </c>
      <c r="P15" s="70">
        <v>0</v>
      </c>
      <c r="Q15" s="65" t="s">
        <v>500</v>
      </c>
    </row>
    <row r="16" spans="1:17" ht="41.4">
      <c r="A16" s="66" t="s">
        <v>409</v>
      </c>
      <c r="B16" s="66" t="s">
        <v>162</v>
      </c>
      <c r="C16" s="66" t="s">
        <v>492</v>
      </c>
      <c r="D16" s="66" t="s">
        <v>501</v>
      </c>
      <c r="E16" s="71">
        <v>0</v>
      </c>
      <c r="F16" s="71">
        <v>95</v>
      </c>
      <c r="G16" s="66" t="s">
        <v>447</v>
      </c>
      <c r="H16" s="66" t="s">
        <v>148</v>
      </c>
      <c r="I16" s="66" t="s">
        <v>494</v>
      </c>
      <c r="J16" s="80">
        <v>1</v>
      </c>
      <c r="K16" s="66" t="s">
        <v>495</v>
      </c>
      <c r="L16" s="80">
        <f t="shared" si="0"/>
        <v>1</v>
      </c>
      <c r="M16" s="66" t="s">
        <v>495</v>
      </c>
      <c r="N16" s="66" t="s">
        <v>496</v>
      </c>
      <c r="O16" s="66" t="s">
        <v>497</v>
      </c>
      <c r="P16" s="71">
        <v>0</v>
      </c>
      <c r="Q16" s="66" t="s">
        <v>502</v>
      </c>
    </row>
    <row r="17" spans="1:17" ht="41.4">
      <c r="A17" s="65" t="s">
        <v>409</v>
      </c>
      <c r="B17" s="65" t="s">
        <v>162</v>
      </c>
      <c r="C17" s="65" t="s">
        <v>492</v>
      </c>
      <c r="D17" s="65" t="s">
        <v>503</v>
      </c>
      <c r="E17" s="70">
        <v>0</v>
      </c>
      <c r="F17" s="70">
        <v>95</v>
      </c>
      <c r="G17" s="65" t="s">
        <v>447</v>
      </c>
      <c r="H17" s="65" t="s">
        <v>148</v>
      </c>
      <c r="I17" s="65" t="s">
        <v>494</v>
      </c>
      <c r="J17" s="81">
        <v>0.29699999999999999</v>
      </c>
      <c r="K17" s="65" t="s">
        <v>495</v>
      </c>
      <c r="L17" s="81">
        <f t="shared" si="0"/>
        <v>0.29699999999999999</v>
      </c>
      <c r="M17" s="65" t="s">
        <v>495</v>
      </c>
      <c r="N17" s="65" t="s">
        <v>496</v>
      </c>
      <c r="O17" s="65" t="s">
        <v>497</v>
      </c>
      <c r="P17" s="70">
        <v>0</v>
      </c>
      <c r="Q17" s="65" t="s">
        <v>504</v>
      </c>
    </row>
    <row r="18" spans="1:17" ht="41.4">
      <c r="A18" s="66" t="s">
        <v>409</v>
      </c>
      <c r="B18" s="66" t="s">
        <v>162</v>
      </c>
      <c r="C18" s="66" t="s">
        <v>492</v>
      </c>
      <c r="D18" s="66" t="s">
        <v>505</v>
      </c>
      <c r="E18" s="71">
        <v>0</v>
      </c>
      <c r="F18" s="71">
        <v>95</v>
      </c>
      <c r="G18" s="66" t="s">
        <v>447</v>
      </c>
      <c r="H18" s="66" t="s">
        <v>148</v>
      </c>
      <c r="I18" s="66" t="s">
        <v>494</v>
      </c>
      <c r="J18" s="80">
        <v>0</v>
      </c>
      <c r="K18" s="66" t="s">
        <v>495</v>
      </c>
      <c r="L18" s="80">
        <f t="shared" si="0"/>
        <v>0</v>
      </c>
      <c r="M18" s="66" t="s">
        <v>495</v>
      </c>
      <c r="N18" s="66" t="s">
        <v>496</v>
      </c>
      <c r="O18" s="66" t="s">
        <v>497</v>
      </c>
      <c r="P18" s="71">
        <v>0</v>
      </c>
      <c r="Q18" s="66" t="s">
        <v>506</v>
      </c>
    </row>
    <row r="19" spans="1:17" ht="48" customHeight="1">
      <c r="A19" s="65" t="s">
        <v>414</v>
      </c>
      <c r="B19" s="65" t="s">
        <v>172</v>
      </c>
      <c r="C19" s="65" t="s">
        <v>445</v>
      </c>
      <c r="D19" s="65" t="s">
        <v>507</v>
      </c>
      <c r="E19" s="70">
        <v>20</v>
      </c>
      <c r="F19" s="70">
        <v>95</v>
      </c>
      <c r="G19" s="65" t="s">
        <v>447</v>
      </c>
      <c r="H19" s="65" t="s">
        <v>148</v>
      </c>
      <c r="I19" s="65" t="s">
        <v>149</v>
      </c>
      <c r="J19" s="81">
        <v>1.1399999999999999</v>
      </c>
      <c r="K19" s="65" t="s">
        <v>508</v>
      </c>
      <c r="L19" s="81">
        <v>1.1399999999999999</v>
      </c>
      <c r="M19" s="65" t="s">
        <v>508</v>
      </c>
      <c r="N19" s="65" t="s">
        <v>509</v>
      </c>
      <c r="O19" s="65" t="s">
        <v>417</v>
      </c>
      <c r="P19" s="70">
        <v>1</v>
      </c>
      <c r="Q19" s="65" t="s">
        <v>510</v>
      </c>
    </row>
    <row r="20" spans="1:17" ht="48" customHeight="1">
      <c r="A20" s="66" t="s">
        <v>420</v>
      </c>
      <c r="B20" s="66" t="s">
        <v>172</v>
      </c>
      <c r="C20" s="66" t="s">
        <v>445</v>
      </c>
      <c r="D20" s="66" t="s">
        <v>511</v>
      </c>
      <c r="E20" s="71">
        <v>20</v>
      </c>
      <c r="F20" s="71">
        <v>95</v>
      </c>
      <c r="G20" s="66" t="s">
        <v>447</v>
      </c>
      <c r="H20" s="66" t="s">
        <v>157</v>
      </c>
      <c r="I20" s="66" t="s">
        <v>158</v>
      </c>
      <c r="J20" s="80">
        <v>1.07</v>
      </c>
      <c r="K20" s="66" t="s">
        <v>508</v>
      </c>
      <c r="L20" s="80">
        <v>1.07</v>
      </c>
      <c r="M20" s="66" t="s">
        <v>508</v>
      </c>
      <c r="N20" s="66" t="s">
        <v>509</v>
      </c>
      <c r="O20" s="66" t="s">
        <v>417</v>
      </c>
      <c r="P20" s="71">
        <v>1</v>
      </c>
      <c r="Q20" s="66" t="s">
        <v>512</v>
      </c>
    </row>
    <row r="21" spans="1:17" ht="48" customHeight="1">
      <c r="A21" s="65" t="s">
        <v>422</v>
      </c>
      <c r="B21" s="65" t="s">
        <v>172</v>
      </c>
      <c r="C21" s="65" t="s">
        <v>445</v>
      </c>
      <c r="D21" s="65" t="s">
        <v>513</v>
      </c>
      <c r="E21" s="70">
        <v>20</v>
      </c>
      <c r="F21" s="70">
        <v>95</v>
      </c>
      <c r="G21" s="65" t="s">
        <v>447</v>
      </c>
      <c r="H21" s="65" t="s">
        <v>165</v>
      </c>
      <c r="I21" s="65" t="s">
        <v>166</v>
      </c>
      <c r="J21" s="81">
        <v>1.08</v>
      </c>
      <c r="K21" s="65" t="s">
        <v>514</v>
      </c>
      <c r="L21" s="81">
        <v>1.08</v>
      </c>
      <c r="M21" s="65" t="s">
        <v>508</v>
      </c>
      <c r="N21" s="65" t="s">
        <v>515</v>
      </c>
      <c r="O21" s="65" t="s">
        <v>424</v>
      </c>
      <c r="P21" s="70">
        <v>1</v>
      </c>
      <c r="Q21" s="65" t="s">
        <v>516</v>
      </c>
    </row>
    <row r="22" spans="1:17" ht="48" customHeight="1">
      <c r="A22" s="66" t="s">
        <v>427</v>
      </c>
      <c r="B22" s="66" t="s">
        <v>172</v>
      </c>
      <c r="C22" s="66" t="s">
        <v>445</v>
      </c>
      <c r="D22" s="66" t="s">
        <v>517</v>
      </c>
      <c r="E22" s="71">
        <v>20</v>
      </c>
      <c r="F22" s="71">
        <v>95</v>
      </c>
      <c r="G22" s="66" t="s">
        <v>447</v>
      </c>
      <c r="H22" s="66" t="s">
        <v>176</v>
      </c>
      <c r="I22" s="66" t="s">
        <v>177</v>
      </c>
      <c r="J22" s="80">
        <v>1.1000000000000001</v>
      </c>
      <c r="K22" s="66" t="s">
        <v>518</v>
      </c>
      <c r="L22" s="80">
        <v>1.1000000000000001</v>
      </c>
      <c r="M22" s="66" t="s">
        <v>508</v>
      </c>
      <c r="N22" s="66" t="s">
        <v>519</v>
      </c>
      <c r="O22" s="66" t="s">
        <v>429</v>
      </c>
      <c r="P22" s="71">
        <v>1</v>
      </c>
      <c r="Q22" s="66" t="s">
        <v>520</v>
      </c>
    </row>
    <row r="23" spans="1:17" ht="48" customHeight="1">
      <c r="A23" s="65" t="s">
        <v>432</v>
      </c>
      <c r="B23" s="65" t="s">
        <v>172</v>
      </c>
      <c r="C23" s="65" t="s">
        <v>445</v>
      </c>
      <c r="D23" s="65" t="s">
        <v>521</v>
      </c>
      <c r="E23" s="70">
        <v>20</v>
      </c>
      <c r="F23" s="70">
        <v>95</v>
      </c>
      <c r="G23" s="65" t="s">
        <v>447</v>
      </c>
      <c r="H23" s="65" t="s">
        <v>188</v>
      </c>
      <c r="I23" s="65" t="s">
        <v>189</v>
      </c>
      <c r="J23" s="81">
        <v>1.18</v>
      </c>
      <c r="K23" s="65" t="s">
        <v>508</v>
      </c>
      <c r="L23" s="81">
        <v>1.18</v>
      </c>
      <c r="M23" s="65" t="s">
        <v>508</v>
      </c>
      <c r="N23" s="65" t="s">
        <v>509</v>
      </c>
      <c r="O23" s="65" t="s">
        <v>417</v>
      </c>
      <c r="P23" s="70">
        <v>1</v>
      </c>
      <c r="Q23" s="65" t="s">
        <v>522</v>
      </c>
    </row>
    <row r="24" spans="1:17" ht="48" customHeight="1">
      <c r="A24" s="66" t="s">
        <v>523</v>
      </c>
      <c r="B24" s="66" t="s">
        <v>172</v>
      </c>
      <c r="C24" s="66" t="s">
        <v>492</v>
      </c>
      <c r="D24" s="66" t="s">
        <v>524</v>
      </c>
      <c r="E24" s="71">
        <v>20</v>
      </c>
      <c r="F24" s="71">
        <v>95</v>
      </c>
      <c r="G24" s="66" t="s">
        <v>447</v>
      </c>
      <c r="H24" s="66" t="s">
        <v>188</v>
      </c>
      <c r="I24" s="66" t="s">
        <v>525</v>
      </c>
      <c r="J24" s="80">
        <v>2.4E-2</v>
      </c>
      <c r="K24" s="66" t="s">
        <v>526</v>
      </c>
      <c r="L24" s="80">
        <v>2.4E-2</v>
      </c>
      <c r="M24" s="66" t="s">
        <v>112</v>
      </c>
      <c r="N24" s="66" t="s">
        <v>527</v>
      </c>
      <c r="O24" s="66" t="s">
        <v>417</v>
      </c>
      <c r="P24" s="71">
        <v>0</v>
      </c>
      <c r="Q24" s="66" t="s">
        <v>528</v>
      </c>
    </row>
    <row r="25" spans="1:17" ht="48" customHeight="1">
      <c r="A25" s="65" t="s">
        <v>529</v>
      </c>
      <c r="B25" s="65" t="s">
        <v>172</v>
      </c>
      <c r="C25" s="65" t="s">
        <v>492</v>
      </c>
      <c r="D25" s="65" t="s">
        <v>530</v>
      </c>
      <c r="E25" s="70">
        <v>20</v>
      </c>
      <c r="F25" s="70">
        <v>95</v>
      </c>
      <c r="G25" s="65" t="s">
        <v>447</v>
      </c>
      <c r="H25" s="65" t="s">
        <v>531</v>
      </c>
      <c r="I25" s="65" t="s">
        <v>532</v>
      </c>
      <c r="J25" s="81">
        <v>8.9999999999999993E-3</v>
      </c>
      <c r="K25" s="65" t="s">
        <v>526</v>
      </c>
      <c r="L25" s="81">
        <v>8.9999999999999993E-3</v>
      </c>
      <c r="M25" s="65" t="s">
        <v>112</v>
      </c>
      <c r="N25" s="65" t="s">
        <v>527</v>
      </c>
      <c r="O25" s="65" t="s">
        <v>417</v>
      </c>
      <c r="P25" s="70">
        <v>0</v>
      </c>
      <c r="Q25" s="65" t="s">
        <v>533</v>
      </c>
    </row>
    <row r="26" spans="1:17" ht="48" customHeight="1">
      <c r="A26" s="66" t="s">
        <v>534</v>
      </c>
      <c r="B26" s="66" t="s">
        <v>172</v>
      </c>
      <c r="C26" s="66" t="s">
        <v>492</v>
      </c>
      <c r="D26" s="66" t="s">
        <v>535</v>
      </c>
      <c r="E26" s="71">
        <v>20</v>
      </c>
      <c r="F26" s="71">
        <v>95</v>
      </c>
      <c r="G26" s="66" t="s">
        <v>447</v>
      </c>
      <c r="H26" s="66" t="s">
        <v>188</v>
      </c>
      <c r="I26" s="66" t="s">
        <v>536</v>
      </c>
      <c r="J26" s="80">
        <v>1.2E-2</v>
      </c>
      <c r="K26" s="66" t="s">
        <v>526</v>
      </c>
      <c r="L26" s="80">
        <v>1.2E-2</v>
      </c>
      <c r="M26" s="66" t="s">
        <v>112</v>
      </c>
      <c r="N26" s="66" t="s">
        <v>527</v>
      </c>
      <c r="O26" s="66" t="s">
        <v>417</v>
      </c>
      <c r="P26" s="71">
        <v>0</v>
      </c>
      <c r="Q26" s="66" t="s">
        <v>537</v>
      </c>
    </row>
    <row r="27" spans="1:17" ht="48" customHeight="1">
      <c r="A27" s="65" t="s">
        <v>538</v>
      </c>
      <c r="B27" s="65" t="s">
        <v>172</v>
      </c>
      <c r="C27" s="65" t="s">
        <v>492</v>
      </c>
      <c r="D27" s="65" t="s">
        <v>539</v>
      </c>
      <c r="E27" s="70">
        <v>20</v>
      </c>
      <c r="F27" s="70">
        <v>95</v>
      </c>
      <c r="G27" s="65" t="s">
        <v>447</v>
      </c>
      <c r="H27" s="65" t="s">
        <v>531</v>
      </c>
      <c r="I27" s="65" t="s">
        <v>540</v>
      </c>
      <c r="J27" s="81">
        <v>8.0000000000000002E-3</v>
      </c>
      <c r="K27" s="65" t="s">
        <v>526</v>
      </c>
      <c r="L27" s="81">
        <v>8.0000000000000002E-3</v>
      </c>
      <c r="M27" s="65" t="s">
        <v>112</v>
      </c>
      <c r="N27" s="65" t="s">
        <v>527</v>
      </c>
      <c r="O27" s="65" t="s">
        <v>417</v>
      </c>
      <c r="P27" s="70">
        <v>0</v>
      </c>
      <c r="Q27" s="65" t="s">
        <v>541</v>
      </c>
    </row>
  </sheetData>
  <dataValidations count="1">
    <dataValidation type="list" sqref="L2:L7" xr:uid="{00000000-0002-0000-0700-000000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9"/>
  <sheetViews>
    <sheetView showGridLines="0" zoomScale="85" zoomScaleNormal="85" workbookViewId="0">
      <selection activeCell="F29" sqref="F29"/>
    </sheetView>
  </sheetViews>
  <sheetFormatPr defaultRowHeight="13.8"/>
  <cols>
    <col min="1" max="1" width="34" customWidth="1"/>
    <col min="2" max="2" width="28" customWidth="1"/>
    <col min="3" max="3" width="24" customWidth="1"/>
    <col min="4" max="4" width="46" customWidth="1"/>
    <col min="5" max="5" width="18" customWidth="1"/>
    <col min="6" max="6" width="24" customWidth="1"/>
    <col min="7" max="10" width="20" customWidth="1"/>
    <col min="11" max="11" width="38" customWidth="1"/>
    <col min="12" max="13" width="18" customWidth="1"/>
    <col min="14" max="14" width="34" customWidth="1"/>
    <col min="15" max="15" width="26" customWidth="1"/>
    <col min="16" max="16" width="32" customWidth="1"/>
    <col min="17" max="17" width="20" customWidth="1"/>
    <col min="18" max="18" width="30" customWidth="1"/>
    <col min="19" max="19" width="24" customWidth="1"/>
  </cols>
  <sheetData>
    <row r="1" spans="1:19" ht="28.05" customHeight="1">
      <c r="A1" s="57" t="s">
        <v>198</v>
      </c>
      <c r="B1" s="58" t="s">
        <v>118</v>
      </c>
      <c r="C1" s="58" t="s">
        <v>122</v>
      </c>
      <c r="D1" s="58" t="s">
        <v>126</v>
      </c>
      <c r="E1" s="58" t="s">
        <v>203</v>
      </c>
      <c r="F1" s="58" t="s">
        <v>204</v>
      </c>
      <c r="G1" s="58" t="s">
        <v>311</v>
      </c>
      <c r="H1" s="58" t="s">
        <v>317</v>
      </c>
      <c r="I1" s="58" t="s">
        <v>318</v>
      </c>
      <c r="J1" s="58" t="s">
        <v>319</v>
      </c>
      <c r="K1" s="58" t="s">
        <v>341</v>
      </c>
      <c r="L1" s="58" t="s">
        <v>344</v>
      </c>
      <c r="M1" s="58" t="s">
        <v>346</v>
      </c>
      <c r="N1" s="58" t="s">
        <v>349</v>
      </c>
      <c r="O1" s="58" t="s">
        <v>588</v>
      </c>
      <c r="P1" s="58" t="s">
        <v>201</v>
      </c>
      <c r="Q1" s="58" t="s">
        <v>202</v>
      </c>
      <c r="R1" s="58" t="s">
        <v>589</v>
      </c>
      <c r="S1" s="59" t="s">
        <v>262</v>
      </c>
    </row>
    <row r="2" spans="1:19">
      <c r="A2" s="60" t="s">
        <v>209</v>
      </c>
      <c r="B2" s="60" t="s">
        <v>131</v>
      </c>
      <c r="C2" s="60" t="s">
        <v>135</v>
      </c>
      <c r="D2" s="60" t="s">
        <v>149</v>
      </c>
      <c r="E2" s="60" t="s">
        <v>212</v>
      </c>
      <c r="F2" s="60" t="s">
        <v>213</v>
      </c>
      <c r="G2" s="72">
        <f>SUMIF(Exposure_Targets!$B$2:$B$8,INDEX(Intervention_Cause_Map!$B$2:$B$29,MATCH(A2,Intervention_Cause_Map!$A$2:$A$29,0)),Exposure_Targets!$G$2:$G$8)</f>
        <v>0.30299999999999999</v>
      </c>
      <c r="H2" s="72">
        <f>SUMIF(Exposure_Targets!$B$2:$B$8,INDEX(Intervention_Cause_Map!$B$2:$B$29,MATCH(A2,Intervention_Cause_Map!$A$2:$A$29,0)),Exposure_Targets!$M$2:$M$8)</f>
        <v>0</v>
      </c>
      <c r="I2" s="72">
        <f t="shared" ref="I2:I29" si="0">IF(G2=0,"",G2-H2)</f>
        <v>0.30299999999999999</v>
      </c>
      <c r="J2" s="85">
        <f t="shared" ref="J2:J29" si="1">IF(G2=0,"",I2/G2)</f>
        <v>1</v>
      </c>
      <c r="K2" s="60" t="str">
        <f>INDEX(Effect_Parameters!$F$2:$F$29,MATCH(A2,Effect_Parameters!$B$2:$B$29,0))</f>
        <v>direct_smoking_prevalence_shift_rr</v>
      </c>
      <c r="L2" s="77">
        <f>INDEX(Effect_Parameters!$I$2:$I$29,MATCH(A2,Effect_Parameters!$B$2:$B$29,0))</f>
        <v>1.6</v>
      </c>
      <c r="M2" s="85">
        <f>INDEX(Effect_Parameters!$K$2:$K$29,MATCH(A2,Effect_Parameters!$B$2:$B$29,0))</f>
        <v>0</v>
      </c>
      <c r="N2" s="60" t="str">
        <f>INDEX(Effect_Parameters!$N$2:$N$29,MATCH(A2,Effect_Parameters!$B$2:$B$29,0))</f>
        <v>delayed_exponential_remaining_effect</v>
      </c>
      <c r="O2" s="85">
        <f>IF(K2="direct_smoking_prevalence_shift_rr",IF(OR(G2="",H2="",L2=""),"",1-(1+H2*(L2-1))/(1+G2*(L2-1))),IF(K2="direct_loglinear_rr_per_unit_reduction",IF(OR(L2="",I2=""),"",1-1/(L2^I2)),IF(K2="tfa_attributable_ihd_PAF_x_policy_score",IF(OR(M2="",Policy_Levers!$K$12=""),"",M2*Policy_Levers!$K$12),"")))</f>
        <v>0.1538331358943984</v>
      </c>
      <c r="P2" s="60" t="s">
        <v>210</v>
      </c>
      <c r="Q2" s="60" t="s">
        <v>211</v>
      </c>
      <c r="R2" s="94">
        <f>SUMIFS(Cost_Components!$S$2:$S$8,Cost_Components!$G$2:$G$8,P2,Cost_Components!$D$2:$D$8,1)</f>
        <v>4.0000000000000001E-3</v>
      </c>
      <c r="S2" s="60" t="str">
        <f t="shared" ref="S2:S29" si="2">IF(G2=0,"MISSING EXPOSURE",IF(E2="REVIEW","REVIEW EFFECT",IF(AND(K2="tfa_attributable_ihd_PAF_x_policy_score",M2=""),"REVIEW EFFECT",IF(R2=0,"REVIEW COST","REVIEWED LINK"))))</f>
        <v>REVIEWED LINK</v>
      </c>
    </row>
    <row r="3" spans="1:19">
      <c r="A3" s="62" t="s">
        <v>215</v>
      </c>
      <c r="B3" s="62" t="s">
        <v>131</v>
      </c>
      <c r="C3" s="62" t="s">
        <v>135</v>
      </c>
      <c r="D3" s="62" t="s">
        <v>158</v>
      </c>
      <c r="E3" s="62" t="s">
        <v>212</v>
      </c>
      <c r="F3" s="62" t="s">
        <v>213</v>
      </c>
      <c r="G3" s="73">
        <f>SUMIF(Exposure_Targets!$B$2:$B$8,INDEX(Intervention_Cause_Map!$B$2:$B$29,MATCH(A3,Intervention_Cause_Map!$A$2:$A$29,0)),Exposure_Targets!$G$2:$G$8)</f>
        <v>0.30299999999999999</v>
      </c>
      <c r="H3" s="73">
        <f>SUMIF(Exposure_Targets!$B$2:$B$8,INDEX(Intervention_Cause_Map!$B$2:$B$29,MATCH(A3,Intervention_Cause_Map!$A$2:$A$29,0)),Exposure_Targets!$M$2:$M$8)</f>
        <v>0</v>
      </c>
      <c r="I3" s="73">
        <f t="shared" si="0"/>
        <v>0.30299999999999999</v>
      </c>
      <c r="J3" s="87">
        <f t="shared" si="1"/>
        <v>1</v>
      </c>
      <c r="K3" s="62" t="str">
        <f>INDEX(Effect_Parameters!$F$2:$F$29,MATCH(A3,Effect_Parameters!$B$2:$B$29,0))</f>
        <v>direct_smoking_prevalence_shift_rr</v>
      </c>
      <c r="L3" s="78">
        <f>INDEX(Effect_Parameters!$I$2:$I$29,MATCH(A3,Effect_Parameters!$B$2:$B$29,0))</f>
        <v>1.38</v>
      </c>
      <c r="M3" s="87">
        <f>INDEX(Effect_Parameters!$K$2:$K$29,MATCH(A3,Effect_Parameters!$B$2:$B$29,0))</f>
        <v>0</v>
      </c>
      <c r="N3" s="62" t="str">
        <f>INDEX(Effect_Parameters!$N$2:$N$29,MATCH(A3,Effect_Parameters!$B$2:$B$29,0))</f>
        <v>delayed_exponential_remaining_effect</v>
      </c>
      <c r="O3" s="87">
        <f>IF(K3="direct_smoking_prevalence_shift_rr",IF(OR(G3="",H3="",L3=""),"",1-(1+H3*(L3-1))/(1+G3*(L3-1))),IF(K3="direct_loglinear_rr_per_unit_reduction",IF(OR(L3="",I3=""),"",1-1/(L3^I3)),IF(K3="tfa_attributable_ihd_PAF_x_policy_score",IF(OR(M3="",Policy_Levers!$K$12=""),"",M3*Policy_Levers!$K$12),"")))</f>
        <v>0.10325160966336067</v>
      </c>
      <c r="P3" s="62" t="s">
        <v>210</v>
      </c>
      <c r="Q3" s="62" t="s">
        <v>211</v>
      </c>
      <c r="R3" s="95">
        <f>SUMIFS(Cost_Components!$S$2:$S$8,Cost_Components!$G$2:$G$8,P3,Cost_Components!$D$2:$D$8,1)</f>
        <v>4.0000000000000001E-3</v>
      </c>
      <c r="S3" s="62" t="str">
        <f t="shared" si="2"/>
        <v>REVIEWED LINK</v>
      </c>
    </row>
    <row r="4" spans="1:19">
      <c r="A4" s="64" t="s">
        <v>216</v>
      </c>
      <c r="B4" s="64" t="s">
        <v>131</v>
      </c>
      <c r="C4" s="64" t="s">
        <v>135</v>
      </c>
      <c r="D4" s="64" t="s">
        <v>166</v>
      </c>
      <c r="E4" s="64" t="s">
        <v>212</v>
      </c>
      <c r="F4" s="64" t="s">
        <v>213</v>
      </c>
      <c r="G4" s="75">
        <f>SUMIF(Exposure_Targets!$B$2:$B$8,INDEX(Intervention_Cause_Map!$B$2:$B$29,MATCH(A4,Intervention_Cause_Map!$A$2:$A$29,0)),Exposure_Targets!$G$2:$G$8)</f>
        <v>0.30299999999999999</v>
      </c>
      <c r="H4" s="75">
        <f>SUMIF(Exposure_Targets!$B$2:$B$8,INDEX(Intervention_Cause_Map!$B$2:$B$29,MATCH(A4,Intervention_Cause_Map!$A$2:$A$29,0)),Exposure_Targets!$M$2:$M$8)</f>
        <v>0</v>
      </c>
      <c r="I4" s="75">
        <f t="shared" si="0"/>
        <v>0.30299999999999999</v>
      </c>
      <c r="J4" s="89">
        <f t="shared" si="1"/>
        <v>1</v>
      </c>
      <c r="K4" s="64" t="str">
        <f>INDEX(Effect_Parameters!$F$2:$F$29,MATCH(A4,Effect_Parameters!$B$2:$B$29,0))</f>
        <v>direct_smoking_prevalence_shift_rr</v>
      </c>
      <c r="L4" s="79">
        <f>INDEX(Effect_Parameters!$I$2:$I$29,MATCH(A4,Effect_Parameters!$B$2:$B$29,0))</f>
        <v>1.19</v>
      </c>
      <c r="M4" s="89">
        <f>INDEX(Effect_Parameters!$K$2:$K$29,MATCH(A4,Effect_Parameters!$B$2:$B$29,0))</f>
        <v>0</v>
      </c>
      <c r="N4" s="64" t="str">
        <f>INDEX(Effect_Parameters!$N$2:$N$29,MATCH(A4,Effect_Parameters!$B$2:$B$29,0))</f>
        <v>delayed_exponential_remaining_effect</v>
      </c>
      <c r="O4" s="89">
        <f>IF(K4="direct_smoking_prevalence_shift_rr",IF(OR(G4="",H4="",L4=""),"",1-(1+H4*(L4-1))/(1+G4*(L4-1))),IF(K4="direct_loglinear_rr_per_unit_reduction",IF(OR(L4="",I4=""),"",1-1/(L4^I4)),IF(K4="tfa_attributable_ihd_PAF_x_policy_score",IF(OR(M4="",Policy_Levers!$K$12=""),"",M4*Policy_Levers!$K$12),"")))</f>
        <v>5.4436112975973172E-2</v>
      </c>
      <c r="P4" s="64" t="s">
        <v>210</v>
      </c>
      <c r="Q4" s="64" t="s">
        <v>211</v>
      </c>
      <c r="R4" s="96">
        <f>SUMIFS(Cost_Components!$S$2:$S$8,Cost_Components!$G$2:$G$8,P4,Cost_Components!$D$2:$D$8,1)</f>
        <v>4.0000000000000001E-3</v>
      </c>
      <c r="S4" s="64" t="str">
        <f t="shared" si="2"/>
        <v>REVIEWED LINK</v>
      </c>
    </row>
    <row r="5" spans="1:19">
      <c r="A5" s="62" t="s">
        <v>217</v>
      </c>
      <c r="B5" s="62" t="s">
        <v>131</v>
      </c>
      <c r="C5" s="62" t="s">
        <v>135</v>
      </c>
      <c r="D5" s="62" t="s">
        <v>189</v>
      </c>
      <c r="E5" s="62" t="s">
        <v>212</v>
      </c>
      <c r="F5" s="62" t="s">
        <v>213</v>
      </c>
      <c r="G5" s="73">
        <f>SUMIF(Exposure_Targets!$B$2:$B$8,INDEX(Intervention_Cause_Map!$B$2:$B$29,MATCH(A5,Intervention_Cause_Map!$A$2:$A$29,0)),Exposure_Targets!$G$2:$G$8)</f>
        <v>0.30299999999999999</v>
      </c>
      <c r="H5" s="73">
        <f>SUMIF(Exposure_Targets!$B$2:$B$8,INDEX(Intervention_Cause_Map!$B$2:$B$29,MATCH(A5,Intervention_Cause_Map!$A$2:$A$29,0)),Exposure_Targets!$M$2:$M$8)</f>
        <v>0</v>
      </c>
      <c r="I5" s="73">
        <f t="shared" si="0"/>
        <v>0.30299999999999999</v>
      </c>
      <c r="J5" s="87">
        <f t="shared" si="1"/>
        <v>1</v>
      </c>
      <c r="K5" s="62" t="str">
        <f>INDEX(Effect_Parameters!$F$2:$F$29,MATCH(A5,Effect_Parameters!$B$2:$B$29,0))</f>
        <v>direct_smoking_prevalence_shift_rr</v>
      </c>
      <c r="L5" s="78">
        <f>INDEX(Effect_Parameters!$I$2:$I$29,MATCH(A5,Effect_Parameters!$B$2:$B$29,0))</f>
        <v>1.37</v>
      </c>
      <c r="M5" s="87">
        <f>INDEX(Effect_Parameters!$K$2:$K$29,MATCH(A5,Effect_Parameters!$B$2:$B$29,0))</f>
        <v>0</v>
      </c>
      <c r="N5" s="62" t="str">
        <f>INDEX(Effect_Parameters!$N$2:$N$29,MATCH(A5,Effect_Parameters!$B$2:$B$29,0))</f>
        <v>delayed_exponential_remaining_effect</v>
      </c>
      <c r="O5" s="87">
        <f>IF(K5="direct_smoking_prevalence_shift_rr",IF(OR(G5="",H5="",L5=""),"",1-(1+H5*(L5-1))/(1+G5*(L5-1))),IF(K5="direct_loglinear_rr_per_unit_reduction",IF(OR(L5="",I5=""),"",1-1/(L5^I5)),IF(K5="tfa_attributable_ihd_PAF_x_policy_score",IF(OR(M5="",Policy_Levers!$K$12=""),"",M5*Policy_Levers!$K$12),"")))</f>
        <v>0.10080837327242809</v>
      </c>
      <c r="P5" s="62" t="s">
        <v>210</v>
      </c>
      <c r="Q5" s="62" t="s">
        <v>211</v>
      </c>
      <c r="R5" s="95">
        <f>SUMIFS(Cost_Components!$S$2:$S$8,Cost_Components!$G$2:$G$8,P5,Cost_Components!$D$2:$D$8,1)</f>
        <v>4.0000000000000001E-3</v>
      </c>
      <c r="S5" s="62" t="str">
        <f t="shared" si="2"/>
        <v>REVIEWED LINK</v>
      </c>
    </row>
    <row r="6" spans="1:19">
      <c r="A6" s="64" t="s">
        <v>218</v>
      </c>
      <c r="B6" s="64" t="s">
        <v>141</v>
      </c>
      <c r="C6" s="64" t="s">
        <v>145</v>
      </c>
      <c r="D6" s="64" t="s">
        <v>149</v>
      </c>
      <c r="E6" s="64" t="s">
        <v>212</v>
      </c>
      <c r="F6" s="64" t="s">
        <v>213</v>
      </c>
      <c r="G6" s="75">
        <f>SUMIF(Exposure_Targets!$B$2:$B$8,INDEX(Intervention_Cause_Map!$B$2:$B$29,MATCH(A6,Intervention_Cause_Map!$A$2:$A$29,0)),Exposure_Targets!$G$2:$G$8)</f>
        <v>0.1</v>
      </c>
      <c r="H6" s="75">
        <f>SUMIF(Exposure_Targets!$B$2:$B$8,INDEX(Intervention_Cause_Map!$B$2:$B$29,MATCH(A6,Intervention_Cause_Map!$A$2:$A$29,0)),Exposure_Targets!$M$2:$M$8)</f>
        <v>9.9951000000000012E-2</v>
      </c>
      <c r="I6" s="75">
        <f t="shared" si="0"/>
        <v>4.8999999999993493E-5</v>
      </c>
      <c r="J6" s="89">
        <f t="shared" si="1"/>
        <v>4.8999999999993493E-4</v>
      </c>
      <c r="K6" s="64" t="str">
        <f>INDEX(Effect_Parameters!$F$2:$F$29,MATCH(A6,Effect_Parameters!$B$2:$B$29,0))</f>
        <v>direct_loglinear_rr_per_unit_reduction</v>
      </c>
      <c r="L6" s="79">
        <f>INDEX(Effect_Parameters!$I$2:$I$29,MATCH(A6,Effect_Parameters!$B$2:$B$29,0))</f>
        <v>1.0088803849749666</v>
      </c>
      <c r="M6" s="89">
        <f>INDEX(Effect_Parameters!$K$2:$K$29,MATCH(A6,Effect_Parameters!$B$2:$B$29,0))</f>
        <v>0</v>
      </c>
      <c r="N6" s="64" t="str">
        <f>INDEX(Effect_Parameters!$N$2:$N$29,MATCH(A6,Effect_Parameters!$B$2:$B$29,0))</f>
        <v>immediate_after_full_implementation</v>
      </c>
      <c r="O6" s="89">
        <f>IF(K6="direct_smoking_prevalence_shift_rr",IF(OR(G6="",H6="",L6=""),"",1-(1+H6*(L6-1))/(1+G6*(L6-1))),IF(K6="direct_loglinear_rr_per_unit_reduction",IF(OR(L6="",I6=""),"",1-1/(L6^I6)),IF(K6="tfa_attributable_ihd_PAF_x_policy_score",IF(OR(M6="",Policy_Levers!$K$12=""),"",M6*Policy_Levers!$K$12),"")))</f>
        <v>4.3321803255835789E-7</v>
      </c>
      <c r="P6" s="64" t="s">
        <v>219</v>
      </c>
      <c r="Q6" s="64" t="s">
        <v>211</v>
      </c>
      <c r="R6" s="96">
        <f>SUMIFS(Cost_Components!$S$2:$S$8,Cost_Components!$G$2:$G$8,P6,Cost_Components!$D$2:$D$8,1)</f>
        <v>4.0000000000000001E-3</v>
      </c>
      <c r="S6" s="64" t="str">
        <f t="shared" si="2"/>
        <v>REVIEWED LINK</v>
      </c>
    </row>
    <row r="7" spans="1:19">
      <c r="A7" s="62" t="s">
        <v>221</v>
      </c>
      <c r="B7" s="62" t="s">
        <v>141</v>
      </c>
      <c r="C7" s="62" t="s">
        <v>145</v>
      </c>
      <c r="D7" s="62" t="s">
        <v>158</v>
      </c>
      <c r="E7" s="62" t="s">
        <v>212</v>
      </c>
      <c r="F7" s="62" t="s">
        <v>213</v>
      </c>
      <c r="G7" s="73">
        <f>SUMIF(Exposure_Targets!$B$2:$B$8,INDEX(Intervention_Cause_Map!$B$2:$B$29,MATCH(A7,Intervention_Cause_Map!$A$2:$A$29,0)),Exposure_Targets!$G$2:$G$8)</f>
        <v>0.1</v>
      </c>
      <c r="H7" s="73">
        <f>SUMIF(Exposure_Targets!$B$2:$B$8,INDEX(Intervention_Cause_Map!$B$2:$B$29,MATCH(A7,Intervention_Cause_Map!$A$2:$A$29,0)),Exposure_Targets!$M$2:$M$8)</f>
        <v>9.9951000000000012E-2</v>
      </c>
      <c r="I7" s="73">
        <f t="shared" si="0"/>
        <v>4.8999999999993493E-5</v>
      </c>
      <c r="J7" s="87">
        <f t="shared" si="1"/>
        <v>4.8999999999993493E-4</v>
      </c>
      <c r="K7" s="62" t="str">
        <f>INDEX(Effect_Parameters!$F$2:$F$29,MATCH(A7,Effect_Parameters!$B$2:$B$29,0))</f>
        <v>direct_loglinear_rr_per_unit_reduction</v>
      </c>
      <c r="L7" s="78">
        <f>INDEX(Effect_Parameters!$I$2:$I$29,MATCH(A7,Effect_Parameters!$B$2:$B$29,0))</f>
        <v>1.020079962718877</v>
      </c>
      <c r="M7" s="87">
        <f>INDEX(Effect_Parameters!$K$2:$K$29,MATCH(A7,Effect_Parameters!$B$2:$B$29,0))</f>
        <v>0</v>
      </c>
      <c r="N7" s="62" t="str">
        <f>INDEX(Effect_Parameters!$N$2:$N$29,MATCH(A7,Effect_Parameters!$B$2:$B$29,0))</f>
        <v>immediate_after_full_implementation</v>
      </c>
      <c r="O7" s="87">
        <f>IF(K7="direct_smoking_prevalence_shift_rr",IF(OR(G7="",H7="",L7=""),"",1-(1+H7*(L7-1))/(1+G7*(L7-1))),IF(K7="direct_loglinear_rr_per_unit_reduction",IF(OR(L7="",I7=""),"",1-1/(L7^I7)),IF(K7="tfa_attributable_ihd_PAF_x_policy_score",IF(OR(M7="",Policy_Levers!$K$12=""),"",M7*Policy_Levers!$K$12),"")))</f>
        <v>9.7416945865624882E-7</v>
      </c>
      <c r="P7" s="62" t="s">
        <v>219</v>
      </c>
      <c r="Q7" s="62" t="s">
        <v>211</v>
      </c>
      <c r="R7" s="95">
        <f>SUMIFS(Cost_Components!$S$2:$S$8,Cost_Components!$G$2:$G$8,P7,Cost_Components!$D$2:$D$8,1)</f>
        <v>4.0000000000000001E-3</v>
      </c>
      <c r="S7" s="62" t="str">
        <f t="shared" si="2"/>
        <v>REVIEWED LINK</v>
      </c>
    </row>
    <row r="8" spans="1:19">
      <c r="A8" s="64" t="s">
        <v>222</v>
      </c>
      <c r="B8" s="64" t="s">
        <v>141</v>
      </c>
      <c r="C8" s="64" t="s">
        <v>145</v>
      </c>
      <c r="D8" s="64" t="s">
        <v>166</v>
      </c>
      <c r="E8" s="64" t="s">
        <v>212</v>
      </c>
      <c r="F8" s="64" t="s">
        <v>213</v>
      </c>
      <c r="G8" s="75">
        <f>SUMIF(Exposure_Targets!$B$2:$B$8,INDEX(Intervention_Cause_Map!$B$2:$B$29,MATCH(A8,Intervention_Cause_Map!$A$2:$A$29,0)),Exposure_Targets!$G$2:$G$8)</f>
        <v>0.1</v>
      </c>
      <c r="H8" s="75">
        <f>SUMIF(Exposure_Targets!$B$2:$B$8,INDEX(Intervention_Cause_Map!$B$2:$B$29,MATCH(A8,Intervention_Cause_Map!$A$2:$A$29,0)),Exposure_Targets!$M$2:$M$8)</f>
        <v>9.9951000000000012E-2</v>
      </c>
      <c r="I8" s="75">
        <f t="shared" si="0"/>
        <v>4.8999999999993493E-5</v>
      </c>
      <c r="J8" s="89">
        <f t="shared" si="1"/>
        <v>4.8999999999993493E-4</v>
      </c>
      <c r="K8" s="64" t="str">
        <f>INDEX(Effect_Parameters!$F$2:$F$29,MATCH(A8,Effect_Parameters!$B$2:$B$29,0))</f>
        <v>direct_loglinear_rr_per_unit_reduction</v>
      </c>
      <c r="L8" s="79">
        <f>INDEX(Effect_Parameters!$I$2:$I$29,MATCH(A8,Effect_Parameters!$B$2:$B$29,0))</f>
        <v>1.020079962718877</v>
      </c>
      <c r="M8" s="89">
        <f>INDEX(Effect_Parameters!$K$2:$K$29,MATCH(A8,Effect_Parameters!$B$2:$B$29,0))</f>
        <v>0</v>
      </c>
      <c r="N8" s="64" t="str">
        <f>INDEX(Effect_Parameters!$N$2:$N$29,MATCH(A8,Effect_Parameters!$B$2:$B$29,0))</f>
        <v>immediate_after_full_implementation</v>
      </c>
      <c r="O8" s="89">
        <f>IF(K8="direct_smoking_prevalence_shift_rr",IF(OR(G8="",H8="",L8=""),"",1-(1+H8*(L8-1))/(1+G8*(L8-1))),IF(K8="direct_loglinear_rr_per_unit_reduction",IF(OR(L8="",I8=""),"",1-1/(L8^I8)),IF(K8="tfa_attributable_ihd_PAF_x_policy_score",IF(OR(M8="",Policy_Levers!$K$12=""),"",M8*Policy_Levers!$K$12),"")))</f>
        <v>9.7416945865624882E-7</v>
      </c>
      <c r="P8" s="64" t="s">
        <v>219</v>
      </c>
      <c r="Q8" s="64" t="s">
        <v>211</v>
      </c>
      <c r="R8" s="96">
        <f>SUMIFS(Cost_Components!$S$2:$S$8,Cost_Components!$G$2:$G$8,P8,Cost_Components!$D$2:$D$8,1)</f>
        <v>4.0000000000000001E-3</v>
      </c>
      <c r="S8" s="64" t="str">
        <f t="shared" si="2"/>
        <v>REVIEWED LINK</v>
      </c>
    </row>
    <row r="9" spans="1:19">
      <c r="A9" s="62" t="s">
        <v>223</v>
      </c>
      <c r="B9" s="62" t="s">
        <v>141</v>
      </c>
      <c r="C9" s="62" t="s">
        <v>145</v>
      </c>
      <c r="D9" s="62" t="s">
        <v>177</v>
      </c>
      <c r="E9" s="62" t="s">
        <v>212</v>
      </c>
      <c r="F9" s="62" t="s">
        <v>213</v>
      </c>
      <c r="G9" s="73">
        <f>SUMIF(Exposure_Targets!$B$2:$B$8,INDEX(Intervention_Cause_Map!$B$2:$B$29,MATCH(A9,Intervention_Cause_Map!$A$2:$A$29,0)),Exposure_Targets!$G$2:$G$8)</f>
        <v>0.1</v>
      </c>
      <c r="H9" s="73">
        <f>SUMIF(Exposure_Targets!$B$2:$B$8,INDEX(Intervention_Cause_Map!$B$2:$B$29,MATCH(A9,Intervention_Cause_Map!$A$2:$A$29,0)),Exposure_Targets!$M$2:$M$8)</f>
        <v>9.9951000000000012E-2</v>
      </c>
      <c r="I9" s="73">
        <f t="shared" si="0"/>
        <v>4.8999999999993493E-5</v>
      </c>
      <c r="J9" s="87">
        <f t="shared" si="1"/>
        <v>4.8999999999993493E-4</v>
      </c>
      <c r="K9" s="62" t="str">
        <f>INDEX(Effect_Parameters!$F$2:$F$29,MATCH(A9,Effect_Parameters!$B$2:$B$29,0))</f>
        <v>direct_loglinear_rr_per_unit_reduction</v>
      </c>
      <c r="L9" s="78">
        <f>INDEX(Effect_Parameters!$I$2:$I$29,MATCH(A9,Effect_Parameters!$B$2:$B$29,0))</f>
        <v>1.0331775104357432</v>
      </c>
      <c r="M9" s="87">
        <f>INDEX(Effect_Parameters!$K$2:$K$29,MATCH(A9,Effect_Parameters!$B$2:$B$29,0))</f>
        <v>0</v>
      </c>
      <c r="N9" s="62" t="str">
        <f>INDEX(Effect_Parameters!$N$2:$N$29,MATCH(A9,Effect_Parameters!$B$2:$B$29,0))</f>
        <v>immediate_after_full_implementation</v>
      </c>
      <c r="O9" s="87">
        <f>IF(K9="direct_smoking_prevalence_shift_rr",IF(OR(G9="",H9="",L9=""),"",1-(1+H9*(L9-1))/(1+G9*(L9-1))),IF(K9="direct_loglinear_rr_per_unit_reduction",IF(OR(L9="",I9=""),"",1-1/(L9^I9)),IF(K9="tfa_attributable_ihd_PAF_x_policy_score",IF(OR(M9="",Policy_Levers!$K$12=""),"",M9*Policy_Levers!$K$12),"")))</f>
        <v>1.5993104608424957E-6</v>
      </c>
      <c r="P9" s="62" t="s">
        <v>219</v>
      </c>
      <c r="Q9" s="62" t="s">
        <v>211</v>
      </c>
      <c r="R9" s="95">
        <f>SUMIFS(Cost_Components!$S$2:$S$8,Cost_Components!$G$2:$G$8,P9,Cost_Components!$D$2:$D$8,1)</f>
        <v>4.0000000000000001E-3</v>
      </c>
      <c r="S9" s="62" t="str">
        <f t="shared" si="2"/>
        <v>REVIEWED LINK</v>
      </c>
    </row>
    <row r="10" spans="1:19">
      <c r="A10" s="64" t="s">
        <v>224</v>
      </c>
      <c r="B10" s="64" t="s">
        <v>141</v>
      </c>
      <c r="C10" s="64" t="s">
        <v>145</v>
      </c>
      <c r="D10" s="64" t="s">
        <v>183</v>
      </c>
      <c r="E10" s="64" t="s">
        <v>212</v>
      </c>
      <c r="F10" s="64" t="s">
        <v>213</v>
      </c>
      <c r="G10" s="75">
        <f>SUMIF(Exposure_Targets!$B$2:$B$8,INDEX(Intervention_Cause_Map!$B$2:$B$29,MATCH(A10,Intervention_Cause_Map!$A$2:$A$29,0)),Exposure_Targets!$G$2:$G$8)</f>
        <v>0.1</v>
      </c>
      <c r="H10" s="75">
        <f>SUMIF(Exposure_Targets!$B$2:$B$8,INDEX(Intervention_Cause_Map!$B$2:$B$29,MATCH(A10,Intervention_Cause_Map!$A$2:$A$29,0)),Exposure_Targets!$M$2:$M$8)</f>
        <v>9.9951000000000012E-2</v>
      </c>
      <c r="I10" s="75">
        <f t="shared" si="0"/>
        <v>4.8999999999993493E-5</v>
      </c>
      <c r="J10" s="89">
        <f t="shared" si="1"/>
        <v>4.8999999999993493E-4</v>
      </c>
      <c r="K10" s="64" t="str">
        <f>INDEX(Effect_Parameters!$F$2:$F$29,MATCH(A10,Effect_Parameters!$B$2:$B$29,0))</f>
        <v>direct_loglinear_rr_per_unit_reduction</v>
      </c>
      <c r="L10" s="79">
        <f>INDEX(Effect_Parameters!$I$2:$I$29,MATCH(A10,Effect_Parameters!$B$2:$B$29,0))</f>
        <v>1.0131616703515811</v>
      </c>
      <c r="M10" s="89">
        <f>INDEX(Effect_Parameters!$K$2:$K$29,MATCH(A10,Effect_Parameters!$B$2:$B$29,0))</f>
        <v>0</v>
      </c>
      <c r="N10" s="64" t="str">
        <f>INDEX(Effect_Parameters!$N$2:$N$29,MATCH(A10,Effect_Parameters!$B$2:$B$29,0))</f>
        <v>immediate_after_full_implementation</v>
      </c>
      <c r="O10" s="89">
        <f>IF(K10="direct_smoking_prevalence_shift_rr",IF(OR(G10="",H10="",L10=""),"",1-(1+H10*(L10-1))/(1+G10*(L10-1))),IF(K10="direct_loglinear_rr_per_unit_reduction",IF(OR(L10="",I10=""),"",1-1/(L10^I10)),IF(K10="tfa_attributable_ihd_PAF_x_policy_score",IF(OR(M10="",Policy_Levers!$K$12=""),"",M10*Policy_Levers!$K$12),"")))</f>
        <v>6.4071439354052018E-7</v>
      </c>
      <c r="P10" s="64" t="s">
        <v>219</v>
      </c>
      <c r="Q10" s="64" t="s">
        <v>211</v>
      </c>
      <c r="R10" s="96">
        <f>SUMIFS(Cost_Components!$S$2:$S$8,Cost_Components!$G$2:$G$8,P10,Cost_Components!$D$2:$D$8,1)</f>
        <v>4.0000000000000001E-3</v>
      </c>
      <c r="S10" s="64" t="str">
        <f t="shared" si="2"/>
        <v>REVIEWED LINK</v>
      </c>
    </row>
    <row r="11" spans="1:19" ht="27.6">
      <c r="A11" s="65" t="s">
        <v>225</v>
      </c>
      <c r="B11" s="65" t="s">
        <v>152</v>
      </c>
      <c r="C11" s="65" t="s">
        <v>135</v>
      </c>
      <c r="D11" s="65" t="s">
        <v>149</v>
      </c>
      <c r="E11" s="65" t="s">
        <v>212</v>
      </c>
      <c r="F11" s="65" t="s">
        <v>213</v>
      </c>
      <c r="G11" s="92">
        <f>SUMIF(Exposure_Targets!$B$2:$B$8,INDEX(Intervention_Cause_Map!$B$2:$B$29,MATCH(A11,Intervention_Cause_Map!$A$2:$A$29,0)),Exposure_Targets!$G$2:$G$8)</f>
        <v>0.30299999999999999</v>
      </c>
      <c r="H11" s="92">
        <f>SUMIF(Exposure_Targets!$B$2:$B$8,INDEX(Intervention_Cause_Map!$B$2:$B$29,MATCH(A11,Intervention_Cause_Map!$A$2:$A$29,0)),Exposure_Targets!$M$2:$M$8)</f>
        <v>0.24205579199999999</v>
      </c>
      <c r="I11" s="92">
        <f t="shared" si="0"/>
        <v>6.0944208E-2</v>
      </c>
      <c r="J11" s="90">
        <f t="shared" si="1"/>
        <v>0.20113600000000001</v>
      </c>
      <c r="K11" s="65" t="str">
        <f>INDEX(Effect_Parameters!$F$2:$F$29,MATCH(A11,Effect_Parameters!$B$2:$B$29,0))</f>
        <v>direct_smoking_prevalence_shift_rr</v>
      </c>
      <c r="L11" s="81">
        <f>INDEX(Effect_Parameters!$I$2:$I$29,MATCH(A11,Effect_Parameters!$B$2:$B$29,0))</f>
        <v>1.6</v>
      </c>
      <c r="M11" s="90">
        <f>INDEX(Effect_Parameters!$K$2:$K$29,MATCH(A11,Effect_Parameters!$B$2:$B$29,0))</f>
        <v>0</v>
      </c>
      <c r="N11" s="65" t="str">
        <f>INDEX(Effect_Parameters!$N$2:$N$29,MATCH(A11,Effect_Parameters!$B$2:$B$29,0))</f>
        <v>delayed_exponential_remaining_effect</v>
      </c>
      <c r="O11" s="90">
        <f>IF(K11="direct_smoking_prevalence_shift_rr",IF(OR(G11="",H11="",L11=""),"",1-(1+H11*(L11-1))/(1+G11*(L11-1))),IF(K11="direct_loglinear_rr_per_unit_reduction",IF(OR(L11="",I11=""),"",1-1/(L11^I11)),IF(K11="tfa_attributable_ihd_PAF_x_policy_score",IF(OR(M11="",Policy_Levers!$K$12=""),"",M11*Policy_Levers!$K$12),"")))</f>
        <v>3.0941381621255704E-2</v>
      </c>
      <c r="P11" s="65" t="s">
        <v>226</v>
      </c>
      <c r="Q11" s="65" t="s">
        <v>211</v>
      </c>
      <c r="R11" s="97">
        <f>SUMIFS(Cost_Components!$S$2:$S$8,Cost_Components!$G$2:$G$8,P11,Cost_Components!$D$2:$D$8,1)</f>
        <v>2.3099999999999999E-2</v>
      </c>
      <c r="S11" s="65" t="str">
        <f t="shared" si="2"/>
        <v>REVIEWED LINK</v>
      </c>
    </row>
    <row r="12" spans="1:19" ht="27.6">
      <c r="A12" s="66" t="s">
        <v>227</v>
      </c>
      <c r="B12" s="66" t="s">
        <v>152</v>
      </c>
      <c r="C12" s="66" t="s">
        <v>135</v>
      </c>
      <c r="D12" s="66" t="s">
        <v>158</v>
      </c>
      <c r="E12" s="66" t="s">
        <v>212</v>
      </c>
      <c r="F12" s="66" t="s">
        <v>213</v>
      </c>
      <c r="G12" s="93">
        <f>SUMIF(Exposure_Targets!$B$2:$B$8,INDEX(Intervention_Cause_Map!$B$2:$B$29,MATCH(A12,Intervention_Cause_Map!$A$2:$A$29,0)),Exposure_Targets!$G$2:$G$8)</f>
        <v>0.30299999999999999</v>
      </c>
      <c r="H12" s="93">
        <f>SUMIF(Exposure_Targets!$B$2:$B$8,INDEX(Intervention_Cause_Map!$B$2:$B$29,MATCH(A12,Intervention_Cause_Map!$A$2:$A$29,0)),Exposure_Targets!$M$2:$M$8)</f>
        <v>0.24205579199999999</v>
      </c>
      <c r="I12" s="93">
        <f t="shared" si="0"/>
        <v>6.0944208E-2</v>
      </c>
      <c r="J12" s="91">
        <f t="shared" si="1"/>
        <v>0.20113600000000001</v>
      </c>
      <c r="K12" s="66" t="str">
        <f>INDEX(Effect_Parameters!$F$2:$F$29,MATCH(A12,Effect_Parameters!$B$2:$B$29,0))</f>
        <v>direct_smoking_prevalence_shift_rr</v>
      </c>
      <c r="L12" s="80">
        <f>INDEX(Effect_Parameters!$I$2:$I$29,MATCH(A12,Effect_Parameters!$B$2:$B$29,0))</f>
        <v>1.38</v>
      </c>
      <c r="M12" s="91">
        <f>INDEX(Effect_Parameters!$K$2:$K$29,MATCH(A12,Effect_Parameters!$B$2:$B$29,0))</f>
        <v>0</v>
      </c>
      <c r="N12" s="66" t="str">
        <f>INDEX(Effect_Parameters!$N$2:$N$29,MATCH(A12,Effect_Parameters!$B$2:$B$29,0))</f>
        <v>delayed_exponential_remaining_effect</v>
      </c>
      <c r="O12" s="91">
        <f>IF(K12="direct_smoking_prevalence_shift_rr",IF(OR(G12="",H12="",L12=""),"",1-(1+H12*(L12-1))/(1+G12*(L12-1))),IF(K12="direct_loglinear_rr_per_unit_reduction",IF(OR(L12="",I12=""),"",1-1/(L12^I12)),IF(K12="tfa_attributable_ihd_PAF_x_policy_score",IF(OR(M12="",Policy_Levers!$K$12=""),"",M12*Policy_Levers!$K$12),"")))</f>
        <v>2.0767615761249636E-2</v>
      </c>
      <c r="P12" s="66" t="s">
        <v>226</v>
      </c>
      <c r="Q12" s="66" t="s">
        <v>211</v>
      </c>
      <c r="R12" s="98">
        <f>SUMIFS(Cost_Components!$S$2:$S$8,Cost_Components!$G$2:$G$8,P12,Cost_Components!$D$2:$D$8,1)</f>
        <v>2.3099999999999999E-2</v>
      </c>
      <c r="S12" s="66" t="str">
        <f t="shared" si="2"/>
        <v>REVIEWED LINK</v>
      </c>
    </row>
    <row r="13" spans="1:19" ht="27.6">
      <c r="A13" s="65" t="s">
        <v>228</v>
      </c>
      <c r="B13" s="65" t="s">
        <v>152</v>
      </c>
      <c r="C13" s="65" t="s">
        <v>135</v>
      </c>
      <c r="D13" s="65" t="s">
        <v>166</v>
      </c>
      <c r="E13" s="65" t="s">
        <v>212</v>
      </c>
      <c r="F13" s="65" t="s">
        <v>213</v>
      </c>
      <c r="G13" s="92">
        <f>SUMIF(Exposure_Targets!$B$2:$B$8,INDEX(Intervention_Cause_Map!$B$2:$B$29,MATCH(A13,Intervention_Cause_Map!$A$2:$A$29,0)),Exposure_Targets!$G$2:$G$8)</f>
        <v>0.30299999999999999</v>
      </c>
      <c r="H13" s="92">
        <f>SUMIF(Exposure_Targets!$B$2:$B$8,INDEX(Intervention_Cause_Map!$B$2:$B$29,MATCH(A13,Intervention_Cause_Map!$A$2:$A$29,0)),Exposure_Targets!$M$2:$M$8)</f>
        <v>0.24205579199999999</v>
      </c>
      <c r="I13" s="92">
        <f t="shared" si="0"/>
        <v>6.0944208E-2</v>
      </c>
      <c r="J13" s="90">
        <f t="shared" si="1"/>
        <v>0.20113600000000001</v>
      </c>
      <c r="K13" s="65" t="str">
        <f>INDEX(Effect_Parameters!$F$2:$F$29,MATCH(A13,Effect_Parameters!$B$2:$B$29,0))</f>
        <v>direct_smoking_prevalence_shift_rr</v>
      </c>
      <c r="L13" s="81">
        <f>INDEX(Effect_Parameters!$I$2:$I$29,MATCH(A13,Effect_Parameters!$B$2:$B$29,0))</f>
        <v>1.19</v>
      </c>
      <c r="M13" s="90">
        <f>INDEX(Effect_Parameters!$K$2:$K$29,MATCH(A13,Effect_Parameters!$B$2:$B$29,0))</f>
        <v>0</v>
      </c>
      <c r="N13" s="65" t="str">
        <f>INDEX(Effect_Parameters!$N$2:$N$29,MATCH(A13,Effect_Parameters!$B$2:$B$29,0))</f>
        <v>delayed_exponential_remaining_effect</v>
      </c>
      <c r="O13" s="90">
        <f>IF(K13="direct_smoking_prevalence_shift_rr",IF(OR(G13="",H13="",L13=""),"",1-(1+H13*(L13-1))/(1+G13*(L13-1))),IF(K13="direct_loglinear_rr_per_unit_reduction",IF(OR(L13="",I13=""),"",1-1/(L13^I13)),IF(K13="tfa_attributable_ihd_PAF_x_policy_score",IF(OR(M13="",Policy_Levers!$K$12=""),"",M13*Policy_Levers!$K$12),"")))</f>
        <v>1.0949062019535383E-2</v>
      </c>
      <c r="P13" s="65" t="s">
        <v>226</v>
      </c>
      <c r="Q13" s="65" t="s">
        <v>211</v>
      </c>
      <c r="R13" s="97">
        <f>SUMIFS(Cost_Components!$S$2:$S$8,Cost_Components!$G$2:$G$8,P13,Cost_Components!$D$2:$D$8,1)</f>
        <v>2.3099999999999999E-2</v>
      </c>
      <c r="S13" s="65" t="str">
        <f t="shared" si="2"/>
        <v>REVIEWED LINK</v>
      </c>
    </row>
    <row r="14" spans="1:19" ht="27.6">
      <c r="A14" s="66" t="s">
        <v>229</v>
      </c>
      <c r="B14" s="66" t="s">
        <v>152</v>
      </c>
      <c r="C14" s="66" t="s">
        <v>135</v>
      </c>
      <c r="D14" s="66" t="s">
        <v>189</v>
      </c>
      <c r="E14" s="66" t="s">
        <v>212</v>
      </c>
      <c r="F14" s="66" t="s">
        <v>213</v>
      </c>
      <c r="G14" s="93">
        <f>SUMIF(Exposure_Targets!$B$2:$B$8,INDEX(Intervention_Cause_Map!$B$2:$B$29,MATCH(A14,Intervention_Cause_Map!$A$2:$A$29,0)),Exposure_Targets!$G$2:$G$8)</f>
        <v>0.30299999999999999</v>
      </c>
      <c r="H14" s="93">
        <f>SUMIF(Exposure_Targets!$B$2:$B$8,INDEX(Intervention_Cause_Map!$B$2:$B$29,MATCH(A14,Intervention_Cause_Map!$A$2:$A$29,0)),Exposure_Targets!$M$2:$M$8)</f>
        <v>0.24205579199999999</v>
      </c>
      <c r="I14" s="93">
        <f t="shared" si="0"/>
        <v>6.0944208E-2</v>
      </c>
      <c r="J14" s="91">
        <f t="shared" si="1"/>
        <v>0.20113600000000001</v>
      </c>
      <c r="K14" s="66" t="str">
        <f>INDEX(Effect_Parameters!$F$2:$F$29,MATCH(A14,Effect_Parameters!$B$2:$B$29,0))</f>
        <v>direct_smoking_prevalence_shift_rr</v>
      </c>
      <c r="L14" s="80">
        <f>INDEX(Effect_Parameters!$I$2:$I$29,MATCH(A14,Effect_Parameters!$B$2:$B$29,0))</f>
        <v>1.37</v>
      </c>
      <c r="M14" s="91">
        <f>INDEX(Effect_Parameters!$K$2:$K$29,MATCH(A14,Effect_Parameters!$B$2:$B$29,0))</f>
        <v>0</v>
      </c>
      <c r="N14" s="66" t="str">
        <f>INDEX(Effect_Parameters!$N$2:$N$29,MATCH(A14,Effect_Parameters!$B$2:$B$29,0))</f>
        <v>delayed_exponential_remaining_effect</v>
      </c>
      <c r="O14" s="91">
        <f>IF(K14="direct_smoking_prevalence_shift_rr",IF(OR(G14="",H14="",L14=""),"",1-(1+H14*(L14-1))/(1+G14*(L14-1))),IF(K14="direct_loglinear_rr_per_unit_reduction",IF(OR(L14="",I14=""),"",1-1/(L14^I14)),IF(K14="tfa_attributable_ihd_PAF_x_policy_score",IF(OR(M14="",Policy_Levers!$K$12=""),"",M14*Policy_Levers!$K$12),"")))</f>
        <v>2.0276192966523054E-2</v>
      </c>
      <c r="P14" s="66" t="s">
        <v>226</v>
      </c>
      <c r="Q14" s="66" t="s">
        <v>211</v>
      </c>
      <c r="R14" s="98">
        <f>SUMIFS(Cost_Components!$S$2:$S$8,Cost_Components!$G$2:$G$8,P14,Cost_Components!$D$2:$D$8,1)</f>
        <v>2.3099999999999999E-2</v>
      </c>
      <c r="S14" s="66" t="str">
        <f t="shared" si="2"/>
        <v>REVIEWED LINK</v>
      </c>
    </row>
    <row r="15" spans="1:19" ht="27.6">
      <c r="A15" s="65" t="s">
        <v>230</v>
      </c>
      <c r="B15" s="65" t="s">
        <v>160</v>
      </c>
      <c r="C15" s="65" t="s">
        <v>145</v>
      </c>
      <c r="D15" s="65" t="s">
        <v>149</v>
      </c>
      <c r="E15" s="65" t="s">
        <v>212</v>
      </c>
      <c r="F15" s="65" t="s">
        <v>213</v>
      </c>
      <c r="G15" s="92">
        <f>SUMIF(Exposure_Targets!$B$2:$B$8,INDEX(Intervention_Cause_Map!$B$2:$B$29,MATCH(A15,Intervention_Cause_Map!$A$2:$A$29,0)),Exposure_Targets!$G$2:$G$8)</f>
        <v>0.1</v>
      </c>
      <c r="H15" s="92">
        <f>SUMIF(Exposure_Targets!$B$2:$B$8,INDEX(Intervention_Cause_Map!$B$2:$B$29,MATCH(A15,Intervention_Cause_Map!$A$2:$A$29,0)),Exposure_Targets!$M$2:$M$8)</f>
        <v>9.9973100000000009E-2</v>
      </c>
      <c r="I15" s="92">
        <f t="shared" si="0"/>
        <v>2.6899999999996371E-5</v>
      </c>
      <c r="J15" s="90">
        <f t="shared" si="1"/>
        <v>2.6899999999996371E-4</v>
      </c>
      <c r="K15" s="65" t="str">
        <f>INDEX(Effect_Parameters!$F$2:$F$29,MATCH(A15,Effect_Parameters!$B$2:$B$29,0))</f>
        <v>direct_loglinear_rr_per_unit_reduction</v>
      </c>
      <c r="L15" s="81">
        <f>INDEX(Effect_Parameters!$I$2:$I$29,MATCH(A15,Effect_Parameters!$B$2:$B$29,0))</f>
        <v>1.0088803849749666</v>
      </c>
      <c r="M15" s="90">
        <f>INDEX(Effect_Parameters!$K$2:$K$29,MATCH(A15,Effect_Parameters!$B$2:$B$29,0))</f>
        <v>0</v>
      </c>
      <c r="N15" s="65" t="str">
        <f>INDEX(Effect_Parameters!$N$2:$N$29,MATCH(A15,Effect_Parameters!$B$2:$B$29,0))</f>
        <v>immediate_after_full_implementation</v>
      </c>
      <c r="O15" s="90">
        <f>IF(K15="direct_smoking_prevalence_shift_rr",IF(OR(G15="",H15="",L15=""),"",1-(1+H15*(L15-1))/(1+G15*(L15-1))),IF(K15="direct_loglinear_rr_per_unit_reduction",IF(OR(L15="",I15=""),"",1-1/(L15^I15)),IF(K15="tfa_attributable_ihd_PAF_x_policy_score",IF(OR(M15="",Policy_Levers!$K$12=""),"",M15*Policy_Levers!$K$12),"")))</f>
        <v>2.3782788194370852E-7</v>
      </c>
      <c r="P15" s="65" t="s">
        <v>231</v>
      </c>
      <c r="Q15" s="65" t="s">
        <v>211</v>
      </c>
      <c r="R15" s="97">
        <f>SUMIFS(Cost_Components!$S$2:$S$8,Cost_Components!$G$2:$G$8,P15,Cost_Components!$D$2:$D$8,1)</f>
        <v>5.5999999999999999E-3</v>
      </c>
      <c r="S15" s="65" t="str">
        <f t="shared" si="2"/>
        <v>REVIEWED LINK</v>
      </c>
    </row>
    <row r="16" spans="1:19" ht="27.6">
      <c r="A16" s="66" t="s">
        <v>232</v>
      </c>
      <c r="B16" s="66" t="s">
        <v>160</v>
      </c>
      <c r="C16" s="66" t="s">
        <v>145</v>
      </c>
      <c r="D16" s="66" t="s">
        <v>158</v>
      </c>
      <c r="E16" s="66" t="s">
        <v>212</v>
      </c>
      <c r="F16" s="66" t="s">
        <v>213</v>
      </c>
      <c r="G16" s="93">
        <f>SUMIF(Exposure_Targets!$B$2:$B$8,INDEX(Intervention_Cause_Map!$B$2:$B$29,MATCH(A16,Intervention_Cause_Map!$A$2:$A$29,0)),Exposure_Targets!$G$2:$G$8)</f>
        <v>0.1</v>
      </c>
      <c r="H16" s="93">
        <f>SUMIF(Exposure_Targets!$B$2:$B$8,INDEX(Intervention_Cause_Map!$B$2:$B$29,MATCH(A16,Intervention_Cause_Map!$A$2:$A$29,0)),Exposure_Targets!$M$2:$M$8)</f>
        <v>9.9973100000000009E-2</v>
      </c>
      <c r="I16" s="93">
        <f t="shared" si="0"/>
        <v>2.6899999999996371E-5</v>
      </c>
      <c r="J16" s="91">
        <f t="shared" si="1"/>
        <v>2.6899999999996371E-4</v>
      </c>
      <c r="K16" s="66" t="str">
        <f>INDEX(Effect_Parameters!$F$2:$F$29,MATCH(A16,Effect_Parameters!$B$2:$B$29,0))</f>
        <v>direct_loglinear_rr_per_unit_reduction</v>
      </c>
      <c r="L16" s="80">
        <f>INDEX(Effect_Parameters!$I$2:$I$29,MATCH(A16,Effect_Parameters!$B$2:$B$29,0))</f>
        <v>1.020079962718877</v>
      </c>
      <c r="M16" s="91">
        <f>INDEX(Effect_Parameters!$K$2:$K$29,MATCH(A16,Effect_Parameters!$B$2:$B$29,0))</f>
        <v>0</v>
      </c>
      <c r="N16" s="66" t="str">
        <f>INDEX(Effect_Parameters!$N$2:$N$29,MATCH(A16,Effect_Parameters!$B$2:$B$29,0))</f>
        <v>immediate_after_full_implementation</v>
      </c>
      <c r="O16" s="91">
        <f>IF(K16="direct_smoking_prevalence_shift_rr",IF(OR(G16="",H16="",L16=""),"",1-(1+H16*(L16-1))/(1+G16*(L16-1))),IF(K16="direct_loglinear_rr_per_unit_reduction",IF(OR(L16="",I16=""),"",1-1/(L16^I16)),IF(K16="tfa_attributable_ihd_PAF_x_policy_score",IF(OR(M16="",Policy_Levers!$K$12=""),"",M16*Policy_Levers!$K$12),"")))</f>
        <v>5.3479926931387922E-7</v>
      </c>
      <c r="P16" s="66" t="s">
        <v>231</v>
      </c>
      <c r="Q16" s="66" t="s">
        <v>211</v>
      </c>
      <c r="R16" s="98">
        <f>SUMIFS(Cost_Components!$S$2:$S$8,Cost_Components!$G$2:$G$8,P16,Cost_Components!$D$2:$D$8,1)</f>
        <v>5.5999999999999999E-3</v>
      </c>
      <c r="S16" s="66" t="str">
        <f t="shared" si="2"/>
        <v>REVIEWED LINK</v>
      </c>
    </row>
    <row r="17" spans="1:19" ht="27.6">
      <c r="A17" s="65" t="s">
        <v>233</v>
      </c>
      <c r="B17" s="65" t="s">
        <v>160</v>
      </c>
      <c r="C17" s="65" t="s">
        <v>145</v>
      </c>
      <c r="D17" s="65" t="s">
        <v>166</v>
      </c>
      <c r="E17" s="65" t="s">
        <v>212</v>
      </c>
      <c r="F17" s="65" t="s">
        <v>213</v>
      </c>
      <c r="G17" s="92">
        <f>SUMIF(Exposure_Targets!$B$2:$B$8,INDEX(Intervention_Cause_Map!$B$2:$B$29,MATCH(A17,Intervention_Cause_Map!$A$2:$A$29,0)),Exposure_Targets!$G$2:$G$8)</f>
        <v>0.1</v>
      </c>
      <c r="H17" s="92">
        <f>SUMIF(Exposure_Targets!$B$2:$B$8,INDEX(Intervention_Cause_Map!$B$2:$B$29,MATCH(A17,Intervention_Cause_Map!$A$2:$A$29,0)),Exposure_Targets!$M$2:$M$8)</f>
        <v>9.9973100000000009E-2</v>
      </c>
      <c r="I17" s="92">
        <f t="shared" si="0"/>
        <v>2.6899999999996371E-5</v>
      </c>
      <c r="J17" s="90">
        <f t="shared" si="1"/>
        <v>2.6899999999996371E-4</v>
      </c>
      <c r="K17" s="65" t="str">
        <f>INDEX(Effect_Parameters!$F$2:$F$29,MATCH(A17,Effect_Parameters!$B$2:$B$29,0))</f>
        <v>direct_loglinear_rr_per_unit_reduction</v>
      </c>
      <c r="L17" s="81">
        <f>INDEX(Effect_Parameters!$I$2:$I$29,MATCH(A17,Effect_Parameters!$B$2:$B$29,0))</f>
        <v>1.020079962718877</v>
      </c>
      <c r="M17" s="90">
        <f>INDEX(Effect_Parameters!$K$2:$K$29,MATCH(A17,Effect_Parameters!$B$2:$B$29,0))</f>
        <v>0</v>
      </c>
      <c r="N17" s="65" t="str">
        <f>INDEX(Effect_Parameters!$N$2:$N$29,MATCH(A17,Effect_Parameters!$B$2:$B$29,0))</f>
        <v>immediate_after_full_implementation</v>
      </c>
      <c r="O17" s="90">
        <f>IF(K17="direct_smoking_prevalence_shift_rr",IF(OR(G17="",H17="",L17=""),"",1-(1+H17*(L17-1))/(1+G17*(L17-1))),IF(K17="direct_loglinear_rr_per_unit_reduction",IF(OR(L17="",I17=""),"",1-1/(L17^I17)),IF(K17="tfa_attributable_ihd_PAF_x_policy_score",IF(OR(M17="",Policy_Levers!$K$12=""),"",M17*Policy_Levers!$K$12),"")))</f>
        <v>5.3479926931387922E-7</v>
      </c>
      <c r="P17" s="65" t="s">
        <v>231</v>
      </c>
      <c r="Q17" s="65" t="s">
        <v>211</v>
      </c>
      <c r="R17" s="97">
        <f>SUMIFS(Cost_Components!$S$2:$S$8,Cost_Components!$G$2:$G$8,P17,Cost_Components!$D$2:$D$8,1)</f>
        <v>5.5999999999999999E-3</v>
      </c>
      <c r="S17" s="65" t="str">
        <f t="shared" si="2"/>
        <v>REVIEWED LINK</v>
      </c>
    </row>
    <row r="18" spans="1:19" ht="27.6">
      <c r="A18" s="66" t="s">
        <v>234</v>
      </c>
      <c r="B18" s="66" t="s">
        <v>160</v>
      </c>
      <c r="C18" s="66" t="s">
        <v>145</v>
      </c>
      <c r="D18" s="66" t="s">
        <v>177</v>
      </c>
      <c r="E18" s="66" t="s">
        <v>212</v>
      </c>
      <c r="F18" s="66" t="s">
        <v>213</v>
      </c>
      <c r="G18" s="93">
        <f>SUMIF(Exposure_Targets!$B$2:$B$8,INDEX(Intervention_Cause_Map!$B$2:$B$29,MATCH(A18,Intervention_Cause_Map!$A$2:$A$29,0)),Exposure_Targets!$G$2:$G$8)</f>
        <v>0.1</v>
      </c>
      <c r="H18" s="93">
        <f>SUMIF(Exposure_Targets!$B$2:$B$8,INDEX(Intervention_Cause_Map!$B$2:$B$29,MATCH(A18,Intervention_Cause_Map!$A$2:$A$29,0)),Exposure_Targets!$M$2:$M$8)</f>
        <v>9.9973100000000009E-2</v>
      </c>
      <c r="I18" s="93">
        <f t="shared" si="0"/>
        <v>2.6899999999996371E-5</v>
      </c>
      <c r="J18" s="91">
        <f t="shared" si="1"/>
        <v>2.6899999999996371E-4</v>
      </c>
      <c r="K18" s="66" t="str">
        <f>INDEX(Effect_Parameters!$F$2:$F$29,MATCH(A18,Effect_Parameters!$B$2:$B$29,0))</f>
        <v>direct_loglinear_rr_per_unit_reduction</v>
      </c>
      <c r="L18" s="80">
        <f>INDEX(Effect_Parameters!$I$2:$I$29,MATCH(A18,Effect_Parameters!$B$2:$B$29,0))</f>
        <v>1.0331775104357432</v>
      </c>
      <c r="M18" s="91">
        <f>INDEX(Effect_Parameters!$K$2:$K$29,MATCH(A18,Effect_Parameters!$B$2:$B$29,0))</f>
        <v>0</v>
      </c>
      <c r="N18" s="66" t="str">
        <f>INDEX(Effect_Parameters!$N$2:$N$29,MATCH(A18,Effect_Parameters!$B$2:$B$29,0))</f>
        <v>immediate_after_full_implementation</v>
      </c>
      <c r="O18" s="91">
        <f>IF(K18="direct_smoking_prevalence_shift_rr",IF(OR(G18="",H18="",L18=""),"",1-(1+H18*(L18-1))/(1+G18*(L18-1))),IF(K18="direct_loglinear_rr_per_unit_reduction",IF(OR(L18="",I18=""),"",1-1/(L18^I18)),IF(K18="tfa_attributable_ihd_PAF_x_policy_score",IF(OR(M18="",Policy_Levers!$K$12=""),"",M18*Policy_Levers!$K$12),"")))</f>
        <v>8.7798912085101932E-7</v>
      </c>
      <c r="P18" s="66" t="s">
        <v>231</v>
      </c>
      <c r="Q18" s="66" t="s">
        <v>211</v>
      </c>
      <c r="R18" s="98">
        <f>SUMIFS(Cost_Components!$S$2:$S$8,Cost_Components!$G$2:$G$8,P18,Cost_Components!$D$2:$D$8,1)</f>
        <v>5.5999999999999999E-3</v>
      </c>
      <c r="S18" s="66" t="str">
        <f t="shared" si="2"/>
        <v>REVIEWED LINK</v>
      </c>
    </row>
    <row r="19" spans="1:19" ht="27.6">
      <c r="A19" s="65" t="s">
        <v>235</v>
      </c>
      <c r="B19" s="65" t="s">
        <v>160</v>
      </c>
      <c r="C19" s="65" t="s">
        <v>145</v>
      </c>
      <c r="D19" s="65" t="s">
        <v>183</v>
      </c>
      <c r="E19" s="65" t="s">
        <v>212</v>
      </c>
      <c r="F19" s="65" t="s">
        <v>213</v>
      </c>
      <c r="G19" s="92">
        <f>SUMIF(Exposure_Targets!$B$2:$B$8,INDEX(Intervention_Cause_Map!$B$2:$B$29,MATCH(A19,Intervention_Cause_Map!$A$2:$A$29,0)),Exposure_Targets!$G$2:$G$8)</f>
        <v>0.1</v>
      </c>
      <c r="H19" s="92">
        <f>SUMIF(Exposure_Targets!$B$2:$B$8,INDEX(Intervention_Cause_Map!$B$2:$B$29,MATCH(A19,Intervention_Cause_Map!$A$2:$A$29,0)),Exposure_Targets!$M$2:$M$8)</f>
        <v>9.9973100000000009E-2</v>
      </c>
      <c r="I19" s="92">
        <f t="shared" si="0"/>
        <v>2.6899999999996371E-5</v>
      </c>
      <c r="J19" s="90">
        <f t="shared" si="1"/>
        <v>2.6899999999996371E-4</v>
      </c>
      <c r="K19" s="65" t="str">
        <f>INDEX(Effect_Parameters!$F$2:$F$29,MATCH(A19,Effect_Parameters!$B$2:$B$29,0))</f>
        <v>direct_loglinear_rr_per_unit_reduction</v>
      </c>
      <c r="L19" s="81">
        <f>INDEX(Effect_Parameters!$I$2:$I$29,MATCH(A19,Effect_Parameters!$B$2:$B$29,0))</f>
        <v>1.0131616703515811</v>
      </c>
      <c r="M19" s="90">
        <f>INDEX(Effect_Parameters!$K$2:$K$29,MATCH(A19,Effect_Parameters!$B$2:$B$29,0))</f>
        <v>0</v>
      </c>
      <c r="N19" s="65" t="str">
        <f>INDEX(Effect_Parameters!$N$2:$N$29,MATCH(A19,Effect_Parameters!$B$2:$B$29,0))</f>
        <v>immediate_after_full_implementation</v>
      </c>
      <c r="O19" s="90">
        <f>IF(K19="direct_smoking_prevalence_shift_rr",IF(OR(G19="",H19="",L19=""),"",1-(1+H19*(L19-1))/(1+G19*(L19-1))),IF(K19="direct_loglinear_rr_per_unit_reduction",IF(OR(L19="",I19=""),"",1-1/(L19^I19)),IF(K19="tfa_attributable_ihd_PAF_x_policy_score",IF(OR(M19="",Policy_Levers!$K$12=""),"",M19*Policy_Levers!$K$12),"")))</f>
        <v>3.51739177117949E-7</v>
      </c>
      <c r="P19" s="65" t="s">
        <v>231</v>
      </c>
      <c r="Q19" s="65" t="s">
        <v>211</v>
      </c>
      <c r="R19" s="97">
        <f>SUMIFS(Cost_Components!$S$2:$S$8,Cost_Components!$G$2:$G$8,P19,Cost_Components!$D$2:$D$8,1)</f>
        <v>5.5999999999999999E-3</v>
      </c>
      <c r="S19" s="65" t="str">
        <f t="shared" si="2"/>
        <v>REVIEWED LINK</v>
      </c>
    </row>
    <row r="20" spans="1:19">
      <c r="A20" s="66" t="s">
        <v>236</v>
      </c>
      <c r="B20" s="66" t="s">
        <v>169</v>
      </c>
      <c r="C20" s="66" t="s">
        <v>155</v>
      </c>
      <c r="D20" s="66" t="s">
        <v>149</v>
      </c>
      <c r="E20" s="66" t="s">
        <v>212</v>
      </c>
      <c r="F20" s="66" t="s">
        <v>213</v>
      </c>
      <c r="G20" s="93">
        <f>SUMIF(Exposure_Targets!$B$2:$B$8,INDEX(Intervention_Cause_Map!$B$2:$B$29,MATCH(A20,Intervention_Cause_Map!$A$2:$A$29,0)),Exposure_Targets!$G$2:$G$8)</f>
        <v>4.4000000000000004</v>
      </c>
      <c r="H20" s="93">
        <f>SUMIF(Exposure_Targets!$B$2:$B$8,INDEX(Intervention_Cause_Map!$B$2:$B$29,MATCH(A20,Intervention_Cause_Map!$A$2:$A$29,0)),Exposure_Targets!$M$2:$M$8)</f>
        <v>3</v>
      </c>
      <c r="I20" s="93">
        <f t="shared" si="0"/>
        <v>1.4000000000000004</v>
      </c>
      <c r="J20" s="91">
        <f t="shared" si="1"/>
        <v>0.31818181818181823</v>
      </c>
      <c r="K20" s="66" t="str">
        <f>INDEX(Effect_Parameters!$F$2:$F$29,MATCH(A20,Effect_Parameters!$B$2:$B$29,0))</f>
        <v>direct_loglinear_rr_per_unit_reduction</v>
      </c>
      <c r="L20" s="80">
        <f>INDEX(Effect_Parameters!$I$2:$I$29,MATCH(A20,Effect_Parameters!$B$2:$B$29,0))</f>
        <v>1.06</v>
      </c>
      <c r="M20" s="91">
        <f>INDEX(Effect_Parameters!$K$2:$K$29,MATCH(A20,Effect_Parameters!$B$2:$B$29,0))</f>
        <v>0</v>
      </c>
      <c r="N20" s="66" t="str">
        <f>INDEX(Effect_Parameters!$N$2:$N$29,MATCH(A20,Effect_Parameters!$B$2:$B$29,0))</f>
        <v>immediate_after_full_implementation</v>
      </c>
      <c r="O20" s="91">
        <f>IF(K20="direct_smoking_prevalence_shift_rr",IF(OR(G20="",H20="",L20=""),"",1-(1+H20*(L20-1))/(1+G20*(L20-1))),IF(K20="direct_loglinear_rr_per_unit_reduction",IF(OR(L20="",I20=""),"",1-1/(L20^I20)),IF(K20="tfa_attributable_ihd_PAF_x_policy_score",IF(OR(M20="",Policy_Levers!$K$12=""),"",M20*Policy_Levers!$K$12),"")))</f>
        <v>7.8337773617477846E-2</v>
      </c>
      <c r="P20" s="66" t="s">
        <v>237</v>
      </c>
      <c r="Q20" s="66" t="s">
        <v>211</v>
      </c>
      <c r="R20" s="98">
        <f>SUMIFS(Cost_Components!$S$2:$S$8,Cost_Components!$G$2:$G$8,P20,Cost_Components!$D$2:$D$8,1)</f>
        <v>3.5099999999999999E-2</v>
      </c>
      <c r="S20" s="66" t="str">
        <f t="shared" si="2"/>
        <v>REVIEWED LINK</v>
      </c>
    </row>
    <row r="21" spans="1:19">
      <c r="A21" s="65" t="s">
        <v>239</v>
      </c>
      <c r="B21" s="65" t="s">
        <v>169</v>
      </c>
      <c r="C21" s="65" t="s">
        <v>155</v>
      </c>
      <c r="D21" s="65" t="s">
        <v>158</v>
      </c>
      <c r="E21" s="65" t="s">
        <v>212</v>
      </c>
      <c r="F21" s="65" t="s">
        <v>213</v>
      </c>
      <c r="G21" s="92">
        <f>SUMIF(Exposure_Targets!$B$2:$B$8,INDEX(Intervention_Cause_Map!$B$2:$B$29,MATCH(A21,Intervention_Cause_Map!$A$2:$A$29,0)),Exposure_Targets!$G$2:$G$8)</f>
        <v>4.4000000000000004</v>
      </c>
      <c r="H21" s="92">
        <f>SUMIF(Exposure_Targets!$B$2:$B$8,INDEX(Intervention_Cause_Map!$B$2:$B$29,MATCH(A21,Intervention_Cause_Map!$A$2:$A$29,0)),Exposure_Targets!$M$2:$M$8)</f>
        <v>3</v>
      </c>
      <c r="I21" s="92">
        <f t="shared" si="0"/>
        <v>1.4000000000000004</v>
      </c>
      <c r="J21" s="90">
        <f t="shared" si="1"/>
        <v>0.31818181818181823</v>
      </c>
      <c r="K21" s="65" t="str">
        <f>INDEX(Effect_Parameters!$F$2:$F$29,MATCH(A21,Effect_Parameters!$B$2:$B$29,0))</f>
        <v>direct_loglinear_rr_per_unit_reduction</v>
      </c>
      <c r="L21" s="81">
        <f>INDEX(Effect_Parameters!$I$2:$I$29,MATCH(A21,Effect_Parameters!$B$2:$B$29,0))</f>
        <v>1.06</v>
      </c>
      <c r="M21" s="90">
        <f>INDEX(Effect_Parameters!$K$2:$K$29,MATCH(A21,Effect_Parameters!$B$2:$B$29,0))</f>
        <v>0</v>
      </c>
      <c r="N21" s="65" t="str">
        <f>INDEX(Effect_Parameters!$N$2:$N$29,MATCH(A21,Effect_Parameters!$B$2:$B$29,0))</f>
        <v>immediate_after_full_implementation</v>
      </c>
      <c r="O21" s="90">
        <f>IF(K21="direct_smoking_prevalence_shift_rr",IF(OR(G21="",H21="",L21=""),"",1-(1+H21*(L21-1))/(1+G21*(L21-1))),IF(K21="direct_loglinear_rr_per_unit_reduction",IF(OR(L21="",I21=""),"",1-1/(L21^I21)),IF(K21="tfa_attributable_ihd_PAF_x_policy_score",IF(OR(M21="",Policy_Levers!$K$12=""),"",M21*Policy_Levers!$K$12),"")))</f>
        <v>7.8337773617477846E-2</v>
      </c>
      <c r="P21" s="65" t="s">
        <v>237</v>
      </c>
      <c r="Q21" s="65" t="s">
        <v>211</v>
      </c>
      <c r="R21" s="97">
        <f>SUMIFS(Cost_Components!$S$2:$S$8,Cost_Components!$G$2:$G$8,P21,Cost_Components!$D$2:$D$8,1)</f>
        <v>3.5099999999999999E-2</v>
      </c>
      <c r="S21" s="65" t="str">
        <f t="shared" si="2"/>
        <v>REVIEWED LINK</v>
      </c>
    </row>
    <row r="22" spans="1:19">
      <c r="A22" s="66" t="s">
        <v>240</v>
      </c>
      <c r="B22" s="66" t="s">
        <v>169</v>
      </c>
      <c r="C22" s="66" t="s">
        <v>155</v>
      </c>
      <c r="D22" s="66" t="s">
        <v>166</v>
      </c>
      <c r="E22" s="66" t="s">
        <v>212</v>
      </c>
      <c r="F22" s="66" t="s">
        <v>213</v>
      </c>
      <c r="G22" s="93">
        <f>SUMIF(Exposure_Targets!$B$2:$B$8,INDEX(Intervention_Cause_Map!$B$2:$B$29,MATCH(A22,Intervention_Cause_Map!$A$2:$A$29,0)),Exposure_Targets!$G$2:$G$8)</f>
        <v>4.4000000000000004</v>
      </c>
      <c r="H22" s="93">
        <f>SUMIF(Exposure_Targets!$B$2:$B$8,INDEX(Intervention_Cause_Map!$B$2:$B$29,MATCH(A22,Intervention_Cause_Map!$A$2:$A$29,0)),Exposure_Targets!$M$2:$M$8)</f>
        <v>3</v>
      </c>
      <c r="I22" s="93">
        <f t="shared" si="0"/>
        <v>1.4000000000000004</v>
      </c>
      <c r="J22" s="91">
        <f t="shared" si="1"/>
        <v>0.31818181818181823</v>
      </c>
      <c r="K22" s="66" t="str">
        <f>INDEX(Effect_Parameters!$F$2:$F$29,MATCH(A22,Effect_Parameters!$B$2:$B$29,0))</f>
        <v>direct_loglinear_rr_per_unit_reduction</v>
      </c>
      <c r="L22" s="80">
        <f>INDEX(Effect_Parameters!$I$2:$I$29,MATCH(A22,Effect_Parameters!$B$2:$B$29,0))</f>
        <v>1.06</v>
      </c>
      <c r="M22" s="91">
        <f>INDEX(Effect_Parameters!$K$2:$K$29,MATCH(A22,Effect_Parameters!$B$2:$B$29,0))</f>
        <v>0</v>
      </c>
      <c r="N22" s="66" t="str">
        <f>INDEX(Effect_Parameters!$N$2:$N$29,MATCH(A22,Effect_Parameters!$B$2:$B$29,0))</f>
        <v>immediate_after_full_implementation</v>
      </c>
      <c r="O22" s="91">
        <f>IF(K22="direct_smoking_prevalence_shift_rr",IF(OR(G22="",H22="",L22=""),"",1-(1+H22*(L22-1))/(1+G22*(L22-1))),IF(K22="direct_loglinear_rr_per_unit_reduction",IF(OR(L22="",I22=""),"",1-1/(L22^I22)),IF(K22="tfa_attributable_ihd_PAF_x_policy_score",IF(OR(M22="",Policy_Levers!$K$12=""),"",M22*Policy_Levers!$K$12),"")))</f>
        <v>7.8337773617477846E-2</v>
      </c>
      <c r="P22" s="66" t="s">
        <v>237</v>
      </c>
      <c r="Q22" s="66" t="s">
        <v>211</v>
      </c>
      <c r="R22" s="98">
        <f>SUMIFS(Cost_Components!$S$2:$S$8,Cost_Components!$G$2:$G$8,P22,Cost_Components!$D$2:$D$8,1)</f>
        <v>3.5099999999999999E-2</v>
      </c>
      <c r="S22" s="66" t="str">
        <f t="shared" si="2"/>
        <v>REVIEWED LINK</v>
      </c>
    </row>
    <row r="23" spans="1:19">
      <c r="A23" s="65" t="s">
        <v>241</v>
      </c>
      <c r="B23" s="65" t="s">
        <v>169</v>
      </c>
      <c r="C23" s="65" t="s">
        <v>155</v>
      </c>
      <c r="D23" s="65" t="s">
        <v>177</v>
      </c>
      <c r="E23" s="65" t="s">
        <v>212</v>
      </c>
      <c r="F23" s="65" t="s">
        <v>213</v>
      </c>
      <c r="G23" s="92">
        <f>SUMIF(Exposure_Targets!$B$2:$B$8,INDEX(Intervention_Cause_Map!$B$2:$B$29,MATCH(A23,Intervention_Cause_Map!$A$2:$A$29,0)),Exposure_Targets!$G$2:$G$8)</f>
        <v>4.4000000000000004</v>
      </c>
      <c r="H23" s="92">
        <f>SUMIF(Exposure_Targets!$B$2:$B$8,INDEX(Intervention_Cause_Map!$B$2:$B$29,MATCH(A23,Intervention_Cause_Map!$A$2:$A$29,0)),Exposure_Targets!$M$2:$M$8)</f>
        <v>3</v>
      </c>
      <c r="I23" s="92">
        <f t="shared" si="0"/>
        <v>1.4000000000000004</v>
      </c>
      <c r="J23" s="90">
        <f t="shared" si="1"/>
        <v>0.31818181818181823</v>
      </c>
      <c r="K23" s="65" t="str">
        <f>INDEX(Effect_Parameters!$F$2:$F$29,MATCH(A23,Effect_Parameters!$B$2:$B$29,0))</f>
        <v>direct_loglinear_rr_per_unit_reduction</v>
      </c>
      <c r="L23" s="81">
        <f>INDEX(Effect_Parameters!$I$2:$I$29,MATCH(A23,Effect_Parameters!$B$2:$B$29,0))</f>
        <v>1.06</v>
      </c>
      <c r="M23" s="90">
        <f>INDEX(Effect_Parameters!$K$2:$K$29,MATCH(A23,Effect_Parameters!$B$2:$B$29,0))</f>
        <v>0</v>
      </c>
      <c r="N23" s="65" t="str">
        <f>INDEX(Effect_Parameters!$N$2:$N$29,MATCH(A23,Effect_Parameters!$B$2:$B$29,0))</f>
        <v>immediate_after_full_implementation</v>
      </c>
      <c r="O23" s="90">
        <f>IF(K23="direct_smoking_prevalence_shift_rr",IF(OR(G23="",H23="",L23=""),"",1-(1+H23*(L23-1))/(1+G23*(L23-1))),IF(K23="direct_loglinear_rr_per_unit_reduction",IF(OR(L23="",I23=""),"",1-1/(L23^I23)),IF(K23="tfa_attributable_ihd_PAF_x_policy_score",IF(OR(M23="",Policy_Levers!$K$12=""),"",M23*Policy_Levers!$K$12),"")))</f>
        <v>7.8337773617477846E-2</v>
      </c>
      <c r="P23" s="65" t="s">
        <v>237</v>
      </c>
      <c r="Q23" s="65" t="s">
        <v>211</v>
      </c>
      <c r="R23" s="97">
        <f>SUMIFS(Cost_Components!$S$2:$S$8,Cost_Components!$G$2:$G$8,P23,Cost_Components!$D$2:$D$8,1)</f>
        <v>3.5099999999999999E-2</v>
      </c>
      <c r="S23" s="65" t="str">
        <f t="shared" si="2"/>
        <v>REVIEWED LINK</v>
      </c>
    </row>
    <row r="24" spans="1:19">
      <c r="A24" s="66" t="s">
        <v>242</v>
      </c>
      <c r="B24" s="66" t="s">
        <v>180</v>
      </c>
      <c r="C24" s="66" t="s">
        <v>163</v>
      </c>
      <c r="D24" s="66" t="s">
        <v>149</v>
      </c>
      <c r="E24" s="66" t="s">
        <v>212</v>
      </c>
      <c r="F24" s="66" t="s">
        <v>213</v>
      </c>
      <c r="G24" s="93">
        <f>SUMIF(Exposure_Targets!$B$2:$B$8,INDEX(Intervention_Cause_Map!$B$2:$B$29,MATCH(A24,Intervention_Cause_Map!$A$2:$A$29,0)),Exposure_Targets!$G$2:$G$8)</f>
        <v>0.48</v>
      </c>
      <c r="H24" s="93">
        <f>SUMIF(Exposure_Targets!$B$2:$B$8,INDEX(Intervention_Cause_Map!$B$2:$B$29,MATCH(A24,Intervention_Cause_Map!$A$2:$A$29,0)),Exposure_Targets!$M$2:$M$8)</f>
        <v>0</v>
      </c>
      <c r="I24" s="93">
        <f t="shared" si="0"/>
        <v>0.48</v>
      </c>
      <c r="J24" s="91">
        <f t="shared" si="1"/>
        <v>1</v>
      </c>
      <c r="K24" s="66" t="str">
        <f>INDEX(Effect_Parameters!$F$2:$F$29,MATCH(A24,Effect_Parameters!$B$2:$B$29,0))</f>
        <v>tfa_attributable_ihd_PAF_x_policy_score</v>
      </c>
      <c r="L24" s="80">
        <f>INDEX(Effect_Parameters!$I$2:$I$29,MATCH(A24,Effect_Parameters!$B$2:$B$29,0))</f>
        <v>0</v>
      </c>
      <c r="M24" s="91">
        <f>INDEX(Effect_Parameters!$K$2:$K$29,MATCH(A24,Effect_Parameters!$B$2:$B$29,0))</f>
        <v>0</v>
      </c>
      <c r="N24" s="66" t="str">
        <f>INDEX(Effect_Parameters!$N$2:$N$29,MATCH(A24,Effect_Parameters!$B$2:$B$29,0))</f>
        <v>immediate_after_full_implementation</v>
      </c>
      <c r="O24" s="91">
        <f>IF(K24="direct_smoking_prevalence_shift_rr",IF(OR(G24="",H24="",L24=""),"",1-(1+H24*(L24-1))/(1+G24*(L24-1))),IF(K24="direct_loglinear_rr_per_unit_reduction",IF(OR(L24="",I24=""),"",1-1/(L24^I24)),IF(K24="tfa_attributable_ihd_PAF_x_policy_score",IF(OR(M24="",Policy_Levers!$K$12=""),"",M24*Policy_Levers!$K$12),"")))</f>
        <v>0</v>
      </c>
      <c r="P24" s="66" t="s">
        <v>243</v>
      </c>
      <c r="Q24" s="66" t="s">
        <v>211</v>
      </c>
      <c r="R24" s="98">
        <f>SUMIFS(Cost_Components!$S$2:$S$8,Cost_Components!$G$2:$G$8,P24,Cost_Components!$D$2:$D$8,1)</f>
        <v>8.6999999999999994E-3</v>
      </c>
      <c r="S24" s="66" t="str">
        <f t="shared" si="2"/>
        <v>REVIEWED LINK</v>
      </c>
    </row>
    <row r="25" spans="1:19" ht="27.6">
      <c r="A25" s="65" t="s">
        <v>244</v>
      </c>
      <c r="B25" s="65" t="s">
        <v>186</v>
      </c>
      <c r="C25" s="65" t="s">
        <v>173</v>
      </c>
      <c r="D25" s="65" t="s">
        <v>149</v>
      </c>
      <c r="E25" s="65" t="s">
        <v>212</v>
      </c>
      <c r="F25" s="65" t="s">
        <v>213</v>
      </c>
      <c r="G25" s="92">
        <f>SUMIF(Exposure_Targets!$B$2:$B$8,INDEX(Intervention_Cause_Map!$B$2:$B$29,MATCH(A25,Intervention_Cause_Map!$A$2:$A$29,0)),Exposure_Targets!$G$2:$G$8)</f>
        <v>0.1142857142857143</v>
      </c>
      <c r="H25" s="92">
        <f>SUMIF(Exposure_Targets!$B$2:$B$8,INDEX(Intervention_Cause_Map!$B$2:$B$29,MATCH(A25,Intervention_Cause_Map!$A$2:$A$29,0)),Exposure_Targets!$M$2:$M$8)</f>
        <v>9.4285714285714292E-2</v>
      </c>
      <c r="I25" s="92">
        <f t="shared" si="0"/>
        <v>2.0000000000000004E-2</v>
      </c>
      <c r="J25" s="90">
        <f t="shared" si="1"/>
        <v>0.17500000000000002</v>
      </c>
      <c r="K25" s="65" t="str">
        <f>INDEX(Effect_Parameters!$F$2:$F$29,MATCH(A25,Effect_Parameters!$B$2:$B$29,0))</f>
        <v>direct_loglinear_rr_per_unit_reduction</v>
      </c>
      <c r="L25" s="81">
        <f>INDEX(Effect_Parameters!$I$2:$I$29,MATCH(A25,Effect_Parameters!$B$2:$B$29,0))</f>
        <v>1.1399999999999999</v>
      </c>
      <c r="M25" s="90">
        <f>INDEX(Effect_Parameters!$K$2:$K$29,MATCH(A25,Effect_Parameters!$B$2:$B$29,0))</f>
        <v>0</v>
      </c>
      <c r="N25" s="65" t="str">
        <f>INDEX(Effect_Parameters!$N$2:$N$29,MATCH(A25,Effect_Parameters!$B$2:$B$29,0))</f>
        <v>immediate_after_full_implementation</v>
      </c>
      <c r="O25" s="90">
        <f>IF(K25="direct_smoking_prevalence_shift_rr",IF(OR(G25="",H25="",L25=""),"",1-(1+H25*(L25-1))/(1+G25*(L25-1))),IF(K25="direct_loglinear_rr_per_unit_reduction",IF(OR(L25="",I25=""),"",1-1/(L25^I25)),IF(K25="tfa_attributable_ihd_PAF_x_policy_score",IF(OR(M25="",Policy_Levers!$K$12=""),"",M25*Policy_Levers!$K$12),"")))</f>
        <v>2.6171345644494526E-3</v>
      </c>
      <c r="P25" s="65" t="s">
        <v>245</v>
      </c>
      <c r="Q25" s="65" t="s">
        <v>211</v>
      </c>
      <c r="R25" s="97">
        <f>SUMIFS(Cost_Components!$S$2:$S$8,Cost_Components!$G$2:$G$8,P25,Cost_Components!$D$2:$D$8,1)</f>
        <v>4.0000000000000001E-3</v>
      </c>
      <c r="S25" s="65" t="str">
        <f t="shared" si="2"/>
        <v>REVIEWED LINK</v>
      </c>
    </row>
    <row r="26" spans="1:19" ht="27.6">
      <c r="A26" s="66" t="s">
        <v>247</v>
      </c>
      <c r="B26" s="66" t="s">
        <v>186</v>
      </c>
      <c r="C26" s="66" t="s">
        <v>173</v>
      </c>
      <c r="D26" s="66" t="s">
        <v>158</v>
      </c>
      <c r="E26" s="66" t="s">
        <v>212</v>
      </c>
      <c r="F26" s="66" t="s">
        <v>213</v>
      </c>
      <c r="G26" s="93">
        <f>SUMIF(Exposure_Targets!$B$2:$B$8,INDEX(Intervention_Cause_Map!$B$2:$B$29,MATCH(A26,Intervention_Cause_Map!$A$2:$A$29,0)),Exposure_Targets!$G$2:$G$8)</f>
        <v>0.1142857142857143</v>
      </c>
      <c r="H26" s="93">
        <f>SUMIF(Exposure_Targets!$B$2:$B$8,INDEX(Intervention_Cause_Map!$B$2:$B$29,MATCH(A26,Intervention_Cause_Map!$A$2:$A$29,0)),Exposure_Targets!$M$2:$M$8)</f>
        <v>9.4285714285714292E-2</v>
      </c>
      <c r="I26" s="93">
        <f t="shared" si="0"/>
        <v>2.0000000000000004E-2</v>
      </c>
      <c r="J26" s="91">
        <f t="shared" si="1"/>
        <v>0.17500000000000002</v>
      </c>
      <c r="K26" s="66" t="str">
        <f>INDEX(Effect_Parameters!$F$2:$F$29,MATCH(A26,Effect_Parameters!$B$2:$B$29,0))</f>
        <v>direct_loglinear_rr_per_unit_reduction</v>
      </c>
      <c r="L26" s="80">
        <f>INDEX(Effect_Parameters!$I$2:$I$29,MATCH(A26,Effect_Parameters!$B$2:$B$29,0))</f>
        <v>1.07</v>
      </c>
      <c r="M26" s="91">
        <f>INDEX(Effect_Parameters!$K$2:$K$29,MATCH(A26,Effect_Parameters!$B$2:$B$29,0))</f>
        <v>0</v>
      </c>
      <c r="N26" s="66" t="str">
        <f>INDEX(Effect_Parameters!$N$2:$N$29,MATCH(A26,Effect_Parameters!$B$2:$B$29,0))</f>
        <v>immediate_after_full_implementation</v>
      </c>
      <c r="O26" s="91">
        <f>IF(K26="direct_smoking_prevalence_shift_rr",IF(OR(G26="",H26="",L26=""),"",1-(1+H26*(L26-1))/(1+G26*(L26-1))),IF(K26="direct_loglinear_rr_per_unit_reduction",IF(OR(L26="",I26=""),"",1-1/(L26^I26)),IF(K26="tfa_attributable_ihd_PAF_x_policy_score",IF(OR(M26="",Policy_Levers!$K$12=""),"",M26*Policy_Levers!$K$12),"")))</f>
        <v>1.3522578437547006E-3</v>
      </c>
      <c r="P26" s="66" t="s">
        <v>245</v>
      </c>
      <c r="Q26" s="66" t="s">
        <v>211</v>
      </c>
      <c r="R26" s="98">
        <f>SUMIFS(Cost_Components!$S$2:$S$8,Cost_Components!$G$2:$G$8,P26,Cost_Components!$D$2:$D$8,1)</f>
        <v>4.0000000000000001E-3</v>
      </c>
      <c r="S26" s="66" t="str">
        <f t="shared" si="2"/>
        <v>REVIEWED LINK</v>
      </c>
    </row>
    <row r="27" spans="1:19" ht="27.6">
      <c r="A27" s="65" t="s">
        <v>248</v>
      </c>
      <c r="B27" s="65" t="s">
        <v>186</v>
      </c>
      <c r="C27" s="65" t="s">
        <v>173</v>
      </c>
      <c r="D27" s="65" t="s">
        <v>166</v>
      </c>
      <c r="E27" s="65" t="s">
        <v>212</v>
      </c>
      <c r="F27" s="65" t="s">
        <v>213</v>
      </c>
      <c r="G27" s="92">
        <f>SUMIF(Exposure_Targets!$B$2:$B$8,INDEX(Intervention_Cause_Map!$B$2:$B$29,MATCH(A27,Intervention_Cause_Map!$A$2:$A$29,0)),Exposure_Targets!$G$2:$G$8)</f>
        <v>0.1142857142857143</v>
      </c>
      <c r="H27" s="92">
        <f>SUMIF(Exposure_Targets!$B$2:$B$8,INDEX(Intervention_Cause_Map!$B$2:$B$29,MATCH(A27,Intervention_Cause_Map!$A$2:$A$29,0)),Exposure_Targets!$M$2:$M$8)</f>
        <v>9.4285714285714292E-2</v>
      </c>
      <c r="I27" s="92">
        <f t="shared" si="0"/>
        <v>2.0000000000000004E-2</v>
      </c>
      <c r="J27" s="90">
        <f t="shared" si="1"/>
        <v>0.17500000000000002</v>
      </c>
      <c r="K27" s="65" t="str">
        <f>INDEX(Effect_Parameters!$F$2:$F$29,MATCH(A27,Effect_Parameters!$B$2:$B$29,0))</f>
        <v>direct_loglinear_rr_per_unit_reduction</v>
      </c>
      <c r="L27" s="81">
        <f>INDEX(Effect_Parameters!$I$2:$I$29,MATCH(A27,Effect_Parameters!$B$2:$B$29,0))</f>
        <v>1.08</v>
      </c>
      <c r="M27" s="90">
        <f>INDEX(Effect_Parameters!$K$2:$K$29,MATCH(A27,Effect_Parameters!$B$2:$B$29,0))</f>
        <v>0</v>
      </c>
      <c r="N27" s="65" t="str">
        <f>INDEX(Effect_Parameters!$N$2:$N$29,MATCH(A27,Effect_Parameters!$B$2:$B$29,0))</f>
        <v>immediate_after_full_implementation</v>
      </c>
      <c r="O27" s="90">
        <f>IF(K27="direct_smoking_prevalence_shift_rr",IF(OR(G27="",H27="",L27=""),"",1-(1+H27*(L27-1))/(1+G27*(L27-1))),IF(K27="direct_loglinear_rr_per_unit_reduction",IF(OR(L27="",I27=""),"",1-1/(L27^I27)),IF(K27="tfa_attributable_ihd_PAF_x_policy_score",IF(OR(M27="",Policy_Levers!$K$12=""),"",M27*Policy_Levers!$K$12),"")))</f>
        <v>1.538036829905276E-3</v>
      </c>
      <c r="P27" s="65" t="s">
        <v>245</v>
      </c>
      <c r="Q27" s="65" t="s">
        <v>211</v>
      </c>
      <c r="R27" s="97">
        <f>SUMIFS(Cost_Components!$S$2:$S$8,Cost_Components!$G$2:$G$8,P27,Cost_Components!$D$2:$D$8,1)</f>
        <v>4.0000000000000001E-3</v>
      </c>
      <c r="S27" s="65" t="str">
        <f t="shared" si="2"/>
        <v>REVIEWED LINK</v>
      </c>
    </row>
    <row r="28" spans="1:19" ht="27.6">
      <c r="A28" s="66" t="s">
        <v>250</v>
      </c>
      <c r="B28" s="66" t="s">
        <v>186</v>
      </c>
      <c r="C28" s="66" t="s">
        <v>173</v>
      </c>
      <c r="D28" s="66" t="s">
        <v>177</v>
      </c>
      <c r="E28" s="66" t="s">
        <v>212</v>
      </c>
      <c r="F28" s="66" t="s">
        <v>213</v>
      </c>
      <c r="G28" s="93">
        <f>SUMIF(Exposure_Targets!$B$2:$B$8,INDEX(Intervention_Cause_Map!$B$2:$B$29,MATCH(A28,Intervention_Cause_Map!$A$2:$A$29,0)),Exposure_Targets!$G$2:$G$8)</f>
        <v>0.1142857142857143</v>
      </c>
      <c r="H28" s="93">
        <f>SUMIF(Exposure_Targets!$B$2:$B$8,INDEX(Intervention_Cause_Map!$B$2:$B$29,MATCH(A28,Intervention_Cause_Map!$A$2:$A$29,0)),Exposure_Targets!$M$2:$M$8)</f>
        <v>9.4285714285714292E-2</v>
      </c>
      <c r="I28" s="93">
        <f t="shared" si="0"/>
        <v>2.0000000000000004E-2</v>
      </c>
      <c r="J28" s="91">
        <f t="shared" si="1"/>
        <v>0.17500000000000002</v>
      </c>
      <c r="K28" s="66" t="str">
        <f>INDEX(Effect_Parameters!$F$2:$F$29,MATCH(A28,Effect_Parameters!$B$2:$B$29,0))</f>
        <v>direct_loglinear_rr_per_unit_reduction</v>
      </c>
      <c r="L28" s="80">
        <f>INDEX(Effect_Parameters!$I$2:$I$29,MATCH(A28,Effect_Parameters!$B$2:$B$29,0))</f>
        <v>1.1000000000000001</v>
      </c>
      <c r="M28" s="91">
        <f>INDEX(Effect_Parameters!$K$2:$K$29,MATCH(A28,Effect_Parameters!$B$2:$B$29,0))</f>
        <v>0</v>
      </c>
      <c r="N28" s="66" t="str">
        <f>INDEX(Effect_Parameters!$N$2:$N$29,MATCH(A28,Effect_Parameters!$B$2:$B$29,0))</f>
        <v>immediate_after_full_implementation</v>
      </c>
      <c r="O28" s="91">
        <f>IF(K28="direct_smoking_prevalence_shift_rr",IF(OR(G28="",H28="",L28=""),"",1-(1+H28*(L28-1))/(1+G28*(L28-1))),IF(K28="direct_loglinear_rr_per_unit_reduction",IF(OR(L28="",I28=""),"",1-1/(L28^I28)),IF(K28="tfa_attributable_ihd_PAF_x_policy_score",IF(OR(M28="",Policy_Levers!$K$12=""),"",M28*Policy_Levers!$K$12),"")))</f>
        <v>1.9043879438626066E-3</v>
      </c>
      <c r="P28" s="66" t="s">
        <v>245</v>
      </c>
      <c r="Q28" s="66" t="s">
        <v>211</v>
      </c>
      <c r="R28" s="98">
        <f>SUMIFS(Cost_Components!$S$2:$S$8,Cost_Components!$G$2:$G$8,P28,Cost_Components!$D$2:$D$8,1)</f>
        <v>4.0000000000000001E-3</v>
      </c>
      <c r="S28" s="66" t="str">
        <f t="shared" si="2"/>
        <v>REVIEWED LINK</v>
      </c>
    </row>
    <row r="29" spans="1:19" ht="27.6">
      <c r="A29" s="65" t="s">
        <v>252</v>
      </c>
      <c r="B29" s="65" t="s">
        <v>186</v>
      </c>
      <c r="C29" s="65" t="s">
        <v>173</v>
      </c>
      <c r="D29" s="65" t="s">
        <v>189</v>
      </c>
      <c r="E29" s="65" t="s">
        <v>212</v>
      </c>
      <c r="F29" s="65" t="s">
        <v>213</v>
      </c>
      <c r="G29" s="92">
        <f>SUMIF(Exposure_Targets!$B$2:$B$8,INDEX(Intervention_Cause_Map!$B$2:$B$29,MATCH(A29,Intervention_Cause_Map!$A$2:$A$29,0)),Exposure_Targets!$G$2:$G$8)</f>
        <v>0.1142857142857143</v>
      </c>
      <c r="H29" s="92">
        <f>SUMIF(Exposure_Targets!$B$2:$B$8,INDEX(Intervention_Cause_Map!$B$2:$B$29,MATCH(A29,Intervention_Cause_Map!$A$2:$A$29,0)),Exposure_Targets!$M$2:$M$8)</f>
        <v>9.4285714285714292E-2</v>
      </c>
      <c r="I29" s="92">
        <f t="shared" si="0"/>
        <v>2.0000000000000004E-2</v>
      </c>
      <c r="J29" s="90">
        <f t="shared" si="1"/>
        <v>0.17500000000000002</v>
      </c>
      <c r="K29" s="65" t="str">
        <f>INDEX(Effect_Parameters!$F$2:$F$29,MATCH(A29,Effect_Parameters!$B$2:$B$29,0))</f>
        <v>direct_loglinear_rr_per_unit_reduction</v>
      </c>
      <c r="L29" s="81">
        <f>INDEX(Effect_Parameters!$I$2:$I$29,MATCH(A29,Effect_Parameters!$B$2:$B$29,0))</f>
        <v>1.18</v>
      </c>
      <c r="M29" s="90">
        <f>INDEX(Effect_Parameters!$K$2:$K$29,MATCH(A29,Effect_Parameters!$B$2:$B$29,0))</f>
        <v>0</v>
      </c>
      <c r="N29" s="65" t="str">
        <f>INDEX(Effect_Parameters!$N$2:$N$29,MATCH(A29,Effect_Parameters!$B$2:$B$29,0))</f>
        <v>immediate_after_full_implementation</v>
      </c>
      <c r="O29" s="90">
        <f>IF(K29="direct_smoking_prevalence_shift_rr",IF(OR(G29="",H29="",L29=""),"",1-(1+H29*(L29-1))/(1+G29*(L29-1))),IF(K29="direct_loglinear_rr_per_unit_reduction",IF(OR(L29="",I29=""),"",1-1/(L29^I29)),IF(K29="tfa_attributable_ihd_PAF_x_policy_score",IF(OR(M29="",Policy_Levers!$K$12=""),"",M29*Policy_Levers!$K$12),"")))</f>
        <v>3.3048158043799125E-3</v>
      </c>
      <c r="P29" s="65" t="s">
        <v>245</v>
      </c>
      <c r="Q29" s="65" t="s">
        <v>211</v>
      </c>
      <c r="R29" s="97">
        <f>SUMIFS(Cost_Components!$S$2:$S$8,Cost_Components!$G$2:$G$8,P29,Cost_Components!$D$2:$D$8,1)</f>
        <v>4.0000000000000001E-3</v>
      </c>
      <c r="S29" s="65" t="str">
        <f t="shared" si="2"/>
        <v>REVIEWED LINK</v>
      </c>
    </row>
  </sheetData>
  <conditionalFormatting sqref="S2:S10">
    <cfRule type="containsText" dxfId="22" priority="1" operator="containsText" text="OK"/>
    <cfRule type="containsText" dxfId="21" priority="4" operator="containsText" text="FAIL"/>
    <cfRule type="containsText" dxfId="20" priority="7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8"/>
  <sheetViews>
    <sheetView showGridLines="0" tabSelected="1" workbookViewId="0">
      <selection activeCell="G27" sqref="G27"/>
    </sheetView>
  </sheetViews>
  <sheetFormatPr defaultRowHeight="13.8"/>
  <cols>
    <col min="1" max="1" width="24" customWidth="1"/>
    <col min="2" max="2" width="28" customWidth="1"/>
    <col min="3" max="3" width="16" customWidth="1"/>
    <col min="4" max="4" width="22" customWidth="1"/>
    <col min="5" max="5" width="26" customWidth="1"/>
    <col min="6" max="6" width="14" customWidth="1"/>
    <col min="7" max="7" width="32" customWidth="1"/>
    <col min="8" max="8" width="28" customWidth="1"/>
    <col min="9" max="9" width="26" customWidth="1"/>
    <col min="10" max="10" width="46" customWidth="1"/>
    <col min="11" max="11" width="26" customWidth="1"/>
    <col min="12" max="13" width="24" customWidth="1"/>
    <col min="14" max="14" width="18" customWidth="1"/>
    <col min="15" max="16" width="12" customWidth="1"/>
    <col min="17" max="17" width="10" customWidth="1"/>
    <col min="18" max="19" width="18" customWidth="1"/>
    <col min="20" max="20" width="14" customWidth="1"/>
    <col min="21" max="21" width="22" customWidth="1"/>
    <col min="22" max="22" width="18" customWidth="1"/>
    <col min="23" max="23" width="32" customWidth="1"/>
    <col min="24" max="24" width="16" customWidth="1"/>
    <col min="25" max="25" width="18" customWidth="1"/>
    <col min="26" max="26" width="60" customWidth="1"/>
    <col min="27" max="28" width="18" customWidth="1"/>
    <col min="29" max="29" width="24" customWidth="1"/>
  </cols>
  <sheetData>
    <row r="1" spans="1:29" ht="36" customHeight="1">
      <c r="A1" s="2" t="s">
        <v>542</v>
      </c>
      <c r="B1" s="3" t="s">
        <v>543</v>
      </c>
      <c r="C1" s="3" t="s">
        <v>544</v>
      </c>
      <c r="D1" s="3" t="s">
        <v>444</v>
      </c>
      <c r="E1" s="3" t="s">
        <v>117</v>
      </c>
      <c r="F1" s="3" t="s">
        <v>125</v>
      </c>
      <c r="G1" s="3" t="s">
        <v>201</v>
      </c>
      <c r="H1" s="3" t="s">
        <v>118</v>
      </c>
      <c r="I1" s="3" t="s">
        <v>126</v>
      </c>
      <c r="J1" s="3" t="s">
        <v>545</v>
      </c>
      <c r="K1" s="3" t="s">
        <v>546</v>
      </c>
      <c r="L1" s="3" t="s">
        <v>547</v>
      </c>
      <c r="M1" s="3" t="s">
        <v>548</v>
      </c>
      <c r="N1" s="3" t="s">
        <v>549</v>
      </c>
      <c r="O1" s="3" t="s">
        <v>435</v>
      </c>
      <c r="P1" s="3" t="s">
        <v>436</v>
      </c>
      <c r="Q1" s="3" t="s">
        <v>437</v>
      </c>
      <c r="R1" s="3" t="s">
        <v>550</v>
      </c>
      <c r="S1" s="3" t="s">
        <v>551</v>
      </c>
      <c r="T1" s="3" t="s">
        <v>552</v>
      </c>
      <c r="U1" s="3" t="s">
        <v>553</v>
      </c>
      <c r="V1" s="3" t="s">
        <v>554</v>
      </c>
      <c r="W1" s="3" t="s">
        <v>351</v>
      </c>
      <c r="X1" s="3" t="s">
        <v>555</v>
      </c>
      <c r="Y1" s="3" t="s">
        <v>262</v>
      </c>
      <c r="Z1" s="3" t="s">
        <v>207</v>
      </c>
      <c r="AA1" s="3" t="s">
        <v>353</v>
      </c>
      <c r="AB1" s="3" t="s">
        <v>556</v>
      </c>
      <c r="AC1" s="4" t="s">
        <v>263</v>
      </c>
    </row>
    <row r="2" spans="1:29">
      <c r="A2" s="5" t="s">
        <v>557</v>
      </c>
      <c r="B2" s="5" t="s">
        <v>558</v>
      </c>
      <c r="C2" s="5" t="s">
        <v>559</v>
      </c>
      <c r="D2" s="8">
        <v>1</v>
      </c>
      <c r="E2" s="5" t="s">
        <v>130</v>
      </c>
      <c r="F2" s="5" t="s">
        <v>194</v>
      </c>
      <c r="G2" s="5" t="s">
        <v>210</v>
      </c>
      <c r="H2" s="5" t="s">
        <v>131</v>
      </c>
      <c r="I2" s="5" t="s">
        <v>195</v>
      </c>
      <c r="J2" s="5" t="s">
        <v>560</v>
      </c>
      <c r="K2" s="5" t="s">
        <v>561</v>
      </c>
      <c r="L2" s="28">
        <v>1</v>
      </c>
      <c r="M2" s="5" t="s">
        <v>562</v>
      </c>
      <c r="N2" s="8">
        <v>1</v>
      </c>
      <c r="O2" s="5">
        <v>0</v>
      </c>
      <c r="P2" s="5">
        <v>95</v>
      </c>
      <c r="Q2" s="5" t="s">
        <v>447</v>
      </c>
      <c r="R2" s="5" t="s">
        <v>563</v>
      </c>
      <c r="S2" s="42">
        <v>4.0000000000000001E-3</v>
      </c>
      <c r="T2" s="8">
        <v>2017</v>
      </c>
      <c r="U2" s="5">
        <v>0</v>
      </c>
      <c r="V2" s="5" t="s">
        <v>564</v>
      </c>
      <c r="W2" s="5" t="s">
        <v>65</v>
      </c>
      <c r="X2" s="5" t="s">
        <v>565</v>
      </c>
      <c r="Y2" s="5" t="s">
        <v>26</v>
      </c>
      <c r="Z2" s="5" t="s">
        <v>566</v>
      </c>
      <c r="AA2" s="25">
        <f>COUNTIF(Intervention_Cause_Map!$J$2:$J$24,G2)</f>
        <v>4</v>
      </c>
      <c r="AB2" s="25">
        <f t="shared" ref="AB2:AB7" si="0">SUMIF($B$2:$B$7,B2,$D$2:$D$7)</f>
        <v>1</v>
      </c>
      <c r="AC2" s="25" t="str">
        <f t="shared" ref="AC2:AC7" si="1">IF(AA2&lt;1,"BAD KEY",IF(S2="","MISSING COST",IF(U2=0,"REVIEW ADJUSTMENT",IF(AB2&lt;&gt;1,"CHECK SELECTION","OK"))))</f>
        <v>REVIEW ADJUSTMENT</v>
      </c>
    </row>
    <row r="3" spans="1:29">
      <c r="A3" s="6" t="s">
        <v>567</v>
      </c>
      <c r="B3" s="6" t="s">
        <v>568</v>
      </c>
      <c r="C3" s="6" t="s">
        <v>559</v>
      </c>
      <c r="D3" s="9">
        <v>1</v>
      </c>
      <c r="E3" s="6" t="s">
        <v>140</v>
      </c>
      <c r="F3" s="6" t="s">
        <v>194</v>
      </c>
      <c r="G3" s="6" t="s">
        <v>219</v>
      </c>
      <c r="H3" s="6" t="s">
        <v>141</v>
      </c>
      <c r="I3" s="6" t="s">
        <v>195</v>
      </c>
      <c r="J3" s="6" t="s">
        <v>560</v>
      </c>
      <c r="K3" s="6" t="s">
        <v>561</v>
      </c>
      <c r="L3" s="11">
        <v>1</v>
      </c>
      <c r="M3" s="6" t="s">
        <v>562</v>
      </c>
      <c r="N3" s="9">
        <v>1</v>
      </c>
      <c r="O3" s="6">
        <v>0</v>
      </c>
      <c r="P3" s="6">
        <v>95</v>
      </c>
      <c r="Q3" s="6" t="s">
        <v>447</v>
      </c>
      <c r="R3" s="6" t="s">
        <v>563</v>
      </c>
      <c r="S3" s="43">
        <v>4.0000000000000001E-3</v>
      </c>
      <c r="T3" s="9">
        <v>2017</v>
      </c>
      <c r="U3" s="6">
        <v>0</v>
      </c>
      <c r="V3" s="6" t="s">
        <v>564</v>
      </c>
      <c r="W3" s="6" t="s">
        <v>65</v>
      </c>
      <c r="X3" s="6" t="s">
        <v>569</v>
      </c>
      <c r="Y3" s="6" t="s">
        <v>26</v>
      </c>
      <c r="Z3" s="6" t="s">
        <v>566</v>
      </c>
      <c r="AA3" s="26">
        <f>COUNTIF(Intervention_Cause_Map!$J$2:$J$24,G3)</f>
        <v>5</v>
      </c>
      <c r="AB3" s="26">
        <f t="shared" si="0"/>
        <v>1</v>
      </c>
      <c r="AC3" s="26" t="str">
        <f t="shared" si="1"/>
        <v>REVIEW ADJUSTMENT</v>
      </c>
    </row>
    <row r="4" spans="1:29">
      <c r="A4" s="6" t="s">
        <v>570</v>
      </c>
      <c r="B4" s="6" t="s">
        <v>571</v>
      </c>
      <c r="C4" s="6" t="s">
        <v>559</v>
      </c>
      <c r="D4" s="9">
        <v>1</v>
      </c>
      <c r="E4" s="6" t="s">
        <v>151</v>
      </c>
      <c r="F4" s="6" t="s">
        <v>194</v>
      </c>
      <c r="G4" s="6" t="s">
        <v>226</v>
      </c>
      <c r="H4" s="6" t="s">
        <v>152</v>
      </c>
      <c r="I4" s="6" t="s">
        <v>195</v>
      </c>
      <c r="J4" s="6" t="s">
        <v>560</v>
      </c>
      <c r="K4" s="6" t="s">
        <v>561</v>
      </c>
      <c r="L4" s="11">
        <v>1</v>
      </c>
      <c r="M4" s="6" t="s">
        <v>562</v>
      </c>
      <c r="N4" s="9">
        <v>1</v>
      </c>
      <c r="O4" s="6">
        <v>0</v>
      </c>
      <c r="P4" s="6">
        <v>95</v>
      </c>
      <c r="Q4" s="6" t="s">
        <v>447</v>
      </c>
      <c r="R4" s="6" t="s">
        <v>563</v>
      </c>
      <c r="S4" s="43">
        <v>2.3099999999999999E-2</v>
      </c>
      <c r="T4" s="9">
        <v>2017</v>
      </c>
      <c r="U4" s="6">
        <v>0</v>
      </c>
      <c r="V4" s="6" t="s">
        <v>564</v>
      </c>
      <c r="W4" s="6" t="s">
        <v>65</v>
      </c>
      <c r="X4" s="6" t="s">
        <v>572</v>
      </c>
      <c r="Y4" s="6" t="s">
        <v>26</v>
      </c>
      <c r="Z4" s="6" t="s">
        <v>566</v>
      </c>
      <c r="AA4" s="26">
        <f>COUNTIF(Intervention_Cause_Map!$J$2:$J$24,G4)</f>
        <v>4</v>
      </c>
      <c r="AB4" s="26">
        <f t="shared" si="0"/>
        <v>1</v>
      </c>
      <c r="AC4" s="26" t="str">
        <f t="shared" si="1"/>
        <v>REVIEW ADJUSTMENT</v>
      </c>
    </row>
    <row r="5" spans="1:29">
      <c r="A5" s="6" t="s">
        <v>573</v>
      </c>
      <c r="B5" s="6" t="s">
        <v>574</v>
      </c>
      <c r="C5" s="6" t="s">
        <v>559</v>
      </c>
      <c r="D5" s="9">
        <v>1</v>
      </c>
      <c r="E5" s="6" t="s">
        <v>159</v>
      </c>
      <c r="F5" s="6" t="s">
        <v>194</v>
      </c>
      <c r="G5" s="6" t="s">
        <v>231</v>
      </c>
      <c r="H5" s="6" t="s">
        <v>160</v>
      </c>
      <c r="I5" s="6" t="s">
        <v>195</v>
      </c>
      <c r="J5" s="6" t="s">
        <v>560</v>
      </c>
      <c r="K5" s="6" t="s">
        <v>561</v>
      </c>
      <c r="L5" s="11">
        <v>1</v>
      </c>
      <c r="M5" s="6" t="s">
        <v>562</v>
      </c>
      <c r="N5" s="9">
        <v>1</v>
      </c>
      <c r="O5" s="6">
        <v>0</v>
      </c>
      <c r="P5" s="6">
        <v>95</v>
      </c>
      <c r="Q5" s="6" t="s">
        <v>447</v>
      </c>
      <c r="R5" s="6" t="s">
        <v>563</v>
      </c>
      <c r="S5" s="43">
        <v>5.5999999999999999E-3</v>
      </c>
      <c r="T5" s="9">
        <v>2017</v>
      </c>
      <c r="U5" s="6">
        <v>0</v>
      </c>
      <c r="V5" s="6" t="s">
        <v>564</v>
      </c>
      <c r="W5" s="6" t="s">
        <v>65</v>
      </c>
      <c r="X5" s="6" t="s">
        <v>575</v>
      </c>
      <c r="Y5" s="6" t="s">
        <v>26</v>
      </c>
      <c r="Z5" s="6" t="s">
        <v>566</v>
      </c>
      <c r="AA5" s="26">
        <f>COUNTIF(Intervention_Cause_Map!$J$2:$J$24,G5)</f>
        <v>5</v>
      </c>
      <c r="AB5" s="26">
        <f t="shared" si="0"/>
        <v>1</v>
      </c>
      <c r="AC5" s="26" t="str">
        <f t="shared" si="1"/>
        <v>REVIEW ADJUSTMENT</v>
      </c>
    </row>
    <row r="6" spans="1:29">
      <c r="A6" s="6" t="s">
        <v>576</v>
      </c>
      <c r="B6" s="6" t="s">
        <v>577</v>
      </c>
      <c r="C6" s="6" t="s">
        <v>559</v>
      </c>
      <c r="D6" s="9">
        <v>1</v>
      </c>
      <c r="E6" s="6" t="s">
        <v>168</v>
      </c>
      <c r="F6" s="6" t="s">
        <v>194</v>
      </c>
      <c r="G6" s="6" t="s">
        <v>237</v>
      </c>
      <c r="H6" s="6" t="s">
        <v>169</v>
      </c>
      <c r="I6" s="6" t="s">
        <v>195</v>
      </c>
      <c r="J6" s="6" t="s">
        <v>560</v>
      </c>
      <c r="K6" s="6" t="s">
        <v>561</v>
      </c>
      <c r="L6" s="11">
        <v>1</v>
      </c>
      <c r="M6" s="6" t="s">
        <v>562</v>
      </c>
      <c r="N6" s="9">
        <v>1</v>
      </c>
      <c r="O6" s="6">
        <v>0</v>
      </c>
      <c r="P6" s="6">
        <v>95</v>
      </c>
      <c r="Q6" s="6" t="s">
        <v>447</v>
      </c>
      <c r="R6" s="6" t="s">
        <v>563</v>
      </c>
      <c r="S6" s="43">
        <v>3.5099999999999999E-2</v>
      </c>
      <c r="T6" s="9">
        <v>2017</v>
      </c>
      <c r="U6" s="6">
        <v>0</v>
      </c>
      <c r="V6" s="6" t="s">
        <v>564</v>
      </c>
      <c r="W6" s="6" t="s">
        <v>65</v>
      </c>
      <c r="X6" s="6" t="s">
        <v>578</v>
      </c>
      <c r="Y6" s="6" t="s">
        <v>26</v>
      </c>
      <c r="Z6" s="6" t="s">
        <v>566</v>
      </c>
      <c r="AA6" s="26">
        <f>COUNTIF(Intervention_Cause_Map!$J$2:$J$24,G6)</f>
        <v>4</v>
      </c>
      <c r="AB6" s="26">
        <f t="shared" si="0"/>
        <v>1</v>
      </c>
      <c r="AC6" s="26" t="str">
        <f t="shared" si="1"/>
        <v>REVIEW ADJUSTMENT</v>
      </c>
    </row>
    <row r="7" spans="1:29">
      <c r="A7" s="7" t="s">
        <v>579</v>
      </c>
      <c r="B7" s="7" t="s">
        <v>580</v>
      </c>
      <c r="C7" s="7" t="s">
        <v>559</v>
      </c>
      <c r="D7" s="10">
        <v>1</v>
      </c>
      <c r="E7" s="7" t="s">
        <v>179</v>
      </c>
      <c r="F7" s="7" t="s">
        <v>194</v>
      </c>
      <c r="G7" s="7" t="s">
        <v>243</v>
      </c>
      <c r="H7" s="7" t="s">
        <v>180</v>
      </c>
      <c r="I7" s="7" t="s">
        <v>195</v>
      </c>
      <c r="J7" s="7" t="s">
        <v>560</v>
      </c>
      <c r="K7" s="7" t="s">
        <v>561</v>
      </c>
      <c r="L7" s="38">
        <v>1</v>
      </c>
      <c r="M7" s="7" t="s">
        <v>562</v>
      </c>
      <c r="N7" s="10">
        <v>1</v>
      </c>
      <c r="O7" s="7">
        <v>0</v>
      </c>
      <c r="P7" s="7">
        <v>95</v>
      </c>
      <c r="Q7" s="7" t="s">
        <v>447</v>
      </c>
      <c r="R7" s="7" t="s">
        <v>563</v>
      </c>
      <c r="S7" s="44">
        <v>8.6999999999999994E-3</v>
      </c>
      <c r="T7" s="10">
        <v>2017</v>
      </c>
      <c r="U7" s="7">
        <v>0</v>
      </c>
      <c r="V7" s="7" t="s">
        <v>564</v>
      </c>
      <c r="W7" s="7" t="s">
        <v>65</v>
      </c>
      <c r="X7" s="7" t="s">
        <v>581</v>
      </c>
      <c r="Y7" s="7" t="s">
        <v>26</v>
      </c>
      <c r="Z7" s="7" t="s">
        <v>566</v>
      </c>
      <c r="AA7" s="27">
        <f>COUNTIF(Intervention_Cause_Map!$J$2:$J$24,G7)</f>
        <v>1</v>
      </c>
      <c r="AB7" s="27">
        <f t="shared" si="0"/>
        <v>1</v>
      </c>
      <c r="AC7" s="27" t="str">
        <f t="shared" si="1"/>
        <v>REVIEW ADJUSTMENT</v>
      </c>
    </row>
    <row r="8" spans="1:29" ht="34.200000000000003">
      <c r="A8" s="6" t="s">
        <v>582</v>
      </c>
      <c r="B8" s="6" t="s">
        <v>583</v>
      </c>
      <c r="C8" s="6" t="s">
        <v>559</v>
      </c>
      <c r="D8" s="9">
        <v>1</v>
      </c>
      <c r="E8" s="6" t="s">
        <v>185</v>
      </c>
      <c r="F8" s="6" t="s">
        <v>194</v>
      </c>
      <c r="G8" s="6" t="s">
        <v>245</v>
      </c>
      <c r="H8" s="6" t="s">
        <v>186</v>
      </c>
      <c r="I8" s="6" t="s">
        <v>195</v>
      </c>
      <c r="J8" s="6" t="s">
        <v>560</v>
      </c>
      <c r="K8" s="6" t="s">
        <v>561</v>
      </c>
      <c r="L8" s="11">
        <v>1</v>
      </c>
      <c r="M8" s="6" t="s">
        <v>562</v>
      </c>
      <c r="N8" s="9">
        <v>1</v>
      </c>
      <c r="O8" s="6">
        <v>0</v>
      </c>
      <c r="P8" s="6">
        <v>95</v>
      </c>
      <c r="Q8" s="6" t="s">
        <v>447</v>
      </c>
      <c r="R8" s="6" t="s">
        <v>563</v>
      </c>
      <c r="S8" s="43">
        <v>4.0000000000000001E-3</v>
      </c>
      <c r="T8" s="9">
        <v>2017</v>
      </c>
      <c r="U8" s="6">
        <v>0</v>
      </c>
      <c r="V8" s="6" t="s">
        <v>584</v>
      </c>
      <c r="W8" s="6" t="s">
        <v>585</v>
      </c>
      <c r="X8" s="6" t="s">
        <v>586</v>
      </c>
      <c r="Y8" s="6" t="s">
        <v>26</v>
      </c>
      <c r="Z8" s="6" t="s">
        <v>587</v>
      </c>
      <c r="AA8" s="26">
        <f>COUNTIF(Intervention_Cause_Map!$J$2:$J$29,G8)</f>
        <v>5</v>
      </c>
      <c r="AB8" s="26">
        <f>COUNTIFS($G$2:$G$8,G8,$D$2:$D$8,1)</f>
        <v>1</v>
      </c>
      <c r="AC8" s="26" t="str">
        <f>IF(AA8&lt;1,"NO MAP",IF(AB8&lt;&gt;1,"SELECTION ERROR",IF(OR(S8&lt;=0,U8&lt;&gt;1),"REVIEW ADJUSTMENT","OK")))</f>
        <v>REVIEW ADJUSTMENT</v>
      </c>
    </row>
  </sheetData>
  <conditionalFormatting sqref="Y2:Y8">
    <cfRule type="containsText" dxfId="17" priority="1" operator="containsText" text="OK"/>
    <cfRule type="containsText" dxfId="16" priority="4" operator="containsText" text="FAIL"/>
    <cfRule type="containsText" dxfId="15" priority="7" operator="containsText" text="REVIEW"/>
  </conditionalFormatting>
  <conditionalFormatting sqref="AC2:AC8">
    <cfRule type="containsText" dxfId="14" priority="8" operator="containsText" text="OK"/>
    <cfRule type="containsText" dxfId="13" priority="11" operator="containsText" text="FAIL"/>
    <cfRule type="containsText" dxfId="12" priority="14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showGridLines="0" workbookViewId="0"/>
  </sheetViews>
  <sheetFormatPr defaultRowHeight="13.8"/>
  <cols>
    <col min="1" max="1" width="30" customWidth="1"/>
    <col min="2" max="2" width="28" customWidth="1"/>
    <col min="3" max="3" width="70" customWidth="1"/>
    <col min="4" max="4" width="34" customWidth="1"/>
    <col min="5" max="5" width="28" customWidth="1"/>
    <col min="6" max="6" width="70" customWidth="1"/>
  </cols>
  <sheetData>
    <row r="1" spans="1:6" ht="15" customHeight="1">
      <c r="A1" s="52" t="s">
        <v>590</v>
      </c>
      <c r="B1" s="53" t="s">
        <v>591</v>
      </c>
      <c r="C1" s="53" t="s">
        <v>592</v>
      </c>
      <c r="D1" s="53" t="s">
        <v>593</v>
      </c>
      <c r="E1" s="53" t="s">
        <v>594</v>
      </c>
      <c r="F1" s="54" t="s">
        <v>595</v>
      </c>
    </row>
    <row r="2" spans="1:6" ht="15" customHeight="1">
      <c r="A2" s="99" t="s">
        <v>596</v>
      </c>
      <c r="B2" s="99" t="s">
        <v>597</v>
      </c>
      <c r="C2" s="99" t="s">
        <v>598</v>
      </c>
      <c r="D2" s="99" t="s">
        <v>599</v>
      </c>
      <c r="E2" s="99" t="s">
        <v>117</v>
      </c>
      <c r="F2" s="99" t="s">
        <v>600</v>
      </c>
    </row>
    <row r="3" spans="1:6" ht="15" customHeight="1">
      <c r="A3" s="100" t="s">
        <v>601</v>
      </c>
      <c r="B3" s="100" t="s">
        <v>602</v>
      </c>
      <c r="C3" s="100" t="s">
        <v>603</v>
      </c>
      <c r="D3" s="100" t="s">
        <v>599</v>
      </c>
      <c r="E3" s="100" t="s">
        <v>117</v>
      </c>
      <c r="F3" s="100" t="s">
        <v>604</v>
      </c>
    </row>
    <row r="4" spans="1:6" ht="15" customHeight="1">
      <c r="A4" s="101" t="s">
        <v>605</v>
      </c>
      <c r="B4" s="101" t="s">
        <v>606</v>
      </c>
      <c r="C4" s="101" t="s">
        <v>607</v>
      </c>
      <c r="D4" s="101" t="s">
        <v>599</v>
      </c>
      <c r="E4" s="101" t="s">
        <v>117</v>
      </c>
      <c r="F4" s="101" t="s">
        <v>608</v>
      </c>
    </row>
    <row r="5" spans="1:6" ht="15" customHeight="1">
      <c r="A5" s="100" t="s">
        <v>609</v>
      </c>
      <c r="B5" s="100" t="s">
        <v>610</v>
      </c>
      <c r="C5" s="100" t="s">
        <v>611</v>
      </c>
      <c r="D5" s="100" t="s">
        <v>612</v>
      </c>
      <c r="E5" s="100" t="s">
        <v>613</v>
      </c>
      <c r="F5" s="100" t="s">
        <v>614</v>
      </c>
    </row>
    <row r="6" spans="1:6" ht="15" customHeight="1">
      <c r="A6" s="101" t="s">
        <v>615</v>
      </c>
      <c r="B6" s="101" t="s">
        <v>141</v>
      </c>
      <c r="C6" s="101" t="s">
        <v>616</v>
      </c>
      <c r="D6" s="101" t="s">
        <v>617</v>
      </c>
      <c r="E6" s="101" t="s">
        <v>253</v>
      </c>
      <c r="F6" s="101" t="s">
        <v>618</v>
      </c>
    </row>
    <row r="7" spans="1:6" ht="15" customHeight="1">
      <c r="A7" s="100" t="s">
        <v>619</v>
      </c>
      <c r="B7" s="100" t="s">
        <v>131</v>
      </c>
      <c r="C7" s="100" t="s">
        <v>620</v>
      </c>
      <c r="D7" s="100" t="s">
        <v>617</v>
      </c>
      <c r="E7" s="100" t="s">
        <v>253</v>
      </c>
      <c r="F7" s="100" t="s">
        <v>621</v>
      </c>
    </row>
    <row r="8" spans="1:6" ht="15" customHeight="1">
      <c r="A8" s="101" t="s">
        <v>622</v>
      </c>
      <c r="B8" s="101" t="s">
        <v>623</v>
      </c>
      <c r="C8" s="101" t="s">
        <v>624</v>
      </c>
      <c r="D8" s="101" t="s">
        <v>617</v>
      </c>
      <c r="E8" s="101" t="s">
        <v>117</v>
      </c>
      <c r="F8" s="101" t="s">
        <v>625</v>
      </c>
    </row>
    <row r="9" spans="1:6" ht="15" customHeight="1">
      <c r="A9" s="100" t="s">
        <v>626</v>
      </c>
      <c r="B9" s="100" t="s">
        <v>627</v>
      </c>
      <c r="C9" s="100" t="s">
        <v>628</v>
      </c>
      <c r="D9" s="100" t="s">
        <v>629</v>
      </c>
      <c r="E9" s="100" t="s">
        <v>198</v>
      </c>
      <c r="F9" s="100" t="s">
        <v>630</v>
      </c>
    </row>
    <row r="10" spans="1:6" ht="15" customHeight="1">
      <c r="A10" s="101" t="s">
        <v>631</v>
      </c>
      <c r="B10" s="101" t="s">
        <v>632</v>
      </c>
      <c r="C10" s="101" t="s">
        <v>633</v>
      </c>
      <c r="D10" s="101" t="s">
        <v>629</v>
      </c>
      <c r="E10" s="101" t="s">
        <v>198</v>
      </c>
      <c r="F10" s="101" t="s">
        <v>634</v>
      </c>
    </row>
    <row r="11" spans="1:6" ht="15" customHeight="1">
      <c r="A11" s="100" t="s">
        <v>635</v>
      </c>
      <c r="B11" s="100" t="s">
        <v>636</v>
      </c>
      <c r="C11" s="100" t="s">
        <v>637</v>
      </c>
      <c r="D11" s="100" t="s">
        <v>638</v>
      </c>
      <c r="E11" s="100" t="s">
        <v>639</v>
      </c>
      <c r="F11" s="100" t="s">
        <v>640</v>
      </c>
    </row>
    <row r="12" spans="1:6" ht="15" customHeight="1">
      <c r="A12" s="101" t="s">
        <v>641</v>
      </c>
      <c r="B12" s="101" t="s">
        <v>642</v>
      </c>
      <c r="C12" s="101" t="s">
        <v>643</v>
      </c>
      <c r="D12" s="101" t="s">
        <v>629</v>
      </c>
      <c r="E12" s="101" t="s">
        <v>198</v>
      </c>
      <c r="F12" s="101" t="s">
        <v>644</v>
      </c>
    </row>
    <row r="13" spans="1:6" ht="15" customHeight="1">
      <c r="A13" s="100" t="s">
        <v>645</v>
      </c>
      <c r="B13" s="100" t="s">
        <v>646</v>
      </c>
      <c r="C13" s="100" t="s">
        <v>647</v>
      </c>
      <c r="D13" s="100" t="s">
        <v>617</v>
      </c>
      <c r="E13" s="100" t="s">
        <v>117</v>
      </c>
      <c r="F13" s="100" t="s">
        <v>648</v>
      </c>
    </row>
    <row r="14" spans="1:6" ht="15" customHeight="1">
      <c r="A14" s="101" t="s">
        <v>649</v>
      </c>
      <c r="B14" s="101" t="s">
        <v>650</v>
      </c>
      <c r="C14" s="101" t="s">
        <v>651</v>
      </c>
      <c r="D14" s="101" t="s">
        <v>629</v>
      </c>
      <c r="E14" s="101" t="s">
        <v>198</v>
      </c>
      <c r="F14" s="101" t="s">
        <v>652</v>
      </c>
    </row>
    <row r="15" spans="1:6" ht="15" customHeight="1">
      <c r="A15" s="100" t="s">
        <v>653</v>
      </c>
      <c r="B15" s="100" t="s">
        <v>654</v>
      </c>
      <c r="C15" s="100" t="s">
        <v>655</v>
      </c>
      <c r="D15" s="100" t="s">
        <v>656</v>
      </c>
      <c r="E15" s="100" t="s">
        <v>201</v>
      </c>
      <c r="F15" s="100" t="s">
        <v>657</v>
      </c>
    </row>
    <row r="16" spans="1:6" ht="15" customHeight="1">
      <c r="A16" s="66" t="s">
        <v>658</v>
      </c>
      <c r="B16" s="66" t="s">
        <v>659</v>
      </c>
      <c r="C16" s="66" t="s">
        <v>660</v>
      </c>
      <c r="D16" s="66" t="s">
        <v>661</v>
      </c>
      <c r="E16" s="66" t="s">
        <v>613</v>
      </c>
      <c r="F16" s="66" t="s">
        <v>662</v>
      </c>
    </row>
    <row r="17" spans="1:6" ht="15" customHeight="1">
      <c r="A17" s="65" t="s">
        <v>663</v>
      </c>
      <c r="B17" s="65" t="s">
        <v>664</v>
      </c>
      <c r="C17" s="65" t="s">
        <v>665</v>
      </c>
      <c r="D17" s="65" t="s">
        <v>661</v>
      </c>
      <c r="E17" s="65" t="s">
        <v>666</v>
      </c>
      <c r="F17" s="65" t="s">
        <v>667</v>
      </c>
    </row>
    <row r="18" spans="1:6" ht="15" customHeight="1">
      <c r="A18" s="45" t="s">
        <v>668</v>
      </c>
      <c r="B18" s="46" t="s">
        <v>669</v>
      </c>
      <c r="C18" s="45" t="s">
        <v>670</v>
      </c>
      <c r="D18" s="45" t="s">
        <v>671</v>
      </c>
      <c r="E18" s="45" t="s">
        <v>672</v>
      </c>
      <c r="F18" s="45" t="s">
        <v>673</v>
      </c>
    </row>
    <row r="19" spans="1:6" ht="24" customHeight="1">
      <c r="A19" s="102" t="s">
        <v>674</v>
      </c>
      <c r="B19" s="103" t="s">
        <v>675</v>
      </c>
      <c r="C19" s="102" t="s">
        <v>676</v>
      </c>
      <c r="D19" s="102" t="s">
        <v>677</v>
      </c>
      <c r="E19" s="102" t="s">
        <v>678</v>
      </c>
      <c r="F19" s="102" t="s">
        <v>679</v>
      </c>
    </row>
    <row r="20" spans="1:6" ht="36" customHeight="1">
      <c r="A20" s="104" t="s">
        <v>680</v>
      </c>
      <c r="B20" s="105">
        <v>0.1225</v>
      </c>
      <c r="C20" s="104" t="s">
        <v>681</v>
      </c>
      <c r="D20" s="104" t="s">
        <v>682</v>
      </c>
      <c r="E20" s="104" t="s">
        <v>492</v>
      </c>
      <c r="F20" s="104" t="s">
        <v>683</v>
      </c>
    </row>
    <row r="21" spans="1:6" ht="36" customHeight="1">
      <c r="A21" s="106" t="s">
        <v>684</v>
      </c>
      <c r="B21" s="107">
        <v>0.20113600000000001</v>
      </c>
      <c r="C21" s="106" t="s">
        <v>685</v>
      </c>
      <c r="D21" s="106" t="s">
        <v>686</v>
      </c>
      <c r="E21" s="106" t="s">
        <v>274</v>
      </c>
      <c r="F21" s="106" t="s">
        <v>687</v>
      </c>
    </row>
    <row r="22" spans="1:6" ht="24" customHeight="1">
      <c r="A22" s="104" t="s">
        <v>688</v>
      </c>
      <c r="B22" s="105">
        <v>6.1600000000000002E-2</v>
      </c>
      <c r="C22" s="104" t="s">
        <v>80</v>
      </c>
      <c r="D22" s="104" t="s">
        <v>689</v>
      </c>
      <c r="E22" s="104" t="s">
        <v>690</v>
      </c>
      <c r="F22" s="104" t="s">
        <v>691</v>
      </c>
    </row>
    <row r="23" spans="1:6" ht="39.6" customHeight="1">
      <c r="A23" s="49" t="s">
        <v>692</v>
      </c>
      <c r="B23" s="49" t="s">
        <v>693</v>
      </c>
      <c r="C23" s="49" t="s">
        <v>694</v>
      </c>
      <c r="D23" s="49" t="s">
        <v>695</v>
      </c>
      <c r="E23" s="49" t="s">
        <v>690</v>
      </c>
      <c r="F23" s="49" t="s">
        <v>696</v>
      </c>
    </row>
    <row r="24" spans="1:6" ht="39.6" customHeight="1">
      <c r="A24" s="50" t="s">
        <v>697</v>
      </c>
      <c r="B24" s="50" t="s">
        <v>698</v>
      </c>
      <c r="C24" s="50" t="s">
        <v>699</v>
      </c>
      <c r="D24" s="50" t="s">
        <v>700</v>
      </c>
      <c r="E24" s="50" t="s">
        <v>690</v>
      </c>
      <c r="F24" s="50" t="s">
        <v>701</v>
      </c>
    </row>
    <row r="25" spans="1:6" ht="39.6" customHeight="1">
      <c r="A25" s="49" t="s">
        <v>702</v>
      </c>
      <c r="B25" s="108">
        <v>0.36387999999999998</v>
      </c>
      <c r="C25" s="49" t="s">
        <v>290</v>
      </c>
      <c r="D25" s="49" t="s">
        <v>703</v>
      </c>
      <c r="E25" s="49" t="s">
        <v>704</v>
      </c>
      <c r="F25" s="49" t="s">
        <v>705</v>
      </c>
    </row>
    <row r="26" spans="1:6" ht="39.6" customHeight="1">
      <c r="A26" s="50" t="s">
        <v>706</v>
      </c>
      <c r="B26" s="109">
        <v>0.29699999999999999</v>
      </c>
      <c r="C26" s="50" t="s">
        <v>302</v>
      </c>
      <c r="D26" s="50" t="s">
        <v>707</v>
      </c>
      <c r="E26" s="50" t="s">
        <v>492</v>
      </c>
      <c r="F26" s="50" t="s">
        <v>708</v>
      </c>
    </row>
    <row r="27" spans="1:6" ht="26.4" customHeight="1">
      <c r="A27" s="49" t="s">
        <v>709</v>
      </c>
      <c r="B27" s="49">
        <v>3</v>
      </c>
      <c r="C27" s="49" t="s">
        <v>51</v>
      </c>
      <c r="D27" s="49" t="s">
        <v>710</v>
      </c>
      <c r="E27" s="49" t="s">
        <v>492</v>
      </c>
      <c r="F27" s="49" t="s">
        <v>711</v>
      </c>
    </row>
    <row r="28" spans="1:6" ht="48" customHeight="1">
      <c r="A28" s="114" t="s">
        <v>712</v>
      </c>
      <c r="B28" s="114">
        <v>0.2</v>
      </c>
      <c r="C28" s="114" t="s">
        <v>713</v>
      </c>
      <c r="D28" s="114" t="s">
        <v>714</v>
      </c>
      <c r="E28" s="114" t="s">
        <v>690</v>
      </c>
      <c r="F28" s="114" t="s">
        <v>715</v>
      </c>
    </row>
    <row r="29" spans="1:6" ht="48" customHeight="1">
      <c r="A29" s="114" t="s">
        <v>716</v>
      </c>
      <c r="B29" s="114">
        <v>0.17499999999999999</v>
      </c>
      <c r="C29" s="114" t="s">
        <v>717</v>
      </c>
      <c r="D29" s="114" t="s">
        <v>110</v>
      </c>
      <c r="E29" s="114" t="s">
        <v>690</v>
      </c>
      <c r="F29" s="114" t="s">
        <v>718</v>
      </c>
    </row>
    <row r="30" spans="1:6" ht="48" customHeight="1">
      <c r="A30" s="114" t="s">
        <v>719</v>
      </c>
      <c r="B30" s="114">
        <v>0.1142857142857143</v>
      </c>
      <c r="C30" s="114" t="s">
        <v>720</v>
      </c>
      <c r="D30" s="114" t="s">
        <v>417</v>
      </c>
      <c r="E30" s="114" t="s">
        <v>690</v>
      </c>
      <c r="F30" s="114" t="s">
        <v>721</v>
      </c>
    </row>
    <row r="31" spans="1:6" ht="48" customHeight="1">
      <c r="A31" s="114" t="s">
        <v>722</v>
      </c>
      <c r="B31" s="114" t="s">
        <v>723</v>
      </c>
      <c r="C31" s="114" t="s">
        <v>724</v>
      </c>
      <c r="D31" s="114" t="s">
        <v>725</v>
      </c>
      <c r="E31" s="114" t="s">
        <v>726</v>
      </c>
      <c r="F31" s="114" t="s">
        <v>727</v>
      </c>
    </row>
    <row r="32" spans="1:6" ht="48" customHeight="1">
      <c r="A32" s="114" t="s">
        <v>728</v>
      </c>
      <c r="B32" s="114" t="s">
        <v>729</v>
      </c>
      <c r="C32" s="114" t="s">
        <v>730</v>
      </c>
      <c r="D32" s="114" t="s">
        <v>417</v>
      </c>
      <c r="E32" s="114" t="s">
        <v>731</v>
      </c>
      <c r="F32" s="114" t="s">
        <v>732</v>
      </c>
    </row>
    <row r="33" spans="1:6" ht="48" customHeight="1">
      <c r="A33" s="114" t="s">
        <v>733</v>
      </c>
      <c r="B33" s="114" t="s">
        <v>734</v>
      </c>
      <c r="C33" s="114" t="s">
        <v>735</v>
      </c>
      <c r="D33" s="114" t="s">
        <v>417</v>
      </c>
      <c r="E33" s="114" t="s">
        <v>731</v>
      </c>
      <c r="F33" s="114" t="s">
        <v>736</v>
      </c>
    </row>
    <row r="34" spans="1:6" ht="48" customHeight="1">
      <c r="A34" s="114" t="s">
        <v>737</v>
      </c>
      <c r="B34" s="114" t="s">
        <v>738</v>
      </c>
      <c r="C34" s="114" t="s">
        <v>739</v>
      </c>
      <c r="D34" s="114" t="s">
        <v>114</v>
      </c>
      <c r="E34" s="114" t="s">
        <v>740</v>
      </c>
      <c r="F34" s="114" t="s">
        <v>741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showGridLines="0" workbookViewId="0"/>
  </sheetViews>
  <sheetFormatPr defaultRowHeight="13.8"/>
  <cols>
    <col min="1" max="1" width="42" customWidth="1"/>
    <col min="2" max="2" width="18" customWidth="1"/>
    <col min="3" max="3" width="72" customWidth="1"/>
    <col min="4" max="4" width="28" customWidth="1"/>
    <col min="5" max="5" width="3" customWidth="1"/>
    <col min="6" max="7" width="48" customWidth="1"/>
    <col min="8" max="8" width="62" customWidth="1"/>
    <col min="9" max="9" width="64" customWidth="1"/>
  </cols>
  <sheetData>
    <row r="1" spans="1:9" ht="15" customHeight="1">
      <c r="A1" s="51" t="s">
        <v>742</v>
      </c>
      <c r="B1" s="51" t="s">
        <v>743</v>
      </c>
      <c r="C1" s="51" t="s">
        <v>744</v>
      </c>
      <c r="D1" s="51" t="s">
        <v>745</v>
      </c>
      <c r="F1" s="51" t="s">
        <v>37</v>
      </c>
      <c r="G1" s="51" t="s">
        <v>746</v>
      </c>
      <c r="H1" s="51" t="s">
        <v>747</v>
      </c>
      <c r="I1" s="51" t="s">
        <v>207</v>
      </c>
    </row>
    <row r="2" spans="1:9" ht="15" customHeight="1">
      <c r="A2" s="55" t="s">
        <v>131</v>
      </c>
      <c r="B2" s="55" t="s">
        <v>748</v>
      </c>
      <c r="C2" s="55" t="s">
        <v>749</v>
      </c>
      <c r="D2" s="55" t="s">
        <v>750</v>
      </c>
      <c r="E2" s="24"/>
      <c r="F2" s="55" t="s">
        <v>65</v>
      </c>
      <c r="G2" s="55" t="s">
        <v>751</v>
      </c>
      <c r="H2" s="55" t="s">
        <v>752</v>
      </c>
      <c r="I2" s="55" t="s">
        <v>753</v>
      </c>
    </row>
    <row r="3" spans="1:9" ht="15" customHeight="1">
      <c r="A3" s="56" t="s">
        <v>141</v>
      </c>
      <c r="B3" s="56" t="s">
        <v>748</v>
      </c>
      <c r="C3" s="56" t="s">
        <v>754</v>
      </c>
      <c r="D3" s="56" t="s">
        <v>750</v>
      </c>
      <c r="E3" s="24"/>
      <c r="F3" s="56" t="s">
        <v>755</v>
      </c>
      <c r="G3" s="56" t="s">
        <v>756</v>
      </c>
      <c r="H3" s="56" t="s">
        <v>757</v>
      </c>
      <c r="I3" s="56" t="s">
        <v>758</v>
      </c>
    </row>
    <row r="4" spans="1:9" ht="21.6" customHeight="1">
      <c r="A4" s="55" t="s">
        <v>152</v>
      </c>
      <c r="B4" s="55" t="s">
        <v>748</v>
      </c>
      <c r="C4" s="55" t="s">
        <v>759</v>
      </c>
      <c r="D4" s="55" t="s">
        <v>750</v>
      </c>
      <c r="E4" s="24"/>
      <c r="F4" s="55" t="s">
        <v>401</v>
      </c>
      <c r="G4" s="55" t="s">
        <v>760</v>
      </c>
      <c r="H4" s="55" t="s">
        <v>761</v>
      </c>
      <c r="I4" s="55" t="s">
        <v>762</v>
      </c>
    </row>
    <row r="5" spans="1:9" ht="15" customHeight="1">
      <c r="A5" s="56" t="s">
        <v>160</v>
      </c>
      <c r="B5" s="56" t="s">
        <v>748</v>
      </c>
      <c r="C5" s="56" t="s">
        <v>763</v>
      </c>
      <c r="D5" s="56" t="s">
        <v>750</v>
      </c>
      <c r="E5" s="24"/>
      <c r="F5" s="56" t="s">
        <v>360</v>
      </c>
      <c r="G5" s="56" t="s">
        <v>764</v>
      </c>
      <c r="H5" s="56" t="s">
        <v>361</v>
      </c>
      <c r="I5" s="56" t="s">
        <v>765</v>
      </c>
    </row>
    <row r="6" spans="1:9" ht="15" customHeight="1">
      <c r="A6" s="55" t="s">
        <v>169</v>
      </c>
      <c r="B6" s="55" t="s">
        <v>748</v>
      </c>
      <c r="C6" s="55" t="s">
        <v>766</v>
      </c>
      <c r="D6" s="55" t="s">
        <v>750</v>
      </c>
      <c r="E6" s="24"/>
      <c r="F6" s="55" t="s">
        <v>369</v>
      </c>
      <c r="G6" s="55" t="s">
        <v>767</v>
      </c>
      <c r="H6" s="55" t="s">
        <v>370</v>
      </c>
      <c r="I6" s="55" t="s">
        <v>768</v>
      </c>
    </row>
    <row r="7" spans="1:9" ht="15" customHeight="1">
      <c r="A7" s="56" t="s">
        <v>180</v>
      </c>
      <c r="B7" s="56" t="s">
        <v>748</v>
      </c>
      <c r="C7" s="56" t="s">
        <v>769</v>
      </c>
      <c r="D7" s="56" t="s">
        <v>750</v>
      </c>
      <c r="E7" s="24"/>
      <c r="F7" s="56" t="s">
        <v>377</v>
      </c>
      <c r="G7" s="56" t="s">
        <v>770</v>
      </c>
      <c r="H7" s="56" t="s">
        <v>378</v>
      </c>
      <c r="I7" s="56" t="s">
        <v>771</v>
      </c>
    </row>
    <row r="8" spans="1:9" ht="15" customHeight="1">
      <c r="A8" s="55" t="s">
        <v>772</v>
      </c>
      <c r="B8" s="55" t="s">
        <v>773</v>
      </c>
      <c r="C8" s="55" t="s">
        <v>774</v>
      </c>
      <c r="D8" s="55" t="s">
        <v>775</v>
      </c>
      <c r="E8" s="24"/>
      <c r="F8" s="55" t="s">
        <v>776</v>
      </c>
      <c r="G8" s="55" t="s">
        <v>777</v>
      </c>
      <c r="H8" s="55" t="s">
        <v>778</v>
      </c>
      <c r="I8" s="55" t="s">
        <v>779</v>
      </c>
    </row>
    <row r="9" spans="1:9" ht="15" customHeight="1">
      <c r="A9" s="56" t="s">
        <v>780</v>
      </c>
      <c r="B9" s="56" t="s">
        <v>773</v>
      </c>
      <c r="C9" s="56" t="s">
        <v>781</v>
      </c>
      <c r="D9" s="56" t="s">
        <v>775</v>
      </c>
      <c r="E9" s="24"/>
      <c r="F9" s="56" t="s">
        <v>782</v>
      </c>
      <c r="G9" s="56" t="s">
        <v>783</v>
      </c>
      <c r="H9" s="56" t="s">
        <v>784</v>
      </c>
      <c r="I9" s="56" t="s">
        <v>785</v>
      </c>
    </row>
    <row r="10" spans="1:9" ht="15" customHeight="1">
      <c r="A10" s="49" t="s">
        <v>138</v>
      </c>
      <c r="B10" s="49" t="s">
        <v>786</v>
      </c>
      <c r="C10" s="49" t="s">
        <v>787</v>
      </c>
      <c r="D10" s="49" t="s">
        <v>775</v>
      </c>
    </row>
    <row r="11" spans="1:9" ht="15" customHeight="1">
      <c r="A11" s="50" t="s">
        <v>788</v>
      </c>
      <c r="B11" s="50" t="s">
        <v>789</v>
      </c>
      <c r="C11" s="50" t="s">
        <v>790</v>
      </c>
      <c r="D11" s="50" t="s">
        <v>775</v>
      </c>
    </row>
    <row r="12" spans="1:9" ht="15" customHeight="1">
      <c r="A12" s="49" t="s">
        <v>791</v>
      </c>
      <c r="B12" s="49" t="s">
        <v>792</v>
      </c>
      <c r="C12" s="49" t="s">
        <v>793</v>
      </c>
      <c r="D12" s="49" t="s">
        <v>661</v>
      </c>
    </row>
    <row r="13" spans="1:9" ht="54" customHeight="1">
      <c r="A13" s="114" t="s">
        <v>186</v>
      </c>
      <c r="B13" s="114" t="s">
        <v>748</v>
      </c>
      <c r="C13" s="114" t="s">
        <v>794</v>
      </c>
      <c r="D13" s="114" t="s">
        <v>750</v>
      </c>
      <c r="E13" s="114"/>
      <c r="F13" s="114" t="s">
        <v>795</v>
      </c>
      <c r="G13" s="114" t="s">
        <v>796</v>
      </c>
      <c r="H13" s="114" t="s">
        <v>110</v>
      </c>
      <c r="I13" s="114" t="s">
        <v>797</v>
      </c>
    </row>
    <row r="14" spans="1:9" ht="54" customHeight="1">
      <c r="A14" s="114" t="s">
        <v>798</v>
      </c>
      <c r="B14" s="114" t="s">
        <v>799</v>
      </c>
      <c r="C14" s="114" t="s">
        <v>800</v>
      </c>
      <c r="D14" s="114" t="s">
        <v>801</v>
      </c>
      <c r="E14" s="114"/>
      <c r="F14" s="114" t="s">
        <v>802</v>
      </c>
      <c r="G14" s="114" t="s">
        <v>803</v>
      </c>
      <c r="H14" s="114" t="s">
        <v>804</v>
      </c>
      <c r="I14" s="114" t="s">
        <v>805</v>
      </c>
    </row>
    <row r="15" spans="1:9" ht="54" customHeight="1">
      <c r="A15" s="114" t="s">
        <v>806</v>
      </c>
      <c r="B15" s="114" t="s">
        <v>748</v>
      </c>
      <c r="C15" s="114" t="s">
        <v>807</v>
      </c>
      <c r="D15" s="114" t="s">
        <v>750</v>
      </c>
      <c r="E15" s="114"/>
      <c r="F15" s="114" t="s">
        <v>808</v>
      </c>
      <c r="G15" s="114" t="s">
        <v>809</v>
      </c>
      <c r="H15" s="114" t="s">
        <v>106</v>
      </c>
      <c r="I15" s="114" t="s">
        <v>810</v>
      </c>
    </row>
    <row r="16" spans="1:9" ht="54" customHeight="1">
      <c r="A16" s="114" t="s">
        <v>811</v>
      </c>
      <c r="B16" s="114" t="s">
        <v>773</v>
      </c>
      <c r="C16" s="114" t="s">
        <v>812</v>
      </c>
      <c r="D16" s="114" t="s">
        <v>775</v>
      </c>
      <c r="E16" s="114"/>
      <c r="F16" s="114" t="s">
        <v>813</v>
      </c>
      <c r="G16" s="114" t="s">
        <v>814</v>
      </c>
      <c r="H16" s="114" t="s">
        <v>725</v>
      </c>
      <c r="I16" s="114" t="s">
        <v>815</v>
      </c>
    </row>
    <row r="17" spans="1:9" ht="54" customHeight="1">
      <c r="A17" s="114" t="s">
        <v>816</v>
      </c>
      <c r="B17" s="114" t="s">
        <v>748</v>
      </c>
      <c r="C17" s="114" t="s">
        <v>817</v>
      </c>
      <c r="D17" s="114" t="s">
        <v>818</v>
      </c>
      <c r="E17" s="114"/>
      <c r="F17" s="114" t="s">
        <v>819</v>
      </c>
      <c r="G17" s="114" t="s">
        <v>820</v>
      </c>
      <c r="H17" s="114" t="s">
        <v>417</v>
      </c>
      <c r="I17" s="114" t="s">
        <v>821</v>
      </c>
    </row>
    <row r="18" spans="1:9" ht="54" customHeight="1">
      <c r="A18" s="114" t="s">
        <v>822</v>
      </c>
      <c r="B18" s="114" t="s">
        <v>823</v>
      </c>
      <c r="C18" s="114" t="s">
        <v>824</v>
      </c>
      <c r="D18" s="114" t="s">
        <v>731</v>
      </c>
      <c r="E18" s="114"/>
      <c r="F18" s="114" t="s">
        <v>825</v>
      </c>
      <c r="G18" s="114" t="s">
        <v>826</v>
      </c>
      <c r="H18" s="114" t="s">
        <v>417</v>
      </c>
      <c r="I18" s="114" t="s">
        <v>827</v>
      </c>
    </row>
    <row r="19" spans="1:9" ht="54" customHeight="1">
      <c r="A19" s="114" t="s">
        <v>828</v>
      </c>
      <c r="B19" s="114" t="s">
        <v>829</v>
      </c>
      <c r="C19" s="114" t="s">
        <v>830</v>
      </c>
      <c r="D19" s="114" t="s">
        <v>661</v>
      </c>
      <c r="E19" s="114"/>
      <c r="F19" s="114" t="s">
        <v>831</v>
      </c>
      <c r="G19" s="114" t="s">
        <v>832</v>
      </c>
      <c r="H19" s="114" t="s">
        <v>833</v>
      </c>
      <c r="I19" s="114" t="s">
        <v>834</v>
      </c>
    </row>
  </sheetData>
  <conditionalFormatting sqref="B2:B9">
    <cfRule type="containsText" dxfId="9" priority="1" operator="containsText" text="OK"/>
    <cfRule type="containsText" dxfId="8" priority="4" operator="containsText" text="FAIL"/>
    <cfRule type="containsText" dxfId="7" priority="7" operator="containsText" text="REVIEW"/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showGridLines="0" workbookViewId="0"/>
  </sheetViews>
  <sheetFormatPr defaultRowHeight="13.8"/>
  <cols>
    <col min="1" max="1" width="14" customWidth="1"/>
    <col min="2" max="2" width="56" customWidth="1"/>
    <col min="3" max="4" width="14" customWidth="1"/>
    <col min="5" max="5" width="16" customWidth="1"/>
    <col min="6" max="6" width="68" customWidth="1"/>
  </cols>
  <sheetData>
    <row r="1" spans="1:6" ht="15" customHeight="1">
      <c r="A1" s="52" t="s">
        <v>835</v>
      </c>
      <c r="B1" s="53" t="s">
        <v>836</v>
      </c>
      <c r="C1" s="53" t="s">
        <v>837</v>
      </c>
      <c r="D1" s="53" t="s">
        <v>838</v>
      </c>
      <c r="E1" s="53" t="s">
        <v>839</v>
      </c>
      <c r="F1" s="54" t="s">
        <v>840</v>
      </c>
    </row>
    <row r="2" spans="1:6" ht="15" customHeight="1">
      <c r="A2" s="110" t="s">
        <v>841</v>
      </c>
      <c r="B2" s="110" t="s">
        <v>842</v>
      </c>
      <c r="C2" s="112">
        <v>0</v>
      </c>
      <c r="D2" s="112">
        <f>COUNTIF(Intervention_Cause_Map!$Q$2:$Q$29,"&gt;1")</f>
        <v>0</v>
      </c>
      <c r="E2" s="110" t="str">
        <f t="shared" ref="E2:E16" si="0">IF(D2=C2,"PASS","FAIL")</f>
        <v>PASS</v>
      </c>
      <c r="F2" s="110" t="s">
        <v>843</v>
      </c>
    </row>
    <row r="3" spans="1:6" ht="15" customHeight="1">
      <c r="A3" s="111" t="s">
        <v>844</v>
      </c>
      <c r="B3" s="111" t="s">
        <v>845</v>
      </c>
      <c r="C3" s="113">
        <v>0</v>
      </c>
      <c r="D3" s="113">
        <f>COUNTIF(Exposure_Targets!$U$2:$U$8,"&lt;&gt;OK")</f>
        <v>0</v>
      </c>
      <c r="E3" s="111" t="str">
        <f t="shared" si="0"/>
        <v>PASS</v>
      </c>
      <c r="F3" s="111" t="s">
        <v>846</v>
      </c>
    </row>
    <row r="4" spans="1:6" ht="15" customHeight="1">
      <c r="A4" s="110" t="s">
        <v>847</v>
      </c>
      <c r="B4" s="110" t="s">
        <v>848</v>
      </c>
      <c r="C4" s="112">
        <v>0</v>
      </c>
      <c r="D4" s="112">
        <f>COUNTIF(Policy_Levers!$O$2:$O$13,"&lt;&gt;OK")</f>
        <v>0</v>
      </c>
      <c r="E4" s="110" t="str">
        <f t="shared" si="0"/>
        <v>PASS</v>
      </c>
      <c r="F4" s="110" t="s">
        <v>849</v>
      </c>
    </row>
    <row r="5" spans="1:6" ht="15" customHeight="1">
      <c r="A5" s="111" t="s">
        <v>850</v>
      </c>
      <c r="B5" s="111" t="s">
        <v>851</v>
      </c>
      <c r="C5" s="113">
        <v>0</v>
      </c>
      <c r="D5" s="113">
        <f>COUNTIF(Effect_Parameters!$W$2:$W$29,"&lt;&gt;OK")</f>
        <v>1</v>
      </c>
      <c r="E5" s="111" t="str">
        <f t="shared" si="0"/>
        <v>FAIL</v>
      </c>
      <c r="F5" s="111" t="s">
        <v>852</v>
      </c>
    </row>
    <row r="6" spans="1:6" ht="15" customHeight="1">
      <c r="A6" s="110" t="s">
        <v>853</v>
      </c>
      <c r="B6" s="110" t="s">
        <v>854</v>
      </c>
      <c r="C6" s="112">
        <v>0</v>
      </c>
      <c r="D6" s="112">
        <f>COUNTIF(Cost_Components!$AC$2:$AC$8,"&lt;&gt;OK")</f>
        <v>7</v>
      </c>
      <c r="E6" s="110" t="str">
        <f t="shared" si="0"/>
        <v>FAIL</v>
      </c>
      <c r="F6" s="110" t="s">
        <v>855</v>
      </c>
    </row>
    <row r="7" spans="1:6" ht="15" customHeight="1">
      <c r="A7" s="111" t="s">
        <v>856</v>
      </c>
      <c r="B7" s="111" t="s">
        <v>857</v>
      </c>
      <c r="C7" s="113">
        <v>0</v>
      </c>
      <c r="D7" s="113">
        <f>COUNTA(Dictionaries!$A$2:$A$8)-COUNTA(Exposure_Targets!$B$2:$B$8)</f>
        <v>0</v>
      </c>
      <c r="E7" s="111" t="str">
        <f t="shared" si="0"/>
        <v>PASS</v>
      </c>
      <c r="F7" s="111" t="s">
        <v>858</v>
      </c>
    </row>
    <row r="8" spans="1:6" ht="15" customHeight="1">
      <c r="A8" s="110" t="s">
        <v>859</v>
      </c>
      <c r="B8" s="110" t="s">
        <v>860</v>
      </c>
      <c r="C8" s="112">
        <v>0</v>
      </c>
      <c r="D8" s="112">
        <f>COUNTA(Intervention_Cause_Map!$A$2:$A$29)-COUNTA(Effect_Parameters!$B$2:$B$29)</f>
        <v>0</v>
      </c>
      <c r="E8" s="110" t="str">
        <f t="shared" si="0"/>
        <v>PASS</v>
      </c>
      <c r="F8" s="110" t="s">
        <v>861</v>
      </c>
    </row>
    <row r="9" spans="1:6" ht="15" customHeight="1">
      <c r="A9" s="111" t="s">
        <v>862</v>
      </c>
      <c r="B9" s="111" t="s">
        <v>863</v>
      </c>
      <c r="C9" s="113">
        <v>0</v>
      </c>
      <c r="D9" s="113">
        <f>SUM(Intervention_Cause_Map!$O$2:$O$29)</f>
        <v>0</v>
      </c>
      <c r="E9" s="111" t="str">
        <f t="shared" si="0"/>
        <v>PASS</v>
      </c>
      <c r="F9" s="111" t="s">
        <v>864</v>
      </c>
    </row>
    <row r="10" spans="1:6" ht="15" customHeight="1">
      <c r="A10" s="110" t="s">
        <v>865</v>
      </c>
      <c r="B10" s="110" t="s">
        <v>866</v>
      </c>
      <c r="C10" s="112">
        <v>0</v>
      </c>
      <c r="D10" s="112">
        <f>COUNTIF(Intervention_Cause_Map!$L$2:$L$29,"REVIEW")</f>
        <v>0</v>
      </c>
      <c r="E10" s="110" t="str">
        <f t="shared" si="0"/>
        <v>PASS</v>
      </c>
      <c r="F10" s="110" t="s">
        <v>867</v>
      </c>
    </row>
    <row r="11" spans="1:6" ht="15" customHeight="1">
      <c r="A11" s="111" t="s">
        <v>868</v>
      </c>
      <c r="B11" s="111" t="s">
        <v>869</v>
      </c>
      <c r="C11" s="113">
        <v>0</v>
      </c>
      <c r="D11" s="113">
        <f>COUNTBLANK(Effect_Parameters!$R$2:$R$29)</f>
        <v>0</v>
      </c>
      <c r="E11" s="111" t="str">
        <f t="shared" si="0"/>
        <v>PASS</v>
      </c>
      <c r="F11" s="111" t="s">
        <v>870</v>
      </c>
    </row>
    <row r="12" spans="1:6" ht="15" customHeight="1">
      <c r="A12" s="66" t="s">
        <v>871</v>
      </c>
      <c r="B12" s="66" t="s">
        <v>872</v>
      </c>
      <c r="C12" s="71">
        <v>0</v>
      </c>
      <c r="D12" s="71">
        <f>COUNTIFS(Effect_Parameters!$D$2:$D$29,"R_SMOKING",Effect_Parameters!$L$2:$L$29,1)+COUNTIFS(Effect_Parameters!$D$2:$D$29,"R_ALCOHOL",Effect_Parameters!$L$2:$L$29,1)+COUNTIFS(Effect_Parameters!$D$2:$D$29,"R_SSB",Effect_Parameters!$L$2:$L$29,1)</f>
        <v>0</v>
      </c>
      <c r="E12" s="66" t="str">
        <f t="shared" si="0"/>
        <v>PASS</v>
      </c>
      <c r="F12" s="66" t="s">
        <v>873</v>
      </c>
    </row>
    <row r="13" spans="1:6" ht="15" customHeight="1">
      <c r="A13" s="65" t="s">
        <v>874</v>
      </c>
      <c r="B13" s="65" t="s">
        <v>875</v>
      </c>
      <c r="C13" s="70">
        <v>0</v>
      </c>
      <c r="D13" s="70">
        <f>COUNTIF(Intervention_Cause_Map!$F$2:$F$29,"C_IHD_HBG")</f>
        <v>0</v>
      </c>
      <c r="E13" s="65" t="str">
        <f t="shared" si="0"/>
        <v>PASS</v>
      </c>
      <c r="F13" s="65" t="s">
        <v>876</v>
      </c>
    </row>
    <row r="14" spans="1:6">
      <c r="A14" t="s">
        <v>877</v>
      </c>
      <c r="B14" t="s">
        <v>878</v>
      </c>
      <c r="C14">
        <v>0</v>
      </c>
      <c r="D14">
        <f>COUNTIFS(Intervention_Cause_Map!$B$2:$B$29,"I_PH_SSB_TAX",Intervention_Cause_Map!$L$2:$L$29,"&lt;&gt;well")+COUNTIFS(Intervention_Cause_Map!$B$2:$B$29,"I_PH_SSB_TAX",Intervention_Cause_Map!$M$2:$M$29,"&lt;&gt;sick")</f>
        <v>0</v>
      </c>
      <c r="E14" t="str">
        <f t="shared" si="0"/>
        <v>PASS</v>
      </c>
      <c r="F14" t="s">
        <v>879</v>
      </c>
    </row>
    <row r="15" spans="1:6">
      <c r="A15" t="s">
        <v>880</v>
      </c>
      <c r="B15" t="s">
        <v>881</v>
      </c>
      <c r="C15">
        <v>0</v>
      </c>
      <c r="D15">
        <f>COUNTIFS(Intervention_Cause_Map!$B$2:$B$29,"I_PH_SALT_POLICY",Intervention_Cause_Map!$L$2:$L$29,"&lt;&gt;well")+COUNTIFS(Intervention_Cause_Map!$B$2:$B$29,"I_PH_TFA_POLICY",Intervention_Cause_Map!$L$2:$L$29,"&lt;&gt;well")+COUNTIFS(Intervention_Cause_Map!$B$2:$B$29,"I_PH_SALT_POLICY",Intervention_Cause_Map!$M$2:$M$29,"&lt;&gt;sick")+COUNTIFS(Intervention_Cause_Map!$B$2:$B$29,"I_PH_TFA_POLICY",Intervention_Cause_Map!$M$2:$M$29,"&lt;&gt;sick")</f>
        <v>0</v>
      </c>
      <c r="E15" t="str">
        <f t="shared" si="0"/>
        <v>PASS</v>
      </c>
      <c r="F15" t="s">
        <v>882</v>
      </c>
    </row>
    <row r="16" spans="1:6">
      <c r="A16" t="s">
        <v>883</v>
      </c>
      <c r="B16" t="s">
        <v>884</v>
      </c>
      <c r="C16">
        <v>0</v>
      </c>
      <c r="D16">
        <f>ABS(COUNTIF(Intervention_Cause_Map!$B$2:$B$29,"I_PH_SSB_TAX")-5)</f>
        <v>0</v>
      </c>
      <c r="E16" t="str">
        <f t="shared" si="0"/>
        <v>PASS</v>
      </c>
      <c r="F16" t="s">
        <v>885</v>
      </c>
    </row>
  </sheetData>
  <conditionalFormatting sqref="E2:E11">
    <cfRule type="containsText" dxfId="6" priority="1" operator="containsText" text="OK"/>
    <cfRule type="containsText" dxfId="5" priority="4" operator="containsText" text="FAIL"/>
    <cfRule type="containsText" dxfId="4" priority="7" operator="containsText" text="REVIEW"/>
  </conditionalFormatting>
  <conditionalFormatting sqref="E14:E16">
    <cfRule type="containsText" dxfId="3" priority="8" operator="containsText" text="PASS"/>
    <cfRule type="containsText" dxfId="2" priority="9" operator="containsText" text="FAIL"/>
    <cfRule type="containsText" dxfId="1" priority="10" operator="containsText" text="PASS"/>
    <cfRule type="containsText" dxfId="0" priority="11" operator="containsText" text="FAIL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Assumptions</vt:lpstr>
      <vt:lpstr>Dictionaries</vt:lpstr>
      <vt:lpstr>Intervention_Cause_Map</vt:lpstr>
      <vt:lpstr>Policy_Levers</vt:lpstr>
      <vt:lpstr>Exposure_Targets</vt:lpstr>
      <vt:lpstr>Effect_Parameters</vt:lpstr>
      <vt:lpstr>Risk_Response</vt:lpstr>
      <vt:lpstr>Model_Input_View</vt:lpstr>
      <vt:lpstr>Cost_Components</vt:lpstr>
      <vt:lpstr>Countdown_Methods</vt:lpstr>
      <vt:lpstr>Scope_and_Sources</vt:lpstr>
      <vt:lpstr>QA_Checks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 Garcia</cp:lastModifiedBy>
  <dcterms:modified xsi:type="dcterms:W3CDTF">2026-08-18T18:06:06Z</dcterms:modified>
</cp:coreProperties>
</file>